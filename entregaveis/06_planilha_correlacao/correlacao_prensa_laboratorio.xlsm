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Leia-me" sheetId="2" r:id="rId2"/>
    <sheet name="Configurações" sheetId="3" r:id="rId3"/>
    <sheet name="Prensa" sheetId="4" r:id="rId4"/>
    <sheet name="MES" sheetId="5" r:id="rId5"/>
    <sheet name="Correlacao" sheetId="6" r:id="rId6"/>
    <sheet name="Dados_PIMS" sheetId="7" state="hidden" r:id="rId7"/>
  </sheets>
  <definedNames>
    <definedName name="cfgAjusteMES">'Configurações'!$B$25</definedName>
    <definedName name="cfgCalculoLab">'Configurações'!$B$19</definedName>
    <definedName name="cfgCalculoPrensa">'Configurações'!$B$12</definedName>
    <definedName name="cfgDefasagem">'Configurações'!$B$22</definedName>
    <definedName name="cfgDeslocamento">'Configurações'!$B$23</definedName>
    <definedName name="cfgFormatoData">'Configurações'!$B$4</definedName>
    <definedName name="cfgInicioPrensa">'Configurações'!$B$13</definedName>
    <definedName name="cfgMapaLab">'Configurações'!$B$17</definedName>
    <definedName name="cfgMapaPrensa">'Configurações'!$B$10</definedName>
    <definedName name="cfgMinCortes">'Configurações'!$B$24</definedName>
    <definedName name="cfgPeriodoLab">'Configurações'!$B$18</definedName>
    <definedName name="cfgPeriodoPrensa">'Configurações'!$B$11</definedName>
    <definedName name="cfgPrefixo">'Configurações'!$B$6</definedName>
    <definedName name="cfgServidor">'Configurações'!$B$3</definedName>
    <definedName name="cfgTagLab">'Configurações'!$B$16</definedName>
    <definedName name="cfgTagPrensa">'Configurações'!$B$9</definedName>
    <definedName name="cfgTimeout">'Configurações'!$B$5</definedName>
    <definedName name="cfgTolerancia">'Configurações'!$B$26</definedName>
    <definedName name="pnlFim">'Painel'!$C$6</definedName>
    <definedName name="pnlInicio">'Painel'!$C$5</definedName>
    <definedName name="pnlStatus">'Painel'!$B$8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Preenchido pela macro (botões do Painel): um resultado por linha, com o horário em que entrou no PIMS.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Preenchido pela macro (botões do Painel): um resultado por composto de 2 h.</t>
        </r>
      </text>
    </comment>
  </commentList>
</comments>
</file>

<file path=xl/sharedStrings.xml><?xml version="1.0" encoding="utf-8"?>
<sst xmlns="http://schemas.openxmlformats.org/spreadsheetml/2006/main" count="157" uniqueCount="145">
  <si>
    <t>Parâmetro</t>
  </si>
  <si>
    <t>Valor</t>
  </si>
  <si>
    <t>Observação</t>
  </si>
  <si>
    <t>Conexão com o PIMS (Aspen Process Data no Excel)</t>
  </si>
  <si>
    <t>Servidor do PIMS</t>
  </si>
  <si>
    <t>UBU</t>
  </si>
  <si>
    <t>Mesmo servidor do Relatório Físico.</t>
  </si>
  <si>
    <t>Formato da data para o Aspen</t>
  </si>
  <si>
    <t>Texto dd/mm/aaaa</t>
  </si>
  <si>
    <t>Padrão do Relatório Físico. Opções: Texto dd/mm/aaaa, Texto mm/dd/aaaa ou Data do Excel.</t>
  </si>
  <si>
    <t>Espera máxima pela resposta do PIMS (s)</t>
  </si>
  <si>
    <t>Tempo máximo de cada consulta.</t>
  </si>
  <si>
    <t>Início da fórmula do suplemento</t>
  </si>
  <si>
    <t>=GetCalculationValues(</t>
  </si>
  <si>
    <t>Como o Excel mostra a função do Aspen. Se o Excel não reconhecer, a macro tenta o nome completo do suplemento.</t>
  </si>
  <si>
    <t>Prensa automática</t>
  </si>
  <si>
    <t>Tag</t>
  </si>
  <si>
    <t>307-GI-001</t>
  </si>
  <si>
    <t>Média de compressão do ensaio (kgf/pelota).</t>
  </si>
  <si>
    <t>Tipo (mapa)</t>
  </si>
  <si>
    <t>IP_ANALOGMAP</t>
  </si>
  <si>
    <t>Intervalo da consulta</t>
  </si>
  <si>
    <t>1m</t>
  </si>
  <si>
    <t>Leitura a cada 1 minuto. Cada resultado novo da tag vira uma linha da aba Prensa, com o horário em que apareceu no PIMS.</t>
  </si>
  <si>
    <t>Tipo de cálculo do suplemento</t>
  </si>
  <si>
    <t>0</t>
  </si>
  <si>
    <t>0 = valor no instante (mesmo código da consulta de ritmo de processo do Relatório Físico).</t>
  </si>
  <si>
    <t>Início de operação da prensa</t>
  </si>
  <si>
    <t>Usado pelo botão Desde o início da prensa. Antes desta data a tag não tem resultados válidos.</t>
  </si>
  <si>
    <t>Laboratório (MES)</t>
  </si>
  <si>
    <t>M4710050020-0031-HHLFU</t>
  </si>
  <si>
    <t>Resistência à Compressão, pelota queimada US4, em kgf/pelota (Relatório Físico, aba Configurações, linha 40).</t>
  </si>
  <si>
    <t>IP_MESVALOR</t>
  </si>
  <si>
    <t>30m</t>
  </si>
  <si>
    <t>Intervalos de 30 min: o horário do resultado no MES fica identificado (13:30, 15:30 e assim por diante).</t>
  </si>
  <si>
    <t>1</t>
  </si>
  <si>
    <t>1 = mesmo código da consulta de qualidade do Relatório Físico.</t>
  </si>
  <si>
    <t>Regra de comparação</t>
  </si>
  <si>
    <t>Defasagem entre o corte e a entrada no PIMS (min)</t>
  </si>
  <si>
    <t>Informado pelo LCE: o corte das 13:00 entra no PIMS às 13:20.</t>
  </si>
  <si>
    <t>Deslocamento das janelas (meias horas)</t>
  </si>
  <si>
    <t>0 = janelas de 12:00 a 13:30, 14:00 a 15:30 e assim por diante. Use 1 para começar nas meias horas, 2 nas horas ímpares.</t>
  </si>
  <si>
    <t>Mínimo de cortes para a janela ser válida</t>
  </si>
  <si>
    <t>1 = usa a média mesmo com um só corte. Use 4 para considerar só janelas completas.</t>
  </si>
  <si>
    <t>Ajuste do horário do MES (min)</t>
  </si>
  <si>
    <t>Use se o horário do resultado no MES não for o do último corte (13:30). Exemplo: -30 se o MES gravar 14:00.</t>
  </si>
  <si>
    <t>Tolerância da diferença prensa x laboratório (kgf/pelota)</t>
  </si>
  <si>
    <t>A confirmar pelo LCE. Usada no indicador de janelas dentro da tolerância.</t>
  </si>
  <si>
    <t>Consultas ao PIMS (Aspen Process Data). Preenchida pela macro, não editar.</t>
  </si>
  <si>
    <t>Início</t>
  </si>
  <si>
    <t/>
  </si>
  <si>
    <t>Fim</t>
  </si>
  <si>
    <t>Consulta: prensa automática</t>
  </si>
  <si>
    <t>Sem consulta</t>
  </si>
  <si>
    <t>Data/hora</t>
  </si>
  <si>
    <t>Consulta: laboratório (MES)</t>
  </si>
  <si>
    <t>Data e hora no PIMS</t>
  </si>
  <si>
    <t>Média prensa 307-GI-001 (kgf/pelota)</t>
  </si>
  <si>
    <t>Hora do corte</t>
  </si>
  <si>
    <t>Índice de meia hora</t>
  </si>
  <si>
    <t>Janela</t>
  </si>
  <si>
    <t>Posição do corte na janela (1 a 4)</t>
  </si>
  <si>
    <t>Válido (1 = entra na média)</t>
  </si>
  <si>
    <t>Horário do MES correspondente</t>
  </si>
  <si>
    <t>Data e hora do resultado no MES</t>
  </si>
  <si>
    <t>Compressão laboratório (kgf/pelota)</t>
  </si>
  <si>
    <t>Posição (esperado 4)</t>
  </si>
  <si>
    <t>Horário do MES</t>
  </si>
  <si>
    <t>Janela de cortes</t>
  </si>
  <si>
    <t>Laboratório (kgf/pelota)</t>
  </si>
  <si>
    <t>Corte 1</t>
  </si>
  <si>
    <t>Corte 2</t>
  </si>
  <si>
    <t>Corte 3</t>
  </si>
  <si>
    <t>Corte 4</t>
  </si>
  <si>
    <t>Cortes com resultado</t>
  </si>
  <si>
    <t>Composto prensa (kgf/pelota)</t>
  </si>
  <si>
    <t>Diferença prensa menos laboratório</t>
  </si>
  <si>
    <t>Situação</t>
  </si>
  <si>
    <t>Diferença absoluta</t>
  </si>
  <si>
    <t>Dentro da tolerância</t>
  </si>
  <si>
    <t>id janela</t>
  </si>
  <si>
    <t>X gráfico</t>
  </si>
  <si>
    <t>Lab gráfico</t>
  </si>
  <si>
    <t>Prensa gráfico</t>
  </si>
  <si>
    <t>Dif gráfico</t>
  </si>
  <si>
    <t>Lab válido</t>
  </si>
  <si>
    <t>Prensa válido</t>
  </si>
  <si>
    <t>Dif válida</t>
  </si>
  <si>
    <t>Correlação prensa automática x laboratório</t>
  </si>
  <si>
    <t>Composto de 2 h da prensa (média dos cortes de 12:00 a 13:30) comparado com o resultado do MES das 13:30, e assim por diante. Dados buscados no PIMS pelo suplemento Aspen, como no Relatório Físico.</t>
  </si>
  <si>
    <t>Início do período</t>
  </si>
  <si>
    <t>Fim do período (em branco = agora)</t>
  </si>
  <si>
    <t>Sem dados. Use um dos botões de atualização.</t>
  </si>
  <si>
    <t>Período analisado</t>
  </si>
  <si>
    <t>Primeiro composto</t>
  </si>
  <si>
    <t>Último composto</t>
  </si>
  <si>
    <t>Resultados do MES</t>
  </si>
  <si>
    <t>Janelas válidas</t>
  </si>
  <si>
    <t>Janelas com os 4 cortes</t>
  </si>
  <si>
    <t>Resultados da prensa</t>
  </si>
  <si>
    <t>Concordância</t>
  </si>
  <si>
    <t>Média do laboratório (kgf/pelota)</t>
  </si>
  <si>
    <t>Média do composto da prensa (kgf/pelota)</t>
  </si>
  <si>
    <t>Viés médio, prensa menos laboratório</t>
  </si>
  <si>
    <t>Desvio padrão das diferenças</t>
  </si>
  <si>
    <t>Erro médio absoluto</t>
  </si>
  <si>
    <t>Janelas dentro da tolerância</t>
  </si>
  <si>
    <t>Correlação</t>
  </si>
  <si>
    <t>Coeficiente de correlação (r)</t>
  </si>
  <si>
    <t>Coeficiente de determinação (R²)</t>
  </si>
  <si>
    <t>Inclinação (prensa = a + b x lab)</t>
  </si>
  <si>
    <t>Intercepto a</t>
  </si>
  <si>
    <t>Limite inferior de concordância</t>
  </si>
  <si>
    <t>Limite superior de concordância</t>
  </si>
  <si>
    <t>Leitura</t>
  </si>
  <si>
    <t>Resumo por dia</t>
  </si>
  <si>
    <t>Dia</t>
  </si>
  <si>
    <t>Média laboratório x média prensa (kgf/pelota)</t>
  </si>
  <si>
    <t>Viés médio</t>
  </si>
  <si>
    <t>Correlação prensa automática x laboratório (MES)</t>
  </si>
  <si>
    <t>A planilha sai sem dados. Na aba Painel, use o botão Desde o início da prensa ou informe o período e use Atualizar período.</t>
  </si>
  <si>
    <t>Como funciona a busca</t>
  </si>
  <si>
    <t>1. Mesmo mecanismo do Relatório Físico: a macro escreve a fórmula GetCalculationValues do suplemento Aspen Process Data na aba oculta Dados_PIMS, espera o PIMS responder, lê os valores e grava nas abas Prensa e MES.</t>
  </si>
  <si>
    <t>2. Pré-requisito: o suplemento Aspen Process Data ativo no Excel (o mesmo usado pelo Relatório Físico) e a planilha aberta com as macros habilitadas.</t>
  </si>
  <si>
    <t>3. Prensa automática (307-GI-001): leitura a cada 1 minuto. Cada resultado novo da tag vira uma linha da aba Prensa, com o horário em que apareceu no PIMS. A busca começa 1 h antes do período, para completar a primeira janela.</t>
  </si>
  <si>
    <t>4. Laboratório (M4710050020-0031-HHLFU, Resistência à Compressão US4): consulta em intervalos de 30 min, um resultado por composto de 2 h.</t>
  </si>
  <si>
    <t>5. Períodos longos são divididos em várias consultas, automaticamente. Cada atualização substitui os dados das abas Prensa e MES.</t>
  </si>
  <si>
    <t>6. Tags, servidor, formato da data e tempo de espera ficam na aba Configurações. Se o PIMS recusar uma tag, a macro avisa qual foi.</t>
  </si>
  <si>
    <t>Regra de comparação (aba Configurações)</t>
  </si>
  <si>
    <t>1. O resultado da prensa entra no PIMS 20 min depois do corte. A planilha desconta essa defasagem: 13:20 vira corte das 13:00, 13:50 vira corte das 13:30. Depois o horário é arredondado para a meia hora mais próxima.</t>
  </si>
  <si>
    <t>2. Os cortes de 12:00, 12:30, 13:00 e 13:30 formam um composto de 2 h, comparado com o resultado do MES das 13:30. Depois 14:00 a 15:30 com o MES das 15:30, e assim por diante.</t>
  </si>
  <si>
    <t>3. O composto da prensa é a média dos cortes que tiveram resultado (1 a 4). Valores zero não entram.</t>
  </si>
  <si>
    <t>4. Resultado do MES fora do horário do 4º corte aparece como Horário do MES fora do padrão na aba Correlacao. Nesse caso, ajuste o parâmetro Ajuste do horário do MES.</t>
  </si>
  <si>
    <t>Abas</t>
  </si>
  <si>
    <t>Painel: período, botões de atualização, indicadores, gráficos e resumo por dia.</t>
  </si>
  <si>
    <t>Configurações: conexão com o PIMS, tags e regra de comparação (células amarelas).</t>
  </si>
  <si>
    <t>Prensa e MES: dados buscados no PIMS (colunas A e B) e cálculo do corte e da janela (cinza).</t>
  </si>
  <si>
    <t>Correlacao: uma linha por resultado do MES, com os 4 cortes da prensa, o composto, a diferença e a situação.</t>
  </si>
  <si>
    <t>Dados_PIMS (oculta): área de trabalho das consultas ao Aspen. Para ver, use a macro MostrarDadosPIMS (Alt+F8).</t>
  </si>
  <si>
    <t>Se a busca não funcionar</t>
  </si>
  <si>
    <t>1. Abra o Relatório Físico na mesma máquina e confirme que a atualização do MES funciona (suplemento ativo).</t>
  </si>
  <si>
    <t>2. Confira na aba Configurações o servidor (UBU), as tags e o formato da data. Use o mesmo formato configurado no Relatório Físico.</t>
  </si>
  <si>
    <t>3. Se a função aparecer como #NOME?, o suplemento não está ativo: Arquivo &gt; Opções &gt; Suplementos &gt; Suplementos COM.</t>
  </si>
  <si>
    <t>4. Se o Excel bloquear as macros, clique com o botão direito no arquivo &gt; Propriedades &gt; Desbloquear, e abra de novo.</t>
  </si>
  <si>
    <t>Capacidade: 5.000 resultados da prensa e 1.500 compostos do MES (cerca de 3 meses).</t>
  </si>
</sst>
</file>

<file path=xl/styles.xml><?xml version="1.0" encoding="utf-8"?>
<styleSheet xmlns="http://schemas.openxmlformats.org/spreadsheetml/2006/main">
  <numFmts count="5">
    <numFmt numFmtId="164" formatCode="dd/mm/yyyy hh:mm"/>
    <numFmt numFmtId="165" formatCode="0.0"/>
    <numFmt numFmtId="166" formatCode="0.00"/>
    <numFmt numFmtId="167" formatCode="0%"/>
    <numFmt numFmtId="168" formatCode="dd/mm/yyyy"/>
  </numFmts>
  <fonts count="10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rgb="FFFFFFFF"/>
      <name val="Arial"/>
      <family val="2"/>
    </font>
    <font>
      <i/>
      <sz val="10"/>
      <color rgb="FF5B6B77"/>
      <name val="Arial"/>
      <family val="2"/>
    </font>
    <font>
      <b/>
      <sz val="10"/>
      <color rgb="FF00335A"/>
      <name val="Arial"/>
      <family val="2"/>
    </font>
    <font>
      <b/>
      <sz val="12"/>
      <color rgb="FF00335A"/>
      <name val="Arial"/>
      <family val="2"/>
    </font>
    <font>
      <b/>
      <sz val="10"/>
      <color rgb="FFFFFFFF"/>
      <name val="Arial"/>
      <family val="2"/>
    </font>
    <font>
      <b/>
      <sz val="15"/>
      <color rgb="FF00335A"/>
      <name val="Arial"/>
      <family val="2"/>
    </font>
    <font>
      <b/>
      <sz val="10"/>
      <color rgb="FFC00000"/>
      <name val="Arial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9D3DB"/>
      </left>
      <right style="thin">
        <color rgb="FFC9D3DB"/>
      </right>
      <top style="thin">
        <color rgb="FFC9D3DB"/>
      </top>
      <bottom style="thin">
        <color rgb="FFC9D3DB"/>
      </bottom>
      <diagonal/>
    </border>
    <border>
      <left/>
      <right/>
      <top/>
      <bottom style="medium">
        <color rgb="FFFFC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1" fillId="3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1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165" fontId="5" fillId="5" borderId="0" xfId="0" applyNumberFormat="1" applyFont="1" applyFill="1" applyAlignment="1">
      <alignment horizontal="right" vertical="center"/>
    </xf>
    <xf numFmtId="166" fontId="5" fillId="5" borderId="0" xfId="0" applyNumberFormat="1" applyFont="1" applyFill="1" applyAlignment="1">
      <alignment horizontal="right" vertical="center"/>
    </xf>
    <xf numFmtId="1" fontId="5" fillId="5" borderId="0" xfId="0" applyNumberFormat="1" applyFont="1" applyFill="1" applyAlignment="1">
      <alignment horizontal="right" vertical="center"/>
    </xf>
    <xf numFmtId="167" fontId="5" fillId="5" borderId="0" xfId="0" applyNumberFormat="1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6" fillId="2" borderId="1" xfId="0" applyFont="1" applyFill="1" applyBorder="1" applyAlignment="1">
      <alignment vertical="center" wrapText="1"/>
    </xf>
    <xf numFmtId="168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4" borderId="1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/>
    </xf>
    <xf numFmtId="164" fontId="1" fillId="6" borderId="0" xfId="0" applyNumberFormat="1" applyFont="1" applyFill="1" applyAlignment="1">
      <alignment vertical="center"/>
    </xf>
    <xf numFmtId="0" fontId="1" fillId="6" borderId="0" xfId="0" applyFont="1" applyFill="1" applyAlignment="1">
      <alignment vertical="center"/>
    </xf>
    <xf numFmtId="165" fontId="1" fillId="6" borderId="0" xfId="0" applyNumberFormat="1" applyFont="1" applyFill="1" applyAlignment="1">
      <alignment vertical="center"/>
    </xf>
  </cellXfs>
  <cellStyles count="1">
    <cellStyle name="Normal" xfId="0" builtinId="0"/>
  </cellStyles>
  <dxfs count="1">
    <dxf>
      <fill>
        <patternFill>
          <bgColor rgb="FFEEF3F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Composto de 2 h: prensa automática x laboratório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Prensa (composto)</c:v>
          </c:tx>
          <c:spPr>
            <a:ln w="22225">
              <a:solidFill>
                <a:srgbClr val="0091D5"/>
              </a:solidFill>
            </a:ln>
          </c:spPr>
          <c:marker>
            <c:symbol val="circle"/>
            <c:size val="5"/>
            <c:spPr>
              <a:solidFill>
                <a:srgbClr val="0091D5"/>
              </a:solidFill>
              <a:ln>
                <a:solidFill>
                  <a:srgbClr val="0091D5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Correlacao!$Q$2:$Q$1501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ser>
          <c:idx val="1"/>
          <c:order val="1"/>
          <c:tx>
            <c:v>Laboratório (MES)</c:v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Correlacao!$P$2:$P$1501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Horário do resultado do MES</a:t>
                </a:r>
              </a:p>
            </c:rich>
          </c:tx>
          <c:layout/>
        </c:title>
        <c:numFmt formatCode="dd/mm hh:mm" sourceLinked="0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  <c:max val="450"/>
          <c:min val="150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kgf/pelota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sz="900" baseline="0">
              <a:latin typeface="Arial"/>
            </a:defRPr>
          </a:pPr>
          <a:endParaRPr lang="en-US"/>
        </a:p>
      </c:txPr>
    </c:legend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Correlação: laboratório x prensa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Janelas válidas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91D5"/>
              </a:solidFill>
              <a:ln>
                <a:solidFill>
                  <a:srgbClr val="0091D5"/>
                </a:solidFill>
              </a:ln>
            </c:spPr>
          </c:marker>
          <c:trendline>
            <c:spPr>
              <a:ln w="15875">
                <a:solidFill>
                  <a:srgbClr val="F37021"/>
                </a:solidFill>
                <a:prstDash val="dash"/>
              </a:ln>
            </c:spPr>
            <c:trendlineType val="linear"/>
          </c:trendline>
          <c:xVal>
            <c:numRef>
              <c:f>Correlacao!$P$2:$P$1501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Correlacao!$Q$2:$Q$1501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20001"/>
        <c:axId val="50020002"/>
      </c:scatterChart>
      <c:valAx>
        <c:axId val="50020001"/>
        <c:scaling>
          <c:orientation val="minMax"/>
          <c:max val="450"/>
          <c:min val="150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Laboratório (kgf/pelota)</a:t>
                </a:r>
              </a:p>
            </c:rich>
          </c:tx>
          <c:layout/>
        </c:title>
        <c:numFmt formatCode="General" sourceLinked="1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  <c:max val="450"/>
          <c:min val="150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Prensa, composto (kgf/pelota)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20001"/>
        <c:crosses val="autoZero"/>
        <c:crossBetween val="midCat"/>
      </c:valAx>
    </c:plotArea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Diferença prensa menos laboratório por janela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Diferença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Correlacao!$R$2:$R$1501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Horário do resultado do MES</a:t>
                </a:r>
              </a:p>
            </c:rich>
          </c:tx>
          <c:layout/>
        </c:title>
        <c:numFmt formatCode="dd/mm hh:mm" sourceLinked="0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kgf/pelota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30001"/>
        <c:crosses val="autoZero"/>
        <c:crossBetween val="midCat"/>
      </c:valAx>
    </c:plotArea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1619250</xdr:colOff>
      <xdr:row>0</xdr:row>
      <xdr:rowOff>133350</xdr:rowOff>
    </xdr:from>
    <xdr:to>
      <xdr:col>8</xdr:col>
      <xdr:colOff>581501</xdr:colOff>
      <xdr:row>0</xdr:row>
      <xdr:rowOff>442389</xdr:rowOff>
    </xdr:to>
    <xdr:pic>
      <xdr:nvPicPr>
        <xdr:cNvPr id="2" name="Picture 1" descr="samarco-logo-branca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0" y="133350"/>
          <a:ext cx="1410176" cy="3090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20</xdr:row>
      <xdr:rowOff>0</xdr:rowOff>
    </xdr:from>
    <xdr:to>
      <xdr:col>8</xdr:col>
      <xdr:colOff>704850</xdr:colOff>
      <xdr:row>35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4</xdr:col>
      <xdr:colOff>1152525</xdr:colOff>
      <xdr:row>56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1362075</xdr:colOff>
      <xdr:row>38</xdr:row>
      <xdr:rowOff>0</xdr:rowOff>
    </xdr:from>
    <xdr:to>
      <xdr:col>8</xdr:col>
      <xdr:colOff>685800</xdr:colOff>
      <xdr:row>56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pageSetUpPr fitToPage="1"/>
  </sheetPr>
  <dimension ref="A1:J90"/>
  <sheetViews>
    <sheetView showGridLines="0" tabSelected="1" zoomScale="90" zoomScaleNormal="90" workbookViewId="0"/>
  </sheetViews>
  <sheetFormatPr defaultRowHeight="15"/>
  <cols>
    <col min="1" max="1" width="2.7109375" customWidth="1"/>
    <col min="2" max="2" width="34.7109375" customWidth="1"/>
    <col min="3" max="3" width="20.7109375" customWidth="1"/>
    <col min="4" max="4" width="2.7109375" customWidth="1"/>
    <col min="5" max="5" width="42.7109375" customWidth="1"/>
    <col min="6" max="6" width="13.7109375" customWidth="1"/>
    <col min="7" max="7" width="2.7109375" customWidth="1"/>
    <col min="8" max="8" width="36.7109375" customWidth="1"/>
    <col min="9" max="9" width="13.7109375" customWidth="1"/>
    <col min="10" max="10" width="2.7109375" customWidth="1"/>
  </cols>
  <sheetData>
    <row r="1" spans="1:10" ht="46" customHeight="1">
      <c r="A1" s="1"/>
      <c r="B1" s="2" t="s">
        <v>88</v>
      </c>
      <c r="C1" s="1"/>
      <c r="D1" s="1"/>
      <c r="E1" s="1"/>
      <c r="F1" s="1"/>
      <c r="G1" s="1"/>
      <c r="H1" s="1"/>
      <c r="I1" s="1"/>
      <c r="J1" s="1"/>
    </row>
    <row r="2" spans="1:10" ht="4" customHeight="1">
      <c r="A2" s="3"/>
      <c r="B2" s="3"/>
      <c r="C2" s="3"/>
      <c r="D2" s="3"/>
      <c r="E2" s="3"/>
      <c r="F2" s="3"/>
      <c r="G2" s="3"/>
      <c r="H2" s="3"/>
      <c r="I2" s="3"/>
      <c r="J2" s="3"/>
    </row>
    <row r="3" spans="1:10">
      <c r="B3" s="4" t="s">
        <v>89</v>
      </c>
    </row>
    <row r="5" spans="1:10" ht="24" customHeight="1">
      <c r="B5" s="5" t="s">
        <v>90</v>
      </c>
      <c r="C5" s="6">
        <v>46323</v>
      </c>
    </row>
    <row r="6" spans="1:10" ht="24" customHeight="1">
      <c r="B6" s="5" t="s">
        <v>91</v>
      </c>
      <c r="C6" s="6"/>
    </row>
    <row r="8" spans="1:10">
      <c r="B8" s="4" t="s">
        <v>92</v>
      </c>
      <c r="C8" s="4"/>
      <c r="D8" s="4"/>
      <c r="E8" s="4"/>
      <c r="F8" s="4"/>
      <c r="G8" s="4"/>
      <c r="H8" s="4"/>
      <c r="I8" s="4"/>
    </row>
    <row r="10" spans="1:10">
      <c r="B10" s="7" t="s">
        <v>93</v>
      </c>
      <c r="C10" s="7"/>
      <c r="E10" s="7" t="s">
        <v>100</v>
      </c>
      <c r="F10" s="7"/>
      <c r="H10" s="7" t="s">
        <v>107</v>
      </c>
      <c r="I10" s="7"/>
    </row>
    <row r="11" spans="1:10" ht="20" customHeight="1">
      <c r="B11" s="8" t="s">
        <v>94</v>
      </c>
      <c r="C11" s="9">
        <f>IF(COUNT(Correlacao!$A$2:$A$1501)=0,"",MIN(Correlacao!$A$2:$A$1501))</f>
        <v>0</v>
      </c>
      <c r="E11" s="8" t="s">
        <v>101</v>
      </c>
      <c r="F11" s="10">
        <f>IFERROR(AVERAGEIFS(Correlacao!$C$2:$C$1501,Correlacao!$K$2:$K$1501,"Válida"),"")</f>
        <v>0</v>
      </c>
      <c r="H11" s="8" t="s">
        <v>108</v>
      </c>
      <c r="I11" s="11">
        <f>IFERROR(CORREL(Correlacao!$S$2:$S$1501,Correlacao!$T$2:$T$1501),"")</f>
        <v>0</v>
      </c>
    </row>
    <row r="12" spans="1:10" ht="20" customHeight="1">
      <c r="B12" s="8" t="s">
        <v>95</v>
      </c>
      <c r="C12" s="9">
        <f>IF(COUNT(Correlacao!$A$2:$A$1501)=0,"",MAX(Correlacao!$A$2:$A$1501))</f>
        <v>0</v>
      </c>
      <c r="E12" s="8" t="s">
        <v>102</v>
      </c>
      <c r="F12" s="10">
        <f>IFERROR(AVERAGEIFS(Correlacao!$I$2:$I$1501,Correlacao!$K$2:$K$1501,"Válida"),"")</f>
        <v>0</v>
      </c>
      <c r="H12" s="8" t="s">
        <v>109</v>
      </c>
      <c r="I12" s="11">
        <f>IF(I11="","",I11^2)</f>
        <v>0</v>
      </c>
    </row>
    <row r="13" spans="1:10" ht="20" customHeight="1">
      <c r="B13" s="8" t="s">
        <v>96</v>
      </c>
      <c r="C13" s="12">
        <f>COUNT(Correlacao!$A$2:$A$1501)</f>
        <v>0</v>
      </c>
      <c r="E13" s="8" t="s">
        <v>103</v>
      </c>
      <c r="F13" s="10">
        <f>IFERROR(AVERAGE(Correlacao!$U$2:$U$1501),"")</f>
        <v>0</v>
      </c>
      <c r="H13" s="8" t="s">
        <v>110</v>
      </c>
      <c r="I13" s="11">
        <f>IFERROR(SLOPE(Correlacao!$T$2:$T$1501,Correlacao!$S$2:$S$1501),"")</f>
        <v>0</v>
      </c>
    </row>
    <row r="14" spans="1:10" ht="20" customHeight="1">
      <c r="B14" s="8" t="s">
        <v>97</v>
      </c>
      <c r="C14" s="12">
        <f>COUNTIF(Correlacao!$K$2:$K$1501,"Válida")</f>
        <v>0</v>
      </c>
      <c r="E14" s="8" t="s">
        <v>104</v>
      </c>
      <c r="F14" s="10">
        <f>IFERROR(STDEV(Correlacao!$U$2:$U$1501),"")</f>
        <v>0</v>
      </c>
      <c r="H14" s="8" t="s">
        <v>111</v>
      </c>
      <c r="I14" s="10">
        <f>IFERROR(INTERCEPT(Correlacao!$T$2:$T$1501,Correlacao!$S$2:$S$1501),"")</f>
        <v>0</v>
      </c>
    </row>
    <row r="15" spans="1:10" ht="20" customHeight="1">
      <c r="B15" s="8" t="s">
        <v>98</v>
      </c>
      <c r="C15" s="12">
        <f>COUNTIFS(Correlacao!$K$2:$K$1501,"Válida",Correlacao!$H$2:$H$1501,4)</f>
        <v>0</v>
      </c>
      <c r="E15" s="8" t="s">
        <v>105</v>
      </c>
      <c r="F15" s="10">
        <f>IFERROR(AVERAGE(Correlacao!$L$2:$L$1501),"")</f>
        <v>0</v>
      </c>
      <c r="H15" s="8" t="s">
        <v>112</v>
      </c>
      <c r="I15" s="10">
        <f>IF(F14="","",F13-1.96*F14)</f>
        <v>0</v>
      </c>
    </row>
    <row r="16" spans="1:10" ht="20" customHeight="1">
      <c r="B16" s="8" t="s">
        <v>99</v>
      </c>
      <c r="C16" s="12">
        <f>COUNT(Prensa!$B$2:$B$5001)</f>
        <v>0</v>
      </c>
      <c r="E16" s="8" t="s">
        <v>106</v>
      </c>
      <c r="F16" s="13">
        <f>IFERROR(COUNTIF(Correlacao!$M$2:$M$1501,"Sim")/COUNTIF(Correlacao!$K$2:$K$1501,"Válida"),"")</f>
        <v>0</v>
      </c>
      <c r="H16" s="8" t="s">
        <v>113</v>
      </c>
      <c r="I16" s="10">
        <f>IF(F14="","",F13+1.96*F14)</f>
        <v>0</v>
      </c>
    </row>
    <row r="18" spans="2:9">
      <c r="B18" s="14" t="s">
        <v>114</v>
      </c>
    </row>
    <row r="19" spans="2:9" ht="34" customHeight="1">
      <c r="B19" s="15">
        <f>IF(C14=0,"Sem janelas válidas no período. Atualize os dados pelos botões acima.",IF(C14&lt;10,"Poucas janelas válidas para concluir (mínimo recomendado: 30). Até agora: "&amp;C14&amp;".",IF(I12&gt;=0.7,"Correlação forte",IF(I12&gt;=0.4,"Correlação moderada","Correlação fraca"))&amp;" (R² = "&amp;FIXED(I12,2)&amp;"). Em média a prensa mede "&amp;FIXED(ABS(F13),1)&amp;" kgf/pelota "&amp;IF(F13&gt;=0,"acima","abaixo")&amp;" do laboratório; 95% das janelas ficam entre "&amp;FIXED(I15,1)&amp;" e "&amp;FIXED(I16,1)&amp;"."))</f>
        <v>0</v>
      </c>
      <c r="C19" s="15"/>
      <c r="D19" s="15"/>
      <c r="E19" s="15"/>
      <c r="F19" s="15"/>
      <c r="G19" s="15"/>
      <c r="H19" s="15"/>
      <c r="I19" s="15"/>
    </row>
    <row r="58" spans="2:6">
      <c r="B58" s="14" t="s">
        <v>115</v>
      </c>
    </row>
    <row r="59" spans="2:6">
      <c r="B59" s="16" t="s">
        <v>116</v>
      </c>
      <c r="C59" s="16" t="s">
        <v>97</v>
      </c>
      <c r="E59" s="16" t="s">
        <v>117</v>
      </c>
      <c r="F59" s="16" t="s">
        <v>118</v>
      </c>
    </row>
    <row r="60" spans="2:6">
      <c r="B60" s="17">
        <f>IF(OR(C11="",INT(C11)+0&gt;C12),"",INT(C11)+0)</f>
        <v>0</v>
      </c>
      <c r="C60" s="18">
        <f>IF(B60="","",COUNTIFS(Correlacao!$K$2:$K$1501,"Válida",Correlacao!$A$2:$A$1501,"&gt;="&amp;B60,Correlacao!$A$2:$A$1501,"&lt;"&amp;B60+1))</f>
        <v>0</v>
      </c>
      <c r="E60" s="18">
        <f>IF(OR(B60="",C60=0),"",FIXED(AVERAGEIFS(Correlacao!$C$2:$C$1501,Correlacao!$K$2:$K$1501,"Válida",Correlacao!$A$2:$A$1501,"&gt;="&amp;B60,Correlacao!$A$2:$A$1501,"&lt;"&amp;B60+1),1)&amp;" x "&amp;FIXED(AVERAGEIFS(Correlacao!$I$2:$I$1501,Correlacao!$K$2:$K$1501,"Válida",Correlacao!$A$2:$A$1501,"&gt;="&amp;B60,Correlacao!$A$2:$A$1501,"&lt;"&amp;B60+1),1))</f>
        <v>0</v>
      </c>
      <c r="F60" s="19">
        <f>IF(OR(B60="",C60=0),"",AVERAGEIFS(Correlacao!$U$2:$U$1501,Correlacao!$A$2:$A$1501,"&gt;="&amp;B60,Correlacao!$A$2:$A$1501,"&lt;"&amp;B60+1))</f>
        <v>0</v>
      </c>
    </row>
    <row r="61" spans="2:6">
      <c r="B61" s="17">
        <f>IF(OR(C11="",INT(C11)+1&gt;C12),"",INT(C11)+1)</f>
        <v>0</v>
      </c>
      <c r="C61" s="18">
        <f>IF(B61="","",COUNTIFS(Correlacao!$K$2:$K$1501,"Válida",Correlacao!$A$2:$A$1501,"&gt;="&amp;B61,Correlacao!$A$2:$A$1501,"&lt;"&amp;B61+1))</f>
        <v>0</v>
      </c>
      <c r="E61" s="18">
        <f>IF(OR(B61="",C61=0),"",FIXED(AVERAGEIFS(Correlacao!$C$2:$C$1501,Correlacao!$K$2:$K$1501,"Válida",Correlacao!$A$2:$A$1501,"&gt;="&amp;B61,Correlacao!$A$2:$A$1501,"&lt;"&amp;B61+1),1)&amp;" x "&amp;FIXED(AVERAGEIFS(Correlacao!$I$2:$I$1501,Correlacao!$K$2:$K$1501,"Válida",Correlacao!$A$2:$A$1501,"&gt;="&amp;B61,Correlacao!$A$2:$A$1501,"&lt;"&amp;B61+1),1))</f>
        <v>0</v>
      </c>
      <c r="F61" s="19">
        <f>IF(OR(B61="",C61=0),"",AVERAGEIFS(Correlacao!$U$2:$U$1501,Correlacao!$A$2:$A$1501,"&gt;="&amp;B61,Correlacao!$A$2:$A$1501,"&lt;"&amp;B61+1))</f>
        <v>0</v>
      </c>
    </row>
    <row r="62" spans="2:6">
      <c r="B62" s="17">
        <f>IF(OR(C11="",INT(C11)+2&gt;C12),"",INT(C11)+2)</f>
        <v>0</v>
      </c>
      <c r="C62" s="18">
        <f>IF(B62="","",COUNTIFS(Correlacao!$K$2:$K$1501,"Válida",Correlacao!$A$2:$A$1501,"&gt;="&amp;B62,Correlacao!$A$2:$A$1501,"&lt;"&amp;B62+1))</f>
        <v>0</v>
      </c>
      <c r="E62" s="18">
        <f>IF(OR(B62="",C62=0),"",FIXED(AVERAGEIFS(Correlacao!$C$2:$C$1501,Correlacao!$K$2:$K$1501,"Válida",Correlacao!$A$2:$A$1501,"&gt;="&amp;B62,Correlacao!$A$2:$A$1501,"&lt;"&amp;B62+1),1)&amp;" x "&amp;FIXED(AVERAGEIFS(Correlacao!$I$2:$I$1501,Correlacao!$K$2:$K$1501,"Válida",Correlacao!$A$2:$A$1501,"&gt;="&amp;B62,Correlacao!$A$2:$A$1501,"&lt;"&amp;B62+1),1))</f>
        <v>0</v>
      </c>
      <c r="F62" s="19">
        <f>IF(OR(B62="",C62=0),"",AVERAGEIFS(Correlacao!$U$2:$U$1501,Correlacao!$A$2:$A$1501,"&gt;="&amp;B62,Correlacao!$A$2:$A$1501,"&lt;"&amp;B62+1))</f>
        <v>0</v>
      </c>
    </row>
    <row r="63" spans="2:6">
      <c r="B63" s="17">
        <f>IF(OR(C11="",INT(C11)+3&gt;C12),"",INT(C11)+3)</f>
        <v>0</v>
      </c>
      <c r="C63" s="18">
        <f>IF(B63="","",COUNTIFS(Correlacao!$K$2:$K$1501,"Válida",Correlacao!$A$2:$A$1501,"&gt;="&amp;B63,Correlacao!$A$2:$A$1501,"&lt;"&amp;B63+1))</f>
        <v>0</v>
      </c>
      <c r="E63" s="18">
        <f>IF(OR(B63="",C63=0),"",FIXED(AVERAGEIFS(Correlacao!$C$2:$C$1501,Correlacao!$K$2:$K$1501,"Válida",Correlacao!$A$2:$A$1501,"&gt;="&amp;B63,Correlacao!$A$2:$A$1501,"&lt;"&amp;B63+1),1)&amp;" x "&amp;FIXED(AVERAGEIFS(Correlacao!$I$2:$I$1501,Correlacao!$K$2:$K$1501,"Válida",Correlacao!$A$2:$A$1501,"&gt;="&amp;B63,Correlacao!$A$2:$A$1501,"&lt;"&amp;B63+1),1))</f>
        <v>0</v>
      </c>
      <c r="F63" s="19">
        <f>IF(OR(B63="",C63=0),"",AVERAGEIFS(Correlacao!$U$2:$U$1501,Correlacao!$A$2:$A$1501,"&gt;="&amp;B63,Correlacao!$A$2:$A$1501,"&lt;"&amp;B63+1))</f>
        <v>0</v>
      </c>
    </row>
    <row r="64" spans="2:6">
      <c r="B64" s="17">
        <f>IF(OR(C11="",INT(C11)+4&gt;C12),"",INT(C11)+4)</f>
        <v>0</v>
      </c>
      <c r="C64" s="18">
        <f>IF(B64="","",COUNTIFS(Correlacao!$K$2:$K$1501,"Válida",Correlacao!$A$2:$A$1501,"&gt;="&amp;B64,Correlacao!$A$2:$A$1501,"&lt;"&amp;B64+1))</f>
        <v>0</v>
      </c>
      <c r="E64" s="18">
        <f>IF(OR(B64="",C64=0),"",FIXED(AVERAGEIFS(Correlacao!$C$2:$C$1501,Correlacao!$K$2:$K$1501,"Válida",Correlacao!$A$2:$A$1501,"&gt;="&amp;B64,Correlacao!$A$2:$A$1501,"&lt;"&amp;B64+1),1)&amp;" x "&amp;FIXED(AVERAGEIFS(Correlacao!$I$2:$I$1501,Correlacao!$K$2:$K$1501,"Válida",Correlacao!$A$2:$A$1501,"&gt;="&amp;B64,Correlacao!$A$2:$A$1501,"&lt;"&amp;B64+1),1))</f>
        <v>0</v>
      </c>
      <c r="F64" s="19">
        <f>IF(OR(B64="",C64=0),"",AVERAGEIFS(Correlacao!$U$2:$U$1501,Correlacao!$A$2:$A$1501,"&gt;="&amp;B64,Correlacao!$A$2:$A$1501,"&lt;"&amp;B64+1))</f>
        <v>0</v>
      </c>
    </row>
    <row r="65" spans="2:6">
      <c r="B65" s="17">
        <f>IF(OR(C11="",INT(C11)+5&gt;C12),"",INT(C11)+5)</f>
        <v>0</v>
      </c>
      <c r="C65" s="18">
        <f>IF(B65="","",COUNTIFS(Correlacao!$K$2:$K$1501,"Válida",Correlacao!$A$2:$A$1501,"&gt;="&amp;B65,Correlacao!$A$2:$A$1501,"&lt;"&amp;B65+1))</f>
        <v>0</v>
      </c>
      <c r="E65" s="18">
        <f>IF(OR(B65="",C65=0),"",FIXED(AVERAGEIFS(Correlacao!$C$2:$C$1501,Correlacao!$K$2:$K$1501,"Válida",Correlacao!$A$2:$A$1501,"&gt;="&amp;B65,Correlacao!$A$2:$A$1501,"&lt;"&amp;B65+1),1)&amp;" x "&amp;FIXED(AVERAGEIFS(Correlacao!$I$2:$I$1501,Correlacao!$K$2:$K$1501,"Válida",Correlacao!$A$2:$A$1501,"&gt;="&amp;B65,Correlacao!$A$2:$A$1501,"&lt;"&amp;B65+1),1))</f>
        <v>0</v>
      </c>
      <c r="F65" s="19">
        <f>IF(OR(B65="",C65=0),"",AVERAGEIFS(Correlacao!$U$2:$U$1501,Correlacao!$A$2:$A$1501,"&gt;="&amp;B65,Correlacao!$A$2:$A$1501,"&lt;"&amp;B65+1))</f>
        <v>0</v>
      </c>
    </row>
    <row r="66" spans="2:6">
      <c r="B66" s="17">
        <f>IF(OR(C11="",INT(C11)+6&gt;C12),"",INT(C11)+6)</f>
        <v>0</v>
      </c>
      <c r="C66" s="18">
        <f>IF(B66="","",COUNTIFS(Correlacao!$K$2:$K$1501,"Válida",Correlacao!$A$2:$A$1501,"&gt;="&amp;B66,Correlacao!$A$2:$A$1501,"&lt;"&amp;B66+1))</f>
        <v>0</v>
      </c>
      <c r="E66" s="18">
        <f>IF(OR(B66="",C66=0),"",FIXED(AVERAGEIFS(Correlacao!$C$2:$C$1501,Correlacao!$K$2:$K$1501,"Válida",Correlacao!$A$2:$A$1501,"&gt;="&amp;B66,Correlacao!$A$2:$A$1501,"&lt;"&amp;B66+1),1)&amp;" x "&amp;FIXED(AVERAGEIFS(Correlacao!$I$2:$I$1501,Correlacao!$K$2:$K$1501,"Válida",Correlacao!$A$2:$A$1501,"&gt;="&amp;B66,Correlacao!$A$2:$A$1501,"&lt;"&amp;B66+1),1))</f>
        <v>0</v>
      </c>
      <c r="F66" s="19">
        <f>IF(OR(B66="",C66=0),"",AVERAGEIFS(Correlacao!$U$2:$U$1501,Correlacao!$A$2:$A$1501,"&gt;="&amp;B66,Correlacao!$A$2:$A$1501,"&lt;"&amp;B66+1))</f>
        <v>0</v>
      </c>
    </row>
    <row r="67" spans="2:6">
      <c r="B67" s="17">
        <f>IF(OR(C11="",INT(C11)+7&gt;C12),"",INT(C11)+7)</f>
        <v>0</v>
      </c>
      <c r="C67" s="18">
        <f>IF(B67="","",COUNTIFS(Correlacao!$K$2:$K$1501,"Válida",Correlacao!$A$2:$A$1501,"&gt;="&amp;B67,Correlacao!$A$2:$A$1501,"&lt;"&amp;B67+1))</f>
        <v>0</v>
      </c>
      <c r="E67" s="18">
        <f>IF(OR(B67="",C67=0),"",FIXED(AVERAGEIFS(Correlacao!$C$2:$C$1501,Correlacao!$K$2:$K$1501,"Válida",Correlacao!$A$2:$A$1501,"&gt;="&amp;B67,Correlacao!$A$2:$A$1501,"&lt;"&amp;B67+1),1)&amp;" x "&amp;FIXED(AVERAGEIFS(Correlacao!$I$2:$I$1501,Correlacao!$K$2:$K$1501,"Válida",Correlacao!$A$2:$A$1501,"&gt;="&amp;B67,Correlacao!$A$2:$A$1501,"&lt;"&amp;B67+1),1))</f>
        <v>0</v>
      </c>
      <c r="F67" s="19">
        <f>IF(OR(B67="",C67=0),"",AVERAGEIFS(Correlacao!$U$2:$U$1501,Correlacao!$A$2:$A$1501,"&gt;="&amp;B67,Correlacao!$A$2:$A$1501,"&lt;"&amp;B67+1))</f>
        <v>0</v>
      </c>
    </row>
    <row r="68" spans="2:6">
      <c r="B68" s="17">
        <f>IF(OR(C11="",INT(C11)+8&gt;C12),"",INT(C11)+8)</f>
        <v>0</v>
      </c>
      <c r="C68" s="18">
        <f>IF(B68="","",COUNTIFS(Correlacao!$K$2:$K$1501,"Válida",Correlacao!$A$2:$A$1501,"&gt;="&amp;B68,Correlacao!$A$2:$A$1501,"&lt;"&amp;B68+1))</f>
        <v>0</v>
      </c>
      <c r="E68" s="18">
        <f>IF(OR(B68="",C68=0),"",FIXED(AVERAGEIFS(Correlacao!$C$2:$C$1501,Correlacao!$K$2:$K$1501,"Válida",Correlacao!$A$2:$A$1501,"&gt;="&amp;B68,Correlacao!$A$2:$A$1501,"&lt;"&amp;B68+1),1)&amp;" x "&amp;FIXED(AVERAGEIFS(Correlacao!$I$2:$I$1501,Correlacao!$K$2:$K$1501,"Válida",Correlacao!$A$2:$A$1501,"&gt;="&amp;B68,Correlacao!$A$2:$A$1501,"&lt;"&amp;B68+1),1))</f>
        <v>0</v>
      </c>
      <c r="F68" s="19">
        <f>IF(OR(B68="",C68=0),"",AVERAGEIFS(Correlacao!$U$2:$U$1501,Correlacao!$A$2:$A$1501,"&gt;="&amp;B68,Correlacao!$A$2:$A$1501,"&lt;"&amp;B68+1))</f>
        <v>0</v>
      </c>
    </row>
    <row r="69" spans="2:6">
      <c r="B69" s="17">
        <f>IF(OR(C11="",INT(C11)+9&gt;C12),"",INT(C11)+9)</f>
        <v>0</v>
      </c>
      <c r="C69" s="18">
        <f>IF(B69="","",COUNTIFS(Correlacao!$K$2:$K$1501,"Válida",Correlacao!$A$2:$A$1501,"&gt;="&amp;B69,Correlacao!$A$2:$A$1501,"&lt;"&amp;B69+1))</f>
        <v>0</v>
      </c>
      <c r="E69" s="18">
        <f>IF(OR(B69="",C69=0),"",FIXED(AVERAGEIFS(Correlacao!$C$2:$C$1501,Correlacao!$K$2:$K$1501,"Válida",Correlacao!$A$2:$A$1501,"&gt;="&amp;B69,Correlacao!$A$2:$A$1501,"&lt;"&amp;B69+1),1)&amp;" x "&amp;FIXED(AVERAGEIFS(Correlacao!$I$2:$I$1501,Correlacao!$K$2:$K$1501,"Válida",Correlacao!$A$2:$A$1501,"&gt;="&amp;B69,Correlacao!$A$2:$A$1501,"&lt;"&amp;B69+1),1))</f>
        <v>0</v>
      </c>
      <c r="F69" s="19">
        <f>IF(OR(B69="",C69=0),"",AVERAGEIFS(Correlacao!$U$2:$U$1501,Correlacao!$A$2:$A$1501,"&gt;="&amp;B69,Correlacao!$A$2:$A$1501,"&lt;"&amp;B69+1))</f>
        <v>0</v>
      </c>
    </row>
    <row r="70" spans="2:6">
      <c r="B70" s="17">
        <f>IF(OR(C11="",INT(C11)+10&gt;C12),"",INT(C11)+10)</f>
        <v>0</v>
      </c>
      <c r="C70" s="18">
        <f>IF(B70="","",COUNTIFS(Correlacao!$K$2:$K$1501,"Válida",Correlacao!$A$2:$A$1501,"&gt;="&amp;B70,Correlacao!$A$2:$A$1501,"&lt;"&amp;B70+1))</f>
        <v>0</v>
      </c>
      <c r="E70" s="18">
        <f>IF(OR(B70="",C70=0),"",FIXED(AVERAGEIFS(Correlacao!$C$2:$C$1501,Correlacao!$K$2:$K$1501,"Válida",Correlacao!$A$2:$A$1501,"&gt;="&amp;B70,Correlacao!$A$2:$A$1501,"&lt;"&amp;B70+1),1)&amp;" x "&amp;FIXED(AVERAGEIFS(Correlacao!$I$2:$I$1501,Correlacao!$K$2:$K$1501,"Válida",Correlacao!$A$2:$A$1501,"&gt;="&amp;B70,Correlacao!$A$2:$A$1501,"&lt;"&amp;B70+1),1))</f>
        <v>0</v>
      </c>
      <c r="F70" s="19">
        <f>IF(OR(B70="",C70=0),"",AVERAGEIFS(Correlacao!$U$2:$U$1501,Correlacao!$A$2:$A$1501,"&gt;="&amp;B70,Correlacao!$A$2:$A$1501,"&lt;"&amp;B70+1))</f>
        <v>0</v>
      </c>
    </row>
    <row r="71" spans="2:6">
      <c r="B71" s="17">
        <f>IF(OR(C11="",INT(C11)+11&gt;C12),"",INT(C11)+11)</f>
        <v>0</v>
      </c>
      <c r="C71" s="18">
        <f>IF(B71="","",COUNTIFS(Correlacao!$K$2:$K$1501,"Válida",Correlacao!$A$2:$A$1501,"&gt;="&amp;B71,Correlacao!$A$2:$A$1501,"&lt;"&amp;B71+1))</f>
        <v>0</v>
      </c>
      <c r="E71" s="18">
        <f>IF(OR(B71="",C71=0),"",FIXED(AVERAGEIFS(Correlacao!$C$2:$C$1501,Correlacao!$K$2:$K$1501,"Válida",Correlacao!$A$2:$A$1501,"&gt;="&amp;B71,Correlacao!$A$2:$A$1501,"&lt;"&amp;B71+1),1)&amp;" x "&amp;FIXED(AVERAGEIFS(Correlacao!$I$2:$I$1501,Correlacao!$K$2:$K$1501,"Válida",Correlacao!$A$2:$A$1501,"&gt;="&amp;B71,Correlacao!$A$2:$A$1501,"&lt;"&amp;B71+1),1))</f>
        <v>0</v>
      </c>
      <c r="F71" s="19">
        <f>IF(OR(B71="",C71=0),"",AVERAGEIFS(Correlacao!$U$2:$U$1501,Correlacao!$A$2:$A$1501,"&gt;="&amp;B71,Correlacao!$A$2:$A$1501,"&lt;"&amp;B71+1))</f>
        <v>0</v>
      </c>
    </row>
    <row r="72" spans="2:6">
      <c r="B72" s="17">
        <f>IF(OR(C11="",INT(C11)+12&gt;C12),"",INT(C11)+12)</f>
        <v>0</v>
      </c>
      <c r="C72" s="18">
        <f>IF(B72="","",COUNTIFS(Correlacao!$K$2:$K$1501,"Válida",Correlacao!$A$2:$A$1501,"&gt;="&amp;B72,Correlacao!$A$2:$A$1501,"&lt;"&amp;B72+1))</f>
        <v>0</v>
      </c>
      <c r="E72" s="18">
        <f>IF(OR(B72="",C72=0),"",FIXED(AVERAGEIFS(Correlacao!$C$2:$C$1501,Correlacao!$K$2:$K$1501,"Válida",Correlacao!$A$2:$A$1501,"&gt;="&amp;B72,Correlacao!$A$2:$A$1501,"&lt;"&amp;B72+1),1)&amp;" x "&amp;FIXED(AVERAGEIFS(Correlacao!$I$2:$I$1501,Correlacao!$K$2:$K$1501,"Válida",Correlacao!$A$2:$A$1501,"&gt;="&amp;B72,Correlacao!$A$2:$A$1501,"&lt;"&amp;B72+1),1))</f>
        <v>0</v>
      </c>
      <c r="F72" s="19">
        <f>IF(OR(B72="",C72=0),"",AVERAGEIFS(Correlacao!$U$2:$U$1501,Correlacao!$A$2:$A$1501,"&gt;="&amp;B72,Correlacao!$A$2:$A$1501,"&lt;"&amp;B72+1))</f>
        <v>0</v>
      </c>
    </row>
    <row r="73" spans="2:6">
      <c r="B73" s="17">
        <f>IF(OR(C11="",INT(C11)+13&gt;C12),"",INT(C11)+13)</f>
        <v>0</v>
      </c>
      <c r="C73" s="18">
        <f>IF(B73="","",COUNTIFS(Correlacao!$K$2:$K$1501,"Válida",Correlacao!$A$2:$A$1501,"&gt;="&amp;B73,Correlacao!$A$2:$A$1501,"&lt;"&amp;B73+1))</f>
        <v>0</v>
      </c>
      <c r="E73" s="18">
        <f>IF(OR(B73="",C73=0),"",FIXED(AVERAGEIFS(Correlacao!$C$2:$C$1501,Correlacao!$K$2:$K$1501,"Válida",Correlacao!$A$2:$A$1501,"&gt;="&amp;B73,Correlacao!$A$2:$A$1501,"&lt;"&amp;B73+1),1)&amp;" x "&amp;FIXED(AVERAGEIFS(Correlacao!$I$2:$I$1501,Correlacao!$K$2:$K$1501,"Válida",Correlacao!$A$2:$A$1501,"&gt;="&amp;B73,Correlacao!$A$2:$A$1501,"&lt;"&amp;B73+1),1))</f>
        <v>0</v>
      </c>
      <c r="F73" s="19">
        <f>IF(OR(B73="",C73=0),"",AVERAGEIFS(Correlacao!$U$2:$U$1501,Correlacao!$A$2:$A$1501,"&gt;="&amp;B73,Correlacao!$A$2:$A$1501,"&lt;"&amp;B73+1))</f>
        <v>0</v>
      </c>
    </row>
    <row r="74" spans="2:6">
      <c r="B74" s="17">
        <f>IF(OR(C11="",INT(C11)+14&gt;C12),"",INT(C11)+14)</f>
        <v>0</v>
      </c>
      <c r="C74" s="18">
        <f>IF(B74="","",COUNTIFS(Correlacao!$K$2:$K$1501,"Válida",Correlacao!$A$2:$A$1501,"&gt;="&amp;B74,Correlacao!$A$2:$A$1501,"&lt;"&amp;B74+1))</f>
        <v>0</v>
      </c>
      <c r="E74" s="18">
        <f>IF(OR(B74="",C74=0),"",FIXED(AVERAGEIFS(Correlacao!$C$2:$C$1501,Correlacao!$K$2:$K$1501,"Válida",Correlacao!$A$2:$A$1501,"&gt;="&amp;B74,Correlacao!$A$2:$A$1501,"&lt;"&amp;B74+1),1)&amp;" x "&amp;FIXED(AVERAGEIFS(Correlacao!$I$2:$I$1501,Correlacao!$K$2:$K$1501,"Válida",Correlacao!$A$2:$A$1501,"&gt;="&amp;B74,Correlacao!$A$2:$A$1501,"&lt;"&amp;B74+1),1))</f>
        <v>0</v>
      </c>
      <c r="F74" s="19">
        <f>IF(OR(B74="",C74=0),"",AVERAGEIFS(Correlacao!$U$2:$U$1501,Correlacao!$A$2:$A$1501,"&gt;="&amp;B74,Correlacao!$A$2:$A$1501,"&lt;"&amp;B74+1))</f>
        <v>0</v>
      </c>
    </row>
    <row r="75" spans="2:6">
      <c r="B75" s="17">
        <f>IF(OR(C11="",INT(C11)+15&gt;C12),"",INT(C11)+15)</f>
        <v>0</v>
      </c>
      <c r="C75" s="18">
        <f>IF(B75="","",COUNTIFS(Correlacao!$K$2:$K$1501,"Válida",Correlacao!$A$2:$A$1501,"&gt;="&amp;B75,Correlacao!$A$2:$A$1501,"&lt;"&amp;B75+1))</f>
        <v>0</v>
      </c>
      <c r="E75" s="18">
        <f>IF(OR(B75="",C75=0),"",FIXED(AVERAGEIFS(Correlacao!$C$2:$C$1501,Correlacao!$K$2:$K$1501,"Válida",Correlacao!$A$2:$A$1501,"&gt;="&amp;B75,Correlacao!$A$2:$A$1501,"&lt;"&amp;B75+1),1)&amp;" x "&amp;FIXED(AVERAGEIFS(Correlacao!$I$2:$I$1501,Correlacao!$K$2:$K$1501,"Válida",Correlacao!$A$2:$A$1501,"&gt;="&amp;B75,Correlacao!$A$2:$A$1501,"&lt;"&amp;B75+1),1))</f>
        <v>0</v>
      </c>
      <c r="F75" s="19">
        <f>IF(OR(B75="",C75=0),"",AVERAGEIFS(Correlacao!$U$2:$U$1501,Correlacao!$A$2:$A$1501,"&gt;="&amp;B75,Correlacao!$A$2:$A$1501,"&lt;"&amp;B75+1))</f>
        <v>0</v>
      </c>
    </row>
    <row r="76" spans="2:6">
      <c r="B76" s="17">
        <f>IF(OR(C11="",INT(C11)+16&gt;C12),"",INT(C11)+16)</f>
        <v>0</v>
      </c>
      <c r="C76" s="18">
        <f>IF(B76="","",COUNTIFS(Correlacao!$K$2:$K$1501,"Válida",Correlacao!$A$2:$A$1501,"&gt;="&amp;B76,Correlacao!$A$2:$A$1501,"&lt;"&amp;B76+1))</f>
        <v>0</v>
      </c>
      <c r="E76" s="18">
        <f>IF(OR(B76="",C76=0),"",FIXED(AVERAGEIFS(Correlacao!$C$2:$C$1501,Correlacao!$K$2:$K$1501,"Válida",Correlacao!$A$2:$A$1501,"&gt;="&amp;B76,Correlacao!$A$2:$A$1501,"&lt;"&amp;B76+1),1)&amp;" x "&amp;FIXED(AVERAGEIFS(Correlacao!$I$2:$I$1501,Correlacao!$K$2:$K$1501,"Válida",Correlacao!$A$2:$A$1501,"&gt;="&amp;B76,Correlacao!$A$2:$A$1501,"&lt;"&amp;B76+1),1))</f>
        <v>0</v>
      </c>
      <c r="F76" s="19">
        <f>IF(OR(B76="",C76=0),"",AVERAGEIFS(Correlacao!$U$2:$U$1501,Correlacao!$A$2:$A$1501,"&gt;="&amp;B76,Correlacao!$A$2:$A$1501,"&lt;"&amp;B76+1))</f>
        <v>0</v>
      </c>
    </row>
    <row r="77" spans="2:6">
      <c r="B77" s="17">
        <f>IF(OR(C11="",INT(C11)+17&gt;C12),"",INT(C11)+17)</f>
        <v>0</v>
      </c>
      <c r="C77" s="18">
        <f>IF(B77="","",COUNTIFS(Correlacao!$K$2:$K$1501,"Válida",Correlacao!$A$2:$A$1501,"&gt;="&amp;B77,Correlacao!$A$2:$A$1501,"&lt;"&amp;B77+1))</f>
        <v>0</v>
      </c>
      <c r="E77" s="18">
        <f>IF(OR(B77="",C77=0),"",FIXED(AVERAGEIFS(Correlacao!$C$2:$C$1501,Correlacao!$K$2:$K$1501,"Válida",Correlacao!$A$2:$A$1501,"&gt;="&amp;B77,Correlacao!$A$2:$A$1501,"&lt;"&amp;B77+1),1)&amp;" x "&amp;FIXED(AVERAGEIFS(Correlacao!$I$2:$I$1501,Correlacao!$K$2:$K$1501,"Válida",Correlacao!$A$2:$A$1501,"&gt;="&amp;B77,Correlacao!$A$2:$A$1501,"&lt;"&amp;B77+1),1))</f>
        <v>0</v>
      </c>
      <c r="F77" s="19">
        <f>IF(OR(B77="",C77=0),"",AVERAGEIFS(Correlacao!$U$2:$U$1501,Correlacao!$A$2:$A$1501,"&gt;="&amp;B77,Correlacao!$A$2:$A$1501,"&lt;"&amp;B77+1))</f>
        <v>0</v>
      </c>
    </row>
    <row r="78" spans="2:6">
      <c r="B78" s="17">
        <f>IF(OR(C11="",INT(C11)+18&gt;C12),"",INT(C11)+18)</f>
        <v>0</v>
      </c>
      <c r="C78" s="18">
        <f>IF(B78="","",COUNTIFS(Correlacao!$K$2:$K$1501,"Válida",Correlacao!$A$2:$A$1501,"&gt;="&amp;B78,Correlacao!$A$2:$A$1501,"&lt;"&amp;B78+1))</f>
        <v>0</v>
      </c>
      <c r="E78" s="18">
        <f>IF(OR(B78="",C78=0),"",FIXED(AVERAGEIFS(Correlacao!$C$2:$C$1501,Correlacao!$K$2:$K$1501,"Válida",Correlacao!$A$2:$A$1501,"&gt;="&amp;B78,Correlacao!$A$2:$A$1501,"&lt;"&amp;B78+1),1)&amp;" x "&amp;FIXED(AVERAGEIFS(Correlacao!$I$2:$I$1501,Correlacao!$K$2:$K$1501,"Válida",Correlacao!$A$2:$A$1501,"&gt;="&amp;B78,Correlacao!$A$2:$A$1501,"&lt;"&amp;B78+1),1))</f>
        <v>0</v>
      </c>
      <c r="F78" s="19">
        <f>IF(OR(B78="",C78=0),"",AVERAGEIFS(Correlacao!$U$2:$U$1501,Correlacao!$A$2:$A$1501,"&gt;="&amp;B78,Correlacao!$A$2:$A$1501,"&lt;"&amp;B78+1))</f>
        <v>0</v>
      </c>
    </row>
    <row r="79" spans="2:6">
      <c r="B79" s="17">
        <f>IF(OR(C11="",INT(C11)+19&gt;C12),"",INT(C11)+19)</f>
        <v>0</v>
      </c>
      <c r="C79" s="18">
        <f>IF(B79="","",COUNTIFS(Correlacao!$K$2:$K$1501,"Válida",Correlacao!$A$2:$A$1501,"&gt;="&amp;B79,Correlacao!$A$2:$A$1501,"&lt;"&amp;B79+1))</f>
        <v>0</v>
      </c>
      <c r="E79" s="18">
        <f>IF(OR(B79="",C79=0),"",FIXED(AVERAGEIFS(Correlacao!$C$2:$C$1501,Correlacao!$K$2:$K$1501,"Válida",Correlacao!$A$2:$A$1501,"&gt;="&amp;B79,Correlacao!$A$2:$A$1501,"&lt;"&amp;B79+1),1)&amp;" x "&amp;FIXED(AVERAGEIFS(Correlacao!$I$2:$I$1501,Correlacao!$K$2:$K$1501,"Válida",Correlacao!$A$2:$A$1501,"&gt;="&amp;B79,Correlacao!$A$2:$A$1501,"&lt;"&amp;B79+1),1))</f>
        <v>0</v>
      </c>
      <c r="F79" s="19">
        <f>IF(OR(B79="",C79=0),"",AVERAGEIFS(Correlacao!$U$2:$U$1501,Correlacao!$A$2:$A$1501,"&gt;="&amp;B79,Correlacao!$A$2:$A$1501,"&lt;"&amp;B79+1))</f>
        <v>0</v>
      </c>
    </row>
    <row r="80" spans="2:6">
      <c r="B80" s="17">
        <f>IF(OR(C11="",INT(C11)+20&gt;C12),"",INT(C11)+20)</f>
        <v>0</v>
      </c>
      <c r="C80" s="18">
        <f>IF(B80="","",COUNTIFS(Correlacao!$K$2:$K$1501,"Válida",Correlacao!$A$2:$A$1501,"&gt;="&amp;B80,Correlacao!$A$2:$A$1501,"&lt;"&amp;B80+1))</f>
        <v>0</v>
      </c>
      <c r="E80" s="18">
        <f>IF(OR(B80="",C80=0),"",FIXED(AVERAGEIFS(Correlacao!$C$2:$C$1501,Correlacao!$K$2:$K$1501,"Válida",Correlacao!$A$2:$A$1501,"&gt;="&amp;B80,Correlacao!$A$2:$A$1501,"&lt;"&amp;B80+1),1)&amp;" x "&amp;FIXED(AVERAGEIFS(Correlacao!$I$2:$I$1501,Correlacao!$K$2:$K$1501,"Válida",Correlacao!$A$2:$A$1501,"&gt;="&amp;B80,Correlacao!$A$2:$A$1501,"&lt;"&amp;B80+1),1))</f>
        <v>0</v>
      </c>
      <c r="F80" s="19">
        <f>IF(OR(B80="",C80=0),"",AVERAGEIFS(Correlacao!$U$2:$U$1501,Correlacao!$A$2:$A$1501,"&gt;="&amp;B80,Correlacao!$A$2:$A$1501,"&lt;"&amp;B80+1))</f>
        <v>0</v>
      </c>
    </row>
    <row r="81" spans="2:6">
      <c r="B81" s="17">
        <f>IF(OR(C11="",INT(C11)+21&gt;C12),"",INT(C11)+21)</f>
        <v>0</v>
      </c>
      <c r="C81" s="18">
        <f>IF(B81="","",COUNTIFS(Correlacao!$K$2:$K$1501,"Válida",Correlacao!$A$2:$A$1501,"&gt;="&amp;B81,Correlacao!$A$2:$A$1501,"&lt;"&amp;B81+1))</f>
        <v>0</v>
      </c>
      <c r="E81" s="18">
        <f>IF(OR(B81="",C81=0),"",FIXED(AVERAGEIFS(Correlacao!$C$2:$C$1501,Correlacao!$K$2:$K$1501,"Válida",Correlacao!$A$2:$A$1501,"&gt;="&amp;B81,Correlacao!$A$2:$A$1501,"&lt;"&amp;B81+1),1)&amp;" x "&amp;FIXED(AVERAGEIFS(Correlacao!$I$2:$I$1501,Correlacao!$K$2:$K$1501,"Válida",Correlacao!$A$2:$A$1501,"&gt;="&amp;B81,Correlacao!$A$2:$A$1501,"&lt;"&amp;B81+1),1))</f>
        <v>0</v>
      </c>
      <c r="F81" s="19">
        <f>IF(OR(B81="",C81=0),"",AVERAGEIFS(Correlacao!$U$2:$U$1501,Correlacao!$A$2:$A$1501,"&gt;="&amp;B81,Correlacao!$A$2:$A$1501,"&lt;"&amp;B81+1))</f>
        <v>0</v>
      </c>
    </row>
    <row r="82" spans="2:6">
      <c r="B82" s="17">
        <f>IF(OR(C11="",INT(C11)+22&gt;C12),"",INT(C11)+22)</f>
        <v>0</v>
      </c>
      <c r="C82" s="18">
        <f>IF(B82="","",COUNTIFS(Correlacao!$K$2:$K$1501,"Válida",Correlacao!$A$2:$A$1501,"&gt;="&amp;B82,Correlacao!$A$2:$A$1501,"&lt;"&amp;B82+1))</f>
        <v>0</v>
      </c>
      <c r="E82" s="18">
        <f>IF(OR(B82="",C82=0),"",FIXED(AVERAGEIFS(Correlacao!$C$2:$C$1501,Correlacao!$K$2:$K$1501,"Válida",Correlacao!$A$2:$A$1501,"&gt;="&amp;B82,Correlacao!$A$2:$A$1501,"&lt;"&amp;B82+1),1)&amp;" x "&amp;FIXED(AVERAGEIFS(Correlacao!$I$2:$I$1501,Correlacao!$K$2:$K$1501,"Válida",Correlacao!$A$2:$A$1501,"&gt;="&amp;B82,Correlacao!$A$2:$A$1501,"&lt;"&amp;B82+1),1))</f>
        <v>0</v>
      </c>
      <c r="F82" s="19">
        <f>IF(OR(B82="",C82=0),"",AVERAGEIFS(Correlacao!$U$2:$U$1501,Correlacao!$A$2:$A$1501,"&gt;="&amp;B82,Correlacao!$A$2:$A$1501,"&lt;"&amp;B82+1))</f>
        <v>0</v>
      </c>
    </row>
    <row r="83" spans="2:6">
      <c r="B83" s="17">
        <f>IF(OR(C11="",INT(C11)+23&gt;C12),"",INT(C11)+23)</f>
        <v>0</v>
      </c>
      <c r="C83" s="18">
        <f>IF(B83="","",COUNTIFS(Correlacao!$K$2:$K$1501,"Válida",Correlacao!$A$2:$A$1501,"&gt;="&amp;B83,Correlacao!$A$2:$A$1501,"&lt;"&amp;B83+1))</f>
        <v>0</v>
      </c>
      <c r="E83" s="18">
        <f>IF(OR(B83="",C83=0),"",FIXED(AVERAGEIFS(Correlacao!$C$2:$C$1501,Correlacao!$K$2:$K$1501,"Válida",Correlacao!$A$2:$A$1501,"&gt;="&amp;B83,Correlacao!$A$2:$A$1501,"&lt;"&amp;B83+1),1)&amp;" x "&amp;FIXED(AVERAGEIFS(Correlacao!$I$2:$I$1501,Correlacao!$K$2:$K$1501,"Válida",Correlacao!$A$2:$A$1501,"&gt;="&amp;B83,Correlacao!$A$2:$A$1501,"&lt;"&amp;B83+1),1))</f>
        <v>0</v>
      </c>
      <c r="F83" s="19">
        <f>IF(OR(B83="",C83=0),"",AVERAGEIFS(Correlacao!$U$2:$U$1501,Correlacao!$A$2:$A$1501,"&gt;="&amp;B83,Correlacao!$A$2:$A$1501,"&lt;"&amp;B83+1))</f>
        <v>0</v>
      </c>
    </row>
    <row r="84" spans="2:6">
      <c r="B84" s="17">
        <f>IF(OR(C11="",INT(C11)+24&gt;C12),"",INT(C11)+24)</f>
        <v>0</v>
      </c>
      <c r="C84" s="18">
        <f>IF(B84="","",COUNTIFS(Correlacao!$K$2:$K$1501,"Válida",Correlacao!$A$2:$A$1501,"&gt;="&amp;B84,Correlacao!$A$2:$A$1501,"&lt;"&amp;B84+1))</f>
        <v>0</v>
      </c>
      <c r="E84" s="18">
        <f>IF(OR(B84="",C84=0),"",FIXED(AVERAGEIFS(Correlacao!$C$2:$C$1501,Correlacao!$K$2:$K$1501,"Válida",Correlacao!$A$2:$A$1501,"&gt;="&amp;B84,Correlacao!$A$2:$A$1501,"&lt;"&amp;B84+1),1)&amp;" x "&amp;FIXED(AVERAGEIFS(Correlacao!$I$2:$I$1501,Correlacao!$K$2:$K$1501,"Válida",Correlacao!$A$2:$A$1501,"&gt;="&amp;B84,Correlacao!$A$2:$A$1501,"&lt;"&amp;B84+1),1))</f>
        <v>0</v>
      </c>
      <c r="F84" s="19">
        <f>IF(OR(B84="",C84=0),"",AVERAGEIFS(Correlacao!$U$2:$U$1501,Correlacao!$A$2:$A$1501,"&gt;="&amp;B84,Correlacao!$A$2:$A$1501,"&lt;"&amp;B84+1))</f>
        <v>0</v>
      </c>
    </row>
    <row r="85" spans="2:6">
      <c r="B85" s="17">
        <f>IF(OR(C11="",INT(C11)+25&gt;C12),"",INT(C11)+25)</f>
        <v>0</v>
      </c>
      <c r="C85" s="18">
        <f>IF(B85="","",COUNTIFS(Correlacao!$K$2:$K$1501,"Válida",Correlacao!$A$2:$A$1501,"&gt;="&amp;B85,Correlacao!$A$2:$A$1501,"&lt;"&amp;B85+1))</f>
        <v>0</v>
      </c>
      <c r="E85" s="18">
        <f>IF(OR(B85="",C85=0),"",FIXED(AVERAGEIFS(Correlacao!$C$2:$C$1501,Correlacao!$K$2:$K$1501,"Válida",Correlacao!$A$2:$A$1501,"&gt;="&amp;B85,Correlacao!$A$2:$A$1501,"&lt;"&amp;B85+1),1)&amp;" x "&amp;FIXED(AVERAGEIFS(Correlacao!$I$2:$I$1501,Correlacao!$K$2:$K$1501,"Válida",Correlacao!$A$2:$A$1501,"&gt;="&amp;B85,Correlacao!$A$2:$A$1501,"&lt;"&amp;B85+1),1))</f>
        <v>0</v>
      </c>
      <c r="F85" s="19">
        <f>IF(OR(B85="",C85=0),"",AVERAGEIFS(Correlacao!$U$2:$U$1501,Correlacao!$A$2:$A$1501,"&gt;="&amp;B85,Correlacao!$A$2:$A$1501,"&lt;"&amp;B85+1))</f>
        <v>0</v>
      </c>
    </row>
    <row r="86" spans="2:6">
      <c r="B86" s="17">
        <f>IF(OR(C11="",INT(C11)+26&gt;C12),"",INT(C11)+26)</f>
        <v>0</v>
      </c>
      <c r="C86" s="18">
        <f>IF(B86="","",COUNTIFS(Correlacao!$K$2:$K$1501,"Válida",Correlacao!$A$2:$A$1501,"&gt;="&amp;B86,Correlacao!$A$2:$A$1501,"&lt;"&amp;B86+1))</f>
        <v>0</v>
      </c>
      <c r="E86" s="18">
        <f>IF(OR(B86="",C86=0),"",FIXED(AVERAGEIFS(Correlacao!$C$2:$C$1501,Correlacao!$K$2:$K$1501,"Válida",Correlacao!$A$2:$A$1501,"&gt;="&amp;B86,Correlacao!$A$2:$A$1501,"&lt;"&amp;B86+1),1)&amp;" x "&amp;FIXED(AVERAGEIFS(Correlacao!$I$2:$I$1501,Correlacao!$K$2:$K$1501,"Válida",Correlacao!$A$2:$A$1501,"&gt;="&amp;B86,Correlacao!$A$2:$A$1501,"&lt;"&amp;B86+1),1))</f>
        <v>0</v>
      </c>
      <c r="F86" s="19">
        <f>IF(OR(B86="",C86=0),"",AVERAGEIFS(Correlacao!$U$2:$U$1501,Correlacao!$A$2:$A$1501,"&gt;="&amp;B86,Correlacao!$A$2:$A$1501,"&lt;"&amp;B86+1))</f>
        <v>0</v>
      </c>
    </row>
    <row r="87" spans="2:6">
      <c r="B87" s="17">
        <f>IF(OR(C11="",INT(C11)+27&gt;C12),"",INT(C11)+27)</f>
        <v>0</v>
      </c>
      <c r="C87" s="18">
        <f>IF(B87="","",COUNTIFS(Correlacao!$K$2:$K$1501,"Válida",Correlacao!$A$2:$A$1501,"&gt;="&amp;B87,Correlacao!$A$2:$A$1501,"&lt;"&amp;B87+1))</f>
        <v>0</v>
      </c>
      <c r="E87" s="18">
        <f>IF(OR(B87="",C87=0),"",FIXED(AVERAGEIFS(Correlacao!$C$2:$C$1501,Correlacao!$K$2:$K$1501,"Válida",Correlacao!$A$2:$A$1501,"&gt;="&amp;B87,Correlacao!$A$2:$A$1501,"&lt;"&amp;B87+1),1)&amp;" x "&amp;FIXED(AVERAGEIFS(Correlacao!$I$2:$I$1501,Correlacao!$K$2:$K$1501,"Válida",Correlacao!$A$2:$A$1501,"&gt;="&amp;B87,Correlacao!$A$2:$A$1501,"&lt;"&amp;B87+1),1))</f>
        <v>0</v>
      </c>
      <c r="F87" s="19">
        <f>IF(OR(B87="",C87=0),"",AVERAGEIFS(Correlacao!$U$2:$U$1501,Correlacao!$A$2:$A$1501,"&gt;="&amp;B87,Correlacao!$A$2:$A$1501,"&lt;"&amp;B87+1))</f>
        <v>0</v>
      </c>
    </row>
    <row r="88" spans="2:6">
      <c r="B88" s="17">
        <f>IF(OR(C11="",INT(C11)+28&gt;C12),"",INT(C11)+28)</f>
        <v>0</v>
      </c>
      <c r="C88" s="18">
        <f>IF(B88="","",COUNTIFS(Correlacao!$K$2:$K$1501,"Válida",Correlacao!$A$2:$A$1501,"&gt;="&amp;B88,Correlacao!$A$2:$A$1501,"&lt;"&amp;B88+1))</f>
        <v>0</v>
      </c>
      <c r="E88" s="18">
        <f>IF(OR(B88="",C88=0),"",FIXED(AVERAGEIFS(Correlacao!$C$2:$C$1501,Correlacao!$K$2:$K$1501,"Válida",Correlacao!$A$2:$A$1501,"&gt;="&amp;B88,Correlacao!$A$2:$A$1501,"&lt;"&amp;B88+1),1)&amp;" x "&amp;FIXED(AVERAGEIFS(Correlacao!$I$2:$I$1501,Correlacao!$K$2:$K$1501,"Válida",Correlacao!$A$2:$A$1501,"&gt;="&amp;B88,Correlacao!$A$2:$A$1501,"&lt;"&amp;B88+1),1))</f>
        <v>0</v>
      </c>
      <c r="F88" s="19">
        <f>IF(OR(B88="",C88=0),"",AVERAGEIFS(Correlacao!$U$2:$U$1501,Correlacao!$A$2:$A$1501,"&gt;="&amp;B88,Correlacao!$A$2:$A$1501,"&lt;"&amp;B88+1))</f>
        <v>0</v>
      </c>
    </row>
    <row r="89" spans="2:6">
      <c r="B89" s="17">
        <f>IF(OR(C11="",INT(C11)+29&gt;C12),"",INT(C11)+29)</f>
        <v>0</v>
      </c>
      <c r="C89" s="18">
        <f>IF(B89="","",COUNTIFS(Correlacao!$K$2:$K$1501,"Válida",Correlacao!$A$2:$A$1501,"&gt;="&amp;B89,Correlacao!$A$2:$A$1501,"&lt;"&amp;B89+1))</f>
        <v>0</v>
      </c>
      <c r="E89" s="18">
        <f>IF(OR(B89="",C89=0),"",FIXED(AVERAGEIFS(Correlacao!$C$2:$C$1501,Correlacao!$K$2:$K$1501,"Válida",Correlacao!$A$2:$A$1501,"&gt;="&amp;B89,Correlacao!$A$2:$A$1501,"&lt;"&amp;B89+1),1)&amp;" x "&amp;FIXED(AVERAGEIFS(Correlacao!$I$2:$I$1501,Correlacao!$K$2:$K$1501,"Válida",Correlacao!$A$2:$A$1501,"&gt;="&amp;B89,Correlacao!$A$2:$A$1501,"&lt;"&amp;B89+1),1))</f>
        <v>0</v>
      </c>
      <c r="F89" s="19">
        <f>IF(OR(B89="",C89=0),"",AVERAGEIFS(Correlacao!$U$2:$U$1501,Correlacao!$A$2:$A$1501,"&gt;="&amp;B89,Correlacao!$A$2:$A$1501,"&lt;"&amp;B89+1))</f>
        <v>0</v>
      </c>
    </row>
    <row r="90" spans="2:6">
      <c r="B90" s="17">
        <f>IF(OR(C11="",INT(C11)+30&gt;C12),"",INT(C11)+30)</f>
        <v>0</v>
      </c>
      <c r="C90" s="18">
        <f>IF(B90="","",COUNTIFS(Correlacao!$K$2:$K$1501,"Válida",Correlacao!$A$2:$A$1501,"&gt;="&amp;B90,Correlacao!$A$2:$A$1501,"&lt;"&amp;B90+1))</f>
        <v>0</v>
      </c>
      <c r="E90" s="18">
        <f>IF(OR(B90="",C90=0),"",FIXED(AVERAGEIFS(Correlacao!$C$2:$C$1501,Correlacao!$K$2:$K$1501,"Válida",Correlacao!$A$2:$A$1501,"&gt;="&amp;B90,Correlacao!$A$2:$A$1501,"&lt;"&amp;B90+1),1)&amp;" x "&amp;FIXED(AVERAGEIFS(Correlacao!$I$2:$I$1501,Correlacao!$K$2:$K$1501,"Válida",Correlacao!$A$2:$A$1501,"&gt;="&amp;B90,Correlacao!$A$2:$A$1501,"&lt;"&amp;B90+1),1))</f>
        <v>0</v>
      </c>
      <c r="F90" s="19">
        <f>IF(OR(B90="",C90=0),"",AVERAGEIFS(Correlacao!$U$2:$U$1501,Correlacao!$A$2:$A$1501,"&gt;="&amp;B90,Correlacao!$A$2:$A$1501,"&lt;"&amp;B90+1))</f>
        <v>0</v>
      </c>
    </row>
  </sheetData>
  <mergeCells count="2">
    <mergeCell ref="B8:I8"/>
    <mergeCell ref="B19:I19"/>
  </mergeCells>
  <conditionalFormatting sqref="B60:F90">
    <cfRule type="expression" dxfId="0" priority="1">
      <formula>$B60&lt;&gt;""</formula>
    </cfRule>
  </conditionalFormatting>
  <pageMargins left="0.7" right="0.7" top="0.75" bottom="0.75" header="0.3" footer="0.3"/>
  <pageSetup paperSize="9" fitToHeight="0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eiame"/>
  <dimension ref="A1:A32"/>
  <sheetViews>
    <sheetView showGridLines="0" workbookViewId="0"/>
  </sheetViews>
  <sheetFormatPr defaultRowHeight="15"/>
  <cols>
    <col min="1" max="1" width="150.7109375" customWidth="1"/>
  </cols>
  <sheetData>
    <row r="1" spans="1:1">
      <c r="A1" s="20" t="s">
        <v>119</v>
      </c>
    </row>
    <row r="2" spans="1:1">
      <c r="A2" s="15"/>
    </row>
    <row r="3" spans="1:1">
      <c r="A3" s="21" t="s">
        <v>120</v>
      </c>
    </row>
    <row r="4" spans="1:1">
      <c r="A4" s="15"/>
    </row>
    <row r="5" spans="1:1">
      <c r="A5" s="14" t="s">
        <v>121</v>
      </c>
    </row>
    <row r="6" spans="1:1">
      <c r="A6" s="15" t="s">
        <v>122</v>
      </c>
    </row>
    <row r="7" spans="1:1">
      <c r="A7" s="15" t="s">
        <v>123</v>
      </c>
    </row>
    <row r="8" spans="1:1">
      <c r="A8" s="15" t="s">
        <v>124</v>
      </c>
    </row>
    <row r="9" spans="1:1">
      <c r="A9" s="15" t="s">
        <v>125</v>
      </c>
    </row>
    <row r="10" spans="1:1">
      <c r="A10" s="15" t="s">
        <v>126</v>
      </c>
    </row>
    <row r="11" spans="1:1">
      <c r="A11" s="15" t="s">
        <v>127</v>
      </c>
    </row>
    <row r="12" spans="1:1">
      <c r="A12" s="15"/>
    </row>
    <row r="13" spans="1:1">
      <c r="A13" s="14" t="s">
        <v>128</v>
      </c>
    </row>
    <row r="14" spans="1:1">
      <c r="A14" s="15" t="s">
        <v>129</v>
      </c>
    </row>
    <row r="15" spans="1:1">
      <c r="A15" s="15" t="s">
        <v>130</v>
      </c>
    </row>
    <row r="16" spans="1:1">
      <c r="A16" s="15" t="s">
        <v>131</v>
      </c>
    </row>
    <row r="17" spans="1:1">
      <c r="A17" s="15" t="s">
        <v>132</v>
      </c>
    </row>
    <row r="18" spans="1:1">
      <c r="A18" s="15"/>
    </row>
    <row r="19" spans="1:1">
      <c r="A19" s="14" t="s">
        <v>133</v>
      </c>
    </row>
    <row r="20" spans="1:1">
      <c r="A20" s="15" t="s">
        <v>134</v>
      </c>
    </row>
    <row r="21" spans="1:1">
      <c r="A21" s="15" t="s">
        <v>135</v>
      </c>
    </row>
    <row r="22" spans="1:1">
      <c r="A22" s="15" t="s">
        <v>136</v>
      </c>
    </row>
    <row r="23" spans="1:1">
      <c r="A23" s="15" t="s">
        <v>137</v>
      </c>
    </row>
    <row r="24" spans="1:1">
      <c r="A24" s="15" t="s">
        <v>138</v>
      </c>
    </row>
    <row r="25" spans="1:1">
      <c r="A25" s="15"/>
    </row>
    <row r="26" spans="1:1">
      <c r="A26" s="14" t="s">
        <v>139</v>
      </c>
    </row>
    <row r="27" spans="1:1">
      <c r="A27" s="15" t="s">
        <v>140</v>
      </c>
    </row>
    <row r="28" spans="1:1">
      <c r="A28" s="15" t="s">
        <v>141</v>
      </c>
    </row>
    <row r="29" spans="1:1">
      <c r="A29" s="15" t="s">
        <v>142</v>
      </c>
    </row>
    <row r="30" spans="1:1">
      <c r="A30" s="15" t="s">
        <v>143</v>
      </c>
    </row>
    <row r="31" spans="1:1">
      <c r="A31" s="15"/>
    </row>
    <row r="32" spans="1:1">
      <c r="A32" s="15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fig"/>
  <dimension ref="A1:C26"/>
  <sheetViews>
    <sheetView showGridLines="0" workbookViewId="0"/>
  </sheetViews>
  <sheetFormatPr defaultRowHeight="15"/>
  <cols>
    <col min="1" max="1" width="50.7109375" customWidth="1"/>
    <col min="2" max="2" width="28.7109375" customWidth="1"/>
    <col min="3" max="3" width="100.7109375" customWidth="1"/>
  </cols>
  <sheetData>
    <row r="1" spans="1:3" ht="24" customHeight="1">
      <c r="A1" s="16" t="s">
        <v>0</v>
      </c>
      <c r="B1" s="16" t="s">
        <v>1</v>
      </c>
      <c r="C1" s="16" t="s">
        <v>2</v>
      </c>
    </row>
    <row r="2" spans="1:3">
      <c r="A2" s="5" t="s">
        <v>3</v>
      </c>
    </row>
    <row r="3" spans="1:3">
      <c r="A3" s="18" t="s">
        <v>4</v>
      </c>
      <c r="B3" s="22" t="s">
        <v>5</v>
      </c>
      <c r="C3" s="23" t="s">
        <v>6</v>
      </c>
    </row>
    <row r="4" spans="1:3">
      <c r="A4" s="18" t="s">
        <v>7</v>
      </c>
      <c r="B4" s="22" t="s">
        <v>8</v>
      </c>
      <c r="C4" s="23" t="s">
        <v>9</v>
      </c>
    </row>
    <row r="5" spans="1:3">
      <c r="A5" s="18" t="s">
        <v>10</v>
      </c>
      <c r="B5" s="22">
        <v>120</v>
      </c>
      <c r="C5" s="23" t="s">
        <v>11</v>
      </c>
    </row>
    <row r="6" spans="1:3">
      <c r="A6" s="18" t="s">
        <v>12</v>
      </c>
      <c r="B6" s="22" t="s">
        <v>13</v>
      </c>
      <c r="C6" s="23" t="s">
        <v>14</v>
      </c>
    </row>
    <row r="8" spans="1:3">
      <c r="A8" s="5" t="s">
        <v>15</v>
      </c>
    </row>
    <row r="9" spans="1:3">
      <c r="A9" s="18" t="s">
        <v>16</v>
      </c>
      <c r="B9" s="22" t="s">
        <v>17</v>
      </c>
      <c r="C9" s="23" t="s">
        <v>18</v>
      </c>
    </row>
    <row r="10" spans="1:3">
      <c r="A10" s="18" t="s">
        <v>19</v>
      </c>
      <c r="B10" s="22" t="s">
        <v>20</v>
      </c>
      <c r="C10" s="23"/>
    </row>
    <row r="11" spans="1:3">
      <c r="A11" s="18" t="s">
        <v>21</v>
      </c>
      <c r="B11" s="22" t="s">
        <v>22</v>
      </c>
      <c r="C11" s="23" t="s">
        <v>23</v>
      </c>
    </row>
    <row r="12" spans="1:3">
      <c r="A12" s="18" t="s">
        <v>24</v>
      </c>
      <c r="B12" s="22" t="s">
        <v>25</v>
      </c>
      <c r="C12" s="23" t="s">
        <v>26</v>
      </c>
    </row>
    <row r="13" spans="1:3">
      <c r="A13" s="18" t="s">
        <v>27</v>
      </c>
      <c r="B13" s="6">
        <v>46323</v>
      </c>
      <c r="C13" s="23" t="s">
        <v>28</v>
      </c>
    </row>
    <row r="15" spans="1:3">
      <c r="A15" s="5" t="s">
        <v>29</v>
      </c>
    </row>
    <row r="16" spans="1:3">
      <c r="A16" s="18" t="s">
        <v>16</v>
      </c>
      <c r="B16" s="22" t="s">
        <v>30</v>
      </c>
      <c r="C16" s="23" t="s">
        <v>31</v>
      </c>
    </row>
    <row r="17" spans="1:3">
      <c r="A17" s="18" t="s">
        <v>19</v>
      </c>
      <c r="B17" s="22" t="s">
        <v>32</v>
      </c>
      <c r="C17" s="23"/>
    </row>
    <row r="18" spans="1:3">
      <c r="A18" s="18" t="s">
        <v>21</v>
      </c>
      <c r="B18" s="22" t="s">
        <v>33</v>
      </c>
      <c r="C18" s="23" t="s">
        <v>34</v>
      </c>
    </row>
    <row r="19" spans="1:3">
      <c r="A19" s="18" t="s">
        <v>24</v>
      </c>
      <c r="B19" s="22" t="s">
        <v>35</v>
      </c>
      <c r="C19" s="23" t="s">
        <v>36</v>
      </c>
    </row>
    <row r="21" spans="1:3">
      <c r="A21" s="5" t="s">
        <v>37</v>
      </c>
    </row>
    <row r="22" spans="1:3">
      <c r="A22" s="18" t="s">
        <v>38</v>
      </c>
      <c r="B22" s="22">
        <v>20</v>
      </c>
      <c r="C22" s="23" t="s">
        <v>39</v>
      </c>
    </row>
    <row r="23" spans="1:3">
      <c r="A23" s="18" t="s">
        <v>40</v>
      </c>
      <c r="B23" s="22">
        <v>0</v>
      </c>
      <c r="C23" s="23" t="s">
        <v>41</v>
      </c>
    </row>
    <row r="24" spans="1:3">
      <c r="A24" s="18" t="s">
        <v>42</v>
      </c>
      <c r="B24" s="22">
        <v>1</v>
      </c>
      <c r="C24" s="23" t="s">
        <v>43</v>
      </c>
    </row>
    <row r="25" spans="1:3">
      <c r="A25" s="18" t="s">
        <v>44</v>
      </c>
      <c r="B25" s="22">
        <v>0</v>
      </c>
      <c r="C25" s="23" t="s">
        <v>45</v>
      </c>
    </row>
    <row r="26" spans="1:3">
      <c r="A26" s="18" t="s">
        <v>46</v>
      </c>
      <c r="B26" s="22">
        <v>20</v>
      </c>
      <c r="C26" s="23" t="s">
        <v>47</v>
      </c>
    </row>
  </sheetData>
  <dataValidations count="1">
    <dataValidation type="list" allowBlank="1" showInputMessage="1" showErrorMessage="1" sqref="B4">
      <formula1>"Texto dd/mm/aaaa,Texto mm/dd/aaaa,Data do Excel"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rensa"/>
  <dimension ref="A1:H50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9.7109375" customWidth="1"/>
    <col min="2" max="2" width="16.7109375" customWidth="1"/>
    <col min="3" max="3" width="17.7109375" customWidth="1"/>
    <col min="4" max="4" width="11.7109375" customWidth="1"/>
    <col min="5" max="5" width="10.7109375" customWidth="1"/>
    <col min="6" max="7" width="12.7109375" customWidth="1"/>
    <col min="8" max="8" width="17.7109375" customWidth="1"/>
  </cols>
  <sheetData>
    <row r="1" spans="1:8" ht="42" customHeight="1">
      <c r="A1" s="16" t="s">
        <v>56</v>
      </c>
      <c r="B1" s="16" t="s">
        <v>57</v>
      </c>
      <c r="C1" s="16" t="s">
        <v>58</v>
      </c>
      <c r="D1" s="16" t="s">
        <v>59</v>
      </c>
      <c r="E1" s="16" t="s">
        <v>60</v>
      </c>
      <c r="F1" s="16" t="s">
        <v>61</v>
      </c>
      <c r="G1" s="16" t="s">
        <v>62</v>
      </c>
      <c r="H1" s="16" t="s">
        <v>63</v>
      </c>
    </row>
    <row r="2" spans="1:8">
      <c r="A2" s="24"/>
      <c r="B2" s="19"/>
      <c r="C2" s="25">
        <f>IF(D2="","",D2/48)</f>
        <v>0</v>
      </c>
      <c r="D2" s="26">
        <f>IF(A2="","",ROUND((A2-cfgDefasagem/1440)*48,0))</f>
        <v>0</v>
      </c>
      <c r="E2" s="26">
        <f>IF(D2="","",INT((D2-cfgDeslocamento)/4))</f>
        <v>0</v>
      </c>
      <c r="F2" s="26">
        <f>IF(D2="","",MOD(D2-cfgDeslocamento,4)+1)</f>
        <v>0</v>
      </c>
      <c r="G2" s="26">
        <f>IF(A2="","",IF(AND(ISNUMBER(B2),B2&lt;&gt;0),1,0))</f>
        <v>0</v>
      </c>
      <c r="H2" s="25">
        <f>IF(E2="","",(E2*4+3+cfgDeslocamento)/48)</f>
        <v>0</v>
      </c>
    </row>
    <row r="3" spans="1:8">
      <c r="A3" s="24"/>
      <c r="B3" s="19"/>
      <c r="C3" s="25">
        <f>IF(D3="","",D3/48)</f>
        <v>0</v>
      </c>
      <c r="D3" s="26">
        <f>IF(A3="","",ROUND((A3-cfgDefasagem/1440)*48,0))</f>
        <v>0</v>
      </c>
      <c r="E3" s="26">
        <f>IF(D3="","",INT((D3-cfgDeslocamento)/4))</f>
        <v>0</v>
      </c>
      <c r="F3" s="26">
        <f>IF(D3="","",MOD(D3-cfgDeslocamento,4)+1)</f>
        <v>0</v>
      </c>
      <c r="G3" s="26">
        <f>IF(A3="","",IF(AND(ISNUMBER(B3),B3&lt;&gt;0),1,0))</f>
        <v>0</v>
      </c>
      <c r="H3" s="25">
        <f>IF(E3="","",(E3*4+3+cfgDeslocamento)/48)</f>
        <v>0</v>
      </c>
    </row>
    <row r="4" spans="1:8">
      <c r="A4" s="24"/>
      <c r="B4" s="19"/>
      <c r="C4" s="25">
        <f>IF(D4="","",D4/48)</f>
        <v>0</v>
      </c>
      <c r="D4" s="26">
        <f>IF(A4="","",ROUND((A4-cfgDefasagem/1440)*48,0))</f>
        <v>0</v>
      </c>
      <c r="E4" s="26">
        <f>IF(D4="","",INT((D4-cfgDeslocamento)/4))</f>
        <v>0</v>
      </c>
      <c r="F4" s="26">
        <f>IF(D4="","",MOD(D4-cfgDeslocamento,4)+1)</f>
        <v>0</v>
      </c>
      <c r="G4" s="26">
        <f>IF(A4="","",IF(AND(ISNUMBER(B4),B4&lt;&gt;0),1,0))</f>
        <v>0</v>
      </c>
      <c r="H4" s="25">
        <f>IF(E4="","",(E4*4+3+cfgDeslocamento)/48)</f>
        <v>0</v>
      </c>
    </row>
    <row r="5" spans="1:8">
      <c r="A5" s="24"/>
      <c r="B5" s="19"/>
      <c r="C5" s="25">
        <f>IF(D5="","",D5/48)</f>
        <v>0</v>
      </c>
      <c r="D5" s="26">
        <f>IF(A5="","",ROUND((A5-cfgDefasagem/1440)*48,0))</f>
        <v>0</v>
      </c>
      <c r="E5" s="26">
        <f>IF(D5="","",INT((D5-cfgDeslocamento)/4))</f>
        <v>0</v>
      </c>
      <c r="F5" s="26">
        <f>IF(D5="","",MOD(D5-cfgDeslocamento,4)+1)</f>
        <v>0</v>
      </c>
      <c r="G5" s="26">
        <f>IF(A5="","",IF(AND(ISNUMBER(B5),B5&lt;&gt;0),1,0))</f>
        <v>0</v>
      </c>
      <c r="H5" s="25">
        <f>IF(E5="","",(E5*4+3+cfgDeslocamento)/48)</f>
        <v>0</v>
      </c>
    </row>
    <row r="6" spans="1:8">
      <c r="A6" s="24"/>
      <c r="B6" s="19"/>
      <c r="C6" s="25">
        <f>IF(D6="","",D6/48)</f>
        <v>0</v>
      </c>
      <c r="D6" s="26">
        <f>IF(A6="","",ROUND((A6-cfgDefasagem/1440)*48,0))</f>
        <v>0</v>
      </c>
      <c r="E6" s="26">
        <f>IF(D6="","",INT((D6-cfgDeslocamento)/4))</f>
        <v>0</v>
      </c>
      <c r="F6" s="26">
        <f>IF(D6="","",MOD(D6-cfgDeslocamento,4)+1)</f>
        <v>0</v>
      </c>
      <c r="G6" s="26">
        <f>IF(A6="","",IF(AND(ISNUMBER(B6),B6&lt;&gt;0),1,0))</f>
        <v>0</v>
      </c>
      <c r="H6" s="25">
        <f>IF(E6="","",(E6*4+3+cfgDeslocamento)/48)</f>
        <v>0</v>
      </c>
    </row>
    <row r="7" spans="1:8">
      <c r="A7" s="24"/>
      <c r="B7" s="19"/>
      <c r="C7" s="25">
        <f>IF(D7="","",D7/48)</f>
        <v>0</v>
      </c>
      <c r="D7" s="26">
        <f>IF(A7="","",ROUND((A7-cfgDefasagem/1440)*48,0))</f>
        <v>0</v>
      </c>
      <c r="E7" s="26">
        <f>IF(D7="","",INT((D7-cfgDeslocamento)/4))</f>
        <v>0</v>
      </c>
      <c r="F7" s="26">
        <f>IF(D7="","",MOD(D7-cfgDeslocamento,4)+1)</f>
        <v>0</v>
      </c>
      <c r="G7" s="26">
        <f>IF(A7="","",IF(AND(ISNUMBER(B7),B7&lt;&gt;0),1,0))</f>
        <v>0</v>
      </c>
      <c r="H7" s="25">
        <f>IF(E7="","",(E7*4+3+cfgDeslocamento)/48)</f>
        <v>0</v>
      </c>
    </row>
    <row r="8" spans="1:8">
      <c r="A8" s="24"/>
      <c r="B8" s="19"/>
      <c r="C8" s="25">
        <f>IF(D8="","",D8/48)</f>
        <v>0</v>
      </c>
      <c r="D8" s="26">
        <f>IF(A8="","",ROUND((A8-cfgDefasagem/1440)*48,0))</f>
        <v>0</v>
      </c>
      <c r="E8" s="26">
        <f>IF(D8="","",INT((D8-cfgDeslocamento)/4))</f>
        <v>0</v>
      </c>
      <c r="F8" s="26">
        <f>IF(D8="","",MOD(D8-cfgDeslocamento,4)+1)</f>
        <v>0</v>
      </c>
      <c r="G8" s="26">
        <f>IF(A8="","",IF(AND(ISNUMBER(B8),B8&lt;&gt;0),1,0))</f>
        <v>0</v>
      </c>
      <c r="H8" s="25">
        <f>IF(E8="","",(E8*4+3+cfgDeslocamento)/48)</f>
        <v>0</v>
      </c>
    </row>
    <row r="9" spans="1:8">
      <c r="A9" s="24"/>
      <c r="B9" s="19"/>
      <c r="C9" s="25">
        <f>IF(D9="","",D9/48)</f>
        <v>0</v>
      </c>
      <c r="D9" s="26">
        <f>IF(A9="","",ROUND((A9-cfgDefasagem/1440)*48,0))</f>
        <v>0</v>
      </c>
      <c r="E9" s="26">
        <f>IF(D9="","",INT((D9-cfgDeslocamento)/4))</f>
        <v>0</v>
      </c>
      <c r="F9" s="26">
        <f>IF(D9="","",MOD(D9-cfgDeslocamento,4)+1)</f>
        <v>0</v>
      </c>
      <c r="G9" s="26">
        <f>IF(A9="","",IF(AND(ISNUMBER(B9),B9&lt;&gt;0),1,0))</f>
        <v>0</v>
      </c>
      <c r="H9" s="25">
        <f>IF(E9="","",(E9*4+3+cfgDeslocamento)/48)</f>
        <v>0</v>
      </c>
    </row>
    <row r="10" spans="1:8">
      <c r="A10" s="24"/>
      <c r="B10" s="19"/>
      <c r="C10" s="25">
        <f>IF(D10="","",D10/48)</f>
        <v>0</v>
      </c>
      <c r="D10" s="26">
        <f>IF(A10="","",ROUND((A10-cfgDefasagem/1440)*48,0))</f>
        <v>0</v>
      </c>
      <c r="E10" s="26">
        <f>IF(D10="","",INT((D10-cfgDeslocamento)/4))</f>
        <v>0</v>
      </c>
      <c r="F10" s="26">
        <f>IF(D10="","",MOD(D10-cfgDeslocamento,4)+1)</f>
        <v>0</v>
      </c>
      <c r="G10" s="26">
        <f>IF(A10="","",IF(AND(ISNUMBER(B10),B10&lt;&gt;0),1,0))</f>
        <v>0</v>
      </c>
      <c r="H10" s="25">
        <f>IF(E10="","",(E10*4+3+cfgDeslocamento)/48)</f>
        <v>0</v>
      </c>
    </row>
    <row r="11" spans="1:8">
      <c r="A11" s="24"/>
      <c r="B11" s="19"/>
      <c r="C11" s="25">
        <f>IF(D11="","",D11/48)</f>
        <v>0</v>
      </c>
      <c r="D11" s="26">
        <f>IF(A11="","",ROUND((A11-cfgDefasagem/1440)*48,0))</f>
        <v>0</v>
      </c>
      <c r="E11" s="26">
        <f>IF(D11="","",INT((D11-cfgDeslocamento)/4))</f>
        <v>0</v>
      </c>
      <c r="F11" s="26">
        <f>IF(D11="","",MOD(D11-cfgDeslocamento,4)+1)</f>
        <v>0</v>
      </c>
      <c r="G11" s="26">
        <f>IF(A11="","",IF(AND(ISNUMBER(B11),B11&lt;&gt;0),1,0))</f>
        <v>0</v>
      </c>
      <c r="H11" s="25">
        <f>IF(E11="","",(E11*4+3+cfgDeslocamento)/48)</f>
        <v>0</v>
      </c>
    </row>
    <row r="12" spans="1:8">
      <c r="A12" s="24"/>
      <c r="B12" s="19"/>
      <c r="C12" s="25">
        <f>IF(D12="","",D12/48)</f>
        <v>0</v>
      </c>
      <c r="D12" s="26">
        <f>IF(A12="","",ROUND((A12-cfgDefasagem/1440)*48,0))</f>
        <v>0</v>
      </c>
      <c r="E12" s="26">
        <f>IF(D12="","",INT((D12-cfgDeslocamento)/4))</f>
        <v>0</v>
      </c>
      <c r="F12" s="26">
        <f>IF(D12="","",MOD(D12-cfgDeslocamento,4)+1)</f>
        <v>0</v>
      </c>
      <c r="G12" s="26">
        <f>IF(A12="","",IF(AND(ISNUMBER(B12),B12&lt;&gt;0),1,0))</f>
        <v>0</v>
      </c>
      <c r="H12" s="25">
        <f>IF(E12="","",(E12*4+3+cfgDeslocamento)/48)</f>
        <v>0</v>
      </c>
    </row>
    <row r="13" spans="1:8">
      <c r="A13" s="24"/>
      <c r="B13" s="19"/>
      <c r="C13" s="25">
        <f>IF(D13="","",D13/48)</f>
        <v>0</v>
      </c>
      <c r="D13" s="26">
        <f>IF(A13="","",ROUND((A13-cfgDefasagem/1440)*48,0))</f>
        <v>0</v>
      </c>
      <c r="E13" s="26">
        <f>IF(D13="","",INT((D13-cfgDeslocamento)/4))</f>
        <v>0</v>
      </c>
      <c r="F13" s="26">
        <f>IF(D13="","",MOD(D13-cfgDeslocamento,4)+1)</f>
        <v>0</v>
      </c>
      <c r="G13" s="26">
        <f>IF(A13="","",IF(AND(ISNUMBER(B13),B13&lt;&gt;0),1,0))</f>
        <v>0</v>
      </c>
      <c r="H13" s="25">
        <f>IF(E13="","",(E13*4+3+cfgDeslocamento)/48)</f>
        <v>0</v>
      </c>
    </row>
    <row r="14" spans="1:8">
      <c r="A14" s="24"/>
      <c r="B14" s="19"/>
      <c r="C14" s="25">
        <f>IF(D14="","",D14/48)</f>
        <v>0</v>
      </c>
      <c r="D14" s="26">
        <f>IF(A14="","",ROUND((A14-cfgDefasagem/1440)*48,0))</f>
        <v>0</v>
      </c>
      <c r="E14" s="26">
        <f>IF(D14="","",INT((D14-cfgDeslocamento)/4))</f>
        <v>0</v>
      </c>
      <c r="F14" s="26">
        <f>IF(D14="","",MOD(D14-cfgDeslocamento,4)+1)</f>
        <v>0</v>
      </c>
      <c r="G14" s="26">
        <f>IF(A14="","",IF(AND(ISNUMBER(B14),B14&lt;&gt;0),1,0))</f>
        <v>0</v>
      </c>
      <c r="H14" s="25">
        <f>IF(E14="","",(E14*4+3+cfgDeslocamento)/48)</f>
        <v>0</v>
      </c>
    </row>
    <row r="15" spans="1:8">
      <c r="A15" s="24"/>
      <c r="B15" s="19"/>
      <c r="C15" s="25">
        <f>IF(D15="","",D15/48)</f>
        <v>0</v>
      </c>
      <c r="D15" s="26">
        <f>IF(A15="","",ROUND((A15-cfgDefasagem/1440)*48,0))</f>
        <v>0</v>
      </c>
      <c r="E15" s="26">
        <f>IF(D15="","",INT((D15-cfgDeslocamento)/4))</f>
        <v>0</v>
      </c>
      <c r="F15" s="26">
        <f>IF(D15="","",MOD(D15-cfgDeslocamento,4)+1)</f>
        <v>0</v>
      </c>
      <c r="G15" s="26">
        <f>IF(A15="","",IF(AND(ISNUMBER(B15),B15&lt;&gt;0),1,0))</f>
        <v>0</v>
      </c>
      <c r="H15" s="25">
        <f>IF(E15="","",(E15*4+3+cfgDeslocamento)/48)</f>
        <v>0</v>
      </c>
    </row>
    <row r="16" spans="1:8">
      <c r="A16" s="24"/>
      <c r="B16" s="19"/>
      <c r="C16" s="25">
        <f>IF(D16="","",D16/48)</f>
        <v>0</v>
      </c>
      <c r="D16" s="26">
        <f>IF(A16="","",ROUND((A16-cfgDefasagem/1440)*48,0))</f>
        <v>0</v>
      </c>
      <c r="E16" s="26">
        <f>IF(D16="","",INT((D16-cfgDeslocamento)/4))</f>
        <v>0</v>
      </c>
      <c r="F16" s="26">
        <f>IF(D16="","",MOD(D16-cfgDeslocamento,4)+1)</f>
        <v>0</v>
      </c>
      <c r="G16" s="26">
        <f>IF(A16="","",IF(AND(ISNUMBER(B16),B16&lt;&gt;0),1,0))</f>
        <v>0</v>
      </c>
      <c r="H16" s="25">
        <f>IF(E16="","",(E16*4+3+cfgDeslocamento)/48)</f>
        <v>0</v>
      </c>
    </row>
    <row r="17" spans="1:8">
      <c r="A17" s="24"/>
      <c r="B17" s="19"/>
      <c r="C17" s="25">
        <f>IF(D17="","",D17/48)</f>
        <v>0</v>
      </c>
      <c r="D17" s="26">
        <f>IF(A17="","",ROUND((A17-cfgDefasagem/1440)*48,0))</f>
        <v>0</v>
      </c>
      <c r="E17" s="26">
        <f>IF(D17="","",INT((D17-cfgDeslocamento)/4))</f>
        <v>0</v>
      </c>
      <c r="F17" s="26">
        <f>IF(D17="","",MOD(D17-cfgDeslocamento,4)+1)</f>
        <v>0</v>
      </c>
      <c r="G17" s="26">
        <f>IF(A17="","",IF(AND(ISNUMBER(B17),B17&lt;&gt;0),1,0))</f>
        <v>0</v>
      </c>
      <c r="H17" s="25">
        <f>IF(E17="","",(E17*4+3+cfgDeslocamento)/48)</f>
        <v>0</v>
      </c>
    </row>
    <row r="18" spans="1:8">
      <c r="A18" s="24"/>
      <c r="B18" s="19"/>
      <c r="C18" s="25">
        <f>IF(D18="","",D18/48)</f>
        <v>0</v>
      </c>
      <c r="D18" s="26">
        <f>IF(A18="","",ROUND((A18-cfgDefasagem/1440)*48,0))</f>
        <v>0</v>
      </c>
      <c r="E18" s="26">
        <f>IF(D18="","",INT((D18-cfgDeslocamento)/4))</f>
        <v>0</v>
      </c>
      <c r="F18" s="26">
        <f>IF(D18="","",MOD(D18-cfgDeslocamento,4)+1)</f>
        <v>0</v>
      </c>
      <c r="G18" s="26">
        <f>IF(A18="","",IF(AND(ISNUMBER(B18),B18&lt;&gt;0),1,0))</f>
        <v>0</v>
      </c>
      <c r="H18" s="25">
        <f>IF(E18="","",(E18*4+3+cfgDeslocamento)/48)</f>
        <v>0</v>
      </c>
    </row>
    <row r="19" spans="1:8">
      <c r="A19" s="24"/>
      <c r="B19" s="19"/>
      <c r="C19" s="25">
        <f>IF(D19="","",D19/48)</f>
        <v>0</v>
      </c>
      <c r="D19" s="26">
        <f>IF(A19="","",ROUND((A19-cfgDefasagem/1440)*48,0))</f>
        <v>0</v>
      </c>
      <c r="E19" s="26">
        <f>IF(D19="","",INT((D19-cfgDeslocamento)/4))</f>
        <v>0</v>
      </c>
      <c r="F19" s="26">
        <f>IF(D19="","",MOD(D19-cfgDeslocamento,4)+1)</f>
        <v>0</v>
      </c>
      <c r="G19" s="26">
        <f>IF(A19="","",IF(AND(ISNUMBER(B19),B19&lt;&gt;0),1,0))</f>
        <v>0</v>
      </c>
      <c r="H19" s="25">
        <f>IF(E19="","",(E19*4+3+cfgDeslocamento)/48)</f>
        <v>0</v>
      </c>
    </row>
    <row r="20" spans="1:8">
      <c r="A20" s="24"/>
      <c r="B20" s="19"/>
      <c r="C20" s="25">
        <f>IF(D20="","",D20/48)</f>
        <v>0</v>
      </c>
      <c r="D20" s="26">
        <f>IF(A20="","",ROUND((A20-cfgDefasagem/1440)*48,0))</f>
        <v>0</v>
      </c>
      <c r="E20" s="26">
        <f>IF(D20="","",INT((D20-cfgDeslocamento)/4))</f>
        <v>0</v>
      </c>
      <c r="F20" s="26">
        <f>IF(D20="","",MOD(D20-cfgDeslocamento,4)+1)</f>
        <v>0</v>
      </c>
      <c r="G20" s="26">
        <f>IF(A20="","",IF(AND(ISNUMBER(B20),B20&lt;&gt;0),1,0))</f>
        <v>0</v>
      </c>
      <c r="H20" s="25">
        <f>IF(E20="","",(E20*4+3+cfgDeslocamento)/48)</f>
        <v>0</v>
      </c>
    </row>
    <row r="21" spans="1:8">
      <c r="A21" s="24"/>
      <c r="B21" s="19"/>
      <c r="C21" s="25">
        <f>IF(D21="","",D21/48)</f>
        <v>0</v>
      </c>
      <c r="D21" s="26">
        <f>IF(A21="","",ROUND((A21-cfgDefasagem/1440)*48,0))</f>
        <v>0</v>
      </c>
      <c r="E21" s="26">
        <f>IF(D21="","",INT((D21-cfgDeslocamento)/4))</f>
        <v>0</v>
      </c>
      <c r="F21" s="26">
        <f>IF(D21="","",MOD(D21-cfgDeslocamento,4)+1)</f>
        <v>0</v>
      </c>
      <c r="G21" s="26">
        <f>IF(A21="","",IF(AND(ISNUMBER(B21),B21&lt;&gt;0),1,0))</f>
        <v>0</v>
      </c>
      <c r="H21" s="25">
        <f>IF(E21="","",(E21*4+3+cfgDeslocamento)/48)</f>
        <v>0</v>
      </c>
    </row>
    <row r="22" spans="1:8">
      <c r="A22" s="24"/>
      <c r="B22" s="19"/>
      <c r="C22" s="25">
        <f>IF(D22="","",D22/48)</f>
        <v>0</v>
      </c>
      <c r="D22" s="26">
        <f>IF(A22="","",ROUND((A22-cfgDefasagem/1440)*48,0))</f>
        <v>0</v>
      </c>
      <c r="E22" s="26">
        <f>IF(D22="","",INT((D22-cfgDeslocamento)/4))</f>
        <v>0</v>
      </c>
      <c r="F22" s="26">
        <f>IF(D22="","",MOD(D22-cfgDeslocamento,4)+1)</f>
        <v>0</v>
      </c>
      <c r="G22" s="26">
        <f>IF(A22="","",IF(AND(ISNUMBER(B22),B22&lt;&gt;0),1,0))</f>
        <v>0</v>
      </c>
      <c r="H22" s="25">
        <f>IF(E22="","",(E22*4+3+cfgDeslocamento)/48)</f>
        <v>0</v>
      </c>
    </row>
    <row r="23" spans="1:8">
      <c r="A23" s="24"/>
      <c r="B23" s="19"/>
      <c r="C23" s="25">
        <f>IF(D23="","",D23/48)</f>
        <v>0</v>
      </c>
      <c r="D23" s="26">
        <f>IF(A23="","",ROUND((A23-cfgDefasagem/1440)*48,0))</f>
        <v>0</v>
      </c>
      <c r="E23" s="26">
        <f>IF(D23="","",INT((D23-cfgDeslocamento)/4))</f>
        <v>0</v>
      </c>
      <c r="F23" s="26">
        <f>IF(D23="","",MOD(D23-cfgDeslocamento,4)+1)</f>
        <v>0</v>
      </c>
      <c r="G23" s="26">
        <f>IF(A23="","",IF(AND(ISNUMBER(B23),B23&lt;&gt;0),1,0))</f>
        <v>0</v>
      </c>
      <c r="H23" s="25">
        <f>IF(E23="","",(E23*4+3+cfgDeslocamento)/48)</f>
        <v>0</v>
      </c>
    </row>
    <row r="24" spans="1:8">
      <c r="A24" s="24"/>
      <c r="B24" s="19"/>
      <c r="C24" s="25">
        <f>IF(D24="","",D24/48)</f>
        <v>0</v>
      </c>
      <c r="D24" s="26">
        <f>IF(A24="","",ROUND((A24-cfgDefasagem/1440)*48,0))</f>
        <v>0</v>
      </c>
      <c r="E24" s="26">
        <f>IF(D24="","",INT((D24-cfgDeslocamento)/4))</f>
        <v>0</v>
      </c>
      <c r="F24" s="26">
        <f>IF(D24="","",MOD(D24-cfgDeslocamento,4)+1)</f>
        <v>0</v>
      </c>
      <c r="G24" s="26">
        <f>IF(A24="","",IF(AND(ISNUMBER(B24),B24&lt;&gt;0),1,0))</f>
        <v>0</v>
      </c>
      <c r="H24" s="25">
        <f>IF(E24="","",(E24*4+3+cfgDeslocamento)/48)</f>
        <v>0</v>
      </c>
    </row>
    <row r="25" spans="1:8">
      <c r="A25" s="24"/>
      <c r="B25" s="19"/>
      <c r="C25" s="25">
        <f>IF(D25="","",D25/48)</f>
        <v>0</v>
      </c>
      <c r="D25" s="26">
        <f>IF(A25="","",ROUND((A25-cfgDefasagem/1440)*48,0))</f>
        <v>0</v>
      </c>
      <c r="E25" s="26">
        <f>IF(D25="","",INT((D25-cfgDeslocamento)/4))</f>
        <v>0</v>
      </c>
      <c r="F25" s="26">
        <f>IF(D25="","",MOD(D25-cfgDeslocamento,4)+1)</f>
        <v>0</v>
      </c>
      <c r="G25" s="26">
        <f>IF(A25="","",IF(AND(ISNUMBER(B25),B25&lt;&gt;0),1,0))</f>
        <v>0</v>
      </c>
      <c r="H25" s="25">
        <f>IF(E25="","",(E25*4+3+cfgDeslocamento)/48)</f>
        <v>0</v>
      </c>
    </row>
    <row r="26" spans="1:8">
      <c r="A26" s="24"/>
      <c r="B26" s="19"/>
      <c r="C26" s="25">
        <f>IF(D26="","",D26/48)</f>
        <v>0</v>
      </c>
      <c r="D26" s="26">
        <f>IF(A26="","",ROUND((A26-cfgDefasagem/1440)*48,0))</f>
        <v>0</v>
      </c>
      <c r="E26" s="26">
        <f>IF(D26="","",INT((D26-cfgDeslocamento)/4))</f>
        <v>0</v>
      </c>
      <c r="F26" s="26">
        <f>IF(D26="","",MOD(D26-cfgDeslocamento,4)+1)</f>
        <v>0</v>
      </c>
      <c r="G26" s="26">
        <f>IF(A26="","",IF(AND(ISNUMBER(B26),B26&lt;&gt;0),1,0))</f>
        <v>0</v>
      </c>
      <c r="H26" s="25">
        <f>IF(E26="","",(E26*4+3+cfgDeslocamento)/48)</f>
        <v>0</v>
      </c>
    </row>
    <row r="27" spans="1:8">
      <c r="A27" s="24"/>
      <c r="B27" s="19"/>
      <c r="C27" s="25">
        <f>IF(D27="","",D27/48)</f>
        <v>0</v>
      </c>
      <c r="D27" s="26">
        <f>IF(A27="","",ROUND((A27-cfgDefasagem/1440)*48,0))</f>
        <v>0</v>
      </c>
      <c r="E27" s="26">
        <f>IF(D27="","",INT((D27-cfgDeslocamento)/4))</f>
        <v>0</v>
      </c>
      <c r="F27" s="26">
        <f>IF(D27="","",MOD(D27-cfgDeslocamento,4)+1)</f>
        <v>0</v>
      </c>
      <c r="G27" s="26">
        <f>IF(A27="","",IF(AND(ISNUMBER(B27),B27&lt;&gt;0),1,0))</f>
        <v>0</v>
      </c>
      <c r="H27" s="25">
        <f>IF(E27="","",(E27*4+3+cfgDeslocamento)/48)</f>
        <v>0</v>
      </c>
    </row>
    <row r="28" spans="1:8">
      <c r="A28" s="24"/>
      <c r="B28" s="19"/>
      <c r="C28" s="25">
        <f>IF(D28="","",D28/48)</f>
        <v>0</v>
      </c>
      <c r="D28" s="26">
        <f>IF(A28="","",ROUND((A28-cfgDefasagem/1440)*48,0))</f>
        <v>0</v>
      </c>
      <c r="E28" s="26">
        <f>IF(D28="","",INT((D28-cfgDeslocamento)/4))</f>
        <v>0</v>
      </c>
      <c r="F28" s="26">
        <f>IF(D28="","",MOD(D28-cfgDeslocamento,4)+1)</f>
        <v>0</v>
      </c>
      <c r="G28" s="26">
        <f>IF(A28="","",IF(AND(ISNUMBER(B28),B28&lt;&gt;0),1,0))</f>
        <v>0</v>
      </c>
      <c r="H28" s="25">
        <f>IF(E28="","",(E28*4+3+cfgDeslocamento)/48)</f>
        <v>0</v>
      </c>
    </row>
    <row r="29" spans="1:8">
      <c r="A29" s="24"/>
      <c r="B29" s="19"/>
      <c r="C29" s="25">
        <f>IF(D29="","",D29/48)</f>
        <v>0</v>
      </c>
      <c r="D29" s="26">
        <f>IF(A29="","",ROUND((A29-cfgDefasagem/1440)*48,0))</f>
        <v>0</v>
      </c>
      <c r="E29" s="26">
        <f>IF(D29="","",INT((D29-cfgDeslocamento)/4))</f>
        <v>0</v>
      </c>
      <c r="F29" s="26">
        <f>IF(D29="","",MOD(D29-cfgDeslocamento,4)+1)</f>
        <v>0</v>
      </c>
      <c r="G29" s="26">
        <f>IF(A29="","",IF(AND(ISNUMBER(B29),B29&lt;&gt;0),1,0))</f>
        <v>0</v>
      </c>
      <c r="H29" s="25">
        <f>IF(E29="","",(E29*4+3+cfgDeslocamento)/48)</f>
        <v>0</v>
      </c>
    </row>
    <row r="30" spans="1:8">
      <c r="A30" s="24"/>
      <c r="B30" s="19"/>
      <c r="C30" s="25">
        <f>IF(D30="","",D30/48)</f>
        <v>0</v>
      </c>
      <c r="D30" s="26">
        <f>IF(A30="","",ROUND((A30-cfgDefasagem/1440)*48,0))</f>
        <v>0</v>
      </c>
      <c r="E30" s="26">
        <f>IF(D30="","",INT((D30-cfgDeslocamento)/4))</f>
        <v>0</v>
      </c>
      <c r="F30" s="26">
        <f>IF(D30="","",MOD(D30-cfgDeslocamento,4)+1)</f>
        <v>0</v>
      </c>
      <c r="G30" s="26">
        <f>IF(A30="","",IF(AND(ISNUMBER(B30),B30&lt;&gt;0),1,0))</f>
        <v>0</v>
      </c>
      <c r="H30" s="25">
        <f>IF(E30="","",(E30*4+3+cfgDeslocamento)/48)</f>
        <v>0</v>
      </c>
    </row>
    <row r="31" spans="1:8">
      <c r="A31" s="24"/>
      <c r="B31" s="19"/>
      <c r="C31" s="25">
        <f>IF(D31="","",D31/48)</f>
        <v>0</v>
      </c>
      <c r="D31" s="26">
        <f>IF(A31="","",ROUND((A31-cfgDefasagem/1440)*48,0))</f>
        <v>0</v>
      </c>
      <c r="E31" s="26">
        <f>IF(D31="","",INT((D31-cfgDeslocamento)/4))</f>
        <v>0</v>
      </c>
      <c r="F31" s="26">
        <f>IF(D31="","",MOD(D31-cfgDeslocamento,4)+1)</f>
        <v>0</v>
      </c>
      <c r="G31" s="26">
        <f>IF(A31="","",IF(AND(ISNUMBER(B31),B31&lt;&gt;0),1,0))</f>
        <v>0</v>
      </c>
      <c r="H31" s="25">
        <f>IF(E31="","",(E31*4+3+cfgDeslocamento)/48)</f>
        <v>0</v>
      </c>
    </row>
    <row r="32" spans="1:8">
      <c r="A32" s="24"/>
      <c r="B32" s="19"/>
      <c r="C32" s="25">
        <f>IF(D32="","",D32/48)</f>
        <v>0</v>
      </c>
      <c r="D32" s="26">
        <f>IF(A32="","",ROUND((A32-cfgDefasagem/1440)*48,0))</f>
        <v>0</v>
      </c>
      <c r="E32" s="26">
        <f>IF(D32="","",INT((D32-cfgDeslocamento)/4))</f>
        <v>0</v>
      </c>
      <c r="F32" s="26">
        <f>IF(D32="","",MOD(D32-cfgDeslocamento,4)+1)</f>
        <v>0</v>
      </c>
      <c r="G32" s="26">
        <f>IF(A32="","",IF(AND(ISNUMBER(B32),B32&lt;&gt;0),1,0))</f>
        <v>0</v>
      </c>
      <c r="H32" s="25">
        <f>IF(E32="","",(E32*4+3+cfgDeslocamento)/48)</f>
        <v>0</v>
      </c>
    </row>
    <row r="33" spans="1:8">
      <c r="A33" s="24"/>
      <c r="B33" s="19"/>
      <c r="C33" s="25">
        <f>IF(D33="","",D33/48)</f>
        <v>0</v>
      </c>
      <c r="D33" s="26">
        <f>IF(A33="","",ROUND((A33-cfgDefasagem/1440)*48,0))</f>
        <v>0</v>
      </c>
      <c r="E33" s="26">
        <f>IF(D33="","",INT((D33-cfgDeslocamento)/4))</f>
        <v>0</v>
      </c>
      <c r="F33" s="26">
        <f>IF(D33="","",MOD(D33-cfgDeslocamento,4)+1)</f>
        <v>0</v>
      </c>
      <c r="G33" s="26">
        <f>IF(A33="","",IF(AND(ISNUMBER(B33),B33&lt;&gt;0),1,0))</f>
        <v>0</v>
      </c>
      <c r="H33" s="25">
        <f>IF(E33="","",(E33*4+3+cfgDeslocamento)/48)</f>
        <v>0</v>
      </c>
    </row>
    <row r="34" spans="1:8">
      <c r="A34" s="24"/>
      <c r="B34" s="19"/>
      <c r="C34" s="25">
        <f>IF(D34="","",D34/48)</f>
        <v>0</v>
      </c>
      <c r="D34" s="26">
        <f>IF(A34="","",ROUND((A34-cfgDefasagem/1440)*48,0))</f>
        <v>0</v>
      </c>
      <c r="E34" s="26">
        <f>IF(D34="","",INT((D34-cfgDeslocamento)/4))</f>
        <v>0</v>
      </c>
      <c r="F34" s="26">
        <f>IF(D34="","",MOD(D34-cfgDeslocamento,4)+1)</f>
        <v>0</v>
      </c>
      <c r="G34" s="26">
        <f>IF(A34="","",IF(AND(ISNUMBER(B34),B34&lt;&gt;0),1,0))</f>
        <v>0</v>
      </c>
      <c r="H34" s="25">
        <f>IF(E34="","",(E34*4+3+cfgDeslocamento)/48)</f>
        <v>0</v>
      </c>
    </row>
    <row r="35" spans="1:8">
      <c r="A35" s="24"/>
      <c r="B35" s="19"/>
      <c r="C35" s="25">
        <f>IF(D35="","",D35/48)</f>
        <v>0</v>
      </c>
      <c r="D35" s="26">
        <f>IF(A35="","",ROUND((A35-cfgDefasagem/1440)*48,0))</f>
        <v>0</v>
      </c>
      <c r="E35" s="26">
        <f>IF(D35="","",INT((D35-cfgDeslocamento)/4))</f>
        <v>0</v>
      </c>
      <c r="F35" s="26">
        <f>IF(D35="","",MOD(D35-cfgDeslocamento,4)+1)</f>
        <v>0</v>
      </c>
      <c r="G35" s="26">
        <f>IF(A35="","",IF(AND(ISNUMBER(B35),B35&lt;&gt;0),1,0))</f>
        <v>0</v>
      </c>
      <c r="H35" s="25">
        <f>IF(E35="","",(E35*4+3+cfgDeslocamento)/48)</f>
        <v>0</v>
      </c>
    </row>
    <row r="36" spans="1:8">
      <c r="A36" s="24"/>
      <c r="B36" s="19"/>
      <c r="C36" s="25">
        <f>IF(D36="","",D36/48)</f>
        <v>0</v>
      </c>
      <c r="D36" s="26">
        <f>IF(A36="","",ROUND((A36-cfgDefasagem/1440)*48,0))</f>
        <v>0</v>
      </c>
      <c r="E36" s="26">
        <f>IF(D36="","",INT((D36-cfgDeslocamento)/4))</f>
        <v>0</v>
      </c>
      <c r="F36" s="26">
        <f>IF(D36="","",MOD(D36-cfgDeslocamento,4)+1)</f>
        <v>0</v>
      </c>
      <c r="G36" s="26">
        <f>IF(A36="","",IF(AND(ISNUMBER(B36),B36&lt;&gt;0),1,0))</f>
        <v>0</v>
      </c>
      <c r="H36" s="25">
        <f>IF(E36="","",(E36*4+3+cfgDeslocamento)/48)</f>
        <v>0</v>
      </c>
    </row>
    <row r="37" spans="1:8">
      <c r="A37" s="24"/>
      <c r="B37" s="19"/>
      <c r="C37" s="25">
        <f>IF(D37="","",D37/48)</f>
        <v>0</v>
      </c>
      <c r="D37" s="26">
        <f>IF(A37="","",ROUND((A37-cfgDefasagem/1440)*48,0))</f>
        <v>0</v>
      </c>
      <c r="E37" s="26">
        <f>IF(D37="","",INT((D37-cfgDeslocamento)/4))</f>
        <v>0</v>
      </c>
      <c r="F37" s="26">
        <f>IF(D37="","",MOD(D37-cfgDeslocamento,4)+1)</f>
        <v>0</v>
      </c>
      <c r="G37" s="26">
        <f>IF(A37="","",IF(AND(ISNUMBER(B37),B37&lt;&gt;0),1,0))</f>
        <v>0</v>
      </c>
      <c r="H37" s="25">
        <f>IF(E37="","",(E37*4+3+cfgDeslocamento)/48)</f>
        <v>0</v>
      </c>
    </row>
    <row r="38" spans="1:8">
      <c r="A38" s="24"/>
      <c r="B38" s="19"/>
      <c r="C38" s="25">
        <f>IF(D38="","",D38/48)</f>
        <v>0</v>
      </c>
      <c r="D38" s="26">
        <f>IF(A38="","",ROUND((A38-cfgDefasagem/1440)*48,0))</f>
        <v>0</v>
      </c>
      <c r="E38" s="26">
        <f>IF(D38="","",INT((D38-cfgDeslocamento)/4))</f>
        <v>0</v>
      </c>
      <c r="F38" s="26">
        <f>IF(D38="","",MOD(D38-cfgDeslocamento,4)+1)</f>
        <v>0</v>
      </c>
      <c r="G38" s="26">
        <f>IF(A38="","",IF(AND(ISNUMBER(B38),B38&lt;&gt;0),1,0))</f>
        <v>0</v>
      </c>
      <c r="H38" s="25">
        <f>IF(E38="","",(E38*4+3+cfgDeslocamento)/48)</f>
        <v>0</v>
      </c>
    </row>
    <row r="39" spans="1:8">
      <c r="A39" s="24"/>
      <c r="B39" s="19"/>
      <c r="C39" s="25">
        <f>IF(D39="","",D39/48)</f>
        <v>0</v>
      </c>
      <c r="D39" s="26">
        <f>IF(A39="","",ROUND((A39-cfgDefasagem/1440)*48,0))</f>
        <v>0</v>
      </c>
      <c r="E39" s="26">
        <f>IF(D39="","",INT((D39-cfgDeslocamento)/4))</f>
        <v>0</v>
      </c>
      <c r="F39" s="26">
        <f>IF(D39="","",MOD(D39-cfgDeslocamento,4)+1)</f>
        <v>0</v>
      </c>
      <c r="G39" s="26">
        <f>IF(A39="","",IF(AND(ISNUMBER(B39),B39&lt;&gt;0),1,0))</f>
        <v>0</v>
      </c>
      <c r="H39" s="25">
        <f>IF(E39="","",(E39*4+3+cfgDeslocamento)/48)</f>
        <v>0</v>
      </c>
    </row>
    <row r="40" spans="1:8">
      <c r="A40" s="24"/>
      <c r="B40" s="19"/>
      <c r="C40" s="25">
        <f>IF(D40="","",D40/48)</f>
        <v>0</v>
      </c>
      <c r="D40" s="26">
        <f>IF(A40="","",ROUND((A40-cfgDefasagem/1440)*48,0))</f>
        <v>0</v>
      </c>
      <c r="E40" s="26">
        <f>IF(D40="","",INT((D40-cfgDeslocamento)/4))</f>
        <v>0</v>
      </c>
      <c r="F40" s="26">
        <f>IF(D40="","",MOD(D40-cfgDeslocamento,4)+1)</f>
        <v>0</v>
      </c>
      <c r="G40" s="26">
        <f>IF(A40="","",IF(AND(ISNUMBER(B40),B40&lt;&gt;0),1,0))</f>
        <v>0</v>
      </c>
      <c r="H40" s="25">
        <f>IF(E40="","",(E40*4+3+cfgDeslocamento)/48)</f>
        <v>0</v>
      </c>
    </row>
    <row r="41" spans="1:8">
      <c r="A41" s="24"/>
      <c r="B41" s="19"/>
      <c r="C41" s="25">
        <f>IF(D41="","",D41/48)</f>
        <v>0</v>
      </c>
      <c r="D41" s="26">
        <f>IF(A41="","",ROUND((A41-cfgDefasagem/1440)*48,0))</f>
        <v>0</v>
      </c>
      <c r="E41" s="26">
        <f>IF(D41="","",INT((D41-cfgDeslocamento)/4))</f>
        <v>0</v>
      </c>
      <c r="F41" s="26">
        <f>IF(D41="","",MOD(D41-cfgDeslocamento,4)+1)</f>
        <v>0</v>
      </c>
      <c r="G41" s="26">
        <f>IF(A41="","",IF(AND(ISNUMBER(B41),B41&lt;&gt;0),1,0))</f>
        <v>0</v>
      </c>
      <c r="H41" s="25">
        <f>IF(E41="","",(E41*4+3+cfgDeslocamento)/48)</f>
        <v>0</v>
      </c>
    </row>
    <row r="42" spans="1:8">
      <c r="A42" s="24"/>
      <c r="B42" s="19"/>
      <c r="C42" s="25">
        <f>IF(D42="","",D42/48)</f>
        <v>0</v>
      </c>
      <c r="D42" s="26">
        <f>IF(A42="","",ROUND((A42-cfgDefasagem/1440)*48,0))</f>
        <v>0</v>
      </c>
      <c r="E42" s="26">
        <f>IF(D42="","",INT((D42-cfgDeslocamento)/4))</f>
        <v>0</v>
      </c>
      <c r="F42" s="26">
        <f>IF(D42="","",MOD(D42-cfgDeslocamento,4)+1)</f>
        <v>0</v>
      </c>
      <c r="G42" s="26">
        <f>IF(A42="","",IF(AND(ISNUMBER(B42),B42&lt;&gt;0),1,0))</f>
        <v>0</v>
      </c>
      <c r="H42" s="25">
        <f>IF(E42="","",(E42*4+3+cfgDeslocamento)/48)</f>
        <v>0</v>
      </c>
    </row>
    <row r="43" spans="1:8">
      <c r="A43" s="24"/>
      <c r="B43" s="19"/>
      <c r="C43" s="25">
        <f>IF(D43="","",D43/48)</f>
        <v>0</v>
      </c>
      <c r="D43" s="26">
        <f>IF(A43="","",ROUND((A43-cfgDefasagem/1440)*48,0))</f>
        <v>0</v>
      </c>
      <c r="E43" s="26">
        <f>IF(D43="","",INT((D43-cfgDeslocamento)/4))</f>
        <v>0</v>
      </c>
      <c r="F43" s="26">
        <f>IF(D43="","",MOD(D43-cfgDeslocamento,4)+1)</f>
        <v>0</v>
      </c>
      <c r="G43" s="26">
        <f>IF(A43="","",IF(AND(ISNUMBER(B43),B43&lt;&gt;0),1,0))</f>
        <v>0</v>
      </c>
      <c r="H43" s="25">
        <f>IF(E43="","",(E43*4+3+cfgDeslocamento)/48)</f>
        <v>0</v>
      </c>
    </row>
    <row r="44" spans="1:8">
      <c r="A44" s="24"/>
      <c r="B44" s="19"/>
      <c r="C44" s="25">
        <f>IF(D44="","",D44/48)</f>
        <v>0</v>
      </c>
      <c r="D44" s="26">
        <f>IF(A44="","",ROUND((A44-cfgDefasagem/1440)*48,0))</f>
        <v>0</v>
      </c>
      <c r="E44" s="26">
        <f>IF(D44="","",INT((D44-cfgDeslocamento)/4))</f>
        <v>0</v>
      </c>
      <c r="F44" s="26">
        <f>IF(D44="","",MOD(D44-cfgDeslocamento,4)+1)</f>
        <v>0</v>
      </c>
      <c r="G44" s="26">
        <f>IF(A44="","",IF(AND(ISNUMBER(B44),B44&lt;&gt;0),1,0))</f>
        <v>0</v>
      </c>
      <c r="H44" s="25">
        <f>IF(E44="","",(E44*4+3+cfgDeslocamento)/48)</f>
        <v>0</v>
      </c>
    </row>
    <row r="45" spans="1:8">
      <c r="A45" s="24"/>
      <c r="B45" s="19"/>
      <c r="C45" s="25">
        <f>IF(D45="","",D45/48)</f>
        <v>0</v>
      </c>
      <c r="D45" s="26">
        <f>IF(A45="","",ROUND((A45-cfgDefasagem/1440)*48,0))</f>
        <v>0</v>
      </c>
      <c r="E45" s="26">
        <f>IF(D45="","",INT((D45-cfgDeslocamento)/4))</f>
        <v>0</v>
      </c>
      <c r="F45" s="26">
        <f>IF(D45="","",MOD(D45-cfgDeslocamento,4)+1)</f>
        <v>0</v>
      </c>
      <c r="G45" s="26">
        <f>IF(A45="","",IF(AND(ISNUMBER(B45),B45&lt;&gt;0),1,0))</f>
        <v>0</v>
      </c>
      <c r="H45" s="25">
        <f>IF(E45="","",(E45*4+3+cfgDeslocamento)/48)</f>
        <v>0</v>
      </c>
    </row>
    <row r="46" spans="1:8">
      <c r="A46" s="24"/>
      <c r="B46" s="19"/>
      <c r="C46" s="25">
        <f>IF(D46="","",D46/48)</f>
        <v>0</v>
      </c>
      <c r="D46" s="26">
        <f>IF(A46="","",ROUND((A46-cfgDefasagem/1440)*48,0))</f>
        <v>0</v>
      </c>
      <c r="E46" s="26">
        <f>IF(D46="","",INT((D46-cfgDeslocamento)/4))</f>
        <v>0</v>
      </c>
      <c r="F46" s="26">
        <f>IF(D46="","",MOD(D46-cfgDeslocamento,4)+1)</f>
        <v>0</v>
      </c>
      <c r="G46" s="26">
        <f>IF(A46="","",IF(AND(ISNUMBER(B46),B46&lt;&gt;0),1,0))</f>
        <v>0</v>
      </c>
      <c r="H46" s="25">
        <f>IF(E46="","",(E46*4+3+cfgDeslocamento)/48)</f>
        <v>0</v>
      </c>
    </row>
    <row r="47" spans="1:8">
      <c r="A47" s="24"/>
      <c r="B47" s="19"/>
      <c r="C47" s="25">
        <f>IF(D47="","",D47/48)</f>
        <v>0</v>
      </c>
      <c r="D47" s="26">
        <f>IF(A47="","",ROUND((A47-cfgDefasagem/1440)*48,0))</f>
        <v>0</v>
      </c>
      <c r="E47" s="26">
        <f>IF(D47="","",INT((D47-cfgDeslocamento)/4))</f>
        <v>0</v>
      </c>
      <c r="F47" s="26">
        <f>IF(D47="","",MOD(D47-cfgDeslocamento,4)+1)</f>
        <v>0</v>
      </c>
      <c r="G47" s="26">
        <f>IF(A47="","",IF(AND(ISNUMBER(B47),B47&lt;&gt;0),1,0))</f>
        <v>0</v>
      </c>
      <c r="H47" s="25">
        <f>IF(E47="","",(E47*4+3+cfgDeslocamento)/48)</f>
        <v>0</v>
      </c>
    </row>
    <row r="48" spans="1:8">
      <c r="A48" s="24"/>
      <c r="B48" s="19"/>
      <c r="C48" s="25">
        <f>IF(D48="","",D48/48)</f>
        <v>0</v>
      </c>
      <c r="D48" s="26">
        <f>IF(A48="","",ROUND((A48-cfgDefasagem/1440)*48,0))</f>
        <v>0</v>
      </c>
      <c r="E48" s="26">
        <f>IF(D48="","",INT((D48-cfgDeslocamento)/4))</f>
        <v>0</v>
      </c>
      <c r="F48" s="26">
        <f>IF(D48="","",MOD(D48-cfgDeslocamento,4)+1)</f>
        <v>0</v>
      </c>
      <c r="G48" s="26">
        <f>IF(A48="","",IF(AND(ISNUMBER(B48),B48&lt;&gt;0),1,0))</f>
        <v>0</v>
      </c>
      <c r="H48" s="25">
        <f>IF(E48="","",(E48*4+3+cfgDeslocamento)/48)</f>
        <v>0</v>
      </c>
    </row>
    <row r="49" spans="1:8">
      <c r="A49" s="24"/>
      <c r="B49" s="19"/>
      <c r="C49" s="25">
        <f>IF(D49="","",D49/48)</f>
        <v>0</v>
      </c>
      <c r="D49" s="26">
        <f>IF(A49="","",ROUND((A49-cfgDefasagem/1440)*48,0))</f>
        <v>0</v>
      </c>
      <c r="E49" s="26">
        <f>IF(D49="","",INT((D49-cfgDeslocamento)/4))</f>
        <v>0</v>
      </c>
      <c r="F49" s="26">
        <f>IF(D49="","",MOD(D49-cfgDeslocamento,4)+1)</f>
        <v>0</v>
      </c>
      <c r="G49" s="26">
        <f>IF(A49="","",IF(AND(ISNUMBER(B49),B49&lt;&gt;0),1,0))</f>
        <v>0</v>
      </c>
      <c r="H49" s="25">
        <f>IF(E49="","",(E49*4+3+cfgDeslocamento)/48)</f>
        <v>0</v>
      </c>
    </row>
    <row r="50" spans="1:8">
      <c r="A50" s="24"/>
      <c r="B50" s="19"/>
      <c r="C50" s="25">
        <f>IF(D50="","",D50/48)</f>
        <v>0</v>
      </c>
      <c r="D50" s="26">
        <f>IF(A50="","",ROUND((A50-cfgDefasagem/1440)*48,0))</f>
        <v>0</v>
      </c>
      <c r="E50" s="26">
        <f>IF(D50="","",INT((D50-cfgDeslocamento)/4))</f>
        <v>0</v>
      </c>
      <c r="F50" s="26">
        <f>IF(D50="","",MOD(D50-cfgDeslocamento,4)+1)</f>
        <v>0</v>
      </c>
      <c r="G50" s="26">
        <f>IF(A50="","",IF(AND(ISNUMBER(B50),B50&lt;&gt;0),1,0))</f>
        <v>0</v>
      </c>
      <c r="H50" s="25">
        <f>IF(E50="","",(E50*4+3+cfgDeslocamento)/48)</f>
        <v>0</v>
      </c>
    </row>
    <row r="51" spans="1:8">
      <c r="A51" s="24"/>
      <c r="B51" s="19"/>
      <c r="C51" s="25">
        <f>IF(D51="","",D51/48)</f>
        <v>0</v>
      </c>
      <c r="D51" s="26">
        <f>IF(A51="","",ROUND((A51-cfgDefasagem/1440)*48,0))</f>
        <v>0</v>
      </c>
      <c r="E51" s="26">
        <f>IF(D51="","",INT((D51-cfgDeslocamento)/4))</f>
        <v>0</v>
      </c>
      <c r="F51" s="26">
        <f>IF(D51="","",MOD(D51-cfgDeslocamento,4)+1)</f>
        <v>0</v>
      </c>
      <c r="G51" s="26">
        <f>IF(A51="","",IF(AND(ISNUMBER(B51),B51&lt;&gt;0),1,0))</f>
        <v>0</v>
      </c>
      <c r="H51" s="25">
        <f>IF(E51="","",(E51*4+3+cfgDeslocamento)/48)</f>
        <v>0</v>
      </c>
    </row>
    <row r="52" spans="1:8">
      <c r="A52" s="24"/>
      <c r="B52" s="19"/>
      <c r="C52" s="25">
        <f>IF(D52="","",D52/48)</f>
        <v>0</v>
      </c>
      <c r="D52" s="26">
        <f>IF(A52="","",ROUND((A52-cfgDefasagem/1440)*48,0))</f>
        <v>0</v>
      </c>
      <c r="E52" s="26">
        <f>IF(D52="","",INT((D52-cfgDeslocamento)/4))</f>
        <v>0</v>
      </c>
      <c r="F52" s="26">
        <f>IF(D52="","",MOD(D52-cfgDeslocamento,4)+1)</f>
        <v>0</v>
      </c>
      <c r="G52" s="26">
        <f>IF(A52="","",IF(AND(ISNUMBER(B52),B52&lt;&gt;0),1,0))</f>
        <v>0</v>
      </c>
      <c r="H52" s="25">
        <f>IF(E52="","",(E52*4+3+cfgDeslocamento)/48)</f>
        <v>0</v>
      </c>
    </row>
    <row r="53" spans="1:8">
      <c r="A53" s="24"/>
      <c r="B53" s="19"/>
      <c r="C53" s="25">
        <f>IF(D53="","",D53/48)</f>
        <v>0</v>
      </c>
      <c r="D53" s="26">
        <f>IF(A53="","",ROUND((A53-cfgDefasagem/1440)*48,0))</f>
        <v>0</v>
      </c>
      <c r="E53" s="26">
        <f>IF(D53="","",INT((D53-cfgDeslocamento)/4))</f>
        <v>0</v>
      </c>
      <c r="F53" s="26">
        <f>IF(D53="","",MOD(D53-cfgDeslocamento,4)+1)</f>
        <v>0</v>
      </c>
      <c r="G53" s="26">
        <f>IF(A53="","",IF(AND(ISNUMBER(B53),B53&lt;&gt;0),1,0))</f>
        <v>0</v>
      </c>
      <c r="H53" s="25">
        <f>IF(E53="","",(E53*4+3+cfgDeslocamento)/48)</f>
        <v>0</v>
      </c>
    </row>
    <row r="54" spans="1:8">
      <c r="A54" s="24"/>
      <c r="B54" s="19"/>
      <c r="C54" s="25">
        <f>IF(D54="","",D54/48)</f>
        <v>0</v>
      </c>
      <c r="D54" s="26">
        <f>IF(A54="","",ROUND((A54-cfgDefasagem/1440)*48,0))</f>
        <v>0</v>
      </c>
      <c r="E54" s="26">
        <f>IF(D54="","",INT((D54-cfgDeslocamento)/4))</f>
        <v>0</v>
      </c>
      <c r="F54" s="26">
        <f>IF(D54="","",MOD(D54-cfgDeslocamento,4)+1)</f>
        <v>0</v>
      </c>
      <c r="G54" s="26">
        <f>IF(A54="","",IF(AND(ISNUMBER(B54),B54&lt;&gt;0),1,0))</f>
        <v>0</v>
      </c>
      <c r="H54" s="25">
        <f>IF(E54="","",(E54*4+3+cfgDeslocamento)/48)</f>
        <v>0</v>
      </c>
    </row>
    <row r="55" spans="1:8">
      <c r="A55" s="24"/>
      <c r="B55" s="19"/>
      <c r="C55" s="25">
        <f>IF(D55="","",D55/48)</f>
        <v>0</v>
      </c>
      <c r="D55" s="26">
        <f>IF(A55="","",ROUND((A55-cfgDefasagem/1440)*48,0))</f>
        <v>0</v>
      </c>
      <c r="E55" s="26">
        <f>IF(D55="","",INT((D55-cfgDeslocamento)/4))</f>
        <v>0</v>
      </c>
      <c r="F55" s="26">
        <f>IF(D55="","",MOD(D55-cfgDeslocamento,4)+1)</f>
        <v>0</v>
      </c>
      <c r="G55" s="26">
        <f>IF(A55="","",IF(AND(ISNUMBER(B55),B55&lt;&gt;0),1,0))</f>
        <v>0</v>
      </c>
      <c r="H55" s="25">
        <f>IF(E55="","",(E55*4+3+cfgDeslocamento)/48)</f>
        <v>0</v>
      </c>
    </row>
    <row r="56" spans="1:8">
      <c r="A56" s="24"/>
      <c r="B56" s="19"/>
      <c r="C56" s="25">
        <f>IF(D56="","",D56/48)</f>
        <v>0</v>
      </c>
      <c r="D56" s="26">
        <f>IF(A56="","",ROUND((A56-cfgDefasagem/1440)*48,0))</f>
        <v>0</v>
      </c>
      <c r="E56" s="26">
        <f>IF(D56="","",INT((D56-cfgDeslocamento)/4))</f>
        <v>0</v>
      </c>
      <c r="F56" s="26">
        <f>IF(D56="","",MOD(D56-cfgDeslocamento,4)+1)</f>
        <v>0</v>
      </c>
      <c r="G56" s="26">
        <f>IF(A56="","",IF(AND(ISNUMBER(B56),B56&lt;&gt;0),1,0))</f>
        <v>0</v>
      </c>
      <c r="H56" s="25">
        <f>IF(E56="","",(E56*4+3+cfgDeslocamento)/48)</f>
        <v>0</v>
      </c>
    </row>
    <row r="57" spans="1:8">
      <c r="A57" s="24"/>
      <c r="B57" s="19"/>
      <c r="C57" s="25">
        <f>IF(D57="","",D57/48)</f>
        <v>0</v>
      </c>
      <c r="D57" s="26">
        <f>IF(A57="","",ROUND((A57-cfgDefasagem/1440)*48,0))</f>
        <v>0</v>
      </c>
      <c r="E57" s="26">
        <f>IF(D57="","",INT((D57-cfgDeslocamento)/4))</f>
        <v>0</v>
      </c>
      <c r="F57" s="26">
        <f>IF(D57="","",MOD(D57-cfgDeslocamento,4)+1)</f>
        <v>0</v>
      </c>
      <c r="G57" s="26">
        <f>IF(A57="","",IF(AND(ISNUMBER(B57),B57&lt;&gt;0),1,0))</f>
        <v>0</v>
      </c>
      <c r="H57" s="25">
        <f>IF(E57="","",(E57*4+3+cfgDeslocamento)/48)</f>
        <v>0</v>
      </c>
    </row>
    <row r="58" spans="1:8">
      <c r="A58" s="24"/>
      <c r="B58" s="19"/>
      <c r="C58" s="25">
        <f>IF(D58="","",D58/48)</f>
        <v>0</v>
      </c>
      <c r="D58" s="26">
        <f>IF(A58="","",ROUND((A58-cfgDefasagem/1440)*48,0))</f>
        <v>0</v>
      </c>
      <c r="E58" s="26">
        <f>IF(D58="","",INT((D58-cfgDeslocamento)/4))</f>
        <v>0</v>
      </c>
      <c r="F58" s="26">
        <f>IF(D58="","",MOD(D58-cfgDeslocamento,4)+1)</f>
        <v>0</v>
      </c>
      <c r="G58" s="26">
        <f>IF(A58="","",IF(AND(ISNUMBER(B58),B58&lt;&gt;0),1,0))</f>
        <v>0</v>
      </c>
      <c r="H58" s="25">
        <f>IF(E58="","",(E58*4+3+cfgDeslocamento)/48)</f>
        <v>0</v>
      </c>
    </row>
    <row r="59" spans="1:8">
      <c r="A59" s="24"/>
      <c r="B59" s="19"/>
      <c r="C59" s="25">
        <f>IF(D59="","",D59/48)</f>
        <v>0</v>
      </c>
      <c r="D59" s="26">
        <f>IF(A59="","",ROUND((A59-cfgDefasagem/1440)*48,0))</f>
        <v>0</v>
      </c>
      <c r="E59" s="26">
        <f>IF(D59="","",INT((D59-cfgDeslocamento)/4))</f>
        <v>0</v>
      </c>
      <c r="F59" s="26">
        <f>IF(D59="","",MOD(D59-cfgDeslocamento,4)+1)</f>
        <v>0</v>
      </c>
      <c r="G59" s="26">
        <f>IF(A59="","",IF(AND(ISNUMBER(B59),B59&lt;&gt;0),1,0))</f>
        <v>0</v>
      </c>
      <c r="H59" s="25">
        <f>IF(E59="","",(E59*4+3+cfgDeslocamento)/48)</f>
        <v>0</v>
      </c>
    </row>
    <row r="60" spans="1:8">
      <c r="A60" s="24"/>
      <c r="B60" s="19"/>
      <c r="C60" s="25">
        <f>IF(D60="","",D60/48)</f>
        <v>0</v>
      </c>
      <c r="D60" s="26">
        <f>IF(A60="","",ROUND((A60-cfgDefasagem/1440)*48,0))</f>
        <v>0</v>
      </c>
      <c r="E60" s="26">
        <f>IF(D60="","",INT((D60-cfgDeslocamento)/4))</f>
        <v>0</v>
      </c>
      <c r="F60" s="26">
        <f>IF(D60="","",MOD(D60-cfgDeslocamento,4)+1)</f>
        <v>0</v>
      </c>
      <c r="G60" s="26">
        <f>IF(A60="","",IF(AND(ISNUMBER(B60),B60&lt;&gt;0),1,0))</f>
        <v>0</v>
      </c>
      <c r="H60" s="25">
        <f>IF(E60="","",(E60*4+3+cfgDeslocamento)/48)</f>
        <v>0</v>
      </c>
    </row>
    <row r="61" spans="1:8">
      <c r="A61" s="24"/>
      <c r="B61" s="19"/>
      <c r="C61" s="25">
        <f>IF(D61="","",D61/48)</f>
        <v>0</v>
      </c>
      <c r="D61" s="26">
        <f>IF(A61="","",ROUND((A61-cfgDefasagem/1440)*48,0))</f>
        <v>0</v>
      </c>
      <c r="E61" s="26">
        <f>IF(D61="","",INT((D61-cfgDeslocamento)/4))</f>
        <v>0</v>
      </c>
      <c r="F61" s="26">
        <f>IF(D61="","",MOD(D61-cfgDeslocamento,4)+1)</f>
        <v>0</v>
      </c>
      <c r="G61" s="26">
        <f>IF(A61="","",IF(AND(ISNUMBER(B61),B61&lt;&gt;0),1,0))</f>
        <v>0</v>
      </c>
      <c r="H61" s="25">
        <f>IF(E61="","",(E61*4+3+cfgDeslocamento)/48)</f>
        <v>0</v>
      </c>
    </row>
    <row r="62" spans="1:8">
      <c r="A62" s="24"/>
      <c r="B62" s="19"/>
      <c r="C62" s="25">
        <f>IF(D62="","",D62/48)</f>
        <v>0</v>
      </c>
      <c r="D62" s="26">
        <f>IF(A62="","",ROUND((A62-cfgDefasagem/1440)*48,0))</f>
        <v>0</v>
      </c>
      <c r="E62" s="26">
        <f>IF(D62="","",INT((D62-cfgDeslocamento)/4))</f>
        <v>0</v>
      </c>
      <c r="F62" s="26">
        <f>IF(D62="","",MOD(D62-cfgDeslocamento,4)+1)</f>
        <v>0</v>
      </c>
      <c r="G62" s="26">
        <f>IF(A62="","",IF(AND(ISNUMBER(B62),B62&lt;&gt;0),1,0))</f>
        <v>0</v>
      </c>
      <c r="H62" s="25">
        <f>IF(E62="","",(E62*4+3+cfgDeslocamento)/48)</f>
        <v>0</v>
      </c>
    </row>
    <row r="63" spans="1:8">
      <c r="A63" s="24"/>
      <c r="B63" s="19"/>
      <c r="C63" s="25">
        <f>IF(D63="","",D63/48)</f>
        <v>0</v>
      </c>
      <c r="D63" s="26">
        <f>IF(A63="","",ROUND((A63-cfgDefasagem/1440)*48,0))</f>
        <v>0</v>
      </c>
      <c r="E63" s="26">
        <f>IF(D63="","",INT((D63-cfgDeslocamento)/4))</f>
        <v>0</v>
      </c>
      <c r="F63" s="26">
        <f>IF(D63="","",MOD(D63-cfgDeslocamento,4)+1)</f>
        <v>0</v>
      </c>
      <c r="G63" s="26">
        <f>IF(A63="","",IF(AND(ISNUMBER(B63),B63&lt;&gt;0),1,0))</f>
        <v>0</v>
      </c>
      <c r="H63" s="25">
        <f>IF(E63="","",(E63*4+3+cfgDeslocamento)/48)</f>
        <v>0</v>
      </c>
    </row>
    <row r="64" spans="1:8">
      <c r="A64" s="24"/>
      <c r="B64" s="19"/>
      <c r="C64" s="25">
        <f>IF(D64="","",D64/48)</f>
        <v>0</v>
      </c>
      <c r="D64" s="26">
        <f>IF(A64="","",ROUND((A64-cfgDefasagem/1440)*48,0))</f>
        <v>0</v>
      </c>
      <c r="E64" s="26">
        <f>IF(D64="","",INT((D64-cfgDeslocamento)/4))</f>
        <v>0</v>
      </c>
      <c r="F64" s="26">
        <f>IF(D64="","",MOD(D64-cfgDeslocamento,4)+1)</f>
        <v>0</v>
      </c>
      <c r="G64" s="26">
        <f>IF(A64="","",IF(AND(ISNUMBER(B64),B64&lt;&gt;0),1,0))</f>
        <v>0</v>
      </c>
      <c r="H64" s="25">
        <f>IF(E64="","",(E64*4+3+cfgDeslocamento)/48)</f>
        <v>0</v>
      </c>
    </row>
    <row r="65" spans="1:8">
      <c r="A65" s="24"/>
      <c r="B65" s="19"/>
      <c r="C65" s="25">
        <f>IF(D65="","",D65/48)</f>
        <v>0</v>
      </c>
      <c r="D65" s="26">
        <f>IF(A65="","",ROUND((A65-cfgDefasagem/1440)*48,0))</f>
        <v>0</v>
      </c>
      <c r="E65" s="26">
        <f>IF(D65="","",INT((D65-cfgDeslocamento)/4))</f>
        <v>0</v>
      </c>
      <c r="F65" s="26">
        <f>IF(D65="","",MOD(D65-cfgDeslocamento,4)+1)</f>
        <v>0</v>
      </c>
      <c r="G65" s="26">
        <f>IF(A65="","",IF(AND(ISNUMBER(B65),B65&lt;&gt;0),1,0))</f>
        <v>0</v>
      </c>
      <c r="H65" s="25">
        <f>IF(E65="","",(E65*4+3+cfgDeslocamento)/48)</f>
        <v>0</v>
      </c>
    </row>
    <row r="66" spans="1:8">
      <c r="A66" s="24"/>
      <c r="B66" s="19"/>
      <c r="C66" s="25">
        <f>IF(D66="","",D66/48)</f>
        <v>0</v>
      </c>
      <c r="D66" s="26">
        <f>IF(A66="","",ROUND((A66-cfgDefasagem/1440)*48,0))</f>
        <v>0</v>
      </c>
      <c r="E66" s="26">
        <f>IF(D66="","",INT((D66-cfgDeslocamento)/4))</f>
        <v>0</v>
      </c>
      <c r="F66" s="26">
        <f>IF(D66="","",MOD(D66-cfgDeslocamento,4)+1)</f>
        <v>0</v>
      </c>
      <c r="G66" s="26">
        <f>IF(A66="","",IF(AND(ISNUMBER(B66),B66&lt;&gt;0),1,0))</f>
        <v>0</v>
      </c>
      <c r="H66" s="25">
        <f>IF(E66="","",(E66*4+3+cfgDeslocamento)/48)</f>
        <v>0</v>
      </c>
    </row>
    <row r="67" spans="1:8">
      <c r="A67" s="24"/>
      <c r="B67" s="19"/>
      <c r="C67" s="25">
        <f>IF(D67="","",D67/48)</f>
        <v>0</v>
      </c>
      <c r="D67" s="26">
        <f>IF(A67="","",ROUND((A67-cfgDefasagem/1440)*48,0))</f>
        <v>0</v>
      </c>
      <c r="E67" s="26">
        <f>IF(D67="","",INT((D67-cfgDeslocamento)/4))</f>
        <v>0</v>
      </c>
      <c r="F67" s="26">
        <f>IF(D67="","",MOD(D67-cfgDeslocamento,4)+1)</f>
        <v>0</v>
      </c>
      <c r="G67" s="26">
        <f>IF(A67="","",IF(AND(ISNUMBER(B67),B67&lt;&gt;0),1,0))</f>
        <v>0</v>
      </c>
      <c r="H67" s="25">
        <f>IF(E67="","",(E67*4+3+cfgDeslocamento)/48)</f>
        <v>0</v>
      </c>
    </row>
    <row r="68" spans="1:8">
      <c r="A68" s="24"/>
      <c r="B68" s="19"/>
      <c r="C68" s="25">
        <f>IF(D68="","",D68/48)</f>
        <v>0</v>
      </c>
      <c r="D68" s="26">
        <f>IF(A68="","",ROUND((A68-cfgDefasagem/1440)*48,0))</f>
        <v>0</v>
      </c>
      <c r="E68" s="26">
        <f>IF(D68="","",INT((D68-cfgDeslocamento)/4))</f>
        <v>0</v>
      </c>
      <c r="F68" s="26">
        <f>IF(D68="","",MOD(D68-cfgDeslocamento,4)+1)</f>
        <v>0</v>
      </c>
      <c r="G68" s="26">
        <f>IF(A68="","",IF(AND(ISNUMBER(B68),B68&lt;&gt;0),1,0))</f>
        <v>0</v>
      </c>
      <c r="H68" s="25">
        <f>IF(E68="","",(E68*4+3+cfgDeslocamento)/48)</f>
        <v>0</v>
      </c>
    </row>
    <row r="69" spans="1:8">
      <c r="A69" s="24"/>
      <c r="B69" s="19"/>
      <c r="C69" s="25">
        <f>IF(D69="","",D69/48)</f>
        <v>0</v>
      </c>
      <c r="D69" s="26">
        <f>IF(A69="","",ROUND((A69-cfgDefasagem/1440)*48,0))</f>
        <v>0</v>
      </c>
      <c r="E69" s="26">
        <f>IF(D69="","",INT((D69-cfgDeslocamento)/4))</f>
        <v>0</v>
      </c>
      <c r="F69" s="26">
        <f>IF(D69="","",MOD(D69-cfgDeslocamento,4)+1)</f>
        <v>0</v>
      </c>
      <c r="G69" s="26">
        <f>IF(A69="","",IF(AND(ISNUMBER(B69),B69&lt;&gt;0),1,0))</f>
        <v>0</v>
      </c>
      <c r="H69" s="25">
        <f>IF(E69="","",(E69*4+3+cfgDeslocamento)/48)</f>
        <v>0</v>
      </c>
    </row>
    <row r="70" spans="1:8">
      <c r="A70" s="24"/>
      <c r="B70" s="19"/>
      <c r="C70" s="25">
        <f>IF(D70="","",D70/48)</f>
        <v>0</v>
      </c>
      <c r="D70" s="26">
        <f>IF(A70="","",ROUND((A70-cfgDefasagem/1440)*48,0))</f>
        <v>0</v>
      </c>
      <c r="E70" s="26">
        <f>IF(D70="","",INT((D70-cfgDeslocamento)/4))</f>
        <v>0</v>
      </c>
      <c r="F70" s="26">
        <f>IF(D70="","",MOD(D70-cfgDeslocamento,4)+1)</f>
        <v>0</v>
      </c>
      <c r="G70" s="26">
        <f>IF(A70="","",IF(AND(ISNUMBER(B70),B70&lt;&gt;0),1,0))</f>
        <v>0</v>
      </c>
      <c r="H70" s="25">
        <f>IF(E70="","",(E70*4+3+cfgDeslocamento)/48)</f>
        <v>0</v>
      </c>
    </row>
    <row r="71" spans="1:8">
      <c r="A71" s="24"/>
      <c r="B71" s="19"/>
      <c r="C71" s="25">
        <f>IF(D71="","",D71/48)</f>
        <v>0</v>
      </c>
      <c r="D71" s="26">
        <f>IF(A71="","",ROUND((A71-cfgDefasagem/1440)*48,0))</f>
        <v>0</v>
      </c>
      <c r="E71" s="26">
        <f>IF(D71="","",INT((D71-cfgDeslocamento)/4))</f>
        <v>0</v>
      </c>
      <c r="F71" s="26">
        <f>IF(D71="","",MOD(D71-cfgDeslocamento,4)+1)</f>
        <v>0</v>
      </c>
      <c r="G71" s="26">
        <f>IF(A71="","",IF(AND(ISNUMBER(B71),B71&lt;&gt;0),1,0))</f>
        <v>0</v>
      </c>
      <c r="H71" s="25">
        <f>IF(E71="","",(E71*4+3+cfgDeslocamento)/48)</f>
        <v>0</v>
      </c>
    </row>
    <row r="72" spans="1:8">
      <c r="A72" s="24"/>
      <c r="B72" s="19"/>
      <c r="C72" s="25">
        <f>IF(D72="","",D72/48)</f>
        <v>0</v>
      </c>
      <c r="D72" s="26">
        <f>IF(A72="","",ROUND((A72-cfgDefasagem/1440)*48,0))</f>
        <v>0</v>
      </c>
      <c r="E72" s="26">
        <f>IF(D72="","",INT((D72-cfgDeslocamento)/4))</f>
        <v>0</v>
      </c>
      <c r="F72" s="26">
        <f>IF(D72="","",MOD(D72-cfgDeslocamento,4)+1)</f>
        <v>0</v>
      </c>
      <c r="G72" s="26">
        <f>IF(A72="","",IF(AND(ISNUMBER(B72),B72&lt;&gt;0),1,0))</f>
        <v>0</v>
      </c>
      <c r="H72" s="25">
        <f>IF(E72="","",(E72*4+3+cfgDeslocamento)/48)</f>
        <v>0</v>
      </c>
    </row>
    <row r="73" spans="1:8">
      <c r="A73" s="24"/>
      <c r="B73" s="19"/>
      <c r="C73" s="25">
        <f>IF(D73="","",D73/48)</f>
        <v>0</v>
      </c>
      <c r="D73" s="26">
        <f>IF(A73="","",ROUND((A73-cfgDefasagem/1440)*48,0))</f>
        <v>0</v>
      </c>
      <c r="E73" s="26">
        <f>IF(D73="","",INT((D73-cfgDeslocamento)/4))</f>
        <v>0</v>
      </c>
      <c r="F73" s="26">
        <f>IF(D73="","",MOD(D73-cfgDeslocamento,4)+1)</f>
        <v>0</v>
      </c>
      <c r="G73" s="26">
        <f>IF(A73="","",IF(AND(ISNUMBER(B73),B73&lt;&gt;0),1,0))</f>
        <v>0</v>
      </c>
      <c r="H73" s="25">
        <f>IF(E73="","",(E73*4+3+cfgDeslocamento)/48)</f>
        <v>0</v>
      </c>
    </row>
    <row r="74" spans="1:8">
      <c r="A74" s="24"/>
      <c r="B74" s="19"/>
      <c r="C74" s="25">
        <f>IF(D74="","",D74/48)</f>
        <v>0</v>
      </c>
      <c r="D74" s="26">
        <f>IF(A74="","",ROUND((A74-cfgDefasagem/1440)*48,0))</f>
        <v>0</v>
      </c>
      <c r="E74" s="26">
        <f>IF(D74="","",INT((D74-cfgDeslocamento)/4))</f>
        <v>0</v>
      </c>
      <c r="F74" s="26">
        <f>IF(D74="","",MOD(D74-cfgDeslocamento,4)+1)</f>
        <v>0</v>
      </c>
      <c r="G74" s="26">
        <f>IF(A74="","",IF(AND(ISNUMBER(B74),B74&lt;&gt;0),1,0))</f>
        <v>0</v>
      </c>
      <c r="H74" s="25">
        <f>IF(E74="","",(E74*4+3+cfgDeslocamento)/48)</f>
        <v>0</v>
      </c>
    </row>
    <row r="75" spans="1:8">
      <c r="A75" s="24"/>
      <c r="B75" s="19"/>
      <c r="C75" s="25">
        <f>IF(D75="","",D75/48)</f>
        <v>0</v>
      </c>
      <c r="D75" s="26">
        <f>IF(A75="","",ROUND((A75-cfgDefasagem/1440)*48,0))</f>
        <v>0</v>
      </c>
      <c r="E75" s="26">
        <f>IF(D75="","",INT((D75-cfgDeslocamento)/4))</f>
        <v>0</v>
      </c>
      <c r="F75" s="26">
        <f>IF(D75="","",MOD(D75-cfgDeslocamento,4)+1)</f>
        <v>0</v>
      </c>
      <c r="G75" s="26">
        <f>IF(A75="","",IF(AND(ISNUMBER(B75),B75&lt;&gt;0),1,0))</f>
        <v>0</v>
      </c>
      <c r="H75" s="25">
        <f>IF(E75="","",(E75*4+3+cfgDeslocamento)/48)</f>
        <v>0</v>
      </c>
    </row>
    <row r="76" spans="1:8">
      <c r="A76" s="24"/>
      <c r="B76" s="19"/>
      <c r="C76" s="25">
        <f>IF(D76="","",D76/48)</f>
        <v>0</v>
      </c>
      <c r="D76" s="26">
        <f>IF(A76="","",ROUND((A76-cfgDefasagem/1440)*48,0))</f>
        <v>0</v>
      </c>
      <c r="E76" s="26">
        <f>IF(D76="","",INT((D76-cfgDeslocamento)/4))</f>
        <v>0</v>
      </c>
      <c r="F76" s="26">
        <f>IF(D76="","",MOD(D76-cfgDeslocamento,4)+1)</f>
        <v>0</v>
      </c>
      <c r="G76" s="26">
        <f>IF(A76="","",IF(AND(ISNUMBER(B76),B76&lt;&gt;0),1,0))</f>
        <v>0</v>
      </c>
      <c r="H76" s="25">
        <f>IF(E76="","",(E76*4+3+cfgDeslocamento)/48)</f>
        <v>0</v>
      </c>
    </row>
    <row r="77" spans="1:8">
      <c r="A77" s="24"/>
      <c r="B77" s="19"/>
      <c r="C77" s="25">
        <f>IF(D77="","",D77/48)</f>
        <v>0</v>
      </c>
      <c r="D77" s="26">
        <f>IF(A77="","",ROUND((A77-cfgDefasagem/1440)*48,0))</f>
        <v>0</v>
      </c>
      <c r="E77" s="26">
        <f>IF(D77="","",INT((D77-cfgDeslocamento)/4))</f>
        <v>0</v>
      </c>
      <c r="F77" s="26">
        <f>IF(D77="","",MOD(D77-cfgDeslocamento,4)+1)</f>
        <v>0</v>
      </c>
      <c r="G77" s="26">
        <f>IF(A77="","",IF(AND(ISNUMBER(B77),B77&lt;&gt;0),1,0))</f>
        <v>0</v>
      </c>
      <c r="H77" s="25">
        <f>IF(E77="","",(E77*4+3+cfgDeslocamento)/48)</f>
        <v>0</v>
      </c>
    </row>
    <row r="78" spans="1:8">
      <c r="A78" s="24"/>
      <c r="B78" s="19"/>
      <c r="C78" s="25">
        <f>IF(D78="","",D78/48)</f>
        <v>0</v>
      </c>
      <c r="D78" s="26">
        <f>IF(A78="","",ROUND((A78-cfgDefasagem/1440)*48,0))</f>
        <v>0</v>
      </c>
      <c r="E78" s="26">
        <f>IF(D78="","",INT((D78-cfgDeslocamento)/4))</f>
        <v>0</v>
      </c>
      <c r="F78" s="26">
        <f>IF(D78="","",MOD(D78-cfgDeslocamento,4)+1)</f>
        <v>0</v>
      </c>
      <c r="G78" s="26">
        <f>IF(A78="","",IF(AND(ISNUMBER(B78),B78&lt;&gt;0),1,0))</f>
        <v>0</v>
      </c>
      <c r="H78" s="25">
        <f>IF(E78="","",(E78*4+3+cfgDeslocamento)/48)</f>
        <v>0</v>
      </c>
    </row>
    <row r="79" spans="1:8">
      <c r="A79" s="24"/>
      <c r="B79" s="19"/>
      <c r="C79" s="25">
        <f>IF(D79="","",D79/48)</f>
        <v>0</v>
      </c>
      <c r="D79" s="26">
        <f>IF(A79="","",ROUND((A79-cfgDefasagem/1440)*48,0))</f>
        <v>0</v>
      </c>
      <c r="E79" s="26">
        <f>IF(D79="","",INT((D79-cfgDeslocamento)/4))</f>
        <v>0</v>
      </c>
      <c r="F79" s="26">
        <f>IF(D79="","",MOD(D79-cfgDeslocamento,4)+1)</f>
        <v>0</v>
      </c>
      <c r="G79" s="26">
        <f>IF(A79="","",IF(AND(ISNUMBER(B79),B79&lt;&gt;0),1,0))</f>
        <v>0</v>
      </c>
      <c r="H79" s="25">
        <f>IF(E79="","",(E79*4+3+cfgDeslocamento)/48)</f>
        <v>0</v>
      </c>
    </row>
    <row r="80" spans="1:8">
      <c r="A80" s="24"/>
      <c r="B80" s="19"/>
      <c r="C80" s="25">
        <f>IF(D80="","",D80/48)</f>
        <v>0</v>
      </c>
      <c r="D80" s="26">
        <f>IF(A80="","",ROUND((A80-cfgDefasagem/1440)*48,0))</f>
        <v>0</v>
      </c>
      <c r="E80" s="26">
        <f>IF(D80="","",INT((D80-cfgDeslocamento)/4))</f>
        <v>0</v>
      </c>
      <c r="F80" s="26">
        <f>IF(D80="","",MOD(D80-cfgDeslocamento,4)+1)</f>
        <v>0</v>
      </c>
      <c r="G80" s="26">
        <f>IF(A80="","",IF(AND(ISNUMBER(B80),B80&lt;&gt;0),1,0))</f>
        <v>0</v>
      </c>
      <c r="H80" s="25">
        <f>IF(E80="","",(E80*4+3+cfgDeslocamento)/48)</f>
        <v>0</v>
      </c>
    </row>
    <row r="81" spans="1:8">
      <c r="A81" s="24"/>
      <c r="B81" s="19"/>
      <c r="C81" s="25">
        <f>IF(D81="","",D81/48)</f>
        <v>0</v>
      </c>
      <c r="D81" s="26">
        <f>IF(A81="","",ROUND((A81-cfgDefasagem/1440)*48,0))</f>
        <v>0</v>
      </c>
      <c r="E81" s="26">
        <f>IF(D81="","",INT((D81-cfgDeslocamento)/4))</f>
        <v>0</v>
      </c>
      <c r="F81" s="26">
        <f>IF(D81="","",MOD(D81-cfgDeslocamento,4)+1)</f>
        <v>0</v>
      </c>
      <c r="G81" s="26">
        <f>IF(A81="","",IF(AND(ISNUMBER(B81),B81&lt;&gt;0),1,0))</f>
        <v>0</v>
      </c>
      <c r="H81" s="25">
        <f>IF(E81="","",(E81*4+3+cfgDeslocamento)/48)</f>
        <v>0</v>
      </c>
    </row>
    <row r="82" spans="1:8">
      <c r="A82" s="24"/>
      <c r="B82" s="19"/>
      <c r="C82" s="25">
        <f>IF(D82="","",D82/48)</f>
        <v>0</v>
      </c>
      <c r="D82" s="26">
        <f>IF(A82="","",ROUND((A82-cfgDefasagem/1440)*48,0))</f>
        <v>0</v>
      </c>
      <c r="E82" s="26">
        <f>IF(D82="","",INT((D82-cfgDeslocamento)/4))</f>
        <v>0</v>
      </c>
      <c r="F82" s="26">
        <f>IF(D82="","",MOD(D82-cfgDeslocamento,4)+1)</f>
        <v>0</v>
      </c>
      <c r="G82" s="26">
        <f>IF(A82="","",IF(AND(ISNUMBER(B82),B82&lt;&gt;0),1,0))</f>
        <v>0</v>
      </c>
      <c r="H82" s="25">
        <f>IF(E82="","",(E82*4+3+cfgDeslocamento)/48)</f>
        <v>0</v>
      </c>
    </row>
    <row r="83" spans="1:8">
      <c r="A83" s="24"/>
      <c r="B83" s="19"/>
      <c r="C83" s="25">
        <f>IF(D83="","",D83/48)</f>
        <v>0</v>
      </c>
      <c r="D83" s="26">
        <f>IF(A83="","",ROUND((A83-cfgDefasagem/1440)*48,0))</f>
        <v>0</v>
      </c>
      <c r="E83" s="26">
        <f>IF(D83="","",INT((D83-cfgDeslocamento)/4))</f>
        <v>0</v>
      </c>
      <c r="F83" s="26">
        <f>IF(D83="","",MOD(D83-cfgDeslocamento,4)+1)</f>
        <v>0</v>
      </c>
      <c r="G83" s="26">
        <f>IF(A83="","",IF(AND(ISNUMBER(B83),B83&lt;&gt;0),1,0))</f>
        <v>0</v>
      </c>
      <c r="H83" s="25">
        <f>IF(E83="","",(E83*4+3+cfgDeslocamento)/48)</f>
        <v>0</v>
      </c>
    </row>
    <row r="84" spans="1:8">
      <c r="A84" s="24"/>
      <c r="B84" s="19"/>
      <c r="C84" s="25">
        <f>IF(D84="","",D84/48)</f>
        <v>0</v>
      </c>
      <c r="D84" s="26">
        <f>IF(A84="","",ROUND((A84-cfgDefasagem/1440)*48,0))</f>
        <v>0</v>
      </c>
      <c r="E84" s="26">
        <f>IF(D84="","",INT((D84-cfgDeslocamento)/4))</f>
        <v>0</v>
      </c>
      <c r="F84" s="26">
        <f>IF(D84="","",MOD(D84-cfgDeslocamento,4)+1)</f>
        <v>0</v>
      </c>
      <c r="G84" s="26">
        <f>IF(A84="","",IF(AND(ISNUMBER(B84),B84&lt;&gt;0),1,0))</f>
        <v>0</v>
      </c>
      <c r="H84" s="25">
        <f>IF(E84="","",(E84*4+3+cfgDeslocamento)/48)</f>
        <v>0</v>
      </c>
    </row>
    <row r="85" spans="1:8">
      <c r="A85" s="24"/>
      <c r="B85" s="19"/>
      <c r="C85" s="25">
        <f>IF(D85="","",D85/48)</f>
        <v>0</v>
      </c>
      <c r="D85" s="26">
        <f>IF(A85="","",ROUND((A85-cfgDefasagem/1440)*48,0))</f>
        <v>0</v>
      </c>
      <c r="E85" s="26">
        <f>IF(D85="","",INT((D85-cfgDeslocamento)/4))</f>
        <v>0</v>
      </c>
      <c r="F85" s="26">
        <f>IF(D85="","",MOD(D85-cfgDeslocamento,4)+1)</f>
        <v>0</v>
      </c>
      <c r="G85" s="26">
        <f>IF(A85="","",IF(AND(ISNUMBER(B85),B85&lt;&gt;0),1,0))</f>
        <v>0</v>
      </c>
      <c r="H85" s="25">
        <f>IF(E85="","",(E85*4+3+cfgDeslocamento)/48)</f>
        <v>0</v>
      </c>
    </row>
    <row r="86" spans="1:8">
      <c r="A86" s="24"/>
      <c r="B86" s="19"/>
      <c r="C86" s="25">
        <f>IF(D86="","",D86/48)</f>
        <v>0</v>
      </c>
      <c r="D86" s="26">
        <f>IF(A86="","",ROUND((A86-cfgDefasagem/1440)*48,0))</f>
        <v>0</v>
      </c>
      <c r="E86" s="26">
        <f>IF(D86="","",INT((D86-cfgDeslocamento)/4))</f>
        <v>0</v>
      </c>
      <c r="F86" s="26">
        <f>IF(D86="","",MOD(D86-cfgDeslocamento,4)+1)</f>
        <v>0</v>
      </c>
      <c r="G86" s="26">
        <f>IF(A86="","",IF(AND(ISNUMBER(B86),B86&lt;&gt;0),1,0))</f>
        <v>0</v>
      </c>
      <c r="H86" s="25">
        <f>IF(E86="","",(E86*4+3+cfgDeslocamento)/48)</f>
        <v>0</v>
      </c>
    </row>
    <row r="87" spans="1:8">
      <c r="A87" s="24"/>
      <c r="B87" s="19"/>
      <c r="C87" s="25">
        <f>IF(D87="","",D87/48)</f>
        <v>0</v>
      </c>
      <c r="D87" s="26">
        <f>IF(A87="","",ROUND((A87-cfgDefasagem/1440)*48,0))</f>
        <v>0</v>
      </c>
      <c r="E87" s="26">
        <f>IF(D87="","",INT((D87-cfgDeslocamento)/4))</f>
        <v>0</v>
      </c>
      <c r="F87" s="26">
        <f>IF(D87="","",MOD(D87-cfgDeslocamento,4)+1)</f>
        <v>0</v>
      </c>
      <c r="G87" s="26">
        <f>IF(A87="","",IF(AND(ISNUMBER(B87),B87&lt;&gt;0),1,0))</f>
        <v>0</v>
      </c>
      <c r="H87" s="25">
        <f>IF(E87="","",(E87*4+3+cfgDeslocamento)/48)</f>
        <v>0</v>
      </c>
    </row>
    <row r="88" spans="1:8">
      <c r="A88" s="24"/>
      <c r="B88" s="19"/>
      <c r="C88" s="25">
        <f>IF(D88="","",D88/48)</f>
        <v>0</v>
      </c>
      <c r="D88" s="26">
        <f>IF(A88="","",ROUND((A88-cfgDefasagem/1440)*48,0))</f>
        <v>0</v>
      </c>
      <c r="E88" s="26">
        <f>IF(D88="","",INT((D88-cfgDeslocamento)/4))</f>
        <v>0</v>
      </c>
      <c r="F88" s="26">
        <f>IF(D88="","",MOD(D88-cfgDeslocamento,4)+1)</f>
        <v>0</v>
      </c>
      <c r="G88" s="26">
        <f>IF(A88="","",IF(AND(ISNUMBER(B88),B88&lt;&gt;0),1,0))</f>
        <v>0</v>
      </c>
      <c r="H88" s="25">
        <f>IF(E88="","",(E88*4+3+cfgDeslocamento)/48)</f>
        <v>0</v>
      </c>
    </row>
    <row r="89" spans="1:8">
      <c r="A89" s="24"/>
      <c r="B89" s="19"/>
      <c r="C89" s="25">
        <f>IF(D89="","",D89/48)</f>
        <v>0</v>
      </c>
      <c r="D89" s="26">
        <f>IF(A89="","",ROUND((A89-cfgDefasagem/1440)*48,0))</f>
        <v>0</v>
      </c>
      <c r="E89" s="26">
        <f>IF(D89="","",INT((D89-cfgDeslocamento)/4))</f>
        <v>0</v>
      </c>
      <c r="F89" s="26">
        <f>IF(D89="","",MOD(D89-cfgDeslocamento,4)+1)</f>
        <v>0</v>
      </c>
      <c r="G89" s="26">
        <f>IF(A89="","",IF(AND(ISNUMBER(B89),B89&lt;&gt;0),1,0))</f>
        <v>0</v>
      </c>
      <c r="H89" s="25">
        <f>IF(E89="","",(E89*4+3+cfgDeslocamento)/48)</f>
        <v>0</v>
      </c>
    </row>
    <row r="90" spans="1:8">
      <c r="A90" s="24"/>
      <c r="B90" s="19"/>
      <c r="C90" s="25">
        <f>IF(D90="","",D90/48)</f>
        <v>0</v>
      </c>
      <c r="D90" s="26">
        <f>IF(A90="","",ROUND((A90-cfgDefasagem/1440)*48,0))</f>
        <v>0</v>
      </c>
      <c r="E90" s="26">
        <f>IF(D90="","",INT((D90-cfgDeslocamento)/4))</f>
        <v>0</v>
      </c>
      <c r="F90" s="26">
        <f>IF(D90="","",MOD(D90-cfgDeslocamento,4)+1)</f>
        <v>0</v>
      </c>
      <c r="G90" s="26">
        <f>IF(A90="","",IF(AND(ISNUMBER(B90),B90&lt;&gt;0),1,0))</f>
        <v>0</v>
      </c>
      <c r="H90" s="25">
        <f>IF(E90="","",(E90*4+3+cfgDeslocamento)/48)</f>
        <v>0</v>
      </c>
    </row>
    <row r="91" spans="1:8">
      <c r="A91" s="24"/>
      <c r="B91" s="19"/>
      <c r="C91" s="25">
        <f>IF(D91="","",D91/48)</f>
        <v>0</v>
      </c>
      <c r="D91" s="26">
        <f>IF(A91="","",ROUND((A91-cfgDefasagem/1440)*48,0))</f>
        <v>0</v>
      </c>
      <c r="E91" s="26">
        <f>IF(D91="","",INT((D91-cfgDeslocamento)/4))</f>
        <v>0</v>
      </c>
      <c r="F91" s="26">
        <f>IF(D91="","",MOD(D91-cfgDeslocamento,4)+1)</f>
        <v>0</v>
      </c>
      <c r="G91" s="26">
        <f>IF(A91="","",IF(AND(ISNUMBER(B91),B91&lt;&gt;0),1,0))</f>
        <v>0</v>
      </c>
      <c r="H91" s="25">
        <f>IF(E91="","",(E91*4+3+cfgDeslocamento)/48)</f>
        <v>0</v>
      </c>
    </row>
    <row r="92" spans="1:8">
      <c r="A92" s="24"/>
      <c r="B92" s="19"/>
      <c r="C92" s="25">
        <f>IF(D92="","",D92/48)</f>
        <v>0</v>
      </c>
      <c r="D92" s="26">
        <f>IF(A92="","",ROUND((A92-cfgDefasagem/1440)*48,0))</f>
        <v>0</v>
      </c>
      <c r="E92" s="26">
        <f>IF(D92="","",INT((D92-cfgDeslocamento)/4))</f>
        <v>0</v>
      </c>
      <c r="F92" s="26">
        <f>IF(D92="","",MOD(D92-cfgDeslocamento,4)+1)</f>
        <v>0</v>
      </c>
      <c r="G92" s="26">
        <f>IF(A92="","",IF(AND(ISNUMBER(B92),B92&lt;&gt;0),1,0))</f>
        <v>0</v>
      </c>
      <c r="H92" s="25">
        <f>IF(E92="","",(E92*4+3+cfgDeslocamento)/48)</f>
        <v>0</v>
      </c>
    </row>
    <row r="93" spans="1:8">
      <c r="A93" s="24"/>
      <c r="B93" s="19"/>
      <c r="C93" s="25">
        <f>IF(D93="","",D93/48)</f>
        <v>0</v>
      </c>
      <c r="D93" s="26">
        <f>IF(A93="","",ROUND((A93-cfgDefasagem/1440)*48,0))</f>
        <v>0</v>
      </c>
      <c r="E93" s="26">
        <f>IF(D93="","",INT((D93-cfgDeslocamento)/4))</f>
        <v>0</v>
      </c>
      <c r="F93" s="26">
        <f>IF(D93="","",MOD(D93-cfgDeslocamento,4)+1)</f>
        <v>0</v>
      </c>
      <c r="G93" s="26">
        <f>IF(A93="","",IF(AND(ISNUMBER(B93),B93&lt;&gt;0),1,0))</f>
        <v>0</v>
      </c>
      <c r="H93" s="25">
        <f>IF(E93="","",(E93*4+3+cfgDeslocamento)/48)</f>
        <v>0</v>
      </c>
    </row>
    <row r="94" spans="1:8">
      <c r="A94" s="24"/>
      <c r="B94" s="19"/>
      <c r="C94" s="25">
        <f>IF(D94="","",D94/48)</f>
        <v>0</v>
      </c>
      <c r="D94" s="26">
        <f>IF(A94="","",ROUND((A94-cfgDefasagem/1440)*48,0))</f>
        <v>0</v>
      </c>
      <c r="E94" s="26">
        <f>IF(D94="","",INT((D94-cfgDeslocamento)/4))</f>
        <v>0</v>
      </c>
      <c r="F94" s="26">
        <f>IF(D94="","",MOD(D94-cfgDeslocamento,4)+1)</f>
        <v>0</v>
      </c>
      <c r="G94" s="26">
        <f>IF(A94="","",IF(AND(ISNUMBER(B94),B94&lt;&gt;0),1,0))</f>
        <v>0</v>
      </c>
      <c r="H94" s="25">
        <f>IF(E94="","",(E94*4+3+cfgDeslocamento)/48)</f>
        <v>0</v>
      </c>
    </row>
    <row r="95" spans="1:8">
      <c r="A95" s="24"/>
      <c r="B95" s="19"/>
      <c r="C95" s="25">
        <f>IF(D95="","",D95/48)</f>
        <v>0</v>
      </c>
      <c r="D95" s="26">
        <f>IF(A95="","",ROUND((A95-cfgDefasagem/1440)*48,0))</f>
        <v>0</v>
      </c>
      <c r="E95" s="26">
        <f>IF(D95="","",INT((D95-cfgDeslocamento)/4))</f>
        <v>0</v>
      </c>
      <c r="F95" s="26">
        <f>IF(D95="","",MOD(D95-cfgDeslocamento,4)+1)</f>
        <v>0</v>
      </c>
      <c r="G95" s="26">
        <f>IF(A95="","",IF(AND(ISNUMBER(B95),B95&lt;&gt;0),1,0))</f>
        <v>0</v>
      </c>
      <c r="H95" s="25">
        <f>IF(E95="","",(E95*4+3+cfgDeslocamento)/48)</f>
        <v>0</v>
      </c>
    </row>
    <row r="96" spans="1:8">
      <c r="A96" s="24"/>
      <c r="B96" s="19"/>
      <c r="C96" s="25">
        <f>IF(D96="","",D96/48)</f>
        <v>0</v>
      </c>
      <c r="D96" s="26">
        <f>IF(A96="","",ROUND((A96-cfgDefasagem/1440)*48,0))</f>
        <v>0</v>
      </c>
      <c r="E96" s="26">
        <f>IF(D96="","",INT((D96-cfgDeslocamento)/4))</f>
        <v>0</v>
      </c>
      <c r="F96" s="26">
        <f>IF(D96="","",MOD(D96-cfgDeslocamento,4)+1)</f>
        <v>0</v>
      </c>
      <c r="G96" s="26">
        <f>IF(A96="","",IF(AND(ISNUMBER(B96),B96&lt;&gt;0),1,0))</f>
        <v>0</v>
      </c>
      <c r="H96" s="25">
        <f>IF(E96="","",(E96*4+3+cfgDeslocamento)/48)</f>
        <v>0</v>
      </c>
    </row>
    <row r="97" spans="1:8">
      <c r="A97" s="24"/>
      <c r="B97" s="19"/>
      <c r="C97" s="25">
        <f>IF(D97="","",D97/48)</f>
        <v>0</v>
      </c>
      <c r="D97" s="26">
        <f>IF(A97="","",ROUND((A97-cfgDefasagem/1440)*48,0))</f>
        <v>0</v>
      </c>
      <c r="E97" s="26">
        <f>IF(D97="","",INT((D97-cfgDeslocamento)/4))</f>
        <v>0</v>
      </c>
      <c r="F97" s="26">
        <f>IF(D97="","",MOD(D97-cfgDeslocamento,4)+1)</f>
        <v>0</v>
      </c>
      <c r="G97" s="26">
        <f>IF(A97="","",IF(AND(ISNUMBER(B97),B97&lt;&gt;0),1,0))</f>
        <v>0</v>
      </c>
      <c r="H97" s="25">
        <f>IF(E97="","",(E97*4+3+cfgDeslocamento)/48)</f>
        <v>0</v>
      </c>
    </row>
    <row r="98" spans="1:8">
      <c r="A98" s="24"/>
      <c r="B98" s="19"/>
      <c r="C98" s="25">
        <f>IF(D98="","",D98/48)</f>
        <v>0</v>
      </c>
      <c r="D98" s="26">
        <f>IF(A98="","",ROUND((A98-cfgDefasagem/1440)*48,0))</f>
        <v>0</v>
      </c>
      <c r="E98" s="26">
        <f>IF(D98="","",INT((D98-cfgDeslocamento)/4))</f>
        <v>0</v>
      </c>
      <c r="F98" s="26">
        <f>IF(D98="","",MOD(D98-cfgDeslocamento,4)+1)</f>
        <v>0</v>
      </c>
      <c r="G98" s="26">
        <f>IF(A98="","",IF(AND(ISNUMBER(B98),B98&lt;&gt;0),1,0))</f>
        <v>0</v>
      </c>
      <c r="H98" s="25">
        <f>IF(E98="","",(E98*4+3+cfgDeslocamento)/48)</f>
        <v>0</v>
      </c>
    </row>
    <row r="99" spans="1:8">
      <c r="A99" s="24"/>
      <c r="B99" s="19"/>
      <c r="C99" s="25">
        <f>IF(D99="","",D99/48)</f>
        <v>0</v>
      </c>
      <c r="D99" s="26">
        <f>IF(A99="","",ROUND((A99-cfgDefasagem/1440)*48,0))</f>
        <v>0</v>
      </c>
      <c r="E99" s="26">
        <f>IF(D99="","",INT((D99-cfgDeslocamento)/4))</f>
        <v>0</v>
      </c>
      <c r="F99" s="26">
        <f>IF(D99="","",MOD(D99-cfgDeslocamento,4)+1)</f>
        <v>0</v>
      </c>
      <c r="G99" s="26">
        <f>IF(A99="","",IF(AND(ISNUMBER(B99),B99&lt;&gt;0),1,0))</f>
        <v>0</v>
      </c>
      <c r="H99" s="25">
        <f>IF(E99="","",(E99*4+3+cfgDeslocamento)/48)</f>
        <v>0</v>
      </c>
    </row>
    <row r="100" spans="1:8">
      <c r="A100" s="24"/>
      <c r="B100" s="19"/>
      <c r="C100" s="25">
        <f>IF(D100="","",D100/48)</f>
        <v>0</v>
      </c>
      <c r="D100" s="26">
        <f>IF(A100="","",ROUND((A100-cfgDefasagem/1440)*48,0))</f>
        <v>0</v>
      </c>
      <c r="E100" s="26">
        <f>IF(D100="","",INT((D100-cfgDeslocamento)/4))</f>
        <v>0</v>
      </c>
      <c r="F100" s="26">
        <f>IF(D100="","",MOD(D100-cfgDeslocamento,4)+1)</f>
        <v>0</v>
      </c>
      <c r="G100" s="26">
        <f>IF(A100="","",IF(AND(ISNUMBER(B100),B100&lt;&gt;0),1,0))</f>
        <v>0</v>
      </c>
      <c r="H100" s="25">
        <f>IF(E100="","",(E100*4+3+cfgDeslocamento)/48)</f>
        <v>0</v>
      </c>
    </row>
    <row r="101" spans="1:8">
      <c r="A101" s="24"/>
      <c r="B101" s="19"/>
      <c r="C101" s="25">
        <f>IF(D101="","",D101/48)</f>
        <v>0</v>
      </c>
      <c r="D101" s="26">
        <f>IF(A101="","",ROUND((A101-cfgDefasagem/1440)*48,0))</f>
        <v>0</v>
      </c>
      <c r="E101" s="26">
        <f>IF(D101="","",INT((D101-cfgDeslocamento)/4))</f>
        <v>0</v>
      </c>
      <c r="F101" s="26">
        <f>IF(D101="","",MOD(D101-cfgDeslocamento,4)+1)</f>
        <v>0</v>
      </c>
      <c r="G101" s="26">
        <f>IF(A101="","",IF(AND(ISNUMBER(B101),B101&lt;&gt;0),1,0))</f>
        <v>0</v>
      </c>
      <c r="H101" s="25">
        <f>IF(E101="","",(E101*4+3+cfgDeslocamento)/48)</f>
        <v>0</v>
      </c>
    </row>
    <row r="102" spans="1:8">
      <c r="A102" s="24"/>
      <c r="B102" s="19"/>
      <c r="C102" s="25">
        <f>IF(D102="","",D102/48)</f>
        <v>0</v>
      </c>
      <c r="D102" s="26">
        <f>IF(A102="","",ROUND((A102-cfgDefasagem/1440)*48,0))</f>
        <v>0</v>
      </c>
      <c r="E102" s="26">
        <f>IF(D102="","",INT((D102-cfgDeslocamento)/4))</f>
        <v>0</v>
      </c>
      <c r="F102" s="26">
        <f>IF(D102="","",MOD(D102-cfgDeslocamento,4)+1)</f>
        <v>0</v>
      </c>
      <c r="G102" s="26">
        <f>IF(A102="","",IF(AND(ISNUMBER(B102),B102&lt;&gt;0),1,0))</f>
        <v>0</v>
      </c>
      <c r="H102" s="25">
        <f>IF(E102="","",(E102*4+3+cfgDeslocamento)/48)</f>
        <v>0</v>
      </c>
    </row>
    <row r="103" spans="1:8">
      <c r="A103" s="24"/>
      <c r="B103" s="19"/>
      <c r="C103" s="25">
        <f>IF(D103="","",D103/48)</f>
        <v>0</v>
      </c>
      <c r="D103" s="26">
        <f>IF(A103="","",ROUND((A103-cfgDefasagem/1440)*48,0))</f>
        <v>0</v>
      </c>
      <c r="E103" s="26">
        <f>IF(D103="","",INT((D103-cfgDeslocamento)/4))</f>
        <v>0</v>
      </c>
      <c r="F103" s="26">
        <f>IF(D103="","",MOD(D103-cfgDeslocamento,4)+1)</f>
        <v>0</v>
      </c>
      <c r="G103" s="26">
        <f>IF(A103="","",IF(AND(ISNUMBER(B103),B103&lt;&gt;0),1,0))</f>
        <v>0</v>
      </c>
      <c r="H103" s="25">
        <f>IF(E103="","",(E103*4+3+cfgDeslocamento)/48)</f>
        <v>0</v>
      </c>
    </row>
    <row r="104" spans="1:8">
      <c r="A104" s="24"/>
      <c r="B104" s="19"/>
      <c r="C104" s="25">
        <f>IF(D104="","",D104/48)</f>
        <v>0</v>
      </c>
      <c r="D104" s="26">
        <f>IF(A104="","",ROUND((A104-cfgDefasagem/1440)*48,0))</f>
        <v>0</v>
      </c>
      <c r="E104" s="26">
        <f>IF(D104="","",INT((D104-cfgDeslocamento)/4))</f>
        <v>0</v>
      </c>
      <c r="F104" s="26">
        <f>IF(D104="","",MOD(D104-cfgDeslocamento,4)+1)</f>
        <v>0</v>
      </c>
      <c r="G104" s="26">
        <f>IF(A104="","",IF(AND(ISNUMBER(B104),B104&lt;&gt;0),1,0))</f>
        <v>0</v>
      </c>
      <c r="H104" s="25">
        <f>IF(E104="","",(E104*4+3+cfgDeslocamento)/48)</f>
        <v>0</v>
      </c>
    </row>
    <row r="105" spans="1:8">
      <c r="A105" s="24"/>
      <c r="B105" s="19"/>
      <c r="C105" s="25">
        <f>IF(D105="","",D105/48)</f>
        <v>0</v>
      </c>
      <c r="D105" s="26">
        <f>IF(A105="","",ROUND((A105-cfgDefasagem/1440)*48,0))</f>
        <v>0</v>
      </c>
      <c r="E105" s="26">
        <f>IF(D105="","",INT((D105-cfgDeslocamento)/4))</f>
        <v>0</v>
      </c>
      <c r="F105" s="26">
        <f>IF(D105="","",MOD(D105-cfgDeslocamento,4)+1)</f>
        <v>0</v>
      </c>
      <c r="G105" s="26">
        <f>IF(A105="","",IF(AND(ISNUMBER(B105),B105&lt;&gt;0),1,0))</f>
        <v>0</v>
      </c>
      <c r="H105" s="25">
        <f>IF(E105="","",(E105*4+3+cfgDeslocamento)/48)</f>
        <v>0</v>
      </c>
    </row>
    <row r="106" spans="1:8">
      <c r="A106" s="24"/>
      <c r="B106" s="19"/>
      <c r="C106" s="25">
        <f>IF(D106="","",D106/48)</f>
        <v>0</v>
      </c>
      <c r="D106" s="26">
        <f>IF(A106="","",ROUND((A106-cfgDefasagem/1440)*48,0))</f>
        <v>0</v>
      </c>
      <c r="E106" s="26">
        <f>IF(D106="","",INT((D106-cfgDeslocamento)/4))</f>
        <v>0</v>
      </c>
      <c r="F106" s="26">
        <f>IF(D106="","",MOD(D106-cfgDeslocamento,4)+1)</f>
        <v>0</v>
      </c>
      <c r="G106" s="26">
        <f>IF(A106="","",IF(AND(ISNUMBER(B106),B106&lt;&gt;0),1,0))</f>
        <v>0</v>
      </c>
      <c r="H106" s="25">
        <f>IF(E106="","",(E106*4+3+cfgDeslocamento)/48)</f>
        <v>0</v>
      </c>
    </row>
    <row r="107" spans="1:8">
      <c r="A107" s="24"/>
      <c r="B107" s="19"/>
      <c r="C107" s="25">
        <f>IF(D107="","",D107/48)</f>
        <v>0</v>
      </c>
      <c r="D107" s="26">
        <f>IF(A107="","",ROUND((A107-cfgDefasagem/1440)*48,0))</f>
        <v>0</v>
      </c>
      <c r="E107" s="26">
        <f>IF(D107="","",INT((D107-cfgDeslocamento)/4))</f>
        <v>0</v>
      </c>
      <c r="F107" s="26">
        <f>IF(D107="","",MOD(D107-cfgDeslocamento,4)+1)</f>
        <v>0</v>
      </c>
      <c r="G107" s="26">
        <f>IF(A107="","",IF(AND(ISNUMBER(B107),B107&lt;&gt;0),1,0))</f>
        <v>0</v>
      </c>
      <c r="H107" s="25">
        <f>IF(E107="","",(E107*4+3+cfgDeslocamento)/48)</f>
        <v>0</v>
      </c>
    </row>
    <row r="108" spans="1:8">
      <c r="A108" s="24"/>
      <c r="B108" s="19"/>
      <c r="C108" s="25">
        <f>IF(D108="","",D108/48)</f>
        <v>0</v>
      </c>
      <c r="D108" s="26">
        <f>IF(A108="","",ROUND((A108-cfgDefasagem/1440)*48,0))</f>
        <v>0</v>
      </c>
      <c r="E108" s="26">
        <f>IF(D108="","",INT((D108-cfgDeslocamento)/4))</f>
        <v>0</v>
      </c>
      <c r="F108" s="26">
        <f>IF(D108="","",MOD(D108-cfgDeslocamento,4)+1)</f>
        <v>0</v>
      </c>
      <c r="G108" s="26">
        <f>IF(A108="","",IF(AND(ISNUMBER(B108),B108&lt;&gt;0),1,0))</f>
        <v>0</v>
      </c>
      <c r="H108" s="25">
        <f>IF(E108="","",(E108*4+3+cfgDeslocamento)/48)</f>
        <v>0</v>
      </c>
    </row>
    <row r="109" spans="1:8">
      <c r="A109" s="24"/>
      <c r="B109" s="19"/>
      <c r="C109" s="25">
        <f>IF(D109="","",D109/48)</f>
        <v>0</v>
      </c>
      <c r="D109" s="26">
        <f>IF(A109="","",ROUND((A109-cfgDefasagem/1440)*48,0))</f>
        <v>0</v>
      </c>
      <c r="E109" s="26">
        <f>IF(D109="","",INT((D109-cfgDeslocamento)/4))</f>
        <v>0</v>
      </c>
      <c r="F109" s="26">
        <f>IF(D109="","",MOD(D109-cfgDeslocamento,4)+1)</f>
        <v>0</v>
      </c>
      <c r="G109" s="26">
        <f>IF(A109="","",IF(AND(ISNUMBER(B109),B109&lt;&gt;0),1,0))</f>
        <v>0</v>
      </c>
      <c r="H109" s="25">
        <f>IF(E109="","",(E109*4+3+cfgDeslocamento)/48)</f>
        <v>0</v>
      </c>
    </row>
    <row r="110" spans="1:8">
      <c r="A110" s="24"/>
      <c r="B110" s="19"/>
      <c r="C110" s="25">
        <f>IF(D110="","",D110/48)</f>
        <v>0</v>
      </c>
      <c r="D110" s="26">
        <f>IF(A110="","",ROUND((A110-cfgDefasagem/1440)*48,0))</f>
        <v>0</v>
      </c>
      <c r="E110" s="26">
        <f>IF(D110="","",INT((D110-cfgDeslocamento)/4))</f>
        <v>0</v>
      </c>
      <c r="F110" s="26">
        <f>IF(D110="","",MOD(D110-cfgDeslocamento,4)+1)</f>
        <v>0</v>
      </c>
      <c r="G110" s="26">
        <f>IF(A110="","",IF(AND(ISNUMBER(B110),B110&lt;&gt;0),1,0))</f>
        <v>0</v>
      </c>
      <c r="H110" s="25">
        <f>IF(E110="","",(E110*4+3+cfgDeslocamento)/48)</f>
        <v>0</v>
      </c>
    </row>
    <row r="111" spans="1:8">
      <c r="A111" s="24"/>
      <c r="B111" s="19"/>
      <c r="C111" s="25">
        <f>IF(D111="","",D111/48)</f>
        <v>0</v>
      </c>
      <c r="D111" s="26">
        <f>IF(A111="","",ROUND((A111-cfgDefasagem/1440)*48,0))</f>
        <v>0</v>
      </c>
      <c r="E111" s="26">
        <f>IF(D111="","",INT((D111-cfgDeslocamento)/4))</f>
        <v>0</v>
      </c>
      <c r="F111" s="26">
        <f>IF(D111="","",MOD(D111-cfgDeslocamento,4)+1)</f>
        <v>0</v>
      </c>
      <c r="G111" s="26">
        <f>IF(A111="","",IF(AND(ISNUMBER(B111),B111&lt;&gt;0),1,0))</f>
        <v>0</v>
      </c>
      <c r="H111" s="25">
        <f>IF(E111="","",(E111*4+3+cfgDeslocamento)/48)</f>
        <v>0</v>
      </c>
    </row>
    <row r="112" spans="1:8">
      <c r="A112" s="24"/>
      <c r="B112" s="19"/>
      <c r="C112" s="25">
        <f>IF(D112="","",D112/48)</f>
        <v>0</v>
      </c>
      <c r="D112" s="26">
        <f>IF(A112="","",ROUND((A112-cfgDefasagem/1440)*48,0))</f>
        <v>0</v>
      </c>
      <c r="E112" s="26">
        <f>IF(D112="","",INT((D112-cfgDeslocamento)/4))</f>
        <v>0</v>
      </c>
      <c r="F112" s="26">
        <f>IF(D112="","",MOD(D112-cfgDeslocamento,4)+1)</f>
        <v>0</v>
      </c>
      <c r="G112" s="26">
        <f>IF(A112="","",IF(AND(ISNUMBER(B112),B112&lt;&gt;0),1,0))</f>
        <v>0</v>
      </c>
      <c r="H112" s="25">
        <f>IF(E112="","",(E112*4+3+cfgDeslocamento)/48)</f>
        <v>0</v>
      </c>
    </row>
    <row r="113" spans="1:8">
      <c r="A113" s="24"/>
      <c r="B113" s="19"/>
      <c r="C113" s="25">
        <f>IF(D113="","",D113/48)</f>
        <v>0</v>
      </c>
      <c r="D113" s="26">
        <f>IF(A113="","",ROUND((A113-cfgDefasagem/1440)*48,0))</f>
        <v>0</v>
      </c>
      <c r="E113" s="26">
        <f>IF(D113="","",INT((D113-cfgDeslocamento)/4))</f>
        <v>0</v>
      </c>
      <c r="F113" s="26">
        <f>IF(D113="","",MOD(D113-cfgDeslocamento,4)+1)</f>
        <v>0</v>
      </c>
      <c r="G113" s="26">
        <f>IF(A113="","",IF(AND(ISNUMBER(B113),B113&lt;&gt;0),1,0))</f>
        <v>0</v>
      </c>
      <c r="H113" s="25">
        <f>IF(E113="","",(E113*4+3+cfgDeslocamento)/48)</f>
        <v>0</v>
      </c>
    </row>
    <row r="114" spans="1:8">
      <c r="A114" s="24"/>
      <c r="B114" s="19"/>
      <c r="C114" s="25">
        <f>IF(D114="","",D114/48)</f>
        <v>0</v>
      </c>
      <c r="D114" s="26">
        <f>IF(A114="","",ROUND((A114-cfgDefasagem/1440)*48,0))</f>
        <v>0</v>
      </c>
      <c r="E114" s="26">
        <f>IF(D114="","",INT((D114-cfgDeslocamento)/4))</f>
        <v>0</v>
      </c>
      <c r="F114" s="26">
        <f>IF(D114="","",MOD(D114-cfgDeslocamento,4)+1)</f>
        <v>0</v>
      </c>
      <c r="G114" s="26">
        <f>IF(A114="","",IF(AND(ISNUMBER(B114),B114&lt;&gt;0),1,0))</f>
        <v>0</v>
      </c>
      <c r="H114" s="25">
        <f>IF(E114="","",(E114*4+3+cfgDeslocamento)/48)</f>
        <v>0</v>
      </c>
    </row>
    <row r="115" spans="1:8">
      <c r="A115" s="24"/>
      <c r="B115" s="19"/>
      <c r="C115" s="25">
        <f>IF(D115="","",D115/48)</f>
        <v>0</v>
      </c>
      <c r="D115" s="26">
        <f>IF(A115="","",ROUND((A115-cfgDefasagem/1440)*48,0))</f>
        <v>0</v>
      </c>
      <c r="E115" s="26">
        <f>IF(D115="","",INT((D115-cfgDeslocamento)/4))</f>
        <v>0</v>
      </c>
      <c r="F115" s="26">
        <f>IF(D115="","",MOD(D115-cfgDeslocamento,4)+1)</f>
        <v>0</v>
      </c>
      <c r="G115" s="26">
        <f>IF(A115="","",IF(AND(ISNUMBER(B115),B115&lt;&gt;0),1,0))</f>
        <v>0</v>
      </c>
      <c r="H115" s="25">
        <f>IF(E115="","",(E115*4+3+cfgDeslocamento)/48)</f>
        <v>0</v>
      </c>
    </row>
    <row r="116" spans="1:8">
      <c r="A116" s="24"/>
      <c r="B116" s="19"/>
      <c r="C116" s="25">
        <f>IF(D116="","",D116/48)</f>
        <v>0</v>
      </c>
      <c r="D116" s="26">
        <f>IF(A116="","",ROUND((A116-cfgDefasagem/1440)*48,0))</f>
        <v>0</v>
      </c>
      <c r="E116" s="26">
        <f>IF(D116="","",INT((D116-cfgDeslocamento)/4))</f>
        <v>0</v>
      </c>
      <c r="F116" s="26">
        <f>IF(D116="","",MOD(D116-cfgDeslocamento,4)+1)</f>
        <v>0</v>
      </c>
      <c r="G116" s="26">
        <f>IF(A116="","",IF(AND(ISNUMBER(B116),B116&lt;&gt;0),1,0))</f>
        <v>0</v>
      </c>
      <c r="H116" s="25">
        <f>IF(E116="","",(E116*4+3+cfgDeslocamento)/48)</f>
        <v>0</v>
      </c>
    </row>
    <row r="117" spans="1:8">
      <c r="A117" s="24"/>
      <c r="B117" s="19"/>
      <c r="C117" s="25">
        <f>IF(D117="","",D117/48)</f>
        <v>0</v>
      </c>
      <c r="D117" s="26">
        <f>IF(A117="","",ROUND((A117-cfgDefasagem/1440)*48,0))</f>
        <v>0</v>
      </c>
      <c r="E117" s="26">
        <f>IF(D117="","",INT((D117-cfgDeslocamento)/4))</f>
        <v>0</v>
      </c>
      <c r="F117" s="26">
        <f>IF(D117="","",MOD(D117-cfgDeslocamento,4)+1)</f>
        <v>0</v>
      </c>
      <c r="G117" s="26">
        <f>IF(A117="","",IF(AND(ISNUMBER(B117),B117&lt;&gt;0),1,0))</f>
        <v>0</v>
      </c>
      <c r="H117" s="25">
        <f>IF(E117="","",(E117*4+3+cfgDeslocamento)/48)</f>
        <v>0</v>
      </c>
    </row>
    <row r="118" spans="1:8">
      <c r="A118" s="24"/>
      <c r="B118" s="19"/>
      <c r="C118" s="25">
        <f>IF(D118="","",D118/48)</f>
        <v>0</v>
      </c>
      <c r="D118" s="26">
        <f>IF(A118="","",ROUND((A118-cfgDefasagem/1440)*48,0))</f>
        <v>0</v>
      </c>
      <c r="E118" s="26">
        <f>IF(D118="","",INT((D118-cfgDeslocamento)/4))</f>
        <v>0</v>
      </c>
      <c r="F118" s="26">
        <f>IF(D118="","",MOD(D118-cfgDeslocamento,4)+1)</f>
        <v>0</v>
      </c>
      <c r="G118" s="26">
        <f>IF(A118="","",IF(AND(ISNUMBER(B118),B118&lt;&gt;0),1,0))</f>
        <v>0</v>
      </c>
      <c r="H118" s="25">
        <f>IF(E118="","",(E118*4+3+cfgDeslocamento)/48)</f>
        <v>0</v>
      </c>
    </row>
    <row r="119" spans="1:8">
      <c r="A119" s="24"/>
      <c r="B119" s="19"/>
      <c r="C119" s="25">
        <f>IF(D119="","",D119/48)</f>
        <v>0</v>
      </c>
      <c r="D119" s="26">
        <f>IF(A119="","",ROUND((A119-cfgDefasagem/1440)*48,0))</f>
        <v>0</v>
      </c>
      <c r="E119" s="26">
        <f>IF(D119="","",INT((D119-cfgDeslocamento)/4))</f>
        <v>0</v>
      </c>
      <c r="F119" s="26">
        <f>IF(D119="","",MOD(D119-cfgDeslocamento,4)+1)</f>
        <v>0</v>
      </c>
      <c r="G119" s="26">
        <f>IF(A119="","",IF(AND(ISNUMBER(B119),B119&lt;&gt;0),1,0))</f>
        <v>0</v>
      </c>
      <c r="H119" s="25">
        <f>IF(E119="","",(E119*4+3+cfgDeslocamento)/48)</f>
        <v>0</v>
      </c>
    </row>
    <row r="120" spans="1:8">
      <c r="A120" s="24"/>
      <c r="B120" s="19"/>
      <c r="C120" s="25">
        <f>IF(D120="","",D120/48)</f>
        <v>0</v>
      </c>
      <c r="D120" s="26">
        <f>IF(A120="","",ROUND((A120-cfgDefasagem/1440)*48,0))</f>
        <v>0</v>
      </c>
      <c r="E120" s="26">
        <f>IF(D120="","",INT((D120-cfgDeslocamento)/4))</f>
        <v>0</v>
      </c>
      <c r="F120" s="26">
        <f>IF(D120="","",MOD(D120-cfgDeslocamento,4)+1)</f>
        <v>0</v>
      </c>
      <c r="G120" s="26">
        <f>IF(A120="","",IF(AND(ISNUMBER(B120),B120&lt;&gt;0),1,0))</f>
        <v>0</v>
      </c>
      <c r="H120" s="25">
        <f>IF(E120="","",(E120*4+3+cfgDeslocamento)/48)</f>
        <v>0</v>
      </c>
    </row>
    <row r="121" spans="1:8">
      <c r="A121" s="24"/>
      <c r="B121" s="19"/>
      <c r="C121" s="25">
        <f>IF(D121="","",D121/48)</f>
        <v>0</v>
      </c>
      <c r="D121" s="26">
        <f>IF(A121="","",ROUND((A121-cfgDefasagem/1440)*48,0))</f>
        <v>0</v>
      </c>
      <c r="E121" s="26">
        <f>IF(D121="","",INT((D121-cfgDeslocamento)/4))</f>
        <v>0</v>
      </c>
      <c r="F121" s="26">
        <f>IF(D121="","",MOD(D121-cfgDeslocamento,4)+1)</f>
        <v>0</v>
      </c>
      <c r="G121" s="26">
        <f>IF(A121="","",IF(AND(ISNUMBER(B121),B121&lt;&gt;0),1,0))</f>
        <v>0</v>
      </c>
      <c r="H121" s="25">
        <f>IF(E121="","",(E121*4+3+cfgDeslocamento)/48)</f>
        <v>0</v>
      </c>
    </row>
    <row r="122" spans="1:8">
      <c r="A122" s="24"/>
      <c r="B122" s="19"/>
      <c r="C122" s="25">
        <f>IF(D122="","",D122/48)</f>
        <v>0</v>
      </c>
      <c r="D122" s="26">
        <f>IF(A122="","",ROUND((A122-cfgDefasagem/1440)*48,0))</f>
        <v>0</v>
      </c>
      <c r="E122" s="26">
        <f>IF(D122="","",INT((D122-cfgDeslocamento)/4))</f>
        <v>0</v>
      </c>
      <c r="F122" s="26">
        <f>IF(D122="","",MOD(D122-cfgDeslocamento,4)+1)</f>
        <v>0</v>
      </c>
      <c r="G122" s="26">
        <f>IF(A122="","",IF(AND(ISNUMBER(B122),B122&lt;&gt;0),1,0))</f>
        <v>0</v>
      </c>
      <c r="H122" s="25">
        <f>IF(E122="","",(E122*4+3+cfgDeslocamento)/48)</f>
        <v>0</v>
      </c>
    </row>
    <row r="123" spans="1:8">
      <c r="A123" s="24"/>
      <c r="B123" s="19"/>
      <c r="C123" s="25">
        <f>IF(D123="","",D123/48)</f>
        <v>0</v>
      </c>
      <c r="D123" s="26">
        <f>IF(A123="","",ROUND((A123-cfgDefasagem/1440)*48,0))</f>
        <v>0</v>
      </c>
      <c r="E123" s="26">
        <f>IF(D123="","",INT((D123-cfgDeslocamento)/4))</f>
        <v>0</v>
      </c>
      <c r="F123" s="26">
        <f>IF(D123="","",MOD(D123-cfgDeslocamento,4)+1)</f>
        <v>0</v>
      </c>
      <c r="G123" s="26">
        <f>IF(A123="","",IF(AND(ISNUMBER(B123),B123&lt;&gt;0),1,0))</f>
        <v>0</v>
      </c>
      <c r="H123" s="25">
        <f>IF(E123="","",(E123*4+3+cfgDeslocamento)/48)</f>
        <v>0</v>
      </c>
    </row>
    <row r="124" spans="1:8">
      <c r="A124" s="24"/>
      <c r="B124" s="19"/>
      <c r="C124" s="25">
        <f>IF(D124="","",D124/48)</f>
        <v>0</v>
      </c>
      <c r="D124" s="26">
        <f>IF(A124="","",ROUND((A124-cfgDefasagem/1440)*48,0))</f>
        <v>0</v>
      </c>
      <c r="E124" s="26">
        <f>IF(D124="","",INT((D124-cfgDeslocamento)/4))</f>
        <v>0</v>
      </c>
      <c r="F124" s="26">
        <f>IF(D124="","",MOD(D124-cfgDeslocamento,4)+1)</f>
        <v>0</v>
      </c>
      <c r="G124" s="26">
        <f>IF(A124="","",IF(AND(ISNUMBER(B124),B124&lt;&gt;0),1,0))</f>
        <v>0</v>
      </c>
      <c r="H124" s="25">
        <f>IF(E124="","",(E124*4+3+cfgDeslocamento)/48)</f>
        <v>0</v>
      </c>
    </row>
    <row r="125" spans="1:8">
      <c r="A125" s="24"/>
      <c r="B125" s="19"/>
      <c r="C125" s="25">
        <f>IF(D125="","",D125/48)</f>
        <v>0</v>
      </c>
      <c r="D125" s="26">
        <f>IF(A125="","",ROUND((A125-cfgDefasagem/1440)*48,0))</f>
        <v>0</v>
      </c>
      <c r="E125" s="26">
        <f>IF(D125="","",INT((D125-cfgDeslocamento)/4))</f>
        <v>0</v>
      </c>
      <c r="F125" s="26">
        <f>IF(D125="","",MOD(D125-cfgDeslocamento,4)+1)</f>
        <v>0</v>
      </c>
      <c r="G125" s="26">
        <f>IF(A125="","",IF(AND(ISNUMBER(B125),B125&lt;&gt;0),1,0))</f>
        <v>0</v>
      </c>
      <c r="H125" s="25">
        <f>IF(E125="","",(E125*4+3+cfgDeslocamento)/48)</f>
        <v>0</v>
      </c>
    </row>
    <row r="126" spans="1:8">
      <c r="A126" s="24"/>
      <c r="B126" s="19"/>
      <c r="C126" s="25">
        <f>IF(D126="","",D126/48)</f>
        <v>0</v>
      </c>
      <c r="D126" s="26">
        <f>IF(A126="","",ROUND((A126-cfgDefasagem/1440)*48,0))</f>
        <v>0</v>
      </c>
      <c r="E126" s="26">
        <f>IF(D126="","",INT((D126-cfgDeslocamento)/4))</f>
        <v>0</v>
      </c>
      <c r="F126" s="26">
        <f>IF(D126="","",MOD(D126-cfgDeslocamento,4)+1)</f>
        <v>0</v>
      </c>
      <c r="G126" s="26">
        <f>IF(A126="","",IF(AND(ISNUMBER(B126),B126&lt;&gt;0),1,0))</f>
        <v>0</v>
      </c>
      <c r="H126" s="25">
        <f>IF(E126="","",(E126*4+3+cfgDeslocamento)/48)</f>
        <v>0</v>
      </c>
    </row>
    <row r="127" spans="1:8">
      <c r="A127" s="24"/>
      <c r="B127" s="19"/>
      <c r="C127" s="25">
        <f>IF(D127="","",D127/48)</f>
        <v>0</v>
      </c>
      <c r="D127" s="26">
        <f>IF(A127="","",ROUND((A127-cfgDefasagem/1440)*48,0))</f>
        <v>0</v>
      </c>
      <c r="E127" s="26">
        <f>IF(D127="","",INT((D127-cfgDeslocamento)/4))</f>
        <v>0</v>
      </c>
      <c r="F127" s="26">
        <f>IF(D127="","",MOD(D127-cfgDeslocamento,4)+1)</f>
        <v>0</v>
      </c>
      <c r="G127" s="26">
        <f>IF(A127="","",IF(AND(ISNUMBER(B127),B127&lt;&gt;0),1,0))</f>
        <v>0</v>
      </c>
      <c r="H127" s="25">
        <f>IF(E127="","",(E127*4+3+cfgDeslocamento)/48)</f>
        <v>0</v>
      </c>
    </row>
    <row r="128" spans="1:8">
      <c r="A128" s="24"/>
      <c r="B128" s="19"/>
      <c r="C128" s="25">
        <f>IF(D128="","",D128/48)</f>
        <v>0</v>
      </c>
      <c r="D128" s="26">
        <f>IF(A128="","",ROUND((A128-cfgDefasagem/1440)*48,0))</f>
        <v>0</v>
      </c>
      <c r="E128" s="26">
        <f>IF(D128="","",INT((D128-cfgDeslocamento)/4))</f>
        <v>0</v>
      </c>
      <c r="F128" s="26">
        <f>IF(D128="","",MOD(D128-cfgDeslocamento,4)+1)</f>
        <v>0</v>
      </c>
      <c r="G128" s="26">
        <f>IF(A128="","",IF(AND(ISNUMBER(B128),B128&lt;&gt;0),1,0))</f>
        <v>0</v>
      </c>
      <c r="H128" s="25">
        <f>IF(E128="","",(E128*4+3+cfgDeslocamento)/48)</f>
        <v>0</v>
      </c>
    </row>
    <row r="129" spans="1:8">
      <c r="A129" s="24"/>
      <c r="B129" s="19"/>
      <c r="C129" s="25">
        <f>IF(D129="","",D129/48)</f>
        <v>0</v>
      </c>
      <c r="D129" s="26">
        <f>IF(A129="","",ROUND((A129-cfgDefasagem/1440)*48,0))</f>
        <v>0</v>
      </c>
      <c r="E129" s="26">
        <f>IF(D129="","",INT((D129-cfgDeslocamento)/4))</f>
        <v>0</v>
      </c>
      <c r="F129" s="26">
        <f>IF(D129="","",MOD(D129-cfgDeslocamento,4)+1)</f>
        <v>0</v>
      </c>
      <c r="G129" s="26">
        <f>IF(A129="","",IF(AND(ISNUMBER(B129),B129&lt;&gt;0),1,0))</f>
        <v>0</v>
      </c>
      <c r="H129" s="25">
        <f>IF(E129="","",(E129*4+3+cfgDeslocamento)/48)</f>
        <v>0</v>
      </c>
    </row>
    <row r="130" spans="1:8">
      <c r="A130" s="24"/>
      <c r="B130" s="19"/>
      <c r="C130" s="25">
        <f>IF(D130="","",D130/48)</f>
        <v>0</v>
      </c>
      <c r="D130" s="26">
        <f>IF(A130="","",ROUND((A130-cfgDefasagem/1440)*48,0))</f>
        <v>0</v>
      </c>
      <c r="E130" s="26">
        <f>IF(D130="","",INT((D130-cfgDeslocamento)/4))</f>
        <v>0</v>
      </c>
      <c r="F130" s="26">
        <f>IF(D130="","",MOD(D130-cfgDeslocamento,4)+1)</f>
        <v>0</v>
      </c>
      <c r="G130" s="26">
        <f>IF(A130="","",IF(AND(ISNUMBER(B130),B130&lt;&gt;0),1,0))</f>
        <v>0</v>
      </c>
      <c r="H130" s="25">
        <f>IF(E130="","",(E130*4+3+cfgDeslocamento)/48)</f>
        <v>0</v>
      </c>
    </row>
    <row r="131" spans="1:8">
      <c r="A131" s="24"/>
      <c r="B131" s="19"/>
      <c r="C131" s="25">
        <f>IF(D131="","",D131/48)</f>
        <v>0</v>
      </c>
      <c r="D131" s="26">
        <f>IF(A131="","",ROUND((A131-cfgDefasagem/1440)*48,0))</f>
        <v>0</v>
      </c>
      <c r="E131" s="26">
        <f>IF(D131="","",INT((D131-cfgDeslocamento)/4))</f>
        <v>0</v>
      </c>
      <c r="F131" s="26">
        <f>IF(D131="","",MOD(D131-cfgDeslocamento,4)+1)</f>
        <v>0</v>
      </c>
      <c r="G131" s="26">
        <f>IF(A131="","",IF(AND(ISNUMBER(B131),B131&lt;&gt;0),1,0))</f>
        <v>0</v>
      </c>
      <c r="H131" s="25">
        <f>IF(E131="","",(E131*4+3+cfgDeslocamento)/48)</f>
        <v>0</v>
      </c>
    </row>
    <row r="132" spans="1:8">
      <c r="A132" s="24"/>
      <c r="B132" s="19"/>
      <c r="C132" s="25">
        <f>IF(D132="","",D132/48)</f>
        <v>0</v>
      </c>
      <c r="D132" s="26">
        <f>IF(A132="","",ROUND((A132-cfgDefasagem/1440)*48,0))</f>
        <v>0</v>
      </c>
      <c r="E132" s="26">
        <f>IF(D132="","",INT((D132-cfgDeslocamento)/4))</f>
        <v>0</v>
      </c>
      <c r="F132" s="26">
        <f>IF(D132="","",MOD(D132-cfgDeslocamento,4)+1)</f>
        <v>0</v>
      </c>
      <c r="G132" s="26">
        <f>IF(A132="","",IF(AND(ISNUMBER(B132),B132&lt;&gt;0),1,0))</f>
        <v>0</v>
      </c>
      <c r="H132" s="25">
        <f>IF(E132="","",(E132*4+3+cfgDeslocamento)/48)</f>
        <v>0</v>
      </c>
    </row>
    <row r="133" spans="1:8">
      <c r="A133" s="24"/>
      <c r="B133" s="19"/>
      <c r="C133" s="25">
        <f>IF(D133="","",D133/48)</f>
        <v>0</v>
      </c>
      <c r="D133" s="26">
        <f>IF(A133="","",ROUND((A133-cfgDefasagem/1440)*48,0))</f>
        <v>0</v>
      </c>
      <c r="E133" s="26">
        <f>IF(D133="","",INT((D133-cfgDeslocamento)/4))</f>
        <v>0</v>
      </c>
      <c r="F133" s="26">
        <f>IF(D133="","",MOD(D133-cfgDeslocamento,4)+1)</f>
        <v>0</v>
      </c>
      <c r="G133" s="26">
        <f>IF(A133="","",IF(AND(ISNUMBER(B133),B133&lt;&gt;0),1,0))</f>
        <v>0</v>
      </c>
      <c r="H133" s="25">
        <f>IF(E133="","",(E133*4+3+cfgDeslocamento)/48)</f>
        <v>0</v>
      </c>
    </row>
    <row r="134" spans="1:8">
      <c r="A134" s="24"/>
      <c r="B134" s="19"/>
      <c r="C134" s="25">
        <f>IF(D134="","",D134/48)</f>
        <v>0</v>
      </c>
      <c r="D134" s="26">
        <f>IF(A134="","",ROUND((A134-cfgDefasagem/1440)*48,0))</f>
        <v>0</v>
      </c>
      <c r="E134" s="26">
        <f>IF(D134="","",INT((D134-cfgDeslocamento)/4))</f>
        <v>0</v>
      </c>
      <c r="F134" s="26">
        <f>IF(D134="","",MOD(D134-cfgDeslocamento,4)+1)</f>
        <v>0</v>
      </c>
      <c r="G134" s="26">
        <f>IF(A134="","",IF(AND(ISNUMBER(B134),B134&lt;&gt;0),1,0))</f>
        <v>0</v>
      </c>
      <c r="H134" s="25">
        <f>IF(E134="","",(E134*4+3+cfgDeslocamento)/48)</f>
        <v>0</v>
      </c>
    </row>
    <row r="135" spans="1:8">
      <c r="A135" s="24"/>
      <c r="B135" s="19"/>
      <c r="C135" s="25">
        <f>IF(D135="","",D135/48)</f>
        <v>0</v>
      </c>
      <c r="D135" s="26">
        <f>IF(A135="","",ROUND((A135-cfgDefasagem/1440)*48,0))</f>
        <v>0</v>
      </c>
      <c r="E135" s="26">
        <f>IF(D135="","",INT((D135-cfgDeslocamento)/4))</f>
        <v>0</v>
      </c>
      <c r="F135" s="26">
        <f>IF(D135="","",MOD(D135-cfgDeslocamento,4)+1)</f>
        <v>0</v>
      </c>
      <c r="G135" s="26">
        <f>IF(A135="","",IF(AND(ISNUMBER(B135),B135&lt;&gt;0),1,0))</f>
        <v>0</v>
      </c>
      <c r="H135" s="25">
        <f>IF(E135="","",(E135*4+3+cfgDeslocamento)/48)</f>
        <v>0</v>
      </c>
    </row>
    <row r="136" spans="1:8">
      <c r="A136" s="24"/>
      <c r="B136" s="19"/>
      <c r="C136" s="25">
        <f>IF(D136="","",D136/48)</f>
        <v>0</v>
      </c>
      <c r="D136" s="26">
        <f>IF(A136="","",ROUND((A136-cfgDefasagem/1440)*48,0))</f>
        <v>0</v>
      </c>
      <c r="E136" s="26">
        <f>IF(D136="","",INT((D136-cfgDeslocamento)/4))</f>
        <v>0</v>
      </c>
      <c r="F136" s="26">
        <f>IF(D136="","",MOD(D136-cfgDeslocamento,4)+1)</f>
        <v>0</v>
      </c>
      <c r="G136" s="26">
        <f>IF(A136="","",IF(AND(ISNUMBER(B136),B136&lt;&gt;0),1,0))</f>
        <v>0</v>
      </c>
      <c r="H136" s="25">
        <f>IF(E136="","",(E136*4+3+cfgDeslocamento)/48)</f>
        <v>0</v>
      </c>
    </row>
    <row r="137" spans="1:8">
      <c r="A137" s="24"/>
      <c r="B137" s="19"/>
      <c r="C137" s="25">
        <f>IF(D137="","",D137/48)</f>
        <v>0</v>
      </c>
      <c r="D137" s="26">
        <f>IF(A137="","",ROUND((A137-cfgDefasagem/1440)*48,0))</f>
        <v>0</v>
      </c>
      <c r="E137" s="26">
        <f>IF(D137="","",INT((D137-cfgDeslocamento)/4))</f>
        <v>0</v>
      </c>
      <c r="F137" s="26">
        <f>IF(D137="","",MOD(D137-cfgDeslocamento,4)+1)</f>
        <v>0</v>
      </c>
      <c r="G137" s="26">
        <f>IF(A137="","",IF(AND(ISNUMBER(B137),B137&lt;&gt;0),1,0))</f>
        <v>0</v>
      </c>
      <c r="H137" s="25">
        <f>IF(E137="","",(E137*4+3+cfgDeslocamento)/48)</f>
        <v>0</v>
      </c>
    </row>
    <row r="138" spans="1:8">
      <c r="A138" s="24"/>
      <c r="B138" s="19"/>
      <c r="C138" s="25">
        <f>IF(D138="","",D138/48)</f>
        <v>0</v>
      </c>
      <c r="D138" s="26">
        <f>IF(A138="","",ROUND((A138-cfgDefasagem/1440)*48,0))</f>
        <v>0</v>
      </c>
      <c r="E138" s="26">
        <f>IF(D138="","",INT((D138-cfgDeslocamento)/4))</f>
        <v>0</v>
      </c>
      <c r="F138" s="26">
        <f>IF(D138="","",MOD(D138-cfgDeslocamento,4)+1)</f>
        <v>0</v>
      </c>
      <c r="G138" s="26">
        <f>IF(A138="","",IF(AND(ISNUMBER(B138),B138&lt;&gt;0),1,0))</f>
        <v>0</v>
      </c>
      <c r="H138" s="25">
        <f>IF(E138="","",(E138*4+3+cfgDeslocamento)/48)</f>
        <v>0</v>
      </c>
    </row>
    <row r="139" spans="1:8">
      <c r="A139" s="24"/>
      <c r="B139" s="19"/>
      <c r="C139" s="25">
        <f>IF(D139="","",D139/48)</f>
        <v>0</v>
      </c>
      <c r="D139" s="26">
        <f>IF(A139="","",ROUND((A139-cfgDefasagem/1440)*48,0))</f>
        <v>0</v>
      </c>
      <c r="E139" s="26">
        <f>IF(D139="","",INT((D139-cfgDeslocamento)/4))</f>
        <v>0</v>
      </c>
      <c r="F139" s="26">
        <f>IF(D139="","",MOD(D139-cfgDeslocamento,4)+1)</f>
        <v>0</v>
      </c>
      <c r="G139" s="26">
        <f>IF(A139="","",IF(AND(ISNUMBER(B139),B139&lt;&gt;0),1,0))</f>
        <v>0</v>
      </c>
      <c r="H139" s="25">
        <f>IF(E139="","",(E139*4+3+cfgDeslocamento)/48)</f>
        <v>0</v>
      </c>
    </row>
    <row r="140" spans="1:8">
      <c r="A140" s="24"/>
      <c r="B140" s="19"/>
      <c r="C140" s="25">
        <f>IF(D140="","",D140/48)</f>
        <v>0</v>
      </c>
      <c r="D140" s="26">
        <f>IF(A140="","",ROUND((A140-cfgDefasagem/1440)*48,0))</f>
        <v>0</v>
      </c>
      <c r="E140" s="26">
        <f>IF(D140="","",INT((D140-cfgDeslocamento)/4))</f>
        <v>0</v>
      </c>
      <c r="F140" s="26">
        <f>IF(D140="","",MOD(D140-cfgDeslocamento,4)+1)</f>
        <v>0</v>
      </c>
      <c r="G140" s="26">
        <f>IF(A140="","",IF(AND(ISNUMBER(B140),B140&lt;&gt;0),1,0))</f>
        <v>0</v>
      </c>
      <c r="H140" s="25">
        <f>IF(E140="","",(E140*4+3+cfgDeslocamento)/48)</f>
        <v>0</v>
      </c>
    </row>
    <row r="141" spans="1:8">
      <c r="A141" s="24"/>
      <c r="B141" s="19"/>
      <c r="C141" s="25">
        <f>IF(D141="","",D141/48)</f>
        <v>0</v>
      </c>
      <c r="D141" s="26">
        <f>IF(A141="","",ROUND((A141-cfgDefasagem/1440)*48,0))</f>
        <v>0</v>
      </c>
      <c r="E141" s="26">
        <f>IF(D141="","",INT((D141-cfgDeslocamento)/4))</f>
        <v>0</v>
      </c>
      <c r="F141" s="26">
        <f>IF(D141="","",MOD(D141-cfgDeslocamento,4)+1)</f>
        <v>0</v>
      </c>
      <c r="G141" s="26">
        <f>IF(A141="","",IF(AND(ISNUMBER(B141),B141&lt;&gt;0),1,0))</f>
        <v>0</v>
      </c>
      <c r="H141" s="25">
        <f>IF(E141="","",(E141*4+3+cfgDeslocamento)/48)</f>
        <v>0</v>
      </c>
    </row>
    <row r="142" spans="1:8">
      <c r="A142" s="24"/>
      <c r="B142" s="19"/>
      <c r="C142" s="25">
        <f>IF(D142="","",D142/48)</f>
        <v>0</v>
      </c>
      <c r="D142" s="26">
        <f>IF(A142="","",ROUND((A142-cfgDefasagem/1440)*48,0))</f>
        <v>0</v>
      </c>
      <c r="E142" s="26">
        <f>IF(D142="","",INT((D142-cfgDeslocamento)/4))</f>
        <v>0</v>
      </c>
      <c r="F142" s="26">
        <f>IF(D142="","",MOD(D142-cfgDeslocamento,4)+1)</f>
        <v>0</v>
      </c>
      <c r="G142" s="26">
        <f>IF(A142="","",IF(AND(ISNUMBER(B142),B142&lt;&gt;0),1,0))</f>
        <v>0</v>
      </c>
      <c r="H142" s="25">
        <f>IF(E142="","",(E142*4+3+cfgDeslocamento)/48)</f>
        <v>0</v>
      </c>
    </row>
    <row r="143" spans="1:8">
      <c r="A143" s="24"/>
      <c r="B143" s="19"/>
      <c r="C143" s="25">
        <f>IF(D143="","",D143/48)</f>
        <v>0</v>
      </c>
      <c r="D143" s="26">
        <f>IF(A143="","",ROUND((A143-cfgDefasagem/1440)*48,0))</f>
        <v>0</v>
      </c>
      <c r="E143" s="26">
        <f>IF(D143="","",INT((D143-cfgDeslocamento)/4))</f>
        <v>0</v>
      </c>
      <c r="F143" s="26">
        <f>IF(D143="","",MOD(D143-cfgDeslocamento,4)+1)</f>
        <v>0</v>
      </c>
      <c r="G143" s="26">
        <f>IF(A143="","",IF(AND(ISNUMBER(B143),B143&lt;&gt;0),1,0))</f>
        <v>0</v>
      </c>
      <c r="H143" s="25">
        <f>IF(E143="","",(E143*4+3+cfgDeslocamento)/48)</f>
        <v>0</v>
      </c>
    </row>
    <row r="144" spans="1:8">
      <c r="A144" s="24"/>
      <c r="B144" s="19"/>
      <c r="C144" s="25">
        <f>IF(D144="","",D144/48)</f>
        <v>0</v>
      </c>
      <c r="D144" s="26">
        <f>IF(A144="","",ROUND((A144-cfgDefasagem/1440)*48,0))</f>
        <v>0</v>
      </c>
      <c r="E144" s="26">
        <f>IF(D144="","",INT((D144-cfgDeslocamento)/4))</f>
        <v>0</v>
      </c>
      <c r="F144" s="26">
        <f>IF(D144="","",MOD(D144-cfgDeslocamento,4)+1)</f>
        <v>0</v>
      </c>
      <c r="G144" s="26">
        <f>IF(A144="","",IF(AND(ISNUMBER(B144),B144&lt;&gt;0),1,0))</f>
        <v>0</v>
      </c>
      <c r="H144" s="25">
        <f>IF(E144="","",(E144*4+3+cfgDeslocamento)/48)</f>
        <v>0</v>
      </c>
    </row>
    <row r="145" spans="1:8">
      <c r="A145" s="24"/>
      <c r="B145" s="19"/>
      <c r="C145" s="25">
        <f>IF(D145="","",D145/48)</f>
        <v>0</v>
      </c>
      <c r="D145" s="26">
        <f>IF(A145="","",ROUND((A145-cfgDefasagem/1440)*48,0))</f>
        <v>0</v>
      </c>
      <c r="E145" s="26">
        <f>IF(D145="","",INT((D145-cfgDeslocamento)/4))</f>
        <v>0</v>
      </c>
      <c r="F145" s="26">
        <f>IF(D145="","",MOD(D145-cfgDeslocamento,4)+1)</f>
        <v>0</v>
      </c>
      <c r="G145" s="26">
        <f>IF(A145="","",IF(AND(ISNUMBER(B145),B145&lt;&gt;0),1,0))</f>
        <v>0</v>
      </c>
      <c r="H145" s="25">
        <f>IF(E145="","",(E145*4+3+cfgDeslocamento)/48)</f>
        <v>0</v>
      </c>
    </row>
    <row r="146" spans="1:8">
      <c r="A146" s="24"/>
      <c r="B146" s="19"/>
      <c r="C146" s="25">
        <f>IF(D146="","",D146/48)</f>
        <v>0</v>
      </c>
      <c r="D146" s="26">
        <f>IF(A146="","",ROUND((A146-cfgDefasagem/1440)*48,0))</f>
        <v>0</v>
      </c>
      <c r="E146" s="26">
        <f>IF(D146="","",INT((D146-cfgDeslocamento)/4))</f>
        <v>0</v>
      </c>
      <c r="F146" s="26">
        <f>IF(D146="","",MOD(D146-cfgDeslocamento,4)+1)</f>
        <v>0</v>
      </c>
      <c r="G146" s="26">
        <f>IF(A146="","",IF(AND(ISNUMBER(B146),B146&lt;&gt;0),1,0))</f>
        <v>0</v>
      </c>
      <c r="H146" s="25">
        <f>IF(E146="","",(E146*4+3+cfgDeslocamento)/48)</f>
        <v>0</v>
      </c>
    </row>
    <row r="147" spans="1:8">
      <c r="A147" s="24"/>
      <c r="B147" s="19"/>
      <c r="C147" s="25">
        <f>IF(D147="","",D147/48)</f>
        <v>0</v>
      </c>
      <c r="D147" s="26">
        <f>IF(A147="","",ROUND((A147-cfgDefasagem/1440)*48,0))</f>
        <v>0</v>
      </c>
      <c r="E147" s="26">
        <f>IF(D147="","",INT((D147-cfgDeslocamento)/4))</f>
        <v>0</v>
      </c>
      <c r="F147" s="26">
        <f>IF(D147="","",MOD(D147-cfgDeslocamento,4)+1)</f>
        <v>0</v>
      </c>
      <c r="G147" s="26">
        <f>IF(A147="","",IF(AND(ISNUMBER(B147),B147&lt;&gt;0),1,0))</f>
        <v>0</v>
      </c>
      <c r="H147" s="25">
        <f>IF(E147="","",(E147*4+3+cfgDeslocamento)/48)</f>
        <v>0</v>
      </c>
    </row>
    <row r="148" spans="1:8">
      <c r="A148" s="24"/>
      <c r="B148" s="19"/>
      <c r="C148" s="25">
        <f>IF(D148="","",D148/48)</f>
        <v>0</v>
      </c>
      <c r="D148" s="26">
        <f>IF(A148="","",ROUND((A148-cfgDefasagem/1440)*48,0))</f>
        <v>0</v>
      </c>
      <c r="E148" s="26">
        <f>IF(D148="","",INT((D148-cfgDeslocamento)/4))</f>
        <v>0</v>
      </c>
      <c r="F148" s="26">
        <f>IF(D148="","",MOD(D148-cfgDeslocamento,4)+1)</f>
        <v>0</v>
      </c>
      <c r="G148" s="26">
        <f>IF(A148="","",IF(AND(ISNUMBER(B148),B148&lt;&gt;0),1,0))</f>
        <v>0</v>
      </c>
      <c r="H148" s="25">
        <f>IF(E148="","",(E148*4+3+cfgDeslocamento)/48)</f>
        <v>0</v>
      </c>
    </row>
    <row r="149" spans="1:8">
      <c r="A149" s="24"/>
      <c r="B149" s="19"/>
      <c r="C149" s="25">
        <f>IF(D149="","",D149/48)</f>
        <v>0</v>
      </c>
      <c r="D149" s="26">
        <f>IF(A149="","",ROUND((A149-cfgDefasagem/1440)*48,0))</f>
        <v>0</v>
      </c>
      <c r="E149" s="26">
        <f>IF(D149="","",INT((D149-cfgDeslocamento)/4))</f>
        <v>0</v>
      </c>
      <c r="F149" s="26">
        <f>IF(D149="","",MOD(D149-cfgDeslocamento,4)+1)</f>
        <v>0</v>
      </c>
      <c r="G149" s="26">
        <f>IF(A149="","",IF(AND(ISNUMBER(B149),B149&lt;&gt;0),1,0))</f>
        <v>0</v>
      </c>
      <c r="H149" s="25">
        <f>IF(E149="","",(E149*4+3+cfgDeslocamento)/48)</f>
        <v>0</v>
      </c>
    </row>
    <row r="150" spans="1:8">
      <c r="A150" s="24"/>
      <c r="B150" s="19"/>
      <c r="C150" s="25">
        <f>IF(D150="","",D150/48)</f>
        <v>0</v>
      </c>
      <c r="D150" s="26">
        <f>IF(A150="","",ROUND((A150-cfgDefasagem/1440)*48,0))</f>
        <v>0</v>
      </c>
      <c r="E150" s="26">
        <f>IF(D150="","",INT((D150-cfgDeslocamento)/4))</f>
        <v>0</v>
      </c>
      <c r="F150" s="26">
        <f>IF(D150="","",MOD(D150-cfgDeslocamento,4)+1)</f>
        <v>0</v>
      </c>
      <c r="G150" s="26">
        <f>IF(A150="","",IF(AND(ISNUMBER(B150),B150&lt;&gt;0),1,0))</f>
        <v>0</v>
      </c>
      <c r="H150" s="25">
        <f>IF(E150="","",(E150*4+3+cfgDeslocamento)/48)</f>
        <v>0</v>
      </c>
    </row>
    <row r="151" spans="1:8">
      <c r="A151" s="24"/>
      <c r="B151" s="19"/>
      <c r="C151" s="25">
        <f>IF(D151="","",D151/48)</f>
        <v>0</v>
      </c>
      <c r="D151" s="26">
        <f>IF(A151="","",ROUND((A151-cfgDefasagem/1440)*48,0))</f>
        <v>0</v>
      </c>
      <c r="E151" s="26">
        <f>IF(D151="","",INT((D151-cfgDeslocamento)/4))</f>
        <v>0</v>
      </c>
      <c r="F151" s="26">
        <f>IF(D151="","",MOD(D151-cfgDeslocamento,4)+1)</f>
        <v>0</v>
      </c>
      <c r="G151" s="26">
        <f>IF(A151="","",IF(AND(ISNUMBER(B151),B151&lt;&gt;0),1,0))</f>
        <v>0</v>
      </c>
      <c r="H151" s="25">
        <f>IF(E151="","",(E151*4+3+cfgDeslocamento)/48)</f>
        <v>0</v>
      </c>
    </row>
    <row r="152" spans="1:8">
      <c r="A152" s="24"/>
      <c r="B152" s="19"/>
      <c r="C152" s="25">
        <f>IF(D152="","",D152/48)</f>
        <v>0</v>
      </c>
      <c r="D152" s="26">
        <f>IF(A152="","",ROUND((A152-cfgDefasagem/1440)*48,0))</f>
        <v>0</v>
      </c>
      <c r="E152" s="26">
        <f>IF(D152="","",INT((D152-cfgDeslocamento)/4))</f>
        <v>0</v>
      </c>
      <c r="F152" s="26">
        <f>IF(D152="","",MOD(D152-cfgDeslocamento,4)+1)</f>
        <v>0</v>
      </c>
      <c r="G152" s="26">
        <f>IF(A152="","",IF(AND(ISNUMBER(B152),B152&lt;&gt;0),1,0))</f>
        <v>0</v>
      </c>
      <c r="H152" s="25">
        <f>IF(E152="","",(E152*4+3+cfgDeslocamento)/48)</f>
        <v>0</v>
      </c>
    </row>
    <row r="153" spans="1:8">
      <c r="A153" s="24"/>
      <c r="B153" s="19"/>
      <c r="C153" s="25">
        <f>IF(D153="","",D153/48)</f>
        <v>0</v>
      </c>
      <c r="D153" s="26">
        <f>IF(A153="","",ROUND((A153-cfgDefasagem/1440)*48,0))</f>
        <v>0</v>
      </c>
      <c r="E153" s="26">
        <f>IF(D153="","",INT((D153-cfgDeslocamento)/4))</f>
        <v>0</v>
      </c>
      <c r="F153" s="26">
        <f>IF(D153="","",MOD(D153-cfgDeslocamento,4)+1)</f>
        <v>0</v>
      </c>
      <c r="G153" s="26">
        <f>IF(A153="","",IF(AND(ISNUMBER(B153),B153&lt;&gt;0),1,0))</f>
        <v>0</v>
      </c>
      <c r="H153" s="25">
        <f>IF(E153="","",(E153*4+3+cfgDeslocamento)/48)</f>
        <v>0</v>
      </c>
    </row>
    <row r="154" spans="1:8">
      <c r="A154" s="24"/>
      <c r="B154" s="19"/>
      <c r="C154" s="25">
        <f>IF(D154="","",D154/48)</f>
        <v>0</v>
      </c>
      <c r="D154" s="26">
        <f>IF(A154="","",ROUND((A154-cfgDefasagem/1440)*48,0))</f>
        <v>0</v>
      </c>
      <c r="E154" s="26">
        <f>IF(D154="","",INT((D154-cfgDeslocamento)/4))</f>
        <v>0</v>
      </c>
      <c r="F154" s="26">
        <f>IF(D154="","",MOD(D154-cfgDeslocamento,4)+1)</f>
        <v>0</v>
      </c>
      <c r="G154" s="26">
        <f>IF(A154="","",IF(AND(ISNUMBER(B154),B154&lt;&gt;0),1,0))</f>
        <v>0</v>
      </c>
      <c r="H154" s="25">
        <f>IF(E154="","",(E154*4+3+cfgDeslocamento)/48)</f>
        <v>0</v>
      </c>
    </row>
    <row r="155" spans="1:8">
      <c r="A155" s="24"/>
      <c r="B155" s="19"/>
      <c r="C155" s="25">
        <f>IF(D155="","",D155/48)</f>
        <v>0</v>
      </c>
      <c r="D155" s="26">
        <f>IF(A155="","",ROUND((A155-cfgDefasagem/1440)*48,0))</f>
        <v>0</v>
      </c>
      <c r="E155" s="26">
        <f>IF(D155="","",INT((D155-cfgDeslocamento)/4))</f>
        <v>0</v>
      </c>
      <c r="F155" s="26">
        <f>IF(D155="","",MOD(D155-cfgDeslocamento,4)+1)</f>
        <v>0</v>
      </c>
      <c r="G155" s="26">
        <f>IF(A155="","",IF(AND(ISNUMBER(B155),B155&lt;&gt;0),1,0))</f>
        <v>0</v>
      </c>
      <c r="H155" s="25">
        <f>IF(E155="","",(E155*4+3+cfgDeslocamento)/48)</f>
        <v>0</v>
      </c>
    </row>
    <row r="156" spans="1:8">
      <c r="A156" s="24"/>
      <c r="B156" s="19"/>
      <c r="C156" s="25">
        <f>IF(D156="","",D156/48)</f>
        <v>0</v>
      </c>
      <c r="D156" s="26">
        <f>IF(A156="","",ROUND((A156-cfgDefasagem/1440)*48,0))</f>
        <v>0</v>
      </c>
      <c r="E156" s="26">
        <f>IF(D156="","",INT((D156-cfgDeslocamento)/4))</f>
        <v>0</v>
      </c>
      <c r="F156" s="26">
        <f>IF(D156="","",MOD(D156-cfgDeslocamento,4)+1)</f>
        <v>0</v>
      </c>
      <c r="G156" s="26">
        <f>IF(A156="","",IF(AND(ISNUMBER(B156),B156&lt;&gt;0),1,0))</f>
        <v>0</v>
      </c>
      <c r="H156" s="25">
        <f>IF(E156="","",(E156*4+3+cfgDeslocamento)/48)</f>
        <v>0</v>
      </c>
    </row>
    <row r="157" spans="1:8">
      <c r="A157" s="24"/>
      <c r="B157" s="19"/>
      <c r="C157" s="25">
        <f>IF(D157="","",D157/48)</f>
        <v>0</v>
      </c>
      <c r="D157" s="26">
        <f>IF(A157="","",ROUND((A157-cfgDefasagem/1440)*48,0))</f>
        <v>0</v>
      </c>
      <c r="E157" s="26">
        <f>IF(D157="","",INT((D157-cfgDeslocamento)/4))</f>
        <v>0</v>
      </c>
      <c r="F157" s="26">
        <f>IF(D157="","",MOD(D157-cfgDeslocamento,4)+1)</f>
        <v>0</v>
      </c>
      <c r="G157" s="26">
        <f>IF(A157="","",IF(AND(ISNUMBER(B157),B157&lt;&gt;0),1,0))</f>
        <v>0</v>
      </c>
      <c r="H157" s="25">
        <f>IF(E157="","",(E157*4+3+cfgDeslocamento)/48)</f>
        <v>0</v>
      </c>
    </row>
    <row r="158" spans="1:8">
      <c r="A158" s="24"/>
      <c r="B158" s="19"/>
      <c r="C158" s="25">
        <f>IF(D158="","",D158/48)</f>
        <v>0</v>
      </c>
      <c r="D158" s="26">
        <f>IF(A158="","",ROUND((A158-cfgDefasagem/1440)*48,0))</f>
        <v>0</v>
      </c>
      <c r="E158" s="26">
        <f>IF(D158="","",INT((D158-cfgDeslocamento)/4))</f>
        <v>0</v>
      </c>
      <c r="F158" s="26">
        <f>IF(D158="","",MOD(D158-cfgDeslocamento,4)+1)</f>
        <v>0</v>
      </c>
      <c r="G158" s="26">
        <f>IF(A158="","",IF(AND(ISNUMBER(B158),B158&lt;&gt;0),1,0))</f>
        <v>0</v>
      </c>
      <c r="H158" s="25">
        <f>IF(E158="","",(E158*4+3+cfgDeslocamento)/48)</f>
        <v>0</v>
      </c>
    </row>
    <row r="159" spans="1:8">
      <c r="A159" s="24"/>
      <c r="B159" s="19"/>
      <c r="C159" s="25">
        <f>IF(D159="","",D159/48)</f>
        <v>0</v>
      </c>
      <c r="D159" s="26">
        <f>IF(A159="","",ROUND((A159-cfgDefasagem/1440)*48,0))</f>
        <v>0</v>
      </c>
      <c r="E159" s="26">
        <f>IF(D159="","",INT((D159-cfgDeslocamento)/4))</f>
        <v>0</v>
      </c>
      <c r="F159" s="26">
        <f>IF(D159="","",MOD(D159-cfgDeslocamento,4)+1)</f>
        <v>0</v>
      </c>
      <c r="G159" s="26">
        <f>IF(A159="","",IF(AND(ISNUMBER(B159),B159&lt;&gt;0),1,0))</f>
        <v>0</v>
      </c>
      <c r="H159" s="25">
        <f>IF(E159="","",(E159*4+3+cfgDeslocamento)/48)</f>
        <v>0</v>
      </c>
    </row>
    <row r="160" spans="1:8">
      <c r="A160" s="24"/>
      <c r="B160" s="19"/>
      <c r="C160" s="25">
        <f>IF(D160="","",D160/48)</f>
        <v>0</v>
      </c>
      <c r="D160" s="26">
        <f>IF(A160="","",ROUND((A160-cfgDefasagem/1440)*48,0))</f>
        <v>0</v>
      </c>
      <c r="E160" s="26">
        <f>IF(D160="","",INT((D160-cfgDeslocamento)/4))</f>
        <v>0</v>
      </c>
      <c r="F160" s="26">
        <f>IF(D160="","",MOD(D160-cfgDeslocamento,4)+1)</f>
        <v>0</v>
      </c>
      <c r="G160" s="26">
        <f>IF(A160="","",IF(AND(ISNUMBER(B160),B160&lt;&gt;0),1,0))</f>
        <v>0</v>
      </c>
      <c r="H160" s="25">
        <f>IF(E160="","",(E160*4+3+cfgDeslocamento)/48)</f>
        <v>0</v>
      </c>
    </row>
    <row r="161" spans="1:8">
      <c r="A161" s="24"/>
      <c r="B161" s="19"/>
      <c r="C161" s="25">
        <f>IF(D161="","",D161/48)</f>
        <v>0</v>
      </c>
      <c r="D161" s="26">
        <f>IF(A161="","",ROUND((A161-cfgDefasagem/1440)*48,0))</f>
        <v>0</v>
      </c>
      <c r="E161" s="26">
        <f>IF(D161="","",INT((D161-cfgDeslocamento)/4))</f>
        <v>0</v>
      </c>
      <c r="F161" s="26">
        <f>IF(D161="","",MOD(D161-cfgDeslocamento,4)+1)</f>
        <v>0</v>
      </c>
      <c r="G161" s="26">
        <f>IF(A161="","",IF(AND(ISNUMBER(B161),B161&lt;&gt;0),1,0))</f>
        <v>0</v>
      </c>
      <c r="H161" s="25">
        <f>IF(E161="","",(E161*4+3+cfgDeslocamento)/48)</f>
        <v>0</v>
      </c>
    </row>
    <row r="162" spans="1:8">
      <c r="A162" s="24"/>
      <c r="B162" s="19"/>
      <c r="C162" s="25">
        <f>IF(D162="","",D162/48)</f>
        <v>0</v>
      </c>
      <c r="D162" s="26">
        <f>IF(A162="","",ROUND((A162-cfgDefasagem/1440)*48,0))</f>
        <v>0</v>
      </c>
      <c r="E162" s="26">
        <f>IF(D162="","",INT((D162-cfgDeslocamento)/4))</f>
        <v>0</v>
      </c>
      <c r="F162" s="26">
        <f>IF(D162="","",MOD(D162-cfgDeslocamento,4)+1)</f>
        <v>0</v>
      </c>
      <c r="G162" s="26">
        <f>IF(A162="","",IF(AND(ISNUMBER(B162),B162&lt;&gt;0),1,0))</f>
        <v>0</v>
      </c>
      <c r="H162" s="25">
        <f>IF(E162="","",(E162*4+3+cfgDeslocamento)/48)</f>
        <v>0</v>
      </c>
    </row>
    <row r="163" spans="1:8">
      <c r="A163" s="24"/>
      <c r="B163" s="19"/>
      <c r="C163" s="25">
        <f>IF(D163="","",D163/48)</f>
        <v>0</v>
      </c>
      <c r="D163" s="26">
        <f>IF(A163="","",ROUND((A163-cfgDefasagem/1440)*48,0))</f>
        <v>0</v>
      </c>
      <c r="E163" s="26">
        <f>IF(D163="","",INT((D163-cfgDeslocamento)/4))</f>
        <v>0</v>
      </c>
      <c r="F163" s="26">
        <f>IF(D163="","",MOD(D163-cfgDeslocamento,4)+1)</f>
        <v>0</v>
      </c>
      <c r="G163" s="26">
        <f>IF(A163="","",IF(AND(ISNUMBER(B163),B163&lt;&gt;0),1,0))</f>
        <v>0</v>
      </c>
      <c r="H163" s="25">
        <f>IF(E163="","",(E163*4+3+cfgDeslocamento)/48)</f>
        <v>0</v>
      </c>
    </row>
    <row r="164" spans="1:8">
      <c r="A164" s="24"/>
      <c r="B164" s="19"/>
      <c r="C164" s="25">
        <f>IF(D164="","",D164/48)</f>
        <v>0</v>
      </c>
      <c r="D164" s="26">
        <f>IF(A164="","",ROUND((A164-cfgDefasagem/1440)*48,0))</f>
        <v>0</v>
      </c>
      <c r="E164" s="26">
        <f>IF(D164="","",INT((D164-cfgDeslocamento)/4))</f>
        <v>0</v>
      </c>
      <c r="F164" s="26">
        <f>IF(D164="","",MOD(D164-cfgDeslocamento,4)+1)</f>
        <v>0</v>
      </c>
      <c r="G164" s="26">
        <f>IF(A164="","",IF(AND(ISNUMBER(B164),B164&lt;&gt;0),1,0))</f>
        <v>0</v>
      </c>
      <c r="H164" s="25">
        <f>IF(E164="","",(E164*4+3+cfgDeslocamento)/48)</f>
        <v>0</v>
      </c>
    </row>
    <row r="165" spans="1:8">
      <c r="A165" s="24"/>
      <c r="B165" s="19"/>
      <c r="C165" s="25">
        <f>IF(D165="","",D165/48)</f>
        <v>0</v>
      </c>
      <c r="D165" s="26">
        <f>IF(A165="","",ROUND((A165-cfgDefasagem/1440)*48,0))</f>
        <v>0</v>
      </c>
      <c r="E165" s="26">
        <f>IF(D165="","",INT((D165-cfgDeslocamento)/4))</f>
        <v>0</v>
      </c>
      <c r="F165" s="26">
        <f>IF(D165="","",MOD(D165-cfgDeslocamento,4)+1)</f>
        <v>0</v>
      </c>
      <c r="G165" s="26">
        <f>IF(A165="","",IF(AND(ISNUMBER(B165),B165&lt;&gt;0),1,0))</f>
        <v>0</v>
      </c>
      <c r="H165" s="25">
        <f>IF(E165="","",(E165*4+3+cfgDeslocamento)/48)</f>
        <v>0</v>
      </c>
    </row>
    <row r="166" spans="1:8">
      <c r="A166" s="24"/>
      <c r="B166" s="19"/>
      <c r="C166" s="25">
        <f>IF(D166="","",D166/48)</f>
        <v>0</v>
      </c>
      <c r="D166" s="26">
        <f>IF(A166="","",ROUND((A166-cfgDefasagem/1440)*48,0))</f>
        <v>0</v>
      </c>
      <c r="E166" s="26">
        <f>IF(D166="","",INT((D166-cfgDeslocamento)/4))</f>
        <v>0</v>
      </c>
      <c r="F166" s="26">
        <f>IF(D166="","",MOD(D166-cfgDeslocamento,4)+1)</f>
        <v>0</v>
      </c>
      <c r="G166" s="26">
        <f>IF(A166="","",IF(AND(ISNUMBER(B166),B166&lt;&gt;0),1,0))</f>
        <v>0</v>
      </c>
      <c r="H166" s="25">
        <f>IF(E166="","",(E166*4+3+cfgDeslocamento)/48)</f>
        <v>0</v>
      </c>
    </row>
    <row r="167" spans="1:8">
      <c r="A167" s="24"/>
      <c r="B167" s="19"/>
      <c r="C167" s="25">
        <f>IF(D167="","",D167/48)</f>
        <v>0</v>
      </c>
      <c r="D167" s="26">
        <f>IF(A167="","",ROUND((A167-cfgDefasagem/1440)*48,0))</f>
        <v>0</v>
      </c>
      <c r="E167" s="26">
        <f>IF(D167="","",INT((D167-cfgDeslocamento)/4))</f>
        <v>0</v>
      </c>
      <c r="F167" s="26">
        <f>IF(D167="","",MOD(D167-cfgDeslocamento,4)+1)</f>
        <v>0</v>
      </c>
      <c r="G167" s="26">
        <f>IF(A167="","",IF(AND(ISNUMBER(B167),B167&lt;&gt;0),1,0))</f>
        <v>0</v>
      </c>
      <c r="H167" s="25">
        <f>IF(E167="","",(E167*4+3+cfgDeslocamento)/48)</f>
        <v>0</v>
      </c>
    </row>
    <row r="168" spans="1:8">
      <c r="A168" s="24"/>
      <c r="B168" s="19"/>
      <c r="C168" s="25">
        <f>IF(D168="","",D168/48)</f>
        <v>0</v>
      </c>
      <c r="D168" s="26">
        <f>IF(A168="","",ROUND((A168-cfgDefasagem/1440)*48,0))</f>
        <v>0</v>
      </c>
      <c r="E168" s="26">
        <f>IF(D168="","",INT((D168-cfgDeslocamento)/4))</f>
        <v>0</v>
      </c>
      <c r="F168" s="26">
        <f>IF(D168="","",MOD(D168-cfgDeslocamento,4)+1)</f>
        <v>0</v>
      </c>
      <c r="G168" s="26">
        <f>IF(A168="","",IF(AND(ISNUMBER(B168),B168&lt;&gt;0),1,0))</f>
        <v>0</v>
      </c>
      <c r="H168" s="25">
        <f>IF(E168="","",(E168*4+3+cfgDeslocamento)/48)</f>
        <v>0</v>
      </c>
    </row>
    <row r="169" spans="1:8">
      <c r="A169" s="24"/>
      <c r="B169" s="19"/>
      <c r="C169" s="25">
        <f>IF(D169="","",D169/48)</f>
        <v>0</v>
      </c>
      <c r="D169" s="26">
        <f>IF(A169="","",ROUND((A169-cfgDefasagem/1440)*48,0))</f>
        <v>0</v>
      </c>
      <c r="E169" s="26">
        <f>IF(D169="","",INT((D169-cfgDeslocamento)/4))</f>
        <v>0</v>
      </c>
      <c r="F169" s="26">
        <f>IF(D169="","",MOD(D169-cfgDeslocamento,4)+1)</f>
        <v>0</v>
      </c>
      <c r="G169" s="26">
        <f>IF(A169="","",IF(AND(ISNUMBER(B169),B169&lt;&gt;0),1,0))</f>
        <v>0</v>
      </c>
      <c r="H169" s="25">
        <f>IF(E169="","",(E169*4+3+cfgDeslocamento)/48)</f>
        <v>0</v>
      </c>
    </row>
    <row r="170" spans="1:8">
      <c r="A170" s="24"/>
      <c r="B170" s="19"/>
      <c r="C170" s="25">
        <f>IF(D170="","",D170/48)</f>
        <v>0</v>
      </c>
      <c r="D170" s="26">
        <f>IF(A170="","",ROUND((A170-cfgDefasagem/1440)*48,0))</f>
        <v>0</v>
      </c>
      <c r="E170" s="26">
        <f>IF(D170="","",INT((D170-cfgDeslocamento)/4))</f>
        <v>0</v>
      </c>
      <c r="F170" s="26">
        <f>IF(D170="","",MOD(D170-cfgDeslocamento,4)+1)</f>
        <v>0</v>
      </c>
      <c r="G170" s="26">
        <f>IF(A170="","",IF(AND(ISNUMBER(B170),B170&lt;&gt;0),1,0))</f>
        <v>0</v>
      </c>
      <c r="H170" s="25">
        <f>IF(E170="","",(E170*4+3+cfgDeslocamento)/48)</f>
        <v>0</v>
      </c>
    </row>
    <row r="171" spans="1:8">
      <c r="A171" s="24"/>
      <c r="B171" s="19"/>
      <c r="C171" s="25">
        <f>IF(D171="","",D171/48)</f>
        <v>0</v>
      </c>
      <c r="D171" s="26">
        <f>IF(A171="","",ROUND((A171-cfgDefasagem/1440)*48,0))</f>
        <v>0</v>
      </c>
      <c r="E171" s="26">
        <f>IF(D171="","",INT((D171-cfgDeslocamento)/4))</f>
        <v>0</v>
      </c>
      <c r="F171" s="26">
        <f>IF(D171="","",MOD(D171-cfgDeslocamento,4)+1)</f>
        <v>0</v>
      </c>
      <c r="G171" s="26">
        <f>IF(A171="","",IF(AND(ISNUMBER(B171),B171&lt;&gt;0),1,0))</f>
        <v>0</v>
      </c>
      <c r="H171" s="25">
        <f>IF(E171="","",(E171*4+3+cfgDeslocamento)/48)</f>
        <v>0</v>
      </c>
    </row>
    <row r="172" spans="1:8">
      <c r="A172" s="24"/>
      <c r="B172" s="19"/>
      <c r="C172" s="25">
        <f>IF(D172="","",D172/48)</f>
        <v>0</v>
      </c>
      <c r="D172" s="26">
        <f>IF(A172="","",ROUND((A172-cfgDefasagem/1440)*48,0))</f>
        <v>0</v>
      </c>
      <c r="E172" s="26">
        <f>IF(D172="","",INT((D172-cfgDeslocamento)/4))</f>
        <v>0</v>
      </c>
      <c r="F172" s="26">
        <f>IF(D172="","",MOD(D172-cfgDeslocamento,4)+1)</f>
        <v>0</v>
      </c>
      <c r="G172" s="26">
        <f>IF(A172="","",IF(AND(ISNUMBER(B172),B172&lt;&gt;0),1,0))</f>
        <v>0</v>
      </c>
      <c r="H172" s="25">
        <f>IF(E172="","",(E172*4+3+cfgDeslocamento)/48)</f>
        <v>0</v>
      </c>
    </row>
    <row r="173" spans="1:8">
      <c r="A173" s="24"/>
      <c r="B173" s="19"/>
      <c r="C173" s="25">
        <f>IF(D173="","",D173/48)</f>
        <v>0</v>
      </c>
      <c r="D173" s="26">
        <f>IF(A173="","",ROUND((A173-cfgDefasagem/1440)*48,0))</f>
        <v>0</v>
      </c>
      <c r="E173" s="26">
        <f>IF(D173="","",INT((D173-cfgDeslocamento)/4))</f>
        <v>0</v>
      </c>
      <c r="F173" s="26">
        <f>IF(D173="","",MOD(D173-cfgDeslocamento,4)+1)</f>
        <v>0</v>
      </c>
      <c r="G173" s="26">
        <f>IF(A173="","",IF(AND(ISNUMBER(B173),B173&lt;&gt;0),1,0))</f>
        <v>0</v>
      </c>
      <c r="H173" s="25">
        <f>IF(E173="","",(E173*4+3+cfgDeslocamento)/48)</f>
        <v>0</v>
      </c>
    </row>
    <row r="174" spans="1:8">
      <c r="A174" s="24"/>
      <c r="B174" s="19"/>
      <c r="C174" s="25">
        <f>IF(D174="","",D174/48)</f>
        <v>0</v>
      </c>
      <c r="D174" s="26">
        <f>IF(A174="","",ROUND((A174-cfgDefasagem/1440)*48,0))</f>
        <v>0</v>
      </c>
      <c r="E174" s="26">
        <f>IF(D174="","",INT((D174-cfgDeslocamento)/4))</f>
        <v>0</v>
      </c>
      <c r="F174" s="26">
        <f>IF(D174="","",MOD(D174-cfgDeslocamento,4)+1)</f>
        <v>0</v>
      </c>
      <c r="G174" s="26">
        <f>IF(A174="","",IF(AND(ISNUMBER(B174),B174&lt;&gt;0),1,0))</f>
        <v>0</v>
      </c>
      <c r="H174" s="25">
        <f>IF(E174="","",(E174*4+3+cfgDeslocamento)/48)</f>
        <v>0</v>
      </c>
    </row>
    <row r="175" spans="1:8">
      <c r="A175" s="24"/>
      <c r="B175" s="19"/>
      <c r="C175" s="25">
        <f>IF(D175="","",D175/48)</f>
        <v>0</v>
      </c>
      <c r="D175" s="26">
        <f>IF(A175="","",ROUND((A175-cfgDefasagem/1440)*48,0))</f>
        <v>0</v>
      </c>
      <c r="E175" s="26">
        <f>IF(D175="","",INT((D175-cfgDeslocamento)/4))</f>
        <v>0</v>
      </c>
      <c r="F175" s="26">
        <f>IF(D175="","",MOD(D175-cfgDeslocamento,4)+1)</f>
        <v>0</v>
      </c>
      <c r="G175" s="26">
        <f>IF(A175="","",IF(AND(ISNUMBER(B175),B175&lt;&gt;0),1,0))</f>
        <v>0</v>
      </c>
      <c r="H175" s="25">
        <f>IF(E175="","",(E175*4+3+cfgDeslocamento)/48)</f>
        <v>0</v>
      </c>
    </row>
    <row r="176" spans="1:8">
      <c r="A176" s="24"/>
      <c r="B176" s="19"/>
      <c r="C176" s="25">
        <f>IF(D176="","",D176/48)</f>
        <v>0</v>
      </c>
      <c r="D176" s="26">
        <f>IF(A176="","",ROUND((A176-cfgDefasagem/1440)*48,0))</f>
        <v>0</v>
      </c>
      <c r="E176" s="26">
        <f>IF(D176="","",INT((D176-cfgDeslocamento)/4))</f>
        <v>0</v>
      </c>
      <c r="F176" s="26">
        <f>IF(D176="","",MOD(D176-cfgDeslocamento,4)+1)</f>
        <v>0</v>
      </c>
      <c r="G176" s="26">
        <f>IF(A176="","",IF(AND(ISNUMBER(B176),B176&lt;&gt;0),1,0))</f>
        <v>0</v>
      </c>
      <c r="H176" s="25">
        <f>IF(E176="","",(E176*4+3+cfgDeslocamento)/48)</f>
        <v>0</v>
      </c>
    </row>
    <row r="177" spans="1:8">
      <c r="A177" s="24"/>
      <c r="B177" s="19"/>
      <c r="C177" s="25">
        <f>IF(D177="","",D177/48)</f>
        <v>0</v>
      </c>
      <c r="D177" s="26">
        <f>IF(A177="","",ROUND((A177-cfgDefasagem/1440)*48,0))</f>
        <v>0</v>
      </c>
      <c r="E177" s="26">
        <f>IF(D177="","",INT((D177-cfgDeslocamento)/4))</f>
        <v>0</v>
      </c>
      <c r="F177" s="26">
        <f>IF(D177="","",MOD(D177-cfgDeslocamento,4)+1)</f>
        <v>0</v>
      </c>
      <c r="G177" s="26">
        <f>IF(A177="","",IF(AND(ISNUMBER(B177),B177&lt;&gt;0),1,0))</f>
        <v>0</v>
      </c>
      <c r="H177" s="25">
        <f>IF(E177="","",(E177*4+3+cfgDeslocamento)/48)</f>
        <v>0</v>
      </c>
    </row>
    <row r="178" spans="1:8">
      <c r="A178" s="24"/>
      <c r="B178" s="19"/>
      <c r="C178" s="25">
        <f>IF(D178="","",D178/48)</f>
        <v>0</v>
      </c>
      <c r="D178" s="26">
        <f>IF(A178="","",ROUND((A178-cfgDefasagem/1440)*48,0))</f>
        <v>0</v>
      </c>
      <c r="E178" s="26">
        <f>IF(D178="","",INT((D178-cfgDeslocamento)/4))</f>
        <v>0</v>
      </c>
      <c r="F178" s="26">
        <f>IF(D178="","",MOD(D178-cfgDeslocamento,4)+1)</f>
        <v>0</v>
      </c>
      <c r="G178" s="26">
        <f>IF(A178="","",IF(AND(ISNUMBER(B178),B178&lt;&gt;0),1,0))</f>
        <v>0</v>
      </c>
      <c r="H178" s="25">
        <f>IF(E178="","",(E178*4+3+cfgDeslocamento)/48)</f>
        <v>0</v>
      </c>
    </row>
    <row r="179" spans="1:8">
      <c r="A179" s="24"/>
      <c r="B179" s="19"/>
      <c r="C179" s="25">
        <f>IF(D179="","",D179/48)</f>
        <v>0</v>
      </c>
      <c r="D179" s="26">
        <f>IF(A179="","",ROUND((A179-cfgDefasagem/1440)*48,0))</f>
        <v>0</v>
      </c>
      <c r="E179" s="26">
        <f>IF(D179="","",INT((D179-cfgDeslocamento)/4))</f>
        <v>0</v>
      </c>
      <c r="F179" s="26">
        <f>IF(D179="","",MOD(D179-cfgDeslocamento,4)+1)</f>
        <v>0</v>
      </c>
      <c r="G179" s="26">
        <f>IF(A179="","",IF(AND(ISNUMBER(B179),B179&lt;&gt;0),1,0))</f>
        <v>0</v>
      </c>
      <c r="H179" s="25">
        <f>IF(E179="","",(E179*4+3+cfgDeslocamento)/48)</f>
        <v>0</v>
      </c>
    </row>
    <row r="180" spans="1:8">
      <c r="A180" s="24"/>
      <c r="B180" s="19"/>
      <c r="C180" s="25">
        <f>IF(D180="","",D180/48)</f>
        <v>0</v>
      </c>
      <c r="D180" s="26">
        <f>IF(A180="","",ROUND((A180-cfgDefasagem/1440)*48,0))</f>
        <v>0</v>
      </c>
      <c r="E180" s="26">
        <f>IF(D180="","",INT((D180-cfgDeslocamento)/4))</f>
        <v>0</v>
      </c>
      <c r="F180" s="26">
        <f>IF(D180="","",MOD(D180-cfgDeslocamento,4)+1)</f>
        <v>0</v>
      </c>
      <c r="G180" s="26">
        <f>IF(A180="","",IF(AND(ISNUMBER(B180),B180&lt;&gt;0),1,0))</f>
        <v>0</v>
      </c>
      <c r="H180" s="25">
        <f>IF(E180="","",(E180*4+3+cfgDeslocamento)/48)</f>
        <v>0</v>
      </c>
    </row>
    <row r="181" spans="1:8">
      <c r="A181" s="24"/>
      <c r="B181" s="19"/>
      <c r="C181" s="25">
        <f>IF(D181="","",D181/48)</f>
        <v>0</v>
      </c>
      <c r="D181" s="26">
        <f>IF(A181="","",ROUND((A181-cfgDefasagem/1440)*48,0))</f>
        <v>0</v>
      </c>
      <c r="E181" s="26">
        <f>IF(D181="","",INT((D181-cfgDeslocamento)/4))</f>
        <v>0</v>
      </c>
      <c r="F181" s="26">
        <f>IF(D181="","",MOD(D181-cfgDeslocamento,4)+1)</f>
        <v>0</v>
      </c>
      <c r="G181" s="26">
        <f>IF(A181="","",IF(AND(ISNUMBER(B181),B181&lt;&gt;0),1,0))</f>
        <v>0</v>
      </c>
      <c r="H181" s="25">
        <f>IF(E181="","",(E181*4+3+cfgDeslocamento)/48)</f>
        <v>0</v>
      </c>
    </row>
    <row r="182" spans="1:8">
      <c r="A182" s="24"/>
      <c r="B182" s="19"/>
      <c r="C182" s="25">
        <f>IF(D182="","",D182/48)</f>
        <v>0</v>
      </c>
      <c r="D182" s="26">
        <f>IF(A182="","",ROUND((A182-cfgDefasagem/1440)*48,0))</f>
        <v>0</v>
      </c>
      <c r="E182" s="26">
        <f>IF(D182="","",INT((D182-cfgDeslocamento)/4))</f>
        <v>0</v>
      </c>
      <c r="F182" s="26">
        <f>IF(D182="","",MOD(D182-cfgDeslocamento,4)+1)</f>
        <v>0</v>
      </c>
      <c r="G182" s="26">
        <f>IF(A182="","",IF(AND(ISNUMBER(B182),B182&lt;&gt;0),1,0))</f>
        <v>0</v>
      </c>
      <c r="H182" s="25">
        <f>IF(E182="","",(E182*4+3+cfgDeslocamento)/48)</f>
        <v>0</v>
      </c>
    </row>
    <row r="183" spans="1:8">
      <c r="A183" s="24"/>
      <c r="B183" s="19"/>
      <c r="C183" s="25">
        <f>IF(D183="","",D183/48)</f>
        <v>0</v>
      </c>
      <c r="D183" s="26">
        <f>IF(A183="","",ROUND((A183-cfgDefasagem/1440)*48,0))</f>
        <v>0</v>
      </c>
      <c r="E183" s="26">
        <f>IF(D183="","",INT((D183-cfgDeslocamento)/4))</f>
        <v>0</v>
      </c>
      <c r="F183" s="26">
        <f>IF(D183="","",MOD(D183-cfgDeslocamento,4)+1)</f>
        <v>0</v>
      </c>
      <c r="G183" s="26">
        <f>IF(A183="","",IF(AND(ISNUMBER(B183),B183&lt;&gt;0),1,0))</f>
        <v>0</v>
      </c>
      <c r="H183" s="25">
        <f>IF(E183="","",(E183*4+3+cfgDeslocamento)/48)</f>
        <v>0</v>
      </c>
    </row>
    <row r="184" spans="1:8">
      <c r="A184" s="24"/>
      <c r="B184" s="19"/>
      <c r="C184" s="25">
        <f>IF(D184="","",D184/48)</f>
        <v>0</v>
      </c>
      <c r="D184" s="26">
        <f>IF(A184="","",ROUND((A184-cfgDefasagem/1440)*48,0))</f>
        <v>0</v>
      </c>
      <c r="E184" s="26">
        <f>IF(D184="","",INT((D184-cfgDeslocamento)/4))</f>
        <v>0</v>
      </c>
      <c r="F184" s="26">
        <f>IF(D184="","",MOD(D184-cfgDeslocamento,4)+1)</f>
        <v>0</v>
      </c>
      <c r="G184" s="26">
        <f>IF(A184="","",IF(AND(ISNUMBER(B184),B184&lt;&gt;0),1,0))</f>
        <v>0</v>
      </c>
      <c r="H184" s="25">
        <f>IF(E184="","",(E184*4+3+cfgDeslocamento)/48)</f>
        <v>0</v>
      </c>
    </row>
    <row r="185" spans="1:8">
      <c r="A185" s="24"/>
      <c r="B185" s="19"/>
      <c r="C185" s="25">
        <f>IF(D185="","",D185/48)</f>
        <v>0</v>
      </c>
      <c r="D185" s="26">
        <f>IF(A185="","",ROUND((A185-cfgDefasagem/1440)*48,0))</f>
        <v>0</v>
      </c>
      <c r="E185" s="26">
        <f>IF(D185="","",INT((D185-cfgDeslocamento)/4))</f>
        <v>0</v>
      </c>
      <c r="F185" s="26">
        <f>IF(D185="","",MOD(D185-cfgDeslocamento,4)+1)</f>
        <v>0</v>
      </c>
      <c r="G185" s="26">
        <f>IF(A185="","",IF(AND(ISNUMBER(B185),B185&lt;&gt;0),1,0))</f>
        <v>0</v>
      </c>
      <c r="H185" s="25">
        <f>IF(E185="","",(E185*4+3+cfgDeslocamento)/48)</f>
        <v>0</v>
      </c>
    </row>
    <row r="186" spans="1:8">
      <c r="A186" s="24"/>
      <c r="B186" s="19"/>
      <c r="C186" s="25">
        <f>IF(D186="","",D186/48)</f>
        <v>0</v>
      </c>
      <c r="D186" s="26">
        <f>IF(A186="","",ROUND((A186-cfgDefasagem/1440)*48,0))</f>
        <v>0</v>
      </c>
      <c r="E186" s="26">
        <f>IF(D186="","",INT((D186-cfgDeslocamento)/4))</f>
        <v>0</v>
      </c>
      <c r="F186" s="26">
        <f>IF(D186="","",MOD(D186-cfgDeslocamento,4)+1)</f>
        <v>0</v>
      </c>
      <c r="G186" s="26">
        <f>IF(A186="","",IF(AND(ISNUMBER(B186),B186&lt;&gt;0),1,0))</f>
        <v>0</v>
      </c>
      <c r="H186" s="25">
        <f>IF(E186="","",(E186*4+3+cfgDeslocamento)/48)</f>
        <v>0</v>
      </c>
    </row>
    <row r="187" spans="1:8">
      <c r="A187" s="24"/>
      <c r="B187" s="19"/>
      <c r="C187" s="25">
        <f>IF(D187="","",D187/48)</f>
        <v>0</v>
      </c>
      <c r="D187" s="26">
        <f>IF(A187="","",ROUND((A187-cfgDefasagem/1440)*48,0))</f>
        <v>0</v>
      </c>
      <c r="E187" s="26">
        <f>IF(D187="","",INT((D187-cfgDeslocamento)/4))</f>
        <v>0</v>
      </c>
      <c r="F187" s="26">
        <f>IF(D187="","",MOD(D187-cfgDeslocamento,4)+1)</f>
        <v>0</v>
      </c>
      <c r="G187" s="26">
        <f>IF(A187="","",IF(AND(ISNUMBER(B187),B187&lt;&gt;0),1,0))</f>
        <v>0</v>
      </c>
      <c r="H187" s="25">
        <f>IF(E187="","",(E187*4+3+cfgDeslocamento)/48)</f>
        <v>0</v>
      </c>
    </row>
    <row r="188" spans="1:8">
      <c r="A188" s="24"/>
      <c r="B188" s="19"/>
      <c r="C188" s="25">
        <f>IF(D188="","",D188/48)</f>
        <v>0</v>
      </c>
      <c r="D188" s="26">
        <f>IF(A188="","",ROUND((A188-cfgDefasagem/1440)*48,0))</f>
        <v>0</v>
      </c>
      <c r="E188" s="26">
        <f>IF(D188="","",INT((D188-cfgDeslocamento)/4))</f>
        <v>0</v>
      </c>
      <c r="F188" s="26">
        <f>IF(D188="","",MOD(D188-cfgDeslocamento,4)+1)</f>
        <v>0</v>
      </c>
      <c r="G188" s="26">
        <f>IF(A188="","",IF(AND(ISNUMBER(B188),B188&lt;&gt;0),1,0))</f>
        <v>0</v>
      </c>
      <c r="H188" s="25">
        <f>IF(E188="","",(E188*4+3+cfgDeslocamento)/48)</f>
        <v>0</v>
      </c>
    </row>
    <row r="189" spans="1:8">
      <c r="A189" s="24"/>
      <c r="B189" s="19"/>
      <c r="C189" s="25">
        <f>IF(D189="","",D189/48)</f>
        <v>0</v>
      </c>
      <c r="D189" s="26">
        <f>IF(A189="","",ROUND((A189-cfgDefasagem/1440)*48,0))</f>
        <v>0</v>
      </c>
      <c r="E189" s="26">
        <f>IF(D189="","",INT((D189-cfgDeslocamento)/4))</f>
        <v>0</v>
      </c>
      <c r="F189" s="26">
        <f>IF(D189="","",MOD(D189-cfgDeslocamento,4)+1)</f>
        <v>0</v>
      </c>
      <c r="G189" s="26">
        <f>IF(A189="","",IF(AND(ISNUMBER(B189),B189&lt;&gt;0),1,0))</f>
        <v>0</v>
      </c>
      <c r="H189" s="25">
        <f>IF(E189="","",(E189*4+3+cfgDeslocamento)/48)</f>
        <v>0</v>
      </c>
    </row>
    <row r="190" spans="1:8">
      <c r="A190" s="24"/>
      <c r="B190" s="19"/>
      <c r="C190" s="25">
        <f>IF(D190="","",D190/48)</f>
        <v>0</v>
      </c>
      <c r="D190" s="26">
        <f>IF(A190="","",ROUND((A190-cfgDefasagem/1440)*48,0))</f>
        <v>0</v>
      </c>
      <c r="E190" s="26">
        <f>IF(D190="","",INT((D190-cfgDeslocamento)/4))</f>
        <v>0</v>
      </c>
      <c r="F190" s="26">
        <f>IF(D190="","",MOD(D190-cfgDeslocamento,4)+1)</f>
        <v>0</v>
      </c>
      <c r="G190" s="26">
        <f>IF(A190="","",IF(AND(ISNUMBER(B190),B190&lt;&gt;0),1,0))</f>
        <v>0</v>
      </c>
      <c r="H190" s="25">
        <f>IF(E190="","",(E190*4+3+cfgDeslocamento)/48)</f>
        <v>0</v>
      </c>
    </row>
    <row r="191" spans="1:8">
      <c r="A191" s="24"/>
      <c r="B191" s="19"/>
      <c r="C191" s="25">
        <f>IF(D191="","",D191/48)</f>
        <v>0</v>
      </c>
      <c r="D191" s="26">
        <f>IF(A191="","",ROUND((A191-cfgDefasagem/1440)*48,0))</f>
        <v>0</v>
      </c>
      <c r="E191" s="26">
        <f>IF(D191="","",INT((D191-cfgDeslocamento)/4))</f>
        <v>0</v>
      </c>
      <c r="F191" s="26">
        <f>IF(D191="","",MOD(D191-cfgDeslocamento,4)+1)</f>
        <v>0</v>
      </c>
      <c r="G191" s="26">
        <f>IF(A191="","",IF(AND(ISNUMBER(B191),B191&lt;&gt;0),1,0))</f>
        <v>0</v>
      </c>
      <c r="H191" s="25">
        <f>IF(E191="","",(E191*4+3+cfgDeslocamento)/48)</f>
        <v>0</v>
      </c>
    </row>
    <row r="192" spans="1:8">
      <c r="A192" s="24"/>
      <c r="B192" s="19"/>
      <c r="C192" s="25">
        <f>IF(D192="","",D192/48)</f>
        <v>0</v>
      </c>
      <c r="D192" s="26">
        <f>IF(A192="","",ROUND((A192-cfgDefasagem/1440)*48,0))</f>
        <v>0</v>
      </c>
      <c r="E192" s="26">
        <f>IF(D192="","",INT((D192-cfgDeslocamento)/4))</f>
        <v>0</v>
      </c>
      <c r="F192" s="26">
        <f>IF(D192="","",MOD(D192-cfgDeslocamento,4)+1)</f>
        <v>0</v>
      </c>
      <c r="G192" s="26">
        <f>IF(A192="","",IF(AND(ISNUMBER(B192),B192&lt;&gt;0),1,0))</f>
        <v>0</v>
      </c>
      <c r="H192" s="25">
        <f>IF(E192="","",(E192*4+3+cfgDeslocamento)/48)</f>
        <v>0</v>
      </c>
    </row>
    <row r="193" spans="1:8">
      <c r="A193" s="24"/>
      <c r="B193" s="19"/>
      <c r="C193" s="25">
        <f>IF(D193="","",D193/48)</f>
        <v>0</v>
      </c>
      <c r="D193" s="26">
        <f>IF(A193="","",ROUND((A193-cfgDefasagem/1440)*48,0))</f>
        <v>0</v>
      </c>
      <c r="E193" s="26">
        <f>IF(D193="","",INT((D193-cfgDeslocamento)/4))</f>
        <v>0</v>
      </c>
      <c r="F193" s="26">
        <f>IF(D193="","",MOD(D193-cfgDeslocamento,4)+1)</f>
        <v>0</v>
      </c>
      <c r="G193" s="26">
        <f>IF(A193="","",IF(AND(ISNUMBER(B193),B193&lt;&gt;0),1,0))</f>
        <v>0</v>
      </c>
      <c r="H193" s="25">
        <f>IF(E193="","",(E193*4+3+cfgDeslocamento)/48)</f>
        <v>0</v>
      </c>
    </row>
    <row r="194" spans="1:8">
      <c r="A194" s="24"/>
      <c r="B194" s="19"/>
      <c r="C194" s="25">
        <f>IF(D194="","",D194/48)</f>
        <v>0</v>
      </c>
      <c r="D194" s="26">
        <f>IF(A194="","",ROUND((A194-cfgDefasagem/1440)*48,0))</f>
        <v>0</v>
      </c>
      <c r="E194" s="26">
        <f>IF(D194="","",INT((D194-cfgDeslocamento)/4))</f>
        <v>0</v>
      </c>
      <c r="F194" s="26">
        <f>IF(D194="","",MOD(D194-cfgDeslocamento,4)+1)</f>
        <v>0</v>
      </c>
      <c r="G194" s="26">
        <f>IF(A194="","",IF(AND(ISNUMBER(B194),B194&lt;&gt;0),1,0))</f>
        <v>0</v>
      </c>
      <c r="H194" s="25">
        <f>IF(E194="","",(E194*4+3+cfgDeslocamento)/48)</f>
        <v>0</v>
      </c>
    </row>
    <row r="195" spans="1:8">
      <c r="A195" s="24"/>
      <c r="B195" s="19"/>
      <c r="C195" s="25">
        <f>IF(D195="","",D195/48)</f>
        <v>0</v>
      </c>
      <c r="D195" s="26">
        <f>IF(A195="","",ROUND((A195-cfgDefasagem/1440)*48,0))</f>
        <v>0</v>
      </c>
      <c r="E195" s="26">
        <f>IF(D195="","",INT((D195-cfgDeslocamento)/4))</f>
        <v>0</v>
      </c>
      <c r="F195" s="26">
        <f>IF(D195="","",MOD(D195-cfgDeslocamento,4)+1)</f>
        <v>0</v>
      </c>
      <c r="G195" s="26">
        <f>IF(A195="","",IF(AND(ISNUMBER(B195),B195&lt;&gt;0),1,0))</f>
        <v>0</v>
      </c>
      <c r="H195" s="25">
        <f>IF(E195="","",(E195*4+3+cfgDeslocamento)/48)</f>
        <v>0</v>
      </c>
    </row>
    <row r="196" spans="1:8">
      <c r="A196" s="24"/>
      <c r="B196" s="19"/>
      <c r="C196" s="25">
        <f>IF(D196="","",D196/48)</f>
        <v>0</v>
      </c>
      <c r="D196" s="26">
        <f>IF(A196="","",ROUND((A196-cfgDefasagem/1440)*48,0))</f>
        <v>0</v>
      </c>
      <c r="E196" s="26">
        <f>IF(D196="","",INT((D196-cfgDeslocamento)/4))</f>
        <v>0</v>
      </c>
      <c r="F196" s="26">
        <f>IF(D196="","",MOD(D196-cfgDeslocamento,4)+1)</f>
        <v>0</v>
      </c>
      <c r="G196" s="26">
        <f>IF(A196="","",IF(AND(ISNUMBER(B196),B196&lt;&gt;0),1,0))</f>
        <v>0</v>
      </c>
      <c r="H196" s="25">
        <f>IF(E196="","",(E196*4+3+cfgDeslocamento)/48)</f>
        <v>0</v>
      </c>
    </row>
    <row r="197" spans="1:8">
      <c r="A197" s="24"/>
      <c r="B197" s="19"/>
      <c r="C197" s="25">
        <f>IF(D197="","",D197/48)</f>
        <v>0</v>
      </c>
      <c r="D197" s="26">
        <f>IF(A197="","",ROUND((A197-cfgDefasagem/1440)*48,0))</f>
        <v>0</v>
      </c>
      <c r="E197" s="26">
        <f>IF(D197="","",INT((D197-cfgDeslocamento)/4))</f>
        <v>0</v>
      </c>
      <c r="F197" s="26">
        <f>IF(D197="","",MOD(D197-cfgDeslocamento,4)+1)</f>
        <v>0</v>
      </c>
      <c r="G197" s="26">
        <f>IF(A197="","",IF(AND(ISNUMBER(B197),B197&lt;&gt;0),1,0))</f>
        <v>0</v>
      </c>
      <c r="H197" s="25">
        <f>IF(E197="","",(E197*4+3+cfgDeslocamento)/48)</f>
        <v>0</v>
      </c>
    </row>
    <row r="198" spans="1:8">
      <c r="A198" s="24"/>
      <c r="B198" s="19"/>
      <c r="C198" s="25">
        <f>IF(D198="","",D198/48)</f>
        <v>0</v>
      </c>
      <c r="D198" s="26">
        <f>IF(A198="","",ROUND((A198-cfgDefasagem/1440)*48,0))</f>
        <v>0</v>
      </c>
      <c r="E198" s="26">
        <f>IF(D198="","",INT((D198-cfgDeslocamento)/4))</f>
        <v>0</v>
      </c>
      <c r="F198" s="26">
        <f>IF(D198="","",MOD(D198-cfgDeslocamento,4)+1)</f>
        <v>0</v>
      </c>
      <c r="G198" s="26">
        <f>IF(A198="","",IF(AND(ISNUMBER(B198),B198&lt;&gt;0),1,0))</f>
        <v>0</v>
      </c>
      <c r="H198" s="25">
        <f>IF(E198="","",(E198*4+3+cfgDeslocamento)/48)</f>
        <v>0</v>
      </c>
    </row>
    <row r="199" spans="1:8">
      <c r="A199" s="24"/>
      <c r="B199" s="19"/>
      <c r="C199" s="25">
        <f>IF(D199="","",D199/48)</f>
        <v>0</v>
      </c>
      <c r="D199" s="26">
        <f>IF(A199="","",ROUND((A199-cfgDefasagem/1440)*48,0))</f>
        <v>0</v>
      </c>
      <c r="E199" s="26">
        <f>IF(D199="","",INT((D199-cfgDeslocamento)/4))</f>
        <v>0</v>
      </c>
      <c r="F199" s="26">
        <f>IF(D199="","",MOD(D199-cfgDeslocamento,4)+1)</f>
        <v>0</v>
      </c>
      <c r="G199" s="26">
        <f>IF(A199="","",IF(AND(ISNUMBER(B199),B199&lt;&gt;0),1,0))</f>
        <v>0</v>
      </c>
      <c r="H199" s="25">
        <f>IF(E199="","",(E199*4+3+cfgDeslocamento)/48)</f>
        <v>0</v>
      </c>
    </row>
    <row r="200" spans="1:8">
      <c r="A200" s="24"/>
      <c r="B200" s="19"/>
      <c r="C200" s="25">
        <f>IF(D200="","",D200/48)</f>
        <v>0</v>
      </c>
      <c r="D200" s="26">
        <f>IF(A200="","",ROUND((A200-cfgDefasagem/1440)*48,0))</f>
        <v>0</v>
      </c>
      <c r="E200" s="26">
        <f>IF(D200="","",INT((D200-cfgDeslocamento)/4))</f>
        <v>0</v>
      </c>
      <c r="F200" s="26">
        <f>IF(D200="","",MOD(D200-cfgDeslocamento,4)+1)</f>
        <v>0</v>
      </c>
      <c r="G200" s="26">
        <f>IF(A200="","",IF(AND(ISNUMBER(B200),B200&lt;&gt;0),1,0))</f>
        <v>0</v>
      </c>
      <c r="H200" s="25">
        <f>IF(E200="","",(E200*4+3+cfgDeslocamento)/48)</f>
        <v>0</v>
      </c>
    </row>
    <row r="201" spans="1:8">
      <c r="A201" s="24"/>
      <c r="B201" s="19"/>
      <c r="C201" s="25">
        <f>IF(D201="","",D201/48)</f>
        <v>0</v>
      </c>
      <c r="D201" s="26">
        <f>IF(A201="","",ROUND((A201-cfgDefasagem/1440)*48,0))</f>
        <v>0</v>
      </c>
      <c r="E201" s="26">
        <f>IF(D201="","",INT((D201-cfgDeslocamento)/4))</f>
        <v>0</v>
      </c>
      <c r="F201" s="26">
        <f>IF(D201="","",MOD(D201-cfgDeslocamento,4)+1)</f>
        <v>0</v>
      </c>
      <c r="G201" s="26">
        <f>IF(A201="","",IF(AND(ISNUMBER(B201),B201&lt;&gt;0),1,0))</f>
        <v>0</v>
      </c>
      <c r="H201" s="25">
        <f>IF(E201="","",(E201*4+3+cfgDeslocamento)/48)</f>
        <v>0</v>
      </c>
    </row>
    <row r="202" spans="1:8">
      <c r="A202" s="24"/>
      <c r="B202" s="19"/>
      <c r="C202" s="25">
        <f>IF(D202="","",D202/48)</f>
        <v>0</v>
      </c>
      <c r="D202" s="26">
        <f>IF(A202="","",ROUND((A202-cfgDefasagem/1440)*48,0))</f>
        <v>0</v>
      </c>
      <c r="E202" s="26">
        <f>IF(D202="","",INT((D202-cfgDeslocamento)/4))</f>
        <v>0</v>
      </c>
      <c r="F202" s="26">
        <f>IF(D202="","",MOD(D202-cfgDeslocamento,4)+1)</f>
        <v>0</v>
      </c>
      <c r="G202" s="26">
        <f>IF(A202="","",IF(AND(ISNUMBER(B202),B202&lt;&gt;0),1,0))</f>
        <v>0</v>
      </c>
      <c r="H202" s="25">
        <f>IF(E202="","",(E202*4+3+cfgDeslocamento)/48)</f>
        <v>0</v>
      </c>
    </row>
    <row r="203" spans="1:8">
      <c r="A203" s="24"/>
      <c r="B203" s="19"/>
      <c r="C203" s="25">
        <f>IF(D203="","",D203/48)</f>
        <v>0</v>
      </c>
      <c r="D203" s="26">
        <f>IF(A203="","",ROUND((A203-cfgDefasagem/1440)*48,0))</f>
        <v>0</v>
      </c>
      <c r="E203" s="26">
        <f>IF(D203="","",INT((D203-cfgDeslocamento)/4))</f>
        <v>0</v>
      </c>
      <c r="F203" s="26">
        <f>IF(D203="","",MOD(D203-cfgDeslocamento,4)+1)</f>
        <v>0</v>
      </c>
      <c r="G203" s="26">
        <f>IF(A203="","",IF(AND(ISNUMBER(B203),B203&lt;&gt;0),1,0))</f>
        <v>0</v>
      </c>
      <c r="H203" s="25">
        <f>IF(E203="","",(E203*4+3+cfgDeslocamento)/48)</f>
        <v>0</v>
      </c>
    </row>
    <row r="204" spans="1:8">
      <c r="A204" s="24"/>
      <c r="B204" s="19"/>
      <c r="C204" s="25">
        <f>IF(D204="","",D204/48)</f>
        <v>0</v>
      </c>
      <c r="D204" s="26">
        <f>IF(A204="","",ROUND((A204-cfgDefasagem/1440)*48,0))</f>
        <v>0</v>
      </c>
      <c r="E204" s="26">
        <f>IF(D204="","",INT((D204-cfgDeslocamento)/4))</f>
        <v>0</v>
      </c>
      <c r="F204" s="26">
        <f>IF(D204="","",MOD(D204-cfgDeslocamento,4)+1)</f>
        <v>0</v>
      </c>
      <c r="G204" s="26">
        <f>IF(A204="","",IF(AND(ISNUMBER(B204),B204&lt;&gt;0),1,0))</f>
        <v>0</v>
      </c>
      <c r="H204" s="25">
        <f>IF(E204="","",(E204*4+3+cfgDeslocamento)/48)</f>
        <v>0</v>
      </c>
    </row>
    <row r="205" spans="1:8">
      <c r="A205" s="24"/>
      <c r="B205" s="19"/>
      <c r="C205" s="25">
        <f>IF(D205="","",D205/48)</f>
        <v>0</v>
      </c>
      <c r="D205" s="26">
        <f>IF(A205="","",ROUND((A205-cfgDefasagem/1440)*48,0))</f>
        <v>0</v>
      </c>
      <c r="E205" s="26">
        <f>IF(D205="","",INT((D205-cfgDeslocamento)/4))</f>
        <v>0</v>
      </c>
      <c r="F205" s="26">
        <f>IF(D205="","",MOD(D205-cfgDeslocamento,4)+1)</f>
        <v>0</v>
      </c>
      <c r="G205" s="26">
        <f>IF(A205="","",IF(AND(ISNUMBER(B205),B205&lt;&gt;0),1,0))</f>
        <v>0</v>
      </c>
      <c r="H205" s="25">
        <f>IF(E205="","",(E205*4+3+cfgDeslocamento)/48)</f>
        <v>0</v>
      </c>
    </row>
    <row r="206" spans="1:8">
      <c r="A206" s="24"/>
      <c r="B206" s="19"/>
      <c r="C206" s="25">
        <f>IF(D206="","",D206/48)</f>
        <v>0</v>
      </c>
      <c r="D206" s="26">
        <f>IF(A206="","",ROUND((A206-cfgDefasagem/1440)*48,0))</f>
        <v>0</v>
      </c>
      <c r="E206" s="26">
        <f>IF(D206="","",INT((D206-cfgDeslocamento)/4))</f>
        <v>0</v>
      </c>
      <c r="F206" s="26">
        <f>IF(D206="","",MOD(D206-cfgDeslocamento,4)+1)</f>
        <v>0</v>
      </c>
      <c r="G206" s="26">
        <f>IF(A206="","",IF(AND(ISNUMBER(B206),B206&lt;&gt;0),1,0))</f>
        <v>0</v>
      </c>
      <c r="H206" s="25">
        <f>IF(E206="","",(E206*4+3+cfgDeslocamento)/48)</f>
        <v>0</v>
      </c>
    </row>
    <row r="207" spans="1:8">
      <c r="A207" s="24"/>
      <c r="B207" s="19"/>
      <c r="C207" s="25">
        <f>IF(D207="","",D207/48)</f>
        <v>0</v>
      </c>
      <c r="D207" s="26">
        <f>IF(A207="","",ROUND((A207-cfgDefasagem/1440)*48,0))</f>
        <v>0</v>
      </c>
      <c r="E207" s="26">
        <f>IF(D207="","",INT((D207-cfgDeslocamento)/4))</f>
        <v>0</v>
      </c>
      <c r="F207" s="26">
        <f>IF(D207="","",MOD(D207-cfgDeslocamento,4)+1)</f>
        <v>0</v>
      </c>
      <c r="G207" s="26">
        <f>IF(A207="","",IF(AND(ISNUMBER(B207),B207&lt;&gt;0),1,0))</f>
        <v>0</v>
      </c>
      <c r="H207" s="25">
        <f>IF(E207="","",(E207*4+3+cfgDeslocamento)/48)</f>
        <v>0</v>
      </c>
    </row>
    <row r="208" spans="1:8">
      <c r="A208" s="24"/>
      <c r="B208" s="19"/>
      <c r="C208" s="25">
        <f>IF(D208="","",D208/48)</f>
        <v>0</v>
      </c>
      <c r="D208" s="26">
        <f>IF(A208="","",ROUND((A208-cfgDefasagem/1440)*48,0))</f>
        <v>0</v>
      </c>
      <c r="E208" s="26">
        <f>IF(D208="","",INT((D208-cfgDeslocamento)/4))</f>
        <v>0</v>
      </c>
      <c r="F208" s="26">
        <f>IF(D208="","",MOD(D208-cfgDeslocamento,4)+1)</f>
        <v>0</v>
      </c>
      <c r="G208" s="26">
        <f>IF(A208="","",IF(AND(ISNUMBER(B208),B208&lt;&gt;0),1,0))</f>
        <v>0</v>
      </c>
      <c r="H208" s="25">
        <f>IF(E208="","",(E208*4+3+cfgDeslocamento)/48)</f>
        <v>0</v>
      </c>
    </row>
    <row r="209" spans="1:8">
      <c r="A209" s="24"/>
      <c r="B209" s="19"/>
      <c r="C209" s="25">
        <f>IF(D209="","",D209/48)</f>
        <v>0</v>
      </c>
      <c r="D209" s="26">
        <f>IF(A209="","",ROUND((A209-cfgDefasagem/1440)*48,0))</f>
        <v>0</v>
      </c>
      <c r="E209" s="26">
        <f>IF(D209="","",INT((D209-cfgDeslocamento)/4))</f>
        <v>0</v>
      </c>
      <c r="F209" s="26">
        <f>IF(D209="","",MOD(D209-cfgDeslocamento,4)+1)</f>
        <v>0</v>
      </c>
      <c r="G209" s="26">
        <f>IF(A209="","",IF(AND(ISNUMBER(B209),B209&lt;&gt;0),1,0))</f>
        <v>0</v>
      </c>
      <c r="H209" s="25">
        <f>IF(E209="","",(E209*4+3+cfgDeslocamento)/48)</f>
        <v>0</v>
      </c>
    </row>
    <row r="210" spans="1:8">
      <c r="A210" s="24"/>
      <c r="B210" s="19"/>
      <c r="C210" s="25">
        <f>IF(D210="","",D210/48)</f>
        <v>0</v>
      </c>
      <c r="D210" s="26">
        <f>IF(A210="","",ROUND((A210-cfgDefasagem/1440)*48,0))</f>
        <v>0</v>
      </c>
      <c r="E210" s="26">
        <f>IF(D210="","",INT((D210-cfgDeslocamento)/4))</f>
        <v>0</v>
      </c>
      <c r="F210" s="26">
        <f>IF(D210="","",MOD(D210-cfgDeslocamento,4)+1)</f>
        <v>0</v>
      </c>
      <c r="G210" s="26">
        <f>IF(A210="","",IF(AND(ISNUMBER(B210),B210&lt;&gt;0),1,0))</f>
        <v>0</v>
      </c>
      <c r="H210" s="25">
        <f>IF(E210="","",(E210*4+3+cfgDeslocamento)/48)</f>
        <v>0</v>
      </c>
    </row>
    <row r="211" spans="1:8">
      <c r="A211" s="24"/>
      <c r="B211" s="19"/>
      <c r="C211" s="25">
        <f>IF(D211="","",D211/48)</f>
        <v>0</v>
      </c>
      <c r="D211" s="26">
        <f>IF(A211="","",ROUND((A211-cfgDefasagem/1440)*48,0))</f>
        <v>0</v>
      </c>
      <c r="E211" s="26">
        <f>IF(D211="","",INT((D211-cfgDeslocamento)/4))</f>
        <v>0</v>
      </c>
      <c r="F211" s="26">
        <f>IF(D211="","",MOD(D211-cfgDeslocamento,4)+1)</f>
        <v>0</v>
      </c>
      <c r="G211" s="26">
        <f>IF(A211="","",IF(AND(ISNUMBER(B211),B211&lt;&gt;0),1,0))</f>
        <v>0</v>
      </c>
      <c r="H211" s="25">
        <f>IF(E211="","",(E211*4+3+cfgDeslocamento)/48)</f>
        <v>0</v>
      </c>
    </row>
    <row r="212" spans="1:8">
      <c r="A212" s="24"/>
      <c r="B212" s="19"/>
      <c r="C212" s="25">
        <f>IF(D212="","",D212/48)</f>
        <v>0</v>
      </c>
      <c r="D212" s="26">
        <f>IF(A212="","",ROUND((A212-cfgDefasagem/1440)*48,0))</f>
        <v>0</v>
      </c>
      <c r="E212" s="26">
        <f>IF(D212="","",INT((D212-cfgDeslocamento)/4))</f>
        <v>0</v>
      </c>
      <c r="F212" s="26">
        <f>IF(D212="","",MOD(D212-cfgDeslocamento,4)+1)</f>
        <v>0</v>
      </c>
      <c r="G212" s="26">
        <f>IF(A212="","",IF(AND(ISNUMBER(B212),B212&lt;&gt;0),1,0))</f>
        <v>0</v>
      </c>
      <c r="H212" s="25">
        <f>IF(E212="","",(E212*4+3+cfgDeslocamento)/48)</f>
        <v>0</v>
      </c>
    </row>
    <row r="213" spans="1:8">
      <c r="A213" s="24"/>
      <c r="B213" s="19"/>
      <c r="C213" s="25">
        <f>IF(D213="","",D213/48)</f>
        <v>0</v>
      </c>
      <c r="D213" s="26">
        <f>IF(A213="","",ROUND((A213-cfgDefasagem/1440)*48,0))</f>
        <v>0</v>
      </c>
      <c r="E213" s="26">
        <f>IF(D213="","",INT((D213-cfgDeslocamento)/4))</f>
        <v>0</v>
      </c>
      <c r="F213" s="26">
        <f>IF(D213="","",MOD(D213-cfgDeslocamento,4)+1)</f>
        <v>0</v>
      </c>
      <c r="G213" s="26">
        <f>IF(A213="","",IF(AND(ISNUMBER(B213),B213&lt;&gt;0),1,0))</f>
        <v>0</v>
      </c>
      <c r="H213" s="25">
        <f>IF(E213="","",(E213*4+3+cfgDeslocamento)/48)</f>
        <v>0</v>
      </c>
    </row>
    <row r="214" spans="1:8">
      <c r="A214" s="24"/>
      <c r="B214" s="19"/>
      <c r="C214" s="25">
        <f>IF(D214="","",D214/48)</f>
        <v>0</v>
      </c>
      <c r="D214" s="26">
        <f>IF(A214="","",ROUND((A214-cfgDefasagem/1440)*48,0))</f>
        <v>0</v>
      </c>
      <c r="E214" s="26">
        <f>IF(D214="","",INT((D214-cfgDeslocamento)/4))</f>
        <v>0</v>
      </c>
      <c r="F214" s="26">
        <f>IF(D214="","",MOD(D214-cfgDeslocamento,4)+1)</f>
        <v>0</v>
      </c>
      <c r="G214" s="26">
        <f>IF(A214="","",IF(AND(ISNUMBER(B214),B214&lt;&gt;0),1,0))</f>
        <v>0</v>
      </c>
      <c r="H214" s="25">
        <f>IF(E214="","",(E214*4+3+cfgDeslocamento)/48)</f>
        <v>0</v>
      </c>
    </row>
    <row r="215" spans="1:8">
      <c r="A215" s="24"/>
      <c r="B215" s="19"/>
      <c r="C215" s="25">
        <f>IF(D215="","",D215/48)</f>
        <v>0</v>
      </c>
      <c r="D215" s="26">
        <f>IF(A215="","",ROUND((A215-cfgDefasagem/1440)*48,0))</f>
        <v>0</v>
      </c>
      <c r="E215" s="26">
        <f>IF(D215="","",INT((D215-cfgDeslocamento)/4))</f>
        <v>0</v>
      </c>
      <c r="F215" s="26">
        <f>IF(D215="","",MOD(D215-cfgDeslocamento,4)+1)</f>
        <v>0</v>
      </c>
      <c r="G215" s="26">
        <f>IF(A215="","",IF(AND(ISNUMBER(B215),B215&lt;&gt;0),1,0))</f>
        <v>0</v>
      </c>
      <c r="H215" s="25">
        <f>IF(E215="","",(E215*4+3+cfgDeslocamento)/48)</f>
        <v>0</v>
      </c>
    </row>
    <row r="216" spans="1:8">
      <c r="A216" s="24"/>
      <c r="B216" s="19"/>
      <c r="C216" s="25">
        <f>IF(D216="","",D216/48)</f>
        <v>0</v>
      </c>
      <c r="D216" s="26">
        <f>IF(A216="","",ROUND((A216-cfgDefasagem/1440)*48,0))</f>
        <v>0</v>
      </c>
      <c r="E216" s="26">
        <f>IF(D216="","",INT((D216-cfgDeslocamento)/4))</f>
        <v>0</v>
      </c>
      <c r="F216" s="26">
        <f>IF(D216="","",MOD(D216-cfgDeslocamento,4)+1)</f>
        <v>0</v>
      </c>
      <c r="G216" s="26">
        <f>IF(A216="","",IF(AND(ISNUMBER(B216),B216&lt;&gt;0),1,0))</f>
        <v>0</v>
      </c>
      <c r="H216" s="25">
        <f>IF(E216="","",(E216*4+3+cfgDeslocamento)/48)</f>
        <v>0</v>
      </c>
    </row>
    <row r="217" spans="1:8">
      <c r="A217" s="24"/>
      <c r="B217" s="19"/>
      <c r="C217" s="25">
        <f>IF(D217="","",D217/48)</f>
        <v>0</v>
      </c>
      <c r="D217" s="26">
        <f>IF(A217="","",ROUND((A217-cfgDefasagem/1440)*48,0))</f>
        <v>0</v>
      </c>
      <c r="E217" s="26">
        <f>IF(D217="","",INT((D217-cfgDeslocamento)/4))</f>
        <v>0</v>
      </c>
      <c r="F217" s="26">
        <f>IF(D217="","",MOD(D217-cfgDeslocamento,4)+1)</f>
        <v>0</v>
      </c>
      <c r="G217" s="26">
        <f>IF(A217="","",IF(AND(ISNUMBER(B217),B217&lt;&gt;0),1,0))</f>
        <v>0</v>
      </c>
      <c r="H217" s="25">
        <f>IF(E217="","",(E217*4+3+cfgDeslocamento)/48)</f>
        <v>0</v>
      </c>
    </row>
    <row r="218" spans="1:8">
      <c r="A218" s="24"/>
      <c r="B218" s="19"/>
      <c r="C218" s="25">
        <f>IF(D218="","",D218/48)</f>
        <v>0</v>
      </c>
      <c r="D218" s="26">
        <f>IF(A218="","",ROUND((A218-cfgDefasagem/1440)*48,0))</f>
        <v>0</v>
      </c>
      <c r="E218" s="26">
        <f>IF(D218="","",INT((D218-cfgDeslocamento)/4))</f>
        <v>0</v>
      </c>
      <c r="F218" s="26">
        <f>IF(D218="","",MOD(D218-cfgDeslocamento,4)+1)</f>
        <v>0</v>
      </c>
      <c r="G218" s="26">
        <f>IF(A218="","",IF(AND(ISNUMBER(B218),B218&lt;&gt;0),1,0))</f>
        <v>0</v>
      </c>
      <c r="H218" s="25">
        <f>IF(E218="","",(E218*4+3+cfgDeslocamento)/48)</f>
        <v>0</v>
      </c>
    </row>
    <row r="219" spans="1:8">
      <c r="A219" s="24"/>
      <c r="B219" s="19"/>
      <c r="C219" s="25">
        <f>IF(D219="","",D219/48)</f>
        <v>0</v>
      </c>
      <c r="D219" s="26">
        <f>IF(A219="","",ROUND((A219-cfgDefasagem/1440)*48,0))</f>
        <v>0</v>
      </c>
      <c r="E219" s="26">
        <f>IF(D219="","",INT((D219-cfgDeslocamento)/4))</f>
        <v>0</v>
      </c>
      <c r="F219" s="26">
        <f>IF(D219="","",MOD(D219-cfgDeslocamento,4)+1)</f>
        <v>0</v>
      </c>
      <c r="G219" s="26">
        <f>IF(A219="","",IF(AND(ISNUMBER(B219),B219&lt;&gt;0),1,0))</f>
        <v>0</v>
      </c>
      <c r="H219" s="25">
        <f>IF(E219="","",(E219*4+3+cfgDeslocamento)/48)</f>
        <v>0</v>
      </c>
    </row>
    <row r="220" spans="1:8">
      <c r="A220" s="24"/>
      <c r="B220" s="19"/>
      <c r="C220" s="25">
        <f>IF(D220="","",D220/48)</f>
        <v>0</v>
      </c>
      <c r="D220" s="26">
        <f>IF(A220="","",ROUND((A220-cfgDefasagem/1440)*48,0))</f>
        <v>0</v>
      </c>
      <c r="E220" s="26">
        <f>IF(D220="","",INT((D220-cfgDeslocamento)/4))</f>
        <v>0</v>
      </c>
      <c r="F220" s="26">
        <f>IF(D220="","",MOD(D220-cfgDeslocamento,4)+1)</f>
        <v>0</v>
      </c>
      <c r="G220" s="26">
        <f>IF(A220="","",IF(AND(ISNUMBER(B220),B220&lt;&gt;0),1,0))</f>
        <v>0</v>
      </c>
      <c r="H220" s="25">
        <f>IF(E220="","",(E220*4+3+cfgDeslocamento)/48)</f>
        <v>0</v>
      </c>
    </row>
    <row r="221" spans="1:8">
      <c r="A221" s="24"/>
      <c r="B221" s="19"/>
      <c r="C221" s="25">
        <f>IF(D221="","",D221/48)</f>
        <v>0</v>
      </c>
      <c r="D221" s="26">
        <f>IF(A221="","",ROUND((A221-cfgDefasagem/1440)*48,0))</f>
        <v>0</v>
      </c>
      <c r="E221" s="26">
        <f>IF(D221="","",INT((D221-cfgDeslocamento)/4))</f>
        <v>0</v>
      </c>
      <c r="F221" s="26">
        <f>IF(D221="","",MOD(D221-cfgDeslocamento,4)+1)</f>
        <v>0</v>
      </c>
      <c r="G221" s="26">
        <f>IF(A221="","",IF(AND(ISNUMBER(B221),B221&lt;&gt;0),1,0))</f>
        <v>0</v>
      </c>
      <c r="H221" s="25">
        <f>IF(E221="","",(E221*4+3+cfgDeslocamento)/48)</f>
        <v>0</v>
      </c>
    </row>
    <row r="222" spans="1:8">
      <c r="A222" s="24"/>
      <c r="B222" s="19"/>
      <c r="C222" s="25">
        <f>IF(D222="","",D222/48)</f>
        <v>0</v>
      </c>
      <c r="D222" s="26">
        <f>IF(A222="","",ROUND((A222-cfgDefasagem/1440)*48,0))</f>
        <v>0</v>
      </c>
      <c r="E222" s="26">
        <f>IF(D222="","",INT((D222-cfgDeslocamento)/4))</f>
        <v>0</v>
      </c>
      <c r="F222" s="26">
        <f>IF(D222="","",MOD(D222-cfgDeslocamento,4)+1)</f>
        <v>0</v>
      </c>
      <c r="G222" s="26">
        <f>IF(A222="","",IF(AND(ISNUMBER(B222),B222&lt;&gt;0),1,0))</f>
        <v>0</v>
      </c>
      <c r="H222" s="25">
        <f>IF(E222="","",(E222*4+3+cfgDeslocamento)/48)</f>
        <v>0</v>
      </c>
    </row>
    <row r="223" spans="1:8">
      <c r="A223" s="24"/>
      <c r="B223" s="19"/>
      <c r="C223" s="25">
        <f>IF(D223="","",D223/48)</f>
        <v>0</v>
      </c>
      <c r="D223" s="26">
        <f>IF(A223="","",ROUND((A223-cfgDefasagem/1440)*48,0))</f>
        <v>0</v>
      </c>
      <c r="E223" s="26">
        <f>IF(D223="","",INT((D223-cfgDeslocamento)/4))</f>
        <v>0</v>
      </c>
      <c r="F223" s="26">
        <f>IF(D223="","",MOD(D223-cfgDeslocamento,4)+1)</f>
        <v>0</v>
      </c>
      <c r="G223" s="26">
        <f>IF(A223="","",IF(AND(ISNUMBER(B223),B223&lt;&gt;0),1,0))</f>
        <v>0</v>
      </c>
      <c r="H223" s="25">
        <f>IF(E223="","",(E223*4+3+cfgDeslocamento)/48)</f>
        <v>0</v>
      </c>
    </row>
    <row r="224" spans="1:8">
      <c r="A224" s="24"/>
      <c r="B224" s="19"/>
      <c r="C224" s="25">
        <f>IF(D224="","",D224/48)</f>
        <v>0</v>
      </c>
      <c r="D224" s="26">
        <f>IF(A224="","",ROUND((A224-cfgDefasagem/1440)*48,0))</f>
        <v>0</v>
      </c>
      <c r="E224" s="26">
        <f>IF(D224="","",INT((D224-cfgDeslocamento)/4))</f>
        <v>0</v>
      </c>
      <c r="F224" s="26">
        <f>IF(D224="","",MOD(D224-cfgDeslocamento,4)+1)</f>
        <v>0</v>
      </c>
      <c r="G224" s="26">
        <f>IF(A224="","",IF(AND(ISNUMBER(B224),B224&lt;&gt;0),1,0))</f>
        <v>0</v>
      </c>
      <c r="H224" s="25">
        <f>IF(E224="","",(E224*4+3+cfgDeslocamento)/48)</f>
        <v>0</v>
      </c>
    </row>
    <row r="225" spans="1:8">
      <c r="A225" s="24"/>
      <c r="B225" s="19"/>
      <c r="C225" s="25">
        <f>IF(D225="","",D225/48)</f>
        <v>0</v>
      </c>
      <c r="D225" s="26">
        <f>IF(A225="","",ROUND((A225-cfgDefasagem/1440)*48,0))</f>
        <v>0</v>
      </c>
      <c r="E225" s="26">
        <f>IF(D225="","",INT((D225-cfgDeslocamento)/4))</f>
        <v>0</v>
      </c>
      <c r="F225" s="26">
        <f>IF(D225="","",MOD(D225-cfgDeslocamento,4)+1)</f>
        <v>0</v>
      </c>
      <c r="G225" s="26">
        <f>IF(A225="","",IF(AND(ISNUMBER(B225),B225&lt;&gt;0),1,0))</f>
        <v>0</v>
      </c>
      <c r="H225" s="25">
        <f>IF(E225="","",(E225*4+3+cfgDeslocamento)/48)</f>
        <v>0</v>
      </c>
    </row>
    <row r="226" spans="1:8">
      <c r="A226" s="24"/>
      <c r="B226" s="19"/>
      <c r="C226" s="25">
        <f>IF(D226="","",D226/48)</f>
        <v>0</v>
      </c>
      <c r="D226" s="26">
        <f>IF(A226="","",ROUND((A226-cfgDefasagem/1440)*48,0))</f>
        <v>0</v>
      </c>
      <c r="E226" s="26">
        <f>IF(D226="","",INT((D226-cfgDeslocamento)/4))</f>
        <v>0</v>
      </c>
      <c r="F226" s="26">
        <f>IF(D226="","",MOD(D226-cfgDeslocamento,4)+1)</f>
        <v>0</v>
      </c>
      <c r="G226" s="26">
        <f>IF(A226="","",IF(AND(ISNUMBER(B226),B226&lt;&gt;0),1,0))</f>
        <v>0</v>
      </c>
      <c r="H226" s="25">
        <f>IF(E226="","",(E226*4+3+cfgDeslocamento)/48)</f>
        <v>0</v>
      </c>
    </row>
    <row r="227" spans="1:8">
      <c r="A227" s="24"/>
      <c r="B227" s="19"/>
      <c r="C227" s="25">
        <f>IF(D227="","",D227/48)</f>
        <v>0</v>
      </c>
      <c r="D227" s="26">
        <f>IF(A227="","",ROUND((A227-cfgDefasagem/1440)*48,0))</f>
        <v>0</v>
      </c>
      <c r="E227" s="26">
        <f>IF(D227="","",INT((D227-cfgDeslocamento)/4))</f>
        <v>0</v>
      </c>
      <c r="F227" s="26">
        <f>IF(D227="","",MOD(D227-cfgDeslocamento,4)+1)</f>
        <v>0</v>
      </c>
      <c r="G227" s="26">
        <f>IF(A227="","",IF(AND(ISNUMBER(B227),B227&lt;&gt;0),1,0))</f>
        <v>0</v>
      </c>
      <c r="H227" s="25">
        <f>IF(E227="","",(E227*4+3+cfgDeslocamento)/48)</f>
        <v>0</v>
      </c>
    </row>
    <row r="228" spans="1:8">
      <c r="A228" s="24"/>
      <c r="B228" s="19"/>
      <c r="C228" s="25">
        <f>IF(D228="","",D228/48)</f>
        <v>0</v>
      </c>
      <c r="D228" s="26">
        <f>IF(A228="","",ROUND((A228-cfgDefasagem/1440)*48,0))</f>
        <v>0</v>
      </c>
      <c r="E228" s="26">
        <f>IF(D228="","",INT((D228-cfgDeslocamento)/4))</f>
        <v>0</v>
      </c>
      <c r="F228" s="26">
        <f>IF(D228="","",MOD(D228-cfgDeslocamento,4)+1)</f>
        <v>0</v>
      </c>
      <c r="G228" s="26">
        <f>IF(A228="","",IF(AND(ISNUMBER(B228),B228&lt;&gt;0),1,0))</f>
        <v>0</v>
      </c>
      <c r="H228" s="25">
        <f>IF(E228="","",(E228*4+3+cfgDeslocamento)/48)</f>
        <v>0</v>
      </c>
    </row>
    <row r="229" spans="1:8">
      <c r="A229" s="24"/>
      <c r="B229" s="19"/>
      <c r="C229" s="25">
        <f>IF(D229="","",D229/48)</f>
        <v>0</v>
      </c>
      <c r="D229" s="26">
        <f>IF(A229="","",ROUND((A229-cfgDefasagem/1440)*48,0))</f>
        <v>0</v>
      </c>
      <c r="E229" s="26">
        <f>IF(D229="","",INT((D229-cfgDeslocamento)/4))</f>
        <v>0</v>
      </c>
      <c r="F229" s="26">
        <f>IF(D229="","",MOD(D229-cfgDeslocamento,4)+1)</f>
        <v>0</v>
      </c>
      <c r="G229" s="26">
        <f>IF(A229="","",IF(AND(ISNUMBER(B229),B229&lt;&gt;0),1,0))</f>
        <v>0</v>
      </c>
      <c r="H229" s="25">
        <f>IF(E229="","",(E229*4+3+cfgDeslocamento)/48)</f>
        <v>0</v>
      </c>
    </row>
    <row r="230" spans="1:8">
      <c r="A230" s="24"/>
      <c r="B230" s="19"/>
      <c r="C230" s="25">
        <f>IF(D230="","",D230/48)</f>
        <v>0</v>
      </c>
      <c r="D230" s="26">
        <f>IF(A230="","",ROUND((A230-cfgDefasagem/1440)*48,0))</f>
        <v>0</v>
      </c>
      <c r="E230" s="26">
        <f>IF(D230="","",INT((D230-cfgDeslocamento)/4))</f>
        <v>0</v>
      </c>
      <c r="F230" s="26">
        <f>IF(D230="","",MOD(D230-cfgDeslocamento,4)+1)</f>
        <v>0</v>
      </c>
      <c r="G230" s="26">
        <f>IF(A230="","",IF(AND(ISNUMBER(B230),B230&lt;&gt;0),1,0))</f>
        <v>0</v>
      </c>
      <c r="H230" s="25">
        <f>IF(E230="","",(E230*4+3+cfgDeslocamento)/48)</f>
        <v>0</v>
      </c>
    </row>
    <row r="231" spans="1:8">
      <c r="A231" s="24"/>
      <c r="B231" s="19"/>
      <c r="C231" s="25">
        <f>IF(D231="","",D231/48)</f>
        <v>0</v>
      </c>
      <c r="D231" s="26">
        <f>IF(A231="","",ROUND((A231-cfgDefasagem/1440)*48,0))</f>
        <v>0</v>
      </c>
      <c r="E231" s="26">
        <f>IF(D231="","",INT((D231-cfgDeslocamento)/4))</f>
        <v>0</v>
      </c>
      <c r="F231" s="26">
        <f>IF(D231="","",MOD(D231-cfgDeslocamento,4)+1)</f>
        <v>0</v>
      </c>
      <c r="G231" s="26">
        <f>IF(A231="","",IF(AND(ISNUMBER(B231),B231&lt;&gt;0),1,0))</f>
        <v>0</v>
      </c>
      <c r="H231" s="25">
        <f>IF(E231="","",(E231*4+3+cfgDeslocamento)/48)</f>
        <v>0</v>
      </c>
    </row>
    <row r="232" spans="1:8">
      <c r="A232" s="24"/>
      <c r="B232" s="19"/>
      <c r="C232" s="25">
        <f>IF(D232="","",D232/48)</f>
        <v>0</v>
      </c>
      <c r="D232" s="26">
        <f>IF(A232="","",ROUND((A232-cfgDefasagem/1440)*48,0))</f>
        <v>0</v>
      </c>
      <c r="E232" s="26">
        <f>IF(D232="","",INT((D232-cfgDeslocamento)/4))</f>
        <v>0</v>
      </c>
      <c r="F232" s="26">
        <f>IF(D232="","",MOD(D232-cfgDeslocamento,4)+1)</f>
        <v>0</v>
      </c>
      <c r="G232" s="26">
        <f>IF(A232="","",IF(AND(ISNUMBER(B232),B232&lt;&gt;0),1,0))</f>
        <v>0</v>
      </c>
      <c r="H232" s="25">
        <f>IF(E232="","",(E232*4+3+cfgDeslocamento)/48)</f>
        <v>0</v>
      </c>
    </row>
    <row r="233" spans="1:8">
      <c r="A233" s="24"/>
      <c r="B233" s="19"/>
      <c r="C233" s="25">
        <f>IF(D233="","",D233/48)</f>
        <v>0</v>
      </c>
      <c r="D233" s="26">
        <f>IF(A233="","",ROUND((A233-cfgDefasagem/1440)*48,0))</f>
        <v>0</v>
      </c>
      <c r="E233" s="26">
        <f>IF(D233="","",INT((D233-cfgDeslocamento)/4))</f>
        <v>0</v>
      </c>
      <c r="F233" s="26">
        <f>IF(D233="","",MOD(D233-cfgDeslocamento,4)+1)</f>
        <v>0</v>
      </c>
      <c r="G233" s="26">
        <f>IF(A233="","",IF(AND(ISNUMBER(B233),B233&lt;&gt;0),1,0))</f>
        <v>0</v>
      </c>
      <c r="H233" s="25">
        <f>IF(E233="","",(E233*4+3+cfgDeslocamento)/48)</f>
        <v>0</v>
      </c>
    </row>
    <row r="234" spans="1:8">
      <c r="A234" s="24"/>
      <c r="B234" s="19"/>
      <c r="C234" s="25">
        <f>IF(D234="","",D234/48)</f>
        <v>0</v>
      </c>
      <c r="D234" s="26">
        <f>IF(A234="","",ROUND((A234-cfgDefasagem/1440)*48,0))</f>
        <v>0</v>
      </c>
      <c r="E234" s="26">
        <f>IF(D234="","",INT((D234-cfgDeslocamento)/4))</f>
        <v>0</v>
      </c>
      <c r="F234" s="26">
        <f>IF(D234="","",MOD(D234-cfgDeslocamento,4)+1)</f>
        <v>0</v>
      </c>
      <c r="G234" s="26">
        <f>IF(A234="","",IF(AND(ISNUMBER(B234),B234&lt;&gt;0),1,0))</f>
        <v>0</v>
      </c>
      <c r="H234" s="25">
        <f>IF(E234="","",(E234*4+3+cfgDeslocamento)/48)</f>
        <v>0</v>
      </c>
    </row>
    <row r="235" spans="1:8">
      <c r="A235" s="24"/>
      <c r="B235" s="19"/>
      <c r="C235" s="25">
        <f>IF(D235="","",D235/48)</f>
        <v>0</v>
      </c>
      <c r="D235" s="26">
        <f>IF(A235="","",ROUND((A235-cfgDefasagem/1440)*48,0))</f>
        <v>0</v>
      </c>
      <c r="E235" s="26">
        <f>IF(D235="","",INT((D235-cfgDeslocamento)/4))</f>
        <v>0</v>
      </c>
      <c r="F235" s="26">
        <f>IF(D235="","",MOD(D235-cfgDeslocamento,4)+1)</f>
        <v>0</v>
      </c>
      <c r="G235" s="26">
        <f>IF(A235="","",IF(AND(ISNUMBER(B235),B235&lt;&gt;0),1,0))</f>
        <v>0</v>
      </c>
      <c r="H235" s="25">
        <f>IF(E235="","",(E235*4+3+cfgDeslocamento)/48)</f>
        <v>0</v>
      </c>
    </row>
    <row r="236" spans="1:8">
      <c r="A236" s="24"/>
      <c r="B236" s="19"/>
      <c r="C236" s="25">
        <f>IF(D236="","",D236/48)</f>
        <v>0</v>
      </c>
      <c r="D236" s="26">
        <f>IF(A236="","",ROUND((A236-cfgDefasagem/1440)*48,0))</f>
        <v>0</v>
      </c>
      <c r="E236" s="26">
        <f>IF(D236="","",INT((D236-cfgDeslocamento)/4))</f>
        <v>0</v>
      </c>
      <c r="F236" s="26">
        <f>IF(D236="","",MOD(D236-cfgDeslocamento,4)+1)</f>
        <v>0</v>
      </c>
      <c r="G236" s="26">
        <f>IF(A236="","",IF(AND(ISNUMBER(B236),B236&lt;&gt;0),1,0))</f>
        <v>0</v>
      </c>
      <c r="H236" s="25">
        <f>IF(E236="","",(E236*4+3+cfgDeslocamento)/48)</f>
        <v>0</v>
      </c>
    </row>
    <row r="237" spans="1:8">
      <c r="A237" s="24"/>
      <c r="B237" s="19"/>
      <c r="C237" s="25">
        <f>IF(D237="","",D237/48)</f>
        <v>0</v>
      </c>
      <c r="D237" s="26">
        <f>IF(A237="","",ROUND((A237-cfgDefasagem/1440)*48,0))</f>
        <v>0</v>
      </c>
      <c r="E237" s="26">
        <f>IF(D237="","",INT((D237-cfgDeslocamento)/4))</f>
        <v>0</v>
      </c>
      <c r="F237" s="26">
        <f>IF(D237="","",MOD(D237-cfgDeslocamento,4)+1)</f>
        <v>0</v>
      </c>
      <c r="G237" s="26">
        <f>IF(A237="","",IF(AND(ISNUMBER(B237),B237&lt;&gt;0),1,0))</f>
        <v>0</v>
      </c>
      <c r="H237" s="25">
        <f>IF(E237="","",(E237*4+3+cfgDeslocamento)/48)</f>
        <v>0</v>
      </c>
    </row>
    <row r="238" spans="1:8">
      <c r="A238" s="24"/>
      <c r="B238" s="19"/>
      <c r="C238" s="25">
        <f>IF(D238="","",D238/48)</f>
        <v>0</v>
      </c>
      <c r="D238" s="26">
        <f>IF(A238="","",ROUND((A238-cfgDefasagem/1440)*48,0))</f>
        <v>0</v>
      </c>
      <c r="E238" s="26">
        <f>IF(D238="","",INT((D238-cfgDeslocamento)/4))</f>
        <v>0</v>
      </c>
      <c r="F238" s="26">
        <f>IF(D238="","",MOD(D238-cfgDeslocamento,4)+1)</f>
        <v>0</v>
      </c>
      <c r="G238" s="26">
        <f>IF(A238="","",IF(AND(ISNUMBER(B238),B238&lt;&gt;0),1,0))</f>
        <v>0</v>
      </c>
      <c r="H238" s="25">
        <f>IF(E238="","",(E238*4+3+cfgDeslocamento)/48)</f>
        <v>0</v>
      </c>
    </row>
    <row r="239" spans="1:8">
      <c r="A239" s="24"/>
      <c r="B239" s="19"/>
      <c r="C239" s="25">
        <f>IF(D239="","",D239/48)</f>
        <v>0</v>
      </c>
      <c r="D239" s="26">
        <f>IF(A239="","",ROUND((A239-cfgDefasagem/1440)*48,0))</f>
        <v>0</v>
      </c>
      <c r="E239" s="26">
        <f>IF(D239="","",INT((D239-cfgDeslocamento)/4))</f>
        <v>0</v>
      </c>
      <c r="F239" s="26">
        <f>IF(D239="","",MOD(D239-cfgDeslocamento,4)+1)</f>
        <v>0</v>
      </c>
      <c r="G239" s="26">
        <f>IF(A239="","",IF(AND(ISNUMBER(B239),B239&lt;&gt;0),1,0))</f>
        <v>0</v>
      </c>
      <c r="H239" s="25">
        <f>IF(E239="","",(E239*4+3+cfgDeslocamento)/48)</f>
        <v>0</v>
      </c>
    </row>
    <row r="240" spans="1:8">
      <c r="A240" s="24"/>
      <c r="B240" s="19"/>
      <c r="C240" s="25">
        <f>IF(D240="","",D240/48)</f>
        <v>0</v>
      </c>
      <c r="D240" s="26">
        <f>IF(A240="","",ROUND((A240-cfgDefasagem/1440)*48,0))</f>
        <v>0</v>
      </c>
      <c r="E240" s="26">
        <f>IF(D240="","",INT((D240-cfgDeslocamento)/4))</f>
        <v>0</v>
      </c>
      <c r="F240" s="26">
        <f>IF(D240="","",MOD(D240-cfgDeslocamento,4)+1)</f>
        <v>0</v>
      </c>
      <c r="G240" s="26">
        <f>IF(A240="","",IF(AND(ISNUMBER(B240),B240&lt;&gt;0),1,0))</f>
        <v>0</v>
      </c>
      <c r="H240" s="25">
        <f>IF(E240="","",(E240*4+3+cfgDeslocamento)/48)</f>
        <v>0</v>
      </c>
    </row>
    <row r="241" spans="1:8">
      <c r="A241" s="24"/>
      <c r="B241" s="19"/>
      <c r="C241" s="25">
        <f>IF(D241="","",D241/48)</f>
        <v>0</v>
      </c>
      <c r="D241" s="26">
        <f>IF(A241="","",ROUND((A241-cfgDefasagem/1440)*48,0))</f>
        <v>0</v>
      </c>
      <c r="E241" s="26">
        <f>IF(D241="","",INT((D241-cfgDeslocamento)/4))</f>
        <v>0</v>
      </c>
      <c r="F241" s="26">
        <f>IF(D241="","",MOD(D241-cfgDeslocamento,4)+1)</f>
        <v>0</v>
      </c>
      <c r="G241" s="26">
        <f>IF(A241="","",IF(AND(ISNUMBER(B241),B241&lt;&gt;0),1,0))</f>
        <v>0</v>
      </c>
      <c r="H241" s="25">
        <f>IF(E241="","",(E241*4+3+cfgDeslocamento)/48)</f>
        <v>0</v>
      </c>
    </row>
    <row r="242" spans="1:8">
      <c r="A242" s="24"/>
      <c r="B242" s="19"/>
      <c r="C242" s="25">
        <f>IF(D242="","",D242/48)</f>
        <v>0</v>
      </c>
      <c r="D242" s="26">
        <f>IF(A242="","",ROUND((A242-cfgDefasagem/1440)*48,0))</f>
        <v>0</v>
      </c>
      <c r="E242" s="26">
        <f>IF(D242="","",INT((D242-cfgDeslocamento)/4))</f>
        <v>0</v>
      </c>
      <c r="F242" s="26">
        <f>IF(D242="","",MOD(D242-cfgDeslocamento,4)+1)</f>
        <v>0</v>
      </c>
      <c r="G242" s="26">
        <f>IF(A242="","",IF(AND(ISNUMBER(B242),B242&lt;&gt;0),1,0))</f>
        <v>0</v>
      </c>
      <c r="H242" s="25">
        <f>IF(E242="","",(E242*4+3+cfgDeslocamento)/48)</f>
        <v>0</v>
      </c>
    </row>
    <row r="243" spans="1:8">
      <c r="A243" s="24"/>
      <c r="B243" s="19"/>
      <c r="C243" s="25">
        <f>IF(D243="","",D243/48)</f>
        <v>0</v>
      </c>
      <c r="D243" s="26">
        <f>IF(A243="","",ROUND((A243-cfgDefasagem/1440)*48,0))</f>
        <v>0</v>
      </c>
      <c r="E243" s="26">
        <f>IF(D243="","",INT((D243-cfgDeslocamento)/4))</f>
        <v>0</v>
      </c>
      <c r="F243" s="26">
        <f>IF(D243="","",MOD(D243-cfgDeslocamento,4)+1)</f>
        <v>0</v>
      </c>
      <c r="G243" s="26">
        <f>IF(A243="","",IF(AND(ISNUMBER(B243),B243&lt;&gt;0),1,0))</f>
        <v>0</v>
      </c>
      <c r="H243" s="25">
        <f>IF(E243="","",(E243*4+3+cfgDeslocamento)/48)</f>
        <v>0</v>
      </c>
    </row>
    <row r="244" spans="1:8">
      <c r="A244" s="24"/>
      <c r="B244" s="19"/>
      <c r="C244" s="25">
        <f>IF(D244="","",D244/48)</f>
        <v>0</v>
      </c>
      <c r="D244" s="26">
        <f>IF(A244="","",ROUND((A244-cfgDefasagem/1440)*48,0))</f>
        <v>0</v>
      </c>
      <c r="E244" s="26">
        <f>IF(D244="","",INT((D244-cfgDeslocamento)/4))</f>
        <v>0</v>
      </c>
      <c r="F244" s="26">
        <f>IF(D244="","",MOD(D244-cfgDeslocamento,4)+1)</f>
        <v>0</v>
      </c>
      <c r="G244" s="26">
        <f>IF(A244="","",IF(AND(ISNUMBER(B244),B244&lt;&gt;0),1,0))</f>
        <v>0</v>
      </c>
      <c r="H244" s="25">
        <f>IF(E244="","",(E244*4+3+cfgDeslocamento)/48)</f>
        <v>0</v>
      </c>
    </row>
    <row r="245" spans="1:8">
      <c r="A245" s="24"/>
      <c r="B245" s="19"/>
      <c r="C245" s="25">
        <f>IF(D245="","",D245/48)</f>
        <v>0</v>
      </c>
      <c r="D245" s="26">
        <f>IF(A245="","",ROUND((A245-cfgDefasagem/1440)*48,0))</f>
        <v>0</v>
      </c>
      <c r="E245" s="26">
        <f>IF(D245="","",INT((D245-cfgDeslocamento)/4))</f>
        <v>0</v>
      </c>
      <c r="F245" s="26">
        <f>IF(D245="","",MOD(D245-cfgDeslocamento,4)+1)</f>
        <v>0</v>
      </c>
      <c r="G245" s="26">
        <f>IF(A245="","",IF(AND(ISNUMBER(B245),B245&lt;&gt;0),1,0))</f>
        <v>0</v>
      </c>
      <c r="H245" s="25">
        <f>IF(E245="","",(E245*4+3+cfgDeslocamento)/48)</f>
        <v>0</v>
      </c>
    </row>
    <row r="246" spans="1:8">
      <c r="A246" s="24"/>
      <c r="B246" s="19"/>
      <c r="C246" s="25">
        <f>IF(D246="","",D246/48)</f>
        <v>0</v>
      </c>
      <c r="D246" s="26">
        <f>IF(A246="","",ROUND((A246-cfgDefasagem/1440)*48,0))</f>
        <v>0</v>
      </c>
      <c r="E246" s="26">
        <f>IF(D246="","",INT((D246-cfgDeslocamento)/4))</f>
        <v>0</v>
      </c>
      <c r="F246" s="26">
        <f>IF(D246="","",MOD(D246-cfgDeslocamento,4)+1)</f>
        <v>0</v>
      </c>
      <c r="G246" s="26">
        <f>IF(A246="","",IF(AND(ISNUMBER(B246),B246&lt;&gt;0),1,0))</f>
        <v>0</v>
      </c>
      <c r="H246" s="25">
        <f>IF(E246="","",(E246*4+3+cfgDeslocamento)/48)</f>
        <v>0</v>
      </c>
    </row>
    <row r="247" spans="1:8">
      <c r="A247" s="24"/>
      <c r="B247" s="19"/>
      <c r="C247" s="25">
        <f>IF(D247="","",D247/48)</f>
        <v>0</v>
      </c>
      <c r="D247" s="26">
        <f>IF(A247="","",ROUND((A247-cfgDefasagem/1440)*48,0))</f>
        <v>0</v>
      </c>
      <c r="E247" s="26">
        <f>IF(D247="","",INT((D247-cfgDeslocamento)/4))</f>
        <v>0</v>
      </c>
      <c r="F247" s="26">
        <f>IF(D247="","",MOD(D247-cfgDeslocamento,4)+1)</f>
        <v>0</v>
      </c>
      <c r="G247" s="26">
        <f>IF(A247="","",IF(AND(ISNUMBER(B247),B247&lt;&gt;0),1,0))</f>
        <v>0</v>
      </c>
      <c r="H247" s="25">
        <f>IF(E247="","",(E247*4+3+cfgDeslocamento)/48)</f>
        <v>0</v>
      </c>
    </row>
    <row r="248" spans="1:8">
      <c r="A248" s="24"/>
      <c r="B248" s="19"/>
      <c r="C248" s="25">
        <f>IF(D248="","",D248/48)</f>
        <v>0</v>
      </c>
      <c r="D248" s="26">
        <f>IF(A248="","",ROUND((A248-cfgDefasagem/1440)*48,0))</f>
        <v>0</v>
      </c>
      <c r="E248" s="26">
        <f>IF(D248="","",INT((D248-cfgDeslocamento)/4))</f>
        <v>0</v>
      </c>
      <c r="F248" s="26">
        <f>IF(D248="","",MOD(D248-cfgDeslocamento,4)+1)</f>
        <v>0</v>
      </c>
      <c r="G248" s="26">
        <f>IF(A248="","",IF(AND(ISNUMBER(B248),B248&lt;&gt;0),1,0))</f>
        <v>0</v>
      </c>
      <c r="H248" s="25">
        <f>IF(E248="","",(E248*4+3+cfgDeslocamento)/48)</f>
        <v>0</v>
      </c>
    </row>
    <row r="249" spans="1:8">
      <c r="A249" s="24"/>
      <c r="B249" s="19"/>
      <c r="C249" s="25">
        <f>IF(D249="","",D249/48)</f>
        <v>0</v>
      </c>
      <c r="D249" s="26">
        <f>IF(A249="","",ROUND((A249-cfgDefasagem/1440)*48,0))</f>
        <v>0</v>
      </c>
      <c r="E249" s="26">
        <f>IF(D249="","",INT((D249-cfgDeslocamento)/4))</f>
        <v>0</v>
      </c>
      <c r="F249" s="26">
        <f>IF(D249="","",MOD(D249-cfgDeslocamento,4)+1)</f>
        <v>0</v>
      </c>
      <c r="G249" s="26">
        <f>IF(A249="","",IF(AND(ISNUMBER(B249),B249&lt;&gt;0),1,0))</f>
        <v>0</v>
      </c>
      <c r="H249" s="25">
        <f>IF(E249="","",(E249*4+3+cfgDeslocamento)/48)</f>
        <v>0</v>
      </c>
    </row>
    <row r="250" spans="1:8">
      <c r="A250" s="24"/>
      <c r="B250" s="19"/>
      <c r="C250" s="25">
        <f>IF(D250="","",D250/48)</f>
        <v>0</v>
      </c>
      <c r="D250" s="26">
        <f>IF(A250="","",ROUND((A250-cfgDefasagem/1440)*48,0))</f>
        <v>0</v>
      </c>
      <c r="E250" s="26">
        <f>IF(D250="","",INT((D250-cfgDeslocamento)/4))</f>
        <v>0</v>
      </c>
      <c r="F250" s="26">
        <f>IF(D250="","",MOD(D250-cfgDeslocamento,4)+1)</f>
        <v>0</v>
      </c>
      <c r="G250" s="26">
        <f>IF(A250="","",IF(AND(ISNUMBER(B250),B250&lt;&gt;0),1,0))</f>
        <v>0</v>
      </c>
      <c r="H250" s="25">
        <f>IF(E250="","",(E250*4+3+cfgDeslocamento)/48)</f>
        <v>0</v>
      </c>
    </row>
    <row r="251" spans="1:8">
      <c r="A251" s="24"/>
      <c r="B251" s="19"/>
      <c r="C251" s="25">
        <f>IF(D251="","",D251/48)</f>
        <v>0</v>
      </c>
      <c r="D251" s="26">
        <f>IF(A251="","",ROUND((A251-cfgDefasagem/1440)*48,0))</f>
        <v>0</v>
      </c>
      <c r="E251" s="26">
        <f>IF(D251="","",INT((D251-cfgDeslocamento)/4))</f>
        <v>0</v>
      </c>
      <c r="F251" s="26">
        <f>IF(D251="","",MOD(D251-cfgDeslocamento,4)+1)</f>
        <v>0</v>
      </c>
      <c r="G251" s="26">
        <f>IF(A251="","",IF(AND(ISNUMBER(B251),B251&lt;&gt;0),1,0))</f>
        <v>0</v>
      </c>
      <c r="H251" s="25">
        <f>IF(E251="","",(E251*4+3+cfgDeslocamento)/48)</f>
        <v>0</v>
      </c>
    </row>
    <row r="252" spans="1:8">
      <c r="A252" s="24"/>
      <c r="B252" s="19"/>
      <c r="C252" s="25">
        <f>IF(D252="","",D252/48)</f>
        <v>0</v>
      </c>
      <c r="D252" s="26">
        <f>IF(A252="","",ROUND((A252-cfgDefasagem/1440)*48,0))</f>
        <v>0</v>
      </c>
      <c r="E252" s="26">
        <f>IF(D252="","",INT((D252-cfgDeslocamento)/4))</f>
        <v>0</v>
      </c>
      <c r="F252" s="26">
        <f>IF(D252="","",MOD(D252-cfgDeslocamento,4)+1)</f>
        <v>0</v>
      </c>
      <c r="G252" s="26">
        <f>IF(A252="","",IF(AND(ISNUMBER(B252),B252&lt;&gt;0),1,0))</f>
        <v>0</v>
      </c>
      <c r="H252" s="25">
        <f>IF(E252="","",(E252*4+3+cfgDeslocamento)/48)</f>
        <v>0</v>
      </c>
    </row>
    <row r="253" spans="1:8">
      <c r="A253" s="24"/>
      <c r="B253" s="19"/>
      <c r="C253" s="25">
        <f>IF(D253="","",D253/48)</f>
        <v>0</v>
      </c>
      <c r="D253" s="26">
        <f>IF(A253="","",ROUND((A253-cfgDefasagem/1440)*48,0))</f>
        <v>0</v>
      </c>
      <c r="E253" s="26">
        <f>IF(D253="","",INT((D253-cfgDeslocamento)/4))</f>
        <v>0</v>
      </c>
      <c r="F253" s="26">
        <f>IF(D253="","",MOD(D253-cfgDeslocamento,4)+1)</f>
        <v>0</v>
      </c>
      <c r="G253" s="26">
        <f>IF(A253="","",IF(AND(ISNUMBER(B253),B253&lt;&gt;0),1,0))</f>
        <v>0</v>
      </c>
      <c r="H253" s="25">
        <f>IF(E253="","",(E253*4+3+cfgDeslocamento)/48)</f>
        <v>0</v>
      </c>
    </row>
    <row r="254" spans="1:8">
      <c r="A254" s="24"/>
      <c r="B254" s="19"/>
      <c r="C254" s="25">
        <f>IF(D254="","",D254/48)</f>
        <v>0</v>
      </c>
      <c r="D254" s="26">
        <f>IF(A254="","",ROUND((A254-cfgDefasagem/1440)*48,0))</f>
        <v>0</v>
      </c>
      <c r="E254" s="26">
        <f>IF(D254="","",INT((D254-cfgDeslocamento)/4))</f>
        <v>0</v>
      </c>
      <c r="F254" s="26">
        <f>IF(D254="","",MOD(D254-cfgDeslocamento,4)+1)</f>
        <v>0</v>
      </c>
      <c r="G254" s="26">
        <f>IF(A254="","",IF(AND(ISNUMBER(B254),B254&lt;&gt;0),1,0))</f>
        <v>0</v>
      </c>
      <c r="H254" s="25">
        <f>IF(E254="","",(E254*4+3+cfgDeslocamento)/48)</f>
        <v>0</v>
      </c>
    </row>
    <row r="255" spans="1:8">
      <c r="A255" s="24"/>
      <c r="B255" s="19"/>
      <c r="C255" s="25">
        <f>IF(D255="","",D255/48)</f>
        <v>0</v>
      </c>
      <c r="D255" s="26">
        <f>IF(A255="","",ROUND((A255-cfgDefasagem/1440)*48,0))</f>
        <v>0</v>
      </c>
      <c r="E255" s="26">
        <f>IF(D255="","",INT((D255-cfgDeslocamento)/4))</f>
        <v>0</v>
      </c>
      <c r="F255" s="26">
        <f>IF(D255="","",MOD(D255-cfgDeslocamento,4)+1)</f>
        <v>0</v>
      </c>
      <c r="G255" s="26">
        <f>IF(A255="","",IF(AND(ISNUMBER(B255),B255&lt;&gt;0),1,0))</f>
        <v>0</v>
      </c>
      <c r="H255" s="25">
        <f>IF(E255="","",(E255*4+3+cfgDeslocamento)/48)</f>
        <v>0</v>
      </c>
    </row>
    <row r="256" spans="1:8">
      <c r="A256" s="24"/>
      <c r="B256" s="19"/>
      <c r="C256" s="25">
        <f>IF(D256="","",D256/48)</f>
        <v>0</v>
      </c>
      <c r="D256" s="26">
        <f>IF(A256="","",ROUND((A256-cfgDefasagem/1440)*48,0))</f>
        <v>0</v>
      </c>
      <c r="E256" s="26">
        <f>IF(D256="","",INT((D256-cfgDeslocamento)/4))</f>
        <v>0</v>
      </c>
      <c r="F256" s="26">
        <f>IF(D256="","",MOD(D256-cfgDeslocamento,4)+1)</f>
        <v>0</v>
      </c>
      <c r="G256" s="26">
        <f>IF(A256="","",IF(AND(ISNUMBER(B256),B256&lt;&gt;0),1,0))</f>
        <v>0</v>
      </c>
      <c r="H256" s="25">
        <f>IF(E256="","",(E256*4+3+cfgDeslocamento)/48)</f>
        <v>0</v>
      </c>
    </row>
    <row r="257" spans="1:8">
      <c r="A257" s="24"/>
      <c r="B257" s="19"/>
      <c r="C257" s="25">
        <f>IF(D257="","",D257/48)</f>
        <v>0</v>
      </c>
      <c r="D257" s="26">
        <f>IF(A257="","",ROUND((A257-cfgDefasagem/1440)*48,0))</f>
        <v>0</v>
      </c>
      <c r="E257" s="26">
        <f>IF(D257="","",INT((D257-cfgDeslocamento)/4))</f>
        <v>0</v>
      </c>
      <c r="F257" s="26">
        <f>IF(D257="","",MOD(D257-cfgDeslocamento,4)+1)</f>
        <v>0</v>
      </c>
      <c r="G257" s="26">
        <f>IF(A257="","",IF(AND(ISNUMBER(B257),B257&lt;&gt;0),1,0))</f>
        <v>0</v>
      </c>
      <c r="H257" s="25">
        <f>IF(E257="","",(E257*4+3+cfgDeslocamento)/48)</f>
        <v>0</v>
      </c>
    </row>
    <row r="258" spans="1:8">
      <c r="A258" s="24"/>
      <c r="B258" s="19"/>
      <c r="C258" s="25">
        <f>IF(D258="","",D258/48)</f>
        <v>0</v>
      </c>
      <c r="D258" s="26">
        <f>IF(A258="","",ROUND((A258-cfgDefasagem/1440)*48,0))</f>
        <v>0</v>
      </c>
      <c r="E258" s="26">
        <f>IF(D258="","",INT((D258-cfgDeslocamento)/4))</f>
        <v>0</v>
      </c>
      <c r="F258" s="26">
        <f>IF(D258="","",MOD(D258-cfgDeslocamento,4)+1)</f>
        <v>0</v>
      </c>
      <c r="G258" s="26">
        <f>IF(A258="","",IF(AND(ISNUMBER(B258),B258&lt;&gt;0),1,0))</f>
        <v>0</v>
      </c>
      <c r="H258" s="25">
        <f>IF(E258="","",(E258*4+3+cfgDeslocamento)/48)</f>
        <v>0</v>
      </c>
    </row>
    <row r="259" spans="1:8">
      <c r="A259" s="24"/>
      <c r="B259" s="19"/>
      <c r="C259" s="25">
        <f>IF(D259="","",D259/48)</f>
        <v>0</v>
      </c>
      <c r="D259" s="26">
        <f>IF(A259="","",ROUND((A259-cfgDefasagem/1440)*48,0))</f>
        <v>0</v>
      </c>
      <c r="E259" s="26">
        <f>IF(D259="","",INT((D259-cfgDeslocamento)/4))</f>
        <v>0</v>
      </c>
      <c r="F259" s="26">
        <f>IF(D259="","",MOD(D259-cfgDeslocamento,4)+1)</f>
        <v>0</v>
      </c>
      <c r="G259" s="26">
        <f>IF(A259="","",IF(AND(ISNUMBER(B259),B259&lt;&gt;0),1,0))</f>
        <v>0</v>
      </c>
      <c r="H259" s="25">
        <f>IF(E259="","",(E259*4+3+cfgDeslocamento)/48)</f>
        <v>0</v>
      </c>
    </row>
    <row r="260" spans="1:8">
      <c r="A260" s="24"/>
      <c r="B260" s="19"/>
      <c r="C260" s="25">
        <f>IF(D260="","",D260/48)</f>
        <v>0</v>
      </c>
      <c r="D260" s="26">
        <f>IF(A260="","",ROUND((A260-cfgDefasagem/1440)*48,0))</f>
        <v>0</v>
      </c>
      <c r="E260" s="26">
        <f>IF(D260="","",INT((D260-cfgDeslocamento)/4))</f>
        <v>0</v>
      </c>
      <c r="F260" s="26">
        <f>IF(D260="","",MOD(D260-cfgDeslocamento,4)+1)</f>
        <v>0</v>
      </c>
      <c r="G260" s="26">
        <f>IF(A260="","",IF(AND(ISNUMBER(B260),B260&lt;&gt;0),1,0))</f>
        <v>0</v>
      </c>
      <c r="H260" s="25">
        <f>IF(E260="","",(E260*4+3+cfgDeslocamento)/48)</f>
        <v>0</v>
      </c>
    </row>
    <row r="261" spans="1:8">
      <c r="A261" s="24"/>
      <c r="B261" s="19"/>
      <c r="C261" s="25">
        <f>IF(D261="","",D261/48)</f>
        <v>0</v>
      </c>
      <c r="D261" s="26">
        <f>IF(A261="","",ROUND((A261-cfgDefasagem/1440)*48,0))</f>
        <v>0</v>
      </c>
      <c r="E261" s="26">
        <f>IF(D261="","",INT((D261-cfgDeslocamento)/4))</f>
        <v>0</v>
      </c>
      <c r="F261" s="26">
        <f>IF(D261="","",MOD(D261-cfgDeslocamento,4)+1)</f>
        <v>0</v>
      </c>
      <c r="G261" s="26">
        <f>IF(A261="","",IF(AND(ISNUMBER(B261),B261&lt;&gt;0),1,0))</f>
        <v>0</v>
      </c>
      <c r="H261" s="25">
        <f>IF(E261="","",(E261*4+3+cfgDeslocamento)/48)</f>
        <v>0</v>
      </c>
    </row>
    <row r="262" spans="1:8">
      <c r="A262" s="24"/>
      <c r="B262" s="19"/>
      <c r="C262" s="25">
        <f>IF(D262="","",D262/48)</f>
        <v>0</v>
      </c>
      <c r="D262" s="26">
        <f>IF(A262="","",ROUND((A262-cfgDefasagem/1440)*48,0))</f>
        <v>0</v>
      </c>
      <c r="E262" s="26">
        <f>IF(D262="","",INT((D262-cfgDeslocamento)/4))</f>
        <v>0</v>
      </c>
      <c r="F262" s="26">
        <f>IF(D262="","",MOD(D262-cfgDeslocamento,4)+1)</f>
        <v>0</v>
      </c>
      <c r="G262" s="26">
        <f>IF(A262="","",IF(AND(ISNUMBER(B262),B262&lt;&gt;0),1,0))</f>
        <v>0</v>
      </c>
      <c r="H262" s="25">
        <f>IF(E262="","",(E262*4+3+cfgDeslocamento)/48)</f>
        <v>0</v>
      </c>
    </row>
    <row r="263" spans="1:8">
      <c r="A263" s="24"/>
      <c r="B263" s="19"/>
      <c r="C263" s="25">
        <f>IF(D263="","",D263/48)</f>
        <v>0</v>
      </c>
      <c r="D263" s="26">
        <f>IF(A263="","",ROUND((A263-cfgDefasagem/1440)*48,0))</f>
        <v>0</v>
      </c>
      <c r="E263" s="26">
        <f>IF(D263="","",INT((D263-cfgDeslocamento)/4))</f>
        <v>0</v>
      </c>
      <c r="F263" s="26">
        <f>IF(D263="","",MOD(D263-cfgDeslocamento,4)+1)</f>
        <v>0</v>
      </c>
      <c r="G263" s="26">
        <f>IF(A263="","",IF(AND(ISNUMBER(B263),B263&lt;&gt;0),1,0))</f>
        <v>0</v>
      </c>
      <c r="H263" s="25">
        <f>IF(E263="","",(E263*4+3+cfgDeslocamento)/48)</f>
        <v>0</v>
      </c>
    </row>
    <row r="264" spans="1:8">
      <c r="A264" s="24"/>
      <c r="B264" s="19"/>
      <c r="C264" s="25">
        <f>IF(D264="","",D264/48)</f>
        <v>0</v>
      </c>
      <c r="D264" s="26">
        <f>IF(A264="","",ROUND((A264-cfgDefasagem/1440)*48,0))</f>
        <v>0</v>
      </c>
      <c r="E264" s="26">
        <f>IF(D264="","",INT((D264-cfgDeslocamento)/4))</f>
        <v>0</v>
      </c>
      <c r="F264" s="26">
        <f>IF(D264="","",MOD(D264-cfgDeslocamento,4)+1)</f>
        <v>0</v>
      </c>
      <c r="G264" s="26">
        <f>IF(A264="","",IF(AND(ISNUMBER(B264),B264&lt;&gt;0),1,0))</f>
        <v>0</v>
      </c>
      <c r="H264" s="25">
        <f>IF(E264="","",(E264*4+3+cfgDeslocamento)/48)</f>
        <v>0</v>
      </c>
    </row>
    <row r="265" spans="1:8">
      <c r="A265" s="24"/>
      <c r="B265" s="19"/>
      <c r="C265" s="25">
        <f>IF(D265="","",D265/48)</f>
        <v>0</v>
      </c>
      <c r="D265" s="26">
        <f>IF(A265="","",ROUND((A265-cfgDefasagem/1440)*48,0))</f>
        <v>0</v>
      </c>
      <c r="E265" s="26">
        <f>IF(D265="","",INT((D265-cfgDeslocamento)/4))</f>
        <v>0</v>
      </c>
      <c r="F265" s="26">
        <f>IF(D265="","",MOD(D265-cfgDeslocamento,4)+1)</f>
        <v>0</v>
      </c>
      <c r="G265" s="26">
        <f>IF(A265="","",IF(AND(ISNUMBER(B265),B265&lt;&gt;0),1,0))</f>
        <v>0</v>
      </c>
      <c r="H265" s="25">
        <f>IF(E265="","",(E265*4+3+cfgDeslocamento)/48)</f>
        <v>0</v>
      </c>
    </row>
    <row r="266" spans="1:8">
      <c r="A266" s="24"/>
      <c r="B266" s="19"/>
      <c r="C266" s="25">
        <f>IF(D266="","",D266/48)</f>
        <v>0</v>
      </c>
      <c r="D266" s="26">
        <f>IF(A266="","",ROUND((A266-cfgDefasagem/1440)*48,0))</f>
        <v>0</v>
      </c>
      <c r="E266" s="26">
        <f>IF(D266="","",INT((D266-cfgDeslocamento)/4))</f>
        <v>0</v>
      </c>
      <c r="F266" s="26">
        <f>IF(D266="","",MOD(D266-cfgDeslocamento,4)+1)</f>
        <v>0</v>
      </c>
      <c r="G266" s="26">
        <f>IF(A266="","",IF(AND(ISNUMBER(B266),B266&lt;&gt;0),1,0))</f>
        <v>0</v>
      </c>
      <c r="H266" s="25">
        <f>IF(E266="","",(E266*4+3+cfgDeslocamento)/48)</f>
        <v>0</v>
      </c>
    </row>
    <row r="267" spans="1:8">
      <c r="A267" s="24"/>
      <c r="B267" s="19"/>
      <c r="C267" s="25">
        <f>IF(D267="","",D267/48)</f>
        <v>0</v>
      </c>
      <c r="D267" s="26">
        <f>IF(A267="","",ROUND((A267-cfgDefasagem/1440)*48,0))</f>
        <v>0</v>
      </c>
      <c r="E267" s="26">
        <f>IF(D267="","",INT((D267-cfgDeslocamento)/4))</f>
        <v>0</v>
      </c>
      <c r="F267" s="26">
        <f>IF(D267="","",MOD(D267-cfgDeslocamento,4)+1)</f>
        <v>0</v>
      </c>
      <c r="G267" s="26">
        <f>IF(A267="","",IF(AND(ISNUMBER(B267),B267&lt;&gt;0),1,0))</f>
        <v>0</v>
      </c>
      <c r="H267" s="25">
        <f>IF(E267="","",(E267*4+3+cfgDeslocamento)/48)</f>
        <v>0</v>
      </c>
    </row>
    <row r="268" spans="1:8">
      <c r="A268" s="24"/>
      <c r="B268" s="19"/>
      <c r="C268" s="25">
        <f>IF(D268="","",D268/48)</f>
        <v>0</v>
      </c>
      <c r="D268" s="26">
        <f>IF(A268="","",ROUND((A268-cfgDefasagem/1440)*48,0))</f>
        <v>0</v>
      </c>
      <c r="E268" s="26">
        <f>IF(D268="","",INT((D268-cfgDeslocamento)/4))</f>
        <v>0</v>
      </c>
      <c r="F268" s="26">
        <f>IF(D268="","",MOD(D268-cfgDeslocamento,4)+1)</f>
        <v>0</v>
      </c>
      <c r="G268" s="26">
        <f>IF(A268="","",IF(AND(ISNUMBER(B268),B268&lt;&gt;0),1,0))</f>
        <v>0</v>
      </c>
      <c r="H268" s="25">
        <f>IF(E268="","",(E268*4+3+cfgDeslocamento)/48)</f>
        <v>0</v>
      </c>
    </row>
    <row r="269" spans="1:8">
      <c r="A269" s="24"/>
      <c r="B269" s="19"/>
      <c r="C269" s="25">
        <f>IF(D269="","",D269/48)</f>
        <v>0</v>
      </c>
      <c r="D269" s="26">
        <f>IF(A269="","",ROUND((A269-cfgDefasagem/1440)*48,0))</f>
        <v>0</v>
      </c>
      <c r="E269" s="26">
        <f>IF(D269="","",INT((D269-cfgDeslocamento)/4))</f>
        <v>0</v>
      </c>
      <c r="F269" s="26">
        <f>IF(D269="","",MOD(D269-cfgDeslocamento,4)+1)</f>
        <v>0</v>
      </c>
      <c r="G269" s="26">
        <f>IF(A269="","",IF(AND(ISNUMBER(B269),B269&lt;&gt;0),1,0))</f>
        <v>0</v>
      </c>
      <c r="H269" s="25">
        <f>IF(E269="","",(E269*4+3+cfgDeslocamento)/48)</f>
        <v>0</v>
      </c>
    </row>
    <row r="270" spans="1:8">
      <c r="A270" s="24"/>
      <c r="B270" s="19"/>
      <c r="C270" s="25">
        <f>IF(D270="","",D270/48)</f>
        <v>0</v>
      </c>
      <c r="D270" s="26">
        <f>IF(A270="","",ROUND((A270-cfgDefasagem/1440)*48,0))</f>
        <v>0</v>
      </c>
      <c r="E270" s="26">
        <f>IF(D270="","",INT((D270-cfgDeslocamento)/4))</f>
        <v>0</v>
      </c>
      <c r="F270" s="26">
        <f>IF(D270="","",MOD(D270-cfgDeslocamento,4)+1)</f>
        <v>0</v>
      </c>
      <c r="G270" s="26">
        <f>IF(A270="","",IF(AND(ISNUMBER(B270),B270&lt;&gt;0),1,0))</f>
        <v>0</v>
      </c>
      <c r="H270" s="25">
        <f>IF(E270="","",(E270*4+3+cfgDeslocamento)/48)</f>
        <v>0</v>
      </c>
    </row>
    <row r="271" spans="1:8">
      <c r="A271" s="24"/>
      <c r="B271" s="19"/>
      <c r="C271" s="25">
        <f>IF(D271="","",D271/48)</f>
        <v>0</v>
      </c>
      <c r="D271" s="26">
        <f>IF(A271="","",ROUND((A271-cfgDefasagem/1440)*48,0))</f>
        <v>0</v>
      </c>
      <c r="E271" s="26">
        <f>IF(D271="","",INT((D271-cfgDeslocamento)/4))</f>
        <v>0</v>
      </c>
      <c r="F271" s="26">
        <f>IF(D271="","",MOD(D271-cfgDeslocamento,4)+1)</f>
        <v>0</v>
      </c>
      <c r="G271" s="26">
        <f>IF(A271="","",IF(AND(ISNUMBER(B271),B271&lt;&gt;0),1,0))</f>
        <v>0</v>
      </c>
      <c r="H271" s="25">
        <f>IF(E271="","",(E271*4+3+cfgDeslocamento)/48)</f>
        <v>0</v>
      </c>
    </row>
    <row r="272" spans="1:8">
      <c r="A272" s="24"/>
      <c r="B272" s="19"/>
      <c r="C272" s="25">
        <f>IF(D272="","",D272/48)</f>
        <v>0</v>
      </c>
      <c r="D272" s="26">
        <f>IF(A272="","",ROUND((A272-cfgDefasagem/1440)*48,0))</f>
        <v>0</v>
      </c>
      <c r="E272" s="26">
        <f>IF(D272="","",INT((D272-cfgDeslocamento)/4))</f>
        <v>0</v>
      </c>
      <c r="F272" s="26">
        <f>IF(D272="","",MOD(D272-cfgDeslocamento,4)+1)</f>
        <v>0</v>
      </c>
      <c r="G272" s="26">
        <f>IF(A272="","",IF(AND(ISNUMBER(B272),B272&lt;&gt;0),1,0))</f>
        <v>0</v>
      </c>
      <c r="H272" s="25">
        <f>IF(E272="","",(E272*4+3+cfgDeslocamento)/48)</f>
        <v>0</v>
      </c>
    </row>
    <row r="273" spans="1:8">
      <c r="A273" s="24"/>
      <c r="B273" s="19"/>
      <c r="C273" s="25">
        <f>IF(D273="","",D273/48)</f>
        <v>0</v>
      </c>
      <c r="D273" s="26">
        <f>IF(A273="","",ROUND((A273-cfgDefasagem/1440)*48,0))</f>
        <v>0</v>
      </c>
      <c r="E273" s="26">
        <f>IF(D273="","",INT((D273-cfgDeslocamento)/4))</f>
        <v>0</v>
      </c>
      <c r="F273" s="26">
        <f>IF(D273="","",MOD(D273-cfgDeslocamento,4)+1)</f>
        <v>0</v>
      </c>
      <c r="G273" s="26">
        <f>IF(A273="","",IF(AND(ISNUMBER(B273),B273&lt;&gt;0),1,0))</f>
        <v>0</v>
      </c>
      <c r="H273" s="25">
        <f>IF(E273="","",(E273*4+3+cfgDeslocamento)/48)</f>
        <v>0</v>
      </c>
    </row>
    <row r="274" spans="1:8">
      <c r="A274" s="24"/>
      <c r="B274" s="19"/>
      <c r="C274" s="25">
        <f>IF(D274="","",D274/48)</f>
        <v>0</v>
      </c>
      <c r="D274" s="26">
        <f>IF(A274="","",ROUND((A274-cfgDefasagem/1440)*48,0))</f>
        <v>0</v>
      </c>
      <c r="E274" s="26">
        <f>IF(D274="","",INT((D274-cfgDeslocamento)/4))</f>
        <v>0</v>
      </c>
      <c r="F274" s="26">
        <f>IF(D274="","",MOD(D274-cfgDeslocamento,4)+1)</f>
        <v>0</v>
      </c>
      <c r="G274" s="26">
        <f>IF(A274="","",IF(AND(ISNUMBER(B274),B274&lt;&gt;0),1,0))</f>
        <v>0</v>
      </c>
      <c r="H274" s="25">
        <f>IF(E274="","",(E274*4+3+cfgDeslocamento)/48)</f>
        <v>0</v>
      </c>
    </row>
    <row r="275" spans="1:8">
      <c r="A275" s="24"/>
      <c r="B275" s="19"/>
      <c r="C275" s="25">
        <f>IF(D275="","",D275/48)</f>
        <v>0</v>
      </c>
      <c r="D275" s="26">
        <f>IF(A275="","",ROUND((A275-cfgDefasagem/1440)*48,0))</f>
        <v>0</v>
      </c>
      <c r="E275" s="26">
        <f>IF(D275="","",INT((D275-cfgDeslocamento)/4))</f>
        <v>0</v>
      </c>
      <c r="F275" s="26">
        <f>IF(D275="","",MOD(D275-cfgDeslocamento,4)+1)</f>
        <v>0</v>
      </c>
      <c r="G275" s="26">
        <f>IF(A275="","",IF(AND(ISNUMBER(B275),B275&lt;&gt;0),1,0))</f>
        <v>0</v>
      </c>
      <c r="H275" s="25">
        <f>IF(E275="","",(E275*4+3+cfgDeslocamento)/48)</f>
        <v>0</v>
      </c>
    </row>
    <row r="276" spans="1:8">
      <c r="A276" s="24"/>
      <c r="B276" s="19"/>
      <c r="C276" s="25">
        <f>IF(D276="","",D276/48)</f>
        <v>0</v>
      </c>
      <c r="D276" s="26">
        <f>IF(A276="","",ROUND((A276-cfgDefasagem/1440)*48,0))</f>
        <v>0</v>
      </c>
      <c r="E276" s="26">
        <f>IF(D276="","",INT((D276-cfgDeslocamento)/4))</f>
        <v>0</v>
      </c>
      <c r="F276" s="26">
        <f>IF(D276="","",MOD(D276-cfgDeslocamento,4)+1)</f>
        <v>0</v>
      </c>
      <c r="G276" s="26">
        <f>IF(A276="","",IF(AND(ISNUMBER(B276),B276&lt;&gt;0),1,0))</f>
        <v>0</v>
      </c>
      <c r="H276" s="25">
        <f>IF(E276="","",(E276*4+3+cfgDeslocamento)/48)</f>
        <v>0</v>
      </c>
    </row>
    <row r="277" spans="1:8">
      <c r="A277" s="24"/>
      <c r="B277" s="19"/>
      <c r="C277" s="25">
        <f>IF(D277="","",D277/48)</f>
        <v>0</v>
      </c>
      <c r="D277" s="26">
        <f>IF(A277="","",ROUND((A277-cfgDefasagem/1440)*48,0))</f>
        <v>0</v>
      </c>
      <c r="E277" s="26">
        <f>IF(D277="","",INT((D277-cfgDeslocamento)/4))</f>
        <v>0</v>
      </c>
      <c r="F277" s="26">
        <f>IF(D277="","",MOD(D277-cfgDeslocamento,4)+1)</f>
        <v>0</v>
      </c>
      <c r="G277" s="26">
        <f>IF(A277="","",IF(AND(ISNUMBER(B277),B277&lt;&gt;0),1,0))</f>
        <v>0</v>
      </c>
      <c r="H277" s="25">
        <f>IF(E277="","",(E277*4+3+cfgDeslocamento)/48)</f>
        <v>0</v>
      </c>
    </row>
    <row r="278" spans="1:8">
      <c r="A278" s="24"/>
      <c r="B278" s="19"/>
      <c r="C278" s="25">
        <f>IF(D278="","",D278/48)</f>
        <v>0</v>
      </c>
      <c r="D278" s="26">
        <f>IF(A278="","",ROUND((A278-cfgDefasagem/1440)*48,0))</f>
        <v>0</v>
      </c>
      <c r="E278" s="26">
        <f>IF(D278="","",INT((D278-cfgDeslocamento)/4))</f>
        <v>0</v>
      </c>
      <c r="F278" s="26">
        <f>IF(D278="","",MOD(D278-cfgDeslocamento,4)+1)</f>
        <v>0</v>
      </c>
      <c r="G278" s="26">
        <f>IF(A278="","",IF(AND(ISNUMBER(B278),B278&lt;&gt;0),1,0))</f>
        <v>0</v>
      </c>
      <c r="H278" s="25">
        <f>IF(E278="","",(E278*4+3+cfgDeslocamento)/48)</f>
        <v>0</v>
      </c>
    </row>
    <row r="279" spans="1:8">
      <c r="A279" s="24"/>
      <c r="B279" s="19"/>
      <c r="C279" s="25">
        <f>IF(D279="","",D279/48)</f>
        <v>0</v>
      </c>
      <c r="D279" s="26">
        <f>IF(A279="","",ROUND((A279-cfgDefasagem/1440)*48,0))</f>
        <v>0</v>
      </c>
      <c r="E279" s="26">
        <f>IF(D279="","",INT((D279-cfgDeslocamento)/4))</f>
        <v>0</v>
      </c>
      <c r="F279" s="26">
        <f>IF(D279="","",MOD(D279-cfgDeslocamento,4)+1)</f>
        <v>0</v>
      </c>
      <c r="G279" s="26">
        <f>IF(A279="","",IF(AND(ISNUMBER(B279),B279&lt;&gt;0),1,0))</f>
        <v>0</v>
      </c>
      <c r="H279" s="25">
        <f>IF(E279="","",(E279*4+3+cfgDeslocamento)/48)</f>
        <v>0</v>
      </c>
    </row>
    <row r="280" spans="1:8">
      <c r="A280" s="24"/>
      <c r="B280" s="19"/>
      <c r="C280" s="25">
        <f>IF(D280="","",D280/48)</f>
        <v>0</v>
      </c>
      <c r="D280" s="26">
        <f>IF(A280="","",ROUND((A280-cfgDefasagem/1440)*48,0))</f>
        <v>0</v>
      </c>
      <c r="E280" s="26">
        <f>IF(D280="","",INT((D280-cfgDeslocamento)/4))</f>
        <v>0</v>
      </c>
      <c r="F280" s="26">
        <f>IF(D280="","",MOD(D280-cfgDeslocamento,4)+1)</f>
        <v>0</v>
      </c>
      <c r="G280" s="26">
        <f>IF(A280="","",IF(AND(ISNUMBER(B280),B280&lt;&gt;0),1,0))</f>
        <v>0</v>
      </c>
      <c r="H280" s="25">
        <f>IF(E280="","",(E280*4+3+cfgDeslocamento)/48)</f>
        <v>0</v>
      </c>
    </row>
    <row r="281" spans="1:8">
      <c r="A281" s="24"/>
      <c r="B281" s="19"/>
      <c r="C281" s="25">
        <f>IF(D281="","",D281/48)</f>
        <v>0</v>
      </c>
      <c r="D281" s="26">
        <f>IF(A281="","",ROUND((A281-cfgDefasagem/1440)*48,0))</f>
        <v>0</v>
      </c>
      <c r="E281" s="26">
        <f>IF(D281="","",INT((D281-cfgDeslocamento)/4))</f>
        <v>0</v>
      </c>
      <c r="F281" s="26">
        <f>IF(D281="","",MOD(D281-cfgDeslocamento,4)+1)</f>
        <v>0</v>
      </c>
      <c r="G281" s="26">
        <f>IF(A281="","",IF(AND(ISNUMBER(B281),B281&lt;&gt;0),1,0))</f>
        <v>0</v>
      </c>
      <c r="H281" s="25">
        <f>IF(E281="","",(E281*4+3+cfgDeslocamento)/48)</f>
        <v>0</v>
      </c>
    </row>
    <row r="282" spans="1:8">
      <c r="A282" s="24"/>
      <c r="B282" s="19"/>
      <c r="C282" s="25">
        <f>IF(D282="","",D282/48)</f>
        <v>0</v>
      </c>
      <c r="D282" s="26">
        <f>IF(A282="","",ROUND((A282-cfgDefasagem/1440)*48,0))</f>
        <v>0</v>
      </c>
      <c r="E282" s="26">
        <f>IF(D282="","",INT((D282-cfgDeslocamento)/4))</f>
        <v>0</v>
      </c>
      <c r="F282" s="26">
        <f>IF(D282="","",MOD(D282-cfgDeslocamento,4)+1)</f>
        <v>0</v>
      </c>
      <c r="G282" s="26">
        <f>IF(A282="","",IF(AND(ISNUMBER(B282),B282&lt;&gt;0),1,0))</f>
        <v>0</v>
      </c>
      <c r="H282" s="25">
        <f>IF(E282="","",(E282*4+3+cfgDeslocamento)/48)</f>
        <v>0</v>
      </c>
    </row>
    <row r="283" spans="1:8">
      <c r="A283" s="24"/>
      <c r="B283" s="19"/>
      <c r="C283" s="25">
        <f>IF(D283="","",D283/48)</f>
        <v>0</v>
      </c>
      <c r="D283" s="26">
        <f>IF(A283="","",ROUND((A283-cfgDefasagem/1440)*48,0))</f>
        <v>0</v>
      </c>
      <c r="E283" s="26">
        <f>IF(D283="","",INT((D283-cfgDeslocamento)/4))</f>
        <v>0</v>
      </c>
      <c r="F283" s="26">
        <f>IF(D283="","",MOD(D283-cfgDeslocamento,4)+1)</f>
        <v>0</v>
      </c>
      <c r="G283" s="26">
        <f>IF(A283="","",IF(AND(ISNUMBER(B283),B283&lt;&gt;0),1,0))</f>
        <v>0</v>
      </c>
      <c r="H283" s="25">
        <f>IF(E283="","",(E283*4+3+cfgDeslocamento)/48)</f>
        <v>0</v>
      </c>
    </row>
    <row r="284" spans="1:8">
      <c r="A284" s="24"/>
      <c r="B284" s="19"/>
      <c r="C284" s="25">
        <f>IF(D284="","",D284/48)</f>
        <v>0</v>
      </c>
      <c r="D284" s="26">
        <f>IF(A284="","",ROUND((A284-cfgDefasagem/1440)*48,0))</f>
        <v>0</v>
      </c>
      <c r="E284" s="26">
        <f>IF(D284="","",INT((D284-cfgDeslocamento)/4))</f>
        <v>0</v>
      </c>
      <c r="F284" s="26">
        <f>IF(D284="","",MOD(D284-cfgDeslocamento,4)+1)</f>
        <v>0</v>
      </c>
      <c r="G284" s="26">
        <f>IF(A284="","",IF(AND(ISNUMBER(B284),B284&lt;&gt;0),1,0))</f>
        <v>0</v>
      </c>
      <c r="H284" s="25">
        <f>IF(E284="","",(E284*4+3+cfgDeslocamento)/48)</f>
        <v>0</v>
      </c>
    </row>
    <row r="285" spans="1:8">
      <c r="A285" s="24"/>
      <c r="B285" s="19"/>
      <c r="C285" s="25">
        <f>IF(D285="","",D285/48)</f>
        <v>0</v>
      </c>
      <c r="D285" s="26">
        <f>IF(A285="","",ROUND((A285-cfgDefasagem/1440)*48,0))</f>
        <v>0</v>
      </c>
      <c r="E285" s="26">
        <f>IF(D285="","",INT((D285-cfgDeslocamento)/4))</f>
        <v>0</v>
      </c>
      <c r="F285" s="26">
        <f>IF(D285="","",MOD(D285-cfgDeslocamento,4)+1)</f>
        <v>0</v>
      </c>
      <c r="G285" s="26">
        <f>IF(A285="","",IF(AND(ISNUMBER(B285),B285&lt;&gt;0),1,0))</f>
        <v>0</v>
      </c>
      <c r="H285" s="25">
        <f>IF(E285="","",(E285*4+3+cfgDeslocamento)/48)</f>
        <v>0</v>
      </c>
    </row>
    <row r="286" spans="1:8">
      <c r="A286" s="24"/>
      <c r="B286" s="19"/>
      <c r="C286" s="25">
        <f>IF(D286="","",D286/48)</f>
        <v>0</v>
      </c>
      <c r="D286" s="26">
        <f>IF(A286="","",ROUND((A286-cfgDefasagem/1440)*48,0))</f>
        <v>0</v>
      </c>
      <c r="E286" s="26">
        <f>IF(D286="","",INT((D286-cfgDeslocamento)/4))</f>
        <v>0</v>
      </c>
      <c r="F286" s="26">
        <f>IF(D286="","",MOD(D286-cfgDeslocamento,4)+1)</f>
        <v>0</v>
      </c>
      <c r="G286" s="26">
        <f>IF(A286="","",IF(AND(ISNUMBER(B286),B286&lt;&gt;0),1,0))</f>
        <v>0</v>
      </c>
      <c r="H286" s="25">
        <f>IF(E286="","",(E286*4+3+cfgDeslocamento)/48)</f>
        <v>0</v>
      </c>
    </row>
    <row r="287" spans="1:8">
      <c r="A287" s="24"/>
      <c r="B287" s="19"/>
      <c r="C287" s="25">
        <f>IF(D287="","",D287/48)</f>
        <v>0</v>
      </c>
      <c r="D287" s="26">
        <f>IF(A287="","",ROUND((A287-cfgDefasagem/1440)*48,0))</f>
        <v>0</v>
      </c>
      <c r="E287" s="26">
        <f>IF(D287="","",INT((D287-cfgDeslocamento)/4))</f>
        <v>0</v>
      </c>
      <c r="F287" s="26">
        <f>IF(D287="","",MOD(D287-cfgDeslocamento,4)+1)</f>
        <v>0</v>
      </c>
      <c r="G287" s="26">
        <f>IF(A287="","",IF(AND(ISNUMBER(B287),B287&lt;&gt;0),1,0))</f>
        <v>0</v>
      </c>
      <c r="H287" s="25">
        <f>IF(E287="","",(E287*4+3+cfgDeslocamento)/48)</f>
        <v>0</v>
      </c>
    </row>
    <row r="288" spans="1:8">
      <c r="A288" s="24"/>
      <c r="B288" s="19"/>
      <c r="C288" s="25">
        <f>IF(D288="","",D288/48)</f>
        <v>0</v>
      </c>
      <c r="D288" s="26">
        <f>IF(A288="","",ROUND((A288-cfgDefasagem/1440)*48,0))</f>
        <v>0</v>
      </c>
      <c r="E288" s="26">
        <f>IF(D288="","",INT((D288-cfgDeslocamento)/4))</f>
        <v>0</v>
      </c>
      <c r="F288" s="26">
        <f>IF(D288="","",MOD(D288-cfgDeslocamento,4)+1)</f>
        <v>0</v>
      </c>
      <c r="G288" s="26">
        <f>IF(A288="","",IF(AND(ISNUMBER(B288),B288&lt;&gt;0),1,0))</f>
        <v>0</v>
      </c>
      <c r="H288" s="25">
        <f>IF(E288="","",(E288*4+3+cfgDeslocamento)/48)</f>
        <v>0</v>
      </c>
    </row>
    <row r="289" spans="1:8">
      <c r="A289" s="24"/>
      <c r="B289" s="19"/>
      <c r="C289" s="25">
        <f>IF(D289="","",D289/48)</f>
        <v>0</v>
      </c>
      <c r="D289" s="26">
        <f>IF(A289="","",ROUND((A289-cfgDefasagem/1440)*48,0))</f>
        <v>0</v>
      </c>
      <c r="E289" s="26">
        <f>IF(D289="","",INT((D289-cfgDeslocamento)/4))</f>
        <v>0</v>
      </c>
      <c r="F289" s="26">
        <f>IF(D289="","",MOD(D289-cfgDeslocamento,4)+1)</f>
        <v>0</v>
      </c>
      <c r="G289" s="26">
        <f>IF(A289="","",IF(AND(ISNUMBER(B289),B289&lt;&gt;0),1,0))</f>
        <v>0</v>
      </c>
      <c r="H289" s="25">
        <f>IF(E289="","",(E289*4+3+cfgDeslocamento)/48)</f>
        <v>0</v>
      </c>
    </row>
    <row r="290" spans="1:8">
      <c r="A290" s="24"/>
      <c r="B290" s="19"/>
      <c r="C290" s="25">
        <f>IF(D290="","",D290/48)</f>
        <v>0</v>
      </c>
      <c r="D290" s="26">
        <f>IF(A290="","",ROUND((A290-cfgDefasagem/1440)*48,0))</f>
        <v>0</v>
      </c>
      <c r="E290" s="26">
        <f>IF(D290="","",INT((D290-cfgDeslocamento)/4))</f>
        <v>0</v>
      </c>
      <c r="F290" s="26">
        <f>IF(D290="","",MOD(D290-cfgDeslocamento,4)+1)</f>
        <v>0</v>
      </c>
      <c r="G290" s="26">
        <f>IF(A290="","",IF(AND(ISNUMBER(B290),B290&lt;&gt;0),1,0))</f>
        <v>0</v>
      </c>
      <c r="H290" s="25">
        <f>IF(E290="","",(E290*4+3+cfgDeslocamento)/48)</f>
        <v>0</v>
      </c>
    </row>
    <row r="291" spans="1:8">
      <c r="A291" s="24"/>
      <c r="B291" s="19"/>
      <c r="C291" s="25">
        <f>IF(D291="","",D291/48)</f>
        <v>0</v>
      </c>
      <c r="D291" s="26">
        <f>IF(A291="","",ROUND((A291-cfgDefasagem/1440)*48,0))</f>
        <v>0</v>
      </c>
      <c r="E291" s="26">
        <f>IF(D291="","",INT((D291-cfgDeslocamento)/4))</f>
        <v>0</v>
      </c>
      <c r="F291" s="26">
        <f>IF(D291="","",MOD(D291-cfgDeslocamento,4)+1)</f>
        <v>0</v>
      </c>
      <c r="G291" s="26">
        <f>IF(A291="","",IF(AND(ISNUMBER(B291),B291&lt;&gt;0),1,0))</f>
        <v>0</v>
      </c>
      <c r="H291" s="25">
        <f>IF(E291="","",(E291*4+3+cfgDeslocamento)/48)</f>
        <v>0</v>
      </c>
    </row>
    <row r="292" spans="1:8">
      <c r="A292" s="24"/>
      <c r="B292" s="19"/>
      <c r="C292" s="25">
        <f>IF(D292="","",D292/48)</f>
        <v>0</v>
      </c>
      <c r="D292" s="26">
        <f>IF(A292="","",ROUND((A292-cfgDefasagem/1440)*48,0))</f>
        <v>0</v>
      </c>
      <c r="E292" s="26">
        <f>IF(D292="","",INT((D292-cfgDeslocamento)/4))</f>
        <v>0</v>
      </c>
      <c r="F292" s="26">
        <f>IF(D292="","",MOD(D292-cfgDeslocamento,4)+1)</f>
        <v>0</v>
      </c>
      <c r="G292" s="26">
        <f>IF(A292="","",IF(AND(ISNUMBER(B292),B292&lt;&gt;0),1,0))</f>
        <v>0</v>
      </c>
      <c r="H292" s="25">
        <f>IF(E292="","",(E292*4+3+cfgDeslocamento)/48)</f>
        <v>0</v>
      </c>
    </row>
    <row r="293" spans="1:8">
      <c r="A293" s="24"/>
      <c r="B293" s="19"/>
      <c r="C293" s="25">
        <f>IF(D293="","",D293/48)</f>
        <v>0</v>
      </c>
      <c r="D293" s="26">
        <f>IF(A293="","",ROUND((A293-cfgDefasagem/1440)*48,0))</f>
        <v>0</v>
      </c>
      <c r="E293" s="26">
        <f>IF(D293="","",INT((D293-cfgDeslocamento)/4))</f>
        <v>0</v>
      </c>
      <c r="F293" s="26">
        <f>IF(D293="","",MOD(D293-cfgDeslocamento,4)+1)</f>
        <v>0</v>
      </c>
      <c r="G293" s="26">
        <f>IF(A293="","",IF(AND(ISNUMBER(B293),B293&lt;&gt;0),1,0))</f>
        <v>0</v>
      </c>
      <c r="H293" s="25">
        <f>IF(E293="","",(E293*4+3+cfgDeslocamento)/48)</f>
        <v>0</v>
      </c>
    </row>
    <row r="294" spans="1:8">
      <c r="A294" s="24"/>
      <c r="B294" s="19"/>
      <c r="C294" s="25">
        <f>IF(D294="","",D294/48)</f>
        <v>0</v>
      </c>
      <c r="D294" s="26">
        <f>IF(A294="","",ROUND((A294-cfgDefasagem/1440)*48,0))</f>
        <v>0</v>
      </c>
      <c r="E294" s="26">
        <f>IF(D294="","",INT((D294-cfgDeslocamento)/4))</f>
        <v>0</v>
      </c>
      <c r="F294" s="26">
        <f>IF(D294="","",MOD(D294-cfgDeslocamento,4)+1)</f>
        <v>0</v>
      </c>
      <c r="G294" s="26">
        <f>IF(A294="","",IF(AND(ISNUMBER(B294),B294&lt;&gt;0),1,0))</f>
        <v>0</v>
      </c>
      <c r="H294" s="25">
        <f>IF(E294="","",(E294*4+3+cfgDeslocamento)/48)</f>
        <v>0</v>
      </c>
    </row>
    <row r="295" spans="1:8">
      <c r="A295" s="24"/>
      <c r="B295" s="19"/>
      <c r="C295" s="25">
        <f>IF(D295="","",D295/48)</f>
        <v>0</v>
      </c>
      <c r="D295" s="26">
        <f>IF(A295="","",ROUND((A295-cfgDefasagem/1440)*48,0))</f>
        <v>0</v>
      </c>
      <c r="E295" s="26">
        <f>IF(D295="","",INT((D295-cfgDeslocamento)/4))</f>
        <v>0</v>
      </c>
      <c r="F295" s="26">
        <f>IF(D295="","",MOD(D295-cfgDeslocamento,4)+1)</f>
        <v>0</v>
      </c>
      <c r="G295" s="26">
        <f>IF(A295="","",IF(AND(ISNUMBER(B295),B295&lt;&gt;0),1,0))</f>
        <v>0</v>
      </c>
      <c r="H295" s="25">
        <f>IF(E295="","",(E295*4+3+cfgDeslocamento)/48)</f>
        <v>0</v>
      </c>
    </row>
    <row r="296" spans="1:8">
      <c r="A296" s="24"/>
      <c r="B296" s="19"/>
      <c r="C296" s="25">
        <f>IF(D296="","",D296/48)</f>
        <v>0</v>
      </c>
      <c r="D296" s="26">
        <f>IF(A296="","",ROUND((A296-cfgDefasagem/1440)*48,0))</f>
        <v>0</v>
      </c>
      <c r="E296" s="26">
        <f>IF(D296="","",INT((D296-cfgDeslocamento)/4))</f>
        <v>0</v>
      </c>
      <c r="F296" s="26">
        <f>IF(D296="","",MOD(D296-cfgDeslocamento,4)+1)</f>
        <v>0</v>
      </c>
      <c r="G296" s="26">
        <f>IF(A296="","",IF(AND(ISNUMBER(B296),B296&lt;&gt;0),1,0))</f>
        <v>0</v>
      </c>
      <c r="H296" s="25">
        <f>IF(E296="","",(E296*4+3+cfgDeslocamento)/48)</f>
        <v>0</v>
      </c>
    </row>
    <row r="297" spans="1:8">
      <c r="A297" s="24"/>
      <c r="B297" s="19"/>
      <c r="C297" s="25">
        <f>IF(D297="","",D297/48)</f>
        <v>0</v>
      </c>
      <c r="D297" s="26">
        <f>IF(A297="","",ROUND((A297-cfgDefasagem/1440)*48,0))</f>
        <v>0</v>
      </c>
      <c r="E297" s="26">
        <f>IF(D297="","",INT((D297-cfgDeslocamento)/4))</f>
        <v>0</v>
      </c>
      <c r="F297" s="26">
        <f>IF(D297="","",MOD(D297-cfgDeslocamento,4)+1)</f>
        <v>0</v>
      </c>
      <c r="G297" s="26">
        <f>IF(A297="","",IF(AND(ISNUMBER(B297),B297&lt;&gt;0),1,0))</f>
        <v>0</v>
      </c>
      <c r="H297" s="25">
        <f>IF(E297="","",(E297*4+3+cfgDeslocamento)/48)</f>
        <v>0</v>
      </c>
    </row>
    <row r="298" spans="1:8">
      <c r="A298" s="24"/>
      <c r="B298" s="19"/>
      <c r="C298" s="25">
        <f>IF(D298="","",D298/48)</f>
        <v>0</v>
      </c>
      <c r="D298" s="26">
        <f>IF(A298="","",ROUND((A298-cfgDefasagem/1440)*48,0))</f>
        <v>0</v>
      </c>
      <c r="E298" s="26">
        <f>IF(D298="","",INT((D298-cfgDeslocamento)/4))</f>
        <v>0</v>
      </c>
      <c r="F298" s="26">
        <f>IF(D298="","",MOD(D298-cfgDeslocamento,4)+1)</f>
        <v>0</v>
      </c>
      <c r="G298" s="26">
        <f>IF(A298="","",IF(AND(ISNUMBER(B298),B298&lt;&gt;0),1,0))</f>
        <v>0</v>
      </c>
      <c r="H298" s="25">
        <f>IF(E298="","",(E298*4+3+cfgDeslocamento)/48)</f>
        <v>0</v>
      </c>
    </row>
    <row r="299" spans="1:8">
      <c r="A299" s="24"/>
      <c r="B299" s="19"/>
      <c r="C299" s="25">
        <f>IF(D299="","",D299/48)</f>
        <v>0</v>
      </c>
      <c r="D299" s="26">
        <f>IF(A299="","",ROUND((A299-cfgDefasagem/1440)*48,0))</f>
        <v>0</v>
      </c>
      <c r="E299" s="26">
        <f>IF(D299="","",INT((D299-cfgDeslocamento)/4))</f>
        <v>0</v>
      </c>
      <c r="F299" s="26">
        <f>IF(D299="","",MOD(D299-cfgDeslocamento,4)+1)</f>
        <v>0</v>
      </c>
      <c r="G299" s="26">
        <f>IF(A299="","",IF(AND(ISNUMBER(B299),B299&lt;&gt;0),1,0))</f>
        <v>0</v>
      </c>
      <c r="H299" s="25">
        <f>IF(E299="","",(E299*4+3+cfgDeslocamento)/48)</f>
        <v>0</v>
      </c>
    </row>
    <row r="300" spans="1:8">
      <c r="A300" s="24"/>
      <c r="B300" s="19"/>
      <c r="C300" s="25">
        <f>IF(D300="","",D300/48)</f>
        <v>0</v>
      </c>
      <c r="D300" s="26">
        <f>IF(A300="","",ROUND((A300-cfgDefasagem/1440)*48,0))</f>
        <v>0</v>
      </c>
      <c r="E300" s="26">
        <f>IF(D300="","",INT((D300-cfgDeslocamento)/4))</f>
        <v>0</v>
      </c>
      <c r="F300" s="26">
        <f>IF(D300="","",MOD(D300-cfgDeslocamento,4)+1)</f>
        <v>0</v>
      </c>
      <c r="G300" s="26">
        <f>IF(A300="","",IF(AND(ISNUMBER(B300),B300&lt;&gt;0),1,0))</f>
        <v>0</v>
      </c>
      <c r="H300" s="25">
        <f>IF(E300="","",(E300*4+3+cfgDeslocamento)/48)</f>
        <v>0</v>
      </c>
    </row>
    <row r="301" spans="1:8">
      <c r="A301" s="24"/>
      <c r="B301" s="19"/>
      <c r="C301" s="25">
        <f>IF(D301="","",D301/48)</f>
        <v>0</v>
      </c>
      <c r="D301" s="26">
        <f>IF(A301="","",ROUND((A301-cfgDefasagem/1440)*48,0))</f>
        <v>0</v>
      </c>
      <c r="E301" s="26">
        <f>IF(D301="","",INT((D301-cfgDeslocamento)/4))</f>
        <v>0</v>
      </c>
      <c r="F301" s="26">
        <f>IF(D301="","",MOD(D301-cfgDeslocamento,4)+1)</f>
        <v>0</v>
      </c>
      <c r="G301" s="26">
        <f>IF(A301="","",IF(AND(ISNUMBER(B301),B301&lt;&gt;0),1,0))</f>
        <v>0</v>
      </c>
      <c r="H301" s="25">
        <f>IF(E301="","",(E301*4+3+cfgDeslocamento)/48)</f>
        <v>0</v>
      </c>
    </row>
    <row r="302" spans="1:8">
      <c r="A302" s="24"/>
      <c r="B302" s="19"/>
      <c r="C302" s="25">
        <f>IF(D302="","",D302/48)</f>
        <v>0</v>
      </c>
      <c r="D302" s="26">
        <f>IF(A302="","",ROUND((A302-cfgDefasagem/1440)*48,0))</f>
        <v>0</v>
      </c>
      <c r="E302" s="26">
        <f>IF(D302="","",INT((D302-cfgDeslocamento)/4))</f>
        <v>0</v>
      </c>
      <c r="F302" s="26">
        <f>IF(D302="","",MOD(D302-cfgDeslocamento,4)+1)</f>
        <v>0</v>
      </c>
      <c r="G302" s="26">
        <f>IF(A302="","",IF(AND(ISNUMBER(B302),B302&lt;&gt;0),1,0))</f>
        <v>0</v>
      </c>
      <c r="H302" s="25">
        <f>IF(E302="","",(E302*4+3+cfgDeslocamento)/48)</f>
        <v>0</v>
      </c>
    </row>
    <row r="303" spans="1:8">
      <c r="A303" s="24"/>
      <c r="B303" s="19"/>
      <c r="C303" s="25">
        <f>IF(D303="","",D303/48)</f>
        <v>0</v>
      </c>
      <c r="D303" s="26">
        <f>IF(A303="","",ROUND((A303-cfgDefasagem/1440)*48,0))</f>
        <v>0</v>
      </c>
      <c r="E303" s="26">
        <f>IF(D303="","",INT((D303-cfgDeslocamento)/4))</f>
        <v>0</v>
      </c>
      <c r="F303" s="26">
        <f>IF(D303="","",MOD(D303-cfgDeslocamento,4)+1)</f>
        <v>0</v>
      </c>
      <c r="G303" s="26">
        <f>IF(A303="","",IF(AND(ISNUMBER(B303),B303&lt;&gt;0),1,0))</f>
        <v>0</v>
      </c>
      <c r="H303" s="25">
        <f>IF(E303="","",(E303*4+3+cfgDeslocamento)/48)</f>
        <v>0</v>
      </c>
    </row>
    <row r="304" spans="1:8">
      <c r="A304" s="24"/>
      <c r="B304" s="19"/>
      <c r="C304" s="25">
        <f>IF(D304="","",D304/48)</f>
        <v>0</v>
      </c>
      <c r="D304" s="26">
        <f>IF(A304="","",ROUND((A304-cfgDefasagem/1440)*48,0))</f>
        <v>0</v>
      </c>
      <c r="E304" s="26">
        <f>IF(D304="","",INT((D304-cfgDeslocamento)/4))</f>
        <v>0</v>
      </c>
      <c r="F304" s="26">
        <f>IF(D304="","",MOD(D304-cfgDeslocamento,4)+1)</f>
        <v>0</v>
      </c>
      <c r="G304" s="26">
        <f>IF(A304="","",IF(AND(ISNUMBER(B304),B304&lt;&gt;0),1,0))</f>
        <v>0</v>
      </c>
      <c r="H304" s="25">
        <f>IF(E304="","",(E304*4+3+cfgDeslocamento)/48)</f>
        <v>0</v>
      </c>
    </row>
    <row r="305" spans="1:8">
      <c r="A305" s="24"/>
      <c r="B305" s="19"/>
      <c r="C305" s="25">
        <f>IF(D305="","",D305/48)</f>
        <v>0</v>
      </c>
      <c r="D305" s="26">
        <f>IF(A305="","",ROUND((A305-cfgDefasagem/1440)*48,0))</f>
        <v>0</v>
      </c>
      <c r="E305" s="26">
        <f>IF(D305="","",INT((D305-cfgDeslocamento)/4))</f>
        <v>0</v>
      </c>
      <c r="F305" s="26">
        <f>IF(D305="","",MOD(D305-cfgDeslocamento,4)+1)</f>
        <v>0</v>
      </c>
      <c r="G305" s="26">
        <f>IF(A305="","",IF(AND(ISNUMBER(B305),B305&lt;&gt;0),1,0))</f>
        <v>0</v>
      </c>
      <c r="H305" s="25">
        <f>IF(E305="","",(E305*4+3+cfgDeslocamento)/48)</f>
        <v>0</v>
      </c>
    </row>
    <row r="306" spans="1:8">
      <c r="A306" s="24"/>
      <c r="B306" s="19"/>
      <c r="C306" s="25">
        <f>IF(D306="","",D306/48)</f>
        <v>0</v>
      </c>
      <c r="D306" s="26">
        <f>IF(A306="","",ROUND((A306-cfgDefasagem/1440)*48,0))</f>
        <v>0</v>
      </c>
      <c r="E306" s="26">
        <f>IF(D306="","",INT((D306-cfgDeslocamento)/4))</f>
        <v>0</v>
      </c>
      <c r="F306" s="26">
        <f>IF(D306="","",MOD(D306-cfgDeslocamento,4)+1)</f>
        <v>0</v>
      </c>
      <c r="G306" s="26">
        <f>IF(A306="","",IF(AND(ISNUMBER(B306),B306&lt;&gt;0),1,0))</f>
        <v>0</v>
      </c>
      <c r="H306" s="25">
        <f>IF(E306="","",(E306*4+3+cfgDeslocamento)/48)</f>
        <v>0</v>
      </c>
    </row>
    <row r="307" spans="1:8">
      <c r="A307" s="24"/>
      <c r="B307" s="19"/>
      <c r="C307" s="25">
        <f>IF(D307="","",D307/48)</f>
        <v>0</v>
      </c>
      <c r="D307" s="26">
        <f>IF(A307="","",ROUND((A307-cfgDefasagem/1440)*48,0))</f>
        <v>0</v>
      </c>
      <c r="E307" s="26">
        <f>IF(D307="","",INT((D307-cfgDeslocamento)/4))</f>
        <v>0</v>
      </c>
      <c r="F307" s="26">
        <f>IF(D307="","",MOD(D307-cfgDeslocamento,4)+1)</f>
        <v>0</v>
      </c>
      <c r="G307" s="26">
        <f>IF(A307="","",IF(AND(ISNUMBER(B307),B307&lt;&gt;0),1,0))</f>
        <v>0</v>
      </c>
      <c r="H307" s="25">
        <f>IF(E307="","",(E307*4+3+cfgDeslocamento)/48)</f>
        <v>0</v>
      </c>
    </row>
    <row r="308" spans="1:8">
      <c r="A308" s="24"/>
      <c r="B308" s="19"/>
      <c r="C308" s="25">
        <f>IF(D308="","",D308/48)</f>
        <v>0</v>
      </c>
      <c r="D308" s="26">
        <f>IF(A308="","",ROUND((A308-cfgDefasagem/1440)*48,0))</f>
        <v>0</v>
      </c>
      <c r="E308" s="26">
        <f>IF(D308="","",INT((D308-cfgDeslocamento)/4))</f>
        <v>0</v>
      </c>
      <c r="F308" s="26">
        <f>IF(D308="","",MOD(D308-cfgDeslocamento,4)+1)</f>
        <v>0</v>
      </c>
      <c r="G308" s="26">
        <f>IF(A308="","",IF(AND(ISNUMBER(B308),B308&lt;&gt;0),1,0))</f>
        <v>0</v>
      </c>
      <c r="H308" s="25">
        <f>IF(E308="","",(E308*4+3+cfgDeslocamento)/48)</f>
        <v>0</v>
      </c>
    </row>
    <row r="309" spans="1:8">
      <c r="A309" s="24"/>
      <c r="B309" s="19"/>
      <c r="C309" s="25">
        <f>IF(D309="","",D309/48)</f>
        <v>0</v>
      </c>
      <c r="D309" s="26">
        <f>IF(A309="","",ROUND((A309-cfgDefasagem/1440)*48,0))</f>
        <v>0</v>
      </c>
      <c r="E309" s="26">
        <f>IF(D309="","",INT((D309-cfgDeslocamento)/4))</f>
        <v>0</v>
      </c>
      <c r="F309" s="26">
        <f>IF(D309="","",MOD(D309-cfgDeslocamento,4)+1)</f>
        <v>0</v>
      </c>
      <c r="G309" s="26">
        <f>IF(A309="","",IF(AND(ISNUMBER(B309),B309&lt;&gt;0),1,0))</f>
        <v>0</v>
      </c>
      <c r="H309" s="25">
        <f>IF(E309="","",(E309*4+3+cfgDeslocamento)/48)</f>
        <v>0</v>
      </c>
    </row>
    <row r="310" spans="1:8">
      <c r="A310" s="24"/>
      <c r="B310" s="19"/>
      <c r="C310" s="25">
        <f>IF(D310="","",D310/48)</f>
        <v>0</v>
      </c>
      <c r="D310" s="26">
        <f>IF(A310="","",ROUND((A310-cfgDefasagem/1440)*48,0))</f>
        <v>0</v>
      </c>
      <c r="E310" s="26">
        <f>IF(D310="","",INT((D310-cfgDeslocamento)/4))</f>
        <v>0</v>
      </c>
      <c r="F310" s="26">
        <f>IF(D310="","",MOD(D310-cfgDeslocamento,4)+1)</f>
        <v>0</v>
      </c>
      <c r="G310" s="26">
        <f>IF(A310="","",IF(AND(ISNUMBER(B310),B310&lt;&gt;0),1,0))</f>
        <v>0</v>
      </c>
      <c r="H310" s="25">
        <f>IF(E310="","",(E310*4+3+cfgDeslocamento)/48)</f>
        <v>0</v>
      </c>
    </row>
    <row r="311" spans="1:8">
      <c r="A311" s="24"/>
      <c r="B311" s="19"/>
      <c r="C311" s="25">
        <f>IF(D311="","",D311/48)</f>
        <v>0</v>
      </c>
      <c r="D311" s="26">
        <f>IF(A311="","",ROUND((A311-cfgDefasagem/1440)*48,0))</f>
        <v>0</v>
      </c>
      <c r="E311" s="26">
        <f>IF(D311="","",INT((D311-cfgDeslocamento)/4))</f>
        <v>0</v>
      </c>
      <c r="F311" s="26">
        <f>IF(D311="","",MOD(D311-cfgDeslocamento,4)+1)</f>
        <v>0</v>
      </c>
      <c r="G311" s="26">
        <f>IF(A311="","",IF(AND(ISNUMBER(B311),B311&lt;&gt;0),1,0))</f>
        <v>0</v>
      </c>
      <c r="H311" s="25">
        <f>IF(E311="","",(E311*4+3+cfgDeslocamento)/48)</f>
        <v>0</v>
      </c>
    </row>
    <row r="312" spans="1:8">
      <c r="A312" s="24"/>
      <c r="B312" s="19"/>
      <c r="C312" s="25">
        <f>IF(D312="","",D312/48)</f>
        <v>0</v>
      </c>
      <c r="D312" s="26">
        <f>IF(A312="","",ROUND((A312-cfgDefasagem/1440)*48,0))</f>
        <v>0</v>
      </c>
      <c r="E312" s="26">
        <f>IF(D312="","",INT((D312-cfgDeslocamento)/4))</f>
        <v>0</v>
      </c>
      <c r="F312" s="26">
        <f>IF(D312="","",MOD(D312-cfgDeslocamento,4)+1)</f>
        <v>0</v>
      </c>
      <c r="G312" s="26">
        <f>IF(A312="","",IF(AND(ISNUMBER(B312),B312&lt;&gt;0),1,0))</f>
        <v>0</v>
      </c>
      <c r="H312" s="25">
        <f>IF(E312="","",(E312*4+3+cfgDeslocamento)/48)</f>
        <v>0</v>
      </c>
    </row>
    <row r="313" spans="1:8">
      <c r="A313" s="24"/>
      <c r="B313" s="19"/>
      <c r="C313" s="25">
        <f>IF(D313="","",D313/48)</f>
        <v>0</v>
      </c>
      <c r="D313" s="26">
        <f>IF(A313="","",ROUND((A313-cfgDefasagem/1440)*48,0))</f>
        <v>0</v>
      </c>
      <c r="E313" s="26">
        <f>IF(D313="","",INT((D313-cfgDeslocamento)/4))</f>
        <v>0</v>
      </c>
      <c r="F313" s="26">
        <f>IF(D313="","",MOD(D313-cfgDeslocamento,4)+1)</f>
        <v>0</v>
      </c>
      <c r="G313" s="26">
        <f>IF(A313="","",IF(AND(ISNUMBER(B313),B313&lt;&gt;0),1,0))</f>
        <v>0</v>
      </c>
      <c r="H313" s="25">
        <f>IF(E313="","",(E313*4+3+cfgDeslocamento)/48)</f>
        <v>0</v>
      </c>
    </row>
    <row r="314" spans="1:8">
      <c r="A314" s="24"/>
      <c r="B314" s="19"/>
      <c r="C314" s="25">
        <f>IF(D314="","",D314/48)</f>
        <v>0</v>
      </c>
      <c r="D314" s="26">
        <f>IF(A314="","",ROUND((A314-cfgDefasagem/1440)*48,0))</f>
        <v>0</v>
      </c>
      <c r="E314" s="26">
        <f>IF(D314="","",INT((D314-cfgDeslocamento)/4))</f>
        <v>0</v>
      </c>
      <c r="F314" s="26">
        <f>IF(D314="","",MOD(D314-cfgDeslocamento,4)+1)</f>
        <v>0</v>
      </c>
      <c r="G314" s="26">
        <f>IF(A314="","",IF(AND(ISNUMBER(B314),B314&lt;&gt;0),1,0))</f>
        <v>0</v>
      </c>
      <c r="H314" s="25">
        <f>IF(E314="","",(E314*4+3+cfgDeslocamento)/48)</f>
        <v>0</v>
      </c>
    </row>
    <row r="315" spans="1:8">
      <c r="A315" s="24"/>
      <c r="B315" s="19"/>
      <c r="C315" s="25">
        <f>IF(D315="","",D315/48)</f>
        <v>0</v>
      </c>
      <c r="D315" s="26">
        <f>IF(A315="","",ROUND((A315-cfgDefasagem/1440)*48,0))</f>
        <v>0</v>
      </c>
      <c r="E315" s="26">
        <f>IF(D315="","",INT((D315-cfgDeslocamento)/4))</f>
        <v>0</v>
      </c>
      <c r="F315" s="26">
        <f>IF(D315="","",MOD(D315-cfgDeslocamento,4)+1)</f>
        <v>0</v>
      </c>
      <c r="G315" s="26">
        <f>IF(A315="","",IF(AND(ISNUMBER(B315),B315&lt;&gt;0),1,0))</f>
        <v>0</v>
      </c>
      <c r="H315" s="25">
        <f>IF(E315="","",(E315*4+3+cfgDeslocamento)/48)</f>
        <v>0</v>
      </c>
    </row>
    <row r="316" spans="1:8">
      <c r="A316" s="24"/>
      <c r="B316" s="19"/>
      <c r="C316" s="25">
        <f>IF(D316="","",D316/48)</f>
        <v>0</v>
      </c>
      <c r="D316" s="26">
        <f>IF(A316="","",ROUND((A316-cfgDefasagem/1440)*48,0))</f>
        <v>0</v>
      </c>
      <c r="E316" s="26">
        <f>IF(D316="","",INT((D316-cfgDeslocamento)/4))</f>
        <v>0</v>
      </c>
      <c r="F316" s="26">
        <f>IF(D316="","",MOD(D316-cfgDeslocamento,4)+1)</f>
        <v>0</v>
      </c>
      <c r="G316" s="26">
        <f>IF(A316="","",IF(AND(ISNUMBER(B316),B316&lt;&gt;0),1,0))</f>
        <v>0</v>
      </c>
      <c r="H316" s="25">
        <f>IF(E316="","",(E316*4+3+cfgDeslocamento)/48)</f>
        <v>0</v>
      </c>
    </row>
    <row r="317" spans="1:8">
      <c r="A317" s="24"/>
      <c r="B317" s="19"/>
      <c r="C317" s="25">
        <f>IF(D317="","",D317/48)</f>
        <v>0</v>
      </c>
      <c r="D317" s="26">
        <f>IF(A317="","",ROUND((A317-cfgDefasagem/1440)*48,0))</f>
        <v>0</v>
      </c>
      <c r="E317" s="26">
        <f>IF(D317="","",INT((D317-cfgDeslocamento)/4))</f>
        <v>0</v>
      </c>
      <c r="F317" s="26">
        <f>IF(D317="","",MOD(D317-cfgDeslocamento,4)+1)</f>
        <v>0</v>
      </c>
      <c r="G317" s="26">
        <f>IF(A317="","",IF(AND(ISNUMBER(B317),B317&lt;&gt;0),1,0))</f>
        <v>0</v>
      </c>
      <c r="H317" s="25">
        <f>IF(E317="","",(E317*4+3+cfgDeslocamento)/48)</f>
        <v>0</v>
      </c>
    </row>
    <row r="318" spans="1:8">
      <c r="A318" s="24"/>
      <c r="B318" s="19"/>
      <c r="C318" s="25">
        <f>IF(D318="","",D318/48)</f>
        <v>0</v>
      </c>
      <c r="D318" s="26">
        <f>IF(A318="","",ROUND((A318-cfgDefasagem/1440)*48,0))</f>
        <v>0</v>
      </c>
      <c r="E318" s="26">
        <f>IF(D318="","",INT((D318-cfgDeslocamento)/4))</f>
        <v>0</v>
      </c>
      <c r="F318" s="26">
        <f>IF(D318="","",MOD(D318-cfgDeslocamento,4)+1)</f>
        <v>0</v>
      </c>
      <c r="G318" s="26">
        <f>IF(A318="","",IF(AND(ISNUMBER(B318),B318&lt;&gt;0),1,0))</f>
        <v>0</v>
      </c>
      <c r="H318" s="25">
        <f>IF(E318="","",(E318*4+3+cfgDeslocamento)/48)</f>
        <v>0</v>
      </c>
    </row>
    <row r="319" spans="1:8">
      <c r="A319" s="24"/>
      <c r="B319" s="19"/>
      <c r="C319" s="25">
        <f>IF(D319="","",D319/48)</f>
        <v>0</v>
      </c>
      <c r="D319" s="26">
        <f>IF(A319="","",ROUND((A319-cfgDefasagem/1440)*48,0))</f>
        <v>0</v>
      </c>
      <c r="E319" s="26">
        <f>IF(D319="","",INT((D319-cfgDeslocamento)/4))</f>
        <v>0</v>
      </c>
      <c r="F319" s="26">
        <f>IF(D319="","",MOD(D319-cfgDeslocamento,4)+1)</f>
        <v>0</v>
      </c>
      <c r="G319" s="26">
        <f>IF(A319="","",IF(AND(ISNUMBER(B319),B319&lt;&gt;0),1,0))</f>
        <v>0</v>
      </c>
      <c r="H319" s="25">
        <f>IF(E319="","",(E319*4+3+cfgDeslocamento)/48)</f>
        <v>0</v>
      </c>
    </row>
    <row r="320" spans="1:8">
      <c r="A320" s="24"/>
      <c r="B320" s="19"/>
      <c r="C320" s="25">
        <f>IF(D320="","",D320/48)</f>
        <v>0</v>
      </c>
      <c r="D320" s="26">
        <f>IF(A320="","",ROUND((A320-cfgDefasagem/1440)*48,0))</f>
        <v>0</v>
      </c>
      <c r="E320" s="26">
        <f>IF(D320="","",INT((D320-cfgDeslocamento)/4))</f>
        <v>0</v>
      </c>
      <c r="F320" s="26">
        <f>IF(D320="","",MOD(D320-cfgDeslocamento,4)+1)</f>
        <v>0</v>
      </c>
      <c r="G320" s="26">
        <f>IF(A320="","",IF(AND(ISNUMBER(B320),B320&lt;&gt;0),1,0))</f>
        <v>0</v>
      </c>
      <c r="H320" s="25">
        <f>IF(E320="","",(E320*4+3+cfgDeslocamento)/48)</f>
        <v>0</v>
      </c>
    </row>
    <row r="321" spans="1:8">
      <c r="A321" s="24"/>
      <c r="B321" s="19"/>
      <c r="C321" s="25">
        <f>IF(D321="","",D321/48)</f>
        <v>0</v>
      </c>
      <c r="D321" s="26">
        <f>IF(A321="","",ROUND((A321-cfgDefasagem/1440)*48,0))</f>
        <v>0</v>
      </c>
      <c r="E321" s="26">
        <f>IF(D321="","",INT((D321-cfgDeslocamento)/4))</f>
        <v>0</v>
      </c>
      <c r="F321" s="26">
        <f>IF(D321="","",MOD(D321-cfgDeslocamento,4)+1)</f>
        <v>0</v>
      </c>
      <c r="G321" s="26">
        <f>IF(A321="","",IF(AND(ISNUMBER(B321),B321&lt;&gt;0),1,0))</f>
        <v>0</v>
      </c>
      <c r="H321" s="25">
        <f>IF(E321="","",(E321*4+3+cfgDeslocamento)/48)</f>
        <v>0</v>
      </c>
    </row>
    <row r="322" spans="1:8">
      <c r="A322" s="24"/>
      <c r="B322" s="19"/>
      <c r="C322" s="25">
        <f>IF(D322="","",D322/48)</f>
        <v>0</v>
      </c>
      <c r="D322" s="26">
        <f>IF(A322="","",ROUND((A322-cfgDefasagem/1440)*48,0))</f>
        <v>0</v>
      </c>
      <c r="E322" s="26">
        <f>IF(D322="","",INT((D322-cfgDeslocamento)/4))</f>
        <v>0</v>
      </c>
      <c r="F322" s="26">
        <f>IF(D322="","",MOD(D322-cfgDeslocamento,4)+1)</f>
        <v>0</v>
      </c>
      <c r="G322" s="26">
        <f>IF(A322="","",IF(AND(ISNUMBER(B322),B322&lt;&gt;0),1,0))</f>
        <v>0</v>
      </c>
      <c r="H322" s="25">
        <f>IF(E322="","",(E322*4+3+cfgDeslocamento)/48)</f>
        <v>0</v>
      </c>
    </row>
    <row r="323" spans="1:8">
      <c r="A323" s="24"/>
      <c r="B323" s="19"/>
      <c r="C323" s="25">
        <f>IF(D323="","",D323/48)</f>
        <v>0</v>
      </c>
      <c r="D323" s="26">
        <f>IF(A323="","",ROUND((A323-cfgDefasagem/1440)*48,0))</f>
        <v>0</v>
      </c>
      <c r="E323" s="26">
        <f>IF(D323="","",INT((D323-cfgDeslocamento)/4))</f>
        <v>0</v>
      </c>
      <c r="F323" s="26">
        <f>IF(D323="","",MOD(D323-cfgDeslocamento,4)+1)</f>
        <v>0</v>
      </c>
      <c r="G323" s="26">
        <f>IF(A323="","",IF(AND(ISNUMBER(B323),B323&lt;&gt;0),1,0))</f>
        <v>0</v>
      </c>
      <c r="H323" s="25">
        <f>IF(E323="","",(E323*4+3+cfgDeslocamento)/48)</f>
        <v>0</v>
      </c>
    </row>
    <row r="324" spans="1:8">
      <c r="A324" s="24"/>
      <c r="B324" s="19"/>
      <c r="C324" s="25">
        <f>IF(D324="","",D324/48)</f>
        <v>0</v>
      </c>
      <c r="D324" s="26">
        <f>IF(A324="","",ROUND((A324-cfgDefasagem/1440)*48,0))</f>
        <v>0</v>
      </c>
      <c r="E324" s="26">
        <f>IF(D324="","",INT((D324-cfgDeslocamento)/4))</f>
        <v>0</v>
      </c>
      <c r="F324" s="26">
        <f>IF(D324="","",MOD(D324-cfgDeslocamento,4)+1)</f>
        <v>0</v>
      </c>
      <c r="G324" s="26">
        <f>IF(A324="","",IF(AND(ISNUMBER(B324),B324&lt;&gt;0),1,0))</f>
        <v>0</v>
      </c>
      <c r="H324" s="25">
        <f>IF(E324="","",(E324*4+3+cfgDeslocamento)/48)</f>
        <v>0</v>
      </c>
    </row>
    <row r="325" spans="1:8">
      <c r="A325" s="24"/>
      <c r="B325" s="19"/>
      <c r="C325" s="25">
        <f>IF(D325="","",D325/48)</f>
        <v>0</v>
      </c>
      <c r="D325" s="26">
        <f>IF(A325="","",ROUND((A325-cfgDefasagem/1440)*48,0))</f>
        <v>0</v>
      </c>
      <c r="E325" s="26">
        <f>IF(D325="","",INT((D325-cfgDeslocamento)/4))</f>
        <v>0</v>
      </c>
      <c r="F325" s="26">
        <f>IF(D325="","",MOD(D325-cfgDeslocamento,4)+1)</f>
        <v>0</v>
      </c>
      <c r="G325" s="26">
        <f>IF(A325="","",IF(AND(ISNUMBER(B325),B325&lt;&gt;0),1,0))</f>
        <v>0</v>
      </c>
      <c r="H325" s="25">
        <f>IF(E325="","",(E325*4+3+cfgDeslocamento)/48)</f>
        <v>0</v>
      </c>
    </row>
    <row r="326" spans="1:8">
      <c r="A326" s="24"/>
      <c r="B326" s="19"/>
      <c r="C326" s="25">
        <f>IF(D326="","",D326/48)</f>
        <v>0</v>
      </c>
      <c r="D326" s="26">
        <f>IF(A326="","",ROUND((A326-cfgDefasagem/1440)*48,0))</f>
        <v>0</v>
      </c>
      <c r="E326" s="26">
        <f>IF(D326="","",INT((D326-cfgDeslocamento)/4))</f>
        <v>0</v>
      </c>
      <c r="F326" s="26">
        <f>IF(D326="","",MOD(D326-cfgDeslocamento,4)+1)</f>
        <v>0</v>
      </c>
      <c r="G326" s="26">
        <f>IF(A326="","",IF(AND(ISNUMBER(B326),B326&lt;&gt;0),1,0))</f>
        <v>0</v>
      </c>
      <c r="H326" s="25">
        <f>IF(E326="","",(E326*4+3+cfgDeslocamento)/48)</f>
        <v>0</v>
      </c>
    </row>
    <row r="327" spans="1:8">
      <c r="A327" s="24"/>
      <c r="B327" s="19"/>
      <c r="C327" s="25">
        <f>IF(D327="","",D327/48)</f>
        <v>0</v>
      </c>
      <c r="D327" s="26">
        <f>IF(A327="","",ROUND((A327-cfgDefasagem/1440)*48,0))</f>
        <v>0</v>
      </c>
      <c r="E327" s="26">
        <f>IF(D327="","",INT((D327-cfgDeslocamento)/4))</f>
        <v>0</v>
      </c>
      <c r="F327" s="26">
        <f>IF(D327="","",MOD(D327-cfgDeslocamento,4)+1)</f>
        <v>0</v>
      </c>
      <c r="G327" s="26">
        <f>IF(A327="","",IF(AND(ISNUMBER(B327),B327&lt;&gt;0),1,0))</f>
        <v>0</v>
      </c>
      <c r="H327" s="25">
        <f>IF(E327="","",(E327*4+3+cfgDeslocamento)/48)</f>
        <v>0</v>
      </c>
    </row>
    <row r="328" spans="1:8">
      <c r="A328" s="24"/>
      <c r="B328" s="19"/>
      <c r="C328" s="25">
        <f>IF(D328="","",D328/48)</f>
        <v>0</v>
      </c>
      <c r="D328" s="26">
        <f>IF(A328="","",ROUND((A328-cfgDefasagem/1440)*48,0))</f>
        <v>0</v>
      </c>
      <c r="E328" s="26">
        <f>IF(D328="","",INT((D328-cfgDeslocamento)/4))</f>
        <v>0</v>
      </c>
      <c r="F328" s="26">
        <f>IF(D328="","",MOD(D328-cfgDeslocamento,4)+1)</f>
        <v>0</v>
      </c>
      <c r="G328" s="26">
        <f>IF(A328="","",IF(AND(ISNUMBER(B328),B328&lt;&gt;0),1,0))</f>
        <v>0</v>
      </c>
      <c r="H328" s="25">
        <f>IF(E328="","",(E328*4+3+cfgDeslocamento)/48)</f>
        <v>0</v>
      </c>
    </row>
    <row r="329" spans="1:8">
      <c r="A329" s="24"/>
      <c r="B329" s="19"/>
      <c r="C329" s="25">
        <f>IF(D329="","",D329/48)</f>
        <v>0</v>
      </c>
      <c r="D329" s="26">
        <f>IF(A329="","",ROUND((A329-cfgDefasagem/1440)*48,0))</f>
        <v>0</v>
      </c>
      <c r="E329" s="26">
        <f>IF(D329="","",INT((D329-cfgDeslocamento)/4))</f>
        <v>0</v>
      </c>
      <c r="F329" s="26">
        <f>IF(D329="","",MOD(D329-cfgDeslocamento,4)+1)</f>
        <v>0</v>
      </c>
      <c r="G329" s="26">
        <f>IF(A329="","",IF(AND(ISNUMBER(B329),B329&lt;&gt;0),1,0))</f>
        <v>0</v>
      </c>
      <c r="H329" s="25">
        <f>IF(E329="","",(E329*4+3+cfgDeslocamento)/48)</f>
        <v>0</v>
      </c>
    </row>
    <row r="330" spans="1:8">
      <c r="A330" s="24"/>
      <c r="B330" s="19"/>
      <c r="C330" s="25">
        <f>IF(D330="","",D330/48)</f>
        <v>0</v>
      </c>
      <c r="D330" s="26">
        <f>IF(A330="","",ROUND((A330-cfgDefasagem/1440)*48,0))</f>
        <v>0</v>
      </c>
      <c r="E330" s="26">
        <f>IF(D330="","",INT((D330-cfgDeslocamento)/4))</f>
        <v>0</v>
      </c>
      <c r="F330" s="26">
        <f>IF(D330="","",MOD(D330-cfgDeslocamento,4)+1)</f>
        <v>0</v>
      </c>
      <c r="G330" s="26">
        <f>IF(A330="","",IF(AND(ISNUMBER(B330),B330&lt;&gt;0),1,0))</f>
        <v>0</v>
      </c>
      <c r="H330" s="25">
        <f>IF(E330="","",(E330*4+3+cfgDeslocamento)/48)</f>
        <v>0</v>
      </c>
    </row>
    <row r="331" spans="1:8">
      <c r="A331" s="24"/>
      <c r="B331" s="19"/>
      <c r="C331" s="25">
        <f>IF(D331="","",D331/48)</f>
        <v>0</v>
      </c>
      <c r="D331" s="26">
        <f>IF(A331="","",ROUND((A331-cfgDefasagem/1440)*48,0))</f>
        <v>0</v>
      </c>
      <c r="E331" s="26">
        <f>IF(D331="","",INT((D331-cfgDeslocamento)/4))</f>
        <v>0</v>
      </c>
      <c r="F331" s="26">
        <f>IF(D331="","",MOD(D331-cfgDeslocamento,4)+1)</f>
        <v>0</v>
      </c>
      <c r="G331" s="26">
        <f>IF(A331="","",IF(AND(ISNUMBER(B331),B331&lt;&gt;0),1,0))</f>
        <v>0</v>
      </c>
      <c r="H331" s="25">
        <f>IF(E331="","",(E331*4+3+cfgDeslocamento)/48)</f>
        <v>0</v>
      </c>
    </row>
    <row r="332" spans="1:8">
      <c r="A332" s="24"/>
      <c r="B332" s="19"/>
      <c r="C332" s="25">
        <f>IF(D332="","",D332/48)</f>
        <v>0</v>
      </c>
      <c r="D332" s="26">
        <f>IF(A332="","",ROUND((A332-cfgDefasagem/1440)*48,0))</f>
        <v>0</v>
      </c>
      <c r="E332" s="26">
        <f>IF(D332="","",INT((D332-cfgDeslocamento)/4))</f>
        <v>0</v>
      </c>
      <c r="F332" s="26">
        <f>IF(D332="","",MOD(D332-cfgDeslocamento,4)+1)</f>
        <v>0</v>
      </c>
      <c r="G332" s="26">
        <f>IF(A332="","",IF(AND(ISNUMBER(B332),B332&lt;&gt;0),1,0))</f>
        <v>0</v>
      </c>
      <c r="H332" s="25">
        <f>IF(E332="","",(E332*4+3+cfgDeslocamento)/48)</f>
        <v>0</v>
      </c>
    </row>
    <row r="333" spans="1:8">
      <c r="A333" s="24"/>
      <c r="B333" s="19"/>
      <c r="C333" s="25">
        <f>IF(D333="","",D333/48)</f>
        <v>0</v>
      </c>
      <c r="D333" s="26">
        <f>IF(A333="","",ROUND((A333-cfgDefasagem/1440)*48,0))</f>
        <v>0</v>
      </c>
      <c r="E333" s="26">
        <f>IF(D333="","",INT((D333-cfgDeslocamento)/4))</f>
        <v>0</v>
      </c>
      <c r="F333" s="26">
        <f>IF(D333="","",MOD(D333-cfgDeslocamento,4)+1)</f>
        <v>0</v>
      </c>
      <c r="G333" s="26">
        <f>IF(A333="","",IF(AND(ISNUMBER(B333),B333&lt;&gt;0),1,0))</f>
        <v>0</v>
      </c>
      <c r="H333" s="25">
        <f>IF(E333="","",(E333*4+3+cfgDeslocamento)/48)</f>
        <v>0</v>
      </c>
    </row>
    <row r="334" spans="1:8">
      <c r="A334" s="24"/>
      <c r="B334" s="19"/>
      <c r="C334" s="25">
        <f>IF(D334="","",D334/48)</f>
        <v>0</v>
      </c>
      <c r="D334" s="26">
        <f>IF(A334="","",ROUND((A334-cfgDefasagem/1440)*48,0))</f>
        <v>0</v>
      </c>
      <c r="E334" s="26">
        <f>IF(D334="","",INT((D334-cfgDeslocamento)/4))</f>
        <v>0</v>
      </c>
      <c r="F334" s="26">
        <f>IF(D334="","",MOD(D334-cfgDeslocamento,4)+1)</f>
        <v>0</v>
      </c>
      <c r="G334" s="26">
        <f>IF(A334="","",IF(AND(ISNUMBER(B334),B334&lt;&gt;0),1,0))</f>
        <v>0</v>
      </c>
      <c r="H334" s="25">
        <f>IF(E334="","",(E334*4+3+cfgDeslocamento)/48)</f>
        <v>0</v>
      </c>
    </row>
    <row r="335" spans="1:8">
      <c r="A335" s="24"/>
      <c r="B335" s="19"/>
      <c r="C335" s="25">
        <f>IF(D335="","",D335/48)</f>
        <v>0</v>
      </c>
      <c r="D335" s="26">
        <f>IF(A335="","",ROUND((A335-cfgDefasagem/1440)*48,0))</f>
        <v>0</v>
      </c>
      <c r="E335" s="26">
        <f>IF(D335="","",INT((D335-cfgDeslocamento)/4))</f>
        <v>0</v>
      </c>
      <c r="F335" s="26">
        <f>IF(D335="","",MOD(D335-cfgDeslocamento,4)+1)</f>
        <v>0</v>
      </c>
      <c r="G335" s="26">
        <f>IF(A335="","",IF(AND(ISNUMBER(B335),B335&lt;&gt;0),1,0))</f>
        <v>0</v>
      </c>
      <c r="H335" s="25">
        <f>IF(E335="","",(E335*4+3+cfgDeslocamento)/48)</f>
        <v>0</v>
      </c>
    </row>
    <row r="336" spans="1:8">
      <c r="A336" s="24"/>
      <c r="B336" s="19"/>
      <c r="C336" s="25">
        <f>IF(D336="","",D336/48)</f>
        <v>0</v>
      </c>
      <c r="D336" s="26">
        <f>IF(A336="","",ROUND((A336-cfgDefasagem/1440)*48,0))</f>
        <v>0</v>
      </c>
      <c r="E336" s="26">
        <f>IF(D336="","",INT((D336-cfgDeslocamento)/4))</f>
        <v>0</v>
      </c>
      <c r="F336" s="26">
        <f>IF(D336="","",MOD(D336-cfgDeslocamento,4)+1)</f>
        <v>0</v>
      </c>
      <c r="G336" s="26">
        <f>IF(A336="","",IF(AND(ISNUMBER(B336),B336&lt;&gt;0),1,0))</f>
        <v>0</v>
      </c>
      <c r="H336" s="25">
        <f>IF(E336="","",(E336*4+3+cfgDeslocamento)/48)</f>
        <v>0</v>
      </c>
    </row>
    <row r="337" spans="1:8">
      <c r="A337" s="24"/>
      <c r="B337" s="19"/>
      <c r="C337" s="25">
        <f>IF(D337="","",D337/48)</f>
        <v>0</v>
      </c>
      <c r="D337" s="26">
        <f>IF(A337="","",ROUND((A337-cfgDefasagem/1440)*48,0))</f>
        <v>0</v>
      </c>
      <c r="E337" s="26">
        <f>IF(D337="","",INT((D337-cfgDeslocamento)/4))</f>
        <v>0</v>
      </c>
      <c r="F337" s="26">
        <f>IF(D337="","",MOD(D337-cfgDeslocamento,4)+1)</f>
        <v>0</v>
      </c>
      <c r="G337" s="26">
        <f>IF(A337="","",IF(AND(ISNUMBER(B337),B337&lt;&gt;0),1,0))</f>
        <v>0</v>
      </c>
      <c r="H337" s="25">
        <f>IF(E337="","",(E337*4+3+cfgDeslocamento)/48)</f>
        <v>0</v>
      </c>
    </row>
    <row r="338" spans="1:8">
      <c r="A338" s="24"/>
      <c r="B338" s="19"/>
      <c r="C338" s="25">
        <f>IF(D338="","",D338/48)</f>
        <v>0</v>
      </c>
      <c r="D338" s="26">
        <f>IF(A338="","",ROUND((A338-cfgDefasagem/1440)*48,0))</f>
        <v>0</v>
      </c>
      <c r="E338" s="26">
        <f>IF(D338="","",INT((D338-cfgDeslocamento)/4))</f>
        <v>0</v>
      </c>
      <c r="F338" s="26">
        <f>IF(D338="","",MOD(D338-cfgDeslocamento,4)+1)</f>
        <v>0</v>
      </c>
      <c r="G338" s="26">
        <f>IF(A338="","",IF(AND(ISNUMBER(B338),B338&lt;&gt;0),1,0))</f>
        <v>0</v>
      </c>
      <c r="H338" s="25">
        <f>IF(E338="","",(E338*4+3+cfgDeslocamento)/48)</f>
        <v>0</v>
      </c>
    </row>
    <row r="339" spans="1:8">
      <c r="A339" s="24"/>
      <c r="B339" s="19"/>
      <c r="C339" s="25">
        <f>IF(D339="","",D339/48)</f>
        <v>0</v>
      </c>
      <c r="D339" s="26">
        <f>IF(A339="","",ROUND((A339-cfgDefasagem/1440)*48,0))</f>
        <v>0</v>
      </c>
      <c r="E339" s="26">
        <f>IF(D339="","",INT((D339-cfgDeslocamento)/4))</f>
        <v>0</v>
      </c>
      <c r="F339" s="26">
        <f>IF(D339="","",MOD(D339-cfgDeslocamento,4)+1)</f>
        <v>0</v>
      </c>
      <c r="G339" s="26">
        <f>IF(A339="","",IF(AND(ISNUMBER(B339),B339&lt;&gt;0),1,0))</f>
        <v>0</v>
      </c>
      <c r="H339" s="25">
        <f>IF(E339="","",(E339*4+3+cfgDeslocamento)/48)</f>
        <v>0</v>
      </c>
    </row>
    <row r="340" spans="1:8">
      <c r="A340" s="24"/>
      <c r="B340" s="19"/>
      <c r="C340" s="25">
        <f>IF(D340="","",D340/48)</f>
        <v>0</v>
      </c>
      <c r="D340" s="26">
        <f>IF(A340="","",ROUND((A340-cfgDefasagem/1440)*48,0))</f>
        <v>0</v>
      </c>
      <c r="E340" s="26">
        <f>IF(D340="","",INT((D340-cfgDeslocamento)/4))</f>
        <v>0</v>
      </c>
      <c r="F340" s="26">
        <f>IF(D340="","",MOD(D340-cfgDeslocamento,4)+1)</f>
        <v>0</v>
      </c>
      <c r="G340" s="26">
        <f>IF(A340="","",IF(AND(ISNUMBER(B340),B340&lt;&gt;0),1,0))</f>
        <v>0</v>
      </c>
      <c r="H340" s="25">
        <f>IF(E340="","",(E340*4+3+cfgDeslocamento)/48)</f>
        <v>0</v>
      </c>
    </row>
    <row r="341" spans="1:8">
      <c r="A341" s="24"/>
      <c r="B341" s="19"/>
      <c r="C341" s="25">
        <f>IF(D341="","",D341/48)</f>
        <v>0</v>
      </c>
      <c r="D341" s="26">
        <f>IF(A341="","",ROUND((A341-cfgDefasagem/1440)*48,0))</f>
        <v>0</v>
      </c>
      <c r="E341" s="26">
        <f>IF(D341="","",INT((D341-cfgDeslocamento)/4))</f>
        <v>0</v>
      </c>
      <c r="F341" s="26">
        <f>IF(D341="","",MOD(D341-cfgDeslocamento,4)+1)</f>
        <v>0</v>
      </c>
      <c r="G341" s="26">
        <f>IF(A341="","",IF(AND(ISNUMBER(B341),B341&lt;&gt;0),1,0))</f>
        <v>0</v>
      </c>
      <c r="H341" s="25">
        <f>IF(E341="","",(E341*4+3+cfgDeslocamento)/48)</f>
        <v>0</v>
      </c>
    </row>
    <row r="342" spans="1:8">
      <c r="A342" s="24"/>
      <c r="B342" s="19"/>
      <c r="C342" s="25">
        <f>IF(D342="","",D342/48)</f>
        <v>0</v>
      </c>
      <c r="D342" s="26">
        <f>IF(A342="","",ROUND((A342-cfgDefasagem/1440)*48,0))</f>
        <v>0</v>
      </c>
      <c r="E342" s="26">
        <f>IF(D342="","",INT((D342-cfgDeslocamento)/4))</f>
        <v>0</v>
      </c>
      <c r="F342" s="26">
        <f>IF(D342="","",MOD(D342-cfgDeslocamento,4)+1)</f>
        <v>0</v>
      </c>
      <c r="G342" s="26">
        <f>IF(A342="","",IF(AND(ISNUMBER(B342),B342&lt;&gt;0),1,0))</f>
        <v>0</v>
      </c>
      <c r="H342" s="25">
        <f>IF(E342="","",(E342*4+3+cfgDeslocamento)/48)</f>
        <v>0</v>
      </c>
    </row>
    <row r="343" spans="1:8">
      <c r="A343" s="24"/>
      <c r="B343" s="19"/>
      <c r="C343" s="25">
        <f>IF(D343="","",D343/48)</f>
        <v>0</v>
      </c>
      <c r="D343" s="26">
        <f>IF(A343="","",ROUND((A343-cfgDefasagem/1440)*48,0))</f>
        <v>0</v>
      </c>
      <c r="E343" s="26">
        <f>IF(D343="","",INT((D343-cfgDeslocamento)/4))</f>
        <v>0</v>
      </c>
      <c r="F343" s="26">
        <f>IF(D343="","",MOD(D343-cfgDeslocamento,4)+1)</f>
        <v>0</v>
      </c>
      <c r="G343" s="26">
        <f>IF(A343="","",IF(AND(ISNUMBER(B343),B343&lt;&gt;0),1,0))</f>
        <v>0</v>
      </c>
      <c r="H343" s="25">
        <f>IF(E343="","",(E343*4+3+cfgDeslocamento)/48)</f>
        <v>0</v>
      </c>
    </row>
    <row r="344" spans="1:8">
      <c r="A344" s="24"/>
      <c r="B344" s="19"/>
      <c r="C344" s="25">
        <f>IF(D344="","",D344/48)</f>
        <v>0</v>
      </c>
      <c r="D344" s="26">
        <f>IF(A344="","",ROUND((A344-cfgDefasagem/1440)*48,0))</f>
        <v>0</v>
      </c>
      <c r="E344" s="26">
        <f>IF(D344="","",INT((D344-cfgDeslocamento)/4))</f>
        <v>0</v>
      </c>
      <c r="F344" s="26">
        <f>IF(D344="","",MOD(D344-cfgDeslocamento,4)+1)</f>
        <v>0</v>
      </c>
      <c r="G344" s="26">
        <f>IF(A344="","",IF(AND(ISNUMBER(B344),B344&lt;&gt;0),1,0))</f>
        <v>0</v>
      </c>
      <c r="H344" s="25">
        <f>IF(E344="","",(E344*4+3+cfgDeslocamento)/48)</f>
        <v>0</v>
      </c>
    </row>
    <row r="345" spans="1:8">
      <c r="A345" s="24"/>
      <c r="B345" s="19"/>
      <c r="C345" s="25">
        <f>IF(D345="","",D345/48)</f>
        <v>0</v>
      </c>
      <c r="D345" s="26">
        <f>IF(A345="","",ROUND((A345-cfgDefasagem/1440)*48,0))</f>
        <v>0</v>
      </c>
      <c r="E345" s="26">
        <f>IF(D345="","",INT((D345-cfgDeslocamento)/4))</f>
        <v>0</v>
      </c>
      <c r="F345" s="26">
        <f>IF(D345="","",MOD(D345-cfgDeslocamento,4)+1)</f>
        <v>0</v>
      </c>
      <c r="G345" s="26">
        <f>IF(A345="","",IF(AND(ISNUMBER(B345),B345&lt;&gt;0),1,0))</f>
        <v>0</v>
      </c>
      <c r="H345" s="25">
        <f>IF(E345="","",(E345*4+3+cfgDeslocamento)/48)</f>
        <v>0</v>
      </c>
    </row>
    <row r="346" spans="1:8">
      <c r="A346" s="24"/>
      <c r="B346" s="19"/>
      <c r="C346" s="25">
        <f>IF(D346="","",D346/48)</f>
        <v>0</v>
      </c>
      <c r="D346" s="26">
        <f>IF(A346="","",ROUND((A346-cfgDefasagem/1440)*48,0))</f>
        <v>0</v>
      </c>
      <c r="E346" s="26">
        <f>IF(D346="","",INT((D346-cfgDeslocamento)/4))</f>
        <v>0</v>
      </c>
      <c r="F346" s="26">
        <f>IF(D346="","",MOD(D346-cfgDeslocamento,4)+1)</f>
        <v>0</v>
      </c>
      <c r="G346" s="26">
        <f>IF(A346="","",IF(AND(ISNUMBER(B346),B346&lt;&gt;0),1,0))</f>
        <v>0</v>
      </c>
      <c r="H346" s="25">
        <f>IF(E346="","",(E346*4+3+cfgDeslocamento)/48)</f>
        <v>0</v>
      </c>
    </row>
    <row r="347" spans="1:8">
      <c r="A347" s="24"/>
      <c r="B347" s="19"/>
      <c r="C347" s="25">
        <f>IF(D347="","",D347/48)</f>
        <v>0</v>
      </c>
      <c r="D347" s="26">
        <f>IF(A347="","",ROUND((A347-cfgDefasagem/1440)*48,0))</f>
        <v>0</v>
      </c>
      <c r="E347" s="26">
        <f>IF(D347="","",INT((D347-cfgDeslocamento)/4))</f>
        <v>0</v>
      </c>
      <c r="F347" s="26">
        <f>IF(D347="","",MOD(D347-cfgDeslocamento,4)+1)</f>
        <v>0</v>
      </c>
      <c r="G347" s="26">
        <f>IF(A347="","",IF(AND(ISNUMBER(B347),B347&lt;&gt;0),1,0))</f>
        <v>0</v>
      </c>
      <c r="H347" s="25">
        <f>IF(E347="","",(E347*4+3+cfgDeslocamento)/48)</f>
        <v>0</v>
      </c>
    </row>
    <row r="348" spans="1:8">
      <c r="A348" s="24"/>
      <c r="B348" s="19"/>
      <c r="C348" s="25">
        <f>IF(D348="","",D348/48)</f>
        <v>0</v>
      </c>
      <c r="D348" s="26">
        <f>IF(A348="","",ROUND((A348-cfgDefasagem/1440)*48,0))</f>
        <v>0</v>
      </c>
      <c r="E348" s="26">
        <f>IF(D348="","",INT((D348-cfgDeslocamento)/4))</f>
        <v>0</v>
      </c>
      <c r="F348" s="26">
        <f>IF(D348="","",MOD(D348-cfgDeslocamento,4)+1)</f>
        <v>0</v>
      </c>
      <c r="G348" s="26">
        <f>IF(A348="","",IF(AND(ISNUMBER(B348),B348&lt;&gt;0),1,0))</f>
        <v>0</v>
      </c>
      <c r="H348" s="25">
        <f>IF(E348="","",(E348*4+3+cfgDeslocamento)/48)</f>
        <v>0</v>
      </c>
    </row>
    <row r="349" spans="1:8">
      <c r="A349" s="24"/>
      <c r="B349" s="19"/>
      <c r="C349" s="25">
        <f>IF(D349="","",D349/48)</f>
        <v>0</v>
      </c>
      <c r="D349" s="26">
        <f>IF(A349="","",ROUND((A349-cfgDefasagem/1440)*48,0))</f>
        <v>0</v>
      </c>
      <c r="E349" s="26">
        <f>IF(D349="","",INT((D349-cfgDeslocamento)/4))</f>
        <v>0</v>
      </c>
      <c r="F349" s="26">
        <f>IF(D349="","",MOD(D349-cfgDeslocamento,4)+1)</f>
        <v>0</v>
      </c>
      <c r="G349" s="26">
        <f>IF(A349="","",IF(AND(ISNUMBER(B349),B349&lt;&gt;0),1,0))</f>
        <v>0</v>
      </c>
      <c r="H349" s="25">
        <f>IF(E349="","",(E349*4+3+cfgDeslocamento)/48)</f>
        <v>0</v>
      </c>
    </row>
    <row r="350" spans="1:8">
      <c r="A350" s="24"/>
      <c r="B350" s="19"/>
      <c r="C350" s="25">
        <f>IF(D350="","",D350/48)</f>
        <v>0</v>
      </c>
      <c r="D350" s="26">
        <f>IF(A350="","",ROUND((A350-cfgDefasagem/1440)*48,0))</f>
        <v>0</v>
      </c>
      <c r="E350" s="26">
        <f>IF(D350="","",INT((D350-cfgDeslocamento)/4))</f>
        <v>0</v>
      </c>
      <c r="F350" s="26">
        <f>IF(D350="","",MOD(D350-cfgDeslocamento,4)+1)</f>
        <v>0</v>
      </c>
      <c r="G350" s="26">
        <f>IF(A350="","",IF(AND(ISNUMBER(B350),B350&lt;&gt;0),1,0))</f>
        <v>0</v>
      </c>
      <c r="H350" s="25">
        <f>IF(E350="","",(E350*4+3+cfgDeslocamento)/48)</f>
        <v>0</v>
      </c>
    </row>
    <row r="351" spans="1:8">
      <c r="A351" s="24"/>
      <c r="B351" s="19"/>
      <c r="C351" s="25">
        <f>IF(D351="","",D351/48)</f>
        <v>0</v>
      </c>
      <c r="D351" s="26">
        <f>IF(A351="","",ROUND((A351-cfgDefasagem/1440)*48,0))</f>
        <v>0</v>
      </c>
      <c r="E351" s="26">
        <f>IF(D351="","",INT((D351-cfgDeslocamento)/4))</f>
        <v>0</v>
      </c>
      <c r="F351" s="26">
        <f>IF(D351="","",MOD(D351-cfgDeslocamento,4)+1)</f>
        <v>0</v>
      </c>
      <c r="G351" s="26">
        <f>IF(A351="","",IF(AND(ISNUMBER(B351),B351&lt;&gt;0),1,0))</f>
        <v>0</v>
      </c>
      <c r="H351" s="25">
        <f>IF(E351="","",(E351*4+3+cfgDeslocamento)/48)</f>
        <v>0</v>
      </c>
    </row>
    <row r="352" spans="1:8">
      <c r="A352" s="24"/>
      <c r="B352" s="19"/>
      <c r="C352" s="25">
        <f>IF(D352="","",D352/48)</f>
        <v>0</v>
      </c>
      <c r="D352" s="26">
        <f>IF(A352="","",ROUND((A352-cfgDefasagem/1440)*48,0))</f>
        <v>0</v>
      </c>
      <c r="E352" s="26">
        <f>IF(D352="","",INT((D352-cfgDeslocamento)/4))</f>
        <v>0</v>
      </c>
      <c r="F352" s="26">
        <f>IF(D352="","",MOD(D352-cfgDeslocamento,4)+1)</f>
        <v>0</v>
      </c>
      <c r="G352" s="26">
        <f>IF(A352="","",IF(AND(ISNUMBER(B352),B352&lt;&gt;0),1,0))</f>
        <v>0</v>
      </c>
      <c r="H352" s="25">
        <f>IF(E352="","",(E352*4+3+cfgDeslocamento)/48)</f>
        <v>0</v>
      </c>
    </row>
    <row r="353" spans="1:8">
      <c r="A353" s="24"/>
      <c r="B353" s="19"/>
      <c r="C353" s="25">
        <f>IF(D353="","",D353/48)</f>
        <v>0</v>
      </c>
      <c r="D353" s="26">
        <f>IF(A353="","",ROUND((A353-cfgDefasagem/1440)*48,0))</f>
        <v>0</v>
      </c>
      <c r="E353" s="26">
        <f>IF(D353="","",INT((D353-cfgDeslocamento)/4))</f>
        <v>0</v>
      </c>
      <c r="F353" s="26">
        <f>IF(D353="","",MOD(D353-cfgDeslocamento,4)+1)</f>
        <v>0</v>
      </c>
      <c r="G353" s="26">
        <f>IF(A353="","",IF(AND(ISNUMBER(B353),B353&lt;&gt;0),1,0))</f>
        <v>0</v>
      </c>
      <c r="H353" s="25">
        <f>IF(E353="","",(E353*4+3+cfgDeslocamento)/48)</f>
        <v>0</v>
      </c>
    </row>
    <row r="354" spans="1:8">
      <c r="A354" s="24"/>
      <c r="B354" s="19"/>
      <c r="C354" s="25">
        <f>IF(D354="","",D354/48)</f>
        <v>0</v>
      </c>
      <c r="D354" s="26">
        <f>IF(A354="","",ROUND((A354-cfgDefasagem/1440)*48,0))</f>
        <v>0</v>
      </c>
      <c r="E354" s="26">
        <f>IF(D354="","",INT((D354-cfgDeslocamento)/4))</f>
        <v>0</v>
      </c>
      <c r="F354" s="26">
        <f>IF(D354="","",MOD(D354-cfgDeslocamento,4)+1)</f>
        <v>0</v>
      </c>
      <c r="G354" s="26">
        <f>IF(A354="","",IF(AND(ISNUMBER(B354),B354&lt;&gt;0),1,0))</f>
        <v>0</v>
      </c>
      <c r="H354" s="25">
        <f>IF(E354="","",(E354*4+3+cfgDeslocamento)/48)</f>
        <v>0</v>
      </c>
    </row>
    <row r="355" spans="1:8">
      <c r="A355" s="24"/>
      <c r="B355" s="19"/>
      <c r="C355" s="25">
        <f>IF(D355="","",D355/48)</f>
        <v>0</v>
      </c>
      <c r="D355" s="26">
        <f>IF(A355="","",ROUND((A355-cfgDefasagem/1440)*48,0))</f>
        <v>0</v>
      </c>
      <c r="E355" s="26">
        <f>IF(D355="","",INT((D355-cfgDeslocamento)/4))</f>
        <v>0</v>
      </c>
      <c r="F355" s="26">
        <f>IF(D355="","",MOD(D355-cfgDeslocamento,4)+1)</f>
        <v>0</v>
      </c>
      <c r="G355" s="26">
        <f>IF(A355="","",IF(AND(ISNUMBER(B355),B355&lt;&gt;0),1,0))</f>
        <v>0</v>
      </c>
      <c r="H355" s="25">
        <f>IF(E355="","",(E355*4+3+cfgDeslocamento)/48)</f>
        <v>0</v>
      </c>
    </row>
    <row r="356" spans="1:8">
      <c r="A356" s="24"/>
      <c r="B356" s="19"/>
      <c r="C356" s="25">
        <f>IF(D356="","",D356/48)</f>
        <v>0</v>
      </c>
      <c r="D356" s="26">
        <f>IF(A356="","",ROUND((A356-cfgDefasagem/1440)*48,0))</f>
        <v>0</v>
      </c>
      <c r="E356" s="26">
        <f>IF(D356="","",INT((D356-cfgDeslocamento)/4))</f>
        <v>0</v>
      </c>
      <c r="F356" s="26">
        <f>IF(D356="","",MOD(D356-cfgDeslocamento,4)+1)</f>
        <v>0</v>
      </c>
      <c r="G356" s="26">
        <f>IF(A356="","",IF(AND(ISNUMBER(B356),B356&lt;&gt;0),1,0))</f>
        <v>0</v>
      </c>
      <c r="H356" s="25">
        <f>IF(E356="","",(E356*4+3+cfgDeslocamento)/48)</f>
        <v>0</v>
      </c>
    </row>
    <row r="357" spans="1:8">
      <c r="A357" s="24"/>
      <c r="B357" s="19"/>
      <c r="C357" s="25">
        <f>IF(D357="","",D357/48)</f>
        <v>0</v>
      </c>
      <c r="D357" s="26">
        <f>IF(A357="","",ROUND((A357-cfgDefasagem/1440)*48,0))</f>
        <v>0</v>
      </c>
      <c r="E357" s="26">
        <f>IF(D357="","",INT((D357-cfgDeslocamento)/4))</f>
        <v>0</v>
      </c>
      <c r="F357" s="26">
        <f>IF(D357="","",MOD(D357-cfgDeslocamento,4)+1)</f>
        <v>0</v>
      </c>
      <c r="G357" s="26">
        <f>IF(A357="","",IF(AND(ISNUMBER(B357),B357&lt;&gt;0),1,0))</f>
        <v>0</v>
      </c>
      <c r="H357" s="25">
        <f>IF(E357="","",(E357*4+3+cfgDeslocamento)/48)</f>
        <v>0</v>
      </c>
    </row>
    <row r="358" spans="1:8">
      <c r="A358" s="24"/>
      <c r="B358" s="19"/>
      <c r="C358" s="25">
        <f>IF(D358="","",D358/48)</f>
        <v>0</v>
      </c>
      <c r="D358" s="26">
        <f>IF(A358="","",ROUND((A358-cfgDefasagem/1440)*48,0))</f>
        <v>0</v>
      </c>
      <c r="E358" s="26">
        <f>IF(D358="","",INT((D358-cfgDeslocamento)/4))</f>
        <v>0</v>
      </c>
      <c r="F358" s="26">
        <f>IF(D358="","",MOD(D358-cfgDeslocamento,4)+1)</f>
        <v>0</v>
      </c>
      <c r="G358" s="26">
        <f>IF(A358="","",IF(AND(ISNUMBER(B358),B358&lt;&gt;0),1,0))</f>
        <v>0</v>
      </c>
      <c r="H358" s="25">
        <f>IF(E358="","",(E358*4+3+cfgDeslocamento)/48)</f>
        <v>0</v>
      </c>
    </row>
    <row r="359" spans="1:8">
      <c r="A359" s="24"/>
      <c r="B359" s="19"/>
      <c r="C359" s="25">
        <f>IF(D359="","",D359/48)</f>
        <v>0</v>
      </c>
      <c r="D359" s="26">
        <f>IF(A359="","",ROUND((A359-cfgDefasagem/1440)*48,0))</f>
        <v>0</v>
      </c>
      <c r="E359" s="26">
        <f>IF(D359="","",INT((D359-cfgDeslocamento)/4))</f>
        <v>0</v>
      </c>
      <c r="F359" s="26">
        <f>IF(D359="","",MOD(D359-cfgDeslocamento,4)+1)</f>
        <v>0</v>
      </c>
      <c r="G359" s="26">
        <f>IF(A359="","",IF(AND(ISNUMBER(B359),B359&lt;&gt;0),1,0))</f>
        <v>0</v>
      </c>
      <c r="H359" s="25">
        <f>IF(E359="","",(E359*4+3+cfgDeslocamento)/48)</f>
        <v>0</v>
      </c>
    </row>
    <row r="360" spans="1:8">
      <c r="A360" s="24"/>
      <c r="B360" s="19"/>
      <c r="C360" s="25">
        <f>IF(D360="","",D360/48)</f>
        <v>0</v>
      </c>
      <c r="D360" s="26">
        <f>IF(A360="","",ROUND((A360-cfgDefasagem/1440)*48,0))</f>
        <v>0</v>
      </c>
      <c r="E360" s="26">
        <f>IF(D360="","",INT((D360-cfgDeslocamento)/4))</f>
        <v>0</v>
      </c>
      <c r="F360" s="26">
        <f>IF(D360="","",MOD(D360-cfgDeslocamento,4)+1)</f>
        <v>0</v>
      </c>
      <c r="G360" s="26">
        <f>IF(A360="","",IF(AND(ISNUMBER(B360),B360&lt;&gt;0),1,0))</f>
        <v>0</v>
      </c>
      <c r="H360" s="25">
        <f>IF(E360="","",(E360*4+3+cfgDeslocamento)/48)</f>
        <v>0</v>
      </c>
    </row>
    <row r="361" spans="1:8">
      <c r="A361" s="24"/>
      <c r="B361" s="19"/>
      <c r="C361" s="25">
        <f>IF(D361="","",D361/48)</f>
        <v>0</v>
      </c>
      <c r="D361" s="26">
        <f>IF(A361="","",ROUND((A361-cfgDefasagem/1440)*48,0))</f>
        <v>0</v>
      </c>
      <c r="E361" s="26">
        <f>IF(D361="","",INT((D361-cfgDeslocamento)/4))</f>
        <v>0</v>
      </c>
      <c r="F361" s="26">
        <f>IF(D361="","",MOD(D361-cfgDeslocamento,4)+1)</f>
        <v>0</v>
      </c>
      <c r="G361" s="26">
        <f>IF(A361="","",IF(AND(ISNUMBER(B361),B361&lt;&gt;0),1,0))</f>
        <v>0</v>
      </c>
      <c r="H361" s="25">
        <f>IF(E361="","",(E361*4+3+cfgDeslocamento)/48)</f>
        <v>0</v>
      </c>
    </row>
    <row r="362" spans="1:8">
      <c r="A362" s="24"/>
      <c r="B362" s="19"/>
      <c r="C362" s="25">
        <f>IF(D362="","",D362/48)</f>
        <v>0</v>
      </c>
      <c r="D362" s="26">
        <f>IF(A362="","",ROUND((A362-cfgDefasagem/1440)*48,0))</f>
        <v>0</v>
      </c>
      <c r="E362" s="26">
        <f>IF(D362="","",INT((D362-cfgDeslocamento)/4))</f>
        <v>0</v>
      </c>
      <c r="F362" s="26">
        <f>IF(D362="","",MOD(D362-cfgDeslocamento,4)+1)</f>
        <v>0</v>
      </c>
      <c r="G362" s="26">
        <f>IF(A362="","",IF(AND(ISNUMBER(B362),B362&lt;&gt;0),1,0))</f>
        <v>0</v>
      </c>
      <c r="H362" s="25">
        <f>IF(E362="","",(E362*4+3+cfgDeslocamento)/48)</f>
        <v>0</v>
      </c>
    </row>
    <row r="363" spans="1:8">
      <c r="A363" s="24"/>
      <c r="B363" s="19"/>
      <c r="C363" s="25">
        <f>IF(D363="","",D363/48)</f>
        <v>0</v>
      </c>
      <c r="D363" s="26">
        <f>IF(A363="","",ROUND((A363-cfgDefasagem/1440)*48,0))</f>
        <v>0</v>
      </c>
      <c r="E363" s="26">
        <f>IF(D363="","",INT((D363-cfgDeslocamento)/4))</f>
        <v>0</v>
      </c>
      <c r="F363" s="26">
        <f>IF(D363="","",MOD(D363-cfgDeslocamento,4)+1)</f>
        <v>0</v>
      </c>
      <c r="G363" s="26">
        <f>IF(A363="","",IF(AND(ISNUMBER(B363),B363&lt;&gt;0),1,0))</f>
        <v>0</v>
      </c>
      <c r="H363" s="25">
        <f>IF(E363="","",(E363*4+3+cfgDeslocamento)/48)</f>
        <v>0</v>
      </c>
    </row>
    <row r="364" spans="1:8">
      <c r="A364" s="24"/>
      <c r="B364" s="19"/>
      <c r="C364" s="25">
        <f>IF(D364="","",D364/48)</f>
        <v>0</v>
      </c>
      <c r="D364" s="26">
        <f>IF(A364="","",ROUND((A364-cfgDefasagem/1440)*48,0))</f>
        <v>0</v>
      </c>
      <c r="E364" s="26">
        <f>IF(D364="","",INT((D364-cfgDeslocamento)/4))</f>
        <v>0</v>
      </c>
      <c r="F364" s="26">
        <f>IF(D364="","",MOD(D364-cfgDeslocamento,4)+1)</f>
        <v>0</v>
      </c>
      <c r="G364" s="26">
        <f>IF(A364="","",IF(AND(ISNUMBER(B364),B364&lt;&gt;0),1,0))</f>
        <v>0</v>
      </c>
      <c r="H364" s="25">
        <f>IF(E364="","",(E364*4+3+cfgDeslocamento)/48)</f>
        <v>0</v>
      </c>
    </row>
    <row r="365" spans="1:8">
      <c r="A365" s="24"/>
      <c r="B365" s="19"/>
      <c r="C365" s="25">
        <f>IF(D365="","",D365/48)</f>
        <v>0</v>
      </c>
      <c r="D365" s="26">
        <f>IF(A365="","",ROUND((A365-cfgDefasagem/1440)*48,0))</f>
        <v>0</v>
      </c>
      <c r="E365" s="26">
        <f>IF(D365="","",INT((D365-cfgDeslocamento)/4))</f>
        <v>0</v>
      </c>
      <c r="F365" s="26">
        <f>IF(D365="","",MOD(D365-cfgDeslocamento,4)+1)</f>
        <v>0</v>
      </c>
      <c r="G365" s="26">
        <f>IF(A365="","",IF(AND(ISNUMBER(B365),B365&lt;&gt;0),1,0))</f>
        <v>0</v>
      </c>
      <c r="H365" s="25">
        <f>IF(E365="","",(E365*4+3+cfgDeslocamento)/48)</f>
        <v>0</v>
      </c>
    </row>
    <row r="366" spans="1:8">
      <c r="A366" s="24"/>
      <c r="B366" s="19"/>
      <c r="C366" s="25">
        <f>IF(D366="","",D366/48)</f>
        <v>0</v>
      </c>
      <c r="D366" s="26">
        <f>IF(A366="","",ROUND((A366-cfgDefasagem/1440)*48,0))</f>
        <v>0</v>
      </c>
      <c r="E366" s="26">
        <f>IF(D366="","",INT((D366-cfgDeslocamento)/4))</f>
        <v>0</v>
      </c>
      <c r="F366" s="26">
        <f>IF(D366="","",MOD(D366-cfgDeslocamento,4)+1)</f>
        <v>0</v>
      </c>
      <c r="G366" s="26">
        <f>IF(A366="","",IF(AND(ISNUMBER(B366),B366&lt;&gt;0),1,0))</f>
        <v>0</v>
      </c>
      <c r="H366" s="25">
        <f>IF(E366="","",(E366*4+3+cfgDeslocamento)/48)</f>
        <v>0</v>
      </c>
    </row>
    <row r="367" spans="1:8">
      <c r="A367" s="24"/>
      <c r="B367" s="19"/>
      <c r="C367" s="25">
        <f>IF(D367="","",D367/48)</f>
        <v>0</v>
      </c>
      <c r="D367" s="26">
        <f>IF(A367="","",ROUND((A367-cfgDefasagem/1440)*48,0))</f>
        <v>0</v>
      </c>
      <c r="E367" s="26">
        <f>IF(D367="","",INT((D367-cfgDeslocamento)/4))</f>
        <v>0</v>
      </c>
      <c r="F367" s="26">
        <f>IF(D367="","",MOD(D367-cfgDeslocamento,4)+1)</f>
        <v>0</v>
      </c>
      <c r="G367" s="26">
        <f>IF(A367="","",IF(AND(ISNUMBER(B367),B367&lt;&gt;0),1,0))</f>
        <v>0</v>
      </c>
      <c r="H367" s="25">
        <f>IF(E367="","",(E367*4+3+cfgDeslocamento)/48)</f>
        <v>0</v>
      </c>
    </row>
    <row r="368" spans="1:8">
      <c r="A368" s="24"/>
      <c r="B368" s="19"/>
      <c r="C368" s="25">
        <f>IF(D368="","",D368/48)</f>
        <v>0</v>
      </c>
      <c r="D368" s="26">
        <f>IF(A368="","",ROUND((A368-cfgDefasagem/1440)*48,0))</f>
        <v>0</v>
      </c>
      <c r="E368" s="26">
        <f>IF(D368="","",INT((D368-cfgDeslocamento)/4))</f>
        <v>0</v>
      </c>
      <c r="F368" s="26">
        <f>IF(D368="","",MOD(D368-cfgDeslocamento,4)+1)</f>
        <v>0</v>
      </c>
      <c r="G368" s="26">
        <f>IF(A368="","",IF(AND(ISNUMBER(B368),B368&lt;&gt;0),1,0))</f>
        <v>0</v>
      </c>
      <c r="H368" s="25">
        <f>IF(E368="","",(E368*4+3+cfgDeslocamento)/48)</f>
        <v>0</v>
      </c>
    </row>
    <row r="369" spans="1:8">
      <c r="A369" s="24"/>
      <c r="B369" s="19"/>
      <c r="C369" s="25">
        <f>IF(D369="","",D369/48)</f>
        <v>0</v>
      </c>
      <c r="D369" s="26">
        <f>IF(A369="","",ROUND((A369-cfgDefasagem/1440)*48,0))</f>
        <v>0</v>
      </c>
      <c r="E369" s="26">
        <f>IF(D369="","",INT((D369-cfgDeslocamento)/4))</f>
        <v>0</v>
      </c>
      <c r="F369" s="26">
        <f>IF(D369="","",MOD(D369-cfgDeslocamento,4)+1)</f>
        <v>0</v>
      </c>
      <c r="G369" s="26">
        <f>IF(A369="","",IF(AND(ISNUMBER(B369),B369&lt;&gt;0),1,0))</f>
        <v>0</v>
      </c>
      <c r="H369" s="25">
        <f>IF(E369="","",(E369*4+3+cfgDeslocamento)/48)</f>
        <v>0</v>
      </c>
    </row>
    <row r="370" spans="1:8">
      <c r="A370" s="24"/>
      <c r="B370" s="19"/>
      <c r="C370" s="25">
        <f>IF(D370="","",D370/48)</f>
        <v>0</v>
      </c>
      <c r="D370" s="26">
        <f>IF(A370="","",ROUND((A370-cfgDefasagem/1440)*48,0))</f>
        <v>0</v>
      </c>
      <c r="E370" s="26">
        <f>IF(D370="","",INT((D370-cfgDeslocamento)/4))</f>
        <v>0</v>
      </c>
      <c r="F370" s="26">
        <f>IF(D370="","",MOD(D370-cfgDeslocamento,4)+1)</f>
        <v>0</v>
      </c>
      <c r="G370" s="26">
        <f>IF(A370="","",IF(AND(ISNUMBER(B370),B370&lt;&gt;0),1,0))</f>
        <v>0</v>
      </c>
      <c r="H370" s="25">
        <f>IF(E370="","",(E370*4+3+cfgDeslocamento)/48)</f>
        <v>0</v>
      </c>
    </row>
    <row r="371" spans="1:8">
      <c r="A371" s="24"/>
      <c r="B371" s="19"/>
      <c r="C371" s="25">
        <f>IF(D371="","",D371/48)</f>
        <v>0</v>
      </c>
      <c r="D371" s="26">
        <f>IF(A371="","",ROUND((A371-cfgDefasagem/1440)*48,0))</f>
        <v>0</v>
      </c>
      <c r="E371" s="26">
        <f>IF(D371="","",INT((D371-cfgDeslocamento)/4))</f>
        <v>0</v>
      </c>
      <c r="F371" s="26">
        <f>IF(D371="","",MOD(D371-cfgDeslocamento,4)+1)</f>
        <v>0</v>
      </c>
      <c r="G371" s="26">
        <f>IF(A371="","",IF(AND(ISNUMBER(B371),B371&lt;&gt;0),1,0))</f>
        <v>0</v>
      </c>
      <c r="H371" s="25">
        <f>IF(E371="","",(E371*4+3+cfgDeslocamento)/48)</f>
        <v>0</v>
      </c>
    </row>
    <row r="372" spans="1:8">
      <c r="A372" s="24"/>
      <c r="B372" s="19"/>
      <c r="C372" s="25">
        <f>IF(D372="","",D372/48)</f>
        <v>0</v>
      </c>
      <c r="D372" s="26">
        <f>IF(A372="","",ROUND((A372-cfgDefasagem/1440)*48,0))</f>
        <v>0</v>
      </c>
      <c r="E372" s="26">
        <f>IF(D372="","",INT((D372-cfgDeslocamento)/4))</f>
        <v>0</v>
      </c>
      <c r="F372" s="26">
        <f>IF(D372="","",MOD(D372-cfgDeslocamento,4)+1)</f>
        <v>0</v>
      </c>
      <c r="G372" s="26">
        <f>IF(A372="","",IF(AND(ISNUMBER(B372),B372&lt;&gt;0),1,0))</f>
        <v>0</v>
      </c>
      <c r="H372" s="25">
        <f>IF(E372="","",(E372*4+3+cfgDeslocamento)/48)</f>
        <v>0</v>
      </c>
    </row>
    <row r="373" spans="1:8">
      <c r="A373" s="24"/>
      <c r="B373" s="19"/>
      <c r="C373" s="25">
        <f>IF(D373="","",D373/48)</f>
        <v>0</v>
      </c>
      <c r="D373" s="26">
        <f>IF(A373="","",ROUND((A373-cfgDefasagem/1440)*48,0))</f>
        <v>0</v>
      </c>
      <c r="E373" s="26">
        <f>IF(D373="","",INT((D373-cfgDeslocamento)/4))</f>
        <v>0</v>
      </c>
      <c r="F373" s="26">
        <f>IF(D373="","",MOD(D373-cfgDeslocamento,4)+1)</f>
        <v>0</v>
      </c>
      <c r="G373" s="26">
        <f>IF(A373="","",IF(AND(ISNUMBER(B373),B373&lt;&gt;0),1,0))</f>
        <v>0</v>
      </c>
      <c r="H373" s="25">
        <f>IF(E373="","",(E373*4+3+cfgDeslocamento)/48)</f>
        <v>0</v>
      </c>
    </row>
    <row r="374" spans="1:8">
      <c r="A374" s="24"/>
      <c r="B374" s="19"/>
      <c r="C374" s="25">
        <f>IF(D374="","",D374/48)</f>
        <v>0</v>
      </c>
      <c r="D374" s="26">
        <f>IF(A374="","",ROUND((A374-cfgDefasagem/1440)*48,0))</f>
        <v>0</v>
      </c>
      <c r="E374" s="26">
        <f>IF(D374="","",INT((D374-cfgDeslocamento)/4))</f>
        <v>0</v>
      </c>
      <c r="F374" s="26">
        <f>IF(D374="","",MOD(D374-cfgDeslocamento,4)+1)</f>
        <v>0</v>
      </c>
      <c r="G374" s="26">
        <f>IF(A374="","",IF(AND(ISNUMBER(B374),B374&lt;&gt;0),1,0))</f>
        <v>0</v>
      </c>
      <c r="H374" s="25">
        <f>IF(E374="","",(E374*4+3+cfgDeslocamento)/48)</f>
        <v>0</v>
      </c>
    </row>
    <row r="375" spans="1:8">
      <c r="A375" s="24"/>
      <c r="B375" s="19"/>
      <c r="C375" s="25">
        <f>IF(D375="","",D375/48)</f>
        <v>0</v>
      </c>
      <c r="D375" s="26">
        <f>IF(A375="","",ROUND((A375-cfgDefasagem/1440)*48,0))</f>
        <v>0</v>
      </c>
      <c r="E375" s="26">
        <f>IF(D375="","",INT((D375-cfgDeslocamento)/4))</f>
        <v>0</v>
      </c>
      <c r="F375" s="26">
        <f>IF(D375="","",MOD(D375-cfgDeslocamento,4)+1)</f>
        <v>0</v>
      </c>
      <c r="G375" s="26">
        <f>IF(A375="","",IF(AND(ISNUMBER(B375),B375&lt;&gt;0),1,0))</f>
        <v>0</v>
      </c>
      <c r="H375" s="25">
        <f>IF(E375="","",(E375*4+3+cfgDeslocamento)/48)</f>
        <v>0</v>
      </c>
    </row>
    <row r="376" spans="1:8">
      <c r="A376" s="24"/>
      <c r="B376" s="19"/>
      <c r="C376" s="25">
        <f>IF(D376="","",D376/48)</f>
        <v>0</v>
      </c>
      <c r="D376" s="26">
        <f>IF(A376="","",ROUND((A376-cfgDefasagem/1440)*48,0))</f>
        <v>0</v>
      </c>
      <c r="E376" s="26">
        <f>IF(D376="","",INT((D376-cfgDeslocamento)/4))</f>
        <v>0</v>
      </c>
      <c r="F376" s="26">
        <f>IF(D376="","",MOD(D376-cfgDeslocamento,4)+1)</f>
        <v>0</v>
      </c>
      <c r="G376" s="26">
        <f>IF(A376="","",IF(AND(ISNUMBER(B376),B376&lt;&gt;0),1,0))</f>
        <v>0</v>
      </c>
      <c r="H376" s="25">
        <f>IF(E376="","",(E376*4+3+cfgDeslocamento)/48)</f>
        <v>0</v>
      </c>
    </row>
    <row r="377" spans="1:8">
      <c r="A377" s="24"/>
      <c r="B377" s="19"/>
      <c r="C377" s="25">
        <f>IF(D377="","",D377/48)</f>
        <v>0</v>
      </c>
      <c r="D377" s="26">
        <f>IF(A377="","",ROUND((A377-cfgDefasagem/1440)*48,0))</f>
        <v>0</v>
      </c>
      <c r="E377" s="26">
        <f>IF(D377="","",INT((D377-cfgDeslocamento)/4))</f>
        <v>0</v>
      </c>
      <c r="F377" s="26">
        <f>IF(D377="","",MOD(D377-cfgDeslocamento,4)+1)</f>
        <v>0</v>
      </c>
      <c r="G377" s="26">
        <f>IF(A377="","",IF(AND(ISNUMBER(B377),B377&lt;&gt;0),1,0))</f>
        <v>0</v>
      </c>
      <c r="H377" s="25">
        <f>IF(E377="","",(E377*4+3+cfgDeslocamento)/48)</f>
        <v>0</v>
      </c>
    </row>
    <row r="378" spans="1:8">
      <c r="A378" s="24"/>
      <c r="B378" s="19"/>
      <c r="C378" s="25">
        <f>IF(D378="","",D378/48)</f>
        <v>0</v>
      </c>
      <c r="D378" s="26">
        <f>IF(A378="","",ROUND((A378-cfgDefasagem/1440)*48,0))</f>
        <v>0</v>
      </c>
      <c r="E378" s="26">
        <f>IF(D378="","",INT((D378-cfgDeslocamento)/4))</f>
        <v>0</v>
      </c>
      <c r="F378" s="26">
        <f>IF(D378="","",MOD(D378-cfgDeslocamento,4)+1)</f>
        <v>0</v>
      </c>
      <c r="G378" s="26">
        <f>IF(A378="","",IF(AND(ISNUMBER(B378),B378&lt;&gt;0),1,0))</f>
        <v>0</v>
      </c>
      <c r="H378" s="25">
        <f>IF(E378="","",(E378*4+3+cfgDeslocamento)/48)</f>
        <v>0</v>
      </c>
    </row>
    <row r="379" spans="1:8">
      <c r="A379" s="24"/>
      <c r="B379" s="19"/>
      <c r="C379" s="25">
        <f>IF(D379="","",D379/48)</f>
        <v>0</v>
      </c>
      <c r="D379" s="26">
        <f>IF(A379="","",ROUND((A379-cfgDefasagem/1440)*48,0))</f>
        <v>0</v>
      </c>
      <c r="E379" s="26">
        <f>IF(D379="","",INT((D379-cfgDeslocamento)/4))</f>
        <v>0</v>
      </c>
      <c r="F379" s="26">
        <f>IF(D379="","",MOD(D379-cfgDeslocamento,4)+1)</f>
        <v>0</v>
      </c>
      <c r="G379" s="26">
        <f>IF(A379="","",IF(AND(ISNUMBER(B379),B379&lt;&gt;0),1,0))</f>
        <v>0</v>
      </c>
      <c r="H379" s="25">
        <f>IF(E379="","",(E379*4+3+cfgDeslocamento)/48)</f>
        <v>0</v>
      </c>
    </row>
    <row r="380" spans="1:8">
      <c r="A380" s="24"/>
      <c r="B380" s="19"/>
      <c r="C380" s="25">
        <f>IF(D380="","",D380/48)</f>
        <v>0</v>
      </c>
      <c r="D380" s="26">
        <f>IF(A380="","",ROUND((A380-cfgDefasagem/1440)*48,0))</f>
        <v>0</v>
      </c>
      <c r="E380" s="26">
        <f>IF(D380="","",INT((D380-cfgDeslocamento)/4))</f>
        <v>0</v>
      </c>
      <c r="F380" s="26">
        <f>IF(D380="","",MOD(D380-cfgDeslocamento,4)+1)</f>
        <v>0</v>
      </c>
      <c r="G380" s="26">
        <f>IF(A380="","",IF(AND(ISNUMBER(B380),B380&lt;&gt;0),1,0))</f>
        <v>0</v>
      </c>
      <c r="H380" s="25">
        <f>IF(E380="","",(E380*4+3+cfgDeslocamento)/48)</f>
        <v>0</v>
      </c>
    </row>
    <row r="381" spans="1:8">
      <c r="A381" s="24"/>
      <c r="B381" s="19"/>
      <c r="C381" s="25">
        <f>IF(D381="","",D381/48)</f>
        <v>0</v>
      </c>
      <c r="D381" s="26">
        <f>IF(A381="","",ROUND((A381-cfgDefasagem/1440)*48,0))</f>
        <v>0</v>
      </c>
      <c r="E381" s="26">
        <f>IF(D381="","",INT((D381-cfgDeslocamento)/4))</f>
        <v>0</v>
      </c>
      <c r="F381" s="26">
        <f>IF(D381="","",MOD(D381-cfgDeslocamento,4)+1)</f>
        <v>0</v>
      </c>
      <c r="G381" s="26">
        <f>IF(A381="","",IF(AND(ISNUMBER(B381),B381&lt;&gt;0),1,0))</f>
        <v>0</v>
      </c>
      <c r="H381" s="25">
        <f>IF(E381="","",(E381*4+3+cfgDeslocamento)/48)</f>
        <v>0</v>
      </c>
    </row>
    <row r="382" spans="1:8">
      <c r="A382" s="24"/>
      <c r="B382" s="19"/>
      <c r="C382" s="25">
        <f>IF(D382="","",D382/48)</f>
        <v>0</v>
      </c>
      <c r="D382" s="26">
        <f>IF(A382="","",ROUND((A382-cfgDefasagem/1440)*48,0))</f>
        <v>0</v>
      </c>
      <c r="E382" s="26">
        <f>IF(D382="","",INT((D382-cfgDeslocamento)/4))</f>
        <v>0</v>
      </c>
      <c r="F382" s="26">
        <f>IF(D382="","",MOD(D382-cfgDeslocamento,4)+1)</f>
        <v>0</v>
      </c>
      <c r="G382" s="26">
        <f>IF(A382="","",IF(AND(ISNUMBER(B382),B382&lt;&gt;0),1,0))</f>
        <v>0</v>
      </c>
      <c r="H382" s="25">
        <f>IF(E382="","",(E382*4+3+cfgDeslocamento)/48)</f>
        <v>0</v>
      </c>
    </row>
    <row r="383" spans="1:8">
      <c r="A383" s="24"/>
      <c r="B383" s="19"/>
      <c r="C383" s="25">
        <f>IF(D383="","",D383/48)</f>
        <v>0</v>
      </c>
      <c r="D383" s="26">
        <f>IF(A383="","",ROUND((A383-cfgDefasagem/1440)*48,0))</f>
        <v>0</v>
      </c>
      <c r="E383" s="26">
        <f>IF(D383="","",INT((D383-cfgDeslocamento)/4))</f>
        <v>0</v>
      </c>
      <c r="F383" s="26">
        <f>IF(D383="","",MOD(D383-cfgDeslocamento,4)+1)</f>
        <v>0</v>
      </c>
      <c r="G383" s="26">
        <f>IF(A383="","",IF(AND(ISNUMBER(B383),B383&lt;&gt;0),1,0))</f>
        <v>0</v>
      </c>
      <c r="H383" s="25">
        <f>IF(E383="","",(E383*4+3+cfgDeslocamento)/48)</f>
        <v>0</v>
      </c>
    </row>
    <row r="384" spans="1:8">
      <c r="A384" s="24"/>
      <c r="B384" s="19"/>
      <c r="C384" s="25">
        <f>IF(D384="","",D384/48)</f>
        <v>0</v>
      </c>
      <c r="D384" s="26">
        <f>IF(A384="","",ROUND((A384-cfgDefasagem/1440)*48,0))</f>
        <v>0</v>
      </c>
      <c r="E384" s="26">
        <f>IF(D384="","",INT((D384-cfgDeslocamento)/4))</f>
        <v>0</v>
      </c>
      <c r="F384" s="26">
        <f>IF(D384="","",MOD(D384-cfgDeslocamento,4)+1)</f>
        <v>0</v>
      </c>
      <c r="G384" s="26">
        <f>IF(A384="","",IF(AND(ISNUMBER(B384),B384&lt;&gt;0),1,0))</f>
        <v>0</v>
      </c>
      <c r="H384" s="25">
        <f>IF(E384="","",(E384*4+3+cfgDeslocamento)/48)</f>
        <v>0</v>
      </c>
    </row>
    <row r="385" spans="1:8">
      <c r="A385" s="24"/>
      <c r="B385" s="19"/>
      <c r="C385" s="25">
        <f>IF(D385="","",D385/48)</f>
        <v>0</v>
      </c>
      <c r="D385" s="26">
        <f>IF(A385="","",ROUND((A385-cfgDefasagem/1440)*48,0))</f>
        <v>0</v>
      </c>
      <c r="E385" s="26">
        <f>IF(D385="","",INT((D385-cfgDeslocamento)/4))</f>
        <v>0</v>
      </c>
      <c r="F385" s="26">
        <f>IF(D385="","",MOD(D385-cfgDeslocamento,4)+1)</f>
        <v>0</v>
      </c>
      <c r="G385" s="26">
        <f>IF(A385="","",IF(AND(ISNUMBER(B385),B385&lt;&gt;0),1,0))</f>
        <v>0</v>
      </c>
      <c r="H385" s="25">
        <f>IF(E385="","",(E385*4+3+cfgDeslocamento)/48)</f>
        <v>0</v>
      </c>
    </row>
    <row r="386" spans="1:8">
      <c r="A386" s="24"/>
      <c r="B386" s="19"/>
      <c r="C386" s="25">
        <f>IF(D386="","",D386/48)</f>
        <v>0</v>
      </c>
      <c r="D386" s="26">
        <f>IF(A386="","",ROUND((A386-cfgDefasagem/1440)*48,0))</f>
        <v>0</v>
      </c>
      <c r="E386" s="26">
        <f>IF(D386="","",INT((D386-cfgDeslocamento)/4))</f>
        <v>0</v>
      </c>
      <c r="F386" s="26">
        <f>IF(D386="","",MOD(D386-cfgDeslocamento,4)+1)</f>
        <v>0</v>
      </c>
      <c r="G386" s="26">
        <f>IF(A386="","",IF(AND(ISNUMBER(B386),B386&lt;&gt;0),1,0))</f>
        <v>0</v>
      </c>
      <c r="H386" s="25">
        <f>IF(E386="","",(E386*4+3+cfgDeslocamento)/48)</f>
        <v>0</v>
      </c>
    </row>
    <row r="387" spans="1:8">
      <c r="A387" s="24"/>
      <c r="B387" s="19"/>
      <c r="C387" s="25">
        <f>IF(D387="","",D387/48)</f>
        <v>0</v>
      </c>
      <c r="D387" s="26">
        <f>IF(A387="","",ROUND((A387-cfgDefasagem/1440)*48,0))</f>
        <v>0</v>
      </c>
      <c r="E387" s="26">
        <f>IF(D387="","",INT((D387-cfgDeslocamento)/4))</f>
        <v>0</v>
      </c>
      <c r="F387" s="26">
        <f>IF(D387="","",MOD(D387-cfgDeslocamento,4)+1)</f>
        <v>0</v>
      </c>
      <c r="G387" s="26">
        <f>IF(A387="","",IF(AND(ISNUMBER(B387),B387&lt;&gt;0),1,0))</f>
        <v>0</v>
      </c>
      <c r="H387" s="25">
        <f>IF(E387="","",(E387*4+3+cfgDeslocamento)/48)</f>
        <v>0</v>
      </c>
    </row>
    <row r="388" spans="1:8">
      <c r="A388" s="24"/>
      <c r="B388" s="19"/>
      <c r="C388" s="25">
        <f>IF(D388="","",D388/48)</f>
        <v>0</v>
      </c>
      <c r="D388" s="26">
        <f>IF(A388="","",ROUND((A388-cfgDefasagem/1440)*48,0))</f>
        <v>0</v>
      </c>
      <c r="E388" s="26">
        <f>IF(D388="","",INT((D388-cfgDeslocamento)/4))</f>
        <v>0</v>
      </c>
      <c r="F388" s="26">
        <f>IF(D388="","",MOD(D388-cfgDeslocamento,4)+1)</f>
        <v>0</v>
      </c>
      <c r="G388" s="26">
        <f>IF(A388="","",IF(AND(ISNUMBER(B388),B388&lt;&gt;0),1,0))</f>
        <v>0</v>
      </c>
      <c r="H388" s="25">
        <f>IF(E388="","",(E388*4+3+cfgDeslocamento)/48)</f>
        <v>0</v>
      </c>
    </row>
    <row r="389" spans="1:8">
      <c r="A389" s="24"/>
      <c r="B389" s="19"/>
      <c r="C389" s="25">
        <f>IF(D389="","",D389/48)</f>
        <v>0</v>
      </c>
      <c r="D389" s="26">
        <f>IF(A389="","",ROUND((A389-cfgDefasagem/1440)*48,0))</f>
        <v>0</v>
      </c>
      <c r="E389" s="26">
        <f>IF(D389="","",INT((D389-cfgDeslocamento)/4))</f>
        <v>0</v>
      </c>
      <c r="F389" s="26">
        <f>IF(D389="","",MOD(D389-cfgDeslocamento,4)+1)</f>
        <v>0</v>
      </c>
      <c r="G389" s="26">
        <f>IF(A389="","",IF(AND(ISNUMBER(B389),B389&lt;&gt;0),1,0))</f>
        <v>0</v>
      </c>
      <c r="H389" s="25">
        <f>IF(E389="","",(E389*4+3+cfgDeslocamento)/48)</f>
        <v>0</v>
      </c>
    </row>
    <row r="390" spans="1:8">
      <c r="A390" s="24"/>
      <c r="B390" s="19"/>
      <c r="C390" s="25">
        <f>IF(D390="","",D390/48)</f>
        <v>0</v>
      </c>
      <c r="D390" s="26">
        <f>IF(A390="","",ROUND((A390-cfgDefasagem/1440)*48,0))</f>
        <v>0</v>
      </c>
      <c r="E390" s="26">
        <f>IF(D390="","",INT((D390-cfgDeslocamento)/4))</f>
        <v>0</v>
      </c>
      <c r="F390" s="26">
        <f>IF(D390="","",MOD(D390-cfgDeslocamento,4)+1)</f>
        <v>0</v>
      </c>
      <c r="G390" s="26">
        <f>IF(A390="","",IF(AND(ISNUMBER(B390),B390&lt;&gt;0),1,0))</f>
        <v>0</v>
      </c>
      <c r="H390" s="25">
        <f>IF(E390="","",(E390*4+3+cfgDeslocamento)/48)</f>
        <v>0</v>
      </c>
    </row>
    <row r="391" spans="1:8">
      <c r="A391" s="24"/>
      <c r="B391" s="19"/>
      <c r="C391" s="25">
        <f>IF(D391="","",D391/48)</f>
        <v>0</v>
      </c>
      <c r="D391" s="26">
        <f>IF(A391="","",ROUND((A391-cfgDefasagem/1440)*48,0))</f>
        <v>0</v>
      </c>
      <c r="E391" s="26">
        <f>IF(D391="","",INT((D391-cfgDeslocamento)/4))</f>
        <v>0</v>
      </c>
      <c r="F391" s="26">
        <f>IF(D391="","",MOD(D391-cfgDeslocamento,4)+1)</f>
        <v>0</v>
      </c>
      <c r="G391" s="26">
        <f>IF(A391="","",IF(AND(ISNUMBER(B391),B391&lt;&gt;0),1,0))</f>
        <v>0</v>
      </c>
      <c r="H391" s="25">
        <f>IF(E391="","",(E391*4+3+cfgDeslocamento)/48)</f>
        <v>0</v>
      </c>
    </row>
    <row r="392" spans="1:8">
      <c r="A392" s="24"/>
      <c r="B392" s="19"/>
      <c r="C392" s="25">
        <f>IF(D392="","",D392/48)</f>
        <v>0</v>
      </c>
      <c r="D392" s="26">
        <f>IF(A392="","",ROUND((A392-cfgDefasagem/1440)*48,0))</f>
        <v>0</v>
      </c>
      <c r="E392" s="26">
        <f>IF(D392="","",INT((D392-cfgDeslocamento)/4))</f>
        <v>0</v>
      </c>
      <c r="F392" s="26">
        <f>IF(D392="","",MOD(D392-cfgDeslocamento,4)+1)</f>
        <v>0</v>
      </c>
      <c r="G392" s="26">
        <f>IF(A392="","",IF(AND(ISNUMBER(B392),B392&lt;&gt;0),1,0))</f>
        <v>0</v>
      </c>
      <c r="H392" s="25">
        <f>IF(E392="","",(E392*4+3+cfgDeslocamento)/48)</f>
        <v>0</v>
      </c>
    </row>
    <row r="393" spans="1:8">
      <c r="A393" s="24"/>
      <c r="B393" s="19"/>
      <c r="C393" s="25">
        <f>IF(D393="","",D393/48)</f>
        <v>0</v>
      </c>
      <c r="D393" s="26">
        <f>IF(A393="","",ROUND((A393-cfgDefasagem/1440)*48,0))</f>
        <v>0</v>
      </c>
      <c r="E393" s="26">
        <f>IF(D393="","",INT((D393-cfgDeslocamento)/4))</f>
        <v>0</v>
      </c>
      <c r="F393" s="26">
        <f>IF(D393="","",MOD(D393-cfgDeslocamento,4)+1)</f>
        <v>0</v>
      </c>
      <c r="G393" s="26">
        <f>IF(A393="","",IF(AND(ISNUMBER(B393),B393&lt;&gt;0),1,0))</f>
        <v>0</v>
      </c>
      <c r="H393" s="25">
        <f>IF(E393="","",(E393*4+3+cfgDeslocamento)/48)</f>
        <v>0</v>
      </c>
    </row>
    <row r="394" spans="1:8">
      <c r="A394" s="24"/>
      <c r="B394" s="19"/>
      <c r="C394" s="25">
        <f>IF(D394="","",D394/48)</f>
        <v>0</v>
      </c>
      <c r="D394" s="26">
        <f>IF(A394="","",ROUND((A394-cfgDefasagem/1440)*48,0))</f>
        <v>0</v>
      </c>
      <c r="E394" s="26">
        <f>IF(D394="","",INT((D394-cfgDeslocamento)/4))</f>
        <v>0</v>
      </c>
      <c r="F394" s="26">
        <f>IF(D394="","",MOD(D394-cfgDeslocamento,4)+1)</f>
        <v>0</v>
      </c>
      <c r="G394" s="26">
        <f>IF(A394="","",IF(AND(ISNUMBER(B394),B394&lt;&gt;0),1,0))</f>
        <v>0</v>
      </c>
      <c r="H394" s="25">
        <f>IF(E394="","",(E394*4+3+cfgDeslocamento)/48)</f>
        <v>0</v>
      </c>
    </row>
    <row r="395" spans="1:8">
      <c r="A395" s="24"/>
      <c r="B395" s="19"/>
      <c r="C395" s="25">
        <f>IF(D395="","",D395/48)</f>
        <v>0</v>
      </c>
      <c r="D395" s="26">
        <f>IF(A395="","",ROUND((A395-cfgDefasagem/1440)*48,0))</f>
        <v>0</v>
      </c>
      <c r="E395" s="26">
        <f>IF(D395="","",INT((D395-cfgDeslocamento)/4))</f>
        <v>0</v>
      </c>
      <c r="F395" s="26">
        <f>IF(D395="","",MOD(D395-cfgDeslocamento,4)+1)</f>
        <v>0</v>
      </c>
      <c r="G395" s="26">
        <f>IF(A395="","",IF(AND(ISNUMBER(B395),B395&lt;&gt;0),1,0))</f>
        <v>0</v>
      </c>
      <c r="H395" s="25">
        <f>IF(E395="","",(E395*4+3+cfgDeslocamento)/48)</f>
        <v>0</v>
      </c>
    </row>
    <row r="396" spans="1:8">
      <c r="A396" s="24"/>
      <c r="B396" s="19"/>
      <c r="C396" s="25">
        <f>IF(D396="","",D396/48)</f>
        <v>0</v>
      </c>
      <c r="D396" s="26">
        <f>IF(A396="","",ROUND((A396-cfgDefasagem/1440)*48,0))</f>
        <v>0</v>
      </c>
      <c r="E396" s="26">
        <f>IF(D396="","",INT((D396-cfgDeslocamento)/4))</f>
        <v>0</v>
      </c>
      <c r="F396" s="26">
        <f>IF(D396="","",MOD(D396-cfgDeslocamento,4)+1)</f>
        <v>0</v>
      </c>
      <c r="G396" s="26">
        <f>IF(A396="","",IF(AND(ISNUMBER(B396),B396&lt;&gt;0),1,0))</f>
        <v>0</v>
      </c>
      <c r="H396" s="25">
        <f>IF(E396="","",(E396*4+3+cfgDeslocamento)/48)</f>
        <v>0</v>
      </c>
    </row>
    <row r="397" spans="1:8">
      <c r="A397" s="24"/>
      <c r="B397" s="19"/>
      <c r="C397" s="25">
        <f>IF(D397="","",D397/48)</f>
        <v>0</v>
      </c>
      <c r="D397" s="26">
        <f>IF(A397="","",ROUND((A397-cfgDefasagem/1440)*48,0))</f>
        <v>0</v>
      </c>
      <c r="E397" s="26">
        <f>IF(D397="","",INT((D397-cfgDeslocamento)/4))</f>
        <v>0</v>
      </c>
      <c r="F397" s="26">
        <f>IF(D397="","",MOD(D397-cfgDeslocamento,4)+1)</f>
        <v>0</v>
      </c>
      <c r="G397" s="26">
        <f>IF(A397="","",IF(AND(ISNUMBER(B397),B397&lt;&gt;0),1,0))</f>
        <v>0</v>
      </c>
      <c r="H397" s="25">
        <f>IF(E397="","",(E397*4+3+cfgDeslocamento)/48)</f>
        <v>0</v>
      </c>
    </row>
    <row r="398" spans="1:8">
      <c r="A398" s="24"/>
      <c r="B398" s="19"/>
      <c r="C398" s="25">
        <f>IF(D398="","",D398/48)</f>
        <v>0</v>
      </c>
      <c r="D398" s="26">
        <f>IF(A398="","",ROUND((A398-cfgDefasagem/1440)*48,0))</f>
        <v>0</v>
      </c>
      <c r="E398" s="26">
        <f>IF(D398="","",INT((D398-cfgDeslocamento)/4))</f>
        <v>0</v>
      </c>
      <c r="F398" s="26">
        <f>IF(D398="","",MOD(D398-cfgDeslocamento,4)+1)</f>
        <v>0</v>
      </c>
      <c r="G398" s="26">
        <f>IF(A398="","",IF(AND(ISNUMBER(B398),B398&lt;&gt;0),1,0))</f>
        <v>0</v>
      </c>
      <c r="H398" s="25">
        <f>IF(E398="","",(E398*4+3+cfgDeslocamento)/48)</f>
        <v>0</v>
      </c>
    </row>
    <row r="399" spans="1:8">
      <c r="A399" s="24"/>
      <c r="B399" s="19"/>
      <c r="C399" s="25">
        <f>IF(D399="","",D399/48)</f>
        <v>0</v>
      </c>
      <c r="D399" s="26">
        <f>IF(A399="","",ROUND((A399-cfgDefasagem/1440)*48,0))</f>
        <v>0</v>
      </c>
      <c r="E399" s="26">
        <f>IF(D399="","",INT((D399-cfgDeslocamento)/4))</f>
        <v>0</v>
      </c>
      <c r="F399" s="26">
        <f>IF(D399="","",MOD(D399-cfgDeslocamento,4)+1)</f>
        <v>0</v>
      </c>
      <c r="G399" s="26">
        <f>IF(A399="","",IF(AND(ISNUMBER(B399),B399&lt;&gt;0),1,0))</f>
        <v>0</v>
      </c>
      <c r="H399" s="25">
        <f>IF(E399="","",(E399*4+3+cfgDeslocamento)/48)</f>
        <v>0</v>
      </c>
    </row>
    <row r="400" spans="1:8">
      <c r="A400" s="24"/>
      <c r="B400" s="19"/>
      <c r="C400" s="25">
        <f>IF(D400="","",D400/48)</f>
        <v>0</v>
      </c>
      <c r="D400" s="26">
        <f>IF(A400="","",ROUND((A400-cfgDefasagem/1440)*48,0))</f>
        <v>0</v>
      </c>
      <c r="E400" s="26">
        <f>IF(D400="","",INT((D400-cfgDeslocamento)/4))</f>
        <v>0</v>
      </c>
      <c r="F400" s="26">
        <f>IF(D400="","",MOD(D400-cfgDeslocamento,4)+1)</f>
        <v>0</v>
      </c>
      <c r="G400" s="26">
        <f>IF(A400="","",IF(AND(ISNUMBER(B400),B400&lt;&gt;0),1,0))</f>
        <v>0</v>
      </c>
      <c r="H400" s="25">
        <f>IF(E400="","",(E400*4+3+cfgDeslocamento)/48)</f>
        <v>0</v>
      </c>
    </row>
    <row r="401" spans="1:8">
      <c r="A401" s="24"/>
      <c r="B401" s="19"/>
      <c r="C401" s="25">
        <f>IF(D401="","",D401/48)</f>
        <v>0</v>
      </c>
      <c r="D401" s="26">
        <f>IF(A401="","",ROUND((A401-cfgDefasagem/1440)*48,0))</f>
        <v>0</v>
      </c>
      <c r="E401" s="26">
        <f>IF(D401="","",INT((D401-cfgDeslocamento)/4))</f>
        <v>0</v>
      </c>
      <c r="F401" s="26">
        <f>IF(D401="","",MOD(D401-cfgDeslocamento,4)+1)</f>
        <v>0</v>
      </c>
      <c r="G401" s="26">
        <f>IF(A401="","",IF(AND(ISNUMBER(B401),B401&lt;&gt;0),1,0))</f>
        <v>0</v>
      </c>
      <c r="H401" s="25">
        <f>IF(E401="","",(E401*4+3+cfgDeslocamento)/48)</f>
        <v>0</v>
      </c>
    </row>
    <row r="402" spans="1:8">
      <c r="A402" s="24"/>
      <c r="B402" s="19"/>
      <c r="C402" s="25">
        <f>IF(D402="","",D402/48)</f>
        <v>0</v>
      </c>
      <c r="D402" s="26">
        <f>IF(A402="","",ROUND((A402-cfgDefasagem/1440)*48,0))</f>
        <v>0</v>
      </c>
      <c r="E402" s="26">
        <f>IF(D402="","",INT((D402-cfgDeslocamento)/4))</f>
        <v>0</v>
      </c>
      <c r="F402" s="26">
        <f>IF(D402="","",MOD(D402-cfgDeslocamento,4)+1)</f>
        <v>0</v>
      </c>
      <c r="G402" s="26">
        <f>IF(A402="","",IF(AND(ISNUMBER(B402),B402&lt;&gt;0),1,0))</f>
        <v>0</v>
      </c>
      <c r="H402" s="25">
        <f>IF(E402="","",(E402*4+3+cfgDeslocamento)/48)</f>
        <v>0</v>
      </c>
    </row>
    <row r="403" spans="1:8">
      <c r="A403" s="24"/>
      <c r="B403" s="19"/>
      <c r="C403" s="25">
        <f>IF(D403="","",D403/48)</f>
        <v>0</v>
      </c>
      <c r="D403" s="26">
        <f>IF(A403="","",ROUND((A403-cfgDefasagem/1440)*48,0))</f>
        <v>0</v>
      </c>
      <c r="E403" s="26">
        <f>IF(D403="","",INT((D403-cfgDeslocamento)/4))</f>
        <v>0</v>
      </c>
      <c r="F403" s="26">
        <f>IF(D403="","",MOD(D403-cfgDeslocamento,4)+1)</f>
        <v>0</v>
      </c>
      <c r="G403" s="26">
        <f>IF(A403="","",IF(AND(ISNUMBER(B403),B403&lt;&gt;0),1,0))</f>
        <v>0</v>
      </c>
      <c r="H403" s="25">
        <f>IF(E403="","",(E403*4+3+cfgDeslocamento)/48)</f>
        <v>0</v>
      </c>
    </row>
    <row r="404" spans="1:8">
      <c r="A404" s="24"/>
      <c r="B404" s="19"/>
      <c r="C404" s="25">
        <f>IF(D404="","",D404/48)</f>
        <v>0</v>
      </c>
      <c r="D404" s="26">
        <f>IF(A404="","",ROUND((A404-cfgDefasagem/1440)*48,0))</f>
        <v>0</v>
      </c>
      <c r="E404" s="26">
        <f>IF(D404="","",INT((D404-cfgDeslocamento)/4))</f>
        <v>0</v>
      </c>
      <c r="F404" s="26">
        <f>IF(D404="","",MOD(D404-cfgDeslocamento,4)+1)</f>
        <v>0</v>
      </c>
      <c r="G404" s="26">
        <f>IF(A404="","",IF(AND(ISNUMBER(B404),B404&lt;&gt;0),1,0))</f>
        <v>0</v>
      </c>
      <c r="H404" s="25">
        <f>IF(E404="","",(E404*4+3+cfgDeslocamento)/48)</f>
        <v>0</v>
      </c>
    </row>
    <row r="405" spans="1:8">
      <c r="A405" s="24"/>
      <c r="B405" s="19"/>
      <c r="C405" s="25">
        <f>IF(D405="","",D405/48)</f>
        <v>0</v>
      </c>
      <c r="D405" s="26">
        <f>IF(A405="","",ROUND((A405-cfgDefasagem/1440)*48,0))</f>
        <v>0</v>
      </c>
      <c r="E405" s="26">
        <f>IF(D405="","",INT((D405-cfgDeslocamento)/4))</f>
        <v>0</v>
      </c>
      <c r="F405" s="26">
        <f>IF(D405="","",MOD(D405-cfgDeslocamento,4)+1)</f>
        <v>0</v>
      </c>
      <c r="G405" s="26">
        <f>IF(A405="","",IF(AND(ISNUMBER(B405),B405&lt;&gt;0),1,0))</f>
        <v>0</v>
      </c>
      <c r="H405" s="25">
        <f>IF(E405="","",(E405*4+3+cfgDeslocamento)/48)</f>
        <v>0</v>
      </c>
    </row>
    <row r="406" spans="1:8">
      <c r="A406" s="24"/>
      <c r="B406" s="19"/>
      <c r="C406" s="25">
        <f>IF(D406="","",D406/48)</f>
        <v>0</v>
      </c>
      <c r="D406" s="26">
        <f>IF(A406="","",ROUND((A406-cfgDefasagem/1440)*48,0))</f>
        <v>0</v>
      </c>
      <c r="E406" s="26">
        <f>IF(D406="","",INT((D406-cfgDeslocamento)/4))</f>
        <v>0</v>
      </c>
      <c r="F406" s="26">
        <f>IF(D406="","",MOD(D406-cfgDeslocamento,4)+1)</f>
        <v>0</v>
      </c>
      <c r="G406" s="26">
        <f>IF(A406="","",IF(AND(ISNUMBER(B406),B406&lt;&gt;0),1,0))</f>
        <v>0</v>
      </c>
      <c r="H406" s="25">
        <f>IF(E406="","",(E406*4+3+cfgDeslocamento)/48)</f>
        <v>0</v>
      </c>
    </row>
    <row r="407" spans="1:8">
      <c r="A407" s="24"/>
      <c r="B407" s="19"/>
      <c r="C407" s="25">
        <f>IF(D407="","",D407/48)</f>
        <v>0</v>
      </c>
      <c r="D407" s="26">
        <f>IF(A407="","",ROUND((A407-cfgDefasagem/1440)*48,0))</f>
        <v>0</v>
      </c>
      <c r="E407" s="26">
        <f>IF(D407="","",INT((D407-cfgDeslocamento)/4))</f>
        <v>0</v>
      </c>
      <c r="F407" s="26">
        <f>IF(D407="","",MOD(D407-cfgDeslocamento,4)+1)</f>
        <v>0</v>
      </c>
      <c r="G407" s="26">
        <f>IF(A407="","",IF(AND(ISNUMBER(B407),B407&lt;&gt;0),1,0))</f>
        <v>0</v>
      </c>
      <c r="H407" s="25">
        <f>IF(E407="","",(E407*4+3+cfgDeslocamento)/48)</f>
        <v>0</v>
      </c>
    </row>
    <row r="408" spans="1:8">
      <c r="A408" s="24"/>
      <c r="B408" s="19"/>
      <c r="C408" s="25">
        <f>IF(D408="","",D408/48)</f>
        <v>0</v>
      </c>
      <c r="D408" s="26">
        <f>IF(A408="","",ROUND((A408-cfgDefasagem/1440)*48,0))</f>
        <v>0</v>
      </c>
      <c r="E408" s="26">
        <f>IF(D408="","",INT((D408-cfgDeslocamento)/4))</f>
        <v>0</v>
      </c>
      <c r="F408" s="26">
        <f>IF(D408="","",MOD(D408-cfgDeslocamento,4)+1)</f>
        <v>0</v>
      </c>
      <c r="G408" s="26">
        <f>IF(A408="","",IF(AND(ISNUMBER(B408),B408&lt;&gt;0),1,0))</f>
        <v>0</v>
      </c>
      <c r="H408" s="25">
        <f>IF(E408="","",(E408*4+3+cfgDeslocamento)/48)</f>
        <v>0</v>
      </c>
    </row>
    <row r="409" spans="1:8">
      <c r="A409" s="24"/>
      <c r="B409" s="19"/>
      <c r="C409" s="25">
        <f>IF(D409="","",D409/48)</f>
        <v>0</v>
      </c>
      <c r="D409" s="26">
        <f>IF(A409="","",ROUND((A409-cfgDefasagem/1440)*48,0))</f>
        <v>0</v>
      </c>
      <c r="E409" s="26">
        <f>IF(D409="","",INT((D409-cfgDeslocamento)/4))</f>
        <v>0</v>
      </c>
      <c r="F409" s="26">
        <f>IF(D409="","",MOD(D409-cfgDeslocamento,4)+1)</f>
        <v>0</v>
      </c>
      <c r="G409" s="26">
        <f>IF(A409="","",IF(AND(ISNUMBER(B409),B409&lt;&gt;0),1,0))</f>
        <v>0</v>
      </c>
      <c r="H409" s="25">
        <f>IF(E409="","",(E409*4+3+cfgDeslocamento)/48)</f>
        <v>0</v>
      </c>
    </row>
    <row r="410" spans="1:8">
      <c r="A410" s="24"/>
      <c r="B410" s="19"/>
      <c r="C410" s="25">
        <f>IF(D410="","",D410/48)</f>
        <v>0</v>
      </c>
      <c r="D410" s="26">
        <f>IF(A410="","",ROUND((A410-cfgDefasagem/1440)*48,0))</f>
        <v>0</v>
      </c>
      <c r="E410" s="26">
        <f>IF(D410="","",INT((D410-cfgDeslocamento)/4))</f>
        <v>0</v>
      </c>
      <c r="F410" s="26">
        <f>IF(D410="","",MOD(D410-cfgDeslocamento,4)+1)</f>
        <v>0</v>
      </c>
      <c r="G410" s="26">
        <f>IF(A410="","",IF(AND(ISNUMBER(B410),B410&lt;&gt;0),1,0))</f>
        <v>0</v>
      </c>
      <c r="H410" s="25">
        <f>IF(E410="","",(E410*4+3+cfgDeslocamento)/48)</f>
        <v>0</v>
      </c>
    </row>
    <row r="411" spans="1:8">
      <c r="A411" s="24"/>
      <c r="B411" s="19"/>
      <c r="C411" s="25">
        <f>IF(D411="","",D411/48)</f>
        <v>0</v>
      </c>
      <c r="D411" s="26">
        <f>IF(A411="","",ROUND((A411-cfgDefasagem/1440)*48,0))</f>
        <v>0</v>
      </c>
      <c r="E411" s="26">
        <f>IF(D411="","",INT((D411-cfgDeslocamento)/4))</f>
        <v>0</v>
      </c>
      <c r="F411" s="26">
        <f>IF(D411="","",MOD(D411-cfgDeslocamento,4)+1)</f>
        <v>0</v>
      </c>
      <c r="G411" s="26">
        <f>IF(A411="","",IF(AND(ISNUMBER(B411),B411&lt;&gt;0),1,0))</f>
        <v>0</v>
      </c>
      <c r="H411" s="25">
        <f>IF(E411="","",(E411*4+3+cfgDeslocamento)/48)</f>
        <v>0</v>
      </c>
    </row>
    <row r="412" spans="1:8">
      <c r="A412" s="24"/>
      <c r="B412" s="19"/>
      <c r="C412" s="25">
        <f>IF(D412="","",D412/48)</f>
        <v>0</v>
      </c>
      <c r="D412" s="26">
        <f>IF(A412="","",ROUND((A412-cfgDefasagem/1440)*48,0))</f>
        <v>0</v>
      </c>
      <c r="E412" s="26">
        <f>IF(D412="","",INT((D412-cfgDeslocamento)/4))</f>
        <v>0</v>
      </c>
      <c r="F412" s="26">
        <f>IF(D412="","",MOD(D412-cfgDeslocamento,4)+1)</f>
        <v>0</v>
      </c>
      <c r="G412" s="26">
        <f>IF(A412="","",IF(AND(ISNUMBER(B412),B412&lt;&gt;0),1,0))</f>
        <v>0</v>
      </c>
      <c r="H412" s="25">
        <f>IF(E412="","",(E412*4+3+cfgDeslocamento)/48)</f>
        <v>0</v>
      </c>
    </row>
    <row r="413" spans="1:8">
      <c r="A413" s="24"/>
      <c r="B413" s="19"/>
      <c r="C413" s="25">
        <f>IF(D413="","",D413/48)</f>
        <v>0</v>
      </c>
      <c r="D413" s="26">
        <f>IF(A413="","",ROUND((A413-cfgDefasagem/1440)*48,0))</f>
        <v>0</v>
      </c>
      <c r="E413" s="26">
        <f>IF(D413="","",INT((D413-cfgDeslocamento)/4))</f>
        <v>0</v>
      </c>
      <c r="F413" s="26">
        <f>IF(D413="","",MOD(D413-cfgDeslocamento,4)+1)</f>
        <v>0</v>
      </c>
      <c r="G413" s="26">
        <f>IF(A413="","",IF(AND(ISNUMBER(B413),B413&lt;&gt;0),1,0))</f>
        <v>0</v>
      </c>
      <c r="H413" s="25">
        <f>IF(E413="","",(E413*4+3+cfgDeslocamento)/48)</f>
        <v>0</v>
      </c>
    </row>
    <row r="414" spans="1:8">
      <c r="A414" s="24"/>
      <c r="B414" s="19"/>
      <c r="C414" s="25">
        <f>IF(D414="","",D414/48)</f>
        <v>0</v>
      </c>
      <c r="D414" s="26">
        <f>IF(A414="","",ROUND((A414-cfgDefasagem/1440)*48,0))</f>
        <v>0</v>
      </c>
      <c r="E414" s="26">
        <f>IF(D414="","",INT((D414-cfgDeslocamento)/4))</f>
        <v>0</v>
      </c>
      <c r="F414" s="26">
        <f>IF(D414="","",MOD(D414-cfgDeslocamento,4)+1)</f>
        <v>0</v>
      </c>
      <c r="G414" s="26">
        <f>IF(A414="","",IF(AND(ISNUMBER(B414),B414&lt;&gt;0),1,0))</f>
        <v>0</v>
      </c>
      <c r="H414" s="25">
        <f>IF(E414="","",(E414*4+3+cfgDeslocamento)/48)</f>
        <v>0</v>
      </c>
    </row>
    <row r="415" spans="1:8">
      <c r="A415" s="24"/>
      <c r="B415" s="19"/>
      <c r="C415" s="25">
        <f>IF(D415="","",D415/48)</f>
        <v>0</v>
      </c>
      <c r="D415" s="26">
        <f>IF(A415="","",ROUND((A415-cfgDefasagem/1440)*48,0))</f>
        <v>0</v>
      </c>
      <c r="E415" s="26">
        <f>IF(D415="","",INT((D415-cfgDeslocamento)/4))</f>
        <v>0</v>
      </c>
      <c r="F415" s="26">
        <f>IF(D415="","",MOD(D415-cfgDeslocamento,4)+1)</f>
        <v>0</v>
      </c>
      <c r="G415" s="26">
        <f>IF(A415="","",IF(AND(ISNUMBER(B415),B415&lt;&gt;0),1,0))</f>
        <v>0</v>
      </c>
      <c r="H415" s="25">
        <f>IF(E415="","",(E415*4+3+cfgDeslocamento)/48)</f>
        <v>0</v>
      </c>
    </row>
    <row r="416" spans="1:8">
      <c r="A416" s="24"/>
      <c r="B416" s="19"/>
      <c r="C416" s="25">
        <f>IF(D416="","",D416/48)</f>
        <v>0</v>
      </c>
      <c r="D416" s="26">
        <f>IF(A416="","",ROUND((A416-cfgDefasagem/1440)*48,0))</f>
        <v>0</v>
      </c>
      <c r="E416" s="26">
        <f>IF(D416="","",INT((D416-cfgDeslocamento)/4))</f>
        <v>0</v>
      </c>
      <c r="F416" s="26">
        <f>IF(D416="","",MOD(D416-cfgDeslocamento,4)+1)</f>
        <v>0</v>
      </c>
      <c r="G416" s="26">
        <f>IF(A416="","",IF(AND(ISNUMBER(B416),B416&lt;&gt;0),1,0))</f>
        <v>0</v>
      </c>
      <c r="H416" s="25">
        <f>IF(E416="","",(E416*4+3+cfgDeslocamento)/48)</f>
        <v>0</v>
      </c>
    </row>
    <row r="417" spans="1:8">
      <c r="A417" s="24"/>
      <c r="B417" s="19"/>
      <c r="C417" s="25">
        <f>IF(D417="","",D417/48)</f>
        <v>0</v>
      </c>
      <c r="D417" s="26">
        <f>IF(A417="","",ROUND((A417-cfgDefasagem/1440)*48,0))</f>
        <v>0</v>
      </c>
      <c r="E417" s="26">
        <f>IF(D417="","",INT((D417-cfgDeslocamento)/4))</f>
        <v>0</v>
      </c>
      <c r="F417" s="26">
        <f>IF(D417="","",MOD(D417-cfgDeslocamento,4)+1)</f>
        <v>0</v>
      </c>
      <c r="G417" s="26">
        <f>IF(A417="","",IF(AND(ISNUMBER(B417),B417&lt;&gt;0),1,0))</f>
        <v>0</v>
      </c>
      <c r="H417" s="25">
        <f>IF(E417="","",(E417*4+3+cfgDeslocamento)/48)</f>
        <v>0</v>
      </c>
    </row>
    <row r="418" spans="1:8">
      <c r="A418" s="24"/>
      <c r="B418" s="19"/>
      <c r="C418" s="25">
        <f>IF(D418="","",D418/48)</f>
        <v>0</v>
      </c>
      <c r="D418" s="26">
        <f>IF(A418="","",ROUND((A418-cfgDefasagem/1440)*48,0))</f>
        <v>0</v>
      </c>
      <c r="E418" s="26">
        <f>IF(D418="","",INT((D418-cfgDeslocamento)/4))</f>
        <v>0</v>
      </c>
      <c r="F418" s="26">
        <f>IF(D418="","",MOD(D418-cfgDeslocamento,4)+1)</f>
        <v>0</v>
      </c>
      <c r="G418" s="26">
        <f>IF(A418="","",IF(AND(ISNUMBER(B418),B418&lt;&gt;0),1,0))</f>
        <v>0</v>
      </c>
      <c r="H418" s="25">
        <f>IF(E418="","",(E418*4+3+cfgDeslocamento)/48)</f>
        <v>0</v>
      </c>
    </row>
    <row r="419" spans="1:8">
      <c r="A419" s="24"/>
      <c r="B419" s="19"/>
      <c r="C419" s="25">
        <f>IF(D419="","",D419/48)</f>
        <v>0</v>
      </c>
      <c r="D419" s="26">
        <f>IF(A419="","",ROUND((A419-cfgDefasagem/1440)*48,0))</f>
        <v>0</v>
      </c>
      <c r="E419" s="26">
        <f>IF(D419="","",INT((D419-cfgDeslocamento)/4))</f>
        <v>0</v>
      </c>
      <c r="F419" s="26">
        <f>IF(D419="","",MOD(D419-cfgDeslocamento,4)+1)</f>
        <v>0</v>
      </c>
      <c r="G419" s="26">
        <f>IF(A419="","",IF(AND(ISNUMBER(B419),B419&lt;&gt;0),1,0))</f>
        <v>0</v>
      </c>
      <c r="H419" s="25">
        <f>IF(E419="","",(E419*4+3+cfgDeslocamento)/48)</f>
        <v>0</v>
      </c>
    </row>
    <row r="420" spans="1:8">
      <c r="A420" s="24"/>
      <c r="B420" s="19"/>
      <c r="C420" s="25">
        <f>IF(D420="","",D420/48)</f>
        <v>0</v>
      </c>
      <c r="D420" s="26">
        <f>IF(A420="","",ROUND((A420-cfgDefasagem/1440)*48,0))</f>
        <v>0</v>
      </c>
      <c r="E420" s="26">
        <f>IF(D420="","",INT((D420-cfgDeslocamento)/4))</f>
        <v>0</v>
      </c>
      <c r="F420" s="26">
        <f>IF(D420="","",MOD(D420-cfgDeslocamento,4)+1)</f>
        <v>0</v>
      </c>
      <c r="G420" s="26">
        <f>IF(A420="","",IF(AND(ISNUMBER(B420),B420&lt;&gt;0),1,0))</f>
        <v>0</v>
      </c>
      <c r="H420" s="25">
        <f>IF(E420="","",(E420*4+3+cfgDeslocamento)/48)</f>
        <v>0</v>
      </c>
    </row>
    <row r="421" spans="1:8">
      <c r="A421" s="24"/>
      <c r="B421" s="19"/>
      <c r="C421" s="25">
        <f>IF(D421="","",D421/48)</f>
        <v>0</v>
      </c>
      <c r="D421" s="26">
        <f>IF(A421="","",ROUND((A421-cfgDefasagem/1440)*48,0))</f>
        <v>0</v>
      </c>
      <c r="E421" s="26">
        <f>IF(D421="","",INT((D421-cfgDeslocamento)/4))</f>
        <v>0</v>
      </c>
      <c r="F421" s="26">
        <f>IF(D421="","",MOD(D421-cfgDeslocamento,4)+1)</f>
        <v>0</v>
      </c>
      <c r="G421" s="26">
        <f>IF(A421="","",IF(AND(ISNUMBER(B421),B421&lt;&gt;0),1,0))</f>
        <v>0</v>
      </c>
      <c r="H421" s="25">
        <f>IF(E421="","",(E421*4+3+cfgDeslocamento)/48)</f>
        <v>0</v>
      </c>
    </row>
    <row r="422" spans="1:8">
      <c r="A422" s="24"/>
      <c r="B422" s="19"/>
      <c r="C422" s="25">
        <f>IF(D422="","",D422/48)</f>
        <v>0</v>
      </c>
      <c r="D422" s="26">
        <f>IF(A422="","",ROUND((A422-cfgDefasagem/1440)*48,0))</f>
        <v>0</v>
      </c>
      <c r="E422" s="26">
        <f>IF(D422="","",INT((D422-cfgDeslocamento)/4))</f>
        <v>0</v>
      </c>
      <c r="F422" s="26">
        <f>IF(D422="","",MOD(D422-cfgDeslocamento,4)+1)</f>
        <v>0</v>
      </c>
      <c r="G422" s="26">
        <f>IF(A422="","",IF(AND(ISNUMBER(B422),B422&lt;&gt;0),1,0))</f>
        <v>0</v>
      </c>
      <c r="H422" s="25">
        <f>IF(E422="","",(E422*4+3+cfgDeslocamento)/48)</f>
        <v>0</v>
      </c>
    </row>
    <row r="423" spans="1:8">
      <c r="A423" s="24"/>
      <c r="B423" s="19"/>
      <c r="C423" s="25">
        <f>IF(D423="","",D423/48)</f>
        <v>0</v>
      </c>
      <c r="D423" s="26">
        <f>IF(A423="","",ROUND((A423-cfgDefasagem/1440)*48,0))</f>
        <v>0</v>
      </c>
      <c r="E423" s="26">
        <f>IF(D423="","",INT((D423-cfgDeslocamento)/4))</f>
        <v>0</v>
      </c>
      <c r="F423" s="26">
        <f>IF(D423="","",MOD(D423-cfgDeslocamento,4)+1)</f>
        <v>0</v>
      </c>
      <c r="G423" s="26">
        <f>IF(A423="","",IF(AND(ISNUMBER(B423),B423&lt;&gt;0),1,0))</f>
        <v>0</v>
      </c>
      <c r="H423" s="25">
        <f>IF(E423="","",(E423*4+3+cfgDeslocamento)/48)</f>
        <v>0</v>
      </c>
    </row>
    <row r="424" spans="1:8">
      <c r="A424" s="24"/>
      <c r="B424" s="19"/>
      <c r="C424" s="25">
        <f>IF(D424="","",D424/48)</f>
        <v>0</v>
      </c>
      <c r="D424" s="26">
        <f>IF(A424="","",ROUND((A424-cfgDefasagem/1440)*48,0))</f>
        <v>0</v>
      </c>
      <c r="E424" s="26">
        <f>IF(D424="","",INT((D424-cfgDeslocamento)/4))</f>
        <v>0</v>
      </c>
      <c r="F424" s="26">
        <f>IF(D424="","",MOD(D424-cfgDeslocamento,4)+1)</f>
        <v>0</v>
      </c>
      <c r="G424" s="26">
        <f>IF(A424="","",IF(AND(ISNUMBER(B424),B424&lt;&gt;0),1,0))</f>
        <v>0</v>
      </c>
      <c r="H424" s="25">
        <f>IF(E424="","",(E424*4+3+cfgDeslocamento)/48)</f>
        <v>0</v>
      </c>
    </row>
    <row r="425" spans="1:8">
      <c r="A425" s="24"/>
      <c r="B425" s="19"/>
      <c r="C425" s="25">
        <f>IF(D425="","",D425/48)</f>
        <v>0</v>
      </c>
      <c r="D425" s="26">
        <f>IF(A425="","",ROUND((A425-cfgDefasagem/1440)*48,0))</f>
        <v>0</v>
      </c>
      <c r="E425" s="26">
        <f>IF(D425="","",INT((D425-cfgDeslocamento)/4))</f>
        <v>0</v>
      </c>
      <c r="F425" s="26">
        <f>IF(D425="","",MOD(D425-cfgDeslocamento,4)+1)</f>
        <v>0</v>
      </c>
      <c r="G425" s="26">
        <f>IF(A425="","",IF(AND(ISNUMBER(B425),B425&lt;&gt;0),1,0))</f>
        <v>0</v>
      </c>
      <c r="H425" s="25">
        <f>IF(E425="","",(E425*4+3+cfgDeslocamento)/48)</f>
        <v>0</v>
      </c>
    </row>
    <row r="426" spans="1:8">
      <c r="A426" s="24"/>
      <c r="B426" s="19"/>
      <c r="C426" s="25">
        <f>IF(D426="","",D426/48)</f>
        <v>0</v>
      </c>
      <c r="D426" s="26">
        <f>IF(A426="","",ROUND((A426-cfgDefasagem/1440)*48,0))</f>
        <v>0</v>
      </c>
      <c r="E426" s="26">
        <f>IF(D426="","",INT((D426-cfgDeslocamento)/4))</f>
        <v>0</v>
      </c>
      <c r="F426" s="26">
        <f>IF(D426="","",MOD(D426-cfgDeslocamento,4)+1)</f>
        <v>0</v>
      </c>
      <c r="G426" s="26">
        <f>IF(A426="","",IF(AND(ISNUMBER(B426),B426&lt;&gt;0),1,0))</f>
        <v>0</v>
      </c>
      <c r="H426" s="25">
        <f>IF(E426="","",(E426*4+3+cfgDeslocamento)/48)</f>
        <v>0</v>
      </c>
    </row>
    <row r="427" spans="1:8">
      <c r="A427" s="24"/>
      <c r="B427" s="19"/>
      <c r="C427" s="25">
        <f>IF(D427="","",D427/48)</f>
        <v>0</v>
      </c>
      <c r="D427" s="26">
        <f>IF(A427="","",ROUND((A427-cfgDefasagem/1440)*48,0))</f>
        <v>0</v>
      </c>
      <c r="E427" s="26">
        <f>IF(D427="","",INT((D427-cfgDeslocamento)/4))</f>
        <v>0</v>
      </c>
      <c r="F427" s="26">
        <f>IF(D427="","",MOD(D427-cfgDeslocamento,4)+1)</f>
        <v>0</v>
      </c>
      <c r="G427" s="26">
        <f>IF(A427="","",IF(AND(ISNUMBER(B427),B427&lt;&gt;0),1,0))</f>
        <v>0</v>
      </c>
      <c r="H427" s="25">
        <f>IF(E427="","",(E427*4+3+cfgDeslocamento)/48)</f>
        <v>0</v>
      </c>
    </row>
    <row r="428" spans="1:8">
      <c r="A428" s="24"/>
      <c r="B428" s="19"/>
      <c r="C428" s="25">
        <f>IF(D428="","",D428/48)</f>
        <v>0</v>
      </c>
      <c r="D428" s="26">
        <f>IF(A428="","",ROUND((A428-cfgDefasagem/1440)*48,0))</f>
        <v>0</v>
      </c>
      <c r="E428" s="26">
        <f>IF(D428="","",INT((D428-cfgDeslocamento)/4))</f>
        <v>0</v>
      </c>
      <c r="F428" s="26">
        <f>IF(D428="","",MOD(D428-cfgDeslocamento,4)+1)</f>
        <v>0</v>
      </c>
      <c r="G428" s="26">
        <f>IF(A428="","",IF(AND(ISNUMBER(B428),B428&lt;&gt;0),1,0))</f>
        <v>0</v>
      </c>
      <c r="H428" s="25">
        <f>IF(E428="","",(E428*4+3+cfgDeslocamento)/48)</f>
        <v>0</v>
      </c>
    </row>
    <row r="429" spans="1:8">
      <c r="A429" s="24"/>
      <c r="B429" s="19"/>
      <c r="C429" s="25">
        <f>IF(D429="","",D429/48)</f>
        <v>0</v>
      </c>
      <c r="D429" s="26">
        <f>IF(A429="","",ROUND((A429-cfgDefasagem/1440)*48,0))</f>
        <v>0</v>
      </c>
      <c r="E429" s="26">
        <f>IF(D429="","",INT((D429-cfgDeslocamento)/4))</f>
        <v>0</v>
      </c>
      <c r="F429" s="26">
        <f>IF(D429="","",MOD(D429-cfgDeslocamento,4)+1)</f>
        <v>0</v>
      </c>
      <c r="G429" s="26">
        <f>IF(A429="","",IF(AND(ISNUMBER(B429),B429&lt;&gt;0),1,0))</f>
        <v>0</v>
      </c>
      <c r="H429" s="25">
        <f>IF(E429="","",(E429*4+3+cfgDeslocamento)/48)</f>
        <v>0</v>
      </c>
    </row>
    <row r="430" spans="1:8">
      <c r="A430" s="24"/>
      <c r="B430" s="19"/>
      <c r="C430" s="25">
        <f>IF(D430="","",D430/48)</f>
        <v>0</v>
      </c>
      <c r="D430" s="26">
        <f>IF(A430="","",ROUND((A430-cfgDefasagem/1440)*48,0))</f>
        <v>0</v>
      </c>
      <c r="E430" s="26">
        <f>IF(D430="","",INT((D430-cfgDeslocamento)/4))</f>
        <v>0</v>
      </c>
      <c r="F430" s="26">
        <f>IF(D430="","",MOD(D430-cfgDeslocamento,4)+1)</f>
        <v>0</v>
      </c>
      <c r="G430" s="26">
        <f>IF(A430="","",IF(AND(ISNUMBER(B430),B430&lt;&gt;0),1,0))</f>
        <v>0</v>
      </c>
      <c r="H430" s="25">
        <f>IF(E430="","",(E430*4+3+cfgDeslocamento)/48)</f>
        <v>0</v>
      </c>
    </row>
    <row r="431" spans="1:8">
      <c r="A431" s="24"/>
      <c r="B431" s="19"/>
      <c r="C431" s="25">
        <f>IF(D431="","",D431/48)</f>
        <v>0</v>
      </c>
      <c r="D431" s="26">
        <f>IF(A431="","",ROUND((A431-cfgDefasagem/1440)*48,0))</f>
        <v>0</v>
      </c>
      <c r="E431" s="26">
        <f>IF(D431="","",INT((D431-cfgDeslocamento)/4))</f>
        <v>0</v>
      </c>
      <c r="F431" s="26">
        <f>IF(D431="","",MOD(D431-cfgDeslocamento,4)+1)</f>
        <v>0</v>
      </c>
      <c r="G431" s="26">
        <f>IF(A431="","",IF(AND(ISNUMBER(B431),B431&lt;&gt;0),1,0))</f>
        <v>0</v>
      </c>
      <c r="H431" s="25">
        <f>IF(E431="","",(E431*4+3+cfgDeslocamento)/48)</f>
        <v>0</v>
      </c>
    </row>
    <row r="432" spans="1:8">
      <c r="A432" s="24"/>
      <c r="B432" s="19"/>
      <c r="C432" s="25">
        <f>IF(D432="","",D432/48)</f>
        <v>0</v>
      </c>
      <c r="D432" s="26">
        <f>IF(A432="","",ROUND((A432-cfgDefasagem/1440)*48,0))</f>
        <v>0</v>
      </c>
      <c r="E432" s="26">
        <f>IF(D432="","",INT((D432-cfgDeslocamento)/4))</f>
        <v>0</v>
      </c>
      <c r="F432" s="26">
        <f>IF(D432="","",MOD(D432-cfgDeslocamento,4)+1)</f>
        <v>0</v>
      </c>
      <c r="G432" s="26">
        <f>IF(A432="","",IF(AND(ISNUMBER(B432),B432&lt;&gt;0),1,0))</f>
        <v>0</v>
      </c>
      <c r="H432" s="25">
        <f>IF(E432="","",(E432*4+3+cfgDeslocamento)/48)</f>
        <v>0</v>
      </c>
    </row>
    <row r="433" spans="1:8">
      <c r="A433" s="24"/>
      <c r="B433" s="19"/>
      <c r="C433" s="25">
        <f>IF(D433="","",D433/48)</f>
        <v>0</v>
      </c>
      <c r="D433" s="26">
        <f>IF(A433="","",ROUND((A433-cfgDefasagem/1440)*48,0))</f>
        <v>0</v>
      </c>
      <c r="E433" s="26">
        <f>IF(D433="","",INT((D433-cfgDeslocamento)/4))</f>
        <v>0</v>
      </c>
      <c r="F433" s="26">
        <f>IF(D433="","",MOD(D433-cfgDeslocamento,4)+1)</f>
        <v>0</v>
      </c>
      <c r="G433" s="26">
        <f>IF(A433="","",IF(AND(ISNUMBER(B433),B433&lt;&gt;0),1,0))</f>
        <v>0</v>
      </c>
      <c r="H433" s="25">
        <f>IF(E433="","",(E433*4+3+cfgDeslocamento)/48)</f>
        <v>0</v>
      </c>
    </row>
    <row r="434" spans="1:8">
      <c r="A434" s="24"/>
      <c r="B434" s="19"/>
      <c r="C434" s="25">
        <f>IF(D434="","",D434/48)</f>
        <v>0</v>
      </c>
      <c r="D434" s="26">
        <f>IF(A434="","",ROUND((A434-cfgDefasagem/1440)*48,0))</f>
        <v>0</v>
      </c>
      <c r="E434" s="26">
        <f>IF(D434="","",INT((D434-cfgDeslocamento)/4))</f>
        <v>0</v>
      </c>
      <c r="F434" s="26">
        <f>IF(D434="","",MOD(D434-cfgDeslocamento,4)+1)</f>
        <v>0</v>
      </c>
      <c r="G434" s="26">
        <f>IF(A434="","",IF(AND(ISNUMBER(B434),B434&lt;&gt;0),1,0))</f>
        <v>0</v>
      </c>
      <c r="H434" s="25">
        <f>IF(E434="","",(E434*4+3+cfgDeslocamento)/48)</f>
        <v>0</v>
      </c>
    </row>
    <row r="435" spans="1:8">
      <c r="A435" s="24"/>
      <c r="B435" s="19"/>
      <c r="C435" s="25">
        <f>IF(D435="","",D435/48)</f>
        <v>0</v>
      </c>
      <c r="D435" s="26">
        <f>IF(A435="","",ROUND((A435-cfgDefasagem/1440)*48,0))</f>
        <v>0</v>
      </c>
      <c r="E435" s="26">
        <f>IF(D435="","",INT((D435-cfgDeslocamento)/4))</f>
        <v>0</v>
      </c>
      <c r="F435" s="26">
        <f>IF(D435="","",MOD(D435-cfgDeslocamento,4)+1)</f>
        <v>0</v>
      </c>
      <c r="G435" s="26">
        <f>IF(A435="","",IF(AND(ISNUMBER(B435),B435&lt;&gt;0),1,0))</f>
        <v>0</v>
      </c>
      <c r="H435" s="25">
        <f>IF(E435="","",(E435*4+3+cfgDeslocamento)/48)</f>
        <v>0</v>
      </c>
    </row>
    <row r="436" spans="1:8">
      <c r="A436" s="24"/>
      <c r="B436" s="19"/>
      <c r="C436" s="25">
        <f>IF(D436="","",D436/48)</f>
        <v>0</v>
      </c>
      <c r="D436" s="26">
        <f>IF(A436="","",ROUND((A436-cfgDefasagem/1440)*48,0))</f>
        <v>0</v>
      </c>
      <c r="E436" s="26">
        <f>IF(D436="","",INT((D436-cfgDeslocamento)/4))</f>
        <v>0</v>
      </c>
      <c r="F436" s="26">
        <f>IF(D436="","",MOD(D436-cfgDeslocamento,4)+1)</f>
        <v>0</v>
      </c>
      <c r="G436" s="26">
        <f>IF(A436="","",IF(AND(ISNUMBER(B436),B436&lt;&gt;0),1,0))</f>
        <v>0</v>
      </c>
      <c r="H436" s="25">
        <f>IF(E436="","",(E436*4+3+cfgDeslocamento)/48)</f>
        <v>0</v>
      </c>
    </row>
    <row r="437" spans="1:8">
      <c r="A437" s="24"/>
      <c r="B437" s="19"/>
      <c r="C437" s="25">
        <f>IF(D437="","",D437/48)</f>
        <v>0</v>
      </c>
      <c r="D437" s="26">
        <f>IF(A437="","",ROUND((A437-cfgDefasagem/1440)*48,0))</f>
        <v>0</v>
      </c>
      <c r="E437" s="26">
        <f>IF(D437="","",INT((D437-cfgDeslocamento)/4))</f>
        <v>0</v>
      </c>
      <c r="F437" s="26">
        <f>IF(D437="","",MOD(D437-cfgDeslocamento,4)+1)</f>
        <v>0</v>
      </c>
      <c r="G437" s="26">
        <f>IF(A437="","",IF(AND(ISNUMBER(B437),B437&lt;&gt;0),1,0))</f>
        <v>0</v>
      </c>
      <c r="H437" s="25">
        <f>IF(E437="","",(E437*4+3+cfgDeslocamento)/48)</f>
        <v>0</v>
      </c>
    </row>
    <row r="438" spans="1:8">
      <c r="A438" s="24"/>
      <c r="B438" s="19"/>
      <c r="C438" s="25">
        <f>IF(D438="","",D438/48)</f>
        <v>0</v>
      </c>
      <c r="D438" s="26">
        <f>IF(A438="","",ROUND((A438-cfgDefasagem/1440)*48,0))</f>
        <v>0</v>
      </c>
      <c r="E438" s="26">
        <f>IF(D438="","",INT((D438-cfgDeslocamento)/4))</f>
        <v>0</v>
      </c>
      <c r="F438" s="26">
        <f>IF(D438="","",MOD(D438-cfgDeslocamento,4)+1)</f>
        <v>0</v>
      </c>
      <c r="G438" s="26">
        <f>IF(A438="","",IF(AND(ISNUMBER(B438),B438&lt;&gt;0),1,0))</f>
        <v>0</v>
      </c>
      <c r="H438" s="25">
        <f>IF(E438="","",(E438*4+3+cfgDeslocamento)/48)</f>
        <v>0</v>
      </c>
    </row>
    <row r="439" spans="1:8">
      <c r="A439" s="24"/>
      <c r="B439" s="19"/>
      <c r="C439" s="25">
        <f>IF(D439="","",D439/48)</f>
        <v>0</v>
      </c>
      <c r="D439" s="26">
        <f>IF(A439="","",ROUND((A439-cfgDefasagem/1440)*48,0))</f>
        <v>0</v>
      </c>
      <c r="E439" s="26">
        <f>IF(D439="","",INT((D439-cfgDeslocamento)/4))</f>
        <v>0</v>
      </c>
      <c r="F439" s="26">
        <f>IF(D439="","",MOD(D439-cfgDeslocamento,4)+1)</f>
        <v>0</v>
      </c>
      <c r="G439" s="26">
        <f>IF(A439="","",IF(AND(ISNUMBER(B439),B439&lt;&gt;0),1,0))</f>
        <v>0</v>
      </c>
      <c r="H439" s="25">
        <f>IF(E439="","",(E439*4+3+cfgDeslocamento)/48)</f>
        <v>0</v>
      </c>
    </row>
    <row r="440" spans="1:8">
      <c r="A440" s="24"/>
      <c r="B440" s="19"/>
      <c r="C440" s="25">
        <f>IF(D440="","",D440/48)</f>
        <v>0</v>
      </c>
      <c r="D440" s="26">
        <f>IF(A440="","",ROUND((A440-cfgDefasagem/1440)*48,0))</f>
        <v>0</v>
      </c>
      <c r="E440" s="26">
        <f>IF(D440="","",INT((D440-cfgDeslocamento)/4))</f>
        <v>0</v>
      </c>
      <c r="F440" s="26">
        <f>IF(D440="","",MOD(D440-cfgDeslocamento,4)+1)</f>
        <v>0</v>
      </c>
      <c r="G440" s="26">
        <f>IF(A440="","",IF(AND(ISNUMBER(B440),B440&lt;&gt;0),1,0))</f>
        <v>0</v>
      </c>
      <c r="H440" s="25">
        <f>IF(E440="","",(E440*4+3+cfgDeslocamento)/48)</f>
        <v>0</v>
      </c>
    </row>
    <row r="441" spans="1:8">
      <c r="A441" s="24"/>
      <c r="B441" s="19"/>
      <c r="C441" s="25">
        <f>IF(D441="","",D441/48)</f>
        <v>0</v>
      </c>
      <c r="D441" s="26">
        <f>IF(A441="","",ROUND((A441-cfgDefasagem/1440)*48,0))</f>
        <v>0</v>
      </c>
      <c r="E441" s="26">
        <f>IF(D441="","",INT((D441-cfgDeslocamento)/4))</f>
        <v>0</v>
      </c>
      <c r="F441" s="26">
        <f>IF(D441="","",MOD(D441-cfgDeslocamento,4)+1)</f>
        <v>0</v>
      </c>
      <c r="G441" s="26">
        <f>IF(A441="","",IF(AND(ISNUMBER(B441),B441&lt;&gt;0),1,0))</f>
        <v>0</v>
      </c>
      <c r="H441" s="25">
        <f>IF(E441="","",(E441*4+3+cfgDeslocamento)/48)</f>
        <v>0</v>
      </c>
    </row>
    <row r="442" spans="1:8">
      <c r="A442" s="24"/>
      <c r="B442" s="19"/>
      <c r="C442" s="25">
        <f>IF(D442="","",D442/48)</f>
        <v>0</v>
      </c>
      <c r="D442" s="26">
        <f>IF(A442="","",ROUND((A442-cfgDefasagem/1440)*48,0))</f>
        <v>0</v>
      </c>
      <c r="E442" s="26">
        <f>IF(D442="","",INT((D442-cfgDeslocamento)/4))</f>
        <v>0</v>
      </c>
      <c r="F442" s="26">
        <f>IF(D442="","",MOD(D442-cfgDeslocamento,4)+1)</f>
        <v>0</v>
      </c>
      <c r="G442" s="26">
        <f>IF(A442="","",IF(AND(ISNUMBER(B442),B442&lt;&gt;0),1,0))</f>
        <v>0</v>
      </c>
      <c r="H442" s="25">
        <f>IF(E442="","",(E442*4+3+cfgDeslocamento)/48)</f>
        <v>0</v>
      </c>
    </row>
    <row r="443" spans="1:8">
      <c r="A443" s="24"/>
      <c r="B443" s="19"/>
      <c r="C443" s="25">
        <f>IF(D443="","",D443/48)</f>
        <v>0</v>
      </c>
      <c r="D443" s="26">
        <f>IF(A443="","",ROUND((A443-cfgDefasagem/1440)*48,0))</f>
        <v>0</v>
      </c>
      <c r="E443" s="26">
        <f>IF(D443="","",INT((D443-cfgDeslocamento)/4))</f>
        <v>0</v>
      </c>
      <c r="F443" s="26">
        <f>IF(D443="","",MOD(D443-cfgDeslocamento,4)+1)</f>
        <v>0</v>
      </c>
      <c r="G443" s="26">
        <f>IF(A443="","",IF(AND(ISNUMBER(B443),B443&lt;&gt;0),1,0))</f>
        <v>0</v>
      </c>
      <c r="H443" s="25">
        <f>IF(E443="","",(E443*4+3+cfgDeslocamento)/48)</f>
        <v>0</v>
      </c>
    </row>
    <row r="444" spans="1:8">
      <c r="A444" s="24"/>
      <c r="B444" s="19"/>
      <c r="C444" s="25">
        <f>IF(D444="","",D444/48)</f>
        <v>0</v>
      </c>
      <c r="D444" s="26">
        <f>IF(A444="","",ROUND((A444-cfgDefasagem/1440)*48,0))</f>
        <v>0</v>
      </c>
      <c r="E444" s="26">
        <f>IF(D444="","",INT((D444-cfgDeslocamento)/4))</f>
        <v>0</v>
      </c>
      <c r="F444" s="26">
        <f>IF(D444="","",MOD(D444-cfgDeslocamento,4)+1)</f>
        <v>0</v>
      </c>
      <c r="G444" s="26">
        <f>IF(A444="","",IF(AND(ISNUMBER(B444),B444&lt;&gt;0),1,0))</f>
        <v>0</v>
      </c>
      <c r="H444" s="25">
        <f>IF(E444="","",(E444*4+3+cfgDeslocamento)/48)</f>
        <v>0</v>
      </c>
    </row>
    <row r="445" spans="1:8">
      <c r="A445" s="24"/>
      <c r="B445" s="19"/>
      <c r="C445" s="25">
        <f>IF(D445="","",D445/48)</f>
        <v>0</v>
      </c>
      <c r="D445" s="26">
        <f>IF(A445="","",ROUND((A445-cfgDefasagem/1440)*48,0))</f>
        <v>0</v>
      </c>
      <c r="E445" s="26">
        <f>IF(D445="","",INT((D445-cfgDeslocamento)/4))</f>
        <v>0</v>
      </c>
      <c r="F445" s="26">
        <f>IF(D445="","",MOD(D445-cfgDeslocamento,4)+1)</f>
        <v>0</v>
      </c>
      <c r="G445" s="26">
        <f>IF(A445="","",IF(AND(ISNUMBER(B445),B445&lt;&gt;0),1,0))</f>
        <v>0</v>
      </c>
      <c r="H445" s="25">
        <f>IF(E445="","",(E445*4+3+cfgDeslocamento)/48)</f>
        <v>0</v>
      </c>
    </row>
    <row r="446" spans="1:8">
      <c r="A446" s="24"/>
      <c r="B446" s="19"/>
      <c r="C446" s="25">
        <f>IF(D446="","",D446/48)</f>
        <v>0</v>
      </c>
      <c r="D446" s="26">
        <f>IF(A446="","",ROUND((A446-cfgDefasagem/1440)*48,0))</f>
        <v>0</v>
      </c>
      <c r="E446" s="26">
        <f>IF(D446="","",INT((D446-cfgDeslocamento)/4))</f>
        <v>0</v>
      </c>
      <c r="F446" s="26">
        <f>IF(D446="","",MOD(D446-cfgDeslocamento,4)+1)</f>
        <v>0</v>
      </c>
      <c r="G446" s="26">
        <f>IF(A446="","",IF(AND(ISNUMBER(B446),B446&lt;&gt;0),1,0))</f>
        <v>0</v>
      </c>
      <c r="H446" s="25">
        <f>IF(E446="","",(E446*4+3+cfgDeslocamento)/48)</f>
        <v>0</v>
      </c>
    </row>
    <row r="447" spans="1:8">
      <c r="A447" s="24"/>
      <c r="B447" s="19"/>
      <c r="C447" s="25">
        <f>IF(D447="","",D447/48)</f>
        <v>0</v>
      </c>
      <c r="D447" s="26">
        <f>IF(A447="","",ROUND((A447-cfgDefasagem/1440)*48,0))</f>
        <v>0</v>
      </c>
      <c r="E447" s="26">
        <f>IF(D447="","",INT((D447-cfgDeslocamento)/4))</f>
        <v>0</v>
      </c>
      <c r="F447" s="26">
        <f>IF(D447="","",MOD(D447-cfgDeslocamento,4)+1)</f>
        <v>0</v>
      </c>
      <c r="G447" s="26">
        <f>IF(A447="","",IF(AND(ISNUMBER(B447),B447&lt;&gt;0),1,0))</f>
        <v>0</v>
      </c>
      <c r="H447" s="25">
        <f>IF(E447="","",(E447*4+3+cfgDeslocamento)/48)</f>
        <v>0</v>
      </c>
    </row>
    <row r="448" spans="1:8">
      <c r="A448" s="24"/>
      <c r="B448" s="19"/>
      <c r="C448" s="25">
        <f>IF(D448="","",D448/48)</f>
        <v>0</v>
      </c>
      <c r="D448" s="26">
        <f>IF(A448="","",ROUND((A448-cfgDefasagem/1440)*48,0))</f>
        <v>0</v>
      </c>
      <c r="E448" s="26">
        <f>IF(D448="","",INT((D448-cfgDeslocamento)/4))</f>
        <v>0</v>
      </c>
      <c r="F448" s="26">
        <f>IF(D448="","",MOD(D448-cfgDeslocamento,4)+1)</f>
        <v>0</v>
      </c>
      <c r="G448" s="26">
        <f>IF(A448="","",IF(AND(ISNUMBER(B448),B448&lt;&gt;0),1,0))</f>
        <v>0</v>
      </c>
      <c r="H448" s="25">
        <f>IF(E448="","",(E448*4+3+cfgDeslocamento)/48)</f>
        <v>0</v>
      </c>
    </row>
    <row r="449" spans="1:8">
      <c r="A449" s="24"/>
      <c r="B449" s="19"/>
      <c r="C449" s="25">
        <f>IF(D449="","",D449/48)</f>
        <v>0</v>
      </c>
      <c r="D449" s="26">
        <f>IF(A449="","",ROUND((A449-cfgDefasagem/1440)*48,0))</f>
        <v>0</v>
      </c>
      <c r="E449" s="26">
        <f>IF(D449="","",INT((D449-cfgDeslocamento)/4))</f>
        <v>0</v>
      </c>
      <c r="F449" s="26">
        <f>IF(D449="","",MOD(D449-cfgDeslocamento,4)+1)</f>
        <v>0</v>
      </c>
      <c r="G449" s="26">
        <f>IF(A449="","",IF(AND(ISNUMBER(B449),B449&lt;&gt;0),1,0))</f>
        <v>0</v>
      </c>
      <c r="H449" s="25">
        <f>IF(E449="","",(E449*4+3+cfgDeslocamento)/48)</f>
        <v>0</v>
      </c>
    </row>
    <row r="450" spans="1:8">
      <c r="A450" s="24"/>
      <c r="B450" s="19"/>
      <c r="C450" s="25">
        <f>IF(D450="","",D450/48)</f>
        <v>0</v>
      </c>
      <c r="D450" s="26">
        <f>IF(A450="","",ROUND((A450-cfgDefasagem/1440)*48,0))</f>
        <v>0</v>
      </c>
      <c r="E450" s="26">
        <f>IF(D450="","",INT((D450-cfgDeslocamento)/4))</f>
        <v>0</v>
      </c>
      <c r="F450" s="26">
        <f>IF(D450="","",MOD(D450-cfgDeslocamento,4)+1)</f>
        <v>0</v>
      </c>
      <c r="G450" s="26">
        <f>IF(A450="","",IF(AND(ISNUMBER(B450),B450&lt;&gt;0),1,0))</f>
        <v>0</v>
      </c>
      <c r="H450" s="25">
        <f>IF(E450="","",(E450*4+3+cfgDeslocamento)/48)</f>
        <v>0</v>
      </c>
    </row>
    <row r="451" spans="1:8">
      <c r="A451" s="24"/>
      <c r="B451" s="19"/>
      <c r="C451" s="25">
        <f>IF(D451="","",D451/48)</f>
        <v>0</v>
      </c>
      <c r="D451" s="26">
        <f>IF(A451="","",ROUND((A451-cfgDefasagem/1440)*48,0))</f>
        <v>0</v>
      </c>
      <c r="E451" s="26">
        <f>IF(D451="","",INT((D451-cfgDeslocamento)/4))</f>
        <v>0</v>
      </c>
      <c r="F451" s="26">
        <f>IF(D451="","",MOD(D451-cfgDeslocamento,4)+1)</f>
        <v>0</v>
      </c>
      <c r="G451" s="26">
        <f>IF(A451="","",IF(AND(ISNUMBER(B451),B451&lt;&gt;0),1,0))</f>
        <v>0</v>
      </c>
      <c r="H451" s="25">
        <f>IF(E451="","",(E451*4+3+cfgDeslocamento)/48)</f>
        <v>0</v>
      </c>
    </row>
    <row r="452" spans="1:8">
      <c r="A452" s="24"/>
      <c r="B452" s="19"/>
      <c r="C452" s="25">
        <f>IF(D452="","",D452/48)</f>
        <v>0</v>
      </c>
      <c r="D452" s="26">
        <f>IF(A452="","",ROUND((A452-cfgDefasagem/1440)*48,0))</f>
        <v>0</v>
      </c>
      <c r="E452" s="26">
        <f>IF(D452="","",INT((D452-cfgDeslocamento)/4))</f>
        <v>0</v>
      </c>
      <c r="F452" s="26">
        <f>IF(D452="","",MOD(D452-cfgDeslocamento,4)+1)</f>
        <v>0</v>
      </c>
      <c r="G452" s="26">
        <f>IF(A452="","",IF(AND(ISNUMBER(B452),B452&lt;&gt;0),1,0))</f>
        <v>0</v>
      </c>
      <c r="H452" s="25">
        <f>IF(E452="","",(E452*4+3+cfgDeslocamento)/48)</f>
        <v>0</v>
      </c>
    </row>
    <row r="453" spans="1:8">
      <c r="A453" s="24"/>
      <c r="B453" s="19"/>
      <c r="C453" s="25">
        <f>IF(D453="","",D453/48)</f>
        <v>0</v>
      </c>
      <c r="D453" s="26">
        <f>IF(A453="","",ROUND((A453-cfgDefasagem/1440)*48,0))</f>
        <v>0</v>
      </c>
      <c r="E453" s="26">
        <f>IF(D453="","",INT((D453-cfgDeslocamento)/4))</f>
        <v>0</v>
      </c>
      <c r="F453" s="26">
        <f>IF(D453="","",MOD(D453-cfgDeslocamento,4)+1)</f>
        <v>0</v>
      </c>
      <c r="G453" s="26">
        <f>IF(A453="","",IF(AND(ISNUMBER(B453),B453&lt;&gt;0),1,0))</f>
        <v>0</v>
      </c>
      <c r="H453" s="25">
        <f>IF(E453="","",(E453*4+3+cfgDeslocamento)/48)</f>
        <v>0</v>
      </c>
    </row>
    <row r="454" spans="1:8">
      <c r="A454" s="24"/>
      <c r="B454" s="19"/>
      <c r="C454" s="25">
        <f>IF(D454="","",D454/48)</f>
        <v>0</v>
      </c>
      <c r="D454" s="26">
        <f>IF(A454="","",ROUND((A454-cfgDefasagem/1440)*48,0))</f>
        <v>0</v>
      </c>
      <c r="E454" s="26">
        <f>IF(D454="","",INT((D454-cfgDeslocamento)/4))</f>
        <v>0</v>
      </c>
      <c r="F454" s="26">
        <f>IF(D454="","",MOD(D454-cfgDeslocamento,4)+1)</f>
        <v>0</v>
      </c>
      <c r="G454" s="26">
        <f>IF(A454="","",IF(AND(ISNUMBER(B454),B454&lt;&gt;0),1,0))</f>
        <v>0</v>
      </c>
      <c r="H454" s="25">
        <f>IF(E454="","",(E454*4+3+cfgDeslocamento)/48)</f>
        <v>0</v>
      </c>
    </row>
    <row r="455" spans="1:8">
      <c r="A455" s="24"/>
      <c r="B455" s="19"/>
      <c r="C455" s="25">
        <f>IF(D455="","",D455/48)</f>
        <v>0</v>
      </c>
      <c r="D455" s="26">
        <f>IF(A455="","",ROUND((A455-cfgDefasagem/1440)*48,0))</f>
        <v>0</v>
      </c>
      <c r="E455" s="26">
        <f>IF(D455="","",INT((D455-cfgDeslocamento)/4))</f>
        <v>0</v>
      </c>
      <c r="F455" s="26">
        <f>IF(D455="","",MOD(D455-cfgDeslocamento,4)+1)</f>
        <v>0</v>
      </c>
      <c r="G455" s="26">
        <f>IF(A455="","",IF(AND(ISNUMBER(B455),B455&lt;&gt;0),1,0))</f>
        <v>0</v>
      </c>
      <c r="H455" s="25">
        <f>IF(E455="","",(E455*4+3+cfgDeslocamento)/48)</f>
        <v>0</v>
      </c>
    </row>
    <row r="456" spans="1:8">
      <c r="A456" s="24"/>
      <c r="B456" s="19"/>
      <c r="C456" s="25">
        <f>IF(D456="","",D456/48)</f>
        <v>0</v>
      </c>
      <c r="D456" s="26">
        <f>IF(A456="","",ROUND((A456-cfgDefasagem/1440)*48,0))</f>
        <v>0</v>
      </c>
      <c r="E456" s="26">
        <f>IF(D456="","",INT((D456-cfgDeslocamento)/4))</f>
        <v>0</v>
      </c>
      <c r="F456" s="26">
        <f>IF(D456="","",MOD(D456-cfgDeslocamento,4)+1)</f>
        <v>0</v>
      </c>
      <c r="G456" s="26">
        <f>IF(A456="","",IF(AND(ISNUMBER(B456),B456&lt;&gt;0),1,0))</f>
        <v>0</v>
      </c>
      <c r="H456" s="25">
        <f>IF(E456="","",(E456*4+3+cfgDeslocamento)/48)</f>
        <v>0</v>
      </c>
    </row>
    <row r="457" spans="1:8">
      <c r="A457" s="24"/>
      <c r="B457" s="19"/>
      <c r="C457" s="25">
        <f>IF(D457="","",D457/48)</f>
        <v>0</v>
      </c>
      <c r="D457" s="26">
        <f>IF(A457="","",ROUND((A457-cfgDefasagem/1440)*48,0))</f>
        <v>0</v>
      </c>
      <c r="E457" s="26">
        <f>IF(D457="","",INT((D457-cfgDeslocamento)/4))</f>
        <v>0</v>
      </c>
      <c r="F457" s="26">
        <f>IF(D457="","",MOD(D457-cfgDeslocamento,4)+1)</f>
        <v>0</v>
      </c>
      <c r="G457" s="26">
        <f>IF(A457="","",IF(AND(ISNUMBER(B457),B457&lt;&gt;0),1,0))</f>
        <v>0</v>
      </c>
      <c r="H457" s="25">
        <f>IF(E457="","",(E457*4+3+cfgDeslocamento)/48)</f>
        <v>0</v>
      </c>
    </row>
    <row r="458" spans="1:8">
      <c r="A458" s="24"/>
      <c r="B458" s="19"/>
      <c r="C458" s="25">
        <f>IF(D458="","",D458/48)</f>
        <v>0</v>
      </c>
      <c r="D458" s="26">
        <f>IF(A458="","",ROUND((A458-cfgDefasagem/1440)*48,0))</f>
        <v>0</v>
      </c>
      <c r="E458" s="26">
        <f>IF(D458="","",INT((D458-cfgDeslocamento)/4))</f>
        <v>0</v>
      </c>
      <c r="F458" s="26">
        <f>IF(D458="","",MOD(D458-cfgDeslocamento,4)+1)</f>
        <v>0</v>
      </c>
      <c r="G458" s="26">
        <f>IF(A458="","",IF(AND(ISNUMBER(B458),B458&lt;&gt;0),1,0))</f>
        <v>0</v>
      </c>
      <c r="H458" s="25">
        <f>IF(E458="","",(E458*4+3+cfgDeslocamento)/48)</f>
        <v>0</v>
      </c>
    </row>
    <row r="459" spans="1:8">
      <c r="A459" s="24"/>
      <c r="B459" s="19"/>
      <c r="C459" s="25">
        <f>IF(D459="","",D459/48)</f>
        <v>0</v>
      </c>
      <c r="D459" s="26">
        <f>IF(A459="","",ROUND((A459-cfgDefasagem/1440)*48,0))</f>
        <v>0</v>
      </c>
      <c r="E459" s="26">
        <f>IF(D459="","",INT((D459-cfgDeslocamento)/4))</f>
        <v>0</v>
      </c>
      <c r="F459" s="26">
        <f>IF(D459="","",MOD(D459-cfgDeslocamento,4)+1)</f>
        <v>0</v>
      </c>
      <c r="G459" s="26">
        <f>IF(A459="","",IF(AND(ISNUMBER(B459),B459&lt;&gt;0),1,0))</f>
        <v>0</v>
      </c>
      <c r="H459" s="25">
        <f>IF(E459="","",(E459*4+3+cfgDeslocamento)/48)</f>
        <v>0</v>
      </c>
    </row>
    <row r="460" spans="1:8">
      <c r="A460" s="24"/>
      <c r="B460" s="19"/>
      <c r="C460" s="25">
        <f>IF(D460="","",D460/48)</f>
        <v>0</v>
      </c>
      <c r="D460" s="26">
        <f>IF(A460="","",ROUND((A460-cfgDefasagem/1440)*48,0))</f>
        <v>0</v>
      </c>
      <c r="E460" s="26">
        <f>IF(D460="","",INT((D460-cfgDeslocamento)/4))</f>
        <v>0</v>
      </c>
      <c r="F460" s="26">
        <f>IF(D460="","",MOD(D460-cfgDeslocamento,4)+1)</f>
        <v>0</v>
      </c>
      <c r="G460" s="26">
        <f>IF(A460="","",IF(AND(ISNUMBER(B460),B460&lt;&gt;0),1,0))</f>
        <v>0</v>
      </c>
      <c r="H460" s="25">
        <f>IF(E460="","",(E460*4+3+cfgDeslocamento)/48)</f>
        <v>0</v>
      </c>
    </row>
    <row r="461" spans="1:8">
      <c r="A461" s="24"/>
      <c r="B461" s="19"/>
      <c r="C461" s="25">
        <f>IF(D461="","",D461/48)</f>
        <v>0</v>
      </c>
      <c r="D461" s="26">
        <f>IF(A461="","",ROUND((A461-cfgDefasagem/1440)*48,0))</f>
        <v>0</v>
      </c>
      <c r="E461" s="26">
        <f>IF(D461="","",INT((D461-cfgDeslocamento)/4))</f>
        <v>0</v>
      </c>
      <c r="F461" s="26">
        <f>IF(D461="","",MOD(D461-cfgDeslocamento,4)+1)</f>
        <v>0</v>
      </c>
      <c r="G461" s="26">
        <f>IF(A461="","",IF(AND(ISNUMBER(B461),B461&lt;&gt;0),1,0))</f>
        <v>0</v>
      </c>
      <c r="H461" s="25">
        <f>IF(E461="","",(E461*4+3+cfgDeslocamento)/48)</f>
        <v>0</v>
      </c>
    </row>
    <row r="462" spans="1:8">
      <c r="A462" s="24"/>
      <c r="B462" s="19"/>
      <c r="C462" s="25">
        <f>IF(D462="","",D462/48)</f>
        <v>0</v>
      </c>
      <c r="D462" s="26">
        <f>IF(A462="","",ROUND((A462-cfgDefasagem/1440)*48,0))</f>
        <v>0</v>
      </c>
      <c r="E462" s="26">
        <f>IF(D462="","",INT((D462-cfgDeslocamento)/4))</f>
        <v>0</v>
      </c>
      <c r="F462" s="26">
        <f>IF(D462="","",MOD(D462-cfgDeslocamento,4)+1)</f>
        <v>0</v>
      </c>
      <c r="G462" s="26">
        <f>IF(A462="","",IF(AND(ISNUMBER(B462),B462&lt;&gt;0),1,0))</f>
        <v>0</v>
      </c>
      <c r="H462" s="25">
        <f>IF(E462="","",(E462*4+3+cfgDeslocamento)/48)</f>
        <v>0</v>
      </c>
    </row>
    <row r="463" spans="1:8">
      <c r="A463" s="24"/>
      <c r="B463" s="19"/>
      <c r="C463" s="25">
        <f>IF(D463="","",D463/48)</f>
        <v>0</v>
      </c>
      <c r="D463" s="26">
        <f>IF(A463="","",ROUND((A463-cfgDefasagem/1440)*48,0))</f>
        <v>0</v>
      </c>
      <c r="E463" s="26">
        <f>IF(D463="","",INT((D463-cfgDeslocamento)/4))</f>
        <v>0</v>
      </c>
      <c r="F463" s="26">
        <f>IF(D463="","",MOD(D463-cfgDeslocamento,4)+1)</f>
        <v>0</v>
      </c>
      <c r="G463" s="26">
        <f>IF(A463="","",IF(AND(ISNUMBER(B463),B463&lt;&gt;0),1,0))</f>
        <v>0</v>
      </c>
      <c r="H463" s="25">
        <f>IF(E463="","",(E463*4+3+cfgDeslocamento)/48)</f>
        <v>0</v>
      </c>
    </row>
    <row r="464" spans="1:8">
      <c r="A464" s="24"/>
      <c r="B464" s="19"/>
      <c r="C464" s="25">
        <f>IF(D464="","",D464/48)</f>
        <v>0</v>
      </c>
      <c r="D464" s="26">
        <f>IF(A464="","",ROUND((A464-cfgDefasagem/1440)*48,0))</f>
        <v>0</v>
      </c>
      <c r="E464" s="26">
        <f>IF(D464="","",INT((D464-cfgDeslocamento)/4))</f>
        <v>0</v>
      </c>
      <c r="F464" s="26">
        <f>IF(D464="","",MOD(D464-cfgDeslocamento,4)+1)</f>
        <v>0</v>
      </c>
      <c r="G464" s="26">
        <f>IF(A464="","",IF(AND(ISNUMBER(B464),B464&lt;&gt;0),1,0))</f>
        <v>0</v>
      </c>
      <c r="H464" s="25">
        <f>IF(E464="","",(E464*4+3+cfgDeslocamento)/48)</f>
        <v>0</v>
      </c>
    </row>
    <row r="465" spans="1:8">
      <c r="A465" s="24"/>
      <c r="B465" s="19"/>
      <c r="C465" s="25">
        <f>IF(D465="","",D465/48)</f>
        <v>0</v>
      </c>
      <c r="D465" s="26">
        <f>IF(A465="","",ROUND((A465-cfgDefasagem/1440)*48,0))</f>
        <v>0</v>
      </c>
      <c r="E465" s="26">
        <f>IF(D465="","",INT((D465-cfgDeslocamento)/4))</f>
        <v>0</v>
      </c>
      <c r="F465" s="26">
        <f>IF(D465="","",MOD(D465-cfgDeslocamento,4)+1)</f>
        <v>0</v>
      </c>
      <c r="G465" s="26">
        <f>IF(A465="","",IF(AND(ISNUMBER(B465),B465&lt;&gt;0),1,0))</f>
        <v>0</v>
      </c>
      <c r="H465" s="25">
        <f>IF(E465="","",(E465*4+3+cfgDeslocamento)/48)</f>
        <v>0</v>
      </c>
    </row>
    <row r="466" spans="1:8">
      <c r="A466" s="24"/>
      <c r="B466" s="19"/>
      <c r="C466" s="25">
        <f>IF(D466="","",D466/48)</f>
        <v>0</v>
      </c>
      <c r="D466" s="26">
        <f>IF(A466="","",ROUND((A466-cfgDefasagem/1440)*48,0))</f>
        <v>0</v>
      </c>
      <c r="E466" s="26">
        <f>IF(D466="","",INT((D466-cfgDeslocamento)/4))</f>
        <v>0</v>
      </c>
      <c r="F466" s="26">
        <f>IF(D466="","",MOD(D466-cfgDeslocamento,4)+1)</f>
        <v>0</v>
      </c>
      <c r="G466" s="26">
        <f>IF(A466="","",IF(AND(ISNUMBER(B466),B466&lt;&gt;0),1,0))</f>
        <v>0</v>
      </c>
      <c r="H466" s="25">
        <f>IF(E466="","",(E466*4+3+cfgDeslocamento)/48)</f>
        <v>0</v>
      </c>
    </row>
    <row r="467" spans="1:8">
      <c r="A467" s="24"/>
      <c r="B467" s="19"/>
      <c r="C467" s="25">
        <f>IF(D467="","",D467/48)</f>
        <v>0</v>
      </c>
      <c r="D467" s="26">
        <f>IF(A467="","",ROUND((A467-cfgDefasagem/1440)*48,0))</f>
        <v>0</v>
      </c>
      <c r="E467" s="26">
        <f>IF(D467="","",INT((D467-cfgDeslocamento)/4))</f>
        <v>0</v>
      </c>
      <c r="F467" s="26">
        <f>IF(D467="","",MOD(D467-cfgDeslocamento,4)+1)</f>
        <v>0</v>
      </c>
      <c r="G467" s="26">
        <f>IF(A467="","",IF(AND(ISNUMBER(B467),B467&lt;&gt;0),1,0))</f>
        <v>0</v>
      </c>
      <c r="H467" s="25">
        <f>IF(E467="","",(E467*4+3+cfgDeslocamento)/48)</f>
        <v>0</v>
      </c>
    </row>
    <row r="468" spans="1:8">
      <c r="A468" s="24"/>
      <c r="B468" s="19"/>
      <c r="C468" s="25">
        <f>IF(D468="","",D468/48)</f>
        <v>0</v>
      </c>
      <c r="D468" s="26">
        <f>IF(A468="","",ROUND((A468-cfgDefasagem/1440)*48,0))</f>
        <v>0</v>
      </c>
      <c r="E468" s="26">
        <f>IF(D468="","",INT((D468-cfgDeslocamento)/4))</f>
        <v>0</v>
      </c>
      <c r="F468" s="26">
        <f>IF(D468="","",MOD(D468-cfgDeslocamento,4)+1)</f>
        <v>0</v>
      </c>
      <c r="G468" s="26">
        <f>IF(A468="","",IF(AND(ISNUMBER(B468),B468&lt;&gt;0),1,0))</f>
        <v>0</v>
      </c>
      <c r="H468" s="25">
        <f>IF(E468="","",(E468*4+3+cfgDeslocamento)/48)</f>
        <v>0</v>
      </c>
    </row>
    <row r="469" spans="1:8">
      <c r="A469" s="24"/>
      <c r="B469" s="19"/>
      <c r="C469" s="25">
        <f>IF(D469="","",D469/48)</f>
        <v>0</v>
      </c>
      <c r="D469" s="26">
        <f>IF(A469="","",ROUND((A469-cfgDefasagem/1440)*48,0))</f>
        <v>0</v>
      </c>
      <c r="E469" s="26">
        <f>IF(D469="","",INT((D469-cfgDeslocamento)/4))</f>
        <v>0</v>
      </c>
      <c r="F469" s="26">
        <f>IF(D469="","",MOD(D469-cfgDeslocamento,4)+1)</f>
        <v>0</v>
      </c>
      <c r="G469" s="26">
        <f>IF(A469="","",IF(AND(ISNUMBER(B469),B469&lt;&gt;0),1,0))</f>
        <v>0</v>
      </c>
      <c r="H469" s="25">
        <f>IF(E469="","",(E469*4+3+cfgDeslocamento)/48)</f>
        <v>0</v>
      </c>
    </row>
    <row r="470" spans="1:8">
      <c r="A470" s="24"/>
      <c r="B470" s="19"/>
      <c r="C470" s="25">
        <f>IF(D470="","",D470/48)</f>
        <v>0</v>
      </c>
      <c r="D470" s="26">
        <f>IF(A470="","",ROUND((A470-cfgDefasagem/1440)*48,0))</f>
        <v>0</v>
      </c>
      <c r="E470" s="26">
        <f>IF(D470="","",INT((D470-cfgDeslocamento)/4))</f>
        <v>0</v>
      </c>
      <c r="F470" s="26">
        <f>IF(D470="","",MOD(D470-cfgDeslocamento,4)+1)</f>
        <v>0</v>
      </c>
      <c r="G470" s="26">
        <f>IF(A470="","",IF(AND(ISNUMBER(B470),B470&lt;&gt;0),1,0))</f>
        <v>0</v>
      </c>
      <c r="H470" s="25">
        <f>IF(E470="","",(E470*4+3+cfgDeslocamento)/48)</f>
        <v>0</v>
      </c>
    </row>
    <row r="471" spans="1:8">
      <c r="A471" s="24"/>
      <c r="B471" s="19"/>
      <c r="C471" s="25">
        <f>IF(D471="","",D471/48)</f>
        <v>0</v>
      </c>
      <c r="D471" s="26">
        <f>IF(A471="","",ROUND((A471-cfgDefasagem/1440)*48,0))</f>
        <v>0</v>
      </c>
      <c r="E471" s="26">
        <f>IF(D471="","",INT((D471-cfgDeslocamento)/4))</f>
        <v>0</v>
      </c>
      <c r="F471" s="26">
        <f>IF(D471="","",MOD(D471-cfgDeslocamento,4)+1)</f>
        <v>0</v>
      </c>
      <c r="G471" s="26">
        <f>IF(A471="","",IF(AND(ISNUMBER(B471),B471&lt;&gt;0),1,0))</f>
        <v>0</v>
      </c>
      <c r="H471" s="25">
        <f>IF(E471="","",(E471*4+3+cfgDeslocamento)/48)</f>
        <v>0</v>
      </c>
    </row>
    <row r="472" spans="1:8">
      <c r="A472" s="24"/>
      <c r="B472" s="19"/>
      <c r="C472" s="25">
        <f>IF(D472="","",D472/48)</f>
        <v>0</v>
      </c>
      <c r="D472" s="26">
        <f>IF(A472="","",ROUND((A472-cfgDefasagem/1440)*48,0))</f>
        <v>0</v>
      </c>
      <c r="E472" s="26">
        <f>IF(D472="","",INT((D472-cfgDeslocamento)/4))</f>
        <v>0</v>
      </c>
      <c r="F472" s="26">
        <f>IF(D472="","",MOD(D472-cfgDeslocamento,4)+1)</f>
        <v>0</v>
      </c>
      <c r="G472" s="26">
        <f>IF(A472="","",IF(AND(ISNUMBER(B472),B472&lt;&gt;0),1,0))</f>
        <v>0</v>
      </c>
      <c r="H472" s="25">
        <f>IF(E472="","",(E472*4+3+cfgDeslocamento)/48)</f>
        <v>0</v>
      </c>
    </row>
    <row r="473" spans="1:8">
      <c r="A473" s="24"/>
      <c r="B473" s="19"/>
      <c r="C473" s="25">
        <f>IF(D473="","",D473/48)</f>
        <v>0</v>
      </c>
      <c r="D473" s="26">
        <f>IF(A473="","",ROUND((A473-cfgDefasagem/1440)*48,0))</f>
        <v>0</v>
      </c>
      <c r="E473" s="26">
        <f>IF(D473="","",INT((D473-cfgDeslocamento)/4))</f>
        <v>0</v>
      </c>
      <c r="F473" s="26">
        <f>IF(D473="","",MOD(D473-cfgDeslocamento,4)+1)</f>
        <v>0</v>
      </c>
      <c r="G473" s="26">
        <f>IF(A473="","",IF(AND(ISNUMBER(B473),B473&lt;&gt;0),1,0))</f>
        <v>0</v>
      </c>
      <c r="H473" s="25">
        <f>IF(E473="","",(E473*4+3+cfgDeslocamento)/48)</f>
        <v>0</v>
      </c>
    </row>
    <row r="474" spans="1:8">
      <c r="A474" s="24"/>
      <c r="B474" s="19"/>
      <c r="C474" s="25">
        <f>IF(D474="","",D474/48)</f>
        <v>0</v>
      </c>
      <c r="D474" s="26">
        <f>IF(A474="","",ROUND((A474-cfgDefasagem/1440)*48,0))</f>
        <v>0</v>
      </c>
      <c r="E474" s="26">
        <f>IF(D474="","",INT((D474-cfgDeslocamento)/4))</f>
        <v>0</v>
      </c>
      <c r="F474" s="26">
        <f>IF(D474="","",MOD(D474-cfgDeslocamento,4)+1)</f>
        <v>0</v>
      </c>
      <c r="G474" s="26">
        <f>IF(A474="","",IF(AND(ISNUMBER(B474),B474&lt;&gt;0),1,0))</f>
        <v>0</v>
      </c>
      <c r="H474" s="25">
        <f>IF(E474="","",(E474*4+3+cfgDeslocamento)/48)</f>
        <v>0</v>
      </c>
    </row>
    <row r="475" spans="1:8">
      <c r="A475" s="24"/>
      <c r="B475" s="19"/>
      <c r="C475" s="25">
        <f>IF(D475="","",D475/48)</f>
        <v>0</v>
      </c>
      <c r="D475" s="26">
        <f>IF(A475="","",ROUND((A475-cfgDefasagem/1440)*48,0))</f>
        <v>0</v>
      </c>
      <c r="E475" s="26">
        <f>IF(D475="","",INT((D475-cfgDeslocamento)/4))</f>
        <v>0</v>
      </c>
      <c r="F475" s="26">
        <f>IF(D475="","",MOD(D475-cfgDeslocamento,4)+1)</f>
        <v>0</v>
      </c>
      <c r="G475" s="26">
        <f>IF(A475="","",IF(AND(ISNUMBER(B475),B475&lt;&gt;0),1,0))</f>
        <v>0</v>
      </c>
      <c r="H475" s="25">
        <f>IF(E475="","",(E475*4+3+cfgDeslocamento)/48)</f>
        <v>0</v>
      </c>
    </row>
    <row r="476" spans="1:8">
      <c r="A476" s="24"/>
      <c r="B476" s="19"/>
      <c r="C476" s="25">
        <f>IF(D476="","",D476/48)</f>
        <v>0</v>
      </c>
      <c r="D476" s="26">
        <f>IF(A476="","",ROUND((A476-cfgDefasagem/1440)*48,0))</f>
        <v>0</v>
      </c>
      <c r="E476" s="26">
        <f>IF(D476="","",INT((D476-cfgDeslocamento)/4))</f>
        <v>0</v>
      </c>
      <c r="F476" s="26">
        <f>IF(D476="","",MOD(D476-cfgDeslocamento,4)+1)</f>
        <v>0</v>
      </c>
      <c r="G476" s="26">
        <f>IF(A476="","",IF(AND(ISNUMBER(B476),B476&lt;&gt;0),1,0))</f>
        <v>0</v>
      </c>
      <c r="H476" s="25">
        <f>IF(E476="","",(E476*4+3+cfgDeslocamento)/48)</f>
        <v>0</v>
      </c>
    </row>
    <row r="477" spans="1:8">
      <c r="A477" s="24"/>
      <c r="B477" s="19"/>
      <c r="C477" s="25">
        <f>IF(D477="","",D477/48)</f>
        <v>0</v>
      </c>
      <c r="D477" s="26">
        <f>IF(A477="","",ROUND((A477-cfgDefasagem/1440)*48,0))</f>
        <v>0</v>
      </c>
      <c r="E477" s="26">
        <f>IF(D477="","",INT((D477-cfgDeslocamento)/4))</f>
        <v>0</v>
      </c>
      <c r="F477" s="26">
        <f>IF(D477="","",MOD(D477-cfgDeslocamento,4)+1)</f>
        <v>0</v>
      </c>
      <c r="G477" s="26">
        <f>IF(A477="","",IF(AND(ISNUMBER(B477),B477&lt;&gt;0),1,0))</f>
        <v>0</v>
      </c>
      <c r="H477" s="25">
        <f>IF(E477="","",(E477*4+3+cfgDeslocamento)/48)</f>
        <v>0</v>
      </c>
    </row>
    <row r="478" spans="1:8">
      <c r="A478" s="24"/>
      <c r="B478" s="19"/>
      <c r="C478" s="25">
        <f>IF(D478="","",D478/48)</f>
        <v>0</v>
      </c>
      <c r="D478" s="26">
        <f>IF(A478="","",ROUND((A478-cfgDefasagem/1440)*48,0))</f>
        <v>0</v>
      </c>
      <c r="E478" s="26">
        <f>IF(D478="","",INT((D478-cfgDeslocamento)/4))</f>
        <v>0</v>
      </c>
      <c r="F478" s="26">
        <f>IF(D478="","",MOD(D478-cfgDeslocamento,4)+1)</f>
        <v>0</v>
      </c>
      <c r="G478" s="26">
        <f>IF(A478="","",IF(AND(ISNUMBER(B478),B478&lt;&gt;0),1,0))</f>
        <v>0</v>
      </c>
      <c r="H478" s="25">
        <f>IF(E478="","",(E478*4+3+cfgDeslocamento)/48)</f>
        <v>0</v>
      </c>
    </row>
    <row r="479" spans="1:8">
      <c r="A479" s="24"/>
      <c r="B479" s="19"/>
      <c r="C479" s="25">
        <f>IF(D479="","",D479/48)</f>
        <v>0</v>
      </c>
      <c r="D479" s="26">
        <f>IF(A479="","",ROUND((A479-cfgDefasagem/1440)*48,0))</f>
        <v>0</v>
      </c>
      <c r="E479" s="26">
        <f>IF(D479="","",INT((D479-cfgDeslocamento)/4))</f>
        <v>0</v>
      </c>
      <c r="F479" s="26">
        <f>IF(D479="","",MOD(D479-cfgDeslocamento,4)+1)</f>
        <v>0</v>
      </c>
      <c r="G479" s="26">
        <f>IF(A479="","",IF(AND(ISNUMBER(B479),B479&lt;&gt;0),1,0))</f>
        <v>0</v>
      </c>
      <c r="H479" s="25">
        <f>IF(E479="","",(E479*4+3+cfgDeslocamento)/48)</f>
        <v>0</v>
      </c>
    </row>
    <row r="480" spans="1:8">
      <c r="A480" s="24"/>
      <c r="B480" s="19"/>
      <c r="C480" s="25">
        <f>IF(D480="","",D480/48)</f>
        <v>0</v>
      </c>
      <c r="D480" s="26">
        <f>IF(A480="","",ROUND((A480-cfgDefasagem/1440)*48,0))</f>
        <v>0</v>
      </c>
      <c r="E480" s="26">
        <f>IF(D480="","",INT((D480-cfgDeslocamento)/4))</f>
        <v>0</v>
      </c>
      <c r="F480" s="26">
        <f>IF(D480="","",MOD(D480-cfgDeslocamento,4)+1)</f>
        <v>0</v>
      </c>
      <c r="G480" s="26">
        <f>IF(A480="","",IF(AND(ISNUMBER(B480),B480&lt;&gt;0),1,0))</f>
        <v>0</v>
      </c>
      <c r="H480" s="25">
        <f>IF(E480="","",(E480*4+3+cfgDeslocamento)/48)</f>
        <v>0</v>
      </c>
    </row>
    <row r="481" spans="1:8">
      <c r="A481" s="24"/>
      <c r="B481" s="19"/>
      <c r="C481" s="25">
        <f>IF(D481="","",D481/48)</f>
        <v>0</v>
      </c>
      <c r="D481" s="26">
        <f>IF(A481="","",ROUND((A481-cfgDefasagem/1440)*48,0))</f>
        <v>0</v>
      </c>
      <c r="E481" s="26">
        <f>IF(D481="","",INT((D481-cfgDeslocamento)/4))</f>
        <v>0</v>
      </c>
      <c r="F481" s="26">
        <f>IF(D481="","",MOD(D481-cfgDeslocamento,4)+1)</f>
        <v>0</v>
      </c>
      <c r="G481" s="26">
        <f>IF(A481="","",IF(AND(ISNUMBER(B481),B481&lt;&gt;0),1,0))</f>
        <v>0</v>
      </c>
      <c r="H481" s="25">
        <f>IF(E481="","",(E481*4+3+cfgDeslocamento)/48)</f>
        <v>0</v>
      </c>
    </row>
    <row r="482" spans="1:8">
      <c r="A482" s="24"/>
      <c r="B482" s="19"/>
      <c r="C482" s="25">
        <f>IF(D482="","",D482/48)</f>
        <v>0</v>
      </c>
      <c r="D482" s="26">
        <f>IF(A482="","",ROUND((A482-cfgDefasagem/1440)*48,0))</f>
        <v>0</v>
      </c>
      <c r="E482" s="26">
        <f>IF(D482="","",INT((D482-cfgDeslocamento)/4))</f>
        <v>0</v>
      </c>
      <c r="F482" s="26">
        <f>IF(D482="","",MOD(D482-cfgDeslocamento,4)+1)</f>
        <v>0</v>
      </c>
      <c r="G482" s="26">
        <f>IF(A482="","",IF(AND(ISNUMBER(B482),B482&lt;&gt;0),1,0))</f>
        <v>0</v>
      </c>
      <c r="H482" s="25">
        <f>IF(E482="","",(E482*4+3+cfgDeslocamento)/48)</f>
        <v>0</v>
      </c>
    </row>
    <row r="483" spans="1:8">
      <c r="A483" s="24"/>
      <c r="B483" s="19"/>
      <c r="C483" s="25">
        <f>IF(D483="","",D483/48)</f>
        <v>0</v>
      </c>
      <c r="D483" s="26">
        <f>IF(A483="","",ROUND((A483-cfgDefasagem/1440)*48,0))</f>
        <v>0</v>
      </c>
      <c r="E483" s="26">
        <f>IF(D483="","",INT((D483-cfgDeslocamento)/4))</f>
        <v>0</v>
      </c>
      <c r="F483" s="26">
        <f>IF(D483="","",MOD(D483-cfgDeslocamento,4)+1)</f>
        <v>0</v>
      </c>
      <c r="G483" s="26">
        <f>IF(A483="","",IF(AND(ISNUMBER(B483),B483&lt;&gt;0),1,0))</f>
        <v>0</v>
      </c>
      <c r="H483" s="25">
        <f>IF(E483="","",(E483*4+3+cfgDeslocamento)/48)</f>
        <v>0</v>
      </c>
    </row>
    <row r="484" spans="1:8">
      <c r="A484" s="24"/>
      <c r="B484" s="19"/>
      <c r="C484" s="25">
        <f>IF(D484="","",D484/48)</f>
        <v>0</v>
      </c>
      <c r="D484" s="26">
        <f>IF(A484="","",ROUND((A484-cfgDefasagem/1440)*48,0))</f>
        <v>0</v>
      </c>
      <c r="E484" s="26">
        <f>IF(D484="","",INT((D484-cfgDeslocamento)/4))</f>
        <v>0</v>
      </c>
      <c r="F484" s="26">
        <f>IF(D484="","",MOD(D484-cfgDeslocamento,4)+1)</f>
        <v>0</v>
      </c>
      <c r="G484" s="26">
        <f>IF(A484="","",IF(AND(ISNUMBER(B484),B484&lt;&gt;0),1,0))</f>
        <v>0</v>
      </c>
      <c r="H484" s="25">
        <f>IF(E484="","",(E484*4+3+cfgDeslocamento)/48)</f>
        <v>0</v>
      </c>
    </row>
    <row r="485" spans="1:8">
      <c r="A485" s="24"/>
      <c r="B485" s="19"/>
      <c r="C485" s="25">
        <f>IF(D485="","",D485/48)</f>
        <v>0</v>
      </c>
      <c r="D485" s="26">
        <f>IF(A485="","",ROUND((A485-cfgDefasagem/1440)*48,0))</f>
        <v>0</v>
      </c>
      <c r="E485" s="26">
        <f>IF(D485="","",INT((D485-cfgDeslocamento)/4))</f>
        <v>0</v>
      </c>
      <c r="F485" s="26">
        <f>IF(D485="","",MOD(D485-cfgDeslocamento,4)+1)</f>
        <v>0</v>
      </c>
      <c r="G485" s="26">
        <f>IF(A485="","",IF(AND(ISNUMBER(B485),B485&lt;&gt;0),1,0))</f>
        <v>0</v>
      </c>
      <c r="H485" s="25">
        <f>IF(E485="","",(E485*4+3+cfgDeslocamento)/48)</f>
        <v>0</v>
      </c>
    </row>
    <row r="486" spans="1:8">
      <c r="A486" s="24"/>
      <c r="B486" s="19"/>
      <c r="C486" s="25">
        <f>IF(D486="","",D486/48)</f>
        <v>0</v>
      </c>
      <c r="D486" s="26">
        <f>IF(A486="","",ROUND((A486-cfgDefasagem/1440)*48,0))</f>
        <v>0</v>
      </c>
      <c r="E486" s="26">
        <f>IF(D486="","",INT((D486-cfgDeslocamento)/4))</f>
        <v>0</v>
      </c>
      <c r="F486" s="26">
        <f>IF(D486="","",MOD(D486-cfgDeslocamento,4)+1)</f>
        <v>0</v>
      </c>
      <c r="G486" s="26">
        <f>IF(A486="","",IF(AND(ISNUMBER(B486),B486&lt;&gt;0),1,0))</f>
        <v>0</v>
      </c>
      <c r="H486" s="25">
        <f>IF(E486="","",(E486*4+3+cfgDeslocamento)/48)</f>
        <v>0</v>
      </c>
    </row>
    <row r="487" spans="1:8">
      <c r="A487" s="24"/>
      <c r="B487" s="19"/>
      <c r="C487" s="25">
        <f>IF(D487="","",D487/48)</f>
        <v>0</v>
      </c>
      <c r="D487" s="26">
        <f>IF(A487="","",ROUND((A487-cfgDefasagem/1440)*48,0))</f>
        <v>0</v>
      </c>
      <c r="E487" s="26">
        <f>IF(D487="","",INT((D487-cfgDeslocamento)/4))</f>
        <v>0</v>
      </c>
      <c r="F487" s="26">
        <f>IF(D487="","",MOD(D487-cfgDeslocamento,4)+1)</f>
        <v>0</v>
      </c>
      <c r="G487" s="26">
        <f>IF(A487="","",IF(AND(ISNUMBER(B487),B487&lt;&gt;0),1,0))</f>
        <v>0</v>
      </c>
      <c r="H487" s="25">
        <f>IF(E487="","",(E487*4+3+cfgDeslocamento)/48)</f>
        <v>0</v>
      </c>
    </row>
    <row r="488" spans="1:8">
      <c r="A488" s="24"/>
      <c r="B488" s="19"/>
      <c r="C488" s="25">
        <f>IF(D488="","",D488/48)</f>
        <v>0</v>
      </c>
      <c r="D488" s="26">
        <f>IF(A488="","",ROUND((A488-cfgDefasagem/1440)*48,0))</f>
        <v>0</v>
      </c>
      <c r="E488" s="26">
        <f>IF(D488="","",INT((D488-cfgDeslocamento)/4))</f>
        <v>0</v>
      </c>
      <c r="F488" s="26">
        <f>IF(D488="","",MOD(D488-cfgDeslocamento,4)+1)</f>
        <v>0</v>
      </c>
      <c r="G488" s="26">
        <f>IF(A488="","",IF(AND(ISNUMBER(B488),B488&lt;&gt;0),1,0))</f>
        <v>0</v>
      </c>
      <c r="H488" s="25">
        <f>IF(E488="","",(E488*4+3+cfgDeslocamento)/48)</f>
        <v>0</v>
      </c>
    </row>
    <row r="489" spans="1:8">
      <c r="A489" s="24"/>
      <c r="B489" s="19"/>
      <c r="C489" s="25">
        <f>IF(D489="","",D489/48)</f>
        <v>0</v>
      </c>
      <c r="D489" s="26">
        <f>IF(A489="","",ROUND((A489-cfgDefasagem/1440)*48,0))</f>
        <v>0</v>
      </c>
      <c r="E489" s="26">
        <f>IF(D489="","",INT((D489-cfgDeslocamento)/4))</f>
        <v>0</v>
      </c>
      <c r="F489" s="26">
        <f>IF(D489="","",MOD(D489-cfgDeslocamento,4)+1)</f>
        <v>0</v>
      </c>
      <c r="G489" s="26">
        <f>IF(A489="","",IF(AND(ISNUMBER(B489),B489&lt;&gt;0),1,0))</f>
        <v>0</v>
      </c>
      <c r="H489" s="25">
        <f>IF(E489="","",(E489*4+3+cfgDeslocamento)/48)</f>
        <v>0</v>
      </c>
    </row>
    <row r="490" spans="1:8">
      <c r="A490" s="24"/>
      <c r="B490" s="19"/>
      <c r="C490" s="25">
        <f>IF(D490="","",D490/48)</f>
        <v>0</v>
      </c>
      <c r="D490" s="26">
        <f>IF(A490="","",ROUND((A490-cfgDefasagem/1440)*48,0))</f>
        <v>0</v>
      </c>
      <c r="E490" s="26">
        <f>IF(D490="","",INT((D490-cfgDeslocamento)/4))</f>
        <v>0</v>
      </c>
      <c r="F490" s="26">
        <f>IF(D490="","",MOD(D490-cfgDeslocamento,4)+1)</f>
        <v>0</v>
      </c>
      <c r="G490" s="26">
        <f>IF(A490="","",IF(AND(ISNUMBER(B490),B490&lt;&gt;0),1,0))</f>
        <v>0</v>
      </c>
      <c r="H490" s="25">
        <f>IF(E490="","",(E490*4+3+cfgDeslocamento)/48)</f>
        <v>0</v>
      </c>
    </row>
    <row r="491" spans="1:8">
      <c r="A491" s="24"/>
      <c r="B491" s="19"/>
      <c r="C491" s="25">
        <f>IF(D491="","",D491/48)</f>
        <v>0</v>
      </c>
      <c r="D491" s="26">
        <f>IF(A491="","",ROUND((A491-cfgDefasagem/1440)*48,0))</f>
        <v>0</v>
      </c>
      <c r="E491" s="26">
        <f>IF(D491="","",INT((D491-cfgDeslocamento)/4))</f>
        <v>0</v>
      </c>
      <c r="F491" s="26">
        <f>IF(D491="","",MOD(D491-cfgDeslocamento,4)+1)</f>
        <v>0</v>
      </c>
      <c r="G491" s="26">
        <f>IF(A491="","",IF(AND(ISNUMBER(B491),B491&lt;&gt;0),1,0))</f>
        <v>0</v>
      </c>
      <c r="H491" s="25">
        <f>IF(E491="","",(E491*4+3+cfgDeslocamento)/48)</f>
        <v>0</v>
      </c>
    </row>
    <row r="492" spans="1:8">
      <c r="A492" s="24"/>
      <c r="B492" s="19"/>
      <c r="C492" s="25">
        <f>IF(D492="","",D492/48)</f>
        <v>0</v>
      </c>
      <c r="D492" s="26">
        <f>IF(A492="","",ROUND((A492-cfgDefasagem/1440)*48,0))</f>
        <v>0</v>
      </c>
      <c r="E492" s="26">
        <f>IF(D492="","",INT((D492-cfgDeslocamento)/4))</f>
        <v>0</v>
      </c>
      <c r="F492" s="26">
        <f>IF(D492="","",MOD(D492-cfgDeslocamento,4)+1)</f>
        <v>0</v>
      </c>
      <c r="G492" s="26">
        <f>IF(A492="","",IF(AND(ISNUMBER(B492),B492&lt;&gt;0),1,0))</f>
        <v>0</v>
      </c>
      <c r="H492" s="25">
        <f>IF(E492="","",(E492*4+3+cfgDeslocamento)/48)</f>
        <v>0</v>
      </c>
    </row>
    <row r="493" spans="1:8">
      <c r="A493" s="24"/>
      <c r="B493" s="19"/>
      <c r="C493" s="25">
        <f>IF(D493="","",D493/48)</f>
        <v>0</v>
      </c>
      <c r="D493" s="26">
        <f>IF(A493="","",ROUND((A493-cfgDefasagem/1440)*48,0))</f>
        <v>0</v>
      </c>
      <c r="E493" s="26">
        <f>IF(D493="","",INT((D493-cfgDeslocamento)/4))</f>
        <v>0</v>
      </c>
      <c r="F493" s="26">
        <f>IF(D493="","",MOD(D493-cfgDeslocamento,4)+1)</f>
        <v>0</v>
      </c>
      <c r="G493" s="26">
        <f>IF(A493="","",IF(AND(ISNUMBER(B493),B493&lt;&gt;0),1,0))</f>
        <v>0</v>
      </c>
      <c r="H493" s="25">
        <f>IF(E493="","",(E493*4+3+cfgDeslocamento)/48)</f>
        <v>0</v>
      </c>
    </row>
    <row r="494" spans="1:8">
      <c r="A494" s="24"/>
      <c r="B494" s="19"/>
      <c r="C494" s="25">
        <f>IF(D494="","",D494/48)</f>
        <v>0</v>
      </c>
      <c r="D494" s="26">
        <f>IF(A494="","",ROUND((A494-cfgDefasagem/1440)*48,0))</f>
        <v>0</v>
      </c>
      <c r="E494" s="26">
        <f>IF(D494="","",INT((D494-cfgDeslocamento)/4))</f>
        <v>0</v>
      </c>
      <c r="F494" s="26">
        <f>IF(D494="","",MOD(D494-cfgDeslocamento,4)+1)</f>
        <v>0</v>
      </c>
      <c r="G494" s="26">
        <f>IF(A494="","",IF(AND(ISNUMBER(B494),B494&lt;&gt;0),1,0))</f>
        <v>0</v>
      </c>
      <c r="H494" s="25">
        <f>IF(E494="","",(E494*4+3+cfgDeslocamento)/48)</f>
        <v>0</v>
      </c>
    </row>
    <row r="495" spans="1:8">
      <c r="A495" s="24"/>
      <c r="B495" s="19"/>
      <c r="C495" s="25">
        <f>IF(D495="","",D495/48)</f>
        <v>0</v>
      </c>
      <c r="D495" s="26">
        <f>IF(A495="","",ROUND((A495-cfgDefasagem/1440)*48,0))</f>
        <v>0</v>
      </c>
      <c r="E495" s="26">
        <f>IF(D495="","",INT((D495-cfgDeslocamento)/4))</f>
        <v>0</v>
      </c>
      <c r="F495" s="26">
        <f>IF(D495="","",MOD(D495-cfgDeslocamento,4)+1)</f>
        <v>0</v>
      </c>
      <c r="G495" s="26">
        <f>IF(A495="","",IF(AND(ISNUMBER(B495),B495&lt;&gt;0),1,0))</f>
        <v>0</v>
      </c>
      <c r="H495" s="25">
        <f>IF(E495="","",(E495*4+3+cfgDeslocamento)/48)</f>
        <v>0</v>
      </c>
    </row>
    <row r="496" spans="1:8">
      <c r="A496" s="24"/>
      <c r="B496" s="19"/>
      <c r="C496" s="25">
        <f>IF(D496="","",D496/48)</f>
        <v>0</v>
      </c>
      <c r="D496" s="26">
        <f>IF(A496="","",ROUND((A496-cfgDefasagem/1440)*48,0))</f>
        <v>0</v>
      </c>
      <c r="E496" s="26">
        <f>IF(D496="","",INT((D496-cfgDeslocamento)/4))</f>
        <v>0</v>
      </c>
      <c r="F496" s="26">
        <f>IF(D496="","",MOD(D496-cfgDeslocamento,4)+1)</f>
        <v>0</v>
      </c>
      <c r="G496" s="26">
        <f>IF(A496="","",IF(AND(ISNUMBER(B496),B496&lt;&gt;0),1,0))</f>
        <v>0</v>
      </c>
      <c r="H496" s="25">
        <f>IF(E496="","",(E496*4+3+cfgDeslocamento)/48)</f>
        <v>0</v>
      </c>
    </row>
    <row r="497" spans="1:8">
      <c r="A497" s="24"/>
      <c r="B497" s="19"/>
      <c r="C497" s="25">
        <f>IF(D497="","",D497/48)</f>
        <v>0</v>
      </c>
      <c r="D497" s="26">
        <f>IF(A497="","",ROUND((A497-cfgDefasagem/1440)*48,0))</f>
        <v>0</v>
      </c>
      <c r="E497" s="26">
        <f>IF(D497="","",INT((D497-cfgDeslocamento)/4))</f>
        <v>0</v>
      </c>
      <c r="F497" s="26">
        <f>IF(D497="","",MOD(D497-cfgDeslocamento,4)+1)</f>
        <v>0</v>
      </c>
      <c r="G497" s="26">
        <f>IF(A497="","",IF(AND(ISNUMBER(B497),B497&lt;&gt;0),1,0))</f>
        <v>0</v>
      </c>
      <c r="H497" s="25">
        <f>IF(E497="","",(E497*4+3+cfgDeslocamento)/48)</f>
        <v>0</v>
      </c>
    </row>
    <row r="498" spans="1:8">
      <c r="A498" s="24"/>
      <c r="B498" s="19"/>
      <c r="C498" s="25">
        <f>IF(D498="","",D498/48)</f>
        <v>0</v>
      </c>
      <c r="D498" s="26">
        <f>IF(A498="","",ROUND((A498-cfgDefasagem/1440)*48,0))</f>
        <v>0</v>
      </c>
      <c r="E498" s="26">
        <f>IF(D498="","",INT((D498-cfgDeslocamento)/4))</f>
        <v>0</v>
      </c>
      <c r="F498" s="26">
        <f>IF(D498="","",MOD(D498-cfgDeslocamento,4)+1)</f>
        <v>0</v>
      </c>
      <c r="G498" s="26">
        <f>IF(A498="","",IF(AND(ISNUMBER(B498),B498&lt;&gt;0),1,0))</f>
        <v>0</v>
      </c>
      <c r="H498" s="25">
        <f>IF(E498="","",(E498*4+3+cfgDeslocamento)/48)</f>
        <v>0</v>
      </c>
    </row>
    <row r="499" spans="1:8">
      <c r="A499" s="24"/>
      <c r="B499" s="19"/>
      <c r="C499" s="25">
        <f>IF(D499="","",D499/48)</f>
        <v>0</v>
      </c>
      <c r="D499" s="26">
        <f>IF(A499="","",ROUND((A499-cfgDefasagem/1440)*48,0))</f>
        <v>0</v>
      </c>
      <c r="E499" s="26">
        <f>IF(D499="","",INT((D499-cfgDeslocamento)/4))</f>
        <v>0</v>
      </c>
      <c r="F499" s="26">
        <f>IF(D499="","",MOD(D499-cfgDeslocamento,4)+1)</f>
        <v>0</v>
      </c>
      <c r="G499" s="26">
        <f>IF(A499="","",IF(AND(ISNUMBER(B499),B499&lt;&gt;0),1,0))</f>
        <v>0</v>
      </c>
      <c r="H499" s="25">
        <f>IF(E499="","",(E499*4+3+cfgDeslocamento)/48)</f>
        <v>0</v>
      </c>
    </row>
    <row r="500" spans="1:8">
      <c r="A500" s="24"/>
      <c r="B500" s="19"/>
      <c r="C500" s="25">
        <f>IF(D500="","",D500/48)</f>
        <v>0</v>
      </c>
      <c r="D500" s="26">
        <f>IF(A500="","",ROUND((A500-cfgDefasagem/1440)*48,0))</f>
        <v>0</v>
      </c>
      <c r="E500" s="26">
        <f>IF(D500="","",INT((D500-cfgDeslocamento)/4))</f>
        <v>0</v>
      </c>
      <c r="F500" s="26">
        <f>IF(D500="","",MOD(D500-cfgDeslocamento,4)+1)</f>
        <v>0</v>
      </c>
      <c r="G500" s="26">
        <f>IF(A500="","",IF(AND(ISNUMBER(B500),B500&lt;&gt;0),1,0))</f>
        <v>0</v>
      </c>
      <c r="H500" s="25">
        <f>IF(E500="","",(E500*4+3+cfgDeslocamento)/48)</f>
        <v>0</v>
      </c>
    </row>
    <row r="501" spans="1:8">
      <c r="A501" s="24"/>
      <c r="B501" s="19"/>
      <c r="C501" s="25">
        <f>IF(D501="","",D501/48)</f>
        <v>0</v>
      </c>
      <c r="D501" s="26">
        <f>IF(A501="","",ROUND((A501-cfgDefasagem/1440)*48,0))</f>
        <v>0</v>
      </c>
      <c r="E501" s="26">
        <f>IF(D501="","",INT((D501-cfgDeslocamento)/4))</f>
        <v>0</v>
      </c>
      <c r="F501" s="26">
        <f>IF(D501="","",MOD(D501-cfgDeslocamento,4)+1)</f>
        <v>0</v>
      </c>
      <c r="G501" s="26">
        <f>IF(A501="","",IF(AND(ISNUMBER(B501),B501&lt;&gt;0),1,0))</f>
        <v>0</v>
      </c>
      <c r="H501" s="25">
        <f>IF(E501="","",(E501*4+3+cfgDeslocamento)/48)</f>
        <v>0</v>
      </c>
    </row>
    <row r="502" spans="1:8">
      <c r="A502" s="24"/>
      <c r="B502" s="19"/>
      <c r="C502" s="25">
        <f>IF(D502="","",D502/48)</f>
        <v>0</v>
      </c>
      <c r="D502" s="26">
        <f>IF(A502="","",ROUND((A502-cfgDefasagem/1440)*48,0))</f>
        <v>0</v>
      </c>
      <c r="E502" s="26">
        <f>IF(D502="","",INT((D502-cfgDeslocamento)/4))</f>
        <v>0</v>
      </c>
      <c r="F502" s="26">
        <f>IF(D502="","",MOD(D502-cfgDeslocamento,4)+1)</f>
        <v>0</v>
      </c>
      <c r="G502" s="26">
        <f>IF(A502="","",IF(AND(ISNUMBER(B502),B502&lt;&gt;0),1,0))</f>
        <v>0</v>
      </c>
      <c r="H502" s="25">
        <f>IF(E502="","",(E502*4+3+cfgDeslocamento)/48)</f>
        <v>0</v>
      </c>
    </row>
    <row r="503" spans="1:8">
      <c r="A503" s="24"/>
      <c r="B503" s="19"/>
      <c r="C503" s="25">
        <f>IF(D503="","",D503/48)</f>
        <v>0</v>
      </c>
      <c r="D503" s="26">
        <f>IF(A503="","",ROUND((A503-cfgDefasagem/1440)*48,0))</f>
        <v>0</v>
      </c>
      <c r="E503" s="26">
        <f>IF(D503="","",INT((D503-cfgDeslocamento)/4))</f>
        <v>0</v>
      </c>
      <c r="F503" s="26">
        <f>IF(D503="","",MOD(D503-cfgDeslocamento,4)+1)</f>
        <v>0</v>
      </c>
      <c r="G503" s="26">
        <f>IF(A503="","",IF(AND(ISNUMBER(B503),B503&lt;&gt;0),1,0))</f>
        <v>0</v>
      </c>
      <c r="H503" s="25">
        <f>IF(E503="","",(E503*4+3+cfgDeslocamento)/48)</f>
        <v>0</v>
      </c>
    </row>
    <row r="504" spans="1:8">
      <c r="A504" s="24"/>
      <c r="B504" s="19"/>
      <c r="C504" s="25">
        <f>IF(D504="","",D504/48)</f>
        <v>0</v>
      </c>
      <c r="D504" s="26">
        <f>IF(A504="","",ROUND((A504-cfgDefasagem/1440)*48,0))</f>
        <v>0</v>
      </c>
      <c r="E504" s="26">
        <f>IF(D504="","",INT((D504-cfgDeslocamento)/4))</f>
        <v>0</v>
      </c>
      <c r="F504" s="26">
        <f>IF(D504="","",MOD(D504-cfgDeslocamento,4)+1)</f>
        <v>0</v>
      </c>
      <c r="G504" s="26">
        <f>IF(A504="","",IF(AND(ISNUMBER(B504),B504&lt;&gt;0),1,0))</f>
        <v>0</v>
      </c>
      <c r="H504" s="25">
        <f>IF(E504="","",(E504*4+3+cfgDeslocamento)/48)</f>
        <v>0</v>
      </c>
    </row>
    <row r="505" spans="1:8">
      <c r="A505" s="24"/>
      <c r="B505" s="19"/>
      <c r="C505" s="25">
        <f>IF(D505="","",D505/48)</f>
        <v>0</v>
      </c>
      <c r="D505" s="26">
        <f>IF(A505="","",ROUND((A505-cfgDefasagem/1440)*48,0))</f>
        <v>0</v>
      </c>
      <c r="E505" s="26">
        <f>IF(D505="","",INT((D505-cfgDeslocamento)/4))</f>
        <v>0</v>
      </c>
      <c r="F505" s="26">
        <f>IF(D505="","",MOD(D505-cfgDeslocamento,4)+1)</f>
        <v>0</v>
      </c>
      <c r="G505" s="26">
        <f>IF(A505="","",IF(AND(ISNUMBER(B505),B505&lt;&gt;0),1,0))</f>
        <v>0</v>
      </c>
      <c r="H505" s="25">
        <f>IF(E505="","",(E505*4+3+cfgDeslocamento)/48)</f>
        <v>0</v>
      </c>
    </row>
    <row r="506" spans="1:8">
      <c r="A506" s="24"/>
      <c r="B506" s="19"/>
      <c r="C506" s="25">
        <f>IF(D506="","",D506/48)</f>
        <v>0</v>
      </c>
      <c r="D506" s="26">
        <f>IF(A506="","",ROUND((A506-cfgDefasagem/1440)*48,0))</f>
        <v>0</v>
      </c>
      <c r="E506" s="26">
        <f>IF(D506="","",INT((D506-cfgDeslocamento)/4))</f>
        <v>0</v>
      </c>
      <c r="F506" s="26">
        <f>IF(D506="","",MOD(D506-cfgDeslocamento,4)+1)</f>
        <v>0</v>
      </c>
      <c r="G506" s="26">
        <f>IF(A506="","",IF(AND(ISNUMBER(B506),B506&lt;&gt;0),1,0))</f>
        <v>0</v>
      </c>
      <c r="H506" s="25">
        <f>IF(E506="","",(E506*4+3+cfgDeslocamento)/48)</f>
        <v>0</v>
      </c>
    </row>
    <row r="507" spans="1:8">
      <c r="A507" s="24"/>
      <c r="B507" s="19"/>
      <c r="C507" s="25">
        <f>IF(D507="","",D507/48)</f>
        <v>0</v>
      </c>
      <c r="D507" s="26">
        <f>IF(A507="","",ROUND((A507-cfgDefasagem/1440)*48,0))</f>
        <v>0</v>
      </c>
      <c r="E507" s="26">
        <f>IF(D507="","",INT((D507-cfgDeslocamento)/4))</f>
        <v>0</v>
      </c>
      <c r="F507" s="26">
        <f>IF(D507="","",MOD(D507-cfgDeslocamento,4)+1)</f>
        <v>0</v>
      </c>
      <c r="G507" s="26">
        <f>IF(A507="","",IF(AND(ISNUMBER(B507),B507&lt;&gt;0),1,0))</f>
        <v>0</v>
      </c>
      <c r="H507" s="25">
        <f>IF(E507="","",(E507*4+3+cfgDeslocamento)/48)</f>
        <v>0</v>
      </c>
    </row>
    <row r="508" spans="1:8">
      <c r="A508" s="24"/>
      <c r="B508" s="19"/>
      <c r="C508" s="25">
        <f>IF(D508="","",D508/48)</f>
        <v>0</v>
      </c>
      <c r="D508" s="26">
        <f>IF(A508="","",ROUND((A508-cfgDefasagem/1440)*48,0))</f>
        <v>0</v>
      </c>
      <c r="E508" s="26">
        <f>IF(D508="","",INT((D508-cfgDeslocamento)/4))</f>
        <v>0</v>
      </c>
      <c r="F508" s="26">
        <f>IF(D508="","",MOD(D508-cfgDeslocamento,4)+1)</f>
        <v>0</v>
      </c>
      <c r="G508" s="26">
        <f>IF(A508="","",IF(AND(ISNUMBER(B508),B508&lt;&gt;0),1,0))</f>
        <v>0</v>
      </c>
      <c r="H508" s="25">
        <f>IF(E508="","",(E508*4+3+cfgDeslocamento)/48)</f>
        <v>0</v>
      </c>
    </row>
    <row r="509" spans="1:8">
      <c r="A509" s="24"/>
      <c r="B509" s="19"/>
      <c r="C509" s="25">
        <f>IF(D509="","",D509/48)</f>
        <v>0</v>
      </c>
      <c r="D509" s="26">
        <f>IF(A509="","",ROUND((A509-cfgDefasagem/1440)*48,0))</f>
        <v>0</v>
      </c>
      <c r="E509" s="26">
        <f>IF(D509="","",INT((D509-cfgDeslocamento)/4))</f>
        <v>0</v>
      </c>
      <c r="F509" s="26">
        <f>IF(D509="","",MOD(D509-cfgDeslocamento,4)+1)</f>
        <v>0</v>
      </c>
      <c r="G509" s="26">
        <f>IF(A509="","",IF(AND(ISNUMBER(B509),B509&lt;&gt;0),1,0))</f>
        <v>0</v>
      </c>
      <c r="H509" s="25">
        <f>IF(E509="","",(E509*4+3+cfgDeslocamento)/48)</f>
        <v>0</v>
      </c>
    </row>
    <row r="510" spans="1:8">
      <c r="A510" s="24"/>
      <c r="B510" s="19"/>
      <c r="C510" s="25">
        <f>IF(D510="","",D510/48)</f>
        <v>0</v>
      </c>
      <c r="D510" s="26">
        <f>IF(A510="","",ROUND((A510-cfgDefasagem/1440)*48,0))</f>
        <v>0</v>
      </c>
      <c r="E510" s="26">
        <f>IF(D510="","",INT((D510-cfgDeslocamento)/4))</f>
        <v>0</v>
      </c>
      <c r="F510" s="26">
        <f>IF(D510="","",MOD(D510-cfgDeslocamento,4)+1)</f>
        <v>0</v>
      </c>
      <c r="G510" s="26">
        <f>IF(A510="","",IF(AND(ISNUMBER(B510),B510&lt;&gt;0),1,0))</f>
        <v>0</v>
      </c>
      <c r="H510" s="25">
        <f>IF(E510="","",(E510*4+3+cfgDeslocamento)/48)</f>
        <v>0</v>
      </c>
    </row>
    <row r="511" spans="1:8">
      <c r="A511" s="24"/>
      <c r="B511" s="19"/>
      <c r="C511" s="25">
        <f>IF(D511="","",D511/48)</f>
        <v>0</v>
      </c>
      <c r="D511" s="26">
        <f>IF(A511="","",ROUND((A511-cfgDefasagem/1440)*48,0))</f>
        <v>0</v>
      </c>
      <c r="E511" s="26">
        <f>IF(D511="","",INT((D511-cfgDeslocamento)/4))</f>
        <v>0</v>
      </c>
      <c r="F511" s="26">
        <f>IF(D511="","",MOD(D511-cfgDeslocamento,4)+1)</f>
        <v>0</v>
      </c>
      <c r="G511" s="26">
        <f>IF(A511="","",IF(AND(ISNUMBER(B511),B511&lt;&gt;0),1,0))</f>
        <v>0</v>
      </c>
      <c r="H511" s="25">
        <f>IF(E511="","",(E511*4+3+cfgDeslocamento)/48)</f>
        <v>0</v>
      </c>
    </row>
    <row r="512" spans="1:8">
      <c r="A512" s="24"/>
      <c r="B512" s="19"/>
      <c r="C512" s="25">
        <f>IF(D512="","",D512/48)</f>
        <v>0</v>
      </c>
      <c r="D512" s="26">
        <f>IF(A512="","",ROUND((A512-cfgDefasagem/1440)*48,0))</f>
        <v>0</v>
      </c>
      <c r="E512" s="26">
        <f>IF(D512="","",INT((D512-cfgDeslocamento)/4))</f>
        <v>0</v>
      </c>
      <c r="F512" s="26">
        <f>IF(D512="","",MOD(D512-cfgDeslocamento,4)+1)</f>
        <v>0</v>
      </c>
      <c r="G512" s="26">
        <f>IF(A512="","",IF(AND(ISNUMBER(B512),B512&lt;&gt;0),1,0))</f>
        <v>0</v>
      </c>
      <c r="H512" s="25">
        <f>IF(E512="","",(E512*4+3+cfgDeslocamento)/48)</f>
        <v>0</v>
      </c>
    </row>
    <row r="513" spans="1:8">
      <c r="A513" s="24"/>
      <c r="B513" s="19"/>
      <c r="C513" s="25">
        <f>IF(D513="","",D513/48)</f>
        <v>0</v>
      </c>
      <c r="D513" s="26">
        <f>IF(A513="","",ROUND((A513-cfgDefasagem/1440)*48,0))</f>
        <v>0</v>
      </c>
      <c r="E513" s="26">
        <f>IF(D513="","",INT((D513-cfgDeslocamento)/4))</f>
        <v>0</v>
      </c>
      <c r="F513" s="26">
        <f>IF(D513="","",MOD(D513-cfgDeslocamento,4)+1)</f>
        <v>0</v>
      </c>
      <c r="G513" s="26">
        <f>IF(A513="","",IF(AND(ISNUMBER(B513),B513&lt;&gt;0),1,0))</f>
        <v>0</v>
      </c>
      <c r="H513" s="25">
        <f>IF(E513="","",(E513*4+3+cfgDeslocamento)/48)</f>
        <v>0</v>
      </c>
    </row>
    <row r="514" spans="1:8">
      <c r="A514" s="24"/>
      <c r="B514" s="19"/>
      <c r="C514" s="25">
        <f>IF(D514="","",D514/48)</f>
        <v>0</v>
      </c>
      <c r="D514" s="26">
        <f>IF(A514="","",ROUND((A514-cfgDefasagem/1440)*48,0))</f>
        <v>0</v>
      </c>
      <c r="E514" s="26">
        <f>IF(D514="","",INT((D514-cfgDeslocamento)/4))</f>
        <v>0</v>
      </c>
      <c r="F514" s="26">
        <f>IF(D514="","",MOD(D514-cfgDeslocamento,4)+1)</f>
        <v>0</v>
      </c>
      <c r="G514" s="26">
        <f>IF(A514="","",IF(AND(ISNUMBER(B514),B514&lt;&gt;0),1,0))</f>
        <v>0</v>
      </c>
      <c r="H514" s="25">
        <f>IF(E514="","",(E514*4+3+cfgDeslocamento)/48)</f>
        <v>0</v>
      </c>
    </row>
    <row r="515" spans="1:8">
      <c r="A515" s="24"/>
      <c r="B515" s="19"/>
      <c r="C515" s="25">
        <f>IF(D515="","",D515/48)</f>
        <v>0</v>
      </c>
      <c r="D515" s="26">
        <f>IF(A515="","",ROUND((A515-cfgDefasagem/1440)*48,0))</f>
        <v>0</v>
      </c>
      <c r="E515" s="26">
        <f>IF(D515="","",INT((D515-cfgDeslocamento)/4))</f>
        <v>0</v>
      </c>
      <c r="F515" s="26">
        <f>IF(D515="","",MOD(D515-cfgDeslocamento,4)+1)</f>
        <v>0</v>
      </c>
      <c r="G515" s="26">
        <f>IF(A515="","",IF(AND(ISNUMBER(B515),B515&lt;&gt;0),1,0))</f>
        <v>0</v>
      </c>
      <c r="H515" s="25">
        <f>IF(E515="","",(E515*4+3+cfgDeslocamento)/48)</f>
        <v>0</v>
      </c>
    </row>
    <row r="516" spans="1:8">
      <c r="A516" s="24"/>
      <c r="B516" s="19"/>
      <c r="C516" s="25">
        <f>IF(D516="","",D516/48)</f>
        <v>0</v>
      </c>
      <c r="D516" s="26">
        <f>IF(A516="","",ROUND((A516-cfgDefasagem/1440)*48,0))</f>
        <v>0</v>
      </c>
      <c r="E516" s="26">
        <f>IF(D516="","",INT((D516-cfgDeslocamento)/4))</f>
        <v>0</v>
      </c>
      <c r="F516" s="26">
        <f>IF(D516="","",MOD(D516-cfgDeslocamento,4)+1)</f>
        <v>0</v>
      </c>
      <c r="G516" s="26">
        <f>IF(A516="","",IF(AND(ISNUMBER(B516),B516&lt;&gt;0),1,0))</f>
        <v>0</v>
      </c>
      <c r="H516" s="25">
        <f>IF(E516="","",(E516*4+3+cfgDeslocamento)/48)</f>
        <v>0</v>
      </c>
    </row>
    <row r="517" spans="1:8">
      <c r="A517" s="24"/>
      <c r="B517" s="19"/>
      <c r="C517" s="25">
        <f>IF(D517="","",D517/48)</f>
        <v>0</v>
      </c>
      <c r="D517" s="26">
        <f>IF(A517="","",ROUND((A517-cfgDefasagem/1440)*48,0))</f>
        <v>0</v>
      </c>
      <c r="E517" s="26">
        <f>IF(D517="","",INT((D517-cfgDeslocamento)/4))</f>
        <v>0</v>
      </c>
      <c r="F517" s="26">
        <f>IF(D517="","",MOD(D517-cfgDeslocamento,4)+1)</f>
        <v>0</v>
      </c>
      <c r="G517" s="26">
        <f>IF(A517="","",IF(AND(ISNUMBER(B517),B517&lt;&gt;0),1,0))</f>
        <v>0</v>
      </c>
      <c r="H517" s="25">
        <f>IF(E517="","",(E517*4+3+cfgDeslocamento)/48)</f>
        <v>0</v>
      </c>
    </row>
    <row r="518" spans="1:8">
      <c r="A518" s="24"/>
      <c r="B518" s="19"/>
      <c r="C518" s="25">
        <f>IF(D518="","",D518/48)</f>
        <v>0</v>
      </c>
      <c r="D518" s="26">
        <f>IF(A518="","",ROUND((A518-cfgDefasagem/1440)*48,0))</f>
        <v>0</v>
      </c>
      <c r="E518" s="26">
        <f>IF(D518="","",INT((D518-cfgDeslocamento)/4))</f>
        <v>0</v>
      </c>
      <c r="F518" s="26">
        <f>IF(D518="","",MOD(D518-cfgDeslocamento,4)+1)</f>
        <v>0</v>
      </c>
      <c r="G518" s="26">
        <f>IF(A518="","",IF(AND(ISNUMBER(B518),B518&lt;&gt;0),1,0))</f>
        <v>0</v>
      </c>
      <c r="H518" s="25">
        <f>IF(E518="","",(E518*4+3+cfgDeslocamento)/48)</f>
        <v>0</v>
      </c>
    </row>
    <row r="519" spans="1:8">
      <c r="A519" s="24"/>
      <c r="B519" s="19"/>
      <c r="C519" s="25">
        <f>IF(D519="","",D519/48)</f>
        <v>0</v>
      </c>
      <c r="D519" s="26">
        <f>IF(A519="","",ROUND((A519-cfgDefasagem/1440)*48,0))</f>
        <v>0</v>
      </c>
      <c r="E519" s="26">
        <f>IF(D519="","",INT((D519-cfgDeslocamento)/4))</f>
        <v>0</v>
      </c>
      <c r="F519" s="26">
        <f>IF(D519="","",MOD(D519-cfgDeslocamento,4)+1)</f>
        <v>0</v>
      </c>
      <c r="G519" s="26">
        <f>IF(A519="","",IF(AND(ISNUMBER(B519),B519&lt;&gt;0),1,0))</f>
        <v>0</v>
      </c>
      <c r="H519" s="25">
        <f>IF(E519="","",(E519*4+3+cfgDeslocamento)/48)</f>
        <v>0</v>
      </c>
    </row>
    <row r="520" spans="1:8">
      <c r="A520" s="24"/>
      <c r="B520" s="19"/>
      <c r="C520" s="25">
        <f>IF(D520="","",D520/48)</f>
        <v>0</v>
      </c>
      <c r="D520" s="26">
        <f>IF(A520="","",ROUND((A520-cfgDefasagem/1440)*48,0))</f>
        <v>0</v>
      </c>
      <c r="E520" s="26">
        <f>IF(D520="","",INT((D520-cfgDeslocamento)/4))</f>
        <v>0</v>
      </c>
      <c r="F520" s="26">
        <f>IF(D520="","",MOD(D520-cfgDeslocamento,4)+1)</f>
        <v>0</v>
      </c>
      <c r="G520" s="26">
        <f>IF(A520="","",IF(AND(ISNUMBER(B520),B520&lt;&gt;0),1,0))</f>
        <v>0</v>
      </c>
      <c r="H520" s="25">
        <f>IF(E520="","",(E520*4+3+cfgDeslocamento)/48)</f>
        <v>0</v>
      </c>
    </row>
    <row r="521" spans="1:8">
      <c r="A521" s="24"/>
      <c r="B521" s="19"/>
      <c r="C521" s="25">
        <f>IF(D521="","",D521/48)</f>
        <v>0</v>
      </c>
      <c r="D521" s="26">
        <f>IF(A521="","",ROUND((A521-cfgDefasagem/1440)*48,0))</f>
        <v>0</v>
      </c>
      <c r="E521" s="26">
        <f>IF(D521="","",INT((D521-cfgDeslocamento)/4))</f>
        <v>0</v>
      </c>
      <c r="F521" s="26">
        <f>IF(D521="","",MOD(D521-cfgDeslocamento,4)+1)</f>
        <v>0</v>
      </c>
      <c r="G521" s="26">
        <f>IF(A521="","",IF(AND(ISNUMBER(B521),B521&lt;&gt;0),1,0))</f>
        <v>0</v>
      </c>
      <c r="H521" s="25">
        <f>IF(E521="","",(E521*4+3+cfgDeslocamento)/48)</f>
        <v>0</v>
      </c>
    </row>
    <row r="522" spans="1:8">
      <c r="A522" s="24"/>
      <c r="B522" s="19"/>
      <c r="C522" s="25">
        <f>IF(D522="","",D522/48)</f>
        <v>0</v>
      </c>
      <c r="D522" s="26">
        <f>IF(A522="","",ROUND((A522-cfgDefasagem/1440)*48,0))</f>
        <v>0</v>
      </c>
      <c r="E522" s="26">
        <f>IF(D522="","",INT((D522-cfgDeslocamento)/4))</f>
        <v>0</v>
      </c>
      <c r="F522" s="26">
        <f>IF(D522="","",MOD(D522-cfgDeslocamento,4)+1)</f>
        <v>0</v>
      </c>
      <c r="G522" s="26">
        <f>IF(A522="","",IF(AND(ISNUMBER(B522),B522&lt;&gt;0),1,0))</f>
        <v>0</v>
      </c>
      <c r="H522" s="25">
        <f>IF(E522="","",(E522*4+3+cfgDeslocamento)/48)</f>
        <v>0</v>
      </c>
    </row>
    <row r="523" spans="1:8">
      <c r="A523" s="24"/>
      <c r="B523" s="19"/>
      <c r="C523" s="25">
        <f>IF(D523="","",D523/48)</f>
        <v>0</v>
      </c>
      <c r="D523" s="26">
        <f>IF(A523="","",ROUND((A523-cfgDefasagem/1440)*48,0))</f>
        <v>0</v>
      </c>
      <c r="E523" s="26">
        <f>IF(D523="","",INT((D523-cfgDeslocamento)/4))</f>
        <v>0</v>
      </c>
      <c r="F523" s="26">
        <f>IF(D523="","",MOD(D523-cfgDeslocamento,4)+1)</f>
        <v>0</v>
      </c>
      <c r="G523" s="26">
        <f>IF(A523="","",IF(AND(ISNUMBER(B523),B523&lt;&gt;0),1,0))</f>
        <v>0</v>
      </c>
      <c r="H523" s="25">
        <f>IF(E523="","",(E523*4+3+cfgDeslocamento)/48)</f>
        <v>0</v>
      </c>
    </row>
    <row r="524" spans="1:8">
      <c r="A524" s="24"/>
      <c r="B524" s="19"/>
      <c r="C524" s="25">
        <f>IF(D524="","",D524/48)</f>
        <v>0</v>
      </c>
      <c r="D524" s="26">
        <f>IF(A524="","",ROUND((A524-cfgDefasagem/1440)*48,0))</f>
        <v>0</v>
      </c>
      <c r="E524" s="26">
        <f>IF(D524="","",INT((D524-cfgDeslocamento)/4))</f>
        <v>0</v>
      </c>
      <c r="F524" s="26">
        <f>IF(D524="","",MOD(D524-cfgDeslocamento,4)+1)</f>
        <v>0</v>
      </c>
      <c r="G524" s="26">
        <f>IF(A524="","",IF(AND(ISNUMBER(B524),B524&lt;&gt;0),1,0))</f>
        <v>0</v>
      </c>
      <c r="H524" s="25">
        <f>IF(E524="","",(E524*4+3+cfgDeslocamento)/48)</f>
        <v>0</v>
      </c>
    </row>
    <row r="525" spans="1:8">
      <c r="A525" s="24"/>
      <c r="B525" s="19"/>
      <c r="C525" s="25">
        <f>IF(D525="","",D525/48)</f>
        <v>0</v>
      </c>
      <c r="D525" s="26">
        <f>IF(A525="","",ROUND((A525-cfgDefasagem/1440)*48,0))</f>
        <v>0</v>
      </c>
      <c r="E525" s="26">
        <f>IF(D525="","",INT((D525-cfgDeslocamento)/4))</f>
        <v>0</v>
      </c>
      <c r="F525" s="26">
        <f>IF(D525="","",MOD(D525-cfgDeslocamento,4)+1)</f>
        <v>0</v>
      </c>
      <c r="G525" s="26">
        <f>IF(A525="","",IF(AND(ISNUMBER(B525),B525&lt;&gt;0),1,0))</f>
        <v>0</v>
      </c>
      <c r="H525" s="25">
        <f>IF(E525="","",(E525*4+3+cfgDeslocamento)/48)</f>
        <v>0</v>
      </c>
    </row>
    <row r="526" spans="1:8">
      <c r="A526" s="24"/>
      <c r="B526" s="19"/>
      <c r="C526" s="25">
        <f>IF(D526="","",D526/48)</f>
        <v>0</v>
      </c>
      <c r="D526" s="26">
        <f>IF(A526="","",ROUND((A526-cfgDefasagem/1440)*48,0))</f>
        <v>0</v>
      </c>
      <c r="E526" s="26">
        <f>IF(D526="","",INT((D526-cfgDeslocamento)/4))</f>
        <v>0</v>
      </c>
      <c r="F526" s="26">
        <f>IF(D526="","",MOD(D526-cfgDeslocamento,4)+1)</f>
        <v>0</v>
      </c>
      <c r="G526" s="26">
        <f>IF(A526="","",IF(AND(ISNUMBER(B526),B526&lt;&gt;0),1,0))</f>
        <v>0</v>
      </c>
      <c r="H526" s="25">
        <f>IF(E526="","",(E526*4+3+cfgDeslocamento)/48)</f>
        <v>0</v>
      </c>
    </row>
    <row r="527" spans="1:8">
      <c r="A527" s="24"/>
      <c r="B527" s="19"/>
      <c r="C527" s="25">
        <f>IF(D527="","",D527/48)</f>
        <v>0</v>
      </c>
      <c r="D527" s="26">
        <f>IF(A527="","",ROUND((A527-cfgDefasagem/1440)*48,0))</f>
        <v>0</v>
      </c>
      <c r="E527" s="26">
        <f>IF(D527="","",INT((D527-cfgDeslocamento)/4))</f>
        <v>0</v>
      </c>
      <c r="F527" s="26">
        <f>IF(D527="","",MOD(D527-cfgDeslocamento,4)+1)</f>
        <v>0</v>
      </c>
      <c r="G527" s="26">
        <f>IF(A527="","",IF(AND(ISNUMBER(B527),B527&lt;&gt;0),1,0))</f>
        <v>0</v>
      </c>
      <c r="H527" s="25">
        <f>IF(E527="","",(E527*4+3+cfgDeslocamento)/48)</f>
        <v>0</v>
      </c>
    </row>
    <row r="528" spans="1:8">
      <c r="A528" s="24"/>
      <c r="B528" s="19"/>
      <c r="C528" s="25">
        <f>IF(D528="","",D528/48)</f>
        <v>0</v>
      </c>
      <c r="D528" s="26">
        <f>IF(A528="","",ROUND((A528-cfgDefasagem/1440)*48,0))</f>
        <v>0</v>
      </c>
      <c r="E528" s="26">
        <f>IF(D528="","",INT((D528-cfgDeslocamento)/4))</f>
        <v>0</v>
      </c>
      <c r="F528" s="26">
        <f>IF(D528="","",MOD(D528-cfgDeslocamento,4)+1)</f>
        <v>0</v>
      </c>
      <c r="G528" s="26">
        <f>IF(A528="","",IF(AND(ISNUMBER(B528),B528&lt;&gt;0),1,0))</f>
        <v>0</v>
      </c>
      <c r="H528" s="25">
        <f>IF(E528="","",(E528*4+3+cfgDeslocamento)/48)</f>
        <v>0</v>
      </c>
    </row>
    <row r="529" spans="1:8">
      <c r="A529" s="24"/>
      <c r="B529" s="19"/>
      <c r="C529" s="25">
        <f>IF(D529="","",D529/48)</f>
        <v>0</v>
      </c>
      <c r="D529" s="26">
        <f>IF(A529="","",ROUND((A529-cfgDefasagem/1440)*48,0))</f>
        <v>0</v>
      </c>
      <c r="E529" s="26">
        <f>IF(D529="","",INT((D529-cfgDeslocamento)/4))</f>
        <v>0</v>
      </c>
      <c r="F529" s="26">
        <f>IF(D529="","",MOD(D529-cfgDeslocamento,4)+1)</f>
        <v>0</v>
      </c>
      <c r="G529" s="26">
        <f>IF(A529="","",IF(AND(ISNUMBER(B529),B529&lt;&gt;0),1,0))</f>
        <v>0</v>
      </c>
      <c r="H529" s="25">
        <f>IF(E529="","",(E529*4+3+cfgDeslocamento)/48)</f>
        <v>0</v>
      </c>
    </row>
    <row r="530" spans="1:8">
      <c r="A530" s="24"/>
      <c r="B530" s="19"/>
      <c r="C530" s="25">
        <f>IF(D530="","",D530/48)</f>
        <v>0</v>
      </c>
      <c r="D530" s="26">
        <f>IF(A530="","",ROUND((A530-cfgDefasagem/1440)*48,0))</f>
        <v>0</v>
      </c>
      <c r="E530" s="26">
        <f>IF(D530="","",INT((D530-cfgDeslocamento)/4))</f>
        <v>0</v>
      </c>
      <c r="F530" s="26">
        <f>IF(D530="","",MOD(D530-cfgDeslocamento,4)+1)</f>
        <v>0</v>
      </c>
      <c r="G530" s="26">
        <f>IF(A530="","",IF(AND(ISNUMBER(B530),B530&lt;&gt;0),1,0))</f>
        <v>0</v>
      </c>
      <c r="H530" s="25">
        <f>IF(E530="","",(E530*4+3+cfgDeslocamento)/48)</f>
        <v>0</v>
      </c>
    </row>
    <row r="531" spans="1:8">
      <c r="A531" s="24"/>
      <c r="B531" s="19"/>
      <c r="C531" s="25">
        <f>IF(D531="","",D531/48)</f>
        <v>0</v>
      </c>
      <c r="D531" s="26">
        <f>IF(A531="","",ROUND((A531-cfgDefasagem/1440)*48,0))</f>
        <v>0</v>
      </c>
      <c r="E531" s="26">
        <f>IF(D531="","",INT((D531-cfgDeslocamento)/4))</f>
        <v>0</v>
      </c>
      <c r="F531" s="26">
        <f>IF(D531="","",MOD(D531-cfgDeslocamento,4)+1)</f>
        <v>0</v>
      </c>
      <c r="G531" s="26">
        <f>IF(A531="","",IF(AND(ISNUMBER(B531),B531&lt;&gt;0),1,0))</f>
        <v>0</v>
      </c>
      <c r="H531" s="25">
        <f>IF(E531="","",(E531*4+3+cfgDeslocamento)/48)</f>
        <v>0</v>
      </c>
    </row>
    <row r="532" spans="1:8">
      <c r="A532" s="24"/>
      <c r="B532" s="19"/>
      <c r="C532" s="25">
        <f>IF(D532="","",D532/48)</f>
        <v>0</v>
      </c>
      <c r="D532" s="26">
        <f>IF(A532="","",ROUND((A532-cfgDefasagem/1440)*48,0))</f>
        <v>0</v>
      </c>
      <c r="E532" s="26">
        <f>IF(D532="","",INT((D532-cfgDeslocamento)/4))</f>
        <v>0</v>
      </c>
      <c r="F532" s="26">
        <f>IF(D532="","",MOD(D532-cfgDeslocamento,4)+1)</f>
        <v>0</v>
      </c>
      <c r="G532" s="26">
        <f>IF(A532="","",IF(AND(ISNUMBER(B532),B532&lt;&gt;0),1,0))</f>
        <v>0</v>
      </c>
      <c r="H532" s="25">
        <f>IF(E532="","",(E532*4+3+cfgDeslocamento)/48)</f>
        <v>0</v>
      </c>
    </row>
    <row r="533" spans="1:8">
      <c r="A533" s="24"/>
      <c r="B533" s="19"/>
      <c r="C533" s="25">
        <f>IF(D533="","",D533/48)</f>
        <v>0</v>
      </c>
      <c r="D533" s="26">
        <f>IF(A533="","",ROUND((A533-cfgDefasagem/1440)*48,0))</f>
        <v>0</v>
      </c>
      <c r="E533" s="26">
        <f>IF(D533="","",INT((D533-cfgDeslocamento)/4))</f>
        <v>0</v>
      </c>
      <c r="F533" s="26">
        <f>IF(D533="","",MOD(D533-cfgDeslocamento,4)+1)</f>
        <v>0</v>
      </c>
      <c r="G533" s="26">
        <f>IF(A533="","",IF(AND(ISNUMBER(B533),B533&lt;&gt;0),1,0))</f>
        <v>0</v>
      </c>
      <c r="H533" s="25">
        <f>IF(E533="","",(E533*4+3+cfgDeslocamento)/48)</f>
        <v>0</v>
      </c>
    </row>
    <row r="534" spans="1:8">
      <c r="A534" s="24"/>
      <c r="B534" s="19"/>
      <c r="C534" s="25">
        <f>IF(D534="","",D534/48)</f>
        <v>0</v>
      </c>
      <c r="D534" s="26">
        <f>IF(A534="","",ROUND((A534-cfgDefasagem/1440)*48,0))</f>
        <v>0</v>
      </c>
      <c r="E534" s="26">
        <f>IF(D534="","",INT((D534-cfgDeslocamento)/4))</f>
        <v>0</v>
      </c>
      <c r="F534" s="26">
        <f>IF(D534="","",MOD(D534-cfgDeslocamento,4)+1)</f>
        <v>0</v>
      </c>
      <c r="G534" s="26">
        <f>IF(A534="","",IF(AND(ISNUMBER(B534),B534&lt;&gt;0),1,0))</f>
        <v>0</v>
      </c>
      <c r="H534" s="25">
        <f>IF(E534="","",(E534*4+3+cfgDeslocamento)/48)</f>
        <v>0</v>
      </c>
    </row>
    <row r="535" spans="1:8">
      <c r="A535" s="24"/>
      <c r="B535" s="19"/>
      <c r="C535" s="25">
        <f>IF(D535="","",D535/48)</f>
        <v>0</v>
      </c>
      <c r="D535" s="26">
        <f>IF(A535="","",ROUND((A535-cfgDefasagem/1440)*48,0))</f>
        <v>0</v>
      </c>
      <c r="E535" s="26">
        <f>IF(D535="","",INT((D535-cfgDeslocamento)/4))</f>
        <v>0</v>
      </c>
      <c r="F535" s="26">
        <f>IF(D535="","",MOD(D535-cfgDeslocamento,4)+1)</f>
        <v>0</v>
      </c>
      <c r="G535" s="26">
        <f>IF(A535="","",IF(AND(ISNUMBER(B535),B535&lt;&gt;0),1,0))</f>
        <v>0</v>
      </c>
      <c r="H535" s="25">
        <f>IF(E535="","",(E535*4+3+cfgDeslocamento)/48)</f>
        <v>0</v>
      </c>
    </row>
    <row r="536" spans="1:8">
      <c r="A536" s="24"/>
      <c r="B536" s="19"/>
      <c r="C536" s="25">
        <f>IF(D536="","",D536/48)</f>
        <v>0</v>
      </c>
      <c r="D536" s="26">
        <f>IF(A536="","",ROUND((A536-cfgDefasagem/1440)*48,0))</f>
        <v>0</v>
      </c>
      <c r="E536" s="26">
        <f>IF(D536="","",INT((D536-cfgDeslocamento)/4))</f>
        <v>0</v>
      </c>
      <c r="F536" s="26">
        <f>IF(D536="","",MOD(D536-cfgDeslocamento,4)+1)</f>
        <v>0</v>
      </c>
      <c r="G536" s="26">
        <f>IF(A536="","",IF(AND(ISNUMBER(B536),B536&lt;&gt;0),1,0))</f>
        <v>0</v>
      </c>
      <c r="H536" s="25">
        <f>IF(E536="","",(E536*4+3+cfgDeslocamento)/48)</f>
        <v>0</v>
      </c>
    </row>
    <row r="537" spans="1:8">
      <c r="A537" s="24"/>
      <c r="B537" s="19"/>
      <c r="C537" s="25">
        <f>IF(D537="","",D537/48)</f>
        <v>0</v>
      </c>
      <c r="D537" s="26">
        <f>IF(A537="","",ROUND((A537-cfgDefasagem/1440)*48,0))</f>
        <v>0</v>
      </c>
      <c r="E537" s="26">
        <f>IF(D537="","",INT((D537-cfgDeslocamento)/4))</f>
        <v>0</v>
      </c>
      <c r="F537" s="26">
        <f>IF(D537="","",MOD(D537-cfgDeslocamento,4)+1)</f>
        <v>0</v>
      </c>
      <c r="G537" s="26">
        <f>IF(A537="","",IF(AND(ISNUMBER(B537),B537&lt;&gt;0),1,0))</f>
        <v>0</v>
      </c>
      <c r="H537" s="25">
        <f>IF(E537="","",(E537*4+3+cfgDeslocamento)/48)</f>
        <v>0</v>
      </c>
    </row>
    <row r="538" spans="1:8">
      <c r="A538" s="24"/>
      <c r="B538" s="19"/>
      <c r="C538" s="25">
        <f>IF(D538="","",D538/48)</f>
        <v>0</v>
      </c>
      <c r="D538" s="26">
        <f>IF(A538="","",ROUND((A538-cfgDefasagem/1440)*48,0))</f>
        <v>0</v>
      </c>
      <c r="E538" s="26">
        <f>IF(D538="","",INT((D538-cfgDeslocamento)/4))</f>
        <v>0</v>
      </c>
      <c r="F538" s="26">
        <f>IF(D538="","",MOD(D538-cfgDeslocamento,4)+1)</f>
        <v>0</v>
      </c>
      <c r="G538" s="26">
        <f>IF(A538="","",IF(AND(ISNUMBER(B538),B538&lt;&gt;0),1,0))</f>
        <v>0</v>
      </c>
      <c r="H538" s="25">
        <f>IF(E538="","",(E538*4+3+cfgDeslocamento)/48)</f>
        <v>0</v>
      </c>
    </row>
    <row r="539" spans="1:8">
      <c r="A539" s="24"/>
      <c r="B539" s="19"/>
      <c r="C539" s="25">
        <f>IF(D539="","",D539/48)</f>
        <v>0</v>
      </c>
      <c r="D539" s="26">
        <f>IF(A539="","",ROUND((A539-cfgDefasagem/1440)*48,0))</f>
        <v>0</v>
      </c>
      <c r="E539" s="26">
        <f>IF(D539="","",INT((D539-cfgDeslocamento)/4))</f>
        <v>0</v>
      </c>
      <c r="F539" s="26">
        <f>IF(D539="","",MOD(D539-cfgDeslocamento,4)+1)</f>
        <v>0</v>
      </c>
      <c r="G539" s="26">
        <f>IF(A539="","",IF(AND(ISNUMBER(B539),B539&lt;&gt;0),1,0))</f>
        <v>0</v>
      </c>
      <c r="H539" s="25">
        <f>IF(E539="","",(E539*4+3+cfgDeslocamento)/48)</f>
        <v>0</v>
      </c>
    </row>
    <row r="540" spans="1:8">
      <c r="A540" s="24"/>
      <c r="B540" s="19"/>
      <c r="C540" s="25">
        <f>IF(D540="","",D540/48)</f>
        <v>0</v>
      </c>
      <c r="D540" s="26">
        <f>IF(A540="","",ROUND((A540-cfgDefasagem/1440)*48,0))</f>
        <v>0</v>
      </c>
      <c r="E540" s="26">
        <f>IF(D540="","",INT((D540-cfgDeslocamento)/4))</f>
        <v>0</v>
      </c>
      <c r="F540" s="26">
        <f>IF(D540="","",MOD(D540-cfgDeslocamento,4)+1)</f>
        <v>0</v>
      </c>
      <c r="G540" s="26">
        <f>IF(A540="","",IF(AND(ISNUMBER(B540),B540&lt;&gt;0),1,0))</f>
        <v>0</v>
      </c>
      <c r="H540" s="25">
        <f>IF(E540="","",(E540*4+3+cfgDeslocamento)/48)</f>
        <v>0</v>
      </c>
    </row>
    <row r="541" spans="1:8">
      <c r="A541" s="24"/>
      <c r="B541" s="19"/>
      <c r="C541" s="25">
        <f>IF(D541="","",D541/48)</f>
        <v>0</v>
      </c>
      <c r="D541" s="26">
        <f>IF(A541="","",ROUND((A541-cfgDefasagem/1440)*48,0))</f>
        <v>0</v>
      </c>
      <c r="E541" s="26">
        <f>IF(D541="","",INT((D541-cfgDeslocamento)/4))</f>
        <v>0</v>
      </c>
      <c r="F541" s="26">
        <f>IF(D541="","",MOD(D541-cfgDeslocamento,4)+1)</f>
        <v>0</v>
      </c>
      <c r="G541" s="26">
        <f>IF(A541="","",IF(AND(ISNUMBER(B541),B541&lt;&gt;0),1,0))</f>
        <v>0</v>
      </c>
      <c r="H541" s="25">
        <f>IF(E541="","",(E541*4+3+cfgDeslocamento)/48)</f>
        <v>0</v>
      </c>
    </row>
    <row r="542" spans="1:8">
      <c r="A542" s="24"/>
      <c r="B542" s="19"/>
      <c r="C542" s="25">
        <f>IF(D542="","",D542/48)</f>
        <v>0</v>
      </c>
      <c r="D542" s="26">
        <f>IF(A542="","",ROUND((A542-cfgDefasagem/1440)*48,0))</f>
        <v>0</v>
      </c>
      <c r="E542" s="26">
        <f>IF(D542="","",INT((D542-cfgDeslocamento)/4))</f>
        <v>0</v>
      </c>
      <c r="F542" s="26">
        <f>IF(D542="","",MOD(D542-cfgDeslocamento,4)+1)</f>
        <v>0</v>
      </c>
      <c r="G542" s="26">
        <f>IF(A542="","",IF(AND(ISNUMBER(B542),B542&lt;&gt;0),1,0))</f>
        <v>0</v>
      </c>
      <c r="H542" s="25">
        <f>IF(E542="","",(E542*4+3+cfgDeslocamento)/48)</f>
        <v>0</v>
      </c>
    </row>
    <row r="543" spans="1:8">
      <c r="A543" s="24"/>
      <c r="B543" s="19"/>
      <c r="C543" s="25">
        <f>IF(D543="","",D543/48)</f>
        <v>0</v>
      </c>
      <c r="D543" s="26">
        <f>IF(A543="","",ROUND((A543-cfgDefasagem/1440)*48,0))</f>
        <v>0</v>
      </c>
      <c r="E543" s="26">
        <f>IF(D543="","",INT((D543-cfgDeslocamento)/4))</f>
        <v>0</v>
      </c>
      <c r="F543" s="26">
        <f>IF(D543="","",MOD(D543-cfgDeslocamento,4)+1)</f>
        <v>0</v>
      </c>
      <c r="G543" s="26">
        <f>IF(A543="","",IF(AND(ISNUMBER(B543),B543&lt;&gt;0),1,0))</f>
        <v>0</v>
      </c>
      <c r="H543" s="25">
        <f>IF(E543="","",(E543*4+3+cfgDeslocamento)/48)</f>
        <v>0</v>
      </c>
    </row>
    <row r="544" spans="1:8">
      <c r="A544" s="24"/>
      <c r="B544" s="19"/>
      <c r="C544" s="25">
        <f>IF(D544="","",D544/48)</f>
        <v>0</v>
      </c>
      <c r="D544" s="26">
        <f>IF(A544="","",ROUND((A544-cfgDefasagem/1440)*48,0))</f>
        <v>0</v>
      </c>
      <c r="E544" s="26">
        <f>IF(D544="","",INT((D544-cfgDeslocamento)/4))</f>
        <v>0</v>
      </c>
      <c r="F544" s="26">
        <f>IF(D544="","",MOD(D544-cfgDeslocamento,4)+1)</f>
        <v>0</v>
      </c>
      <c r="G544" s="26">
        <f>IF(A544="","",IF(AND(ISNUMBER(B544),B544&lt;&gt;0),1,0))</f>
        <v>0</v>
      </c>
      <c r="H544" s="25">
        <f>IF(E544="","",(E544*4+3+cfgDeslocamento)/48)</f>
        <v>0</v>
      </c>
    </row>
    <row r="545" spans="1:8">
      <c r="A545" s="24"/>
      <c r="B545" s="19"/>
      <c r="C545" s="25">
        <f>IF(D545="","",D545/48)</f>
        <v>0</v>
      </c>
      <c r="D545" s="26">
        <f>IF(A545="","",ROUND((A545-cfgDefasagem/1440)*48,0))</f>
        <v>0</v>
      </c>
      <c r="E545" s="26">
        <f>IF(D545="","",INT((D545-cfgDeslocamento)/4))</f>
        <v>0</v>
      </c>
      <c r="F545" s="26">
        <f>IF(D545="","",MOD(D545-cfgDeslocamento,4)+1)</f>
        <v>0</v>
      </c>
      <c r="G545" s="26">
        <f>IF(A545="","",IF(AND(ISNUMBER(B545),B545&lt;&gt;0),1,0))</f>
        <v>0</v>
      </c>
      <c r="H545" s="25">
        <f>IF(E545="","",(E545*4+3+cfgDeslocamento)/48)</f>
        <v>0</v>
      </c>
    </row>
    <row r="546" spans="1:8">
      <c r="A546" s="24"/>
      <c r="B546" s="19"/>
      <c r="C546" s="25">
        <f>IF(D546="","",D546/48)</f>
        <v>0</v>
      </c>
      <c r="D546" s="26">
        <f>IF(A546="","",ROUND((A546-cfgDefasagem/1440)*48,0))</f>
        <v>0</v>
      </c>
      <c r="E546" s="26">
        <f>IF(D546="","",INT((D546-cfgDeslocamento)/4))</f>
        <v>0</v>
      </c>
      <c r="F546" s="26">
        <f>IF(D546="","",MOD(D546-cfgDeslocamento,4)+1)</f>
        <v>0</v>
      </c>
      <c r="G546" s="26">
        <f>IF(A546="","",IF(AND(ISNUMBER(B546),B546&lt;&gt;0),1,0))</f>
        <v>0</v>
      </c>
      <c r="H546" s="25">
        <f>IF(E546="","",(E546*4+3+cfgDeslocamento)/48)</f>
        <v>0</v>
      </c>
    </row>
    <row r="547" spans="1:8">
      <c r="A547" s="24"/>
      <c r="B547" s="19"/>
      <c r="C547" s="25">
        <f>IF(D547="","",D547/48)</f>
        <v>0</v>
      </c>
      <c r="D547" s="26">
        <f>IF(A547="","",ROUND((A547-cfgDefasagem/1440)*48,0))</f>
        <v>0</v>
      </c>
      <c r="E547" s="26">
        <f>IF(D547="","",INT((D547-cfgDeslocamento)/4))</f>
        <v>0</v>
      </c>
      <c r="F547" s="26">
        <f>IF(D547="","",MOD(D547-cfgDeslocamento,4)+1)</f>
        <v>0</v>
      </c>
      <c r="G547" s="26">
        <f>IF(A547="","",IF(AND(ISNUMBER(B547),B547&lt;&gt;0),1,0))</f>
        <v>0</v>
      </c>
      <c r="H547" s="25">
        <f>IF(E547="","",(E547*4+3+cfgDeslocamento)/48)</f>
        <v>0</v>
      </c>
    </row>
    <row r="548" spans="1:8">
      <c r="A548" s="24"/>
      <c r="B548" s="19"/>
      <c r="C548" s="25">
        <f>IF(D548="","",D548/48)</f>
        <v>0</v>
      </c>
      <c r="D548" s="26">
        <f>IF(A548="","",ROUND((A548-cfgDefasagem/1440)*48,0))</f>
        <v>0</v>
      </c>
      <c r="E548" s="26">
        <f>IF(D548="","",INT((D548-cfgDeslocamento)/4))</f>
        <v>0</v>
      </c>
      <c r="F548" s="26">
        <f>IF(D548="","",MOD(D548-cfgDeslocamento,4)+1)</f>
        <v>0</v>
      </c>
      <c r="G548" s="26">
        <f>IF(A548="","",IF(AND(ISNUMBER(B548),B548&lt;&gt;0),1,0))</f>
        <v>0</v>
      </c>
      <c r="H548" s="25">
        <f>IF(E548="","",(E548*4+3+cfgDeslocamento)/48)</f>
        <v>0</v>
      </c>
    </row>
    <row r="549" spans="1:8">
      <c r="A549" s="24"/>
      <c r="B549" s="19"/>
      <c r="C549" s="25">
        <f>IF(D549="","",D549/48)</f>
        <v>0</v>
      </c>
      <c r="D549" s="26">
        <f>IF(A549="","",ROUND((A549-cfgDefasagem/1440)*48,0))</f>
        <v>0</v>
      </c>
      <c r="E549" s="26">
        <f>IF(D549="","",INT((D549-cfgDeslocamento)/4))</f>
        <v>0</v>
      </c>
      <c r="F549" s="26">
        <f>IF(D549="","",MOD(D549-cfgDeslocamento,4)+1)</f>
        <v>0</v>
      </c>
      <c r="G549" s="26">
        <f>IF(A549="","",IF(AND(ISNUMBER(B549),B549&lt;&gt;0),1,0))</f>
        <v>0</v>
      </c>
      <c r="H549" s="25">
        <f>IF(E549="","",(E549*4+3+cfgDeslocamento)/48)</f>
        <v>0</v>
      </c>
    </row>
    <row r="550" spans="1:8">
      <c r="A550" s="24"/>
      <c r="B550" s="19"/>
      <c r="C550" s="25">
        <f>IF(D550="","",D550/48)</f>
        <v>0</v>
      </c>
      <c r="D550" s="26">
        <f>IF(A550="","",ROUND((A550-cfgDefasagem/1440)*48,0))</f>
        <v>0</v>
      </c>
      <c r="E550" s="26">
        <f>IF(D550="","",INT((D550-cfgDeslocamento)/4))</f>
        <v>0</v>
      </c>
      <c r="F550" s="26">
        <f>IF(D550="","",MOD(D550-cfgDeslocamento,4)+1)</f>
        <v>0</v>
      </c>
      <c r="G550" s="26">
        <f>IF(A550="","",IF(AND(ISNUMBER(B550),B550&lt;&gt;0),1,0))</f>
        <v>0</v>
      </c>
      <c r="H550" s="25">
        <f>IF(E550="","",(E550*4+3+cfgDeslocamento)/48)</f>
        <v>0</v>
      </c>
    </row>
    <row r="551" spans="1:8">
      <c r="A551" s="24"/>
      <c r="B551" s="19"/>
      <c r="C551" s="25">
        <f>IF(D551="","",D551/48)</f>
        <v>0</v>
      </c>
      <c r="D551" s="26">
        <f>IF(A551="","",ROUND((A551-cfgDefasagem/1440)*48,0))</f>
        <v>0</v>
      </c>
      <c r="E551" s="26">
        <f>IF(D551="","",INT((D551-cfgDeslocamento)/4))</f>
        <v>0</v>
      </c>
      <c r="F551" s="26">
        <f>IF(D551="","",MOD(D551-cfgDeslocamento,4)+1)</f>
        <v>0</v>
      </c>
      <c r="G551" s="26">
        <f>IF(A551="","",IF(AND(ISNUMBER(B551),B551&lt;&gt;0),1,0))</f>
        <v>0</v>
      </c>
      <c r="H551" s="25">
        <f>IF(E551="","",(E551*4+3+cfgDeslocamento)/48)</f>
        <v>0</v>
      </c>
    </row>
    <row r="552" spans="1:8">
      <c r="A552" s="24"/>
      <c r="B552" s="19"/>
      <c r="C552" s="25">
        <f>IF(D552="","",D552/48)</f>
        <v>0</v>
      </c>
      <c r="D552" s="26">
        <f>IF(A552="","",ROUND((A552-cfgDefasagem/1440)*48,0))</f>
        <v>0</v>
      </c>
      <c r="E552" s="26">
        <f>IF(D552="","",INT((D552-cfgDeslocamento)/4))</f>
        <v>0</v>
      </c>
      <c r="F552" s="26">
        <f>IF(D552="","",MOD(D552-cfgDeslocamento,4)+1)</f>
        <v>0</v>
      </c>
      <c r="G552" s="26">
        <f>IF(A552="","",IF(AND(ISNUMBER(B552),B552&lt;&gt;0),1,0))</f>
        <v>0</v>
      </c>
      <c r="H552" s="25">
        <f>IF(E552="","",(E552*4+3+cfgDeslocamento)/48)</f>
        <v>0</v>
      </c>
    </row>
    <row r="553" spans="1:8">
      <c r="A553" s="24"/>
      <c r="B553" s="19"/>
      <c r="C553" s="25">
        <f>IF(D553="","",D553/48)</f>
        <v>0</v>
      </c>
      <c r="D553" s="26">
        <f>IF(A553="","",ROUND((A553-cfgDefasagem/1440)*48,0))</f>
        <v>0</v>
      </c>
      <c r="E553" s="26">
        <f>IF(D553="","",INT((D553-cfgDeslocamento)/4))</f>
        <v>0</v>
      </c>
      <c r="F553" s="26">
        <f>IF(D553="","",MOD(D553-cfgDeslocamento,4)+1)</f>
        <v>0</v>
      </c>
      <c r="G553" s="26">
        <f>IF(A553="","",IF(AND(ISNUMBER(B553),B553&lt;&gt;0),1,0))</f>
        <v>0</v>
      </c>
      <c r="H553" s="25">
        <f>IF(E553="","",(E553*4+3+cfgDeslocamento)/48)</f>
        <v>0</v>
      </c>
    </row>
    <row r="554" spans="1:8">
      <c r="A554" s="24"/>
      <c r="B554" s="19"/>
      <c r="C554" s="25">
        <f>IF(D554="","",D554/48)</f>
        <v>0</v>
      </c>
      <c r="D554" s="26">
        <f>IF(A554="","",ROUND((A554-cfgDefasagem/1440)*48,0))</f>
        <v>0</v>
      </c>
      <c r="E554" s="26">
        <f>IF(D554="","",INT((D554-cfgDeslocamento)/4))</f>
        <v>0</v>
      </c>
      <c r="F554" s="26">
        <f>IF(D554="","",MOD(D554-cfgDeslocamento,4)+1)</f>
        <v>0</v>
      </c>
      <c r="G554" s="26">
        <f>IF(A554="","",IF(AND(ISNUMBER(B554),B554&lt;&gt;0),1,0))</f>
        <v>0</v>
      </c>
      <c r="H554" s="25">
        <f>IF(E554="","",(E554*4+3+cfgDeslocamento)/48)</f>
        <v>0</v>
      </c>
    </row>
    <row r="555" spans="1:8">
      <c r="A555" s="24"/>
      <c r="B555" s="19"/>
      <c r="C555" s="25">
        <f>IF(D555="","",D555/48)</f>
        <v>0</v>
      </c>
      <c r="D555" s="26">
        <f>IF(A555="","",ROUND((A555-cfgDefasagem/1440)*48,0))</f>
        <v>0</v>
      </c>
      <c r="E555" s="26">
        <f>IF(D555="","",INT((D555-cfgDeslocamento)/4))</f>
        <v>0</v>
      </c>
      <c r="F555" s="26">
        <f>IF(D555="","",MOD(D555-cfgDeslocamento,4)+1)</f>
        <v>0</v>
      </c>
      <c r="G555" s="26">
        <f>IF(A555="","",IF(AND(ISNUMBER(B555),B555&lt;&gt;0),1,0))</f>
        <v>0</v>
      </c>
      <c r="H555" s="25">
        <f>IF(E555="","",(E555*4+3+cfgDeslocamento)/48)</f>
        <v>0</v>
      </c>
    </row>
    <row r="556" spans="1:8">
      <c r="A556" s="24"/>
      <c r="B556" s="19"/>
      <c r="C556" s="25">
        <f>IF(D556="","",D556/48)</f>
        <v>0</v>
      </c>
      <c r="D556" s="26">
        <f>IF(A556="","",ROUND((A556-cfgDefasagem/1440)*48,0))</f>
        <v>0</v>
      </c>
      <c r="E556" s="26">
        <f>IF(D556="","",INT((D556-cfgDeslocamento)/4))</f>
        <v>0</v>
      </c>
      <c r="F556" s="26">
        <f>IF(D556="","",MOD(D556-cfgDeslocamento,4)+1)</f>
        <v>0</v>
      </c>
      <c r="G556" s="26">
        <f>IF(A556="","",IF(AND(ISNUMBER(B556),B556&lt;&gt;0),1,0))</f>
        <v>0</v>
      </c>
      <c r="H556" s="25">
        <f>IF(E556="","",(E556*4+3+cfgDeslocamento)/48)</f>
        <v>0</v>
      </c>
    </row>
    <row r="557" spans="1:8">
      <c r="A557" s="24"/>
      <c r="B557" s="19"/>
      <c r="C557" s="25">
        <f>IF(D557="","",D557/48)</f>
        <v>0</v>
      </c>
      <c r="D557" s="26">
        <f>IF(A557="","",ROUND((A557-cfgDefasagem/1440)*48,0))</f>
        <v>0</v>
      </c>
      <c r="E557" s="26">
        <f>IF(D557="","",INT((D557-cfgDeslocamento)/4))</f>
        <v>0</v>
      </c>
      <c r="F557" s="26">
        <f>IF(D557="","",MOD(D557-cfgDeslocamento,4)+1)</f>
        <v>0</v>
      </c>
      <c r="G557" s="26">
        <f>IF(A557="","",IF(AND(ISNUMBER(B557),B557&lt;&gt;0),1,0))</f>
        <v>0</v>
      </c>
      <c r="H557" s="25">
        <f>IF(E557="","",(E557*4+3+cfgDeslocamento)/48)</f>
        <v>0</v>
      </c>
    </row>
    <row r="558" spans="1:8">
      <c r="A558" s="24"/>
      <c r="B558" s="19"/>
      <c r="C558" s="25">
        <f>IF(D558="","",D558/48)</f>
        <v>0</v>
      </c>
      <c r="D558" s="26">
        <f>IF(A558="","",ROUND((A558-cfgDefasagem/1440)*48,0))</f>
        <v>0</v>
      </c>
      <c r="E558" s="26">
        <f>IF(D558="","",INT((D558-cfgDeslocamento)/4))</f>
        <v>0</v>
      </c>
      <c r="F558" s="26">
        <f>IF(D558="","",MOD(D558-cfgDeslocamento,4)+1)</f>
        <v>0</v>
      </c>
      <c r="G558" s="26">
        <f>IF(A558="","",IF(AND(ISNUMBER(B558),B558&lt;&gt;0),1,0))</f>
        <v>0</v>
      </c>
      <c r="H558" s="25">
        <f>IF(E558="","",(E558*4+3+cfgDeslocamento)/48)</f>
        <v>0</v>
      </c>
    </row>
    <row r="559" spans="1:8">
      <c r="A559" s="24"/>
      <c r="B559" s="19"/>
      <c r="C559" s="25">
        <f>IF(D559="","",D559/48)</f>
        <v>0</v>
      </c>
      <c r="D559" s="26">
        <f>IF(A559="","",ROUND((A559-cfgDefasagem/1440)*48,0))</f>
        <v>0</v>
      </c>
      <c r="E559" s="26">
        <f>IF(D559="","",INT((D559-cfgDeslocamento)/4))</f>
        <v>0</v>
      </c>
      <c r="F559" s="26">
        <f>IF(D559="","",MOD(D559-cfgDeslocamento,4)+1)</f>
        <v>0</v>
      </c>
      <c r="G559" s="26">
        <f>IF(A559="","",IF(AND(ISNUMBER(B559),B559&lt;&gt;0),1,0))</f>
        <v>0</v>
      </c>
      <c r="H559" s="25">
        <f>IF(E559="","",(E559*4+3+cfgDeslocamento)/48)</f>
        <v>0</v>
      </c>
    </row>
    <row r="560" spans="1:8">
      <c r="A560" s="24"/>
      <c r="B560" s="19"/>
      <c r="C560" s="25">
        <f>IF(D560="","",D560/48)</f>
        <v>0</v>
      </c>
      <c r="D560" s="26">
        <f>IF(A560="","",ROUND((A560-cfgDefasagem/1440)*48,0))</f>
        <v>0</v>
      </c>
      <c r="E560" s="26">
        <f>IF(D560="","",INT((D560-cfgDeslocamento)/4))</f>
        <v>0</v>
      </c>
      <c r="F560" s="26">
        <f>IF(D560="","",MOD(D560-cfgDeslocamento,4)+1)</f>
        <v>0</v>
      </c>
      <c r="G560" s="26">
        <f>IF(A560="","",IF(AND(ISNUMBER(B560),B560&lt;&gt;0),1,0))</f>
        <v>0</v>
      </c>
      <c r="H560" s="25">
        <f>IF(E560="","",(E560*4+3+cfgDeslocamento)/48)</f>
        <v>0</v>
      </c>
    </row>
    <row r="561" spans="1:8">
      <c r="A561" s="24"/>
      <c r="B561" s="19"/>
      <c r="C561" s="25">
        <f>IF(D561="","",D561/48)</f>
        <v>0</v>
      </c>
      <c r="D561" s="26">
        <f>IF(A561="","",ROUND((A561-cfgDefasagem/1440)*48,0))</f>
        <v>0</v>
      </c>
      <c r="E561" s="26">
        <f>IF(D561="","",INT((D561-cfgDeslocamento)/4))</f>
        <v>0</v>
      </c>
      <c r="F561" s="26">
        <f>IF(D561="","",MOD(D561-cfgDeslocamento,4)+1)</f>
        <v>0</v>
      </c>
      <c r="G561" s="26">
        <f>IF(A561="","",IF(AND(ISNUMBER(B561),B561&lt;&gt;0),1,0))</f>
        <v>0</v>
      </c>
      <c r="H561" s="25">
        <f>IF(E561="","",(E561*4+3+cfgDeslocamento)/48)</f>
        <v>0</v>
      </c>
    </row>
    <row r="562" spans="1:8">
      <c r="A562" s="24"/>
      <c r="B562" s="19"/>
      <c r="C562" s="25">
        <f>IF(D562="","",D562/48)</f>
        <v>0</v>
      </c>
      <c r="D562" s="26">
        <f>IF(A562="","",ROUND((A562-cfgDefasagem/1440)*48,0))</f>
        <v>0</v>
      </c>
      <c r="E562" s="26">
        <f>IF(D562="","",INT((D562-cfgDeslocamento)/4))</f>
        <v>0</v>
      </c>
      <c r="F562" s="26">
        <f>IF(D562="","",MOD(D562-cfgDeslocamento,4)+1)</f>
        <v>0</v>
      </c>
      <c r="G562" s="26">
        <f>IF(A562="","",IF(AND(ISNUMBER(B562),B562&lt;&gt;0),1,0))</f>
        <v>0</v>
      </c>
      <c r="H562" s="25">
        <f>IF(E562="","",(E562*4+3+cfgDeslocamento)/48)</f>
        <v>0</v>
      </c>
    </row>
    <row r="563" spans="1:8">
      <c r="A563" s="24"/>
      <c r="B563" s="19"/>
      <c r="C563" s="25">
        <f>IF(D563="","",D563/48)</f>
        <v>0</v>
      </c>
      <c r="D563" s="26">
        <f>IF(A563="","",ROUND((A563-cfgDefasagem/1440)*48,0))</f>
        <v>0</v>
      </c>
      <c r="E563" s="26">
        <f>IF(D563="","",INT((D563-cfgDeslocamento)/4))</f>
        <v>0</v>
      </c>
      <c r="F563" s="26">
        <f>IF(D563="","",MOD(D563-cfgDeslocamento,4)+1)</f>
        <v>0</v>
      </c>
      <c r="G563" s="26">
        <f>IF(A563="","",IF(AND(ISNUMBER(B563),B563&lt;&gt;0),1,0))</f>
        <v>0</v>
      </c>
      <c r="H563" s="25">
        <f>IF(E563="","",(E563*4+3+cfgDeslocamento)/48)</f>
        <v>0</v>
      </c>
    </row>
    <row r="564" spans="1:8">
      <c r="A564" s="24"/>
      <c r="B564" s="19"/>
      <c r="C564" s="25">
        <f>IF(D564="","",D564/48)</f>
        <v>0</v>
      </c>
      <c r="D564" s="26">
        <f>IF(A564="","",ROUND((A564-cfgDefasagem/1440)*48,0))</f>
        <v>0</v>
      </c>
      <c r="E564" s="26">
        <f>IF(D564="","",INT((D564-cfgDeslocamento)/4))</f>
        <v>0</v>
      </c>
      <c r="F564" s="26">
        <f>IF(D564="","",MOD(D564-cfgDeslocamento,4)+1)</f>
        <v>0</v>
      </c>
      <c r="G564" s="26">
        <f>IF(A564="","",IF(AND(ISNUMBER(B564),B564&lt;&gt;0),1,0))</f>
        <v>0</v>
      </c>
      <c r="H564" s="25">
        <f>IF(E564="","",(E564*4+3+cfgDeslocamento)/48)</f>
        <v>0</v>
      </c>
    </row>
    <row r="565" spans="1:8">
      <c r="A565" s="24"/>
      <c r="B565" s="19"/>
      <c r="C565" s="25">
        <f>IF(D565="","",D565/48)</f>
        <v>0</v>
      </c>
      <c r="D565" s="26">
        <f>IF(A565="","",ROUND((A565-cfgDefasagem/1440)*48,0))</f>
        <v>0</v>
      </c>
      <c r="E565" s="26">
        <f>IF(D565="","",INT((D565-cfgDeslocamento)/4))</f>
        <v>0</v>
      </c>
      <c r="F565" s="26">
        <f>IF(D565="","",MOD(D565-cfgDeslocamento,4)+1)</f>
        <v>0</v>
      </c>
      <c r="G565" s="26">
        <f>IF(A565="","",IF(AND(ISNUMBER(B565),B565&lt;&gt;0),1,0))</f>
        <v>0</v>
      </c>
      <c r="H565" s="25">
        <f>IF(E565="","",(E565*4+3+cfgDeslocamento)/48)</f>
        <v>0</v>
      </c>
    </row>
    <row r="566" spans="1:8">
      <c r="A566" s="24"/>
      <c r="B566" s="19"/>
      <c r="C566" s="25">
        <f>IF(D566="","",D566/48)</f>
        <v>0</v>
      </c>
      <c r="D566" s="26">
        <f>IF(A566="","",ROUND((A566-cfgDefasagem/1440)*48,0))</f>
        <v>0</v>
      </c>
      <c r="E566" s="26">
        <f>IF(D566="","",INT((D566-cfgDeslocamento)/4))</f>
        <v>0</v>
      </c>
      <c r="F566" s="26">
        <f>IF(D566="","",MOD(D566-cfgDeslocamento,4)+1)</f>
        <v>0</v>
      </c>
      <c r="G566" s="26">
        <f>IF(A566="","",IF(AND(ISNUMBER(B566),B566&lt;&gt;0),1,0))</f>
        <v>0</v>
      </c>
      <c r="H566" s="25">
        <f>IF(E566="","",(E566*4+3+cfgDeslocamento)/48)</f>
        <v>0</v>
      </c>
    </row>
    <row r="567" spans="1:8">
      <c r="A567" s="24"/>
      <c r="B567" s="19"/>
      <c r="C567" s="25">
        <f>IF(D567="","",D567/48)</f>
        <v>0</v>
      </c>
      <c r="D567" s="26">
        <f>IF(A567="","",ROUND((A567-cfgDefasagem/1440)*48,0))</f>
        <v>0</v>
      </c>
      <c r="E567" s="26">
        <f>IF(D567="","",INT((D567-cfgDeslocamento)/4))</f>
        <v>0</v>
      </c>
      <c r="F567" s="26">
        <f>IF(D567="","",MOD(D567-cfgDeslocamento,4)+1)</f>
        <v>0</v>
      </c>
      <c r="G567" s="26">
        <f>IF(A567="","",IF(AND(ISNUMBER(B567),B567&lt;&gt;0),1,0))</f>
        <v>0</v>
      </c>
      <c r="H567" s="25">
        <f>IF(E567="","",(E567*4+3+cfgDeslocamento)/48)</f>
        <v>0</v>
      </c>
    </row>
    <row r="568" spans="1:8">
      <c r="A568" s="24"/>
      <c r="B568" s="19"/>
      <c r="C568" s="25">
        <f>IF(D568="","",D568/48)</f>
        <v>0</v>
      </c>
      <c r="D568" s="26">
        <f>IF(A568="","",ROUND((A568-cfgDefasagem/1440)*48,0))</f>
        <v>0</v>
      </c>
      <c r="E568" s="26">
        <f>IF(D568="","",INT((D568-cfgDeslocamento)/4))</f>
        <v>0</v>
      </c>
      <c r="F568" s="26">
        <f>IF(D568="","",MOD(D568-cfgDeslocamento,4)+1)</f>
        <v>0</v>
      </c>
      <c r="G568" s="26">
        <f>IF(A568="","",IF(AND(ISNUMBER(B568),B568&lt;&gt;0),1,0))</f>
        <v>0</v>
      </c>
      <c r="H568" s="25">
        <f>IF(E568="","",(E568*4+3+cfgDeslocamento)/48)</f>
        <v>0</v>
      </c>
    </row>
    <row r="569" spans="1:8">
      <c r="A569" s="24"/>
      <c r="B569" s="19"/>
      <c r="C569" s="25">
        <f>IF(D569="","",D569/48)</f>
        <v>0</v>
      </c>
      <c r="D569" s="26">
        <f>IF(A569="","",ROUND((A569-cfgDefasagem/1440)*48,0))</f>
        <v>0</v>
      </c>
      <c r="E569" s="26">
        <f>IF(D569="","",INT((D569-cfgDeslocamento)/4))</f>
        <v>0</v>
      </c>
      <c r="F569" s="26">
        <f>IF(D569="","",MOD(D569-cfgDeslocamento,4)+1)</f>
        <v>0</v>
      </c>
      <c r="G569" s="26">
        <f>IF(A569="","",IF(AND(ISNUMBER(B569),B569&lt;&gt;0),1,0))</f>
        <v>0</v>
      </c>
      <c r="H569" s="25">
        <f>IF(E569="","",(E569*4+3+cfgDeslocamento)/48)</f>
        <v>0</v>
      </c>
    </row>
    <row r="570" spans="1:8">
      <c r="A570" s="24"/>
      <c r="B570" s="19"/>
      <c r="C570" s="25">
        <f>IF(D570="","",D570/48)</f>
        <v>0</v>
      </c>
      <c r="D570" s="26">
        <f>IF(A570="","",ROUND((A570-cfgDefasagem/1440)*48,0))</f>
        <v>0</v>
      </c>
      <c r="E570" s="26">
        <f>IF(D570="","",INT((D570-cfgDeslocamento)/4))</f>
        <v>0</v>
      </c>
      <c r="F570" s="26">
        <f>IF(D570="","",MOD(D570-cfgDeslocamento,4)+1)</f>
        <v>0</v>
      </c>
      <c r="G570" s="26">
        <f>IF(A570="","",IF(AND(ISNUMBER(B570),B570&lt;&gt;0),1,0))</f>
        <v>0</v>
      </c>
      <c r="H570" s="25">
        <f>IF(E570="","",(E570*4+3+cfgDeslocamento)/48)</f>
        <v>0</v>
      </c>
    </row>
    <row r="571" spans="1:8">
      <c r="A571" s="24"/>
      <c r="B571" s="19"/>
      <c r="C571" s="25">
        <f>IF(D571="","",D571/48)</f>
        <v>0</v>
      </c>
      <c r="D571" s="26">
        <f>IF(A571="","",ROUND((A571-cfgDefasagem/1440)*48,0))</f>
        <v>0</v>
      </c>
      <c r="E571" s="26">
        <f>IF(D571="","",INT((D571-cfgDeslocamento)/4))</f>
        <v>0</v>
      </c>
      <c r="F571" s="26">
        <f>IF(D571="","",MOD(D571-cfgDeslocamento,4)+1)</f>
        <v>0</v>
      </c>
      <c r="G571" s="26">
        <f>IF(A571="","",IF(AND(ISNUMBER(B571),B571&lt;&gt;0),1,0))</f>
        <v>0</v>
      </c>
      <c r="H571" s="25">
        <f>IF(E571="","",(E571*4+3+cfgDeslocamento)/48)</f>
        <v>0</v>
      </c>
    </row>
    <row r="572" spans="1:8">
      <c r="A572" s="24"/>
      <c r="B572" s="19"/>
      <c r="C572" s="25">
        <f>IF(D572="","",D572/48)</f>
        <v>0</v>
      </c>
      <c r="D572" s="26">
        <f>IF(A572="","",ROUND((A572-cfgDefasagem/1440)*48,0))</f>
        <v>0</v>
      </c>
      <c r="E572" s="26">
        <f>IF(D572="","",INT((D572-cfgDeslocamento)/4))</f>
        <v>0</v>
      </c>
      <c r="F572" s="26">
        <f>IF(D572="","",MOD(D572-cfgDeslocamento,4)+1)</f>
        <v>0</v>
      </c>
      <c r="G572" s="26">
        <f>IF(A572="","",IF(AND(ISNUMBER(B572),B572&lt;&gt;0),1,0))</f>
        <v>0</v>
      </c>
      <c r="H572" s="25">
        <f>IF(E572="","",(E572*4+3+cfgDeslocamento)/48)</f>
        <v>0</v>
      </c>
    </row>
    <row r="573" spans="1:8">
      <c r="A573" s="24"/>
      <c r="B573" s="19"/>
      <c r="C573" s="25">
        <f>IF(D573="","",D573/48)</f>
        <v>0</v>
      </c>
      <c r="D573" s="26">
        <f>IF(A573="","",ROUND((A573-cfgDefasagem/1440)*48,0))</f>
        <v>0</v>
      </c>
      <c r="E573" s="26">
        <f>IF(D573="","",INT((D573-cfgDeslocamento)/4))</f>
        <v>0</v>
      </c>
      <c r="F573" s="26">
        <f>IF(D573="","",MOD(D573-cfgDeslocamento,4)+1)</f>
        <v>0</v>
      </c>
      <c r="G573" s="26">
        <f>IF(A573="","",IF(AND(ISNUMBER(B573),B573&lt;&gt;0),1,0))</f>
        <v>0</v>
      </c>
      <c r="H573" s="25">
        <f>IF(E573="","",(E573*4+3+cfgDeslocamento)/48)</f>
        <v>0</v>
      </c>
    </row>
    <row r="574" spans="1:8">
      <c r="A574" s="24"/>
      <c r="B574" s="19"/>
      <c r="C574" s="25">
        <f>IF(D574="","",D574/48)</f>
        <v>0</v>
      </c>
      <c r="D574" s="26">
        <f>IF(A574="","",ROUND((A574-cfgDefasagem/1440)*48,0))</f>
        <v>0</v>
      </c>
      <c r="E574" s="26">
        <f>IF(D574="","",INT((D574-cfgDeslocamento)/4))</f>
        <v>0</v>
      </c>
      <c r="F574" s="26">
        <f>IF(D574="","",MOD(D574-cfgDeslocamento,4)+1)</f>
        <v>0</v>
      </c>
      <c r="G574" s="26">
        <f>IF(A574="","",IF(AND(ISNUMBER(B574),B574&lt;&gt;0),1,0))</f>
        <v>0</v>
      </c>
      <c r="H574" s="25">
        <f>IF(E574="","",(E574*4+3+cfgDeslocamento)/48)</f>
        <v>0</v>
      </c>
    </row>
    <row r="575" spans="1:8">
      <c r="A575" s="24"/>
      <c r="B575" s="19"/>
      <c r="C575" s="25">
        <f>IF(D575="","",D575/48)</f>
        <v>0</v>
      </c>
      <c r="D575" s="26">
        <f>IF(A575="","",ROUND((A575-cfgDefasagem/1440)*48,0))</f>
        <v>0</v>
      </c>
      <c r="E575" s="26">
        <f>IF(D575="","",INT((D575-cfgDeslocamento)/4))</f>
        <v>0</v>
      </c>
      <c r="F575" s="26">
        <f>IF(D575="","",MOD(D575-cfgDeslocamento,4)+1)</f>
        <v>0</v>
      </c>
      <c r="G575" s="26">
        <f>IF(A575="","",IF(AND(ISNUMBER(B575),B575&lt;&gt;0),1,0))</f>
        <v>0</v>
      </c>
      <c r="H575" s="25">
        <f>IF(E575="","",(E575*4+3+cfgDeslocamento)/48)</f>
        <v>0</v>
      </c>
    </row>
    <row r="576" spans="1:8">
      <c r="A576" s="24"/>
      <c r="B576" s="19"/>
      <c r="C576" s="25">
        <f>IF(D576="","",D576/48)</f>
        <v>0</v>
      </c>
      <c r="D576" s="26">
        <f>IF(A576="","",ROUND((A576-cfgDefasagem/1440)*48,0))</f>
        <v>0</v>
      </c>
      <c r="E576" s="26">
        <f>IF(D576="","",INT((D576-cfgDeslocamento)/4))</f>
        <v>0</v>
      </c>
      <c r="F576" s="26">
        <f>IF(D576="","",MOD(D576-cfgDeslocamento,4)+1)</f>
        <v>0</v>
      </c>
      <c r="G576" s="26">
        <f>IF(A576="","",IF(AND(ISNUMBER(B576),B576&lt;&gt;0),1,0))</f>
        <v>0</v>
      </c>
      <c r="H576" s="25">
        <f>IF(E576="","",(E576*4+3+cfgDeslocamento)/48)</f>
        <v>0</v>
      </c>
    </row>
    <row r="577" spans="1:8">
      <c r="A577" s="24"/>
      <c r="B577" s="19"/>
      <c r="C577" s="25">
        <f>IF(D577="","",D577/48)</f>
        <v>0</v>
      </c>
      <c r="D577" s="26">
        <f>IF(A577="","",ROUND((A577-cfgDefasagem/1440)*48,0))</f>
        <v>0</v>
      </c>
      <c r="E577" s="26">
        <f>IF(D577="","",INT((D577-cfgDeslocamento)/4))</f>
        <v>0</v>
      </c>
      <c r="F577" s="26">
        <f>IF(D577="","",MOD(D577-cfgDeslocamento,4)+1)</f>
        <v>0</v>
      </c>
      <c r="G577" s="26">
        <f>IF(A577="","",IF(AND(ISNUMBER(B577),B577&lt;&gt;0),1,0))</f>
        <v>0</v>
      </c>
      <c r="H577" s="25">
        <f>IF(E577="","",(E577*4+3+cfgDeslocamento)/48)</f>
        <v>0</v>
      </c>
    </row>
    <row r="578" spans="1:8">
      <c r="A578" s="24"/>
      <c r="B578" s="19"/>
      <c r="C578" s="25">
        <f>IF(D578="","",D578/48)</f>
        <v>0</v>
      </c>
      <c r="D578" s="26">
        <f>IF(A578="","",ROUND((A578-cfgDefasagem/1440)*48,0))</f>
        <v>0</v>
      </c>
      <c r="E578" s="26">
        <f>IF(D578="","",INT((D578-cfgDeslocamento)/4))</f>
        <v>0</v>
      </c>
      <c r="F578" s="26">
        <f>IF(D578="","",MOD(D578-cfgDeslocamento,4)+1)</f>
        <v>0</v>
      </c>
      <c r="G578" s="26">
        <f>IF(A578="","",IF(AND(ISNUMBER(B578),B578&lt;&gt;0),1,0))</f>
        <v>0</v>
      </c>
      <c r="H578" s="25">
        <f>IF(E578="","",(E578*4+3+cfgDeslocamento)/48)</f>
        <v>0</v>
      </c>
    </row>
    <row r="579" spans="1:8">
      <c r="A579" s="24"/>
      <c r="B579" s="19"/>
      <c r="C579" s="25">
        <f>IF(D579="","",D579/48)</f>
        <v>0</v>
      </c>
      <c r="D579" s="26">
        <f>IF(A579="","",ROUND((A579-cfgDefasagem/1440)*48,0))</f>
        <v>0</v>
      </c>
      <c r="E579" s="26">
        <f>IF(D579="","",INT((D579-cfgDeslocamento)/4))</f>
        <v>0</v>
      </c>
      <c r="F579" s="26">
        <f>IF(D579="","",MOD(D579-cfgDeslocamento,4)+1)</f>
        <v>0</v>
      </c>
      <c r="G579" s="26">
        <f>IF(A579="","",IF(AND(ISNUMBER(B579),B579&lt;&gt;0),1,0))</f>
        <v>0</v>
      </c>
      <c r="H579" s="25">
        <f>IF(E579="","",(E579*4+3+cfgDeslocamento)/48)</f>
        <v>0</v>
      </c>
    </row>
    <row r="580" spans="1:8">
      <c r="A580" s="24"/>
      <c r="B580" s="19"/>
      <c r="C580" s="25">
        <f>IF(D580="","",D580/48)</f>
        <v>0</v>
      </c>
      <c r="D580" s="26">
        <f>IF(A580="","",ROUND((A580-cfgDefasagem/1440)*48,0))</f>
        <v>0</v>
      </c>
      <c r="E580" s="26">
        <f>IF(D580="","",INT((D580-cfgDeslocamento)/4))</f>
        <v>0</v>
      </c>
      <c r="F580" s="26">
        <f>IF(D580="","",MOD(D580-cfgDeslocamento,4)+1)</f>
        <v>0</v>
      </c>
      <c r="G580" s="26">
        <f>IF(A580="","",IF(AND(ISNUMBER(B580),B580&lt;&gt;0),1,0))</f>
        <v>0</v>
      </c>
      <c r="H580" s="25">
        <f>IF(E580="","",(E580*4+3+cfgDeslocamento)/48)</f>
        <v>0</v>
      </c>
    </row>
    <row r="581" spans="1:8">
      <c r="A581" s="24"/>
      <c r="B581" s="19"/>
      <c r="C581" s="25">
        <f>IF(D581="","",D581/48)</f>
        <v>0</v>
      </c>
      <c r="D581" s="26">
        <f>IF(A581="","",ROUND((A581-cfgDefasagem/1440)*48,0))</f>
        <v>0</v>
      </c>
      <c r="E581" s="26">
        <f>IF(D581="","",INT((D581-cfgDeslocamento)/4))</f>
        <v>0</v>
      </c>
      <c r="F581" s="26">
        <f>IF(D581="","",MOD(D581-cfgDeslocamento,4)+1)</f>
        <v>0</v>
      </c>
      <c r="G581" s="26">
        <f>IF(A581="","",IF(AND(ISNUMBER(B581),B581&lt;&gt;0),1,0))</f>
        <v>0</v>
      </c>
      <c r="H581" s="25">
        <f>IF(E581="","",(E581*4+3+cfgDeslocamento)/48)</f>
        <v>0</v>
      </c>
    </row>
    <row r="582" spans="1:8">
      <c r="A582" s="24"/>
      <c r="B582" s="19"/>
      <c r="C582" s="25">
        <f>IF(D582="","",D582/48)</f>
        <v>0</v>
      </c>
      <c r="D582" s="26">
        <f>IF(A582="","",ROUND((A582-cfgDefasagem/1440)*48,0))</f>
        <v>0</v>
      </c>
      <c r="E582" s="26">
        <f>IF(D582="","",INT((D582-cfgDeslocamento)/4))</f>
        <v>0</v>
      </c>
      <c r="F582" s="26">
        <f>IF(D582="","",MOD(D582-cfgDeslocamento,4)+1)</f>
        <v>0</v>
      </c>
      <c r="G582" s="26">
        <f>IF(A582="","",IF(AND(ISNUMBER(B582),B582&lt;&gt;0),1,0))</f>
        <v>0</v>
      </c>
      <c r="H582" s="25">
        <f>IF(E582="","",(E582*4+3+cfgDeslocamento)/48)</f>
        <v>0</v>
      </c>
    </row>
    <row r="583" spans="1:8">
      <c r="A583" s="24"/>
      <c r="B583" s="19"/>
      <c r="C583" s="25">
        <f>IF(D583="","",D583/48)</f>
        <v>0</v>
      </c>
      <c r="D583" s="26">
        <f>IF(A583="","",ROUND((A583-cfgDefasagem/1440)*48,0))</f>
        <v>0</v>
      </c>
      <c r="E583" s="26">
        <f>IF(D583="","",INT((D583-cfgDeslocamento)/4))</f>
        <v>0</v>
      </c>
      <c r="F583" s="26">
        <f>IF(D583="","",MOD(D583-cfgDeslocamento,4)+1)</f>
        <v>0</v>
      </c>
      <c r="G583" s="26">
        <f>IF(A583="","",IF(AND(ISNUMBER(B583),B583&lt;&gt;0),1,0))</f>
        <v>0</v>
      </c>
      <c r="H583" s="25">
        <f>IF(E583="","",(E583*4+3+cfgDeslocamento)/48)</f>
        <v>0</v>
      </c>
    </row>
    <row r="584" spans="1:8">
      <c r="A584" s="24"/>
      <c r="B584" s="19"/>
      <c r="C584" s="25">
        <f>IF(D584="","",D584/48)</f>
        <v>0</v>
      </c>
      <c r="D584" s="26">
        <f>IF(A584="","",ROUND((A584-cfgDefasagem/1440)*48,0))</f>
        <v>0</v>
      </c>
      <c r="E584" s="26">
        <f>IF(D584="","",INT((D584-cfgDeslocamento)/4))</f>
        <v>0</v>
      </c>
      <c r="F584" s="26">
        <f>IF(D584="","",MOD(D584-cfgDeslocamento,4)+1)</f>
        <v>0</v>
      </c>
      <c r="G584" s="26">
        <f>IF(A584="","",IF(AND(ISNUMBER(B584),B584&lt;&gt;0),1,0))</f>
        <v>0</v>
      </c>
      <c r="H584" s="25">
        <f>IF(E584="","",(E584*4+3+cfgDeslocamento)/48)</f>
        <v>0</v>
      </c>
    </row>
    <row r="585" spans="1:8">
      <c r="A585" s="24"/>
      <c r="B585" s="19"/>
      <c r="C585" s="25">
        <f>IF(D585="","",D585/48)</f>
        <v>0</v>
      </c>
      <c r="D585" s="26">
        <f>IF(A585="","",ROUND((A585-cfgDefasagem/1440)*48,0))</f>
        <v>0</v>
      </c>
      <c r="E585" s="26">
        <f>IF(D585="","",INT((D585-cfgDeslocamento)/4))</f>
        <v>0</v>
      </c>
      <c r="F585" s="26">
        <f>IF(D585="","",MOD(D585-cfgDeslocamento,4)+1)</f>
        <v>0</v>
      </c>
      <c r="G585" s="26">
        <f>IF(A585="","",IF(AND(ISNUMBER(B585),B585&lt;&gt;0),1,0))</f>
        <v>0</v>
      </c>
      <c r="H585" s="25">
        <f>IF(E585="","",(E585*4+3+cfgDeslocamento)/48)</f>
        <v>0</v>
      </c>
    </row>
    <row r="586" spans="1:8">
      <c r="A586" s="24"/>
      <c r="B586" s="19"/>
      <c r="C586" s="25">
        <f>IF(D586="","",D586/48)</f>
        <v>0</v>
      </c>
      <c r="D586" s="26">
        <f>IF(A586="","",ROUND((A586-cfgDefasagem/1440)*48,0))</f>
        <v>0</v>
      </c>
      <c r="E586" s="26">
        <f>IF(D586="","",INT((D586-cfgDeslocamento)/4))</f>
        <v>0</v>
      </c>
      <c r="F586" s="26">
        <f>IF(D586="","",MOD(D586-cfgDeslocamento,4)+1)</f>
        <v>0</v>
      </c>
      <c r="G586" s="26">
        <f>IF(A586="","",IF(AND(ISNUMBER(B586),B586&lt;&gt;0),1,0))</f>
        <v>0</v>
      </c>
      <c r="H586" s="25">
        <f>IF(E586="","",(E586*4+3+cfgDeslocamento)/48)</f>
        <v>0</v>
      </c>
    </row>
    <row r="587" spans="1:8">
      <c r="A587" s="24"/>
      <c r="B587" s="19"/>
      <c r="C587" s="25">
        <f>IF(D587="","",D587/48)</f>
        <v>0</v>
      </c>
      <c r="D587" s="26">
        <f>IF(A587="","",ROUND((A587-cfgDefasagem/1440)*48,0))</f>
        <v>0</v>
      </c>
      <c r="E587" s="26">
        <f>IF(D587="","",INT((D587-cfgDeslocamento)/4))</f>
        <v>0</v>
      </c>
      <c r="F587" s="26">
        <f>IF(D587="","",MOD(D587-cfgDeslocamento,4)+1)</f>
        <v>0</v>
      </c>
      <c r="G587" s="26">
        <f>IF(A587="","",IF(AND(ISNUMBER(B587),B587&lt;&gt;0),1,0))</f>
        <v>0</v>
      </c>
      <c r="H587" s="25">
        <f>IF(E587="","",(E587*4+3+cfgDeslocamento)/48)</f>
        <v>0</v>
      </c>
    </row>
    <row r="588" spans="1:8">
      <c r="A588" s="24"/>
      <c r="B588" s="19"/>
      <c r="C588" s="25">
        <f>IF(D588="","",D588/48)</f>
        <v>0</v>
      </c>
      <c r="D588" s="26">
        <f>IF(A588="","",ROUND((A588-cfgDefasagem/1440)*48,0))</f>
        <v>0</v>
      </c>
      <c r="E588" s="26">
        <f>IF(D588="","",INT((D588-cfgDeslocamento)/4))</f>
        <v>0</v>
      </c>
      <c r="F588" s="26">
        <f>IF(D588="","",MOD(D588-cfgDeslocamento,4)+1)</f>
        <v>0</v>
      </c>
      <c r="G588" s="26">
        <f>IF(A588="","",IF(AND(ISNUMBER(B588),B588&lt;&gt;0),1,0))</f>
        <v>0</v>
      </c>
      <c r="H588" s="25">
        <f>IF(E588="","",(E588*4+3+cfgDeslocamento)/48)</f>
        <v>0</v>
      </c>
    </row>
    <row r="589" spans="1:8">
      <c r="A589" s="24"/>
      <c r="B589" s="19"/>
      <c r="C589" s="25">
        <f>IF(D589="","",D589/48)</f>
        <v>0</v>
      </c>
      <c r="D589" s="26">
        <f>IF(A589="","",ROUND((A589-cfgDefasagem/1440)*48,0))</f>
        <v>0</v>
      </c>
      <c r="E589" s="26">
        <f>IF(D589="","",INT((D589-cfgDeslocamento)/4))</f>
        <v>0</v>
      </c>
      <c r="F589" s="26">
        <f>IF(D589="","",MOD(D589-cfgDeslocamento,4)+1)</f>
        <v>0</v>
      </c>
      <c r="G589" s="26">
        <f>IF(A589="","",IF(AND(ISNUMBER(B589),B589&lt;&gt;0),1,0))</f>
        <v>0</v>
      </c>
      <c r="H589" s="25">
        <f>IF(E589="","",(E589*4+3+cfgDeslocamento)/48)</f>
        <v>0</v>
      </c>
    </row>
    <row r="590" spans="1:8">
      <c r="A590" s="24"/>
      <c r="B590" s="19"/>
      <c r="C590" s="25">
        <f>IF(D590="","",D590/48)</f>
        <v>0</v>
      </c>
      <c r="D590" s="26">
        <f>IF(A590="","",ROUND((A590-cfgDefasagem/1440)*48,0))</f>
        <v>0</v>
      </c>
      <c r="E590" s="26">
        <f>IF(D590="","",INT((D590-cfgDeslocamento)/4))</f>
        <v>0</v>
      </c>
      <c r="F590" s="26">
        <f>IF(D590="","",MOD(D590-cfgDeslocamento,4)+1)</f>
        <v>0</v>
      </c>
      <c r="G590" s="26">
        <f>IF(A590="","",IF(AND(ISNUMBER(B590),B590&lt;&gt;0),1,0))</f>
        <v>0</v>
      </c>
      <c r="H590" s="25">
        <f>IF(E590="","",(E590*4+3+cfgDeslocamento)/48)</f>
        <v>0</v>
      </c>
    </row>
    <row r="591" spans="1:8">
      <c r="A591" s="24"/>
      <c r="B591" s="19"/>
      <c r="C591" s="25">
        <f>IF(D591="","",D591/48)</f>
        <v>0</v>
      </c>
      <c r="D591" s="26">
        <f>IF(A591="","",ROUND((A591-cfgDefasagem/1440)*48,0))</f>
        <v>0</v>
      </c>
      <c r="E591" s="26">
        <f>IF(D591="","",INT((D591-cfgDeslocamento)/4))</f>
        <v>0</v>
      </c>
      <c r="F591" s="26">
        <f>IF(D591="","",MOD(D591-cfgDeslocamento,4)+1)</f>
        <v>0</v>
      </c>
      <c r="G591" s="26">
        <f>IF(A591="","",IF(AND(ISNUMBER(B591),B591&lt;&gt;0),1,0))</f>
        <v>0</v>
      </c>
      <c r="H591" s="25">
        <f>IF(E591="","",(E591*4+3+cfgDeslocamento)/48)</f>
        <v>0</v>
      </c>
    </row>
    <row r="592" spans="1:8">
      <c r="A592" s="24"/>
      <c r="B592" s="19"/>
      <c r="C592" s="25">
        <f>IF(D592="","",D592/48)</f>
        <v>0</v>
      </c>
      <c r="D592" s="26">
        <f>IF(A592="","",ROUND((A592-cfgDefasagem/1440)*48,0))</f>
        <v>0</v>
      </c>
      <c r="E592" s="26">
        <f>IF(D592="","",INT((D592-cfgDeslocamento)/4))</f>
        <v>0</v>
      </c>
      <c r="F592" s="26">
        <f>IF(D592="","",MOD(D592-cfgDeslocamento,4)+1)</f>
        <v>0</v>
      </c>
      <c r="G592" s="26">
        <f>IF(A592="","",IF(AND(ISNUMBER(B592),B592&lt;&gt;0),1,0))</f>
        <v>0</v>
      </c>
      <c r="H592" s="25">
        <f>IF(E592="","",(E592*4+3+cfgDeslocamento)/48)</f>
        <v>0</v>
      </c>
    </row>
    <row r="593" spans="1:8">
      <c r="A593" s="24"/>
      <c r="B593" s="19"/>
      <c r="C593" s="25">
        <f>IF(D593="","",D593/48)</f>
        <v>0</v>
      </c>
      <c r="D593" s="26">
        <f>IF(A593="","",ROUND((A593-cfgDefasagem/1440)*48,0))</f>
        <v>0</v>
      </c>
      <c r="E593" s="26">
        <f>IF(D593="","",INT((D593-cfgDeslocamento)/4))</f>
        <v>0</v>
      </c>
      <c r="F593" s="26">
        <f>IF(D593="","",MOD(D593-cfgDeslocamento,4)+1)</f>
        <v>0</v>
      </c>
      <c r="G593" s="26">
        <f>IF(A593="","",IF(AND(ISNUMBER(B593),B593&lt;&gt;0),1,0))</f>
        <v>0</v>
      </c>
      <c r="H593" s="25">
        <f>IF(E593="","",(E593*4+3+cfgDeslocamento)/48)</f>
        <v>0</v>
      </c>
    </row>
    <row r="594" spans="1:8">
      <c r="A594" s="24"/>
      <c r="B594" s="19"/>
      <c r="C594" s="25">
        <f>IF(D594="","",D594/48)</f>
        <v>0</v>
      </c>
      <c r="D594" s="26">
        <f>IF(A594="","",ROUND((A594-cfgDefasagem/1440)*48,0))</f>
        <v>0</v>
      </c>
      <c r="E594" s="26">
        <f>IF(D594="","",INT((D594-cfgDeslocamento)/4))</f>
        <v>0</v>
      </c>
      <c r="F594" s="26">
        <f>IF(D594="","",MOD(D594-cfgDeslocamento,4)+1)</f>
        <v>0</v>
      </c>
      <c r="G594" s="26">
        <f>IF(A594="","",IF(AND(ISNUMBER(B594),B594&lt;&gt;0),1,0))</f>
        <v>0</v>
      </c>
      <c r="H594" s="25">
        <f>IF(E594="","",(E594*4+3+cfgDeslocamento)/48)</f>
        <v>0</v>
      </c>
    </row>
    <row r="595" spans="1:8">
      <c r="A595" s="24"/>
      <c r="B595" s="19"/>
      <c r="C595" s="25">
        <f>IF(D595="","",D595/48)</f>
        <v>0</v>
      </c>
      <c r="D595" s="26">
        <f>IF(A595="","",ROUND((A595-cfgDefasagem/1440)*48,0))</f>
        <v>0</v>
      </c>
      <c r="E595" s="26">
        <f>IF(D595="","",INT((D595-cfgDeslocamento)/4))</f>
        <v>0</v>
      </c>
      <c r="F595" s="26">
        <f>IF(D595="","",MOD(D595-cfgDeslocamento,4)+1)</f>
        <v>0</v>
      </c>
      <c r="G595" s="26">
        <f>IF(A595="","",IF(AND(ISNUMBER(B595),B595&lt;&gt;0),1,0))</f>
        <v>0</v>
      </c>
      <c r="H595" s="25">
        <f>IF(E595="","",(E595*4+3+cfgDeslocamento)/48)</f>
        <v>0</v>
      </c>
    </row>
    <row r="596" spans="1:8">
      <c r="A596" s="24"/>
      <c r="B596" s="19"/>
      <c r="C596" s="25">
        <f>IF(D596="","",D596/48)</f>
        <v>0</v>
      </c>
      <c r="D596" s="26">
        <f>IF(A596="","",ROUND((A596-cfgDefasagem/1440)*48,0))</f>
        <v>0</v>
      </c>
      <c r="E596" s="26">
        <f>IF(D596="","",INT((D596-cfgDeslocamento)/4))</f>
        <v>0</v>
      </c>
      <c r="F596" s="26">
        <f>IF(D596="","",MOD(D596-cfgDeslocamento,4)+1)</f>
        <v>0</v>
      </c>
      <c r="G596" s="26">
        <f>IF(A596="","",IF(AND(ISNUMBER(B596),B596&lt;&gt;0),1,0))</f>
        <v>0</v>
      </c>
      <c r="H596" s="25">
        <f>IF(E596="","",(E596*4+3+cfgDeslocamento)/48)</f>
        <v>0</v>
      </c>
    </row>
    <row r="597" spans="1:8">
      <c r="A597" s="24"/>
      <c r="B597" s="19"/>
      <c r="C597" s="25">
        <f>IF(D597="","",D597/48)</f>
        <v>0</v>
      </c>
      <c r="D597" s="26">
        <f>IF(A597="","",ROUND((A597-cfgDefasagem/1440)*48,0))</f>
        <v>0</v>
      </c>
      <c r="E597" s="26">
        <f>IF(D597="","",INT((D597-cfgDeslocamento)/4))</f>
        <v>0</v>
      </c>
      <c r="F597" s="26">
        <f>IF(D597="","",MOD(D597-cfgDeslocamento,4)+1)</f>
        <v>0</v>
      </c>
      <c r="G597" s="26">
        <f>IF(A597="","",IF(AND(ISNUMBER(B597),B597&lt;&gt;0),1,0))</f>
        <v>0</v>
      </c>
      <c r="H597" s="25">
        <f>IF(E597="","",(E597*4+3+cfgDeslocamento)/48)</f>
        <v>0</v>
      </c>
    </row>
    <row r="598" spans="1:8">
      <c r="A598" s="24"/>
      <c r="B598" s="19"/>
      <c r="C598" s="25">
        <f>IF(D598="","",D598/48)</f>
        <v>0</v>
      </c>
      <c r="D598" s="26">
        <f>IF(A598="","",ROUND((A598-cfgDefasagem/1440)*48,0))</f>
        <v>0</v>
      </c>
      <c r="E598" s="26">
        <f>IF(D598="","",INT((D598-cfgDeslocamento)/4))</f>
        <v>0</v>
      </c>
      <c r="F598" s="26">
        <f>IF(D598="","",MOD(D598-cfgDeslocamento,4)+1)</f>
        <v>0</v>
      </c>
      <c r="G598" s="26">
        <f>IF(A598="","",IF(AND(ISNUMBER(B598),B598&lt;&gt;0),1,0))</f>
        <v>0</v>
      </c>
      <c r="H598" s="25">
        <f>IF(E598="","",(E598*4+3+cfgDeslocamento)/48)</f>
        <v>0</v>
      </c>
    </row>
    <row r="599" spans="1:8">
      <c r="A599" s="24"/>
      <c r="B599" s="19"/>
      <c r="C599" s="25">
        <f>IF(D599="","",D599/48)</f>
        <v>0</v>
      </c>
      <c r="D599" s="26">
        <f>IF(A599="","",ROUND((A599-cfgDefasagem/1440)*48,0))</f>
        <v>0</v>
      </c>
      <c r="E599" s="26">
        <f>IF(D599="","",INT((D599-cfgDeslocamento)/4))</f>
        <v>0</v>
      </c>
      <c r="F599" s="26">
        <f>IF(D599="","",MOD(D599-cfgDeslocamento,4)+1)</f>
        <v>0</v>
      </c>
      <c r="G599" s="26">
        <f>IF(A599="","",IF(AND(ISNUMBER(B599),B599&lt;&gt;0),1,0))</f>
        <v>0</v>
      </c>
      <c r="H599" s="25">
        <f>IF(E599="","",(E599*4+3+cfgDeslocamento)/48)</f>
        <v>0</v>
      </c>
    </row>
    <row r="600" spans="1:8">
      <c r="A600" s="24"/>
      <c r="B600" s="19"/>
      <c r="C600" s="25">
        <f>IF(D600="","",D600/48)</f>
        <v>0</v>
      </c>
      <c r="D600" s="26">
        <f>IF(A600="","",ROUND((A600-cfgDefasagem/1440)*48,0))</f>
        <v>0</v>
      </c>
      <c r="E600" s="26">
        <f>IF(D600="","",INT((D600-cfgDeslocamento)/4))</f>
        <v>0</v>
      </c>
      <c r="F600" s="26">
        <f>IF(D600="","",MOD(D600-cfgDeslocamento,4)+1)</f>
        <v>0</v>
      </c>
      <c r="G600" s="26">
        <f>IF(A600="","",IF(AND(ISNUMBER(B600),B600&lt;&gt;0),1,0))</f>
        <v>0</v>
      </c>
      <c r="H600" s="25">
        <f>IF(E600="","",(E600*4+3+cfgDeslocamento)/48)</f>
        <v>0</v>
      </c>
    </row>
    <row r="601" spans="1:8">
      <c r="A601" s="24"/>
      <c r="B601" s="19"/>
      <c r="C601" s="25">
        <f>IF(D601="","",D601/48)</f>
        <v>0</v>
      </c>
      <c r="D601" s="26">
        <f>IF(A601="","",ROUND((A601-cfgDefasagem/1440)*48,0))</f>
        <v>0</v>
      </c>
      <c r="E601" s="26">
        <f>IF(D601="","",INT((D601-cfgDeslocamento)/4))</f>
        <v>0</v>
      </c>
      <c r="F601" s="26">
        <f>IF(D601="","",MOD(D601-cfgDeslocamento,4)+1)</f>
        <v>0</v>
      </c>
      <c r="G601" s="26">
        <f>IF(A601="","",IF(AND(ISNUMBER(B601),B601&lt;&gt;0),1,0))</f>
        <v>0</v>
      </c>
      <c r="H601" s="25">
        <f>IF(E601="","",(E601*4+3+cfgDeslocamento)/48)</f>
        <v>0</v>
      </c>
    </row>
    <row r="602" spans="1:8">
      <c r="A602" s="24"/>
      <c r="B602" s="19"/>
      <c r="C602" s="25">
        <f>IF(D602="","",D602/48)</f>
        <v>0</v>
      </c>
      <c r="D602" s="26">
        <f>IF(A602="","",ROUND((A602-cfgDefasagem/1440)*48,0))</f>
        <v>0</v>
      </c>
      <c r="E602" s="26">
        <f>IF(D602="","",INT((D602-cfgDeslocamento)/4))</f>
        <v>0</v>
      </c>
      <c r="F602" s="26">
        <f>IF(D602="","",MOD(D602-cfgDeslocamento,4)+1)</f>
        <v>0</v>
      </c>
      <c r="G602" s="26">
        <f>IF(A602="","",IF(AND(ISNUMBER(B602),B602&lt;&gt;0),1,0))</f>
        <v>0</v>
      </c>
      <c r="H602" s="25">
        <f>IF(E602="","",(E602*4+3+cfgDeslocamento)/48)</f>
        <v>0</v>
      </c>
    </row>
    <row r="603" spans="1:8">
      <c r="A603" s="24"/>
      <c r="B603" s="19"/>
      <c r="C603" s="25">
        <f>IF(D603="","",D603/48)</f>
        <v>0</v>
      </c>
      <c r="D603" s="26">
        <f>IF(A603="","",ROUND((A603-cfgDefasagem/1440)*48,0))</f>
        <v>0</v>
      </c>
      <c r="E603" s="26">
        <f>IF(D603="","",INT((D603-cfgDeslocamento)/4))</f>
        <v>0</v>
      </c>
      <c r="F603" s="26">
        <f>IF(D603="","",MOD(D603-cfgDeslocamento,4)+1)</f>
        <v>0</v>
      </c>
      <c r="G603" s="26">
        <f>IF(A603="","",IF(AND(ISNUMBER(B603),B603&lt;&gt;0),1,0))</f>
        <v>0</v>
      </c>
      <c r="H603" s="25">
        <f>IF(E603="","",(E603*4+3+cfgDeslocamento)/48)</f>
        <v>0</v>
      </c>
    </row>
    <row r="604" spans="1:8">
      <c r="A604" s="24"/>
      <c r="B604" s="19"/>
      <c r="C604" s="25">
        <f>IF(D604="","",D604/48)</f>
        <v>0</v>
      </c>
      <c r="D604" s="26">
        <f>IF(A604="","",ROUND((A604-cfgDefasagem/1440)*48,0))</f>
        <v>0</v>
      </c>
      <c r="E604" s="26">
        <f>IF(D604="","",INT((D604-cfgDeslocamento)/4))</f>
        <v>0</v>
      </c>
      <c r="F604" s="26">
        <f>IF(D604="","",MOD(D604-cfgDeslocamento,4)+1)</f>
        <v>0</v>
      </c>
      <c r="G604" s="26">
        <f>IF(A604="","",IF(AND(ISNUMBER(B604),B604&lt;&gt;0),1,0))</f>
        <v>0</v>
      </c>
      <c r="H604" s="25">
        <f>IF(E604="","",(E604*4+3+cfgDeslocamento)/48)</f>
        <v>0</v>
      </c>
    </row>
    <row r="605" spans="1:8">
      <c r="A605" s="24"/>
      <c r="B605" s="19"/>
      <c r="C605" s="25">
        <f>IF(D605="","",D605/48)</f>
        <v>0</v>
      </c>
      <c r="D605" s="26">
        <f>IF(A605="","",ROUND((A605-cfgDefasagem/1440)*48,0))</f>
        <v>0</v>
      </c>
      <c r="E605" s="26">
        <f>IF(D605="","",INT((D605-cfgDeslocamento)/4))</f>
        <v>0</v>
      </c>
      <c r="F605" s="26">
        <f>IF(D605="","",MOD(D605-cfgDeslocamento,4)+1)</f>
        <v>0</v>
      </c>
      <c r="G605" s="26">
        <f>IF(A605="","",IF(AND(ISNUMBER(B605),B605&lt;&gt;0),1,0))</f>
        <v>0</v>
      </c>
      <c r="H605" s="25">
        <f>IF(E605="","",(E605*4+3+cfgDeslocamento)/48)</f>
        <v>0</v>
      </c>
    </row>
    <row r="606" spans="1:8">
      <c r="A606" s="24"/>
      <c r="B606" s="19"/>
      <c r="C606" s="25">
        <f>IF(D606="","",D606/48)</f>
        <v>0</v>
      </c>
      <c r="D606" s="26">
        <f>IF(A606="","",ROUND((A606-cfgDefasagem/1440)*48,0))</f>
        <v>0</v>
      </c>
      <c r="E606" s="26">
        <f>IF(D606="","",INT((D606-cfgDeslocamento)/4))</f>
        <v>0</v>
      </c>
      <c r="F606" s="26">
        <f>IF(D606="","",MOD(D606-cfgDeslocamento,4)+1)</f>
        <v>0</v>
      </c>
      <c r="G606" s="26">
        <f>IF(A606="","",IF(AND(ISNUMBER(B606),B606&lt;&gt;0),1,0))</f>
        <v>0</v>
      </c>
      <c r="H606" s="25">
        <f>IF(E606="","",(E606*4+3+cfgDeslocamento)/48)</f>
        <v>0</v>
      </c>
    </row>
    <row r="607" spans="1:8">
      <c r="A607" s="24"/>
      <c r="B607" s="19"/>
      <c r="C607" s="25">
        <f>IF(D607="","",D607/48)</f>
        <v>0</v>
      </c>
      <c r="D607" s="26">
        <f>IF(A607="","",ROUND((A607-cfgDefasagem/1440)*48,0))</f>
        <v>0</v>
      </c>
      <c r="E607" s="26">
        <f>IF(D607="","",INT((D607-cfgDeslocamento)/4))</f>
        <v>0</v>
      </c>
      <c r="F607" s="26">
        <f>IF(D607="","",MOD(D607-cfgDeslocamento,4)+1)</f>
        <v>0</v>
      </c>
      <c r="G607" s="26">
        <f>IF(A607="","",IF(AND(ISNUMBER(B607),B607&lt;&gt;0),1,0))</f>
        <v>0</v>
      </c>
      <c r="H607" s="25">
        <f>IF(E607="","",(E607*4+3+cfgDeslocamento)/48)</f>
        <v>0</v>
      </c>
    </row>
    <row r="608" spans="1:8">
      <c r="A608" s="24"/>
      <c r="B608" s="19"/>
      <c r="C608" s="25">
        <f>IF(D608="","",D608/48)</f>
        <v>0</v>
      </c>
      <c r="D608" s="26">
        <f>IF(A608="","",ROUND((A608-cfgDefasagem/1440)*48,0))</f>
        <v>0</v>
      </c>
      <c r="E608" s="26">
        <f>IF(D608="","",INT((D608-cfgDeslocamento)/4))</f>
        <v>0</v>
      </c>
      <c r="F608" s="26">
        <f>IF(D608="","",MOD(D608-cfgDeslocamento,4)+1)</f>
        <v>0</v>
      </c>
      <c r="G608" s="26">
        <f>IF(A608="","",IF(AND(ISNUMBER(B608),B608&lt;&gt;0),1,0))</f>
        <v>0</v>
      </c>
      <c r="H608" s="25">
        <f>IF(E608="","",(E608*4+3+cfgDeslocamento)/48)</f>
        <v>0</v>
      </c>
    </row>
    <row r="609" spans="1:8">
      <c r="A609" s="24"/>
      <c r="B609" s="19"/>
      <c r="C609" s="25">
        <f>IF(D609="","",D609/48)</f>
        <v>0</v>
      </c>
      <c r="D609" s="26">
        <f>IF(A609="","",ROUND((A609-cfgDefasagem/1440)*48,0))</f>
        <v>0</v>
      </c>
      <c r="E609" s="26">
        <f>IF(D609="","",INT((D609-cfgDeslocamento)/4))</f>
        <v>0</v>
      </c>
      <c r="F609" s="26">
        <f>IF(D609="","",MOD(D609-cfgDeslocamento,4)+1)</f>
        <v>0</v>
      </c>
      <c r="G609" s="26">
        <f>IF(A609="","",IF(AND(ISNUMBER(B609),B609&lt;&gt;0),1,0))</f>
        <v>0</v>
      </c>
      <c r="H609" s="25">
        <f>IF(E609="","",(E609*4+3+cfgDeslocamento)/48)</f>
        <v>0</v>
      </c>
    </row>
    <row r="610" spans="1:8">
      <c r="A610" s="24"/>
      <c r="B610" s="19"/>
      <c r="C610" s="25">
        <f>IF(D610="","",D610/48)</f>
        <v>0</v>
      </c>
      <c r="D610" s="26">
        <f>IF(A610="","",ROUND((A610-cfgDefasagem/1440)*48,0))</f>
        <v>0</v>
      </c>
      <c r="E610" s="26">
        <f>IF(D610="","",INT((D610-cfgDeslocamento)/4))</f>
        <v>0</v>
      </c>
      <c r="F610" s="26">
        <f>IF(D610="","",MOD(D610-cfgDeslocamento,4)+1)</f>
        <v>0</v>
      </c>
      <c r="G610" s="26">
        <f>IF(A610="","",IF(AND(ISNUMBER(B610),B610&lt;&gt;0),1,0))</f>
        <v>0</v>
      </c>
      <c r="H610" s="25">
        <f>IF(E610="","",(E610*4+3+cfgDeslocamento)/48)</f>
        <v>0</v>
      </c>
    </row>
    <row r="611" spans="1:8">
      <c r="A611" s="24"/>
      <c r="B611" s="19"/>
      <c r="C611" s="25">
        <f>IF(D611="","",D611/48)</f>
        <v>0</v>
      </c>
      <c r="D611" s="26">
        <f>IF(A611="","",ROUND((A611-cfgDefasagem/1440)*48,0))</f>
        <v>0</v>
      </c>
      <c r="E611" s="26">
        <f>IF(D611="","",INT((D611-cfgDeslocamento)/4))</f>
        <v>0</v>
      </c>
      <c r="F611" s="26">
        <f>IF(D611="","",MOD(D611-cfgDeslocamento,4)+1)</f>
        <v>0</v>
      </c>
      <c r="G611" s="26">
        <f>IF(A611="","",IF(AND(ISNUMBER(B611),B611&lt;&gt;0),1,0))</f>
        <v>0</v>
      </c>
      <c r="H611" s="25">
        <f>IF(E611="","",(E611*4+3+cfgDeslocamento)/48)</f>
        <v>0</v>
      </c>
    </row>
    <row r="612" spans="1:8">
      <c r="A612" s="24"/>
      <c r="B612" s="19"/>
      <c r="C612" s="25">
        <f>IF(D612="","",D612/48)</f>
        <v>0</v>
      </c>
      <c r="D612" s="26">
        <f>IF(A612="","",ROUND((A612-cfgDefasagem/1440)*48,0))</f>
        <v>0</v>
      </c>
      <c r="E612" s="26">
        <f>IF(D612="","",INT((D612-cfgDeslocamento)/4))</f>
        <v>0</v>
      </c>
      <c r="F612" s="26">
        <f>IF(D612="","",MOD(D612-cfgDeslocamento,4)+1)</f>
        <v>0</v>
      </c>
      <c r="G612" s="26">
        <f>IF(A612="","",IF(AND(ISNUMBER(B612),B612&lt;&gt;0),1,0))</f>
        <v>0</v>
      </c>
      <c r="H612" s="25">
        <f>IF(E612="","",(E612*4+3+cfgDeslocamento)/48)</f>
        <v>0</v>
      </c>
    </row>
    <row r="613" spans="1:8">
      <c r="A613" s="24"/>
      <c r="B613" s="19"/>
      <c r="C613" s="25">
        <f>IF(D613="","",D613/48)</f>
        <v>0</v>
      </c>
      <c r="D613" s="26">
        <f>IF(A613="","",ROUND((A613-cfgDefasagem/1440)*48,0))</f>
        <v>0</v>
      </c>
      <c r="E613" s="26">
        <f>IF(D613="","",INT((D613-cfgDeslocamento)/4))</f>
        <v>0</v>
      </c>
      <c r="F613" s="26">
        <f>IF(D613="","",MOD(D613-cfgDeslocamento,4)+1)</f>
        <v>0</v>
      </c>
      <c r="G613" s="26">
        <f>IF(A613="","",IF(AND(ISNUMBER(B613),B613&lt;&gt;0),1,0))</f>
        <v>0</v>
      </c>
      <c r="H613" s="25">
        <f>IF(E613="","",(E613*4+3+cfgDeslocamento)/48)</f>
        <v>0</v>
      </c>
    </row>
    <row r="614" spans="1:8">
      <c r="A614" s="24"/>
      <c r="B614" s="19"/>
      <c r="C614" s="25">
        <f>IF(D614="","",D614/48)</f>
        <v>0</v>
      </c>
      <c r="D614" s="26">
        <f>IF(A614="","",ROUND((A614-cfgDefasagem/1440)*48,0))</f>
        <v>0</v>
      </c>
      <c r="E614" s="26">
        <f>IF(D614="","",INT((D614-cfgDeslocamento)/4))</f>
        <v>0</v>
      </c>
      <c r="F614" s="26">
        <f>IF(D614="","",MOD(D614-cfgDeslocamento,4)+1)</f>
        <v>0</v>
      </c>
      <c r="G614" s="26">
        <f>IF(A614="","",IF(AND(ISNUMBER(B614),B614&lt;&gt;0),1,0))</f>
        <v>0</v>
      </c>
      <c r="H614" s="25">
        <f>IF(E614="","",(E614*4+3+cfgDeslocamento)/48)</f>
        <v>0</v>
      </c>
    </row>
    <row r="615" spans="1:8">
      <c r="A615" s="24"/>
      <c r="B615" s="19"/>
      <c r="C615" s="25">
        <f>IF(D615="","",D615/48)</f>
        <v>0</v>
      </c>
      <c r="D615" s="26">
        <f>IF(A615="","",ROUND((A615-cfgDefasagem/1440)*48,0))</f>
        <v>0</v>
      </c>
      <c r="E615" s="26">
        <f>IF(D615="","",INT((D615-cfgDeslocamento)/4))</f>
        <v>0</v>
      </c>
      <c r="F615" s="26">
        <f>IF(D615="","",MOD(D615-cfgDeslocamento,4)+1)</f>
        <v>0</v>
      </c>
      <c r="G615" s="26">
        <f>IF(A615="","",IF(AND(ISNUMBER(B615),B615&lt;&gt;0),1,0))</f>
        <v>0</v>
      </c>
      <c r="H615" s="25">
        <f>IF(E615="","",(E615*4+3+cfgDeslocamento)/48)</f>
        <v>0</v>
      </c>
    </row>
    <row r="616" spans="1:8">
      <c r="A616" s="24"/>
      <c r="B616" s="19"/>
      <c r="C616" s="25">
        <f>IF(D616="","",D616/48)</f>
        <v>0</v>
      </c>
      <c r="D616" s="26">
        <f>IF(A616="","",ROUND((A616-cfgDefasagem/1440)*48,0))</f>
        <v>0</v>
      </c>
      <c r="E616" s="26">
        <f>IF(D616="","",INT((D616-cfgDeslocamento)/4))</f>
        <v>0</v>
      </c>
      <c r="F616" s="26">
        <f>IF(D616="","",MOD(D616-cfgDeslocamento,4)+1)</f>
        <v>0</v>
      </c>
      <c r="G616" s="26">
        <f>IF(A616="","",IF(AND(ISNUMBER(B616),B616&lt;&gt;0),1,0))</f>
        <v>0</v>
      </c>
      <c r="H616" s="25">
        <f>IF(E616="","",(E616*4+3+cfgDeslocamento)/48)</f>
        <v>0</v>
      </c>
    </row>
    <row r="617" spans="1:8">
      <c r="A617" s="24"/>
      <c r="B617" s="19"/>
      <c r="C617" s="25">
        <f>IF(D617="","",D617/48)</f>
        <v>0</v>
      </c>
      <c r="D617" s="26">
        <f>IF(A617="","",ROUND((A617-cfgDefasagem/1440)*48,0))</f>
        <v>0</v>
      </c>
      <c r="E617" s="26">
        <f>IF(D617="","",INT((D617-cfgDeslocamento)/4))</f>
        <v>0</v>
      </c>
      <c r="F617" s="26">
        <f>IF(D617="","",MOD(D617-cfgDeslocamento,4)+1)</f>
        <v>0</v>
      </c>
      <c r="G617" s="26">
        <f>IF(A617="","",IF(AND(ISNUMBER(B617),B617&lt;&gt;0),1,0))</f>
        <v>0</v>
      </c>
      <c r="H617" s="25">
        <f>IF(E617="","",(E617*4+3+cfgDeslocamento)/48)</f>
        <v>0</v>
      </c>
    </row>
    <row r="618" spans="1:8">
      <c r="A618" s="24"/>
      <c r="B618" s="19"/>
      <c r="C618" s="25">
        <f>IF(D618="","",D618/48)</f>
        <v>0</v>
      </c>
      <c r="D618" s="26">
        <f>IF(A618="","",ROUND((A618-cfgDefasagem/1440)*48,0))</f>
        <v>0</v>
      </c>
      <c r="E618" s="26">
        <f>IF(D618="","",INT((D618-cfgDeslocamento)/4))</f>
        <v>0</v>
      </c>
      <c r="F618" s="26">
        <f>IF(D618="","",MOD(D618-cfgDeslocamento,4)+1)</f>
        <v>0</v>
      </c>
      <c r="G618" s="26">
        <f>IF(A618="","",IF(AND(ISNUMBER(B618),B618&lt;&gt;0),1,0))</f>
        <v>0</v>
      </c>
      <c r="H618" s="25">
        <f>IF(E618="","",(E618*4+3+cfgDeslocamento)/48)</f>
        <v>0</v>
      </c>
    </row>
    <row r="619" spans="1:8">
      <c r="A619" s="24"/>
      <c r="B619" s="19"/>
      <c r="C619" s="25">
        <f>IF(D619="","",D619/48)</f>
        <v>0</v>
      </c>
      <c r="D619" s="26">
        <f>IF(A619="","",ROUND((A619-cfgDefasagem/1440)*48,0))</f>
        <v>0</v>
      </c>
      <c r="E619" s="26">
        <f>IF(D619="","",INT((D619-cfgDeslocamento)/4))</f>
        <v>0</v>
      </c>
      <c r="F619" s="26">
        <f>IF(D619="","",MOD(D619-cfgDeslocamento,4)+1)</f>
        <v>0</v>
      </c>
      <c r="G619" s="26">
        <f>IF(A619="","",IF(AND(ISNUMBER(B619),B619&lt;&gt;0),1,0))</f>
        <v>0</v>
      </c>
      <c r="H619" s="25">
        <f>IF(E619="","",(E619*4+3+cfgDeslocamento)/48)</f>
        <v>0</v>
      </c>
    </row>
    <row r="620" spans="1:8">
      <c r="A620" s="24"/>
      <c r="B620" s="19"/>
      <c r="C620" s="25">
        <f>IF(D620="","",D620/48)</f>
        <v>0</v>
      </c>
      <c r="D620" s="26">
        <f>IF(A620="","",ROUND((A620-cfgDefasagem/1440)*48,0))</f>
        <v>0</v>
      </c>
      <c r="E620" s="26">
        <f>IF(D620="","",INT((D620-cfgDeslocamento)/4))</f>
        <v>0</v>
      </c>
      <c r="F620" s="26">
        <f>IF(D620="","",MOD(D620-cfgDeslocamento,4)+1)</f>
        <v>0</v>
      </c>
      <c r="G620" s="26">
        <f>IF(A620="","",IF(AND(ISNUMBER(B620),B620&lt;&gt;0),1,0))</f>
        <v>0</v>
      </c>
      <c r="H620" s="25">
        <f>IF(E620="","",(E620*4+3+cfgDeslocamento)/48)</f>
        <v>0</v>
      </c>
    </row>
    <row r="621" spans="1:8">
      <c r="A621" s="24"/>
      <c r="B621" s="19"/>
      <c r="C621" s="25">
        <f>IF(D621="","",D621/48)</f>
        <v>0</v>
      </c>
      <c r="D621" s="26">
        <f>IF(A621="","",ROUND((A621-cfgDefasagem/1440)*48,0))</f>
        <v>0</v>
      </c>
      <c r="E621" s="26">
        <f>IF(D621="","",INT((D621-cfgDeslocamento)/4))</f>
        <v>0</v>
      </c>
      <c r="F621" s="26">
        <f>IF(D621="","",MOD(D621-cfgDeslocamento,4)+1)</f>
        <v>0</v>
      </c>
      <c r="G621" s="26">
        <f>IF(A621="","",IF(AND(ISNUMBER(B621),B621&lt;&gt;0),1,0))</f>
        <v>0</v>
      </c>
      <c r="H621" s="25">
        <f>IF(E621="","",(E621*4+3+cfgDeslocamento)/48)</f>
        <v>0</v>
      </c>
    </row>
    <row r="622" spans="1:8">
      <c r="A622" s="24"/>
      <c r="B622" s="19"/>
      <c r="C622" s="25">
        <f>IF(D622="","",D622/48)</f>
        <v>0</v>
      </c>
      <c r="D622" s="26">
        <f>IF(A622="","",ROUND((A622-cfgDefasagem/1440)*48,0))</f>
        <v>0</v>
      </c>
      <c r="E622" s="26">
        <f>IF(D622="","",INT((D622-cfgDeslocamento)/4))</f>
        <v>0</v>
      </c>
      <c r="F622" s="26">
        <f>IF(D622="","",MOD(D622-cfgDeslocamento,4)+1)</f>
        <v>0</v>
      </c>
      <c r="G622" s="26">
        <f>IF(A622="","",IF(AND(ISNUMBER(B622),B622&lt;&gt;0),1,0))</f>
        <v>0</v>
      </c>
      <c r="H622" s="25">
        <f>IF(E622="","",(E622*4+3+cfgDeslocamento)/48)</f>
        <v>0</v>
      </c>
    </row>
    <row r="623" spans="1:8">
      <c r="A623" s="24"/>
      <c r="B623" s="19"/>
      <c r="C623" s="25">
        <f>IF(D623="","",D623/48)</f>
        <v>0</v>
      </c>
      <c r="D623" s="26">
        <f>IF(A623="","",ROUND((A623-cfgDefasagem/1440)*48,0))</f>
        <v>0</v>
      </c>
      <c r="E623" s="26">
        <f>IF(D623="","",INT((D623-cfgDeslocamento)/4))</f>
        <v>0</v>
      </c>
      <c r="F623" s="26">
        <f>IF(D623="","",MOD(D623-cfgDeslocamento,4)+1)</f>
        <v>0</v>
      </c>
      <c r="G623" s="26">
        <f>IF(A623="","",IF(AND(ISNUMBER(B623),B623&lt;&gt;0),1,0))</f>
        <v>0</v>
      </c>
      <c r="H623" s="25">
        <f>IF(E623="","",(E623*4+3+cfgDeslocamento)/48)</f>
        <v>0</v>
      </c>
    </row>
    <row r="624" spans="1:8">
      <c r="A624" s="24"/>
      <c r="B624" s="19"/>
      <c r="C624" s="25">
        <f>IF(D624="","",D624/48)</f>
        <v>0</v>
      </c>
      <c r="D624" s="26">
        <f>IF(A624="","",ROUND((A624-cfgDefasagem/1440)*48,0))</f>
        <v>0</v>
      </c>
      <c r="E624" s="26">
        <f>IF(D624="","",INT((D624-cfgDeslocamento)/4))</f>
        <v>0</v>
      </c>
      <c r="F624" s="26">
        <f>IF(D624="","",MOD(D624-cfgDeslocamento,4)+1)</f>
        <v>0</v>
      </c>
      <c r="G624" s="26">
        <f>IF(A624="","",IF(AND(ISNUMBER(B624),B624&lt;&gt;0),1,0))</f>
        <v>0</v>
      </c>
      <c r="H624" s="25">
        <f>IF(E624="","",(E624*4+3+cfgDeslocamento)/48)</f>
        <v>0</v>
      </c>
    </row>
    <row r="625" spans="1:8">
      <c r="A625" s="24"/>
      <c r="B625" s="19"/>
      <c r="C625" s="25">
        <f>IF(D625="","",D625/48)</f>
        <v>0</v>
      </c>
      <c r="D625" s="26">
        <f>IF(A625="","",ROUND((A625-cfgDefasagem/1440)*48,0))</f>
        <v>0</v>
      </c>
      <c r="E625" s="26">
        <f>IF(D625="","",INT((D625-cfgDeslocamento)/4))</f>
        <v>0</v>
      </c>
      <c r="F625" s="26">
        <f>IF(D625="","",MOD(D625-cfgDeslocamento,4)+1)</f>
        <v>0</v>
      </c>
      <c r="G625" s="26">
        <f>IF(A625="","",IF(AND(ISNUMBER(B625),B625&lt;&gt;0),1,0))</f>
        <v>0</v>
      </c>
      <c r="H625" s="25">
        <f>IF(E625="","",(E625*4+3+cfgDeslocamento)/48)</f>
        <v>0</v>
      </c>
    </row>
    <row r="626" spans="1:8">
      <c r="A626" s="24"/>
      <c r="B626" s="19"/>
      <c r="C626" s="25">
        <f>IF(D626="","",D626/48)</f>
        <v>0</v>
      </c>
      <c r="D626" s="26">
        <f>IF(A626="","",ROUND((A626-cfgDefasagem/1440)*48,0))</f>
        <v>0</v>
      </c>
      <c r="E626" s="26">
        <f>IF(D626="","",INT((D626-cfgDeslocamento)/4))</f>
        <v>0</v>
      </c>
      <c r="F626" s="26">
        <f>IF(D626="","",MOD(D626-cfgDeslocamento,4)+1)</f>
        <v>0</v>
      </c>
      <c r="G626" s="26">
        <f>IF(A626="","",IF(AND(ISNUMBER(B626),B626&lt;&gt;0),1,0))</f>
        <v>0</v>
      </c>
      <c r="H626" s="25">
        <f>IF(E626="","",(E626*4+3+cfgDeslocamento)/48)</f>
        <v>0</v>
      </c>
    </row>
    <row r="627" spans="1:8">
      <c r="A627" s="24"/>
      <c r="B627" s="19"/>
      <c r="C627" s="25">
        <f>IF(D627="","",D627/48)</f>
        <v>0</v>
      </c>
      <c r="D627" s="26">
        <f>IF(A627="","",ROUND((A627-cfgDefasagem/1440)*48,0))</f>
        <v>0</v>
      </c>
      <c r="E627" s="26">
        <f>IF(D627="","",INT((D627-cfgDeslocamento)/4))</f>
        <v>0</v>
      </c>
      <c r="F627" s="26">
        <f>IF(D627="","",MOD(D627-cfgDeslocamento,4)+1)</f>
        <v>0</v>
      </c>
      <c r="G627" s="26">
        <f>IF(A627="","",IF(AND(ISNUMBER(B627),B627&lt;&gt;0),1,0))</f>
        <v>0</v>
      </c>
      <c r="H627" s="25">
        <f>IF(E627="","",(E627*4+3+cfgDeslocamento)/48)</f>
        <v>0</v>
      </c>
    </row>
    <row r="628" spans="1:8">
      <c r="A628" s="24"/>
      <c r="B628" s="19"/>
      <c r="C628" s="25">
        <f>IF(D628="","",D628/48)</f>
        <v>0</v>
      </c>
      <c r="D628" s="26">
        <f>IF(A628="","",ROUND((A628-cfgDefasagem/1440)*48,0))</f>
        <v>0</v>
      </c>
      <c r="E628" s="26">
        <f>IF(D628="","",INT((D628-cfgDeslocamento)/4))</f>
        <v>0</v>
      </c>
      <c r="F628" s="26">
        <f>IF(D628="","",MOD(D628-cfgDeslocamento,4)+1)</f>
        <v>0</v>
      </c>
      <c r="G628" s="26">
        <f>IF(A628="","",IF(AND(ISNUMBER(B628),B628&lt;&gt;0),1,0))</f>
        <v>0</v>
      </c>
      <c r="H628" s="25">
        <f>IF(E628="","",(E628*4+3+cfgDeslocamento)/48)</f>
        <v>0</v>
      </c>
    </row>
    <row r="629" spans="1:8">
      <c r="A629" s="24"/>
      <c r="B629" s="19"/>
      <c r="C629" s="25">
        <f>IF(D629="","",D629/48)</f>
        <v>0</v>
      </c>
      <c r="D629" s="26">
        <f>IF(A629="","",ROUND((A629-cfgDefasagem/1440)*48,0))</f>
        <v>0</v>
      </c>
      <c r="E629" s="26">
        <f>IF(D629="","",INT((D629-cfgDeslocamento)/4))</f>
        <v>0</v>
      </c>
      <c r="F629" s="26">
        <f>IF(D629="","",MOD(D629-cfgDeslocamento,4)+1)</f>
        <v>0</v>
      </c>
      <c r="G629" s="26">
        <f>IF(A629="","",IF(AND(ISNUMBER(B629),B629&lt;&gt;0),1,0))</f>
        <v>0</v>
      </c>
      <c r="H629" s="25">
        <f>IF(E629="","",(E629*4+3+cfgDeslocamento)/48)</f>
        <v>0</v>
      </c>
    </row>
    <row r="630" spans="1:8">
      <c r="A630" s="24"/>
      <c r="B630" s="19"/>
      <c r="C630" s="25">
        <f>IF(D630="","",D630/48)</f>
        <v>0</v>
      </c>
      <c r="D630" s="26">
        <f>IF(A630="","",ROUND((A630-cfgDefasagem/1440)*48,0))</f>
        <v>0</v>
      </c>
      <c r="E630" s="26">
        <f>IF(D630="","",INT((D630-cfgDeslocamento)/4))</f>
        <v>0</v>
      </c>
      <c r="F630" s="26">
        <f>IF(D630="","",MOD(D630-cfgDeslocamento,4)+1)</f>
        <v>0</v>
      </c>
      <c r="G630" s="26">
        <f>IF(A630="","",IF(AND(ISNUMBER(B630),B630&lt;&gt;0),1,0))</f>
        <v>0</v>
      </c>
      <c r="H630" s="25">
        <f>IF(E630="","",(E630*4+3+cfgDeslocamento)/48)</f>
        <v>0</v>
      </c>
    </row>
    <row r="631" spans="1:8">
      <c r="A631" s="24"/>
      <c r="B631" s="19"/>
      <c r="C631" s="25">
        <f>IF(D631="","",D631/48)</f>
        <v>0</v>
      </c>
      <c r="D631" s="26">
        <f>IF(A631="","",ROUND((A631-cfgDefasagem/1440)*48,0))</f>
        <v>0</v>
      </c>
      <c r="E631" s="26">
        <f>IF(D631="","",INT((D631-cfgDeslocamento)/4))</f>
        <v>0</v>
      </c>
      <c r="F631" s="26">
        <f>IF(D631="","",MOD(D631-cfgDeslocamento,4)+1)</f>
        <v>0</v>
      </c>
      <c r="G631" s="26">
        <f>IF(A631="","",IF(AND(ISNUMBER(B631),B631&lt;&gt;0),1,0))</f>
        <v>0</v>
      </c>
      <c r="H631" s="25">
        <f>IF(E631="","",(E631*4+3+cfgDeslocamento)/48)</f>
        <v>0</v>
      </c>
    </row>
    <row r="632" spans="1:8">
      <c r="A632" s="24"/>
      <c r="B632" s="19"/>
      <c r="C632" s="25">
        <f>IF(D632="","",D632/48)</f>
        <v>0</v>
      </c>
      <c r="D632" s="26">
        <f>IF(A632="","",ROUND((A632-cfgDefasagem/1440)*48,0))</f>
        <v>0</v>
      </c>
      <c r="E632" s="26">
        <f>IF(D632="","",INT((D632-cfgDeslocamento)/4))</f>
        <v>0</v>
      </c>
      <c r="F632" s="26">
        <f>IF(D632="","",MOD(D632-cfgDeslocamento,4)+1)</f>
        <v>0</v>
      </c>
      <c r="G632" s="26">
        <f>IF(A632="","",IF(AND(ISNUMBER(B632),B632&lt;&gt;0),1,0))</f>
        <v>0</v>
      </c>
      <c r="H632" s="25">
        <f>IF(E632="","",(E632*4+3+cfgDeslocamento)/48)</f>
        <v>0</v>
      </c>
    </row>
    <row r="633" spans="1:8">
      <c r="A633" s="24"/>
      <c r="B633" s="19"/>
      <c r="C633" s="25">
        <f>IF(D633="","",D633/48)</f>
        <v>0</v>
      </c>
      <c r="D633" s="26">
        <f>IF(A633="","",ROUND((A633-cfgDefasagem/1440)*48,0))</f>
        <v>0</v>
      </c>
      <c r="E633" s="26">
        <f>IF(D633="","",INT((D633-cfgDeslocamento)/4))</f>
        <v>0</v>
      </c>
      <c r="F633" s="26">
        <f>IF(D633="","",MOD(D633-cfgDeslocamento,4)+1)</f>
        <v>0</v>
      </c>
      <c r="G633" s="26">
        <f>IF(A633="","",IF(AND(ISNUMBER(B633),B633&lt;&gt;0),1,0))</f>
        <v>0</v>
      </c>
      <c r="H633" s="25">
        <f>IF(E633="","",(E633*4+3+cfgDeslocamento)/48)</f>
        <v>0</v>
      </c>
    </row>
    <row r="634" spans="1:8">
      <c r="A634" s="24"/>
      <c r="B634" s="19"/>
      <c r="C634" s="25">
        <f>IF(D634="","",D634/48)</f>
        <v>0</v>
      </c>
      <c r="D634" s="26">
        <f>IF(A634="","",ROUND((A634-cfgDefasagem/1440)*48,0))</f>
        <v>0</v>
      </c>
      <c r="E634" s="26">
        <f>IF(D634="","",INT((D634-cfgDeslocamento)/4))</f>
        <v>0</v>
      </c>
      <c r="F634" s="26">
        <f>IF(D634="","",MOD(D634-cfgDeslocamento,4)+1)</f>
        <v>0</v>
      </c>
      <c r="G634" s="26">
        <f>IF(A634="","",IF(AND(ISNUMBER(B634),B634&lt;&gt;0),1,0))</f>
        <v>0</v>
      </c>
      <c r="H634" s="25">
        <f>IF(E634="","",(E634*4+3+cfgDeslocamento)/48)</f>
        <v>0</v>
      </c>
    </row>
    <row r="635" spans="1:8">
      <c r="A635" s="24"/>
      <c r="B635" s="19"/>
      <c r="C635" s="25">
        <f>IF(D635="","",D635/48)</f>
        <v>0</v>
      </c>
      <c r="D635" s="26">
        <f>IF(A635="","",ROUND((A635-cfgDefasagem/1440)*48,0))</f>
        <v>0</v>
      </c>
      <c r="E635" s="26">
        <f>IF(D635="","",INT((D635-cfgDeslocamento)/4))</f>
        <v>0</v>
      </c>
      <c r="F635" s="26">
        <f>IF(D635="","",MOD(D635-cfgDeslocamento,4)+1)</f>
        <v>0</v>
      </c>
      <c r="G635" s="26">
        <f>IF(A635="","",IF(AND(ISNUMBER(B635),B635&lt;&gt;0),1,0))</f>
        <v>0</v>
      </c>
      <c r="H635" s="25">
        <f>IF(E635="","",(E635*4+3+cfgDeslocamento)/48)</f>
        <v>0</v>
      </c>
    </row>
    <row r="636" spans="1:8">
      <c r="A636" s="24"/>
      <c r="B636" s="19"/>
      <c r="C636" s="25">
        <f>IF(D636="","",D636/48)</f>
        <v>0</v>
      </c>
      <c r="D636" s="26">
        <f>IF(A636="","",ROUND((A636-cfgDefasagem/1440)*48,0))</f>
        <v>0</v>
      </c>
      <c r="E636" s="26">
        <f>IF(D636="","",INT((D636-cfgDeslocamento)/4))</f>
        <v>0</v>
      </c>
      <c r="F636" s="26">
        <f>IF(D636="","",MOD(D636-cfgDeslocamento,4)+1)</f>
        <v>0</v>
      </c>
      <c r="G636" s="26">
        <f>IF(A636="","",IF(AND(ISNUMBER(B636),B636&lt;&gt;0),1,0))</f>
        <v>0</v>
      </c>
      <c r="H636" s="25">
        <f>IF(E636="","",(E636*4+3+cfgDeslocamento)/48)</f>
        <v>0</v>
      </c>
    </row>
    <row r="637" spans="1:8">
      <c r="A637" s="24"/>
      <c r="B637" s="19"/>
      <c r="C637" s="25">
        <f>IF(D637="","",D637/48)</f>
        <v>0</v>
      </c>
      <c r="D637" s="26">
        <f>IF(A637="","",ROUND((A637-cfgDefasagem/1440)*48,0))</f>
        <v>0</v>
      </c>
      <c r="E637" s="26">
        <f>IF(D637="","",INT((D637-cfgDeslocamento)/4))</f>
        <v>0</v>
      </c>
      <c r="F637" s="26">
        <f>IF(D637="","",MOD(D637-cfgDeslocamento,4)+1)</f>
        <v>0</v>
      </c>
      <c r="G637" s="26">
        <f>IF(A637="","",IF(AND(ISNUMBER(B637),B637&lt;&gt;0),1,0))</f>
        <v>0</v>
      </c>
      <c r="H637" s="25">
        <f>IF(E637="","",(E637*4+3+cfgDeslocamento)/48)</f>
        <v>0</v>
      </c>
    </row>
    <row r="638" spans="1:8">
      <c r="A638" s="24"/>
      <c r="B638" s="19"/>
      <c r="C638" s="25">
        <f>IF(D638="","",D638/48)</f>
        <v>0</v>
      </c>
      <c r="D638" s="26">
        <f>IF(A638="","",ROUND((A638-cfgDefasagem/1440)*48,0))</f>
        <v>0</v>
      </c>
      <c r="E638" s="26">
        <f>IF(D638="","",INT((D638-cfgDeslocamento)/4))</f>
        <v>0</v>
      </c>
      <c r="F638" s="26">
        <f>IF(D638="","",MOD(D638-cfgDeslocamento,4)+1)</f>
        <v>0</v>
      </c>
      <c r="G638" s="26">
        <f>IF(A638="","",IF(AND(ISNUMBER(B638),B638&lt;&gt;0),1,0))</f>
        <v>0</v>
      </c>
      <c r="H638" s="25">
        <f>IF(E638="","",(E638*4+3+cfgDeslocamento)/48)</f>
        <v>0</v>
      </c>
    </row>
    <row r="639" spans="1:8">
      <c r="A639" s="24"/>
      <c r="B639" s="19"/>
      <c r="C639" s="25">
        <f>IF(D639="","",D639/48)</f>
        <v>0</v>
      </c>
      <c r="D639" s="26">
        <f>IF(A639="","",ROUND((A639-cfgDefasagem/1440)*48,0))</f>
        <v>0</v>
      </c>
      <c r="E639" s="26">
        <f>IF(D639="","",INT((D639-cfgDeslocamento)/4))</f>
        <v>0</v>
      </c>
      <c r="F639" s="26">
        <f>IF(D639="","",MOD(D639-cfgDeslocamento,4)+1)</f>
        <v>0</v>
      </c>
      <c r="G639" s="26">
        <f>IF(A639="","",IF(AND(ISNUMBER(B639),B639&lt;&gt;0),1,0))</f>
        <v>0</v>
      </c>
      <c r="H639" s="25">
        <f>IF(E639="","",(E639*4+3+cfgDeslocamento)/48)</f>
        <v>0</v>
      </c>
    </row>
    <row r="640" spans="1:8">
      <c r="A640" s="24"/>
      <c r="B640" s="19"/>
      <c r="C640" s="25">
        <f>IF(D640="","",D640/48)</f>
        <v>0</v>
      </c>
      <c r="D640" s="26">
        <f>IF(A640="","",ROUND((A640-cfgDefasagem/1440)*48,0))</f>
        <v>0</v>
      </c>
      <c r="E640" s="26">
        <f>IF(D640="","",INT((D640-cfgDeslocamento)/4))</f>
        <v>0</v>
      </c>
      <c r="F640" s="26">
        <f>IF(D640="","",MOD(D640-cfgDeslocamento,4)+1)</f>
        <v>0</v>
      </c>
      <c r="G640" s="26">
        <f>IF(A640="","",IF(AND(ISNUMBER(B640),B640&lt;&gt;0),1,0))</f>
        <v>0</v>
      </c>
      <c r="H640" s="25">
        <f>IF(E640="","",(E640*4+3+cfgDeslocamento)/48)</f>
        <v>0</v>
      </c>
    </row>
    <row r="641" spans="1:8">
      <c r="A641" s="24"/>
      <c r="B641" s="19"/>
      <c r="C641" s="25">
        <f>IF(D641="","",D641/48)</f>
        <v>0</v>
      </c>
      <c r="D641" s="26">
        <f>IF(A641="","",ROUND((A641-cfgDefasagem/1440)*48,0))</f>
        <v>0</v>
      </c>
      <c r="E641" s="26">
        <f>IF(D641="","",INT((D641-cfgDeslocamento)/4))</f>
        <v>0</v>
      </c>
      <c r="F641" s="26">
        <f>IF(D641="","",MOD(D641-cfgDeslocamento,4)+1)</f>
        <v>0</v>
      </c>
      <c r="G641" s="26">
        <f>IF(A641="","",IF(AND(ISNUMBER(B641),B641&lt;&gt;0),1,0))</f>
        <v>0</v>
      </c>
      <c r="H641" s="25">
        <f>IF(E641="","",(E641*4+3+cfgDeslocamento)/48)</f>
        <v>0</v>
      </c>
    </row>
    <row r="642" spans="1:8">
      <c r="A642" s="24"/>
      <c r="B642" s="19"/>
      <c r="C642" s="25">
        <f>IF(D642="","",D642/48)</f>
        <v>0</v>
      </c>
      <c r="D642" s="26">
        <f>IF(A642="","",ROUND((A642-cfgDefasagem/1440)*48,0))</f>
        <v>0</v>
      </c>
      <c r="E642" s="26">
        <f>IF(D642="","",INT((D642-cfgDeslocamento)/4))</f>
        <v>0</v>
      </c>
      <c r="F642" s="26">
        <f>IF(D642="","",MOD(D642-cfgDeslocamento,4)+1)</f>
        <v>0</v>
      </c>
      <c r="G642" s="26">
        <f>IF(A642="","",IF(AND(ISNUMBER(B642),B642&lt;&gt;0),1,0))</f>
        <v>0</v>
      </c>
      <c r="H642" s="25">
        <f>IF(E642="","",(E642*4+3+cfgDeslocamento)/48)</f>
        <v>0</v>
      </c>
    </row>
    <row r="643" spans="1:8">
      <c r="A643" s="24"/>
      <c r="B643" s="19"/>
      <c r="C643" s="25">
        <f>IF(D643="","",D643/48)</f>
        <v>0</v>
      </c>
      <c r="D643" s="26">
        <f>IF(A643="","",ROUND((A643-cfgDefasagem/1440)*48,0))</f>
        <v>0</v>
      </c>
      <c r="E643" s="26">
        <f>IF(D643="","",INT((D643-cfgDeslocamento)/4))</f>
        <v>0</v>
      </c>
      <c r="F643" s="26">
        <f>IF(D643="","",MOD(D643-cfgDeslocamento,4)+1)</f>
        <v>0</v>
      </c>
      <c r="G643" s="26">
        <f>IF(A643="","",IF(AND(ISNUMBER(B643),B643&lt;&gt;0),1,0))</f>
        <v>0</v>
      </c>
      <c r="H643" s="25">
        <f>IF(E643="","",(E643*4+3+cfgDeslocamento)/48)</f>
        <v>0</v>
      </c>
    </row>
    <row r="644" spans="1:8">
      <c r="A644" s="24"/>
      <c r="B644" s="19"/>
      <c r="C644" s="25">
        <f>IF(D644="","",D644/48)</f>
        <v>0</v>
      </c>
      <c r="D644" s="26">
        <f>IF(A644="","",ROUND((A644-cfgDefasagem/1440)*48,0))</f>
        <v>0</v>
      </c>
      <c r="E644" s="26">
        <f>IF(D644="","",INT((D644-cfgDeslocamento)/4))</f>
        <v>0</v>
      </c>
      <c r="F644" s="26">
        <f>IF(D644="","",MOD(D644-cfgDeslocamento,4)+1)</f>
        <v>0</v>
      </c>
      <c r="G644" s="26">
        <f>IF(A644="","",IF(AND(ISNUMBER(B644),B644&lt;&gt;0),1,0))</f>
        <v>0</v>
      </c>
      <c r="H644" s="25">
        <f>IF(E644="","",(E644*4+3+cfgDeslocamento)/48)</f>
        <v>0</v>
      </c>
    </row>
    <row r="645" spans="1:8">
      <c r="A645" s="24"/>
      <c r="B645" s="19"/>
      <c r="C645" s="25">
        <f>IF(D645="","",D645/48)</f>
        <v>0</v>
      </c>
      <c r="D645" s="26">
        <f>IF(A645="","",ROUND((A645-cfgDefasagem/1440)*48,0))</f>
        <v>0</v>
      </c>
      <c r="E645" s="26">
        <f>IF(D645="","",INT((D645-cfgDeslocamento)/4))</f>
        <v>0</v>
      </c>
      <c r="F645" s="26">
        <f>IF(D645="","",MOD(D645-cfgDeslocamento,4)+1)</f>
        <v>0</v>
      </c>
      <c r="G645" s="26">
        <f>IF(A645="","",IF(AND(ISNUMBER(B645),B645&lt;&gt;0),1,0))</f>
        <v>0</v>
      </c>
      <c r="H645" s="25">
        <f>IF(E645="","",(E645*4+3+cfgDeslocamento)/48)</f>
        <v>0</v>
      </c>
    </row>
    <row r="646" spans="1:8">
      <c r="A646" s="24"/>
      <c r="B646" s="19"/>
      <c r="C646" s="25">
        <f>IF(D646="","",D646/48)</f>
        <v>0</v>
      </c>
      <c r="D646" s="26">
        <f>IF(A646="","",ROUND((A646-cfgDefasagem/1440)*48,0))</f>
        <v>0</v>
      </c>
      <c r="E646" s="26">
        <f>IF(D646="","",INT((D646-cfgDeslocamento)/4))</f>
        <v>0</v>
      </c>
      <c r="F646" s="26">
        <f>IF(D646="","",MOD(D646-cfgDeslocamento,4)+1)</f>
        <v>0</v>
      </c>
      <c r="G646" s="26">
        <f>IF(A646="","",IF(AND(ISNUMBER(B646),B646&lt;&gt;0),1,0))</f>
        <v>0</v>
      </c>
      <c r="H646" s="25">
        <f>IF(E646="","",(E646*4+3+cfgDeslocamento)/48)</f>
        <v>0</v>
      </c>
    </row>
    <row r="647" spans="1:8">
      <c r="A647" s="24"/>
      <c r="B647" s="19"/>
      <c r="C647" s="25">
        <f>IF(D647="","",D647/48)</f>
        <v>0</v>
      </c>
      <c r="D647" s="26">
        <f>IF(A647="","",ROUND((A647-cfgDefasagem/1440)*48,0))</f>
        <v>0</v>
      </c>
      <c r="E647" s="26">
        <f>IF(D647="","",INT((D647-cfgDeslocamento)/4))</f>
        <v>0</v>
      </c>
      <c r="F647" s="26">
        <f>IF(D647="","",MOD(D647-cfgDeslocamento,4)+1)</f>
        <v>0</v>
      </c>
      <c r="G647" s="26">
        <f>IF(A647="","",IF(AND(ISNUMBER(B647),B647&lt;&gt;0),1,0))</f>
        <v>0</v>
      </c>
      <c r="H647" s="25">
        <f>IF(E647="","",(E647*4+3+cfgDeslocamento)/48)</f>
        <v>0</v>
      </c>
    </row>
    <row r="648" spans="1:8">
      <c r="A648" s="24"/>
      <c r="B648" s="19"/>
      <c r="C648" s="25">
        <f>IF(D648="","",D648/48)</f>
        <v>0</v>
      </c>
      <c r="D648" s="26">
        <f>IF(A648="","",ROUND((A648-cfgDefasagem/1440)*48,0))</f>
        <v>0</v>
      </c>
      <c r="E648" s="26">
        <f>IF(D648="","",INT((D648-cfgDeslocamento)/4))</f>
        <v>0</v>
      </c>
      <c r="F648" s="26">
        <f>IF(D648="","",MOD(D648-cfgDeslocamento,4)+1)</f>
        <v>0</v>
      </c>
      <c r="G648" s="26">
        <f>IF(A648="","",IF(AND(ISNUMBER(B648),B648&lt;&gt;0),1,0))</f>
        <v>0</v>
      </c>
      <c r="H648" s="25">
        <f>IF(E648="","",(E648*4+3+cfgDeslocamento)/48)</f>
        <v>0</v>
      </c>
    </row>
    <row r="649" spans="1:8">
      <c r="A649" s="24"/>
      <c r="B649" s="19"/>
      <c r="C649" s="25">
        <f>IF(D649="","",D649/48)</f>
        <v>0</v>
      </c>
      <c r="D649" s="26">
        <f>IF(A649="","",ROUND((A649-cfgDefasagem/1440)*48,0))</f>
        <v>0</v>
      </c>
      <c r="E649" s="26">
        <f>IF(D649="","",INT((D649-cfgDeslocamento)/4))</f>
        <v>0</v>
      </c>
      <c r="F649" s="26">
        <f>IF(D649="","",MOD(D649-cfgDeslocamento,4)+1)</f>
        <v>0</v>
      </c>
      <c r="G649" s="26">
        <f>IF(A649="","",IF(AND(ISNUMBER(B649),B649&lt;&gt;0),1,0))</f>
        <v>0</v>
      </c>
      <c r="H649" s="25">
        <f>IF(E649="","",(E649*4+3+cfgDeslocamento)/48)</f>
        <v>0</v>
      </c>
    </row>
    <row r="650" spans="1:8">
      <c r="A650" s="24"/>
      <c r="B650" s="19"/>
      <c r="C650" s="25">
        <f>IF(D650="","",D650/48)</f>
        <v>0</v>
      </c>
      <c r="D650" s="26">
        <f>IF(A650="","",ROUND((A650-cfgDefasagem/1440)*48,0))</f>
        <v>0</v>
      </c>
      <c r="E650" s="26">
        <f>IF(D650="","",INT((D650-cfgDeslocamento)/4))</f>
        <v>0</v>
      </c>
      <c r="F650" s="26">
        <f>IF(D650="","",MOD(D650-cfgDeslocamento,4)+1)</f>
        <v>0</v>
      </c>
      <c r="G650" s="26">
        <f>IF(A650="","",IF(AND(ISNUMBER(B650),B650&lt;&gt;0),1,0))</f>
        <v>0</v>
      </c>
      <c r="H650" s="25">
        <f>IF(E650="","",(E650*4+3+cfgDeslocamento)/48)</f>
        <v>0</v>
      </c>
    </row>
    <row r="651" spans="1:8">
      <c r="A651" s="24"/>
      <c r="B651" s="19"/>
      <c r="C651" s="25">
        <f>IF(D651="","",D651/48)</f>
        <v>0</v>
      </c>
      <c r="D651" s="26">
        <f>IF(A651="","",ROUND((A651-cfgDefasagem/1440)*48,0))</f>
        <v>0</v>
      </c>
      <c r="E651" s="26">
        <f>IF(D651="","",INT((D651-cfgDeslocamento)/4))</f>
        <v>0</v>
      </c>
      <c r="F651" s="26">
        <f>IF(D651="","",MOD(D651-cfgDeslocamento,4)+1)</f>
        <v>0</v>
      </c>
      <c r="G651" s="26">
        <f>IF(A651="","",IF(AND(ISNUMBER(B651),B651&lt;&gt;0),1,0))</f>
        <v>0</v>
      </c>
      <c r="H651" s="25">
        <f>IF(E651="","",(E651*4+3+cfgDeslocamento)/48)</f>
        <v>0</v>
      </c>
    </row>
    <row r="652" spans="1:8">
      <c r="A652" s="24"/>
      <c r="B652" s="19"/>
      <c r="C652" s="25">
        <f>IF(D652="","",D652/48)</f>
        <v>0</v>
      </c>
      <c r="D652" s="26">
        <f>IF(A652="","",ROUND((A652-cfgDefasagem/1440)*48,0))</f>
        <v>0</v>
      </c>
      <c r="E652" s="26">
        <f>IF(D652="","",INT((D652-cfgDeslocamento)/4))</f>
        <v>0</v>
      </c>
      <c r="F652" s="26">
        <f>IF(D652="","",MOD(D652-cfgDeslocamento,4)+1)</f>
        <v>0</v>
      </c>
      <c r="G652" s="26">
        <f>IF(A652="","",IF(AND(ISNUMBER(B652),B652&lt;&gt;0),1,0))</f>
        <v>0</v>
      </c>
      <c r="H652" s="25">
        <f>IF(E652="","",(E652*4+3+cfgDeslocamento)/48)</f>
        <v>0</v>
      </c>
    </row>
    <row r="653" spans="1:8">
      <c r="A653" s="24"/>
      <c r="B653" s="19"/>
      <c r="C653" s="25">
        <f>IF(D653="","",D653/48)</f>
        <v>0</v>
      </c>
      <c r="D653" s="26">
        <f>IF(A653="","",ROUND((A653-cfgDefasagem/1440)*48,0))</f>
        <v>0</v>
      </c>
      <c r="E653" s="26">
        <f>IF(D653="","",INT((D653-cfgDeslocamento)/4))</f>
        <v>0</v>
      </c>
      <c r="F653" s="26">
        <f>IF(D653="","",MOD(D653-cfgDeslocamento,4)+1)</f>
        <v>0</v>
      </c>
      <c r="G653" s="26">
        <f>IF(A653="","",IF(AND(ISNUMBER(B653),B653&lt;&gt;0),1,0))</f>
        <v>0</v>
      </c>
      <c r="H653" s="25">
        <f>IF(E653="","",(E653*4+3+cfgDeslocamento)/48)</f>
        <v>0</v>
      </c>
    </row>
    <row r="654" spans="1:8">
      <c r="A654" s="24"/>
      <c r="B654" s="19"/>
      <c r="C654" s="25">
        <f>IF(D654="","",D654/48)</f>
        <v>0</v>
      </c>
      <c r="D654" s="26">
        <f>IF(A654="","",ROUND((A654-cfgDefasagem/1440)*48,0))</f>
        <v>0</v>
      </c>
      <c r="E654" s="26">
        <f>IF(D654="","",INT((D654-cfgDeslocamento)/4))</f>
        <v>0</v>
      </c>
      <c r="F654" s="26">
        <f>IF(D654="","",MOD(D654-cfgDeslocamento,4)+1)</f>
        <v>0</v>
      </c>
      <c r="G654" s="26">
        <f>IF(A654="","",IF(AND(ISNUMBER(B654),B654&lt;&gt;0),1,0))</f>
        <v>0</v>
      </c>
      <c r="H654" s="25">
        <f>IF(E654="","",(E654*4+3+cfgDeslocamento)/48)</f>
        <v>0</v>
      </c>
    </row>
    <row r="655" spans="1:8">
      <c r="A655" s="24"/>
      <c r="B655" s="19"/>
      <c r="C655" s="25">
        <f>IF(D655="","",D655/48)</f>
        <v>0</v>
      </c>
      <c r="D655" s="26">
        <f>IF(A655="","",ROUND((A655-cfgDefasagem/1440)*48,0))</f>
        <v>0</v>
      </c>
      <c r="E655" s="26">
        <f>IF(D655="","",INT((D655-cfgDeslocamento)/4))</f>
        <v>0</v>
      </c>
      <c r="F655" s="26">
        <f>IF(D655="","",MOD(D655-cfgDeslocamento,4)+1)</f>
        <v>0</v>
      </c>
      <c r="G655" s="26">
        <f>IF(A655="","",IF(AND(ISNUMBER(B655),B655&lt;&gt;0),1,0))</f>
        <v>0</v>
      </c>
      <c r="H655" s="25">
        <f>IF(E655="","",(E655*4+3+cfgDeslocamento)/48)</f>
        <v>0</v>
      </c>
    </row>
    <row r="656" spans="1:8">
      <c r="A656" s="24"/>
      <c r="B656" s="19"/>
      <c r="C656" s="25">
        <f>IF(D656="","",D656/48)</f>
        <v>0</v>
      </c>
      <c r="D656" s="26">
        <f>IF(A656="","",ROUND((A656-cfgDefasagem/1440)*48,0))</f>
        <v>0</v>
      </c>
      <c r="E656" s="26">
        <f>IF(D656="","",INT((D656-cfgDeslocamento)/4))</f>
        <v>0</v>
      </c>
      <c r="F656" s="26">
        <f>IF(D656="","",MOD(D656-cfgDeslocamento,4)+1)</f>
        <v>0</v>
      </c>
      <c r="G656" s="26">
        <f>IF(A656="","",IF(AND(ISNUMBER(B656),B656&lt;&gt;0),1,0))</f>
        <v>0</v>
      </c>
      <c r="H656" s="25">
        <f>IF(E656="","",(E656*4+3+cfgDeslocamento)/48)</f>
        <v>0</v>
      </c>
    </row>
    <row r="657" spans="1:8">
      <c r="A657" s="24"/>
      <c r="B657" s="19"/>
      <c r="C657" s="25">
        <f>IF(D657="","",D657/48)</f>
        <v>0</v>
      </c>
      <c r="D657" s="26">
        <f>IF(A657="","",ROUND((A657-cfgDefasagem/1440)*48,0))</f>
        <v>0</v>
      </c>
      <c r="E657" s="26">
        <f>IF(D657="","",INT((D657-cfgDeslocamento)/4))</f>
        <v>0</v>
      </c>
      <c r="F657" s="26">
        <f>IF(D657="","",MOD(D657-cfgDeslocamento,4)+1)</f>
        <v>0</v>
      </c>
      <c r="G657" s="26">
        <f>IF(A657="","",IF(AND(ISNUMBER(B657),B657&lt;&gt;0),1,0))</f>
        <v>0</v>
      </c>
      <c r="H657" s="25">
        <f>IF(E657="","",(E657*4+3+cfgDeslocamento)/48)</f>
        <v>0</v>
      </c>
    </row>
    <row r="658" spans="1:8">
      <c r="A658" s="24"/>
      <c r="B658" s="19"/>
      <c r="C658" s="25">
        <f>IF(D658="","",D658/48)</f>
        <v>0</v>
      </c>
      <c r="D658" s="26">
        <f>IF(A658="","",ROUND((A658-cfgDefasagem/1440)*48,0))</f>
        <v>0</v>
      </c>
      <c r="E658" s="26">
        <f>IF(D658="","",INT((D658-cfgDeslocamento)/4))</f>
        <v>0</v>
      </c>
      <c r="F658" s="26">
        <f>IF(D658="","",MOD(D658-cfgDeslocamento,4)+1)</f>
        <v>0</v>
      </c>
      <c r="G658" s="26">
        <f>IF(A658="","",IF(AND(ISNUMBER(B658),B658&lt;&gt;0),1,0))</f>
        <v>0</v>
      </c>
      <c r="H658" s="25">
        <f>IF(E658="","",(E658*4+3+cfgDeslocamento)/48)</f>
        <v>0</v>
      </c>
    </row>
    <row r="659" spans="1:8">
      <c r="A659" s="24"/>
      <c r="B659" s="19"/>
      <c r="C659" s="25">
        <f>IF(D659="","",D659/48)</f>
        <v>0</v>
      </c>
      <c r="D659" s="26">
        <f>IF(A659="","",ROUND((A659-cfgDefasagem/1440)*48,0))</f>
        <v>0</v>
      </c>
      <c r="E659" s="26">
        <f>IF(D659="","",INT((D659-cfgDeslocamento)/4))</f>
        <v>0</v>
      </c>
      <c r="F659" s="26">
        <f>IF(D659="","",MOD(D659-cfgDeslocamento,4)+1)</f>
        <v>0</v>
      </c>
      <c r="G659" s="26">
        <f>IF(A659="","",IF(AND(ISNUMBER(B659),B659&lt;&gt;0),1,0))</f>
        <v>0</v>
      </c>
      <c r="H659" s="25">
        <f>IF(E659="","",(E659*4+3+cfgDeslocamento)/48)</f>
        <v>0</v>
      </c>
    </row>
    <row r="660" spans="1:8">
      <c r="A660" s="24"/>
      <c r="B660" s="19"/>
      <c r="C660" s="25">
        <f>IF(D660="","",D660/48)</f>
        <v>0</v>
      </c>
      <c r="D660" s="26">
        <f>IF(A660="","",ROUND((A660-cfgDefasagem/1440)*48,0))</f>
        <v>0</v>
      </c>
      <c r="E660" s="26">
        <f>IF(D660="","",INT((D660-cfgDeslocamento)/4))</f>
        <v>0</v>
      </c>
      <c r="F660" s="26">
        <f>IF(D660="","",MOD(D660-cfgDeslocamento,4)+1)</f>
        <v>0</v>
      </c>
      <c r="G660" s="26">
        <f>IF(A660="","",IF(AND(ISNUMBER(B660),B660&lt;&gt;0),1,0))</f>
        <v>0</v>
      </c>
      <c r="H660" s="25">
        <f>IF(E660="","",(E660*4+3+cfgDeslocamento)/48)</f>
        <v>0</v>
      </c>
    </row>
    <row r="661" spans="1:8">
      <c r="A661" s="24"/>
      <c r="B661" s="19"/>
      <c r="C661" s="25">
        <f>IF(D661="","",D661/48)</f>
        <v>0</v>
      </c>
      <c r="D661" s="26">
        <f>IF(A661="","",ROUND((A661-cfgDefasagem/1440)*48,0))</f>
        <v>0</v>
      </c>
      <c r="E661" s="26">
        <f>IF(D661="","",INT((D661-cfgDeslocamento)/4))</f>
        <v>0</v>
      </c>
      <c r="F661" s="26">
        <f>IF(D661="","",MOD(D661-cfgDeslocamento,4)+1)</f>
        <v>0</v>
      </c>
      <c r="G661" s="26">
        <f>IF(A661="","",IF(AND(ISNUMBER(B661),B661&lt;&gt;0),1,0))</f>
        <v>0</v>
      </c>
      <c r="H661" s="25">
        <f>IF(E661="","",(E661*4+3+cfgDeslocamento)/48)</f>
        <v>0</v>
      </c>
    </row>
    <row r="662" spans="1:8">
      <c r="A662" s="24"/>
      <c r="B662" s="19"/>
      <c r="C662" s="25">
        <f>IF(D662="","",D662/48)</f>
        <v>0</v>
      </c>
      <c r="D662" s="26">
        <f>IF(A662="","",ROUND((A662-cfgDefasagem/1440)*48,0))</f>
        <v>0</v>
      </c>
      <c r="E662" s="26">
        <f>IF(D662="","",INT((D662-cfgDeslocamento)/4))</f>
        <v>0</v>
      </c>
      <c r="F662" s="26">
        <f>IF(D662="","",MOD(D662-cfgDeslocamento,4)+1)</f>
        <v>0</v>
      </c>
      <c r="G662" s="26">
        <f>IF(A662="","",IF(AND(ISNUMBER(B662),B662&lt;&gt;0),1,0))</f>
        <v>0</v>
      </c>
      <c r="H662" s="25">
        <f>IF(E662="","",(E662*4+3+cfgDeslocamento)/48)</f>
        <v>0</v>
      </c>
    </row>
    <row r="663" spans="1:8">
      <c r="A663" s="24"/>
      <c r="B663" s="19"/>
      <c r="C663" s="25">
        <f>IF(D663="","",D663/48)</f>
        <v>0</v>
      </c>
      <c r="D663" s="26">
        <f>IF(A663="","",ROUND((A663-cfgDefasagem/1440)*48,0))</f>
        <v>0</v>
      </c>
      <c r="E663" s="26">
        <f>IF(D663="","",INT((D663-cfgDeslocamento)/4))</f>
        <v>0</v>
      </c>
      <c r="F663" s="26">
        <f>IF(D663="","",MOD(D663-cfgDeslocamento,4)+1)</f>
        <v>0</v>
      </c>
      <c r="G663" s="26">
        <f>IF(A663="","",IF(AND(ISNUMBER(B663),B663&lt;&gt;0),1,0))</f>
        <v>0</v>
      </c>
      <c r="H663" s="25">
        <f>IF(E663="","",(E663*4+3+cfgDeslocamento)/48)</f>
        <v>0</v>
      </c>
    </row>
    <row r="664" spans="1:8">
      <c r="A664" s="24"/>
      <c r="B664" s="19"/>
      <c r="C664" s="25">
        <f>IF(D664="","",D664/48)</f>
        <v>0</v>
      </c>
      <c r="D664" s="26">
        <f>IF(A664="","",ROUND((A664-cfgDefasagem/1440)*48,0))</f>
        <v>0</v>
      </c>
      <c r="E664" s="26">
        <f>IF(D664="","",INT((D664-cfgDeslocamento)/4))</f>
        <v>0</v>
      </c>
      <c r="F664" s="26">
        <f>IF(D664="","",MOD(D664-cfgDeslocamento,4)+1)</f>
        <v>0</v>
      </c>
      <c r="G664" s="26">
        <f>IF(A664="","",IF(AND(ISNUMBER(B664),B664&lt;&gt;0),1,0))</f>
        <v>0</v>
      </c>
      <c r="H664" s="25">
        <f>IF(E664="","",(E664*4+3+cfgDeslocamento)/48)</f>
        <v>0</v>
      </c>
    </row>
    <row r="665" spans="1:8">
      <c r="A665" s="24"/>
      <c r="B665" s="19"/>
      <c r="C665" s="25">
        <f>IF(D665="","",D665/48)</f>
        <v>0</v>
      </c>
      <c r="D665" s="26">
        <f>IF(A665="","",ROUND((A665-cfgDefasagem/1440)*48,0))</f>
        <v>0</v>
      </c>
      <c r="E665" s="26">
        <f>IF(D665="","",INT((D665-cfgDeslocamento)/4))</f>
        <v>0</v>
      </c>
      <c r="F665" s="26">
        <f>IF(D665="","",MOD(D665-cfgDeslocamento,4)+1)</f>
        <v>0</v>
      </c>
      <c r="G665" s="26">
        <f>IF(A665="","",IF(AND(ISNUMBER(B665),B665&lt;&gt;0),1,0))</f>
        <v>0</v>
      </c>
      <c r="H665" s="25">
        <f>IF(E665="","",(E665*4+3+cfgDeslocamento)/48)</f>
        <v>0</v>
      </c>
    </row>
    <row r="666" spans="1:8">
      <c r="A666" s="24"/>
      <c r="B666" s="19"/>
      <c r="C666" s="25">
        <f>IF(D666="","",D666/48)</f>
        <v>0</v>
      </c>
      <c r="D666" s="26">
        <f>IF(A666="","",ROUND((A666-cfgDefasagem/1440)*48,0))</f>
        <v>0</v>
      </c>
      <c r="E666" s="26">
        <f>IF(D666="","",INT((D666-cfgDeslocamento)/4))</f>
        <v>0</v>
      </c>
      <c r="F666" s="26">
        <f>IF(D666="","",MOD(D666-cfgDeslocamento,4)+1)</f>
        <v>0</v>
      </c>
      <c r="G666" s="26">
        <f>IF(A666="","",IF(AND(ISNUMBER(B666),B666&lt;&gt;0),1,0))</f>
        <v>0</v>
      </c>
      <c r="H666" s="25">
        <f>IF(E666="","",(E666*4+3+cfgDeslocamento)/48)</f>
        <v>0</v>
      </c>
    </row>
    <row r="667" spans="1:8">
      <c r="A667" s="24"/>
      <c r="B667" s="19"/>
      <c r="C667" s="25">
        <f>IF(D667="","",D667/48)</f>
        <v>0</v>
      </c>
      <c r="D667" s="26">
        <f>IF(A667="","",ROUND((A667-cfgDefasagem/1440)*48,0))</f>
        <v>0</v>
      </c>
      <c r="E667" s="26">
        <f>IF(D667="","",INT((D667-cfgDeslocamento)/4))</f>
        <v>0</v>
      </c>
      <c r="F667" s="26">
        <f>IF(D667="","",MOD(D667-cfgDeslocamento,4)+1)</f>
        <v>0</v>
      </c>
      <c r="G667" s="26">
        <f>IF(A667="","",IF(AND(ISNUMBER(B667),B667&lt;&gt;0),1,0))</f>
        <v>0</v>
      </c>
      <c r="H667" s="25">
        <f>IF(E667="","",(E667*4+3+cfgDeslocamento)/48)</f>
        <v>0</v>
      </c>
    </row>
    <row r="668" spans="1:8">
      <c r="A668" s="24"/>
      <c r="B668" s="19"/>
      <c r="C668" s="25">
        <f>IF(D668="","",D668/48)</f>
        <v>0</v>
      </c>
      <c r="D668" s="26">
        <f>IF(A668="","",ROUND((A668-cfgDefasagem/1440)*48,0))</f>
        <v>0</v>
      </c>
      <c r="E668" s="26">
        <f>IF(D668="","",INT((D668-cfgDeslocamento)/4))</f>
        <v>0</v>
      </c>
      <c r="F668" s="26">
        <f>IF(D668="","",MOD(D668-cfgDeslocamento,4)+1)</f>
        <v>0</v>
      </c>
      <c r="G668" s="26">
        <f>IF(A668="","",IF(AND(ISNUMBER(B668),B668&lt;&gt;0),1,0))</f>
        <v>0</v>
      </c>
      <c r="H668" s="25">
        <f>IF(E668="","",(E668*4+3+cfgDeslocamento)/48)</f>
        <v>0</v>
      </c>
    </row>
    <row r="669" spans="1:8">
      <c r="A669" s="24"/>
      <c r="B669" s="19"/>
      <c r="C669" s="25">
        <f>IF(D669="","",D669/48)</f>
        <v>0</v>
      </c>
      <c r="D669" s="26">
        <f>IF(A669="","",ROUND((A669-cfgDefasagem/1440)*48,0))</f>
        <v>0</v>
      </c>
      <c r="E669" s="26">
        <f>IF(D669="","",INT((D669-cfgDeslocamento)/4))</f>
        <v>0</v>
      </c>
      <c r="F669" s="26">
        <f>IF(D669="","",MOD(D669-cfgDeslocamento,4)+1)</f>
        <v>0</v>
      </c>
      <c r="G669" s="26">
        <f>IF(A669="","",IF(AND(ISNUMBER(B669),B669&lt;&gt;0),1,0))</f>
        <v>0</v>
      </c>
      <c r="H669" s="25">
        <f>IF(E669="","",(E669*4+3+cfgDeslocamento)/48)</f>
        <v>0</v>
      </c>
    </row>
    <row r="670" spans="1:8">
      <c r="A670" s="24"/>
      <c r="B670" s="19"/>
      <c r="C670" s="25">
        <f>IF(D670="","",D670/48)</f>
        <v>0</v>
      </c>
      <c r="D670" s="26">
        <f>IF(A670="","",ROUND((A670-cfgDefasagem/1440)*48,0))</f>
        <v>0</v>
      </c>
      <c r="E670" s="26">
        <f>IF(D670="","",INT((D670-cfgDeslocamento)/4))</f>
        <v>0</v>
      </c>
      <c r="F670" s="26">
        <f>IF(D670="","",MOD(D670-cfgDeslocamento,4)+1)</f>
        <v>0</v>
      </c>
      <c r="G670" s="26">
        <f>IF(A670="","",IF(AND(ISNUMBER(B670),B670&lt;&gt;0),1,0))</f>
        <v>0</v>
      </c>
      <c r="H670" s="25">
        <f>IF(E670="","",(E670*4+3+cfgDeslocamento)/48)</f>
        <v>0</v>
      </c>
    </row>
    <row r="671" spans="1:8">
      <c r="A671" s="24"/>
      <c r="B671" s="19"/>
      <c r="C671" s="25">
        <f>IF(D671="","",D671/48)</f>
        <v>0</v>
      </c>
      <c r="D671" s="26">
        <f>IF(A671="","",ROUND((A671-cfgDefasagem/1440)*48,0))</f>
        <v>0</v>
      </c>
      <c r="E671" s="26">
        <f>IF(D671="","",INT((D671-cfgDeslocamento)/4))</f>
        <v>0</v>
      </c>
      <c r="F671" s="26">
        <f>IF(D671="","",MOD(D671-cfgDeslocamento,4)+1)</f>
        <v>0</v>
      </c>
      <c r="G671" s="26">
        <f>IF(A671="","",IF(AND(ISNUMBER(B671),B671&lt;&gt;0),1,0))</f>
        <v>0</v>
      </c>
      <c r="H671" s="25">
        <f>IF(E671="","",(E671*4+3+cfgDeslocamento)/48)</f>
        <v>0</v>
      </c>
    </row>
    <row r="672" spans="1:8">
      <c r="A672" s="24"/>
      <c r="B672" s="19"/>
      <c r="C672" s="25">
        <f>IF(D672="","",D672/48)</f>
        <v>0</v>
      </c>
      <c r="D672" s="26">
        <f>IF(A672="","",ROUND((A672-cfgDefasagem/1440)*48,0))</f>
        <v>0</v>
      </c>
      <c r="E672" s="26">
        <f>IF(D672="","",INT((D672-cfgDeslocamento)/4))</f>
        <v>0</v>
      </c>
      <c r="F672" s="26">
        <f>IF(D672="","",MOD(D672-cfgDeslocamento,4)+1)</f>
        <v>0</v>
      </c>
      <c r="G672" s="26">
        <f>IF(A672="","",IF(AND(ISNUMBER(B672),B672&lt;&gt;0),1,0))</f>
        <v>0</v>
      </c>
      <c r="H672" s="25">
        <f>IF(E672="","",(E672*4+3+cfgDeslocamento)/48)</f>
        <v>0</v>
      </c>
    </row>
    <row r="673" spans="1:8">
      <c r="A673" s="24"/>
      <c r="B673" s="19"/>
      <c r="C673" s="25">
        <f>IF(D673="","",D673/48)</f>
        <v>0</v>
      </c>
      <c r="D673" s="26">
        <f>IF(A673="","",ROUND((A673-cfgDefasagem/1440)*48,0))</f>
        <v>0</v>
      </c>
      <c r="E673" s="26">
        <f>IF(D673="","",INT((D673-cfgDeslocamento)/4))</f>
        <v>0</v>
      </c>
      <c r="F673" s="26">
        <f>IF(D673="","",MOD(D673-cfgDeslocamento,4)+1)</f>
        <v>0</v>
      </c>
      <c r="G673" s="26">
        <f>IF(A673="","",IF(AND(ISNUMBER(B673),B673&lt;&gt;0),1,0))</f>
        <v>0</v>
      </c>
      <c r="H673" s="25">
        <f>IF(E673="","",(E673*4+3+cfgDeslocamento)/48)</f>
        <v>0</v>
      </c>
    </row>
    <row r="674" spans="1:8">
      <c r="A674" s="24"/>
      <c r="B674" s="19"/>
      <c r="C674" s="25">
        <f>IF(D674="","",D674/48)</f>
        <v>0</v>
      </c>
      <c r="D674" s="26">
        <f>IF(A674="","",ROUND((A674-cfgDefasagem/1440)*48,0))</f>
        <v>0</v>
      </c>
      <c r="E674" s="26">
        <f>IF(D674="","",INT((D674-cfgDeslocamento)/4))</f>
        <v>0</v>
      </c>
      <c r="F674" s="26">
        <f>IF(D674="","",MOD(D674-cfgDeslocamento,4)+1)</f>
        <v>0</v>
      </c>
      <c r="G674" s="26">
        <f>IF(A674="","",IF(AND(ISNUMBER(B674),B674&lt;&gt;0),1,0))</f>
        <v>0</v>
      </c>
      <c r="H674" s="25">
        <f>IF(E674="","",(E674*4+3+cfgDeslocamento)/48)</f>
        <v>0</v>
      </c>
    </row>
    <row r="675" spans="1:8">
      <c r="A675" s="24"/>
      <c r="B675" s="19"/>
      <c r="C675" s="25">
        <f>IF(D675="","",D675/48)</f>
        <v>0</v>
      </c>
      <c r="D675" s="26">
        <f>IF(A675="","",ROUND((A675-cfgDefasagem/1440)*48,0))</f>
        <v>0</v>
      </c>
      <c r="E675" s="26">
        <f>IF(D675="","",INT((D675-cfgDeslocamento)/4))</f>
        <v>0</v>
      </c>
      <c r="F675" s="26">
        <f>IF(D675="","",MOD(D675-cfgDeslocamento,4)+1)</f>
        <v>0</v>
      </c>
      <c r="G675" s="26">
        <f>IF(A675="","",IF(AND(ISNUMBER(B675),B675&lt;&gt;0),1,0))</f>
        <v>0</v>
      </c>
      <c r="H675" s="25">
        <f>IF(E675="","",(E675*4+3+cfgDeslocamento)/48)</f>
        <v>0</v>
      </c>
    </row>
    <row r="676" spans="1:8">
      <c r="A676" s="24"/>
      <c r="B676" s="19"/>
      <c r="C676" s="25">
        <f>IF(D676="","",D676/48)</f>
        <v>0</v>
      </c>
      <c r="D676" s="26">
        <f>IF(A676="","",ROUND((A676-cfgDefasagem/1440)*48,0))</f>
        <v>0</v>
      </c>
      <c r="E676" s="26">
        <f>IF(D676="","",INT((D676-cfgDeslocamento)/4))</f>
        <v>0</v>
      </c>
      <c r="F676" s="26">
        <f>IF(D676="","",MOD(D676-cfgDeslocamento,4)+1)</f>
        <v>0</v>
      </c>
      <c r="G676" s="26">
        <f>IF(A676="","",IF(AND(ISNUMBER(B676),B676&lt;&gt;0),1,0))</f>
        <v>0</v>
      </c>
      <c r="H676" s="25">
        <f>IF(E676="","",(E676*4+3+cfgDeslocamento)/48)</f>
        <v>0</v>
      </c>
    </row>
    <row r="677" spans="1:8">
      <c r="A677" s="24"/>
      <c r="B677" s="19"/>
      <c r="C677" s="25">
        <f>IF(D677="","",D677/48)</f>
        <v>0</v>
      </c>
      <c r="D677" s="26">
        <f>IF(A677="","",ROUND((A677-cfgDefasagem/1440)*48,0))</f>
        <v>0</v>
      </c>
      <c r="E677" s="26">
        <f>IF(D677="","",INT((D677-cfgDeslocamento)/4))</f>
        <v>0</v>
      </c>
      <c r="F677" s="26">
        <f>IF(D677="","",MOD(D677-cfgDeslocamento,4)+1)</f>
        <v>0</v>
      </c>
      <c r="G677" s="26">
        <f>IF(A677="","",IF(AND(ISNUMBER(B677),B677&lt;&gt;0),1,0))</f>
        <v>0</v>
      </c>
      <c r="H677" s="25">
        <f>IF(E677="","",(E677*4+3+cfgDeslocamento)/48)</f>
        <v>0</v>
      </c>
    </row>
    <row r="678" spans="1:8">
      <c r="A678" s="24"/>
      <c r="B678" s="19"/>
      <c r="C678" s="25">
        <f>IF(D678="","",D678/48)</f>
        <v>0</v>
      </c>
      <c r="D678" s="26">
        <f>IF(A678="","",ROUND((A678-cfgDefasagem/1440)*48,0))</f>
        <v>0</v>
      </c>
      <c r="E678" s="26">
        <f>IF(D678="","",INT((D678-cfgDeslocamento)/4))</f>
        <v>0</v>
      </c>
      <c r="F678" s="26">
        <f>IF(D678="","",MOD(D678-cfgDeslocamento,4)+1)</f>
        <v>0</v>
      </c>
      <c r="G678" s="26">
        <f>IF(A678="","",IF(AND(ISNUMBER(B678),B678&lt;&gt;0),1,0))</f>
        <v>0</v>
      </c>
      <c r="H678" s="25">
        <f>IF(E678="","",(E678*4+3+cfgDeslocamento)/48)</f>
        <v>0</v>
      </c>
    </row>
    <row r="679" spans="1:8">
      <c r="A679" s="24"/>
      <c r="B679" s="19"/>
      <c r="C679" s="25">
        <f>IF(D679="","",D679/48)</f>
        <v>0</v>
      </c>
      <c r="D679" s="26">
        <f>IF(A679="","",ROUND((A679-cfgDefasagem/1440)*48,0))</f>
        <v>0</v>
      </c>
      <c r="E679" s="26">
        <f>IF(D679="","",INT((D679-cfgDeslocamento)/4))</f>
        <v>0</v>
      </c>
      <c r="F679" s="26">
        <f>IF(D679="","",MOD(D679-cfgDeslocamento,4)+1)</f>
        <v>0</v>
      </c>
      <c r="G679" s="26">
        <f>IF(A679="","",IF(AND(ISNUMBER(B679),B679&lt;&gt;0),1,0))</f>
        <v>0</v>
      </c>
      <c r="H679" s="25">
        <f>IF(E679="","",(E679*4+3+cfgDeslocamento)/48)</f>
        <v>0</v>
      </c>
    </row>
    <row r="680" spans="1:8">
      <c r="A680" s="24"/>
      <c r="B680" s="19"/>
      <c r="C680" s="25">
        <f>IF(D680="","",D680/48)</f>
        <v>0</v>
      </c>
      <c r="D680" s="26">
        <f>IF(A680="","",ROUND((A680-cfgDefasagem/1440)*48,0))</f>
        <v>0</v>
      </c>
      <c r="E680" s="26">
        <f>IF(D680="","",INT((D680-cfgDeslocamento)/4))</f>
        <v>0</v>
      </c>
      <c r="F680" s="26">
        <f>IF(D680="","",MOD(D680-cfgDeslocamento,4)+1)</f>
        <v>0</v>
      </c>
      <c r="G680" s="26">
        <f>IF(A680="","",IF(AND(ISNUMBER(B680),B680&lt;&gt;0),1,0))</f>
        <v>0</v>
      </c>
      <c r="H680" s="25">
        <f>IF(E680="","",(E680*4+3+cfgDeslocamento)/48)</f>
        <v>0</v>
      </c>
    </row>
    <row r="681" spans="1:8">
      <c r="A681" s="24"/>
      <c r="B681" s="19"/>
      <c r="C681" s="25">
        <f>IF(D681="","",D681/48)</f>
        <v>0</v>
      </c>
      <c r="D681" s="26">
        <f>IF(A681="","",ROUND((A681-cfgDefasagem/1440)*48,0))</f>
        <v>0</v>
      </c>
      <c r="E681" s="26">
        <f>IF(D681="","",INT((D681-cfgDeslocamento)/4))</f>
        <v>0</v>
      </c>
      <c r="F681" s="26">
        <f>IF(D681="","",MOD(D681-cfgDeslocamento,4)+1)</f>
        <v>0</v>
      </c>
      <c r="G681" s="26">
        <f>IF(A681="","",IF(AND(ISNUMBER(B681),B681&lt;&gt;0),1,0))</f>
        <v>0</v>
      </c>
      <c r="H681" s="25">
        <f>IF(E681="","",(E681*4+3+cfgDeslocamento)/48)</f>
        <v>0</v>
      </c>
    </row>
    <row r="682" spans="1:8">
      <c r="A682" s="24"/>
      <c r="B682" s="19"/>
      <c r="C682" s="25">
        <f>IF(D682="","",D682/48)</f>
        <v>0</v>
      </c>
      <c r="D682" s="26">
        <f>IF(A682="","",ROUND((A682-cfgDefasagem/1440)*48,0))</f>
        <v>0</v>
      </c>
      <c r="E682" s="26">
        <f>IF(D682="","",INT((D682-cfgDeslocamento)/4))</f>
        <v>0</v>
      </c>
      <c r="F682" s="26">
        <f>IF(D682="","",MOD(D682-cfgDeslocamento,4)+1)</f>
        <v>0</v>
      </c>
      <c r="G682" s="26">
        <f>IF(A682="","",IF(AND(ISNUMBER(B682),B682&lt;&gt;0),1,0))</f>
        <v>0</v>
      </c>
      <c r="H682" s="25">
        <f>IF(E682="","",(E682*4+3+cfgDeslocamento)/48)</f>
        <v>0</v>
      </c>
    </row>
    <row r="683" spans="1:8">
      <c r="A683" s="24"/>
      <c r="B683" s="19"/>
      <c r="C683" s="25">
        <f>IF(D683="","",D683/48)</f>
        <v>0</v>
      </c>
      <c r="D683" s="26">
        <f>IF(A683="","",ROUND((A683-cfgDefasagem/1440)*48,0))</f>
        <v>0</v>
      </c>
      <c r="E683" s="26">
        <f>IF(D683="","",INT((D683-cfgDeslocamento)/4))</f>
        <v>0</v>
      </c>
      <c r="F683" s="26">
        <f>IF(D683="","",MOD(D683-cfgDeslocamento,4)+1)</f>
        <v>0</v>
      </c>
      <c r="G683" s="26">
        <f>IF(A683="","",IF(AND(ISNUMBER(B683),B683&lt;&gt;0),1,0))</f>
        <v>0</v>
      </c>
      <c r="H683" s="25">
        <f>IF(E683="","",(E683*4+3+cfgDeslocamento)/48)</f>
        <v>0</v>
      </c>
    </row>
    <row r="684" spans="1:8">
      <c r="A684" s="24"/>
      <c r="B684" s="19"/>
      <c r="C684" s="25">
        <f>IF(D684="","",D684/48)</f>
        <v>0</v>
      </c>
      <c r="D684" s="26">
        <f>IF(A684="","",ROUND((A684-cfgDefasagem/1440)*48,0))</f>
        <v>0</v>
      </c>
      <c r="E684" s="26">
        <f>IF(D684="","",INT((D684-cfgDeslocamento)/4))</f>
        <v>0</v>
      </c>
      <c r="F684" s="26">
        <f>IF(D684="","",MOD(D684-cfgDeslocamento,4)+1)</f>
        <v>0</v>
      </c>
      <c r="G684" s="26">
        <f>IF(A684="","",IF(AND(ISNUMBER(B684),B684&lt;&gt;0),1,0))</f>
        <v>0</v>
      </c>
      <c r="H684" s="25">
        <f>IF(E684="","",(E684*4+3+cfgDeslocamento)/48)</f>
        <v>0</v>
      </c>
    </row>
    <row r="685" spans="1:8">
      <c r="A685" s="24"/>
      <c r="B685" s="19"/>
      <c r="C685" s="25">
        <f>IF(D685="","",D685/48)</f>
        <v>0</v>
      </c>
      <c r="D685" s="26">
        <f>IF(A685="","",ROUND((A685-cfgDefasagem/1440)*48,0))</f>
        <v>0</v>
      </c>
      <c r="E685" s="26">
        <f>IF(D685="","",INT((D685-cfgDeslocamento)/4))</f>
        <v>0</v>
      </c>
      <c r="F685" s="26">
        <f>IF(D685="","",MOD(D685-cfgDeslocamento,4)+1)</f>
        <v>0</v>
      </c>
      <c r="G685" s="26">
        <f>IF(A685="","",IF(AND(ISNUMBER(B685),B685&lt;&gt;0),1,0))</f>
        <v>0</v>
      </c>
      <c r="H685" s="25">
        <f>IF(E685="","",(E685*4+3+cfgDeslocamento)/48)</f>
        <v>0</v>
      </c>
    </row>
    <row r="686" spans="1:8">
      <c r="A686" s="24"/>
      <c r="B686" s="19"/>
      <c r="C686" s="25">
        <f>IF(D686="","",D686/48)</f>
        <v>0</v>
      </c>
      <c r="D686" s="26">
        <f>IF(A686="","",ROUND((A686-cfgDefasagem/1440)*48,0))</f>
        <v>0</v>
      </c>
      <c r="E686" s="26">
        <f>IF(D686="","",INT((D686-cfgDeslocamento)/4))</f>
        <v>0</v>
      </c>
      <c r="F686" s="26">
        <f>IF(D686="","",MOD(D686-cfgDeslocamento,4)+1)</f>
        <v>0</v>
      </c>
      <c r="G686" s="26">
        <f>IF(A686="","",IF(AND(ISNUMBER(B686),B686&lt;&gt;0),1,0))</f>
        <v>0</v>
      </c>
      <c r="H686" s="25">
        <f>IF(E686="","",(E686*4+3+cfgDeslocamento)/48)</f>
        <v>0</v>
      </c>
    </row>
    <row r="687" spans="1:8">
      <c r="A687" s="24"/>
      <c r="B687" s="19"/>
      <c r="C687" s="25">
        <f>IF(D687="","",D687/48)</f>
        <v>0</v>
      </c>
      <c r="D687" s="26">
        <f>IF(A687="","",ROUND((A687-cfgDefasagem/1440)*48,0))</f>
        <v>0</v>
      </c>
      <c r="E687" s="26">
        <f>IF(D687="","",INT((D687-cfgDeslocamento)/4))</f>
        <v>0</v>
      </c>
      <c r="F687" s="26">
        <f>IF(D687="","",MOD(D687-cfgDeslocamento,4)+1)</f>
        <v>0</v>
      </c>
      <c r="G687" s="26">
        <f>IF(A687="","",IF(AND(ISNUMBER(B687),B687&lt;&gt;0),1,0))</f>
        <v>0</v>
      </c>
      <c r="H687" s="25">
        <f>IF(E687="","",(E687*4+3+cfgDeslocamento)/48)</f>
        <v>0</v>
      </c>
    </row>
    <row r="688" spans="1:8">
      <c r="A688" s="24"/>
      <c r="B688" s="19"/>
      <c r="C688" s="25">
        <f>IF(D688="","",D688/48)</f>
        <v>0</v>
      </c>
      <c r="D688" s="26">
        <f>IF(A688="","",ROUND((A688-cfgDefasagem/1440)*48,0))</f>
        <v>0</v>
      </c>
      <c r="E688" s="26">
        <f>IF(D688="","",INT((D688-cfgDeslocamento)/4))</f>
        <v>0</v>
      </c>
      <c r="F688" s="26">
        <f>IF(D688="","",MOD(D688-cfgDeslocamento,4)+1)</f>
        <v>0</v>
      </c>
      <c r="G688" s="26">
        <f>IF(A688="","",IF(AND(ISNUMBER(B688),B688&lt;&gt;0),1,0))</f>
        <v>0</v>
      </c>
      <c r="H688" s="25">
        <f>IF(E688="","",(E688*4+3+cfgDeslocamento)/48)</f>
        <v>0</v>
      </c>
    </row>
    <row r="689" spans="1:8">
      <c r="A689" s="24"/>
      <c r="B689" s="19"/>
      <c r="C689" s="25">
        <f>IF(D689="","",D689/48)</f>
        <v>0</v>
      </c>
      <c r="D689" s="26">
        <f>IF(A689="","",ROUND((A689-cfgDefasagem/1440)*48,0))</f>
        <v>0</v>
      </c>
      <c r="E689" s="26">
        <f>IF(D689="","",INT((D689-cfgDeslocamento)/4))</f>
        <v>0</v>
      </c>
      <c r="F689" s="26">
        <f>IF(D689="","",MOD(D689-cfgDeslocamento,4)+1)</f>
        <v>0</v>
      </c>
      <c r="G689" s="26">
        <f>IF(A689="","",IF(AND(ISNUMBER(B689),B689&lt;&gt;0),1,0))</f>
        <v>0</v>
      </c>
      <c r="H689" s="25">
        <f>IF(E689="","",(E689*4+3+cfgDeslocamento)/48)</f>
        <v>0</v>
      </c>
    </row>
    <row r="690" spans="1:8">
      <c r="A690" s="24"/>
      <c r="B690" s="19"/>
      <c r="C690" s="25">
        <f>IF(D690="","",D690/48)</f>
        <v>0</v>
      </c>
      <c r="D690" s="26">
        <f>IF(A690="","",ROUND((A690-cfgDefasagem/1440)*48,0))</f>
        <v>0</v>
      </c>
      <c r="E690" s="26">
        <f>IF(D690="","",INT((D690-cfgDeslocamento)/4))</f>
        <v>0</v>
      </c>
      <c r="F690" s="26">
        <f>IF(D690="","",MOD(D690-cfgDeslocamento,4)+1)</f>
        <v>0</v>
      </c>
      <c r="G690" s="26">
        <f>IF(A690="","",IF(AND(ISNUMBER(B690),B690&lt;&gt;0),1,0))</f>
        <v>0</v>
      </c>
      <c r="H690" s="25">
        <f>IF(E690="","",(E690*4+3+cfgDeslocamento)/48)</f>
        <v>0</v>
      </c>
    </row>
    <row r="691" spans="1:8">
      <c r="A691" s="24"/>
      <c r="B691" s="19"/>
      <c r="C691" s="25">
        <f>IF(D691="","",D691/48)</f>
        <v>0</v>
      </c>
      <c r="D691" s="26">
        <f>IF(A691="","",ROUND((A691-cfgDefasagem/1440)*48,0))</f>
        <v>0</v>
      </c>
      <c r="E691" s="26">
        <f>IF(D691="","",INT((D691-cfgDeslocamento)/4))</f>
        <v>0</v>
      </c>
      <c r="F691" s="26">
        <f>IF(D691="","",MOD(D691-cfgDeslocamento,4)+1)</f>
        <v>0</v>
      </c>
      <c r="G691" s="26">
        <f>IF(A691="","",IF(AND(ISNUMBER(B691),B691&lt;&gt;0),1,0))</f>
        <v>0</v>
      </c>
      <c r="H691" s="25">
        <f>IF(E691="","",(E691*4+3+cfgDeslocamento)/48)</f>
        <v>0</v>
      </c>
    </row>
    <row r="692" spans="1:8">
      <c r="A692" s="24"/>
      <c r="B692" s="19"/>
      <c r="C692" s="25">
        <f>IF(D692="","",D692/48)</f>
        <v>0</v>
      </c>
      <c r="D692" s="26">
        <f>IF(A692="","",ROUND((A692-cfgDefasagem/1440)*48,0))</f>
        <v>0</v>
      </c>
      <c r="E692" s="26">
        <f>IF(D692="","",INT((D692-cfgDeslocamento)/4))</f>
        <v>0</v>
      </c>
      <c r="F692" s="26">
        <f>IF(D692="","",MOD(D692-cfgDeslocamento,4)+1)</f>
        <v>0</v>
      </c>
      <c r="G692" s="26">
        <f>IF(A692="","",IF(AND(ISNUMBER(B692),B692&lt;&gt;0),1,0))</f>
        <v>0</v>
      </c>
      <c r="H692" s="25">
        <f>IF(E692="","",(E692*4+3+cfgDeslocamento)/48)</f>
        <v>0</v>
      </c>
    </row>
    <row r="693" spans="1:8">
      <c r="A693" s="24"/>
      <c r="B693" s="19"/>
      <c r="C693" s="25">
        <f>IF(D693="","",D693/48)</f>
        <v>0</v>
      </c>
      <c r="D693" s="26">
        <f>IF(A693="","",ROUND((A693-cfgDefasagem/1440)*48,0))</f>
        <v>0</v>
      </c>
      <c r="E693" s="26">
        <f>IF(D693="","",INT((D693-cfgDeslocamento)/4))</f>
        <v>0</v>
      </c>
      <c r="F693" s="26">
        <f>IF(D693="","",MOD(D693-cfgDeslocamento,4)+1)</f>
        <v>0</v>
      </c>
      <c r="G693" s="26">
        <f>IF(A693="","",IF(AND(ISNUMBER(B693),B693&lt;&gt;0),1,0))</f>
        <v>0</v>
      </c>
      <c r="H693" s="25">
        <f>IF(E693="","",(E693*4+3+cfgDeslocamento)/48)</f>
        <v>0</v>
      </c>
    </row>
    <row r="694" spans="1:8">
      <c r="A694" s="24"/>
      <c r="B694" s="19"/>
      <c r="C694" s="25">
        <f>IF(D694="","",D694/48)</f>
        <v>0</v>
      </c>
      <c r="D694" s="26">
        <f>IF(A694="","",ROUND((A694-cfgDefasagem/1440)*48,0))</f>
        <v>0</v>
      </c>
      <c r="E694" s="26">
        <f>IF(D694="","",INT((D694-cfgDeslocamento)/4))</f>
        <v>0</v>
      </c>
      <c r="F694" s="26">
        <f>IF(D694="","",MOD(D694-cfgDeslocamento,4)+1)</f>
        <v>0</v>
      </c>
      <c r="G694" s="26">
        <f>IF(A694="","",IF(AND(ISNUMBER(B694),B694&lt;&gt;0),1,0))</f>
        <v>0</v>
      </c>
      <c r="H694" s="25">
        <f>IF(E694="","",(E694*4+3+cfgDeslocamento)/48)</f>
        <v>0</v>
      </c>
    </row>
    <row r="695" spans="1:8">
      <c r="A695" s="24"/>
      <c r="B695" s="19"/>
      <c r="C695" s="25">
        <f>IF(D695="","",D695/48)</f>
        <v>0</v>
      </c>
      <c r="D695" s="26">
        <f>IF(A695="","",ROUND((A695-cfgDefasagem/1440)*48,0))</f>
        <v>0</v>
      </c>
      <c r="E695" s="26">
        <f>IF(D695="","",INT((D695-cfgDeslocamento)/4))</f>
        <v>0</v>
      </c>
      <c r="F695" s="26">
        <f>IF(D695="","",MOD(D695-cfgDeslocamento,4)+1)</f>
        <v>0</v>
      </c>
      <c r="G695" s="26">
        <f>IF(A695="","",IF(AND(ISNUMBER(B695),B695&lt;&gt;0),1,0))</f>
        <v>0</v>
      </c>
      <c r="H695" s="25">
        <f>IF(E695="","",(E695*4+3+cfgDeslocamento)/48)</f>
        <v>0</v>
      </c>
    </row>
    <row r="696" spans="1:8">
      <c r="A696" s="24"/>
      <c r="B696" s="19"/>
      <c r="C696" s="25">
        <f>IF(D696="","",D696/48)</f>
        <v>0</v>
      </c>
      <c r="D696" s="26">
        <f>IF(A696="","",ROUND((A696-cfgDefasagem/1440)*48,0))</f>
        <v>0</v>
      </c>
      <c r="E696" s="26">
        <f>IF(D696="","",INT((D696-cfgDeslocamento)/4))</f>
        <v>0</v>
      </c>
      <c r="F696" s="26">
        <f>IF(D696="","",MOD(D696-cfgDeslocamento,4)+1)</f>
        <v>0</v>
      </c>
      <c r="G696" s="26">
        <f>IF(A696="","",IF(AND(ISNUMBER(B696),B696&lt;&gt;0),1,0))</f>
        <v>0</v>
      </c>
      <c r="H696" s="25">
        <f>IF(E696="","",(E696*4+3+cfgDeslocamento)/48)</f>
        <v>0</v>
      </c>
    </row>
    <row r="697" spans="1:8">
      <c r="A697" s="24"/>
      <c r="B697" s="19"/>
      <c r="C697" s="25">
        <f>IF(D697="","",D697/48)</f>
        <v>0</v>
      </c>
      <c r="D697" s="26">
        <f>IF(A697="","",ROUND((A697-cfgDefasagem/1440)*48,0))</f>
        <v>0</v>
      </c>
      <c r="E697" s="26">
        <f>IF(D697="","",INT((D697-cfgDeslocamento)/4))</f>
        <v>0</v>
      </c>
      <c r="F697" s="26">
        <f>IF(D697="","",MOD(D697-cfgDeslocamento,4)+1)</f>
        <v>0</v>
      </c>
      <c r="G697" s="26">
        <f>IF(A697="","",IF(AND(ISNUMBER(B697),B697&lt;&gt;0),1,0))</f>
        <v>0</v>
      </c>
      <c r="H697" s="25">
        <f>IF(E697="","",(E697*4+3+cfgDeslocamento)/48)</f>
        <v>0</v>
      </c>
    </row>
    <row r="698" spans="1:8">
      <c r="A698" s="24"/>
      <c r="B698" s="19"/>
      <c r="C698" s="25">
        <f>IF(D698="","",D698/48)</f>
        <v>0</v>
      </c>
      <c r="D698" s="26">
        <f>IF(A698="","",ROUND((A698-cfgDefasagem/1440)*48,0))</f>
        <v>0</v>
      </c>
      <c r="E698" s="26">
        <f>IF(D698="","",INT((D698-cfgDeslocamento)/4))</f>
        <v>0</v>
      </c>
      <c r="F698" s="26">
        <f>IF(D698="","",MOD(D698-cfgDeslocamento,4)+1)</f>
        <v>0</v>
      </c>
      <c r="G698" s="26">
        <f>IF(A698="","",IF(AND(ISNUMBER(B698),B698&lt;&gt;0),1,0))</f>
        <v>0</v>
      </c>
      <c r="H698" s="25">
        <f>IF(E698="","",(E698*4+3+cfgDeslocamento)/48)</f>
        <v>0</v>
      </c>
    </row>
    <row r="699" spans="1:8">
      <c r="A699" s="24"/>
      <c r="B699" s="19"/>
      <c r="C699" s="25">
        <f>IF(D699="","",D699/48)</f>
        <v>0</v>
      </c>
      <c r="D699" s="26">
        <f>IF(A699="","",ROUND((A699-cfgDefasagem/1440)*48,0))</f>
        <v>0</v>
      </c>
      <c r="E699" s="26">
        <f>IF(D699="","",INT((D699-cfgDeslocamento)/4))</f>
        <v>0</v>
      </c>
      <c r="F699" s="26">
        <f>IF(D699="","",MOD(D699-cfgDeslocamento,4)+1)</f>
        <v>0</v>
      </c>
      <c r="G699" s="26">
        <f>IF(A699="","",IF(AND(ISNUMBER(B699),B699&lt;&gt;0),1,0))</f>
        <v>0</v>
      </c>
      <c r="H699" s="25">
        <f>IF(E699="","",(E699*4+3+cfgDeslocamento)/48)</f>
        <v>0</v>
      </c>
    </row>
    <row r="700" spans="1:8">
      <c r="A700" s="24"/>
      <c r="B700" s="19"/>
      <c r="C700" s="25">
        <f>IF(D700="","",D700/48)</f>
        <v>0</v>
      </c>
      <c r="D700" s="26">
        <f>IF(A700="","",ROUND((A700-cfgDefasagem/1440)*48,0))</f>
        <v>0</v>
      </c>
      <c r="E700" s="26">
        <f>IF(D700="","",INT((D700-cfgDeslocamento)/4))</f>
        <v>0</v>
      </c>
      <c r="F700" s="26">
        <f>IF(D700="","",MOD(D700-cfgDeslocamento,4)+1)</f>
        <v>0</v>
      </c>
      <c r="G700" s="26">
        <f>IF(A700="","",IF(AND(ISNUMBER(B700),B700&lt;&gt;0),1,0))</f>
        <v>0</v>
      </c>
      <c r="H700" s="25">
        <f>IF(E700="","",(E700*4+3+cfgDeslocamento)/48)</f>
        <v>0</v>
      </c>
    </row>
    <row r="701" spans="1:8">
      <c r="A701" s="24"/>
      <c r="B701" s="19"/>
      <c r="C701" s="25">
        <f>IF(D701="","",D701/48)</f>
        <v>0</v>
      </c>
      <c r="D701" s="26">
        <f>IF(A701="","",ROUND((A701-cfgDefasagem/1440)*48,0))</f>
        <v>0</v>
      </c>
      <c r="E701" s="26">
        <f>IF(D701="","",INT((D701-cfgDeslocamento)/4))</f>
        <v>0</v>
      </c>
      <c r="F701" s="26">
        <f>IF(D701="","",MOD(D701-cfgDeslocamento,4)+1)</f>
        <v>0</v>
      </c>
      <c r="G701" s="26">
        <f>IF(A701="","",IF(AND(ISNUMBER(B701),B701&lt;&gt;0),1,0))</f>
        <v>0</v>
      </c>
      <c r="H701" s="25">
        <f>IF(E701="","",(E701*4+3+cfgDeslocamento)/48)</f>
        <v>0</v>
      </c>
    </row>
    <row r="702" spans="1:8">
      <c r="A702" s="24"/>
      <c r="B702" s="19"/>
      <c r="C702" s="25">
        <f>IF(D702="","",D702/48)</f>
        <v>0</v>
      </c>
      <c r="D702" s="26">
        <f>IF(A702="","",ROUND((A702-cfgDefasagem/1440)*48,0))</f>
        <v>0</v>
      </c>
      <c r="E702" s="26">
        <f>IF(D702="","",INT((D702-cfgDeslocamento)/4))</f>
        <v>0</v>
      </c>
      <c r="F702" s="26">
        <f>IF(D702="","",MOD(D702-cfgDeslocamento,4)+1)</f>
        <v>0</v>
      </c>
      <c r="G702" s="26">
        <f>IF(A702="","",IF(AND(ISNUMBER(B702),B702&lt;&gt;0),1,0))</f>
        <v>0</v>
      </c>
      <c r="H702" s="25">
        <f>IF(E702="","",(E702*4+3+cfgDeslocamento)/48)</f>
        <v>0</v>
      </c>
    </row>
    <row r="703" spans="1:8">
      <c r="A703" s="24"/>
      <c r="B703" s="19"/>
      <c r="C703" s="25">
        <f>IF(D703="","",D703/48)</f>
        <v>0</v>
      </c>
      <c r="D703" s="26">
        <f>IF(A703="","",ROUND((A703-cfgDefasagem/1440)*48,0))</f>
        <v>0</v>
      </c>
      <c r="E703" s="26">
        <f>IF(D703="","",INT((D703-cfgDeslocamento)/4))</f>
        <v>0</v>
      </c>
      <c r="F703" s="26">
        <f>IF(D703="","",MOD(D703-cfgDeslocamento,4)+1)</f>
        <v>0</v>
      </c>
      <c r="G703" s="26">
        <f>IF(A703="","",IF(AND(ISNUMBER(B703),B703&lt;&gt;0),1,0))</f>
        <v>0</v>
      </c>
      <c r="H703" s="25">
        <f>IF(E703="","",(E703*4+3+cfgDeslocamento)/48)</f>
        <v>0</v>
      </c>
    </row>
    <row r="704" spans="1:8">
      <c r="A704" s="24"/>
      <c r="B704" s="19"/>
      <c r="C704" s="25">
        <f>IF(D704="","",D704/48)</f>
        <v>0</v>
      </c>
      <c r="D704" s="26">
        <f>IF(A704="","",ROUND((A704-cfgDefasagem/1440)*48,0))</f>
        <v>0</v>
      </c>
      <c r="E704" s="26">
        <f>IF(D704="","",INT((D704-cfgDeslocamento)/4))</f>
        <v>0</v>
      </c>
      <c r="F704" s="26">
        <f>IF(D704="","",MOD(D704-cfgDeslocamento,4)+1)</f>
        <v>0</v>
      </c>
      <c r="G704" s="26">
        <f>IF(A704="","",IF(AND(ISNUMBER(B704),B704&lt;&gt;0),1,0))</f>
        <v>0</v>
      </c>
      <c r="H704" s="25">
        <f>IF(E704="","",(E704*4+3+cfgDeslocamento)/48)</f>
        <v>0</v>
      </c>
    </row>
    <row r="705" spans="1:8">
      <c r="A705" s="24"/>
      <c r="B705" s="19"/>
      <c r="C705" s="25">
        <f>IF(D705="","",D705/48)</f>
        <v>0</v>
      </c>
      <c r="D705" s="26">
        <f>IF(A705="","",ROUND((A705-cfgDefasagem/1440)*48,0))</f>
        <v>0</v>
      </c>
      <c r="E705" s="26">
        <f>IF(D705="","",INT((D705-cfgDeslocamento)/4))</f>
        <v>0</v>
      </c>
      <c r="F705" s="26">
        <f>IF(D705="","",MOD(D705-cfgDeslocamento,4)+1)</f>
        <v>0</v>
      </c>
      <c r="G705" s="26">
        <f>IF(A705="","",IF(AND(ISNUMBER(B705),B705&lt;&gt;0),1,0))</f>
        <v>0</v>
      </c>
      <c r="H705" s="25">
        <f>IF(E705="","",(E705*4+3+cfgDeslocamento)/48)</f>
        <v>0</v>
      </c>
    </row>
    <row r="706" spans="1:8">
      <c r="A706" s="24"/>
      <c r="B706" s="19"/>
      <c r="C706" s="25">
        <f>IF(D706="","",D706/48)</f>
        <v>0</v>
      </c>
      <c r="D706" s="26">
        <f>IF(A706="","",ROUND((A706-cfgDefasagem/1440)*48,0))</f>
        <v>0</v>
      </c>
      <c r="E706" s="26">
        <f>IF(D706="","",INT((D706-cfgDeslocamento)/4))</f>
        <v>0</v>
      </c>
      <c r="F706" s="26">
        <f>IF(D706="","",MOD(D706-cfgDeslocamento,4)+1)</f>
        <v>0</v>
      </c>
      <c r="G706" s="26">
        <f>IF(A706="","",IF(AND(ISNUMBER(B706),B706&lt;&gt;0),1,0))</f>
        <v>0</v>
      </c>
      <c r="H706" s="25">
        <f>IF(E706="","",(E706*4+3+cfgDeslocamento)/48)</f>
        <v>0</v>
      </c>
    </row>
    <row r="707" spans="1:8">
      <c r="A707" s="24"/>
      <c r="B707" s="19"/>
      <c r="C707" s="25">
        <f>IF(D707="","",D707/48)</f>
        <v>0</v>
      </c>
      <c r="D707" s="26">
        <f>IF(A707="","",ROUND((A707-cfgDefasagem/1440)*48,0))</f>
        <v>0</v>
      </c>
      <c r="E707" s="26">
        <f>IF(D707="","",INT((D707-cfgDeslocamento)/4))</f>
        <v>0</v>
      </c>
      <c r="F707" s="26">
        <f>IF(D707="","",MOD(D707-cfgDeslocamento,4)+1)</f>
        <v>0</v>
      </c>
      <c r="G707" s="26">
        <f>IF(A707="","",IF(AND(ISNUMBER(B707),B707&lt;&gt;0),1,0))</f>
        <v>0</v>
      </c>
      <c r="H707" s="25">
        <f>IF(E707="","",(E707*4+3+cfgDeslocamento)/48)</f>
        <v>0</v>
      </c>
    </row>
    <row r="708" spans="1:8">
      <c r="A708" s="24"/>
      <c r="B708" s="19"/>
      <c r="C708" s="25">
        <f>IF(D708="","",D708/48)</f>
        <v>0</v>
      </c>
      <c r="D708" s="26">
        <f>IF(A708="","",ROUND((A708-cfgDefasagem/1440)*48,0))</f>
        <v>0</v>
      </c>
      <c r="E708" s="26">
        <f>IF(D708="","",INT((D708-cfgDeslocamento)/4))</f>
        <v>0</v>
      </c>
      <c r="F708" s="26">
        <f>IF(D708="","",MOD(D708-cfgDeslocamento,4)+1)</f>
        <v>0</v>
      </c>
      <c r="G708" s="26">
        <f>IF(A708="","",IF(AND(ISNUMBER(B708),B708&lt;&gt;0),1,0))</f>
        <v>0</v>
      </c>
      <c r="H708" s="25">
        <f>IF(E708="","",(E708*4+3+cfgDeslocamento)/48)</f>
        <v>0</v>
      </c>
    </row>
    <row r="709" spans="1:8">
      <c r="A709" s="24"/>
      <c r="B709" s="19"/>
      <c r="C709" s="25">
        <f>IF(D709="","",D709/48)</f>
        <v>0</v>
      </c>
      <c r="D709" s="26">
        <f>IF(A709="","",ROUND((A709-cfgDefasagem/1440)*48,0))</f>
        <v>0</v>
      </c>
      <c r="E709" s="26">
        <f>IF(D709="","",INT((D709-cfgDeslocamento)/4))</f>
        <v>0</v>
      </c>
      <c r="F709" s="26">
        <f>IF(D709="","",MOD(D709-cfgDeslocamento,4)+1)</f>
        <v>0</v>
      </c>
      <c r="G709" s="26">
        <f>IF(A709="","",IF(AND(ISNUMBER(B709),B709&lt;&gt;0),1,0))</f>
        <v>0</v>
      </c>
      <c r="H709" s="25">
        <f>IF(E709="","",(E709*4+3+cfgDeslocamento)/48)</f>
        <v>0</v>
      </c>
    </row>
    <row r="710" spans="1:8">
      <c r="A710" s="24"/>
      <c r="B710" s="19"/>
      <c r="C710" s="25">
        <f>IF(D710="","",D710/48)</f>
        <v>0</v>
      </c>
      <c r="D710" s="26">
        <f>IF(A710="","",ROUND((A710-cfgDefasagem/1440)*48,0))</f>
        <v>0</v>
      </c>
      <c r="E710" s="26">
        <f>IF(D710="","",INT((D710-cfgDeslocamento)/4))</f>
        <v>0</v>
      </c>
      <c r="F710" s="26">
        <f>IF(D710="","",MOD(D710-cfgDeslocamento,4)+1)</f>
        <v>0</v>
      </c>
      <c r="G710" s="26">
        <f>IF(A710="","",IF(AND(ISNUMBER(B710),B710&lt;&gt;0),1,0))</f>
        <v>0</v>
      </c>
      <c r="H710" s="25">
        <f>IF(E710="","",(E710*4+3+cfgDeslocamento)/48)</f>
        <v>0</v>
      </c>
    </row>
    <row r="711" spans="1:8">
      <c r="A711" s="24"/>
      <c r="B711" s="19"/>
      <c r="C711" s="25">
        <f>IF(D711="","",D711/48)</f>
        <v>0</v>
      </c>
      <c r="D711" s="26">
        <f>IF(A711="","",ROUND((A711-cfgDefasagem/1440)*48,0))</f>
        <v>0</v>
      </c>
      <c r="E711" s="26">
        <f>IF(D711="","",INT((D711-cfgDeslocamento)/4))</f>
        <v>0</v>
      </c>
      <c r="F711" s="26">
        <f>IF(D711="","",MOD(D711-cfgDeslocamento,4)+1)</f>
        <v>0</v>
      </c>
      <c r="G711" s="26">
        <f>IF(A711="","",IF(AND(ISNUMBER(B711),B711&lt;&gt;0),1,0))</f>
        <v>0</v>
      </c>
      <c r="H711" s="25">
        <f>IF(E711="","",(E711*4+3+cfgDeslocamento)/48)</f>
        <v>0</v>
      </c>
    </row>
    <row r="712" spans="1:8">
      <c r="A712" s="24"/>
      <c r="B712" s="19"/>
      <c r="C712" s="25">
        <f>IF(D712="","",D712/48)</f>
        <v>0</v>
      </c>
      <c r="D712" s="26">
        <f>IF(A712="","",ROUND((A712-cfgDefasagem/1440)*48,0))</f>
        <v>0</v>
      </c>
      <c r="E712" s="26">
        <f>IF(D712="","",INT((D712-cfgDeslocamento)/4))</f>
        <v>0</v>
      </c>
      <c r="F712" s="26">
        <f>IF(D712="","",MOD(D712-cfgDeslocamento,4)+1)</f>
        <v>0</v>
      </c>
      <c r="G712" s="26">
        <f>IF(A712="","",IF(AND(ISNUMBER(B712),B712&lt;&gt;0),1,0))</f>
        <v>0</v>
      </c>
      <c r="H712" s="25">
        <f>IF(E712="","",(E712*4+3+cfgDeslocamento)/48)</f>
        <v>0</v>
      </c>
    </row>
    <row r="713" spans="1:8">
      <c r="A713" s="24"/>
      <c r="B713" s="19"/>
      <c r="C713" s="25">
        <f>IF(D713="","",D713/48)</f>
        <v>0</v>
      </c>
      <c r="D713" s="26">
        <f>IF(A713="","",ROUND((A713-cfgDefasagem/1440)*48,0))</f>
        <v>0</v>
      </c>
      <c r="E713" s="26">
        <f>IF(D713="","",INT((D713-cfgDeslocamento)/4))</f>
        <v>0</v>
      </c>
      <c r="F713" s="26">
        <f>IF(D713="","",MOD(D713-cfgDeslocamento,4)+1)</f>
        <v>0</v>
      </c>
      <c r="G713" s="26">
        <f>IF(A713="","",IF(AND(ISNUMBER(B713),B713&lt;&gt;0),1,0))</f>
        <v>0</v>
      </c>
      <c r="H713" s="25">
        <f>IF(E713="","",(E713*4+3+cfgDeslocamento)/48)</f>
        <v>0</v>
      </c>
    </row>
    <row r="714" spans="1:8">
      <c r="A714" s="24"/>
      <c r="B714" s="19"/>
      <c r="C714" s="25">
        <f>IF(D714="","",D714/48)</f>
        <v>0</v>
      </c>
      <c r="D714" s="26">
        <f>IF(A714="","",ROUND((A714-cfgDefasagem/1440)*48,0))</f>
        <v>0</v>
      </c>
      <c r="E714" s="26">
        <f>IF(D714="","",INT((D714-cfgDeslocamento)/4))</f>
        <v>0</v>
      </c>
      <c r="F714" s="26">
        <f>IF(D714="","",MOD(D714-cfgDeslocamento,4)+1)</f>
        <v>0</v>
      </c>
      <c r="G714" s="26">
        <f>IF(A714="","",IF(AND(ISNUMBER(B714),B714&lt;&gt;0),1,0))</f>
        <v>0</v>
      </c>
      <c r="H714" s="25">
        <f>IF(E714="","",(E714*4+3+cfgDeslocamento)/48)</f>
        <v>0</v>
      </c>
    </row>
    <row r="715" spans="1:8">
      <c r="A715" s="24"/>
      <c r="B715" s="19"/>
      <c r="C715" s="25">
        <f>IF(D715="","",D715/48)</f>
        <v>0</v>
      </c>
      <c r="D715" s="26">
        <f>IF(A715="","",ROUND((A715-cfgDefasagem/1440)*48,0))</f>
        <v>0</v>
      </c>
      <c r="E715" s="26">
        <f>IF(D715="","",INT((D715-cfgDeslocamento)/4))</f>
        <v>0</v>
      </c>
      <c r="F715" s="26">
        <f>IF(D715="","",MOD(D715-cfgDeslocamento,4)+1)</f>
        <v>0</v>
      </c>
      <c r="G715" s="26">
        <f>IF(A715="","",IF(AND(ISNUMBER(B715),B715&lt;&gt;0),1,0))</f>
        <v>0</v>
      </c>
      <c r="H715" s="25">
        <f>IF(E715="","",(E715*4+3+cfgDeslocamento)/48)</f>
        <v>0</v>
      </c>
    </row>
    <row r="716" spans="1:8">
      <c r="A716" s="24"/>
      <c r="B716" s="19"/>
      <c r="C716" s="25">
        <f>IF(D716="","",D716/48)</f>
        <v>0</v>
      </c>
      <c r="D716" s="26">
        <f>IF(A716="","",ROUND((A716-cfgDefasagem/1440)*48,0))</f>
        <v>0</v>
      </c>
      <c r="E716" s="26">
        <f>IF(D716="","",INT((D716-cfgDeslocamento)/4))</f>
        <v>0</v>
      </c>
      <c r="F716" s="26">
        <f>IF(D716="","",MOD(D716-cfgDeslocamento,4)+1)</f>
        <v>0</v>
      </c>
      <c r="G716" s="26">
        <f>IF(A716="","",IF(AND(ISNUMBER(B716),B716&lt;&gt;0),1,0))</f>
        <v>0</v>
      </c>
      <c r="H716" s="25">
        <f>IF(E716="","",(E716*4+3+cfgDeslocamento)/48)</f>
        <v>0</v>
      </c>
    </row>
    <row r="717" spans="1:8">
      <c r="A717" s="24"/>
      <c r="B717" s="19"/>
      <c r="C717" s="25">
        <f>IF(D717="","",D717/48)</f>
        <v>0</v>
      </c>
      <c r="D717" s="26">
        <f>IF(A717="","",ROUND((A717-cfgDefasagem/1440)*48,0))</f>
        <v>0</v>
      </c>
      <c r="E717" s="26">
        <f>IF(D717="","",INT((D717-cfgDeslocamento)/4))</f>
        <v>0</v>
      </c>
      <c r="F717" s="26">
        <f>IF(D717="","",MOD(D717-cfgDeslocamento,4)+1)</f>
        <v>0</v>
      </c>
      <c r="G717" s="26">
        <f>IF(A717="","",IF(AND(ISNUMBER(B717),B717&lt;&gt;0),1,0))</f>
        <v>0</v>
      </c>
      <c r="H717" s="25">
        <f>IF(E717="","",(E717*4+3+cfgDeslocamento)/48)</f>
        <v>0</v>
      </c>
    </row>
    <row r="718" spans="1:8">
      <c r="A718" s="24"/>
      <c r="B718" s="19"/>
      <c r="C718" s="25">
        <f>IF(D718="","",D718/48)</f>
        <v>0</v>
      </c>
      <c r="D718" s="26">
        <f>IF(A718="","",ROUND((A718-cfgDefasagem/1440)*48,0))</f>
        <v>0</v>
      </c>
      <c r="E718" s="26">
        <f>IF(D718="","",INT((D718-cfgDeslocamento)/4))</f>
        <v>0</v>
      </c>
      <c r="F718" s="26">
        <f>IF(D718="","",MOD(D718-cfgDeslocamento,4)+1)</f>
        <v>0</v>
      </c>
      <c r="G718" s="26">
        <f>IF(A718="","",IF(AND(ISNUMBER(B718),B718&lt;&gt;0),1,0))</f>
        <v>0</v>
      </c>
      <c r="H718" s="25">
        <f>IF(E718="","",(E718*4+3+cfgDeslocamento)/48)</f>
        <v>0</v>
      </c>
    </row>
    <row r="719" spans="1:8">
      <c r="A719" s="24"/>
      <c r="B719" s="19"/>
      <c r="C719" s="25">
        <f>IF(D719="","",D719/48)</f>
        <v>0</v>
      </c>
      <c r="D719" s="26">
        <f>IF(A719="","",ROUND((A719-cfgDefasagem/1440)*48,0))</f>
        <v>0</v>
      </c>
      <c r="E719" s="26">
        <f>IF(D719="","",INT((D719-cfgDeslocamento)/4))</f>
        <v>0</v>
      </c>
      <c r="F719" s="26">
        <f>IF(D719="","",MOD(D719-cfgDeslocamento,4)+1)</f>
        <v>0</v>
      </c>
      <c r="G719" s="26">
        <f>IF(A719="","",IF(AND(ISNUMBER(B719),B719&lt;&gt;0),1,0))</f>
        <v>0</v>
      </c>
      <c r="H719" s="25">
        <f>IF(E719="","",(E719*4+3+cfgDeslocamento)/48)</f>
        <v>0</v>
      </c>
    </row>
    <row r="720" spans="1:8">
      <c r="A720" s="24"/>
      <c r="B720" s="19"/>
      <c r="C720" s="25">
        <f>IF(D720="","",D720/48)</f>
        <v>0</v>
      </c>
      <c r="D720" s="26">
        <f>IF(A720="","",ROUND((A720-cfgDefasagem/1440)*48,0))</f>
        <v>0</v>
      </c>
      <c r="E720" s="26">
        <f>IF(D720="","",INT((D720-cfgDeslocamento)/4))</f>
        <v>0</v>
      </c>
      <c r="F720" s="26">
        <f>IF(D720="","",MOD(D720-cfgDeslocamento,4)+1)</f>
        <v>0</v>
      </c>
      <c r="G720" s="26">
        <f>IF(A720="","",IF(AND(ISNUMBER(B720),B720&lt;&gt;0),1,0))</f>
        <v>0</v>
      </c>
      <c r="H720" s="25">
        <f>IF(E720="","",(E720*4+3+cfgDeslocamento)/48)</f>
        <v>0</v>
      </c>
    </row>
    <row r="721" spans="1:8">
      <c r="A721" s="24"/>
      <c r="B721" s="19"/>
      <c r="C721" s="25">
        <f>IF(D721="","",D721/48)</f>
        <v>0</v>
      </c>
      <c r="D721" s="26">
        <f>IF(A721="","",ROUND((A721-cfgDefasagem/1440)*48,0))</f>
        <v>0</v>
      </c>
      <c r="E721" s="26">
        <f>IF(D721="","",INT((D721-cfgDeslocamento)/4))</f>
        <v>0</v>
      </c>
      <c r="F721" s="26">
        <f>IF(D721="","",MOD(D721-cfgDeslocamento,4)+1)</f>
        <v>0</v>
      </c>
      <c r="G721" s="26">
        <f>IF(A721="","",IF(AND(ISNUMBER(B721),B721&lt;&gt;0),1,0))</f>
        <v>0</v>
      </c>
      <c r="H721" s="25">
        <f>IF(E721="","",(E721*4+3+cfgDeslocamento)/48)</f>
        <v>0</v>
      </c>
    </row>
    <row r="722" spans="1:8">
      <c r="A722" s="24"/>
      <c r="B722" s="19"/>
      <c r="C722" s="25">
        <f>IF(D722="","",D722/48)</f>
        <v>0</v>
      </c>
      <c r="D722" s="26">
        <f>IF(A722="","",ROUND((A722-cfgDefasagem/1440)*48,0))</f>
        <v>0</v>
      </c>
      <c r="E722" s="26">
        <f>IF(D722="","",INT((D722-cfgDeslocamento)/4))</f>
        <v>0</v>
      </c>
      <c r="F722" s="26">
        <f>IF(D722="","",MOD(D722-cfgDeslocamento,4)+1)</f>
        <v>0</v>
      </c>
      <c r="G722" s="26">
        <f>IF(A722="","",IF(AND(ISNUMBER(B722),B722&lt;&gt;0),1,0))</f>
        <v>0</v>
      </c>
      <c r="H722" s="25">
        <f>IF(E722="","",(E722*4+3+cfgDeslocamento)/48)</f>
        <v>0</v>
      </c>
    </row>
    <row r="723" spans="1:8">
      <c r="A723" s="24"/>
      <c r="B723" s="19"/>
      <c r="C723" s="25">
        <f>IF(D723="","",D723/48)</f>
        <v>0</v>
      </c>
      <c r="D723" s="26">
        <f>IF(A723="","",ROUND((A723-cfgDefasagem/1440)*48,0))</f>
        <v>0</v>
      </c>
      <c r="E723" s="26">
        <f>IF(D723="","",INT((D723-cfgDeslocamento)/4))</f>
        <v>0</v>
      </c>
      <c r="F723" s="26">
        <f>IF(D723="","",MOD(D723-cfgDeslocamento,4)+1)</f>
        <v>0</v>
      </c>
      <c r="G723" s="26">
        <f>IF(A723="","",IF(AND(ISNUMBER(B723),B723&lt;&gt;0),1,0))</f>
        <v>0</v>
      </c>
      <c r="H723" s="25">
        <f>IF(E723="","",(E723*4+3+cfgDeslocamento)/48)</f>
        <v>0</v>
      </c>
    </row>
    <row r="724" spans="1:8">
      <c r="A724" s="24"/>
      <c r="B724" s="19"/>
      <c r="C724" s="25">
        <f>IF(D724="","",D724/48)</f>
        <v>0</v>
      </c>
      <c r="D724" s="26">
        <f>IF(A724="","",ROUND((A724-cfgDefasagem/1440)*48,0))</f>
        <v>0</v>
      </c>
      <c r="E724" s="26">
        <f>IF(D724="","",INT((D724-cfgDeslocamento)/4))</f>
        <v>0</v>
      </c>
      <c r="F724" s="26">
        <f>IF(D724="","",MOD(D724-cfgDeslocamento,4)+1)</f>
        <v>0</v>
      </c>
      <c r="G724" s="26">
        <f>IF(A724="","",IF(AND(ISNUMBER(B724),B724&lt;&gt;0),1,0))</f>
        <v>0</v>
      </c>
      <c r="H724" s="25">
        <f>IF(E724="","",(E724*4+3+cfgDeslocamento)/48)</f>
        <v>0</v>
      </c>
    </row>
    <row r="725" spans="1:8">
      <c r="A725" s="24"/>
      <c r="B725" s="19"/>
      <c r="C725" s="25">
        <f>IF(D725="","",D725/48)</f>
        <v>0</v>
      </c>
      <c r="D725" s="26">
        <f>IF(A725="","",ROUND((A725-cfgDefasagem/1440)*48,0))</f>
        <v>0</v>
      </c>
      <c r="E725" s="26">
        <f>IF(D725="","",INT((D725-cfgDeslocamento)/4))</f>
        <v>0</v>
      </c>
      <c r="F725" s="26">
        <f>IF(D725="","",MOD(D725-cfgDeslocamento,4)+1)</f>
        <v>0</v>
      </c>
      <c r="G725" s="26">
        <f>IF(A725="","",IF(AND(ISNUMBER(B725),B725&lt;&gt;0),1,0))</f>
        <v>0</v>
      </c>
      <c r="H725" s="25">
        <f>IF(E725="","",(E725*4+3+cfgDeslocamento)/48)</f>
        <v>0</v>
      </c>
    </row>
    <row r="726" spans="1:8">
      <c r="A726" s="24"/>
      <c r="B726" s="19"/>
      <c r="C726" s="25">
        <f>IF(D726="","",D726/48)</f>
        <v>0</v>
      </c>
      <c r="D726" s="26">
        <f>IF(A726="","",ROUND((A726-cfgDefasagem/1440)*48,0))</f>
        <v>0</v>
      </c>
      <c r="E726" s="26">
        <f>IF(D726="","",INT((D726-cfgDeslocamento)/4))</f>
        <v>0</v>
      </c>
      <c r="F726" s="26">
        <f>IF(D726="","",MOD(D726-cfgDeslocamento,4)+1)</f>
        <v>0</v>
      </c>
      <c r="G726" s="26">
        <f>IF(A726="","",IF(AND(ISNUMBER(B726),B726&lt;&gt;0),1,0))</f>
        <v>0</v>
      </c>
      <c r="H726" s="25">
        <f>IF(E726="","",(E726*4+3+cfgDeslocamento)/48)</f>
        <v>0</v>
      </c>
    </row>
    <row r="727" spans="1:8">
      <c r="A727" s="24"/>
      <c r="B727" s="19"/>
      <c r="C727" s="25">
        <f>IF(D727="","",D727/48)</f>
        <v>0</v>
      </c>
      <c r="D727" s="26">
        <f>IF(A727="","",ROUND((A727-cfgDefasagem/1440)*48,0))</f>
        <v>0</v>
      </c>
      <c r="E727" s="26">
        <f>IF(D727="","",INT((D727-cfgDeslocamento)/4))</f>
        <v>0</v>
      </c>
      <c r="F727" s="26">
        <f>IF(D727="","",MOD(D727-cfgDeslocamento,4)+1)</f>
        <v>0</v>
      </c>
      <c r="G727" s="26">
        <f>IF(A727="","",IF(AND(ISNUMBER(B727),B727&lt;&gt;0),1,0))</f>
        <v>0</v>
      </c>
      <c r="H727" s="25">
        <f>IF(E727="","",(E727*4+3+cfgDeslocamento)/48)</f>
        <v>0</v>
      </c>
    </row>
    <row r="728" spans="1:8">
      <c r="A728" s="24"/>
      <c r="B728" s="19"/>
      <c r="C728" s="25">
        <f>IF(D728="","",D728/48)</f>
        <v>0</v>
      </c>
      <c r="D728" s="26">
        <f>IF(A728="","",ROUND((A728-cfgDefasagem/1440)*48,0))</f>
        <v>0</v>
      </c>
      <c r="E728" s="26">
        <f>IF(D728="","",INT((D728-cfgDeslocamento)/4))</f>
        <v>0</v>
      </c>
      <c r="F728" s="26">
        <f>IF(D728="","",MOD(D728-cfgDeslocamento,4)+1)</f>
        <v>0</v>
      </c>
      <c r="G728" s="26">
        <f>IF(A728="","",IF(AND(ISNUMBER(B728),B728&lt;&gt;0),1,0))</f>
        <v>0</v>
      </c>
      <c r="H728" s="25">
        <f>IF(E728="","",(E728*4+3+cfgDeslocamento)/48)</f>
        <v>0</v>
      </c>
    </row>
    <row r="729" spans="1:8">
      <c r="A729" s="24"/>
      <c r="B729" s="19"/>
      <c r="C729" s="25">
        <f>IF(D729="","",D729/48)</f>
        <v>0</v>
      </c>
      <c r="D729" s="26">
        <f>IF(A729="","",ROUND((A729-cfgDefasagem/1440)*48,0))</f>
        <v>0</v>
      </c>
      <c r="E729" s="26">
        <f>IF(D729="","",INT((D729-cfgDeslocamento)/4))</f>
        <v>0</v>
      </c>
      <c r="F729" s="26">
        <f>IF(D729="","",MOD(D729-cfgDeslocamento,4)+1)</f>
        <v>0</v>
      </c>
      <c r="G729" s="26">
        <f>IF(A729="","",IF(AND(ISNUMBER(B729),B729&lt;&gt;0),1,0))</f>
        <v>0</v>
      </c>
      <c r="H729" s="25">
        <f>IF(E729="","",(E729*4+3+cfgDeslocamento)/48)</f>
        <v>0</v>
      </c>
    </row>
    <row r="730" spans="1:8">
      <c r="A730" s="24"/>
      <c r="B730" s="19"/>
      <c r="C730" s="25">
        <f>IF(D730="","",D730/48)</f>
        <v>0</v>
      </c>
      <c r="D730" s="26">
        <f>IF(A730="","",ROUND((A730-cfgDefasagem/1440)*48,0))</f>
        <v>0</v>
      </c>
      <c r="E730" s="26">
        <f>IF(D730="","",INT((D730-cfgDeslocamento)/4))</f>
        <v>0</v>
      </c>
      <c r="F730" s="26">
        <f>IF(D730="","",MOD(D730-cfgDeslocamento,4)+1)</f>
        <v>0</v>
      </c>
      <c r="G730" s="26">
        <f>IF(A730="","",IF(AND(ISNUMBER(B730),B730&lt;&gt;0),1,0))</f>
        <v>0</v>
      </c>
      <c r="H730" s="25">
        <f>IF(E730="","",(E730*4+3+cfgDeslocamento)/48)</f>
        <v>0</v>
      </c>
    </row>
    <row r="731" spans="1:8">
      <c r="A731" s="24"/>
      <c r="B731" s="19"/>
      <c r="C731" s="25">
        <f>IF(D731="","",D731/48)</f>
        <v>0</v>
      </c>
      <c r="D731" s="26">
        <f>IF(A731="","",ROUND((A731-cfgDefasagem/1440)*48,0))</f>
        <v>0</v>
      </c>
      <c r="E731" s="26">
        <f>IF(D731="","",INT((D731-cfgDeslocamento)/4))</f>
        <v>0</v>
      </c>
      <c r="F731" s="26">
        <f>IF(D731="","",MOD(D731-cfgDeslocamento,4)+1)</f>
        <v>0</v>
      </c>
      <c r="G731" s="26">
        <f>IF(A731="","",IF(AND(ISNUMBER(B731),B731&lt;&gt;0),1,0))</f>
        <v>0</v>
      </c>
      <c r="H731" s="25">
        <f>IF(E731="","",(E731*4+3+cfgDeslocamento)/48)</f>
        <v>0</v>
      </c>
    </row>
    <row r="732" spans="1:8">
      <c r="A732" s="24"/>
      <c r="B732" s="19"/>
      <c r="C732" s="25">
        <f>IF(D732="","",D732/48)</f>
        <v>0</v>
      </c>
      <c r="D732" s="26">
        <f>IF(A732="","",ROUND((A732-cfgDefasagem/1440)*48,0))</f>
        <v>0</v>
      </c>
      <c r="E732" s="26">
        <f>IF(D732="","",INT((D732-cfgDeslocamento)/4))</f>
        <v>0</v>
      </c>
      <c r="F732" s="26">
        <f>IF(D732="","",MOD(D732-cfgDeslocamento,4)+1)</f>
        <v>0</v>
      </c>
      <c r="G732" s="26">
        <f>IF(A732="","",IF(AND(ISNUMBER(B732),B732&lt;&gt;0),1,0))</f>
        <v>0</v>
      </c>
      <c r="H732" s="25">
        <f>IF(E732="","",(E732*4+3+cfgDeslocamento)/48)</f>
        <v>0</v>
      </c>
    </row>
    <row r="733" spans="1:8">
      <c r="A733" s="24"/>
      <c r="B733" s="19"/>
      <c r="C733" s="25">
        <f>IF(D733="","",D733/48)</f>
        <v>0</v>
      </c>
      <c r="D733" s="26">
        <f>IF(A733="","",ROUND((A733-cfgDefasagem/1440)*48,0))</f>
        <v>0</v>
      </c>
      <c r="E733" s="26">
        <f>IF(D733="","",INT((D733-cfgDeslocamento)/4))</f>
        <v>0</v>
      </c>
      <c r="F733" s="26">
        <f>IF(D733="","",MOD(D733-cfgDeslocamento,4)+1)</f>
        <v>0</v>
      </c>
      <c r="G733" s="26">
        <f>IF(A733="","",IF(AND(ISNUMBER(B733),B733&lt;&gt;0),1,0))</f>
        <v>0</v>
      </c>
      <c r="H733" s="25">
        <f>IF(E733="","",(E733*4+3+cfgDeslocamento)/48)</f>
        <v>0</v>
      </c>
    </row>
    <row r="734" spans="1:8">
      <c r="A734" s="24"/>
      <c r="B734" s="19"/>
      <c r="C734" s="25">
        <f>IF(D734="","",D734/48)</f>
        <v>0</v>
      </c>
      <c r="D734" s="26">
        <f>IF(A734="","",ROUND((A734-cfgDefasagem/1440)*48,0))</f>
        <v>0</v>
      </c>
      <c r="E734" s="26">
        <f>IF(D734="","",INT((D734-cfgDeslocamento)/4))</f>
        <v>0</v>
      </c>
      <c r="F734" s="26">
        <f>IF(D734="","",MOD(D734-cfgDeslocamento,4)+1)</f>
        <v>0</v>
      </c>
      <c r="G734" s="26">
        <f>IF(A734="","",IF(AND(ISNUMBER(B734),B734&lt;&gt;0),1,0))</f>
        <v>0</v>
      </c>
      <c r="H734" s="25">
        <f>IF(E734="","",(E734*4+3+cfgDeslocamento)/48)</f>
        <v>0</v>
      </c>
    </row>
    <row r="735" spans="1:8">
      <c r="A735" s="24"/>
      <c r="B735" s="19"/>
      <c r="C735" s="25">
        <f>IF(D735="","",D735/48)</f>
        <v>0</v>
      </c>
      <c r="D735" s="26">
        <f>IF(A735="","",ROUND((A735-cfgDefasagem/1440)*48,0))</f>
        <v>0</v>
      </c>
      <c r="E735" s="26">
        <f>IF(D735="","",INT((D735-cfgDeslocamento)/4))</f>
        <v>0</v>
      </c>
      <c r="F735" s="26">
        <f>IF(D735="","",MOD(D735-cfgDeslocamento,4)+1)</f>
        <v>0</v>
      </c>
      <c r="G735" s="26">
        <f>IF(A735="","",IF(AND(ISNUMBER(B735),B735&lt;&gt;0),1,0))</f>
        <v>0</v>
      </c>
      <c r="H735" s="25">
        <f>IF(E735="","",(E735*4+3+cfgDeslocamento)/48)</f>
        <v>0</v>
      </c>
    </row>
    <row r="736" spans="1:8">
      <c r="A736" s="24"/>
      <c r="B736" s="19"/>
      <c r="C736" s="25">
        <f>IF(D736="","",D736/48)</f>
        <v>0</v>
      </c>
      <c r="D736" s="26">
        <f>IF(A736="","",ROUND((A736-cfgDefasagem/1440)*48,0))</f>
        <v>0</v>
      </c>
      <c r="E736" s="26">
        <f>IF(D736="","",INT((D736-cfgDeslocamento)/4))</f>
        <v>0</v>
      </c>
      <c r="F736" s="26">
        <f>IF(D736="","",MOD(D736-cfgDeslocamento,4)+1)</f>
        <v>0</v>
      </c>
      <c r="G736" s="26">
        <f>IF(A736="","",IF(AND(ISNUMBER(B736),B736&lt;&gt;0),1,0))</f>
        <v>0</v>
      </c>
      <c r="H736" s="25">
        <f>IF(E736="","",(E736*4+3+cfgDeslocamento)/48)</f>
        <v>0</v>
      </c>
    </row>
    <row r="737" spans="1:8">
      <c r="A737" s="24"/>
      <c r="B737" s="19"/>
      <c r="C737" s="25">
        <f>IF(D737="","",D737/48)</f>
        <v>0</v>
      </c>
      <c r="D737" s="26">
        <f>IF(A737="","",ROUND((A737-cfgDefasagem/1440)*48,0))</f>
        <v>0</v>
      </c>
      <c r="E737" s="26">
        <f>IF(D737="","",INT((D737-cfgDeslocamento)/4))</f>
        <v>0</v>
      </c>
      <c r="F737" s="26">
        <f>IF(D737="","",MOD(D737-cfgDeslocamento,4)+1)</f>
        <v>0</v>
      </c>
      <c r="G737" s="26">
        <f>IF(A737="","",IF(AND(ISNUMBER(B737),B737&lt;&gt;0),1,0))</f>
        <v>0</v>
      </c>
      <c r="H737" s="25">
        <f>IF(E737="","",(E737*4+3+cfgDeslocamento)/48)</f>
        <v>0</v>
      </c>
    </row>
    <row r="738" spans="1:8">
      <c r="A738" s="24"/>
      <c r="B738" s="19"/>
      <c r="C738" s="25">
        <f>IF(D738="","",D738/48)</f>
        <v>0</v>
      </c>
      <c r="D738" s="26">
        <f>IF(A738="","",ROUND((A738-cfgDefasagem/1440)*48,0))</f>
        <v>0</v>
      </c>
      <c r="E738" s="26">
        <f>IF(D738="","",INT((D738-cfgDeslocamento)/4))</f>
        <v>0</v>
      </c>
      <c r="F738" s="26">
        <f>IF(D738="","",MOD(D738-cfgDeslocamento,4)+1)</f>
        <v>0</v>
      </c>
      <c r="G738" s="26">
        <f>IF(A738="","",IF(AND(ISNUMBER(B738),B738&lt;&gt;0),1,0))</f>
        <v>0</v>
      </c>
      <c r="H738" s="25">
        <f>IF(E738="","",(E738*4+3+cfgDeslocamento)/48)</f>
        <v>0</v>
      </c>
    </row>
    <row r="739" spans="1:8">
      <c r="A739" s="24"/>
      <c r="B739" s="19"/>
      <c r="C739" s="25">
        <f>IF(D739="","",D739/48)</f>
        <v>0</v>
      </c>
      <c r="D739" s="26">
        <f>IF(A739="","",ROUND((A739-cfgDefasagem/1440)*48,0))</f>
        <v>0</v>
      </c>
      <c r="E739" s="26">
        <f>IF(D739="","",INT((D739-cfgDeslocamento)/4))</f>
        <v>0</v>
      </c>
      <c r="F739" s="26">
        <f>IF(D739="","",MOD(D739-cfgDeslocamento,4)+1)</f>
        <v>0</v>
      </c>
      <c r="G739" s="26">
        <f>IF(A739="","",IF(AND(ISNUMBER(B739),B739&lt;&gt;0),1,0))</f>
        <v>0</v>
      </c>
      <c r="H739" s="25">
        <f>IF(E739="","",(E739*4+3+cfgDeslocamento)/48)</f>
        <v>0</v>
      </c>
    </row>
    <row r="740" spans="1:8">
      <c r="A740" s="24"/>
      <c r="B740" s="19"/>
      <c r="C740" s="25">
        <f>IF(D740="","",D740/48)</f>
        <v>0</v>
      </c>
      <c r="D740" s="26">
        <f>IF(A740="","",ROUND((A740-cfgDefasagem/1440)*48,0))</f>
        <v>0</v>
      </c>
      <c r="E740" s="26">
        <f>IF(D740="","",INT((D740-cfgDeslocamento)/4))</f>
        <v>0</v>
      </c>
      <c r="F740" s="26">
        <f>IF(D740="","",MOD(D740-cfgDeslocamento,4)+1)</f>
        <v>0</v>
      </c>
      <c r="G740" s="26">
        <f>IF(A740="","",IF(AND(ISNUMBER(B740),B740&lt;&gt;0),1,0))</f>
        <v>0</v>
      </c>
      <c r="H740" s="25">
        <f>IF(E740="","",(E740*4+3+cfgDeslocamento)/48)</f>
        <v>0</v>
      </c>
    </row>
    <row r="741" spans="1:8">
      <c r="A741" s="24"/>
      <c r="B741" s="19"/>
      <c r="C741" s="25">
        <f>IF(D741="","",D741/48)</f>
        <v>0</v>
      </c>
      <c r="D741" s="26">
        <f>IF(A741="","",ROUND((A741-cfgDefasagem/1440)*48,0))</f>
        <v>0</v>
      </c>
      <c r="E741" s="26">
        <f>IF(D741="","",INT((D741-cfgDeslocamento)/4))</f>
        <v>0</v>
      </c>
      <c r="F741" s="26">
        <f>IF(D741="","",MOD(D741-cfgDeslocamento,4)+1)</f>
        <v>0</v>
      </c>
      <c r="G741" s="26">
        <f>IF(A741="","",IF(AND(ISNUMBER(B741),B741&lt;&gt;0),1,0))</f>
        <v>0</v>
      </c>
      <c r="H741" s="25">
        <f>IF(E741="","",(E741*4+3+cfgDeslocamento)/48)</f>
        <v>0</v>
      </c>
    </row>
    <row r="742" spans="1:8">
      <c r="A742" s="24"/>
      <c r="B742" s="19"/>
      <c r="C742" s="25">
        <f>IF(D742="","",D742/48)</f>
        <v>0</v>
      </c>
      <c r="D742" s="26">
        <f>IF(A742="","",ROUND((A742-cfgDefasagem/1440)*48,0))</f>
        <v>0</v>
      </c>
      <c r="E742" s="26">
        <f>IF(D742="","",INT((D742-cfgDeslocamento)/4))</f>
        <v>0</v>
      </c>
      <c r="F742" s="26">
        <f>IF(D742="","",MOD(D742-cfgDeslocamento,4)+1)</f>
        <v>0</v>
      </c>
      <c r="G742" s="26">
        <f>IF(A742="","",IF(AND(ISNUMBER(B742),B742&lt;&gt;0),1,0))</f>
        <v>0</v>
      </c>
      <c r="H742" s="25">
        <f>IF(E742="","",(E742*4+3+cfgDeslocamento)/48)</f>
        <v>0</v>
      </c>
    </row>
    <row r="743" spans="1:8">
      <c r="A743" s="24"/>
      <c r="B743" s="19"/>
      <c r="C743" s="25">
        <f>IF(D743="","",D743/48)</f>
        <v>0</v>
      </c>
      <c r="D743" s="26">
        <f>IF(A743="","",ROUND((A743-cfgDefasagem/1440)*48,0))</f>
        <v>0</v>
      </c>
      <c r="E743" s="26">
        <f>IF(D743="","",INT((D743-cfgDeslocamento)/4))</f>
        <v>0</v>
      </c>
      <c r="F743" s="26">
        <f>IF(D743="","",MOD(D743-cfgDeslocamento,4)+1)</f>
        <v>0</v>
      </c>
      <c r="G743" s="26">
        <f>IF(A743="","",IF(AND(ISNUMBER(B743),B743&lt;&gt;0),1,0))</f>
        <v>0</v>
      </c>
      <c r="H743" s="25">
        <f>IF(E743="","",(E743*4+3+cfgDeslocamento)/48)</f>
        <v>0</v>
      </c>
    </row>
    <row r="744" spans="1:8">
      <c r="A744" s="24"/>
      <c r="B744" s="19"/>
      <c r="C744" s="25">
        <f>IF(D744="","",D744/48)</f>
        <v>0</v>
      </c>
      <c r="D744" s="26">
        <f>IF(A744="","",ROUND((A744-cfgDefasagem/1440)*48,0))</f>
        <v>0</v>
      </c>
      <c r="E744" s="26">
        <f>IF(D744="","",INT((D744-cfgDeslocamento)/4))</f>
        <v>0</v>
      </c>
      <c r="F744" s="26">
        <f>IF(D744="","",MOD(D744-cfgDeslocamento,4)+1)</f>
        <v>0</v>
      </c>
      <c r="G744" s="26">
        <f>IF(A744="","",IF(AND(ISNUMBER(B744),B744&lt;&gt;0),1,0))</f>
        <v>0</v>
      </c>
      <c r="H744" s="25">
        <f>IF(E744="","",(E744*4+3+cfgDeslocamento)/48)</f>
        <v>0</v>
      </c>
    </row>
    <row r="745" spans="1:8">
      <c r="A745" s="24"/>
      <c r="B745" s="19"/>
      <c r="C745" s="25">
        <f>IF(D745="","",D745/48)</f>
        <v>0</v>
      </c>
      <c r="D745" s="26">
        <f>IF(A745="","",ROUND((A745-cfgDefasagem/1440)*48,0))</f>
        <v>0</v>
      </c>
      <c r="E745" s="26">
        <f>IF(D745="","",INT((D745-cfgDeslocamento)/4))</f>
        <v>0</v>
      </c>
      <c r="F745" s="26">
        <f>IF(D745="","",MOD(D745-cfgDeslocamento,4)+1)</f>
        <v>0</v>
      </c>
      <c r="G745" s="26">
        <f>IF(A745="","",IF(AND(ISNUMBER(B745),B745&lt;&gt;0),1,0))</f>
        <v>0</v>
      </c>
      <c r="H745" s="25">
        <f>IF(E745="","",(E745*4+3+cfgDeslocamento)/48)</f>
        <v>0</v>
      </c>
    </row>
    <row r="746" spans="1:8">
      <c r="A746" s="24"/>
      <c r="B746" s="19"/>
      <c r="C746" s="25">
        <f>IF(D746="","",D746/48)</f>
        <v>0</v>
      </c>
      <c r="D746" s="26">
        <f>IF(A746="","",ROUND((A746-cfgDefasagem/1440)*48,0))</f>
        <v>0</v>
      </c>
      <c r="E746" s="26">
        <f>IF(D746="","",INT((D746-cfgDeslocamento)/4))</f>
        <v>0</v>
      </c>
      <c r="F746" s="26">
        <f>IF(D746="","",MOD(D746-cfgDeslocamento,4)+1)</f>
        <v>0</v>
      </c>
      <c r="G746" s="26">
        <f>IF(A746="","",IF(AND(ISNUMBER(B746),B746&lt;&gt;0),1,0))</f>
        <v>0</v>
      </c>
      <c r="H746" s="25">
        <f>IF(E746="","",(E746*4+3+cfgDeslocamento)/48)</f>
        <v>0</v>
      </c>
    </row>
    <row r="747" spans="1:8">
      <c r="A747" s="24"/>
      <c r="B747" s="19"/>
      <c r="C747" s="25">
        <f>IF(D747="","",D747/48)</f>
        <v>0</v>
      </c>
      <c r="D747" s="26">
        <f>IF(A747="","",ROUND((A747-cfgDefasagem/1440)*48,0))</f>
        <v>0</v>
      </c>
      <c r="E747" s="26">
        <f>IF(D747="","",INT((D747-cfgDeslocamento)/4))</f>
        <v>0</v>
      </c>
      <c r="F747" s="26">
        <f>IF(D747="","",MOD(D747-cfgDeslocamento,4)+1)</f>
        <v>0</v>
      </c>
      <c r="G747" s="26">
        <f>IF(A747="","",IF(AND(ISNUMBER(B747),B747&lt;&gt;0),1,0))</f>
        <v>0</v>
      </c>
      <c r="H747" s="25">
        <f>IF(E747="","",(E747*4+3+cfgDeslocamento)/48)</f>
        <v>0</v>
      </c>
    </row>
    <row r="748" spans="1:8">
      <c r="A748" s="24"/>
      <c r="B748" s="19"/>
      <c r="C748" s="25">
        <f>IF(D748="","",D748/48)</f>
        <v>0</v>
      </c>
      <c r="D748" s="26">
        <f>IF(A748="","",ROUND((A748-cfgDefasagem/1440)*48,0))</f>
        <v>0</v>
      </c>
      <c r="E748" s="26">
        <f>IF(D748="","",INT((D748-cfgDeslocamento)/4))</f>
        <v>0</v>
      </c>
      <c r="F748" s="26">
        <f>IF(D748="","",MOD(D748-cfgDeslocamento,4)+1)</f>
        <v>0</v>
      </c>
      <c r="G748" s="26">
        <f>IF(A748="","",IF(AND(ISNUMBER(B748),B748&lt;&gt;0),1,0))</f>
        <v>0</v>
      </c>
      <c r="H748" s="25">
        <f>IF(E748="","",(E748*4+3+cfgDeslocamento)/48)</f>
        <v>0</v>
      </c>
    </row>
    <row r="749" spans="1:8">
      <c r="A749" s="24"/>
      <c r="B749" s="19"/>
      <c r="C749" s="25">
        <f>IF(D749="","",D749/48)</f>
        <v>0</v>
      </c>
      <c r="D749" s="26">
        <f>IF(A749="","",ROUND((A749-cfgDefasagem/1440)*48,0))</f>
        <v>0</v>
      </c>
      <c r="E749" s="26">
        <f>IF(D749="","",INT((D749-cfgDeslocamento)/4))</f>
        <v>0</v>
      </c>
      <c r="F749" s="26">
        <f>IF(D749="","",MOD(D749-cfgDeslocamento,4)+1)</f>
        <v>0</v>
      </c>
      <c r="G749" s="26">
        <f>IF(A749="","",IF(AND(ISNUMBER(B749),B749&lt;&gt;0),1,0))</f>
        <v>0</v>
      </c>
      <c r="H749" s="25">
        <f>IF(E749="","",(E749*4+3+cfgDeslocamento)/48)</f>
        <v>0</v>
      </c>
    </row>
    <row r="750" spans="1:8">
      <c r="A750" s="24"/>
      <c r="B750" s="19"/>
      <c r="C750" s="25">
        <f>IF(D750="","",D750/48)</f>
        <v>0</v>
      </c>
      <c r="D750" s="26">
        <f>IF(A750="","",ROUND((A750-cfgDefasagem/1440)*48,0))</f>
        <v>0</v>
      </c>
      <c r="E750" s="26">
        <f>IF(D750="","",INT((D750-cfgDeslocamento)/4))</f>
        <v>0</v>
      </c>
      <c r="F750" s="26">
        <f>IF(D750="","",MOD(D750-cfgDeslocamento,4)+1)</f>
        <v>0</v>
      </c>
      <c r="G750" s="26">
        <f>IF(A750="","",IF(AND(ISNUMBER(B750),B750&lt;&gt;0),1,0))</f>
        <v>0</v>
      </c>
      <c r="H750" s="25">
        <f>IF(E750="","",(E750*4+3+cfgDeslocamento)/48)</f>
        <v>0</v>
      </c>
    </row>
    <row r="751" spans="1:8">
      <c r="A751" s="24"/>
      <c r="B751" s="19"/>
      <c r="C751" s="25">
        <f>IF(D751="","",D751/48)</f>
        <v>0</v>
      </c>
      <c r="D751" s="26">
        <f>IF(A751="","",ROUND((A751-cfgDefasagem/1440)*48,0))</f>
        <v>0</v>
      </c>
      <c r="E751" s="26">
        <f>IF(D751="","",INT((D751-cfgDeslocamento)/4))</f>
        <v>0</v>
      </c>
      <c r="F751" s="26">
        <f>IF(D751="","",MOD(D751-cfgDeslocamento,4)+1)</f>
        <v>0</v>
      </c>
      <c r="G751" s="26">
        <f>IF(A751="","",IF(AND(ISNUMBER(B751),B751&lt;&gt;0),1,0))</f>
        <v>0</v>
      </c>
      <c r="H751" s="25">
        <f>IF(E751="","",(E751*4+3+cfgDeslocamento)/48)</f>
        <v>0</v>
      </c>
    </row>
    <row r="752" spans="1:8">
      <c r="A752" s="24"/>
      <c r="B752" s="19"/>
      <c r="C752" s="25">
        <f>IF(D752="","",D752/48)</f>
        <v>0</v>
      </c>
      <c r="D752" s="26">
        <f>IF(A752="","",ROUND((A752-cfgDefasagem/1440)*48,0))</f>
        <v>0</v>
      </c>
      <c r="E752" s="26">
        <f>IF(D752="","",INT((D752-cfgDeslocamento)/4))</f>
        <v>0</v>
      </c>
      <c r="F752" s="26">
        <f>IF(D752="","",MOD(D752-cfgDeslocamento,4)+1)</f>
        <v>0</v>
      </c>
      <c r="G752" s="26">
        <f>IF(A752="","",IF(AND(ISNUMBER(B752),B752&lt;&gt;0),1,0))</f>
        <v>0</v>
      </c>
      <c r="H752" s="25">
        <f>IF(E752="","",(E752*4+3+cfgDeslocamento)/48)</f>
        <v>0</v>
      </c>
    </row>
    <row r="753" spans="1:8">
      <c r="A753" s="24"/>
      <c r="B753" s="19"/>
      <c r="C753" s="25">
        <f>IF(D753="","",D753/48)</f>
        <v>0</v>
      </c>
      <c r="D753" s="26">
        <f>IF(A753="","",ROUND((A753-cfgDefasagem/1440)*48,0))</f>
        <v>0</v>
      </c>
      <c r="E753" s="26">
        <f>IF(D753="","",INT((D753-cfgDeslocamento)/4))</f>
        <v>0</v>
      </c>
      <c r="F753" s="26">
        <f>IF(D753="","",MOD(D753-cfgDeslocamento,4)+1)</f>
        <v>0</v>
      </c>
      <c r="G753" s="26">
        <f>IF(A753="","",IF(AND(ISNUMBER(B753),B753&lt;&gt;0),1,0))</f>
        <v>0</v>
      </c>
      <c r="H753" s="25">
        <f>IF(E753="","",(E753*4+3+cfgDeslocamento)/48)</f>
        <v>0</v>
      </c>
    </row>
    <row r="754" spans="1:8">
      <c r="A754" s="24"/>
      <c r="B754" s="19"/>
      <c r="C754" s="25">
        <f>IF(D754="","",D754/48)</f>
        <v>0</v>
      </c>
      <c r="D754" s="26">
        <f>IF(A754="","",ROUND((A754-cfgDefasagem/1440)*48,0))</f>
        <v>0</v>
      </c>
      <c r="E754" s="26">
        <f>IF(D754="","",INT((D754-cfgDeslocamento)/4))</f>
        <v>0</v>
      </c>
      <c r="F754" s="26">
        <f>IF(D754="","",MOD(D754-cfgDeslocamento,4)+1)</f>
        <v>0</v>
      </c>
      <c r="G754" s="26">
        <f>IF(A754="","",IF(AND(ISNUMBER(B754),B754&lt;&gt;0),1,0))</f>
        <v>0</v>
      </c>
      <c r="H754" s="25">
        <f>IF(E754="","",(E754*4+3+cfgDeslocamento)/48)</f>
        <v>0</v>
      </c>
    </row>
    <row r="755" spans="1:8">
      <c r="A755" s="24"/>
      <c r="B755" s="19"/>
      <c r="C755" s="25">
        <f>IF(D755="","",D755/48)</f>
        <v>0</v>
      </c>
      <c r="D755" s="26">
        <f>IF(A755="","",ROUND((A755-cfgDefasagem/1440)*48,0))</f>
        <v>0</v>
      </c>
      <c r="E755" s="26">
        <f>IF(D755="","",INT((D755-cfgDeslocamento)/4))</f>
        <v>0</v>
      </c>
      <c r="F755" s="26">
        <f>IF(D755="","",MOD(D755-cfgDeslocamento,4)+1)</f>
        <v>0</v>
      </c>
      <c r="G755" s="26">
        <f>IF(A755="","",IF(AND(ISNUMBER(B755),B755&lt;&gt;0),1,0))</f>
        <v>0</v>
      </c>
      <c r="H755" s="25">
        <f>IF(E755="","",(E755*4+3+cfgDeslocamento)/48)</f>
        <v>0</v>
      </c>
    </row>
    <row r="756" spans="1:8">
      <c r="A756" s="24"/>
      <c r="B756" s="19"/>
      <c r="C756" s="25">
        <f>IF(D756="","",D756/48)</f>
        <v>0</v>
      </c>
      <c r="D756" s="26">
        <f>IF(A756="","",ROUND((A756-cfgDefasagem/1440)*48,0))</f>
        <v>0</v>
      </c>
      <c r="E756" s="26">
        <f>IF(D756="","",INT((D756-cfgDeslocamento)/4))</f>
        <v>0</v>
      </c>
      <c r="F756" s="26">
        <f>IF(D756="","",MOD(D756-cfgDeslocamento,4)+1)</f>
        <v>0</v>
      </c>
      <c r="G756" s="26">
        <f>IF(A756="","",IF(AND(ISNUMBER(B756),B756&lt;&gt;0),1,0))</f>
        <v>0</v>
      </c>
      <c r="H756" s="25">
        <f>IF(E756="","",(E756*4+3+cfgDeslocamento)/48)</f>
        <v>0</v>
      </c>
    </row>
    <row r="757" spans="1:8">
      <c r="A757" s="24"/>
      <c r="B757" s="19"/>
      <c r="C757" s="25">
        <f>IF(D757="","",D757/48)</f>
        <v>0</v>
      </c>
      <c r="D757" s="26">
        <f>IF(A757="","",ROUND((A757-cfgDefasagem/1440)*48,0))</f>
        <v>0</v>
      </c>
      <c r="E757" s="26">
        <f>IF(D757="","",INT((D757-cfgDeslocamento)/4))</f>
        <v>0</v>
      </c>
      <c r="F757" s="26">
        <f>IF(D757="","",MOD(D757-cfgDeslocamento,4)+1)</f>
        <v>0</v>
      </c>
      <c r="G757" s="26">
        <f>IF(A757="","",IF(AND(ISNUMBER(B757),B757&lt;&gt;0),1,0))</f>
        <v>0</v>
      </c>
      <c r="H757" s="25">
        <f>IF(E757="","",(E757*4+3+cfgDeslocamento)/48)</f>
        <v>0</v>
      </c>
    </row>
    <row r="758" spans="1:8">
      <c r="A758" s="24"/>
      <c r="B758" s="19"/>
      <c r="C758" s="25">
        <f>IF(D758="","",D758/48)</f>
        <v>0</v>
      </c>
      <c r="D758" s="26">
        <f>IF(A758="","",ROUND((A758-cfgDefasagem/1440)*48,0))</f>
        <v>0</v>
      </c>
      <c r="E758" s="26">
        <f>IF(D758="","",INT((D758-cfgDeslocamento)/4))</f>
        <v>0</v>
      </c>
      <c r="F758" s="26">
        <f>IF(D758="","",MOD(D758-cfgDeslocamento,4)+1)</f>
        <v>0</v>
      </c>
      <c r="G758" s="26">
        <f>IF(A758="","",IF(AND(ISNUMBER(B758),B758&lt;&gt;0),1,0))</f>
        <v>0</v>
      </c>
      <c r="H758" s="25">
        <f>IF(E758="","",(E758*4+3+cfgDeslocamento)/48)</f>
        <v>0</v>
      </c>
    </row>
    <row r="759" spans="1:8">
      <c r="A759" s="24"/>
      <c r="B759" s="19"/>
      <c r="C759" s="25">
        <f>IF(D759="","",D759/48)</f>
        <v>0</v>
      </c>
      <c r="D759" s="26">
        <f>IF(A759="","",ROUND((A759-cfgDefasagem/1440)*48,0))</f>
        <v>0</v>
      </c>
      <c r="E759" s="26">
        <f>IF(D759="","",INT((D759-cfgDeslocamento)/4))</f>
        <v>0</v>
      </c>
      <c r="F759" s="26">
        <f>IF(D759="","",MOD(D759-cfgDeslocamento,4)+1)</f>
        <v>0</v>
      </c>
      <c r="G759" s="26">
        <f>IF(A759="","",IF(AND(ISNUMBER(B759),B759&lt;&gt;0),1,0))</f>
        <v>0</v>
      </c>
      <c r="H759" s="25">
        <f>IF(E759="","",(E759*4+3+cfgDeslocamento)/48)</f>
        <v>0</v>
      </c>
    </row>
    <row r="760" spans="1:8">
      <c r="A760" s="24"/>
      <c r="B760" s="19"/>
      <c r="C760" s="25">
        <f>IF(D760="","",D760/48)</f>
        <v>0</v>
      </c>
      <c r="D760" s="26">
        <f>IF(A760="","",ROUND((A760-cfgDefasagem/1440)*48,0))</f>
        <v>0</v>
      </c>
      <c r="E760" s="26">
        <f>IF(D760="","",INT((D760-cfgDeslocamento)/4))</f>
        <v>0</v>
      </c>
      <c r="F760" s="26">
        <f>IF(D760="","",MOD(D760-cfgDeslocamento,4)+1)</f>
        <v>0</v>
      </c>
      <c r="G760" s="26">
        <f>IF(A760="","",IF(AND(ISNUMBER(B760),B760&lt;&gt;0),1,0))</f>
        <v>0</v>
      </c>
      <c r="H760" s="25">
        <f>IF(E760="","",(E760*4+3+cfgDeslocamento)/48)</f>
        <v>0</v>
      </c>
    </row>
    <row r="761" spans="1:8">
      <c r="A761" s="24"/>
      <c r="B761" s="19"/>
      <c r="C761" s="25">
        <f>IF(D761="","",D761/48)</f>
        <v>0</v>
      </c>
      <c r="D761" s="26">
        <f>IF(A761="","",ROUND((A761-cfgDefasagem/1440)*48,0))</f>
        <v>0</v>
      </c>
      <c r="E761" s="26">
        <f>IF(D761="","",INT((D761-cfgDeslocamento)/4))</f>
        <v>0</v>
      </c>
      <c r="F761" s="26">
        <f>IF(D761="","",MOD(D761-cfgDeslocamento,4)+1)</f>
        <v>0</v>
      </c>
      <c r="G761" s="26">
        <f>IF(A761="","",IF(AND(ISNUMBER(B761),B761&lt;&gt;0),1,0))</f>
        <v>0</v>
      </c>
      <c r="H761" s="25">
        <f>IF(E761="","",(E761*4+3+cfgDeslocamento)/48)</f>
        <v>0</v>
      </c>
    </row>
    <row r="762" spans="1:8">
      <c r="A762" s="24"/>
      <c r="B762" s="19"/>
      <c r="C762" s="25">
        <f>IF(D762="","",D762/48)</f>
        <v>0</v>
      </c>
      <c r="D762" s="26">
        <f>IF(A762="","",ROUND((A762-cfgDefasagem/1440)*48,0))</f>
        <v>0</v>
      </c>
      <c r="E762" s="26">
        <f>IF(D762="","",INT((D762-cfgDeslocamento)/4))</f>
        <v>0</v>
      </c>
      <c r="F762" s="26">
        <f>IF(D762="","",MOD(D762-cfgDeslocamento,4)+1)</f>
        <v>0</v>
      </c>
      <c r="G762" s="26">
        <f>IF(A762="","",IF(AND(ISNUMBER(B762),B762&lt;&gt;0),1,0))</f>
        <v>0</v>
      </c>
      <c r="H762" s="25">
        <f>IF(E762="","",(E762*4+3+cfgDeslocamento)/48)</f>
        <v>0</v>
      </c>
    </row>
    <row r="763" spans="1:8">
      <c r="A763" s="24"/>
      <c r="B763" s="19"/>
      <c r="C763" s="25">
        <f>IF(D763="","",D763/48)</f>
        <v>0</v>
      </c>
      <c r="D763" s="26">
        <f>IF(A763="","",ROUND((A763-cfgDefasagem/1440)*48,0))</f>
        <v>0</v>
      </c>
      <c r="E763" s="26">
        <f>IF(D763="","",INT((D763-cfgDeslocamento)/4))</f>
        <v>0</v>
      </c>
      <c r="F763" s="26">
        <f>IF(D763="","",MOD(D763-cfgDeslocamento,4)+1)</f>
        <v>0</v>
      </c>
      <c r="G763" s="26">
        <f>IF(A763="","",IF(AND(ISNUMBER(B763),B763&lt;&gt;0),1,0))</f>
        <v>0</v>
      </c>
      <c r="H763" s="25">
        <f>IF(E763="","",(E763*4+3+cfgDeslocamento)/48)</f>
        <v>0</v>
      </c>
    </row>
    <row r="764" spans="1:8">
      <c r="A764" s="24"/>
      <c r="B764" s="19"/>
      <c r="C764" s="25">
        <f>IF(D764="","",D764/48)</f>
        <v>0</v>
      </c>
      <c r="D764" s="26">
        <f>IF(A764="","",ROUND((A764-cfgDefasagem/1440)*48,0))</f>
        <v>0</v>
      </c>
      <c r="E764" s="26">
        <f>IF(D764="","",INT((D764-cfgDeslocamento)/4))</f>
        <v>0</v>
      </c>
      <c r="F764" s="26">
        <f>IF(D764="","",MOD(D764-cfgDeslocamento,4)+1)</f>
        <v>0</v>
      </c>
      <c r="G764" s="26">
        <f>IF(A764="","",IF(AND(ISNUMBER(B764),B764&lt;&gt;0),1,0))</f>
        <v>0</v>
      </c>
      <c r="H764" s="25">
        <f>IF(E764="","",(E764*4+3+cfgDeslocamento)/48)</f>
        <v>0</v>
      </c>
    </row>
    <row r="765" spans="1:8">
      <c r="A765" s="24"/>
      <c r="B765" s="19"/>
      <c r="C765" s="25">
        <f>IF(D765="","",D765/48)</f>
        <v>0</v>
      </c>
      <c r="D765" s="26">
        <f>IF(A765="","",ROUND((A765-cfgDefasagem/1440)*48,0))</f>
        <v>0</v>
      </c>
      <c r="E765" s="26">
        <f>IF(D765="","",INT((D765-cfgDeslocamento)/4))</f>
        <v>0</v>
      </c>
      <c r="F765" s="26">
        <f>IF(D765="","",MOD(D765-cfgDeslocamento,4)+1)</f>
        <v>0</v>
      </c>
      <c r="G765" s="26">
        <f>IF(A765="","",IF(AND(ISNUMBER(B765),B765&lt;&gt;0),1,0))</f>
        <v>0</v>
      </c>
      <c r="H765" s="25">
        <f>IF(E765="","",(E765*4+3+cfgDeslocamento)/48)</f>
        <v>0</v>
      </c>
    </row>
    <row r="766" spans="1:8">
      <c r="A766" s="24"/>
      <c r="B766" s="19"/>
      <c r="C766" s="25">
        <f>IF(D766="","",D766/48)</f>
        <v>0</v>
      </c>
      <c r="D766" s="26">
        <f>IF(A766="","",ROUND((A766-cfgDefasagem/1440)*48,0))</f>
        <v>0</v>
      </c>
      <c r="E766" s="26">
        <f>IF(D766="","",INT((D766-cfgDeslocamento)/4))</f>
        <v>0</v>
      </c>
      <c r="F766" s="26">
        <f>IF(D766="","",MOD(D766-cfgDeslocamento,4)+1)</f>
        <v>0</v>
      </c>
      <c r="G766" s="26">
        <f>IF(A766="","",IF(AND(ISNUMBER(B766),B766&lt;&gt;0),1,0))</f>
        <v>0</v>
      </c>
      <c r="H766" s="25">
        <f>IF(E766="","",(E766*4+3+cfgDeslocamento)/48)</f>
        <v>0</v>
      </c>
    </row>
    <row r="767" spans="1:8">
      <c r="A767" s="24"/>
      <c r="B767" s="19"/>
      <c r="C767" s="25">
        <f>IF(D767="","",D767/48)</f>
        <v>0</v>
      </c>
      <c r="D767" s="26">
        <f>IF(A767="","",ROUND((A767-cfgDefasagem/1440)*48,0))</f>
        <v>0</v>
      </c>
      <c r="E767" s="26">
        <f>IF(D767="","",INT((D767-cfgDeslocamento)/4))</f>
        <v>0</v>
      </c>
      <c r="F767" s="26">
        <f>IF(D767="","",MOD(D767-cfgDeslocamento,4)+1)</f>
        <v>0</v>
      </c>
      <c r="G767" s="26">
        <f>IF(A767="","",IF(AND(ISNUMBER(B767),B767&lt;&gt;0),1,0))</f>
        <v>0</v>
      </c>
      <c r="H767" s="25">
        <f>IF(E767="","",(E767*4+3+cfgDeslocamento)/48)</f>
        <v>0</v>
      </c>
    </row>
    <row r="768" spans="1:8">
      <c r="A768" s="24"/>
      <c r="B768" s="19"/>
      <c r="C768" s="25">
        <f>IF(D768="","",D768/48)</f>
        <v>0</v>
      </c>
      <c r="D768" s="26">
        <f>IF(A768="","",ROUND((A768-cfgDefasagem/1440)*48,0))</f>
        <v>0</v>
      </c>
      <c r="E768" s="26">
        <f>IF(D768="","",INT((D768-cfgDeslocamento)/4))</f>
        <v>0</v>
      </c>
      <c r="F768" s="26">
        <f>IF(D768="","",MOD(D768-cfgDeslocamento,4)+1)</f>
        <v>0</v>
      </c>
      <c r="G768" s="26">
        <f>IF(A768="","",IF(AND(ISNUMBER(B768),B768&lt;&gt;0),1,0))</f>
        <v>0</v>
      </c>
      <c r="H768" s="25">
        <f>IF(E768="","",(E768*4+3+cfgDeslocamento)/48)</f>
        <v>0</v>
      </c>
    </row>
    <row r="769" spans="1:8">
      <c r="A769" s="24"/>
      <c r="B769" s="19"/>
      <c r="C769" s="25">
        <f>IF(D769="","",D769/48)</f>
        <v>0</v>
      </c>
      <c r="D769" s="26">
        <f>IF(A769="","",ROUND((A769-cfgDefasagem/1440)*48,0))</f>
        <v>0</v>
      </c>
      <c r="E769" s="26">
        <f>IF(D769="","",INT((D769-cfgDeslocamento)/4))</f>
        <v>0</v>
      </c>
      <c r="F769" s="26">
        <f>IF(D769="","",MOD(D769-cfgDeslocamento,4)+1)</f>
        <v>0</v>
      </c>
      <c r="G769" s="26">
        <f>IF(A769="","",IF(AND(ISNUMBER(B769),B769&lt;&gt;0),1,0))</f>
        <v>0</v>
      </c>
      <c r="H769" s="25">
        <f>IF(E769="","",(E769*4+3+cfgDeslocamento)/48)</f>
        <v>0</v>
      </c>
    </row>
    <row r="770" spans="1:8">
      <c r="A770" s="24"/>
      <c r="B770" s="19"/>
      <c r="C770" s="25">
        <f>IF(D770="","",D770/48)</f>
        <v>0</v>
      </c>
      <c r="D770" s="26">
        <f>IF(A770="","",ROUND((A770-cfgDefasagem/1440)*48,0))</f>
        <v>0</v>
      </c>
      <c r="E770" s="26">
        <f>IF(D770="","",INT((D770-cfgDeslocamento)/4))</f>
        <v>0</v>
      </c>
      <c r="F770" s="26">
        <f>IF(D770="","",MOD(D770-cfgDeslocamento,4)+1)</f>
        <v>0</v>
      </c>
      <c r="G770" s="26">
        <f>IF(A770="","",IF(AND(ISNUMBER(B770),B770&lt;&gt;0),1,0))</f>
        <v>0</v>
      </c>
      <c r="H770" s="25">
        <f>IF(E770="","",(E770*4+3+cfgDeslocamento)/48)</f>
        <v>0</v>
      </c>
    </row>
    <row r="771" spans="1:8">
      <c r="A771" s="24"/>
      <c r="B771" s="19"/>
      <c r="C771" s="25">
        <f>IF(D771="","",D771/48)</f>
        <v>0</v>
      </c>
      <c r="D771" s="26">
        <f>IF(A771="","",ROUND((A771-cfgDefasagem/1440)*48,0))</f>
        <v>0</v>
      </c>
      <c r="E771" s="26">
        <f>IF(D771="","",INT((D771-cfgDeslocamento)/4))</f>
        <v>0</v>
      </c>
      <c r="F771" s="26">
        <f>IF(D771="","",MOD(D771-cfgDeslocamento,4)+1)</f>
        <v>0</v>
      </c>
      <c r="G771" s="26">
        <f>IF(A771="","",IF(AND(ISNUMBER(B771),B771&lt;&gt;0),1,0))</f>
        <v>0</v>
      </c>
      <c r="H771" s="25">
        <f>IF(E771="","",(E771*4+3+cfgDeslocamento)/48)</f>
        <v>0</v>
      </c>
    </row>
    <row r="772" spans="1:8">
      <c r="A772" s="24"/>
      <c r="B772" s="19"/>
      <c r="C772" s="25">
        <f>IF(D772="","",D772/48)</f>
        <v>0</v>
      </c>
      <c r="D772" s="26">
        <f>IF(A772="","",ROUND((A772-cfgDefasagem/1440)*48,0))</f>
        <v>0</v>
      </c>
      <c r="E772" s="26">
        <f>IF(D772="","",INT((D772-cfgDeslocamento)/4))</f>
        <v>0</v>
      </c>
      <c r="F772" s="26">
        <f>IF(D772="","",MOD(D772-cfgDeslocamento,4)+1)</f>
        <v>0</v>
      </c>
      <c r="G772" s="26">
        <f>IF(A772="","",IF(AND(ISNUMBER(B772),B772&lt;&gt;0),1,0))</f>
        <v>0</v>
      </c>
      <c r="H772" s="25">
        <f>IF(E772="","",(E772*4+3+cfgDeslocamento)/48)</f>
        <v>0</v>
      </c>
    </row>
    <row r="773" spans="1:8">
      <c r="A773" s="24"/>
      <c r="B773" s="19"/>
      <c r="C773" s="25">
        <f>IF(D773="","",D773/48)</f>
        <v>0</v>
      </c>
      <c r="D773" s="26">
        <f>IF(A773="","",ROUND((A773-cfgDefasagem/1440)*48,0))</f>
        <v>0</v>
      </c>
      <c r="E773" s="26">
        <f>IF(D773="","",INT((D773-cfgDeslocamento)/4))</f>
        <v>0</v>
      </c>
      <c r="F773" s="26">
        <f>IF(D773="","",MOD(D773-cfgDeslocamento,4)+1)</f>
        <v>0</v>
      </c>
      <c r="G773" s="26">
        <f>IF(A773="","",IF(AND(ISNUMBER(B773),B773&lt;&gt;0),1,0))</f>
        <v>0</v>
      </c>
      <c r="H773" s="25">
        <f>IF(E773="","",(E773*4+3+cfgDeslocamento)/48)</f>
        <v>0</v>
      </c>
    </row>
    <row r="774" spans="1:8">
      <c r="A774" s="24"/>
      <c r="B774" s="19"/>
      <c r="C774" s="25">
        <f>IF(D774="","",D774/48)</f>
        <v>0</v>
      </c>
      <c r="D774" s="26">
        <f>IF(A774="","",ROUND((A774-cfgDefasagem/1440)*48,0))</f>
        <v>0</v>
      </c>
      <c r="E774" s="26">
        <f>IF(D774="","",INT((D774-cfgDeslocamento)/4))</f>
        <v>0</v>
      </c>
      <c r="F774" s="26">
        <f>IF(D774="","",MOD(D774-cfgDeslocamento,4)+1)</f>
        <v>0</v>
      </c>
      <c r="G774" s="26">
        <f>IF(A774="","",IF(AND(ISNUMBER(B774),B774&lt;&gt;0),1,0))</f>
        <v>0</v>
      </c>
      <c r="H774" s="25">
        <f>IF(E774="","",(E774*4+3+cfgDeslocamento)/48)</f>
        <v>0</v>
      </c>
    </row>
    <row r="775" spans="1:8">
      <c r="A775" s="24"/>
      <c r="B775" s="19"/>
      <c r="C775" s="25">
        <f>IF(D775="","",D775/48)</f>
        <v>0</v>
      </c>
      <c r="D775" s="26">
        <f>IF(A775="","",ROUND((A775-cfgDefasagem/1440)*48,0))</f>
        <v>0</v>
      </c>
      <c r="E775" s="26">
        <f>IF(D775="","",INT((D775-cfgDeslocamento)/4))</f>
        <v>0</v>
      </c>
      <c r="F775" s="26">
        <f>IF(D775="","",MOD(D775-cfgDeslocamento,4)+1)</f>
        <v>0</v>
      </c>
      <c r="G775" s="26">
        <f>IF(A775="","",IF(AND(ISNUMBER(B775),B775&lt;&gt;0),1,0))</f>
        <v>0</v>
      </c>
      <c r="H775" s="25">
        <f>IF(E775="","",(E775*4+3+cfgDeslocamento)/48)</f>
        <v>0</v>
      </c>
    </row>
    <row r="776" spans="1:8">
      <c r="A776" s="24"/>
      <c r="B776" s="19"/>
      <c r="C776" s="25">
        <f>IF(D776="","",D776/48)</f>
        <v>0</v>
      </c>
      <c r="D776" s="26">
        <f>IF(A776="","",ROUND((A776-cfgDefasagem/1440)*48,0))</f>
        <v>0</v>
      </c>
      <c r="E776" s="26">
        <f>IF(D776="","",INT((D776-cfgDeslocamento)/4))</f>
        <v>0</v>
      </c>
      <c r="F776" s="26">
        <f>IF(D776="","",MOD(D776-cfgDeslocamento,4)+1)</f>
        <v>0</v>
      </c>
      <c r="G776" s="26">
        <f>IF(A776="","",IF(AND(ISNUMBER(B776),B776&lt;&gt;0),1,0))</f>
        <v>0</v>
      </c>
      <c r="H776" s="25">
        <f>IF(E776="","",(E776*4+3+cfgDeslocamento)/48)</f>
        <v>0</v>
      </c>
    </row>
    <row r="777" spans="1:8">
      <c r="A777" s="24"/>
      <c r="B777" s="19"/>
      <c r="C777" s="25">
        <f>IF(D777="","",D777/48)</f>
        <v>0</v>
      </c>
      <c r="D777" s="26">
        <f>IF(A777="","",ROUND((A777-cfgDefasagem/1440)*48,0))</f>
        <v>0</v>
      </c>
      <c r="E777" s="26">
        <f>IF(D777="","",INT((D777-cfgDeslocamento)/4))</f>
        <v>0</v>
      </c>
      <c r="F777" s="26">
        <f>IF(D777="","",MOD(D777-cfgDeslocamento,4)+1)</f>
        <v>0</v>
      </c>
      <c r="G777" s="26">
        <f>IF(A777="","",IF(AND(ISNUMBER(B777),B777&lt;&gt;0),1,0))</f>
        <v>0</v>
      </c>
      <c r="H777" s="25">
        <f>IF(E777="","",(E777*4+3+cfgDeslocamento)/48)</f>
        <v>0</v>
      </c>
    </row>
    <row r="778" spans="1:8">
      <c r="A778" s="24"/>
      <c r="B778" s="19"/>
      <c r="C778" s="25">
        <f>IF(D778="","",D778/48)</f>
        <v>0</v>
      </c>
      <c r="D778" s="26">
        <f>IF(A778="","",ROUND((A778-cfgDefasagem/1440)*48,0))</f>
        <v>0</v>
      </c>
      <c r="E778" s="26">
        <f>IF(D778="","",INT((D778-cfgDeslocamento)/4))</f>
        <v>0</v>
      </c>
      <c r="F778" s="26">
        <f>IF(D778="","",MOD(D778-cfgDeslocamento,4)+1)</f>
        <v>0</v>
      </c>
      <c r="G778" s="26">
        <f>IF(A778="","",IF(AND(ISNUMBER(B778),B778&lt;&gt;0),1,0))</f>
        <v>0</v>
      </c>
      <c r="H778" s="25">
        <f>IF(E778="","",(E778*4+3+cfgDeslocamento)/48)</f>
        <v>0</v>
      </c>
    </row>
    <row r="779" spans="1:8">
      <c r="A779" s="24"/>
      <c r="B779" s="19"/>
      <c r="C779" s="25">
        <f>IF(D779="","",D779/48)</f>
        <v>0</v>
      </c>
      <c r="D779" s="26">
        <f>IF(A779="","",ROUND((A779-cfgDefasagem/1440)*48,0))</f>
        <v>0</v>
      </c>
      <c r="E779" s="26">
        <f>IF(D779="","",INT((D779-cfgDeslocamento)/4))</f>
        <v>0</v>
      </c>
      <c r="F779" s="26">
        <f>IF(D779="","",MOD(D779-cfgDeslocamento,4)+1)</f>
        <v>0</v>
      </c>
      <c r="G779" s="26">
        <f>IF(A779="","",IF(AND(ISNUMBER(B779),B779&lt;&gt;0),1,0))</f>
        <v>0</v>
      </c>
      <c r="H779" s="25">
        <f>IF(E779="","",(E779*4+3+cfgDeslocamento)/48)</f>
        <v>0</v>
      </c>
    </row>
    <row r="780" spans="1:8">
      <c r="A780" s="24"/>
      <c r="B780" s="19"/>
      <c r="C780" s="25">
        <f>IF(D780="","",D780/48)</f>
        <v>0</v>
      </c>
      <c r="D780" s="26">
        <f>IF(A780="","",ROUND((A780-cfgDefasagem/1440)*48,0))</f>
        <v>0</v>
      </c>
      <c r="E780" s="26">
        <f>IF(D780="","",INT((D780-cfgDeslocamento)/4))</f>
        <v>0</v>
      </c>
      <c r="F780" s="26">
        <f>IF(D780="","",MOD(D780-cfgDeslocamento,4)+1)</f>
        <v>0</v>
      </c>
      <c r="G780" s="26">
        <f>IF(A780="","",IF(AND(ISNUMBER(B780),B780&lt;&gt;0),1,0))</f>
        <v>0</v>
      </c>
      <c r="H780" s="25">
        <f>IF(E780="","",(E780*4+3+cfgDeslocamento)/48)</f>
        <v>0</v>
      </c>
    </row>
    <row r="781" spans="1:8">
      <c r="A781" s="24"/>
      <c r="B781" s="19"/>
      <c r="C781" s="25">
        <f>IF(D781="","",D781/48)</f>
        <v>0</v>
      </c>
      <c r="D781" s="26">
        <f>IF(A781="","",ROUND((A781-cfgDefasagem/1440)*48,0))</f>
        <v>0</v>
      </c>
      <c r="E781" s="26">
        <f>IF(D781="","",INT((D781-cfgDeslocamento)/4))</f>
        <v>0</v>
      </c>
      <c r="F781" s="26">
        <f>IF(D781="","",MOD(D781-cfgDeslocamento,4)+1)</f>
        <v>0</v>
      </c>
      <c r="G781" s="26">
        <f>IF(A781="","",IF(AND(ISNUMBER(B781),B781&lt;&gt;0),1,0))</f>
        <v>0</v>
      </c>
      <c r="H781" s="25">
        <f>IF(E781="","",(E781*4+3+cfgDeslocamento)/48)</f>
        <v>0</v>
      </c>
    </row>
    <row r="782" spans="1:8">
      <c r="A782" s="24"/>
      <c r="B782" s="19"/>
      <c r="C782" s="25">
        <f>IF(D782="","",D782/48)</f>
        <v>0</v>
      </c>
      <c r="D782" s="26">
        <f>IF(A782="","",ROUND((A782-cfgDefasagem/1440)*48,0))</f>
        <v>0</v>
      </c>
      <c r="E782" s="26">
        <f>IF(D782="","",INT((D782-cfgDeslocamento)/4))</f>
        <v>0</v>
      </c>
      <c r="F782" s="26">
        <f>IF(D782="","",MOD(D782-cfgDeslocamento,4)+1)</f>
        <v>0</v>
      </c>
      <c r="G782" s="26">
        <f>IF(A782="","",IF(AND(ISNUMBER(B782),B782&lt;&gt;0),1,0))</f>
        <v>0</v>
      </c>
      <c r="H782" s="25">
        <f>IF(E782="","",(E782*4+3+cfgDeslocamento)/48)</f>
        <v>0</v>
      </c>
    </row>
    <row r="783" spans="1:8">
      <c r="A783" s="24"/>
      <c r="B783" s="19"/>
      <c r="C783" s="25">
        <f>IF(D783="","",D783/48)</f>
        <v>0</v>
      </c>
      <c r="D783" s="26">
        <f>IF(A783="","",ROUND((A783-cfgDefasagem/1440)*48,0))</f>
        <v>0</v>
      </c>
      <c r="E783" s="26">
        <f>IF(D783="","",INT((D783-cfgDeslocamento)/4))</f>
        <v>0</v>
      </c>
      <c r="F783" s="26">
        <f>IF(D783="","",MOD(D783-cfgDeslocamento,4)+1)</f>
        <v>0</v>
      </c>
      <c r="G783" s="26">
        <f>IF(A783="","",IF(AND(ISNUMBER(B783),B783&lt;&gt;0),1,0))</f>
        <v>0</v>
      </c>
      <c r="H783" s="25">
        <f>IF(E783="","",(E783*4+3+cfgDeslocamento)/48)</f>
        <v>0</v>
      </c>
    </row>
    <row r="784" spans="1:8">
      <c r="A784" s="24"/>
      <c r="B784" s="19"/>
      <c r="C784" s="25">
        <f>IF(D784="","",D784/48)</f>
        <v>0</v>
      </c>
      <c r="D784" s="26">
        <f>IF(A784="","",ROUND((A784-cfgDefasagem/1440)*48,0))</f>
        <v>0</v>
      </c>
      <c r="E784" s="26">
        <f>IF(D784="","",INT((D784-cfgDeslocamento)/4))</f>
        <v>0</v>
      </c>
      <c r="F784" s="26">
        <f>IF(D784="","",MOD(D784-cfgDeslocamento,4)+1)</f>
        <v>0</v>
      </c>
      <c r="G784" s="26">
        <f>IF(A784="","",IF(AND(ISNUMBER(B784),B784&lt;&gt;0),1,0))</f>
        <v>0</v>
      </c>
      <c r="H784" s="25">
        <f>IF(E784="","",(E784*4+3+cfgDeslocamento)/48)</f>
        <v>0</v>
      </c>
    </row>
    <row r="785" spans="1:8">
      <c r="A785" s="24"/>
      <c r="B785" s="19"/>
      <c r="C785" s="25">
        <f>IF(D785="","",D785/48)</f>
        <v>0</v>
      </c>
      <c r="D785" s="26">
        <f>IF(A785="","",ROUND((A785-cfgDefasagem/1440)*48,0))</f>
        <v>0</v>
      </c>
      <c r="E785" s="26">
        <f>IF(D785="","",INT((D785-cfgDeslocamento)/4))</f>
        <v>0</v>
      </c>
      <c r="F785" s="26">
        <f>IF(D785="","",MOD(D785-cfgDeslocamento,4)+1)</f>
        <v>0</v>
      </c>
      <c r="G785" s="26">
        <f>IF(A785="","",IF(AND(ISNUMBER(B785),B785&lt;&gt;0),1,0))</f>
        <v>0</v>
      </c>
      <c r="H785" s="25">
        <f>IF(E785="","",(E785*4+3+cfgDeslocamento)/48)</f>
        <v>0</v>
      </c>
    </row>
    <row r="786" spans="1:8">
      <c r="A786" s="24"/>
      <c r="B786" s="19"/>
      <c r="C786" s="25">
        <f>IF(D786="","",D786/48)</f>
        <v>0</v>
      </c>
      <c r="D786" s="26">
        <f>IF(A786="","",ROUND((A786-cfgDefasagem/1440)*48,0))</f>
        <v>0</v>
      </c>
      <c r="E786" s="26">
        <f>IF(D786="","",INT((D786-cfgDeslocamento)/4))</f>
        <v>0</v>
      </c>
      <c r="F786" s="26">
        <f>IF(D786="","",MOD(D786-cfgDeslocamento,4)+1)</f>
        <v>0</v>
      </c>
      <c r="G786" s="26">
        <f>IF(A786="","",IF(AND(ISNUMBER(B786),B786&lt;&gt;0),1,0))</f>
        <v>0</v>
      </c>
      <c r="H786" s="25">
        <f>IF(E786="","",(E786*4+3+cfgDeslocamento)/48)</f>
        <v>0</v>
      </c>
    </row>
    <row r="787" spans="1:8">
      <c r="A787" s="24"/>
      <c r="B787" s="19"/>
      <c r="C787" s="25">
        <f>IF(D787="","",D787/48)</f>
        <v>0</v>
      </c>
      <c r="D787" s="26">
        <f>IF(A787="","",ROUND((A787-cfgDefasagem/1440)*48,0))</f>
        <v>0</v>
      </c>
      <c r="E787" s="26">
        <f>IF(D787="","",INT((D787-cfgDeslocamento)/4))</f>
        <v>0</v>
      </c>
      <c r="F787" s="26">
        <f>IF(D787="","",MOD(D787-cfgDeslocamento,4)+1)</f>
        <v>0</v>
      </c>
      <c r="G787" s="26">
        <f>IF(A787="","",IF(AND(ISNUMBER(B787),B787&lt;&gt;0),1,0))</f>
        <v>0</v>
      </c>
      <c r="H787" s="25">
        <f>IF(E787="","",(E787*4+3+cfgDeslocamento)/48)</f>
        <v>0</v>
      </c>
    </row>
    <row r="788" spans="1:8">
      <c r="A788" s="24"/>
      <c r="B788" s="19"/>
      <c r="C788" s="25">
        <f>IF(D788="","",D788/48)</f>
        <v>0</v>
      </c>
      <c r="D788" s="26">
        <f>IF(A788="","",ROUND((A788-cfgDefasagem/1440)*48,0))</f>
        <v>0</v>
      </c>
      <c r="E788" s="26">
        <f>IF(D788="","",INT((D788-cfgDeslocamento)/4))</f>
        <v>0</v>
      </c>
      <c r="F788" s="26">
        <f>IF(D788="","",MOD(D788-cfgDeslocamento,4)+1)</f>
        <v>0</v>
      </c>
      <c r="G788" s="26">
        <f>IF(A788="","",IF(AND(ISNUMBER(B788),B788&lt;&gt;0),1,0))</f>
        <v>0</v>
      </c>
      <c r="H788" s="25">
        <f>IF(E788="","",(E788*4+3+cfgDeslocamento)/48)</f>
        <v>0</v>
      </c>
    </row>
    <row r="789" spans="1:8">
      <c r="A789" s="24"/>
      <c r="B789" s="19"/>
      <c r="C789" s="25">
        <f>IF(D789="","",D789/48)</f>
        <v>0</v>
      </c>
      <c r="D789" s="26">
        <f>IF(A789="","",ROUND((A789-cfgDefasagem/1440)*48,0))</f>
        <v>0</v>
      </c>
      <c r="E789" s="26">
        <f>IF(D789="","",INT((D789-cfgDeslocamento)/4))</f>
        <v>0</v>
      </c>
      <c r="F789" s="26">
        <f>IF(D789="","",MOD(D789-cfgDeslocamento,4)+1)</f>
        <v>0</v>
      </c>
      <c r="G789" s="26">
        <f>IF(A789="","",IF(AND(ISNUMBER(B789),B789&lt;&gt;0),1,0))</f>
        <v>0</v>
      </c>
      <c r="H789" s="25">
        <f>IF(E789="","",(E789*4+3+cfgDeslocamento)/48)</f>
        <v>0</v>
      </c>
    </row>
    <row r="790" spans="1:8">
      <c r="A790" s="24"/>
      <c r="B790" s="19"/>
      <c r="C790" s="25">
        <f>IF(D790="","",D790/48)</f>
        <v>0</v>
      </c>
      <c r="D790" s="26">
        <f>IF(A790="","",ROUND((A790-cfgDefasagem/1440)*48,0))</f>
        <v>0</v>
      </c>
      <c r="E790" s="26">
        <f>IF(D790="","",INT((D790-cfgDeslocamento)/4))</f>
        <v>0</v>
      </c>
      <c r="F790" s="26">
        <f>IF(D790="","",MOD(D790-cfgDeslocamento,4)+1)</f>
        <v>0</v>
      </c>
      <c r="G790" s="26">
        <f>IF(A790="","",IF(AND(ISNUMBER(B790),B790&lt;&gt;0),1,0))</f>
        <v>0</v>
      </c>
      <c r="H790" s="25">
        <f>IF(E790="","",(E790*4+3+cfgDeslocamento)/48)</f>
        <v>0</v>
      </c>
    </row>
    <row r="791" spans="1:8">
      <c r="A791" s="24"/>
      <c r="B791" s="19"/>
      <c r="C791" s="25">
        <f>IF(D791="","",D791/48)</f>
        <v>0</v>
      </c>
      <c r="D791" s="26">
        <f>IF(A791="","",ROUND((A791-cfgDefasagem/1440)*48,0))</f>
        <v>0</v>
      </c>
      <c r="E791" s="26">
        <f>IF(D791="","",INT((D791-cfgDeslocamento)/4))</f>
        <v>0</v>
      </c>
      <c r="F791" s="26">
        <f>IF(D791="","",MOD(D791-cfgDeslocamento,4)+1)</f>
        <v>0</v>
      </c>
      <c r="G791" s="26">
        <f>IF(A791="","",IF(AND(ISNUMBER(B791),B791&lt;&gt;0),1,0))</f>
        <v>0</v>
      </c>
      <c r="H791" s="25">
        <f>IF(E791="","",(E791*4+3+cfgDeslocamento)/48)</f>
        <v>0</v>
      </c>
    </row>
    <row r="792" spans="1:8">
      <c r="A792" s="24"/>
      <c r="B792" s="19"/>
      <c r="C792" s="25">
        <f>IF(D792="","",D792/48)</f>
        <v>0</v>
      </c>
      <c r="D792" s="26">
        <f>IF(A792="","",ROUND((A792-cfgDefasagem/1440)*48,0))</f>
        <v>0</v>
      </c>
      <c r="E792" s="26">
        <f>IF(D792="","",INT((D792-cfgDeslocamento)/4))</f>
        <v>0</v>
      </c>
      <c r="F792" s="26">
        <f>IF(D792="","",MOD(D792-cfgDeslocamento,4)+1)</f>
        <v>0</v>
      </c>
      <c r="G792" s="26">
        <f>IF(A792="","",IF(AND(ISNUMBER(B792),B792&lt;&gt;0),1,0))</f>
        <v>0</v>
      </c>
      <c r="H792" s="25">
        <f>IF(E792="","",(E792*4+3+cfgDeslocamento)/48)</f>
        <v>0</v>
      </c>
    </row>
    <row r="793" spans="1:8">
      <c r="A793" s="24"/>
      <c r="B793" s="19"/>
      <c r="C793" s="25">
        <f>IF(D793="","",D793/48)</f>
        <v>0</v>
      </c>
      <c r="D793" s="26">
        <f>IF(A793="","",ROUND((A793-cfgDefasagem/1440)*48,0))</f>
        <v>0</v>
      </c>
      <c r="E793" s="26">
        <f>IF(D793="","",INT((D793-cfgDeslocamento)/4))</f>
        <v>0</v>
      </c>
      <c r="F793" s="26">
        <f>IF(D793="","",MOD(D793-cfgDeslocamento,4)+1)</f>
        <v>0</v>
      </c>
      <c r="G793" s="26">
        <f>IF(A793="","",IF(AND(ISNUMBER(B793),B793&lt;&gt;0),1,0))</f>
        <v>0</v>
      </c>
      <c r="H793" s="25">
        <f>IF(E793="","",(E793*4+3+cfgDeslocamento)/48)</f>
        <v>0</v>
      </c>
    </row>
    <row r="794" spans="1:8">
      <c r="A794" s="24"/>
      <c r="B794" s="19"/>
      <c r="C794" s="25">
        <f>IF(D794="","",D794/48)</f>
        <v>0</v>
      </c>
      <c r="D794" s="26">
        <f>IF(A794="","",ROUND((A794-cfgDefasagem/1440)*48,0))</f>
        <v>0</v>
      </c>
      <c r="E794" s="26">
        <f>IF(D794="","",INT((D794-cfgDeslocamento)/4))</f>
        <v>0</v>
      </c>
      <c r="F794" s="26">
        <f>IF(D794="","",MOD(D794-cfgDeslocamento,4)+1)</f>
        <v>0</v>
      </c>
      <c r="G794" s="26">
        <f>IF(A794="","",IF(AND(ISNUMBER(B794),B794&lt;&gt;0),1,0))</f>
        <v>0</v>
      </c>
      <c r="H794" s="25">
        <f>IF(E794="","",(E794*4+3+cfgDeslocamento)/48)</f>
        <v>0</v>
      </c>
    </row>
    <row r="795" spans="1:8">
      <c r="A795" s="24"/>
      <c r="B795" s="19"/>
      <c r="C795" s="25">
        <f>IF(D795="","",D795/48)</f>
        <v>0</v>
      </c>
      <c r="D795" s="26">
        <f>IF(A795="","",ROUND((A795-cfgDefasagem/1440)*48,0))</f>
        <v>0</v>
      </c>
      <c r="E795" s="26">
        <f>IF(D795="","",INT((D795-cfgDeslocamento)/4))</f>
        <v>0</v>
      </c>
      <c r="F795" s="26">
        <f>IF(D795="","",MOD(D795-cfgDeslocamento,4)+1)</f>
        <v>0</v>
      </c>
      <c r="G795" s="26">
        <f>IF(A795="","",IF(AND(ISNUMBER(B795),B795&lt;&gt;0),1,0))</f>
        <v>0</v>
      </c>
      <c r="H795" s="25">
        <f>IF(E795="","",(E795*4+3+cfgDeslocamento)/48)</f>
        <v>0</v>
      </c>
    </row>
    <row r="796" spans="1:8">
      <c r="A796" s="24"/>
      <c r="B796" s="19"/>
      <c r="C796" s="25">
        <f>IF(D796="","",D796/48)</f>
        <v>0</v>
      </c>
      <c r="D796" s="26">
        <f>IF(A796="","",ROUND((A796-cfgDefasagem/1440)*48,0))</f>
        <v>0</v>
      </c>
      <c r="E796" s="26">
        <f>IF(D796="","",INT((D796-cfgDeslocamento)/4))</f>
        <v>0</v>
      </c>
      <c r="F796" s="26">
        <f>IF(D796="","",MOD(D796-cfgDeslocamento,4)+1)</f>
        <v>0</v>
      </c>
      <c r="G796" s="26">
        <f>IF(A796="","",IF(AND(ISNUMBER(B796),B796&lt;&gt;0),1,0))</f>
        <v>0</v>
      </c>
      <c r="H796" s="25">
        <f>IF(E796="","",(E796*4+3+cfgDeslocamento)/48)</f>
        <v>0</v>
      </c>
    </row>
    <row r="797" spans="1:8">
      <c r="A797" s="24"/>
      <c r="B797" s="19"/>
      <c r="C797" s="25">
        <f>IF(D797="","",D797/48)</f>
        <v>0</v>
      </c>
      <c r="D797" s="26">
        <f>IF(A797="","",ROUND((A797-cfgDefasagem/1440)*48,0))</f>
        <v>0</v>
      </c>
      <c r="E797" s="26">
        <f>IF(D797="","",INT((D797-cfgDeslocamento)/4))</f>
        <v>0</v>
      </c>
      <c r="F797" s="26">
        <f>IF(D797="","",MOD(D797-cfgDeslocamento,4)+1)</f>
        <v>0</v>
      </c>
      <c r="G797" s="26">
        <f>IF(A797="","",IF(AND(ISNUMBER(B797),B797&lt;&gt;0),1,0))</f>
        <v>0</v>
      </c>
      <c r="H797" s="25">
        <f>IF(E797="","",(E797*4+3+cfgDeslocamento)/48)</f>
        <v>0</v>
      </c>
    </row>
    <row r="798" spans="1:8">
      <c r="A798" s="24"/>
      <c r="B798" s="19"/>
      <c r="C798" s="25">
        <f>IF(D798="","",D798/48)</f>
        <v>0</v>
      </c>
      <c r="D798" s="26">
        <f>IF(A798="","",ROUND((A798-cfgDefasagem/1440)*48,0))</f>
        <v>0</v>
      </c>
      <c r="E798" s="26">
        <f>IF(D798="","",INT((D798-cfgDeslocamento)/4))</f>
        <v>0</v>
      </c>
      <c r="F798" s="26">
        <f>IF(D798="","",MOD(D798-cfgDeslocamento,4)+1)</f>
        <v>0</v>
      </c>
      <c r="G798" s="26">
        <f>IF(A798="","",IF(AND(ISNUMBER(B798),B798&lt;&gt;0),1,0))</f>
        <v>0</v>
      </c>
      <c r="H798" s="25">
        <f>IF(E798="","",(E798*4+3+cfgDeslocamento)/48)</f>
        <v>0</v>
      </c>
    </row>
    <row r="799" spans="1:8">
      <c r="A799" s="24"/>
      <c r="B799" s="19"/>
      <c r="C799" s="25">
        <f>IF(D799="","",D799/48)</f>
        <v>0</v>
      </c>
      <c r="D799" s="26">
        <f>IF(A799="","",ROUND((A799-cfgDefasagem/1440)*48,0))</f>
        <v>0</v>
      </c>
      <c r="E799" s="26">
        <f>IF(D799="","",INT((D799-cfgDeslocamento)/4))</f>
        <v>0</v>
      </c>
      <c r="F799" s="26">
        <f>IF(D799="","",MOD(D799-cfgDeslocamento,4)+1)</f>
        <v>0</v>
      </c>
      <c r="G799" s="26">
        <f>IF(A799="","",IF(AND(ISNUMBER(B799),B799&lt;&gt;0),1,0))</f>
        <v>0</v>
      </c>
      <c r="H799" s="25">
        <f>IF(E799="","",(E799*4+3+cfgDeslocamento)/48)</f>
        <v>0</v>
      </c>
    </row>
    <row r="800" spans="1:8">
      <c r="A800" s="24"/>
      <c r="B800" s="19"/>
      <c r="C800" s="25">
        <f>IF(D800="","",D800/48)</f>
        <v>0</v>
      </c>
      <c r="D800" s="26">
        <f>IF(A800="","",ROUND((A800-cfgDefasagem/1440)*48,0))</f>
        <v>0</v>
      </c>
      <c r="E800" s="26">
        <f>IF(D800="","",INT((D800-cfgDeslocamento)/4))</f>
        <v>0</v>
      </c>
      <c r="F800" s="26">
        <f>IF(D800="","",MOD(D800-cfgDeslocamento,4)+1)</f>
        <v>0</v>
      </c>
      <c r="G800" s="26">
        <f>IF(A800="","",IF(AND(ISNUMBER(B800),B800&lt;&gt;0),1,0))</f>
        <v>0</v>
      </c>
      <c r="H800" s="25">
        <f>IF(E800="","",(E800*4+3+cfgDeslocamento)/48)</f>
        <v>0</v>
      </c>
    </row>
    <row r="801" spans="1:8">
      <c r="A801" s="24"/>
      <c r="B801" s="19"/>
      <c r="C801" s="25">
        <f>IF(D801="","",D801/48)</f>
        <v>0</v>
      </c>
      <c r="D801" s="26">
        <f>IF(A801="","",ROUND((A801-cfgDefasagem/1440)*48,0))</f>
        <v>0</v>
      </c>
      <c r="E801" s="26">
        <f>IF(D801="","",INT((D801-cfgDeslocamento)/4))</f>
        <v>0</v>
      </c>
      <c r="F801" s="26">
        <f>IF(D801="","",MOD(D801-cfgDeslocamento,4)+1)</f>
        <v>0</v>
      </c>
      <c r="G801" s="26">
        <f>IF(A801="","",IF(AND(ISNUMBER(B801),B801&lt;&gt;0),1,0))</f>
        <v>0</v>
      </c>
      <c r="H801" s="25">
        <f>IF(E801="","",(E801*4+3+cfgDeslocamento)/48)</f>
        <v>0</v>
      </c>
    </row>
    <row r="802" spans="1:8">
      <c r="A802" s="24"/>
      <c r="B802" s="19"/>
      <c r="C802" s="25">
        <f>IF(D802="","",D802/48)</f>
        <v>0</v>
      </c>
      <c r="D802" s="26">
        <f>IF(A802="","",ROUND((A802-cfgDefasagem/1440)*48,0))</f>
        <v>0</v>
      </c>
      <c r="E802" s="26">
        <f>IF(D802="","",INT((D802-cfgDeslocamento)/4))</f>
        <v>0</v>
      </c>
      <c r="F802" s="26">
        <f>IF(D802="","",MOD(D802-cfgDeslocamento,4)+1)</f>
        <v>0</v>
      </c>
      <c r="G802" s="26">
        <f>IF(A802="","",IF(AND(ISNUMBER(B802),B802&lt;&gt;0),1,0))</f>
        <v>0</v>
      </c>
      <c r="H802" s="25">
        <f>IF(E802="","",(E802*4+3+cfgDeslocamento)/48)</f>
        <v>0</v>
      </c>
    </row>
    <row r="803" spans="1:8">
      <c r="A803" s="24"/>
      <c r="B803" s="19"/>
      <c r="C803" s="25">
        <f>IF(D803="","",D803/48)</f>
        <v>0</v>
      </c>
      <c r="D803" s="26">
        <f>IF(A803="","",ROUND((A803-cfgDefasagem/1440)*48,0))</f>
        <v>0</v>
      </c>
      <c r="E803" s="26">
        <f>IF(D803="","",INT((D803-cfgDeslocamento)/4))</f>
        <v>0</v>
      </c>
      <c r="F803" s="26">
        <f>IF(D803="","",MOD(D803-cfgDeslocamento,4)+1)</f>
        <v>0</v>
      </c>
      <c r="G803" s="26">
        <f>IF(A803="","",IF(AND(ISNUMBER(B803),B803&lt;&gt;0),1,0))</f>
        <v>0</v>
      </c>
      <c r="H803" s="25">
        <f>IF(E803="","",(E803*4+3+cfgDeslocamento)/48)</f>
        <v>0</v>
      </c>
    </row>
    <row r="804" spans="1:8">
      <c r="A804" s="24"/>
      <c r="B804" s="19"/>
      <c r="C804" s="25">
        <f>IF(D804="","",D804/48)</f>
        <v>0</v>
      </c>
      <c r="D804" s="26">
        <f>IF(A804="","",ROUND((A804-cfgDefasagem/1440)*48,0))</f>
        <v>0</v>
      </c>
      <c r="E804" s="26">
        <f>IF(D804="","",INT((D804-cfgDeslocamento)/4))</f>
        <v>0</v>
      </c>
      <c r="F804" s="26">
        <f>IF(D804="","",MOD(D804-cfgDeslocamento,4)+1)</f>
        <v>0</v>
      </c>
      <c r="G804" s="26">
        <f>IF(A804="","",IF(AND(ISNUMBER(B804),B804&lt;&gt;0),1,0))</f>
        <v>0</v>
      </c>
      <c r="H804" s="25">
        <f>IF(E804="","",(E804*4+3+cfgDeslocamento)/48)</f>
        <v>0</v>
      </c>
    </row>
    <row r="805" spans="1:8">
      <c r="A805" s="24"/>
      <c r="B805" s="19"/>
      <c r="C805" s="25">
        <f>IF(D805="","",D805/48)</f>
        <v>0</v>
      </c>
      <c r="D805" s="26">
        <f>IF(A805="","",ROUND((A805-cfgDefasagem/1440)*48,0))</f>
        <v>0</v>
      </c>
      <c r="E805" s="26">
        <f>IF(D805="","",INT((D805-cfgDeslocamento)/4))</f>
        <v>0</v>
      </c>
      <c r="F805" s="26">
        <f>IF(D805="","",MOD(D805-cfgDeslocamento,4)+1)</f>
        <v>0</v>
      </c>
      <c r="G805" s="26">
        <f>IF(A805="","",IF(AND(ISNUMBER(B805),B805&lt;&gt;0),1,0))</f>
        <v>0</v>
      </c>
      <c r="H805" s="25">
        <f>IF(E805="","",(E805*4+3+cfgDeslocamento)/48)</f>
        <v>0</v>
      </c>
    </row>
    <row r="806" spans="1:8">
      <c r="A806" s="24"/>
      <c r="B806" s="19"/>
      <c r="C806" s="25">
        <f>IF(D806="","",D806/48)</f>
        <v>0</v>
      </c>
      <c r="D806" s="26">
        <f>IF(A806="","",ROUND((A806-cfgDefasagem/1440)*48,0))</f>
        <v>0</v>
      </c>
      <c r="E806" s="26">
        <f>IF(D806="","",INT((D806-cfgDeslocamento)/4))</f>
        <v>0</v>
      </c>
      <c r="F806" s="26">
        <f>IF(D806="","",MOD(D806-cfgDeslocamento,4)+1)</f>
        <v>0</v>
      </c>
      <c r="G806" s="26">
        <f>IF(A806="","",IF(AND(ISNUMBER(B806),B806&lt;&gt;0),1,0))</f>
        <v>0</v>
      </c>
      <c r="H806" s="25">
        <f>IF(E806="","",(E806*4+3+cfgDeslocamento)/48)</f>
        <v>0</v>
      </c>
    </row>
    <row r="807" spans="1:8">
      <c r="A807" s="24"/>
      <c r="B807" s="19"/>
      <c r="C807" s="25">
        <f>IF(D807="","",D807/48)</f>
        <v>0</v>
      </c>
      <c r="D807" s="26">
        <f>IF(A807="","",ROUND((A807-cfgDefasagem/1440)*48,0))</f>
        <v>0</v>
      </c>
      <c r="E807" s="26">
        <f>IF(D807="","",INT((D807-cfgDeslocamento)/4))</f>
        <v>0</v>
      </c>
      <c r="F807" s="26">
        <f>IF(D807="","",MOD(D807-cfgDeslocamento,4)+1)</f>
        <v>0</v>
      </c>
      <c r="G807" s="26">
        <f>IF(A807="","",IF(AND(ISNUMBER(B807),B807&lt;&gt;0),1,0))</f>
        <v>0</v>
      </c>
      <c r="H807" s="25">
        <f>IF(E807="","",(E807*4+3+cfgDeslocamento)/48)</f>
        <v>0</v>
      </c>
    </row>
    <row r="808" spans="1:8">
      <c r="A808" s="24"/>
      <c r="B808" s="19"/>
      <c r="C808" s="25">
        <f>IF(D808="","",D808/48)</f>
        <v>0</v>
      </c>
      <c r="D808" s="26">
        <f>IF(A808="","",ROUND((A808-cfgDefasagem/1440)*48,0))</f>
        <v>0</v>
      </c>
      <c r="E808" s="26">
        <f>IF(D808="","",INT((D808-cfgDeslocamento)/4))</f>
        <v>0</v>
      </c>
      <c r="F808" s="26">
        <f>IF(D808="","",MOD(D808-cfgDeslocamento,4)+1)</f>
        <v>0</v>
      </c>
      <c r="G808" s="26">
        <f>IF(A808="","",IF(AND(ISNUMBER(B808),B808&lt;&gt;0),1,0))</f>
        <v>0</v>
      </c>
      <c r="H808" s="25">
        <f>IF(E808="","",(E808*4+3+cfgDeslocamento)/48)</f>
        <v>0</v>
      </c>
    </row>
    <row r="809" spans="1:8">
      <c r="A809" s="24"/>
      <c r="B809" s="19"/>
      <c r="C809" s="25">
        <f>IF(D809="","",D809/48)</f>
        <v>0</v>
      </c>
      <c r="D809" s="26">
        <f>IF(A809="","",ROUND((A809-cfgDefasagem/1440)*48,0))</f>
        <v>0</v>
      </c>
      <c r="E809" s="26">
        <f>IF(D809="","",INT((D809-cfgDeslocamento)/4))</f>
        <v>0</v>
      </c>
      <c r="F809" s="26">
        <f>IF(D809="","",MOD(D809-cfgDeslocamento,4)+1)</f>
        <v>0</v>
      </c>
      <c r="G809" s="26">
        <f>IF(A809="","",IF(AND(ISNUMBER(B809),B809&lt;&gt;0),1,0))</f>
        <v>0</v>
      </c>
      <c r="H809" s="25">
        <f>IF(E809="","",(E809*4+3+cfgDeslocamento)/48)</f>
        <v>0</v>
      </c>
    </row>
    <row r="810" spans="1:8">
      <c r="A810" s="24"/>
      <c r="B810" s="19"/>
      <c r="C810" s="25">
        <f>IF(D810="","",D810/48)</f>
        <v>0</v>
      </c>
      <c r="D810" s="26">
        <f>IF(A810="","",ROUND((A810-cfgDefasagem/1440)*48,0))</f>
        <v>0</v>
      </c>
      <c r="E810" s="26">
        <f>IF(D810="","",INT((D810-cfgDeslocamento)/4))</f>
        <v>0</v>
      </c>
      <c r="F810" s="26">
        <f>IF(D810="","",MOD(D810-cfgDeslocamento,4)+1)</f>
        <v>0</v>
      </c>
      <c r="G810" s="26">
        <f>IF(A810="","",IF(AND(ISNUMBER(B810),B810&lt;&gt;0),1,0))</f>
        <v>0</v>
      </c>
      <c r="H810" s="25">
        <f>IF(E810="","",(E810*4+3+cfgDeslocamento)/48)</f>
        <v>0</v>
      </c>
    </row>
    <row r="811" spans="1:8">
      <c r="A811" s="24"/>
      <c r="B811" s="19"/>
      <c r="C811" s="25">
        <f>IF(D811="","",D811/48)</f>
        <v>0</v>
      </c>
      <c r="D811" s="26">
        <f>IF(A811="","",ROUND((A811-cfgDefasagem/1440)*48,0))</f>
        <v>0</v>
      </c>
      <c r="E811" s="26">
        <f>IF(D811="","",INT((D811-cfgDeslocamento)/4))</f>
        <v>0</v>
      </c>
      <c r="F811" s="26">
        <f>IF(D811="","",MOD(D811-cfgDeslocamento,4)+1)</f>
        <v>0</v>
      </c>
      <c r="G811" s="26">
        <f>IF(A811="","",IF(AND(ISNUMBER(B811),B811&lt;&gt;0),1,0))</f>
        <v>0</v>
      </c>
      <c r="H811" s="25">
        <f>IF(E811="","",(E811*4+3+cfgDeslocamento)/48)</f>
        <v>0</v>
      </c>
    </row>
    <row r="812" spans="1:8">
      <c r="A812" s="24"/>
      <c r="B812" s="19"/>
      <c r="C812" s="25">
        <f>IF(D812="","",D812/48)</f>
        <v>0</v>
      </c>
      <c r="D812" s="26">
        <f>IF(A812="","",ROUND((A812-cfgDefasagem/1440)*48,0))</f>
        <v>0</v>
      </c>
      <c r="E812" s="26">
        <f>IF(D812="","",INT((D812-cfgDeslocamento)/4))</f>
        <v>0</v>
      </c>
      <c r="F812" s="26">
        <f>IF(D812="","",MOD(D812-cfgDeslocamento,4)+1)</f>
        <v>0</v>
      </c>
      <c r="G812" s="26">
        <f>IF(A812="","",IF(AND(ISNUMBER(B812),B812&lt;&gt;0),1,0))</f>
        <v>0</v>
      </c>
      <c r="H812" s="25">
        <f>IF(E812="","",(E812*4+3+cfgDeslocamento)/48)</f>
        <v>0</v>
      </c>
    </row>
    <row r="813" spans="1:8">
      <c r="A813" s="24"/>
      <c r="B813" s="19"/>
      <c r="C813" s="25">
        <f>IF(D813="","",D813/48)</f>
        <v>0</v>
      </c>
      <c r="D813" s="26">
        <f>IF(A813="","",ROUND((A813-cfgDefasagem/1440)*48,0))</f>
        <v>0</v>
      </c>
      <c r="E813" s="26">
        <f>IF(D813="","",INT((D813-cfgDeslocamento)/4))</f>
        <v>0</v>
      </c>
      <c r="F813" s="26">
        <f>IF(D813="","",MOD(D813-cfgDeslocamento,4)+1)</f>
        <v>0</v>
      </c>
      <c r="G813" s="26">
        <f>IF(A813="","",IF(AND(ISNUMBER(B813),B813&lt;&gt;0),1,0))</f>
        <v>0</v>
      </c>
      <c r="H813" s="25">
        <f>IF(E813="","",(E813*4+3+cfgDeslocamento)/48)</f>
        <v>0</v>
      </c>
    </row>
    <row r="814" spans="1:8">
      <c r="A814" s="24"/>
      <c r="B814" s="19"/>
      <c r="C814" s="25">
        <f>IF(D814="","",D814/48)</f>
        <v>0</v>
      </c>
      <c r="D814" s="26">
        <f>IF(A814="","",ROUND((A814-cfgDefasagem/1440)*48,0))</f>
        <v>0</v>
      </c>
      <c r="E814" s="26">
        <f>IF(D814="","",INT((D814-cfgDeslocamento)/4))</f>
        <v>0</v>
      </c>
      <c r="F814" s="26">
        <f>IF(D814="","",MOD(D814-cfgDeslocamento,4)+1)</f>
        <v>0</v>
      </c>
      <c r="G814" s="26">
        <f>IF(A814="","",IF(AND(ISNUMBER(B814),B814&lt;&gt;0),1,0))</f>
        <v>0</v>
      </c>
      <c r="H814" s="25">
        <f>IF(E814="","",(E814*4+3+cfgDeslocamento)/48)</f>
        <v>0</v>
      </c>
    </row>
    <row r="815" spans="1:8">
      <c r="A815" s="24"/>
      <c r="B815" s="19"/>
      <c r="C815" s="25">
        <f>IF(D815="","",D815/48)</f>
        <v>0</v>
      </c>
      <c r="D815" s="26">
        <f>IF(A815="","",ROUND((A815-cfgDefasagem/1440)*48,0))</f>
        <v>0</v>
      </c>
      <c r="E815" s="26">
        <f>IF(D815="","",INT((D815-cfgDeslocamento)/4))</f>
        <v>0</v>
      </c>
      <c r="F815" s="26">
        <f>IF(D815="","",MOD(D815-cfgDeslocamento,4)+1)</f>
        <v>0</v>
      </c>
      <c r="G815" s="26">
        <f>IF(A815="","",IF(AND(ISNUMBER(B815),B815&lt;&gt;0),1,0))</f>
        <v>0</v>
      </c>
      <c r="H815" s="25">
        <f>IF(E815="","",(E815*4+3+cfgDeslocamento)/48)</f>
        <v>0</v>
      </c>
    </row>
    <row r="816" spans="1:8">
      <c r="A816" s="24"/>
      <c r="B816" s="19"/>
      <c r="C816" s="25">
        <f>IF(D816="","",D816/48)</f>
        <v>0</v>
      </c>
      <c r="D816" s="26">
        <f>IF(A816="","",ROUND((A816-cfgDefasagem/1440)*48,0))</f>
        <v>0</v>
      </c>
      <c r="E816" s="26">
        <f>IF(D816="","",INT((D816-cfgDeslocamento)/4))</f>
        <v>0</v>
      </c>
      <c r="F816" s="26">
        <f>IF(D816="","",MOD(D816-cfgDeslocamento,4)+1)</f>
        <v>0</v>
      </c>
      <c r="G816" s="26">
        <f>IF(A816="","",IF(AND(ISNUMBER(B816),B816&lt;&gt;0),1,0))</f>
        <v>0</v>
      </c>
      <c r="H816" s="25">
        <f>IF(E816="","",(E816*4+3+cfgDeslocamento)/48)</f>
        <v>0</v>
      </c>
    </row>
    <row r="817" spans="1:8">
      <c r="A817" s="24"/>
      <c r="B817" s="19"/>
      <c r="C817" s="25">
        <f>IF(D817="","",D817/48)</f>
        <v>0</v>
      </c>
      <c r="D817" s="26">
        <f>IF(A817="","",ROUND((A817-cfgDefasagem/1440)*48,0))</f>
        <v>0</v>
      </c>
      <c r="E817" s="26">
        <f>IF(D817="","",INT((D817-cfgDeslocamento)/4))</f>
        <v>0</v>
      </c>
      <c r="F817" s="26">
        <f>IF(D817="","",MOD(D817-cfgDeslocamento,4)+1)</f>
        <v>0</v>
      </c>
      <c r="G817" s="26">
        <f>IF(A817="","",IF(AND(ISNUMBER(B817),B817&lt;&gt;0),1,0))</f>
        <v>0</v>
      </c>
      <c r="H817" s="25">
        <f>IF(E817="","",(E817*4+3+cfgDeslocamento)/48)</f>
        <v>0</v>
      </c>
    </row>
    <row r="818" spans="1:8">
      <c r="A818" s="24"/>
      <c r="B818" s="19"/>
      <c r="C818" s="25">
        <f>IF(D818="","",D818/48)</f>
        <v>0</v>
      </c>
      <c r="D818" s="26">
        <f>IF(A818="","",ROUND((A818-cfgDefasagem/1440)*48,0))</f>
        <v>0</v>
      </c>
      <c r="E818" s="26">
        <f>IF(D818="","",INT((D818-cfgDeslocamento)/4))</f>
        <v>0</v>
      </c>
      <c r="F818" s="26">
        <f>IF(D818="","",MOD(D818-cfgDeslocamento,4)+1)</f>
        <v>0</v>
      </c>
      <c r="G818" s="26">
        <f>IF(A818="","",IF(AND(ISNUMBER(B818),B818&lt;&gt;0),1,0))</f>
        <v>0</v>
      </c>
      <c r="H818" s="25">
        <f>IF(E818="","",(E818*4+3+cfgDeslocamento)/48)</f>
        <v>0</v>
      </c>
    </row>
    <row r="819" spans="1:8">
      <c r="A819" s="24"/>
      <c r="B819" s="19"/>
      <c r="C819" s="25">
        <f>IF(D819="","",D819/48)</f>
        <v>0</v>
      </c>
      <c r="D819" s="26">
        <f>IF(A819="","",ROUND((A819-cfgDefasagem/1440)*48,0))</f>
        <v>0</v>
      </c>
      <c r="E819" s="26">
        <f>IF(D819="","",INT((D819-cfgDeslocamento)/4))</f>
        <v>0</v>
      </c>
      <c r="F819" s="26">
        <f>IF(D819="","",MOD(D819-cfgDeslocamento,4)+1)</f>
        <v>0</v>
      </c>
      <c r="G819" s="26">
        <f>IF(A819="","",IF(AND(ISNUMBER(B819),B819&lt;&gt;0),1,0))</f>
        <v>0</v>
      </c>
      <c r="H819" s="25">
        <f>IF(E819="","",(E819*4+3+cfgDeslocamento)/48)</f>
        <v>0</v>
      </c>
    </row>
    <row r="820" spans="1:8">
      <c r="A820" s="24"/>
      <c r="B820" s="19"/>
      <c r="C820" s="25">
        <f>IF(D820="","",D820/48)</f>
        <v>0</v>
      </c>
      <c r="D820" s="26">
        <f>IF(A820="","",ROUND((A820-cfgDefasagem/1440)*48,0))</f>
        <v>0</v>
      </c>
      <c r="E820" s="26">
        <f>IF(D820="","",INT((D820-cfgDeslocamento)/4))</f>
        <v>0</v>
      </c>
      <c r="F820" s="26">
        <f>IF(D820="","",MOD(D820-cfgDeslocamento,4)+1)</f>
        <v>0</v>
      </c>
      <c r="G820" s="26">
        <f>IF(A820="","",IF(AND(ISNUMBER(B820),B820&lt;&gt;0),1,0))</f>
        <v>0</v>
      </c>
      <c r="H820" s="25">
        <f>IF(E820="","",(E820*4+3+cfgDeslocamento)/48)</f>
        <v>0</v>
      </c>
    </row>
    <row r="821" spans="1:8">
      <c r="A821" s="24"/>
      <c r="B821" s="19"/>
      <c r="C821" s="25">
        <f>IF(D821="","",D821/48)</f>
        <v>0</v>
      </c>
      <c r="D821" s="26">
        <f>IF(A821="","",ROUND((A821-cfgDefasagem/1440)*48,0))</f>
        <v>0</v>
      </c>
      <c r="E821" s="26">
        <f>IF(D821="","",INT((D821-cfgDeslocamento)/4))</f>
        <v>0</v>
      </c>
      <c r="F821" s="26">
        <f>IF(D821="","",MOD(D821-cfgDeslocamento,4)+1)</f>
        <v>0</v>
      </c>
      <c r="G821" s="26">
        <f>IF(A821="","",IF(AND(ISNUMBER(B821),B821&lt;&gt;0),1,0))</f>
        <v>0</v>
      </c>
      <c r="H821" s="25">
        <f>IF(E821="","",(E821*4+3+cfgDeslocamento)/48)</f>
        <v>0</v>
      </c>
    </row>
    <row r="822" spans="1:8">
      <c r="A822" s="24"/>
      <c r="B822" s="19"/>
      <c r="C822" s="25">
        <f>IF(D822="","",D822/48)</f>
        <v>0</v>
      </c>
      <c r="D822" s="26">
        <f>IF(A822="","",ROUND((A822-cfgDefasagem/1440)*48,0))</f>
        <v>0</v>
      </c>
      <c r="E822" s="26">
        <f>IF(D822="","",INT((D822-cfgDeslocamento)/4))</f>
        <v>0</v>
      </c>
      <c r="F822" s="26">
        <f>IF(D822="","",MOD(D822-cfgDeslocamento,4)+1)</f>
        <v>0</v>
      </c>
      <c r="G822" s="26">
        <f>IF(A822="","",IF(AND(ISNUMBER(B822),B822&lt;&gt;0),1,0))</f>
        <v>0</v>
      </c>
      <c r="H822" s="25">
        <f>IF(E822="","",(E822*4+3+cfgDeslocamento)/48)</f>
        <v>0</v>
      </c>
    </row>
    <row r="823" spans="1:8">
      <c r="A823" s="24"/>
      <c r="B823" s="19"/>
      <c r="C823" s="25">
        <f>IF(D823="","",D823/48)</f>
        <v>0</v>
      </c>
      <c r="D823" s="26">
        <f>IF(A823="","",ROUND((A823-cfgDefasagem/1440)*48,0))</f>
        <v>0</v>
      </c>
      <c r="E823" s="26">
        <f>IF(D823="","",INT((D823-cfgDeslocamento)/4))</f>
        <v>0</v>
      </c>
      <c r="F823" s="26">
        <f>IF(D823="","",MOD(D823-cfgDeslocamento,4)+1)</f>
        <v>0</v>
      </c>
      <c r="G823" s="26">
        <f>IF(A823="","",IF(AND(ISNUMBER(B823),B823&lt;&gt;0),1,0))</f>
        <v>0</v>
      </c>
      <c r="H823" s="25">
        <f>IF(E823="","",(E823*4+3+cfgDeslocamento)/48)</f>
        <v>0</v>
      </c>
    </row>
    <row r="824" spans="1:8">
      <c r="A824" s="24"/>
      <c r="B824" s="19"/>
      <c r="C824" s="25">
        <f>IF(D824="","",D824/48)</f>
        <v>0</v>
      </c>
      <c r="D824" s="26">
        <f>IF(A824="","",ROUND((A824-cfgDefasagem/1440)*48,0))</f>
        <v>0</v>
      </c>
      <c r="E824" s="26">
        <f>IF(D824="","",INT((D824-cfgDeslocamento)/4))</f>
        <v>0</v>
      </c>
      <c r="F824" s="26">
        <f>IF(D824="","",MOD(D824-cfgDeslocamento,4)+1)</f>
        <v>0</v>
      </c>
      <c r="G824" s="26">
        <f>IF(A824="","",IF(AND(ISNUMBER(B824),B824&lt;&gt;0),1,0))</f>
        <v>0</v>
      </c>
      <c r="H824" s="25">
        <f>IF(E824="","",(E824*4+3+cfgDeslocamento)/48)</f>
        <v>0</v>
      </c>
    </row>
    <row r="825" spans="1:8">
      <c r="A825" s="24"/>
      <c r="B825" s="19"/>
      <c r="C825" s="25">
        <f>IF(D825="","",D825/48)</f>
        <v>0</v>
      </c>
      <c r="D825" s="26">
        <f>IF(A825="","",ROUND((A825-cfgDefasagem/1440)*48,0))</f>
        <v>0</v>
      </c>
      <c r="E825" s="26">
        <f>IF(D825="","",INT((D825-cfgDeslocamento)/4))</f>
        <v>0</v>
      </c>
      <c r="F825" s="26">
        <f>IF(D825="","",MOD(D825-cfgDeslocamento,4)+1)</f>
        <v>0</v>
      </c>
      <c r="G825" s="26">
        <f>IF(A825="","",IF(AND(ISNUMBER(B825),B825&lt;&gt;0),1,0))</f>
        <v>0</v>
      </c>
      <c r="H825" s="25">
        <f>IF(E825="","",(E825*4+3+cfgDeslocamento)/48)</f>
        <v>0</v>
      </c>
    </row>
    <row r="826" spans="1:8">
      <c r="A826" s="24"/>
      <c r="B826" s="19"/>
      <c r="C826" s="25">
        <f>IF(D826="","",D826/48)</f>
        <v>0</v>
      </c>
      <c r="D826" s="26">
        <f>IF(A826="","",ROUND((A826-cfgDefasagem/1440)*48,0))</f>
        <v>0</v>
      </c>
      <c r="E826" s="26">
        <f>IF(D826="","",INT((D826-cfgDeslocamento)/4))</f>
        <v>0</v>
      </c>
      <c r="F826" s="26">
        <f>IF(D826="","",MOD(D826-cfgDeslocamento,4)+1)</f>
        <v>0</v>
      </c>
      <c r="G826" s="26">
        <f>IF(A826="","",IF(AND(ISNUMBER(B826),B826&lt;&gt;0),1,0))</f>
        <v>0</v>
      </c>
      <c r="H826" s="25">
        <f>IF(E826="","",(E826*4+3+cfgDeslocamento)/48)</f>
        <v>0</v>
      </c>
    </row>
    <row r="827" spans="1:8">
      <c r="A827" s="24"/>
      <c r="B827" s="19"/>
      <c r="C827" s="25">
        <f>IF(D827="","",D827/48)</f>
        <v>0</v>
      </c>
      <c r="D827" s="26">
        <f>IF(A827="","",ROUND((A827-cfgDefasagem/1440)*48,0))</f>
        <v>0</v>
      </c>
      <c r="E827" s="26">
        <f>IF(D827="","",INT((D827-cfgDeslocamento)/4))</f>
        <v>0</v>
      </c>
      <c r="F827" s="26">
        <f>IF(D827="","",MOD(D827-cfgDeslocamento,4)+1)</f>
        <v>0</v>
      </c>
      <c r="G827" s="26">
        <f>IF(A827="","",IF(AND(ISNUMBER(B827),B827&lt;&gt;0),1,0))</f>
        <v>0</v>
      </c>
      <c r="H827" s="25">
        <f>IF(E827="","",(E827*4+3+cfgDeslocamento)/48)</f>
        <v>0</v>
      </c>
    </row>
    <row r="828" spans="1:8">
      <c r="A828" s="24"/>
      <c r="B828" s="19"/>
      <c r="C828" s="25">
        <f>IF(D828="","",D828/48)</f>
        <v>0</v>
      </c>
      <c r="D828" s="26">
        <f>IF(A828="","",ROUND((A828-cfgDefasagem/1440)*48,0))</f>
        <v>0</v>
      </c>
      <c r="E828" s="26">
        <f>IF(D828="","",INT((D828-cfgDeslocamento)/4))</f>
        <v>0</v>
      </c>
      <c r="F828" s="26">
        <f>IF(D828="","",MOD(D828-cfgDeslocamento,4)+1)</f>
        <v>0</v>
      </c>
      <c r="G828" s="26">
        <f>IF(A828="","",IF(AND(ISNUMBER(B828),B828&lt;&gt;0),1,0))</f>
        <v>0</v>
      </c>
      <c r="H828" s="25">
        <f>IF(E828="","",(E828*4+3+cfgDeslocamento)/48)</f>
        <v>0</v>
      </c>
    </row>
    <row r="829" spans="1:8">
      <c r="A829" s="24"/>
      <c r="B829" s="19"/>
      <c r="C829" s="25">
        <f>IF(D829="","",D829/48)</f>
        <v>0</v>
      </c>
      <c r="D829" s="26">
        <f>IF(A829="","",ROUND((A829-cfgDefasagem/1440)*48,0))</f>
        <v>0</v>
      </c>
      <c r="E829" s="26">
        <f>IF(D829="","",INT((D829-cfgDeslocamento)/4))</f>
        <v>0</v>
      </c>
      <c r="F829" s="26">
        <f>IF(D829="","",MOD(D829-cfgDeslocamento,4)+1)</f>
        <v>0</v>
      </c>
      <c r="G829" s="26">
        <f>IF(A829="","",IF(AND(ISNUMBER(B829),B829&lt;&gt;0),1,0))</f>
        <v>0</v>
      </c>
      <c r="H829" s="25">
        <f>IF(E829="","",(E829*4+3+cfgDeslocamento)/48)</f>
        <v>0</v>
      </c>
    </row>
    <row r="830" spans="1:8">
      <c r="A830" s="24"/>
      <c r="B830" s="19"/>
      <c r="C830" s="25">
        <f>IF(D830="","",D830/48)</f>
        <v>0</v>
      </c>
      <c r="D830" s="26">
        <f>IF(A830="","",ROUND((A830-cfgDefasagem/1440)*48,0))</f>
        <v>0</v>
      </c>
      <c r="E830" s="26">
        <f>IF(D830="","",INT((D830-cfgDeslocamento)/4))</f>
        <v>0</v>
      </c>
      <c r="F830" s="26">
        <f>IF(D830="","",MOD(D830-cfgDeslocamento,4)+1)</f>
        <v>0</v>
      </c>
      <c r="G830" s="26">
        <f>IF(A830="","",IF(AND(ISNUMBER(B830),B830&lt;&gt;0),1,0))</f>
        <v>0</v>
      </c>
      <c r="H830" s="25">
        <f>IF(E830="","",(E830*4+3+cfgDeslocamento)/48)</f>
        <v>0</v>
      </c>
    </row>
    <row r="831" spans="1:8">
      <c r="A831" s="24"/>
      <c r="B831" s="19"/>
      <c r="C831" s="25">
        <f>IF(D831="","",D831/48)</f>
        <v>0</v>
      </c>
      <c r="D831" s="26">
        <f>IF(A831="","",ROUND((A831-cfgDefasagem/1440)*48,0))</f>
        <v>0</v>
      </c>
      <c r="E831" s="26">
        <f>IF(D831="","",INT((D831-cfgDeslocamento)/4))</f>
        <v>0</v>
      </c>
      <c r="F831" s="26">
        <f>IF(D831="","",MOD(D831-cfgDeslocamento,4)+1)</f>
        <v>0</v>
      </c>
      <c r="G831" s="26">
        <f>IF(A831="","",IF(AND(ISNUMBER(B831),B831&lt;&gt;0),1,0))</f>
        <v>0</v>
      </c>
      <c r="H831" s="25">
        <f>IF(E831="","",(E831*4+3+cfgDeslocamento)/48)</f>
        <v>0</v>
      </c>
    </row>
    <row r="832" spans="1:8">
      <c r="A832" s="24"/>
      <c r="B832" s="19"/>
      <c r="C832" s="25">
        <f>IF(D832="","",D832/48)</f>
        <v>0</v>
      </c>
      <c r="D832" s="26">
        <f>IF(A832="","",ROUND((A832-cfgDefasagem/1440)*48,0))</f>
        <v>0</v>
      </c>
      <c r="E832" s="26">
        <f>IF(D832="","",INT((D832-cfgDeslocamento)/4))</f>
        <v>0</v>
      </c>
      <c r="F832" s="26">
        <f>IF(D832="","",MOD(D832-cfgDeslocamento,4)+1)</f>
        <v>0</v>
      </c>
      <c r="G832" s="26">
        <f>IF(A832="","",IF(AND(ISNUMBER(B832),B832&lt;&gt;0),1,0))</f>
        <v>0</v>
      </c>
      <c r="H832" s="25">
        <f>IF(E832="","",(E832*4+3+cfgDeslocamento)/48)</f>
        <v>0</v>
      </c>
    </row>
    <row r="833" spans="1:8">
      <c r="A833" s="24"/>
      <c r="B833" s="19"/>
      <c r="C833" s="25">
        <f>IF(D833="","",D833/48)</f>
        <v>0</v>
      </c>
      <c r="D833" s="26">
        <f>IF(A833="","",ROUND((A833-cfgDefasagem/1440)*48,0))</f>
        <v>0</v>
      </c>
      <c r="E833" s="26">
        <f>IF(D833="","",INT((D833-cfgDeslocamento)/4))</f>
        <v>0</v>
      </c>
      <c r="F833" s="26">
        <f>IF(D833="","",MOD(D833-cfgDeslocamento,4)+1)</f>
        <v>0</v>
      </c>
      <c r="G833" s="26">
        <f>IF(A833="","",IF(AND(ISNUMBER(B833),B833&lt;&gt;0),1,0))</f>
        <v>0</v>
      </c>
      <c r="H833" s="25">
        <f>IF(E833="","",(E833*4+3+cfgDeslocamento)/48)</f>
        <v>0</v>
      </c>
    </row>
    <row r="834" spans="1:8">
      <c r="A834" s="24"/>
      <c r="B834" s="19"/>
      <c r="C834" s="25">
        <f>IF(D834="","",D834/48)</f>
        <v>0</v>
      </c>
      <c r="D834" s="26">
        <f>IF(A834="","",ROUND((A834-cfgDefasagem/1440)*48,0))</f>
        <v>0</v>
      </c>
      <c r="E834" s="26">
        <f>IF(D834="","",INT((D834-cfgDeslocamento)/4))</f>
        <v>0</v>
      </c>
      <c r="F834" s="26">
        <f>IF(D834="","",MOD(D834-cfgDeslocamento,4)+1)</f>
        <v>0</v>
      </c>
      <c r="G834" s="26">
        <f>IF(A834="","",IF(AND(ISNUMBER(B834),B834&lt;&gt;0),1,0))</f>
        <v>0</v>
      </c>
      <c r="H834" s="25">
        <f>IF(E834="","",(E834*4+3+cfgDeslocamento)/48)</f>
        <v>0</v>
      </c>
    </row>
    <row r="835" spans="1:8">
      <c r="A835" s="24"/>
      <c r="B835" s="19"/>
      <c r="C835" s="25">
        <f>IF(D835="","",D835/48)</f>
        <v>0</v>
      </c>
      <c r="D835" s="26">
        <f>IF(A835="","",ROUND((A835-cfgDefasagem/1440)*48,0))</f>
        <v>0</v>
      </c>
      <c r="E835" s="26">
        <f>IF(D835="","",INT((D835-cfgDeslocamento)/4))</f>
        <v>0</v>
      </c>
      <c r="F835" s="26">
        <f>IF(D835="","",MOD(D835-cfgDeslocamento,4)+1)</f>
        <v>0</v>
      </c>
      <c r="G835" s="26">
        <f>IF(A835="","",IF(AND(ISNUMBER(B835),B835&lt;&gt;0),1,0))</f>
        <v>0</v>
      </c>
      <c r="H835" s="25">
        <f>IF(E835="","",(E835*4+3+cfgDeslocamento)/48)</f>
        <v>0</v>
      </c>
    </row>
    <row r="836" spans="1:8">
      <c r="A836" s="24"/>
      <c r="B836" s="19"/>
      <c r="C836" s="25">
        <f>IF(D836="","",D836/48)</f>
        <v>0</v>
      </c>
      <c r="D836" s="26">
        <f>IF(A836="","",ROUND((A836-cfgDefasagem/1440)*48,0))</f>
        <v>0</v>
      </c>
      <c r="E836" s="26">
        <f>IF(D836="","",INT((D836-cfgDeslocamento)/4))</f>
        <v>0</v>
      </c>
      <c r="F836" s="26">
        <f>IF(D836="","",MOD(D836-cfgDeslocamento,4)+1)</f>
        <v>0</v>
      </c>
      <c r="G836" s="26">
        <f>IF(A836="","",IF(AND(ISNUMBER(B836),B836&lt;&gt;0),1,0))</f>
        <v>0</v>
      </c>
      <c r="H836" s="25">
        <f>IF(E836="","",(E836*4+3+cfgDeslocamento)/48)</f>
        <v>0</v>
      </c>
    </row>
    <row r="837" spans="1:8">
      <c r="A837" s="24"/>
      <c r="B837" s="19"/>
      <c r="C837" s="25">
        <f>IF(D837="","",D837/48)</f>
        <v>0</v>
      </c>
      <c r="D837" s="26">
        <f>IF(A837="","",ROUND((A837-cfgDefasagem/1440)*48,0))</f>
        <v>0</v>
      </c>
      <c r="E837" s="26">
        <f>IF(D837="","",INT((D837-cfgDeslocamento)/4))</f>
        <v>0</v>
      </c>
      <c r="F837" s="26">
        <f>IF(D837="","",MOD(D837-cfgDeslocamento,4)+1)</f>
        <v>0</v>
      </c>
      <c r="G837" s="26">
        <f>IF(A837="","",IF(AND(ISNUMBER(B837),B837&lt;&gt;0),1,0))</f>
        <v>0</v>
      </c>
      <c r="H837" s="25">
        <f>IF(E837="","",(E837*4+3+cfgDeslocamento)/48)</f>
        <v>0</v>
      </c>
    </row>
    <row r="838" spans="1:8">
      <c r="A838" s="24"/>
      <c r="B838" s="19"/>
      <c r="C838" s="25">
        <f>IF(D838="","",D838/48)</f>
        <v>0</v>
      </c>
      <c r="D838" s="26">
        <f>IF(A838="","",ROUND((A838-cfgDefasagem/1440)*48,0))</f>
        <v>0</v>
      </c>
      <c r="E838" s="26">
        <f>IF(D838="","",INT((D838-cfgDeslocamento)/4))</f>
        <v>0</v>
      </c>
      <c r="F838" s="26">
        <f>IF(D838="","",MOD(D838-cfgDeslocamento,4)+1)</f>
        <v>0</v>
      </c>
      <c r="G838" s="26">
        <f>IF(A838="","",IF(AND(ISNUMBER(B838),B838&lt;&gt;0),1,0))</f>
        <v>0</v>
      </c>
      <c r="H838" s="25">
        <f>IF(E838="","",(E838*4+3+cfgDeslocamento)/48)</f>
        <v>0</v>
      </c>
    </row>
    <row r="839" spans="1:8">
      <c r="A839" s="24"/>
      <c r="B839" s="19"/>
      <c r="C839" s="25">
        <f>IF(D839="","",D839/48)</f>
        <v>0</v>
      </c>
      <c r="D839" s="26">
        <f>IF(A839="","",ROUND((A839-cfgDefasagem/1440)*48,0))</f>
        <v>0</v>
      </c>
      <c r="E839" s="26">
        <f>IF(D839="","",INT((D839-cfgDeslocamento)/4))</f>
        <v>0</v>
      </c>
      <c r="F839" s="26">
        <f>IF(D839="","",MOD(D839-cfgDeslocamento,4)+1)</f>
        <v>0</v>
      </c>
      <c r="G839" s="26">
        <f>IF(A839="","",IF(AND(ISNUMBER(B839),B839&lt;&gt;0),1,0))</f>
        <v>0</v>
      </c>
      <c r="H839" s="25">
        <f>IF(E839="","",(E839*4+3+cfgDeslocamento)/48)</f>
        <v>0</v>
      </c>
    </row>
    <row r="840" spans="1:8">
      <c r="A840" s="24"/>
      <c r="B840" s="19"/>
      <c r="C840" s="25">
        <f>IF(D840="","",D840/48)</f>
        <v>0</v>
      </c>
      <c r="D840" s="26">
        <f>IF(A840="","",ROUND((A840-cfgDefasagem/1440)*48,0))</f>
        <v>0</v>
      </c>
      <c r="E840" s="26">
        <f>IF(D840="","",INT((D840-cfgDeslocamento)/4))</f>
        <v>0</v>
      </c>
      <c r="F840" s="26">
        <f>IF(D840="","",MOD(D840-cfgDeslocamento,4)+1)</f>
        <v>0</v>
      </c>
      <c r="G840" s="26">
        <f>IF(A840="","",IF(AND(ISNUMBER(B840),B840&lt;&gt;0),1,0))</f>
        <v>0</v>
      </c>
      <c r="H840" s="25">
        <f>IF(E840="","",(E840*4+3+cfgDeslocamento)/48)</f>
        <v>0</v>
      </c>
    </row>
    <row r="841" spans="1:8">
      <c r="A841" s="24"/>
      <c r="B841" s="19"/>
      <c r="C841" s="25">
        <f>IF(D841="","",D841/48)</f>
        <v>0</v>
      </c>
      <c r="D841" s="26">
        <f>IF(A841="","",ROUND((A841-cfgDefasagem/1440)*48,0))</f>
        <v>0</v>
      </c>
      <c r="E841" s="26">
        <f>IF(D841="","",INT((D841-cfgDeslocamento)/4))</f>
        <v>0</v>
      </c>
      <c r="F841" s="26">
        <f>IF(D841="","",MOD(D841-cfgDeslocamento,4)+1)</f>
        <v>0</v>
      </c>
      <c r="G841" s="26">
        <f>IF(A841="","",IF(AND(ISNUMBER(B841),B841&lt;&gt;0),1,0))</f>
        <v>0</v>
      </c>
      <c r="H841" s="25">
        <f>IF(E841="","",(E841*4+3+cfgDeslocamento)/48)</f>
        <v>0</v>
      </c>
    </row>
    <row r="842" spans="1:8">
      <c r="A842" s="24"/>
      <c r="B842" s="19"/>
      <c r="C842" s="25">
        <f>IF(D842="","",D842/48)</f>
        <v>0</v>
      </c>
      <c r="D842" s="26">
        <f>IF(A842="","",ROUND((A842-cfgDefasagem/1440)*48,0))</f>
        <v>0</v>
      </c>
      <c r="E842" s="26">
        <f>IF(D842="","",INT((D842-cfgDeslocamento)/4))</f>
        <v>0</v>
      </c>
      <c r="F842" s="26">
        <f>IF(D842="","",MOD(D842-cfgDeslocamento,4)+1)</f>
        <v>0</v>
      </c>
      <c r="G842" s="26">
        <f>IF(A842="","",IF(AND(ISNUMBER(B842),B842&lt;&gt;0),1,0))</f>
        <v>0</v>
      </c>
      <c r="H842" s="25">
        <f>IF(E842="","",(E842*4+3+cfgDeslocamento)/48)</f>
        <v>0</v>
      </c>
    </row>
    <row r="843" spans="1:8">
      <c r="A843" s="24"/>
      <c r="B843" s="19"/>
      <c r="C843" s="25">
        <f>IF(D843="","",D843/48)</f>
        <v>0</v>
      </c>
      <c r="D843" s="26">
        <f>IF(A843="","",ROUND((A843-cfgDefasagem/1440)*48,0))</f>
        <v>0</v>
      </c>
      <c r="E843" s="26">
        <f>IF(D843="","",INT((D843-cfgDeslocamento)/4))</f>
        <v>0</v>
      </c>
      <c r="F843" s="26">
        <f>IF(D843="","",MOD(D843-cfgDeslocamento,4)+1)</f>
        <v>0</v>
      </c>
      <c r="G843" s="26">
        <f>IF(A843="","",IF(AND(ISNUMBER(B843),B843&lt;&gt;0),1,0))</f>
        <v>0</v>
      </c>
      <c r="H843" s="25">
        <f>IF(E843="","",(E843*4+3+cfgDeslocamento)/48)</f>
        <v>0</v>
      </c>
    </row>
    <row r="844" spans="1:8">
      <c r="A844" s="24"/>
      <c r="B844" s="19"/>
      <c r="C844" s="25">
        <f>IF(D844="","",D844/48)</f>
        <v>0</v>
      </c>
      <c r="D844" s="26">
        <f>IF(A844="","",ROUND((A844-cfgDefasagem/1440)*48,0))</f>
        <v>0</v>
      </c>
      <c r="E844" s="26">
        <f>IF(D844="","",INT((D844-cfgDeslocamento)/4))</f>
        <v>0</v>
      </c>
      <c r="F844" s="26">
        <f>IF(D844="","",MOD(D844-cfgDeslocamento,4)+1)</f>
        <v>0</v>
      </c>
      <c r="G844" s="26">
        <f>IF(A844="","",IF(AND(ISNUMBER(B844),B844&lt;&gt;0),1,0))</f>
        <v>0</v>
      </c>
      <c r="H844" s="25">
        <f>IF(E844="","",(E844*4+3+cfgDeslocamento)/48)</f>
        <v>0</v>
      </c>
    </row>
    <row r="845" spans="1:8">
      <c r="A845" s="24"/>
      <c r="B845" s="19"/>
      <c r="C845" s="25">
        <f>IF(D845="","",D845/48)</f>
        <v>0</v>
      </c>
      <c r="D845" s="26">
        <f>IF(A845="","",ROUND((A845-cfgDefasagem/1440)*48,0))</f>
        <v>0</v>
      </c>
      <c r="E845" s="26">
        <f>IF(D845="","",INT((D845-cfgDeslocamento)/4))</f>
        <v>0</v>
      </c>
      <c r="F845" s="26">
        <f>IF(D845="","",MOD(D845-cfgDeslocamento,4)+1)</f>
        <v>0</v>
      </c>
      <c r="G845" s="26">
        <f>IF(A845="","",IF(AND(ISNUMBER(B845),B845&lt;&gt;0),1,0))</f>
        <v>0</v>
      </c>
      <c r="H845" s="25">
        <f>IF(E845="","",(E845*4+3+cfgDeslocamento)/48)</f>
        <v>0</v>
      </c>
    </row>
    <row r="846" spans="1:8">
      <c r="A846" s="24"/>
      <c r="B846" s="19"/>
      <c r="C846" s="25">
        <f>IF(D846="","",D846/48)</f>
        <v>0</v>
      </c>
      <c r="D846" s="26">
        <f>IF(A846="","",ROUND((A846-cfgDefasagem/1440)*48,0))</f>
        <v>0</v>
      </c>
      <c r="E846" s="26">
        <f>IF(D846="","",INT((D846-cfgDeslocamento)/4))</f>
        <v>0</v>
      </c>
      <c r="F846" s="26">
        <f>IF(D846="","",MOD(D846-cfgDeslocamento,4)+1)</f>
        <v>0</v>
      </c>
      <c r="G846" s="26">
        <f>IF(A846="","",IF(AND(ISNUMBER(B846),B846&lt;&gt;0),1,0))</f>
        <v>0</v>
      </c>
      <c r="H846" s="25">
        <f>IF(E846="","",(E846*4+3+cfgDeslocamento)/48)</f>
        <v>0</v>
      </c>
    </row>
    <row r="847" spans="1:8">
      <c r="A847" s="24"/>
      <c r="B847" s="19"/>
      <c r="C847" s="25">
        <f>IF(D847="","",D847/48)</f>
        <v>0</v>
      </c>
      <c r="D847" s="26">
        <f>IF(A847="","",ROUND((A847-cfgDefasagem/1440)*48,0))</f>
        <v>0</v>
      </c>
      <c r="E847" s="26">
        <f>IF(D847="","",INT((D847-cfgDeslocamento)/4))</f>
        <v>0</v>
      </c>
      <c r="F847" s="26">
        <f>IF(D847="","",MOD(D847-cfgDeslocamento,4)+1)</f>
        <v>0</v>
      </c>
      <c r="G847" s="26">
        <f>IF(A847="","",IF(AND(ISNUMBER(B847),B847&lt;&gt;0),1,0))</f>
        <v>0</v>
      </c>
      <c r="H847" s="25">
        <f>IF(E847="","",(E847*4+3+cfgDeslocamento)/48)</f>
        <v>0</v>
      </c>
    </row>
    <row r="848" spans="1:8">
      <c r="A848" s="24"/>
      <c r="B848" s="19"/>
      <c r="C848" s="25">
        <f>IF(D848="","",D848/48)</f>
        <v>0</v>
      </c>
      <c r="D848" s="26">
        <f>IF(A848="","",ROUND((A848-cfgDefasagem/1440)*48,0))</f>
        <v>0</v>
      </c>
      <c r="E848" s="26">
        <f>IF(D848="","",INT((D848-cfgDeslocamento)/4))</f>
        <v>0</v>
      </c>
      <c r="F848" s="26">
        <f>IF(D848="","",MOD(D848-cfgDeslocamento,4)+1)</f>
        <v>0</v>
      </c>
      <c r="G848" s="26">
        <f>IF(A848="","",IF(AND(ISNUMBER(B848),B848&lt;&gt;0),1,0))</f>
        <v>0</v>
      </c>
      <c r="H848" s="25">
        <f>IF(E848="","",(E848*4+3+cfgDeslocamento)/48)</f>
        <v>0</v>
      </c>
    </row>
    <row r="849" spans="1:8">
      <c r="A849" s="24"/>
      <c r="B849" s="19"/>
      <c r="C849" s="25">
        <f>IF(D849="","",D849/48)</f>
        <v>0</v>
      </c>
      <c r="D849" s="26">
        <f>IF(A849="","",ROUND((A849-cfgDefasagem/1440)*48,0))</f>
        <v>0</v>
      </c>
      <c r="E849" s="26">
        <f>IF(D849="","",INT((D849-cfgDeslocamento)/4))</f>
        <v>0</v>
      </c>
      <c r="F849" s="26">
        <f>IF(D849="","",MOD(D849-cfgDeslocamento,4)+1)</f>
        <v>0</v>
      </c>
      <c r="G849" s="26">
        <f>IF(A849="","",IF(AND(ISNUMBER(B849),B849&lt;&gt;0),1,0))</f>
        <v>0</v>
      </c>
      <c r="H849" s="25">
        <f>IF(E849="","",(E849*4+3+cfgDeslocamento)/48)</f>
        <v>0</v>
      </c>
    </row>
    <row r="850" spans="1:8">
      <c r="A850" s="24"/>
      <c r="B850" s="19"/>
      <c r="C850" s="25">
        <f>IF(D850="","",D850/48)</f>
        <v>0</v>
      </c>
      <c r="D850" s="26">
        <f>IF(A850="","",ROUND((A850-cfgDefasagem/1440)*48,0))</f>
        <v>0</v>
      </c>
      <c r="E850" s="26">
        <f>IF(D850="","",INT((D850-cfgDeslocamento)/4))</f>
        <v>0</v>
      </c>
      <c r="F850" s="26">
        <f>IF(D850="","",MOD(D850-cfgDeslocamento,4)+1)</f>
        <v>0</v>
      </c>
      <c r="G850" s="26">
        <f>IF(A850="","",IF(AND(ISNUMBER(B850),B850&lt;&gt;0),1,0))</f>
        <v>0</v>
      </c>
      <c r="H850" s="25">
        <f>IF(E850="","",(E850*4+3+cfgDeslocamento)/48)</f>
        <v>0</v>
      </c>
    </row>
    <row r="851" spans="1:8">
      <c r="A851" s="24"/>
      <c r="B851" s="19"/>
      <c r="C851" s="25">
        <f>IF(D851="","",D851/48)</f>
        <v>0</v>
      </c>
      <c r="D851" s="26">
        <f>IF(A851="","",ROUND((A851-cfgDefasagem/1440)*48,0))</f>
        <v>0</v>
      </c>
      <c r="E851" s="26">
        <f>IF(D851="","",INT((D851-cfgDeslocamento)/4))</f>
        <v>0</v>
      </c>
      <c r="F851" s="26">
        <f>IF(D851="","",MOD(D851-cfgDeslocamento,4)+1)</f>
        <v>0</v>
      </c>
      <c r="G851" s="26">
        <f>IF(A851="","",IF(AND(ISNUMBER(B851),B851&lt;&gt;0),1,0))</f>
        <v>0</v>
      </c>
      <c r="H851" s="25">
        <f>IF(E851="","",(E851*4+3+cfgDeslocamento)/48)</f>
        <v>0</v>
      </c>
    </row>
    <row r="852" spans="1:8">
      <c r="A852" s="24"/>
      <c r="B852" s="19"/>
      <c r="C852" s="25">
        <f>IF(D852="","",D852/48)</f>
        <v>0</v>
      </c>
      <c r="D852" s="26">
        <f>IF(A852="","",ROUND((A852-cfgDefasagem/1440)*48,0))</f>
        <v>0</v>
      </c>
      <c r="E852" s="26">
        <f>IF(D852="","",INT((D852-cfgDeslocamento)/4))</f>
        <v>0</v>
      </c>
      <c r="F852" s="26">
        <f>IF(D852="","",MOD(D852-cfgDeslocamento,4)+1)</f>
        <v>0</v>
      </c>
      <c r="G852" s="26">
        <f>IF(A852="","",IF(AND(ISNUMBER(B852),B852&lt;&gt;0),1,0))</f>
        <v>0</v>
      </c>
      <c r="H852" s="25">
        <f>IF(E852="","",(E852*4+3+cfgDeslocamento)/48)</f>
        <v>0</v>
      </c>
    </row>
    <row r="853" spans="1:8">
      <c r="A853" s="24"/>
      <c r="B853" s="19"/>
      <c r="C853" s="25">
        <f>IF(D853="","",D853/48)</f>
        <v>0</v>
      </c>
      <c r="D853" s="26">
        <f>IF(A853="","",ROUND((A853-cfgDefasagem/1440)*48,0))</f>
        <v>0</v>
      </c>
      <c r="E853" s="26">
        <f>IF(D853="","",INT((D853-cfgDeslocamento)/4))</f>
        <v>0</v>
      </c>
      <c r="F853" s="26">
        <f>IF(D853="","",MOD(D853-cfgDeslocamento,4)+1)</f>
        <v>0</v>
      </c>
      <c r="G853" s="26">
        <f>IF(A853="","",IF(AND(ISNUMBER(B853),B853&lt;&gt;0),1,0))</f>
        <v>0</v>
      </c>
      <c r="H853" s="25">
        <f>IF(E853="","",(E853*4+3+cfgDeslocamento)/48)</f>
        <v>0</v>
      </c>
    </row>
    <row r="854" spans="1:8">
      <c r="A854" s="24"/>
      <c r="B854" s="19"/>
      <c r="C854" s="25">
        <f>IF(D854="","",D854/48)</f>
        <v>0</v>
      </c>
      <c r="D854" s="26">
        <f>IF(A854="","",ROUND((A854-cfgDefasagem/1440)*48,0))</f>
        <v>0</v>
      </c>
      <c r="E854" s="26">
        <f>IF(D854="","",INT((D854-cfgDeslocamento)/4))</f>
        <v>0</v>
      </c>
      <c r="F854" s="26">
        <f>IF(D854="","",MOD(D854-cfgDeslocamento,4)+1)</f>
        <v>0</v>
      </c>
      <c r="G854" s="26">
        <f>IF(A854="","",IF(AND(ISNUMBER(B854),B854&lt;&gt;0),1,0))</f>
        <v>0</v>
      </c>
      <c r="H854" s="25">
        <f>IF(E854="","",(E854*4+3+cfgDeslocamento)/48)</f>
        <v>0</v>
      </c>
    </row>
    <row r="855" spans="1:8">
      <c r="A855" s="24"/>
      <c r="B855" s="19"/>
      <c r="C855" s="25">
        <f>IF(D855="","",D855/48)</f>
        <v>0</v>
      </c>
      <c r="D855" s="26">
        <f>IF(A855="","",ROUND((A855-cfgDefasagem/1440)*48,0))</f>
        <v>0</v>
      </c>
      <c r="E855" s="26">
        <f>IF(D855="","",INT((D855-cfgDeslocamento)/4))</f>
        <v>0</v>
      </c>
      <c r="F855" s="26">
        <f>IF(D855="","",MOD(D855-cfgDeslocamento,4)+1)</f>
        <v>0</v>
      </c>
      <c r="G855" s="26">
        <f>IF(A855="","",IF(AND(ISNUMBER(B855),B855&lt;&gt;0),1,0))</f>
        <v>0</v>
      </c>
      <c r="H855" s="25">
        <f>IF(E855="","",(E855*4+3+cfgDeslocamento)/48)</f>
        <v>0</v>
      </c>
    </row>
    <row r="856" spans="1:8">
      <c r="A856" s="24"/>
      <c r="B856" s="19"/>
      <c r="C856" s="25">
        <f>IF(D856="","",D856/48)</f>
        <v>0</v>
      </c>
      <c r="D856" s="26">
        <f>IF(A856="","",ROUND((A856-cfgDefasagem/1440)*48,0))</f>
        <v>0</v>
      </c>
      <c r="E856" s="26">
        <f>IF(D856="","",INT((D856-cfgDeslocamento)/4))</f>
        <v>0</v>
      </c>
      <c r="F856" s="26">
        <f>IF(D856="","",MOD(D856-cfgDeslocamento,4)+1)</f>
        <v>0</v>
      </c>
      <c r="G856" s="26">
        <f>IF(A856="","",IF(AND(ISNUMBER(B856),B856&lt;&gt;0),1,0))</f>
        <v>0</v>
      </c>
      <c r="H856" s="25">
        <f>IF(E856="","",(E856*4+3+cfgDeslocamento)/48)</f>
        <v>0</v>
      </c>
    </row>
    <row r="857" spans="1:8">
      <c r="A857" s="24"/>
      <c r="B857" s="19"/>
      <c r="C857" s="25">
        <f>IF(D857="","",D857/48)</f>
        <v>0</v>
      </c>
      <c r="D857" s="26">
        <f>IF(A857="","",ROUND((A857-cfgDefasagem/1440)*48,0))</f>
        <v>0</v>
      </c>
      <c r="E857" s="26">
        <f>IF(D857="","",INT((D857-cfgDeslocamento)/4))</f>
        <v>0</v>
      </c>
      <c r="F857" s="26">
        <f>IF(D857="","",MOD(D857-cfgDeslocamento,4)+1)</f>
        <v>0</v>
      </c>
      <c r="G857" s="26">
        <f>IF(A857="","",IF(AND(ISNUMBER(B857),B857&lt;&gt;0),1,0))</f>
        <v>0</v>
      </c>
      <c r="H857" s="25">
        <f>IF(E857="","",(E857*4+3+cfgDeslocamento)/48)</f>
        <v>0</v>
      </c>
    </row>
    <row r="858" spans="1:8">
      <c r="A858" s="24"/>
      <c r="B858" s="19"/>
      <c r="C858" s="25">
        <f>IF(D858="","",D858/48)</f>
        <v>0</v>
      </c>
      <c r="D858" s="26">
        <f>IF(A858="","",ROUND((A858-cfgDefasagem/1440)*48,0))</f>
        <v>0</v>
      </c>
      <c r="E858" s="26">
        <f>IF(D858="","",INT((D858-cfgDeslocamento)/4))</f>
        <v>0</v>
      </c>
      <c r="F858" s="26">
        <f>IF(D858="","",MOD(D858-cfgDeslocamento,4)+1)</f>
        <v>0</v>
      </c>
      <c r="G858" s="26">
        <f>IF(A858="","",IF(AND(ISNUMBER(B858),B858&lt;&gt;0),1,0))</f>
        <v>0</v>
      </c>
      <c r="H858" s="25">
        <f>IF(E858="","",(E858*4+3+cfgDeslocamento)/48)</f>
        <v>0</v>
      </c>
    </row>
    <row r="859" spans="1:8">
      <c r="A859" s="24"/>
      <c r="B859" s="19"/>
      <c r="C859" s="25">
        <f>IF(D859="","",D859/48)</f>
        <v>0</v>
      </c>
      <c r="D859" s="26">
        <f>IF(A859="","",ROUND((A859-cfgDefasagem/1440)*48,0))</f>
        <v>0</v>
      </c>
      <c r="E859" s="26">
        <f>IF(D859="","",INT((D859-cfgDeslocamento)/4))</f>
        <v>0</v>
      </c>
      <c r="F859" s="26">
        <f>IF(D859="","",MOD(D859-cfgDeslocamento,4)+1)</f>
        <v>0</v>
      </c>
      <c r="G859" s="26">
        <f>IF(A859="","",IF(AND(ISNUMBER(B859),B859&lt;&gt;0),1,0))</f>
        <v>0</v>
      </c>
      <c r="H859" s="25">
        <f>IF(E859="","",(E859*4+3+cfgDeslocamento)/48)</f>
        <v>0</v>
      </c>
    </row>
    <row r="860" spans="1:8">
      <c r="A860" s="24"/>
      <c r="B860" s="19"/>
      <c r="C860" s="25">
        <f>IF(D860="","",D860/48)</f>
        <v>0</v>
      </c>
      <c r="D860" s="26">
        <f>IF(A860="","",ROUND((A860-cfgDefasagem/1440)*48,0))</f>
        <v>0</v>
      </c>
      <c r="E860" s="26">
        <f>IF(D860="","",INT((D860-cfgDeslocamento)/4))</f>
        <v>0</v>
      </c>
      <c r="F860" s="26">
        <f>IF(D860="","",MOD(D860-cfgDeslocamento,4)+1)</f>
        <v>0</v>
      </c>
      <c r="G860" s="26">
        <f>IF(A860="","",IF(AND(ISNUMBER(B860),B860&lt;&gt;0),1,0))</f>
        <v>0</v>
      </c>
      <c r="H860" s="25">
        <f>IF(E860="","",(E860*4+3+cfgDeslocamento)/48)</f>
        <v>0</v>
      </c>
    </row>
    <row r="861" spans="1:8">
      <c r="A861" s="24"/>
      <c r="B861" s="19"/>
      <c r="C861" s="25">
        <f>IF(D861="","",D861/48)</f>
        <v>0</v>
      </c>
      <c r="D861" s="26">
        <f>IF(A861="","",ROUND((A861-cfgDefasagem/1440)*48,0))</f>
        <v>0</v>
      </c>
      <c r="E861" s="26">
        <f>IF(D861="","",INT((D861-cfgDeslocamento)/4))</f>
        <v>0</v>
      </c>
      <c r="F861" s="26">
        <f>IF(D861="","",MOD(D861-cfgDeslocamento,4)+1)</f>
        <v>0</v>
      </c>
      <c r="G861" s="26">
        <f>IF(A861="","",IF(AND(ISNUMBER(B861),B861&lt;&gt;0),1,0))</f>
        <v>0</v>
      </c>
      <c r="H861" s="25">
        <f>IF(E861="","",(E861*4+3+cfgDeslocamento)/48)</f>
        <v>0</v>
      </c>
    </row>
    <row r="862" spans="1:8">
      <c r="A862" s="24"/>
      <c r="B862" s="19"/>
      <c r="C862" s="25">
        <f>IF(D862="","",D862/48)</f>
        <v>0</v>
      </c>
      <c r="D862" s="26">
        <f>IF(A862="","",ROUND((A862-cfgDefasagem/1440)*48,0))</f>
        <v>0</v>
      </c>
      <c r="E862" s="26">
        <f>IF(D862="","",INT((D862-cfgDeslocamento)/4))</f>
        <v>0</v>
      </c>
      <c r="F862" s="26">
        <f>IF(D862="","",MOD(D862-cfgDeslocamento,4)+1)</f>
        <v>0</v>
      </c>
      <c r="G862" s="26">
        <f>IF(A862="","",IF(AND(ISNUMBER(B862),B862&lt;&gt;0),1,0))</f>
        <v>0</v>
      </c>
      <c r="H862" s="25">
        <f>IF(E862="","",(E862*4+3+cfgDeslocamento)/48)</f>
        <v>0</v>
      </c>
    </row>
    <row r="863" spans="1:8">
      <c r="A863" s="24"/>
      <c r="B863" s="19"/>
      <c r="C863" s="25">
        <f>IF(D863="","",D863/48)</f>
        <v>0</v>
      </c>
      <c r="D863" s="26">
        <f>IF(A863="","",ROUND((A863-cfgDefasagem/1440)*48,0))</f>
        <v>0</v>
      </c>
      <c r="E863" s="26">
        <f>IF(D863="","",INT((D863-cfgDeslocamento)/4))</f>
        <v>0</v>
      </c>
      <c r="F863" s="26">
        <f>IF(D863="","",MOD(D863-cfgDeslocamento,4)+1)</f>
        <v>0</v>
      </c>
      <c r="G863" s="26">
        <f>IF(A863="","",IF(AND(ISNUMBER(B863),B863&lt;&gt;0),1,0))</f>
        <v>0</v>
      </c>
      <c r="H863" s="25">
        <f>IF(E863="","",(E863*4+3+cfgDeslocamento)/48)</f>
        <v>0</v>
      </c>
    </row>
    <row r="864" spans="1:8">
      <c r="A864" s="24"/>
      <c r="B864" s="19"/>
      <c r="C864" s="25">
        <f>IF(D864="","",D864/48)</f>
        <v>0</v>
      </c>
      <c r="D864" s="26">
        <f>IF(A864="","",ROUND((A864-cfgDefasagem/1440)*48,0))</f>
        <v>0</v>
      </c>
      <c r="E864" s="26">
        <f>IF(D864="","",INT((D864-cfgDeslocamento)/4))</f>
        <v>0</v>
      </c>
      <c r="F864" s="26">
        <f>IF(D864="","",MOD(D864-cfgDeslocamento,4)+1)</f>
        <v>0</v>
      </c>
      <c r="G864" s="26">
        <f>IF(A864="","",IF(AND(ISNUMBER(B864),B864&lt;&gt;0),1,0))</f>
        <v>0</v>
      </c>
      <c r="H864" s="25">
        <f>IF(E864="","",(E864*4+3+cfgDeslocamento)/48)</f>
        <v>0</v>
      </c>
    </row>
    <row r="865" spans="1:8">
      <c r="A865" s="24"/>
      <c r="B865" s="19"/>
      <c r="C865" s="25">
        <f>IF(D865="","",D865/48)</f>
        <v>0</v>
      </c>
      <c r="D865" s="26">
        <f>IF(A865="","",ROUND((A865-cfgDefasagem/1440)*48,0))</f>
        <v>0</v>
      </c>
      <c r="E865" s="26">
        <f>IF(D865="","",INT((D865-cfgDeslocamento)/4))</f>
        <v>0</v>
      </c>
      <c r="F865" s="26">
        <f>IF(D865="","",MOD(D865-cfgDeslocamento,4)+1)</f>
        <v>0</v>
      </c>
      <c r="G865" s="26">
        <f>IF(A865="","",IF(AND(ISNUMBER(B865),B865&lt;&gt;0),1,0))</f>
        <v>0</v>
      </c>
      <c r="H865" s="25">
        <f>IF(E865="","",(E865*4+3+cfgDeslocamento)/48)</f>
        <v>0</v>
      </c>
    </row>
    <row r="866" spans="1:8">
      <c r="A866" s="24"/>
      <c r="B866" s="19"/>
      <c r="C866" s="25">
        <f>IF(D866="","",D866/48)</f>
        <v>0</v>
      </c>
      <c r="D866" s="26">
        <f>IF(A866="","",ROUND((A866-cfgDefasagem/1440)*48,0))</f>
        <v>0</v>
      </c>
      <c r="E866" s="26">
        <f>IF(D866="","",INT((D866-cfgDeslocamento)/4))</f>
        <v>0</v>
      </c>
      <c r="F866" s="26">
        <f>IF(D866="","",MOD(D866-cfgDeslocamento,4)+1)</f>
        <v>0</v>
      </c>
      <c r="G866" s="26">
        <f>IF(A866="","",IF(AND(ISNUMBER(B866),B866&lt;&gt;0),1,0))</f>
        <v>0</v>
      </c>
      <c r="H866" s="25">
        <f>IF(E866="","",(E866*4+3+cfgDeslocamento)/48)</f>
        <v>0</v>
      </c>
    </row>
    <row r="867" spans="1:8">
      <c r="A867" s="24"/>
      <c r="B867" s="19"/>
      <c r="C867" s="25">
        <f>IF(D867="","",D867/48)</f>
        <v>0</v>
      </c>
      <c r="D867" s="26">
        <f>IF(A867="","",ROUND((A867-cfgDefasagem/1440)*48,0))</f>
        <v>0</v>
      </c>
      <c r="E867" s="26">
        <f>IF(D867="","",INT((D867-cfgDeslocamento)/4))</f>
        <v>0</v>
      </c>
      <c r="F867" s="26">
        <f>IF(D867="","",MOD(D867-cfgDeslocamento,4)+1)</f>
        <v>0</v>
      </c>
      <c r="G867" s="26">
        <f>IF(A867="","",IF(AND(ISNUMBER(B867),B867&lt;&gt;0),1,0))</f>
        <v>0</v>
      </c>
      <c r="H867" s="25">
        <f>IF(E867="","",(E867*4+3+cfgDeslocamento)/48)</f>
        <v>0</v>
      </c>
    </row>
    <row r="868" spans="1:8">
      <c r="A868" s="24"/>
      <c r="B868" s="19"/>
      <c r="C868" s="25">
        <f>IF(D868="","",D868/48)</f>
        <v>0</v>
      </c>
      <c r="D868" s="26">
        <f>IF(A868="","",ROUND((A868-cfgDefasagem/1440)*48,0))</f>
        <v>0</v>
      </c>
      <c r="E868" s="26">
        <f>IF(D868="","",INT((D868-cfgDeslocamento)/4))</f>
        <v>0</v>
      </c>
      <c r="F868" s="26">
        <f>IF(D868="","",MOD(D868-cfgDeslocamento,4)+1)</f>
        <v>0</v>
      </c>
      <c r="G868" s="26">
        <f>IF(A868="","",IF(AND(ISNUMBER(B868),B868&lt;&gt;0),1,0))</f>
        <v>0</v>
      </c>
      <c r="H868" s="25">
        <f>IF(E868="","",(E868*4+3+cfgDeslocamento)/48)</f>
        <v>0</v>
      </c>
    </row>
    <row r="869" spans="1:8">
      <c r="A869" s="24"/>
      <c r="B869" s="19"/>
      <c r="C869" s="25">
        <f>IF(D869="","",D869/48)</f>
        <v>0</v>
      </c>
      <c r="D869" s="26">
        <f>IF(A869="","",ROUND((A869-cfgDefasagem/1440)*48,0))</f>
        <v>0</v>
      </c>
      <c r="E869" s="26">
        <f>IF(D869="","",INT((D869-cfgDeslocamento)/4))</f>
        <v>0</v>
      </c>
      <c r="F869" s="26">
        <f>IF(D869="","",MOD(D869-cfgDeslocamento,4)+1)</f>
        <v>0</v>
      </c>
      <c r="G869" s="26">
        <f>IF(A869="","",IF(AND(ISNUMBER(B869),B869&lt;&gt;0),1,0))</f>
        <v>0</v>
      </c>
      <c r="H869" s="25">
        <f>IF(E869="","",(E869*4+3+cfgDeslocamento)/48)</f>
        <v>0</v>
      </c>
    </row>
    <row r="870" spans="1:8">
      <c r="A870" s="24"/>
      <c r="B870" s="19"/>
      <c r="C870" s="25">
        <f>IF(D870="","",D870/48)</f>
        <v>0</v>
      </c>
      <c r="D870" s="26">
        <f>IF(A870="","",ROUND((A870-cfgDefasagem/1440)*48,0))</f>
        <v>0</v>
      </c>
      <c r="E870" s="26">
        <f>IF(D870="","",INT((D870-cfgDeslocamento)/4))</f>
        <v>0</v>
      </c>
      <c r="F870" s="26">
        <f>IF(D870="","",MOD(D870-cfgDeslocamento,4)+1)</f>
        <v>0</v>
      </c>
      <c r="G870" s="26">
        <f>IF(A870="","",IF(AND(ISNUMBER(B870),B870&lt;&gt;0),1,0))</f>
        <v>0</v>
      </c>
      <c r="H870" s="25">
        <f>IF(E870="","",(E870*4+3+cfgDeslocamento)/48)</f>
        <v>0</v>
      </c>
    </row>
    <row r="871" spans="1:8">
      <c r="A871" s="24"/>
      <c r="B871" s="19"/>
      <c r="C871" s="25">
        <f>IF(D871="","",D871/48)</f>
        <v>0</v>
      </c>
      <c r="D871" s="26">
        <f>IF(A871="","",ROUND((A871-cfgDefasagem/1440)*48,0))</f>
        <v>0</v>
      </c>
      <c r="E871" s="26">
        <f>IF(D871="","",INT((D871-cfgDeslocamento)/4))</f>
        <v>0</v>
      </c>
      <c r="F871" s="26">
        <f>IF(D871="","",MOD(D871-cfgDeslocamento,4)+1)</f>
        <v>0</v>
      </c>
      <c r="G871" s="26">
        <f>IF(A871="","",IF(AND(ISNUMBER(B871),B871&lt;&gt;0),1,0))</f>
        <v>0</v>
      </c>
      <c r="H871" s="25">
        <f>IF(E871="","",(E871*4+3+cfgDeslocamento)/48)</f>
        <v>0</v>
      </c>
    </row>
    <row r="872" spans="1:8">
      <c r="A872" s="24"/>
      <c r="B872" s="19"/>
      <c r="C872" s="25">
        <f>IF(D872="","",D872/48)</f>
        <v>0</v>
      </c>
      <c r="D872" s="26">
        <f>IF(A872="","",ROUND((A872-cfgDefasagem/1440)*48,0))</f>
        <v>0</v>
      </c>
      <c r="E872" s="26">
        <f>IF(D872="","",INT((D872-cfgDeslocamento)/4))</f>
        <v>0</v>
      </c>
      <c r="F872" s="26">
        <f>IF(D872="","",MOD(D872-cfgDeslocamento,4)+1)</f>
        <v>0</v>
      </c>
      <c r="G872" s="26">
        <f>IF(A872="","",IF(AND(ISNUMBER(B872),B872&lt;&gt;0),1,0))</f>
        <v>0</v>
      </c>
      <c r="H872" s="25">
        <f>IF(E872="","",(E872*4+3+cfgDeslocamento)/48)</f>
        <v>0</v>
      </c>
    </row>
    <row r="873" spans="1:8">
      <c r="A873" s="24"/>
      <c r="B873" s="19"/>
      <c r="C873" s="25">
        <f>IF(D873="","",D873/48)</f>
        <v>0</v>
      </c>
      <c r="D873" s="26">
        <f>IF(A873="","",ROUND((A873-cfgDefasagem/1440)*48,0))</f>
        <v>0</v>
      </c>
      <c r="E873" s="26">
        <f>IF(D873="","",INT((D873-cfgDeslocamento)/4))</f>
        <v>0</v>
      </c>
      <c r="F873" s="26">
        <f>IF(D873="","",MOD(D873-cfgDeslocamento,4)+1)</f>
        <v>0</v>
      </c>
      <c r="G873" s="26">
        <f>IF(A873="","",IF(AND(ISNUMBER(B873),B873&lt;&gt;0),1,0))</f>
        <v>0</v>
      </c>
      <c r="H873" s="25">
        <f>IF(E873="","",(E873*4+3+cfgDeslocamento)/48)</f>
        <v>0</v>
      </c>
    </row>
    <row r="874" spans="1:8">
      <c r="A874" s="24"/>
      <c r="B874" s="19"/>
      <c r="C874" s="25">
        <f>IF(D874="","",D874/48)</f>
        <v>0</v>
      </c>
      <c r="D874" s="26">
        <f>IF(A874="","",ROUND((A874-cfgDefasagem/1440)*48,0))</f>
        <v>0</v>
      </c>
      <c r="E874" s="26">
        <f>IF(D874="","",INT((D874-cfgDeslocamento)/4))</f>
        <v>0</v>
      </c>
      <c r="F874" s="26">
        <f>IF(D874="","",MOD(D874-cfgDeslocamento,4)+1)</f>
        <v>0</v>
      </c>
      <c r="G874" s="26">
        <f>IF(A874="","",IF(AND(ISNUMBER(B874),B874&lt;&gt;0),1,0))</f>
        <v>0</v>
      </c>
      <c r="H874" s="25">
        <f>IF(E874="","",(E874*4+3+cfgDeslocamento)/48)</f>
        <v>0</v>
      </c>
    </row>
    <row r="875" spans="1:8">
      <c r="A875" s="24"/>
      <c r="B875" s="19"/>
      <c r="C875" s="25">
        <f>IF(D875="","",D875/48)</f>
        <v>0</v>
      </c>
      <c r="D875" s="26">
        <f>IF(A875="","",ROUND((A875-cfgDefasagem/1440)*48,0))</f>
        <v>0</v>
      </c>
      <c r="E875" s="26">
        <f>IF(D875="","",INT((D875-cfgDeslocamento)/4))</f>
        <v>0</v>
      </c>
      <c r="F875" s="26">
        <f>IF(D875="","",MOD(D875-cfgDeslocamento,4)+1)</f>
        <v>0</v>
      </c>
      <c r="G875" s="26">
        <f>IF(A875="","",IF(AND(ISNUMBER(B875),B875&lt;&gt;0),1,0))</f>
        <v>0</v>
      </c>
      <c r="H875" s="25">
        <f>IF(E875="","",(E875*4+3+cfgDeslocamento)/48)</f>
        <v>0</v>
      </c>
    </row>
    <row r="876" spans="1:8">
      <c r="A876" s="24"/>
      <c r="B876" s="19"/>
      <c r="C876" s="25">
        <f>IF(D876="","",D876/48)</f>
        <v>0</v>
      </c>
      <c r="D876" s="26">
        <f>IF(A876="","",ROUND((A876-cfgDefasagem/1440)*48,0))</f>
        <v>0</v>
      </c>
      <c r="E876" s="26">
        <f>IF(D876="","",INT((D876-cfgDeslocamento)/4))</f>
        <v>0</v>
      </c>
      <c r="F876" s="26">
        <f>IF(D876="","",MOD(D876-cfgDeslocamento,4)+1)</f>
        <v>0</v>
      </c>
      <c r="G876" s="26">
        <f>IF(A876="","",IF(AND(ISNUMBER(B876),B876&lt;&gt;0),1,0))</f>
        <v>0</v>
      </c>
      <c r="H876" s="25">
        <f>IF(E876="","",(E876*4+3+cfgDeslocamento)/48)</f>
        <v>0</v>
      </c>
    </row>
    <row r="877" spans="1:8">
      <c r="A877" s="24"/>
      <c r="B877" s="19"/>
      <c r="C877" s="25">
        <f>IF(D877="","",D877/48)</f>
        <v>0</v>
      </c>
      <c r="D877" s="26">
        <f>IF(A877="","",ROUND((A877-cfgDefasagem/1440)*48,0))</f>
        <v>0</v>
      </c>
      <c r="E877" s="26">
        <f>IF(D877="","",INT((D877-cfgDeslocamento)/4))</f>
        <v>0</v>
      </c>
      <c r="F877" s="26">
        <f>IF(D877="","",MOD(D877-cfgDeslocamento,4)+1)</f>
        <v>0</v>
      </c>
      <c r="G877" s="26">
        <f>IF(A877="","",IF(AND(ISNUMBER(B877),B877&lt;&gt;0),1,0))</f>
        <v>0</v>
      </c>
      <c r="H877" s="25">
        <f>IF(E877="","",(E877*4+3+cfgDeslocamento)/48)</f>
        <v>0</v>
      </c>
    </row>
    <row r="878" spans="1:8">
      <c r="A878" s="24"/>
      <c r="B878" s="19"/>
      <c r="C878" s="25">
        <f>IF(D878="","",D878/48)</f>
        <v>0</v>
      </c>
      <c r="D878" s="26">
        <f>IF(A878="","",ROUND((A878-cfgDefasagem/1440)*48,0))</f>
        <v>0</v>
      </c>
      <c r="E878" s="26">
        <f>IF(D878="","",INT((D878-cfgDeslocamento)/4))</f>
        <v>0</v>
      </c>
      <c r="F878" s="26">
        <f>IF(D878="","",MOD(D878-cfgDeslocamento,4)+1)</f>
        <v>0</v>
      </c>
      <c r="G878" s="26">
        <f>IF(A878="","",IF(AND(ISNUMBER(B878),B878&lt;&gt;0),1,0))</f>
        <v>0</v>
      </c>
      <c r="H878" s="25">
        <f>IF(E878="","",(E878*4+3+cfgDeslocamento)/48)</f>
        <v>0</v>
      </c>
    </row>
    <row r="879" spans="1:8">
      <c r="A879" s="24"/>
      <c r="B879" s="19"/>
      <c r="C879" s="25">
        <f>IF(D879="","",D879/48)</f>
        <v>0</v>
      </c>
      <c r="D879" s="26">
        <f>IF(A879="","",ROUND((A879-cfgDefasagem/1440)*48,0))</f>
        <v>0</v>
      </c>
      <c r="E879" s="26">
        <f>IF(D879="","",INT((D879-cfgDeslocamento)/4))</f>
        <v>0</v>
      </c>
      <c r="F879" s="26">
        <f>IF(D879="","",MOD(D879-cfgDeslocamento,4)+1)</f>
        <v>0</v>
      </c>
      <c r="G879" s="26">
        <f>IF(A879="","",IF(AND(ISNUMBER(B879),B879&lt;&gt;0),1,0))</f>
        <v>0</v>
      </c>
      <c r="H879" s="25">
        <f>IF(E879="","",(E879*4+3+cfgDeslocamento)/48)</f>
        <v>0</v>
      </c>
    </row>
    <row r="880" spans="1:8">
      <c r="A880" s="24"/>
      <c r="B880" s="19"/>
      <c r="C880" s="25">
        <f>IF(D880="","",D880/48)</f>
        <v>0</v>
      </c>
      <c r="D880" s="26">
        <f>IF(A880="","",ROUND((A880-cfgDefasagem/1440)*48,0))</f>
        <v>0</v>
      </c>
      <c r="E880" s="26">
        <f>IF(D880="","",INT((D880-cfgDeslocamento)/4))</f>
        <v>0</v>
      </c>
      <c r="F880" s="26">
        <f>IF(D880="","",MOD(D880-cfgDeslocamento,4)+1)</f>
        <v>0</v>
      </c>
      <c r="G880" s="26">
        <f>IF(A880="","",IF(AND(ISNUMBER(B880),B880&lt;&gt;0),1,0))</f>
        <v>0</v>
      </c>
      <c r="H880" s="25">
        <f>IF(E880="","",(E880*4+3+cfgDeslocamento)/48)</f>
        <v>0</v>
      </c>
    </row>
    <row r="881" spans="1:8">
      <c r="A881" s="24"/>
      <c r="B881" s="19"/>
      <c r="C881" s="25">
        <f>IF(D881="","",D881/48)</f>
        <v>0</v>
      </c>
      <c r="D881" s="26">
        <f>IF(A881="","",ROUND((A881-cfgDefasagem/1440)*48,0))</f>
        <v>0</v>
      </c>
      <c r="E881" s="26">
        <f>IF(D881="","",INT((D881-cfgDeslocamento)/4))</f>
        <v>0</v>
      </c>
      <c r="F881" s="26">
        <f>IF(D881="","",MOD(D881-cfgDeslocamento,4)+1)</f>
        <v>0</v>
      </c>
      <c r="G881" s="26">
        <f>IF(A881="","",IF(AND(ISNUMBER(B881),B881&lt;&gt;0),1,0))</f>
        <v>0</v>
      </c>
      <c r="H881" s="25">
        <f>IF(E881="","",(E881*4+3+cfgDeslocamento)/48)</f>
        <v>0</v>
      </c>
    </row>
    <row r="882" spans="1:8">
      <c r="A882" s="24"/>
      <c r="B882" s="19"/>
      <c r="C882" s="25">
        <f>IF(D882="","",D882/48)</f>
        <v>0</v>
      </c>
      <c r="D882" s="26">
        <f>IF(A882="","",ROUND((A882-cfgDefasagem/1440)*48,0))</f>
        <v>0</v>
      </c>
      <c r="E882" s="26">
        <f>IF(D882="","",INT((D882-cfgDeslocamento)/4))</f>
        <v>0</v>
      </c>
      <c r="F882" s="26">
        <f>IF(D882="","",MOD(D882-cfgDeslocamento,4)+1)</f>
        <v>0</v>
      </c>
      <c r="G882" s="26">
        <f>IF(A882="","",IF(AND(ISNUMBER(B882),B882&lt;&gt;0),1,0))</f>
        <v>0</v>
      </c>
      <c r="H882" s="25">
        <f>IF(E882="","",(E882*4+3+cfgDeslocamento)/48)</f>
        <v>0</v>
      </c>
    </row>
    <row r="883" spans="1:8">
      <c r="A883" s="24"/>
      <c r="B883" s="19"/>
      <c r="C883" s="25">
        <f>IF(D883="","",D883/48)</f>
        <v>0</v>
      </c>
      <c r="D883" s="26">
        <f>IF(A883="","",ROUND((A883-cfgDefasagem/1440)*48,0))</f>
        <v>0</v>
      </c>
      <c r="E883" s="26">
        <f>IF(D883="","",INT((D883-cfgDeslocamento)/4))</f>
        <v>0</v>
      </c>
      <c r="F883" s="26">
        <f>IF(D883="","",MOD(D883-cfgDeslocamento,4)+1)</f>
        <v>0</v>
      </c>
      <c r="G883" s="26">
        <f>IF(A883="","",IF(AND(ISNUMBER(B883),B883&lt;&gt;0),1,0))</f>
        <v>0</v>
      </c>
      <c r="H883" s="25">
        <f>IF(E883="","",(E883*4+3+cfgDeslocamento)/48)</f>
        <v>0</v>
      </c>
    </row>
    <row r="884" spans="1:8">
      <c r="A884" s="24"/>
      <c r="B884" s="19"/>
      <c r="C884" s="25">
        <f>IF(D884="","",D884/48)</f>
        <v>0</v>
      </c>
      <c r="D884" s="26">
        <f>IF(A884="","",ROUND((A884-cfgDefasagem/1440)*48,0))</f>
        <v>0</v>
      </c>
      <c r="E884" s="26">
        <f>IF(D884="","",INT((D884-cfgDeslocamento)/4))</f>
        <v>0</v>
      </c>
      <c r="F884" s="26">
        <f>IF(D884="","",MOD(D884-cfgDeslocamento,4)+1)</f>
        <v>0</v>
      </c>
      <c r="G884" s="26">
        <f>IF(A884="","",IF(AND(ISNUMBER(B884),B884&lt;&gt;0),1,0))</f>
        <v>0</v>
      </c>
      <c r="H884" s="25">
        <f>IF(E884="","",(E884*4+3+cfgDeslocamento)/48)</f>
        <v>0</v>
      </c>
    </row>
    <row r="885" spans="1:8">
      <c r="A885" s="24"/>
      <c r="B885" s="19"/>
      <c r="C885" s="25">
        <f>IF(D885="","",D885/48)</f>
        <v>0</v>
      </c>
      <c r="D885" s="26">
        <f>IF(A885="","",ROUND((A885-cfgDefasagem/1440)*48,0))</f>
        <v>0</v>
      </c>
      <c r="E885" s="26">
        <f>IF(D885="","",INT((D885-cfgDeslocamento)/4))</f>
        <v>0</v>
      </c>
      <c r="F885" s="26">
        <f>IF(D885="","",MOD(D885-cfgDeslocamento,4)+1)</f>
        <v>0</v>
      </c>
      <c r="G885" s="26">
        <f>IF(A885="","",IF(AND(ISNUMBER(B885),B885&lt;&gt;0),1,0))</f>
        <v>0</v>
      </c>
      <c r="H885" s="25">
        <f>IF(E885="","",(E885*4+3+cfgDeslocamento)/48)</f>
        <v>0</v>
      </c>
    </row>
    <row r="886" spans="1:8">
      <c r="A886" s="24"/>
      <c r="B886" s="19"/>
      <c r="C886" s="25">
        <f>IF(D886="","",D886/48)</f>
        <v>0</v>
      </c>
      <c r="D886" s="26">
        <f>IF(A886="","",ROUND((A886-cfgDefasagem/1440)*48,0))</f>
        <v>0</v>
      </c>
      <c r="E886" s="26">
        <f>IF(D886="","",INT((D886-cfgDeslocamento)/4))</f>
        <v>0</v>
      </c>
      <c r="F886" s="26">
        <f>IF(D886="","",MOD(D886-cfgDeslocamento,4)+1)</f>
        <v>0</v>
      </c>
      <c r="G886" s="26">
        <f>IF(A886="","",IF(AND(ISNUMBER(B886),B886&lt;&gt;0),1,0))</f>
        <v>0</v>
      </c>
      <c r="H886" s="25">
        <f>IF(E886="","",(E886*4+3+cfgDeslocamento)/48)</f>
        <v>0</v>
      </c>
    </row>
    <row r="887" spans="1:8">
      <c r="A887" s="24"/>
      <c r="B887" s="19"/>
      <c r="C887" s="25">
        <f>IF(D887="","",D887/48)</f>
        <v>0</v>
      </c>
      <c r="D887" s="26">
        <f>IF(A887="","",ROUND((A887-cfgDefasagem/1440)*48,0))</f>
        <v>0</v>
      </c>
      <c r="E887" s="26">
        <f>IF(D887="","",INT((D887-cfgDeslocamento)/4))</f>
        <v>0</v>
      </c>
      <c r="F887" s="26">
        <f>IF(D887="","",MOD(D887-cfgDeslocamento,4)+1)</f>
        <v>0</v>
      </c>
      <c r="G887" s="26">
        <f>IF(A887="","",IF(AND(ISNUMBER(B887),B887&lt;&gt;0),1,0))</f>
        <v>0</v>
      </c>
      <c r="H887" s="25">
        <f>IF(E887="","",(E887*4+3+cfgDeslocamento)/48)</f>
        <v>0</v>
      </c>
    </row>
    <row r="888" spans="1:8">
      <c r="A888" s="24"/>
      <c r="B888" s="19"/>
      <c r="C888" s="25">
        <f>IF(D888="","",D888/48)</f>
        <v>0</v>
      </c>
      <c r="D888" s="26">
        <f>IF(A888="","",ROUND((A888-cfgDefasagem/1440)*48,0))</f>
        <v>0</v>
      </c>
      <c r="E888" s="26">
        <f>IF(D888="","",INT((D888-cfgDeslocamento)/4))</f>
        <v>0</v>
      </c>
      <c r="F888" s="26">
        <f>IF(D888="","",MOD(D888-cfgDeslocamento,4)+1)</f>
        <v>0</v>
      </c>
      <c r="G888" s="26">
        <f>IF(A888="","",IF(AND(ISNUMBER(B888),B888&lt;&gt;0),1,0))</f>
        <v>0</v>
      </c>
      <c r="H888" s="25">
        <f>IF(E888="","",(E888*4+3+cfgDeslocamento)/48)</f>
        <v>0</v>
      </c>
    </row>
    <row r="889" spans="1:8">
      <c r="A889" s="24"/>
      <c r="B889" s="19"/>
      <c r="C889" s="25">
        <f>IF(D889="","",D889/48)</f>
        <v>0</v>
      </c>
      <c r="D889" s="26">
        <f>IF(A889="","",ROUND((A889-cfgDefasagem/1440)*48,0))</f>
        <v>0</v>
      </c>
      <c r="E889" s="26">
        <f>IF(D889="","",INT((D889-cfgDeslocamento)/4))</f>
        <v>0</v>
      </c>
      <c r="F889" s="26">
        <f>IF(D889="","",MOD(D889-cfgDeslocamento,4)+1)</f>
        <v>0</v>
      </c>
      <c r="G889" s="26">
        <f>IF(A889="","",IF(AND(ISNUMBER(B889),B889&lt;&gt;0),1,0))</f>
        <v>0</v>
      </c>
      <c r="H889" s="25">
        <f>IF(E889="","",(E889*4+3+cfgDeslocamento)/48)</f>
        <v>0</v>
      </c>
    </row>
    <row r="890" spans="1:8">
      <c r="A890" s="24"/>
      <c r="B890" s="19"/>
      <c r="C890" s="25">
        <f>IF(D890="","",D890/48)</f>
        <v>0</v>
      </c>
      <c r="D890" s="26">
        <f>IF(A890="","",ROUND((A890-cfgDefasagem/1440)*48,0))</f>
        <v>0</v>
      </c>
      <c r="E890" s="26">
        <f>IF(D890="","",INT((D890-cfgDeslocamento)/4))</f>
        <v>0</v>
      </c>
      <c r="F890" s="26">
        <f>IF(D890="","",MOD(D890-cfgDeslocamento,4)+1)</f>
        <v>0</v>
      </c>
      <c r="G890" s="26">
        <f>IF(A890="","",IF(AND(ISNUMBER(B890),B890&lt;&gt;0),1,0))</f>
        <v>0</v>
      </c>
      <c r="H890" s="25">
        <f>IF(E890="","",(E890*4+3+cfgDeslocamento)/48)</f>
        <v>0</v>
      </c>
    </row>
    <row r="891" spans="1:8">
      <c r="A891" s="24"/>
      <c r="B891" s="19"/>
      <c r="C891" s="25">
        <f>IF(D891="","",D891/48)</f>
        <v>0</v>
      </c>
      <c r="D891" s="26">
        <f>IF(A891="","",ROUND((A891-cfgDefasagem/1440)*48,0))</f>
        <v>0</v>
      </c>
      <c r="E891" s="26">
        <f>IF(D891="","",INT((D891-cfgDeslocamento)/4))</f>
        <v>0</v>
      </c>
      <c r="F891" s="26">
        <f>IF(D891="","",MOD(D891-cfgDeslocamento,4)+1)</f>
        <v>0</v>
      </c>
      <c r="G891" s="26">
        <f>IF(A891="","",IF(AND(ISNUMBER(B891),B891&lt;&gt;0),1,0))</f>
        <v>0</v>
      </c>
      <c r="H891" s="25">
        <f>IF(E891="","",(E891*4+3+cfgDeslocamento)/48)</f>
        <v>0</v>
      </c>
    </row>
    <row r="892" spans="1:8">
      <c r="A892" s="24"/>
      <c r="B892" s="19"/>
      <c r="C892" s="25">
        <f>IF(D892="","",D892/48)</f>
        <v>0</v>
      </c>
      <c r="D892" s="26">
        <f>IF(A892="","",ROUND((A892-cfgDefasagem/1440)*48,0))</f>
        <v>0</v>
      </c>
      <c r="E892" s="26">
        <f>IF(D892="","",INT((D892-cfgDeslocamento)/4))</f>
        <v>0</v>
      </c>
      <c r="F892" s="26">
        <f>IF(D892="","",MOD(D892-cfgDeslocamento,4)+1)</f>
        <v>0</v>
      </c>
      <c r="G892" s="26">
        <f>IF(A892="","",IF(AND(ISNUMBER(B892),B892&lt;&gt;0),1,0))</f>
        <v>0</v>
      </c>
      <c r="H892" s="25">
        <f>IF(E892="","",(E892*4+3+cfgDeslocamento)/48)</f>
        <v>0</v>
      </c>
    </row>
    <row r="893" spans="1:8">
      <c r="A893" s="24"/>
      <c r="B893" s="19"/>
      <c r="C893" s="25">
        <f>IF(D893="","",D893/48)</f>
        <v>0</v>
      </c>
      <c r="D893" s="26">
        <f>IF(A893="","",ROUND((A893-cfgDefasagem/1440)*48,0))</f>
        <v>0</v>
      </c>
      <c r="E893" s="26">
        <f>IF(D893="","",INT((D893-cfgDeslocamento)/4))</f>
        <v>0</v>
      </c>
      <c r="F893" s="26">
        <f>IF(D893="","",MOD(D893-cfgDeslocamento,4)+1)</f>
        <v>0</v>
      </c>
      <c r="G893" s="26">
        <f>IF(A893="","",IF(AND(ISNUMBER(B893),B893&lt;&gt;0),1,0))</f>
        <v>0</v>
      </c>
      <c r="H893" s="25">
        <f>IF(E893="","",(E893*4+3+cfgDeslocamento)/48)</f>
        <v>0</v>
      </c>
    </row>
    <row r="894" spans="1:8">
      <c r="A894" s="24"/>
      <c r="B894" s="19"/>
      <c r="C894" s="25">
        <f>IF(D894="","",D894/48)</f>
        <v>0</v>
      </c>
      <c r="D894" s="26">
        <f>IF(A894="","",ROUND((A894-cfgDefasagem/1440)*48,0))</f>
        <v>0</v>
      </c>
      <c r="E894" s="26">
        <f>IF(D894="","",INT((D894-cfgDeslocamento)/4))</f>
        <v>0</v>
      </c>
      <c r="F894" s="26">
        <f>IF(D894="","",MOD(D894-cfgDeslocamento,4)+1)</f>
        <v>0</v>
      </c>
      <c r="G894" s="26">
        <f>IF(A894="","",IF(AND(ISNUMBER(B894),B894&lt;&gt;0),1,0))</f>
        <v>0</v>
      </c>
      <c r="H894" s="25">
        <f>IF(E894="","",(E894*4+3+cfgDeslocamento)/48)</f>
        <v>0</v>
      </c>
    </row>
    <row r="895" spans="1:8">
      <c r="A895" s="24"/>
      <c r="B895" s="19"/>
      <c r="C895" s="25">
        <f>IF(D895="","",D895/48)</f>
        <v>0</v>
      </c>
      <c r="D895" s="26">
        <f>IF(A895="","",ROUND((A895-cfgDefasagem/1440)*48,0))</f>
        <v>0</v>
      </c>
      <c r="E895" s="26">
        <f>IF(D895="","",INT((D895-cfgDeslocamento)/4))</f>
        <v>0</v>
      </c>
      <c r="F895" s="26">
        <f>IF(D895="","",MOD(D895-cfgDeslocamento,4)+1)</f>
        <v>0</v>
      </c>
      <c r="G895" s="26">
        <f>IF(A895="","",IF(AND(ISNUMBER(B895),B895&lt;&gt;0),1,0))</f>
        <v>0</v>
      </c>
      <c r="H895" s="25">
        <f>IF(E895="","",(E895*4+3+cfgDeslocamento)/48)</f>
        <v>0</v>
      </c>
    </row>
    <row r="896" spans="1:8">
      <c r="A896" s="24"/>
      <c r="B896" s="19"/>
      <c r="C896" s="25">
        <f>IF(D896="","",D896/48)</f>
        <v>0</v>
      </c>
      <c r="D896" s="26">
        <f>IF(A896="","",ROUND((A896-cfgDefasagem/1440)*48,0))</f>
        <v>0</v>
      </c>
      <c r="E896" s="26">
        <f>IF(D896="","",INT((D896-cfgDeslocamento)/4))</f>
        <v>0</v>
      </c>
      <c r="F896" s="26">
        <f>IF(D896="","",MOD(D896-cfgDeslocamento,4)+1)</f>
        <v>0</v>
      </c>
      <c r="G896" s="26">
        <f>IF(A896="","",IF(AND(ISNUMBER(B896),B896&lt;&gt;0),1,0))</f>
        <v>0</v>
      </c>
      <c r="H896" s="25">
        <f>IF(E896="","",(E896*4+3+cfgDeslocamento)/48)</f>
        <v>0</v>
      </c>
    </row>
    <row r="897" spans="1:8">
      <c r="A897" s="24"/>
      <c r="B897" s="19"/>
      <c r="C897" s="25">
        <f>IF(D897="","",D897/48)</f>
        <v>0</v>
      </c>
      <c r="D897" s="26">
        <f>IF(A897="","",ROUND((A897-cfgDefasagem/1440)*48,0))</f>
        <v>0</v>
      </c>
      <c r="E897" s="26">
        <f>IF(D897="","",INT((D897-cfgDeslocamento)/4))</f>
        <v>0</v>
      </c>
      <c r="F897" s="26">
        <f>IF(D897="","",MOD(D897-cfgDeslocamento,4)+1)</f>
        <v>0</v>
      </c>
      <c r="G897" s="26">
        <f>IF(A897="","",IF(AND(ISNUMBER(B897),B897&lt;&gt;0),1,0))</f>
        <v>0</v>
      </c>
      <c r="H897" s="25">
        <f>IF(E897="","",(E897*4+3+cfgDeslocamento)/48)</f>
        <v>0</v>
      </c>
    </row>
    <row r="898" spans="1:8">
      <c r="A898" s="24"/>
      <c r="B898" s="19"/>
      <c r="C898" s="25">
        <f>IF(D898="","",D898/48)</f>
        <v>0</v>
      </c>
      <c r="D898" s="26">
        <f>IF(A898="","",ROUND((A898-cfgDefasagem/1440)*48,0))</f>
        <v>0</v>
      </c>
      <c r="E898" s="26">
        <f>IF(D898="","",INT((D898-cfgDeslocamento)/4))</f>
        <v>0</v>
      </c>
      <c r="F898" s="26">
        <f>IF(D898="","",MOD(D898-cfgDeslocamento,4)+1)</f>
        <v>0</v>
      </c>
      <c r="G898" s="26">
        <f>IF(A898="","",IF(AND(ISNUMBER(B898),B898&lt;&gt;0),1,0))</f>
        <v>0</v>
      </c>
      <c r="H898" s="25">
        <f>IF(E898="","",(E898*4+3+cfgDeslocamento)/48)</f>
        <v>0</v>
      </c>
    </row>
    <row r="899" spans="1:8">
      <c r="A899" s="24"/>
      <c r="B899" s="19"/>
      <c r="C899" s="25">
        <f>IF(D899="","",D899/48)</f>
        <v>0</v>
      </c>
      <c r="D899" s="26">
        <f>IF(A899="","",ROUND((A899-cfgDefasagem/1440)*48,0))</f>
        <v>0</v>
      </c>
      <c r="E899" s="26">
        <f>IF(D899="","",INT((D899-cfgDeslocamento)/4))</f>
        <v>0</v>
      </c>
      <c r="F899" s="26">
        <f>IF(D899="","",MOD(D899-cfgDeslocamento,4)+1)</f>
        <v>0</v>
      </c>
      <c r="G899" s="26">
        <f>IF(A899="","",IF(AND(ISNUMBER(B899),B899&lt;&gt;0),1,0))</f>
        <v>0</v>
      </c>
      <c r="H899" s="25">
        <f>IF(E899="","",(E899*4+3+cfgDeslocamento)/48)</f>
        <v>0</v>
      </c>
    </row>
    <row r="900" spans="1:8">
      <c r="A900" s="24"/>
      <c r="B900" s="19"/>
      <c r="C900" s="25">
        <f>IF(D900="","",D900/48)</f>
        <v>0</v>
      </c>
      <c r="D900" s="26">
        <f>IF(A900="","",ROUND((A900-cfgDefasagem/1440)*48,0))</f>
        <v>0</v>
      </c>
      <c r="E900" s="26">
        <f>IF(D900="","",INT((D900-cfgDeslocamento)/4))</f>
        <v>0</v>
      </c>
      <c r="F900" s="26">
        <f>IF(D900="","",MOD(D900-cfgDeslocamento,4)+1)</f>
        <v>0</v>
      </c>
      <c r="G900" s="26">
        <f>IF(A900="","",IF(AND(ISNUMBER(B900),B900&lt;&gt;0),1,0))</f>
        <v>0</v>
      </c>
      <c r="H900" s="25">
        <f>IF(E900="","",(E900*4+3+cfgDeslocamento)/48)</f>
        <v>0</v>
      </c>
    </row>
    <row r="901" spans="1:8">
      <c r="A901" s="24"/>
      <c r="B901" s="19"/>
      <c r="C901" s="25">
        <f>IF(D901="","",D901/48)</f>
        <v>0</v>
      </c>
      <c r="D901" s="26">
        <f>IF(A901="","",ROUND((A901-cfgDefasagem/1440)*48,0))</f>
        <v>0</v>
      </c>
      <c r="E901" s="26">
        <f>IF(D901="","",INT((D901-cfgDeslocamento)/4))</f>
        <v>0</v>
      </c>
      <c r="F901" s="26">
        <f>IF(D901="","",MOD(D901-cfgDeslocamento,4)+1)</f>
        <v>0</v>
      </c>
      <c r="G901" s="26">
        <f>IF(A901="","",IF(AND(ISNUMBER(B901),B901&lt;&gt;0),1,0))</f>
        <v>0</v>
      </c>
      <c r="H901" s="25">
        <f>IF(E901="","",(E901*4+3+cfgDeslocamento)/48)</f>
        <v>0</v>
      </c>
    </row>
    <row r="902" spans="1:8">
      <c r="A902" s="24"/>
      <c r="B902" s="19"/>
      <c r="C902" s="25">
        <f>IF(D902="","",D902/48)</f>
        <v>0</v>
      </c>
      <c r="D902" s="26">
        <f>IF(A902="","",ROUND((A902-cfgDefasagem/1440)*48,0))</f>
        <v>0</v>
      </c>
      <c r="E902" s="26">
        <f>IF(D902="","",INT((D902-cfgDeslocamento)/4))</f>
        <v>0</v>
      </c>
      <c r="F902" s="26">
        <f>IF(D902="","",MOD(D902-cfgDeslocamento,4)+1)</f>
        <v>0</v>
      </c>
      <c r="G902" s="26">
        <f>IF(A902="","",IF(AND(ISNUMBER(B902),B902&lt;&gt;0),1,0))</f>
        <v>0</v>
      </c>
      <c r="H902" s="25">
        <f>IF(E902="","",(E902*4+3+cfgDeslocamento)/48)</f>
        <v>0</v>
      </c>
    </row>
    <row r="903" spans="1:8">
      <c r="A903" s="24"/>
      <c r="B903" s="19"/>
      <c r="C903" s="25">
        <f>IF(D903="","",D903/48)</f>
        <v>0</v>
      </c>
      <c r="D903" s="26">
        <f>IF(A903="","",ROUND((A903-cfgDefasagem/1440)*48,0))</f>
        <v>0</v>
      </c>
      <c r="E903" s="26">
        <f>IF(D903="","",INT((D903-cfgDeslocamento)/4))</f>
        <v>0</v>
      </c>
      <c r="F903" s="26">
        <f>IF(D903="","",MOD(D903-cfgDeslocamento,4)+1)</f>
        <v>0</v>
      </c>
      <c r="G903" s="26">
        <f>IF(A903="","",IF(AND(ISNUMBER(B903),B903&lt;&gt;0),1,0))</f>
        <v>0</v>
      </c>
      <c r="H903" s="25">
        <f>IF(E903="","",(E903*4+3+cfgDeslocamento)/48)</f>
        <v>0</v>
      </c>
    </row>
    <row r="904" spans="1:8">
      <c r="A904" s="24"/>
      <c r="B904" s="19"/>
      <c r="C904" s="25">
        <f>IF(D904="","",D904/48)</f>
        <v>0</v>
      </c>
      <c r="D904" s="26">
        <f>IF(A904="","",ROUND((A904-cfgDefasagem/1440)*48,0))</f>
        <v>0</v>
      </c>
      <c r="E904" s="26">
        <f>IF(D904="","",INT((D904-cfgDeslocamento)/4))</f>
        <v>0</v>
      </c>
      <c r="F904" s="26">
        <f>IF(D904="","",MOD(D904-cfgDeslocamento,4)+1)</f>
        <v>0</v>
      </c>
      <c r="G904" s="26">
        <f>IF(A904="","",IF(AND(ISNUMBER(B904),B904&lt;&gt;0),1,0))</f>
        <v>0</v>
      </c>
      <c r="H904" s="25">
        <f>IF(E904="","",(E904*4+3+cfgDeslocamento)/48)</f>
        <v>0</v>
      </c>
    </row>
    <row r="905" spans="1:8">
      <c r="A905" s="24"/>
      <c r="B905" s="19"/>
      <c r="C905" s="25">
        <f>IF(D905="","",D905/48)</f>
        <v>0</v>
      </c>
      <c r="D905" s="26">
        <f>IF(A905="","",ROUND((A905-cfgDefasagem/1440)*48,0))</f>
        <v>0</v>
      </c>
      <c r="E905" s="26">
        <f>IF(D905="","",INT((D905-cfgDeslocamento)/4))</f>
        <v>0</v>
      </c>
      <c r="F905" s="26">
        <f>IF(D905="","",MOD(D905-cfgDeslocamento,4)+1)</f>
        <v>0</v>
      </c>
      <c r="G905" s="26">
        <f>IF(A905="","",IF(AND(ISNUMBER(B905),B905&lt;&gt;0),1,0))</f>
        <v>0</v>
      </c>
      <c r="H905" s="25">
        <f>IF(E905="","",(E905*4+3+cfgDeslocamento)/48)</f>
        <v>0</v>
      </c>
    </row>
    <row r="906" spans="1:8">
      <c r="A906" s="24"/>
      <c r="B906" s="19"/>
      <c r="C906" s="25">
        <f>IF(D906="","",D906/48)</f>
        <v>0</v>
      </c>
      <c r="D906" s="26">
        <f>IF(A906="","",ROUND((A906-cfgDefasagem/1440)*48,0))</f>
        <v>0</v>
      </c>
      <c r="E906" s="26">
        <f>IF(D906="","",INT((D906-cfgDeslocamento)/4))</f>
        <v>0</v>
      </c>
      <c r="F906" s="26">
        <f>IF(D906="","",MOD(D906-cfgDeslocamento,4)+1)</f>
        <v>0</v>
      </c>
      <c r="G906" s="26">
        <f>IF(A906="","",IF(AND(ISNUMBER(B906),B906&lt;&gt;0),1,0))</f>
        <v>0</v>
      </c>
      <c r="H906" s="25">
        <f>IF(E906="","",(E906*4+3+cfgDeslocamento)/48)</f>
        <v>0</v>
      </c>
    </row>
    <row r="907" spans="1:8">
      <c r="A907" s="24"/>
      <c r="B907" s="19"/>
      <c r="C907" s="25">
        <f>IF(D907="","",D907/48)</f>
        <v>0</v>
      </c>
      <c r="D907" s="26">
        <f>IF(A907="","",ROUND((A907-cfgDefasagem/1440)*48,0))</f>
        <v>0</v>
      </c>
      <c r="E907" s="26">
        <f>IF(D907="","",INT((D907-cfgDeslocamento)/4))</f>
        <v>0</v>
      </c>
      <c r="F907" s="26">
        <f>IF(D907="","",MOD(D907-cfgDeslocamento,4)+1)</f>
        <v>0</v>
      </c>
      <c r="G907" s="26">
        <f>IF(A907="","",IF(AND(ISNUMBER(B907),B907&lt;&gt;0),1,0))</f>
        <v>0</v>
      </c>
      <c r="H907" s="25">
        <f>IF(E907="","",(E907*4+3+cfgDeslocamento)/48)</f>
        <v>0</v>
      </c>
    </row>
    <row r="908" spans="1:8">
      <c r="A908" s="24"/>
      <c r="B908" s="19"/>
      <c r="C908" s="25">
        <f>IF(D908="","",D908/48)</f>
        <v>0</v>
      </c>
      <c r="D908" s="26">
        <f>IF(A908="","",ROUND((A908-cfgDefasagem/1440)*48,0))</f>
        <v>0</v>
      </c>
      <c r="E908" s="26">
        <f>IF(D908="","",INT((D908-cfgDeslocamento)/4))</f>
        <v>0</v>
      </c>
      <c r="F908" s="26">
        <f>IF(D908="","",MOD(D908-cfgDeslocamento,4)+1)</f>
        <v>0</v>
      </c>
      <c r="G908" s="26">
        <f>IF(A908="","",IF(AND(ISNUMBER(B908),B908&lt;&gt;0),1,0))</f>
        <v>0</v>
      </c>
      <c r="H908" s="25">
        <f>IF(E908="","",(E908*4+3+cfgDeslocamento)/48)</f>
        <v>0</v>
      </c>
    </row>
    <row r="909" spans="1:8">
      <c r="A909" s="24"/>
      <c r="B909" s="19"/>
      <c r="C909" s="25">
        <f>IF(D909="","",D909/48)</f>
        <v>0</v>
      </c>
      <c r="D909" s="26">
        <f>IF(A909="","",ROUND((A909-cfgDefasagem/1440)*48,0))</f>
        <v>0</v>
      </c>
      <c r="E909" s="26">
        <f>IF(D909="","",INT((D909-cfgDeslocamento)/4))</f>
        <v>0</v>
      </c>
      <c r="F909" s="26">
        <f>IF(D909="","",MOD(D909-cfgDeslocamento,4)+1)</f>
        <v>0</v>
      </c>
      <c r="G909" s="26">
        <f>IF(A909="","",IF(AND(ISNUMBER(B909),B909&lt;&gt;0),1,0))</f>
        <v>0</v>
      </c>
      <c r="H909" s="25">
        <f>IF(E909="","",(E909*4+3+cfgDeslocamento)/48)</f>
        <v>0</v>
      </c>
    </row>
    <row r="910" spans="1:8">
      <c r="A910" s="24"/>
      <c r="B910" s="19"/>
      <c r="C910" s="25">
        <f>IF(D910="","",D910/48)</f>
        <v>0</v>
      </c>
      <c r="D910" s="26">
        <f>IF(A910="","",ROUND((A910-cfgDefasagem/1440)*48,0))</f>
        <v>0</v>
      </c>
      <c r="E910" s="26">
        <f>IF(D910="","",INT((D910-cfgDeslocamento)/4))</f>
        <v>0</v>
      </c>
      <c r="F910" s="26">
        <f>IF(D910="","",MOD(D910-cfgDeslocamento,4)+1)</f>
        <v>0</v>
      </c>
      <c r="G910" s="26">
        <f>IF(A910="","",IF(AND(ISNUMBER(B910),B910&lt;&gt;0),1,0))</f>
        <v>0</v>
      </c>
      <c r="H910" s="25">
        <f>IF(E910="","",(E910*4+3+cfgDeslocamento)/48)</f>
        <v>0</v>
      </c>
    </row>
    <row r="911" spans="1:8">
      <c r="A911" s="24"/>
      <c r="B911" s="19"/>
      <c r="C911" s="25">
        <f>IF(D911="","",D911/48)</f>
        <v>0</v>
      </c>
      <c r="D911" s="26">
        <f>IF(A911="","",ROUND((A911-cfgDefasagem/1440)*48,0))</f>
        <v>0</v>
      </c>
      <c r="E911" s="26">
        <f>IF(D911="","",INT((D911-cfgDeslocamento)/4))</f>
        <v>0</v>
      </c>
      <c r="F911" s="26">
        <f>IF(D911="","",MOD(D911-cfgDeslocamento,4)+1)</f>
        <v>0</v>
      </c>
      <c r="G911" s="26">
        <f>IF(A911="","",IF(AND(ISNUMBER(B911),B911&lt;&gt;0),1,0))</f>
        <v>0</v>
      </c>
      <c r="H911" s="25">
        <f>IF(E911="","",(E911*4+3+cfgDeslocamento)/48)</f>
        <v>0</v>
      </c>
    </row>
    <row r="912" spans="1:8">
      <c r="A912" s="24"/>
      <c r="B912" s="19"/>
      <c r="C912" s="25">
        <f>IF(D912="","",D912/48)</f>
        <v>0</v>
      </c>
      <c r="D912" s="26">
        <f>IF(A912="","",ROUND((A912-cfgDefasagem/1440)*48,0))</f>
        <v>0</v>
      </c>
      <c r="E912" s="26">
        <f>IF(D912="","",INT((D912-cfgDeslocamento)/4))</f>
        <v>0</v>
      </c>
      <c r="F912" s="26">
        <f>IF(D912="","",MOD(D912-cfgDeslocamento,4)+1)</f>
        <v>0</v>
      </c>
      <c r="G912" s="26">
        <f>IF(A912="","",IF(AND(ISNUMBER(B912),B912&lt;&gt;0),1,0))</f>
        <v>0</v>
      </c>
      <c r="H912" s="25">
        <f>IF(E912="","",(E912*4+3+cfgDeslocamento)/48)</f>
        <v>0</v>
      </c>
    </row>
    <row r="913" spans="1:8">
      <c r="A913" s="24"/>
      <c r="B913" s="19"/>
      <c r="C913" s="25">
        <f>IF(D913="","",D913/48)</f>
        <v>0</v>
      </c>
      <c r="D913" s="26">
        <f>IF(A913="","",ROUND((A913-cfgDefasagem/1440)*48,0))</f>
        <v>0</v>
      </c>
      <c r="E913" s="26">
        <f>IF(D913="","",INT((D913-cfgDeslocamento)/4))</f>
        <v>0</v>
      </c>
      <c r="F913" s="26">
        <f>IF(D913="","",MOD(D913-cfgDeslocamento,4)+1)</f>
        <v>0</v>
      </c>
      <c r="G913" s="26">
        <f>IF(A913="","",IF(AND(ISNUMBER(B913),B913&lt;&gt;0),1,0))</f>
        <v>0</v>
      </c>
      <c r="H913" s="25">
        <f>IF(E913="","",(E913*4+3+cfgDeslocamento)/48)</f>
        <v>0</v>
      </c>
    </row>
    <row r="914" spans="1:8">
      <c r="A914" s="24"/>
      <c r="B914" s="19"/>
      <c r="C914" s="25">
        <f>IF(D914="","",D914/48)</f>
        <v>0</v>
      </c>
      <c r="D914" s="26">
        <f>IF(A914="","",ROUND((A914-cfgDefasagem/1440)*48,0))</f>
        <v>0</v>
      </c>
      <c r="E914" s="26">
        <f>IF(D914="","",INT((D914-cfgDeslocamento)/4))</f>
        <v>0</v>
      </c>
      <c r="F914" s="26">
        <f>IF(D914="","",MOD(D914-cfgDeslocamento,4)+1)</f>
        <v>0</v>
      </c>
      <c r="G914" s="26">
        <f>IF(A914="","",IF(AND(ISNUMBER(B914),B914&lt;&gt;0),1,0))</f>
        <v>0</v>
      </c>
      <c r="H914" s="25">
        <f>IF(E914="","",(E914*4+3+cfgDeslocamento)/48)</f>
        <v>0</v>
      </c>
    </row>
    <row r="915" spans="1:8">
      <c r="A915" s="24"/>
      <c r="B915" s="19"/>
      <c r="C915" s="25">
        <f>IF(D915="","",D915/48)</f>
        <v>0</v>
      </c>
      <c r="D915" s="26">
        <f>IF(A915="","",ROUND((A915-cfgDefasagem/1440)*48,0))</f>
        <v>0</v>
      </c>
      <c r="E915" s="26">
        <f>IF(D915="","",INT((D915-cfgDeslocamento)/4))</f>
        <v>0</v>
      </c>
      <c r="F915" s="26">
        <f>IF(D915="","",MOD(D915-cfgDeslocamento,4)+1)</f>
        <v>0</v>
      </c>
      <c r="G915" s="26">
        <f>IF(A915="","",IF(AND(ISNUMBER(B915),B915&lt;&gt;0),1,0))</f>
        <v>0</v>
      </c>
      <c r="H915" s="25">
        <f>IF(E915="","",(E915*4+3+cfgDeslocamento)/48)</f>
        <v>0</v>
      </c>
    </row>
    <row r="916" spans="1:8">
      <c r="A916" s="24"/>
      <c r="B916" s="19"/>
      <c r="C916" s="25">
        <f>IF(D916="","",D916/48)</f>
        <v>0</v>
      </c>
      <c r="D916" s="26">
        <f>IF(A916="","",ROUND((A916-cfgDefasagem/1440)*48,0))</f>
        <v>0</v>
      </c>
      <c r="E916" s="26">
        <f>IF(D916="","",INT((D916-cfgDeslocamento)/4))</f>
        <v>0</v>
      </c>
      <c r="F916" s="26">
        <f>IF(D916="","",MOD(D916-cfgDeslocamento,4)+1)</f>
        <v>0</v>
      </c>
      <c r="G916" s="26">
        <f>IF(A916="","",IF(AND(ISNUMBER(B916),B916&lt;&gt;0),1,0))</f>
        <v>0</v>
      </c>
      <c r="H916" s="25">
        <f>IF(E916="","",(E916*4+3+cfgDeslocamento)/48)</f>
        <v>0</v>
      </c>
    </row>
    <row r="917" spans="1:8">
      <c r="A917" s="24"/>
      <c r="B917" s="19"/>
      <c r="C917" s="25">
        <f>IF(D917="","",D917/48)</f>
        <v>0</v>
      </c>
      <c r="D917" s="26">
        <f>IF(A917="","",ROUND((A917-cfgDefasagem/1440)*48,0))</f>
        <v>0</v>
      </c>
      <c r="E917" s="26">
        <f>IF(D917="","",INT((D917-cfgDeslocamento)/4))</f>
        <v>0</v>
      </c>
      <c r="F917" s="26">
        <f>IF(D917="","",MOD(D917-cfgDeslocamento,4)+1)</f>
        <v>0</v>
      </c>
      <c r="G917" s="26">
        <f>IF(A917="","",IF(AND(ISNUMBER(B917),B917&lt;&gt;0),1,0))</f>
        <v>0</v>
      </c>
      <c r="H917" s="25">
        <f>IF(E917="","",(E917*4+3+cfgDeslocamento)/48)</f>
        <v>0</v>
      </c>
    </row>
    <row r="918" spans="1:8">
      <c r="A918" s="24"/>
      <c r="B918" s="19"/>
      <c r="C918" s="25">
        <f>IF(D918="","",D918/48)</f>
        <v>0</v>
      </c>
      <c r="D918" s="26">
        <f>IF(A918="","",ROUND((A918-cfgDefasagem/1440)*48,0))</f>
        <v>0</v>
      </c>
      <c r="E918" s="26">
        <f>IF(D918="","",INT((D918-cfgDeslocamento)/4))</f>
        <v>0</v>
      </c>
      <c r="F918" s="26">
        <f>IF(D918="","",MOD(D918-cfgDeslocamento,4)+1)</f>
        <v>0</v>
      </c>
      <c r="G918" s="26">
        <f>IF(A918="","",IF(AND(ISNUMBER(B918),B918&lt;&gt;0),1,0))</f>
        <v>0</v>
      </c>
      <c r="H918" s="25">
        <f>IF(E918="","",(E918*4+3+cfgDeslocamento)/48)</f>
        <v>0</v>
      </c>
    </row>
    <row r="919" spans="1:8">
      <c r="A919" s="24"/>
      <c r="B919" s="19"/>
      <c r="C919" s="25">
        <f>IF(D919="","",D919/48)</f>
        <v>0</v>
      </c>
      <c r="D919" s="26">
        <f>IF(A919="","",ROUND((A919-cfgDefasagem/1440)*48,0))</f>
        <v>0</v>
      </c>
      <c r="E919" s="26">
        <f>IF(D919="","",INT((D919-cfgDeslocamento)/4))</f>
        <v>0</v>
      </c>
      <c r="F919" s="26">
        <f>IF(D919="","",MOD(D919-cfgDeslocamento,4)+1)</f>
        <v>0</v>
      </c>
      <c r="G919" s="26">
        <f>IF(A919="","",IF(AND(ISNUMBER(B919),B919&lt;&gt;0),1,0))</f>
        <v>0</v>
      </c>
      <c r="H919" s="25">
        <f>IF(E919="","",(E919*4+3+cfgDeslocamento)/48)</f>
        <v>0</v>
      </c>
    </row>
    <row r="920" spans="1:8">
      <c r="A920" s="24"/>
      <c r="B920" s="19"/>
      <c r="C920" s="25">
        <f>IF(D920="","",D920/48)</f>
        <v>0</v>
      </c>
      <c r="D920" s="26">
        <f>IF(A920="","",ROUND((A920-cfgDefasagem/1440)*48,0))</f>
        <v>0</v>
      </c>
      <c r="E920" s="26">
        <f>IF(D920="","",INT((D920-cfgDeslocamento)/4))</f>
        <v>0</v>
      </c>
      <c r="F920" s="26">
        <f>IF(D920="","",MOD(D920-cfgDeslocamento,4)+1)</f>
        <v>0</v>
      </c>
      <c r="G920" s="26">
        <f>IF(A920="","",IF(AND(ISNUMBER(B920),B920&lt;&gt;0),1,0))</f>
        <v>0</v>
      </c>
      <c r="H920" s="25">
        <f>IF(E920="","",(E920*4+3+cfgDeslocamento)/48)</f>
        <v>0</v>
      </c>
    </row>
    <row r="921" spans="1:8">
      <c r="A921" s="24"/>
      <c r="B921" s="19"/>
      <c r="C921" s="25">
        <f>IF(D921="","",D921/48)</f>
        <v>0</v>
      </c>
      <c r="D921" s="26">
        <f>IF(A921="","",ROUND((A921-cfgDefasagem/1440)*48,0))</f>
        <v>0</v>
      </c>
      <c r="E921" s="26">
        <f>IF(D921="","",INT((D921-cfgDeslocamento)/4))</f>
        <v>0</v>
      </c>
      <c r="F921" s="26">
        <f>IF(D921="","",MOD(D921-cfgDeslocamento,4)+1)</f>
        <v>0</v>
      </c>
      <c r="G921" s="26">
        <f>IF(A921="","",IF(AND(ISNUMBER(B921),B921&lt;&gt;0),1,0))</f>
        <v>0</v>
      </c>
      <c r="H921" s="25">
        <f>IF(E921="","",(E921*4+3+cfgDeslocamento)/48)</f>
        <v>0</v>
      </c>
    </row>
    <row r="922" spans="1:8">
      <c r="A922" s="24"/>
      <c r="B922" s="19"/>
      <c r="C922" s="25">
        <f>IF(D922="","",D922/48)</f>
        <v>0</v>
      </c>
      <c r="D922" s="26">
        <f>IF(A922="","",ROUND((A922-cfgDefasagem/1440)*48,0))</f>
        <v>0</v>
      </c>
      <c r="E922" s="26">
        <f>IF(D922="","",INT((D922-cfgDeslocamento)/4))</f>
        <v>0</v>
      </c>
      <c r="F922" s="26">
        <f>IF(D922="","",MOD(D922-cfgDeslocamento,4)+1)</f>
        <v>0</v>
      </c>
      <c r="G922" s="26">
        <f>IF(A922="","",IF(AND(ISNUMBER(B922),B922&lt;&gt;0),1,0))</f>
        <v>0</v>
      </c>
      <c r="H922" s="25">
        <f>IF(E922="","",(E922*4+3+cfgDeslocamento)/48)</f>
        <v>0</v>
      </c>
    </row>
    <row r="923" spans="1:8">
      <c r="A923" s="24"/>
      <c r="B923" s="19"/>
      <c r="C923" s="25">
        <f>IF(D923="","",D923/48)</f>
        <v>0</v>
      </c>
      <c r="D923" s="26">
        <f>IF(A923="","",ROUND((A923-cfgDefasagem/1440)*48,0))</f>
        <v>0</v>
      </c>
      <c r="E923" s="26">
        <f>IF(D923="","",INT((D923-cfgDeslocamento)/4))</f>
        <v>0</v>
      </c>
      <c r="F923" s="26">
        <f>IF(D923="","",MOD(D923-cfgDeslocamento,4)+1)</f>
        <v>0</v>
      </c>
      <c r="G923" s="26">
        <f>IF(A923="","",IF(AND(ISNUMBER(B923),B923&lt;&gt;0),1,0))</f>
        <v>0</v>
      </c>
      <c r="H923" s="25">
        <f>IF(E923="","",(E923*4+3+cfgDeslocamento)/48)</f>
        <v>0</v>
      </c>
    </row>
    <row r="924" spans="1:8">
      <c r="A924" s="24"/>
      <c r="B924" s="19"/>
      <c r="C924" s="25">
        <f>IF(D924="","",D924/48)</f>
        <v>0</v>
      </c>
      <c r="D924" s="26">
        <f>IF(A924="","",ROUND((A924-cfgDefasagem/1440)*48,0))</f>
        <v>0</v>
      </c>
      <c r="E924" s="26">
        <f>IF(D924="","",INT((D924-cfgDeslocamento)/4))</f>
        <v>0</v>
      </c>
      <c r="F924" s="26">
        <f>IF(D924="","",MOD(D924-cfgDeslocamento,4)+1)</f>
        <v>0</v>
      </c>
      <c r="G924" s="26">
        <f>IF(A924="","",IF(AND(ISNUMBER(B924),B924&lt;&gt;0),1,0))</f>
        <v>0</v>
      </c>
      <c r="H924" s="25">
        <f>IF(E924="","",(E924*4+3+cfgDeslocamento)/48)</f>
        <v>0</v>
      </c>
    </row>
    <row r="925" spans="1:8">
      <c r="A925" s="24"/>
      <c r="B925" s="19"/>
      <c r="C925" s="25">
        <f>IF(D925="","",D925/48)</f>
        <v>0</v>
      </c>
      <c r="D925" s="26">
        <f>IF(A925="","",ROUND((A925-cfgDefasagem/1440)*48,0))</f>
        <v>0</v>
      </c>
      <c r="E925" s="26">
        <f>IF(D925="","",INT((D925-cfgDeslocamento)/4))</f>
        <v>0</v>
      </c>
      <c r="F925" s="26">
        <f>IF(D925="","",MOD(D925-cfgDeslocamento,4)+1)</f>
        <v>0</v>
      </c>
      <c r="G925" s="26">
        <f>IF(A925="","",IF(AND(ISNUMBER(B925),B925&lt;&gt;0),1,0))</f>
        <v>0</v>
      </c>
      <c r="H925" s="25">
        <f>IF(E925="","",(E925*4+3+cfgDeslocamento)/48)</f>
        <v>0</v>
      </c>
    </row>
    <row r="926" spans="1:8">
      <c r="A926" s="24"/>
      <c r="B926" s="19"/>
      <c r="C926" s="25">
        <f>IF(D926="","",D926/48)</f>
        <v>0</v>
      </c>
      <c r="D926" s="26">
        <f>IF(A926="","",ROUND((A926-cfgDefasagem/1440)*48,0))</f>
        <v>0</v>
      </c>
      <c r="E926" s="26">
        <f>IF(D926="","",INT((D926-cfgDeslocamento)/4))</f>
        <v>0</v>
      </c>
      <c r="F926" s="26">
        <f>IF(D926="","",MOD(D926-cfgDeslocamento,4)+1)</f>
        <v>0</v>
      </c>
      <c r="G926" s="26">
        <f>IF(A926="","",IF(AND(ISNUMBER(B926),B926&lt;&gt;0),1,0))</f>
        <v>0</v>
      </c>
      <c r="H926" s="25">
        <f>IF(E926="","",(E926*4+3+cfgDeslocamento)/48)</f>
        <v>0</v>
      </c>
    </row>
    <row r="927" spans="1:8">
      <c r="A927" s="24"/>
      <c r="B927" s="19"/>
      <c r="C927" s="25">
        <f>IF(D927="","",D927/48)</f>
        <v>0</v>
      </c>
      <c r="D927" s="26">
        <f>IF(A927="","",ROUND((A927-cfgDefasagem/1440)*48,0))</f>
        <v>0</v>
      </c>
      <c r="E927" s="26">
        <f>IF(D927="","",INT((D927-cfgDeslocamento)/4))</f>
        <v>0</v>
      </c>
      <c r="F927" s="26">
        <f>IF(D927="","",MOD(D927-cfgDeslocamento,4)+1)</f>
        <v>0</v>
      </c>
      <c r="G927" s="26">
        <f>IF(A927="","",IF(AND(ISNUMBER(B927),B927&lt;&gt;0),1,0))</f>
        <v>0</v>
      </c>
      <c r="H927" s="25">
        <f>IF(E927="","",(E927*4+3+cfgDeslocamento)/48)</f>
        <v>0</v>
      </c>
    </row>
    <row r="928" spans="1:8">
      <c r="A928" s="24"/>
      <c r="B928" s="19"/>
      <c r="C928" s="25">
        <f>IF(D928="","",D928/48)</f>
        <v>0</v>
      </c>
      <c r="D928" s="26">
        <f>IF(A928="","",ROUND((A928-cfgDefasagem/1440)*48,0))</f>
        <v>0</v>
      </c>
      <c r="E928" s="26">
        <f>IF(D928="","",INT((D928-cfgDeslocamento)/4))</f>
        <v>0</v>
      </c>
      <c r="F928" s="26">
        <f>IF(D928="","",MOD(D928-cfgDeslocamento,4)+1)</f>
        <v>0</v>
      </c>
      <c r="G928" s="26">
        <f>IF(A928="","",IF(AND(ISNUMBER(B928),B928&lt;&gt;0),1,0))</f>
        <v>0</v>
      </c>
      <c r="H928" s="25">
        <f>IF(E928="","",(E928*4+3+cfgDeslocamento)/48)</f>
        <v>0</v>
      </c>
    </row>
    <row r="929" spans="1:8">
      <c r="A929" s="24"/>
      <c r="B929" s="19"/>
      <c r="C929" s="25">
        <f>IF(D929="","",D929/48)</f>
        <v>0</v>
      </c>
      <c r="D929" s="26">
        <f>IF(A929="","",ROUND((A929-cfgDefasagem/1440)*48,0))</f>
        <v>0</v>
      </c>
      <c r="E929" s="26">
        <f>IF(D929="","",INT((D929-cfgDeslocamento)/4))</f>
        <v>0</v>
      </c>
      <c r="F929" s="26">
        <f>IF(D929="","",MOD(D929-cfgDeslocamento,4)+1)</f>
        <v>0</v>
      </c>
      <c r="G929" s="26">
        <f>IF(A929="","",IF(AND(ISNUMBER(B929),B929&lt;&gt;0),1,0))</f>
        <v>0</v>
      </c>
      <c r="H929" s="25">
        <f>IF(E929="","",(E929*4+3+cfgDeslocamento)/48)</f>
        <v>0</v>
      </c>
    </row>
    <row r="930" spans="1:8">
      <c r="A930" s="24"/>
      <c r="B930" s="19"/>
      <c r="C930" s="25">
        <f>IF(D930="","",D930/48)</f>
        <v>0</v>
      </c>
      <c r="D930" s="26">
        <f>IF(A930="","",ROUND((A930-cfgDefasagem/1440)*48,0))</f>
        <v>0</v>
      </c>
      <c r="E930" s="26">
        <f>IF(D930="","",INT((D930-cfgDeslocamento)/4))</f>
        <v>0</v>
      </c>
      <c r="F930" s="26">
        <f>IF(D930="","",MOD(D930-cfgDeslocamento,4)+1)</f>
        <v>0</v>
      </c>
      <c r="G930" s="26">
        <f>IF(A930="","",IF(AND(ISNUMBER(B930),B930&lt;&gt;0),1,0))</f>
        <v>0</v>
      </c>
      <c r="H930" s="25">
        <f>IF(E930="","",(E930*4+3+cfgDeslocamento)/48)</f>
        <v>0</v>
      </c>
    </row>
    <row r="931" spans="1:8">
      <c r="A931" s="24"/>
      <c r="B931" s="19"/>
      <c r="C931" s="25">
        <f>IF(D931="","",D931/48)</f>
        <v>0</v>
      </c>
      <c r="D931" s="26">
        <f>IF(A931="","",ROUND((A931-cfgDefasagem/1440)*48,0))</f>
        <v>0</v>
      </c>
      <c r="E931" s="26">
        <f>IF(D931="","",INT((D931-cfgDeslocamento)/4))</f>
        <v>0</v>
      </c>
      <c r="F931" s="26">
        <f>IF(D931="","",MOD(D931-cfgDeslocamento,4)+1)</f>
        <v>0</v>
      </c>
      <c r="G931" s="26">
        <f>IF(A931="","",IF(AND(ISNUMBER(B931),B931&lt;&gt;0),1,0))</f>
        <v>0</v>
      </c>
      <c r="H931" s="25">
        <f>IF(E931="","",(E931*4+3+cfgDeslocamento)/48)</f>
        <v>0</v>
      </c>
    </row>
    <row r="932" spans="1:8">
      <c r="A932" s="24"/>
      <c r="B932" s="19"/>
      <c r="C932" s="25">
        <f>IF(D932="","",D932/48)</f>
        <v>0</v>
      </c>
      <c r="D932" s="26">
        <f>IF(A932="","",ROUND((A932-cfgDefasagem/1440)*48,0))</f>
        <v>0</v>
      </c>
      <c r="E932" s="26">
        <f>IF(D932="","",INT((D932-cfgDeslocamento)/4))</f>
        <v>0</v>
      </c>
      <c r="F932" s="26">
        <f>IF(D932="","",MOD(D932-cfgDeslocamento,4)+1)</f>
        <v>0</v>
      </c>
      <c r="G932" s="26">
        <f>IF(A932="","",IF(AND(ISNUMBER(B932),B932&lt;&gt;0),1,0))</f>
        <v>0</v>
      </c>
      <c r="H932" s="25">
        <f>IF(E932="","",(E932*4+3+cfgDeslocamento)/48)</f>
        <v>0</v>
      </c>
    </row>
    <row r="933" spans="1:8">
      <c r="A933" s="24"/>
      <c r="B933" s="19"/>
      <c r="C933" s="25">
        <f>IF(D933="","",D933/48)</f>
        <v>0</v>
      </c>
      <c r="D933" s="26">
        <f>IF(A933="","",ROUND((A933-cfgDefasagem/1440)*48,0))</f>
        <v>0</v>
      </c>
      <c r="E933" s="26">
        <f>IF(D933="","",INT((D933-cfgDeslocamento)/4))</f>
        <v>0</v>
      </c>
      <c r="F933" s="26">
        <f>IF(D933="","",MOD(D933-cfgDeslocamento,4)+1)</f>
        <v>0</v>
      </c>
      <c r="G933" s="26">
        <f>IF(A933="","",IF(AND(ISNUMBER(B933),B933&lt;&gt;0),1,0))</f>
        <v>0</v>
      </c>
      <c r="H933" s="25">
        <f>IF(E933="","",(E933*4+3+cfgDeslocamento)/48)</f>
        <v>0</v>
      </c>
    </row>
    <row r="934" spans="1:8">
      <c r="A934" s="24"/>
      <c r="B934" s="19"/>
      <c r="C934" s="25">
        <f>IF(D934="","",D934/48)</f>
        <v>0</v>
      </c>
      <c r="D934" s="26">
        <f>IF(A934="","",ROUND((A934-cfgDefasagem/1440)*48,0))</f>
        <v>0</v>
      </c>
      <c r="E934" s="26">
        <f>IF(D934="","",INT((D934-cfgDeslocamento)/4))</f>
        <v>0</v>
      </c>
      <c r="F934" s="26">
        <f>IF(D934="","",MOD(D934-cfgDeslocamento,4)+1)</f>
        <v>0</v>
      </c>
      <c r="G934" s="26">
        <f>IF(A934="","",IF(AND(ISNUMBER(B934),B934&lt;&gt;0),1,0))</f>
        <v>0</v>
      </c>
      <c r="H934" s="25">
        <f>IF(E934="","",(E934*4+3+cfgDeslocamento)/48)</f>
        <v>0</v>
      </c>
    </row>
    <row r="935" spans="1:8">
      <c r="A935" s="24"/>
      <c r="B935" s="19"/>
      <c r="C935" s="25">
        <f>IF(D935="","",D935/48)</f>
        <v>0</v>
      </c>
      <c r="D935" s="26">
        <f>IF(A935="","",ROUND((A935-cfgDefasagem/1440)*48,0))</f>
        <v>0</v>
      </c>
      <c r="E935" s="26">
        <f>IF(D935="","",INT((D935-cfgDeslocamento)/4))</f>
        <v>0</v>
      </c>
      <c r="F935" s="26">
        <f>IF(D935="","",MOD(D935-cfgDeslocamento,4)+1)</f>
        <v>0</v>
      </c>
      <c r="G935" s="26">
        <f>IF(A935="","",IF(AND(ISNUMBER(B935),B935&lt;&gt;0),1,0))</f>
        <v>0</v>
      </c>
      <c r="H935" s="25">
        <f>IF(E935="","",(E935*4+3+cfgDeslocamento)/48)</f>
        <v>0</v>
      </c>
    </row>
    <row r="936" spans="1:8">
      <c r="A936" s="24"/>
      <c r="B936" s="19"/>
      <c r="C936" s="25">
        <f>IF(D936="","",D936/48)</f>
        <v>0</v>
      </c>
      <c r="D936" s="26">
        <f>IF(A936="","",ROUND((A936-cfgDefasagem/1440)*48,0))</f>
        <v>0</v>
      </c>
      <c r="E936" s="26">
        <f>IF(D936="","",INT((D936-cfgDeslocamento)/4))</f>
        <v>0</v>
      </c>
      <c r="F936" s="26">
        <f>IF(D936="","",MOD(D936-cfgDeslocamento,4)+1)</f>
        <v>0</v>
      </c>
      <c r="G936" s="26">
        <f>IF(A936="","",IF(AND(ISNUMBER(B936),B936&lt;&gt;0),1,0))</f>
        <v>0</v>
      </c>
      <c r="H936" s="25">
        <f>IF(E936="","",(E936*4+3+cfgDeslocamento)/48)</f>
        <v>0</v>
      </c>
    </row>
    <row r="937" spans="1:8">
      <c r="A937" s="24"/>
      <c r="B937" s="19"/>
      <c r="C937" s="25">
        <f>IF(D937="","",D937/48)</f>
        <v>0</v>
      </c>
      <c r="D937" s="26">
        <f>IF(A937="","",ROUND((A937-cfgDefasagem/1440)*48,0))</f>
        <v>0</v>
      </c>
      <c r="E937" s="26">
        <f>IF(D937="","",INT((D937-cfgDeslocamento)/4))</f>
        <v>0</v>
      </c>
      <c r="F937" s="26">
        <f>IF(D937="","",MOD(D937-cfgDeslocamento,4)+1)</f>
        <v>0</v>
      </c>
      <c r="G937" s="26">
        <f>IF(A937="","",IF(AND(ISNUMBER(B937),B937&lt;&gt;0),1,0))</f>
        <v>0</v>
      </c>
      <c r="H937" s="25">
        <f>IF(E937="","",(E937*4+3+cfgDeslocamento)/48)</f>
        <v>0</v>
      </c>
    </row>
    <row r="938" spans="1:8">
      <c r="A938" s="24"/>
      <c r="B938" s="19"/>
      <c r="C938" s="25">
        <f>IF(D938="","",D938/48)</f>
        <v>0</v>
      </c>
      <c r="D938" s="26">
        <f>IF(A938="","",ROUND((A938-cfgDefasagem/1440)*48,0))</f>
        <v>0</v>
      </c>
      <c r="E938" s="26">
        <f>IF(D938="","",INT((D938-cfgDeslocamento)/4))</f>
        <v>0</v>
      </c>
      <c r="F938" s="26">
        <f>IF(D938="","",MOD(D938-cfgDeslocamento,4)+1)</f>
        <v>0</v>
      </c>
      <c r="G938" s="26">
        <f>IF(A938="","",IF(AND(ISNUMBER(B938),B938&lt;&gt;0),1,0))</f>
        <v>0</v>
      </c>
      <c r="H938" s="25">
        <f>IF(E938="","",(E938*4+3+cfgDeslocamento)/48)</f>
        <v>0</v>
      </c>
    </row>
    <row r="939" spans="1:8">
      <c r="A939" s="24"/>
      <c r="B939" s="19"/>
      <c r="C939" s="25">
        <f>IF(D939="","",D939/48)</f>
        <v>0</v>
      </c>
      <c r="D939" s="26">
        <f>IF(A939="","",ROUND((A939-cfgDefasagem/1440)*48,0))</f>
        <v>0</v>
      </c>
      <c r="E939" s="26">
        <f>IF(D939="","",INT((D939-cfgDeslocamento)/4))</f>
        <v>0</v>
      </c>
      <c r="F939" s="26">
        <f>IF(D939="","",MOD(D939-cfgDeslocamento,4)+1)</f>
        <v>0</v>
      </c>
      <c r="G939" s="26">
        <f>IF(A939="","",IF(AND(ISNUMBER(B939),B939&lt;&gt;0),1,0))</f>
        <v>0</v>
      </c>
      <c r="H939" s="25">
        <f>IF(E939="","",(E939*4+3+cfgDeslocamento)/48)</f>
        <v>0</v>
      </c>
    </row>
    <row r="940" spans="1:8">
      <c r="A940" s="24"/>
      <c r="B940" s="19"/>
      <c r="C940" s="25">
        <f>IF(D940="","",D940/48)</f>
        <v>0</v>
      </c>
      <c r="D940" s="26">
        <f>IF(A940="","",ROUND((A940-cfgDefasagem/1440)*48,0))</f>
        <v>0</v>
      </c>
      <c r="E940" s="26">
        <f>IF(D940="","",INT((D940-cfgDeslocamento)/4))</f>
        <v>0</v>
      </c>
      <c r="F940" s="26">
        <f>IF(D940="","",MOD(D940-cfgDeslocamento,4)+1)</f>
        <v>0</v>
      </c>
      <c r="G940" s="26">
        <f>IF(A940="","",IF(AND(ISNUMBER(B940),B940&lt;&gt;0),1,0))</f>
        <v>0</v>
      </c>
      <c r="H940" s="25">
        <f>IF(E940="","",(E940*4+3+cfgDeslocamento)/48)</f>
        <v>0</v>
      </c>
    </row>
    <row r="941" spans="1:8">
      <c r="A941" s="24"/>
      <c r="B941" s="19"/>
      <c r="C941" s="25">
        <f>IF(D941="","",D941/48)</f>
        <v>0</v>
      </c>
      <c r="D941" s="26">
        <f>IF(A941="","",ROUND((A941-cfgDefasagem/1440)*48,0))</f>
        <v>0</v>
      </c>
      <c r="E941" s="26">
        <f>IF(D941="","",INT((D941-cfgDeslocamento)/4))</f>
        <v>0</v>
      </c>
      <c r="F941" s="26">
        <f>IF(D941="","",MOD(D941-cfgDeslocamento,4)+1)</f>
        <v>0</v>
      </c>
      <c r="G941" s="26">
        <f>IF(A941="","",IF(AND(ISNUMBER(B941),B941&lt;&gt;0),1,0))</f>
        <v>0</v>
      </c>
      <c r="H941" s="25">
        <f>IF(E941="","",(E941*4+3+cfgDeslocamento)/48)</f>
        <v>0</v>
      </c>
    </row>
    <row r="942" spans="1:8">
      <c r="A942" s="24"/>
      <c r="B942" s="19"/>
      <c r="C942" s="25">
        <f>IF(D942="","",D942/48)</f>
        <v>0</v>
      </c>
      <c r="D942" s="26">
        <f>IF(A942="","",ROUND((A942-cfgDefasagem/1440)*48,0))</f>
        <v>0</v>
      </c>
      <c r="E942" s="26">
        <f>IF(D942="","",INT((D942-cfgDeslocamento)/4))</f>
        <v>0</v>
      </c>
      <c r="F942" s="26">
        <f>IF(D942="","",MOD(D942-cfgDeslocamento,4)+1)</f>
        <v>0</v>
      </c>
      <c r="G942" s="26">
        <f>IF(A942="","",IF(AND(ISNUMBER(B942),B942&lt;&gt;0),1,0))</f>
        <v>0</v>
      </c>
      <c r="H942" s="25">
        <f>IF(E942="","",(E942*4+3+cfgDeslocamento)/48)</f>
        <v>0</v>
      </c>
    </row>
    <row r="943" spans="1:8">
      <c r="A943" s="24"/>
      <c r="B943" s="19"/>
      <c r="C943" s="25">
        <f>IF(D943="","",D943/48)</f>
        <v>0</v>
      </c>
      <c r="D943" s="26">
        <f>IF(A943="","",ROUND((A943-cfgDefasagem/1440)*48,0))</f>
        <v>0</v>
      </c>
      <c r="E943" s="26">
        <f>IF(D943="","",INT((D943-cfgDeslocamento)/4))</f>
        <v>0</v>
      </c>
      <c r="F943" s="26">
        <f>IF(D943="","",MOD(D943-cfgDeslocamento,4)+1)</f>
        <v>0</v>
      </c>
      <c r="G943" s="26">
        <f>IF(A943="","",IF(AND(ISNUMBER(B943),B943&lt;&gt;0),1,0))</f>
        <v>0</v>
      </c>
      <c r="H943" s="25">
        <f>IF(E943="","",(E943*4+3+cfgDeslocamento)/48)</f>
        <v>0</v>
      </c>
    </row>
    <row r="944" spans="1:8">
      <c r="A944" s="24"/>
      <c r="B944" s="19"/>
      <c r="C944" s="25">
        <f>IF(D944="","",D944/48)</f>
        <v>0</v>
      </c>
      <c r="D944" s="26">
        <f>IF(A944="","",ROUND((A944-cfgDefasagem/1440)*48,0))</f>
        <v>0</v>
      </c>
      <c r="E944" s="26">
        <f>IF(D944="","",INT((D944-cfgDeslocamento)/4))</f>
        <v>0</v>
      </c>
      <c r="F944" s="26">
        <f>IF(D944="","",MOD(D944-cfgDeslocamento,4)+1)</f>
        <v>0</v>
      </c>
      <c r="G944" s="26">
        <f>IF(A944="","",IF(AND(ISNUMBER(B944),B944&lt;&gt;0),1,0))</f>
        <v>0</v>
      </c>
      <c r="H944" s="25">
        <f>IF(E944="","",(E944*4+3+cfgDeslocamento)/48)</f>
        <v>0</v>
      </c>
    </row>
    <row r="945" spans="1:8">
      <c r="A945" s="24"/>
      <c r="B945" s="19"/>
      <c r="C945" s="25">
        <f>IF(D945="","",D945/48)</f>
        <v>0</v>
      </c>
      <c r="D945" s="26">
        <f>IF(A945="","",ROUND((A945-cfgDefasagem/1440)*48,0))</f>
        <v>0</v>
      </c>
      <c r="E945" s="26">
        <f>IF(D945="","",INT((D945-cfgDeslocamento)/4))</f>
        <v>0</v>
      </c>
      <c r="F945" s="26">
        <f>IF(D945="","",MOD(D945-cfgDeslocamento,4)+1)</f>
        <v>0</v>
      </c>
      <c r="G945" s="26">
        <f>IF(A945="","",IF(AND(ISNUMBER(B945),B945&lt;&gt;0),1,0))</f>
        <v>0</v>
      </c>
      <c r="H945" s="25">
        <f>IF(E945="","",(E945*4+3+cfgDeslocamento)/48)</f>
        <v>0</v>
      </c>
    </row>
    <row r="946" spans="1:8">
      <c r="A946" s="24"/>
      <c r="B946" s="19"/>
      <c r="C946" s="25">
        <f>IF(D946="","",D946/48)</f>
        <v>0</v>
      </c>
      <c r="D946" s="26">
        <f>IF(A946="","",ROUND((A946-cfgDefasagem/1440)*48,0))</f>
        <v>0</v>
      </c>
      <c r="E946" s="26">
        <f>IF(D946="","",INT((D946-cfgDeslocamento)/4))</f>
        <v>0</v>
      </c>
      <c r="F946" s="26">
        <f>IF(D946="","",MOD(D946-cfgDeslocamento,4)+1)</f>
        <v>0</v>
      </c>
      <c r="G946" s="26">
        <f>IF(A946="","",IF(AND(ISNUMBER(B946),B946&lt;&gt;0),1,0))</f>
        <v>0</v>
      </c>
      <c r="H946" s="25">
        <f>IF(E946="","",(E946*4+3+cfgDeslocamento)/48)</f>
        <v>0</v>
      </c>
    </row>
    <row r="947" spans="1:8">
      <c r="A947" s="24"/>
      <c r="B947" s="19"/>
      <c r="C947" s="25">
        <f>IF(D947="","",D947/48)</f>
        <v>0</v>
      </c>
      <c r="D947" s="26">
        <f>IF(A947="","",ROUND((A947-cfgDefasagem/1440)*48,0))</f>
        <v>0</v>
      </c>
      <c r="E947" s="26">
        <f>IF(D947="","",INT((D947-cfgDeslocamento)/4))</f>
        <v>0</v>
      </c>
      <c r="F947" s="26">
        <f>IF(D947="","",MOD(D947-cfgDeslocamento,4)+1)</f>
        <v>0</v>
      </c>
      <c r="G947" s="26">
        <f>IF(A947="","",IF(AND(ISNUMBER(B947),B947&lt;&gt;0),1,0))</f>
        <v>0</v>
      </c>
      <c r="H947" s="25">
        <f>IF(E947="","",(E947*4+3+cfgDeslocamento)/48)</f>
        <v>0</v>
      </c>
    </row>
    <row r="948" spans="1:8">
      <c r="A948" s="24"/>
      <c r="B948" s="19"/>
      <c r="C948" s="25">
        <f>IF(D948="","",D948/48)</f>
        <v>0</v>
      </c>
      <c r="D948" s="26">
        <f>IF(A948="","",ROUND((A948-cfgDefasagem/1440)*48,0))</f>
        <v>0</v>
      </c>
      <c r="E948" s="26">
        <f>IF(D948="","",INT((D948-cfgDeslocamento)/4))</f>
        <v>0</v>
      </c>
      <c r="F948" s="26">
        <f>IF(D948="","",MOD(D948-cfgDeslocamento,4)+1)</f>
        <v>0</v>
      </c>
      <c r="G948" s="26">
        <f>IF(A948="","",IF(AND(ISNUMBER(B948),B948&lt;&gt;0),1,0))</f>
        <v>0</v>
      </c>
      <c r="H948" s="25">
        <f>IF(E948="","",(E948*4+3+cfgDeslocamento)/48)</f>
        <v>0</v>
      </c>
    </row>
    <row r="949" spans="1:8">
      <c r="A949" s="24"/>
      <c r="B949" s="19"/>
      <c r="C949" s="25">
        <f>IF(D949="","",D949/48)</f>
        <v>0</v>
      </c>
      <c r="D949" s="26">
        <f>IF(A949="","",ROUND((A949-cfgDefasagem/1440)*48,0))</f>
        <v>0</v>
      </c>
      <c r="E949" s="26">
        <f>IF(D949="","",INT((D949-cfgDeslocamento)/4))</f>
        <v>0</v>
      </c>
      <c r="F949" s="26">
        <f>IF(D949="","",MOD(D949-cfgDeslocamento,4)+1)</f>
        <v>0</v>
      </c>
      <c r="G949" s="26">
        <f>IF(A949="","",IF(AND(ISNUMBER(B949),B949&lt;&gt;0),1,0))</f>
        <v>0</v>
      </c>
      <c r="H949" s="25">
        <f>IF(E949="","",(E949*4+3+cfgDeslocamento)/48)</f>
        <v>0</v>
      </c>
    </row>
    <row r="950" spans="1:8">
      <c r="A950" s="24"/>
      <c r="B950" s="19"/>
      <c r="C950" s="25">
        <f>IF(D950="","",D950/48)</f>
        <v>0</v>
      </c>
      <c r="D950" s="26">
        <f>IF(A950="","",ROUND((A950-cfgDefasagem/1440)*48,0))</f>
        <v>0</v>
      </c>
      <c r="E950" s="26">
        <f>IF(D950="","",INT((D950-cfgDeslocamento)/4))</f>
        <v>0</v>
      </c>
      <c r="F950" s="26">
        <f>IF(D950="","",MOD(D950-cfgDeslocamento,4)+1)</f>
        <v>0</v>
      </c>
      <c r="G950" s="26">
        <f>IF(A950="","",IF(AND(ISNUMBER(B950),B950&lt;&gt;0),1,0))</f>
        <v>0</v>
      </c>
      <c r="H950" s="25">
        <f>IF(E950="","",(E950*4+3+cfgDeslocamento)/48)</f>
        <v>0</v>
      </c>
    </row>
    <row r="951" spans="1:8">
      <c r="A951" s="24"/>
      <c r="B951" s="19"/>
      <c r="C951" s="25">
        <f>IF(D951="","",D951/48)</f>
        <v>0</v>
      </c>
      <c r="D951" s="26">
        <f>IF(A951="","",ROUND((A951-cfgDefasagem/1440)*48,0))</f>
        <v>0</v>
      </c>
      <c r="E951" s="26">
        <f>IF(D951="","",INT((D951-cfgDeslocamento)/4))</f>
        <v>0</v>
      </c>
      <c r="F951" s="26">
        <f>IF(D951="","",MOD(D951-cfgDeslocamento,4)+1)</f>
        <v>0</v>
      </c>
      <c r="G951" s="26">
        <f>IF(A951="","",IF(AND(ISNUMBER(B951),B951&lt;&gt;0),1,0))</f>
        <v>0</v>
      </c>
      <c r="H951" s="25">
        <f>IF(E951="","",(E951*4+3+cfgDeslocamento)/48)</f>
        <v>0</v>
      </c>
    </row>
    <row r="952" spans="1:8">
      <c r="A952" s="24"/>
      <c r="B952" s="19"/>
      <c r="C952" s="25">
        <f>IF(D952="","",D952/48)</f>
        <v>0</v>
      </c>
      <c r="D952" s="26">
        <f>IF(A952="","",ROUND((A952-cfgDefasagem/1440)*48,0))</f>
        <v>0</v>
      </c>
      <c r="E952" s="26">
        <f>IF(D952="","",INT((D952-cfgDeslocamento)/4))</f>
        <v>0</v>
      </c>
      <c r="F952" s="26">
        <f>IF(D952="","",MOD(D952-cfgDeslocamento,4)+1)</f>
        <v>0</v>
      </c>
      <c r="G952" s="26">
        <f>IF(A952="","",IF(AND(ISNUMBER(B952),B952&lt;&gt;0),1,0))</f>
        <v>0</v>
      </c>
      <c r="H952" s="25">
        <f>IF(E952="","",(E952*4+3+cfgDeslocamento)/48)</f>
        <v>0</v>
      </c>
    </row>
    <row r="953" spans="1:8">
      <c r="A953" s="24"/>
      <c r="B953" s="19"/>
      <c r="C953" s="25">
        <f>IF(D953="","",D953/48)</f>
        <v>0</v>
      </c>
      <c r="D953" s="26">
        <f>IF(A953="","",ROUND((A953-cfgDefasagem/1440)*48,0))</f>
        <v>0</v>
      </c>
      <c r="E953" s="26">
        <f>IF(D953="","",INT((D953-cfgDeslocamento)/4))</f>
        <v>0</v>
      </c>
      <c r="F953" s="26">
        <f>IF(D953="","",MOD(D953-cfgDeslocamento,4)+1)</f>
        <v>0</v>
      </c>
      <c r="G953" s="26">
        <f>IF(A953="","",IF(AND(ISNUMBER(B953),B953&lt;&gt;0),1,0))</f>
        <v>0</v>
      </c>
      <c r="H953" s="25">
        <f>IF(E953="","",(E953*4+3+cfgDeslocamento)/48)</f>
        <v>0</v>
      </c>
    </row>
    <row r="954" spans="1:8">
      <c r="A954" s="24"/>
      <c r="B954" s="19"/>
      <c r="C954" s="25">
        <f>IF(D954="","",D954/48)</f>
        <v>0</v>
      </c>
      <c r="D954" s="26">
        <f>IF(A954="","",ROUND((A954-cfgDefasagem/1440)*48,0))</f>
        <v>0</v>
      </c>
      <c r="E954" s="26">
        <f>IF(D954="","",INT((D954-cfgDeslocamento)/4))</f>
        <v>0</v>
      </c>
      <c r="F954" s="26">
        <f>IF(D954="","",MOD(D954-cfgDeslocamento,4)+1)</f>
        <v>0</v>
      </c>
      <c r="G954" s="26">
        <f>IF(A954="","",IF(AND(ISNUMBER(B954),B954&lt;&gt;0),1,0))</f>
        <v>0</v>
      </c>
      <c r="H954" s="25">
        <f>IF(E954="","",(E954*4+3+cfgDeslocamento)/48)</f>
        <v>0</v>
      </c>
    </row>
    <row r="955" spans="1:8">
      <c r="A955" s="24"/>
      <c r="B955" s="19"/>
      <c r="C955" s="25">
        <f>IF(D955="","",D955/48)</f>
        <v>0</v>
      </c>
      <c r="D955" s="26">
        <f>IF(A955="","",ROUND((A955-cfgDefasagem/1440)*48,0))</f>
        <v>0</v>
      </c>
      <c r="E955" s="26">
        <f>IF(D955="","",INT((D955-cfgDeslocamento)/4))</f>
        <v>0</v>
      </c>
      <c r="F955" s="26">
        <f>IF(D955="","",MOD(D955-cfgDeslocamento,4)+1)</f>
        <v>0</v>
      </c>
      <c r="G955" s="26">
        <f>IF(A955="","",IF(AND(ISNUMBER(B955),B955&lt;&gt;0),1,0))</f>
        <v>0</v>
      </c>
      <c r="H955" s="25">
        <f>IF(E955="","",(E955*4+3+cfgDeslocamento)/48)</f>
        <v>0</v>
      </c>
    </row>
    <row r="956" spans="1:8">
      <c r="A956" s="24"/>
      <c r="B956" s="19"/>
      <c r="C956" s="25">
        <f>IF(D956="","",D956/48)</f>
        <v>0</v>
      </c>
      <c r="D956" s="26">
        <f>IF(A956="","",ROUND((A956-cfgDefasagem/1440)*48,0))</f>
        <v>0</v>
      </c>
      <c r="E956" s="26">
        <f>IF(D956="","",INT((D956-cfgDeslocamento)/4))</f>
        <v>0</v>
      </c>
      <c r="F956" s="26">
        <f>IF(D956="","",MOD(D956-cfgDeslocamento,4)+1)</f>
        <v>0</v>
      </c>
      <c r="G956" s="26">
        <f>IF(A956="","",IF(AND(ISNUMBER(B956),B956&lt;&gt;0),1,0))</f>
        <v>0</v>
      </c>
      <c r="H956" s="25">
        <f>IF(E956="","",(E956*4+3+cfgDeslocamento)/48)</f>
        <v>0</v>
      </c>
    </row>
    <row r="957" spans="1:8">
      <c r="A957" s="24"/>
      <c r="B957" s="19"/>
      <c r="C957" s="25">
        <f>IF(D957="","",D957/48)</f>
        <v>0</v>
      </c>
      <c r="D957" s="26">
        <f>IF(A957="","",ROUND((A957-cfgDefasagem/1440)*48,0))</f>
        <v>0</v>
      </c>
      <c r="E957" s="26">
        <f>IF(D957="","",INT((D957-cfgDeslocamento)/4))</f>
        <v>0</v>
      </c>
      <c r="F957" s="26">
        <f>IF(D957="","",MOD(D957-cfgDeslocamento,4)+1)</f>
        <v>0</v>
      </c>
      <c r="G957" s="26">
        <f>IF(A957="","",IF(AND(ISNUMBER(B957),B957&lt;&gt;0),1,0))</f>
        <v>0</v>
      </c>
      <c r="H957" s="25">
        <f>IF(E957="","",(E957*4+3+cfgDeslocamento)/48)</f>
        <v>0</v>
      </c>
    </row>
    <row r="958" spans="1:8">
      <c r="A958" s="24"/>
      <c r="B958" s="19"/>
      <c r="C958" s="25">
        <f>IF(D958="","",D958/48)</f>
        <v>0</v>
      </c>
      <c r="D958" s="26">
        <f>IF(A958="","",ROUND((A958-cfgDefasagem/1440)*48,0))</f>
        <v>0</v>
      </c>
      <c r="E958" s="26">
        <f>IF(D958="","",INT((D958-cfgDeslocamento)/4))</f>
        <v>0</v>
      </c>
      <c r="F958" s="26">
        <f>IF(D958="","",MOD(D958-cfgDeslocamento,4)+1)</f>
        <v>0</v>
      </c>
      <c r="G958" s="26">
        <f>IF(A958="","",IF(AND(ISNUMBER(B958),B958&lt;&gt;0),1,0))</f>
        <v>0</v>
      </c>
      <c r="H958" s="25">
        <f>IF(E958="","",(E958*4+3+cfgDeslocamento)/48)</f>
        <v>0</v>
      </c>
    </row>
    <row r="959" spans="1:8">
      <c r="A959" s="24"/>
      <c r="B959" s="19"/>
      <c r="C959" s="25">
        <f>IF(D959="","",D959/48)</f>
        <v>0</v>
      </c>
      <c r="D959" s="26">
        <f>IF(A959="","",ROUND((A959-cfgDefasagem/1440)*48,0))</f>
        <v>0</v>
      </c>
      <c r="E959" s="26">
        <f>IF(D959="","",INT((D959-cfgDeslocamento)/4))</f>
        <v>0</v>
      </c>
      <c r="F959" s="26">
        <f>IF(D959="","",MOD(D959-cfgDeslocamento,4)+1)</f>
        <v>0</v>
      </c>
      <c r="G959" s="26">
        <f>IF(A959="","",IF(AND(ISNUMBER(B959),B959&lt;&gt;0),1,0))</f>
        <v>0</v>
      </c>
      <c r="H959" s="25">
        <f>IF(E959="","",(E959*4+3+cfgDeslocamento)/48)</f>
        <v>0</v>
      </c>
    </row>
    <row r="960" spans="1:8">
      <c r="A960" s="24"/>
      <c r="B960" s="19"/>
      <c r="C960" s="25">
        <f>IF(D960="","",D960/48)</f>
        <v>0</v>
      </c>
      <c r="D960" s="26">
        <f>IF(A960="","",ROUND((A960-cfgDefasagem/1440)*48,0))</f>
        <v>0</v>
      </c>
      <c r="E960" s="26">
        <f>IF(D960="","",INT((D960-cfgDeslocamento)/4))</f>
        <v>0</v>
      </c>
      <c r="F960" s="26">
        <f>IF(D960="","",MOD(D960-cfgDeslocamento,4)+1)</f>
        <v>0</v>
      </c>
      <c r="G960" s="26">
        <f>IF(A960="","",IF(AND(ISNUMBER(B960),B960&lt;&gt;0),1,0))</f>
        <v>0</v>
      </c>
      <c r="H960" s="25">
        <f>IF(E960="","",(E960*4+3+cfgDeslocamento)/48)</f>
        <v>0</v>
      </c>
    </row>
    <row r="961" spans="1:8">
      <c r="A961" s="24"/>
      <c r="B961" s="19"/>
      <c r="C961" s="25">
        <f>IF(D961="","",D961/48)</f>
        <v>0</v>
      </c>
      <c r="D961" s="26">
        <f>IF(A961="","",ROUND((A961-cfgDefasagem/1440)*48,0))</f>
        <v>0</v>
      </c>
      <c r="E961" s="26">
        <f>IF(D961="","",INT((D961-cfgDeslocamento)/4))</f>
        <v>0</v>
      </c>
      <c r="F961" s="26">
        <f>IF(D961="","",MOD(D961-cfgDeslocamento,4)+1)</f>
        <v>0</v>
      </c>
      <c r="G961" s="26">
        <f>IF(A961="","",IF(AND(ISNUMBER(B961),B961&lt;&gt;0),1,0))</f>
        <v>0</v>
      </c>
      <c r="H961" s="25">
        <f>IF(E961="","",(E961*4+3+cfgDeslocamento)/48)</f>
        <v>0</v>
      </c>
    </row>
    <row r="962" spans="1:8">
      <c r="A962" s="24"/>
      <c r="B962" s="19"/>
      <c r="C962" s="25">
        <f>IF(D962="","",D962/48)</f>
        <v>0</v>
      </c>
      <c r="D962" s="26">
        <f>IF(A962="","",ROUND((A962-cfgDefasagem/1440)*48,0))</f>
        <v>0</v>
      </c>
      <c r="E962" s="26">
        <f>IF(D962="","",INT((D962-cfgDeslocamento)/4))</f>
        <v>0</v>
      </c>
      <c r="F962" s="26">
        <f>IF(D962="","",MOD(D962-cfgDeslocamento,4)+1)</f>
        <v>0</v>
      </c>
      <c r="G962" s="26">
        <f>IF(A962="","",IF(AND(ISNUMBER(B962),B962&lt;&gt;0),1,0))</f>
        <v>0</v>
      </c>
      <c r="H962" s="25">
        <f>IF(E962="","",(E962*4+3+cfgDeslocamento)/48)</f>
        <v>0</v>
      </c>
    </row>
    <row r="963" spans="1:8">
      <c r="A963" s="24"/>
      <c r="B963" s="19"/>
      <c r="C963" s="25">
        <f>IF(D963="","",D963/48)</f>
        <v>0</v>
      </c>
      <c r="D963" s="26">
        <f>IF(A963="","",ROUND((A963-cfgDefasagem/1440)*48,0))</f>
        <v>0</v>
      </c>
      <c r="E963" s="26">
        <f>IF(D963="","",INT((D963-cfgDeslocamento)/4))</f>
        <v>0</v>
      </c>
      <c r="F963" s="26">
        <f>IF(D963="","",MOD(D963-cfgDeslocamento,4)+1)</f>
        <v>0</v>
      </c>
      <c r="G963" s="26">
        <f>IF(A963="","",IF(AND(ISNUMBER(B963),B963&lt;&gt;0),1,0))</f>
        <v>0</v>
      </c>
      <c r="H963" s="25">
        <f>IF(E963="","",(E963*4+3+cfgDeslocamento)/48)</f>
        <v>0</v>
      </c>
    </row>
    <row r="964" spans="1:8">
      <c r="A964" s="24"/>
      <c r="B964" s="19"/>
      <c r="C964" s="25">
        <f>IF(D964="","",D964/48)</f>
        <v>0</v>
      </c>
      <c r="D964" s="26">
        <f>IF(A964="","",ROUND((A964-cfgDefasagem/1440)*48,0))</f>
        <v>0</v>
      </c>
      <c r="E964" s="26">
        <f>IF(D964="","",INT((D964-cfgDeslocamento)/4))</f>
        <v>0</v>
      </c>
      <c r="F964" s="26">
        <f>IF(D964="","",MOD(D964-cfgDeslocamento,4)+1)</f>
        <v>0</v>
      </c>
      <c r="G964" s="26">
        <f>IF(A964="","",IF(AND(ISNUMBER(B964),B964&lt;&gt;0),1,0))</f>
        <v>0</v>
      </c>
      <c r="H964" s="25">
        <f>IF(E964="","",(E964*4+3+cfgDeslocamento)/48)</f>
        <v>0</v>
      </c>
    </row>
    <row r="965" spans="1:8">
      <c r="A965" s="24"/>
      <c r="B965" s="19"/>
      <c r="C965" s="25">
        <f>IF(D965="","",D965/48)</f>
        <v>0</v>
      </c>
      <c r="D965" s="26">
        <f>IF(A965="","",ROUND((A965-cfgDefasagem/1440)*48,0))</f>
        <v>0</v>
      </c>
      <c r="E965" s="26">
        <f>IF(D965="","",INT((D965-cfgDeslocamento)/4))</f>
        <v>0</v>
      </c>
      <c r="F965" s="26">
        <f>IF(D965="","",MOD(D965-cfgDeslocamento,4)+1)</f>
        <v>0</v>
      </c>
      <c r="G965" s="26">
        <f>IF(A965="","",IF(AND(ISNUMBER(B965),B965&lt;&gt;0),1,0))</f>
        <v>0</v>
      </c>
      <c r="H965" s="25">
        <f>IF(E965="","",(E965*4+3+cfgDeslocamento)/48)</f>
        <v>0</v>
      </c>
    </row>
    <row r="966" spans="1:8">
      <c r="A966" s="24"/>
      <c r="B966" s="19"/>
      <c r="C966" s="25">
        <f>IF(D966="","",D966/48)</f>
        <v>0</v>
      </c>
      <c r="D966" s="26">
        <f>IF(A966="","",ROUND((A966-cfgDefasagem/1440)*48,0))</f>
        <v>0</v>
      </c>
      <c r="E966" s="26">
        <f>IF(D966="","",INT((D966-cfgDeslocamento)/4))</f>
        <v>0</v>
      </c>
      <c r="F966" s="26">
        <f>IF(D966="","",MOD(D966-cfgDeslocamento,4)+1)</f>
        <v>0</v>
      </c>
      <c r="G966" s="26">
        <f>IF(A966="","",IF(AND(ISNUMBER(B966),B966&lt;&gt;0),1,0))</f>
        <v>0</v>
      </c>
      <c r="H966" s="25">
        <f>IF(E966="","",(E966*4+3+cfgDeslocamento)/48)</f>
        <v>0</v>
      </c>
    </row>
    <row r="967" spans="1:8">
      <c r="A967" s="24"/>
      <c r="B967" s="19"/>
      <c r="C967" s="25">
        <f>IF(D967="","",D967/48)</f>
        <v>0</v>
      </c>
      <c r="D967" s="26">
        <f>IF(A967="","",ROUND((A967-cfgDefasagem/1440)*48,0))</f>
        <v>0</v>
      </c>
      <c r="E967" s="26">
        <f>IF(D967="","",INT((D967-cfgDeslocamento)/4))</f>
        <v>0</v>
      </c>
      <c r="F967" s="26">
        <f>IF(D967="","",MOD(D967-cfgDeslocamento,4)+1)</f>
        <v>0</v>
      </c>
      <c r="G967" s="26">
        <f>IF(A967="","",IF(AND(ISNUMBER(B967),B967&lt;&gt;0),1,0))</f>
        <v>0</v>
      </c>
      <c r="H967" s="25">
        <f>IF(E967="","",(E967*4+3+cfgDeslocamento)/48)</f>
        <v>0</v>
      </c>
    </row>
    <row r="968" spans="1:8">
      <c r="A968" s="24"/>
      <c r="B968" s="19"/>
      <c r="C968" s="25">
        <f>IF(D968="","",D968/48)</f>
        <v>0</v>
      </c>
      <c r="D968" s="26">
        <f>IF(A968="","",ROUND((A968-cfgDefasagem/1440)*48,0))</f>
        <v>0</v>
      </c>
      <c r="E968" s="26">
        <f>IF(D968="","",INT((D968-cfgDeslocamento)/4))</f>
        <v>0</v>
      </c>
      <c r="F968" s="26">
        <f>IF(D968="","",MOD(D968-cfgDeslocamento,4)+1)</f>
        <v>0</v>
      </c>
      <c r="G968" s="26">
        <f>IF(A968="","",IF(AND(ISNUMBER(B968),B968&lt;&gt;0),1,0))</f>
        <v>0</v>
      </c>
      <c r="H968" s="25">
        <f>IF(E968="","",(E968*4+3+cfgDeslocamento)/48)</f>
        <v>0</v>
      </c>
    </row>
    <row r="969" spans="1:8">
      <c r="A969" s="24"/>
      <c r="B969" s="19"/>
      <c r="C969" s="25">
        <f>IF(D969="","",D969/48)</f>
        <v>0</v>
      </c>
      <c r="D969" s="26">
        <f>IF(A969="","",ROUND((A969-cfgDefasagem/1440)*48,0))</f>
        <v>0</v>
      </c>
      <c r="E969" s="26">
        <f>IF(D969="","",INT((D969-cfgDeslocamento)/4))</f>
        <v>0</v>
      </c>
      <c r="F969" s="26">
        <f>IF(D969="","",MOD(D969-cfgDeslocamento,4)+1)</f>
        <v>0</v>
      </c>
      <c r="G969" s="26">
        <f>IF(A969="","",IF(AND(ISNUMBER(B969),B969&lt;&gt;0),1,0))</f>
        <v>0</v>
      </c>
      <c r="H969" s="25">
        <f>IF(E969="","",(E969*4+3+cfgDeslocamento)/48)</f>
        <v>0</v>
      </c>
    </row>
    <row r="970" spans="1:8">
      <c r="A970" s="24"/>
      <c r="B970" s="19"/>
      <c r="C970" s="25">
        <f>IF(D970="","",D970/48)</f>
        <v>0</v>
      </c>
      <c r="D970" s="26">
        <f>IF(A970="","",ROUND((A970-cfgDefasagem/1440)*48,0))</f>
        <v>0</v>
      </c>
      <c r="E970" s="26">
        <f>IF(D970="","",INT((D970-cfgDeslocamento)/4))</f>
        <v>0</v>
      </c>
      <c r="F970" s="26">
        <f>IF(D970="","",MOD(D970-cfgDeslocamento,4)+1)</f>
        <v>0</v>
      </c>
      <c r="G970" s="26">
        <f>IF(A970="","",IF(AND(ISNUMBER(B970),B970&lt;&gt;0),1,0))</f>
        <v>0</v>
      </c>
      <c r="H970" s="25">
        <f>IF(E970="","",(E970*4+3+cfgDeslocamento)/48)</f>
        <v>0</v>
      </c>
    </row>
    <row r="971" spans="1:8">
      <c r="A971" s="24"/>
      <c r="B971" s="19"/>
      <c r="C971" s="25">
        <f>IF(D971="","",D971/48)</f>
        <v>0</v>
      </c>
      <c r="D971" s="26">
        <f>IF(A971="","",ROUND((A971-cfgDefasagem/1440)*48,0))</f>
        <v>0</v>
      </c>
      <c r="E971" s="26">
        <f>IF(D971="","",INT((D971-cfgDeslocamento)/4))</f>
        <v>0</v>
      </c>
      <c r="F971" s="26">
        <f>IF(D971="","",MOD(D971-cfgDeslocamento,4)+1)</f>
        <v>0</v>
      </c>
      <c r="G971" s="26">
        <f>IF(A971="","",IF(AND(ISNUMBER(B971),B971&lt;&gt;0),1,0))</f>
        <v>0</v>
      </c>
      <c r="H971" s="25">
        <f>IF(E971="","",(E971*4+3+cfgDeslocamento)/48)</f>
        <v>0</v>
      </c>
    </row>
    <row r="972" spans="1:8">
      <c r="A972" s="24"/>
      <c r="B972" s="19"/>
      <c r="C972" s="25">
        <f>IF(D972="","",D972/48)</f>
        <v>0</v>
      </c>
      <c r="D972" s="26">
        <f>IF(A972="","",ROUND((A972-cfgDefasagem/1440)*48,0))</f>
        <v>0</v>
      </c>
      <c r="E972" s="26">
        <f>IF(D972="","",INT((D972-cfgDeslocamento)/4))</f>
        <v>0</v>
      </c>
      <c r="F972" s="26">
        <f>IF(D972="","",MOD(D972-cfgDeslocamento,4)+1)</f>
        <v>0</v>
      </c>
      <c r="G972" s="26">
        <f>IF(A972="","",IF(AND(ISNUMBER(B972),B972&lt;&gt;0),1,0))</f>
        <v>0</v>
      </c>
      <c r="H972" s="25">
        <f>IF(E972="","",(E972*4+3+cfgDeslocamento)/48)</f>
        <v>0</v>
      </c>
    </row>
    <row r="973" spans="1:8">
      <c r="A973" s="24"/>
      <c r="B973" s="19"/>
      <c r="C973" s="25">
        <f>IF(D973="","",D973/48)</f>
        <v>0</v>
      </c>
      <c r="D973" s="26">
        <f>IF(A973="","",ROUND((A973-cfgDefasagem/1440)*48,0))</f>
        <v>0</v>
      </c>
      <c r="E973" s="26">
        <f>IF(D973="","",INT((D973-cfgDeslocamento)/4))</f>
        <v>0</v>
      </c>
      <c r="F973" s="26">
        <f>IF(D973="","",MOD(D973-cfgDeslocamento,4)+1)</f>
        <v>0</v>
      </c>
      <c r="G973" s="26">
        <f>IF(A973="","",IF(AND(ISNUMBER(B973),B973&lt;&gt;0),1,0))</f>
        <v>0</v>
      </c>
      <c r="H973" s="25">
        <f>IF(E973="","",(E973*4+3+cfgDeslocamento)/48)</f>
        <v>0</v>
      </c>
    </row>
    <row r="974" spans="1:8">
      <c r="A974" s="24"/>
      <c r="B974" s="19"/>
      <c r="C974" s="25">
        <f>IF(D974="","",D974/48)</f>
        <v>0</v>
      </c>
      <c r="D974" s="26">
        <f>IF(A974="","",ROUND((A974-cfgDefasagem/1440)*48,0))</f>
        <v>0</v>
      </c>
      <c r="E974" s="26">
        <f>IF(D974="","",INT((D974-cfgDeslocamento)/4))</f>
        <v>0</v>
      </c>
      <c r="F974" s="26">
        <f>IF(D974="","",MOD(D974-cfgDeslocamento,4)+1)</f>
        <v>0</v>
      </c>
      <c r="G974" s="26">
        <f>IF(A974="","",IF(AND(ISNUMBER(B974),B974&lt;&gt;0),1,0))</f>
        <v>0</v>
      </c>
      <c r="H974" s="25">
        <f>IF(E974="","",(E974*4+3+cfgDeslocamento)/48)</f>
        <v>0</v>
      </c>
    </row>
    <row r="975" spans="1:8">
      <c r="A975" s="24"/>
      <c r="B975" s="19"/>
      <c r="C975" s="25">
        <f>IF(D975="","",D975/48)</f>
        <v>0</v>
      </c>
      <c r="D975" s="26">
        <f>IF(A975="","",ROUND((A975-cfgDefasagem/1440)*48,0))</f>
        <v>0</v>
      </c>
      <c r="E975" s="26">
        <f>IF(D975="","",INT((D975-cfgDeslocamento)/4))</f>
        <v>0</v>
      </c>
      <c r="F975" s="26">
        <f>IF(D975="","",MOD(D975-cfgDeslocamento,4)+1)</f>
        <v>0</v>
      </c>
      <c r="G975" s="26">
        <f>IF(A975="","",IF(AND(ISNUMBER(B975),B975&lt;&gt;0),1,0))</f>
        <v>0</v>
      </c>
      <c r="H975" s="25">
        <f>IF(E975="","",(E975*4+3+cfgDeslocamento)/48)</f>
        <v>0</v>
      </c>
    </row>
    <row r="976" spans="1:8">
      <c r="A976" s="24"/>
      <c r="B976" s="19"/>
      <c r="C976" s="25">
        <f>IF(D976="","",D976/48)</f>
        <v>0</v>
      </c>
      <c r="D976" s="26">
        <f>IF(A976="","",ROUND((A976-cfgDefasagem/1440)*48,0))</f>
        <v>0</v>
      </c>
      <c r="E976" s="26">
        <f>IF(D976="","",INT((D976-cfgDeslocamento)/4))</f>
        <v>0</v>
      </c>
      <c r="F976" s="26">
        <f>IF(D976="","",MOD(D976-cfgDeslocamento,4)+1)</f>
        <v>0</v>
      </c>
      <c r="G976" s="26">
        <f>IF(A976="","",IF(AND(ISNUMBER(B976),B976&lt;&gt;0),1,0))</f>
        <v>0</v>
      </c>
      <c r="H976" s="25">
        <f>IF(E976="","",(E976*4+3+cfgDeslocamento)/48)</f>
        <v>0</v>
      </c>
    </row>
    <row r="977" spans="1:8">
      <c r="A977" s="24"/>
      <c r="B977" s="19"/>
      <c r="C977" s="25">
        <f>IF(D977="","",D977/48)</f>
        <v>0</v>
      </c>
      <c r="D977" s="26">
        <f>IF(A977="","",ROUND((A977-cfgDefasagem/1440)*48,0))</f>
        <v>0</v>
      </c>
      <c r="E977" s="26">
        <f>IF(D977="","",INT((D977-cfgDeslocamento)/4))</f>
        <v>0</v>
      </c>
      <c r="F977" s="26">
        <f>IF(D977="","",MOD(D977-cfgDeslocamento,4)+1)</f>
        <v>0</v>
      </c>
      <c r="G977" s="26">
        <f>IF(A977="","",IF(AND(ISNUMBER(B977),B977&lt;&gt;0),1,0))</f>
        <v>0</v>
      </c>
      <c r="H977" s="25">
        <f>IF(E977="","",(E977*4+3+cfgDeslocamento)/48)</f>
        <v>0</v>
      </c>
    </row>
    <row r="978" spans="1:8">
      <c r="A978" s="24"/>
      <c r="B978" s="19"/>
      <c r="C978" s="25">
        <f>IF(D978="","",D978/48)</f>
        <v>0</v>
      </c>
      <c r="D978" s="26">
        <f>IF(A978="","",ROUND((A978-cfgDefasagem/1440)*48,0))</f>
        <v>0</v>
      </c>
      <c r="E978" s="26">
        <f>IF(D978="","",INT((D978-cfgDeslocamento)/4))</f>
        <v>0</v>
      </c>
      <c r="F978" s="26">
        <f>IF(D978="","",MOD(D978-cfgDeslocamento,4)+1)</f>
        <v>0</v>
      </c>
      <c r="G978" s="26">
        <f>IF(A978="","",IF(AND(ISNUMBER(B978),B978&lt;&gt;0),1,0))</f>
        <v>0</v>
      </c>
      <c r="H978" s="25">
        <f>IF(E978="","",(E978*4+3+cfgDeslocamento)/48)</f>
        <v>0</v>
      </c>
    </row>
    <row r="979" spans="1:8">
      <c r="A979" s="24"/>
      <c r="B979" s="19"/>
      <c r="C979" s="25">
        <f>IF(D979="","",D979/48)</f>
        <v>0</v>
      </c>
      <c r="D979" s="26">
        <f>IF(A979="","",ROUND((A979-cfgDefasagem/1440)*48,0))</f>
        <v>0</v>
      </c>
      <c r="E979" s="26">
        <f>IF(D979="","",INT((D979-cfgDeslocamento)/4))</f>
        <v>0</v>
      </c>
      <c r="F979" s="26">
        <f>IF(D979="","",MOD(D979-cfgDeslocamento,4)+1)</f>
        <v>0</v>
      </c>
      <c r="G979" s="26">
        <f>IF(A979="","",IF(AND(ISNUMBER(B979),B979&lt;&gt;0),1,0))</f>
        <v>0</v>
      </c>
      <c r="H979" s="25">
        <f>IF(E979="","",(E979*4+3+cfgDeslocamento)/48)</f>
        <v>0</v>
      </c>
    </row>
    <row r="980" spans="1:8">
      <c r="A980" s="24"/>
      <c r="B980" s="19"/>
      <c r="C980" s="25">
        <f>IF(D980="","",D980/48)</f>
        <v>0</v>
      </c>
      <c r="D980" s="26">
        <f>IF(A980="","",ROUND((A980-cfgDefasagem/1440)*48,0))</f>
        <v>0</v>
      </c>
      <c r="E980" s="26">
        <f>IF(D980="","",INT((D980-cfgDeslocamento)/4))</f>
        <v>0</v>
      </c>
      <c r="F980" s="26">
        <f>IF(D980="","",MOD(D980-cfgDeslocamento,4)+1)</f>
        <v>0</v>
      </c>
      <c r="G980" s="26">
        <f>IF(A980="","",IF(AND(ISNUMBER(B980),B980&lt;&gt;0),1,0))</f>
        <v>0</v>
      </c>
      <c r="H980" s="25">
        <f>IF(E980="","",(E980*4+3+cfgDeslocamento)/48)</f>
        <v>0</v>
      </c>
    </row>
    <row r="981" spans="1:8">
      <c r="A981" s="24"/>
      <c r="B981" s="19"/>
      <c r="C981" s="25">
        <f>IF(D981="","",D981/48)</f>
        <v>0</v>
      </c>
      <c r="D981" s="26">
        <f>IF(A981="","",ROUND((A981-cfgDefasagem/1440)*48,0))</f>
        <v>0</v>
      </c>
      <c r="E981" s="26">
        <f>IF(D981="","",INT((D981-cfgDeslocamento)/4))</f>
        <v>0</v>
      </c>
      <c r="F981" s="26">
        <f>IF(D981="","",MOD(D981-cfgDeslocamento,4)+1)</f>
        <v>0</v>
      </c>
      <c r="G981" s="26">
        <f>IF(A981="","",IF(AND(ISNUMBER(B981),B981&lt;&gt;0),1,0))</f>
        <v>0</v>
      </c>
      <c r="H981" s="25">
        <f>IF(E981="","",(E981*4+3+cfgDeslocamento)/48)</f>
        <v>0</v>
      </c>
    </row>
    <row r="982" spans="1:8">
      <c r="A982" s="24"/>
      <c r="B982" s="19"/>
      <c r="C982" s="25">
        <f>IF(D982="","",D982/48)</f>
        <v>0</v>
      </c>
      <c r="D982" s="26">
        <f>IF(A982="","",ROUND((A982-cfgDefasagem/1440)*48,0))</f>
        <v>0</v>
      </c>
      <c r="E982" s="26">
        <f>IF(D982="","",INT((D982-cfgDeslocamento)/4))</f>
        <v>0</v>
      </c>
      <c r="F982" s="26">
        <f>IF(D982="","",MOD(D982-cfgDeslocamento,4)+1)</f>
        <v>0</v>
      </c>
      <c r="G982" s="26">
        <f>IF(A982="","",IF(AND(ISNUMBER(B982),B982&lt;&gt;0),1,0))</f>
        <v>0</v>
      </c>
      <c r="H982" s="25">
        <f>IF(E982="","",(E982*4+3+cfgDeslocamento)/48)</f>
        <v>0</v>
      </c>
    </row>
    <row r="983" spans="1:8">
      <c r="A983" s="24"/>
      <c r="B983" s="19"/>
      <c r="C983" s="25">
        <f>IF(D983="","",D983/48)</f>
        <v>0</v>
      </c>
      <c r="D983" s="26">
        <f>IF(A983="","",ROUND((A983-cfgDefasagem/1440)*48,0))</f>
        <v>0</v>
      </c>
      <c r="E983" s="26">
        <f>IF(D983="","",INT((D983-cfgDeslocamento)/4))</f>
        <v>0</v>
      </c>
      <c r="F983" s="26">
        <f>IF(D983="","",MOD(D983-cfgDeslocamento,4)+1)</f>
        <v>0</v>
      </c>
      <c r="G983" s="26">
        <f>IF(A983="","",IF(AND(ISNUMBER(B983),B983&lt;&gt;0),1,0))</f>
        <v>0</v>
      </c>
      <c r="H983" s="25">
        <f>IF(E983="","",(E983*4+3+cfgDeslocamento)/48)</f>
        <v>0</v>
      </c>
    </row>
    <row r="984" spans="1:8">
      <c r="A984" s="24"/>
      <c r="B984" s="19"/>
      <c r="C984" s="25">
        <f>IF(D984="","",D984/48)</f>
        <v>0</v>
      </c>
      <c r="D984" s="26">
        <f>IF(A984="","",ROUND((A984-cfgDefasagem/1440)*48,0))</f>
        <v>0</v>
      </c>
      <c r="E984" s="26">
        <f>IF(D984="","",INT((D984-cfgDeslocamento)/4))</f>
        <v>0</v>
      </c>
      <c r="F984" s="26">
        <f>IF(D984="","",MOD(D984-cfgDeslocamento,4)+1)</f>
        <v>0</v>
      </c>
      <c r="G984" s="26">
        <f>IF(A984="","",IF(AND(ISNUMBER(B984),B984&lt;&gt;0),1,0))</f>
        <v>0</v>
      </c>
      <c r="H984" s="25">
        <f>IF(E984="","",(E984*4+3+cfgDeslocamento)/48)</f>
        <v>0</v>
      </c>
    </row>
    <row r="985" spans="1:8">
      <c r="A985" s="24"/>
      <c r="B985" s="19"/>
      <c r="C985" s="25">
        <f>IF(D985="","",D985/48)</f>
        <v>0</v>
      </c>
      <c r="D985" s="26">
        <f>IF(A985="","",ROUND((A985-cfgDefasagem/1440)*48,0))</f>
        <v>0</v>
      </c>
      <c r="E985" s="26">
        <f>IF(D985="","",INT((D985-cfgDeslocamento)/4))</f>
        <v>0</v>
      </c>
      <c r="F985" s="26">
        <f>IF(D985="","",MOD(D985-cfgDeslocamento,4)+1)</f>
        <v>0</v>
      </c>
      <c r="G985" s="26">
        <f>IF(A985="","",IF(AND(ISNUMBER(B985),B985&lt;&gt;0),1,0))</f>
        <v>0</v>
      </c>
      <c r="H985" s="25">
        <f>IF(E985="","",(E985*4+3+cfgDeslocamento)/48)</f>
        <v>0</v>
      </c>
    </row>
    <row r="986" spans="1:8">
      <c r="A986" s="24"/>
      <c r="B986" s="19"/>
      <c r="C986" s="25">
        <f>IF(D986="","",D986/48)</f>
        <v>0</v>
      </c>
      <c r="D986" s="26">
        <f>IF(A986="","",ROUND((A986-cfgDefasagem/1440)*48,0))</f>
        <v>0</v>
      </c>
      <c r="E986" s="26">
        <f>IF(D986="","",INT((D986-cfgDeslocamento)/4))</f>
        <v>0</v>
      </c>
      <c r="F986" s="26">
        <f>IF(D986="","",MOD(D986-cfgDeslocamento,4)+1)</f>
        <v>0</v>
      </c>
      <c r="G986" s="26">
        <f>IF(A986="","",IF(AND(ISNUMBER(B986),B986&lt;&gt;0),1,0))</f>
        <v>0</v>
      </c>
      <c r="H986" s="25">
        <f>IF(E986="","",(E986*4+3+cfgDeslocamento)/48)</f>
        <v>0</v>
      </c>
    </row>
    <row r="987" spans="1:8">
      <c r="A987" s="24"/>
      <c r="B987" s="19"/>
      <c r="C987" s="25">
        <f>IF(D987="","",D987/48)</f>
        <v>0</v>
      </c>
      <c r="D987" s="26">
        <f>IF(A987="","",ROUND((A987-cfgDefasagem/1440)*48,0))</f>
        <v>0</v>
      </c>
      <c r="E987" s="26">
        <f>IF(D987="","",INT((D987-cfgDeslocamento)/4))</f>
        <v>0</v>
      </c>
      <c r="F987" s="26">
        <f>IF(D987="","",MOD(D987-cfgDeslocamento,4)+1)</f>
        <v>0</v>
      </c>
      <c r="G987" s="26">
        <f>IF(A987="","",IF(AND(ISNUMBER(B987),B987&lt;&gt;0),1,0))</f>
        <v>0</v>
      </c>
      <c r="H987" s="25">
        <f>IF(E987="","",(E987*4+3+cfgDeslocamento)/48)</f>
        <v>0</v>
      </c>
    </row>
    <row r="988" spans="1:8">
      <c r="A988" s="24"/>
      <c r="B988" s="19"/>
      <c r="C988" s="25">
        <f>IF(D988="","",D988/48)</f>
        <v>0</v>
      </c>
      <c r="D988" s="26">
        <f>IF(A988="","",ROUND((A988-cfgDefasagem/1440)*48,0))</f>
        <v>0</v>
      </c>
      <c r="E988" s="26">
        <f>IF(D988="","",INT((D988-cfgDeslocamento)/4))</f>
        <v>0</v>
      </c>
      <c r="F988" s="26">
        <f>IF(D988="","",MOD(D988-cfgDeslocamento,4)+1)</f>
        <v>0</v>
      </c>
      <c r="G988" s="26">
        <f>IF(A988="","",IF(AND(ISNUMBER(B988),B988&lt;&gt;0),1,0))</f>
        <v>0</v>
      </c>
      <c r="H988" s="25">
        <f>IF(E988="","",(E988*4+3+cfgDeslocamento)/48)</f>
        <v>0</v>
      </c>
    </row>
    <row r="989" spans="1:8">
      <c r="A989" s="24"/>
      <c r="B989" s="19"/>
      <c r="C989" s="25">
        <f>IF(D989="","",D989/48)</f>
        <v>0</v>
      </c>
      <c r="D989" s="26">
        <f>IF(A989="","",ROUND((A989-cfgDefasagem/1440)*48,0))</f>
        <v>0</v>
      </c>
      <c r="E989" s="26">
        <f>IF(D989="","",INT((D989-cfgDeslocamento)/4))</f>
        <v>0</v>
      </c>
      <c r="F989" s="26">
        <f>IF(D989="","",MOD(D989-cfgDeslocamento,4)+1)</f>
        <v>0</v>
      </c>
      <c r="G989" s="26">
        <f>IF(A989="","",IF(AND(ISNUMBER(B989),B989&lt;&gt;0),1,0))</f>
        <v>0</v>
      </c>
      <c r="H989" s="25">
        <f>IF(E989="","",(E989*4+3+cfgDeslocamento)/48)</f>
        <v>0</v>
      </c>
    </row>
    <row r="990" spans="1:8">
      <c r="A990" s="24"/>
      <c r="B990" s="19"/>
      <c r="C990" s="25">
        <f>IF(D990="","",D990/48)</f>
        <v>0</v>
      </c>
      <c r="D990" s="26">
        <f>IF(A990="","",ROUND((A990-cfgDefasagem/1440)*48,0))</f>
        <v>0</v>
      </c>
      <c r="E990" s="26">
        <f>IF(D990="","",INT((D990-cfgDeslocamento)/4))</f>
        <v>0</v>
      </c>
      <c r="F990" s="26">
        <f>IF(D990="","",MOD(D990-cfgDeslocamento,4)+1)</f>
        <v>0</v>
      </c>
      <c r="G990" s="26">
        <f>IF(A990="","",IF(AND(ISNUMBER(B990),B990&lt;&gt;0),1,0))</f>
        <v>0</v>
      </c>
      <c r="H990" s="25">
        <f>IF(E990="","",(E990*4+3+cfgDeslocamento)/48)</f>
        <v>0</v>
      </c>
    </row>
    <row r="991" spans="1:8">
      <c r="A991" s="24"/>
      <c r="B991" s="19"/>
      <c r="C991" s="25">
        <f>IF(D991="","",D991/48)</f>
        <v>0</v>
      </c>
      <c r="D991" s="26">
        <f>IF(A991="","",ROUND((A991-cfgDefasagem/1440)*48,0))</f>
        <v>0</v>
      </c>
      <c r="E991" s="26">
        <f>IF(D991="","",INT((D991-cfgDeslocamento)/4))</f>
        <v>0</v>
      </c>
      <c r="F991" s="26">
        <f>IF(D991="","",MOD(D991-cfgDeslocamento,4)+1)</f>
        <v>0</v>
      </c>
      <c r="G991" s="26">
        <f>IF(A991="","",IF(AND(ISNUMBER(B991),B991&lt;&gt;0),1,0))</f>
        <v>0</v>
      </c>
      <c r="H991" s="25">
        <f>IF(E991="","",(E991*4+3+cfgDeslocamento)/48)</f>
        <v>0</v>
      </c>
    </row>
    <row r="992" spans="1:8">
      <c r="A992" s="24"/>
      <c r="B992" s="19"/>
      <c r="C992" s="25">
        <f>IF(D992="","",D992/48)</f>
        <v>0</v>
      </c>
      <c r="D992" s="26">
        <f>IF(A992="","",ROUND((A992-cfgDefasagem/1440)*48,0))</f>
        <v>0</v>
      </c>
      <c r="E992" s="26">
        <f>IF(D992="","",INT((D992-cfgDeslocamento)/4))</f>
        <v>0</v>
      </c>
      <c r="F992" s="26">
        <f>IF(D992="","",MOD(D992-cfgDeslocamento,4)+1)</f>
        <v>0</v>
      </c>
      <c r="G992" s="26">
        <f>IF(A992="","",IF(AND(ISNUMBER(B992),B992&lt;&gt;0),1,0))</f>
        <v>0</v>
      </c>
      <c r="H992" s="25">
        <f>IF(E992="","",(E992*4+3+cfgDeslocamento)/48)</f>
        <v>0</v>
      </c>
    </row>
    <row r="993" spans="1:8">
      <c r="A993" s="24"/>
      <c r="B993" s="19"/>
      <c r="C993" s="25">
        <f>IF(D993="","",D993/48)</f>
        <v>0</v>
      </c>
      <c r="D993" s="26">
        <f>IF(A993="","",ROUND((A993-cfgDefasagem/1440)*48,0))</f>
        <v>0</v>
      </c>
      <c r="E993" s="26">
        <f>IF(D993="","",INT((D993-cfgDeslocamento)/4))</f>
        <v>0</v>
      </c>
      <c r="F993" s="26">
        <f>IF(D993="","",MOD(D993-cfgDeslocamento,4)+1)</f>
        <v>0</v>
      </c>
      <c r="G993" s="26">
        <f>IF(A993="","",IF(AND(ISNUMBER(B993),B993&lt;&gt;0),1,0))</f>
        <v>0</v>
      </c>
      <c r="H993" s="25">
        <f>IF(E993="","",(E993*4+3+cfgDeslocamento)/48)</f>
        <v>0</v>
      </c>
    </row>
    <row r="994" spans="1:8">
      <c r="A994" s="24"/>
      <c r="B994" s="19"/>
      <c r="C994" s="25">
        <f>IF(D994="","",D994/48)</f>
        <v>0</v>
      </c>
      <c r="D994" s="26">
        <f>IF(A994="","",ROUND((A994-cfgDefasagem/1440)*48,0))</f>
        <v>0</v>
      </c>
      <c r="E994" s="26">
        <f>IF(D994="","",INT((D994-cfgDeslocamento)/4))</f>
        <v>0</v>
      </c>
      <c r="F994" s="26">
        <f>IF(D994="","",MOD(D994-cfgDeslocamento,4)+1)</f>
        <v>0</v>
      </c>
      <c r="G994" s="26">
        <f>IF(A994="","",IF(AND(ISNUMBER(B994),B994&lt;&gt;0),1,0))</f>
        <v>0</v>
      </c>
      <c r="H994" s="25">
        <f>IF(E994="","",(E994*4+3+cfgDeslocamento)/48)</f>
        <v>0</v>
      </c>
    </row>
    <row r="995" spans="1:8">
      <c r="A995" s="24"/>
      <c r="B995" s="19"/>
      <c r="C995" s="25">
        <f>IF(D995="","",D995/48)</f>
        <v>0</v>
      </c>
      <c r="D995" s="26">
        <f>IF(A995="","",ROUND((A995-cfgDefasagem/1440)*48,0))</f>
        <v>0</v>
      </c>
      <c r="E995" s="26">
        <f>IF(D995="","",INT((D995-cfgDeslocamento)/4))</f>
        <v>0</v>
      </c>
      <c r="F995" s="26">
        <f>IF(D995="","",MOD(D995-cfgDeslocamento,4)+1)</f>
        <v>0</v>
      </c>
      <c r="G995" s="26">
        <f>IF(A995="","",IF(AND(ISNUMBER(B995),B995&lt;&gt;0),1,0))</f>
        <v>0</v>
      </c>
      <c r="H995" s="25">
        <f>IF(E995="","",(E995*4+3+cfgDeslocamento)/48)</f>
        <v>0</v>
      </c>
    </row>
    <row r="996" spans="1:8">
      <c r="A996" s="24"/>
      <c r="B996" s="19"/>
      <c r="C996" s="25">
        <f>IF(D996="","",D996/48)</f>
        <v>0</v>
      </c>
      <c r="D996" s="26">
        <f>IF(A996="","",ROUND((A996-cfgDefasagem/1440)*48,0))</f>
        <v>0</v>
      </c>
      <c r="E996" s="26">
        <f>IF(D996="","",INT((D996-cfgDeslocamento)/4))</f>
        <v>0</v>
      </c>
      <c r="F996" s="26">
        <f>IF(D996="","",MOD(D996-cfgDeslocamento,4)+1)</f>
        <v>0</v>
      </c>
      <c r="G996" s="26">
        <f>IF(A996="","",IF(AND(ISNUMBER(B996),B996&lt;&gt;0),1,0))</f>
        <v>0</v>
      </c>
      <c r="H996" s="25">
        <f>IF(E996="","",(E996*4+3+cfgDeslocamento)/48)</f>
        <v>0</v>
      </c>
    </row>
    <row r="997" spans="1:8">
      <c r="A997" s="24"/>
      <c r="B997" s="19"/>
      <c r="C997" s="25">
        <f>IF(D997="","",D997/48)</f>
        <v>0</v>
      </c>
      <c r="D997" s="26">
        <f>IF(A997="","",ROUND((A997-cfgDefasagem/1440)*48,0))</f>
        <v>0</v>
      </c>
      <c r="E997" s="26">
        <f>IF(D997="","",INT((D997-cfgDeslocamento)/4))</f>
        <v>0</v>
      </c>
      <c r="F997" s="26">
        <f>IF(D997="","",MOD(D997-cfgDeslocamento,4)+1)</f>
        <v>0</v>
      </c>
      <c r="G997" s="26">
        <f>IF(A997="","",IF(AND(ISNUMBER(B997),B997&lt;&gt;0),1,0))</f>
        <v>0</v>
      </c>
      <c r="H997" s="25">
        <f>IF(E997="","",(E997*4+3+cfgDeslocamento)/48)</f>
        <v>0</v>
      </c>
    </row>
    <row r="998" spans="1:8">
      <c r="A998" s="24"/>
      <c r="B998" s="19"/>
      <c r="C998" s="25">
        <f>IF(D998="","",D998/48)</f>
        <v>0</v>
      </c>
      <c r="D998" s="26">
        <f>IF(A998="","",ROUND((A998-cfgDefasagem/1440)*48,0))</f>
        <v>0</v>
      </c>
      <c r="E998" s="26">
        <f>IF(D998="","",INT((D998-cfgDeslocamento)/4))</f>
        <v>0</v>
      </c>
      <c r="F998" s="26">
        <f>IF(D998="","",MOD(D998-cfgDeslocamento,4)+1)</f>
        <v>0</v>
      </c>
      <c r="G998" s="26">
        <f>IF(A998="","",IF(AND(ISNUMBER(B998),B998&lt;&gt;0),1,0))</f>
        <v>0</v>
      </c>
      <c r="H998" s="25">
        <f>IF(E998="","",(E998*4+3+cfgDeslocamento)/48)</f>
        <v>0</v>
      </c>
    </row>
    <row r="999" spans="1:8">
      <c r="A999" s="24"/>
      <c r="B999" s="19"/>
      <c r="C999" s="25">
        <f>IF(D999="","",D999/48)</f>
        <v>0</v>
      </c>
      <c r="D999" s="26">
        <f>IF(A999="","",ROUND((A999-cfgDefasagem/1440)*48,0))</f>
        <v>0</v>
      </c>
      <c r="E999" s="26">
        <f>IF(D999="","",INT((D999-cfgDeslocamento)/4))</f>
        <v>0</v>
      </c>
      <c r="F999" s="26">
        <f>IF(D999="","",MOD(D999-cfgDeslocamento,4)+1)</f>
        <v>0</v>
      </c>
      <c r="G999" s="26">
        <f>IF(A999="","",IF(AND(ISNUMBER(B999),B999&lt;&gt;0),1,0))</f>
        <v>0</v>
      </c>
      <c r="H999" s="25">
        <f>IF(E999="","",(E999*4+3+cfgDeslocamento)/48)</f>
        <v>0</v>
      </c>
    </row>
    <row r="1000" spans="1:8">
      <c r="A1000" s="24"/>
      <c r="B1000" s="19"/>
      <c r="C1000" s="25">
        <f>IF(D1000="","",D1000/48)</f>
        <v>0</v>
      </c>
      <c r="D1000" s="26">
        <f>IF(A1000="","",ROUND((A1000-cfgDefasagem/1440)*48,0))</f>
        <v>0</v>
      </c>
      <c r="E1000" s="26">
        <f>IF(D1000="","",INT((D1000-cfgDeslocamento)/4))</f>
        <v>0</v>
      </c>
      <c r="F1000" s="26">
        <f>IF(D1000="","",MOD(D1000-cfgDeslocamento,4)+1)</f>
        <v>0</v>
      </c>
      <c r="G1000" s="26">
        <f>IF(A1000="","",IF(AND(ISNUMBER(B1000),B1000&lt;&gt;0),1,0))</f>
        <v>0</v>
      </c>
      <c r="H1000" s="25">
        <f>IF(E1000="","",(E1000*4+3+cfgDeslocamento)/48)</f>
        <v>0</v>
      </c>
    </row>
    <row r="1001" spans="1:8">
      <c r="A1001" s="24"/>
      <c r="B1001" s="19"/>
      <c r="C1001" s="25">
        <f>IF(D1001="","",D1001/48)</f>
        <v>0</v>
      </c>
      <c r="D1001" s="26">
        <f>IF(A1001="","",ROUND((A1001-cfgDefasagem/1440)*48,0))</f>
        <v>0</v>
      </c>
      <c r="E1001" s="26">
        <f>IF(D1001="","",INT((D1001-cfgDeslocamento)/4))</f>
        <v>0</v>
      </c>
      <c r="F1001" s="26">
        <f>IF(D1001="","",MOD(D1001-cfgDeslocamento,4)+1)</f>
        <v>0</v>
      </c>
      <c r="G1001" s="26">
        <f>IF(A1001="","",IF(AND(ISNUMBER(B1001),B1001&lt;&gt;0),1,0))</f>
        <v>0</v>
      </c>
      <c r="H1001" s="25">
        <f>IF(E1001="","",(E1001*4+3+cfgDeslocamento)/48)</f>
        <v>0</v>
      </c>
    </row>
    <row r="1002" spans="1:8">
      <c r="A1002" s="24"/>
      <c r="B1002" s="19"/>
      <c r="C1002" s="25">
        <f>IF(D1002="","",D1002/48)</f>
        <v>0</v>
      </c>
      <c r="D1002" s="26">
        <f>IF(A1002="","",ROUND((A1002-cfgDefasagem/1440)*48,0))</f>
        <v>0</v>
      </c>
      <c r="E1002" s="26">
        <f>IF(D1002="","",INT((D1002-cfgDeslocamento)/4))</f>
        <v>0</v>
      </c>
      <c r="F1002" s="26">
        <f>IF(D1002="","",MOD(D1002-cfgDeslocamento,4)+1)</f>
        <v>0</v>
      </c>
      <c r="G1002" s="26">
        <f>IF(A1002="","",IF(AND(ISNUMBER(B1002),B1002&lt;&gt;0),1,0))</f>
        <v>0</v>
      </c>
      <c r="H1002" s="25">
        <f>IF(E1002="","",(E1002*4+3+cfgDeslocamento)/48)</f>
        <v>0</v>
      </c>
    </row>
    <row r="1003" spans="1:8">
      <c r="A1003" s="24"/>
      <c r="B1003" s="19"/>
      <c r="C1003" s="25">
        <f>IF(D1003="","",D1003/48)</f>
        <v>0</v>
      </c>
      <c r="D1003" s="26">
        <f>IF(A1003="","",ROUND((A1003-cfgDefasagem/1440)*48,0))</f>
        <v>0</v>
      </c>
      <c r="E1003" s="26">
        <f>IF(D1003="","",INT((D1003-cfgDeslocamento)/4))</f>
        <v>0</v>
      </c>
      <c r="F1003" s="26">
        <f>IF(D1003="","",MOD(D1003-cfgDeslocamento,4)+1)</f>
        <v>0</v>
      </c>
      <c r="G1003" s="26">
        <f>IF(A1003="","",IF(AND(ISNUMBER(B1003),B1003&lt;&gt;0),1,0))</f>
        <v>0</v>
      </c>
      <c r="H1003" s="25">
        <f>IF(E1003="","",(E1003*4+3+cfgDeslocamento)/48)</f>
        <v>0</v>
      </c>
    </row>
    <row r="1004" spans="1:8">
      <c r="A1004" s="24"/>
      <c r="B1004" s="19"/>
      <c r="C1004" s="25">
        <f>IF(D1004="","",D1004/48)</f>
        <v>0</v>
      </c>
      <c r="D1004" s="26">
        <f>IF(A1004="","",ROUND((A1004-cfgDefasagem/1440)*48,0))</f>
        <v>0</v>
      </c>
      <c r="E1004" s="26">
        <f>IF(D1004="","",INT((D1004-cfgDeslocamento)/4))</f>
        <v>0</v>
      </c>
      <c r="F1004" s="26">
        <f>IF(D1004="","",MOD(D1004-cfgDeslocamento,4)+1)</f>
        <v>0</v>
      </c>
      <c r="G1004" s="26">
        <f>IF(A1004="","",IF(AND(ISNUMBER(B1004),B1004&lt;&gt;0),1,0))</f>
        <v>0</v>
      </c>
      <c r="H1004" s="25">
        <f>IF(E1004="","",(E1004*4+3+cfgDeslocamento)/48)</f>
        <v>0</v>
      </c>
    </row>
    <row r="1005" spans="1:8">
      <c r="A1005" s="24"/>
      <c r="B1005" s="19"/>
      <c r="C1005" s="25">
        <f>IF(D1005="","",D1005/48)</f>
        <v>0</v>
      </c>
      <c r="D1005" s="26">
        <f>IF(A1005="","",ROUND((A1005-cfgDefasagem/1440)*48,0))</f>
        <v>0</v>
      </c>
      <c r="E1005" s="26">
        <f>IF(D1005="","",INT((D1005-cfgDeslocamento)/4))</f>
        <v>0</v>
      </c>
      <c r="F1005" s="26">
        <f>IF(D1005="","",MOD(D1005-cfgDeslocamento,4)+1)</f>
        <v>0</v>
      </c>
      <c r="G1005" s="26">
        <f>IF(A1005="","",IF(AND(ISNUMBER(B1005),B1005&lt;&gt;0),1,0))</f>
        <v>0</v>
      </c>
      <c r="H1005" s="25">
        <f>IF(E1005="","",(E1005*4+3+cfgDeslocamento)/48)</f>
        <v>0</v>
      </c>
    </row>
    <row r="1006" spans="1:8">
      <c r="A1006" s="24"/>
      <c r="B1006" s="19"/>
      <c r="C1006" s="25">
        <f>IF(D1006="","",D1006/48)</f>
        <v>0</v>
      </c>
      <c r="D1006" s="26">
        <f>IF(A1006="","",ROUND((A1006-cfgDefasagem/1440)*48,0))</f>
        <v>0</v>
      </c>
      <c r="E1006" s="26">
        <f>IF(D1006="","",INT((D1006-cfgDeslocamento)/4))</f>
        <v>0</v>
      </c>
      <c r="F1006" s="26">
        <f>IF(D1006="","",MOD(D1006-cfgDeslocamento,4)+1)</f>
        <v>0</v>
      </c>
      <c r="G1006" s="26">
        <f>IF(A1006="","",IF(AND(ISNUMBER(B1006),B1006&lt;&gt;0),1,0))</f>
        <v>0</v>
      </c>
      <c r="H1006" s="25">
        <f>IF(E1006="","",(E1006*4+3+cfgDeslocamento)/48)</f>
        <v>0</v>
      </c>
    </row>
    <row r="1007" spans="1:8">
      <c r="A1007" s="24"/>
      <c r="B1007" s="19"/>
      <c r="C1007" s="25">
        <f>IF(D1007="","",D1007/48)</f>
        <v>0</v>
      </c>
      <c r="D1007" s="26">
        <f>IF(A1007="","",ROUND((A1007-cfgDefasagem/1440)*48,0))</f>
        <v>0</v>
      </c>
      <c r="E1007" s="26">
        <f>IF(D1007="","",INT((D1007-cfgDeslocamento)/4))</f>
        <v>0</v>
      </c>
      <c r="F1007" s="26">
        <f>IF(D1007="","",MOD(D1007-cfgDeslocamento,4)+1)</f>
        <v>0</v>
      </c>
      <c r="G1007" s="26">
        <f>IF(A1007="","",IF(AND(ISNUMBER(B1007),B1007&lt;&gt;0),1,0))</f>
        <v>0</v>
      </c>
      <c r="H1007" s="25">
        <f>IF(E1007="","",(E1007*4+3+cfgDeslocamento)/48)</f>
        <v>0</v>
      </c>
    </row>
    <row r="1008" spans="1:8">
      <c r="A1008" s="24"/>
      <c r="B1008" s="19"/>
      <c r="C1008" s="25">
        <f>IF(D1008="","",D1008/48)</f>
        <v>0</v>
      </c>
      <c r="D1008" s="26">
        <f>IF(A1008="","",ROUND((A1008-cfgDefasagem/1440)*48,0))</f>
        <v>0</v>
      </c>
      <c r="E1008" s="26">
        <f>IF(D1008="","",INT((D1008-cfgDeslocamento)/4))</f>
        <v>0</v>
      </c>
      <c r="F1008" s="26">
        <f>IF(D1008="","",MOD(D1008-cfgDeslocamento,4)+1)</f>
        <v>0</v>
      </c>
      <c r="G1008" s="26">
        <f>IF(A1008="","",IF(AND(ISNUMBER(B1008),B1008&lt;&gt;0),1,0))</f>
        <v>0</v>
      </c>
      <c r="H1008" s="25">
        <f>IF(E1008="","",(E1008*4+3+cfgDeslocamento)/48)</f>
        <v>0</v>
      </c>
    </row>
    <row r="1009" spans="1:8">
      <c r="A1009" s="24"/>
      <c r="B1009" s="19"/>
      <c r="C1009" s="25">
        <f>IF(D1009="","",D1009/48)</f>
        <v>0</v>
      </c>
      <c r="D1009" s="26">
        <f>IF(A1009="","",ROUND((A1009-cfgDefasagem/1440)*48,0))</f>
        <v>0</v>
      </c>
      <c r="E1009" s="26">
        <f>IF(D1009="","",INT((D1009-cfgDeslocamento)/4))</f>
        <v>0</v>
      </c>
      <c r="F1009" s="26">
        <f>IF(D1009="","",MOD(D1009-cfgDeslocamento,4)+1)</f>
        <v>0</v>
      </c>
      <c r="G1009" s="26">
        <f>IF(A1009="","",IF(AND(ISNUMBER(B1009),B1009&lt;&gt;0),1,0))</f>
        <v>0</v>
      </c>
      <c r="H1009" s="25">
        <f>IF(E1009="","",(E1009*4+3+cfgDeslocamento)/48)</f>
        <v>0</v>
      </c>
    </row>
    <row r="1010" spans="1:8">
      <c r="A1010" s="24"/>
      <c r="B1010" s="19"/>
      <c r="C1010" s="25">
        <f>IF(D1010="","",D1010/48)</f>
        <v>0</v>
      </c>
      <c r="D1010" s="26">
        <f>IF(A1010="","",ROUND((A1010-cfgDefasagem/1440)*48,0))</f>
        <v>0</v>
      </c>
      <c r="E1010" s="26">
        <f>IF(D1010="","",INT((D1010-cfgDeslocamento)/4))</f>
        <v>0</v>
      </c>
      <c r="F1010" s="26">
        <f>IF(D1010="","",MOD(D1010-cfgDeslocamento,4)+1)</f>
        <v>0</v>
      </c>
      <c r="G1010" s="26">
        <f>IF(A1010="","",IF(AND(ISNUMBER(B1010),B1010&lt;&gt;0),1,0))</f>
        <v>0</v>
      </c>
      <c r="H1010" s="25">
        <f>IF(E1010="","",(E1010*4+3+cfgDeslocamento)/48)</f>
        <v>0</v>
      </c>
    </row>
    <row r="1011" spans="1:8">
      <c r="A1011" s="24"/>
      <c r="B1011" s="19"/>
      <c r="C1011" s="25">
        <f>IF(D1011="","",D1011/48)</f>
        <v>0</v>
      </c>
      <c r="D1011" s="26">
        <f>IF(A1011="","",ROUND((A1011-cfgDefasagem/1440)*48,0))</f>
        <v>0</v>
      </c>
      <c r="E1011" s="26">
        <f>IF(D1011="","",INT((D1011-cfgDeslocamento)/4))</f>
        <v>0</v>
      </c>
      <c r="F1011" s="26">
        <f>IF(D1011="","",MOD(D1011-cfgDeslocamento,4)+1)</f>
        <v>0</v>
      </c>
      <c r="G1011" s="26">
        <f>IF(A1011="","",IF(AND(ISNUMBER(B1011),B1011&lt;&gt;0),1,0))</f>
        <v>0</v>
      </c>
      <c r="H1011" s="25">
        <f>IF(E1011="","",(E1011*4+3+cfgDeslocamento)/48)</f>
        <v>0</v>
      </c>
    </row>
    <row r="1012" spans="1:8">
      <c r="A1012" s="24"/>
      <c r="B1012" s="19"/>
      <c r="C1012" s="25">
        <f>IF(D1012="","",D1012/48)</f>
        <v>0</v>
      </c>
      <c r="D1012" s="26">
        <f>IF(A1012="","",ROUND((A1012-cfgDefasagem/1440)*48,0))</f>
        <v>0</v>
      </c>
      <c r="E1012" s="26">
        <f>IF(D1012="","",INT((D1012-cfgDeslocamento)/4))</f>
        <v>0</v>
      </c>
      <c r="F1012" s="26">
        <f>IF(D1012="","",MOD(D1012-cfgDeslocamento,4)+1)</f>
        <v>0</v>
      </c>
      <c r="G1012" s="26">
        <f>IF(A1012="","",IF(AND(ISNUMBER(B1012),B1012&lt;&gt;0),1,0))</f>
        <v>0</v>
      </c>
      <c r="H1012" s="25">
        <f>IF(E1012="","",(E1012*4+3+cfgDeslocamento)/48)</f>
        <v>0</v>
      </c>
    </row>
    <row r="1013" spans="1:8">
      <c r="A1013" s="24"/>
      <c r="B1013" s="19"/>
      <c r="C1013" s="25">
        <f>IF(D1013="","",D1013/48)</f>
        <v>0</v>
      </c>
      <c r="D1013" s="26">
        <f>IF(A1013="","",ROUND((A1013-cfgDefasagem/1440)*48,0))</f>
        <v>0</v>
      </c>
      <c r="E1013" s="26">
        <f>IF(D1013="","",INT((D1013-cfgDeslocamento)/4))</f>
        <v>0</v>
      </c>
      <c r="F1013" s="26">
        <f>IF(D1013="","",MOD(D1013-cfgDeslocamento,4)+1)</f>
        <v>0</v>
      </c>
      <c r="G1013" s="26">
        <f>IF(A1013="","",IF(AND(ISNUMBER(B1013),B1013&lt;&gt;0),1,0))</f>
        <v>0</v>
      </c>
      <c r="H1013" s="25">
        <f>IF(E1013="","",(E1013*4+3+cfgDeslocamento)/48)</f>
        <v>0</v>
      </c>
    </row>
    <row r="1014" spans="1:8">
      <c r="A1014" s="24"/>
      <c r="B1014" s="19"/>
      <c r="C1014" s="25">
        <f>IF(D1014="","",D1014/48)</f>
        <v>0</v>
      </c>
      <c r="D1014" s="26">
        <f>IF(A1014="","",ROUND((A1014-cfgDefasagem/1440)*48,0))</f>
        <v>0</v>
      </c>
      <c r="E1014" s="26">
        <f>IF(D1014="","",INT((D1014-cfgDeslocamento)/4))</f>
        <v>0</v>
      </c>
      <c r="F1014" s="26">
        <f>IF(D1014="","",MOD(D1014-cfgDeslocamento,4)+1)</f>
        <v>0</v>
      </c>
      <c r="G1014" s="26">
        <f>IF(A1014="","",IF(AND(ISNUMBER(B1014),B1014&lt;&gt;0),1,0))</f>
        <v>0</v>
      </c>
      <c r="H1014" s="25">
        <f>IF(E1014="","",(E1014*4+3+cfgDeslocamento)/48)</f>
        <v>0</v>
      </c>
    </row>
    <row r="1015" spans="1:8">
      <c r="A1015" s="24"/>
      <c r="B1015" s="19"/>
      <c r="C1015" s="25">
        <f>IF(D1015="","",D1015/48)</f>
        <v>0</v>
      </c>
      <c r="D1015" s="26">
        <f>IF(A1015="","",ROUND((A1015-cfgDefasagem/1440)*48,0))</f>
        <v>0</v>
      </c>
      <c r="E1015" s="26">
        <f>IF(D1015="","",INT((D1015-cfgDeslocamento)/4))</f>
        <v>0</v>
      </c>
      <c r="F1015" s="26">
        <f>IF(D1015="","",MOD(D1015-cfgDeslocamento,4)+1)</f>
        <v>0</v>
      </c>
      <c r="G1015" s="26">
        <f>IF(A1015="","",IF(AND(ISNUMBER(B1015),B1015&lt;&gt;0),1,0))</f>
        <v>0</v>
      </c>
      <c r="H1015" s="25">
        <f>IF(E1015="","",(E1015*4+3+cfgDeslocamento)/48)</f>
        <v>0</v>
      </c>
    </row>
    <row r="1016" spans="1:8">
      <c r="A1016" s="24"/>
      <c r="B1016" s="19"/>
      <c r="C1016" s="25">
        <f>IF(D1016="","",D1016/48)</f>
        <v>0</v>
      </c>
      <c r="D1016" s="26">
        <f>IF(A1016="","",ROUND((A1016-cfgDefasagem/1440)*48,0))</f>
        <v>0</v>
      </c>
      <c r="E1016" s="26">
        <f>IF(D1016="","",INT((D1016-cfgDeslocamento)/4))</f>
        <v>0</v>
      </c>
      <c r="F1016" s="26">
        <f>IF(D1016="","",MOD(D1016-cfgDeslocamento,4)+1)</f>
        <v>0</v>
      </c>
      <c r="G1016" s="26">
        <f>IF(A1016="","",IF(AND(ISNUMBER(B1016),B1016&lt;&gt;0),1,0))</f>
        <v>0</v>
      </c>
      <c r="H1016" s="25">
        <f>IF(E1016="","",(E1016*4+3+cfgDeslocamento)/48)</f>
        <v>0</v>
      </c>
    </row>
    <row r="1017" spans="1:8">
      <c r="A1017" s="24"/>
      <c r="B1017" s="19"/>
      <c r="C1017" s="25">
        <f>IF(D1017="","",D1017/48)</f>
        <v>0</v>
      </c>
      <c r="D1017" s="26">
        <f>IF(A1017="","",ROUND((A1017-cfgDefasagem/1440)*48,0))</f>
        <v>0</v>
      </c>
      <c r="E1017" s="26">
        <f>IF(D1017="","",INT((D1017-cfgDeslocamento)/4))</f>
        <v>0</v>
      </c>
      <c r="F1017" s="26">
        <f>IF(D1017="","",MOD(D1017-cfgDeslocamento,4)+1)</f>
        <v>0</v>
      </c>
      <c r="G1017" s="26">
        <f>IF(A1017="","",IF(AND(ISNUMBER(B1017),B1017&lt;&gt;0),1,0))</f>
        <v>0</v>
      </c>
      <c r="H1017" s="25">
        <f>IF(E1017="","",(E1017*4+3+cfgDeslocamento)/48)</f>
        <v>0</v>
      </c>
    </row>
    <row r="1018" spans="1:8">
      <c r="A1018" s="24"/>
      <c r="B1018" s="19"/>
      <c r="C1018" s="25">
        <f>IF(D1018="","",D1018/48)</f>
        <v>0</v>
      </c>
      <c r="D1018" s="26">
        <f>IF(A1018="","",ROUND((A1018-cfgDefasagem/1440)*48,0))</f>
        <v>0</v>
      </c>
      <c r="E1018" s="26">
        <f>IF(D1018="","",INT((D1018-cfgDeslocamento)/4))</f>
        <v>0</v>
      </c>
      <c r="F1018" s="26">
        <f>IF(D1018="","",MOD(D1018-cfgDeslocamento,4)+1)</f>
        <v>0</v>
      </c>
      <c r="G1018" s="26">
        <f>IF(A1018="","",IF(AND(ISNUMBER(B1018),B1018&lt;&gt;0),1,0))</f>
        <v>0</v>
      </c>
      <c r="H1018" s="25">
        <f>IF(E1018="","",(E1018*4+3+cfgDeslocamento)/48)</f>
        <v>0</v>
      </c>
    </row>
    <row r="1019" spans="1:8">
      <c r="A1019" s="24"/>
      <c r="B1019" s="19"/>
      <c r="C1019" s="25">
        <f>IF(D1019="","",D1019/48)</f>
        <v>0</v>
      </c>
      <c r="D1019" s="26">
        <f>IF(A1019="","",ROUND((A1019-cfgDefasagem/1440)*48,0))</f>
        <v>0</v>
      </c>
      <c r="E1019" s="26">
        <f>IF(D1019="","",INT((D1019-cfgDeslocamento)/4))</f>
        <v>0</v>
      </c>
      <c r="F1019" s="26">
        <f>IF(D1019="","",MOD(D1019-cfgDeslocamento,4)+1)</f>
        <v>0</v>
      </c>
      <c r="G1019" s="26">
        <f>IF(A1019="","",IF(AND(ISNUMBER(B1019),B1019&lt;&gt;0),1,0))</f>
        <v>0</v>
      </c>
      <c r="H1019" s="25">
        <f>IF(E1019="","",(E1019*4+3+cfgDeslocamento)/48)</f>
        <v>0</v>
      </c>
    </row>
    <row r="1020" spans="1:8">
      <c r="A1020" s="24"/>
      <c r="B1020" s="19"/>
      <c r="C1020" s="25">
        <f>IF(D1020="","",D1020/48)</f>
        <v>0</v>
      </c>
      <c r="D1020" s="26">
        <f>IF(A1020="","",ROUND((A1020-cfgDefasagem/1440)*48,0))</f>
        <v>0</v>
      </c>
      <c r="E1020" s="26">
        <f>IF(D1020="","",INT((D1020-cfgDeslocamento)/4))</f>
        <v>0</v>
      </c>
      <c r="F1020" s="26">
        <f>IF(D1020="","",MOD(D1020-cfgDeslocamento,4)+1)</f>
        <v>0</v>
      </c>
      <c r="G1020" s="26">
        <f>IF(A1020="","",IF(AND(ISNUMBER(B1020),B1020&lt;&gt;0),1,0))</f>
        <v>0</v>
      </c>
      <c r="H1020" s="25">
        <f>IF(E1020="","",(E1020*4+3+cfgDeslocamento)/48)</f>
        <v>0</v>
      </c>
    </row>
    <row r="1021" spans="1:8">
      <c r="A1021" s="24"/>
      <c r="B1021" s="19"/>
      <c r="C1021" s="25">
        <f>IF(D1021="","",D1021/48)</f>
        <v>0</v>
      </c>
      <c r="D1021" s="26">
        <f>IF(A1021="","",ROUND((A1021-cfgDefasagem/1440)*48,0))</f>
        <v>0</v>
      </c>
      <c r="E1021" s="26">
        <f>IF(D1021="","",INT((D1021-cfgDeslocamento)/4))</f>
        <v>0</v>
      </c>
      <c r="F1021" s="26">
        <f>IF(D1021="","",MOD(D1021-cfgDeslocamento,4)+1)</f>
        <v>0</v>
      </c>
      <c r="G1021" s="26">
        <f>IF(A1021="","",IF(AND(ISNUMBER(B1021),B1021&lt;&gt;0),1,0))</f>
        <v>0</v>
      </c>
      <c r="H1021" s="25">
        <f>IF(E1021="","",(E1021*4+3+cfgDeslocamento)/48)</f>
        <v>0</v>
      </c>
    </row>
    <row r="1022" spans="1:8">
      <c r="A1022" s="24"/>
      <c r="B1022" s="19"/>
      <c r="C1022" s="25">
        <f>IF(D1022="","",D1022/48)</f>
        <v>0</v>
      </c>
      <c r="D1022" s="26">
        <f>IF(A1022="","",ROUND((A1022-cfgDefasagem/1440)*48,0))</f>
        <v>0</v>
      </c>
      <c r="E1022" s="26">
        <f>IF(D1022="","",INT((D1022-cfgDeslocamento)/4))</f>
        <v>0</v>
      </c>
      <c r="F1022" s="26">
        <f>IF(D1022="","",MOD(D1022-cfgDeslocamento,4)+1)</f>
        <v>0</v>
      </c>
      <c r="G1022" s="26">
        <f>IF(A1022="","",IF(AND(ISNUMBER(B1022),B1022&lt;&gt;0),1,0))</f>
        <v>0</v>
      </c>
      <c r="H1022" s="25">
        <f>IF(E1022="","",(E1022*4+3+cfgDeslocamento)/48)</f>
        <v>0</v>
      </c>
    </row>
    <row r="1023" spans="1:8">
      <c r="A1023" s="24"/>
      <c r="B1023" s="19"/>
      <c r="C1023" s="25">
        <f>IF(D1023="","",D1023/48)</f>
        <v>0</v>
      </c>
      <c r="D1023" s="26">
        <f>IF(A1023="","",ROUND((A1023-cfgDefasagem/1440)*48,0))</f>
        <v>0</v>
      </c>
      <c r="E1023" s="26">
        <f>IF(D1023="","",INT((D1023-cfgDeslocamento)/4))</f>
        <v>0</v>
      </c>
      <c r="F1023" s="26">
        <f>IF(D1023="","",MOD(D1023-cfgDeslocamento,4)+1)</f>
        <v>0</v>
      </c>
      <c r="G1023" s="26">
        <f>IF(A1023="","",IF(AND(ISNUMBER(B1023),B1023&lt;&gt;0),1,0))</f>
        <v>0</v>
      </c>
      <c r="H1023" s="25">
        <f>IF(E1023="","",(E1023*4+3+cfgDeslocamento)/48)</f>
        <v>0</v>
      </c>
    </row>
    <row r="1024" spans="1:8">
      <c r="A1024" s="24"/>
      <c r="B1024" s="19"/>
      <c r="C1024" s="25">
        <f>IF(D1024="","",D1024/48)</f>
        <v>0</v>
      </c>
      <c r="D1024" s="26">
        <f>IF(A1024="","",ROUND((A1024-cfgDefasagem/1440)*48,0))</f>
        <v>0</v>
      </c>
      <c r="E1024" s="26">
        <f>IF(D1024="","",INT((D1024-cfgDeslocamento)/4))</f>
        <v>0</v>
      </c>
      <c r="F1024" s="26">
        <f>IF(D1024="","",MOD(D1024-cfgDeslocamento,4)+1)</f>
        <v>0</v>
      </c>
      <c r="G1024" s="26">
        <f>IF(A1024="","",IF(AND(ISNUMBER(B1024),B1024&lt;&gt;0),1,0))</f>
        <v>0</v>
      </c>
      <c r="H1024" s="25">
        <f>IF(E1024="","",(E1024*4+3+cfgDeslocamento)/48)</f>
        <v>0</v>
      </c>
    </row>
    <row r="1025" spans="1:8">
      <c r="A1025" s="24"/>
      <c r="B1025" s="19"/>
      <c r="C1025" s="25">
        <f>IF(D1025="","",D1025/48)</f>
        <v>0</v>
      </c>
      <c r="D1025" s="26">
        <f>IF(A1025="","",ROUND((A1025-cfgDefasagem/1440)*48,0))</f>
        <v>0</v>
      </c>
      <c r="E1025" s="26">
        <f>IF(D1025="","",INT((D1025-cfgDeslocamento)/4))</f>
        <v>0</v>
      </c>
      <c r="F1025" s="26">
        <f>IF(D1025="","",MOD(D1025-cfgDeslocamento,4)+1)</f>
        <v>0</v>
      </c>
      <c r="G1025" s="26">
        <f>IF(A1025="","",IF(AND(ISNUMBER(B1025),B1025&lt;&gt;0),1,0))</f>
        <v>0</v>
      </c>
      <c r="H1025" s="25">
        <f>IF(E1025="","",(E1025*4+3+cfgDeslocamento)/48)</f>
        <v>0</v>
      </c>
    </row>
    <row r="1026" spans="1:8">
      <c r="A1026" s="24"/>
      <c r="B1026" s="19"/>
      <c r="C1026" s="25">
        <f>IF(D1026="","",D1026/48)</f>
        <v>0</v>
      </c>
      <c r="D1026" s="26">
        <f>IF(A1026="","",ROUND((A1026-cfgDefasagem/1440)*48,0))</f>
        <v>0</v>
      </c>
      <c r="E1026" s="26">
        <f>IF(D1026="","",INT((D1026-cfgDeslocamento)/4))</f>
        <v>0</v>
      </c>
      <c r="F1026" s="26">
        <f>IF(D1026="","",MOD(D1026-cfgDeslocamento,4)+1)</f>
        <v>0</v>
      </c>
      <c r="G1026" s="26">
        <f>IF(A1026="","",IF(AND(ISNUMBER(B1026),B1026&lt;&gt;0),1,0))</f>
        <v>0</v>
      </c>
      <c r="H1026" s="25">
        <f>IF(E1026="","",(E1026*4+3+cfgDeslocamento)/48)</f>
        <v>0</v>
      </c>
    </row>
    <row r="1027" spans="1:8">
      <c r="A1027" s="24"/>
      <c r="B1027" s="19"/>
      <c r="C1027" s="25">
        <f>IF(D1027="","",D1027/48)</f>
        <v>0</v>
      </c>
      <c r="D1027" s="26">
        <f>IF(A1027="","",ROUND((A1027-cfgDefasagem/1440)*48,0))</f>
        <v>0</v>
      </c>
      <c r="E1027" s="26">
        <f>IF(D1027="","",INT((D1027-cfgDeslocamento)/4))</f>
        <v>0</v>
      </c>
      <c r="F1027" s="26">
        <f>IF(D1027="","",MOD(D1027-cfgDeslocamento,4)+1)</f>
        <v>0</v>
      </c>
      <c r="G1027" s="26">
        <f>IF(A1027="","",IF(AND(ISNUMBER(B1027),B1027&lt;&gt;0),1,0))</f>
        <v>0</v>
      </c>
      <c r="H1027" s="25">
        <f>IF(E1027="","",(E1027*4+3+cfgDeslocamento)/48)</f>
        <v>0</v>
      </c>
    </row>
    <row r="1028" spans="1:8">
      <c r="A1028" s="24"/>
      <c r="B1028" s="19"/>
      <c r="C1028" s="25">
        <f>IF(D1028="","",D1028/48)</f>
        <v>0</v>
      </c>
      <c r="D1028" s="26">
        <f>IF(A1028="","",ROUND((A1028-cfgDefasagem/1440)*48,0))</f>
        <v>0</v>
      </c>
      <c r="E1028" s="26">
        <f>IF(D1028="","",INT((D1028-cfgDeslocamento)/4))</f>
        <v>0</v>
      </c>
      <c r="F1028" s="26">
        <f>IF(D1028="","",MOD(D1028-cfgDeslocamento,4)+1)</f>
        <v>0</v>
      </c>
      <c r="G1028" s="26">
        <f>IF(A1028="","",IF(AND(ISNUMBER(B1028),B1028&lt;&gt;0),1,0))</f>
        <v>0</v>
      </c>
      <c r="H1028" s="25">
        <f>IF(E1028="","",(E1028*4+3+cfgDeslocamento)/48)</f>
        <v>0</v>
      </c>
    </row>
    <row r="1029" spans="1:8">
      <c r="A1029" s="24"/>
      <c r="B1029" s="19"/>
      <c r="C1029" s="25">
        <f>IF(D1029="","",D1029/48)</f>
        <v>0</v>
      </c>
      <c r="D1029" s="26">
        <f>IF(A1029="","",ROUND((A1029-cfgDefasagem/1440)*48,0))</f>
        <v>0</v>
      </c>
      <c r="E1029" s="26">
        <f>IF(D1029="","",INT((D1029-cfgDeslocamento)/4))</f>
        <v>0</v>
      </c>
      <c r="F1029" s="26">
        <f>IF(D1029="","",MOD(D1029-cfgDeslocamento,4)+1)</f>
        <v>0</v>
      </c>
      <c r="G1029" s="26">
        <f>IF(A1029="","",IF(AND(ISNUMBER(B1029),B1029&lt;&gt;0),1,0))</f>
        <v>0</v>
      </c>
      <c r="H1029" s="25">
        <f>IF(E1029="","",(E1029*4+3+cfgDeslocamento)/48)</f>
        <v>0</v>
      </c>
    </row>
    <row r="1030" spans="1:8">
      <c r="A1030" s="24"/>
      <c r="B1030" s="19"/>
      <c r="C1030" s="25">
        <f>IF(D1030="","",D1030/48)</f>
        <v>0</v>
      </c>
      <c r="D1030" s="26">
        <f>IF(A1030="","",ROUND((A1030-cfgDefasagem/1440)*48,0))</f>
        <v>0</v>
      </c>
      <c r="E1030" s="26">
        <f>IF(D1030="","",INT((D1030-cfgDeslocamento)/4))</f>
        <v>0</v>
      </c>
      <c r="F1030" s="26">
        <f>IF(D1030="","",MOD(D1030-cfgDeslocamento,4)+1)</f>
        <v>0</v>
      </c>
      <c r="G1030" s="26">
        <f>IF(A1030="","",IF(AND(ISNUMBER(B1030),B1030&lt;&gt;0),1,0))</f>
        <v>0</v>
      </c>
      <c r="H1030" s="25">
        <f>IF(E1030="","",(E1030*4+3+cfgDeslocamento)/48)</f>
        <v>0</v>
      </c>
    </row>
    <row r="1031" spans="1:8">
      <c r="A1031" s="24"/>
      <c r="B1031" s="19"/>
      <c r="C1031" s="25">
        <f>IF(D1031="","",D1031/48)</f>
        <v>0</v>
      </c>
      <c r="D1031" s="26">
        <f>IF(A1031="","",ROUND((A1031-cfgDefasagem/1440)*48,0))</f>
        <v>0</v>
      </c>
      <c r="E1031" s="26">
        <f>IF(D1031="","",INT((D1031-cfgDeslocamento)/4))</f>
        <v>0</v>
      </c>
      <c r="F1031" s="26">
        <f>IF(D1031="","",MOD(D1031-cfgDeslocamento,4)+1)</f>
        <v>0</v>
      </c>
      <c r="G1031" s="26">
        <f>IF(A1031="","",IF(AND(ISNUMBER(B1031),B1031&lt;&gt;0),1,0))</f>
        <v>0</v>
      </c>
      <c r="H1031" s="25">
        <f>IF(E1031="","",(E1031*4+3+cfgDeslocamento)/48)</f>
        <v>0</v>
      </c>
    </row>
    <row r="1032" spans="1:8">
      <c r="A1032" s="24"/>
      <c r="B1032" s="19"/>
      <c r="C1032" s="25">
        <f>IF(D1032="","",D1032/48)</f>
        <v>0</v>
      </c>
      <c r="D1032" s="26">
        <f>IF(A1032="","",ROUND((A1032-cfgDefasagem/1440)*48,0))</f>
        <v>0</v>
      </c>
      <c r="E1032" s="26">
        <f>IF(D1032="","",INT((D1032-cfgDeslocamento)/4))</f>
        <v>0</v>
      </c>
      <c r="F1032" s="26">
        <f>IF(D1032="","",MOD(D1032-cfgDeslocamento,4)+1)</f>
        <v>0</v>
      </c>
      <c r="G1032" s="26">
        <f>IF(A1032="","",IF(AND(ISNUMBER(B1032),B1032&lt;&gt;0),1,0))</f>
        <v>0</v>
      </c>
      <c r="H1032" s="25">
        <f>IF(E1032="","",(E1032*4+3+cfgDeslocamento)/48)</f>
        <v>0</v>
      </c>
    </row>
    <row r="1033" spans="1:8">
      <c r="A1033" s="24"/>
      <c r="B1033" s="19"/>
      <c r="C1033" s="25">
        <f>IF(D1033="","",D1033/48)</f>
        <v>0</v>
      </c>
      <c r="D1033" s="26">
        <f>IF(A1033="","",ROUND((A1033-cfgDefasagem/1440)*48,0))</f>
        <v>0</v>
      </c>
      <c r="E1033" s="26">
        <f>IF(D1033="","",INT((D1033-cfgDeslocamento)/4))</f>
        <v>0</v>
      </c>
      <c r="F1033" s="26">
        <f>IF(D1033="","",MOD(D1033-cfgDeslocamento,4)+1)</f>
        <v>0</v>
      </c>
      <c r="G1033" s="26">
        <f>IF(A1033="","",IF(AND(ISNUMBER(B1033),B1033&lt;&gt;0),1,0))</f>
        <v>0</v>
      </c>
      <c r="H1033" s="25">
        <f>IF(E1033="","",(E1033*4+3+cfgDeslocamento)/48)</f>
        <v>0</v>
      </c>
    </row>
    <row r="1034" spans="1:8">
      <c r="A1034" s="24"/>
      <c r="B1034" s="19"/>
      <c r="C1034" s="25">
        <f>IF(D1034="","",D1034/48)</f>
        <v>0</v>
      </c>
      <c r="D1034" s="26">
        <f>IF(A1034="","",ROUND((A1034-cfgDefasagem/1440)*48,0))</f>
        <v>0</v>
      </c>
      <c r="E1034" s="26">
        <f>IF(D1034="","",INT((D1034-cfgDeslocamento)/4))</f>
        <v>0</v>
      </c>
      <c r="F1034" s="26">
        <f>IF(D1034="","",MOD(D1034-cfgDeslocamento,4)+1)</f>
        <v>0</v>
      </c>
      <c r="G1034" s="26">
        <f>IF(A1034="","",IF(AND(ISNUMBER(B1034),B1034&lt;&gt;0),1,0))</f>
        <v>0</v>
      </c>
      <c r="H1034" s="25">
        <f>IF(E1034="","",(E1034*4+3+cfgDeslocamento)/48)</f>
        <v>0</v>
      </c>
    </row>
    <row r="1035" spans="1:8">
      <c r="A1035" s="24"/>
      <c r="B1035" s="19"/>
      <c r="C1035" s="25">
        <f>IF(D1035="","",D1035/48)</f>
        <v>0</v>
      </c>
      <c r="D1035" s="26">
        <f>IF(A1035="","",ROUND((A1035-cfgDefasagem/1440)*48,0))</f>
        <v>0</v>
      </c>
      <c r="E1035" s="26">
        <f>IF(D1035="","",INT((D1035-cfgDeslocamento)/4))</f>
        <v>0</v>
      </c>
      <c r="F1035" s="26">
        <f>IF(D1035="","",MOD(D1035-cfgDeslocamento,4)+1)</f>
        <v>0</v>
      </c>
      <c r="G1035" s="26">
        <f>IF(A1035="","",IF(AND(ISNUMBER(B1035),B1035&lt;&gt;0),1,0))</f>
        <v>0</v>
      </c>
      <c r="H1035" s="25">
        <f>IF(E1035="","",(E1035*4+3+cfgDeslocamento)/48)</f>
        <v>0</v>
      </c>
    </row>
    <row r="1036" spans="1:8">
      <c r="A1036" s="24"/>
      <c r="B1036" s="19"/>
      <c r="C1036" s="25">
        <f>IF(D1036="","",D1036/48)</f>
        <v>0</v>
      </c>
      <c r="D1036" s="26">
        <f>IF(A1036="","",ROUND((A1036-cfgDefasagem/1440)*48,0))</f>
        <v>0</v>
      </c>
      <c r="E1036" s="26">
        <f>IF(D1036="","",INT((D1036-cfgDeslocamento)/4))</f>
        <v>0</v>
      </c>
      <c r="F1036" s="26">
        <f>IF(D1036="","",MOD(D1036-cfgDeslocamento,4)+1)</f>
        <v>0</v>
      </c>
      <c r="G1036" s="26">
        <f>IF(A1036="","",IF(AND(ISNUMBER(B1036),B1036&lt;&gt;0),1,0))</f>
        <v>0</v>
      </c>
      <c r="H1036" s="25">
        <f>IF(E1036="","",(E1036*4+3+cfgDeslocamento)/48)</f>
        <v>0</v>
      </c>
    </row>
    <row r="1037" spans="1:8">
      <c r="A1037" s="24"/>
      <c r="B1037" s="19"/>
      <c r="C1037" s="25">
        <f>IF(D1037="","",D1037/48)</f>
        <v>0</v>
      </c>
      <c r="D1037" s="26">
        <f>IF(A1037="","",ROUND((A1037-cfgDefasagem/1440)*48,0))</f>
        <v>0</v>
      </c>
      <c r="E1037" s="26">
        <f>IF(D1037="","",INT((D1037-cfgDeslocamento)/4))</f>
        <v>0</v>
      </c>
      <c r="F1037" s="26">
        <f>IF(D1037="","",MOD(D1037-cfgDeslocamento,4)+1)</f>
        <v>0</v>
      </c>
      <c r="G1037" s="26">
        <f>IF(A1037="","",IF(AND(ISNUMBER(B1037),B1037&lt;&gt;0),1,0))</f>
        <v>0</v>
      </c>
      <c r="H1037" s="25">
        <f>IF(E1037="","",(E1037*4+3+cfgDeslocamento)/48)</f>
        <v>0</v>
      </c>
    </row>
    <row r="1038" spans="1:8">
      <c r="A1038" s="24"/>
      <c r="B1038" s="19"/>
      <c r="C1038" s="25">
        <f>IF(D1038="","",D1038/48)</f>
        <v>0</v>
      </c>
      <c r="D1038" s="26">
        <f>IF(A1038="","",ROUND((A1038-cfgDefasagem/1440)*48,0))</f>
        <v>0</v>
      </c>
      <c r="E1038" s="26">
        <f>IF(D1038="","",INT((D1038-cfgDeslocamento)/4))</f>
        <v>0</v>
      </c>
      <c r="F1038" s="26">
        <f>IF(D1038="","",MOD(D1038-cfgDeslocamento,4)+1)</f>
        <v>0</v>
      </c>
      <c r="G1038" s="26">
        <f>IF(A1038="","",IF(AND(ISNUMBER(B1038),B1038&lt;&gt;0),1,0))</f>
        <v>0</v>
      </c>
      <c r="H1038" s="25">
        <f>IF(E1038="","",(E1038*4+3+cfgDeslocamento)/48)</f>
        <v>0</v>
      </c>
    </row>
    <row r="1039" spans="1:8">
      <c r="A1039" s="24"/>
      <c r="B1039" s="19"/>
      <c r="C1039" s="25">
        <f>IF(D1039="","",D1039/48)</f>
        <v>0</v>
      </c>
      <c r="D1039" s="26">
        <f>IF(A1039="","",ROUND((A1039-cfgDefasagem/1440)*48,0))</f>
        <v>0</v>
      </c>
      <c r="E1039" s="26">
        <f>IF(D1039="","",INT((D1039-cfgDeslocamento)/4))</f>
        <v>0</v>
      </c>
      <c r="F1039" s="26">
        <f>IF(D1039="","",MOD(D1039-cfgDeslocamento,4)+1)</f>
        <v>0</v>
      </c>
      <c r="G1039" s="26">
        <f>IF(A1039="","",IF(AND(ISNUMBER(B1039),B1039&lt;&gt;0),1,0))</f>
        <v>0</v>
      </c>
      <c r="H1039" s="25">
        <f>IF(E1039="","",(E1039*4+3+cfgDeslocamento)/48)</f>
        <v>0</v>
      </c>
    </row>
    <row r="1040" spans="1:8">
      <c r="A1040" s="24"/>
      <c r="B1040" s="19"/>
      <c r="C1040" s="25">
        <f>IF(D1040="","",D1040/48)</f>
        <v>0</v>
      </c>
      <c r="D1040" s="26">
        <f>IF(A1040="","",ROUND((A1040-cfgDefasagem/1440)*48,0))</f>
        <v>0</v>
      </c>
      <c r="E1040" s="26">
        <f>IF(D1040="","",INT((D1040-cfgDeslocamento)/4))</f>
        <v>0</v>
      </c>
      <c r="F1040" s="26">
        <f>IF(D1040="","",MOD(D1040-cfgDeslocamento,4)+1)</f>
        <v>0</v>
      </c>
      <c r="G1040" s="26">
        <f>IF(A1040="","",IF(AND(ISNUMBER(B1040),B1040&lt;&gt;0),1,0))</f>
        <v>0</v>
      </c>
      <c r="H1040" s="25">
        <f>IF(E1040="","",(E1040*4+3+cfgDeslocamento)/48)</f>
        <v>0</v>
      </c>
    </row>
    <row r="1041" spans="1:8">
      <c r="A1041" s="24"/>
      <c r="B1041" s="19"/>
      <c r="C1041" s="25">
        <f>IF(D1041="","",D1041/48)</f>
        <v>0</v>
      </c>
      <c r="D1041" s="26">
        <f>IF(A1041="","",ROUND((A1041-cfgDefasagem/1440)*48,0))</f>
        <v>0</v>
      </c>
      <c r="E1041" s="26">
        <f>IF(D1041="","",INT((D1041-cfgDeslocamento)/4))</f>
        <v>0</v>
      </c>
      <c r="F1041" s="26">
        <f>IF(D1041="","",MOD(D1041-cfgDeslocamento,4)+1)</f>
        <v>0</v>
      </c>
      <c r="G1041" s="26">
        <f>IF(A1041="","",IF(AND(ISNUMBER(B1041),B1041&lt;&gt;0),1,0))</f>
        <v>0</v>
      </c>
      <c r="H1041" s="25">
        <f>IF(E1041="","",(E1041*4+3+cfgDeslocamento)/48)</f>
        <v>0</v>
      </c>
    </row>
    <row r="1042" spans="1:8">
      <c r="A1042" s="24"/>
      <c r="B1042" s="19"/>
      <c r="C1042" s="25">
        <f>IF(D1042="","",D1042/48)</f>
        <v>0</v>
      </c>
      <c r="D1042" s="26">
        <f>IF(A1042="","",ROUND((A1042-cfgDefasagem/1440)*48,0))</f>
        <v>0</v>
      </c>
      <c r="E1042" s="26">
        <f>IF(D1042="","",INT((D1042-cfgDeslocamento)/4))</f>
        <v>0</v>
      </c>
      <c r="F1042" s="26">
        <f>IF(D1042="","",MOD(D1042-cfgDeslocamento,4)+1)</f>
        <v>0</v>
      </c>
      <c r="G1042" s="26">
        <f>IF(A1042="","",IF(AND(ISNUMBER(B1042),B1042&lt;&gt;0),1,0))</f>
        <v>0</v>
      </c>
      <c r="H1042" s="25">
        <f>IF(E1042="","",(E1042*4+3+cfgDeslocamento)/48)</f>
        <v>0</v>
      </c>
    </row>
    <row r="1043" spans="1:8">
      <c r="A1043" s="24"/>
      <c r="B1043" s="19"/>
      <c r="C1043" s="25">
        <f>IF(D1043="","",D1043/48)</f>
        <v>0</v>
      </c>
      <c r="D1043" s="26">
        <f>IF(A1043="","",ROUND((A1043-cfgDefasagem/1440)*48,0))</f>
        <v>0</v>
      </c>
      <c r="E1043" s="26">
        <f>IF(D1043="","",INT((D1043-cfgDeslocamento)/4))</f>
        <v>0</v>
      </c>
      <c r="F1043" s="26">
        <f>IF(D1043="","",MOD(D1043-cfgDeslocamento,4)+1)</f>
        <v>0</v>
      </c>
      <c r="G1043" s="26">
        <f>IF(A1043="","",IF(AND(ISNUMBER(B1043),B1043&lt;&gt;0),1,0))</f>
        <v>0</v>
      </c>
      <c r="H1043" s="25">
        <f>IF(E1043="","",(E1043*4+3+cfgDeslocamento)/48)</f>
        <v>0</v>
      </c>
    </row>
    <row r="1044" spans="1:8">
      <c r="A1044" s="24"/>
      <c r="B1044" s="19"/>
      <c r="C1044" s="25">
        <f>IF(D1044="","",D1044/48)</f>
        <v>0</v>
      </c>
      <c r="D1044" s="26">
        <f>IF(A1044="","",ROUND((A1044-cfgDefasagem/1440)*48,0))</f>
        <v>0</v>
      </c>
      <c r="E1044" s="26">
        <f>IF(D1044="","",INT((D1044-cfgDeslocamento)/4))</f>
        <v>0</v>
      </c>
      <c r="F1044" s="26">
        <f>IF(D1044="","",MOD(D1044-cfgDeslocamento,4)+1)</f>
        <v>0</v>
      </c>
      <c r="G1044" s="26">
        <f>IF(A1044="","",IF(AND(ISNUMBER(B1044),B1044&lt;&gt;0),1,0))</f>
        <v>0</v>
      </c>
      <c r="H1044" s="25">
        <f>IF(E1044="","",(E1044*4+3+cfgDeslocamento)/48)</f>
        <v>0</v>
      </c>
    </row>
    <row r="1045" spans="1:8">
      <c r="A1045" s="24"/>
      <c r="B1045" s="19"/>
      <c r="C1045" s="25">
        <f>IF(D1045="","",D1045/48)</f>
        <v>0</v>
      </c>
      <c r="D1045" s="26">
        <f>IF(A1045="","",ROUND((A1045-cfgDefasagem/1440)*48,0))</f>
        <v>0</v>
      </c>
      <c r="E1045" s="26">
        <f>IF(D1045="","",INT((D1045-cfgDeslocamento)/4))</f>
        <v>0</v>
      </c>
      <c r="F1045" s="26">
        <f>IF(D1045="","",MOD(D1045-cfgDeslocamento,4)+1)</f>
        <v>0</v>
      </c>
      <c r="G1045" s="26">
        <f>IF(A1045="","",IF(AND(ISNUMBER(B1045),B1045&lt;&gt;0),1,0))</f>
        <v>0</v>
      </c>
      <c r="H1045" s="25">
        <f>IF(E1045="","",(E1045*4+3+cfgDeslocamento)/48)</f>
        <v>0</v>
      </c>
    </row>
    <row r="1046" spans="1:8">
      <c r="A1046" s="24"/>
      <c r="B1046" s="19"/>
      <c r="C1046" s="25">
        <f>IF(D1046="","",D1046/48)</f>
        <v>0</v>
      </c>
      <c r="D1046" s="26">
        <f>IF(A1046="","",ROUND((A1046-cfgDefasagem/1440)*48,0))</f>
        <v>0</v>
      </c>
      <c r="E1046" s="26">
        <f>IF(D1046="","",INT((D1046-cfgDeslocamento)/4))</f>
        <v>0</v>
      </c>
      <c r="F1046" s="26">
        <f>IF(D1046="","",MOD(D1046-cfgDeslocamento,4)+1)</f>
        <v>0</v>
      </c>
      <c r="G1046" s="26">
        <f>IF(A1046="","",IF(AND(ISNUMBER(B1046),B1046&lt;&gt;0),1,0))</f>
        <v>0</v>
      </c>
      <c r="H1046" s="25">
        <f>IF(E1046="","",(E1046*4+3+cfgDeslocamento)/48)</f>
        <v>0</v>
      </c>
    </row>
    <row r="1047" spans="1:8">
      <c r="A1047" s="24"/>
      <c r="B1047" s="19"/>
      <c r="C1047" s="25">
        <f>IF(D1047="","",D1047/48)</f>
        <v>0</v>
      </c>
      <c r="D1047" s="26">
        <f>IF(A1047="","",ROUND((A1047-cfgDefasagem/1440)*48,0))</f>
        <v>0</v>
      </c>
      <c r="E1047" s="26">
        <f>IF(D1047="","",INT((D1047-cfgDeslocamento)/4))</f>
        <v>0</v>
      </c>
      <c r="F1047" s="26">
        <f>IF(D1047="","",MOD(D1047-cfgDeslocamento,4)+1)</f>
        <v>0</v>
      </c>
      <c r="G1047" s="26">
        <f>IF(A1047="","",IF(AND(ISNUMBER(B1047),B1047&lt;&gt;0),1,0))</f>
        <v>0</v>
      </c>
      <c r="H1047" s="25">
        <f>IF(E1047="","",(E1047*4+3+cfgDeslocamento)/48)</f>
        <v>0</v>
      </c>
    </row>
    <row r="1048" spans="1:8">
      <c r="A1048" s="24"/>
      <c r="B1048" s="19"/>
      <c r="C1048" s="25">
        <f>IF(D1048="","",D1048/48)</f>
        <v>0</v>
      </c>
      <c r="D1048" s="26">
        <f>IF(A1048="","",ROUND((A1048-cfgDefasagem/1440)*48,0))</f>
        <v>0</v>
      </c>
      <c r="E1048" s="26">
        <f>IF(D1048="","",INT((D1048-cfgDeslocamento)/4))</f>
        <v>0</v>
      </c>
      <c r="F1048" s="26">
        <f>IF(D1048="","",MOD(D1048-cfgDeslocamento,4)+1)</f>
        <v>0</v>
      </c>
      <c r="G1048" s="26">
        <f>IF(A1048="","",IF(AND(ISNUMBER(B1048),B1048&lt;&gt;0),1,0))</f>
        <v>0</v>
      </c>
      <c r="H1048" s="25">
        <f>IF(E1048="","",(E1048*4+3+cfgDeslocamento)/48)</f>
        <v>0</v>
      </c>
    </row>
    <row r="1049" spans="1:8">
      <c r="A1049" s="24"/>
      <c r="B1049" s="19"/>
      <c r="C1049" s="25">
        <f>IF(D1049="","",D1049/48)</f>
        <v>0</v>
      </c>
      <c r="D1049" s="26">
        <f>IF(A1049="","",ROUND((A1049-cfgDefasagem/1440)*48,0))</f>
        <v>0</v>
      </c>
      <c r="E1049" s="26">
        <f>IF(D1049="","",INT((D1049-cfgDeslocamento)/4))</f>
        <v>0</v>
      </c>
      <c r="F1049" s="26">
        <f>IF(D1049="","",MOD(D1049-cfgDeslocamento,4)+1)</f>
        <v>0</v>
      </c>
      <c r="G1049" s="26">
        <f>IF(A1049="","",IF(AND(ISNUMBER(B1049),B1049&lt;&gt;0),1,0))</f>
        <v>0</v>
      </c>
      <c r="H1049" s="25">
        <f>IF(E1049="","",(E1049*4+3+cfgDeslocamento)/48)</f>
        <v>0</v>
      </c>
    </row>
    <row r="1050" spans="1:8">
      <c r="A1050" s="24"/>
      <c r="B1050" s="19"/>
      <c r="C1050" s="25">
        <f>IF(D1050="","",D1050/48)</f>
        <v>0</v>
      </c>
      <c r="D1050" s="26">
        <f>IF(A1050="","",ROUND((A1050-cfgDefasagem/1440)*48,0))</f>
        <v>0</v>
      </c>
      <c r="E1050" s="26">
        <f>IF(D1050="","",INT((D1050-cfgDeslocamento)/4))</f>
        <v>0</v>
      </c>
      <c r="F1050" s="26">
        <f>IF(D1050="","",MOD(D1050-cfgDeslocamento,4)+1)</f>
        <v>0</v>
      </c>
      <c r="G1050" s="26">
        <f>IF(A1050="","",IF(AND(ISNUMBER(B1050),B1050&lt;&gt;0),1,0))</f>
        <v>0</v>
      </c>
      <c r="H1050" s="25">
        <f>IF(E1050="","",(E1050*4+3+cfgDeslocamento)/48)</f>
        <v>0</v>
      </c>
    </row>
    <row r="1051" spans="1:8">
      <c r="A1051" s="24"/>
      <c r="B1051" s="19"/>
      <c r="C1051" s="25">
        <f>IF(D1051="","",D1051/48)</f>
        <v>0</v>
      </c>
      <c r="D1051" s="26">
        <f>IF(A1051="","",ROUND((A1051-cfgDefasagem/1440)*48,0))</f>
        <v>0</v>
      </c>
      <c r="E1051" s="26">
        <f>IF(D1051="","",INT((D1051-cfgDeslocamento)/4))</f>
        <v>0</v>
      </c>
      <c r="F1051" s="26">
        <f>IF(D1051="","",MOD(D1051-cfgDeslocamento,4)+1)</f>
        <v>0</v>
      </c>
      <c r="G1051" s="26">
        <f>IF(A1051="","",IF(AND(ISNUMBER(B1051),B1051&lt;&gt;0),1,0))</f>
        <v>0</v>
      </c>
      <c r="H1051" s="25">
        <f>IF(E1051="","",(E1051*4+3+cfgDeslocamento)/48)</f>
        <v>0</v>
      </c>
    </row>
    <row r="1052" spans="1:8">
      <c r="A1052" s="24"/>
      <c r="B1052" s="19"/>
      <c r="C1052" s="25">
        <f>IF(D1052="","",D1052/48)</f>
        <v>0</v>
      </c>
      <c r="D1052" s="26">
        <f>IF(A1052="","",ROUND((A1052-cfgDefasagem/1440)*48,0))</f>
        <v>0</v>
      </c>
      <c r="E1052" s="26">
        <f>IF(D1052="","",INT((D1052-cfgDeslocamento)/4))</f>
        <v>0</v>
      </c>
      <c r="F1052" s="26">
        <f>IF(D1052="","",MOD(D1052-cfgDeslocamento,4)+1)</f>
        <v>0</v>
      </c>
      <c r="G1052" s="26">
        <f>IF(A1052="","",IF(AND(ISNUMBER(B1052),B1052&lt;&gt;0),1,0))</f>
        <v>0</v>
      </c>
      <c r="H1052" s="25">
        <f>IF(E1052="","",(E1052*4+3+cfgDeslocamento)/48)</f>
        <v>0</v>
      </c>
    </row>
    <row r="1053" spans="1:8">
      <c r="A1053" s="24"/>
      <c r="B1053" s="19"/>
      <c r="C1053" s="25">
        <f>IF(D1053="","",D1053/48)</f>
        <v>0</v>
      </c>
      <c r="D1053" s="26">
        <f>IF(A1053="","",ROUND((A1053-cfgDefasagem/1440)*48,0))</f>
        <v>0</v>
      </c>
      <c r="E1053" s="26">
        <f>IF(D1053="","",INT((D1053-cfgDeslocamento)/4))</f>
        <v>0</v>
      </c>
      <c r="F1053" s="26">
        <f>IF(D1053="","",MOD(D1053-cfgDeslocamento,4)+1)</f>
        <v>0</v>
      </c>
      <c r="G1053" s="26">
        <f>IF(A1053="","",IF(AND(ISNUMBER(B1053),B1053&lt;&gt;0),1,0))</f>
        <v>0</v>
      </c>
      <c r="H1053" s="25">
        <f>IF(E1053="","",(E1053*4+3+cfgDeslocamento)/48)</f>
        <v>0</v>
      </c>
    </row>
    <row r="1054" spans="1:8">
      <c r="A1054" s="24"/>
      <c r="B1054" s="19"/>
      <c r="C1054" s="25">
        <f>IF(D1054="","",D1054/48)</f>
        <v>0</v>
      </c>
      <c r="D1054" s="26">
        <f>IF(A1054="","",ROUND((A1054-cfgDefasagem/1440)*48,0))</f>
        <v>0</v>
      </c>
      <c r="E1054" s="26">
        <f>IF(D1054="","",INT((D1054-cfgDeslocamento)/4))</f>
        <v>0</v>
      </c>
      <c r="F1054" s="26">
        <f>IF(D1054="","",MOD(D1054-cfgDeslocamento,4)+1)</f>
        <v>0</v>
      </c>
      <c r="G1054" s="26">
        <f>IF(A1054="","",IF(AND(ISNUMBER(B1054),B1054&lt;&gt;0),1,0))</f>
        <v>0</v>
      </c>
      <c r="H1054" s="25">
        <f>IF(E1054="","",(E1054*4+3+cfgDeslocamento)/48)</f>
        <v>0</v>
      </c>
    </row>
    <row r="1055" spans="1:8">
      <c r="A1055" s="24"/>
      <c r="B1055" s="19"/>
      <c r="C1055" s="25">
        <f>IF(D1055="","",D1055/48)</f>
        <v>0</v>
      </c>
      <c r="D1055" s="26">
        <f>IF(A1055="","",ROUND((A1055-cfgDefasagem/1440)*48,0))</f>
        <v>0</v>
      </c>
      <c r="E1055" s="26">
        <f>IF(D1055="","",INT((D1055-cfgDeslocamento)/4))</f>
        <v>0</v>
      </c>
      <c r="F1055" s="26">
        <f>IF(D1055="","",MOD(D1055-cfgDeslocamento,4)+1)</f>
        <v>0</v>
      </c>
      <c r="G1055" s="26">
        <f>IF(A1055="","",IF(AND(ISNUMBER(B1055),B1055&lt;&gt;0),1,0))</f>
        <v>0</v>
      </c>
      <c r="H1055" s="25">
        <f>IF(E1055="","",(E1055*4+3+cfgDeslocamento)/48)</f>
        <v>0</v>
      </c>
    </row>
    <row r="1056" spans="1:8">
      <c r="A1056" s="24"/>
      <c r="B1056" s="19"/>
      <c r="C1056" s="25">
        <f>IF(D1056="","",D1056/48)</f>
        <v>0</v>
      </c>
      <c r="D1056" s="26">
        <f>IF(A1056="","",ROUND((A1056-cfgDefasagem/1440)*48,0))</f>
        <v>0</v>
      </c>
      <c r="E1056" s="26">
        <f>IF(D1056="","",INT((D1056-cfgDeslocamento)/4))</f>
        <v>0</v>
      </c>
      <c r="F1056" s="26">
        <f>IF(D1056="","",MOD(D1056-cfgDeslocamento,4)+1)</f>
        <v>0</v>
      </c>
      <c r="G1056" s="26">
        <f>IF(A1056="","",IF(AND(ISNUMBER(B1056),B1056&lt;&gt;0),1,0))</f>
        <v>0</v>
      </c>
      <c r="H1056" s="25">
        <f>IF(E1056="","",(E1056*4+3+cfgDeslocamento)/48)</f>
        <v>0</v>
      </c>
    </row>
    <row r="1057" spans="1:8">
      <c r="A1057" s="24"/>
      <c r="B1057" s="19"/>
      <c r="C1057" s="25">
        <f>IF(D1057="","",D1057/48)</f>
        <v>0</v>
      </c>
      <c r="D1057" s="26">
        <f>IF(A1057="","",ROUND((A1057-cfgDefasagem/1440)*48,0))</f>
        <v>0</v>
      </c>
      <c r="E1057" s="26">
        <f>IF(D1057="","",INT((D1057-cfgDeslocamento)/4))</f>
        <v>0</v>
      </c>
      <c r="F1057" s="26">
        <f>IF(D1057="","",MOD(D1057-cfgDeslocamento,4)+1)</f>
        <v>0</v>
      </c>
      <c r="G1057" s="26">
        <f>IF(A1057="","",IF(AND(ISNUMBER(B1057),B1057&lt;&gt;0),1,0))</f>
        <v>0</v>
      </c>
      <c r="H1057" s="25">
        <f>IF(E1057="","",(E1057*4+3+cfgDeslocamento)/48)</f>
        <v>0</v>
      </c>
    </row>
    <row r="1058" spans="1:8">
      <c r="A1058" s="24"/>
      <c r="B1058" s="19"/>
      <c r="C1058" s="25">
        <f>IF(D1058="","",D1058/48)</f>
        <v>0</v>
      </c>
      <c r="D1058" s="26">
        <f>IF(A1058="","",ROUND((A1058-cfgDefasagem/1440)*48,0))</f>
        <v>0</v>
      </c>
      <c r="E1058" s="26">
        <f>IF(D1058="","",INT((D1058-cfgDeslocamento)/4))</f>
        <v>0</v>
      </c>
      <c r="F1058" s="26">
        <f>IF(D1058="","",MOD(D1058-cfgDeslocamento,4)+1)</f>
        <v>0</v>
      </c>
      <c r="G1058" s="26">
        <f>IF(A1058="","",IF(AND(ISNUMBER(B1058),B1058&lt;&gt;0),1,0))</f>
        <v>0</v>
      </c>
      <c r="H1058" s="25">
        <f>IF(E1058="","",(E1058*4+3+cfgDeslocamento)/48)</f>
        <v>0</v>
      </c>
    </row>
    <row r="1059" spans="1:8">
      <c r="A1059" s="24"/>
      <c r="B1059" s="19"/>
      <c r="C1059" s="25">
        <f>IF(D1059="","",D1059/48)</f>
        <v>0</v>
      </c>
      <c r="D1059" s="26">
        <f>IF(A1059="","",ROUND((A1059-cfgDefasagem/1440)*48,0))</f>
        <v>0</v>
      </c>
      <c r="E1059" s="26">
        <f>IF(D1059="","",INT((D1059-cfgDeslocamento)/4))</f>
        <v>0</v>
      </c>
      <c r="F1059" s="26">
        <f>IF(D1059="","",MOD(D1059-cfgDeslocamento,4)+1)</f>
        <v>0</v>
      </c>
      <c r="G1059" s="26">
        <f>IF(A1059="","",IF(AND(ISNUMBER(B1059),B1059&lt;&gt;0),1,0))</f>
        <v>0</v>
      </c>
      <c r="H1059" s="25">
        <f>IF(E1059="","",(E1059*4+3+cfgDeslocamento)/48)</f>
        <v>0</v>
      </c>
    </row>
    <row r="1060" spans="1:8">
      <c r="A1060" s="24"/>
      <c r="B1060" s="19"/>
      <c r="C1060" s="25">
        <f>IF(D1060="","",D1060/48)</f>
        <v>0</v>
      </c>
      <c r="D1060" s="26">
        <f>IF(A1060="","",ROUND((A1060-cfgDefasagem/1440)*48,0))</f>
        <v>0</v>
      </c>
      <c r="E1060" s="26">
        <f>IF(D1060="","",INT((D1060-cfgDeslocamento)/4))</f>
        <v>0</v>
      </c>
      <c r="F1060" s="26">
        <f>IF(D1060="","",MOD(D1060-cfgDeslocamento,4)+1)</f>
        <v>0</v>
      </c>
      <c r="G1060" s="26">
        <f>IF(A1060="","",IF(AND(ISNUMBER(B1060),B1060&lt;&gt;0),1,0))</f>
        <v>0</v>
      </c>
      <c r="H1060" s="25">
        <f>IF(E1060="","",(E1060*4+3+cfgDeslocamento)/48)</f>
        <v>0</v>
      </c>
    </row>
    <row r="1061" spans="1:8">
      <c r="A1061" s="24"/>
      <c r="B1061" s="19"/>
      <c r="C1061" s="25">
        <f>IF(D1061="","",D1061/48)</f>
        <v>0</v>
      </c>
      <c r="D1061" s="26">
        <f>IF(A1061="","",ROUND((A1061-cfgDefasagem/1440)*48,0))</f>
        <v>0</v>
      </c>
      <c r="E1061" s="26">
        <f>IF(D1061="","",INT((D1061-cfgDeslocamento)/4))</f>
        <v>0</v>
      </c>
      <c r="F1061" s="26">
        <f>IF(D1061="","",MOD(D1061-cfgDeslocamento,4)+1)</f>
        <v>0</v>
      </c>
      <c r="G1061" s="26">
        <f>IF(A1061="","",IF(AND(ISNUMBER(B1061),B1061&lt;&gt;0),1,0))</f>
        <v>0</v>
      </c>
      <c r="H1061" s="25">
        <f>IF(E1061="","",(E1061*4+3+cfgDeslocamento)/48)</f>
        <v>0</v>
      </c>
    </row>
    <row r="1062" spans="1:8">
      <c r="A1062" s="24"/>
      <c r="B1062" s="19"/>
      <c r="C1062" s="25">
        <f>IF(D1062="","",D1062/48)</f>
        <v>0</v>
      </c>
      <c r="D1062" s="26">
        <f>IF(A1062="","",ROUND((A1062-cfgDefasagem/1440)*48,0))</f>
        <v>0</v>
      </c>
      <c r="E1062" s="26">
        <f>IF(D1062="","",INT((D1062-cfgDeslocamento)/4))</f>
        <v>0</v>
      </c>
      <c r="F1062" s="26">
        <f>IF(D1062="","",MOD(D1062-cfgDeslocamento,4)+1)</f>
        <v>0</v>
      </c>
      <c r="G1062" s="26">
        <f>IF(A1062="","",IF(AND(ISNUMBER(B1062),B1062&lt;&gt;0),1,0))</f>
        <v>0</v>
      </c>
      <c r="H1062" s="25">
        <f>IF(E1062="","",(E1062*4+3+cfgDeslocamento)/48)</f>
        <v>0</v>
      </c>
    </row>
    <row r="1063" spans="1:8">
      <c r="A1063" s="24"/>
      <c r="B1063" s="19"/>
      <c r="C1063" s="25">
        <f>IF(D1063="","",D1063/48)</f>
        <v>0</v>
      </c>
      <c r="D1063" s="26">
        <f>IF(A1063="","",ROUND((A1063-cfgDefasagem/1440)*48,0))</f>
        <v>0</v>
      </c>
      <c r="E1063" s="26">
        <f>IF(D1063="","",INT((D1063-cfgDeslocamento)/4))</f>
        <v>0</v>
      </c>
      <c r="F1063" s="26">
        <f>IF(D1063="","",MOD(D1063-cfgDeslocamento,4)+1)</f>
        <v>0</v>
      </c>
      <c r="G1063" s="26">
        <f>IF(A1063="","",IF(AND(ISNUMBER(B1063),B1063&lt;&gt;0),1,0))</f>
        <v>0</v>
      </c>
      <c r="H1063" s="25">
        <f>IF(E1063="","",(E1063*4+3+cfgDeslocamento)/48)</f>
        <v>0</v>
      </c>
    </row>
    <row r="1064" spans="1:8">
      <c r="A1064" s="24"/>
      <c r="B1064" s="19"/>
      <c r="C1064" s="25">
        <f>IF(D1064="","",D1064/48)</f>
        <v>0</v>
      </c>
      <c r="D1064" s="26">
        <f>IF(A1064="","",ROUND((A1064-cfgDefasagem/1440)*48,0))</f>
        <v>0</v>
      </c>
      <c r="E1064" s="26">
        <f>IF(D1064="","",INT((D1064-cfgDeslocamento)/4))</f>
        <v>0</v>
      </c>
      <c r="F1064" s="26">
        <f>IF(D1064="","",MOD(D1064-cfgDeslocamento,4)+1)</f>
        <v>0</v>
      </c>
      <c r="G1064" s="26">
        <f>IF(A1064="","",IF(AND(ISNUMBER(B1064),B1064&lt;&gt;0),1,0))</f>
        <v>0</v>
      </c>
      <c r="H1064" s="25">
        <f>IF(E1064="","",(E1064*4+3+cfgDeslocamento)/48)</f>
        <v>0</v>
      </c>
    </row>
    <row r="1065" spans="1:8">
      <c r="A1065" s="24"/>
      <c r="B1065" s="19"/>
      <c r="C1065" s="25">
        <f>IF(D1065="","",D1065/48)</f>
        <v>0</v>
      </c>
      <c r="D1065" s="26">
        <f>IF(A1065="","",ROUND((A1065-cfgDefasagem/1440)*48,0))</f>
        <v>0</v>
      </c>
      <c r="E1065" s="26">
        <f>IF(D1065="","",INT((D1065-cfgDeslocamento)/4))</f>
        <v>0</v>
      </c>
      <c r="F1065" s="26">
        <f>IF(D1065="","",MOD(D1065-cfgDeslocamento,4)+1)</f>
        <v>0</v>
      </c>
      <c r="G1065" s="26">
        <f>IF(A1065="","",IF(AND(ISNUMBER(B1065),B1065&lt;&gt;0),1,0))</f>
        <v>0</v>
      </c>
      <c r="H1065" s="25">
        <f>IF(E1065="","",(E1065*4+3+cfgDeslocamento)/48)</f>
        <v>0</v>
      </c>
    </row>
    <row r="1066" spans="1:8">
      <c r="A1066" s="24"/>
      <c r="B1066" s="19"/>
      <c r="C1066" s="25">
        <f>IF(D1066="","",D1066/48)</f>
        <v>0</v>
      </c>
      <c r="D1066" s="26">
        <f>IF(A1066="","",ROUND((A1066-cfgDefasagem/1440)*48,0))</f>
        <v>0</v>
      </c>
      <c r="E1066" s="26">
        <f>IF(D1066="","",INT((D1066-cfgDeslocamento)/4))</f>
        <v>0</v>
      </c>
      <c r="F1066" s="26">
        <f>IF(D1066="","",MOD(D1066-cfgDeslocamento,4)+1)</f>
        <v>0</v>
      </c>
      <c r="G1066" s="26">
        <f>IF(A1066="","",IF(AND(ISNUMBER(B1066),B1066&lt;&gt;0),1,0))</f>
        <v>0</v>
      </c>
      <c r="H1066" s="25">
        <f>IF(E1066="","",(E1066*4+3+cfgDeslocamento)/48)</f>
        <v>0</v>
      </c>
    </row>
    <row r="1067" spans="1:8">
      <c r="A1067" s="24"/>
      <c r="B1067" s="19"/>
      <c r="C1067" s="25">
        <f>IF(D1067="","",D1067/48)</f>
        <v>0</v>
      </c>
      <c r="D1067" s="26">
        <f>IF(A1067="","",ROUND((A1067-cfgDefasagem/1440)*48,0))</f>
        <v>0</v>
      </c>
      <c r="E1067" s="26">
        <f>IF(D1067="","",INT((D1067-cfgDeslocamento)/4))</f>
        <v>0</v>
      </c>
      <c r="F1067" s="26">
        <f>IF(D1067="","",MOD(D1067-cfgDeslocamento,4)+1)</f>
        <v>0</v>
      </c>
      <c r="G1067" s="26">
        <f>IF(A1067="","",IF(AND(ISNUMBER(B1067),B1067&lt;&gt;0),1,0))</f>
        <v>0</v>
      </c>
      <c r="H1067" s="25">
        <f>IF(E1067="","",(E1067*4+3+cfgDeslocamento)/48)</f>
        <v>0</v>
      </c>
    </row>
    <row r="1068" spans="1:8">
      <c r="A1068" s="24"/>
      <c r="B1068" s="19"/>
      <c r="C1068" s="25">
        <f>IF(D1068="","",D1068/48)</f>
        <v>0</v>
      </c>
      <c r="D1068" s="26">
        <f>IF(A1068="","",ROUND((A1068-cfgDefasagem/1440)*48,0))</f>
        <v>0</v>
      </c>
      <c r="E1068" s="26">
        <f>IF(D1068="","",INT((D1068-cfgDeslocamento)/4))</f>
        <v>0</v>
      </c>
      <c r="F1068" s="26">
        <f>IF(D1068="","",MOD(D1068-cfgDeslocamento,4)+1)</f>
        <v>0</v>
      </c>
      <c r="G1068" s="26">
        <f>IF(A1068="","",IF(AND(ISNUMBER(B1068),B1068&lt;&gt;0),1,0))</f>
        <v>0</v>
      </c>
      <c r="H1068" s="25">
        <f>IF(E1068="","",(E1068*4+3+cfgDeslocamento)/48)</f>
        <v>0</v>
      </c>
    </row>
    <row r="1069" spans="1:8">
      <c r="A1069" s="24"/>
      <c r="B1069" s="19"/>
      <c r="C1069" s="25">
        <f>IF(D1069="","",D1069/48)</f>
        <v>0</v>
      </c>
      <c r="D1069" s="26">
        <f>IF(A1069="","",ROUND((A1069-cfgDefasagem/1440)*48,0))</f>
        <v>0</v>
      </c>
      <c r="E1069" s="26">
        <f>IF(D1069="","",INT((D1069-cfgDeslocamento)/4))</f>
        <v>0</v>
      </c>
      <c r="F1069" s="26">
        <f>IF(D1069="","",MOD(D1069-cfgDeslocamento,4)+1)</f>
        <v>0</v>
      </c>
      <c r="G1069" s="26">
        <f>IF(A1069="","",IF(AND(ISNUMBER(B1069),B1069&lt;&gt;0),1,0))</f>
        <v>0</v>
      </c>
      <c r="H1069" s="25">
        <f>IF(E1069="","",(E1069*4+3+cfgDeslocamento)/48)</f>
        <v>0</v>
      </c>
    </row>
    <row r="1070" spans="1:8">
      <c r="A1070" s="24"/>
      <c r="B1070" s="19"/>
      <c r="C1070" s="25">
        <f>IF(D1070="","",D1070/48)</f>
        <v>0</v>
      </c>
      <c r="D1070" s="26">
        <f>IF(A1070="","",ROUND((A1070-cfgDefasagem/1440)*48,0))</f>
        <v>0</v>
      </c>
      <c r="E1070" s="26">
        <f>IF(D1070="","",INT((D1070-cfgDeslocamento)/4))</f>
        <v>0</v>
      </c>
      <c r="F1070" s="26">
        <f>IF(D1070="","",MOD(D1070-cfgDeslocamento,4)+1)</f>
        <v>0</v>
      </c>
      <c r="G1070" s="26">
        <f>IF(A1070="","",IF(AND(ISNUMBER(B1070),B1070&lt;&gt;0),1,0))</f>
        <v>0</v>
      </c>
      <c r="H1070" s="25">
        <f>IF(E1070="","",(E1070*4+3+cfgDeslocamento)/48)</f>
        <v>0</v>
      </c>
    </row>
    <row r="1071" spans="1:8">
      <c r="A1071" s="24"/>
      <c r="B1071" s="19"/>
      <c r="C1071" s="25">
        <f>IF(D1071="","",D1071/48)</f>
        <v>0</v>
      </c>
      <c r="D1071" s="26">
        <f>IF(A1071="","",ROUND((A1071-cfgDefasagem/1440)*48,0))</f>
        <v>0</v>
      </c>
      <c r="E1071" s="26">
        <f>IF(D1071="","",INT((D1071-cfgDeslocamento)/4))</f>
        <v>0</v>
      </c>
      <c r="F1071" s="26">
        <f>IF(D1071="","",MOD(D1071-cfgDeslocamento,4)+1)</f>
        <v>0</v>
      </c>
      <c r="G1071" s="26">
        <f>IF(A1071="","",IF(AND(ISNUMBER(B1071),B1071&lt;&gt;0),1,0))</f>
        <v>0</v>
      </c>
      <c r="H1071" s="25">
        <f>IF(E1071="","",(E1071*4+3+cfgDeslocamento)/48)</f>
        <v>0</v>
      </c>
    </row>
    <row r="1072" spans="1:8">
      <c r="A1072" s="24"/>
      <c r="B1072" s="19"/>
      <c r="C1072" s="25">
        <f>IF(D1072="","",D1072/48)</f>
        <v>0</v>
      </c>
      <c r="D1072" s="26">
        <f>IF(A1072="","",ROUND((A1072-cfgDefasagem/1440)*48,0))</f>
        <v>0</v>
      </c>
      <c r="E1072" s="26">
        <f>IF(D1072="","",INT((D1072-cfgDeslocamento)/4))</f>
        <v>0</v>
      </c>
      <c r="F1072" s="26">
        <f>IF(D1072="","",MOD(D1072-cfgDeslocamento,4)+1)</f>
        <v>0</v>
      </c>
      <c r="G1072" s="26">
        <f>IF(A1072="","",IF(AND(ISNUMBER(B1072),B1072&lt;&gt;0),1,0))</f>
        <v>0</v>
      </c>
      <c r="H1072" s="25">
        <f>IF(E1072="","",(E1072*4+3+cfgDeslocamento)/48)</f>
        <v>0</v>
      </c>
    </row>
    <row r="1073" spans="1:8">
      <c r="A1073" s="24"/>
      <c r="B1073" s="19"/>
      <c r="C1073" s="25">
        <f>IF(D1073="","",D1073/48)</f>
        <v>0</v>
      </c>
      <c r="D1073" s="26">
        <f>IF(A1073="","",ROUND((A1073-cfgDefasagem/1440)*48,0))</f>
        <v>0</v>
      </c>
      <c r="E1073" s="26">
        <f>IF(D1073="","",INT((D1073-cfgDeslocamento)/4))</f>
        <v>0</v>
      </c>
      <c r="F1073" s="26">
        <f>IF(D1073="","",MOD(D1073-cfgDeslocamento,4)+1)</f>
        <v>0</v>
      </c>
      <c r="G1073" s="26">
        <f>IF(A1073="","",IF(AND(ISNUMBER(B1073),B1073&lt;&gt;0),1,0))</f>
        <v>0</v>
      </c>
      <c r="H1073" s="25">
        <f>IF(E1073="","",(E1073*4+3+cfgDeslocamento)/48)</f>
        <v>0</v>
      </c>
    </row>
    <row r="1074" spans="1:8">
      <c r="A1074" s="24"/>
      <c r="B1074" s="19"/>
      <c r="C1074" s="25">
        <f>IF(D1074="","",D1074/48)</f>
        <v>0</v>
      </c>
      <c r="D1074" s="26">
        <f>IF(A1074="","",ROUND((A1074-cfgDefasagem/1440)*48,0))</f>
        <v>0</v>
      </c>
      <c r="E1074" s="26">
        <f>IF(D1074="","",INT((D1074-cfgDeslocamento)/4))</f>
        <v>0</v>
      </c>
      <c r="F1074" s="26">
        <f>IF(D1074="","",MOD(D1074-cfgDeslocamento,4)+1)</f>
        <v>0</v>
      </c>
      <c r="G1074" s="26">
        <f>IF(A1074="","",IF(AND(ISNUMBER(B1074),B1074&lt;&gt;0),1,0))</f>
        <v>0</v>
      </c>
      <c r="H1074" s="25">
        <f>IF(E1074="","",(E1074*4+3+cfgDeslocamento)/48)</f>
        <v>0</v>
      </c>
    </row>
    <row r="1075" spans="1:8">
      <c r="A1075" s="24"/>
      <c r="B1075" s="19"/>
      <c r="C1075" s="25">
        <f>IF(D1075="","",D1075/48)</f>
        <v>0</v>
      </c>
      <c r="D1075" s="26">
        <f>IF(A1075="","",ROUND((A1075-cfgDefasagem/1440)*48,0))</f>
        <v>0</v>
      </c>
      <c r="E1075" s="26">
        <f>IF(D1075="","",INT((D1075-cfgDeslocamento)/4))</f>
        <v>0</v>
      </c>
      <c r="F1075" s="26">
        <f>IF(D1075="","",MOD(D1075-cfgDeslocamento,4)+1)</f>
        <v>0</v>
      </c>
      <c r="G1075" s="26">
        <f>IF(A1075="","",IF(AND(ISNUMBER(B1075),B1075&lt;&gt;0),1,0))</f>
        <v>0</v>
      </c>
      <c r="H1075" s="25">
        <f>IF(E1075="","",(E1075*4+3+cfgDeslocamento)/48)</f>
        <v>0</v>
      </c>
    </row>
    <row r="1076" spans="1:8">
      <c r="A1076" s="24"/>
      <c r="B1076" s="19"/>
      <c r="C1076" s="25">
        <f>IF(D1076="","",D1076/48)</f>
        <v>0</v>
      </c>
      <c r="D1076" s="26">
        <f>IF(A1076="","",ROUND((A1076-cfgDefasagem/1440)*48,0))</f>
        <v>0</v>
      </c>
      <c r="E1076" s="26">
        <f>IF(D1076="","",INT((D1076-cfgDeslocamento)/4))</f>
        <v>0</v>
      </c>
      <c r="F1076" s="26">
        <f>IF(D1076="","",MOD(D1076-cfgDeslocamento,4)+1)</f>
        <v>0</v>
      </c>
      <c r="G1076" s="26">
        <f>IF(A1076="","",IF(AND(ISNUMBER(B1076),B1076&lt;&gt;0),1,0))</f>
        <v>0</v>
      </c>
      <c r="H1076" s="25">
        <f>IF(E1076="","",(E1076*4+3+cfgDeslocamento)/48)</f>
        <v>0</v>
      </c>
    </row>
    <row r="1077" spans="1:8">
      <c r="A1077" s="24"/>
      <c r="B1077" s="19"/>
      <c r="C1077" s="25">
        <f>IF(D1077="","",D1077/48)</f>
        <v>0</v>
      </c>
      <c r="D1077" s="26">
        <f>IF(A1077="","",ROUND((A1077-cfgDefasagem/1440)*48,0))</f>
        <v>0</v>
      </c>
      <c r="E1077" s="26">
        <f>IF(D1077="","",INT((D1077-cfgDeslocamento)/4))</f>
        <v>0</v>
      </c>
      <c r="F1077" s="26">
        <f>IF(D1077="","",MOD(D1077-cfgDeslocamento,4)+1)</f>
        <v>0</v>
      </c>
      <c r="G1077" s="26">
        <f>IF(A1077="","",IF(AND(ISNUMBER(B1077),B1077&lt;&gt;0),1,0))</f>
        <v>0</v>
      </c>
      <c r="H1077" s="25">
        <f>IF(E1077="","",(E1077*4+3+cfgDeslocamento)/48)</f>
        <v>0</v>
      </c>
    </row>
    <row r="1078" spans="1:8">
      <c r="A1078" s="24"/>
      <c r="B1078" s="19"/>
      <c r="C1078" s="25">
        <f>IF(D1078="","",D1078/48)</f>
        <v>0</v>
      </c>
      <c r="D1078" s="26">
        <f>IF(A1078="","",ROUND((A1078-cfgDefasagem/1440)*48,0))</f>
        <v>0</v>
      </c>
      <c r="E1078" s="26">
        <f>IF(D1078="","",INT((D1078-cfgDeslocamento)/4))</f>
        <v>0</v>
      </c>
      <c r="F1078" s="26">
        <f>IF(D1078="","",MOD(D1078-cfgDeslocamento,4)+1)</f>
        <v>0</v>
      </c>
      <c r="G1078" s="26">
        <f>IF(A1078="","",IF(AND(ISNUMBER(B1078),B1078&lt;&gt;0),1,0))</f>
        <v>0</v>
      </c>
      <c r="H1078" s="25">
        <f>IF(E1078="","",(E1078*4+3+cfgDeslocamento)/48)</f>
        <v>0</v>
      </c>
    </row>
    <row r="1079" spans="1:8">
      <c r="A1079" s="24"/>
      <c r="B1079" s="19"/>
      <c r="C1079" s="25">
        <f>IF(D1079="","",D1079/48)</f>
        <v>0</v>
      </c>
      <c r="D1079" s="26">
        <f>IF(A1079="","",ROUND((A1079-cfgDefasagem/1440)*48,0))</f>
        <v>0</v>
      </c>
      <c r="E1079" s="26">
        <f>IF(D1079="","",INT((D1079-cfgDeslocamento)/4))</f>
        <v>0</v>
      </c>
      <c r="F1079" s="26">
        <f>IF(D1079="","",MOD(D1079-cfgDeslocamento,4)+1)</f>
        <v>0</v>
      </c>
      <c r="G1079" s="26">
        <f>IF(A1079="","",IF(AND(ISNUMBER(B1079),B1079&lt;&gt;0),1,0))</f>
        <v>0</v>
      </c>
      <c r="H1079" s="25">
        <f>IF(E1079="","",(E1079*4+3+cfgDeslocamento)/48)</f>
        <v>0</v>
      </c>
    </row>
    <row r="1080" spans="1:8">
      <c r="A1080" s="24"/>
      <c r="B1080" s="19"/>
      <c r="C1080" s="25">
        <f>IF(D1080="","",D1080/48)</f>
        <v>0</v>
      </c>
      <c r="D1080" s="26">
        <f>IF(A1080="","",ROUND((A1080-cfgDefasagem/1440)*48,0))</f>
        <v>0</v>
      </c>
      <c r="E1080" s="26">
        <f>IF(D1080="","",INT((D1080-cfgDeslocamento)/4))</f>
        <v>0</v>
      </c>
      <c r="F1080" s="26">
        <f>IF(D1080="","",MOD(D1080-cfgDeslocamento,4)+1)</f>
        <v>0</v>
      </c>
      <c r="G1080" s="26">
        <f>IF(A1080="","",IF(AND(ISNUMBER(B1080),B1080&lt;&gt;0),1,0))</f>
        <v>0</v>
      </c>
      <c r="H1080" s="25">
        <f>IF(E1080="","",(E1080*4+3+cfgDeslocamento)/48)</f>
        <v>0</v>
      </c>
    </row>
    <row r="1081" spans="1:8">
      <c r="A1081" s="24"/>
      <c r="B1081" s="19"/>
      <c r="C1081" s="25">
        <f>IF(D1081="","",D1081/48)</f>
        <v>0</v>
      </c>
      <c r="D1081" s="26">
        <f>IF(A1081="","",ROUND((A1081-cfgDefasagem/1440)*48,0))</f>
        <v>0</v>
      </c>
      <c r="E1081" s="26">
        <f>IF(D1081="","",INT((D1081-cfgDeslocamento)/4))</f>
        <v>0</v>
      </c>
      <c r="F1081" s="26">
        <f>IF(D1081="","",MOD(D1081-cfgDeslocamento,4)+1)</f>
        <v>0</v>
      </c>
      <c r="G1081" s="26">
        <f>IF(A1081="","",IF(AND(ISNUMBER(B1081),B1081&lt;&gt;0),1,0))</f>
        <v>0</v>
      </c>
      <c r="H1081" s="25">
        <f>IF(E1081="","",(E1081*4+3+cfgDeslocamento)/48)</f>
        <v>0</v>
      </c>
    </row>
    <row r="1082" spans="1:8">
      <c r="A1082" s="24"/>
      <c r="B1082" s="19"/>
      <c r="C1082" s="25">
        <f>IF(D1082="","",D1082/48)</f>
        <v>0</v>
      </c>
      <c r="D1082" s="26">
        <f>IF(A1082="","",ROUND((A1082-cfgDefasagem/1440)*48,0))</f>
        <v>0</v>
      </c>
      <c r="E1082" s="26">
        <f>IF(D1082="","",INT((D1082-cfgDeslocamento)/4))</f>
        <v>0</v>
      </c>
      <c r="F1082" s="26">
        <f>IF(D1082="","",MOD(D1082-cfgDeslocamento,4)+1)</f>
        <v>0</v>
      </c>
      <c r="G1082" s="26">
        <f>IF(A1082="","",IF(AND(ISNUMBER(B1082),B1082&lt;&gt;0),1,0))</f>
        <v>0</v>
      </c>
      <c r="H1082" s="25">
        <f>IF(E1082="","",(E1082*4+3+cfgDeslocamento)/48)</f>
        <v>0</v>
      </c>
    </row>
    <row r="1083" spans="1:8">
      <c r="A1083" s="24"/>
      <c r="B1083" s="19"/>
      <c r="C1083" s="25">
        <f>IF(D1083="","",D1083/48)</f>
        <v>0</v>
      </c>
      <c r="D1083" s="26">
        <f>IF(A1083="","",ROUND((A1083-cfgDefasagem/1440)*48,0))</f>
        <v>0</v>
      </c>
      <c r="E1083" s="26">
        <f>IF(D1083="","",INT((D1083-cfgDeslocamento)/4))</f>
        <v>0</v>
      </c>
      <c r="F1083" s="26">
        <f>IF(D1083="","",MOD(D1083-cfgDeslocamento,4)+1)</f>
        <v>0</v>
      </c>
      <c r="G1083" s="26">
        <f>IF(A1083="","",IF(AND(ISNUMBER(B1083),B1083&lt;&gt;0),1,0))</f>
        <v>0</v>
      </c>
      <c r="H1083" s="25">
        <f>IF(E1083="","",(E1083*4+3+cfgDeslocamento)/48)</f>
        <v>0</v>
      </c>
    </row>
    <row r="1084" spans="1:8">
      <c r="A1084" s="24"/>
      <c r="B1084" s="19"/>
      <c r="C1084" s="25">
        <f>IF(D1084="","",D1084/48)</f>
        <v>0</v>
      </c>
      <c r="D1084" s="26">
        <f>IF(A1084="","",ROUND((A1084-cfgDefasagem/1440)*48,0))</f>
        <v>0</v>
      </c>
      <c r="E1084" s="26">
        <f>IF(D1084="","",INT((D1084-cfgDeslocamento)/4))</f>
        <v>0</v>
      </c>
      <c r="F1084" s="26">
        <f>IF(D1084="","",MOD(D1084-cfgDeslocamento,4)+1)</f>
        <v>0</v>
      </c>
      <c r="G1084" s="26">
        <f>IF(A1084="","",IF(AND(ISNUMBER(B1084),B1084&lt;&gt;0),1,0))</f>
        <v>0</v>
      </c>
      <c r="H1084" s="25">
        <f>IF(E1084="","",(E1084*4+3+cfgDeslocamento)/48)</f>
        <v>0</v>
      </c>
    </row>
    <row r="1085" spans="1:8">
      <c r="A1085" s="24"/>
      <c r="B1085" s="19"/>
      <c r="C1085" s="25">
        <f>IF(D1085="","",D1085/48)</f>
        <v>0</v>
      </c>
      <c r="D1085" s="26">
        <f>IF(A1085="","",ROUND((A1085-cfgDefasagem/1440)*48,0))</f>
        <v>0</v>
      </c>
      <c r="E1085" s="26">
        <f>IF(D1085="","",INT((D1085-cfgDeslocamento)/4))</f>
        <v>0</v>
      </c>
      <c r="F1085" s="26">
        <f>IF(D1085="","",MOD(D1085-cfgDeslocamento,4)+1)</f>
        <v>0</v>
      </c>
      <c r="G1085" s="26">
        <f>IF(A1085="","",IF(AND(ISNUMBER(B1085),B1085&lt;&gt;0),1,0))</f>
        <v>0</v>
      </c>
      <c r="H1085" s="25">
        <f>IF(E1085="","",(E1085*4+3+cfgDeslocamento)/48)</f>
        <v>0</v>
      </c>
    </row>
    <row r="1086" spans="1:8">
      <c r="A1086" s="24"/>
      <c r="B1086" s="19"/>
      <c r="C1086" s="25">
        <f>IF(D1086="","",D1086/48)</f>
        <v>0</v>
      </c>
      <c r="D1086" s="26">
        <f>IF(A1086="","",ROUND((A1086-cfgDefasagem/1440)*48,0))</f>
        <v>0</v>
      </c>
      <c r="E1086" s="26">
        <f>IF(D1086="","",INT((D1086-cfgDeslocamento)/4))</f>
        <v>0</v>
      </c>
      <c r="F1086" s="26">
        <f>IF(D1086="","",MOD(D1086-cfgDeslocamento,4)+1)</f>
        <v>0</v>
      </c>
      <c r="G1086" s="26">
        <f>IF(A1086="","",IF(AND(ISNUMBER(B1086),B1086&lt;&gt;0),1,0))</f>
        <v>0</v>
      </c>
      <c r="H1086" s="25">
        <f>IF(E1086="","",(E1086*4+3+cfgDeslocamento)/48)</f>
        <v>0</v>
      </c>
    </row>
    <row r="1087" spans="1:8">
      <c r="A1087" s="24"/>
      <c r="B1087" s="19"/>
      <c r="C1087" s="25">
        <f>IF(D1087="","",D1087/48)</f>
        <v>0</v>
      </c>
      <c r="D1087" s="26">
        <f>IF(A1087="","",ROUND((A1087-cfgDefasagem/1440)*48,0))</f>
        <v>0</v>
      </c>
      <c r="E1087" s="26">
        <f>IF(D1087="","",INT((D1087-cfgDeslocamento)/4))</f>
        <v>0</v>
      </c>
      <c r="F1087" s="26">
        <f>IF(D1087="","",MOD(D1087-cfgDeslocamento,4)+1)</f>
        <v>0</v>
      </c>
      <c r="G1087" s="26">
        <f>IF(A1087="","",IF(AND(ISNUMBER(B1087),B1087&lt;&gt;0),1,0))</f>
        <v>0</v>
      </c>
      <c r="H1087" s="25">
        <f>IF(E1087="","",(E1087*4+3+cfgDeslocamento)/48)</f>
        <v>0</v>
      </c>
    </row>
    <row r="1088" spans="1:8">
      <c r="A1088" s="24"/>
      <c r="B1088" s="19"/>
      <c r="C1088" s="25">
        <f>IF(D1088="","",D1088/48)</f>
        <v>0</v>
      </c>
      <c r="D1088" s="26">
        <f>IF(A1088="","",ROUND((A1088-cfgDefasagem/1440)*48,0))</f>
        <v>0</v>
      </c>
      <c r="E1088" s="26">
        <f>IF(D1088="","",INT((D1088-cfgDeslocamento)/4))</f>
        <v>0</v>
      </c>
      <c r="F1088" s="26">
        <f>IF(D1088="","",MOD(D1088-cfgDeslocamento,4)+1)</f>
        <v>0</v>
      </c>
      <c r="G1088" s="26">
        <f>IF(A1088="","",IF(AND(ISNUMBER(B1088),B1088&lt;&gt;0),1,0))</f>
        <v>0</v>
      </c>
      <c r="H1088" s="25">
        <f>IF(E1088="","",(E1088*4+3+cfgDeslocamento)/48)</f>
        <v>0</v>
      </c>
    </row>
    <row r="1089" spans="1:8">
      <c r="A1089" s="24"/>
      <c r="B1089" s="19"/>
      <c r="C1089" s="25">
        <f>IF(D1089="","",D1089/48)</f>
        <v>0</v>
      </c>
      <c r="D1089" s="26">
        <f>IF(A1089="","",ROUND((A1089-cfgDefasagem/1440)*48,0))</f>
        <v>0</v>
      </c>
      <c r="E1089" s="26">
        <f>IF(D1089="","",INT((D1089-cfgDeslocamento)/4))</f>
        <v>0</v>
      </c>
      <c r="F1089" s="26">
        <f>IF(D1089="","",MOD(D1089-cfgDeslocamento,4)+1)</f>
        <v>0</v>
      </c>
      <c r="G1089" s="26">
        <f>IF(A1089="","",IF(AND(ISNUMBER(B1089),B1089&lt;&gt;0),1,0))</f>
        <v>0</v>
      </c>
      <c r="H1089" s="25">
        <f>IF(E1089="","",(E1089*4+3+cfgDeslocamento)/48)</f>
        <v>0</v>
      </c>
    </row>
    <row r="1090" spans="1:8">
      <c r="A1090" s="24"/>
      <c r="B1090" s="19"/>
      <c r="C1090" s="25">
        <f>IF(D1090="","",D1090/48)</f>
        <v>0</v>
      </c>
      <c r="D1090" s="26">
        <f>IF(A1090="","",ROUND((A1090-cfgDefasagem/1440)*48,0))</f>
        <v>0</v>
      </c>
      <c r="E1090" s="26">
        <f>IF(D1090="","",INT((D1090-cfgDeslocamento)/4))</f>
        <v>0</v>
      </c>
      <c r="F1090" s="26">
        <f>IF(D1090="","",MOD(D1090-cfgDeslocamento,4)+1)</f>
        <v>0</v>
      </c>
      <c r="G1090" s="26">
        <f>IF(A1090="","",IF(AND(ISNUMBER(B1090),B1090&lt;&gt;0),1,0))</f>
        <v>0</v>
      </c>
      <c r="H1090" s="25">
        <f>IF(E1090="","",(E1090*4+3+cfgDeslocamento)/48)</f>
        <v>0</v>
      </c>
    </row>
    <row r="1091" spans="1:8">
      <c r="A1091" s="24"/>
      <c r="B1091" s="19"/>
      <c r="C1091" s="25">
        <f>IF(D1091="","",D1091/48)</f>
        <v>0</v>
      </c>
      <c r="D1091" s="26">
        <f>IF(A1091="","",ROUND((A1091-cfgDefasagem/1440)*48,0))</f>
        <v>0</v>
      </c>
      <c r="E1091" s="26">
        <f>IF(D1091="","",INT((D1091-cfgDeslocamento)/4))</f>
        <v>0</v>
      </c>
      <c r="F1091" s="26">
        <f>IF(D1091="","",MOD(D1091-cfgDeslocamento,4)+1)</f>
        <v>0</v>
      </c>
      <c r="G1091" s="26">
        <f>IF(A1091="","",IF(AND(ISNUMBER(B1091),B1091&lt;&gt;0),1,0))</f>
        <v>0</v>
      </c>
      <c r="H1091" s="25">
        <f>IF(E1091="","",(E1091*4+3+cfgDeslocamento)/48)</f>
        <v>0</v>
      </c>
    </row>
    <row r="1092" spans="1:8">
      <c r="A1092" s="24"/>
      <c r="B1092" s="19"/>
      <c r="C1092" s="25">
        <f>IF(D1092="","",D1092/48)</f>
        <v>0</v>
      </c>
      <c r="D1092" s="26">
        <f>IF(A1092="","",ROUND((A1092-cfgDefasagem/1440)*48,0))</f>
        <v>0</v>
      </c>
      <c r="E1092" s="26">
        <f>IF(D1092="","",INT((D1092-cfgDeslocamento)/4))</f>
        <v>0</v>
      </c>
      <c r="F1092" s="26">
        <f>IF(D1092="","",MOD(D1092-cfgDeslocamento,4)+1)</f>
        <v>0</v>
      </c>
      <c r="G1092" s="26">
        <f>IF(A1092="","",IF(AND(ISNUMBER(B1092),B1092&lt;&gt;0),1,0))</f>
        <v>0</v>
      </c>
      <c r="H1092" s="25">
        <f>IF(E1092="","",(E1092*4+3+cfgDeslocamento)/48)</f>
        <v>0</v>
      </c>
    </row>
    <row r="1093" spans="1:8">
      <c r="A1093" s="24"/>
      <c r="B1093" s="19"/>
      <c r="C1093" s="25">
        <f>IF(D1093="","",D1093/48)</f>
        <v>0</v>
      </c>
      <c r="D1093" s="26">
        <f>IF(A1093="","",ROUND((A1093-cfgDefasagem/1440)*48,0))</f>
        <v>0</v>
      </c>
      <c r="E1093" s="26">
        <f>IF(D1093="","",INT((D1093-cfgDeslocamento)/4))</f>
        <v>0</v>
      </c>
      <c r="F1093" s="26">
        <f>IF(D1093="","",MOD(D1093-cfgDeslocamento,4)+1)</f>
        <v>0</v>
      </c>
      <c r="G1093" s="26">
        <f>IF(A1093="","",IF(AND(ISNUMBER(B1093),B1093&lt;&gt;0),1,0))</f>
        <v>0</v>
      </c>
      <c r="H1093" s="25">
        <f>IF(E1093="","",(E1093*4+3+cfgDeslocamento)/48)</f>
        <v>0</v>
      </c>
    </row>
    <row r="1094" spans="1:8">
      <c r="A1094" s="24"/>
      <c r="B1094" s="19"/>
      <c r="C1094" s="25">
        <f>IF(D1094="","",D1094/48)</f>
        <v>0</v>
      </c>
      <c r="D1094" s="26">
        <f>IF(A1094="","",ROUND((A1094-cfgDefasagem/1440)*48,0))</f>
        <v>0</v>
      </c>
      <c r="E1094" s="26">
        <f>IF(D1094="","",INT((D1094-cfgDeslocamento)/4))</f>
        <v>0</v>
      </c>
      <c r="F1094" s="26">
        <f>IF(D1094="","",MOD(D1094-cfgDeslocamento,4)+1)</f>
        <v>0</v>
      </c>
      <c r="G1094" s="26">
        <f>IF(A1094="","",IF(AND(ISNUMBER(B1094),B1094&lt;&gt;0),1,0))</f>
        <v>0</v>
      </c>
      <c r="H1094" s="25">
        <f>IF(E1094="","",(E1094*4+3+cfgDeslocamento)/48)</f>
        <v>0</v>
      </c>
    </row>
    <row r="1095" spans="1:8">
      <c r="A1095" s="24"/>
      <c r="B1095" s="19"/>
      <c r="C1095" s="25">
        <f>IF(D1095="","",D1095/48)</f>
        <v>0</v>
      </c>
      <c r="D1095" s="26">
        <f>IF(A1095="","",ROUND((A1095-cfgDefasagem/1440)*48,0))</f>
        <v>0</v>
      </c>
      <c r="E1095" s="26">
        <f>IF(D1095="","",INT((D1095-cfgDeslocamento)/4))</f>
        <v>0</v>
      </c>
      <c r="F1095" s="26">
        <f>IF(D1095="","",MOD(D1095-cfgDeslocamento,4)+1)</f>
        <v>0</v>
      </c>
      <c r="G1095" s="26">
        <f>IF(A1095="","",IF(AND(ISNUMBER(B1095),B1095&lt;&gt;0),1,0))</f>
        <v>0</v>
      </c>
      <c r="H1095" s="25">
        <f>IF(E1095="","",(E1095*4+3+cfgDeslocamento)/48)</f>
        <v>0</v>
      </c>
    </row>
    <row r="1096" spans="1:8">
      <c r="A1096" s="24"/>
      <c r="B1096" s="19"/>
      <c r="C1096" s="25">
        <f>IF(D1096="","",D1096/48)</f>
        <v>0</v>
      </c>
      <c r="D1096" s="26">
        <f>IF(A1096="","",ROUND((A1096-cfgDefasagem/1440)*48,0))</f>
        <v>0</v>
      </c>
      <c r="E1096" s="26">
        <f>IF(D1096="","",INT((D1096-cfgDeslocamento)/4))</f>
        <v>0</v>
      </c>
      <c r="F1096" s="26">
        <f>IF(D1096="","",MOD(D1096-cfgDeslocamento,4)+1)</f>
        <v>0</v>
      </c>
      <c r="G1096" s="26">
        <f>IF(A1096="","",IF(AND(ISNUMBER(B1096),B1096&lt;&gt;0),1,0))</f>
        <v>0</v>
      </c>
      <c r="H1096" s="25">
        <f>IF(E1096="","",(E1096*4+3+cfgDeslocamento)/48)</f>
        <v>0</v>
      </c>
    </row>
    <row r="1097" spans="1:8">
      <c r="A1097" s="24"/>
      <c r="B1097" s="19"/>
      <c r="C1097" s="25">
        <f>IF(D1097="","",D1097/48)</f>
        <v>0</v>
      </c>
      <c r="D1097" s="26">
        <f>IF(A1097="","",ROUND((A1097-cfgDefasagem/1440)*48,0))</f>
        <v>0</v>
      </c>
      <c r="E1097" s="26">
        <f>IF(D1097="","",INT((D1097-cfgDeslocamento)/4))</f>
        <v>0</v>
      </c>
      <c r="F1097" s="26">
        <f>IF(D1097="","",MOD(D1097-cfgDeslocamento,4)+1)</f>
        <v>0</v>
      </c>
      <c r="G1097" s="26">
        <f>IF(A1097="","",IF(AND(ISNUMBER(B1097),B1097&lt;&gt;0),1,0))</f>
        <v>0</v>
      </c>
      <c r="H1097" s="25">
        <f>IF(E1097="","",(E1097*4+3+cfgDeslocamento)/48)</f>
        <v>0</v>
      </c>
    </row>
    <row r="1098" spans="1:8">
      <c r="A1098" s="24"/>
      <c r="B1098" s="19"/>
      <c r="C1098" s="25">
        <f>IF(D1098="","",D1098/48)</f>
        <v>0</v>
      </c>
      <c r="D1098" s="26">
        <f>IF(A1098="","",ROUND((A1098-cfgDefasagem/1440)*48,0))</f>
        <v>0</v>
      </c>
      <c r="E1098" s="26">
        <f>IF(D1098="","",INT((D1098-cfgDeslocamento)/4))</f>
        <v>0</v>
      </c>
      <c r="F1098" s="26">
        <f>IF(D1098="","",MOD(D1098-cfgDeslocamento,4)+1)</f>
        <v>0</v>
      </c>
      <c r="G1098" s="26">
        <f>IF(A1098="","",IF(AND(ISNUMBER(B1098),B1098&lt;&gt;0),1,0))</f>
        <v>0</v>
      </c>
      <c r="H1098" s="25">
        <f>IF(E1098="","",(E1098*4+3+cfgDeslocamento)/48)</f>
        <v>0</v>
      </c>
    </row>
    <row r="1099" spans="1:8">
      <c r="A1099" s="24"/>
      <c r="B1099" s="19"/>
      <c r="C1099" s="25">
        <f>IF(D1099="","",D1099/48)</f>
        <v>0</v>
      </c>
      <c r="D1099" s="26">
        <f>IF(A1099="","",ROUND((A1099-cfgDefasagem/1440)*48,0))</f>
        <v>0</v>
      </c>
      <c r="E1099" s="26">
        <f>IF(D1099="","",INT((D1099-cfgDeslocamento)/4))</f>
        <v>0</v>
      </c>
      <c r="F1099" s="26">
        <f>IF(D1099="","",MOD(D1099-cfgDeslocamento,4)+1)</f>
        <v>0</v>
      </c>
      <c r="G1099" s="26">
        <f>IF(A1099="","",IF(AND(ISNUMBER(B1099),B1099&lt;&gt;0),1,0))</f>
        <v>0</v>
      </c>
      <c r="H1099" s="25">
        <f>IF(E1099="","",(E1099*4+3+cfgDeslocamento)/48)</f>
        <v>0</v>
      </c>
    </row>
    <row r="1100" spans="1:8">
      <c r="A1100" s="24"/>
      <c r="B1100" s="19"/>
      <c r="C1100" s="25">
        <f>IF(D1100="","",D1100/48)</f>
        <v>0</v>
      </c>
      <c r="D1100" s="26">
        <f>IF(A1100="","",ROUND((A1100-cfgDefasagem/1440)*48,0))</f>
        <v>0</v>
      </c>
      <c r="E1100" s="26">
        <f>IF(D1100="","",INT((D1100-cfgDeslocamento)/4))</f>
        <v>0</v>
      </c>
      <c r="F1100" s="26">
        <f>IF(D1100="","",MOD(D1100-cfgDeslocamento,4)+1)</f>
        <v>0</v>
      </c>
      <c r="G1100" s="26">
        <f>IF(A1100="","",IF(AND(ISNUMBER(B1100),B1100&lt;&gt;0),1,0))</f>
        <v>0</v>
      </c>
      <c r="H1100" s="25">
        <f>IF(E1100="","",(E1100*4+3+cfgDeslocamento)/48)</f>
        <v>0</v>
      </c>
    </row>
    <row r="1101" spans="1:8">
      <c r="A1101" s="24"/>
      <c r="B1101" s="19"/>
      <c r="C1101" s="25">
        <f>IF(D1101="","",D1101/48)</f>
        <v>0</v>
      </c>
      <c r="D1101" s="26">
        <f>IF(A1101="","",ROUND((A1101-cfgDefasagem/1440)*48,0))</f>
        <v>0</v>
      </c>
      <c r="E1101" s="26">
        <f>IF(D1101="","",INT((D1101-cfgDeslocamento)/4))</f>
        <v>0</v>
      </c>
      <c r="F1101" s="26">
        <f>IF(D1101="","",MOD(D1101-cfgDeslocamento,4)+1)</f>
        <v>0</v>
      </c>
      <c r="G1101" s="26">
        <f>IF(A1101="","",IF(AND(ISNUMBER(B1101),B1101&lt;&gt;0),1,0))</f>
        <v>0</v>
      </c>
      <c r="H1101" s="25">
        <f>IF(E1101="","",(E1101*4+3+cfgDeslocamento)/48)</f>
        <v>0</v>
      </c>
    </row>
    <row r="1102" spans="1:8">
      <c r="A1102" s="24"/>
      <c r="B1102" s="19"/>
      <c r="C1102" s="25">
        <f>IF(D1102="","",D1102/48)</f>
        <v>0</v>
      </c>
      <c r="D1102" s="26">
        <f>IF(A1102="","",ROUND((A1102-cfgDefasagem/1440)*48,0))</f>
        <v>0</v>
      </c>
      <c r="E1102" s="26">
        <f>IF(D1102="","",INT((D1102-cfgDeslocamento)/4))</f>
        <v>0</v>
      </c>
      <c r="F1102" s="26">
        <f>IF(D1102="","",MOD(D1102-cfgDeslocamento,4)+1)</f>
        <v>0</v>
      </c>
      <c r="G1102" s="26">
        <f>IF(A1102="","",IF(AND(ISNUMBER(B1102),B1102&lt;&gt;0),1,0))</f>
        <v>0</v>
      </c>
      <c r="H1102" s="25">
        <f>IF(E1102="","",(E1102*4+3+cfgDeslocamento)/48)</f>
        <v>0</v>
      </c>
    </row>
    <row r="1103" spans="1:8">
      <c r="A1103" s="24"/>
      <c r="B1103" s="19"/>
      <c r="C1103" s="25">
        <f>IF(D1103="","",D1103/48)</f>
        <v>0</v>
      </c>
      <c r="D1103" s="26">
        <f>IF(A1103="","",ROUND((A1103-cfgDefasagem/1440)*48,0))</f>
        <v>0</v>
      </c>
      <c r="E1103" s="26">
        <f>IF(D1103="","",INT((D1103-cfgDeslocamento)/4))</f>
        <v>0</v>
      </c>
      <c r="F1103" s="26">
        <f>IF(D1103="","",MOD(D1103-cfgDeslocamento,4)+1)</f>
        <v>0</v>
      </c>
      <c r="G1103" s="26">
        <f>IF(A1103="","",IF(AND(ISNUMBER(B1103),B1103&lt;&gt;0),1,0))</f>
        <v>0</v>
      </c>
      <c r="H1103" s="25">
        <f>IF(E1103="","",(E1103*4+3+cfgDeslocamento)/48)</f>
        <v>0</v>
      </c>
    </row>
    <row r="1104" spans="1:8">
      <c r="A1104" s="24"/>
      <c r="B1104" s="19"/>
      <c r="C1104" s="25">
        <f>IF(D1104="","",D1104/48)</f>
        <v>0</v>
      </c>
      <c r="D1104" s="26">
        <f>IF(A1104="","",ROUND((A1104-cfgDefasagem/1440)*48,0))</f>
        <v>0</v>
      </c>
      <c r="E1104" s="26">
        <f>IF(D1104="","",INT((D1104-cfgDeslocamento)/4))</f>
        <v>0</v>
      </c>
      <c r="F1104" s="26">
        <f>IF(D1104="","",MOD(D1104-cfgDeslocamento,4)+1)</f>
        <v>0</v>
      </c>
      <c r="G1104" s="26">
        <f>IF(A1104="","",IF(AND(ISNUMBER(B1104),B1104&lt;&gt;0),1,0))</f>
        <v>0</v>
      </c>
      <c r="H1104" s="25">
        <f>IF(E1104="","",(E1104*4+3+cfgDeslocamento)/48)</f>
        <v>0</v>
      </c>
    </row>
    <row r="1105" spans="1:8">
      <c r="A1105" s="24"/>
      <c r="B1105" s="19"/>
      <c r="C1105" s="25">
        <f>IF(D1105="","",D1105/48)</f>
        <v>0</v>
      </c>
      <c r="D1105" s="26">
        <f>IF(A1105="","",ROUND((A1105-cfgDefasagem/1440)*48,0))</f>
        <v>0</v>
      </c>
      <c r="E1105" s="26">
        <f>IF(D1105="","",INT((D1105-cfgDeslocamento)/4))</f>
        <v>0</v>
      </c>
      <c r="F1105" s="26">
        <f>IF(D1105="","",MOD(D1105-cfgDeslocamento,4)+1)</f>
        <v>0</v>
      </c>
      <c r="G1105" s="26">
        <f>IF(A1105="","",IF(AND(ISNUMBER(B1105),B1105&lt;&gt;0),1,0))</f>
        <v>0</v>
      </c>
      <c r="H1105" s="25">
        <f>IF(E1105="","",(E1105*4+3+cfgDeslocamento)/48)</f>
        <v>0</v>
      </c>
    </row>
    <row r="1106" spans="1:8">
      <c r="A1106" s="24"/>
      <c r="B1106" s="19"/>
      <c r="C1106" s="25">
        <f>IF(D1106="","",D1106/48)</f>
        <v>0</v>
      </c>
      <c r="D1106" s="26">
        <f>IF(A1106="","",ROUND((A1106-cfgDefasagem/1440)*48,0))</f>
        <v>0</v>
      </c>
      <c r="E1106" s="26">
        <f>IF(D1106="","",INT((D1106-cfgDeslocamento)/4))</f>
        <v>0</v>
      </c>
      <c r="F1106" s="26">
        <f>IF(D1106="","",MOD(D1106-cfgDeslocamento,4)+1)</f>
        <v>0</v>
      </c>
      <c r="G1106" s="26">
        <f>IF(A1106="","",IF(AND(ISNUMBER(B1106),B1106&lt;&gt;0),1,0))</f>
        <v>0</v>
      </c>
      <c r="H1106" s="25">
        <f>IF(E1106="","",(E1106*4+3+cfgDeslocamento)/48)</f>
        <v>0</v>
      </c>
    </row>
    <row r="1107" spans="1:8">
      <c r="A1107" s="24"/>
      <c r="B1107" s="19"/>
      <c r="C1107" s="25">
        <f>IF(D1107="","",D1107/48)</f>
        <v>0</v>
      </c>
      <c r="D1107" s="26">
        <f>IF(A1107="","",ROUND((A1107-cfgDefasagem/1440)*48,0))</f>
        <v>0</v>
      </c>
      <c r="E1107" s="26">
        <f>IF(D1107="","",INT((D1107-cfgDeslocamento)/4))</f>
        <v>0</v>
      </c>
      <c r="F1107" s="26">
        <f>IF(D1107="","",MOD(D1107-cfgDeslocamento,4)+1)</f>
        <v>0</v>
      </c>
      <c r="G1107" s="26">
        <f>IF(A1107="","",IF(AND(ISNUMBER(B1107),B1107&lt;&gt;0),1,0))</f>
        <v>0</v>
      </c>
      <c r="H1107" s="25">
        <f>IF(E1107="","",(E1107*4+3+cfgDeslocamento)/48)</f>
        <v>0</v>
      </c>
    </row>
    <row r="1108" spans="1:8">
      <c r="A1108" s="24"/>
      <c r="B1108" s="19"/>
      <c r="C1108" s="25">
        <f>IF(D1108="","",D1108/48)</f>
        <v>0</v>
      </c>
      <c r="D1108" s="26">
        <f>IF(A1108="","",ROUND((A1108-cfgDefasagem/1440)*48,0))</f>
        <v>0</v>
      </c>
      <c r="E1108" s="26">
        <f>IF(D1108="","",INT((D1108-cfgDeslocamento)/4))</f>
        <v>0</v>
      </c>
      <c r="F1108" s="26">
        <f>IF(D1108="","",MOD(D1108-cfgDeslocamento,4)+1)</f>
        <v>0</v>
      </c>
      <c r="G1108" s="26">
        <f>IF(A1108="","",IF(AND(ISNUMBER(B1108),B1108&lt;&gt;0),1,0))</f>
        <v>0</v>
      </c>
      <c r="H1108" s="25">
        <f>IF(E1108="","",(E1108*4+3+cfgDeslocamento)/48)</f>
        <v>0</v>
      </c>
    </row>
    <row r="1109" spans="1:8">
      <c r="A1109" s="24"/>
      <c r="B1109" s="19"/>
      <c r="C1109" s="25">
        <f>IF(D1109="","",D1109/48)</f>
        <v>0</v>
      </c>
      <c r="D1109" s="26">
        <f>IF(A1109="","",ROUND((A1109-cfgDefasagem/1440)*48,0))</f>
        <v>0</v>
      </c>
      <c r="E1109" s="26">
        <f>IF(D1109="","",INT((D1109-cfgDeslocamento)/4))</f>
        <v>0</v>
      </c>
      <c r="F1109" s="26">
        <f>IF(D1109="","",MOD(D1109-cfgDeslocamento,4)+1)</f>
        <v>0</v>
      </c>
      <c r="G1109" s="26">
        <f>IF(A1109="","",IF(AND(ISNUMBER(B1109),B1109&lt;&gt;0),1,0))</f>
        <v>0</v>
      </c>
      <c r="H1109" s="25">
        <f>IF(E1109="","",(E1109*4+3+cfgDeslocamento)/48)</f>
        <v>0</v>
      </c>
    </row>
    <row r="1110" spans="1:8">
      <c r="A1110" s="24"/>
      <c r="B1110" s="19"/>
      <c r="C1110" s="25">
        <f>IF(D1110="","",D1110/48)</f>
        <v>0</v>
      </c>
      <c r="D1110" s="26">
        <f>IF(A1110="","",ROUND((A1110-cfgDefasagem/1440)*48,0))</f>
        <v>0</v>
      </c>
      <c r="E1110" s="26">
        <f>IF(D1110="","",INT((D1110-cfgDeslocamento)/4))</f>
        <v>0</v>
      </c>
      <c r="F1110" s="26">
        <f>IF(D1110="","",MOD(D1110-cfgDeslocamento,4)+1)</f>
        <v>0</v>
      </c>
      <c r="G1110" s="26">
        <f>IF(A1110="","",IF(AND(ISNUMBER(B1110),B1110&lt;&gt;0),1,0))</f>
        <v>0</v>
      </c>
      <c r="H1110" s="25">
        <f>IF(E1110="","",(E1110*4+3+cfgDeslocamento)/48)</f>
        <v>0</v>
      </c>
    </row>
    <row r="1111" spans="1:8">
      <c r="A1111" s="24"/>
      <c r="B1111" s="19"/>
      <c r="C1111" s="25">
        <f>IF(D1111="","",D1111/48)</f>
        <v>0</v>
      </c>
      <c r="D1111" s="26">
        <f>IF(A1111="","",ROUND((A1111-cfgDefasagem/1440)*48,0))</f>
        <v>0</v>
      </c>
      <c r="E1111" s="26">
        <f>IF(D1111="","",INT((D1111-cfgDeslocamento)/4))</f>
        <v>0</v>
      </c>
      <c r="F1111" s="26">
        <f>IF(D1111="","",MOD(D1111-cfgDeslocamento,4)+1)</f>
        <v>0</v>
      </c>
      <c r="G1111" s="26">
        <f>IF(A1111="","",IF(AND(ISNUMBER(B1111),B1111&lt;&gt;0),1,0))</f>
        <v>0</v>
      </c>
      <c r="H1111" s="25">
        <f>IF(E1111="","",(E1111*4+3+cfgDeslocamento)/48)</f>
        <v>0</v>
      </c>
    </row>
    <row r="1112" spans="1:8">
      <c r="A1112" s="24"/>
      <c r="B1112" s="19"/>
      <c r="C1112" s="25">
        <f>IF(D1112="","",D1112/48)</f>
        <v>0</v>
      </c>
      <c r="D1112" s="26">
        <f>IF(A1112="","",ROUND((A1112-cfgDefasagem/1440)*48,0))</f>
        <v>0</v>
      </c>
      <c r="E1112" s="26">
        <f>IF(D1112="","",INT((D1112-cfgDeslocamento)/4))</f>
        <v>0</v>
      </c>
      <c r="F1112" s="26">
        <f>IF(D1112="","",MOD(D1112-cfgDeslocamento,4)+1)</f>
        <v>0</v>
      </c>
      <c r="G1112" s="26">
        <f>IF(A1112="","",IF(AND(ISNUMBER(B1112),B1112&lt;&gt;0),1,0))</f>
        <v>0</v>
      </c>
      <c r="H1112" s="25">
        <f>IF(E1112="","",(E1112*4+3+cfgDeslocamento)/48)</f>
        <v>0</v>
      </c>
    </row>
    <row r="1113" spans="1:8">
      <c r="A1113" s="24"/>
      <c r="B1113" s="19"/>
      <c r="C1113" s="25">
        <f>IF(D1113="","",D1113/48)</f>
        <v>0</v>
      </c>
      <c r="D1113" s="26">
        <f>IF(A1113="","",ROUND((A1113-cfgDefasagem/1440)*48,0))</f>
        <v>0</v>
      </c>
      <c r="E1113" s="26">
        <f>IF(D1113="","",INT((D1113-cfgDeslocamento)/4))</f>
        <v>0</v>
      </c>
      <c r="F1113" s="26">
        <f>IF(D1113="","",MOD(D1113-cfgDeslocamento,4)+1)</f>
        <v>0</v>
      </c>
      <c r="G1113" s="26">
        <f>IF(A1113="","",IF(AND(ISNUMBER(B1113),B1113&lt;&gt;0),1,0))</f>
        <v>0</v>
      </c>
      <c r="H1113" s="25">
        <f>IF(E1113="","",(E1113*4+3+cfgDeslocamento)/48)</f>
        <v>0</v>
      </c>
    </row>
    <row r="1114" spans="1:8">
      <c r="A1114" s="24"/>
      <c r="B1114" s="19"/>
      <c r="C1114" s="25">
        <f>IF(D1114="","",D1114/48)</f>
        <v>0</v>
      </c>
      <c r="D1114" s="26">
        <f>IF(A1114="","",ROUND((A1114-cfgDefasagem/1440)*48,0))</f>
        <v>0</v>
      </c>
      <c r="E1114" s="26">
        <f>IF(D1114="","",INT((D1114-cfgDeslocamento)/4))</f>
        <v>0</v>
      </c>
      <c r="F1114" s="26">
        <f>IF(D1114="","",MOD(D1114-cfgDeslocamento,4)+1)</f>
        <v>0</v>
      </c>
      <c r="G1114" s="26">
        <f>IF(A1114="","",IF(AND(ISNUMBER(B1114),B1114&lt;&gt;0),1,0))</f>
        <v>0</v>
      </c>
      <c r="H1114" s="25">
        <f>IF(E1114="","",(E1114*4+3+cfgDeslocamento)/48)</f>
        <v>0</v>
      </c>
    </row>
    <row r="1115" spans="1:8">
      <c r="A1115" s="24"/>
      <c r="B1115" s="19"/>
      <c r="C1115" s="25">
        <f>IF(D1115="","",D1115/48)</f>
        <v>0</v>
      </c>
      <c r="D1115" s="26">
        <f>IF(A1115="","",ROUND((A1115-cfgDefasagem/1440)*48,0))</f>
        <v>0</v>
      </c>
      <c r="E1115" s="26">
        <f>IF(D1115="","",INT((D1115-cfgDeslocamento)/4))</f>
        <v>0</v>
      </c>
      <c r="F1115" s="26">
        <f>IF(D1115="","",MOD(D1115-cfgDeslocamento,4)+1)</f>
        <v>0</v>
      </c>
      <c r="G1115" s="26">
        <f>IF(A1115="","",IF(AND(ISNUMBER(B1115),B1115&lt;&gt;0),1,0))</f>
        <v>0</v>
      </c>
      <c r="H1115" s="25">
        <f>IF(E1115="","",(E1115*4+3+cfgDeslocamento)/48)</f>
        <v>0</v>
      </c>
    </row>
    <row r="1116" spans="1:8">
      <c r="A1116" s="24"/>
      <c r="B1116" s="19"/>
      <c r="C1116" s="25">
        <f>IF(D1116="","",D1116/48)</f>
        <v>0</v>
      </c>
      <c r="D1116" s="26">
        <f>IF(A1116="","",ROUND((A1116-cfgDefasagem/1440)*48,0))</f>
        <v>0</v>
      </c>
      <c r="E1116" s="26">
        <f>IF(D1116="","",INT((D1116-cfgDeslocamento)/4))</f>
        <v>0</v>
      </c>
      <c r="F1116" s="26">
        <f>IF(D1116="","",MOD(D1116-cfgDeslocamento,4)+1)</f>
        <v>0</v>
      </c>
      <c r="G1116" s="26">
        <f>IF(A1116="","",IF(AND(ISNUMBER(B1116),B1116&lt;&gt;0),1,0))</f>
        <v>0</v>
      </c>
      <c r="H1116" s="25">
        <f>IF(E1116="","",(E1116*4+3+cfgDeslocamento)/48)</f>
        <v>0</v>
      </c>
    </row>
    <row r="1117" spans="1:8">
      <c r="A1117" s="24"/>
      <c r="B1117" s="19"/>
      <c r="C1117" s="25">
        <f>IF(D1117="","",D1117/48)</f>
        <v>0</v>
      </c>
      <c r="D1117" s="26">
        <f>IF(A1117="","",ROUND((A1117-cfgDefasagem/1440)*48,0))</f>
        <v>0</v>
      </c>
      <c r="E1117" s="26">
        <f>IF(D1117="","",INT((D1117-cfgDeslocamento)/4))</f>
        <v>0</v>
      </c>
      <c r="F1117" s="26">
        <f>IF(D1117="","",MOD(D1117-cfgDeslocamento,4)+1)</f>
        <v>0</v>
      </c>
      <c r="G1117" s="26">
        <f>IF(A1117="","",IF(AND(ISNUMBER(B1117),B1117&lt;&gt;0),1,0))</f>
        <v>0</v>
      </c>
      <c r="H1117" s="25">
        <f>IF(E1117="","",(E1117*4+3+cfgDeslocamento)/48)</f>
        <v>0</v>
      </c>
    </row>
    <row r="1118" spans="1:8">
      <c r="A1118" s="24"/>
      <c r="B1118" s="19"/>
      <c r="C1118" s="25">
        <f>IF(D1118="","",D1118/48)</f>
        <v>0</v>
      </c>
      <c r="D1118" s="26">
        <f>IF(A1118="","",ROUND((A1118-cfgDefasagem/1440)*48,0))</f>
        <v>0</v>
      </c>
      <c r="E1118" s="26">
        <f>IF(D1118="","",INT((D1118-cfgDeslocamento)/4))</f>
        <v>0</v>
      </c>
      <c r="F1118" s="26">
        <f>IF(D1118="","",MOD(D1118-cfgDeslocamento,4)+1)</f>
        <v>0</v>
      </c>
      <c r="G1118" s="26">
        <f>IF(A1118="","",IF(AND(ISNUMBER(B1118),B1118&lt;&gt;0),1,0))</f>
        <v>0</v>
      </c>
      <c r="H1118" s="25">
        <f>IF(E1118="","",(E1118*4+3+cfgDeslocamento)/48)</f>
        <v>0</v>
      </c>
    </row>
    <row r="1119" spans="1:8">
      <c r="A1119" s="24"/>
      <c r="B1119" s="19"/>
      <c r="C1119" s="25">
        <f>IF(D1119="","",D1119/48)</f>
        <v>0</v>
      </c>
      <c r="D1119" s="26">
        <f>IF(A1119="","",ROUND((A1119-cfgDefasagem/1440)*48,0))</f>
        <v>0</v>
      </c>
      <c r="E1119" s="26">
        <f>IF(D1119="","",INT((D1119-cfgDeslocamento)/4))</f>
        <v>0</v>
      </c>
      <c r="F1119" s="26">
        <f>IF(D1119="","",MOD(D1119-cfgDeslocamento,4)+1)</f>
        <v>0</v>
      </c>
      <c r="G1119" s="26">
        <f>IF(A1119="","",IF(AND(ISNUMBER(B1119),B1119&lt;&gt;0),1,0))</f>
        <v>0</v>
      </c>
      <c r="H1119" s="25">
        <f>IF(E1119="","",(E1119*4+3+cfgDeslocamento)/48)</f>
        <v>0</v>
      </c>
    </row>
    <row r="1120" spans="1:8">
      <c r="A1120" s="24"/>
      <c r="B1120" s="19"/>
      <c r="C1120" s="25">
        <f>IF(D1120="","",D1120/48)</f>
        <v>0</v>
      </c>
      <c r="D1120" s="26">
        <f>IF(A1120="","",ROUND((A1120-cfgDefasagem/1440)*48,0))</f>
        <v>0</v>
      </c>
      <c r="E1120" s="26">
        <f>IF(D1120="","",INT((D1120-cfgDeslocamento)/4))</f>
        <v>0</v>
      </c>
      <c r="F1120" s="26">
        <f>IF(D1120="","",MOD(D1120-cfgDeslocamento,4)+1)</f>
        <v>0</v>
      </c>
      <c r="G1120" s="26">
        <f>IF(A1120="","",IF(AND(ISNUMBER(B1120),B1120&lt;&gt;0),1,0))</f>
        <v>0</v>
      </c>
      <c r="H1120" s="25">
        <f>IF(E1120="","",(E1120*4+3+cfgDeslocamento)/48)</f>
        <v>0</v>
      </c>
    </row>
    <row r="1121" spans="1:8">
      <c r="A1121" s="24"/>
      <c r="B1121" s="19"/>
      <c r="C1121" s="25">
        <f>IF(D1121="","",D1121/48)</f>
        <v>0</v>
      </c>
      <c r="D1121" s="26">
        <f>IF(A1121="","",ROUND((A1121-cfgDefasagem/1440)*48,0))</f>
        <v>0</v>
      </c>
      <c r="E1121" s="26">
        <f>IF(D1121="","",INT((D1121-cfgDeslocamento)/4))</f>
        <v>0</v>
      </c>
      <c r="F1121" s="26">
        <f>IF(D1121="","",MOD(D1121-cfgDeslocamento,4)+1)</f>
        <v>0</v>
      </c>
      <c r="G1121" s="26">
        <f>IF(A1121="","",IF(AND(ISNUMBER(B1121),B1121&lt;&gt;0),1,0))</f>
        <v>0</v>
      </c>
      <c r="H1121" s="25">
        <f>IF(E1121="","",(E1121*4+3+cfgDeslocamento)/48)</f>
        <v>0</v>
      </c>
    </row>
    <row r="1122" spans="1:8">
      <c r="A1122" s="24"/>
      <c r="B1122" s="19"/>
      <c r="C1122" s="25">
        <f>IF(D1122="","",D1122/48)</f>
        <v>0</v>
      </c>
      <c r="D1122" s="26">
        <f>IF(A1122="","",ROUND((A1122-cfgDefasagem/1440)*48,0))</f>
        <v>0</v>
      </c>
      <c r="E1122" s="26">
        <f>IF(D1122="","",INT((D1122-cfgDeslocamento)/4))</f>
        <v>0</v>
      </c>
      <c r="F1122" s="26">
        <f>IF(D1122="","",MOD(D1122-cfgDeslocamento,4)+1)</f>
        <v>0</v>
      </c>
      <c r="G1122" s="26">
        <f>IF(A1122="","",IF(AND(ISNUMBER(B1122),B1122&lt;&gt;0),1,0))</f>
        <v>0</v>
      </c>
      <c r="H1122" s="25">
        <f>IF(E1122="","",(E1122*4+3+cfgDeslocamento)/48)</f>
        <v>0</v>
      </c>
    </row>
    <row r="1123" spans="1:8">
      <c r="A1123" s="24"/>
      <c r="B1123" s="19"/>
      <c r="C1123" s="25">
        <f>IF(D1123="","",D1123/48)</f>
        <v>0</v>
      </c>
      <c r="D1123" s="26">
        <f>IF(A1123="","",ROUND((A1123-cfgDefasagem/1440)*48,0))</f>
        <v>0</v>
      </c>
      <c r="E1123" s="26">
        <f>IF(D1123="","",INT((D1123-cfgDeslocamento)/4))</f>
        <v>0</v>
      </c>
      <c r="F1123" s="26">
        <f>IF(D1123="","",MOD(D1123-cfgDeslocamento,4)+1)</f>
        <v>0</v>
      </c>
      <c r="G1123" s="26">
        <f>IF(A1123="","",IF(AND(ISNUMBER(B1123),B1123&lt;&gt;0),1,0))</f>
        <v>0</v>
      </c>
      <c r="H1123" s="25">
        <f>IF(E1123="","",(E1123*4+3+cfgDeslocamento)/48)</f>
        <v>0</v>
      </c>
    </row>
    <row r="1124" spans="1:8">
      <c r="A1124" s="24"/>
      <c r="B1124" s="19"/>
      <c r="C1124" s="25">
        <f>IF(D1124="","",D1124/48)</f>
        <v>0</v>
      </c>
      <c r="D1124" s="26">
        <f>IF(A1124="","",ROUND((A1124-cfgDefasagem/1440)*48,0))</f>
        <v>0</v>
      </c>
      <c r="E1124" s="26">
        <f>IF(D1124="","",INT((D1124-cfgDeslocamento)/4))</f>
        <v>0</v>
      </c>
      <c r="F1124" s="26">
        <f>IF(D1124="","",MOD(D1124-cfgDeslocamento,4)+1)</f>
        <v>0</v>
      </c>
      <c r="G1124" s="26">
        <f>IF(A1124="","",IF(AND(ISNUMBER(B1124),B1124&lt;&gt;0),1,0))</f>
        <v>0</v>
      </c>
      <c r="H1124" s="25">
        <f>IF(E1124="","",(E1124*4+3+cfgDeslocamento)/48)</f>
        <v>0</v>
      </c>
    </row>
    <row r="1125" spans="1:8">
      <c r="A1125" s="24"/>
      <c r="B1125" s="19"/>
      <c r="C1125" s="25">
        <f>IF(D1125="","",D1125/48)</f>
        <v>0</v>
      </c>
      <c r="D1125" s="26">
        <f>IF(A1125="","",ROUND((A1125-cfgDefasagem/1440)*48,0))</f>
        <v>0</v>
      </c>
      <c r="E1125" s="26">
        <f>IF(D1125="","",INT((D1125-cfgDeslocamento)/4))</f>
        <v>0</v>
      </c>
      <c r="F1125" s="26">
        <f>IF(D1125="","",MOD(D1125-cfgDeslocamento,4)+1)</f>
        <v>0</v>
      </c>
      <c r="G1125" s="26">
        <f>IF(A1125="","",IF(AND(ISNUMBER(B1125),B1125&lt;&gt;0),1,0))</f>
        <v>0</v>
      </c>
      <c r="H1125" s="25">
        <f>IF(E1125="","",(E1125*4+3+cfgDeslocamento)/48)</f>
        <v>0</v>
      </c>
    </row>
    <row r="1126" spans="1:8">
      <c r="A1126" s="24"/>
      <c r="B1126" s="19"/>
      <c r="C1126" s="25">
        <f>IF(D1126="","",D1126/48)</f>
        <v>0</v>
      </c>
      <c r="D1126" s="26">
        <f>IF(A1126="","",ROUND((A1126-cfgDefasagem/1440)*48,0))</f>
        <v>0</v>
      </c>
      <c r="E1126" s="26">
        <f>IF(D1126="","",INT((D1126-cfgDeslocamento)/4))</f>
        <v>0</v>
      </c>
      <c r="F1126" s="26">
        <f>IF(D1126="","",MOD(D1126-cfgDeslocamento,4)+1)</f>
        <v>0</v>
      </c>
      <c r="G1126" s="26">
        <f>IF(A1126="","",IF(AND(ISNUMBER(B1126),B1126&lt;&gt;0),1,0))</f>
        <v>0</v>
      </c>
      <c r="H1126" s="25">
        <f>IF(E1126="","",(E1126*4+3+cfgDeslocamento)/48)</f>
        <v>0</v>
      </c>
    </row>
    <row r="1127" spans="1:8">
      <c r="A1127" s="24"/>
      <c r="B1127" s="19"/>
      <c r="C1127" s="25">
        <f>IF(D1127="","",D1127/48)</f>
        <v>0</v>
      </c>
      <c r="D1127" s="26">
        <f>IF(A1127="","",ROUND((A1127-cfgDefasagem/1440)*48,0))</f>
        <v>0</v>
      </c>
      <c r="E1127" s="26">
        <f>IF(D1127="","",INT((D1127-cfgDeslocamento)/4))</f>
        <v>0</v>
      </c>
      <c r="F1127" s="26">
        <f>IF(D1127="","",MOD(D1127-cfgDeslocamento,4)+1)</f>
        <v>0</v>
      </c>
      <c r="G1127" s="26">
        <f>IF(A1127="","",IF(AND(ISNUMBER(B1127),B1127&lt;&gt;0),1,0))</f>
        <v>0</v>
      </c>
      <c r="H1127" s="25">
        <f>IF(E1127="","",(E1127*4+3+cfgDeslocamento)/48)</f>
        <v>0</v>
      </c>
    </row>
    <row r="1128" spans="1:8">
      <c r="A1128" s="24"/>
      <c r="B1128" s="19"/>
      <c r="C1128" s="25">
        <f>IF(D1128="","",D1128/48)</f>
        <v>0</v>
      </c>
      <c r="D1128" s="26">
        <f>IF(A1128="","",ROUND((A1128-cfgDefasagem/1440)*48,0))</f>
        <v>0</v>
      </c>
      <c r="E1128" s="26">
        <f>IF(D1128="","",INT((D1128-cfgDeslocamento)/4))</f>
        <v>0</v>
      </c>
      <c r="F1128" s="26">
        <f>IF(D1128="","",MOD(D1128-cfgDeslocamento,4)+1)</f>
        <v>0</v>
      </c>
      <c r="G1128" s="26">
        <f>IF(A1128="","",IF(AND(ISNUMBER(B1128),B1128&lt;&gt;0),1,0))</f>
        <v>0</v>
      </c>
      <c r="H1128" s="25">
        <f>IF(E1128="","",(E1128*4+3+cfgDeslocamento)/48)</f>
        <v>0</v>
      </c>
    </row>
    <row r="1129" spans="1:8">
      <c r="A1129" s="24"/>
      <c r="B1129" s="19"/>
      <c r="C1129" s="25">
        <f>IF(D1129="","",D1129/48)</f>
        <v>0</v>
      </c>
      <c r="D1129" s="26">
        <f>IF(A1129="","",ROUND((A1129-cfgDefasagem/1440)*48,0))</f>
        <v>0</v>
      </c>
      <c r="E1129" s="26">
        <f>IF(D1129="","",INT((D1129-cfgDeslocamento)/4))</f>
        <v>0</v>
      </c>
      <c r="F1129" s="26">
        <f>IF(D1129="","",MOD(D1129-cfgDeslocamento,4)+1)</f>
        <v>0</v>
      </c>
      <c r="G1129" s="26">
        <f>IF(A1129="","",IF(AND(ISNUMBER(B1129),B1129&lt;&gt;0),1,0))</f>
        <v>0</v>
      </c>
      <c r="H1129" s="25">
        <f>IF(E1129="","",(E1129*4+3+cfgDeslocamento)/48)</f>
        <v>0</v>
      </c>
    </row>
    <row r="1130" spans="1:8">
      <c r="A1130" s="24"/>
      <c r="B1130" s="19"/>
      <c r="C1130" s="25">
        <f>IF(D1130="","",D1130/48)</f>
        <v>0</v>
      </c>
      <c r="D1130" s="26">
        <f>IF(A1130="","",ROUND((A1130-cfgDefasagem/1440)*48,0))</f>
        <v>0</v>
      </c>
      <c r="E1130" s="26">
        <f>IF(D1130="","",INT((D1130-cfgDeslocamento)/4))</f>
        <v>0</v>
      </c>
      <c r="F1130" s="26">
        <f>IF(D1130="","",MOD(D1130-cfgDeslocamento,4)+1)</f>
        <v>0</v>
      </c>
      <c r="G1130" s="26">
        <f>IF(A1130="","",IF(AND(ISNUMBER(B1130),B1130&lt;&gt;0),1,0))</f>
        <v>0</v>
      </c>
      <c r="H1130" s="25">
        <f>IF(E1130="","",(E1130*4+3+cfgDeslocamento)/48)</f>
        <v>0</v>
      </c>
    </row>
    <row r="1131" spans="1:8">
      <c r="A1131" s="24"/>
      <c r="B1131" s="19"/>
      <c r="C1131" s="25">
        <f>IF(D1131="","",D1131/48)</f>
        <v>0</v>
      </c>
      <c r="D1131" s="26">
        <f>IF(A1131="","",ROUND((A1131-cfgDefasagem/1440)*48,0))</f>
        <v>0</v>
      </c>
      <c r="E1131" s="26">
        <f>IF(D1131="","",INT((D1131-cfgDeslocamento)/4))</f>
        <v>0</v>
      </c>
      <c r="F1131" s="26">
        <f>IF(D1131="","",MOD(D1131-cfgDeslocamento,4)+1)</f>
        <v>0</v>
      </c>
      <c r="G1131" s="26">
        <f>IF(A1131="","",IF(AND(ISNUMBER(B1131),B1131&lt;&gt;0),1,0))</f>
        <v>0</v>
      </c>
      <c r="H1131" s="25">
        <f>IF(E1131="","",(E1131*4+3+cfgDeslocamento)/48)</f>
        <v>0</v>
      </c>
    </row>
    <row r="1132" spans="1:8">
      <c r="A1132" s="24"/>
      <c r="B1132" s="19"/>
      <c r="C1132" s="25">
        <f>IF(D1132="","",D1132/48)</f>
        <v>0</v>
      </c>
      <c r="D1132" s="26">
        <f>IF(A1132="","",ROUND((A1132-cfgDefasagem/1440)*48,0))</f>
        <v>0</v>
      </c>
      <c r="E1132" s="26">
        <f>IF(D1132="","",INT((D1132-cfgDeslocamento)/4))</f>
        <v>0</v>
      </c>
      <c r="F1132" s="26">
        <f>IF(D1132="","",MOD(D1132-cfgDeslocamento,4)+1)</f>
        <v>0</v>
      </c>
      <c r="G1132" s="26">
        <f>IF(A1132="","",IF(AND(ISNUMBER(B1132),B1132&lt;&gt;0),1,0))</f>
        <v>0</v>
      </c>
      <c r="H1132" s="25">
        <f>IF(E1132="","",(E1132*4+3+cfgDeslocamento)/48)</f>
        <v>0</v>
      </c>
    </row>
    <row r="1133" spans="1:8">
      <c r="A1133" s="24"/>
      <c r="B1133" s="19"/>
      <c r="C1133" s="25">
        <f>IF(D1133="","",D1133/48)</f>
        <v>0</v>
      </c>
      <c r="D1133" s="26">
        <f>IF(A1133="","",ROUND((A1133-cfgDefasagem/1440)*48,0))</f>
        <v>0</v>
      </c>
      <c r="E1133" s="26">
        <f>IF(D1133="","",INT((D1133-cfgDeslocamento)/4))</f>
        <v>0</v>
      </c>
      <c r="F1133" s="26">
        <f>IF(D1133="","",MOD(D1133-cfgDeslocamento,4)+1)</f>
        <v>0</v>
      </c>
      <c r="G1133" s="26">
        <f>IF(A1133="","",IF(AND(ISNUMBER(B1133),B1133&lt;&gt;0),1,0))</f>
        <v>0</v>
      </c>
      <c r="H1133" s="25">
        <f>IF(E1133="","",(E1133*4+3+cfgDeslocamento)/48)</f>
        <v>0</v>
      </c>
    </row>
    <row r="1134" spans="1:8">
      <c r="A1134" s="24"/>
      <c r="B1134" s="19"/>
      <c r="C1134" s="25">
        <f>IF(D1134="","",D1134/48)</f>
        <v>0</v>
      </c>
      <c r="D1134" s="26">
        <f>IF(A1134="","",ROUND((A1134-cfgDefasagem/1440)*48,0))</f>
        <v>0</v>
      </c>
      <c r="E1134" s="26">
        <f>IF(D1134="","",INT((D1134-cfgDeslocamento)/4))</f>
        <v>0</v>
      </c>
      <c r="F1134" s="26">
        <f>IF(D1134="","",MOD(D1134-cfgDeslocamento,4)+1)</f>
        <v>0</v>
      </c>
      <c r="G1134" s="26">
        <f>IF(A1134="","",IF(AND(ISNUMBER(B1134),B1134&lt;&gt;0),1,0))</f>
        <v>0</v>
      </c>
      <c r="H1134" s="25">
        <f>IF(E1134="","",(E1134*4+3+cfgDeslocamento)/48)</f>
        <v>0</v>
      </c>
    </row>
    <row r="1135" spans="1:8">
      <c r="A1135" s="24"/>
      <c r="B1135" s="19"/>
      <c r="C1135" s="25">
        <f>IF(D1135="","",D1135/48)</f>
        <v>0</v>
      </c>
      <c r="D1135" s="26">
        <f>IF(A1135="","",ROUND((A1135-cfgDefasagem/1440)*48,0))</f>
        <v>0</v>
      </c>
      <c r="E1135" s="26">
        <f>IF(D1135="","",INT((D1135-cfgDeslocamento)/4))</f>
        <v>0</v>
      </c>
      <c r="F1135" s="26">
        <f>IF(D1135="","",MOD(D1135-cfgDeslocamento,4)+1)</f>
        <v>0</v>
      </c>
      <c r="G1135" s="26">
        <f>IF(A1135="","",IF(AND(ISNUMBER(B1135),B1135&lt;&gt;0),1,0))</f>
        <v>0</v>
      </c>
      <c r="H1135" s="25">
        <f>IF(E1135="","",(E1135*4+3+cfgDeslocamento)/48)</f>
        <v>0</v>
      </c>
    </row>
    <row r="1136" spans="1:8">
      <c r="A1136" s="24"/>
      <c r="B1136" s="19"/>
      <c r="C1136" s="25">
        <f>IF(D1136="","",D1136/48)</f>
        <v>0</v>
      </c>
      <c r="D1136" s="26">
        <f>IF(A1136="","",ROUND((A1136-cfgDefasagem/1440)*48,0))</f>
        <v>0</v>
      </c>
      <c r="E1136" s="26">
        <f>IF(D1136="","",INT((D1136-cfgDeslocamento)/4))</f>
        <v>0</v>
      </c>
      <c r="F1136" s="26">
        <f>IF(D1136="","",MOD(D1136-cfgDeslocamento,4)+1)</f>
        <v>0</v>
      </c>
      <c r="G1136" s="26">
        <f>IF(A1136="","",IF(AND(ISNUMBER(B1136),B1136&lt;&gt;0),1,0))</f>
        <v>0</v>
      </c>
      <c r="H1136" s="25">
        <f>IF(E1136="","",(E1136*4+3+cfgDeslocamento)/48)</f>
        <v>0</v>
      </c>
    </row>
    <row r="1137" spans="1:8">
      <c r="A1137" s="24"/>
      <c r="B1137" s="19"/>
      <c r="C1137" s="25">
        <f>IF(D1137="","",D1137/48)</f>
        <v>0</v>
      </c>
      <c r="D1137" s="26">
        <f>IF(A1137="","",ROUND((A1137-cfgDefasagem/1440)*48,0))</f>
        <v>0</v>
      </c>
      <c r="E1137" s="26">
        <f>IF(D1137="","",INT((D1137-cfgDeslocamento)/4))</f>
        <v>0</v>
      </c>
      <c r="F1137" s="26">
        <f>IF(D1137="","",MOD(D1137-cfgDeslocamento,4)+1)</f>
        <v>0</v>
      </c>
      <c r="G1137" s="26">
        <f>IF(A1137="","",IF(AND(ISNUMBER(B1137),B1137&lt;&gt;0),1,0))</f>
        <v>0</v>
      </c>
      <c r="H1137" s="25">
        <f>IF(E1137="","",(E1137*4+3+cfgDeslocamento)/48)</f>
        <v>0</v>
      </c>
    </row>
    <row r="1138" spans="1:8">
      <c r="A1138" s="24"/>
      <c r="B1138" s="19"/>
      <c r="C1138" s="25">
        <f>IF(D1138="","",D1138/48)</f>
        <v>0</v>
      </c>
      <c r="D1138" s="26">
        <f>IF(A1138="","",ROUND((A1138-cfgDefasagem/1440)*48,0))</f>
        <v>0</v>
      </c>
      <c r="E1138" s="26">
        <f>IF(D1138="","",INT((D1138-cfgDeslocamento)/4))</f>
        <v>0</v>
      </c>
      <c r="F1138" s="26">
        <f>IF(D1138="","",MOD(D1138-cfgDeslocamento,4)+1)</f>
        <v>0</v>
      </c>
      <c r="G1138" s="26">
        <f>IF(A1138="","",IF(AND(ISNUMBER(B1138),B1138&lt;&gt;0),1,0))</f>
        <v>0</v>
      </c>
      <c r="H1138" s="25">
        <f>IF(E1138="","",(E1138*4+3+cfgDeslocamento)/48)</f>
        <v>0</v>
      </c>
    </row>
    <row r="1139" spans="1:8">
      <c r="A1139" s="24"/>
      <c r="B1139" s="19"/>
      <c r="C1139" s="25">
        <f>IF(D1139="","",D1139/48)</f>
        <v>0</v>
      </c>
      <c r="D1139" s="26">
        <f>IF(A1139="","",ROUND((A1139-cfgDefasagem/1440)*48,0))</f>
        <v>0</v>
      </c>
      <c r="E1139" s="26">
        <f>IF(D1139="","",INT((D1139-cfgDeslocamento)/4))</f>
        <v>0</v>
      </c>
      <c r="F1139" s="26">
        <f>IF(D1139="","",MOD(D1139-cfgDeslocamento,4)+1)</f>
        <v>0</v>
      </c>
      <c r="G1139" s="26">
        <f>IF(A1139="","",IF(AND(ISNUMBER(B1139),B1139&lt;&gt;0),1,0))</f>
        <v>0</v>
      </c>
      <c r="H1139" s="25">
        <f>IF(E1139="","",(E1139*4+3+cfgDeslocamento)/48)</f>
        <v>0</v>
      </c>
    </row>
    <row r="1140" spans="1:8">
      <c r="A1140" s="24"/>
      <c r="B1140" s="19"/>
      <c r="C1140" s="25">
        <f>IF(D1140="","",D1140/48)</f>
        <v>0</v>
      </c>
      <c r="D1140" s="26">
        <f>IF(A1140="","",ROUND((A1140-cfgDefasagem/1440)*48,0))</f>
        <v>0</v>
      </c>
      <c r="E1140" s="26">
        <f>IF(D1140="","",INT((D1140-cfgDeslocamento)/4))</f>
        <v>0</v>
      </c>
      <c r="F1140" s="26">
        <f>IF(D1140="","",MOD(D1140-cfgDeslocamento,4)+1)</f>
        <v>0</v>
      </c>
      <c r="G1140" s="26">
        <f>IF(A1140="","",IF(AND(ISNUMBER(B1140),B1140&lt;&gt;0),1,0))</f>
        <v>0</v>
      </c>
      <c r="H1140" s="25">
        <f>IF(E1140="","",(E1140*4+3+cfgDeslocamento)/48)</f>
        <v>0</v>
      </c>
    </row>
    <row r="1141" spans="1:8">
      <c r="A1141" s="24"/>
      <c r="B1141" s="19"/>
      <c r="C1141" s="25">
        <f>IF(D1141="","",D1141/48)</f>
        <v>0</v>
      </c>
      <c r="D1141" s="26">
        <f>IF(A1141="","",ROUND((A1141-cfgDefasagem/1440)*48,0))</f>
        <v>0</v>
      </c>
      <c r="E1141" s="26">
        <f>IF(D1141="","",INT((D1141-cfgDeslocamento)/4))</f>
        <v>0</v>
      </c>
      <c r="F1141" s="26">
        <f>IF(D1141="","",MOD(D1141-cfgDeslocamento,4)+1)</f>
        <v>0</v>
      </c>
      <c r="G1141" s="26">
        <f>IF(A1141="","",IF(AND(ISNUMBER(B1141),B1141&lt;&gt;0),1,0))</f>
        <v>0</v>
      </c>
      <c r="H1141" s="25">
        <f>IF(E1141="","",(E1141*4+3+cfgDeslocamento)/48)</f>
        <v>0</v>
      </c>
    </row>
    <row r="1142" spans="1:8">
      <c r="A1142" s="24"/>
      <c r="B1142" s="19"/>
      <c r="C1142" s="25">
        <f>IF(D1142="","",D1142/48)</f>
        <v>0</v>
      </c>
      <c r="D1142" s="26">
        <f>IF(A1142="","",ROUND((A1142-cfgDefasagem/1440)*48,0))</f>
        <v>0</v>
      </c>
      <c r="E1142" s="26">
        <f>IF(D1142="","",INT((D1142-cfgDeslocamento)/4))</f>
        <v>0</v>
      </c>
      <c r="F1142" s="26">
        <f>IF(D1142="","",MOD(D1142-cfgDeslocamento,4)+1)</f>
        <v>0</v>
      </c>
      <c r="G1142" s="26">
        <f>IF(A1142="","",IF(AND(ISNUMBER(B1142),B1142&lt;&gt;0),1,0))</f>
        <v>0</v>
      </c>
      <c r="H1142" s="25">
        <f>IF(E1142="","",(E1142*4+3+cfgDeslocamento)/48)</f>
        <v>0</v>
      </c>
    </row>
    <row r="1143" spans="1:8">
      <c r="A1143" s="24"/>
      <c r="B1143" s="19"/>
      <c r="C1143" s="25">
        <f>IF(D1143="","",D1143/48)</f>
        <v>0</v>
      </c>
      <c r="D1143" s="26">
        <f>IF(A1143="","",ROUND((A1143-cfgDefasagem/1440)*48,0))</f>
        <v>0</v>
      </c>
      <c r="E1143" s="26">
        <f>IF(D1143="","",INT((D1143-cfgDeslocamento)/4))</f>
        <v>0</v>
      </c>
      <c r="F1143" s="26">
        <f>IF(D1143="","",MOD(D1143-cfgDeslocamento,4)+1)</f>
        <v>0</v>
      </c>
      <c r="G1143" s="26">
        <f>IF(A1143="","",IF(AND(ISNUMBER(B1143),B1143&lt;&gt;0),1,0))</f>
        <v>0</v>
      </c>
      <c r="H1143" s="25">
        <f>IF(E1143="","",(E1143*4+3+cfgDeslocamento)/48)</f>
        <v>0</v>
      </c>
    </row>
    <row r="1144" spans="1:8">
      <c r="A1144" s="24"/>
      <c r="B1144" s="19"/>
      <c r="C1144" s="25">
        <f>IF(D1144="","",D1144/48)</f>
        <v>0</v>
      </c>
      <c r="D1144" s="26">
        <f>IF(A1144="","",ROUND((A1144-cfgDefasagem/1440)*48,0))</f>
        <v>0</v>
      </c>
      <c r="E1144" s="26">
        <f>IF(D1144="","",INT((D1144-cfgDeslocamento)/4))</f>
        <v>0</v>
      </c>
      <c r="F1144" s="26">
        <f>IF(D1144="","",MOD(D1144-cfgDeslocamento,4)+1)</f>
        <v>0</v>
      </c>
      <c r="G1144" s="26">
        <f>IF(A1144="","",IF(AND(ISNUMBER(B1144),B1144&lt;&gt;0),1,0))</f>
        <v>0</v>
      </c>
      <c r="H1144" s="25">
        <f>IF(E1144="","",(E1144*4+3+cfgDeslocamento)/48)</f>
        <v>0</v>
      </c>
    </row>
    <row r="1145" spans="1:8">
      <c r="A1145" s="24"/>
      <c r="B1145" s="19"/>
      <c r="C1145" s="25">
        <f>IF(D1145="","",D1145/48)</f>
        <v>0</v>
      </c>
      <c r="D1145" s="26">
        <f>IF(A1145="","",ROUND((A1145-cfgDefasagem/1440)*48,0))</f>
        <v>0</v>
      </c>
      <c r="E1145" s="26">
        <f>IF(D1145="","",INT((D1145-cfgDeslocamento)/4))</f>
        <v>0</v>
      </c>
      <c r="F1145" s="26">
        <f>IF(D1145="","",MOD(D1145-cfgDeslocamento,4)+1)</f>
        <v>0</v>
      </c>
      <c r="G1145" s="26">
        <f>IF(A1145="","",IF(AND(ISNUMBER(B1145),B1145&lt;&gt;0),1,0))</f>
        <v>0</v>
      </c>
      <c r="H1145" s="25">
        <f>IF(E1145="","",(E1145*4+3+cfgDeslocamento)/48)</f>
        <v>0</v>
      </c>
    </row>
    <row r="1146" spans="1:8">
      <c r="A1146" s="24"/>
      <c r="B1146" s="19"/>
      <c r="C1146" s="25">
        <f>IF(D1146="","",D1146/48)</f>
        <v>0</v>
      </c>
      <c r="D1146" s="26">
        <f>IF(A1146="","",ROUND((A1146-cfgDefasagem/1440)*48,0))</f>
        <v>0</v>
      </c>
      <c r="E1146" s="26">
        <f>IF(D1146="","",INT((D1146-cfgDeslocamento)/4))</f>
        <v>0</v>
      </c>
      <c r="F1146" s="26">
        <f>IF(D1146="","",MOD(D1146-cfgDeslocamento,4)+1)</f>
        <v>0</v>
      </c>
      <c r="G1146" s="26">
        <f>IF(A1146="","",IF(AND(ISNUMBER(B1146),B1146&lt;&gt;0),1,0))</f>
        <v>0</v>
      </c>
      <c r="H1146" s="25">
        <f>IF(E1146="","",(E1146*4+3+cfgDeslocamento)/48)</f>
        <v>0</v>
      </c>
    </row>
    <row r="1147" spans="1:8">
      <c r="A1147" s="24"/>
      <c r="B1147" s="19"/>
      <c r="C1147" s="25">
        <f>IF(D1147="","",D1147/48)</f>
        <v>0</v>
      </c>
      <c r="D1147" s="26">
        <f>IF(A1147="","",ROUND((A1147-cfgDefasagem/1440)*48,0))</f>
        <v>0</v>
      </c>
      <c r="E1147" s="26">
        <f>IF(D1147="","",INT((D1147-cfgDeslocamento)/4))</f>
        <v>0</v>
      </c>
      <c r="F1147" s="26">
        <f>IF(D1147="","",MOD(D1147-cfgDeslocamento,4)+1)</f>
        <v>0</v>
      </c>
      <c r="G1147" s="26">
        <f>IF(A1147="","",IF(AND(ISNUMBER(B1147),B1147&lt;&gt;0),1,0))</f>
        <v>0</v>
      </c>
      <c r="H1147" s="25">
        <f>IF(E1147="","",(E1147*4+3+cfgDeslocamento)/48)</f>
        <v>0</v>
      </c>
    </row>
    <row r="1148" spans="1:8">
      <c r="A1148" s="24"/>
      <c r="B1148" s="19"/>
      <c r="C1148" s="25">
        <f>IF(D1148="","",D1148/48)</f>
        <v>0</v>
      </c>
      <c r="D1148" s="26">
        <f>IF(A1148="","",ROUND((A1148-cfgDefasagem/1440)*48,0))</f>
        <v>0</v>
      </c>
      <c r="E1148" s="26">
        <f>IF(D1148="","",INT((D1148-cfgDeslocamento)/4))</f>
        <v>0</v>
      </c>
      <c r="F1148" s="26">
        <f>IF(D1148="","",MOD(D1148-cfgDeslocamento,4)+1)</f>
        <v>0</v>
      </c>
      <c r="G1148" s="26">
        <f>IF(A1148="","",IF(AND(ISNUMBER(B1148),B1148&lt;&gt;0),1,0))</f>
        <v>0</v>
      </c>
      <c r="H1148" s="25">
        <f>IF(E1148="","",(E1148*4+3+cfgDeslocamento)/48)</f>
        <v>0</v>
      </c>
    </row>
    <row r="1149" spans="1:8">
      <c r="A1149" s="24"/>
      <c r="B1149" s="19"/>
      <c r="C1149" s="25">
        <f>IF(D1149="","",D1149/48)</f>
        <v>0</v>
      </c>
      <c r="D1149" s="26">
        <f>IF(A1149="","",ROUND((A1149-cfgDefasagem/1440)*48,0))</f>
        <v>0</v>
      </c>
      <c r="E1149" s="26">
        <f>IF(D1149="","",INT((D1149-cfgDeslocamento)/4))</f>
        <v>0</v>
      </c>
      <c r="F1149" s="26">
        <f>IF(D1149="","",MOD(D1149-cfgDeslocamento,4)+1)</f>
        <v>0</v>
      </c>
      <c r="G1149" s="26">
        <f>IF(A1149="","",IF(AND(ISNUMBER(B1149),B1149&lt;&gt;0),1,0))</f>
        <v>0</v>
      </c>
      <c r="H1149" s="25">
        <f>IF(E1149="","",(E1149*4+3+cfgDeslocamento)/48)</f>
        <v>0</v>
      </c>
    </row>
    <row r="1150" spans="1:8">
      <c r="A1150" s="24"/>
      <c r="B1150" s="19"/>
      <c r="C1150" s="25">
        <f>IF(D1150="","",D1150/48)</f>
        <v>0</v>
      </c>
      <c r="D1150" s="26">
        <f>IF(A1150="","",ROUND((A1150-cfgDefasagem/1440)*48,0))</f>
        <v>0</v>
      </c>
      <c r="E1150" s="26">
        <f>IF(D1150="","",INT((D1150-cfgDeslocamento)/4))</f>
        <v>0</v>
      </c>
      <c r="F1150" s="26">
        <f>IF(D1150="","",MOD(D1150-cfgDeslocamento,4)+1)</f>
        <v>0</v>
      </c>
      <c r="G1150" s="26">
        <f>IF(A1150="","",IF(AND(ISNUMBER(B1150),B1150&lt;&gt;0),1,0))</f>
        <v>0</v>
      </c>
      <c r="H1150" s="25">
        <f>IF(E1150="","",(E1150*4+3+cfgDeslocamento)/48)</f>
        <v>0</v>
      </c>
    </row>
    <row r="1151" spans="1:8">
      <c r="A1151" s="24"/>
      <c r="B1151" s="19"/>
      <c r="C1151" s="25">
        <f>IF(D1151="","",D1151/48)</f>
        <v>0</v>
      </c>
      <c r="D1151" s="26">
        <f>IF(A1151="","",ROUND((A1151-cfgDefasagem/1440)*48,0))</f>
        <v>0</v>
      </c>
      <c r="E1151" s="26">
        <f>IF(D1151="","",INT((D1151-cfgDeslocamento)/4))</f>
        <v>0</v>
      </c>
      <c r="F1151" s="26">
        <f>IF(D1151="","",MOD(D1151-cfgDeslocamento,4)+1)</f>
        <v>0</v>
      </c>
      <c r="G1151" s="26">
        <f>IF(A1151="","",IF(AND(ISNUMBER(B1151),B1151&lt;&gt;0),1,0))</f>
        <v>0</v>
      </c>
      <c r="H1151" s="25">
        <f>IF(E1151="","",(E1151*4+3+cfgDeslocamento)/48)</f>
        <v>0</v>
      </c>
    </row>
    <row r="1152" spans="1:8">
      <c r="A1152" s="24"/>
      <c r="B1152" s="19"/>
      <c r="C1152" s="25">
        <f>IF(D1152="","",D1152/48)</f>
        <v>0</v>
      </c>
      <c r="D1152" s="26">
        <f>IF(A1152="","",ROUND((A1152-cfgDefasagem/1440)*48,0))</f>
        <v>0</v>
      </c>
      <c r="E1152" s="26">
        <f>IF(D1152="","",INT((D1152-cfgDeslocamento)/4))</f>
        <v>0</v>
      </c>
      <c r="F1152" s="26">
        <f>IF(D1152="","",MOD(D1152-cfgDeslocamento,4)+1)</f>
        <v>0</v>
      </c>
      <c r="G1152" s="26">
        <f>IF(A1152="","",IF(AND(ISNUMBER(B1152),B1152&lt;&gt;0),1,0))</f>
        <v>0</v>
      </c>
      <c r="H1152" s="25">
        <f>IF(E1152="","",(E1152*4+3+cfgDeslocamento)/48)</f>
        <v>0</v>
      </c>
    </row>
    <row r="1153" spans="1:8">
      <c r="A1153" s="24"/>
      <c r="B1153" s="19"/>
      <c r="C1153" s="25">
        <f>IF(D1153="","",D1153/48)</f>
        <v>0</v>
      </c>
      <c r="D1153" s="26">
        <f>IF(A1153="","",ROUND((A1153-cfgDefasagem/1440)*48,0))</f>
        <v>0</v>
      </c>
      <c r="E1153" s="26">
        <f>IF(D1153="","",INT((D1153-cfgDeslocamento)/4))</f>
        <v>0</v>
      </c>
      <c r="F1153" s="26">
        <f>IF(D1153="","",MOD(D1153-cfgDeslocamento,4)+1)</f>
        <v>0</v>
      </c>
      <c r="G1153" s="26">
        <f>IF(A1153="","",IF(AND(ISNUMBER(B1153),B1153&lt;&gt;0),1,0))</f>
        <v>0</v>
      </c>
      <c r="H1153" s="25">
        <f>IF(E1153="","",(E1153*4+3+cfgDeslocamento)/48)</f>
        <v>0</v>
      </c>
    </row>
    <row r="1154" spans="1:8">
      <c r="A1154" s="24"/>
      <c r="B1154" s="19"/>
      <c r="C1154" s="25">
        <f>IF(D1154="","",D1154/48)</f>
        <v>0</v>
      </c>
      <c r="D1154" s="26">
        <f>IF(A1154="","",ROUND((A1154-cfgDefasagem/1440)*48,0))</f>
        <v>0</v>
      </c>
      <c r="E1154" s="26">
        <f>IF(D1154="","",INT((D1154-cfgDeslocamento)/4))</f>
        <v>0</v>
      </c>
      <c r="F1154" s="26">
        <f>IF(D1154="","",MOD(D1154-cfgDeslocamento,4)+1)</f>
        <v>0</v>
      </c>
      <c r="G1154" s="26">
        <f>IF(A1154="","",IF(AND(ISNUMBER(B1154),B1154&lt;&gt;0),1,0))</f>
        <v>0</v>
      </c>
      <c r="H1154" s="25">
        <f>IF(E1154="","",(E1154*4+3+cfgDeslocamento)/48)</f>
        <v>0</v>
      </c>
    </row>
    <row r="1155" spans="1:8">
      <c r="A1155" s="24"/>
      <c r="B1155" s="19"/>
      <c r="C1155" s="25">
        <f>IF(D1155="","",D1155/48)</f>
        <v>0</v>
      </c>
      <c r="D1155" s="26">
        <f>IF(A1155="","",ROUND((A1155-cfgDefasagem/1440)*48,0))</f>
        <v>0</v>
      </c>
      <c r="E1155" s="26">
        <f>IF(D1155="","",INT((D1155-cfgDeslocamento)/4))</f>
        <v>0</v>
      </c>
      <c r="F1155" s="26">
        <f>IF(D1155="","",MOD(D1155-cfgDeslocamento,4)+1)</f>
        <v>0</v>
      </c>
      <c r="G1155" s="26">
        <f>IF(A1155="","",IF(AND(ISNUMBER(B1155),B1155&lt;&gt;0),1,0))</f>
        <v>0</v>
      </c>
      <c r="H1155" s="25">
        <f>IF(E1155="","",(E1155*4+3+cfgDeslocamento)/48)</f>
        <v>0</v>
      </c>
    </row>
    <row r="1156" spans="1:8">
      <c r="A1156" s="24"/>
      <c r="B1156" s="19"/>
      <c r="C1156" s="25">
        <f>IF(D1156="","",D1156/48)</f>
        <v>0</v>
      </c>
      <c r="D1156" s="26">
        <f>IF(A1156="","",ROUND((A1156-cfgDefasagem/1440)*48,0))</f>
        <v>0</v>
      </c>
      <c r="E1156" s="26">
        <f>IF(D1156="","",INT((D1156-cfgDeslocamento)/4))</f>
        <v>0</v>
      </c>
      <c r="F1156" s="26">
        <f>IF(D1156="","",MOD(D1156-cfgDeslocamento,4)+1)</f>
        <v>0</v>
      </c>
      <c r="G1156" s="26">
        <f>IF(A1156="","",IF(AND(ISNUMBER(B1156),B1156&lt;&gt;0),1,0))</f>
        <v>0</v>
      </c>
      <c r="H1156" s="25">
        <f>IF(E1156="","",(E1156*4+3+cfgDeslocamento)/48)</f>
        <v>0</v>
      </c>
    </row>
    <row r="1157" spans="1:8">
      <c r="A1157" s="24"/>
      <c r="B1157" s="19"/>
      <c r="C1157" s="25">
        <f>IF(D1157="","",D1157/48)</f>
        <v>0</v>
      </c>
      <c r="D1157" s="26">
        <f>IF(A1157="","",ROUND((A1157-cfgDefasagem/1440)*48,0))</f>
        <v>0</v>
      </c>
      <c r="E1157" s="26">
        <f>IF(D1157="","",INT((D1157-cfgDeslocamento)/4))</f>
        <v>0</v>
      </c>
      <c r="F1157" s="26">
        <f>IF(D1157="","",MOD(D1157-cfgDeslocamento,4)+1)</f>
        <v>0</v>
      </c>
      <c r="G1157" s="26">
        <f>IF(A1157="","",IF(AND(ISNUMBER(B1157),B1157&lt;&gt;0),1,0))</f>
        <v>0</v>
      </c>
      <c r="H1157" s="25">
        <f>IF(E1157="","",(E1157*4+3+cfgDeslocamento)/48)</f>
        <v>0</v>
      </c>
    </row>
    <row r="1158" spans="1:8">
      <c r="A1158" s="24"/>
      <c r="B1158" s="19"/>
      <c r="C1158" s="25">
        <f>IF(D1158="","",D1158/48)</f>
        <v>0</v>
      </c>
      <c r="D1158" s="26">
        <f>IF(A1158="","",ROUND((A1158-cfgDefasagem/1440)*48,0))</f>
        <v>0</v>
      </c>
      <c r="E1158" s="26">
        <f>IF(D1158="","",INT((D1158-cfgDeslocamento)/4))</f>
        <v>0</v>
      </c>
      <c r="F1158" s="26">
        <f>IF(D1158="","",MOD(D1158-cfgDeslocamento,4)+1)</f>
        <v>0</v>
      </c>
      <c r="G1158" s="26">
        <f>IF(A1158="","",IF(AND(ISNUMBER(B1158),B1158&lt;&gt;0),1,0))</f>
        <v>0</v>
      </c>
      <c r="H1158" s="25">
        <f>IF(E1158="","",(E1158*4+3+cfgDeslocamento)/48)</f>
        <v>0</v>
      </c>
    </row>
    <row r="1159" spans="1:8">
      <c r="A1159" s="24"/>
      <c r="B1159" s="19"/>
      <c r="C1159" s="25">
        <f>IF(D1159="","",D1159/48)</f>
        <v>0</v>
      </c>
      <c r="D1159" s="26">
        <f>IF(A1159="","",ROUND((A1159-cfgDefasagem/1440)*48,0))</f>
        <v>0</v>
      </c>
      <c r="E1159" s="26">
        <f>IF(D1159="","",INT((D1159-cfgDeslocamento)/4))</f>
        <v>0</v>
      </c>
      <c r="F1159" s="26">
        <f>IF(D1159="","",MOD(D1159-cfgDeslocamento,4)+1)</f>
        <v>0</v>
      </c>
      <c r="G1159" s="26">
        <f>IF(A1159="","",IF(AND(ISNUMBER(B1159),B1159&lt;&gt;0),1,0))</f>
        <v>0</v>
      </c>
      <c r="H1159" s="25">
        <f>IF(E1159="","",(E1159*4+3+cfgDeslocamento)/48)</f>
        <v>0</v>
      </c>
    </row>
    <row r="1160" spans="1:8">
      <c r="A1160" s="24"/>
      <c r="B1160" s="19"/>
      <c r="C1160" s="25">
        <f>IF(D1160="","",D1160/48)</f>
        <v>0</v>
      </c>
      <c r="D1160" s="26">
        <f>IF(A1160="","",ROUND((A1160-cfgDefasagem/1440)*48,0))</f>
        <v>0</v>
      </c>
      <c r="E1160" s="26">
        <f>IF(D1160="","",INT((D1160-cfgDeslocamento)/4))</f>
        <v>0</v>
      </c>
      <c r="F1160" s="26">
        <f>IF(D1160="","",MOD(D1160-cfgDeslocamento,4)+1)</f>
        <v>0</v>
      </c>
      <c r="G1160" s="26">
        <f>IF(A1160="","",IF(AND(ISNUMBER(B1160),B1160&lt;&gt;0),1,0))</f>
        <v>0</v>
      </c>
      <c r="H1160" s="25">
        <f>IF(E1160="","",(E1160*4+3+cfgDeslocamento)/48)</f>
        <v>0</v>
      </c>
    </row>
    <row r="1161" spans="1:8">
      <c r="A1161" s="24"/>
      <c r="B1161" s="19"/>
      <c r="C1161" s="25">
        <f>IF(D1161="","",D1161/48)</f>
        <v>0</v>
      </c>
      <c r="D1161" s="26">
        <f>IF(A1161="","",ROUND((A1161-cfgDefasagem/1440)*48,0))</f>
        <v>0</v>
      </c>
      <c r="E1161" s="26">
        <f>IF(D1161="","",INT((D1161-cfgDeslocamento)/4))</f>
        <v>0</v>
      </c>
      <c r="F1161" s="26">
        <f>IF(D1161="","",MOD(D1161-cfgDeslocamento,4)+1)</f>
        <v>0</v>
      </c>
      <c r="G1161" s="26">
        <f>IF(A1161="","",IF(AND(ISNUMBER(B1161),B1161&lt;&gt;0),1,0))</f>
        <v>0</v>
      </c>
      <c r="H1161" s="25">
        <f>IF(E1161="","",(E1161*4+3+cfgDeslocamento)/48)</f>
        <v>0</v>
      </c>
    </row>
    <row r="1162" spans="1:8">
      <c r="A1162" s="24"/>
      <c r="B1162" s="19"/>
      <c r="C1162" s="25">
        <f>IF(D1162="","",D1162/48)</f>
        <v>0</v>
      </c>
      <c r="D1162" s="26">
        <f>IF(A1162="","",ROUND((A1162-cfgDefasagem/1440)*48,0))</f>
        <v>0</v>
      </c>
      <c r="E1162" s="26">
        <f>IF(D1162="","",INT((D1162-cfgDeslocamento)/4))</f>
        <v>0</v>
      </c>
      <c r="F1162" s="26">
        <f>IF(D1162="","",MOD(D1162-cfgDeslocamento,4)+1)</f>
        <v>0</v>
      </c>
      <c r="G1162" s="26">
        <f>IF(A1162="","",IF(AND(ISNUMBER(B1162),B1162&lt;&gt;0),1,0))</f>
        <v>0</v>
      </c>
      <c r="H1162" s="25">
        <f>IF(E1162="","",(E1162*4+3+cfgDeslocamento)/48)</f>
        <v>0</v>
      </c>
    </row>
    <row r="1163" spans="1:8">
      <c r="A1163" s="24"/>
      <c r="B1163" s="19"/>
      <c r="C1163" s="25">
        <f>IF(D1163="","",D1163/48)</f>
        <v>0</v>
      </c>
      <c r="D1163" s="26">
        <f>IF(A1163="","",ROUND((A1163-cfgDefasagem/1440)*48,0))</f>
        <v>0</v>
      </c>
      <c r="E1163" s="26">
        <f>IF(D1163="","",INT((D1163-cfgDeslocamento)/4))</f>
        <v>0</v>
      </c>
      <c r="F1163" s="26">
        <f>IF(D1163="","",MOD(D1163-cfgDeslocamento,4)+1)</f>
        <v>0</v>
      </c>
      <c r="G1163" s="26">
        <f>IF(A1163="","",IF(AND(ISNUMBER(B1163),B1163&lt;&gt;0),1,0))</f>
        <v>0</v>
      </c>
      <c r="H1163" s="25">
        <f>IF(E1163="","",(E1163*4+3+cfgDeslocamento)/48)</f>
        <v>0</v>
      </c>
    </row>
    <row r="1164" spans="1:8">
      <c r="A1164" s="24"/>
      <c r="B1164" s="19"/>
      <c r="C1164" s="25">
        <f>IF(D1164="","",D1164/48)</f>
        <v>0</v>
      </c>
      <c r="D1164" s="26">
        <f>IF(A1164="","",ROUND((A1164-cfgDefasagem/1440)*48,0))</f>
        <v>0</v>
      </c>
      <c r="E1164" s="26">
        <f>IF(D1164="","",INT((D1164-cfgDeslocamento)/4))</f>
        <v>0</v>
      </c>
      <c r="F1164" s="26">
        <f>IF(D1164="","",MOD(D1164-cfgDeslocamento,4)+1)</f>
        <v>0</v>
      </c>
      <c r="G1164" s="26">
        <f>IF(A1164="","",IF(AND(ISNUMBER(B1164),B1164&lt;&gt;0),1,0))</f>
        <v>0</v>
      </c>
      <c r="H1164" s="25">
        <f>IF(E1164="","",(E1164*4+3+cfgDeslocamento)/48)</f>
        <v>0</v>
      </c>
    </row>
    <row r="1165" spans="1:8">
      <c r="A1165" s="24"/>
      <c r="B1165" s="19"/>
      <c r="C1165" s="25">
        <f>IF(D1165="","",D1165/48)</f>
        <v>0</v>
      </c>
      <c r="D1165" s="26">
        <f>IF(A1165="","",ROUND((A1165-cfgDefasagem/1440)*48,0))</f>
        <v>0</v>
      </c>
      <c r="E1165" s="26">
        <f>IF(D1165="","",INT((D1165-cfgDeslocamento)/4))</f>
        <v>0</v>
      </c>
      <c r="F1165" s="26">
        <f>IF(D1165="","",MOD(D1165-cfgDeslocamento,4)+1)</f>
        <v>0</v>
      </c>
      <c r="G1165" s="26">
        <f>IF(A1165="","",IF(AND(ISNUMBER(B1165),B1165&lt;&gt;0),1,0))</f>
        <v>0</v>
      </c>
      <c r="H1165" s="25">
        <f>IF(E1165="","",(E1165*4+3+cfgDeslocamento)/48)</f>
        <v>0</v>
      </c>
    </row>
    <row r="1166" spans="1:8">
      <c r="A1166" s="24"/>
      <c r="B1166" s="19"/>
      <c r="C1166" s="25">
        <f>IF(D1166="","",D1166/48)</f>
        <v>0</v>
      </c>
      <c r="D1166" s="26">
        <f>IF(A1166="","",ROUND((A1166-cfgDefasagem/1440)*48,0))</f>
        <v>0</v>
      </c>
      <c r="E1166" s="26">
        <f>IF(D1166="","",INT((D1166-cfgDeslocamento)/4))</f>
        <v>0</v>
      </c>
      <c r="F1166" s="26">
        <f>IF(D1166="","",MOD(D1166-cfgDeslocamento,4)+1)</f>
        <v>0</v>
      </c>
      <c r="G1166" s="26">
        <f>IF(A1166="","",IF(AND(ISNUMBER(B1166),B1166&lt;&gt;0),1,0))</f>
        <v>0</v>
      </c>
      <c r="H1166" s="25">
        <f>IF(E1166="","",(E1166*4+3+cfgDeslocamento)/48)</f>
        <v>0</v>
      </c>
    </row>
    <row r="1167" spans="1:8">
      <c r="A1167" s="24"/>
      <c r="B1167" s="19"/>
      <c r="C1167" s="25">
        <f>IF(D1167="","",D1167/48)</f>
        <v>0</v>
      </c>
      <c r="D1167" s="26">
        <f>IF(A1167="","",ROUND((A1167-cfgDefasagem/1440)*48,0))</f>
        <v>0</v>
      </c>
      <c r="E1167" s="26">
        <f>IF(D1167="","",INT((D1167-cfgDeslocamento)/4))</f>
        <v>0</v>
      </c>
      <c r="F1167" s="26">
        <f>IF(D1167="","",MOD(D1167-cfgDeslocamento,4)+1)</f>
        <v>0</v>
      </c>
      <c r="G1167" s="26">
        <f>IF(A1167="","",IF(AND(ISNUMBER(B1167),B1167&lt;&gt;0),1,0))</f>
        <v>0</v>
      </c>
      <c r="H1167" s="25">
        <f>IF(E1167="","",(E1167*4+3+cfgDeslocamento)/48)</f>
        <v>0</v>
      </c>
    </row>
    <row r="1168" spans="1:8">
      <c r="A1168" s="24"/>
      <c r="B1168" s="19"/>
      <c r="C1168" s="25">
        <f>IF(D1168="","",D1168/48)</f>
        <v>0</v>
      </c>
      <c r="D1168" s="26">
        <f>IF(A1168="","",ROUND((A1168-cfgDefasagem/1440)*48,0))</f>
        <v>0</v>
      </c>
      <c r="E1168" s="26">
        <f>IF(D1168="","",INT((D1168-cfgDeslocamento)/4))</f>
        <v>0</v>
      </c>
      <c r="F1168" s="26">
        <f>IF(D1168="","",MOD(D1168-cfgDeslocamento,4)+1)</f>
        <v>0</v>
      </c>
      <c r="G1168" s="26">
        <f>IF(A1168="","",IF(AND(ISNUMBER(B1168),B1168&lt;&gt;0),1,0))</f>
        <v>0</v>
      </c>
      <c r="H1168" s="25">
        <f>IF(E1168="","",(E1168*4+3+cfgDeslocamento)/48)</f>
        <v>0</v>
      </c>
    </row>
    <row r="1169" spans="1:8">
      <c r="A1169" s="24"/>
      <c r="B1169" s="19"/>
      <c r="C1169" s="25">
        <f>IF(D1169="","",D1169/48)</f>
        <v>0</v>
      </c>
      <c r="D1169" s="26">
        <f>IF(A1169="","",ROUND((A1169-cfgDefasagem/1440)*48,0))</f>
        <v>0</v>
      </c>
      <c r="E1169" s="26">
        <f>IF(D1169="","",INT((D1169-cfgDeslocamento)/4))</f>
        <v>0</v>
      </c>
      <c r="F1169" s="26">
        <f>IF(D1169="","",MOD(D1169-cfgDeslocamento,4)+1)</f>
        <v>0</v>
      </c>
      <c r="G1169" s="26">
        <f>IF(A1169="","",IF(AND(ISNUMBER(B1169),B1169&lt;&gt;0),1,0))</f>
        <v>0</v>
      </c>
      <c r="H1169" s="25">
        <f>IF(E1169="","",(E1169*4+3+cfgDeslocamento)/48)</f>
        <v>0</v>
      </c>
    </row>
    <row r="1170" spans="1:8">
      <c r="A1170" s="24"/>
      <c r="B1170" s="19"/>
      <c r="C1170" s="25">
        <f>IF(D1170="","",D1170/48)</f>
        <v>0</v>
      </c>
      <c r="D1170" s="26">
        <f>IF(A1170="","",ROUND((A1170-cfgDefasagem/1440)*48,0))</f>
        <v>0</v>
      </c>
      <c r="E1170" s="26">
        <f>IF(D1170="","",INT((D1170-cfgDeslocamento)/4))</f>
        <v>0</v>
      </c>
      <c r="F1170" s="26">
        <f>IF(D1170="","",MOD(D1170-cfgDeslocamento,4)+1)</f>
        <v>0</v>
      </c>
      <c r="G1170" s="26">
        <f>IF(A1170="","",IF(AND(ISNUMBER(B1170),B1170&lt;&gt;0),1,0))</f>
        <v>0</v>
      </c>
      <c r="H1170" s="25">
        <f>IF(E1170="","",(E1170*4+3+cfgDeslocamento)/48)</f>
        <v>0</v>
      </c>
    </row>
    <row r="1171" spans="1:8">
      <c r="A1171" s="24"/>
      <c r="B1171" s="19"/>
      <c r="C1171" s="25">
        <f>IF(D1171="","",D1171/48)</f>
        <v>0</v>
      </c>
      <c r="D1171" s="26">
        <f>IF(A1171="","",ROUND((A1171-cfgDefasagem/1440)*48,0))</f>
        <v>0</v>
      </c>
      <c r="E1171" s="26">
        <f>IF(D1171="","",INT((D1171-cfgDeslocamento)/4))</f>
        <v>0</v>
      </c>
      <c r="F1171" s="26">
        <f>IF(D1171="","",MOD(D1171-cfgDeslocamento,4)+1)</f>
        <v>0</v>
      </c>
      <c r="G1171" s="26">
        <f>IF(A1171="","",IF(AND(ISNUMBER(B1171),B1171&lt;&gt;0),1,0))</f>
        <v>0</v>
      </c>
      <c r="H1171" s="25">
        <f>IF(E1171="","",(E1171*4+3+cfgDeslocamento)/48)</f>
        <v>0</v>
      </c>
    </row>
    <row r="1172" spans="1:8">
      <c r="A1172" s="24"/>
      <c r="B1172" s="19"/>
      <c r="C1172" s="25">
        <f>IF(D1172="","",D1172/48)</f>
        <v>0</v>
      </c>
      <c r="D1172" s="26">
        <f>IF(A1172="","",ROUND((A1172-cfgDefasagem/1440)*48,0))</f>
        <v>0</v>
      </c>
      <c r="E1172" s="26">
        <f>IF(D1172="","",INT((D1172-cfgDeslocamento)/4))</f>
        <v>0</v>
      </c>
      <c r="F1172" s="26">
        <f>IF(D1172="","",MOD(D1172-cfgDeslocamento,4)+1)</f>
        <v>0</v>
      </c>
      <c r="G1172" s="26">
        <f>IF(A1172="","",IF(AND(ISNUMBER(B1172),B1172&lt;&gt;0),1,0))</f>
        <v>0</v>
      </c>
      <c r="H1172" s="25">
        <f>IF(E1172="","",(E1172*4+3+cfgDeslocamento)/48)</f>
        <v>0</v>
      </c>
    </row>
    <row r="1173" spans="1:8">
      <c r="A1173" s="24"/>
      <c r="B1173" s="19"/>
      <c r="C1173" s="25">
        <f>IF(D1173="","",D1173/48)</f>
        <v>0</v>
      </c>
      <c r="D1173" s="26">
        <f>IF(A1173="","",ROUND((A1173-cfgDefasagem/1440)*48,0))</f>
        <v>0</v>
      </c>
      <c r="E1173" s="26">
        <f>IF(D1173="","",INT((D1173-cfgDeslocamento)/4))</f>
        <v>0</v>
      </c>
      <c r="F1173" s="26">
        <f>IF(D1173="","",MOD(D1173-cfgDeslocamento,4)+1)</f>
        <v>0</v>
      </c>
      <c r="G1173" s="26">
        <f>IF(A1173="","",IF(AND(ISNUMBER(B1173),B1173&lt;&gt;0),1,0))</f>
        <v>0</v>
      </c>
      <c r="H1173" s="25">
        <f>IF(E1173="","",(E1173*4+3+cfgDeslocamento)/48)</f>
        <v>0</v>
      </c>
    </row>
    <row r="1174" spans="1:8">
      <c r="A1174" s="24"/>
      <c r="B1174" s="19"/>
      <c r="C1174" s="25">
        <f>IF(D1174="","",D1174/48)</f>
        <v>0</v>
      </c>
      <c r="D1174" s="26">
        <f>IF(A1174="","",ROUND((A1174-cfgDefasagem/1440)*48,0))</f>
        <v>0</v>
      </c>
      <c r="E1174" s="26">
        <f>IF(D1174="","",INT((D1174-cfgDeslocamento)/4))</f>
        <v>0</v>
      </c>
      <c r="F1174" s="26">
        <f>IF(D1174="","",MOD(D1174-cfgDeslocamento,4)+1)</f>
        <v>0</v>
      </c>
      <c r="G1174" s="26">
        <f>IF(A1174="","",IF(AND(ISNUMBER(B1174),B1174&lt;&gt;0),1,0))</f>
        <v>0</v>
      </c>
      <c r="H1174" s="25">
        <f>IF(E1174="","",(E1174*4+3+cfgDeslocamento)/48)</f>
        <v>0</v>
      </c>
    </row>
    <row r="1175" spans="1:8">
      <c r="A1175" s="24"/>
      <c r="B1175" s="19"/>
      <c r="C1175" s="25">
        <f>IF(D1175="","",D1175/48)</f>
        <v>0</v>
      </c>
      <c r="D1175" s="26">
        <f>IF(A1175="","",ROUND((A1175-cfgDefasagem/1440)*48,0))</f>
        <v>0</v>
      </c>
      <c r="E1175" s="26">
        <f>IF(D1175="","",INT((D1175-cfgDeslocamento)/4))</f>
        <v>0</v>
      </c>
      <c r="F1175" s="26">
        <f>IF(D1175="","",MOD(D1175-cfgDeslocamento,4)+1)</f>
        <v>0</v>
      </c>
      <c r="G1175" s="26">
        <f>IF(A1175="","",IF(AND(ISNUMBER(B1175),B1175&lt;&gt;0),1,0))</f>
        <v>0</v>
      </c>
      <c r="H1175" s="25">
        <f>IF(E1175="","",(E1175*4+3+cfgDeslocamento)/48)</f>
        <v>0</v>
      </c>
    </row>
    <row r="1176" spans="1:8">
      <c r="A1176" s="24"/>
      <c r="B1176" s="19"/>
      <c r="C1176" s="25">
        <f>IF(D1176="","",D1176/48)</f>
        <v>0</v>
      </c>
      <c r="D1176" s="26">
        <f>IF(A1176="","",ROUND((A1176-cfgDefasagem/1440)*48,0))</f>
        <v>0</v>
      </c>
      <c r="E1176" s="26">
        <f>IF(D1176="","",INT((D1176-cfgDeslocamento)/4))</f>
        <v>0</v>
      </c>
      <c r="F1176" s="26">
        <f>IF(D1176="","",MOD(D1176-cfgDeslocamento,4)+1)</f>
        <v>0</v>
      </c>
      <c r="G1176" s="26">
        <f>IF(A1176="","",IF(AND(ISNUMBER(B1176),B1176&lt;&gt;0),1,0))</f>
        <v>0</v>
      </c>
      <c r="H1176" s="25">
        <f>IF(E1176="","",(E1176*4+3+cfgDeslocamento)/48)</f>
        <v>0</v>
      </c>
    </row>
    <row r="1177" spans="1:8">
      <c r="A1177" s="24"/>
      <c r="B1177" s="19"/>
      <c r="C1177" s="25">
        <f>IF(D1177="","",D1177/48)</f>
        <v>0</v>
      </c>
      <c r="D1177" s="26">
        <f>IF(A1177="","",ROUND((A1177-cfgDefasagem/1440)*48,0))</f>
        <v>0</v>
      </c>
      <c r="E1177" s="26">
        <f>IF(D1177="","",INT((D1177-cfgDeslocamento)/4))</f>
        <v>0</v>
      </c>
      <c r="F1177" s="26">
        <f>IF(D1177="","",MOD(D1177-cfgDeslocamento,4)+1)</f>
        <v>0</v>
      </c>
      <c r="G1177" s="26">
        <f>IF(A1177="","",IF(AND(ISNUMBER(B1177),B1177&lt;&gt;0),1,0))</f>
        <v>0</v>
      </c>
      <c r="H1177" s="25">
        <f>IF(E1177="","",(E1177*4+3+cfgDeslocamento)/48)</f>
        <v>0</v>
      </c>
    </row>
    <row r="1178" spans="1:8">
      <c r="A1178" s="24"/>
      <c r="B1178" s="19"/>
      <c r="C1178" s="25">
        <f>IF(D1178="","",D1178/48)</f>
        <v>0</v>
      </c>
      <c r="D1178" s="26">
        <f>IF(A1178="","",ROUND((A1178-cfgDefasagem/1440)*48,0))</f>
        <v>0</v>
      </c>
      <c r="E1178" s="26">
        <f>IF(D1178="","",INT((D1178-cfgDeslocamento)/4))</f>
        <v>0</v>
      </c>
      <c r="F1178" s="26">
        <f>IF(D1178="","",MOD(D1178-cfgDeslocamento,4)+1)</f>
        <v>0</v>
      </c>
      <c r="G1178" s="26">
        <f>IF(A1178="","",IF(AND(ISNUMBER(B1178),B1178&lt;&gt;0),1,0))</f>
        <v>0</v>
      </c>
      <c r="H1178" s="25">
        <f>IF(E1178="","",(E1178*4+3+cfgDeslocamento)/48)</f>
        <v>0</v>
      </c>
    </row>
    <row r="1179" spans="1:8">
      <c r="A1179" s="24"/>
      <c r="B1179" s="19"/>
      <c r="C1179" s="25">
        <f>IF(D1179="","",D1179/48)</f>
        <v>0</v>
      </c>
      <c r="D1179" s="26">
        <f>IF(A1179="","",ROUND((A1179-cfgDefasagem/1440)*48,0))</f>
        <v>0</v>
      </c>
      <c r="E1179" s="26">
        <f>IF(D1179="","",INT((D1179-cfgDeslocamento)/4))</f>
        <v>0</v>
      </c>
      <c r="F1179" s="26">
        <f>IF(D1179="","",MOD(D1179-cfgDeslocamento,4)+1)</f>
        <v>0</v>
      </c>
      <c r="G1179" s="26">
        <f>IF(A1179="","",IF(AND(ISNUMBER(B1179),B1179&lt;&gt;0),1,0))</f>
        <v>0</v>
      </c>
      <c r="H1179" s="25">
        <f>IF(E1179="","",(E1179*4+3+cfgDeslocamento)/48)</f>
        <v>0</v>
      </c>
    </row>
    <row r="1180" spans="1:8">
      <c r="A1180" s="24"/>
      <c r="B1180" s="19"/>
      <c r="C1180" s="25">
        <f>IF(D1180="","",D1180/48)</f>
        <v>0</v>
      </c>
      <c r="D1180" s="26">
        <f>IF(A1180="","",ROUND((A1180-cfgDefasagem/1440)*48,0))</f>
        <v>0</v>
      </c>
      <c r="E1180" s="26">
        <f>IF(D1180="","",INT((D1180-cfgDeslocamento)/4))</f>
        <v>0</v>
      </c>
      <c r="F1180" s="26">
        <f>IF(D1180="","",MOD(D1180-cfgDeslocamento,4)+1)</f>
        <v>0</v>
      </c>
      <c r="G1180" s="26">
        <f>IF(A1180="","",IF(AND(ISNUMBER(B1180),B1180&lt;&gt;0),1,0))</f>
        <v>0</v>
      </c>
      <c r="H1180" s="25">
        <f>IF(E1180="","",(E1180*4+3+cfgDeslocamento)/48)</f>
        <v>0</v>
      </c>
    </row>
    <row r="1181" spans="1:8">
      <c r="A1181" s="24"/>
      <c r="B1181" s="19"/>
      <c r="C1181" s="25">
        <f>IF(D1181="","",D1181/48)</f>
        <v>0</v>
      </c>
      <c r="D1181" s="26">
        <f>IF(A1181="","",ROUND((A1181-cfgDefasagem/1440)*48,0))</f>
        <v>0</v>
      </c>
      <c r="E1181" s="26">
        <f>IF(D1181="","",INT((D1181-cfgDeslocamento)/4))</f>
        <v>0</v>
      </c>
      <c r="F1181" s="26">
        <f>IF(D1181="","",MOD(D1181-cfgDeslocamento,4)+1)</f>
        <v>0</v>
      </c>
      <c r="G1181" s="26">
        <f>IF(A1181="","",IF(AND(ISNUMBER(B1181),B1181&lt;&gt;0),1,0))</f>
        <v>0</v>
      </c>
      <c r="H1181" s="25">
        <f>IF(E1181="","",(E1181*4+3+cfgDeslocamento)/48)</f>
        <v>0</v>
      </c>
    </row>
    <row r="1182" spans="1:8">
      <c r="A1182" s="24"/>
      <c r="B1182" s="19"/>
      <c r="C1182" s="25">
        <f>IF(D1182="","",D1182/48)</f>
        <v>0</v>
      </c>
      <c r="D1182" s="26">
        <f>IF(A1182="","",ROUND((A1182-cfgDefasagem/1440)*48,0))</f>
        <v>0</v>
      </c>
      <c r="E1182" s="26">
        <f>IF(D1182="","",INT((D1182-cfgDeslocamento)/4))</f>
        <v>0</v>
      </c>
      <c r="F1182" s="26">
        <f>IF(D1182="","",MOD(D1182-cfgDeslocamento,4)+1)</f>
        <v>0</v>
      </c>
      <c r="G1182" s="26">
        <f>IF(A1182="","",IF(AND(ISNUMBER(B1182),B1182&lt;&gt;0),1,0))</f>
        <v>0</v>
      </c>
      <c r="H1182" s="25">
        <f>IF(E1182="","",(E1182*4+3+cfgDeslocamento)/48)</f>
        <v>0</v>
      </c>
    </row>
    <row r="1183" spans="1:8">
      <c r="A1183" s="24"/>
      <c r="B1183" s="19"/>
      <c r="C1183" s="25">
        <f>IF(D1183="","",D1183/48)</f>
        <v>0</v>
      </c>
      <c r="D1183" s="26">
        <f>IF(A1183="","",ROUND((A1183-cfgDefasagem/1440)*48,0))</f>
        <v>0</v>
      </c>
      <c r="E1183" s="26">
        <f>IF(D1183="","",INT((D1183-cfgDeslocamento)/4))</f>
        <v>0</v>
      </c>
      <c r="F1183" s="26">
        <f>IF(D1183="","",MOD(D1183-cfgDeslocamento,4)+1)</f>
        <v>0</v>
      </c>
      <c r="G1183" s="26">
        <f>IF(A1183="","",IF(AND(ISNUMBER(B1183),B1183&lt;&gt;0),1,0))</f>
        <v>0</v>
      </c>
      <c r="H1183" s="25">
        <f>IF(E1183="","",(E1183*4+3+cfgDeslocamento)/48)</f>
        <v>0</v>
      </c>
    </row>
    <row r="1184" spans="1:8">
      <c r="A1184" s="24"/>
      <c r="B1184" s="19"/>
      <c r="C1184" s="25">
        <f>IF(D1184="","",D1184/48)</f>
        <v>0</v>
      </c>
      <c r="D1184" s="26">
        <f>IF(A1184="","",ROUND((A1184-cfgDefasagem/1440)*48,0))</f>
        <v>0</v>
      </c>
      <c r="E1184" s="26">
        <f>IF(D1184="","",INT((D1184-cfgDeslocamento)/4))</f>
        <v>0</v>
      </c>
      <c r="F1184" s="26">
        <f>IF(D1184="","",MOD(D1184-cfgDeslocamento,4)+1)</f>
        <v>0</v>
      </c>
      <c r="G1184" s="26">
        <f>IF(A1184="","",IF(AND(ISNUMBER(B1184),B1184&lt;&gt;0),1,0))</f>
        <v>0</v>
      </c>
      <c r="H1184" s="25">
        <f>IF(E1184="","",(E1184*4+3+cfgDeslocamento)/48)</f>
        <v>0</v>
      </c>
    </row>
    <row r="1185" spans="1:8">
      <c r="A1185" s="24"/>
      <c r="B1185" s="19"/>
      <c r="C1185" s="25">
        <f>IF(D1185="","",D1185/48)</f>
        <v>0</v>
      </c>
      <c r="D1185" s="26">
        <f>IF(A1185="","",ROUND((A1185-cfgDefasagem/1440)*48,0))</f>
        <v>0</v>
      </c>
      <c r="E1185" s="26">
        <f>IF(D1185="","",INT((D1185-cfgDeslocamento)/4))</f>
        <v>0</v>
      </c>
      <c r="F1185" s="26">
        <f>IF(D1185="","",MOD(D1185-cfgDeslocamento,4)+1)</f>
        <v>0</v>
      </c>
      <c r="G1185" s="26">
        <f>IF(A1185="","",IF(AND(ISNUMBER(B1185),B1185&lt;&gt;0),1,0))</f>
        <v>0</v>
      </c>
      <c r="H1185" s="25">
        <f>IF(E1185="","",(E1185*4+3+cfgDeslocamento)/48)</f>
        <v>0</v>
      </c>
    </row>
    <row r="1186" spans="1:8">
      <c r="A1186" s="24"/>
      <c r="B1186" s="19"/>
      <c r="C1186" s="25">
        <f>IF(D1186="","",D1186/48)</f>
        <v>0</v>
      </c>
      <c r="D1186" s="26">
        <f>IF(A1186="","",ROUND((A1186-cfgDefasagem/1440)*48,0))</f>
        <v>0</v>
      </c>
      <c r="E1186" s="26">
        <f>IF(D1186="","",INT((D1186-cfgDeslocamento)/4))</f>
        <v>0</v>
      </c>
      <c r="F1186" s="26">
        <f>IF(D1186="","",MOD(D1186-cfgDeslocamento,4)+1)</f>
        <v>0</v>
      </c>
      <c r="G1186" s="26">
        <f>IF(A1186="","",IF(AND(ISNUMBER(B1186),B1186&lt;&gt;0),1,0))</f>
        <v>0</v>
      </c>
      <c r="H1186" s="25">
        <f>IF(E1186="","",(E1186*4+3+cfgDeslocamento)/48)</f>
        <v>0</v>
      </c>
    </row>
    <row r="1187" spans="1:8">
      <c r="A1187" s="24"/>
      <c r="B1187" s="19"/>
      <c r="C1187" s="25">
        <f>IF(D1187="","",D1187/48)</f>
        <v>0</v>
      </c>
      <c r="D1187" s="26">
        <f>IF(A1187="","",ROUND((A1187-cfgDefasagem/1440)*48,0))</f>
        <v>0</v>
      </c>
      <c r="E1187" s="26">
        <f>IF(D1187="","",INT((D1187-cfgDeslocamento)/4))</f>
        <v>0</v>
      </c>
      <c r="F1187" s="26">
        <f>IF(D1187="","",MOD(D1187-cfgDeslocamento,4)+1)</f>
        <v>0</v>
      </c>
      <c r="G1187" s="26">
        <f>IF(A1187="","",IF(AND(ISNUMBER(B1187),B1187&lt;&gt;0),1,0))</f>
        <v>0</v>
      </c>
      <c r="H1187" s="25">
        <f>IF(E1187="","",(E1187*4+3+cfgDeslocamento)/48)</f>
        <v>0</v>
      </c>
    </row>
    <row r="1188" spans="1:8">
      <c r="A1188" s="24"/>
      <c r="B1188" s="19"/>
      <c r="C1188" s="25">
        <f>IF(D1188="","",D1188/48)</f>
        <v>0</v>
      </c>
      <c r="D1188" s="26">
        <f>IF(A1188="","",ROUND((A1188-cfgDefasagem/1440)*48,0))</f>
        <v>0</v>
      </c>
      <c r="E1188" s="26">
        <f>IF(D1188="","",INT((D1188-cfgDeslocamento)/4))</f>
        <v>0</v>
      </c>
      <c r="F1188" s="26">
        <f>IF(D1188="","",MOD(D1188-cfgDeslocamento,4)+1)</f>
        <v>0</v>
      </c>
      <c r="G1188" s="26">
        <f>IF(A1188="","",IF(AND(ISNUMBER(B1188),B1188&lt;&gt;0),1,0))</f>
        <v>0</v>
      </c>
      <c r="H1188" s="25">
        <f>IF(E1188="","",(E1188*4+3+cfgDeslocamento)/48)</f>
        <v>0</v>
      </c>
    </row>
    <row r="1189" spans="1:8">
      <c r="A1189" s="24"/>
      <c r="B1189" s="19"/>
      <c r="C1189" s="25">
        <f>IF(D1189="","",D1189/48)</f>
        <v>0</v>
      </c>
      <c r="D1189" s="26">
        <f>IF(A1189="","",ROUND((A1189-cfgDefasagem/1440)*48,0))</f>
        <v>0</v>
      </c>
      <c r="E1189" s="26">
        <f>IF(D1189="","",INT((D1189-cfgDeslocamento)/4))</f>
        <v>0</v>
      </c>
      <c r="F1189" s="26">
        <f>IF(D1189="","",MOD(D1189-cfgDeslocamento,4)+1)</f>
        <v>0</v>
      </c>
      <c r="G1189" s="26">
        <f>IF(A1189="","",IF(AND(ISNUMBER(B1189),B1189&lt;&gt;0),1,0))</f>
        <v>0</v>
      </c>
      <c r="H1189" s="25">
        <f>IF(E1189="","",(E1189*4+3+cfgDeslocamento)/48)</f>
        <v>0</v>
      </c>
    </row>
    <row r="1190" spans="1:8">
      <c r="A1190" s="24"/>
      <c r="B1190" s="19"/>
      <c r="C1190" s="25">
        <f>IF(D1190="","",D1190/48)</f>
        <v>0</v>
      </c>
      <c r="D1190" s="26">
        <f>IF(A1190="","",ROUND((A1190-cfgDefasagem/1440)*48,0))</f>
        <v>0</v>
      </c>
      <c r="E1190" s="26">
        <f>IF(D1190="","",INT((D1190-cfgDeslocamento)/4))</f>
        <v>0</v>
      </c>
      <c r="F1190" s="26">
        <f>IF(D1190="","",MOD(D1190-cfgDeslocamento,4)+1)</f>
        <v>0</v>
      </c>
      <c r="G1190" s="26">
        <f>IF(A1190="","",IF(AND(ISNUMBER(B1190),B1190&lt;&gt;0),1,0))</f>
        <v>0</v>
      </c>
      <c r="H1190" s="25">
        <f>IF(E1190="","",(E1190*4+3+cfgDeslocamento)/48)</f>
        <v>0</v>
      </c>
    </row>
    <row r="1191" spans="1:8">
      <c r="A1191" s="24"/>
      <c r="B1191" s="19"/>
      <c r="C1191" s="25">
        <f>IF(D1191="","",D1191/48)</f>
        <v>0</v>
      </c>
      <c r="D1191" s="26">
        <f>IF(A1191="","",ROUND((A1191-cfgDefasagem/1440)*48,0))</f>
        <v>0</v>
      </c>
      <c r="E1191" s="26">
        <f>IF(D1191="","",INT((D1191-cfgDeslocamento)/4))</f>
        <v>0</v>
      </c>
      <c r="F1191" s="26">
        <f>IF(D1191="","",MOD(D1191-cfgDeslocamento,4)+1)</f>
        <v>0</v>
      </c>
      <c r="G1191" s="26">
        <f>IF(A1191="","",IF(AND(ISNUMBER(B1191),B1191&lt;&gt;0),1,0))</f>
        <v>0</v>
      </c>
      <c r="H1191" s="25">
        <f>IF(E1191="","",(E1191*4+3+cfgDeslocamento)/48)</f>
        <v>0</v>
      </c>
    </row>
    <row r="1192" spans="1:8">
      <c r="A1192" s="24"/>
      <c r="B1192" s="19"/>
      <c r="C1192" s="25">
        <f>IF(D1192="","",D1192/48)</f>
        <v>0</v>
      </c>
      <c r="D1192" s="26">
        <f>IF(A1192="","",ROUND((A1192-cfgDefasagem/1440)*48,0))</f>
        <v>0</v>
      </c>
      <c r="E1192" s="26">
        <f>IF(D1192="","",INT((D1192-cfgDeslocamento)/4))</f>
        <v>0</v>
      </c>
      <c r="F1192" s="26">
        <f>IF(D1192="","",MOD(D1192-cfgDeslocamento,4)+1)</f>
        <v>0</v>
      </c>
      <c r="G1192" s="26">
        <f>IF(A1192="","",IF(AND(ISNUMBER(B1192),B1192&lt;&gt;0),1,0))</f>
        <v>0</v>
      </c>
      <c r="H1192" s="25">
        <f>IF(E1192="","",(E1192*4+3+cfgDeslocamento)/48)</f>
        <v>0</v>
      </c>
    </row>
    <row r="1193" spans="1:8">
      <c r="A1193" s="24"/>
      <c r="B1193" s="19"/>
      <c r="C1193" s="25">
        <f>IF(D1193="","",D1193/48)</f>
        <v>0</v>
      </c>
      <c r="D1193" s="26">
        <f>IF(A1193="","",ROUND((A1193-cfgDefasagem/1440)*48,0))</f>
        <v>0</v>
      </c>
      <c r="E1193" s="26">
        <f>IF(D1193="","",INT((D1193-cfgDeslocamento)/4))</f>
        <v>0</v>
      </c>
      <c r="F1193" s="26">
        <f>IF(D1193="","",MOD(D1193-cfgDeslocamento,4)+1)</f>
        <v>0</v>
      </c>
      <c r="G1193" s="26">
        <f>IF(A1193="","",IF(AND(ISNUMBER(B1193),B1193&lt;&gt;0),1,0))</f>
        <v>0</v>
      </c>
      <c r="H1193" s="25">
        <f>IF(E1193="","",(E1193*4+3+cfgDeslocamento)/48)</f>
        <v>0</v>
      </c>
    </row>
    <row r="1194" spans="1:8">
      <c r="A1194" s="24"/>
      <c r="B1194" s="19"/>
      <c r="C1194" s="25">
        <f>IF(D1194="","",D1194/48)</f>
        <v>0</v>
      </c>
      <c r="D1194" s="26">
        <f>IF(A1194="","",ROUND((A1194-cfgDefasagem/1440)*48,0))</f>
        <v>0</v>
      </c>
      <c r="E1194" s="26">
        <f>IF(D1194="","",INT((D1194-cfgDeslocamento)/4))</f>
        <v>0</v>
      </c>
      <c r="F1194" s="26">
        <f>IF(D1194="","",MOD(D1194-cfgDeslocamento,4)+1)</f>
        <v>0</v>
      </c>
      <c r="G1194" s="26">
        <f>IF(A1194="","",IF(AND(ISNUMBER(B1194),B1194&lt;&gt;0),1,0))</f>
        <v>0</v>
      </c>
      <c r="H1194" s="25">
        <f>IF(E1194="","",(E1194*4+3+cfgDeslocamento)/48)</f>
        <v>0</v>
      </c>
    </row>
    <row r="1195" spans="1:8">
      <c r="A1195" s="24"/>
      <c r="B1195" s="19"/>
      <c r="C1195" s="25">
        <f>IF(D1195="","",D1195/48)</f>
        <v>0</v>
      </c>
      <c r="D1195" s="26">
        <f>IF(A1195="","",ROUND((A1195-cfgDefasagem/1440)*48,0))</f>
        <v>0</v>
      </c>
      <c r="E1195" s="26">
        <f>IF(D1195="","",INT((D1195-cfgDeslocamento)/4))</f>
        <v>0</v>
      </c>
      <c r="F1195" s="26">
        <f>IF(D1195="","",MOD(D1195-cfgDeslocamento,4)+1)</f>
        <v>0</v>
      </c>
      <c r="G1195" s="26">
        <f>IF(A1195="","",IF(AND(ISNUMBER(B1195),B1195&lt;&gt;0),1,0))</f>
        <v>0</v>
      </c>
      <c r="H1195" s="25">
        <f>IF(E1195="","",(E1195*4+3+cfgDeslocamento)/48)</f>
        <v>0</v>
      </c>
    </row>
    <row r="1196" spans="1:8">
      <c r="A1196" s="24"/>
      <c r="B1196" s="19"/>
      <c r="C1196" s="25">
        <f>IF(D1196="","",D1196/48)</f>
        <v>0</v>
      </c>
      <c r="D1196" s="26">
        <f>IF(A1196="","",ROUND((A1196-cfgDefasagem/1440)*48,0))</f>
        <v>0</v>
      </c>
      <c r="E1196" s="26">
        <f>IF(D1196="","",INT((D1196-cfgDeslocamento)/4))</f>
        <v>0</v>
      </c>
      <c r="F1196" s="26">
        <f>IF(D1196="","",MOD(D1196-cfgDeslocamento,4)+1)</f>
        <v>0</v>
      </c>
      <c r="G1196" s="26">
        <f>IF(A1196="","",IF(AND(ISNUMBER(B1196),B1196&lt;&gt;0),1,0))</f>
        <v>0</v>
      </c>
      <c r="H1196" s="25">
        <f>IF(E1196="","",(E1196*4+3+cfgDeslocamento)/48)</f>
        <v>0</v>
      </c>
    </row>
    <row r="1197" spans="1:8">
      <c r="A1197" s="24"/>
      <c r="B1197" s="19"/>
      <c r="C1197" s="25">
        <f>IF(D1197="","",D1197/48)</f>
        <v>0</v>
      </c>
      <c r="D1197" s="26">
        <f>IF(A1197="","",ROUND((A1197-cfgDefasagem/1440)*48,0))</f>
        <v>0</v>
      </c>
      <c r="E1197" s="26">
        <f>IF(D1197="","",INT((D1197-cfgDeslocamento)/4))</f>
        <v>0</v>
      </c>
      <c r="F1197" s="26">
        <f>IF(D1197="","",MOD(D1197-cfgDeslocamento,4)+1)</f>
        <v>0</v>
      </c>
      <c r="G1197" s="26">
        <f>IF(A1197="","",IF(AND(ISNUMBER(B1197),B1197&lt;&gt;0),1,0))</f>
        <v>0</v>
      </c>
      <c r="H1197" s="25">
        <f>IF(E1197="","",(E1197*4+3+cfgDeslocamento)/48)</f>
        <v>0</v>
      </c>
    </row>
    <row r="1198" spans="1:8">
      <c r="A1198" s="24"/>
      <c r="B1198" s="19"/>
      <c r="C1198" s="25">
        <f>IF(D1198="","",D1198/48)</f>
        <v>0</v>
      </c>
      <c r="D1198" s="26">
        <f>IF(A1198="","",ROUND((A1198-cfgDefasagem/1440)*48,0))</f>
        <v>0</v>
      </c>
      <c r="E1198" s="26">
        <f>IF(D1198="","",INT((D1198-cfgDeslocamento)/4))</f>
        <v>0</v>
      </c>
      <c r="F1198" s="26">
        <f>IF(D1198="","",MOD(D1198-cfgDeslocamento,4)+1)</f>
        <v>0</v>
      </c>
      <c r="G1198" s="26">
        <f>IF(A1198="","",IF(AND(ISNUMBER(B1198),B1198&lt;&gt;0),1,0))</f>
        <v>0</v>
      </c>
      <c r="H1198" s="25">
        <f>IF(E1198="","",(E1198*4+3+cfgDeslocamento)/48)</f>
        <v>0</v>
      </c>
    </row>
    <row r="1199" spans="1:8">
      <c r="A1199" s="24"/>
      <c r="B1199" s="19"/>
      <c r="C1199" s="25">
        <f>IF(D1199="","",D1199/48)</f>
        <v>0</v>
      </c>
      <c r="D1199" s="26">
        <f>IF(A1199="","",ROUND((A1199-cfgDefasagem/1440)*48,0))</f>
        <v>0</v>
      </c>
      <c r="E1199" s="26">
        <f>IF(D1199="","",INT((D1199-cfgDeslocamento)/4))</f>
        <v>0</v>
      </c>
      <c r="F1199" s="26">
        <f>IF(D1199="","",MOD(D1199-cfgDeslocamento,4)+1)</f>
        <v>0</v>
      </c>
      <c r="G1199" s="26">
        <f>IF(A1199="","",IF(AND(ISNUMBER(B1199),B1199&lt;&gt;0),1,0))</f>
        <v>0</v>
      </c>
      <c r="H1199" s="25">
        <f>IF(E1199="","",(E1199*4+3+cfgDeslocamento)/48)</f>
        <v>0</v>
      </c>
    </row>
    <row r="1200" spans="1:8">
      <c r="A1200" s="24"/>
      <c r="B1200" s="19"/>
      <c r="C1200" s="25">
        <f>IF(D1200="","",D1200/48)</f>
        <v>0</v>
      </c>
      <c r="D1200" s="26">
        <f>IF(A1200="","",ROUND((A1200-cfgDefasagem/1440)*48,0))</f>
        <v>0</v>
      </c>
      <c r="E1200" s="26">
        <f>IF(D1200="","",INT((D1200-cfgDeslocamento)/4))</f>
        <v>0</v>
      </c>
      <c r="F1200" s="26">
        <f>IF(D1200="","",MOD(D1200-cfgDeslocamento,4)+1)</f>
        <v>0</v>
      </c>
      <c r="G1200" s="26">
        <f>IF(A1200="","",IF(AND(ISNUMBER(B1200),B1200&lt;&gt;0),1,0))</f>
        <v>0</v>
      </c>
      <c r="H1200" s="25">
        <f>IF(E1200="","",(E1200*4+3+cfgDeslocamento)/48)</f>
        <v>0</v>
      </c>
    </row>
    <row r="1201" spans="1:8">
      <c r="A1201" s="24"/>
      <c r="B1201" s="19"/>
      <c r="C1201" s="25">
        <f>IF(D1201="","",D1201/48)</f>
        <v>0</v>
      </c>
      <c r="D1201" s="26">
        <f>IF(A1201="","",ROUND((A1201-cfgDefasagem/1440)*48,0))</f>
        <v>0</v>
      </c>
      <c r="E1201" s="26">
        <f>IF(D1201="","",INT((D1201-cfgDeslocamento)/4))</f>
        <v>0</v>
      </c>
      <c r="F1201" s="26">
        <f>IF(D1201="","",MOD(D1201-cfgDeslocamento,4)+1)</f>
        <v>0</v>
      </c>
      <c r="G1201" s="26">
        <f>IF(A1201="","",IF(AND(ISNUMBER(B1201),B1201&lt;&gt;0),1,0))</f>
        <v>0</v>
      </c>
      <c r="H1201" s="25">
        <f>IF(E1201="","",(E1201*4+3+cfgDeslocamento)/48)</f>
        <v>0</v>
      </c>
    </row>
    <row r="1202" spans="1:8">
      <c r="A1202" s="24"/>
      <c r="B1202" s="19"/>
      <c r="C1202" s="25">
        <f>IF(D1202="","",D1202/48)</f>
        <v>0</v>
      </c>
      <c r="D1202" s="26">
        <f>IF(A1202="","",ROUND((A1202-cfgDefasagem/1440)*48,0))</f>
        <v>0</v>
      </c>
      <c r="E1202" s="26">
        <f>IF(D1202="","",INT((D1202-cfgDeslocamento)/4))</f>
        <v>0</v>
      </c>
      <c r="F1202" s="26">
        <f>IF(D1202="","",MOD(D1202-cfgDeslocamento,4)+1)</f>
        <v>0</v>
      </c>
      <c r="G1202" s="26">
        <f>IF(A1202="","",IF(AND(ISNUMBER(B1202),B1202&lt;&gt;0),1,0))</f>
        <v>0</v>
      </c>
      <c r="H1202" s="25">
        <f>IF(E1202="","",(E1202*4+3+cfgDeslocamento)/48)</f>
        <v>0</v>
      </c>
    </row>
    <row r="1203" spans="1:8">
      <c r="A1203" s="24"/>
      <c r="B1203" s="19"/>
      <c r="C1203" s="25">
        <f>IF(D1203="","",D1203/48)</f>
        <v>0</v>
      </c>
      <c r="D1203" s="26">
        <f>IF(A1203="","",ROUND((A1203-cfgDefasagem/1440)*48,0))</f>
        <v>0</v>
      </c>
      <c r="E1203" s="26">
        <f>IF(D1203="","",INT((D1203-cfgDeslocamento)/4))</f>
        <v>0</v>
      </c>
      <c r="F1203" s="26">
        <f>IF(D1203="","",MOD(D1203-cfgDeslocamento,4)+1)</f>
        <v>0</v>
      </c>
      <c r="G1203" s="26">
        <f>IF(A1203="","",IF(AND(ISNUMBER(B1203),B1203&lt;&gt;0),1,0))</f>
        <v>0</v>
      </c>
      <c r="H1203" s="25">
        <f>IF(E1203="","",(E1203*4+3+cfgDeslocamento)/48)</f>
        <v>0</v>
      </c>
    </row>
    <row r="1204" spans="1:8">
      <c r="A1204" s="24"/>
      <c r="B1204" s="19"/>
      <c r="C1204" s="25">
        <f>IF(D1204="","",D1204/48)</f>
        <v>0</v>
      </c>
      <c r="D1204" s="26">
        <f>IF(A1204="","",ROUND((A1204-cfgDefasagem/1440)*48,0))</f>
        <v>0</v>
      </c>
      <c r="E1204" s="26">
        <f>IF(D1204="","",INT((D1204-cfgDeslocamento)/4))</f>
        <v>0</v>
      </c>
      <c r="F1204" s="26">
        <f>IF(D1204="","",MOD(D1204-cfgDeslocamento,4)+1)</f>
        <v>0</v>
      </c>
      <c r="G1204" s="26">
        <f>IF(A1204="","",IF(AND(ISNUMBER(B1204),B1204&lt;&gt;0),1,0))</f>
        <v>0</v>
      </c>
      <c r="H1204" s="25">
        <f>IF(E1204="","",(E1204*4+3+cfgDeslocamento)/48)</f>
        <v>0</v>
      </c>
    </row>
    <row r="1205" spans="1:8">
      <c r="A1205" s="24"/>
      <c r="B1205" s="19"/>
      <c r="C1205" s="25">
        <f>IF(D1205="","",D1205/48)</f>
        <v>0</v>
      </c>
      <c r="D1205" s="26">
        <f>IF(A1205="","",ROUND((A1205-cfgDefasagem/1440)*48,0))</f>
        <v>0</v>
      </c>
      <c r="E1205" s="26">
        <f>IF(D1205="","",INT((D1205-cfgDeslocamento)/4))</f>
        <v>0</v>
      </c>
      <c r="F1205" s="26">
        <f>IF(D1205="","",MOD(D1205-cfgDeslocamento,4)+1)</f>
        <v>0</v>
      </c>
      <c r="G1205" s="26">
        <f>IF(A1205="","",IF(AND(ISNUMBER(B1205),B1205&lt;&gt;0),1,0))</f>
        <v>0</v>
      </c>
      <c r="H1205" s="25">
        <f>IF(E1205="","",(E1205*4+3+cfgDeslocamento)/48)</f>
        <v>0</v>
      </c>
    </row>
    <row r="1206" spans="1:8">
      <c r="A1206" s="24"/>
      <c r="B1206" s="19"/>
      <c r="C1206" s="25">
        <f>IF(D1206="","",D1206/48)</f>
        <v>0</v>
      </c>
      <c r="D1206" s="26">
        <f>IF(A1206="","",ROUND((A1206-cfgDefasagem/1440)*48,0))</f>
        <v>0</v>
      </c>
      <c r="E1206" s="26">
        <f>IF(D1206="","",INT((D1206-cfgDeslocamento)/4))</f>
        <v>0</v>
      </c>
      <c r="F1206" s="26">
        <f>IF(D1206="","",MOD(D1206-cfgDeslocamento,4)+1)</f>
        <v>0</v>
      </c>
      <c r="G1206" s="26">
        <f>IF(A1206="","",IF(AND(ISNUMBER(B1206),B1206&lt;&gt;0),1,0))</f>
        <v>0</v>
      </c>
      <c r="H1206" s="25">
        <f>IF(E1206="","",(E1206*4+3+cfgDeslocamento)/48)</f>
        <v>0</v>
      </c>
    </row>
    <row r="1207" spans="1:8">
      <c r="A1207" s="24"/>
      <c r="B1207" s="19"/>
      <c r="C1207" s="25">
        <f>IF(D1207="","",D1207/48)</f>
        <v>0</v>
      </c>
      <c r="D1207" s="26">
        <f>IF(A1207="","",ROUND((A1207-cfgDefasagem/1440)*48,0))</f>
        <v>0</v>
      </c>
      <c r="E1207" s="26">
        <f>IF(D1207="","",INT((D1207-cfgDeslocamento)/4))</f>
        <v>0</v>
      </c>
      <c r="F1207" s="26">
        <f>IF(D1207="","",MOD(D1207-cfgDeslocamento,4)+1)</f>
        <v>0</v>
      </c>
      <c r="G1207" s="26">
        <f>IF(A1207="","",IF(AND(ISNUMBER(B1207),B1207&lt;&gt;0),1,0))</f>
        <v>0</v>
      </c>
      <c r="H1207" s="25">
        <f>IF(E1207="","",(E1207*4+3+cfgDeslocamento)/48)</f>
        <v>0</v>
      </c>
    </row>
    <row r="1208" spans="1:8">
      <c r="A1208" s="24"/>
      <c r="B1208" s="19"/>
      <c r="C1208" s="25">
        <f>IF(D1208="","",D1208/48)</f>
        <v>0</v>
      </c>
      <c r="D1208" s="26">
        <f>IF(A1208="","",ROUND((A1208-cfgDefasagem/1440)*48,0))</f>
        <v>0</v>
      </c>
      <c r="E1208" s="26">
        <f>IF(D1208="","",INT((D1208-cfgDeslocamento)/4))</f>
        <v>0</v>
      </c>
      <c r="F1208" s="26">
        <f>IF(D1208="","",MOD(D1208-cfgDeslocamento,4)+1)</f>
        <v>0</v>
      </c>
      <c r="G1208" s="26">
        <f>IF(A1208="","",IF(AND(ISNUMBER(B1208),B1208&lt;&gt;0),1,0))</f>
        <v>0</v>
      </c>
      <c r="H1208" s="25">
        <f>IF(E1208="","",(E1208*4+3+cfgDeslocamento)/48)</f>
        <v>0</v>
      </c>
    </row>
    <row r="1209" spans="1:8">
      <c r="A1209" s="24"/>
      <c r="B1209" s="19"/>
      <c r="C1209" s="25">
        <f>IF(D1209="","",D1209/48)</f>
        <v>0</v>
      </c>
      <c r="D1209" s="26">
        <f>IF(A1209="","",ROUND((A1209-cfgDefasagem/1440)*48,0))</f>
        <v>0</v>
      </c>
      <c r="E1209" s="26">
        <f>IF(D1209="","",INT((D1209-cfgDeslocamento)/4))</f>
        <v>0</v>
      </c>
      <c r="F1209" s="26">
        <f>IF(D1209="","",MOD(D1209-cfgDeslocamento,4)+1)</f>
        <v>0</v>
      </c>
      <c r="G1209" s="26">
        <f>IF(A1209="","",IF(AND(ISNUMBER(B1209),B1209&lt;&gt;0),1,0))</f>
        <v>0</v>
      </c>
      <c r="H1209" s="25">
        <f>IF(E1209="","",(E1209*4+3+cfgDeslocamento)/48)</f>
        <v>0</v>
      </c>
    </row>
    <row r="1210" spans="1:8">
      <c r="A1210" s="24"/>
      <c r="B1210" s="19"/>
      <c r="C1210" s="25">
        <f>IF(D1210="","",D1210/48)</f>
        <v>0</v>
      </c>
      <c r="D1210" s="26">
        <f>IF(A1210="","",ROUND((A1210-cfgDefasagem/1440)*48,0))</f>
        <v>0</v>
      </c>
      <c r="E1210" s="26">
        <f>IF(D1210="","",INT((D1210-cfgDeslocamento)/4))</f>
        <v>0</v>
      </c>
      <c r="F1210" s="26">
        <f>IF(D1210="","",MOD(D1210-cfgDeslocamento,4)+1)</f>
        <v>0</v>
      </c>
      <c r="G1210" s="26">
        <f>IF(A1210="","",IF(AND(ISNUMBER(B1210),B1210&lt;&gt;0),1,0))</f>
        <v>0</v>
      </c>
      <c r="H1210" s="25">
        <f>IF(E1210="","",(E1210*4+3+cfgDeslocamento)/48)</f>
        <v>0</v>
      </c>
    </row>
    <row r="1211" spans="1:8">
      <c r="A1211" s="24"/>
      <c r="B1211" s="19"/>
      <c r="C1211" s="25">
        <f>IF(D1211="","",D1211/48)</f>
        <v>0</v>
      </c>
      <c r="D1211" s="26">
        <f>IF(A1211="","",ROUND((A1211-cfgDefasagem/1440)*48,0))</f>
        <v>0</v>
      </c>
      <c r="E1211" s="26">
        <f>IF(D1211="","",INT((D1211-cfgDeslocamento)/4))</f>
        <v>0</v>
      </c>
      <c r="F1211" s="26">
        <f>IF(D1211="","",MOD(D1211-cfgDeslocamento,4)+1)</f>
        <v>0</v>
      </c>
      <c r="G1211" s="26">
        <f>IF(A1211="","",IF(AND(ISNUMBER(B1211),B1211&lt;&gt;0),1,0))</f>
        <v>0</v>
      </c>
      <c r="H1211" s="25">
        <f>IF(E1211="","",(E1211*4+3+cfgDeslocamento)/48)</f>
        <v>0</v>
      </c>
    </row>
    <row r="1212" spans="1:8">
      <c r="A1212" s="24"/>
      <c r="B1212" s="19"/>
      <c r="C1212" s="25">
        <f>IF(D1212="","",D1212/48)</f>
        <v>0</v>
      </c>
      <c r="D1212" s="26">
        <f>IF(A1212="","",ROUND((A1212-cfgDefasagem/1440)*48,0))</f>
        <v>0</v>
      </c>
      <c r="E1212" s="26">
        <f>IF(D1212="","",INT((D1212-cfgDeslocamento)/4))</f>
        <v>0</v>
      </c>
      <c r="F1212" s="26">
        <f>IF(D1212="","",MOD(D1212-cfgDeslocamento,4)+1)</f>
        <v>0</v>
      </c>
      <c r="G1212" s="26">
        <f>IF(A1212="","",IF(AND(ISNUMBER(B1212),B1212&lt;&gt;0),1,0))</f>
        <v>0</v>
      </c>
      <c r="H1212" s="25">
        <f>IF(E1212="","",(E1212*4+3+cfgDeslocamento)/48)</f>
        <v>0</v>
      </c>
    </row>
    <row r="1213" spans="1:8">
      <c r="A1213" s="24"/>
      <c r="B1213" s="19"/>
      <c r="C1213" s="25">
        <f>IF(D1213="","",D1213/48)</f>
        <v>0</v>
      </c>
      <c r="D1213" s="26">
        <f>IF(A1213="","",ROUND((A1213-cfgDefasagem/1440)*48,0))</f>
        <v>0</v>
      </c>
      <c r="E1213" s="26">
        <f>IF(D1213="","",INT((D1213-cfgDeslocamento)/4))</f>
        <v>0</v>
      </c>
      <c r="F1213" s="26">
        <f>IF(D1213="","",MOD(D1213-cfgDeslocamento,4)+1)</f>
        <v>0</v>
      </c>
      <c r="G1213" s="26">
        <f>IF(A1213="","",IF(AND(ISNUMBER(B1213),B1213&lt;&gt;0),1,0))</f>
        <v>0</v>
      </c>
      <c r="H1213" s="25">
        <f>IF(E1213="","",(E1213*4+3+cfgDeslocamento)/48)</f>
        <v>0</v>
      </c>
    </row>
    <row r="1214" spans="1:8">
      <c r="A1214" s="24"/>
      <c r="B1214" s="19"/>
      <c r="C1214" s="25">
        <f>IF(D1214="","",D1214/48)</f>
        <v>0</v>
      </c>
      <c r="D1214" s="26">
        <f>IF(A1214="","",ROUND((A1214-cfgDefasagem/1440)*48,0))</f>
        <v>0</v>
      </c>
      <c r="E1214" s="26">
        <f>IF(D1214="","",INT((D1214-cfgDeslocamento)/4))</f>
        <v>0</v>
      </c>
      <c r="F1214" s="26">
        <f>IF(D1214="","",MOD(D1214-cfgDeslocamento,4)+1)</f>
        <v>0</v>
      </c>
      <c r="G1214" s="26">
        <f>IF(A1214="","",IF(AND(ISNUMBER(B1214),B1214&lt;&gt;0),1,0))</f>
        <v>0</v>
      </c>
      <c r="H1214" s="25">
        <f>IF(E1214="","",(E1214*4+3+cfgDeslocamento)/48)</f>
        <v>0</v>
      </c>
    </row>
    <row r="1215" spans="1:8">
      <c r="A1215" s="24"/>
      <c r="B1215" s="19"/>
      <c r="C1215" s="25">
        <f>IF(D1215="","",D1215/48)</f>
        <v>0</v>
      </c>
      <c r="D1215" s="26">
        <f>IF(A1215="","",ROUND((A1215-cfgDefasagem/1440)*48,0))</f>
        <v>0</v>
      </c>
      <c r="E1215" s="26">
        <f>IF(D1215="","",INT((D1215-cfgDeslocamento)/4))</f>
        <v>0</v>
      </c>
      <c r="F1215" s="26">
        <f>IF(D1215="","",MOD(D1215-cfgDeslocamento,4)+1)</f>
        <v>0</v>
      </c>
      <c r="G1215" s="26">
        <f>IF(A1215="","",IF(AND(ISNUMBER(B1215),B1215&lt;&gt;0),1,0))</f>
        <v>0</v>
      </c>
      <c r="H1215" s="25">
        <f>IF(E1215="","",(E1215*4+3+cfgDeslocamento)/48)</f>
        <v>0</v>
      </c>
    </row>
    <row r="1216" spans="1:8">
      <c r="A1216" s="24"/>
      <c r="B1216" s="19"/>
      <c r="C1216" s="25">
        <f>IF(D1216="","",D1216/48)</f>
        <v>0</v>
      </c>
      <c r="D1216" s="26">
        <f>IF(A1216="","",ROUND((A1216-cfgDefasagem/1440)*48,0))</f>
        <v>0</v>
      </c>
      <c r="E1216" s="26">
        <f>IF(D1216="","",INT((D1216-cfgDeslocamento)/4))</f>
        <v>0</v>
      </c>
      <c r="F1216" s="26">
        <f>IF(D1216="","",MOD(D1216-cfgDeslocamento,4)+1)</f>
        <v>0</v>
      </c>
      <c r="G1216" s="26">
        <f>IF(A1216="","",IF(AND(ISNUMBER(B1216),B1216&lt;&gt;0),1,0))</f>
        <v>0</v>
      </c>
      <c r="H1216" s="25">
        <f>IF(E1216="","",(E1216*4+3+cfgDeslocamento)/48)</f>
        <v>0</v>
      </c>
    </row>
    <row r="1217" spans="1:8">
      <c r="A1217" s="24"/>
      <c r="B1217" s="19"/>
      <c r="C1217" s="25">
        <f>IF(D1217="","",D1217/48)</f>
        <v>0</v>
      </c>
      <c r="D1217" s="26">
        <f>IF(A1217="","",ROUND((A1217-cfgDefasagem/1440)*48,0))</f>
        <v>0</v>
      </c>
      <c r="E1217" s="26">
        <f>IF(D1217="","",INT((D1217-cfgDeslocamento)/4))</f>
        <v>0</v>
      </c>
      <c r="F1217" s="26">
        <f>IF(D1217="","",MOD(D1217-cfgDeslocamento,4)+1)</f>
        <v>0</v>
      </c>
      <c r="G1217" s="26">
        <f>IF(A1217="","",IF(AND(ISNUMBER(B1217),B1217&lt;&gt;0),1,0))</f>
        <v>0</v>
      </c>
      <c r="H1217" s="25">
        <f>IF(E1217="","",(E1217*4+3+cfgDeslocamento)/48)</f>
        <v>0</v>
      </c>
    </row>
    <row r="1218" spans="1:8">
      <c r="A1218" s="24"/>
      <c r="B1218" s="19"/>
      <c r="C1218" s="25">
        <f>IF(D1218="","",D1218/48)</f>
        <v>0</v>
      </c>
      <c r="D1218" s="26">
        <f>IF(A1218="","",ROUND((A1218-cfgDefasagem/1440)*48,0))</f>
        <v>0</v>
      </c>
      <c r="E1218" s="26">
        <f>IF(D1218="","",INT((D1218-cfgDeslocamento)/4))</f>
        <v>0</v>
      </c>
      <c r="F1218" s="26">
        <f>IF(D1218="","",MOD(D1218-cfgDeslocamento,4)+1)</f>
        <v>0</v>
      </c>
      <c r="G1218" s="26">
        <f>IF(A1218="","",IF(AND(ISNUMBER(B1218),B1218&lt;&gt;0),1,0))</f>
        <v>0</v>
      </c>
      <c r="H1218" s="25">
        <f>IF(E1218="","",(E1218*4+3+cfgDeslocamento)/48)</f>
        <v>0</v>
      </c>
    </row>
    <row r="1219" spans="1:8">
      <c r="A1219" s="24"/>
      <c r="B1219" s="19"/>
      <c r="C1219" s="25">
        <f>IF(D1219="","",D1219/48)</f>
        <v>0</v>
      </c>
      <c r="D1219" s="26">
        <f>IF(A1219="","",ROUND((A1219-cfgDefasagem/1440)*48,0))</f>
        <v>0</v>
      </c>
      <c r="E1219" s="26">
        <f>IF(D1219="","",INT((D1219-cfgDeslocamento)/4))</f>
        <v>0</v>
      </c>
      <c r="F1219" s="26">
        <f>IF(D1219="","",MOD(D1219-cfgDeslocamento,4)+1)</f>
        <v>0</v>
      </c>
      <c r="G1219" s="26">
        <f>IF(A1219="","",IF(AND(ISNUMBER(B1219),B1219&lt;&gt;0),1,0))</f>
        <v>0</v>
      </c>
      <c r="H1219" s="25">
        <f>IF(E1219="","",(E1219*4+3+cfgDeslocamento)/48)</f>
        <v>0</v>
      </c>
    </row>
    <row r="1220" spans="1:8">
      <c r="A1220" s="24"/>
      <c r="B1220" s="19"/>
      <c r="C1220" s="25">
        <f>IF(D1220="","",D1220/48)</f>
        <v>0</v>
      </c>
      <c r="D1220" s="26">
        <f>IF(A1220="","",ROUND((A1220-cfgDefasagem/1440)*48,0))</f>
        <v>0</v>
      </c>
      <c r="E1220" s="26">
        <f>IF(D1220="","",INT((D1220-cfgDeslocamento)/4))</f>
        <v>0</v>
      </c>
      <c r="F1220" s="26">
        <f>IF(D1220="","",MOD(D1220-cfgDeslocamento,4)+1)</f>
        <v>0</v>
      </c>
      <c r="G1220" s="26">
        <f>IF(A1220="","",IF(AND(ISNUMBER(B1220),B1220&lt;&gt;0),1,0))</f>
        <v>0</v>
      </c>
      <c r="H1220" s="25">
        <f>IF(E1220="","",(E1220*4+3+cfgDeslocamento)/48)</f>
        <v>0</v>
      </c>
    </row>
    <row r="1221" spans="1:8">
      <c r="A1221" s="24"/>
      <c r="B1221" s="19"/>
      <c r="C1221" s="25">
        <f>IF(D1221="","",D1221/48)</f>
        <v>0</v>
      </c>
      <c r="D1221" s="26">
        <f>IF(A1221="","",ROUND((A1221-cfgDefasagem/1440)*48,0))</f>
        <v>0</v>
      </c>
      <c r="E1221" s="26">
        <f>IF(D1221="","",INT((D1221-cfgDeslocamento)/4))</f>
        <v>0</v>
      </c>
      <c r="F1221" s="26">
        <f>IF(D1221="","",MOD(D1221-cfgDeslocamento,4)+1)</f>
        <v>0</v>
      </c>
      <c r="G1221" s="26">
        <f>IF(A1221="","",IF(AND(ISNUMBER(B1221),B1221&lt;&gt;0),1,0))</f>
        <v>0</v>
      </c>
      <c r="H1221" s="25">
        <f>IF(E1221="","",(E1221*4+3+cfgDeslocamento)/48)</f>
        <v>0</v>
      </c>
    </row>
    <row r="1222" spans="1:8">
      <c r="A1222" s="24"/>
      <c r="B1222" s="19"/>
      <c r="C1222" s="25">
        <f>IF(D1222="","",D1222/48)</f>
        <v>0</v>
      </c>
      <c r="D1222" s="26">
        <f>IF(A1222="","",ROUND((A1222-cfgDefasagem/1440)*48,0))</f>
        <v>0</v>
      </c>
      <c r="E1222" s="26">
        <f>IF(D1222="","",INT((D1222-cfgDeslocamento)/4))</f>
        <v>0</v>
      </c>
      <c r="F1222" s="26">
        <f>IF(D1222="","",MOD(D1222-cfgDeslocamento,4)+1)</f>
        <v>0</v>
      </c>
      <c r="G1222" s="26">
        <f>IF(A1222="","",IF(AND(ISNUMBER(B1222),B1222&lt;&gt;0),1,0))</f>
        <v>0</v>
      </c>
      <c r="H1222" s="25">
        <f>IF(E1222="","",(E1222*4+3+cfgDeslocamento)/48)</f>
        <v>0</v>
      </c>
    </row>
    <row r="1223" spans="1:8">
      <c r="A1223" s="24"/>
      <c r="B1223" s="19"/>
      <c r="C1223" s="25">
        <f>IF(D1223="","",D1223/48)</f>
        <v>0</v>
      </c>
      <c r="D1223" s="26">
        <f>IF(A1223="","",ROUND((A1223-cfgDefasagem/1440)*48,0))</f>
        <v>0</v>
      </c>
      <c r="E1223" s="26">
        <f>IF(D1223="","",INT((D1223-cfgDeslocamento)/4))</f>
        <v>0</v>
      </c>
      <c r="F1223" s="26">
        <f>IF(D1223="","",MOD(D1223-cfgDeslocamento,4)+1)</f>
        <v>0</v>
      </c>
      <c r="G1223" s="26">
        <f>IF(A1223="","",IF(AND(ISNUMBER(B1223),B1223&lt;&gt;0),1,0))</f>
        <v>0</v>
      </c>
      <c r="H1223" s="25">
        <f>IF(E1223="","",(E1223*4+3+cfgDeslocamento)/48)</f>
        <v>0</v>
      </c>
    </row>
    <row r="1224" spans="1:8">
      <c r="A1224" s="24"/>
      <c r="B1224" s="19"/>
      <c r="C1224" s="25">
        <f>IF(D1224="","",D1224/48)</f>
        <v>0</v>
      </c>
      <c r="D1224" s="26">
        <f>IF(A1224="","",ROUND((A1224-cfgDefasagem/1440)*48,0))</f>
        <v>0</v>
      </c>
      <c r="E1224" s="26">
        <f>IF(D1224="","",INT((D1224-cfgDeslocamento)/4))</f>
        <v>0</v>
      </c>
      <c r="F1224" s="26">
        <f>IF(D1224="","",MOD(D1224-cfgDeslocamento,4)+1)</f>
        <v>0</v>
      </c>
      <c r="G1224" s="26">
        <f>IF(A1224="","",IF(AND(ISNUMBER(B1224),B1224&lt;&gt;0),1,0))</f>
        <v>0</v>
      </c>
      <c r="H1224" s="25">
        <f>IF(E1224="","",(E1224*4+3+cfgDeslocamento)/48)</f>
        <v>0</v>
      </c>
    </row>
    <row r="1225" spans="1:8">
      <c r="A1225" s="24"/>
      <c r="B1225" s="19"/>
      <c r="C1225" s="25">
        <f>IF(D1225="","",D1225/48)</f>
        <v>0</v>
      </c>
      <c r="D1225" s="26">
        <f>IF(A1225="","",ROUND((A1225-cfgDefasagem/1440)*48,0))</f>
        <v>0</v>
      </c>
      <c r="E1225" s="26">
        <f>IF(D1225="","",INT((D1225-cfgDeslocamento)/4))</f>
        <v>0</v>
      </c>
      <c r="F1225" s="26">
        <f>IF(D1225="","",MOD(D1225-cfgDeslocamento,4)+1)</f>
        <v>0</v>
      </c>
      <c r="G1225" s="26">
        <f>IF(A1225="","",IF(AND(ISNUMBER(B1225),B1225&lt;&gt;0),1,0))</f>
        <v>0</v>
      </c>
      <c r="H1225" s="25">
        <f>IF(E1225="","",(E1225*4+3+cfgDeslocamento)/48)</f>
        <v>0</v>
      </c>
    </row>
    <row r="1226" spans="1:8">
      <c r="A1226" s="24"/>
      <c r="B1226" s="19"/>
      <c r="C1226" s="25">
        <f>IF(D1226="","",D1226/48)</f>
        <v>0</v>
      </c>
      <c r="D1226" s="26">
        <f>IF(A1226="","",ROUND((A1226-cfgDefasagem/1440)*48,0))</f>
        <v>0</v>
      </c>
      <c r="E1226" s="26">
        <f>IF(D1226="","",INT((D1226-cfgDeslocamento)/4))</f>
        <v>0</v>
      </c>
      <c r="F1226" s="26">
        <f>IF(D1226="","",MOD(D1226-cfgDeslocamento,4)+1)</f>
        <v>0</v>
      </c>
      <c r="G1226" s="26">
        <f>IF(A1226="","",IF(AND(ISNUMBER(B1226),B1226&lt;&gt;0),1,0))</f>
        <v>0</v>
      </c>
      <c r="H1226" s="25">
        <f>IF(E1226="","",(E1226*4+3+cfgDeslocamento)/48)</f>
        <v>0</v>
      </c>
    </row>
    <row r="1227" spans="1:8">
      <c r="A1227" s="24"/>
      <c r="B1227" s="19"/>
      <c r="C1227" s="25">
        <f>IF(D1227="","",D1227/48)</f>
        <v>0</v>
      </c>
      <c r="D1227" s="26">
        <f>IF(A1227="","",ROUND((A1227-cfgDefasagem/1440)*48,0))</f>
        <v>0</v>
      </c>
      <c r="E1227" s="26">
        <f>IF(D1227="","",INT((D1227-cfgDeslocamento)/4))</f>
        <v>0</v>
      </c>
      <c r="F1227" s="26">
        <f>IF(D1227="","",MOD(D1227-cfgDeslocamento,4)+1)</f>
        <v>0</v>
      </c>
      <c r="G1227" s="26">
        <f>IF(A1227="","",IF(AND(ISNUMBER(B1227),B1227&lt;&gt;0),1,0))</f>
        <v>0</v>
      </c>
      <c r="H1227" s="25">
        <f>IF(E1227="","",(E1227*4+3+cfgDeslocamento)/48)</f>
        <v>0</v>
      </c>
    </row>
    <row r="1228" spans="1:8">
      <c r="A1228" s="24"/>
      <c r="B1228" s="19"/>
      <c r="C1228" s="25">
        <f>IF(D1228="","",D1228/48)</f>
        <v>0</v>
      </c>
      <c r="D1228" s="26">
        <f>IF(A1228="","",ROUND((A1228-cfgDefasagem/1440)*48,0))</f>
        <v>0</v>
      </c>
      <c r="E1228" s="26">
        <f>IF(D1228="","",INT((D1228-cfgDeslocamento)/4))</f>
        <v>0</v>
      </c>
      <c r="F1228" s="26">
        <f>IF(D1228="","",MOD(D1228-cfgDeslocamento,4)+1)</f>
        <v>0</v>
      </c>
      <c r="G1228" s="26">
        <f>IF(A1228="","",IF(AND(ISNUMBER(B1228),B1228&lt;&gt;0),1,0))</f>
        <v>0</v>
      </c>
      <c r="H1228" s="25">
        <f>IF(E1228="","",(E1228*4+3+cfgDeslocamento)/48)</f>
        <v>0</v>
      </c>
    </row>
    <row r="1229" spans="1:8">
      <c r="A1229" s="24"/>
      <c r="B1229" s="19"/>
      <c r="C1229" s="25">
        <f>IF(D1229="","",D1229/48)</f>
        <v>0</v>
      </c>
      <c r="D1229" s="26">
        <f>IF(A1229="","",ROUND((A1229-cfgDefasagem/1440)*48,0))</f>
        <v>0</v>
      </c>
      <c r="E1229" s="26">
        <f>IF(D1229="","",INT((D1229-cfgDeslocamento)/4))</f>
        <v>0</v>
      </c>
      <c r="F1229" s="26">
        <f>IF(D1229="","",MOD(D1229-cfgDeslocamento,4)+1)</f>
        <v>0</v>
      </c>
      <c r="G1229" s="26">
        <f>IF(A1229="","",IF(AND(ISNUMBER(B1229),B1229&lt;&gt;0),1,0))</f>
        <v>0</v>
      </c>
      <c r="H1229" s="25">
        <f>IF(E1229="","",(E1229*4+3+cfgDeslocamento)/48)</f>
        <v>0</v>
      </c>
    </row>
    <row r="1230" spans="1:8">
      <c r="A1230" s="24"/>
      <c r="B1230" s="19"/>
      <c r="C1230" s="25">
        <f>IF(D1230="","",D1230/48)</f>
        <v>0</v>
      </c>
      <c r="D1230" s="26">
        <f>IF(A1230="","",ROUND((A1230-cfgDefasagem/1440)*48,0))</f>
        <v>0</v>
      </c>
      <c r="E1230" s="26">
        <f>IF(D1230="","",INT((D1230-cfgDeslocamento)/4))</f>
        <v>0</v>
      </c>
      <c r="F1230" s="26">
        <f>IF(D1230="","",MOD(D1230-cfgDeslocamento,4)+1)</f>
        <v>0</v>
      </c>
      <c r="G1230" s="26">
        <f>IF(A1230="","",IF(AND(ISNUMBER(B1230),B1230&lt;&gt;0),1,0))</f>
        <v>0</v>
      </c>
      <c r="H1230" s="25">
        <f>IF(E1230="","",(E1230*4+3+cfgDeslocamento)/48)</f>
        <v>0</v>
      </c>
    </row>
    <row r="1231" spans="1:8">
      <c r="A1231" s="24"/>
      <c r="B1231" s="19"/>
      <c r="C1231" s="25">
        <f>IF(D1231="","",D1231/48)</f>
        <v>0</v>
      </c>
      <c r="D1231" s="26">
        <f>IF(A1231="","",ROUND((A1231-cfgDefasagem/1440)*48,0))</f>
        <v>0</v>
      </c>
      <c r="E1231" s="26">
        <f>IF(D1231="","",INT((D1231-cfgDeslocamento)/4))</f>
        <v>0</v>
      </c>
      <c r="F1231" s="26">
        <f>IF(D1231="","",MOD(D1231-cfgDeslocamento,4)+1)</f>
        <v>0</v>
      </c>
      <c r="G1231" s="26">
        <f>IF(A1231="","",IF(AND(ISNUMBER(B1231),B1231&lt;&gt;0),1,0))</f>
        <v>0</v>
      </c>
      <c r="H1231" s="25">
        <f>IF(E1231="","",(E1231*4+3+cfgDeslocamento)/48)</f>
        <v>0</v>
      </c>
    </row>
    <row r="1232" spans="1:8">
      <c r="A1232" s="24"/>
      <c r="B1232" s="19"/>
      <c r="C1232" s="25">
        <f>IF(D1232="","",D1232/48)</f>
        <v>0</v>
      </c>
      <c r="D1232" s="26">
        <f>IF(A1232="","",ROUND((A1232-cfgDefasagem/1440)*48,0))</f>
        <v>0</v>
      </c>
      <c r="E1232" s="26">
        <f>IF(D1232="","",INT((D1232-cfgDeslocamento)/4))</f>
        <v>0</v>
      </c>
      <c r="F1232" s="26">
        <f>IF(D1232="","",MOD(D1232-cfgDeslocamento,4)+1)</f>
        <v>0</v>
      </c>
      <c r="G1232" s="26">
        <f>IF(A1232="","",IF(AND(ISNUMBER(B1232),B1232&lt;&gt;0),1,0))</f>
        <v>0</v>
      </c>
      <c r="H1232" s="25">
        <f>IF(E1232="","",(E1232*4+3+cfgDeslocamento)/48)</f>
        <v>0</v>
      </c>
    </row>
    <row r="1233" spans="1:8">
      <c r="A1233" s="24"/>
      <c r="B1233" s="19"/>
      <c r="C1233" s="25">
        <f>IF(D1233="","",D1233/48)</f>
        <v>0</v>
      </c>
      <c r="D1233" s="26">
        <f>IF(A1233="","",ROUND((A1233-cfgDefasagem/1440)*48,0))</f>
        <v>0</v>
      </c>
      <c r="E1233" s="26">
        <f>IF(D1233="","",INT((D1233-cfgDeslocamento)/4))</f>
        <v>0</v>
      </c>
      <c r="F1233" s="26">
        <f>IF(D1233="","",MOD(D1233-cfgDeslocamento,4)+1)</f>
        <v>0</v>
      </c>
      <c r="G1233" s="26">
        <f>IF(A1233="","",IF(AND(ISNUMBER(B1233),B1233&lt;&gt;0),1,0))</f>
        <v>0</v>
      </c>
      <c r="H1233" s="25">
        <f>IF(E1233="","",(E1233*4+3+cfgDeslocamento)/48)</f>
        <v>0</v>
      </c>
    </row>
    <row r="1234" spans="1:8">
      <c r="A1234" s="24"/>
      <c r="B1234" s="19"/>
      <c r="C1234" s="25">
        <f>IF(D1234="","",D1234/48)</f>
        <v>0</v>
      </c>
      <c r="D1234" s="26">
        <f>IF(A1234="","",ROUND((A1234-cfgDefasagem/1440)*48,0))</f>
        <v>0</v>
      </c>
      <c r="E1234" s="26">
        <f>IF(D1234="","",INT((D1234-cfgDeslocamento)/4))</f>
        <v>0</v>
      </c>
      <c r="F1234" s="26">
        <f>IF(D1234="","",MOD(D1234-cfgDeslocamento,4)+1)</f>
        <v>0</v>
      </c>
      <c r="G1234" s="26">
        <f>IF(A1234="","",IF(AND(ISNUMBER(B1234),B1234&lt;&gt;0),1,0))</f>
        <v>0</v>
      </c>
      <c r="H1234" s="25">
        <f>IF(E1234="","",(E1234*4+3+cfgDeslocamento)/48)</f>
        <v>0</v>
      </c>
    </row>
    <row r="1235" spans="1:8">
      <c r="A1235" s="24"/>
      <c r="B1235" s="19"/>
      <c r="C1235" s="25">
        <f>IF(D1235="","",D1235/48)</f>
        <v>0</v>
      </c>
      <c r="D1235" s="26">
        <f>IF(A1235="","",ROUND((A1235-cfgDefasagem/1440)*48,0))</f>
        <v>0</v>
      </c>
      <c r="E1235" s="26">
        <f>IF(D1235="","",INT((D1235-cfgDeslocamento)/4))</f>
        <v>0</v>
      </c>
      <c r="F1235" s="26">
        <f>IF(D1235="","",MOD(D1235-cfgDeslocamento,4)+1)</f>
        <v>0</v>
      </c>
      <c r="G1235" s="26">
        <f>IF(A1235="","",IF(AND(ISNUMBER(B1235),B1235&lt;&gt;0),1,0))</f>
        <v>0</v>
      </c>
      <c r="H1235" s="25">
        <f>IF(E1235="","",(E1235*4+3+cfgDeslocamento)/48)</f>
        <v>0</v>
      </c>
    </row>
    <row r="1236" spans="1:8">
      <c r="A1236" s="24"/>
      <c r="B1236" s="19"/>
      <c r="C1236" s="25">
        <f>IF(D1236="","",D1236/48)</f>
        <v>0</v>
      </c>
      <c r="D1236" s="26">
        <f>IF(A1236="","",ROUND((A1236-cfgDefasagem/1440)*48,0))</f>
        <v>0</v>
      </c>
      <c r="E1236" s="26">
        <f>IF(D1236="","",INT((D1236-cfgDeslocamento)/4))</f>
        <v>0</v>
      </c>
      <c r="F1236" s="26">
        <f>IF(D1236="","",MOD(D1236-cfgDeslocamento,4)+1)</f>
        <v>0</v>
      </c>
      <c r="G1236" s="26">
        <f>IF(A1236="","",IF(AND(ISNUMBER(B1236),B1236&lt;&gt;0),1,0))</f>
        <v>0</v>
      </c>
      <c r="H1236" s="25">
        <f>IF(E1236="","",(E1236*4+3+cfgDeslocamento)/48)</f>
        <v>0</v>
      </c>
    </row>
    <row r="1237" spans="1:8">
      <c r="A1237" s="24"/>
      <c r="B1237" s="19"/>
      <c r="C1237" s="25">
        <f>IF(D1237="","",D1237/48)</f>
        <v>0</v>
      </c>
      <c r="D1237" s="26">
        <f>IF(A1237="","",ROUND((A1237-cfgDefasagem/1440)*48,0))</f>
        <v>0</v>
      </c>
      <c r="E1237" s="26">
        <f>IF(D1237="","",INT((D1237-cfgDeslocamento)/4))</f>
        <v>0</v>
      </c>
      <c r="F1237" s="26">
        <f>IF(D1237="","",MOD(D1237-cfgDeslocamento,4)+1)</f>
        <v>0</v>
      </c>
      <c r="G1237" s="26">
        <f>IF(A1237="","",IF(AND(ISNUMBER(B1237),B1237&lt;&gt;0),1,0))</f>
        <v>0</v>
      </c>
      <c r="H1237" s="25">
        <f>IF(E1237="","",(E1237*4+3+cfgDeslocamento)/48)</f>
        <v>0</v>
      </c>
    </row>
    <row r="1238" spans="1:8">
      <c r="A1238" s="24"/>
      <c r="B1238" s="19"/>
      <c r="C1238" s="25">
        <f>IF(D1238="","",D1238/48)</f>
        <v>0</v>
      </c>
      <c r="D1238" s="26">
        <f>IF(A1238="","",ROUND((A1238-cfgDefasagem/1440)*48,0))</f>
        <v>0</v>
      </c>
      <c r="E1238" s="26">
        <f>IF(D1238="","",INT((D1238-cfgDeslocamento)/4))</f>
        <v>0</v>
      </c>
      <c r="F1238" s="26">
        <f>IF(D1238="","",MOD(D1238-cfgDeslocamento,4)+1)</f>
        <v>0</v>
      </c>
      <c r="G1238" s="26">
        <f>IF(A1238="","",IF(AND(ISNUMBER(B1238),B1238&lt;&gt;0),1,0))</f>
        <v>0</v>
      </c>
      <c r="H1238" s="25">
        <f>IF(E1238="","",(E1238*4+3+cfgDeslocamento)/48)</f>
        <v>0</v>
      </c>
    </row>
    <row r="1239" spans="1:8">
      <c r="A1239" s="24"/>
      <c r="B1239" s="19"/>
      <c r="C1239" s="25">
        <f>IF(D1239="","",D1239/48)</f>
        <v>0</v>
      </c>
      <c r="D1239" s="26">
        <f>IF(A1239="","",ROUND((A1239-cfgDefasagem/1440)*48,0))</f>
        <v>0</v>
      </c>
      <c r="E1239" s="26">
        <f>IF(D1239="","",INT((D1239-cfgDeslocamento)/4))</f>
        <v>0</v>
      </c>
      <c r="F1239" s="26">
        <f>IF(D1239="","",MOD(D1239-cfgDeslocamento,4)+1)</f>
        <v>0</v>
      </c>
      <c r="G1239" s="26">
        <f>IF(A1239="","",IF(AND(ISNUMBER(B1239),B1239&lt;&gt;0),1,0))</f>
        <v>0</v>
      </c>
      <c r="H1239" s="25">
        <f>IF(E1239="","",(E1239*4+3+cfgDeslocamento)/48)</f>
        <v>0</v>
      </c>
    </row>
    <row r="1240" spans="1:8">
      <c r="A1240" s="24"/>
      <c r="B1240" s="19"/>
      <c r="C1240" s="25">
        <f>IF(D1240="","",D1240/48)</f>
        <v>0</v>
      </c>
      <c r="D1240" s="26">
        <f>IF(A1240="","",ROUND((A1240-cfgDefasagem/1440)*48,0))</f>
        <v>0</v>
      </c>
      <c r="E1240" s="26">
        <f>IF(D1240="","",INT((D1240-cfgDeslocamento)/4))</f>
        <v>0</v>
      </c>
      <c r="F1240" s="26">
        <f>IF(D1240="","",MOD(D1240-cfgDeslocamento,4)+1)</f>
        <v>0</v>
      </c>
      <c r="G1240" s="26">
        <f>IF(A1240="","",IF(AND(ISNUMBER(B1240),B1240&lt;&gt;0),1,0))</f>
        <v>0</v>
      </c>
      <c r="H1240" s="25">
        <f>IF(E1240="","",(E1240*4+3+cfgDeslocamento)/48)</f>
        <v>0</v>
      </c>
    </row>
    <row r="1241" spans="1:8">
      <c r="A1241" s="24"/>
      <c r="B1241" s="19"/>
      <c r="C1241" s="25">
        <f>IF(D1241="","",D1241/48)</f>
        <v>0</v>
      </c>
      <c r="D1241" s="26">
        <f>IF(A1241="","",ROUND((A1241-cfgDefasagem/1440)*48,0))</f>
        <v>0</v>
      </c>
      <c r="E1241" s="26">
        <f>IF(D1241="","",INT((D1241-cfgDeslocamento)/4))</f>
        <v>0</v>
      </c>
      <c r="F1241" s="26">
        <f>IF(D1241="","",MOD(D1241-cfgDeslocamento,4)+1)</f>
        <v>0</v>
      </c>
      <c r="G1241" s="26">
        <f>IF(A1241="","",IF(AND(ISNUMBER(B1241),B1241&lt;&gt;0),1,0))</f>
        <v>0</v>
      </c>
      <c r="H1241" s="25">
        <f>IF(E1241="","",(E1241*4+3+cfgDeslocamento)/48)</f>
        <v>0</v>
      </c>
    </row>
    <row r="1242" spans="1:8">
      <c r="A1242" s="24"/>
      <c r="B1242" s="19"/>
      <c r="C1242" s="25">
        <f>IF(D1242="","",D1242/48)</f>
        <v>0</v>
      </c>
      <c r="D1242" s="26">
        <f>IF(A1242="","",ROUND((A1242-cfgDefasagem/1440)*48,0))</f>
        <v>0</v>
      </c>
      <c r="E1242" s="26">
        <f>IF(D1242="","",INT((D1242-cfgDeslocamento)/4))</f>
        <v>0</v>
      </c>
      <c r="F1242" s="26">
        <f>IF(D1242="","",MOD(D1242-cfgDeslocamento,4)+1)</f>
        <v>0</v>
      </c>
      <c r="G1242" s="26">
        <f>IF(A1242="","",IF(AND(ISNUMBER(B1242),B1242&lt;&gt;0),1,0))</f>
        <v>0</v>
      </c>
      <c r="H1242" s="25">
        <f>IF(E1242="","",(E1242*4+3+cfgDeslocamento)/48)</f>
        <v>0</v>
      </c>
    </row>
    <row r="1243" spans="1:8">
      <c r="A1243" s="24"/>
      <c r="B1243" s="19"/>
      <c r="C1243" s="25">
        <f>IF(D1243="","",D1243/48)</f>
        <v>0</v>
      </c>
      <c r="D1243" s="26">
        <f>IF(A1243="","",ROUND((A1243-cfgDefasagem/1440)*48,0))</f>
        <v>0</v>
      </c>
      <c r="E1243" s="26">
        <f>IF(D1243="","",INT((D1243-cfgDeslocamento)/4))</f>
        <v>0</v>
      </c>
      <c r="F1243" s="26">
        <f>IF(D1243="","",MOD(D1243-cfgDeslocamento,4)+1)</f>
        <v>0</v>
      </c>
      <c r="G1243" s="26">
        <f>IF(A1243="","",IF(AND(ISNUMBER(B1243),B1243&lt;&gt;0),1,0))</f>
        <v>0</v>
      </c>
      <c r="H1243" s="25">
        <f>IF(E1243="","",(E1243*4+3+cfgDeslocamento)/48)</f>
        <v>0</v>
      </c>
    </row>
    <row r="1244" spans="1:8">
      <c r="A1244" s="24"/>
      <c r="B1244" s="19"/>
      <c r="C1244" s="25">
        <f>IF(D1244="","",D1244/48)</f>
        <v>0</v>
      </c>
      <c r="D1244" s="26">
        <f>IF(A1244="","",ROUND((A1244-cfgDefasagem/1440)*48,0))</f>
        <v>0</v>
      </c>
      <c r="E1244" s="26">
        <f>IF(D1244="","",INT((D1244-cfgDeslocamento)/4))</f>
        <v>0</v>
      </c>
      <c r="F1244" s="26">
        <f>IF(D1244="","",MOD(D1244-cfgDeslocamento,4)+1)</f>
        <v>0</v>
      </c>
      <c r="G1244" s="26">
        <f>IF(A1244="","",IF(AND(ISNUMBER(B1244),B1244&lt;&gt;0),1,0))</f>
        <v>0</v>
      </c>
      <c r="H1244" s="25">
        <f>IF(E1244="","",(E1244*4+3+cfgDeslocamento)/48)</f>
        <v>0</v>
      </c>
    </row>
    <row r="1245" spans="1:8">
      <c r="A1245" s="24"/>
      <c r="B1245" s="19"/>
      <c r="C1245" s="25">
        <f>IF(D1245="","",D1245/48)</f>
        <v>0</v>
      </c>
      <c r="D1245" s="26">
        <f>IF(A1245="","",ROUND((A1245-cfgDefasagem/1440)*48,0))</f>
        <v>0</v>
      </c>
      <c r="E1245" s="26">
        <f>IF(D1245="","",INT((D1245-cfgDeslocamento)/4))</f>
        <v>0</v>
      </c>
      <c r="F1245" s="26">
        <f>IF(D1245="","",MOD(D1245-cfgDeslocamento,4)+1)</f>
        <v>0</v>
      </c>
      <c r="G1245" s="26">
        <f>IF(A1245="","",IF(AND(ISNUMBER(B1245),B1245&lt;&gt;0),1,0))</f>
        <v>0</v>
      </c>
      <c r="H1245" s="25">
        <f>IF(E1245="","",(E1245*4+3+cfgDeslocamento)/48)</f>
        <v>0</v>
      </c>
    </row>
    <row r="1246" spans="1:8">
      <c r="A1246" s="24"/>
      <c r="B1246" s="19"/>
      <c r="C1246" s="25">
        <f>IF(D1246="","",D1246/48)</f>
        <v>0</v>
      </c>
      <c r="D1246" s="26">
        <f>IF(A1246="","",ROUND((A1246-cfgDefasagem/1440)*48,0))</f>
        <v>0</v>
      </c>
      <c r="E1246" s="26">
        <f>IF(D1246="","",INT((D1246-cfgDeslocamento)/4))</f>
        <v>0</v>
      </c>
      <c r="F1246" s="26">
        <f>IF(D1246="","",MOD(D1246-cfgDeslocamento,4)+1)</f>
        <v>0</v>
      </c>
      <c r="G1246" s="26">
        <f>IF(A1246="","",IF(AND(ISNUMBER(B1246),B1246&lt;&gt;0),1,0))</f>
        <v>0</v>
      </c>
      <c r="H1246" s="25">
        <f>IF(E1246="","",(E1246*4+3+cfgDeslocamento)/48)</f>
        <v>0</v>
      </c>
    </row>
    <row r="1247" spans="1:8">
      <c r="A1247" s="24"/>
      <c r="B1247" s="19"/>
      <c r="C1247" s="25">
        <f>IF(D1247="","",D1247/48)</f>
        <v>0</v>
      </c>
      <c r="D1247" s="26">
        <f>IF(A1247="","",ROUND((A1247-cfgDefasagem/1440)*48,0))</f>
        <v>0</v>
      </c>
      <c r="E1247" s="26">
        <f>IF(D1247="","",INT((D1247-cfgDeslocamento)/4))</f>
        <v>0</v>
      </c>
      <c r="F1247" s="26">
        <f>IF(D1247="","",MOD(D1247-cfgDeslocamento,4)+1)</f>
        <v>0</v>
      </c>
      <c r="G1247" s="26">
        <f>IF(A1247="","",IF(AND(ISNUMBER(B1247),B1247&lt;&gt;0),1,0))</f>
        <v>0</v>
      </c>
      <c r="H1247" s="25">
        <f>IF(E1247="","",(E1247*4+3+cfgDeslocamento)/48)</f>
        <v>0</v>
      </c>
    </row>
    <row r="1248" spans="1:8">
      <c r="A1248" s="24"/>
      <c r="B1248" s="19"/>
      <c r="C1248" s="25">
        <f>IF(D1248="","",D1248/48)</f>
        <v>0</v>
      </c>
      <c r="D1248" s="26">
        <f>IF(A1248="","",ROUND((A1248-cfgDefasagem/1440)*48,0))</f>
        <v>0</v>
      </c>
      <c r="E1248" s="26">
        <f>IF(D1248="","",INT((D1248-cfgDeslocamento)/4))</f>
        <v>0</v>
      </c>
      <c r="F1248" s="26">
        <f>IF(D1248="","",MOD(D1248-cfgDeslocamento,4)+1)</f>
        <v>0</v>
      </c>
      <c r="G1248" s="26">
        <f>IF(A1248="","",IF(AND(ISNUMBER(B1248),B1248&lt;&gt;0),1,0))</f>
        <v>0</v>
      </c>
      <c r="H1248" s="25">
        <f>IF(E1248="","",(E1248*4+3+cfgDeslocamento)/48)</f>
        <v>0</v>
      </c>
    </row>
    <row r="1249" spans="1:8">
      <c r="A1249" s="24"/>
      <c r="B1249" s="19"/>
      <c r="C1249" s="25">
        <f>IF(D1249="","",D1249/48)</f>
        <v>0</v>
      </c>
      <c r="D1249" s="26">
        <f>IF(A1249="","",ROUND((A1249-cfgDefasagem/1440)*48,0))</f>
        <v>0</v>
      </c>
      <c r="E1249" s="26">
        <f>IF(D1249="","",INT((D1249-cfgDeslocamento)/4))</f>
        <v>0</v>
      </c>
      <c r="F1249" s="26">
        <f>IF(D1249="","",MOD(D1249-cfgDeslocamento,4)+1)</f>
        <v>0</v>
      </c>
      <c r="G1249" s="26">
        <f>IF(A1249="","",IF(AND(ISNUMBER(B1249),B1249&lt;&gt;0),1,0))</f>
        <v>0</v>
      </c>
      <c r="H1249" s="25">
        <f>IF(E1249="","",(E1249*4+3+cfgDeslocamento)/48)</f>
        <v>0</v>
      </c>
    </row>
    <row r="1250" spans="1:8">
      <c r="A1250" s="24"/>
      <c r="B1250" s="19"/>
      <c r="C1250" s="25">
        <f>IF(D1250="","",D1250/48)</f>
        <v>0</v>
      </c>
      <c r="D1250" s="26">
        <f>IF(A1250="","",ROUND((A1250-cfgDefasagem/1440)*48,0))</f>
        <v>0</v>
      </c>
      <c r="E1250" s="26">
        <f>IF(D1250="","",INT((D1250-cfgDeslocamento)/4))</f>
        <v>0</v>
      </c>
      <c r="F1250" s="26">
        <f>IF(D1250="","",MOD(D1250-cfgDeslocamento,4)+1)</f>
        <v>0</v>
      </c>
      <c r="G1250" s="26">
        <f>IF(A1250="","",IF(AND(ISNUMBER(B1250),B1250&lt;&gt;0),1,0))</f>
        <v>0</v>
      </c>
      <c r="H1250" s="25">
        <f>IF(E1250="","",(E1250*4+3+cfgDeslocamento)/48)</f>
        <v>0</v>
      </c>
    </row>
    <row r="1251" spans="1:8">
      <c r="A1251" s="24"/>
      <c r="B1251" s="19"/>
      <c r="C1251" s="25">
        <f>IF(D1251="","",D1251/48)</f>
        <v>0</v>
      </c>
      <c r="D1251" s="26">
        <f>IF(A1251="","",ROUND((A1251-cfgDefasagem/1440)*48,0))</f>
        <v>0</v>
      </c>
      <c r="E1251" s="26">
        <f>IF(D1251="","",INT((D1251-cfgDeslocamento)/4))</f>
        <v>0</v>
      </c>
      <c r="F1251" s="26">
        <f>IF(D1251="","",MOD(D1251-cfgDeslocamento,4)+1)</f>
        <v>0</v>
      </c>
      <c r="G1251" s="26">
        <f>IF(A1251="","",IF(AND(ISNUMBER(B1251),B1251&lt;&gt;0),1,0))</f>
        <v>0</v>
      </c>
      <c r="H1251" s="25">
        <f>IF(E1251="","",(E1251*4+3+cfgDeslocamento)/48)</f>
        <v>0</v>
      </c>
    </row>
    <row r="1252" spans="1:8">
      <c r="A1252" s="24"/>
      <c r="B1252" s="19"/>
      <c r="C1252" s="25">
        <f>IF(D1252="","",D1252/48)</f>
        <v>0</v>
      </c>
      <c r="D1252" s="26">
        <f>IF(A1252="","",ROUND((A1252-cfgDefasagem/1440)*48,0))</f>
        <v>0</v>
      </c>
      <c r="E1252" s="26">
        <f>IF(D1252="","",INT((D1252-cfgDeslocamento)/4))</f>
        <v>0</v>
      </c>
      <c r="F1252" s="26">
        <f>IF(D1252="","",MOD(D1252-cfgDeslocamento,4)+1)</f>
        <v>0</v>
      </c>
      <c r="G1252" s="26">
        <f>IF(A1252="","",IF(AND(ISNUMBER(B1252),B1252&lt;&gt;0),1,0))</f>
        <v>0</v>
      </c>
      <c r="H1252" s="25">
        <f>IF(E1252="","",(E1252*4+3+cfgDeslocamento)/48)</f>
        <v>0</v>
      </c>
    </row>
    <row r="1253" spans="1:8">
      <c r="A1253" s="24"/>
      <c r="B1253" s="19"/>
      <c r="C1253" s="25">
        <f>IF(D1253="","",D1253/48)</f>
        <v>0</v>
      </c>
      <c r="D1253" s="26">
        <f>IF(A1253="","",ROUND((A1253-cfgDefasagem/1440)*48,0))</f>
        <v>0</v>
      </c>
      <c r="E1253" s="26">
        <f>IF(D1253="","",INT((D1253-cfgDeslocamento)/4))</f>
        <v>0</v>
      </c>
      <c r="F1253" s="26">
        <f>IF(D1253="","",MOD(D1253-cfgDeslocamento,4)+1)</f>
        <v>0</v>
      </c>
      <c r="G1253" s="26">
        <f>IF(A1253="","",IF(AND(ISNUMBER(B1253),B1253&lt;&gt;0),1,0))</f>
        <v>0</v>
      </c>
      <c r="H1253" s="25">
        <f>IF(E1253="","",(E1253*4+3+cfgDeslocamento)/48)</f>
        <v>0</v>
      </c>
    </row>
    <row r="1254" spans="1:8">
      <c r="A1254" s="24"/>
      <c r="B1254" s="19"/>
      <c r="C1254" s="25">
        <f>IF(D1254="","",D1254/48)</f>
        <v>0</v>
      </c>
      <c r="D1254" s="26">
        <f>IF(A1254="","",ROUND((A1254-cfgDefasagem/1440)*48,0))</f>
        <v>0</v>
      </c>
      <c r="E1254" s="26">
        <f>IF(D1254="","",INT((D1254-cfgDeslocamento)/4))</f>
        <v>0</v>
      </c>
      <c r="F1254" s="26">
        <f>IF(D1254="","",MOD(D1254-cfgDeslocamento,4)+1)</f>
        <v>0</v>
      </c>
      <c r="G1254" s="26">
        <f>IF(A1254="","",IF(AND(ISNUMBER(B1254),B1254&lt;&gt;0),1,0))</f>
        <v>0</v>
      </c>
      <c r="H1254" s="25">
        <f>IF(E1254="","",(E1254*4+3+cfgDeslocamento)/48)</f>
        <v>0</v>
      </c>
    </row>
    <row r="1255" spans="1:8">
      <c r="A1255" s="24"/>
      <c r="B1255" s="19"/>
      <c r="C1255" s="25">
        <f>IF(D1255="","",D1255/48)</f>
        <v>0</v>
      </c>
      <c r="D1255" s="26">
        <f>IF(A1255="","",ROUND((A1255-cfgDefasagem/1440)*48,0))</f>
        <v>0</v>
      </c>
      <c r="E1255" s="26">
        <f>IF(D1255="","",INT((D1255-cfgDeslocamento)/4))</f>
        <v>0</v>
      </c>
      <c r="F1255" s="26">
        <f>IF(D1255="","",MOD(D1255-cfgDeslocamento,4)+1)</f>
        <v>0</v>
      </c>
      <c r="G1255" s="26">
        <f>IF(A1255="","",IF(AND(ISNUMBER(B1255),B1255&lt;&gt;0),1,0))</f>
        <v>0</v>
      </c>
      <c r="H1255" s="25">
        <f>IF(E1255="","",(E1255*4+3+cfgDeslocamento)/48)</f>
        <v>0</v>
      </c>
    </row>
    <row r="1256" spans="1:8">
      <c r="A1256" s="24"/>
      <c r="B1256" s="19"/>
      <c r="C1256" s="25">
        <f>IF(D1256="","",D1256/48)</f>
        <v>0</v>
      </c>
      <c r="D1256" s="26">
        <f>IF(A1256="","",ROUND((A1256-cfgDefasagem/1440)*48,0))</f>
        <v>0</v>
      </c>
      <c r="E1256" s="26">
        <f>IF(D1256="","",INT((D1256-cfgDeslocamento)/4))</f>
        <v>0</v>
      </c>
      <c r="F1256" s="26">
        <f>IF(D1256="","",MOD(D1256-cfgDeslocamento,4)+1)</f>
        <v>0</v>
      </c>
      <c r="G1256" s="26">
        <f>IF(A1256="","",IF(AND(ISNUMBER(B1256),B1256&lt;&gt;0),1,0))</f>
        <v>0</v>
      </c>
      <c r="H1256" s="25">
        <f>IF(E1256="","",(E1256*4+3+cfgDeslocamento)/48)</f>
        <v>0</v>
      </c>
    </row>
    <row r="1257" spans="1:8">
      <c r="A1257" s="24"/>
      <c r="B1257" s="19"/>
      <c r="C1257" s="25">
        <f>IF(D1257="","",D1257/48)</f>
        <v>0</v>
      </c>
      <c r="D1257" s="26">
        <f>IF(A1257="","",ROUND((A1257-cfgDefasagem/1440)*48,0))</f>
        <v>0</v>
      </c>
      <c r="E1257" s="26">
        <f>IF(D1257="","",INT((D1257-cfgDeslocamento)/4))</f>
        <v>0</v>
      </c>
      <c r="F1257" s="26">
        <f>IF(D1257="","",MOD(D1257-cfgDeslocamento,4)+1)</f>
        <v>0</v>
      </c>
      <c r="G1257" s="26">
        <f>IF(A1257="","",IF(AND(ISNUMBER(B1257),B1257&lt;&gt;0),1,0))</f>
        <v>0</v>
      </c>
      <c r="H1257" s="25">
        <f>IF(E1257="","",(E1257*4+3+cfgDeslocamento)/48)</f>
        <v>0</v>
      </c>
    </row>
    <row r="1258" spans="1:8">
      <c r="A1258" s="24"/>
      <c r="B1258" s="19"/>
      <c r="C1258" s="25">
        <f>IF(D1258="","",D1258/48)</f>
        <v>0</v>
      </c>
      <c r="D1258" s="26">
        <f>IF(A1258="","",ROUND((A1258-cfgDefasagem/1440)*48,0))</f>
        <v>0</v>
      </c>
      <c r="E1258" s="26">
        <f>IF(D1258="","",INT((D1258-cfgDeslocamento)/4))</f>
        <v>0</v>
      </c>
      <c r="F1258" s="26">
        <f>IF(D1258="","",MOD(D1258-cfgDeslocamento,4)+1)</f>
        <v>0</v>
      </c>
      <c r="G1258" s="26">
        <f>IF(A1258="","",IF(AND(ISNUMBER(B1258),B1258&lt;&gt;0),1,0))</f>
        <v>0</v>
      </c>
      <c r="H1258" s="25">
        <f>IF(E1258="","",(E1258*4+3+cfgDeslocamento)/48)</f>
        <v>0</v>
      </c>
    </row>
    <row r="1259" spans="1:8">
      <c r="A1259" s="24"/>
      <c r="B1259" s="19"/>
      <c r="C1259" s="25">
        <f>IF(D1259="","",D1259/48)</f>
        <v>0</v>
      </c>
      <c r="D1259" s="26">
        <f>IF(A1259="","",ROUND((A1259-cfgDefasagem/1440)*48,0))</f>
        <v>0</v>
      </c>
      <c r="E1259" s="26">
        <f>IF(D1259="","",INT((D1259-cfgDeslocamento)/4))</f>
        <v>0</v>
      </c>
      <c r="F1259" s="26">
        <f>IF(D1259="","",MOD(D1259-cfgDeslocamento,4)+1)</f>
        <v>0</v>
      </c>
      <c r="G1259" s="26">
        <f>IF(A1259="","",IF(AND(ISNUMBER(B1259),B1259&lt;&gt;0),1,0))</f>
        <v>0</v>
      </c>
      <c r="H1259" s="25">
        <f>IF(E1259="","",(E1259*4+3+cfgDeslocamento)/48)</f>
        <v>0</v>
      </c>
    </row>
    <row r="1260" spans="1:8">
      <c r="A1260" s="24"/>
      <c r="B1260" s="19"/>
      <c r="C1260" s="25">
        <f>IF(D1260="","",D1260/48)</f>
        <v>0</v>
      </c>
      <c r="D1260" s="26">
        <f>IF(A1260="","",ROUND((A1260-cfgDefasagem/1440)*48,0))</f>
        <v>0</v>
      </c>
      <c r="E1260" s="26">
        <f>IF(D1260="","",INT((D1260-cfgDeslocamento)/4))</f>
        <v>0</v>
      </c>
      <c r="F1260" s="26">
        <f>IF(D1260="","",MOD(D1260-cfgDeslocamento,4)+1)</f>
        <v>0</v>
      </c>
      <c r="G1260" s="26">
        <f>IF(A1260="","",IF(AND(ISNUMBER(B1260),B1260&lt;&gt;0),1,0))</f>
        <v>0</v>
      </c>
      <c r="H1260" s="25">
        <f>IF(E1260="","",(E1260*4+3+cfgDeslocamento)/48)</f>
        <v>0</v>
      </c>
    </row>
    <row r="1261" spans="1:8">
      <c r="A1261" s="24"/>
      <c r="B1261" s="19"/>
      <c r="C1261" s="25">
        <f>IF(D1261="","",D1261/48)</f>
        <v>0</v>
      </c>
      <c r="D1261" s="26">
        <f>IF(A1261="","",ROUND((A1261-cfgDefasagem/1440)*48,0))</f>
        <v>0</v>
      </c>
      <c r="E1261" s="26">
        <f>IF(D1261="","",INT((D1261-cfgDeslocamento)/4))</f>
        <v>0</v>
      </c>
      <c r="F1261" s="26">
        <f>IF(D1261="","",MOD(D1261-cfgDeslocamento,4)+1)</f>
        <v>0</v>
      </c>
      <c r="G1261" s="26">
        <f>IF(A1261="","",IF(AND(ISNUMBER(B1261),B1261&lt;&gt;0),1,0))</f>
        <v>0</v>
      </c>
      <c r="H1261" s="25">
        <f>IF(E1261="","",(E1261*4+3+cfgDeslocamento)/48)</f>
        <v>0</v>
      </c>
    </row>
    <row r="1262" spans="1:8">
      <c r="A1262" s="24"/>
      <c r="B1262" s="19"/>
      <c r="C1262" s="25">
        <f>IF(D1262="","",D1262/48)</f>
        <v>0</v>
      </c>
      <c r="D1262" s="26">
        <f>IF(A1262="","",ROUND((A1262-cfgDefasagem/1440)*48,0))</f>
        <v>0</v>
      </c>
      <c r="E1262" s="26">
        <f>IF(D1262="","",INT((D1262-cfgDeslocamento)/4))</f>
        <v>0</v>
      </c>
      <c r="F1262" s="26">
        <f>IF(D1262="","",MOD(D1262-cfgDeslocamento,4)+1)</f>
        <v>0</v>
      </c>
      <c r="G1262" s="26">
        <f>IF(A1262="","",IF(AND(ISNUMBER(B1262),B1262&lt;&gt;0),1,0))</f>
        <v>0</v>
      </c>
      <c r="H1262" s="25">
        <f>IF(E1262="","",(E1262*4+3+cfgDeslocamento)/48)</f>
        <v>0</v>
      </c>
    </row>
    <row r="1263" spans="1:8">
      <c r="A1263" s="24"/>
      <c r="B1263" s="19"/>
      <c r="C1263" s="25">
        <f>IF(D1263="","",D1263/48)</f>
        <v>0</v>
      </c>
      <c r="D1263" s="26">
        <f>IF(A1263="","",ROUND((A1263-cfgDefasagem/1440)*48,0))</f>
        <v>0</v>
      </c>
      <c r="E1263" s="26">
        <f>IF(D1263="","",INT((D1263-cfgDeslocamento)/4))</f>
        <v>0</v>
      </c>
      <c r="F1263" s="26">
        <f>IF(D1263="","",MOD(D1263-cfgDeslocamento,4)+1)</f>
        <v>0</v>
      </c>
      <c r="G1263" s="26">
        <f>IF(A1263="","",IF(AND(ISNUMBER(B1263),B1263&lt;&gt;0),1,0))</f>
        <v>0</v>
      </c>
      <c r="H1263" s="25">
        <f>IF(E1263="","",(E1263*4+3+cfgDeslocamento)/48)</f>
        <v>0</v>
      </c>
    </row>
    <row r="1264" spans="1:8">
      <c r="A1264" s="24"/>
      <c r="B1264" s="19"/>
      <c r="C1264" s="25">
        <f>IF(D1264="","",D1264/48)</f>
        <v>0</v>
      </c>
      <c r="D1264" s="26">
        <f>IF(A1264="","",ROUND((A1264-cfgDefasagem/1440)*48,0))</f>
        <v>0</v>
      </c>
      <c r="E1264" s="26">
        <f>IF(D1264="","",INT((D1264-cfgDeslocamento)/4))</f>
        <v>0</v>
      </c>
      <c r="F1264" s="26">
        <f>IF(D1264="","",MOD(D1264-cfgDeslocamento,4)+1)</f>
        <v>0</v>
      </c>
      <c r="G1264" s="26">
        <f>IF(A1264="","",IF(AND(ISNUMBER(B1264),B1264&lt;&gt;0),1,0))</f>
        <v>0</v>
      </c>
      <c r="H1264" s="25">
        <f>IF(E1264="","",(E1264*4+3+cfgDeslocamento)/48)</f>
        <v>0</v>
      </c>
    </row>
    <row r="1265" spans="1:8">
      <c r="A1265" s="24"/>
      <c r="B1265" s="19"/>
      <c r="C1265" s="25">
        <f>IF(D1265="","",D1265/48)</f>
        <v>0</v>
      </c>
      <c r="D1265" s="26">
        <f>IF(A1265="","",ROUND((A1265-cfgDefasagem/1440)*48,0))</f>
        <v>0</v>
      </c>
      <c r="E1265" s="26">
        <f>IF(D1265="","",INT((D1265-cfgDeslocamento)/4))</f>
        <v>0</v>
      </c>
      <c r="F1265" s="26">
        <f>IF(D1265="","",MOD(D1265-cfgDeslocamento,4)+1)</f>
        <v>0</v>
      </c>
      <c r="G1265" s="26">
        <f>IF(A1265="","",IF(AND(ISNUMBER(B1265),B1265&lt;&gt;0),1,0))</f>
        <v>0</v>
      </c>
      <c r="H1265" s="25">
        <f>IF(E1265="","",(E1265*4+3+cfgDeslocamento)/48)</f>
        <v>0</v>
      </c>
    </row>
    <row r="1266" spans="1:8">
      <c r="A1266" s="24"/>
      <c r="B1266" s="19"/>
      <c r="C1266" s="25">
        <f>IF(D1266="","",D1266/48)</f>
        <v>0</v>
      </c>
      <c r="D1266" s="26">
        <f>IF(A1266="","",ROUND((A1266-cfgDefasagem/1440)*48,0))</f>
        <v>0</v>
      </c>
      <c r="E1266" s="26">
        <f>IF(D1266="","",INT((D1266-cfgDeslocamento)/4))</f>
        <v>0</v>
      </c>
      <c r="F1266" s="26">
        <f>IF(D1266="","",MOD(D1266-cfgDeslocamento,4)+1)</f>
        <v>0</v>
      </c>
      <c r="G1266" s="26">
        <f>IF(A1266="","",IF(AND(ISNUMBER(B1266),B1266&lt;&gt;0),1,0))</f>
        <v>0</v>
      </c>
      <c r="H1266" s="25">
        <f>IF(E1266="","",(E1266*4+3+cfgDeslocamento)/48)</f>
        <v>0</v>
      </c>
    </row>
    <row r="1267" spans="1:8">
      <c r="A1267" s="24"/>
      <c r="B1267" s="19"/>
      <c r="C1267" s="25">
        <f>IF(D1267="","",D1267/48)</f>
        <v>0</v>
      </c>
      <c r="D1267" s="26">
        <f>IF(A1267="","",ROUND((A1267-cfgDefasagem/1440)*48,0))</f>
        <v>0</v>
      </c>
      <c r="E1267" s="26">
        <f>IF(D1267="","",INT((D1267-cfgDeslocamento)/4))</f>
        <v>0</v>
      </c>
      <c r="F1267" s="26">
        <f>IF(D1267="","",MOD(D1267-cfgDeslocamento,4)+1)</f>
        <v>0</v>
      </c>
      <c r="G1267" s="26">
        <f>IF(A1267="","",IF(AND(ISNUMBER(B1267),B1267&lt;&gt;0),1,0))</f>
        <v>0</v>
      </c>
      <c r="H1267" s="25">
        <f>IF(E1267="","",(E1267*4+3+cfgDeslocamento)/48)</f>
        <v>0</v>
      </c>
    </row>
    <row r="1268" spans="1:8">
      <c r="A1268" s="24"/>
      <c r="B1268" s="19"/>
      <c r="C1268" s="25">
        <f>IF(D1268="","",D1268/48)</f>
        <v>0</v>
      </c>
      <c r="D1268" s="26">
        <f>IF(A1268="","",ROUND((A1268-cfgDefasagem/1440)*48,0))</f>
        <v>0</v>
      </c>
      <c r="E1268" s="26">
        <f>IF(D1268="","",INT((D1268-cfgDeslocamento)/4))</f>
        <v>0</v>
      </c>
      <c r="F1268" s="26">
        <f>IF(D1268="","",MOD(D1268-cfgDeslocamento,4)+1)</f>
        <v>0</v>
      </c>
      <c r="G1268" s="26">
        <f>IF(A1268="","",IF(AND(ISNUMBER(B1268),B1268&lt;&gt;0),1,0))</f>
        <v>0</v>
      </c>
      <c r="H1268" s="25">
        <f>IF(E1268="","",(E1268*4+3+cfgDeslocamento)/48)</f>
        <v>0</v>
      </c>
    </row>
    <row r="1269" spans="1:8">
      <c r="A1269" s="24"/>
      <c r="B1269" s="19"/>
      <c r="C1269" s="25">
        <f>IF(D1269="","",D1269/48)</f>
        <v>0</v>
      </c>
      <c r="D1269" s="26">
        <f>IF(A1269="","",ROUND((A1269-cfgDefasagem/1440)*48,0))</f>
        <v>0</v>
      </c>
      <c r="E1269" s="26">
        <f>IF(D1269="","",INT((D1269-cfgDeslocamento)/4))</f>
        <v>0</v>
      </c>
      <c r="F1269" s="26">
        <f>IF(D1269="","",MOD(D1269-cfgDeslocamento,4)+1)</f>
        <v>0</v>
      </c>
      <c r="G1269" s="26">
        <f>IF(A1269="","",IF(AND(ISNUMBER(B1269),B1269&lt;&gt;0),1,0))</f>
        <v>0</v>
      </c>
      <c r="H1269" s="25">
        <f>IF(E1269="","",(E1269*4+3+cfgDeslocamento)/48)</f>
        <v>0</v>
      </c>
    </row>
    <row r="1270" spans="1:8">
      <c r="A1270" s="24"/>
      <c r="B1270" s="19"/>
      <c r="C1270" s="25">
        <f>IF(D1270="","",D1270/48)</f>
        <v>0</v>
      </c>
      <c r="D1270" s="26">
        <f>IF(A1270="","",ROUND((A1270-cfgDefasagem/1440)*48,0))</f>
        <v>0</v>
      </c>
      <c r="E1270" s="26">
        <f>IF(D1270="","",INT((D1270-cfgDeslocamento)/4))</f>
        <v>0</v>
      </c>
      <c r="F1270" s="26">
        <f>IF(D1270="","",MOD(D1270-cfgDeslocamento,4)+1)</f>
        <v>0</v>
      </c>
      <c r="G1270" s="26">
        <f>IF(A1270="","",IF(AND(ISNUMBER(B1270),B1270&lt;&gt;0),1,0))</f>
        <v>0</v>
      </c>
      <c r="H1270" s="25">
        <f>IF(E1270="","",(E1270*4+3+cfgDeslocamento)/48)</f>
        <v>0</v>
      </c>
    </row>
    <row r="1271" spans="1:8">
      <c r="A1271" s="24"/>
      <c r="B1271" s="19"/>
      <c r="C1271" s="25">
        <f>IF(D1271="","",D1271/48)</f>
        <v>0</v>
      </c>
      <c r="D1271" s="26">
        <f>IF(A1271="","",ROUND((A1271-cfgDefasagem/1440)*48,0))</f>
        <v>0</v>
      </c>
      <c r="E1271" s="26">
        <f>IF(D1271="","",INT((D1271-cfgDeslocamento)/4))</f>
        <v>0</v>
      </c>
      <c r="F1271" s="26">
        <f>IF(D1271="","",MOD(D1271-cfgDeslocamento,4)+1)</f>
        <v>0</v>
      </c>
      <c r="G1271" s="26">
        <f>IF(A1271="","",IF(AND(ISNUMBER(B1271),B1271&lt;&gt;0),1,0))</f>
        <v>0</v>
      </c>
      <c r="H1271" s="25">
        <f>IF(E1271="","",(E1271*4+3+cfgDeslocamento)/48)</f>
        <v>0</v>
      </c>
    </row>
    <row r="1272" spans="1:8">
      <c r="A1272" s="24"/>
      <c r="B1272" s="19"/>
      <c r="C1272" s="25">
        <f>IF(D1272="","",D1272/48)</f>
        <v>0</v>
      </c>
      <c r="D1272" s="26">
        <f>IF(A1272="","",ROUND((A1272-cfgDefasagem/1440)*48,0))</f>
        <v>0</v>
      </c>
      <c r="E1272" s="26">
        <f>IF(D1272="","",INT((D1272-cfgDeslocamento)/4))</f>
        <v>0</v>
      </c>
      <c r="F1272" s="26">
        <f>IF(D1272="","",MOD(D1272-cfgDeslocamento,4)+1)</f>
        <v>0</v>
      </c>
      <c r="G1272" s="26">
        <f>IF(A1272="","",IF(AND(ISNUMBER(B1272),B1272&lt;&gt;0),1,0))</f>
        <v>0</v>
      </c>
      <c r="H1272" s="25">
        <f>IF(E1272="","",(E1272*4+3+cfgDeslocamento)/48)</f>
        <v>0</v>
      </c>
    </row>
    <row r="1273" spans="1:8">
      <c r="A1273" s="24"/>
      <c r="B1273" s="19"/>
      <c r="C1273" s="25">
        <f>IF(D1273="","",D1273/48)</f>
        <v>0</v>
      </c>
      <c r="D1273" s="26">
        <f>IF(A1273="","",ROUND((A1273-cfgDefasagem/1440)*48,0))</f>
        <v>0</v>
      </c>
      <c r="E1273" s="26">
        <f>IF(D1273="","",INT((D1273-cfgDeslocamento)/4))</f>
        <v>0</v>
      </c>
      <c r="F1273" s="26">
        <f>IF(D1273="","",MOD(D1273-cfgDeslocamento,4)+1)</f>
        <v>0</v>
      </c>
      <c r="G1273" s="26">
        <f>IF(A1273="","",IF(AND(ISNUMBER(B1273),B1273&lt;&gt;0),1,0))</f>
        <v>0</v>
      </c>
      <c r="H1273" s="25">
        <f>IF(E1273="","",(E1273*4+3+cfgDeslocamento)/48)</f>
        <v>0</v>
      </c>
    </row>
    <row r="1274" spans="1:8">
      <c r="A1274" s="24"/>
      <c r="B1274" s="19"/>
      <c r="C1274" s="25">
        <f>IF(D1274="","",D1274/48)</f>
        <v>0</v>
      </c>
      <c r="D1274" s="26">
        <f>IF(A1274="","",ROUND((A1274-cfgDefasagem/1440)*48,0))</f>
        <v>0</v>
      </c>
      <c r="E1274" s="26">
        <f>IF(D1274="","",INT((D1274-cfgDeslocamento)/4))</f>
        <v>0</v>
      </c>
      <c r="F1274" s="26">
        <f>IF(D1274="","",MOD(D1274-cfgDeslocamento,4)+1)</f>
        <v>0</v>
      </c>
      <c r="G1274" s="26">
        <f>IF(A1274="","",IF(AND(ISNUMBER(B1274),B1274&lt;&gt;0),1,0))</f>
        <v>0</v>
      </c>
      <c r="H1274" s="25">
        <f>IF(E1274="","",(E1274*4+3+cfgDeslocamento)/48)</f>
        <v>0</v>
      </c>
    </row>
    <row r="1275" spans="1:8">
      <c r="A1275" s="24"/>
      <c r="B1275" s="19"/>
      <c r="C1275" s="25">
        <f>IF(D1275="","",D1275/48)</f>
        <v>0</v>
      </c>
      <c r="D1275" s="26">
        <f>IF(A1275="","",ROUND((A1275-cfgDefasagem/1440)*48,0))</f>
        <v>0</v>
      </c>
      <c r="E1275" s="26">
        <f>IF(D1275="","",INT((D1275-cfgDeslocamento)/4))</f>
        <v>0</v>
      </c>
      <c r="F1275" s="26">
        <f>IF(D1275="","",MOD(D1275-cfgDeslocamento,4)+1)</f>
        <v>0</v>
      </c>
      <c r="G1275" s="26">
        <f>IF(A1275="","",IF(AND(ISNUMBER(B1275),B1275&lt;&gt;0),1,0))</f>
        <v>0</v>
      </c>
      <c r="H1275" s="25">
        <f>IF(E1275="","",(E1275*4+3+cfgDeslocamento)/48)</f>
        <v>0</v>
      </c>
    </row>
    <row r="1276" spans="1:8">
      <c r="A1276" s="24"/>
      <c r="B1276" s="19"/>
      <c r="C1276" s="25">
        <f>IF(D1276="","",D1276/48)</f>
        <v>0</v>
      </c>
      <c r="D1276" s="26">
        <f>IF(A1276="","",ROUND((A1276-cfgDefasagem/1440)*48,0))</f>
        <v>0</v>
      </c>
      <c r="E1276" s="26">
        <f>IF(D1276="","",INT((D1276-cfgDeslocamento)/4))</f>
        <v>0</v>
      </c>
      <c r="F1276" s="26">
        <f>IF(D1276="","",MOD(D1276-cfgDeslocamento,4)+1)</f>
        <v>0</v>
      </c>
      <c r="G1276" s="26">
        <f>IF(A1276="","",IF(AND(ISNUMBER(B1276),B1276&lt;&gt;0),1,0))</f>
        <v>0</v>
      </c>
      <c r="H1276" s="25">
        <f>IF(E1276="","",(E1276*4+3+cfgDeslocamento)/48)</f>
        <v>0</v>
      </c>
    </row>
    <row r="1277" spans="1:8">
      <c r="A1277" s="24"/>
      <c r="B1277" s="19"/>
      <c r="C1277" s="25">
        <f>IF(D1277="","",D1277/48)</f>
        <v>0</v>
      </c>
      <c r="D1277" s="26">
        <f>IF(A1277="","",ROUND((A1277-cfgDefasagem/1440)*48,0))</f>
        <v>0</v>
      </c>
      <c r="E1277" s="26">
        <f>IF(D1277="","",INT((D1277-cfgDeslocamento)/4))</f>
        <v>0</v>
      </c>
      <c r="F1277" s="26">
        <f>IF(D1277="","",MOD(D1277-cfgDeslocamento,4)+1)</f>
        <v>0</v>
      </c>
      <c r="G1277" s="26">
        <f>IF(A1277="","",IF(AND(ISNUMBER(B1277),B1277&lt;&gt;0),1,0))</f>
        <v>0</v>
      </c>
      <c r="H1277" s="25">
        <f>IF(E1277="","",(E1277*4+3+cfgDeslocamento)/48)</f>
        <v>0</v>
      </c>
    </row>
    <row r="1278" spans="1:8">
      <c r="A1278" s="24"/>
      <c r="B1278" s="19"/>
      <c r="C1278" s="25">
        <f>IF(D1278="","",D1278/48)</f>
        <v>0</v>
      </c>
      <c r="D1278" s="26">
        <f>IF(A1278="","",ROUND((A1278-cfgDefasagem/1440)*48,0))</f>
        <v>0</v>
      </c>
      <c r="E1278" s="26">
        <f>IF(D1278="","",INT((D1278-cfgDeslocamento)/4))</f>
        <v>0</v>
      </c>
      <c r="F1278" s="26">
        <f>IF(D1278="","",MOD(D1278-cfgDeslocamento,4)+1)</f>
        <v>0</v>
      </c>
      <c r="G1278" s="26">
        <f>IF(A1278="","",IF(AND(ISNUMBER(B1278),B1278&lt;&gt;0),1,0))</f>
        <v>0</v>
      </c>
      <c r="H1278" s="25">
        <f>IF(E1278="","",(E1278*4+3+cfgDeslocamento)/48)</f>
        <v>0</v>
      </c>
    </row>
    <row r="1279" spans="1:8">
      <c r="A1279" s="24"/>
      <c r="B1279" s="19"/>
      <c r="C1279" s="25">
        <f>IF(D1279="","",D1279/48)</f>
        <v>0</v>
      </c>
      <c r="D1279" s="26">
        <f>IF(A1279="","",ROUND((A1279-cfgDefasagem/1440)*48,0))</f>
        <v>0</v>
      </c>
      <c r="E1279" s="26">
        <f>IF(D1279="","",INT((D1279-cfgDeslocamento)/4))</f>
        <v>0</v>
      </c>
      <c r="F1279" s="26">
        <f>IF(D1279="","",MOD(D1279-cfgDeslocamento,4)+1)</f>
        <v>0</v>
      </c>
      <c r="G1279" s="26">
        <f>IF(A1279="","",IF(AND(ISNUMBER(B1279),B1279&lt;&gt;0),1,0))</f>
        <v>0</v>
      </c>
      <c r="H1279" s="25">
        <f>IF(E1279="","",(E1279*4+3+cfgDeslocamento)/48)</f>
        <v>0</v>
      </c>
    </row>
    <row r="1280" spans="1:8">
      <c r="A1280" s="24"/>
      <c r="B1280" s="19"/>
      <c r="C1280" s="25">
        <f>IF(D1280="","",D1280/48)</f>
        <v>0</v>
      </c>
      <c r="D1280" s="26">
        <f>IF(A1280="","",ROUND((A1280-cfgDefasagem/1440)*48,0))</f>
        <v>0</v>
      </c>
      <c r="E1280" s="26">
        <f>IF(D1280="","",INT((D1280-cfgDeslocamento)/4))</f>
        <v>0</v>
      </c>
      <c r="F1280" s="26">
        <f>IF(D1280="","",MOD(D1280-cfgDeslocamento,4)+1)</f>
        <v>0</v>
      </c>
      <c r="G1280" s="26">
        <f>IF(A1280="","",IF(AND(ISNUMBER(B1280),B1280&lt;&gt;0),1,0))</f>
        <v>0</v>
      </c>
      <c r="H1280" s="25">
        <f>IF(E1280="","",(E1280*4+3+cfgDeslocamento)/48)</f>
        <v>0</v>
      </c>
    </row>
    <row r="1281" spans="1:8">
      <c r="A1281" s="24"/>
      <c r="B1281" s="19"/>
      <c r="C1281" s="25">
        <f>IF(D1281="","",D1281/48)</f>
        <v>0</v>
      </c>
      <c r="D1281" s="26">
        <f>IF(A1281="","",ROUND((A1281-cfgDefasagem/1440)*48,0))</f>
        <v>0</v>
      </c>
      <c r="E1281" s="26">
        <f>IF(D1281="","",INT((D1281-cfgDeslocamento)/4))</f>
        <v>0</v>
      </c>
      <c r="F1281" s="26">
        <f>IF(D1281="","",MOD(D1281-cfgDeslocamento,4)+1)</f>
        <v>0</v>
      </c>
      <c r="G1281" s="26">
        <f>IF(A1281="","",IF(AND(ISNUMBER(B1281),B1281&lt;&gt;0),1,0))</f>
        <v>0</v>
      </c>
      <c r="H1281" s="25">
        <f>IF(E1281="","",(E1281*4+3+cfgDeslocamento)/48)</f>
        <v>0</v>
      </c>
    </row>
    <row r="1282" spans="1:8">
      <c r="A1282" s="24"/>
      <c r="B1282" s="19"/>
      <c r="C1282" s="25">
        <f>IF(D1282="","",D1282/48)</f>
        <v>0</v>
      </c>
      <c r="D1282" s="26">
        <f>IF(A1282="","",ROUND((A1282-cfgDefasagem/1440)*48,0))</f>
        <v>0</v>
      </c>
      <c r="E1282" s="26">
        <f>IF(D1282="","",INT((D1282-cfgDeslocamento)/4))</f>
        <v>0</v>
      </c>
      <c r="F1282" s="26">
        <f>IF(D1282="","",MOD(D1282-cfgDeslocamento,4)+1)</f>
        <v>0</v>
      </c>
      <c r="G1282" s="26">
        <f>IF(A1282="","",IF(AND(ISNUMBER(B1282),B1282&lt;&gt;0),1,0))</f>
        <v>0</v>
      </c>
      <c r="H1282" s="25">
        <f>IF(E1282="","",(E1282*4+3+cfgDeslocamento)/48)</f>
        <v>0</v>
      </c>
    </row>
    <row r="1283" spans="1:8">
      <c r="A1283" s="24"/>
      <c r="B1283" s="19"/>
      <c r="C1283" s="25">
        <f>IF(D1283="","",D1283/48)</f>
        <v>0</v>
      </c>
      <c r="D1283" s="26">
        <f>IF(A1283="","",ROUND((A1283-cfgDefasagem/1440)*48,0))</f>
        <v>0</v>
      </c>
      <c r="E1283" s="26">
        <f>IF(D1283="","",INT((D1283-cfgDeslocamento)/4))</f>
        <v>0</v>
      </c>
      <c r="F1283" s="26">
        <f>IF(D1283="","",MOD(D1283-cfgDeslocamento,4)+1)</f>
        <v>0</v>
      </c>
      <c r="G1283" s="26">
        <f>IF(A1283="","",IF(AND(ISNUMBER(B1283),B1283&lt;&gt;0),1,0))</f>
        <v>0</v>
      </c>
      <c r="H1283" s="25">
        <f>IF(E1283="","",(E1283*4+3+cfgDeslocamento)/48)</f>
        <v>0</v>
      </c>
    </row>
    <row r="1284" spans="1:8">
      <c r="A1284" s="24"/>
      <c r="B1284" s="19"/>
      <c r="C1284" s="25">
        <f>IF(D1284="","",D1284/48)</f>
        <v>0</v>
      </c>
      <c r="D1284" s="26">
        <f>IF(A1284="","",ROUND((A1284-cfgDefasagem/1440)*48,0))</f>
        <v>0</v>
      </c>
      <c r="E1284" s="26">
        <f>IF(D1284="","",INT((D1284-cfgDeslocamento)/4))</f>
        <v>0</v>
      </c>
      <c r="F1284" s="26">
        <f>IF(D1284="","",MOD(D1284-cfgDeslocamento,4)+1)</f>
        <v>0</v>
      </c>
      <c r="G1284" s="26">
        <f>IF(A1284="","",IF(AND(ISNUMBER(B1284),B1284&lt;&gt;0),1,0))</f>
        <v>0</v>
      </c>
      <c r="H1284" s="25">
        <f>IF(E1284="","",(E1284*4+3+cfgDeslocamento)/48)</f>
        <v>0</v>
      </c>
    </row>
    <row r="1285" spans="1:8">
      <c r="A1285" s="24"/>
      <c r="B1285" s="19"/>
      <c r="C1285" s="25">
        <f>IF(D1285="","",D1285/48)</f>
        <v>0</v>
      </c>
      <c r="D1285" s="26">
        <f>IF(A1285="","",ROUND((A1285-cfgDefasagem/1440)*48,0))</f>
        <v>0</v>
      </c>
      <c r="E1285" s="26">
        <f>IF(D1285="","",INT((D1285-cfgDeslocamento)/4))</f>
        <v>0</v>
      </c>
      <c r="F1285" s="26">
        <f>IF(D1285="","",MOD(D1285-cfgDeslocamento,4)+1)</f>
        <v>0</v>
      </c>
      <c r="G1285" s="26">
        <f>IF(A1285="","",IF(AND(ISNUMBER(B1285),B1285&lt;&gt;0),1,0))</f>
        <v>0</v>
      </c>
      <c r="H1285" s="25">
        <f>IF(E1285="","",(E1285*4+3+cfgDeslocamento)/48)</f>
        <v>0</v>
      </c>
    </row>
    <row r="1286" spans="1:8">
      <c r="A1286" s="24"/>
      <c r="B1286" s="19"/>
      <c r="C1286" s="25">
        <f>IF(D1286="","",D1286/48)</f>
        <v>0</v>
      </c>
      <c r="D1286" s="26">
        <f>IF(A1286="","",ROUND((A1286-cfgDefasagem/1440)*48,0))</f>
        <v>0</v>
      </c>
      <c r="E1286" s="26">
        <f>IF(D1286="","",INT((D1286-cfgDeslocamento)/4))</f>
        <v>0</v>
      </c>
      <c r="F1286" s="26">
        <f>IF(D1286="","",MOD(D1286-cfgDeslocamento,4)+1)</f>
        <v>0</v>
      </c>
      <c r="G1286" s="26">
        <f>IF(A1286="","",IF(AND(ISNUMBER(B1286),B1286&lt;&gt;0),1,0))</f>
        <v>0</v>
      </c>
      <c r="H1286" s="25">
        <f>IF(E1286="","",(E1286*4+3+cfgDeslocamento)/48)</f>
        <v>0</v>
      </c>
    </row>
    <row r="1287" spans="1:8">
      <c r="A1287" s="24"/>
      <c r="B1287" s="19"/>
      <c r="C1287" s="25">
        <f>IF(D1287="","",D1287/48)</f>
        <v>0</v>
      </c>
      <c r="D1287" s="26">
        <f>IF(A1287="","",ROUND((A1287-cfgDefasagem/1440)*48,0))</f>
        <v>0</v>
      </c>
      <c r="E1287" s="26">
        <f>IF(D1287="","",INT((D1287-cfgDeslocamento)/4))</f>
        <v>0</v>
      </c>
      <c r="F1287" s="26">
        <f>IF(D1287="","",MOD(D1287-cfgDeslocamento,4)+1)</f>
        <v>0</v>
      </c>
      <c r="G1287" s="26">
        <f>IF(A1287="","",IF(AND(ISNUMBER(B1287),B1287&lt;&gt;0),1,0))</f>
        <v>0</v>
      </c>
      <c r="H1287" s="25">
        <f>IF(E1287="","",(E1287*4+3+cfgDeslocamento)/48)</f>
        <v>0</v>
      </c>
    </row>
    <row r="1288" spans="1:8">
      <c r="A1288" s="24"/>
      <c r="B1288" s="19"/>
      <c r="C1288" s="25">
        <f>IF(D1288="","",D1288/48)</f>
        <v>0</v>
      </c>
      <c r="D1288" s="26">
        <f>IF(A1288="","",ROUND((A1288-cfgDefasagem/1440)*48,0))</f>
        <v>0</v>
      </c>
      <c r="E1288" s="26">
        <f>IF(D1288="","",INT((D1288-cfgDeslocamento)/4))</f>
        <v>0</v>
      </c>
      <c r="F1288" s="26">
        <f>IF(D1288="","",MOD(D1288-cfgDeslocamento,4)+1)</f>
        <v>0</v>
      </c>
      <c r="G1288" s="26">
        <f>IF(A1288="","",IF(AND(ISNUMBER(B1288),B1288&lt;&gt;0),1,0))</f>
        <v>0</v>
      </c>
      <c r="H1288" s="25">
        <f>IF(E1288="","",(E1288*4+3+cfgDeslocamento)/48)</f>
        <v>0</v>
      </c>
    </row>
    <row r="1289" spans="1:8">
      <c r="A1289" s="24"/>
      <c r="B1289" s="19"/>
      <c r="C1289" s="25">
        <f>IF(D1289="","",D1289/48)</f>
        <v>0</v>
      </c>
      <c r="D1289" s="26">
        <f>IF(A1289="","",ROUND((A1289-cfgDefasagem/1440)*48,0))</f>
        <v>0</v>
      </c>
      <c r="E1289" s="26">
        <f>IF(D1289="","",INT((D1289-cfgDeslocamento)/4))</f>
        <v>0</v>
      </c>
      <c r="F1289" s="26">
        <f>IF(D1289="","",MOD(D1289-cfgDeslocamento,4)+1)</f>
        <v>0</v>
      </c>
      <c r="G1289" s="26">
        <f>IF(A1289="","",IF(AND(ISNUMBER(B1289),B1289&lt;&gt;0),1,0))</f>
        <v>0</v>
      </c>
      <c r="H1289" s="25">
        <f>IF(E1289="","",(E1289*4+3+cfgDeslocamento)/48)</f>
        <v>0</v>
      </c>
    </row>
    <row r="1290" spans="1:8">
      <c r="A1290" s="24"/>
      <c r="B1290" s="19"/>
      <c r="C1290" s="25">
        <f>IF(D1290="","",D1290/48)</f>
        <v>0</v>
      </c>
      <c r="D1290" s="26">
        <f>IF(A1290="","",ROUND((A1290-cfgDefasagem/1440)*48,0))</f>
        <v>0</v>
      </c>
      <c r="E1290" s="26">
        <f>IF(D1290="","",INT((D1290-cfgDeslocamento)/4))</f>
        <v>0</v>
      </c>
      <c r="F1290" s="26">
        <f>IF(D1290="","",MOD(D1290-cfgDeslocamento,4)+1)</f>
        <v>0</v>
      </c>
      <c r="G1290" s="26">
        <f>IF(A1290="","",IF(AND(ISNUMBER(B1290),B1290&lt;&gt;0),1,0))</f>
        <v>0</v>
      </c>
      <c r="H1290" s="25">
        <f>IF(E1290="","",(E1290*4+3+cfgDeslocamento)/48)</f>
        <v>0</v>
      </c>
    </row>
    <row r="1291" spans="1:8">
      <c r="A1291" s="24"/>
      <c r="B1291" s="19"/>
      <c r="C1291" s="25">
        <f>IF(D1291="","",D1291/48)</f>
        <v>0</v>
      </c>
      <c r="D1291" s="26">
        <f>IF(A1291="","",ROUND((A1291-cfgDefasagem/1440)*48,0))</f>
        <v>0</v>
      </c>
      <c r="E1291" s="26">
        <f>IF(D1291="","",INT((D1291-cfgDeslocamento)/4))</f>
        <v>0</v>
      </c>
      <c r="F1291" s="26">
        <f>IF(D1291="","",MOD(D1291-cfgDeslocamento,4)+1)</f>
        <v>0</v>
      </c>
      <c r="G1291" s="26">
        <f>IF(A1291="","",IF(AND(ISNUMBER(B1291),B1291&lt;&gt;0),1,0))</f>
        <v>0</v>
      </c>
      <c r="H1291" s="25">
        <f>IF(E1291="","",(E1291*4+3+cfgDeslocamento)/48)</f>
        <v>0</v>
      </c>
    </row>
    <row r="1292" spans="1:8">
      <c r="A1292" s="24"/>
      <c r="B1292" s="19"/>
      <c r="C1292" s="25">
        <f>IF(D1292="","",D1292/48)</f>
        <v>0</v>
      </c>
      <c r="D1292" s="26">
        <f>IF(A1292="","",ROUND((A1292-cfgDefasagem/1440)*48,0))</f>
        <v>0</v>
      </c>
      <c r="E1292" s="26">
        <f>IF(D1292="","",INT((D1292-cfgDeslocamento)/4))</f>
        <v>0</v>
      </c>
      <c r="F1292" s="26">
        <f>IF(D1292="","",MOD(D1292-cfgDeslocamento,4)+1)</f>
        <v>0</v>
      </c>
      <c r="G1292" s="26">
        <f>IF(A1292="","",IF(AND(ISNUMBER(B1292),B1292&lt;&gt;0),1,0))</f>
        <v>0</v>
      </c>
      <c r="H1292" s="25">
        <f>IF(E1292="","",(E1292*4+3+cfgDeslocamento)/48)</f>
        <v>0</v>
      </c>
    </row>
    <row r="1293" spans="1:8">
      <c r="A1293" s="24"/>
      <c r="B1293" s="19"/>
      <c r="C1293" s="25">
        <f>IF(D1293="","",D1293/48)</f>
        <v>0</v>
      </c>
      <c r="D1293" s="26">
        <f>IF(A1293="","",ROUND((A1293-cfgDefasagem/1440)*48,0))</f>
        <v>0</v>
      </c>
      <c r="E1293" s="26">
        <f>IF(D1293="","",INT((D1293-cfgDeslocamento)/4))</f>
        <v>0</v>
      </c>
      <c r="F1293" s="26">
        <f>IF(D1293="","",MOD(D1293-cfgDeslocamento,4)+1)</f>
        <v>0</v>
      </c>
      <c r="G1293" s="26">
        <f>IF(A1293="","",IF(AND(ISNUMBER(B1293),B1293&lt;&gt;0),1,0))</f>
        <v>0</v>
      </c>
      <c r="H1293" s="25">
        <f>IF(E1293="","",(E1293*4+3+cfgDeslocamento)/48)</f>
        <v>0</v>
      </c>
    </row>
    <row r="1294" spans="1:8">
      <c r="A1294" s="24"/>
      <c r="B1294" s="19"/>
      <c r="C1294" s="25">
        <f>IF(D1294="","",D1294/48)</f>
        <v>0</v>
      </c>
      <c r="D1294" s="26">
        <f>IF(A1294="","",ROUND((A1294-cfgDefasagem/1440)*48,0))</f>
        <v>0</v>
      </c>
      <c r="E1294" s="26">
        <f>IF(D1294="","",INT((D1294-cfgDeslocamento)/4))</f>
        <v>0</v>
      </c>
      <c r="F1294" s="26">
        <f>IF(D1294="","",MOD(D1294-cfgDeslocamento,4)+1)</f>
        <v>0</v>
      </c>
      <c r="G1294" s="26">
        <f>IF(A1294="","",IF(AND(ISNUMBER(B1294),B1294&lt;&gt;0),1,0))</f>
        <v>0</v>
      </c>
      <c r="H1294" s="25">
        <f>IF(E1294="","",(E1294*4+3+cfgDeslocamento)/48)</f>
        <v>0</v>
      </c>
    </row>
    <row r="1295" spans="1:8">
      <c r="A1295" s="24"/>
      <c r="B1295" s="19"/>
      <c r="C1295" s="25">
        <f>IF(D1295="","",D1295/48)</f>
        <v>0</v>
      </c>
      <c r="D1295" s="26">
        <f>IF(A1295="","",ROUND((A1295-cfgDefasagem/1440)*48,0))</f>
        <v>0</v>
      </c>
      <c r="E1295" s="26">
        <f>IF(D1295="","",INT((D1295-cfgDeslocamento)/4))</f>
        <v>0</v>
      </c>
      <c r="F1295" s="26">
        <f>IF(D1295="","",MOD(D1295-cfgDeslocamento,4)+1)</f>
        <v>0</v>
      </c>
      <c r="G1295" s="26">
        <f>IF(A1295="","",IF(AND(ISNUMBER(B1295),B1295&lt;&gt;0),1,0))</f>
        <v>0</v>
      </c>
      <c r="H1295" s="25">
        <f>IF(E1295="","",(E1295*4+3+cfgDeslocamento)/48)</f>
        <v>0</v>
      </c>
    </row>
    <row r="1296" spans="1:8">
      <c r="A1296" s="24"/>
      <c r="B1296" s="19"/>
      <c r="C1296" s="25">
        <f>IF(D1296="","",D1296/48)</f>
        <v>0</v>
      </c>
      <c r="D1296" s="26">
        <f>IF(A1296="","",ROUND((A1296-cfgDefasagem/1440)*48,0))</f>
        <v>0</v>
      </c>
      <c r="E1296" s="26">
        <f>IF(D1296="","",INT((D1296-cfgDeslocamento)/4))</f>
        <v>0</v>
      </c>
      <c r="F1296" s="26">
        <f>IF(D1296="","",MOD(D1296-cfgDeslocamento,4)+1)</f>
        <v>0</v>
      </c>
      <c r="G1296" s="26">
        <f>IF(A1296="","",IF(AND(ISNUMBER(B1296),B1296&lt;&gt;0),1,0))</f>
        <v>0</v>
      </c>
      <c r="H1296" s="25">
        <f>IF(E1296="","",(E1296*4+3+cfgDeslocamento)/48)</f>
        <v>0</v>
      </c>
    </row>
    <row r="1297" spans="1:8">
      <c r="A1297" s="24"/>
      <c r="B1297" s="19"/>
      <c r="C1297" s="25">
        <f>IF(D1297="","",D1297/48)</f>
        <v>0</v>
      </c>
      <c r="D1297" s="26">
        <f>IF(A1297="","",ROUND((A1297-cfgDefasagem/1440)*48,0))</f>
        <v>0</v>
      </c>
      <c r="E1297" s="26">
        <f>IF(D1297="","",INT((D1297-cfgDeslocamento)/4))</f>
        <v>0</v>
      </c>
      <c r="F1297" s="26">
        <f>IF(D1297="","",MOD(D1297-cfgDeslocamento,4)+1)</f>
        <v>0</v>
      </c>
      <c r="G1297" s="26">
        <f>IF(A1297="","",IF(AND(ISNUMBER(B1297),B1297&lt;&gt;0),1,0))</f>
        <v>0</v>
      </c>
      <c r="H1297" s="25">
        <f>IF(E1297="","",(E1297*4+3+cfgDeslocamento)/48)</f>
        <v>0</v>
      </c>
    </row>
    <row r="1298" spans="1:8">
      <c r="A1298" s="24"/>
      <c r="B1298" s="19"/>
      <c r="C1298" s="25">
        <f>IF(D1298="","",D1298/48)</f>
        <v>0</v>
      </c>
      <c r="D1298" s="26">
        <f>IF(A1298="","",ROUND((A1298-cfgDefasagem/1440)*48,0))</f>
        <v>0</v>
      </c>
      <c r="E1298" s="26">
        <f>IF(D1298="","",INT((D1298-cfgDeslocamento)/4))</f>
        <v>0</v>
      </c>
      <c r="F1298" s="26">
        <f>IF(D1298="","",MOD(D1298-cfgDeslocamento,4)+1)</f>
        <v>0</v>
      </c>
      <c r="G1298" s="26">
        <f>IF(A1298="","",IF(AND(ISNUMBER(B1298),B1298&lt;&gt;0),1,0))</f>
        <v>0</v>
      </c>
      <c r="H1298" s="25">
        <f>IF(E1298="","",(E1298*4+3+cfgDeslocamento)/48)</f>
        <v>0</v>
      </c>
    </row>
    <row r="1299" spans="1:8">
      <c r="A1299" s="24"/>
      <c r="B1299" s="19"/>
      <c r="C1299" s="25">
        <f>IF(D1299="","",D1299/48)</f>
        <v>0</v>
      </c>
      <c r="D1299" s="26">
        <f>IF(A1299="","",ROUND((A1299-cfgDefasagem/1440)*48,0))</f>
        <v>0</v>
      </c>
      <c r="E1299" s="26">
        <f>IF(D1299="","",INT((D1299-cfgDeslocamento)/4))</f>
        <v>0</v>
      </c>
      <c r="F1299" s="26">
        <f>IF(D1299="","",MOD(D1299-cfgDeslocamento,4)+1)</f>
        <v>0</v>
      </c>
      <c r="G1299" s="26">
        <f>IF(A1299="","",IF(AND(ISNUMBER(B1299),B1299&lt;&gt;0),1,0))</f>
        <v>0</v>
      </c>
      <c r="H1299" s="25">
        <f>IF(E1299="","",(E1299*4+3+cfgDeslocamento)/48)</f>
        <v>0</v>
      </c>
    </row>
    <row r="1300" spans="1:8">
      <c r="A1300" s="24"/>
      <c r="B1300" s="19"/>
      <c r="C1300" s="25">
        <f>IF(D1300="","",D1300/48)</f>
        <v>0</v>
      </c>
      <c r="D1300" s="26">
        <f>IF(A1300="","",ROUND((A1300-cfgDefasagem/1440)*48,0))</f>
        <v>0</v>
      </c>
      <c r="E1300" s="26">
        <f>IF(D1300="","",INT((D1300-cfgDeslocamento)/4))</f>
        <v>0</v>
      </c>
      <c r="F1300" s="26">
        <f>IF(D1300="","",MOD(D1300-cfgDeslocamento,4)+1)</f>
        <v>0</v>
      </c>
      <c r="G1300" s="26">
        <f>IF(A1300="","",IF(AND(ISNUMBER(B1300),B1300&lt;&gt;0),1,0))</f>
        <v>0</v>
      </c>
      <c r="H1300" s="25">
        <f>IF(E1300="","",(E1300*4+3+cfgDeslocamento)/48)</f>
        <v>0</v>
      </c>
    </row>
    <row r="1301" spans="1:8">
      <c r="A1301" s="24"/>
      <c r="B1301" s="19"/>
      <c r="C1301" s="25">
        <f>IF(D1301="","",D1301/48)</f>
        <v>0</v>
      </c>
      <c r="D1301" s="26">
        <f>IF(A1301="","",ROUND((A1301-cfgDefasagem/1440)*48,0))</f>
        <v>0</v>
      </c>
      <c r="E1301" s="26">
        <f>IF(D1301="","",INT((D1301-cfgDeslocamento)/4))</f>
        <v>0</v>
      </c>
      <c r="F1301" s="26">
        <f>IF(D1301="","",MOD(D1301-cfgDeslocamento,4)+1)</f>
        <v>0</v>
      </c>
      <c r="G1301" s="26">
        <f>IF(A1301="","",IF(AND(ISNUMBER(B1301),B1301&lt;&gt;0),1,0))</f>
        <v>0</v>
      </c>
      <c r="H1301" s="25">
        <f>IF(E1301="","",(E1301*4+3+cfgDeslocamento)/48)</f>
        <v>0</v>
      </c>
    </row>
    <row r="1302" spans="1:8">
      <c r="A1302" s="24"/>
      <c r="B1302" s="19"/>
      <c r="C1302" s="25">
        <f>IF(D1302="","",D1302/48)</f>
        <v>0</v>
      </c>
      <c r="D1302" s="26">
        <f>IF(A1302="","",ROUND((A1302-cfgDefasagem/1440)*48,0))</f>
        <v>0</v>
      </c>
      <c r="E1302" s="26">
        <f>IF(D1302="","",INT((D1302-cfgDeslocamento)/4))</f>
        <v>0</v>
      </c>
      <c r="F1302" s="26">
        <f>IF(D1302="","",MOD(D1302-cfgDeslocamento,4)+1)</f>
        <v>0</v>
      </c>
      <c r="G1302" s="26">
        <f>IF(A1302="","",IF(AND(ISNUMBER(B1302),B1302&lt;&gt;0),1,0))</f>
        <v>0</v>
      </c>
      <c r="H1302" s="25">
        <f>IF(E1302="","",(E1302*4+3+cfgDeslocamento)/48)</f>
        <v>0</v>
      </c>
    </row>
    <row r="1303" spans="1:8">
      <c r="A1303" s="24"/>
      <c r="B1303" s="19"/>
      <c r="C1303" s="25">
        <f>IF(D1303="","",D1303/48)</f>
        <v>0</v>
      </c>
      <c r="D1303" s="26">
        <f>IF(A1303="","",ROUND((A1303-cfgDefasagem/1440)*48,0))</f>
        <v>0</v>
      </c>
      <c r="E1303" s="26">
        <f>IF(D1303="","",INT((D1303-cfgDeslocamento)/4))</f>
        <v>0</v>
      </c>
      <c r="F1303" s="26">
        <f>IF(D1303="","",MOD(D1303-cfgDeslocamento,4)+1)</f>
        <v>0</v>
      </c>
      <c r="G1303" s="26">
        <f>IF(A1303="","",IF(AND(ISNUMBER(B1303),B1303&lt;&gt;0),1,0))</f>
        <v>0</v>
      </c>
      <c r="H1303" s="25">
        <f>IF(E1303="","",(E1303*4+3+cfgDeslocamento)/48)</f>
        <v>0</v>
      </c>
    </row>
    <row r="1304" spans="1:8">
      <c r="A1304" s="24"/>
      <c r="B1304" s="19"/>
      <c r="C1304" s="25">
        <f>IF(D1304="","",D1304/48)</f>
        <v>0</v>
      </c>
      <c r="D1304" s="26">
        <f>IF(A1304="","",ROUND((A1304-cfgDefasagem/1440)*48,0))</f>
        <v>0</v>
      </c>
      <c r="E1304" s="26">
        <f>IF(D1304="","",INT((D1304-cfgDeslocamento)/4))</f>
        <v>0</v>
      </c>
      <c r="F1304" s="26">
        <f>IF(D1304="","",MOD(D1304-cfgDeslocamento,4)+1)</f>
        <v>0</v>
      </c>
      <c r="G1304" s="26">
        <f>IF(A1304="","",IF(AND(ISNUMBER(B1304),B1304&lt;&gt;0),1,0))</f>
        <v>0</v>
      </c>
      <c r="H1304" s="25">
        <f>IF(E1304="","",(E1304*4+3+cfgDeslocamento)/48)</f>
        <v>0</v>
      </c>
    </row>
    <row r="1305" spans="1:8">
      <c r="A1305" s="24"/>
      <c r="B1305" s="19"/>
      <c r="C1305" s="25">
        <f>IF(D1305="","",D1305/48)</f>
        <v>0</v>
      </c>
      <c r="D1305" s="26">
        <f>IF(A1305="","",ROUND((A1305-cfgDefasagem/1440)*48,0))</f>
        <v>0</v>
      </c>
      <c r="E1305" s="26">
        <f>IF(D1305="","",INT((D1305-cfgDeslocamento)/4))</f>
        <v>0</v>
      </c>
      <c r="F1305" s="26">
        <f>IF(D1305="","",MOD(D1305-cfgDeslocamento,4)+1)</f>
        <v>0</v>
      </c>
      <c r="G1305" s="26">
        <f>IF(A1305="","",IF(AND(ISNUMBER(B1305),B1305&lt;&gt;0),1,0))</f>
        <v>0</v>
      </c>
      <c r="H1305" s="25">
        <f>IF(E1305="","",(E1305*4+3+cfgDeslocamento)/48)</f>
        <v>0</v>
      </c>
    </row>
    <row r="1306" spans="1:8">
      <c r="A1306" s="24"/>
      <c r="B1306" s="19"/>
      <c r="C1306" s="25">
        <f>IF(D1306="","",D1306/48)</f>
        <v>0</v>
      </c>
      <c r="D1306" s="26">
        <f>IF(A1306="","",ROUND((A1306-cfgDefasagem/1440)*48,0))</f>
        <v>0</v>
      </c>
      <c r="E1306" s="26">
        <f>IF(D1306="","",INT((D1306-cfgDeslocamento)/4))</f>
        <v>0</v>
      </c>
      <c r="F1306" s="26">
        <f>IF(D1306="","",MOD(D1306-cfgDeslocamento,4)+1)</f>
        <v>0</v>
      </c>
      <c r="G1306" s="26">
        <f>IF(A1306="","",IF(AND(ISNUMBER(B1306),B1306&lt;&gt;0),1,0))</f>
        <v>0</v>
      </c>
      <c r="H1306" s="25">
        <f>IF(E1306="","",(E1306*4+3+cfgDeslocamento)/48)</f>
        <v>0</v>
      </c>
    </row>
    <row r="1307" spans="1:8">
      <c r="A1307" s="24"/>
      <c r="B1307" s="19"/>
      <c r="C1307" s="25">
        <f>IF(D1307="","",D1307/48)</f>
        <v>0</v>
      </c>
      <c r="D1307" s="26">
        <f>IF(A1307="","",ROUND((A1307-cfgDefasagem/1440)*48,0))</f>
        <v>0</v>
      </c>
      <c r="E1307" s="26">
        <f>IF(D1307="","",INT((D1307-cfgDeslocamento)/4))</f>
        <v>0</v>
      </c>
      <c r="F1307" s="26">
        <f>IF(D1307="","",MOD(D1307-cfgDeslocamento,4)+1)</f>
        <v>0</v>
      </c>
      <c r="G1307" s="26">
        <f>IF(A1307="","",IF(AND(ISNUMBER(B1307),B1307&lt;&gt;0),1,0))</f>
        <v>0</v>
      </c>
      <c r="H1307" s="25">
        <f>IF(E1307="","",(E1307*4+3+cfgDeslocamento)/48)</f>
        <v>0</v>
      </c>
    </row>
    <row r="1308" spans="1:8">
      <c r="A1308" s="24"/>
      <c r="B1308" s="19"/>
      <c r="C1308" s="25">
        <f>IF(D1308="","",D1308/48)</f>
        <v>0</v>
      </c>
      <c r="D1308" s="26">
        <f>IF(A1308="","",ROUND((A1308-cfgDefasagem/1440)*48,0))</f>
        <v>0</v>
      </c>
      <c r="E1308" s="26">
        <f>IF(D1308="","",INT((D1308-cfgDeslocamento)/4))</f>
        <v>0</v>
      </c>
      <c r="F1308" s="26">
        <f>IF(D1308="","",MOD(D1308-cfgDeslocamento,4)+1)</f>
        <v>0</v>
      </c>
      <c r="G1308" s="26">
        <f>IF(A1308="","",IF(AND(ISNUMBER(B1308),B1308&lt;&gt;0),1,0))</f>
        <v>0</v>
      </c>
      <c r="H1308" s="25">
        <f>IF(E1308="","",(E1308*4+3+cfgDeslocamento)/48)</f>
        <v>0</v>
      </c>
    </row>
    <row r="1309" spans="1:8">
      <c r="A1309" s="24"/>
      <c r="B1309" s="19"/>
      <c r="C1309" s="25">
        <f>IF(D1309="","",D1309/48)</f>
        <v>0</v>
      </c>
      <c r="D1309" s="26">
        <f>IF(A1309="","",ROUND((A1309-cfgDefasagem/1440)*48,0))</f>
        <v>0</v>
      </c>
      <c r="E1309" s="26">
        <f>IF(D1309="","",INT((D1309-cfgDeslocamento)/4))</f>
        <v>0</v>
      </c>
      <c r="F1309" s="26">
        <f>IF(D1309="","",MOD(D1309-cfgDeslocamento,4)+1)</f>
        <v>0</v>
      </c>
      <c r="G1309" s="26">
        <f>IF(A1309="","",IF(AND(ISNUMBER(B1309),B1309&lt;&gt;0),1,0))</f>
        <v>0</v>
      </c>
      <c r="H1309" s="25">
        <f>IF(E1309="","",(E1309*4+3+cfgDeslocamento)/48)</f>
        <v>0</v>
      </c>
    </row>
    <row r="1310" spans="1:8">
      <c r="A1310" s="24"/>
      <c r="B1310" s="19"/>
      <c r="C1310" s="25">
        <f>IF(D1310="","",D1310/48)</f>
        <v>0</v>
      </c>
      <c r="D1310" s="26">
        <f>IF(A1310="","",ROUND((A1310-cfgDefasagem/1440)*48,0))</f>
        <v>0</v>
      </c>
      <c r="E1310" s="26">
        <f>IF(D1310="","",INT((D1310-cfgDeslocamento)/4))</f>
        <v>0</v>
      </c>
      <c r="F1310" s="26">
        <f>IF(D1310="","",MOD(D1310-cfgDeslocamento,4)+1)</f>
        <v>0</v>
      </c>
      <c r="G1310" s="26">
        <f>IF(A1310="","",IF(AND(ISNUMBER(B1310),B1310&lt;&gt;0),1,0))</f>
        <v>0</v>
      </c>
      <c r="H1310" s="25">
        <f>IF(E1310="","",(E1310*4+3+cfgDeslocamento)/48)</f>
        <v>0</v>
      </c>
    </row>
    <row r="1311" spans="1:8">
      <c r="A1311" s="24"/>
      <c r="B1311" s="19"/>
      <c r="C1311" s="25">
        <f>IF(D1311="","",D1311/48)</f>
        <v>0</v>
      </c>
      <c r="D1311" s="26">
        <f>IF(A1311="","",ROUND((A1311-cfgDefasagem/1440)*48,0))</f>
        <v>0</v>
      </c>
      <c r="E1311" s="26">
        <f>IF(D1311="","",INT((D1311-cfgDeslocamento)/4))</f>
        <v>0</v>
      </c>
      <c r="F1311" s="26">
        <f>IF(D1311="","",MOD(D1311-cfgDeslocamento,4)+1)</f>
        <v>0</v>
      </c>
      <c r="G1311" s="26">
        <f>IF(A1311="","",IF(AND(ISNUMBER(B1311),B1311&lt;&gt;0),1,0))</f>
        <v>0</v>
      </c>
      <c r="H1311" s="25">
        <f>IF(E1311="","",(E1311*4+3+cfgDeslocamento)/48)</f>
        <v>0</v>
      </c>
    </row>
    <row r="1312" spans="1:8">
      <c r="A1312" s="24"/>
      <c r="B1312" s="19"/>
      <c r="C1312" s="25">
        <f>IF(D1312="","",D1312/48)</f>
        <v>0</v>
      </c>
      <c r="D1312" s="26">
        <f>IF(A1312="","",ROUND((A1312-cfgDefasagem/1440)*48,0))</f>
        <v>0</v>
      </c>
      <c r="E1312" s="26">
        <f>IF(D1312="","",INT((D1312-cfgDeslocamento)/4))</f>
        <v>0</v>
      </c>
      <c r="F1312" s="26">
        <f>IF(D1312="","",MOD(D1312-cfgDeslocamento,4)+1)</f>
        <v>0</v>
      </c>
      <c r="G1312" s="26">
        <f>IF(A1312="","",IF(AND(ISNUMBER(B1312),B1312&lt;&gt;0),1,0))</f>
        <v>0</v>
      </c>
      <c r="H1312" s="25">
        <f>IF(E1312="","",(E1312*4+3+cfgDeslocamento)/48)</f>
        <v>0</v>
      </c>
    </row>
    <row r="1313" spans="1:8">
      <c r="A1313" s="24"/>
      <c r="B1313" s="19"/>
      <c r="C1313" s="25">
        <f>IF(D1313="","",D1313/48)</f>
        <v>0</v>
      </c>
      <c r="D1313" s="26">
        <f>IF(A1313="","",ROUND((A1313-cfgDefasagem/1440)*48,0))</f>
        <v>0</v>
      </c>
      <c r="E1313" s="26">
        <f>IF(D1313="","",INT((D1313-cfgDeslocamento)/4))</f>
        <v>0</v>
      </c>
      <c r="F1313" s="26">
        <f>IF(D1313="","",MOD(D1313-cfgDeslocamento,4)+1)</f>
        <v>0</v>
      </c>
      <c r="G1313" s="26">
        <f>IF(A1313="","",IF(AND(ISNUMBER(B1313),B1313&lt;&gt;0),1,0))</f>
        <v>0</v>
      </c>
      <c r="H1313" s="25">
        <f>IF(E1313="","",(E1313*4+3+cfgDeslocamento)/48)</f>
        <v>0</v>
      </c>
    </row>
    <row r="1314" spans="1:8">
      <c r="A1314" s="24"/>
      <c r="B1314" s="19"/>
      <c r="C1314" s="25">
        <f>IF(D1314="","",D1314/48)</f>
        <v>0</v>
      </c>
      <c r="D1314" s="26">
        <f>IF(A1314="","",ROUND((A1314-cfgDefasagem/1440)*48,0))</f>
        <v>0</v>
      </c>
      <c r="E1314" s="26">
        <f>IF(D1314="","",INT((D1314-cfgDeslocamento)/4))</f>
        <v>0</v>
      </c>
      <c r="F1314" s="26">
        <f>IF(D1314="","",MOD(D1314-cfgDeslocamento,4)+1)</f>
        <v>0</v>
      </c>
      <c r="G1314" s="26">
        <f>IF(A1314="","",IF(AND(ISNUMBER(B1314),B1314&lt;&gt;0),1,0))</f>
        <v>0</v>
      </c>
      <c r="H1314" s="25">
        <f>IF(E1314="","",(E1314*4+3+cfgDeslocamento)/48)</f>
        <v>0</v>
      </c>
    </row>
    <row r="1315" spans="1:8">
      <c r="A1315" s="24"/>
      <c r="B1315" s="19"/>
      <c r="C1315" s="25">
        <f>IF(D1315="","",D1315/48)</f>
        <v>0</v>
      </c>
      <c r="D1315" s="26">
        <f>IF(A1315="","",ROUND((A1315-cfgDefasagem/1440)*48,0))</f>
        <v>0</v>
      </c>
      <c r="E1315" s="26">
        <f>IF(D1315="","",INT((D1315-cfgDeslocamento)/4))</f>
        <v>0</v>
      </c>
      <c r="F1315" s="26">
        <f>IF(D1315="","",MOD(D1315-cfgDeslocamento,4)+1)</f>
        <v>0</v>
      </c>
      <c r="G1315" s="26">
        <f>IF(A1315="","",IF(AND(ISNUMBER(B1315),B1315&lt;&gt;0),1,0))</f>
        <v>0</v>
      </c>
      <c r="H1315" s="25">
        <f>IF(E1315="","",(E1315*4+3+cfgDeslocamento)/48)</f>
        <v>0</v>
      </c>
    </row>
    <row r="1316" spans="1:8">
      <c r="A1316" s="24"/>
      <c r="B1316" s="19"/>
      <c r="C1316" s="25">
        <f>IF(D1316="","",D1316/48)</f>
        <v>0</v>
      </c>
      <c r="D1316" s="26">
        <f>IF(A1316="","",ROUND((A1316-cfgDefasagem/1440)*48,0))</f>
        <v>0</v>
      </c>
      <c r="E1316" s="26">
        <f>IF(D1316="","",INT((D1316-cfgDeslocamento)/4))</f>
        <v>0</v>
      </c>
      <c r="F1316" s="26">
        <f>IF(D1316="","",MOD(D1316-cfgDeslocamento,4)+1)</f>
        <v>0</v>
      </c>
      <c r="G1316" s="26">
        <f>IF(A1316="","",IF(AND(ISNUMBER(B1316),B1316&lt;&gt;0),1,0))</f>
        <v>0</v>
      </c>
      <c r="H1316" s="25">
        <f>IF(E1316="","",(E1316*4+3+cfgDeslocamento)/48)</f>
        <v>0</v>
      </c>
    </row>
    <row r="1317" spans="1:8">
      <c r="A1317" s="24"/>
      <c r="B1317" s="19"/>
      <c r="C1317" s="25">
        <f>IF(D1317="","",D1317/48)</f>
        <v>0</v>
      </c>
      <c r="D1317" s="26">
        <f>IF(A1317="","",ROUND((A1317-cfgDefasagem/1440)*48,0))</f>
        <v>0</v>
      </c>
      <c r="E1317" s="26">
        <f>IF(D1317="","",INT((D1317-cfgDeslocamento)/4))</f>
        <v>0</v>
      </c>
      <c r="F1317" s="26">
        <f>IF(D1317="","",MOD(D1317-cfgDeslocamento,4)+1)</f>
        <v>0</v>
      </c>
      <c r="G1317" s="26">
        <f>IF(A1317="","",IF(AND(ISNUMBER(B1317),B1317&lt;&gt;0),1,0))</f>
        <v>0</v>
      </c>
      <c r="H1317" s="25">
        <f>IF(E1317="","",(E1317*4+3+cfgDeslocamento)/48)</f>
        <v>0</v>
      </c>
    </row>
    <row r="1318" spans="1:8">
      <c r="A1318" s="24"/>
      <c r="B1318" s="19"/>
      <c r="C1318" s="25">
        <f>IF(D1318="","",D1318/48)</f>
        <v>0</v>
      </c>
      <c r="D1318" s="26">
        <f>IF(A1318="","",ROUND((A1318-cfgDefasagem/1440)*48,0))</f>
        <v>0</v>
      </c>
      <c r="E1318" s="26">
        <f>IF(D1318="","",INT((D1318-cfgDeslocamento)/4))</f>
        <v>0</v>
      </c>
      <c r="F1318" s="26">
        <f>IF(D1318="","",MOD(D1318-cfgDeslocamento,4)+1)</f>
        <v>0</v>
      </c>
      <c r="G1318" s="26">
        <f>IF(A1318="","",IF(AND(ISNUMBER(B1318),B1318&lt;&gt;0),1,0))</f>
        <v>0</v>
      </c>
      <c r="H1318" s="25">
        <f>IF(E1318="","",(E1318*4+3+cfgDeslocamento)/48)</f>
        <v>0</v>
      </c>
    </row>
    <row r="1319" spans="1:8">
      <c r="A1319" s="24"/>
      <c r="B1319" s="19"/>
      <c r="C1319" s="25">
        <f>IF(D1319="","",D1319/48)</f>
        <v>0</v>
      </c>
      <c r="D1319" s="26">
        <f>IF(A1319="","",ROUND((A1319-cfgDefasagem/1440)*48,0))</f>
        <v>0</v>
      </c>
      <c r="E1319" s="26">
        <f>IF(D1319="","",INT((D1319-cfgDeslocamento)/4))</f>
        <v>0</v>
      </c>
      <c r="F1319" s="26">
        <f>IF(D1319="","",MOD(D1319-cfgDeslocamento,4)+1)</f>
        <v>0</v>
      </c>
      <c r="G1319" s="26">
        <f>IF(A1319="","",IF(AND(ISNUMBER(B1319),B1319&lt;&gt;0),1,0))</f>
        <v>0</v>
      </c>
      <c r="H1319" s="25">
        <f>IF(E1319="","",(E1319*4+3+cfgDeslocamento)/48)</f>
        <v>0</v>
      </c>
    </row>
    <row r="1320" spans="1:8">
      <c r="A1320" s="24"/>
      <c r="B1320" s="19"/>
      <c r="C1320" s="25">
        <f>IF(D1320="","",D1320/48)</f>
        <v>0</v>
      </c>
      <c r="D1320" s="26">
        <f>IF(A1320="","",ROUND((A1320-cfgDefasagem/1440)*48,0))</f>
        <v>0</v>
      </c>
      <c r="E1320" s="26">
        <f>IF(D1320="","",INT((D1320-cfgDeslocamento)/4))</f>
        <v>0</v>
      </c>
      <c r="F1320" s="26">
        <f>IF(D1320="","",MOD(D1320-cfgDeslocamento,4)+1)</f>
        <v>0</v>
      </c>
      <c r="G1320" s="26">
        <f>IF(A1320="","",IF(AND(ISNUMBER(B1320),B1320&lt;&gt;0),1,0))</f>
        <v>0</v>
      </c>
      <c r="H1320" s="25">
        <f>IF(E1320="","",(E1320*4+3+cfgDeslocamento)/48)</f>
        <v>0</v>
      </c>
    </row>
    <row r="1321" spans="1:8">
      <c r="A1321" s="24"/>
      <c r="B1321" s="19"/>
      <c r="C1321" s="25">
        <f>IF(D1321="","",D1321/48)</f>
        <v>0</v>
      </c>
      <c r="D1321" s="26">
        <f>IF(A1321="","",ROUND((A1321-cfgDefasagem/1440)*48,0))</f>
        <v>0</v>
      </c>
      <c r="E1321" s="26">
        <f>IF(D1321="","",INT((D1321-cfgDeslocamento)/4))</f>
        <v>0</v>
      </c>
      <c r="F1321" s="26">
        <f>IF(D1321="","",MOD(D1321-cfgDeslocamento,4)+1)</f>
        <v>0</v>
      </c>
      <c r="G1321" s="26">
        <f>IF(A1321="","",IF(AND(ISNUMBER(B1321),B1321&lt;&gt;0),1,0))</f>
        <v>0</v>
      </c>
      <c r="H1321" s="25">
        <f>IF(E1321="","",(E1321*4+3+cfgDeslocamento)/48)</f>
        <v>0</v>
      </c>
    </row>
    <row r="1322" spans="1:8">
      <c r="A1322" s="24"/>
      <c r="B1322" s="19"/>
      <c r="C1322" s="25">
        <f>IF(D1322="","",D1322/48)</f>
        <v>0</v>
      </c>
      <c r="D1322" s="26">
        <f>IF(A1322="","",ROUND((A1322-cfgDefasagem/1440)*48,0))</f>
        <v>0</v>
      </c>
      <c r="E1322" s="26">
        <f>IF(D1322="","",INT((D1322-cfgDeslocamento)/4))</f>
        <v>0</v>
      </c>
      <c r="F1322" s="26">
        <f>IF(D1322="","",MOD(D1322-cfgDeslocamento,4)+1)</f>
        <v>0</v>
      </c>
      <c r="G1322" s="26">
        <f>IF(A1322="","",IF(AND(ISNUMBER(B1322),B1322&lt;&gt;0),1,0))</f>
        <v>0</v>
      </c>
      <c r="H1322" s="25">
        <f>IF(E1322="","",(E1322*4+3+cfgDeslocamento)/48)</f>
        <v>0</v>
      </c>
    </row>
    <row r="1323" spans="1:8">
      <c r="A1323" s="24"/>
      <c r="B1323" s="19"/>
      <c r="C1323" s="25">
        <f>IF(D1323="","",D1323/48)</f>
        <v>0</v>
      </c>
      <c r="D1323" s="26">
        <f>IF(A1323="","",ROUND((A1323-cfgDefasagem/1440)*48,0))</f>
        <v>0</v>
      </c>
      <c r="E1323" s="26">
        <f>IF(D1323="","",INT((D1323-cfgDeslocamento)/4))</f>
        <v>0</v>
      </c>
      <c r="F1323" s="26">
        <f>IF(D1323="","",MOD(D1323-cfgDeslocamento,4)+1)</f>
        <v>0</v>
      </c>
      <c r="G1323" s="26">
        <f>IF(A1323="","",IF(AND(ISNUMBER(B1323),B1323&lt;&gt;0),1,0))</f>
        <v>0</v>
      </c>
      <c r="H1323" s="25">
        <f>IF(E1323="","",(E1323*4+3+cfgDeslocamento)/48)</f>
        <v>0</v>
      </c>
    </row>
    <row r="1324" spans="1:8">
      <c r="A1324" s="24"/>
      <c r="B1324" s="19"/>
      <c r="C1324" s="25">
        <f>IF(D1324="","",D1324/48)</f>
        <v>0</v>
      </c>
      <c r="D1324" s="26">
        <f>IF(A1324="","",ROUND((A1324-cfgDefasagem/1440)*48,0))</f>
        <v>0</v>
      </c>
      <c r="E1324" s="26">
        <f>IF(D1324="","",INT((D1324-cfgDeslocamento)/4))</f>
        <v>0</v>
      </c>
      <c r="F1324" s="26">
        <f>IF(D1324="","",MOD(D1324-cfgDeslocamento,4)+1)</f>
        <v>0</v>
      </c>
      <c r="G1324" s="26">
        <f>IF(A1324="","",IF(AND(ISNUMBER(B1324),B1324&lt;&gt;0),1,0))</f>
        <v>0</v>
      </c>
      <c r="H1324" s="25">
        <f>IF(E1324="","",(E1324*4+3+cfgDeslocamento)/48)</f>
        <v>0</v>
      </c>
    </row>
    <row r="1325" spans="1:8">
      <c r="A1325" s="24"/>
      <c r="B1325" s="19"/>
      <c r="C1325" s="25">
        <f>IF(D1325="","",D1325/48)</f>
        <v>0</v>
      </c>
      <c r="D1325" s="26">
        <f>IF(A1325="","",ROUND((A1325-cfgDefasagem/1440)*48,0))</f>
        <v>0</v>
      </c>
      <c r="E1325" s="26">
        <f>IF(D1325="","",INT((D1325-cfgDeslocamento)/4))</f>
        <v>0</v>
      </c>
      <c r="F1325" s="26">
        <f>IF(D1325="","",MOD(D1325-cfgDeslocamento,4)+1)</f>
        <v>0</v>
      </c>
      <c r="G1325" s="26">
        <f>IF(A1325="","",IF(AND(ISNUMBER(B1325),B1325&lt;&gt;0),1,0))</f>
        <v>0</v>
      </c>
      <c r="H1325" s="25">
        <f>IF(E1325="","",(E1325*4+3+cfgDeslocamento)/48)</f>
        <v>0</v>
      </c>
    </row>
    <row r="1326" spans="1:8">
      <c r="A1326" s="24"/>
      <c r="B1326" s="19"/>
      <c r="C1326" s="25">
        <f>IF(D1326="","",D1326/48)</f>
        <v>0</v>
      </c>
      <c r="D1326" s="26">
        <f>IF(A1326="","",ROUND((A1326-cfgDefasagem/1440)*48,0))</f>
        <v>0</v>
      </c>
      <c r="E1326" s="26">
        <f>IF(D1326="","",INT((D1326-cfgDeslocamento)/4))</f>
        <v>0</v>
      </c>
      <c r="F1326" s="26">
        <f>IF(D1326="","",MOD(D1326-cfgDeslocamento,4)+1)</f>
        <v>0</v>
      </c>
      <c r="G1326" s="26">
        <f>IF(A1326="","",IF(AND(ISNUMBER(B1326),B1326&lt;&gt;0),1,0))</f>
        <v>0</v>
      </c>
      <c r="H1326" s="25">
        <f>IF(E1326="","",(E1326*4+3+cfgDeslocamento)/48)</f>
        <v>0</v>
      </c>
    </row>
    <row r="1327" spans="1:8">
      <c r="A1327" s="24"/>
      <c r="B1327" s="19"/>
      <c r="C1327" s="25">
        <f>IF(D1327="","",D1327/48)</f>
        <v>0</v>
      </c>
      <c r="D1327" s="26">
        <f>IF(A1327="","",ROUND((A1327-cfgDefasagem/1440)*48,0))</f>
        <v>0</v>
      </c>
      <c r="E1327" s="26">
        <f>IF(D1327="","",INT((D1327-cfgDeslocamento)/4))</f>
        <v>0</v>
      </c>
      <c r="F1327" s="26">
        <f>IF(D1327="","",MOD(D1327-cfgDeslocamento,4)+1)</f>
        <v>0</v>
      </c>
      <c r="G1327" s="26">
        <f>IF(A1327="","",IF(AND(ISNUMBER(B1327),B1327&lt;&gt;0),1,0))</f>
        <v>0</v>
      </c>
      <c r="H1327" s="25">
        <f>IF(E1327="","",(E1327*4+3+cfgDeslocamento)/48)</f>
        <v>0</v>
      </c>
    </row>
    <row r="1328" spans="1:8">
      <c r="A1328" s="24"/>
      <c r="B1328" s="19"/>
      <c r="C1328" s="25">
        <f>IF(D1328="","",D1328/48)</f>
        <v>0</v>
      </c>
      <c r="D1328" s="26">
        <f>IF(A1328="","",ROUND((A1328-cfgDefasagem/1440)*48,0))</f>
        <v>0</v>
      </c>
      <c r="E1328" s="26">
        <f>IF(D1328="","",INT((D1328-cfgDeslocamento)/4))</f>
        <v>0</v>
      </c>
      <c r="F1328" s="26">
        <f>IF(D1328="","",MOD(D1328-cfgDeslocamento,4)+1)</f>
        <v>0</v>
      </c>
      <c r="G1328" s="26">
        <f>IF(A1328="","",IF(AND(ISNUMBER(B1328),B1328&lt;&gt;0),1,0))</f>
        <v>0</v>
      </c>
      <c r="H1328" s="25">
        <f>IF(E1328="","",(E1328*4+3+cfgDeslocamento)/48)</f>
        <v>0</v>
      </c>
    </row>
    <row r="1329" spans="1:8">
      <c r="A1329" s="24"/>
      <c r="B1329" s="19"/>
      <c r="C1329" s="25">
        <f>IF(D1329="","",D1329/48)</f>
        <v>0</v>
      </c>
      <c r="D1329" s="26">
        <f>IF(A1329="","",ROUND((A1329-cfgDefasagem/1440)*48,0))</f>
        <v>0</v>
      </c>
      <c r="E1329" s="26">
        <f>IF(D1329="","",INT((D1329-cfgDeslocamento)/4))</f>
        <v>0</v>
      </c>
      <c r="F1329" s="26">
        <f>IF(D1329="","",MOD(D1329-cfgDeslocamento,4)+1)</f>
        <v>0</v>
      </c>
      <c r="G1329" s="26">
        <f>IF(A1329="","",IF(AND(ISNUMBER(B1329),B1329&lt;&gt;0),1,0))</f>
        <v>0</v>
      </c>
      <c r="H1329" s="25">
        <f>IF(E1329="","",(E1329*4+3+cfgDeslocamento)/48)</f>
        <v>0</v>
      </c>
    </row>
    <row r="1330" spans="1:8">
      <c r="A1330" s="24"/>
      <c r="B1330" s="19"/>
      <c r="C1330" s="25">
        <f>IF(D1330="","",D1330/48)</f>
        <v>0</v>
      </c>
      <c r="D1330" s="26">
        <f>IF(A1330="","",ROUND((A1330-cfgDefasagem/1440)*48,0))</f>
        <v>0</v>
      </c>
      <c r="E1330" s="26">
        <f>IF(D1330="","",INT((D1330-cfgDeslocamento)/4))</f>
        <v>0</v>
      </c>
      <c r="F1330" s="26">
        <f>IF(D1330="","",MOD(D1330-cfgDeslocamento,4)+1)</f>
        <v>0</v>
      </c>
      <c r="G1330" s="26">
        <f>IF(A1330="","",IF(AND(ISNUMBER(B1330),B1330&lt;&gt;0),1,0))</f>
        <v>0</v>
      </c>
      <c r="H1330" s="25">
        <f>IF(E1330="","",(E1330*4+3+cfgDeslocamento)/48)</f>
        <v>0</v>
      </c>
    </row>
    <row r="1331" spans="1:8">
      <c r="A1331" s="24"/>
      <c r="B1331" s="19"/>
      <c r="C1331" s="25">
        <f>IF(D1331="","",D1331/48)</f>
        <v>0</v>
      </c>
      <c r="D1331" s="26">
        <f>IF(A1331="","",ROUND((A1331-cfgDefasagem/1440)*48,0))</f>
        <v>0</v>
      </c>
      <c r="E1331" s="26">
        <f>IF(D1331="","",INT((D1331-cfgDeslocamento)/4))</f>
        <v>0</v>
      </c>
      <c r="F1331" s="26">
        <f>IF(D1331="","",MOD(D1331-cfgDeslocamento,4)+1)</f>
        <v>0</v>
      </c>
      <c r="G1331" s="26">
        <f>IF(A1331="","",IF(AND(ISNUMBER(B1331),B1331&lt;&gt;0),1,0))</f>
        <v>0</v>
      </c>
      <c r="H1331" s="25">
        <f>IF(E1331="","",(E1331*4+3+cfgDeslocamento)/48)</f>
        <v>0</v>
      </c>
    </row>
    <row r="1332" spans="1:8">
      <c r="A1332" s="24"/>
      <c r="B1332" s="19"/>
      <c r="C1332" s="25">
        <f>IF(D1332="","",D1332/48)</f>
        <v>0</v>
      </c>
      <c r="D1332" s="26">
        <f>IF(A1332="","",ROUND((A1332-cfgDefasagem/1440)*48,0))</f>
        <v>0</v>
      </c>
      <c r="E1332" s="26">
        <f>IF(D1332="","",INT((D1332-cfgDeslocamento)/4))</f>
        <v>0</v>
      </c>
      <c r="F1332" s="26">
        <f>IF(D1332="","",MOD(D1332-cfgDeslocamento,4)+1)</f>
        <v>0</v>
      </c>
      <c r="G1332" s="26">
        <f>IF(A1332="","",IF(AND(ISNUMBER(B1332),B1332&lt;&gt;0),1,0))</f>
        <v>0</v>
      </c>
      <c r="H1332" s="25">
        <f>IF(E1332="","",(E1332*4+3+cfgDeslocamento)/48)</f>
        <v>0</v>
      </c>
    </row>
    <row r="1333" spans="1:8">
      <c r="A1333" s="24"/>
      <c r="B1333" s="19"/>
      <c r="C1333" s="25">
        <f>IF(D1333="","",D1333/48)</f>
        <v>0</v>
      </c>
      <c r="D1333" s="26">
        <f>IF(A1333="","",ROUND((A1333-cfgDefasagem/1440)*48,0))</f>
        <v>0</v>
      </c>
      <c r="E1333" s="26">
        <f>IF(D1333="","",INT((D1333-cfgDeslocamento)/4))</f>
        <v>0</v>
      </c>
      <c r="F1333" s="26">
        <f>IF(D1333="","",MOD(D1333-cfgDeslocamento,4)+1)</f>
        <v>0</v>
      </c>
      <c r="G1333" s="26">
        <f>IF(A1333="","",IF(AND(ISNUMBER(B1333),B1333&lt;&gt;0),1,0))</f>
        <v>0</v>
      </c>
      <c r="H1333" s="25">
        <f>IF(E1333="","",(E1333*4+3+cfgDeslocamento)/48)</f>
        <v>0</v>
      </c>
    </row>
    <row r="1334" spans="1:8">
      <c r="A1334" s="24"/>
      <c r="B1334" s="19"/>
      <c r="C1334" s="25">
        <f>IF(D1334="","",D1334/48)</f>
        <v>0</v>
      </c>
      <c r="D1334" s="26">
        <f>IF(A1334="","",ROUND((A1334-cfgDefasagem/1440)*48,0))</f>
        <v>0</v>
      </c>
      <c r="E1334" s="26">
        <f>IF(D1334="","",INT((D1334-cfgDeslocamento)/4))</f>
        <v>0</v>
      </c>
      <c r="F1334" s="26">
        <f>IF(D1334="","",MOD(D1334-cfgDeslocamento,4)+1)</f>
        <v>0</v>
      </c>
      <c r="G1334" s="26">
        <f>IF(A1334="","",IF(AND(ISNUMBER(B1334),B1334&lt;&gt;0),1,0))</f>
        <v>0</v>
      </c>
      <c r="H1334" s="25">
        <f>IF(E1334="","",(E1334*4+3+cfgDeslocamento)/48)</f>
        <v>0</v>
      </c>
    </row>
    <row r="1335" spans="1:8">
      <c r="A1335" s="24"/>
      <c r="B1335" s="19"/>
      <c r="C1335" s="25">
        <f>IF(D1335="","",D1335/48)</f>
        <v>0</v>
      </c>
      <c r="D1335" s="26">
        <f>IF(A1335="","",ROUND((A1335-cfgDefasagem/1440)*48,0))</f>
        <v>0</v>
      </c>
      <c r="E1335" s="26">
        <f>IF(D1335="","",INT((D1335-cfgDeslocamento)/4))</f>
        <v>0</v>
      </c>
      <c r="F1335" s="26">
        <f>IF(D1335="","",MOD(D1335-cfgDeslocamento,4)+1)</f>
        <v>0</v>
      </c>
      <c r="G1335" s="26">
        <f>IF(A1335="","",IF(AND(ISNUMBER(B1335),B1335&lt;&gt;0),1,0))</f>
        <v>0</v>
      </c>
      <c r="H1335" s="25">
        <f>IF(E1335="","",(E1335*4+3+cfgDeslocamento)/48)</f>
        <v>0</v>
      </c>
    </row>
    <row r="1336" spans="1:8">
      <c r="A1336" s="24"/>
      <c r="B1336" s="19"/>
      <c r="C1336" s="25">
        <f>IF(D1336="","",D1336/48)</f>
        <v>0</v>
      </c>
      <c r="D1336" s="26">
        <f>IF(A1336="","",ROUND((A1336-cfgDefasagem/1440)*48,0))</f>
        <v>0</v>
      </c>
      <c r="E1336" s="26">
        <f>IF(D1336="","",INT((D1336-cfgDeslocamento)/4))</f>
        <v>0</v>
      </c>
      <c r="F1336" s="26">
        <f>IF(D1336="","",MOD(D1336-cfgDeslocamento,4)+1)</f>
        <v>0</v>
      </c>
      <c r="G1336" s="26">
        <f>IF(A1336="","",IF(AND(ISNUMBER(B1336),B1336&lt;&gt;0),1,0))</f>
        <v>0</v>
      </c>
      <c r="H1336" s="25">
        <f>IF(E1336="","",(E1336*4+3+cfgDeslocamento)/48)</f>
        <v>0</v>
      </c>
    </row>
    <row r="1337" spans="1:8">
      <c r="A1337" s="24"/>
      <c r="B1337" s="19"/>
      <c r="C1337" s="25">
        <f>IF(D1337="","",D1337/48)</f>
        <v>0</v>
      </c>
      <c r="D1337" s="26">
        <f>IF(A1337="","",ROUND((A1337-cfgDefasagem/1440)*48,0))</f>
        <v>0</v>
      </c>
      <c r="E1337" s="26">
        <f>IF(D1337="","",INT((D1337-cfgDeslocamento)/4))</f>
        <v>0</v>
      </c>
      <c r="F1337" s="26">
        <f>IF(D1337="","",MOD(D1337-cfgDeslocamento,4)+1)</f>
        <v>0</v>
      </c>
      <c r="G1337" s="26">
        <f>IF(A1337="","",IF(AND(ISNUMBER(B1337),B1337&lt;&gt;0),1,0))</f>
        <v>0</v>
      </c>
      <c r="H1337" s="25">
        <f>IF(E1337="","",(E1337*4+3+cfgDeslocamento)/48)</f>
        <v>0</v>
      </c>
    </row>
    <row r="1338" spans="1:8">
      <c r="A1338" s="24"/>
      <c r="B1338" s="19"/>
      <c r="C1338" s="25">
        <f>IF(D1338="","",D1338/48)</f>
        <v>0</v>
      </c>
      <c r="D1338" s="26">
        <f>IF(A1338="","",ROUND((A1338-cfgDefasagem/1440)*48,0))</f>
        <v>0</v>
      </c>
      <c r="E1338" s="26">
        <f>IF(D1338="","",INT((D1338-cfgDeslocamento)/4))</f>
        <v>0</v>
      </c>
      <c r="F1338" s="26">
        <f>IF(D1338="","",MOD(D1338-cfgDeslocamento,4)+1)</f>
        <v>0</v>
      </c>
      <c r="G1338" s="26">
        <f>IF(A1338="","",IF(AND(ISNUMBER(B1338),B1338&lt;&gt;0),1,0))</f>
        <v>0</v>
      </c>
      <c r="H1338" s="25">
        <f>IF(E1338="","",(E1338*4+3+cfgDeslocamento)/48)</f>
        <v>0</v>
      </c>
    </row>
    <row r="1339" spans="1:8">
      <c r="A1339" s="24"/>
      <c r="B1339" s="19"/>
      <c r="C1339" s="25">
        <f>IF(D1339="","",D1339/48)</f>
        <v>0</v>
      </c>
      <c r="D1339" s="26">
        <f>IF(A1339="","",ROUND((A1339-cfgDefasagem/1440)*48,0))</f>
        <v>0</v>
      </c>
      <c r="E1339" s="26">
        <f>IF(D1339="","",INT((D1339-cfgDeslocamento)/4))</f>
        <v>0</v>
      </c>
      <c r="F1339" s="26">
        <f>IF(D1339="","",MOD(D1339-cfgDeslocamento,4)+1)</f>
        <v>0</v>
      </c>
      <c r="G1339" s="26">
        <f>IF(A1339="","",IF(AND(ISNUMBER(B1339),B1339&lt;&gt;0),1,0))</f>
        <v>0</v>
      </c>
      <c r="H1339" s="25">
        <f>IF(E1339="","",(E1339*4+3+cfgDeslocamento)/48)</f>
        <v>0</v>
      </c>
    </row>
    <row r="1340" spans="1:8">
      <c r="A1340" s="24"/>
      <c r="B1340" s="19"/>
      <c r="C1340" s="25">
        <f>IF(D1340="","",D1340/48)</f>
        <v>0</v>
      </c>
      <c r="D1340" s="26">
        <f>IF(A1340="","",ROUND((A1340-cfgDefasagem/1440)*48,0))</f>
        <v>0</v>
      </c>
      <c r="E1340" s="26">
        <f>IF(D1340="","",INT((D1340-cfgDeslocamento)/4))</f>
        <v>0</v>
      </c>
      <c r="F1340" s="26">
        <f>IF(D1340="","",MOD(D1340-cfgDeslocamento,4)+1)</f>
        <v>0</v>
      </c>
      <c r="G1340" s="26">
        <f>IF(A1340="","",IF(AND(ISNUMBER(B1340),B1340&lt;&gt;0),1,0))</f>
        <v>0</v>
      </c>
      <c r="H1340" s="25">
        <f>IF(E1340="","",(E1340*4+3+cfgDeslocamento)/48)</f>
        <v>0</v>
      </c>
    </row>
    <row r="1341" spans="1:8">
      <c r="A1341" s="24"/>
      <c r="B1341" s="19"/>
      <c r="C1341" s="25">
        <f>IF(D1341="","",D1341/48)</f>
        <v>0</v>
      </c>
      <c r="D1341" s="26">
        <f>IF(A1341="","",ROUND((A1341-cfgDefasagem/1440)*48,0))</f>
        <v>0</v>
      </c>
      <c r="E1341" s="26">
        <f>IF(D1341="","",INT((D1341-cfgDeslocamento)/4))</f>
        <v>0</v>
      </c>
      <c r="F1341" s="26">
        <f>IF(D1341="","",MOD(D1341-cfgDeslocamento,4)+1)</f>
        <v>0</v>
      </c>
      <c r="G1341" s="26">
        <f>IF(A1341="","",IF(AND(ISNUMBER(B1341),B1341&lt;&gt;0),1,0))</f>
        <v>0</v>
      </c>
      <c r="H1341" s="25">
        <f>IF(E1341="","",(E1341*4+3+cfgDeslocamento)/48)</f>
        <v>0</v>
      </c>
    </row>
    <row r="1342" spans="1:8">
      <c r="A1342" s="24"/>
      <c r="B1342" s="19"/>
      <c r="C1342" s="25">
        <f>IF(D1342="","",D1342/48)</f>
        <v>0</v>
      </c>
      <c r="D1342" s="26">
        <f>IF(A1342="","",ROUND((A1342-cfgDefasagem/1440)*48,0))</f>
        <v>0</v>
      </c>
      <c r="E1342" s="26">
        <f>IF(D1342="","",INT((D1342-cfgDeslocamento)/4))</f>
        <v>0</v>
      </c>
      <c r="F1342" s="26">
        <f>IF(D1342="","",MOD(D1342-cfgDeslocamento,4)+1)</f>
        <v>0</v>
      </c>
      <c r="G1342" s="26">
        <f>IF(A1342="","",IF(AND(ISNUMBER(B1342),B1342&lt;&gt;0),1,0))</f>
        <v>0</v>
      </c>
      <c r="H1342" s="25">
        <f>IF(E1342="","",(E1342*4+3+cfgDeslocamento)/48)</f>
        <v>0</v>
      </c>
    </row>
    <row r="1343" spans="1:8">
      <c r="A1343" s="24"/>
      <c r="B1343" s="19"/>
      <c r="C1343" s="25">
        <f>IF(D1343="","",D1343/48)</f>
        <v>0</v>
      </c>
      <c r="D1343" s="26">
        <f>IF(A1343="","",ROUND((A1343-cfgDefasagem/1440)*48,0))</f>
        <v>0</v>
      </c>
      <c r="E1343" s="26">
        <f>IF(D1343="","",INT((D1343-cfgDeslocamento)/4))</f>
        <v>0</v>
      </c>
      <c r="F1343" s="26">
        <f>IF(D1343="","",MOD(D1343-cfgDeslocamento,4)+1)</f>
        <v>0</v>
      </c>
      <c r="G1343" s="26">
        <f>IF(A1343="","",IF(AND(ISNUMBER(B1343),B1343&lt;&gt;0),1,0))</f>
        <v>0</v>
      </c>
      <c r="H1343" s="25">
        <f>IF(E1343="","",(E1343*4+3+cfgDeslocamento)/48)</f>
        <v>0</v>
      </c>
    </row>
    <row r="1344" spans="1:8">
      <c r="A1344" s="24"/>
      <c r="B1344" s="19"/>
      <c r="C1344" s="25">
        <f>IF(D1344="","",D1344/48)</f>
        <v>0</v>
      </c>
      <c r="D1344" s="26">
        <f>IF(A1344="","",ROUND((A1344-cfgDefasagem/1440)*48,0))</f>
        <v>0</v>
      </c>
      <c r="E1344" s="26">
        <f>IF(D1344="","",INT((D1344-cfgDeslocamento)/4))</f>
        <v>0</v>
      </c>
      <c r="F1344" s="26">
        <f>IF(D1344="","",MOD(D1344-cfgDeslocamento,4)+1)</f>
        <v>0</v>
      </c>
      <c r="G1344" s="26">
        <f>IF(A1344="","",IF(AND(ISNUMBER(B1344),B1344&lt;&gt;0),1,0))</f>
        <v>0</v>
      </c>
      <c r="H1344" s="25">
        <f>IF(E1344="","",(E1344*4+3+cfgDeslocamento)/48)</f>
        <v>0</v>
      </c>
    </row>
    <row r="1345" spans="1:8">
      <c r="A1345" s="24"/>
      <c r="B1345" s="19"/>
      <c r="C1345" s="25">
        <f>IF(D1345="","",D1345/48)</f>
        <v>0</v>
      </c>
      <c r="D1345" s="26">
        <f>IF(A1345="","",ROUND((A1345-cfgDefasagem/1440)*48,0))</f>
        <v>0</v>
      </c>
      <c r="E1345" s="26">
        <f>IF(D1345="","",INT((D1345-cfgDeslocamento)/4))</f>
        <v>0</v>
      </c>
      <c r="F1345" s="26">
        <f>IF(D1345="","",MOD(D1345-cfgDeslocamento,4)+1)</f>
        <v>0</v>
      </c>
      <c r="G1345" s="26">
        <f>IF(A1345="","",IF(AND(ISNUMBER(B1345),B1345&lt;&gt;0),1,0))</f>
        <v>0</v>
      </c>
      <c r="H1345" s="25">
        <f>IF(E1345="","",(E1345*4+3+cfgDeslocamento)/48)</f>
        <v>0</v>
      </c>
    </row>
    <row r="1346" spans="1:8">
      <c r="A1346" s="24"/>
      <c r="B1346" s="19"/>
      <c r="C1346" s="25">
        <f>IF(D1346="","",D1346/48)</f>
        <v>0</v>
      </c>
      <c r="D1346" s="26">
        <f>IF(A1346="","",ROUND((A1346-cfgDefasagem/1440)*48,0))</f>
        <v>0</v>
      </c>
      <c r="E1346" s="26">
        <f>IF(D1346="","",INT((D1346-cfgDeslocamento)/4))</f>
        <v>0</v>
      </c>
      <c r="F1346" s="26">
        <f>IF(D1346="","",MOD(D1346-cfgDeslocamento,4)+1)</f>
        <v>0</v>
      </c>
      <c r="G1346" s="26">
        <f>IF(A1346="","",IF(AND(ISNUMBER(B1346),B1346&lt;&gt;0),1,0))</f>
        <v>0</v>
      </c>
      <c r="H1346" s="25">
        <f>IF(E1346="","",(E1346*4+3+cfgDeslocamento)/48)</f>
        <v>0</v>
      </c>
    </row>
    <row r="1347" spans="1:8">
      <c r="A1347" s="24"/>
      <c r="B1347" s="19"/>
      <c r="C1347" s="25">
        <f>IF(D1347="","",D1347/48)</f>
        <v>0</v>
      </c>
      <c r="D1347" s="26">
        <f>IF(A1347="","",ROUND((A1347-cfgDefasagem/1440)*48,0))</f>
        <v>0</v>
      </c>
      <c r="E1347" s="26">
        <f>IF(D1347="","",INT((D1347-cfgDeslocamento)/4))</f>
        <v>0</v>
      </c>
      <c r="F1347" s="26">
        <f>IF(D1347="","",MOD(D1347-cfgDeslocamento,4)+1)</f>
        <v>0</v>
      </c>
      <c r="G1347" s="26">
        <f>IF(A1347="","",IF(AND(ISNUMBER(B1347),B1347&lt;&gt;0),1,0))</f>
        <v>0</v>
      </c>
      <c r="H1347" s="25">
        <f>IF(E1347="","",(E1347*4+3+cfgDeslocamento)/48)</f>
        <v>0</v>
      </c>
    </row>
    <row r="1348" spans="1:8">
      <c r="A1348" s="24"/>
      <c r="B1348" s="19"/>
      <c r="C1348" s="25">
        <f>IF(D1348="","",D1348/48)</f>
        <v>0</v>
      </c>
      <c r="D1348" s="26">
        <f>IF(A1348="","",ROUND((A1348-cfgDefasagem/1440)*48,0))</f>
        <v>0</v>
      </c>
      <c r="E1348" s="26">
        <f>IF(D1348="","",INT((D1348-cfgDeslocamento)/4))</f>
        <v>0</v>
      </c>
      <c r="F1348" s="26">
        <f>IF(D1348="","",MOD(D1348-cfgDeslocamento,4)+1)</f>
        <v>0</v>
      </c>
      <c r="G1348" s="26">
        <f>IF(A1348="","",IF(AND(ISNUMBER(B1348),B1348&lt;&gt;0),1,0))</f>
        <v>0</v>
      </c>
      <c r="H1348" s="25">
        <f>IF(E1348="","",(E1348*4+3+cfgDeslocamento)/48)</f>
        <v>0</v>
      </c>
    </row>
    <row r="1349" spans="1:8">
      <c r="A1349" s="24"/>
      <c r="B1349" s="19"/>
      <c r="C1349" s="25">
        <f>IF(D1349="","",D1349/48)</f>
        <v>0</v>
      </c>
      <c r="D1349" s="26">
        <f>IF(A1349="","",ROUND((A1349-cfgDefasagem/1440)*48,0))</f>
        <v>0</v>
      </c>
      <c r="E1349" s="26">
        <f>IF(D1349="","",INT((D1349-cfgDeslocamento)/4))</f>
        <v>0</v>
      </c>
      <c r="F1349" s="26">
        <f>IF(D1349="","",MOD(D1349-cfgDeslocamento,4)+1)</f>
        <v>0</v>
      </c>
      <c r="G1349" s="26">
        <f>IF(A1349="","",IF(AND(ISNUMBER(B1349),B1349&lt;&gt;0),1,0))</f>
        <v>0</v>
      </c>
      <c r="H1349" s="25">
        <f>IF(E1349="","",(E1349*4+3+cfgDeslocamento)/48)</f>
        <v>0</v>
      </c>
    </row>
    <row r="1350" spans="1:8">
      <c r="A1350" s="24"/>
      <c r="B1350" s="19"/>
      <c r="C1350" s="25">
        <f>IF(D1350="","",D1350/48)</f>
        <v>0</v>
      </c>
      <c r="D1350" s="26">
        <f>IF(A1350="","",ROUND((A1350-cfgDefasagem/1440)*48,0))</f>
        <v>0</v>
      </c>
      <c r="E1350" s="26">
        <f>IF(D1350="","",INT((D1350-cfgDeslocamento)/4))</f>
        <v>0</v>
      </c>
      <c r="F1350" s="26">
        <f>IF(D1350="","",MOD(D1350-cfgDeslocamento,4)+1)</f>
        <v>0</v>
      </c>
      <c r="G1350" s="26">
        <f>IF(A1350="","",IF(AND(ISNUMBER(B1350),B1350&lt;&gt;0),1,0))</f>
        <v>0</v>
      </c>
      <c r="H1350" s="25">
        <f>IF(E1350="","",(E1350*4+3+cfgDeslocamento)/48)</f>
        <v>0</v>
      </c>
    </row>
    <row r="1351" spans="1:8">
      <c r="A1351" s="24"/>
      <c r="B1351" s="19"/>
      <c r="C1351" s="25">
        <f>IF(D1351="","",D1351/48)</f>
        <v>0</v>
      </c>
      <c r="D1351" s="26">
        <f>IF(A1351="","",ROUND((A1351-cfgDefasagem/1440)*48,0))</f>
        <v>0</v>
      </c>
      <c r="E1351" s="26">
        <f>IF(D1351="","",INT((D1351-cfgDeslocamento)/4))</f>
        <v>0</v>
      </c>
      <c r="F1351" s="26">
        <f>IF(D1351="","",MOD(D1351-cfgDeslocamento,4)+1)</f>
        <v>0</v>
      </c>
      <c r="G1351" s="26">
        <f>IF(A1351="","",IF(AND(ISNUMBER(B1351),B1351&lt;&gt;0),1,0))</f>
        <v>0</v>
      </c>
      <c r="H1351" s="25">
        <f>IF(E1351="","",(E1351*4+3+cfgDeslocamento)/48)</f>
        <v>0</v>
      </c>
    </row>
    <row r="1352" spans="1:8">
      <c r="A1352" s="24"/>
      <c r="B1352" s="19"/>
      <c r="C1352" s="25">
        <f>IF(D1352="","",D1352/48)</f>
        <v>0</v>
      </c>
      <c r="D1352" s="26">
        <f>IF(A1352="","",ROUND((A1352-cfgDefasagem/1440)*48,0))</f>
        <v>0</v>
      </c>
      <c r="E1352" s="26">
        <f>IF(D1352="","",INT((D1352-cfgDeslocamento)/4))</f>
        <v>0</v>
      </c>
      <c r="F1352" s="26">
        <f>IF(D1352="","",MOD(D1352-cfgDeslocamento,4)+1)</f>
        <v>0</v>
      </c>
      <c r="G1352" s="26">
        <f>IF(A1352="","",IF(AND(ISNUMBER(B1352),B1352&lt;&gt;0),1,0))</f>
        <v>0</v>
      </c>
      <c r="H1352" s="25">
        <f>IF(E1352="","",(E1352*4+3+cfgDeslocamento)/48)</f>
        <v>0</v>
      </c>
    </row>
    <row r="1353" spans="1:8">
      <c r="A1353" s="24"/>
      <c r="B1353" s="19"/>
      <c r="C1353" s="25">
        <f>IF(D1353="","",D1353/48)</f>
        <v>0</v>
      </c>
      <c r="D1353" s="26">
        <f>IF(A1353="","",ROUND((A1353-cfgDefasagem/1440)*48,0))</f>
        <v>0</v>
      </c>
      <c r="E1353" s="26">
        <f>IF(D1353="","",INT((D1353-cfgDeslocamento)/4))</f>
        <v>0</v>
      </c>
      <c r="F1353" s="26">
        <f>IF(D1353="","",MOD(D1353-cfgDeslocamento,4)+1)</f>
        <v>0</v>
      </c>
      <c r="G1353" s="26">
        <f>IF(A1353="","",IF(AND(ISNUMBER(B1353),B1353&lt;&gt;0),1,0))</f>
        <v>0</v>
      </c>
      <c r="H1353" s="25">
        <f>IF(E1353="","",(E1353*4+3+cfgDeslocamento)/48)</f>
        <v>0</v>
      </c>
    </row>
    <row r="1354" spans="1:8">
      <c r="A1354" s="24"/>
      <c r="B1354" s="19"/>
      <c r="C1354" s="25">
        <f>IF(D1354="","",D1354/48)</f>
        <v>0</v>
      </c>
      <c r="D1354" s="26">
        <f>IF(A1354="","",ROUND((A1354-cfgDefasagem/1440)*48,0))</f>
        <v>0</v>
      </c>
      <c r="E1354" s="26">
        <f>IF(D1354="","",INT((D1354-cfgDeslocamento)/4))</f>
        <v>0</v>
      </c>
      <c r="F1354" s="26">
        <f>IF(D1354="","",MOD(D1354-cfgDeslocamento,4)+1)</f>
        <v>0</v>
      </c>
      <c r="G1354" s="26">
        <f>IF(A1354="","",IF(AND(ISNUMBER(B1354),B1354&lt;&gt;0),1,0))</f>
        <v>0</v>
      </c>
      <c r="H1354" s="25">
        <f>IF(E1354="","",(E1354*4+3+cfgDeslocamento)/48)</f>
        <v>0</v>
      </c>
    </row>
    <row r="1355" spans="1:8">
      <c r="A1355" s="24"/>
      <c r="B1355" s="19"/>
      <c r="C1355" s="25">
        <f>IF(D1355="","",D1355/48)</f>
        <v>0</v>
      </c>
      <c r="D1355" s="26">
        <f>IF(A1355="","",ROUND((A1355-cfgDefasagem/1440)*48,0))</f>
        <v>0</v>
      </c>
      <c r="E1355" s="26">
        <f>IF(D1355="","",INT((D1355-cfgDeslocamento)/4))</f>
        <v>0</v>
      </c>
      <c r="F1355" s="26">
        <f>IF(D1355="","",MOD(D1355-cfgDeslocamento,4)+1)</f>
        <v>0</v>
      </c>
      <c r="G1355" s="26">
        <f>IF(A1355="","",IF(AND(ISNUMBER(B1355),B1355&lt;&gt;0),1,0))</f>
        <v>0</v>
      </c>
      <c r="H1355" s="25">
        <f>IF(E1355="","",(E1355*4+3+cfgDeslocamento)/48)</f>
        <v>0</v>
      </c>
    </row>
    <row r="1356" spans="1:8">
      <c r="A1356" s="24"/>
      <c r="B1356" s="19"/>
      <c r="C1356" s="25">
        <f>IF(D1356="","",D1356/48)</f>
        <v>0</v>
      </c>
      <c r="D1356" s="26">
        <f>IF(A1356="","",ROUND((A1356-cfgDefasagem/1440)*48,0))</f>
        <v>0</v>
      </c>
      <c r="E1356" s="26">
        <f>IF(D1356="","",INT((D1356-cfgDeslocamento)/4))</f>
        <v>0</v>
      </c>
      <c r="F1356" s="26">
        <f>IF(D1356="","",MOD(D1356-cfgDeslocamento,4)+1)</f>
        <v>0</v>
      </c>
      <c r="G1356" s="26">
        <f>IF(A1356="","",IF(AND(ISNUMBER(B1356),B1356&lt;&gt;0),1,0))</f>
        <v>0</v>
      </c>
      <c r="H1356" s="25">
        <f>IF(E1356="","",(E1356*4+3+cfgDeslocamento)/48)</f>
        <v>0</v>
      </c>
    </row>
    <row r="1357" spans="1:8">
      <c r="A1357" s="24"/>
      <c r="B1357" s="19"/>
      <c r="C1357" s="25">
        <f>IF(D1357="","",D1357/48)</f>
        <v>0</v>
      </c>
      <c r="D1357" s="26">
        <f>IF(A1357="","",ROUND((A1357-cfgDefasagem/1440)*48,0))</f>
        <v>0</v>
      </c>
      <c r="E1357" s="26">
        <f>IF(D1357="","",INT((D1357-cfgDeslocamento)/4))</f>
        <v>0</v>
      </c>
      <c r="F1357" s="26">
        <f>IF(D1357="","",MOD(D1357-cfgDeslocamento,4)+1)</f>
        <v>0</v>
      </c>
      <c r="G1357" s="26">
        <f>IF(A1357="","",IF(AND(ISNUMBER(B1357),B1357&lt;&gt;0),1,0))</f>
        <v>0</v>
      </c>
      <c r="H1357" s="25">
        <f>IF(E1357="","",(E1357*4+3+cfgDeslocamento)/48)</f>
        <v>0</v>
      </c>
    </row>
    <row r="1358" spans="1:8">
      <c r="A1358" s="24"/>
      <c r="B1358" s="19"/>
      <c r="C1358" s="25">
        <f>IF(D1358="","",D1358/48)</f>
        <v>0</v>
      </c>
      <c r="D1358" s="26">
        <f>IF(A1358="","",ROUND((A1358-cfgDefasagem/1440)*48,0))</f>
        <v>0</v>
      </c>
      <c r="E1358" s="26">
        <f>IF(D1358="","",INT((D1358-cfgDeslocamento)/4))</f>
        <v>0</v>
      </c>
      <c r="F1358" s="26">
        <f>IF(D1358="","",MOD(D1358-cfgDeslocamento,4)+1)</f>
        <v>0</v>
      </c>
      <c r="G1358" s="26">
        <f>IF(A1358="","",IF(AND(ISNUMBER(B1358),B1358&lt;&gt;0),1,0))</f>
        <v>0</v>
      </c>
      <c r="H1358" s="25">
        <f>IF(E1358="","",(E1358*4+3+cfgDeslocamento)/48)</f>
        <v>0</v>
      </c>
    </row>
    <row r="1359" spans="1:8">
      <c r="A1359" s="24"/>
      <c r="B1359" s="19"/>
      <c r="C1359" s="25">
        <f>IF(D1359="","",D1359/48)</f>
        <v>0</v>
      </c>
      <c r="D1359" s="26">
        <f>IF(A1359="","",ROUND((A1359-cfgDefasagem/1440)*48,0))</f>
        <v>0</v>
      </c>
      <c r="E1359" s="26">
        <f>IF(D1359="","",INT((D1359-cfgDeslocamento)/4))</f>
        <v>0</v>
      </c>
      <c r="F1359" s="26">
        <f>IF(D1359="","",MOD(D1359-cfgDeslocamento,4)+1)</f>
        <v>0</v>
      </c>
      <c r="G1359" s="26">
        <f>IF(A1359="","",IF(AND(ISNUMBER(B1359),B1359&lt;&gt;0),1,0))</f>
        <v>0</v>
      </c>
      <c r="H1359" s="25">
        <f>IF(E1359="","",(E1359*4+3+cfgDeslocamento)/48)</f>
        <v>0</v>
      </c>
    </row>
    <row r="1360" spans="1:8">
      <c r="A1360" s="24"/>
      <c r="B1360" s="19"/>
      <c r="C1360" s="25">
        <f>IF(D1360="","",D1360/48)</f>
        <v>0</v>
      </c>
      <c r="D1360" s="26">
        <f>IF(A1360="","",ROUND((A1360-cfgDefasagem/1440)*48,0))</f>
        <v>0</v>
      </c>
      <c r="E1360" s="26">
        <f>IF(D1360="","",INT((D1360-cfgDeslocamento)/4))</f>
        <v>0</v>
      </c>
      <c r="F1360" s="26">
        <f>IF(D1360="","",MOD(D1360-cfgDeslocamento,4)+1)</f>
        <v>0</v>
      </c>
      <c r="G1360" s="26">
        <f>IF(A1360="","",IF(AND(ISNUMBER(B1360),B1360&lt;&gt;0),1,0))</f>
        <v>0</v>
      </c>
      <c r="H1360" s="25">
        <f>IF(E1360="","",(E1360*4+3+cfgDeslocamento)/48)</f>
        <v>0</v>
      </c>
    </row>
    <row r="1361" spans="1:8">
      <c r="A1361" s="24"/>
      <c r="B1361" s="19"/>
      <c r="C1361" s="25">
        <f>IF(D1361="","",D1361/48)</f>
        <v>0</v>
      </c>
      <c r="D1361" s="26">
        <f>IF(A1361="","",ROUND((A1361-cfgDefasagem/1440)*48,0))</f>
        <v>0</v>
      </c>
      <c r="E1361" s="26">
        <f>IF(D1361="","",INT((D1361-cfgDeslocamento)/4))</f>
        <v>0</v>
      </c>
      <c r="F1361" s="26">
        <f>IF(D1361="","",MOD(D1361-cfgDeslocamento,4)+1)</f>
        <v>0</v>
      </c>
      <c r="G1361" s="26">
        <f>IF(A1361="","",IF(AND(ISNUMBER(B1361),B1361&lt;&gt;0),1,0))</f>
        <v>0</v>
      </c>
      <c r="H1361" s="25">
        <f>IF(E1361="","",(E1361*4+3+cfgDeslocamento)/48)</f>
        <v>0</v>
      </c>
    </row>
    <row r="1362" spans="1:8">
      <c r="A1362" s="24"/>
      <c r="B1362" s="19"/>
      <c r="C1362" s="25">
        <f>IF(D1362="","",D1362/48)</f>
        <v>0</v>
      </c>
      <c r="D1362" s="26">
        <f>IF(A1362="","",ROUND((A1362-cfgDefasagem/1440)*48,0))</f>
        <v>0</v>
      </c>
      <c r="E1362" s="26">
        <f>IF(D1362="","",INT((D1362-cfgDeslocamento)/4))</f>
        <v>0</v>
      </c>
      <c r="F1362" s="26">
        <f>IF(D1362="","",MOD(D1362-cfgDeslocamento,4)+1)</f>
        <v>0</v>
      </c>
      <c r="G1362" s="26">
        <f>IF(A1362="","",IF(AND(ISNUMBER(B1362),B1362&lt;&gt;0),1,0))</f>
        <v>0</v>
      </c>
      <c r="H1362" s="25">
        <f>IF(E1362="","",(E1362*4+3+cfgDeslocamento)/48)</f>
        <v>0</v>
      </c>
    </row>
    <row r="1363" spans="1:8">
      <c r="A1363" s="24"/>
      <c r="B1363" s="19"/>
      <c r="C1363" s="25">
        <f>IF(D1363="","",D1363/48)</f>
        <v>0</v>
      </c>
      <c r="D1363" s="26">
        <f>IF(A1363="","",ROUND((A1363-cfgDefasagem/1440)*48,0))</f>
        <v>0</v>
      </c>
      <c r="E1363" s="26">
        <f>IF(D1363="","",INT((D1363-cfgDeslocamento)/4))</f>
        <v>0</v>
      </c>
      <c r="F1363" s="26">
        <f>IF(D1363="","",MOD(D1363-cfgDeslocamento,4)+1)</f>
        <v>0</v>
      </c>
      <c r="G1363" s="26">
        <f>IF(A1363="","",IF(AND(ISNUMBER(B1363),B1363&lt;&gt;0),1,0))</f>
        <v>0</v>
      </c>
      <c r="H1363" s="25">
        <f>IF(E1363="","",(E1363*4+3+cfgDeslocamento)/48)</f>
        <v>0</v>
      </c>
    </row>
    <row r="1364" spans="1:8">
      <c r="A1364" s="24"/>
      <c r="B1364" s="19"/>
      <c r="C1364" s="25">
        <f>IF(D1364="","",D1364/48)</f>
        <v>0</v>
      </c>
      <c r="D1364" s="26">
        <f>IF(A1364="","",ROUND((A1364-cfgDefasagem/1440)*48,0))</f>
        <v>0</v>
      </c>
      <c r="E1364" s="26">
        <f>IF(D1364="","",INT((D1364-cfgDeslocamento)/4))</f>
        <v>0</v>
      </c>
      <c r="F1364" s="26">
        <f>IF(D1364="","",MOD(D1364-cfgDeslocamento,4)+1)</f>
        <v>0</v>
      </c>
      <c r="G1364" s="26">
        <f>IF(A1364="","",IF(AND(ISNUMBER(B1364),B1364&lt;&gt;0),1,0))</f>
        <v>0</v>
      </c>
      <c r="H1364" s="25">
        <f>IF(E1364="","",(E1364*4+3+cfgDeslocamento)/48)</f>
        <v>0</v>
      </c>
    </row>
    <row r="1365" spans="1:8">
      <c r="A1365" s="24"/>
      <c r="B1365" s="19"/>
      <c r="C1365" s="25">
        <f>IF(D1365="","",D1365/48)</f>
        <v>0</v>
      </c>
      <c r="D1365" s="26">
        <f>IF(A1365="","",ROUND((A1365-cfgDefasagem/1440)*48,0))</f>
        <v>0</v>
      </c>
      <c r="E1365" s="26">
        <f>IF(D1365="","",INT((D1365-cfgDeslocamento)/4))</f>
        <v>0</v>
      </c>
      <c r="F1365" s="26">
        <f>IF(D1365="","",MOD(D1365-cfgDeslocamento,4)+1)</f>
        <v>0</v>
      </c>
      <c r="G1365" s="26">
        <f>IF(A1365="","",IF(AND(ISNUMBER(B1365),B1365&lt;&gt;0),1,0))</f>
        <v>0</v>
      </c>
      <c r="H1365" s="25">
        <f>IF(E1365="","",(E1365*4+3+cfgDeslocamento)/48)</f>
        <v>0</v>
      </c>
    </row>
    <row r="1366" spans="1:8">
      <c r="A1366" s="24"/>
      <c r="B1366" s="19"/>
      <c r="C1366" s="25">
        <f>IF(D1366="","",D1366/48)</f>
        <v>0</v>
      </c>
      <c r="D1366" s="26">
        <f>IF(A1366="","",ROUND((A1366-cfgDefasagem/1440)*48,0))</f>
        <v>0</v>
      </c>
      <c r="E1366" s="26">
        <f>IF(D1366="","",INT((D1366-cfgDeslocamento)/4))</f>
        <v>0</v>
      </c>
      <c r="F1366" s="26">
        <f>IF(D1366="","",MOD(D1366-cfgDeslocamento,4)+1)</f>
        <v>0</v>
      </c>
      <c r="G1366" s="26">
        <f>IF(A1366="","",IF(AND(ISNUMBER(B1366),B1366&lt;&gt;0),1,0))</f>
        <v>0</v>
      </c>
      <c r="H1366" s="25">
        <f>IF(E1366="","",(E1366*4+3+cfgDeslocamento)/48)</f>
        <v>0</v>
      </c>
    </row>
    <row r="1367" spans="1:8">
      <c r="A1367" s="24"/>
      <c r="B1367" s="19"/>
      <c r="C1367" s="25">
        <f>IF(D1367="","",D1367/48)</f>
        <v>0</v>
      </c>
      <c r="D1367" s="26">
        <f>IF(A1367="","",ROUND((A1367-cfgDefasagem/1440)*48,0))</f>
        <v>0</v>
      </c>
      <c r="E1367" s="26">
        <f>IF(D1367="","",INT((D1367-cfgDeslocamento)/4))</f>
        <v>0</v>
      </c>
      <c r="F1367" s="26">
        <f>IF(D1367="","",MOD(D1367-cfgDeslocamento,4)+1)</f>
        <v>0</v>
      </c>
      <c r="G1367" s="26">
        <f>IF(A1367="","",IF(AND(ISNUMBER(B1367),B1367&lt;&gt;0),1,0))</f>
        <v>0</v>
      </c>
      <c r="H1367" s="25">
        <f>IF(E1367="","",(E1367*4+3+cfgDeslocamento)/48)</f>
        <v>0</v>
      </c>
    </row>
    <row r="1368" spans="1:8">
      <c r="A1368" s="24"/>
      <c r="B1368" s="19"/>
      <c r="C1368" s="25">
        <f>IF(D1368="","",D1368/48)</f>
        <v>0</v>
      </c>
      <c r="D1368" s="26">
        <f>IF(A1368="","",ROUND((A1368-cfgDefasagem/1440)*48,0))</f>
        <v>0</v>
      </c>
      <c r="E1368" s="26">
        <f>IF(D1368="","",INT((D1368-cfgDeslocamento)/4))</f>
        <v>0</v>
      </c>
      <c r="F1368" s="26">
        <f>IF(D1368="","",MOD(D1368-cfgDeslocamento,4)+1)</f>
        <v>0</v>
      </c>
      <c r="G1368" s="26">
        <f>IF(A1368="","",IF(AND(ISNUMBER(B1368),B1368&lt;&gt;0),1,0))</f>
        <v>0</v>
      </c>
      <c r="H1368" s="25">
        <f>IF(E1368="","",(E1368*4+3+cfgDeslocamento)/48)</f>
        <v>0</v>
      </c>
    </row>
    <row r="1369" spans="1:8">
      <c r="A1369" s="24"/>
      <c r="B1369" s="19"/>
      <c r="C1369" s="25">
        <f>IF(D1369="","",D1369/48)</f>
        <v>0</v>
      </c>
      <c r="D1369" s="26">
        <f>IF(A1369="","",ROUND((A1369-cfgDefasagem/1440)*48,0))</f>
        <v>0</v>
      </c>
      <c r="E1369" s="26">
        <f>IF(D1369="","",INT((D1369-cfgDeslocamento)/4))</f>
        <v>0</v>
      </c>
      <c r="F1369" s="26">
        <f>IF(D1369="","",MOD(D1369-cfgDeslocamento,4)+1)</f>
        <v>0</v>
      </c>
      <c r="G1369" s="26">
        <f>IF(A1369="","",IF(AND(ISNUMBER(B1369),B1369&lt;&gt;0),1,0))</f>
        <v>0</v>
      </c>
      <c r="H1369" s="25">
        <f>IF(E1369="","",(E1369*4+3+cfgDeslocamento)/48)</f>
        <v>0</v>
      </c>
    </row>
    <row r="1370" spans="1:8">
      <c r="A1370" s="24"/>
      <c r="B1370" s="19"/>
      <c r="C1370" s="25">
        <f>IF(D1370="","",D1370/48)</f>
        <v>0</v>
      </c>
      <c r="D1370" s="26">
        <f>IF(A1370="","",ROUND((A1370-cfgDefasagem/1440)*48,0))</f>
        <v>0</v>
      </c>
      <c r="E1370" s="26">
        <f>IF(D1370="","",INT((D1370-cfgDeslocamento)/4))</f>
        <v>0</v>
      </c>
      <c r="F1370" s="26">
        <f>IF(D1370="","",MOD(D1370-cfgDeslocamento,4)+1)</f>
        <v>0</v>
      </c>
      <c r="G1370" s="26">
        <f>IF(A1370="","",IF(AND(ISNUMBER(B1370),B1370&lt;&gt;0),1,0))</f>
        <v>0</v>
      </c>
      <c r="H1370" s="25">
        <f>IF(E1370="","",(E1370*4+3+cfgDeslocamento)/48)</f>
        <v>0</v>
      </c>
    </row>
    <row r="1371" spans="1:8">
      <c r="A1371" s="24"/>
      <c r="B1371" s="19"/>
      <c r="C1371" s="25">
        <f>IF(D1371="","",D1371/48)</f>
        <v>0</v>
      </c>
      <c r="D1371" s="26">
        <f>IF(A1371="","",ROUND((A1371-cfgDefasagem/1440)*48,0))</f>
        <v>0</v>
      </c>
      <c r="E1371" s="26">
        <f>IF(D1371="","",INT((D1371-cfgDeslocamento)/4))</f>
        <v>0</v>
      </c>
      <c r="F1371" s="26">
        <f>IF(D1371="","",MOD(D1371-cfgDeslocamento,4)+1)</f>
        <v>0</v>
      </c>
      <c r="G1371" s="26">
        <f>IF(A1371="","",IF(AND(ISNUMBER(B1371),B1371&lt;&gt;0),1,0))</f>
        <v>0</v>
      </c>
      <c r="H1371" s="25">
        <f>IF(E1371="","",(E1371*4+3+cfgDeslocamento)/48)</f>
        <v>0</v>
      </c>
    </row>
    <row r="1372" spans="1:8">
      <c r="A1372" s="24"/>
      <c r="B1372" s="19"/>
      <c r="C1372" s="25">
        <f>IF(D1372="","",D1372/48)</f>
        <v>0</v>
      </c>
      <c r="D1372" s="26">
        <f>IF(A1372="","",ROUND((A1372-cfgDefasagem/1440)*48,0))</f>
        <v>0</v>
      </c>
      <c r="E1372" s="26">
        <f>IF(D1372="","",INT((D1372-cfgDeslocamento)/4))</f>
        <v>0</v>
      </c>
      <c r="F1372" s="26">
        <f>IF(D1372="","",MOD(D1372-cfgDeslocamento,4)+1)</f>
        <v>0</v>
      </c>
      <c r="G1372" s="26">
        <f>IF(A1372="","",IF(AND(ISNUMBER(B1372),B1372&lt;&gt;0),1,0))</f>
        <v>0</v>
      </c>
      <c r="H1372" s="25">
        <f>IF(E1372="","",(E1372*4+3+cfgDeslocamento)/48)</f>
        <v>0</v>
      </c>
    </row>
    <row r="1373" spans="1:8">
      <c r="A1373" s="24"/>
      <c r="B1373" s="19"/>
      <c r="C1373" s="25">
        <f>IF(D1373="","",D1373/48)</f>
        <v>0</v>
      </c>
      <c r="D1373" s="26">
        <f>IF(A1373="","",ROUND((A1373-cfgDefasagem/1440)*48,0))</f>
        <v>0</v>
      </c>
      <c r="E1373" s="26">
        <f>IF(D1373="","",INT((D1373-cfgDeslocamento)/4))</f>
        <v>0</v>
      </c>
      <c r="F1373" s="26">
        <f>IF(D1373="","",MOD(D1373-cfgDeslocamento,4)+1)</f>
        <v>0</v>
      </c>
      <c r="G1373" s="26">
        <f>IF(A1373="","",IF(AND(ISNUMBER(B1373),B1373&lt;&gt;0),1,0))</f>
        <v>0</v>
      </c>
      <c r="H1373" s="25">
        <f>IF(E1373="","",(E1373*4+3+cfgDeslocamento)/48)</f>
        <v>0</v>
      </c>
    </row>
    <row r="1374" spans="1:8">
      <c r="A1374" s="24"/>
      <c r="B1374" s="19"/>
      <c r="C1374" s="25">
        <f>IF(D1374="","",D1374/48)</f>
        <v>0</v>
      </c>
      <c r="D1374" s="26">
        <f>IF(A1374="","",ROUND((A1374-cfgDefasagem/1440)*48,0))</f>
        <v>0</v>
      </c>
      <c r="E1374" s="26">
        <f>IF(D1374="","",INT((D1374-cfgDeslocamento)/4))</f>
        <v>0</v>
      </c>
      <c r="F1374" s="26">
        <f>IF(D1374="","",MOD(D1374-cfgDeslocamento,4)+1)</f>
        <v>0</v>
      </c>
      <c r="G1374" s="26">
        <f>IF(A1374="","",IF(AND(ISNUMBER(B1374),B1374&lt;&gt;0),1,0))</f>
        <v>0</v>
      </c>
      <c r="H1374" s="25">
        <f>IF(E1374="","",(E1374*4+3+cfgDeslocamento)/48)</f>
        <v>0</v>
      </c>
    </row>
    <row r="1375" spans="1:8">
      <c r="A1375" s="24"/>
      <c r="B1375" s="19"/>
      <c r="C1375" s="25">
        <f>IF(D1375="","",D1375/48)</f>
        <v>0</v>
      </c>
      <c r="D1375" s="26">
        <f>IF(A1375="","",ROUND((A1375-cfgDefasagem/1440)*48,0))</f>
        <v>0</v>
      </c>
      <c r="E1375" s="26">
        <f>IF(D1375="","",INT((D1375-cfgDeslocamento)/4))</f>
        <v>0</v>
      </c>
      <c r="F1375" s="26">
        <f>IF(D1375="","",MOD(D1375-cfgDeslocamento,4)+1)</f>
        <v>0</v>
      </c>
      <c r="G1375" s="26">
        <f>IF(A1375="","",IF(AND(ISNUMBER(B1375),B1375&lt;&gt;0),1,0))</f>
        <v>0</v>
      </c>
      <c r="H1375" s="25">
        <f>IF(E1375="","",(E1375*4+3+cfgDeslocamento)/48)</f>
        <v>0</v>
      </c>
    </row>
    <row r="1376" spans="1:8">
      <c r="A1376" s="24"/>
      <c r="B1376" s="19"/>
      <c r="C1376" s="25">
        <f>IF(D1376="","",D1376/48)</f>
        <v>0</v>
      </c>
      <c r="D1376" s="26">
        <f>IF(A1376="","",ROUND((A1376-cfgDefasagem/1440)*48,0))</f>
        <v>0</v>
      </c>
      <c r="E1376" s="26">
        <f>IF(D1376="","",INT((D1376-cfgDeslocamento)/4))</f>
        <v>0</v>
      </c>
      <c r="F1376" s="26">
        <f>IF(D1376="","",MOD(D1376-cfgDeslocamento,4)+1)</f>
        <v>0</v>
      </c>
      <c r="G1376" s="26">
        <f>IF(A1376="","",IF(AND(ISNUMBER(B1376),B1376&lt;&gt;0),1,0))</f>
        <v>0</v>
      </c>
      <c r="H1376" s="25">
        <f>IF(E1376="","",(E1376*4+3+cfgDeslocamento)/48)</f>
        <v>0</v>
      </c>
    </row>
    <row r="1377" spans="1:8">
      <c r="A1377" s="24"/>
      <c r="B1377" s="19"/>
      <c r="C1377" s="25">
        <f>IF(D1377="","",D1377/48)</f>
        <v>0</v>
      </c>
      <c r="D1377" s="26">
        <f>IF(A1377="","",ROUND((A1377-cfgDefasagem/1440)*48,0))</f>
        <v>0</v>
      </c>
      <c r="E1377" s="26">
        <f>IF(D1377="","",INT((D1377-cfgDeslocamento)/4))</f>
        <v>0</v>
      </c>
      <c r="F1377" s="26">
        <f>IF(D1377="","",MOD(D1377-cfgDeslocamento,4)+1)</f>
        <v>0</v>
      </c>
      <c r="G1377" s="26">
        <f>IF(A1377="","",IF(AND(ISNUMBER(B1377),B1377&lt;&gt;0),1,0))</f>
        <v>0</v>
      </c>
      <c r="H1377" s="25">
        <f>IF(E1377="","",(E1377*4+3+cfgDeslocamento)/48)</f>
        <v>0</v>
      </c>
    </row>
    <row r="1378" spans="1:8">
      <c r="A1378" s="24"/>
      <c r="B1378" s="19"/>
      <c r="C1378" s="25">
        <f>IF(D1378="","",D1378/48)</f>
        <v>0</v>
      </c>
      <c r="D1378" s="26">
        <f>IF(A1378="","",ROUND((A1378-cfgDefasagem/1440)*48,0))</f>
        <v>0</v>
      </c>
      <c r="E1378" s="26">
        <f>IF(D1378="","",INT((D1378-cfgDeslocamento)/4))</f>
        <v>0</v>
      </c>
      <c r="F1378" s="26">
        <f>IF(D1378="","",MOD(D1378-cfgDeslocamento,4)+1)</f>
        <v>0</v>
      </c>
      <c r="G1378" s="26">
        <f>IF(A1378="","",IF(AND(ISNUMBER(B1378),B1378&lt;&gt;0),1,0))</f>
        <v>0</v>
      </c>
      <c r="H1378" s="25">
        <f>IF(E1378="","",(E1378*4+3+cfgDeslocamento)/48)</f>
        <v>0</v>
      </c>
    </row>
    <row r="1379" spans="1:8">
      <c r="A1379" s="24"/>
      <c r="B1379" s="19"/>
      <c r="C1379" s="25">
        <f>IF(D1379="","",D1379/48)</f>
        <v>0</v>
      </c>
      <c r="D1379" s="26">
        <f>IF(A1379="","",ROUND((A1379-cfgDefasagem/1440)*48,0))</f>
        <v>0</v>
      </c>
      <c r="E1379" s="26">
        <f>IF(D1379="","",INT((D1379-cfgDeslocamento)/4))</f>
        <v>0</v>
      </c>
      <c r="F1379" s="26">
        <f>IF(D1379="","",MOD(D1379-cfgDeslocamento,4)+1)</f>
        <v>0</v>
      </c>
      <c r="G1379" s="26">
        <f>IF(A1379="","",IF(AND(ISNUMBER(B1379),B1379&lt;&gt;0),1,0))</f>
        <v>0</v>
      </c>
      <c r="H1379" s="25">
        <f>IF(E1379="","",(E1379*4+3+cfgDeslocamento)/48)</f>
        <v>0</v>
      </c>
    </row>
    <row r="1380" spans="1:8">
      <c r="A1380" s="24"/>
      <c r="B1380" s="19"/>
      <c r="C1380" s="25">
        <f>IF(D1380="","",D1380/48)</f>
        <v>0</v>
      </c>
      <c r="D1380" s="26">
        <f>IF(A1380="","",ROUND((A1380-cfgDefasagem/1440)*48,0))</f>
        <v>0</v>
      </c>
      <c r="E1380" s="26">
        <f>IF(D1380="","",INT((D1380-cfgDeslocamento)/4))</f>
        <v>0</v>
      </c>
      <c r="F1380" s="26">
        <f>IF(D1380="","",MOD(D1380-cfgDeslocamento,4)+1)</f>
        <v>0</v>
      </c>
      <c r="G1380" s="26">
        <f>IF(A1380="","",IF(AND(ISNUMBER(B1380),B1380&lt;&gt;0),1,0))</f>
        <v>0</v>
      </c>
      <c r="H1380" s="25">
        <f>IF(E1380="","",(E1380*4+3+cfgDeslocamento)/48)</f>
        <v>0</v>
      </c>
    </row>
    <row r="1381" spans="1:8">
      <c r="A1381" s="24"/>
      <c r="B1381" s="19"/>
      <c r="C1381" s="25">
        <f>IF(D1381="","",D1381/48)</f>
        <v>0</v>
      </c>
      <c r="D1381" s="26">
        <f>IF(A1381="","",ROUND((A1381-cfgDefasagem/1440)*48,0))</f>
        <v>0</v>
      </c>
      <c r="E1381" s="26">
        <f>IF(D1381="","",INT((D1381-cfgDeslocamento)/4))</f>
        <v>0</v>
      </c>
      <c r="F1381" s="26">
        <f>IF(D1381="","",MOD(D1381-cfgDeslocamento,4)+1)</f>
        <v>0</v>
      </c>
      <c r="G1381" s="26">
        <f>IF(A1381="","",IF(AND(ISNUMBER(B1381),B1381&lt;&gt;0),1,0))</f>
        <v>0</v>
      </c>
      <c r="H1381" s="25">
        <f>IF(E1381="","",(E1381*4+3+cfgDeslocamento)/48)</f>
        <v>0</v>
      </c>
    </row>
    <row r="1382" spans="1:8">
      <c r="A1382" s="24"/>
      <c r="B1382" s="19"/>
      <c r="C1382" s="25">
        <f>IF(D1382="","",D1382/48)</f>
        <v>0</v>
      </c>
      <c r="D1382" s="26">
        <f>IF(A1382="","",ROUND((A1382-cfgDefasagem/1440)*48,0))</f>
        <v>0</v>
      </c>
      <c r="E1382" s="26">
        <f>IF(D1382="","",INT((D1382-cfgDeslocamento)/4))</f>
        <v>0</v>
      </c>
      <c r="F1382" s="26">
        <f>IF(D1382="","",MOD(D1382-cfgDeslocamento,4)+1)</f>
        <v>0</v>
      </c>
      <c r="G1382" s="26">
        <f>IF(A1382="","",IF(AND(ISNUMBER(B1382),B1382&lt;&gt;0),1,0))</f>
        <v>0</v>
      </c>
      <c r="H1382" s="25">
        <f>IF(E1382="","",(E1382*4+3+cfgDeslocamento)/48)</f>
        <v>0</v>
      </c>
    </row>
    <row r="1383" spans="1:8">
      <c r="A1383" s="24"/>
      <c r="B1383" s="19"/>
      <c r="C1383" s="25">
        <f>IF(D1383="","",D1383/48)</f>
        <v>0</v>
      </c>
      <c r="D1383" s="26">
        <f>IF(A1383="","",ROUND((A1383-cfgDefasagem/1440)*48,0))</f>
        <v>0</v>
      </c>
      <c r="E1383" s="26">
        <f>IF(D1383="","",INT((D1383-cfgDeslocamento)/4))</f>
        <v>0</v>
      </c>
      <c r="F1383" s="26">
        <f>IF(D1383="","",MOD(D1383-cfgDeslocamento,4)+1)</f>
        <v>0</v>
      </c>
      <c r="G1383" s="26">
        <f>IF(A1383="","",IF(AND(ISNUMBER(B1383),B1383&lt;&gt;0),1,0))</f>
        <v>0</v>
      </c>
      <c r="H1383" s="25">
        <f>IF(E1383="","",(E1383*4+3+cfgDeslocamento)/48)</f>
        <v>0</v>
      </c>
    </row>
    <row r="1384" spans="1:8">
      <c r="A1384" s="24"/>
      <c r="B1384" s="19"/>
      <c r="C1384" s="25">
        <f>IF(D1384="","",D1384/48)</f>
        <v>0</v>
      </c>
      <c r="D1384" s="26">
        <f>IF(A1384="","",ROUND((A1384-cfgDefasagem/1440)*48,0))</f>
        <v>0</v>
      </c>
      <c r="E1384" s="26">
        <f>IF(D1384="","",INT((D1384-cfgDeslocamento)/4))</f>
        <v>0</v>
      </c>
      <c r="F1384" s="26">
        <f>IF(D1384="","",MOD(D1384-cfgDeslocamento,4)+1)</f>
        <v>0</v>
      </c>
      <c r="G1384" s="26">
        <f>IF(A1384="","",IF(AND(ISNUMBER(B1384),B1384&lt;&gt;0),1,0))</f>
        <v>0</v>
      </c>
      <c r="H1384" s="25">
        <f>IF(E1384="","",(E1384*4+3+cfgDeslocamento)/48)</f>
        <v>0</v>
      </c>
    </row>
    <row r="1385" spans="1:8">
      <c r="A1385" s="24"/>
      <c r="B1385" s="19"/>
      <c r="C1385" s="25">
        <f>IF(D1385="","",D1385/48)</f>
        <v>0</v>
      </c>
      <c r="D1385" s="26">
        <f>IF(A1385="","",ROUND((A1385-cfgDefasagem/1440)*48,0))</f>
        <v>0</v>
      </c>
      <c r="E1385" s="26">
        <f>IF(D1385="","",INT((D1385-cfgDeslocamento)/4))</f>
        <v>0</v>
      </c>
      <c r="F1385" s="26">
        <f>IF(D1385="","",MOD(D1385-cfgDeslocamento,4)+1)</f>
        <v>0</v>
      </c>
      <c r="G1385" s="26">
        <f>IF(A1385="","",IF(AND(ISNUMBER(B1385),B1385&lt;&gt;0),1,0))</f>
        <v>0</v>
      </c>
      <c r="H1385" s="25">
        <f>IF(E1385="","",(E1385*4+3+cfgDeslocamento)/48)</f>
        <v>0</v>
      </c>
    </row>
    <row r="1386" spans="1:8">
      <c r="A1386" s="24"/>
      <c r="B1386" s="19"/>
      <c r="C1386" s="25">
        <f>IF(D1386="","",D1386/48)</f>
        <v>0</v>
      </c>
      <c r="D1386" s="26">
        <f>IF(A1386="","",ROUND((A1386-cfgDefasagem/1440)*48,0))</f>
        <v>0</v>
      </c>
      <c r="E1386" s="26">
        <f>IF(D1386="","",INT((D1386-cfgDeslocamento)/4))</f>
        <v>0</v>
      </c>
      <c r="F1386" s="26">
        <f>IF(D1386="","",MOD(D1386-cfgDeslocamento,4)+1)</f>
        <v>0</v>
      </c>
      <c r="G1386" s="26">
        <f>IF(A1386="","",IF(AND(ISNUMBER(B1386),B1386&lt;&gt;0),1,0))</f>
        <v>0</v>
      </c>
      <c r="H1386" s="25">
        <f>IF(E1386="","",(E1386*4+3+cfgDeslocamento)/48)</f>
        <v>0</v>
      </c>
    </row>
    <row r="1387" spans="1:8">
      <c r="A1387" s="24"/>
      <c r="B1387" s="19"/>
      <c r="C1387" s="25">
        <f>IF(D1387="","",D1387/48)</f>
        <v>0</v>
      </c>
      <c r="D1387" s="26">
        <f>IF(A1387="","",ROUND((A1387-cfgDefasagem/1440)*48,0))</f>
        <v>0</v>
      </c>
      <c r="E1387" s="26">
        <f>IF(D1387="","",INT((D1387-cfgDeslocamento)/4))</f>
        <v>0</v>
      </c>
      <c r="F1387" s="26">
        <f>IF(D1387="","",MOD(D1387-cfgDeslocamento,4)+1)</f>
        <v>0</v>
      </c>
      <c r="G1387" s="26">
        <f>IF(A1387="","",IF(AND(ISNUMBER(B1387),B1387&lt;&gt;0),1,0))</f>
        <v>0</v>
      </c>
      <c r="H1387" s="25">
        <f>IF(E1387="","",(E1387*4+3+cfgDeslocamento)/48)</f>
        <v>0</v>
      </c>
    </row>
    <row r="1388" spans="1:8">
      <c r="A1388" s="24"/>
      <c r="B1388" s="19"/>
      <c r="C1388" s="25">
        <f>IF(D1388="","",D1388/48)</f>
        <v>0</v>
      </c>
      <c r="D1388" s="26">
        <f>IF(A1388="","",ROUND((A1388-cfgDefasagem/1440)*48,0))</f>
        <v>0</v>
      </c>
      <c r="E1388" s="26">
        <f>IF(D1388="","",INT((D1388-cfgDeslocamento)/4))</f>
        <v>0</v>
      </c>
      <c r="F1388" s="26">
        <f>IF(D1388="","",MOD(D1388-cfgDeslocamento,4)+1)</f>
        <v>0</v>
      </c>
      <c r="G1388" s="26">
        <f>IF(A1388="","",IF(AND(ISNUMBER(B1388),B1388&lt;&gt;0),1,0))</f>
        <v>0</v>
      </c>
      <c r="H1388" s="25">
        <f>IF(E1388="","",(E1388*4+3+cfgDeslocamento)/48)</f>
        <v>0</v>
      </c>
    </row>
    <row r="1389" spans="1:8">
      <c r="A1389" s="24"/>
      <c r="B1389" s="19"/>
      <c r="C1389" s="25">
        <f>IF(D1389="","",D1389/48)</f>
        <v>0</v>
      </c>
      <c r="D1389" s="26">
        <f>IF(A1389="","",ROUND((A1389-cfgDefasagem/1440)*48,0))</f>
        <v>0</v>
      </c>
      <c r="E1389" s="26">
        <f>IF(D1389="","",INT((D1389-cfgDeslocamento)/4))</f>
        <v>0</v>
      </c>
      <c r="F1389" s="26">
        <f>IF(D1389="","",MOD(D1389-cfgDeslocamento,4)+1)</f>
        <v>0</v>
      </c>
      <c r="G1389" s="26">
        <f>IF(A1389="","",IF(AND(ISNUMBER(B1389),B1389&lt;&gt;0),1,0))</f>
        <v>0</v>
      </c>
      <c r="H1389" s="25">
        <f>IF(E1389="","",(E1389*4+3+cfgDeslocamento)/48)</f>
        <v>0</v>
      </c>
    </row>
    <row r="1390" spans="1:8">
      <c r="A1390" s="24"/>
      <c r="B1390" s="19"/>
      <c r="C1390" s="25">
        <f>IF(D1390="","",D1390/48)</f>
        <v>0</v>
      </c>
      <c r="D1390" s="26">
        <f>IF(A1390="","",ROUND((A1390-cfgDefasagem/1440)*48,0))</f>
        <v>0</v>
      </c>
      <c r="E1390" s="26">
        <f>IF(D1390="","",INT((D1390-cfgDeslocamento)/4))</f>
        <v>0</v>
      </c>
      <c r="F1390" s="26">
        <f>IF(D1390="","",MOD(D1390-cfgDeslocamento,4)+1)</f>
        <v>0</v>
      </c>
      <c r="G1390" s="26">
        <f>IF(A1390="","",IF(AND(ISNUMBER(B1390),B1390&lt;&gt;0),1,0))</f>
        <v>0</v>
      </c>
      <c r="H1390" s="25">
        <f>IF(E1390="","",(E1390*4+3+cfgDeslocamento)/48)</f>
        <v>0</v>
      </c>
    </row>
    <row r="1391" spans="1:8">
      <c r="A1391" s="24"/>
      <c r="B1391" s="19"/>
      <c r="C1391" s="25">
        <f>IF(D1391="","",D1391/48)</f>
        <v>0</v>
      </c>
      <c r="D1391" s="26">
        <f>IF(A1391="","",ROUND((A1391-cfgDefasagem/1440)*48,0))</f>
        <v>0</v>
      </c>
      <c r="E1391" s="26">
        <f>IF(D1391="","",INT((D1391-cfgDeslocamento)/4))</f>
        <v>0</v>
      </c>
      <c r="F1391" s="26">
        <f>IF(D1391="","",MOD(D1391-cfgDeslocamento,4)+1)</f>
        <v>0</v>
      </c>
      <c r="G1391" s="26">
        <f>IF(A1391="","",IF(AND(ISNUMBER(B1391),B1391&lt;&gt;0),1,0))</f>
        <v>0</v>
      </c>
      <c r="H1391" s="25">
        <f>IF(E1391="","",(E1391*4+3+cfgDeslocamento)/48)</f>
        <v>0</v>
      </c>
    </row>
    <row r="1392" spans="1:8">
      <c r="A1392" s="24"/>
      <c r="B1392" s="19"/>
      <c r="C1392" s="25">
        <f>IF(D1392="","",D1392/48)</f>
        <v>0</v>
      </c>
      <c r="D1392" s="26">
        <f>IF(A1392="","",ROUND((A1392-cfgDefasagem/1440)*48,0))</f>
        <v>0</v>
      </c>
      <c r="E1392" s="26">
        <f>IF(D1392="","",INT((D1392-cfgDeslocamento)/4))</f>
        <v>0</v>
      </c>
      <c r="F1392" s="26">
        <f>IF(D1392="","",MOD(D1392-cfgDeslocamento,4)+1)</f>
        <v>0</v>
      </c>
      <c r="G1392" s="26">
        <f>IF(A1392="","",IF(AND(ISNUMBER(B1392),B1392&lt;&gt;0),1,0))</f>
        <v>0</v>
      </c>
      <c r="H1392" s="25">
        <f>IF(E1392="","",(E1392*4+3+cfgDeslocamento)/48)</f>
        <v>0</v>
      </c>
    </row>
    <row r="1393" spans="1:8">
      <c r="A1393" s="24"/>
      <c r="B1393" s="19"/>
      <c r="C1393" s="25">
        <f>IF(D1393="","",D1393/48)</f>
        <v>0</v>
      </c>
      <c r="D1393" s="26">
        <f>IF(A1393="","",ROUND((A1393-cfgDefasagem/1440)*48,0))</f>
        <v>0</v>
      </c>
      <c r="E1393" s="26">
        <f>IF(D1393="","",INT((D1393-cfgDeslocamento)/4))</f>
        <v>0</v>
      </c>
      <c r="F1393" s="26">
        <f>IF(D1393="","",MOD(D1393-cfgDeslocamento,4)+1)</f>
        <v>0</v>
      </c>
      <c r="G1393" s="26">
        <f>IF(A1393="","",IF(AND(ISNUMBER(B1393),B1393&lt;&gt;0),1,0))</f>
        <v>0</v>
      </c>
      <c r="H1393" s="25">
        <f>IF(E1393="","",(E1393*4+3+cfgDeslocamento)/48)</f>
        <v>0</v>
      </c>
    </row>
    <row r="1394" spans="1:8">
      <c r="A1394" s="24"/>
      <c r="B1394" s="19"/>
      <c r="C1394" s="25">
        <f>IF(D1394="","",D1394/48)</f>
        <v>0</v>
      </c>
      <c r="D1394" s="26">
        <f>IF(A1394="","",ROUND((A1394-cfgDefasagem/1440)*48,0))</f>
        <v>0</v>
      </c>
      <c r="E1394" s="26">
        <f>IF(D1394="","",INT((D1394-cfgDeslocamento)/4))</f>
        <v>0</v>
      </c>
      <c r="F1394" s="26">
        <f>IF(D1394="","",MOD(D1394-cfgDeslocamento,4)+1)</f>
        <v>0</v>
      </c>
      <c r="G1394" s="26">
        <f>IF(A1394="","",IF(AND(ISNUMBER(B1394),B1394&lt;&gt;0),1,0))</f>
        <v>0</v>
      </c>
      <c r="H1394" s="25">
        <f>IF(E1394="","",(E1394*4+3+cfgDeslocamento)/48)</f>
        <v>0</v>
      </c>
    </row>
    <row r="1395" spans="1:8">
      <c r="A1395" s="24"/>
      <c r="B1395" s="19"/>
      <c r="C1395" s="25">
        <f>IF(D1395="","",D1395/48)</f>
        <v>0</v>
      </c>
      <c r="D1395" s="26">
        <f>IF(A1395="","",ROUND((A1395-cfgDefasagem/1440)*48,0))</f>
        <v>0</v>
      </c>
      <c r="E1395" s="26">
        <f>IF(D1395="","",INT((D1395-cfgDeslocamento)/4))</f>
        <v>0</v>
      </c>
      <c r="F1395" s="26">
        <f>IF(D1395="","",MOD(D1395-cfgDeslocamento,4)+1)</f>
        <v>0</v>
      </c>
      <c r="G1395" s="26">
        <f>IF(A1395="","",IF(AND(ISNUMBER(B1395),B1395&lt;&gt;0),1,0))</f>
        <v>0</v>
      </c>
      <c r="H1395" s="25">
        <f>IF(E1395="","",(E1395*4+3+cfgDeslocamento)/48)</f>
        <v>0</v>
      </c>
    </row>
    <row r="1396" spans="1:8">
      <c r="A1396" s="24"/>
      <c r="B1396" s="19"/>
      <c r="C1396" s="25">
        <f>IF(D1396="","",D1396/48)</f>
        <v>0</v>
      </c>
      <c r="D1396" s="26">
        <f>IF(A1396="","",ROUND((A1396-cfgDefasagem/1440)*48,0))</f>
        <v>0</v>
      </c>
      <c r="E1396" s="26">
        <f>IF(D1396="","",INT((D1396-cfgDeslocamento)/4))</f>
        <v>0</v>
      </c>
      <c r="F1396" s="26">
        <f>IF(D1396="","",MOD(D1396-cfgDeslocamento,4)+1)</f>
        <v>0</v>
      </c>
      <c r="G1396" s="26">
        <f>IF(A1396="","",IF(AND(ISNUMBER(B1396),B1396&lt;&gt;0),1,0))</f>
        <v>0</v>
      </c>
      <c r="H1396" s="25">
        <f>IF(E1396="","",(E1396*4+3+cfgDeslocamento)/48)</f>
        <v>0</v>
      </c>
    </row>
    <row r="1397" spans="1:8">
      <c r="A1397" s="24"/>
      <c r="B1397" s="19"/>
      <c r="C1397" s="25">
        <f>IF(D1397="","",D1397/48)</f>
        <v>0</v>
      </c>
      <c r="D1397" s="26">
        <f>IF(A1397="","",ROUND((A1397-cfgDefasagem/1440)*48,0))</f>
        <v>0</v>
      </c>
      <c r="E1397" s="26">
        <f>IF(D1397="","",INT((D1397-cfgDeslocamento)/4))</f>
        <v>0</v>
      </c>
      <c r="F1397" s="26">
        <f>IF(D1397="","",MOD(D1397-cfgDeslocamento,4)+1)</f>
        <v>0</v>
      </c>
      <c r="G1397" s="26">
        <f>IF(A1397="","",IF(AND(ISNUMBER(B1397),B1397&lt;&gt;0),1,0))</f>
        <v>0</v>
      </c>
      <c r="H1397" s="25">
        <f>IF(E1397="","",(E1397*4+3+cfgDeslocamento)/48)</f>
        <v>0</v>
      </c>
    </row>
    <row r="1398" spans="1:8">
      <c r="A1398" s="24"/>
      <c r="B1398" s="19"/>
      <c r="C1398" s="25">
        <f>IF(D1398="","",D1398/48)</f>
        <v>0</v>
      </c>
      <c r="D1398" s="26">
        <f>IF(A1398="","",ROUND((A1398-cfgDefasagem/1440)*48,0))</f>
        <v>0</v>
      </c>
      <c r="E1398" s="26">
        <f>IF(D1398="","",INT((D1398-cfgDeslocamento)/4))</f>
        <v>0</v>
      </c>
      <c r="F1398" s="26">
        <f>IF(D1398="","",MOD(D1398-cfgDeslocamento,4)+1)</f>
        <v>0</v>
      </c>
      <c r="G1398" s="26">
        <f>IF(A1398="","",IF(AND(ISNUMBER(B1398),B1398&lt;&gt;0),1,0))</f>
        <v>0</v>
      </c>
      <c r="H1398" s="25">
        <f>IF(E1398="","",(E1398*4+3+cfgDeslocamento)/48)</f>
        <v>0</v>
      </c>
    </row>
    <row r="1399" spans="1:8">
      <c r="A1399" s="24"/>
      <c r="B1399" s="19"/>
      <c r="C1399" s="25">
        <f>IF(D1399="","",D1399/48)</f>
        <v>0</v>
      </c>
      <c r="D1399" s="26">
        <f>IF(A1399="","",ROUND((A1399-cfgDefasagem/1440)*48,0))</f>
        <v>0</v>
      </c>
      <c r="E1399" s="26">
        <f>IF(D1399="","",INT((D1399-cfgDeslocamento)/4))</f>
        <v>0</v>
      </c>
      <c r="F1399" s="26">
        <f>IF(D1399="","",MOD(D1399-cfgDeslocamento,4)+1)</f>
        <v>0</v>
      </c>
      <c r="G1399" s="26">
        <f>IF(A1399="","",IF(AND(ISNUMBER(B1399),B1399&lt;&gt;0),1,0))</f>
        <v>0</v>
      </c>
      <c r="H1399" s="25">
        <f>IF(E1399="","",(E1399*4+3+cfgDeslocamento)/48)</f>
        <v>0</v>
      </c>
    </row>
    <row r="1400" spans="1:8">
      <c r="A1400" s="24"/>
      <c r="B1400" s="19"/>
      <c r="C1400" s="25">
        <f>IF(D1400="","",D1400/48)</f>
        <v>0</v>
      </c>
      <c r="D1400" s="26">
        <f>IF(A1400="","",ROUND((A1400-cfgDefasagem/1440)*48,0))</f>
        <v>0</v>
      </c>
      <c r="E1400" s="26">
        <f>IF(D1400="","",INT((D1400-cfgDeslocamento)/4))</f>
        <v>0</v>
      </c>
      <c r="F1400" s="26">
        <f>IF(D1400="","",MOD(D1400-cfgDeslocamento,4)+1)</f>
        <v>0</v>
      </c>
      <c r="G1400" s="26">
        <f>IF(A1400="","",IF(AND(ISNUMBER(B1400),B1400&lt;&gt;0),1,0))</f>
        <v>0</v>
      </c>
      <c r="H1400" s="25">
        <f>IF(E1400="","",(E1400*4+3+cfgDeslocamento)/48)</f>
        <v>0</v>
      </c>
    </row>
    <row r="1401" spans="1:8">
      <c r="A1401" s="24"/>
      <c r="B1401" s="19"/>
      <c r="C1401" s="25">
        <f>IF(D1401="","",D1401/48)</f>
        <v>0</v>
      </c>
      <c r="D1401" s="26">
        <f>IF(A1401="","",ROUND((A1401-cfgDefasagem/1440)*48,0))</f>
        <v>0</v>
      </c>
      <c r="E1401" s="26">
        <f>IF(D1401="","",INT((D1401-cfgDeslocamento)/4))</f>
        <v>0</v>
      </c>
      <c r="F1401" s="26">
        <f>IF(D1401="","",MOD(D1401-cfgDeslocamento,4)+1)</f>
        <v>0</v>
      </c>
      <c r="G1401" s="26">
        <f>IF(A1401="","",IF(AND(ISNUMBER(B1401),B1401&lt;&gt;0),1,0))</f>
        <v>0</v>
      </c>
      <c r="H1401" s="25">
        <f>IF(E1401="","",(E1401*4+3+cfgDeslocamento)/48)</f>
        <v>0</v>
      </c>
    </row>
    <row r="1402" spans="1:8">
      <c r="A1402" s="24"/>
      <c r="B1402" s="19"/>
      <c r="C1402" s="25">
        <f>IF(D1402="","",D1402/48)</f>
        <v>0</v>
      </c>
      <c r="D1402" s="26">
        <f>IF(A1402="","",ROUND((A1402-cfgDefasagem/1440)*48,0))</f>
        <v>0</v>
      </c>
      <c r="E1402" s="26">
        <f>IF(D1402="","",INT((D1402-cfgDeslocamento)/4))</f>
        <v>0</v>
      </c>
      <c r="F1402" s="26">
        <f>IF(D1402="","",MOD(D1402-cfgDeslocamento,4)+1)</f>
        <v>0</v>
      </c>
      <c r="G1402" s="26">
        <f>IF(A1402="","",IF(AND(ISNUMBER(B1402),B1402&lt;&gt;0),1,0))</f>
        <v>0</v>
      </c>
      <c r="H1402" s="25">
        <f>IF(E1402="","",(E1402*4+3+cfgDeslocamento)/48)</f>
        <v>0</v>
      </c>
    </row>
    <row r="1403" spans="1:8">
      <c r="A1403" s="24"/>
      <c r="B1403" s="19"/>
      <c r="C1403" s="25">
        <f>IF(D1403="","",D1403/48)</f>
        <v>0</v>
      </c>
      <c r="D1403" s="26">
        <f>IF(A1403="","",ROUND((A1403-cfgDefasagem/1440)*48,0))</f>
        <v>0</v>
      </c>
      <c r="E1403" s="26">
        <f>IF(D1403="","",INT((D1403-cfgDeslocamento)/4))</f>
        <v>0</v>
      </c>
      <c r="F1403" s="26">
        <f>IF(D1403="","",MOD(D1403-cfgDeslocamento,4)+1)</f>
        <v>0</v>
      </c>
      <c r="G1403" s="26">
        <f>IF(A1403="","",IF(AND(ISNUMBER(B1403),B1403&lt;&gt;0),1,0))</f>
        <v>0</v>
      </c>
      <c r="H1403" s="25">
        <f>IF(E1403="","",(E1403*4+3+cfgDeslocamento)/48)</f>
        <v>0</v>
      </c>
    </row>
    <row r="1404" spans="1:8">
      <c r="A1404" s="24"/>
      <c r="B1404" s="19"/>
      <c r="C1404" s="25">
        <f>IF(D1404="","",D1404/48)</f>
        <v>0</v>
      </c>
      <c r="D1404" s="26">
        <f>IF(A1404="","",ROUND((A1404-cfgDefasagem/1440)*48,0))</f>
        <v>0</v>
      </c>
      <c r="E1404" s="26">
        <f>IF(D1404="","",INT((D1404-cfgDeslocamento)/4))</f>
        <v>0</v>
      </c>
      <c r="F1404" s="26">
        <f>IF(D1404="","",MOD(D1404-cfgDeslocamento,4)+1)</f>
        <v>0</v>
      </c>
      <c r="G1404" s="26">
        <f>IF(A1404="","",IF(AND(ISNUMBER(B1404),B1404&lt;&gt;0),1,0))</f>
        <v>0</v>
      </c>
      <c r="H1404" s="25">
        <f>IF(E1404="","",(E1404*4+3+cfgDeslocamento)/48)</f>
        <v>0</v>
      </c>
    </row>
    <row r="1405" spans="1:8">
      <c r="A1405" s="24"/>
      <c r="B1405" s="19"/>
      <c r="C1405" s="25">
        <f>IF(D1405="","",D1405/48)</f>
        <v>0</v>
      </c>
      <c r="D1405" s="26">
        <f>IF(A1405="","",ROUND((A1405-cfgDefasagem/1440)*48,0))</f>
        <v>0</v>
      </c>
      <c r="E1405" s="26">
        <f>IF(D1405="","",INT((D1405-cfgDeslocamento)/4))</f>
        <v>0</v>
      </c>
      <c r="F1405" s="26">
        <f>IF(D1405="","",MOD(D1405-cfgDeslocamento,4)+1)</f>
        <v>0</v>
      </c>
      <c r="G1405" s="26">
        <f>IF(A1405="","",IF(AND(ISNUMBER(B1405),B1405&lt;&gt;0),1,0))</f>
        <v>0</v>
      </c>
      <c r="H1405" s="25">
        <f>IF(E1405="","",(E1405*4+3+cfgDeslocamento)/48)</f>
        <v>0</v>
      </c>
    </row>
    <row r="1406" spans="1:8">
      <c r="A1406" s="24"/>
      <c r="B1406" s="19"/>
      <c r="C1406" s="25">
        <f>IF(D1406="","",D1406/48)</f>
        <v>0</v>
      </c>
      <c r="D1406" s="26">
        <f>IF(A1406="","",ROUND((A1406-cfgDefasagem/1440)*48,0))</f>
        <v>0</v>
      </c>
      <c r="E1406" s="26">
        <f>IF(D1406="","",INT((D1406-cfgDeslocamento)/4))</f>
        <v>0</v>
      </c>
      <c r="F1406" s="26">
        <f>IF(D1406="","",MOD(D1406-cfgDeslocamento,4)+1)</f>
        <v>0</v>
      </c>
      <c r="G1406" s="26">
        <f>IF(A1406="","",IF(AND(ISNUMBER(B1406),B1406&lt;&gt;0),1,0))</f>
        <v>0</v>
      </c>
      <c r="H1406" s="25">
        <f>IF(E1406="","",(E1406*4+3+cfgDeslocamento)/48)</f>
        <v>0</v>
      </c>
    </row>
    <row r="1407" spans="1:8">
      <c r="A1407" s="24"/>
      <c r="B1407" s="19"/>
      <c r="C1407" s="25">
        <f>IF(D1407="","",D1407/48)</f>
        <v>0</v>
      </c>
      <c r="D1407" s="26">
        <f>IF(A1407="","",ROUND((A1407-cfgDefasagem/1440)*48,0))</f>
        <v>0</v>
      </c>
      <c r="E1407" s="26">
        <f>IF(D1407="","",INT((D1407-cfgDeslocamento)/4))</f>
        <v>0</v>
      </c>
      <c r="F1407" s="26">
        <f>IF(D1407="","",MOD(D1407-cfgDeslocamento,4)+1)</f>
        <v>0</v>
      </c>
      <c r="G1407" s="26">
        <f>IF(A1407="","",IF(AND(ISNUMBER(B1407),B1407&lt;&gt;0),1,0))</f>
        <v>0</v>
      </c>
      <c r="H1407" s="25">
        <f>IF(E1407="","",(E1407*4+3+cfgDeslocamento)/48)</f>
        <v>0</v>
      </c>
    </row>
    <row r="1408" spans="1:8">
      <c r="A1408" s="24"/>
      <c r="B1408" s="19"/>
      <c r="C1408" s="25">
        <f>IF(D1408="","",D1408/48)</f>
        <v>0</v>
      </c>
      <c r="D1408" s="26">
        <f>IF(A1408="","",ROUND((A1408-cfgDefasagem/1440)*48,0))</f>
        <v>0</v>
      </c>
      <c r="E1408" s="26">
        <f>IF(D1408="","",INT((D1408-cfgDeslocamento)/4))</f>
        <v>0</v>
      </c>
      <c r="F1408" s="26">
        <f>IF(D1408="","",MOD(D1408-cfgDeslocamento,4)+1)</f>
        <v>0</v>
      </c>
      <c r="G1408" s="26">
        <f>IF(A1408="","",IF(AND(ISNUMBER(B1408),B1408&lt;&gt;0),1,0))</f>
        <v>0</v>
      </c>
      <c r="H1408" s="25">
        <f>IF(E1408="","",(E1408*4+3+cfgDeslocamento)/48)</f>
        <v>0</v>
      </c>
    </row>
    <row r="1409" spans="1:8">
      <c r="A1409" s="24"/>
      <c r="B1409" s="19"/>
      <c r="C1409" s="25">
        <f>IF(D1409="","",D1409/48)</f>
        <v>0</v>
      </c>
      <c r="D1409" s="26">
        <f>IF(A1409="","",ROUND((A1409-cfgDefasagem/1440)*48,0))</f>
        <v>0</v>
      </c>
      <c r="E1409" s="26">
        <f>IF(D1409="","",INT((D1409-cfgDeslocamento)/4))</f>
        <v>0</v>
      </c>
      <c r="F1409" s="26">
        <f>IF(D1409="","",MOD(D1409-cfgDeslocamento,4)+1)</f>
        <v>0</v>
      </c>
      <c r="G1409" s="26">
        <f>IF(A1409="","",IF(AND(ISNUMBER(B1409),B1409&lt;&gt;0),1,0))</f>
        <v>0</v>
      </c>
      <c r="H1409" s="25">
        <f>IF(E1409="","",(E1409*4+3+cfgDeslocamento)/48)</f>
        <v>0</v>
      </c>
    </row>
    <row r="1410" spans="1:8">
      <c r="A1410" s="24"/>
      <c r="B1410" s="19"/>
      <c r="C1410" s="25">
        <f>IF(D1410="","",D1410/48)</f>
        <v>0</v>
      </c>
      <c r="D1410" s="26">
        <f>IF(A1410="","",ROUND((A1410-cfgDefasagem/1440)*48,0))</f>
        <v>0</v>
      </c>
      <c r="E1410" s="26">
        <f>IF(D1410="","",INT((D1410-cfgDeslocamento)/4))</f>
        <v>0</v>
      </c>
      <c r="F1410" s="26">
        <f>IF(D1410="","",MOD(D1410-cfgDeslocamento,4)+1)</f>
        <v>0</v>
      </c>
      <c r="G1410" s="26">
        <f>IF(A1410="","",IF(AND(ISNUMBER(B1410),B1410&lt;&gt;0),1,0))</f>
        <v>0</v>
      </c>
      <c r="H1410" s="25">
        <f>IF(E1410="","",(E1410*4+3+cfgDeslocamento)/48)</f>
        <v>0</v>
      </c>
    </row>
    <row r="1411" spans="1:8">
      <c r="A1411" s="24"/>
      <c r="B1411" s="19"/>
      <c r="C1411" s="25">
        <f>IF(D1411="","",D1411/48)</f>
        <v>0</v>
      </c>
      <c r="D1411" s="26">
        <f>IF(A1411="","",ROUND((A1411-cfgDefasagem/1440)*48,0))</f>
        <v>0</v>
      </c>
      <c r="E1411" s="26">
        <f>IF(D1411="","",INT((D1411-cfgDeslocamento)/4))</f>
        <v>0</v>
      </c>
      <c r="F1411" s="26">
        <f>IF(D1411="","",MOD(D1411-cfgDeslocamento,4)+1)</f>
        <v>0</v>
      </c>
      <c r="G1411" s="26">
        <f>IF(A1411="","",IF(AND(ISNUMBER(B1411),B1411&lt;&gt;0),1,0))</f>
        <v>0</v>
      </c>
      <c r="H1411" s="25">
        <f>IF(E1411="","",(E1411*4+3+cfgDeslocamento)/48)</f>
        <v>0</v>
      </c>
    </row>
    <row r="1412" spans="1:8">
      <c r="A1412" s="24"/>
      <c r="B1412" s="19"/>
      <c r="C1412" s="25">
        <f>IF(D1412="","",D1412/48)</f>
        <v>0</v>
      </c>
      <c r="D1412" s="26">
        <f>IF(A1412="","",ROUND((A1412-cfgDefasagem/1440)*48,0))</f>
        <v>0</v>
      </c>
      <c r="E1412" s="26">
        <f>IF(D1412="","",INT((D1412-cfgDeslocamento)/4))</f>
        <v>0</v>
      </c>
      <c r="F1412" s="26">
        <f>IF(D1412="","",MOD(D1412-cfgDeslocamento,4)+1)</f>
        <v>0</v>
      </c>
      <c r="G1412" s="26">
        <f>IF(A1412="","",IF(AND(ISNUMBER(B1412),B1412&lt;&gt;0),1,0))</f>
        <v>0</v>
      </c>
      <c r="H1412" s="25">
        <f>IF(E1412="","",(E1412*4+3+cfgDeslocamento)/48)</f>
        <v>0</v>
      </c>
    </row>
    <row r="1413" spans="1:8">
      <c r="A1413" s="24"/>
      <c r="B1413" s="19"/>
      <c r="C1413" s="25">
        <f>IF(D1413="","",D1413/48)</f>
        <v>0</v>
      </c>
      <c r="D1413" s="26">
        <f>IF(A1413="","",ROUND((A1413-cfgDefasagem/1440)*48,0))</f>
        <v>0</v>
      </c>
      <c r="E1413" s="26">
        <f>IF(D1413="","",INT((D1413-cfgDeslocamento)/4))</f>
        <v>0</v>
      </c>
      <c r="F1413" s="26">
        <f>IF(D1413="","",MOD(D1413-cfgDeslocamento,4)+1)</f>
        <v>0</v>
      </c>
      <c r="G1413" s="26">
        <f>IF(A1413="","",IF(AND(ISNUMBER(B1413),B1413&lt;&gt;0),1,0))</f>
        <v>0</v>
      </c>
      <c r="H1413" s="25">
        <f>IF(E1413="","",(E1413*4+3+cfgDeslocamento)/48)</f>
        <v>0</v>
      </c>
    </row>
    <row r="1414" spans="1:8">
      <c r="A1414" s="24"/>
      <c r="B1414" s="19"/>
      <c r="C1414" s="25">
        <f>IF(D1414="","",D1414/48)</f>
        <v>0</v>
      </c>
      <c r="D1414" s="26">
        <f>IF(A1414="","",ROUND((A1414-cfgDefasagem/1440)*48,0))</f>
        <v>0</v>
      </c>
      <c r="E1414" s="26">
        <f>IF(D1414="","",INT((D1414-cfgDeslocamento)/4))</f>
        <v>0</v>
      </c>
      <c r="F1414" s="26">
        <f>IF(D1414="","",MOD(D1414-cfgDeslocamento,4)+1)</f>
        <v>0</v>
      </c>
      <c r="G1414" s="26">
        <f>IF(A1414="","",IF(AND(ISNUMBER(B1414),B1414&lt;&gt;0),1,0))</f>
        <v>0</v>
      </c>
      <c r="H1414" s="25">
        <f>IF(E1414="","",(E1414*4+3+cfgDeslocamento)/48)</f>
        <v>0</v>
      </c>
    </row>
    <row r="1415" spans="1:8">
      <c r="A1415" s="24"/>
      <c r="B1415" s="19"/>
      <c r="C1415" s="25">
        <f>IF(D1415="","",D1415/48)</f>
        <v>0</v>
      </c>
      <c r="D1415" s="26">
        <f>IF(A1415="","",ROUND((A1415-cfgDefasagem/1440)*48,0))</f>
        <v>0</v>
      </c>
      <c r="E1415" s="26">
        <f>IF(D1415="","",INT((D1415-cfgDeslocamento)/4))</f>
        <v>0</v>
      </c>
      <c r="F1415" s="26">
        <f>IF(D1415="","",MOD(D1415-cfgDeslocamento,4)+1)</f>
        <v>0</v>
      </c>
      <c r="G1415" s="26">
        <f>IF(A1415="","",IF(AND(ISNUMBER(B1415),B1415&lt;&gt;0),1,0))</f>
        <v>0</v>
      </c>
      <c r="H1415" s="25">
        <f>IF(E1415="","",(E1415*4+3+cfgDeslocamento)/48)</f>
        <v>0</v>
      </c>
    </row>
    <row r="1416" spans="1:8">
      <c r="A1416" s="24"/>
      <c r="B1416" s="19"/>
      <c r="C1416" s="25">
        <f>IF(D1416="","",D1416/48)</f>
        <v>0</v>
      </c>
      <c r="D1416" s="26">
        <f>IF(A1416="","",ROUND((A1416-cfgDefasagem/1440)*48,0))</f>
        <v>0</v>
      </c>
      <c r="E1416" s="26">
        <f>IF(D1416="","",INT((D1416-cfgDeslocamento)/4))</f>
        <v>0</v>
      </c>
      <c r="F1416" s="26">
        <f>IF(D1416="","",MOD(D1416-cfgDeslocamento,4)+1)</f>
        <v>0</v>
      </c>
      <c r="G1416" s="26">
        <f>IF(A1416="","",IF(AND(ISNUMBER(B1416),B1416&lt;&gt;0),1,0))</f>
        <v>0</v>
      </c>
      <c r="H1416" s="25">
        <f>IF(E1416="","",(E1416*4+3+cfgDeslocamento)/48)</f>
        <v>0</v>
      </c>
    </row>
    <row r="1417" spans="1:8">
      <c r="A1417" s="24"/>
      <c r="B1417" s="19"/>
      <c r="C1417" s="25">
        <f>IF(D1417="","",D1417/48)</f>
        <v>0</v>
      </c>
      <c r="D1417" s="26">
        <f>IF(A1417="","",ROUND((A1417-cfgDefasagem/1440)*48,0))</f>
        <v>0</v>
      </c>
      <c r="E1417" s="26">
        <f>IF(D1417="","",INT((D1417-cfgDeslocamento)/4))</f>
        <v>0</v>
      </c>
      <c r="F1417" s="26">
        <f>IF(D1417="","",MOD(D1417-cfgDeslocamento,4)+1)</f>
        <v>0</v>
      </c>
      <c r="G1417" s="26">
        <f>IF(A1417="","",IF(AND(ISNUMBER(B1417),B1417&lt;&gt;0),1,0))</f>
        <v>0</v>
      </c>
      <c r="H1417" s="25">
        <f>IF(E1417="","",(E1417*4+3+cfgDeslocamento)/48)</f>
        <v>0</v>
      </c>
    </row>
    <row r="1418" spans="1:8">
      <c r="A1418" s="24"/>
      <c r="B1418" s="19"/>
      <c r="C1418" s="25">
        <f>IF(D1418="","",D1418/48)</f>
        <v>0</v>
      </c>
      <c r="D1418" s="26">
        <f>IF(A1418="","",ROUND((A1418-cfgDefasagem/1440)*48,0))</f>
        <v>0</v>
      </c>
      <c r="E1418" s="26">
        <f>IF(D1418="","",INT((D1418-cfgDeslocamento)/4))</f>
        <v>0</v>
      </c>
      <c r="F1418" s="26">
        <f>IF(D1418="","",MOD(D1418-cfgDeslocamento,4)+1)</f>
        <v>0</v>
      </c>
      <c r="G1418" s="26">
        <f>IF(A1418="","",IF(AND(ISNUMBER(B1418),B1418&lt;&gt;0),1,0))</f>
        <v>0</v>
      </c>
      <c r="H1418" s="25">
        <f>IF(E1418="","",(E1418*4+3+cfgDeslocamento)/48)</f>
        <v>0</v>
      </c>
    </row>
    <row r="1419" spans="1:8">
      <c r="A1419" s="24"/>
      <c r="B1419" s="19"/>
      <c r="C1419" s="25">
        <f>IF(D1419="","",D1419/48)</f>
        <v>0</v>
      </c>
      <c r="D1419" s="26">
        <f>IF(A1419="","",ROUND((A1419-cfgDefasagem/1440)*48,0))</f>
        <v>0</v>
      </c>
      <c r="E1419" s="26">
        <f>IF(D1419="","",INT((D1419-cfgDeslocamento)/4))</f>
        <v>0</v>
      </c>
      <c r="F1419" s="26">
        <f>IF(D1419="","",MOD(D1419-cfgDeslocamento,4)+1)</f>
        <v>0</v>
      </c>
      <c r="G1419" s="26">
        <f>IF(A1419="","",IF(AND(ISNUMBER(B1419),B1419&lt;&gt;0),1,0))</f>
        <v>0</v>
      </c>
      <c r="H1419" s="25">
        <f>IF(E1419="","",(E1419*4+3+cfgDeslocamento)/48)</f>
        <v>0</v>
      </c>
    </row>
    <row r="1420" spans="1:8">
      <c r="A1420" s="24"/>
      <c r="B1420" s="19"/>
      <c r="C1420" s="25">
        <f>IF(D1420="","",D1420/48)</f>
        <v>0</v>
      </c>
      <c r="D1420" s="26">
        <f>IF(A1420="","",ROUND((A1420-cfgDefasagem/1440)*48,0))</f>
        <v>0</v>
      </c>
      <c r="E1420" s="26">
        <f>IF(D1420="","",INT((D1420-cfgDeslocamento)/4))</f>
        <v>0</v>
      </c>
      <c r="F1420" s="26">
        <f>IF(D1420="","",MOD(D1420-cfgDeslocamento,4)+1)</f>
        <v>0</v>
      </c>
      <c r="G1420" s="26">
        <f>IF(A1420="","",IF(AND(ISNUMBER(B1420),B1420&lt;&gt;0),1,0))</f>
        <v>0</v>
      </c>
      <c r="H1420" s="25">
        <f>IF(E1420="","",(E1420*4+3+cfgDeslocamento)/48)</f>
        <v>0</v>
      </c>
    </row>
    <row r="1421" spans="1:8">
      <c r="A1421" s="24"/>
      <c r="B1421" s="19"/>
      <c r="C1421" s="25">
        <f>IF(D1421="","",D1421/48)</f>
        <v>0</v>
      </c>
      <c r="D1421" s="26">
        <f>IF(A1421="","",ROUND((A1421-cfgDefasagem/1440)*48,0))</f>
        <v>0</v>
      </c>
      <c r="E1421" s="26">
        <f>IF(D1421="","",INT((D1421-cfgDeslocamento)/4))</f>
        <v>0</v>
      </c>
      <c r="F1421" s="26">
        <f>IF(D1421="","",MOD(D1421-cfgDeslocamento,4)+1)</f>
        <v>0</v>
      </c>
      <c r="G1421" s="26">
        <f>IF(A1421="","",IF(AND(ISNUMBER(B1421),B1421&lt;&gt;0),1,0))</f>
        <v>0</v>
      </c>
      <c r="H1421" s="25">
        <f>IF(E1421="","",(E1421*4+3+cfgDeslocamento)/48)</f>
        <v>0</v>
      </c>
    </row>
    <row r="1422" spans="1:8">
      <c r="A1422" s="24"/>
      <c r="B1422" s="19"/>
      <c r="C1422" s="25">
        <f>IF(D1422="","",D1422/48)</f>
        <v>0</v>
      </c>
      <c r="D1422" s="26">
        <f>IF(A1422="","",ROUND((A1422-cfgDefasagem/1440)*48,0))</f>
        <v>0</v>
      </c>
      <c r="E1422" s="26">
        <f>IF(D1422="","",INT((D1422-cfgDeslocamento)/4))</f>
        <v>0</v>
      </c>
      <c r="F1422" s="26">
        <f>IF(D1422="","",MOD(D1422-cfgDeslocamento,4)+1)</f>
        <v>0</v>
      </c>
      <c r="G1422" s="26">
        <f>IF(A1422="","",IF(AND(ISNUMBER(B1422),B1422&lt;&gt;0),1,0))</f>
        <v>0</v>
      </c>
      <c r="H1422" s="25">
        <f>IF(E1422="","",(E1422*4+3+cfgDeslocamento)/48)</f>
        <v>0</v>
      </c>
    </row>
    <row r="1423" spans="1:8">
      <c r="A1423" s="24"/>
      <c r="B1423" s="19"/>
      <c r="C1423" s="25">
        <f>IF(D1423="","",D1423/48)</f>
        <v>0</v>
      </c>
      <c r="D1423" s="26">
        <f>IF(A1423="","",ROUND((A1423-cfgDefasagem/1440)*48,0))</f>
        <v>0</v>
      </c>
      <c r="E1423" s="26">
        <f>IF(D1423="","",INT((D1423-cfgDeslocamento)/4))</f>
        <v>0</v>
      </c>
      <c r="F1423" s="26">
        <f>IF(D1423="","",MOD(D1423-cfgDeslocamento,4)+1)</f>
        <v>0</v>
      </c>
      <c r="G1423" s="26">
        <f>IF(A1423="","",IF(AND(ISNUMBER(B1423),B1423&lt;&gt;0),1,0))</f>
        <v>0</v>
      </c>
      <c r="H1423" s="25">
        <f>IF(E1423="","",(E1423*4+3+cfgDeslocamento)/48)</f>
        <v>0</v>
      </c>
    </row>
    <row r="1424" spans="1:8">
      <c r="A1424" s="24"/>
      <c r="B1424" s="19"/>
      <c r="C1424" s="25">
        <f>IF(D1424="","",D1424/48)</f>
        <v>0</v>
      </c>
      <c r="D1424" s="26">
        <f>IF(A1424="","",ROUND((A1424-cfgDefasagem/1440)*48,0))</f>
        <v>0</v>
      </c>
      <c r="E1424" s="26">
        <f>IF(D1424="","",INT((D1424-cfgDeslocamento)/4))</f>
        <v>0</v>
      </c>
      <c r="F1424" s="26">
        <f>IF(D1424="","",MOD(D1424-cfgDeslocamento,4)+1)</f>
        <v>0</v>
      </c>
      <c r="G1424" s="26">
        <f>IF(A1424="","",IF(AND(ISNUMBER(B1424),B1424&lt;&gt;0),1,0))</f>
        <v>0</v>
      </c>
      <c r="H1424" s="25">
        <f>IF(E1424="","",(E1424*4+3+cfgDeslocamento)/48)</f>
        <v>0</v>
      </c>
    </row>
    <row r="1425" spans="1:8">
      <c r="A1425" s="24"/>
      <c r="B1425" s="19"/>
      <c r="C1425" s="25">
        <f>IF(D1425="","",D1425/48)</f>
        <v>0</v>
      </c>
      <c r="D1425" s="26">
        <f>IF(A1425="","",ROUND((A1425-cfgDefasagem/1440)*48,0))</f>
        <v>0</v>
      </c>
      <c r="E1425" s="26">
        <f>IF(D1425="","",INT((D1425-cfgDeslocamento)/4))</f>
        <v>0</v>
      </c>
      <c r="F1425" s="26">
        <f>IF(D1425="","",MOD(D1425-cfgDeslocamento,4)+1)</f>
        <v>0</v>
      </c>
      <c r="G1425" s="26">
        <f>IF(A1425="","",IF(AND(ISNUMBER(B1425),B1425&lt;&gt;0),1,0))</f>
        <v>0</v>
      </c>
      <c r="H1425" s="25">
        <f>IF(E1425="","",(E1425*4+3+cfgDeslocamento)/48)</f>
        <v>0</v>
      </c>
    </row>
    <row r="1426" spans="1:8">
      <c r="A1426" s="24"/>
      <c r="B1426" s="19"/>
      <c r="C1426" s="25">
        <f>IF(D1426="","",D1426/48)</f>
        <v>0</v>
      </c>
      <c r="D1426" s="26">
        <f>IF(A1426="","",ROUND((A1426-cfgDefasagem/1440)*48,0))</f>
        <v>0</v>
      </c>
      <c r="E1426" s="26">
        <f>IF(D1426="","",INT((D1426-cfgDeslocamento)/4))</f>
        <v>0</v>
      </c>
      <c r="F1426" s="26">
        <f>IF(D1426="","",MOD(D1426-cfgDeslocamento,4)+1)</f>
        <v>0</v>
      </c>
      <c r="G1426" s="26">
        <f>IF(A1426="","",IF(AND(ISNUMBER(B1426),B1426&lt;&gt;0),1,0))</f>
        <v>0</v>
      </c>
      <c r="H1426" s="25">
        <f>IF(E1426="","",(E1426*4+3+cfgDeslocamento)/48)</f>
        <v>0</v>
      </c>
    </row>
    <row r="1427" spans="1:8">
      <c r="A1427" s="24"/>
      <c r="B1427" s="19"/>
      <c r="C1427" s="25">
        <f>IF(D1427="","",D1427/48)</f>
        <v>0</v>
      </c>
      <c r="D1427" s="26">
        <f>IF(A1427="","",ROUND((A1427-cfgDefasagem/1440)*48,0))</f>
        <v>0</v>
      </c>
      <c r="E1427" s="26">
        <f>IF(D1427="","",INT((D1427-cfgDeslocamento)/4))</f>
        <v>0</v>
      </c>
      <c r="F1427" s="26">
        <f>IF(D1427="","",MOD(D1427-cfgDeslocamento,4)+1)</f>
        <v>0</v>
      </c>
      <c r="G1427" s="26">
        <f>IF(A1427="","",IF(AND(ISNUMBER(B1427),B1427&lt;&gt;0),1,0))</f>
        <v>0</v>
      </c>
      <c r="H1427" s="25">
        <f>IF(E1427="","",(E1427*4+3+cfgDeslocamento)/48)</f>
        <v>0</v>
      </c>
    </row>
    <row r="1428" spans="1:8">
      <c r="A1428" s="24"/>
      <c r="B1428" s="19"/>
      <c r="C1428" s="25">
        <f>IF(D1428="","",D1428/48)</f>
        <v>0</v>
      </c>
      <c r="D1428" s="26">
        <f>IF(A1428="","",ROUND((A1428-cfgDefasagem/1440)*48,0))</f>
        <v>0</v>
      </c>
      <c r="E1428" s="26">
        <f>IF(D1428="","",INT((D1428-cfgDeslocamento)/4))</f>
        <v>0</v>
      </c>
      <c r="F1428" s="26">
        <f>IF(D1428="","",MOD(D1428-cfgDeslocamento,4)+1)</f>
        <v>0</v>
      </c>
      <c r="G1428" s="26">
        <f>IF(A1428="","",IF(AND(ISNUMBER(B1428),B1428&lt;&gt;0),1,0))</f>
        <v>0</v>
      </c>
      <c r="H1428" s="25">
        <f>IF(E1428="","",(E1428*4+3+cfgDeslocamento)/48)</f>
        <v>0</v>
      </c>
    </row>
    <row r="1429" spans="1:8">
      <c r="A1429" s="24"/>
      <c r="B1429" s="19"/>
      <c r="C1429" s="25">
        <f>IF(D1429="","",D1429/48)</f>
        <v>0</v>
      </c>
      <c r="D1429" s="26">
        <f>IF(A1429="","",ROUND((A1429-cfgDefasagem/1440)*48,0))</f>
        <v>0</v>
      </c>
      <c r="E1429" s="26">
        <f>IF(D1429="","",INT((D1429-cfgDeslocamento)/4))</f>
        <v>0</v>
      </c>
      <c r="F1429" s="26">
        <f>IF(D1429="","",MOD(D1429-cfgDeslocamento,4)+1)</f>
        <v>0</v>
      </c>
      <c r="G1429" s="26">
        <f>IF(A1429="","",IF(AND(ISNUMBER(B1429),B1429&lt;&gt;0),1,0))</f>
        <v>0</v>
      </c>
      <c r="H1429" s="25">
        <f>IF(E1429="","",(E1429*4+3+cfgDeslocamento)/48)</f>
        <v>0</v>
      </c>
    </row>
    <row r="1430" spans="1:8">
      <c r="A1430" s="24"/>
      <c r="B1430" s="19"/>
      <c r="C1430" s="25">
        <f>IF(D1430="","",D1430/48)</f>
        <v>0</v>
      </c>
      <c r="D1430" s="26">
        <f>IF(A1430="","",ROUND((A1430-cfgDefasagem/1440)*48,0))</f>
        <v>0</v>
      </c>
      <c r="E1430" s="26">
        <f>IF(D1430="","",INT((D1430-cfgDeslocamento)/4))</f>
        <v>0</v>
      </c>
      <c r="F1430" s="26">
        <f>IF(D1430="","",MOD(D1430-cfgDeslocamento,4)+1)</f>
        <v>0</v>
      </c>
      <c r="G1430" s="26">
        <f>IF(A1430="","",IF(AND(ISNUMBER(B1430),B1430&lt;&gt;0),1,0))</f>
        <v>0</v>
      </c>
      <c r="H1430" s="25">
        <f>IF(E1430="","",(E1430*4+3+cfgDeslocamento)/48)</f>
        <v>0</v>
      </c>
    </row>
    <row r="1431" spans="1:8">
      <c r="A1431" s="24"/>
      <c r="B1431" s="19"/>
      <c r="C1431" s="25">
        <f>IF(D1431="","",D1431/48)</f>
        <v>0</v>
      </c>
      <c r="D1431" s="26">
        <f>IF(A1431="","",ROUND((A1431-cfgDefasagem/1440)*48,0))</f>
        <v>0</v>
      </c>
      <c r="E1431" s="26">
        <f>IF(D1431="","",INT((D1431-cfgDeslocamento)/4))</f>
        <v>0</v>
      </c>
      <c r="F1431" s="26">
        <f>IF(D1431="","",MOD(D1431-cfgDeslocamento,4)+1)</f>
        <v>0</v>
      </c>
      <c r="G1431" s="26">
        <f>IF(A1431="","",IF(AND(ISNUMBER(B1431),B1431&lt;&gt;0),1,0))</f>
        <v>0</v>
      </c>
      <c r="H1431" s="25">
        <f>IF(E1431="","",(E1431*4+3+cfgDeslocamento)/48)</f>
        <v>0</v>
      </c>
    </row>
    <row r="1432" spans="1:8">
      <c r="A1432" s="24"/>
      <c r="B1432" s="19"/>
      <c r="C1432" s="25">
        <f>IF(D1432="","",D1432/48)</f>
        <v>0</v>
      </c>
      <c r="D1432" s="26">
        <f>IF(A1432="","",ROUND((A1432-cfgDefasagem/1440)*48,0))</f>
        <v>0</v>
      </c>
      <c r="E1432" s="26">
        <f>IF(D1432="","",INT((D1432-cfgDeslocamento)/4))</f>
        <v>0</v>
      </c>
      <c r="F1432" s="26">
        <f>IF(D1432="","",MOD(D1432-cfgDeslocamento,4)+1)</f>
        <v>0</v>
      </c>
      <c r="G1432" s="26">
        <f>IF(A1432="","",IF(AND(ISNUMBER(B1432),B1432&lt;&gt;0),1,0))</f>
        <v>0</v>
      </c>
      <c r="H1432" s="25">
        <f>IF(E1432="","",(E1432*4+3+cfgDeslocamento)/48)</f>
        <v>0</v>
      </c>
    </row>
    <row r="1433" spans="1:8">
      <c r="A1433" s="24"/>
      <c r="B1433" s="19"/>
      <c r="C1433" s="25">
        <f>IF(D1433="","",D1433/48)</f>
        <v>0</v>
      </c>
      <c r="D1433" s="26">
        <f>IF(A1433="","",ROUND((A1433-cfgDefasagem/1440)*48,0))</f>
        <v>0</v>
      </c>
      <c r="E1433" s="26">
        <f>IF(D1433="","",INT((D1433-cfgDeslocamento)/4))</f>
        <v>0</v>
      </c>
      <c r="F1433" s="26">
        <f>IF(D1433="","",MOD(D1433-cfgDeslocamento,4)+1)</f>
        <v>0</v>
      </c>
      <c r="G1433" s="26">
        <f>IF(A1433="","",IF(AND(ISNUMBER(B1433),B1433&lt;&gt;0),1,0))</f>
        <v>0</v>
      </c>
      <c r="H1433" s="25">
        <f>IF(E1433="","",(E1433*4+3+cfgDeslocamento)/48)</f>
        <v>0</v>
      </c>
    </row>
    <row r="1434" spans="1:8">
      <c r="A1434" s="24"/>
      <c r="B1434" s="19"/>
      <c r="C1434" s="25">
        <f>IF(D1434="","",D1434/48)</f>
        <v>0</v>
      </c>
      <c r="D1434" s="26">
        <f>IF(A1434="","",ROUND((A1434-cfgDefasagem/1440)*48,0))</f>
        <v>0</v>
      </c>
      <c r="E1434" s="26">
        <f>IF(D1434="","",INT((D1434-cfgDeslocamento)/4))</f>
        <v>0</v>
      </c>
      <c r="F1434" s="26">
        <f>IF(D1434="","",MOD(D1434-cfgDeslocamento,4)+1)</f>
        <v>0</v>
      </c>
      <c r="G1434" s="26">
        <f>IF(A1434="","",IF(AND(ISNUMBER(B1434),B1434&lt;&gt;0),1,0))</f>
        <v>0</v>
      </c>
      <c r="H1434" s="25">
        <f>IF(E1434="","",(E1434*4+3+cfgDeslocamento)/48)</f>
        <v>0</v>
      </c>
    </row>
    <row r="1435" spans="1:8">
      <c r="A1435" s="24"/>
      <c r="B1435" s="19"/>
      <c r="C1435" s="25">
        <f>IF(D1435="","",D1435/48)</f>
        <v>0</v>
      </c>
      <c r="D1435" s="26">
        <f>IF(A1435="","",ROUND((A1435-cfgDefasagem/1440)*48,0))</f>
        <v>0</v>
      </c>
      <c r="E1435" s="26">
        <f>IF(D1435="","",INT((D1435-cfgDeslocamento)/4))</f>
        <v>0</v>
      </c>
      <c r="F1435" s="26">
        <f>IF(D1435="","",MOD(D1435-cfgDeslocamento,4)+1)</f>
        <v>0</v>
      </c>
      <c r="G1435" s="26">
        <f>IF(A1435="","",IF(AND(ISNUMBER(B1435),B1435&lt;&gt;0),1,0))</f>
        <v>0</v>
      </c>
      <c r="H1435" s="25">
        <f>IF(E1435="","",(E1435*4+3+cfgDeslocamento)/48)</f>
        <v>0</v>
      </c>
    </row>
    <row r="1436" spans="1:8">
      <c r="A1436" s="24"/>
      <c r="B1436" s="19"/>
      <c r="C1436" s="25">
        <f>IF(D1436="","",D1436/48)</f>
        <v>0</v>
      </c>
      <c r="D1436" s="26">
        <f>IF(A1436="","",ROUND((A1436-cfgDefasagem/1440)*48,0))</f>
        <v>0</v>
      </c>
      <c r="E1436" s="26">
        <f>IF(D1436="","",INT((D1436-cfgDeslocamento)/4))</f>
        <v>0</v>
      </c>
      <c r="F1436" s="26">
        <f>IF(D1436="","",MOD(D1436-cfgDeslocamento,4)+1)</f>
        <v>0</v>
      </c>
      <c r="G1436" s="26">
        <f>IF(A1436="","",IF(AND(ISNUMBER(B1436),B1436&lt;&gt;0),1,0))</f>
        <v>0</v>
      </c>
      <c r="H1436" s="25">
        <f>IF(E1436="","",(E1436*4+3+cfgDeslocamento)/48)</f>
        <v>0</v>
      </c>
    </row>
    <row r="1437" spans="1:8">
      <c r="A1437" s="24"/>
      <c r="B1437" s="19"/>
      <c r="C1437" s="25">
        <f>IF(D1437="","",D1437/48)</f>
        <v>0</v>
      </c>
      <c r="D1437" s="26">
        <f>IF(A1437="","",ROUND((A1437-cfgDefasagem/1440)*48,0))</f>
        <v>0</v>
      </c>
      <c r="E1437" s="26">
        <f>IF(D1437="","",INT((D1437-cfgDeslocamento)/4))</f>
        <v>0</v>
      </c>
      <c r="F1437" s="26">
        <f>IF(D1437="","",MOD(D1437-cfgDeslocamento,4)+1)</f>
        <v>0</v>
      </c>
      <c r="G1437" s="26">
        <f>IF(A1437="","",IF(AND(ISNUMBER(B1437),B1437&lt;&gt;0),1,0))</f>
        <v>0</v>
      </c>
      <c r="H1437" s="25">
        <f>IF(E1437="","",(E1437*4+3+cfgDeslocamento)/48)</f>
        <v>0</v>
      </c>
    </row>
    <row r="1438" spans="1:8">
      <c r="A1438" s="24"/>
      <c r="B1438" s="19"/>
      <c r="C1438" s="25">
        <f>IF(D1438="","",D1438/48)</f>
        <v>0</v>
      </c>
      <c r="D1438" s="26">
        <f>IF(A1438="","",ROUND((A1438-cfgDefasagem/1440)*48,0))</f>
        <v>0</v>
      </c>
      <c r="E1438" s="26">
        <f>IF(D1438="","",INT((D1438-cfgDeslocamento)/4))</f>
        <v>0</v>
      </c>
      <c r="F1438" s="26">
        <f>IF(D1438="","",MOD(D1438-cfgDeslocamento,4)+1)</f>
        <v>0</v>
      </c>
      <c r="G1438" s="26">
        <f>IF(A1438="","",IF(AND(ISNUMBER(B1438),B1438&lt;&gt;0),1,0))</f>
        <v>0</v>
      </c>
      <c r="H1438" s="25">
        <f>IF(E1438="","",(E1438*4+3+cfgDeslocamento)/48)</f>
        <v>0</v>
      </c>
    </row>
    <row r="1439" spans="1:8">
      <c r="A1439" s="24"/>
      <c r="B1439" s="19"/>
      <c r="C1439" s="25">
        <f>IF(D1439="","",D1439/48)</f>
        <v>0</v>
      </c>
      <c r="D1439" s="26">
        <f>IF(A1439="","",ROUND((A1439-cfgDefasagem/1440)*48,0))</f>
        <v>0</v>
      </c>
      <c r="E1439" s="26">
        <f>IF(D1439="","",INT((D1439-cfgDeslocamento)/4))</f>
        <v>0</v>
      </c>
      <c r="F1439" s="26">
        <f>IF(D1439="","",MOD(D1439-cfgDeslocamento,4)+1)</f>
        <v>0</v>
      </c>
      <c r="G1439" s="26">
        <f>IF(A1439="","",IF(AND(ISNUMBER(B1439),B1439&lt;&gt;0),1,0))</f>
        <v>0</v>
      </c>
      <c r="H1439" s="25">
        <f>IF(E1439="","",(E1439*4+3+cfgDeslocamento)/48)</f>
        <v>0</v>
      </c>
    </row>
    <row r="1440" spans="1:8">
      <c r="A1440" s="24"/>
      <c r="B1440" s="19"/>
      <c r="C1440" s="25">
        <f>IF(D1440="","",D1440/48)</f>
        <v>0</v>
      </c>
      <c r="D1440" s="26">
        <f>IF(A1440="","",ROUND((A1440-cfgDefasagem/1440)*48,0))</f>
        <v>0</v>
      </c>
      <c r="E1440" s="26">
        <f>IF(D1440="","",INT((D1440-cfgDeslocamento)/4))</f>
        <v>0</v>
      </c>
      <c r="F1440" s="26">
        <f>IF(D1440="","",MOD(D1440-cfgDeslocamento,4)+1)</f>
        <v>0</v>
      </c>
      <c r="G1440" s="26">
        <f>IF(A1440="","",IF(AND(ISNUMBER(B1440),B1440&lt;&gt;0),1,0))</f>
        <v>0</v>
      </c>
      <c r="H1440" s="25">
        <f>IF(E1440="","",(E1440*4+3+cfgDeslocamento)/48)</f>
        <v>0</v>
      </c>
    </row>
    <row r="1441" spans="1:8">
      <c r="A1441" s="24"/>
      <c r="B1441" s="19"/>
      <c r="C1441" s="25">
        <f>IF(D1441="","",D1441/48)</f>
        <v>0</v>
      </c>
      <c r="D1441" s="26">
        <f>IF(A1441="","",ROUND((A1441-cfgDefasagem/1440)*48,0))</f>
        <v>0</v>
      </c>
      <c r="E1441" s="26">
        <f>IF(D1441="","",INT((D1441-cfgDeslocamento)/4))</f>
        <v>0</v>
      </c>
      <c r="F1441" s="26">
        <f>IF(D1441="","",MOD(D1441-cfgDeslocamento,4)+1)</f>
        <v>0</v>
      </c>
      <c r="G1441" s="26">
        <f>IF(A1441="","",IF(AND(ISNUMBER(B1441),B1441&lt;&gt;0),1,0))</f>
        <v>0</v>
      </c>
      <c r="H1441" s="25">
        <f>IF(E1441="","",(E1441*4+3+cfgDeslocamento)/48)</f>
        <v>0</v>
      </c>
    </row>
    <row r="1442" spans="1:8">
      <c r="A1442" s="24"/>
      <c r="B1442" s="19"/>
      <c r="C1442" s="25">
        <f>IF(D1442="","",D1442/48)</f>
        <v>0</v>
      </c>
      <c r="D1442" s="26">
        <f>IF(A1442="","",ROUND((A1442-cfgDefasagem/1440)*48,0))</f>
        <v>0</v>
      </c>
      <c r="E1442" s="26">
        <f>IF(D1442="","",INT((D1442-cfgDeslocamento)/4))</f>
        <v>0</v>
      </c>
      <c r="F1442" s="26">
        <f>IF(D1442="","",MOD(D1442-cfgDeslocamento,4)+1)</f>
        <v>0</v>
      </c>
      <c r="G1442" s="26">
        <f>IF(A1442="","",IF(AND(ISNUMBER(B1442),B1442&lt;&gt;0),1,0))</f>
        <v>0</v>
      </c>
      <c r="H1442" s="25">
        <f>IF(E1442="","",(E1442*4+3+cfgDeslocamento)/48)</f>
        <v>0</v>
      </c>
    </row>
    <row r="1443" spans="1:8">
      <c r="A1443" s="24"/>
      <c r="B1443" s="19"/>
      <c r="C1443" s="25">
        <f>IF(D1443="","",D1443/48)</f>
        <v>0</v>
      </c>
      <c r="D1443" s="26">
        <f>IF(A1443="","",ROUND((A1443-cfgDefasagem/1440)*48,0))</f>
        <v>0</v>
      </c>
      <c r="E1443" s="26">
        <f>IF(D1443="","",INT((D1443-cfgDeslocamento)/4))</f>
        <v>0</v>
      </c>
      <c r="F1443" s="26">
        <f>IF(D1443="","",MOD(D1443-cfgDeslocamento,4)+1)</f>
        <v>0</v>
      </c>
      <c r="G1443" s="26">
        <f>IF(A1443="","",IF(AND(ISNUMBER(B1443),B1443&lt;&gt;0),1,0))</f>
        <v>0</v>
      </c>
      <c r="H1443" s="25">
        <f>IF(E1443="","",(E1443*4+3+cfgDeslocamento)/48)</f>
        <v>0</v>
      </c>
    </row>
    <row r="1444" spans="1:8">
      <c r="A1444" s="24"/>
      <c r="B1444" s="19"/>
      <c r="C1444" s="25">
        <f>IF(D1444="","",D1444/48)</f>
        <v>0</v>
      </c>
      <c r="D1444" s="26">
        <f>IF(A1444="","",ROUND((A1444-cfgDefasagem/1440)*48,0))</f>
        <v>0</v>
      </c>
      <c r="E1444" s="26">
        <f>IF(D1444="","",INT((D1444-cfgDeslocamento)/4))</f>
        <v>0</v>
      </c>
      <c r="F1444" s="26">
        <f>IF(D1444="","",MOD(D1444-cfgDeslocamento,4)+1)</f>
        <v>0</v>
      </c>
      <c r="G1444" s="26">
        <f>IF(A1444="","",IF(AND(ISNUMBER(B1444),B1444&lt;&gt;0),1,0))</f>
        <v>0</v>
      </c>
      <c r="H1444" s="25">
        <f>IF(E1444="","",(E1444*4+3+cfgDeslocamento)/48)</f>
        <v>0</v>
      </c>
    </row>
    <row r="1445" spans="1:8">
      <c r="A1445" s="24"/>
      <c r="B1445" s="19"/>
      <c r="C1445" s="25">
        <f>IF(D1445="","",D1445/48)</f>
        <v>0</v>
      </c>
      <c r="D1445" s="26">
        <f>IF(A1445="","",ROUND((A1445-cfgDefasagem/1440)*48,0))</f>
        <v>0</v>
      </c>
      <c r="E1445" s="26">
        <f>IF(D1445="","",INT((D1445-cfgDeslocamento)/4))</f>
        <v>0</v>
      </c>
      <c r="F1445" s="26">
        <f>IF(D1445="","",MOD(D1445-cfgDeslocamento,4)+1)</f>
        <v>0</v>
      </c>
      <c r="G1445" s="26">
        <f>IF(A1445="","",IF(AND(ISNUMBER(B1445),B1445&lt;&gt;0),1,0))</f>
        <v>0</v>
      </c>
      <c r="H1445" s="25">
        <f>IF(E1445="","",(E1445*4+3+cfgDeslocamento)/48)</f>
        <v>0</v>
      </c>
    </row>
    <row r="1446" spans="1:8">
      <c r="A1446" s="24"/>
      <c r="B1446" s="19"/>
      <c r="C1446" s="25">
        <f>IF(D1446="","",D1446/48)</f>
        <v>0</v>
      </c>
      <c r="D1446" s="26">
        <f>IF(A1446="","",ROUND((A1446-cfgDefasagem/1440)*48,0))</f>
        <v>0</v>
      </c>
      <c r="E1446" s="26">
        <f>IF(D1446="","",INT((D1446-cfgDeslocamento)/4))</f>
        <v>0</v>
      </c>
      <c r="F1446" s="26">
        <f>IF(D1446="","",MOD(D1446-cfgDeslocamento,4)+1)</f>
        <v>0</v>
      </c>
      <c r="G1446" s="26">
        <f>IF(A1446="","",IF(AND(ISNUMBER(B1446),B1446&lt;&gt;0),1,0))</f>
        <v>0</v>
      </c>
      <c r="H1446" s="25">
        <f>IF(E1446="","",(E1446*4+3+cfgDeslocamento)/48)</f>
        <v>0</v>
      </c>
    </row>
    <row r="1447" spans="1:8">
      <c r="A1447" s="24"/>
      <c r="B1447" s="19"/>
      <c r="C1447" s="25">
        <f>IF(D1447="","",D1447/48)</f>
        <v>0</v>
      </c>
      <c r="D1447" s="26">
        <f>IF(A1447="","",ROUND((A1447-cfgDefasagem/1440)*48,0))</f>
        <v>0</v>
      </c>
      <c r="E1447" s="26">
        <f>IF(D1447="","",INT((D1447-cfgDeslocamento)/4))</f>
        <v>0</v>
      </c>
      <c r="F1447" s="26">
        <f>IF(D1447="","",MOD(D1447-cfgDeslocamento,4)+1)</f>
        <v>0</v>
      </c>
      <c r="G1447" s="26">
        <f>IF(A1447="","",IF(AND(ISNUMBER(B1447),B1447&lt;&gt;0),1,0))</f>
        <v>0</v>
      </c>
      <c r="H1447" s="25">
        <f>IF(E1447="","",(E1447*4+3+cfgDeslocamento)/48)</f>
        <v>0</v>
      </c>
    </row>
    <row r="1448" spans="1:8">
      <c r="A1448" s="24"/>
      <c r="B1448" s="19"/>
      <c r="C1448" s="25">
        <f>IF(D1448="","",D1448/48)</f>
        <v>0</v>
      </c>
      <c r="D1448" s="26">
        <f>IF(A1448="","",ROUND((A1448-cfgDefasagem/1440)*48,0))</f>
        <v>0</v>
      </c>
      <c r="E1448" s="26">
        <f>IF(D1448="","",INT((D1448-cfgDeslocamento)/4))</f>
        <v>0</v>
      </c>
      <c r="F1448" s="26">
        <f>IF(D1448="","",MOD(D1448-cfgDeslocamento,4)+1)</f>
        <v>0</v>
      </c>
      <c r="G1448" s="26">
        <f>IF(A1448="","",IF(AND(ISNUMBER(B1448),B1448&lt;&gt;0),1,0))</f>
        <v>0</v>
      </c>
      <c r="H1448" s="25">
        <f>IF(E1448="","",(E1448*4+3+cfgDeslocamento)/48)</f>
        <v>0</v>
      </c>
    </row>
    <row r="1449" spans="1:8">
      <c r="A1449" s="24"/>
      <c r="B1449" s="19"/>
      <c r="C1449" s="25">
        <f>IF(D1449="","",D1449/48)</f>
        <v>0</v>
      </c>
      <c r="D1449" s="26">
        <f>IF(A1449="","",ROUND((A1449-cfgDefasagem/1440)*48,0))</f>
        <v>0</v>
      </c>
      <c r="E1449" s="26">
        <f>IF(D1449="","",INT((D1449-cfgDeslocamento)/4))</f>
        <v>0</v>
      </c>
      <c r="F1449" s="26">
        <f>IF(D1449="","",MOD(D1449-cfgDeslocamento,4)+1)</f>
        <v>0</v>
      </c>
      <c r="G1449" s="26">
        <f>IF(A1449="","",IF(AND(ISNUMBER(B1449),B1449&lt;&gt;0),1,0))</f>
        <v>0</v>
      </c>
      <c r="H1449" s="25">
        <f>IF(E1449="","",(E1449*4+3+cfgDeslocamento)/48)</f>
        <v>0</v>
      </c>
    </row>
    <row r="1450" spans="1:8">
      <c r="A1450" s="24"/>
      <c r="B1450" s="19"/>
      <c r="C1450" s="25">
        <f>IF(D1450="","",D1450/48)</f>
        <v>0</v>
      </c>
      <c r="D1450" s="26">
        <f>IF(A1450="","",ROUND((A1450-cfgDefasagem/1440)*48,0))</f>
        <v>0</v>
      </c>
      <c r="E1450" s="26">
        <f>IF(D1450="","",INT((D1450-cfgDeslocamento)/4))</f>
        <v>0</v>
      </c>
      <c r="F1450" s="26">
        <f>IF(D1450="","",MOD(D1450-cfgDeslocamento,4)+1)</f>
        <v>0</v>
      </c>
      <c r="G1450" s="26">
        <f>IF(A1450="","",IF(AND(ISNUMBER(B1450),B1450&lt;&gt;0),1,0))</f>
        <v>0</v>
      </c>
      <c r="H1450" s="25">
        <f>IF(E1450="","",(E1450*4+3+cfgDeslocamento)/48)</f>
        <v>0</v>
      </c>
    </row>
    <row r="1451" spans="1:8">
      <c r="A1451" s="24"/>
      <c r="B1451" s="19"/>
      <c r="C1451" s="25">
        <f>IF(D1451="","",D1451/48)</f>
        <v>0</v>
      </c>
      <c r="D1451" s="26">
        <f>IF(A1451="","",ROUND((A1451-cfgDefasagem/1440)*48,0))</f>
        <v>0</v>
      </c>
      <c r="E1451" s="26">
        <f>IF(D1451="","",INT((D1451-cfgDeslocamento)/4))</f>
        <v>0</v>
      </c>
      <c r="F1451" s="26">
        <f>IF(D1451="","",MOD(D1451-cfgDeslocamento,4)+1)</f>
        <v>0</v>
      </c>
      <c r="G1451" s="26">
        <f>IF(A1451="","",IF(AND(ISNUMBER(B1451),B1451&lt;&gt;0),1,0))</f>
        <v>0</v>
      </c>
      <c r="H1451" s="25">
        <f>IF(E1451="","",(E1451*4+3+cfgDeslocamento)/48)</f>
        <v>0</v>
      </c>
    </row>
    <row r="1452" spans="1:8">
      <c r="A1452" s="24"/>
      <c r="B1452" s="19"/>
      <c r="C1452" s="25">
        <f>IF(D1452="","",D1452/48)</f>
        <v>0</v>
      </c>
      <c r="D1452" s="26">
        <f>IF(A1452="","",ROUND((A1452-cfgDefasagem/1440)*48,0))</f>
        <v>0</v>
      </c>
      <c r="E1452" s="26">
        <f>IF(D1452="","",INT((D1452-cfgDeslocamento)/4))</f>
        <v>0</v>
      </c>
      <c r="F1452" s="26">
        <f>IF(D1452="","",MOD(D1452-cfgDeslocamento,4)+1)</f>
        <v>0</v>
      </c>
      <c r="G1452" s="26">
        <f>IF(A1452="","",IF(AND(ISNUMBER(B1452),B1452&lt;&gt;0),1,0))</f>
        <v>0</v>
      </c>
      <c r="H1452" s="25">
        <f>IF(E1452="","",(E1452*4+3+cfgDeslocamento)/48)</f>
        <v>0</v>
      </c>
    </row>
    <row r="1453" spans="1:8">
      <c r="A1453" s="24"/>
      <c r="B1453" s="19"/>
      <c r="C1453" s="25">
        <f>IF(D1453="","",D1453/48)</f>
        <v>0</v>
      </c>
      <c r="D1453" s="26">
        <f>IF(A1453="","",ROUND((A1453-cfgDefasagem/1440)*48,0))</f>
        <v>0</v>
      </c>
      <c r="E1453" s="26">
        <f>IF(D1453="","",INT((D1453-cfgDeslocamento)/4))</f>
        <v>0</v>
      </c>
      <c r="F1453" s="26">
        <f>IF(D1453="","",MOD(D1453-cfgDeslocamento,4)+1)</f>
        <v>0</v>
      </c>
      <c r="G1453" s="26">
        <f>IF(A1453="","",IF(AND(ISNUMBER(B1453),B1453&lt;&gt;0),1,0))</f>
        <v>0</v>
      </c>
      <c r="H1453" s="25">
        <f>IF(E1453="","",(E1453*4+3+cfgDeslocamento)/48)</f>
        <v>0</v>
      </c>
    </row>
    <row r="1454" spans="1:8">
      <c r="A1454" s="24"/>
      <c r="B1454" s="19"/>
      <c r="C1454" s="25">
        <f>IF(D1454="","",D1454/48)</f>
        <v>0</v>
      </c>
      <c r="D1454" s="26">
        <f>IF(A1454="","",ROUND((A1454-cfgDefasagem/1440)*48,0))</f>
        <v>0</v>
      </c>
      <c r="E1454" s="26">
        <f>IF(D1454="","",INT((D1454-cfgDeslocamento)/4))</f>
        <v>0</v>
      </c>
      <c r="F1454" s="26">
        <f>IF(D1454="","",MOD(D1454-cfgDeslocamento,4)+1)</f>
        <v>0</v>
      </c>
      <c r="G1454" s="26">
        <f>IF(A1454="","",IF(AND(ISNUMBER(B1454),B1454&lt;&gt;0),1,0))</f>
        <v>0</v>
      </c>
      <c r="H1454" s="25">
        <f>IF(E1454="","",(E1454*4+3+cfgDeslocamento)/48)</f>
        <v>0</v>
      </c>
    </row>
    <row r="1455" spans="1:8">
      <c r="A1455" s="24"/>
      <c r="B1455" s="19"/>
      <c r="C1455" s="25">
        <f>IF(D1455="","",D1455/48)</f>
        <v>0</v>
      </c>
      <c r="D1455" s="26">
        <f>IF(A1455="","",ROUND((A1455-cfgDefasagem/1440)*48,0))</f>
        <v>0</v>
      </c>
      <c r="E1455" s="26">
        <f>IF(D1455="","",INT((D1455-cfgDeslocamento)/4))</f>
        <v>0</v>
      </c>
      <c r="F1455" s="26">
        <f>IF(D1455="","",MOD(D1455-cfgDeslocamento,4)+1)</f>
        <v>0</v>
      </c>
      <c r="G1455" s="26">
        <f>IF(A1455="","",IF(AND(ISNUMBER(B1455),B1455&lt;&gt;0),1,0))</f>
        <v>0</v>
      </c>
      <c r="H1455" s="25">
        <f>IF(E1455="","",(E1455*4+3+cfgDeslocamento)/48)</f>
        <v>0</v>
      </c>
    </row>
    <row r="1456" spans="1:8">
      <c r="A1456" s="24"/>
      <c r="B1456" s="19"/>
      <c r="C1456" s="25">
        <f>IF(D1456="","",D1456/48)</f>
        <v>0</v>
      </c>
      <c r="D1456" s="26">
        <f>IF(A1456="","",ROUND((A1456-cfgDefasagem/1440)*48,0))</f>
        <v>0</v>
      </c>
      <c r="E1456" s="26">
        <f>IF(D1456="","",INT((D1456-cfgDeslocamento)/4))</f>
        <v>0</v>
      </c>
      <c r="F1456" s="26">
        <f>IF(D1456="","",MOD(D1456-cfgDeslocamento,4)+1)</f>
        <v>0</v>
      </c>
      <c r="G1456" s="26">
        <f>IF(A1456="","",IF(AND(ISNUMBER(B1456),B1456&lt;&gt;0),1,0))</f>
        <v>0</v>
      </c>
      <c r="H1456" s="25">
        <f>IF(E1456="","",(E1456*4+3+cfgDeslocamento)/48)</f>
        <v>0</v>
      </c>
    </row>
    <row r="1457" spans="1:8">
      <c r="A1457" s="24"/>
      <c r="B1457" s="19"/>
      <c r="C1457" s="25">
        <f>IF(D1457="","",D1457/48)</f>
        <v>0</v>
      </c>
      <c r="D1457" s="26">
        <f>IF(A1457="","",ROUND((A1457-cfgDefasagem/1440)*48,0))</f>
        <v>0</v>
      </c>
      <c r="E1457" s="26">
        <f>IF(D1457="","",INT((D1457-cfgDeslocamento)/4))</f>
        <v>0</v>
      </c>
      <c r="F1457" s="26">
        <f>IF(D1457="","",MOD(D1457-cfgDeslocamento,4)+1)</f>
        <v>0</v>
      </c>
      <c r="G1457" s="26">
        <f>IF(A1457="","",IF(AND(ISNUMBER(B1457),B1457&lt;&gt;0),1,0))</f>
        <v>0</v>
      </c>
      <c r="H1457" s="25">
        <f>IF(E1457="","",(E1457*4+3+cfgDeslocamento)/48)</f>
        <v>0</v>
      </c>
    </row>
    <row r="1458" spans="1:8">
      <c r="A1458" s="24"/>
      <c r="B1458" s="19"/>
      <c r="C1458" s="25">
        <f>IF(D1458="","",D1458/48)</f>
        <v>0</v>
      </c>
      <c r="D1458" s="26">
        <f>IF(A1458="","",ROUND((A1458-cfgDefasagem/1440)*48,0))</f>
        <v>0</v>
      </c>
      <c r="E1458" s="26">
        <f>IF(D1458="","",INT((D1458-cfgDeslocamento)/4))</f>
        <v>0</v>
      </c>
      <c r="F1458" s="26">
        <f>IF(D1458="","",MOD(D1458-cfgDeslocamento,4)+1)</f>
        <v>0</v>
      </c>
      <c r="G1458" s="26">
        <f>IF(A1458="","",IF(AND(ISNUMBER(B1458),B1458&lt;&gt;0),1,0))</f>
        <v>0</v>
      </c>
      <c r="H1458" s="25">
        <f>IF(E1458="","",(E1458*4+3+cfgDeslocamento)/48)</f>
        <v>0</v>
      </c>
    </row>
    <row r="1459" spans="1:8">
      <c r="A1459" s="24"/>
      <c r="B1459" s="19"/>
      <c r="C1459" s="25">
        <f>IF(D1459="","",D1459/48)</f>
        <v>0</v>
      </c>
      <c r="D1459" s="26">
        <f>IF(A1459="","",ROUND((A1459-cfgDefasagem/1440)*48,0))</f>
        <v>0</v>
      </c>
      <c r="E1459" s="26">
        <f>IF(D1459="","",INT((D1459-cfgDeslocamento)/4))</f>
        <v>0</v>
      </c>
      <c r="F1459" s="26">
        <f>IF(D1459="","",MOD(D1459-cfgDeslocamento,4)+1)</f>
        <v>0</v>
      </c>
      <c r="G1459" s="26">
        <f>IF(A1459="","",IF(AND(ISNUMBER(B1459),B1459&lt;&gt;0),1,0))</f>
        <v>0</v>
      </c>
      <c r="H1459" s="25">
        <f>IF(E1459="","",(E1459*4+3+cfgDeslocamento)/48)</f>
        <v>0</v>
      </c>
    </row>
    <row r="1460" spans="1:8">
      <c r="A1460" s="24"/>
      <c r="B1460" s="19"/>
      <c r="C1460" s="25">
        <f>IF(D1460="","",D1460/48)</f>
        <v>0</v>
      </c>
      <c r="D1460" s="26">
        <f>IF(A1460="","",ROUND((A1460-cfgDefasagem/1440)*48,0))</f>
        <v>0</v>
      </c>
      <c r="E1460" s="26">
        <f>IF(D1460="","",INT((D1460-cfgDeslocamento)/4))</f>
        <v>0</v>
      </c>
      <c r="F1460" s="26">
        <f>IF(D1460="","",MOD(D1460-cfgDeslocamento,4)+1)</f>
        <v>0</v>
      </c>
      <c r="G1460" s="26">
        <f>IF(A1460="","",IF(AND(ISNUMBER(B1460),B1460&lt;&gt;0),1,0))</f>
        <v>0</v>
      </c>
      <c r="H1460" s="25">
        <f>IF(E1460="","",(E1460*4+3+cfgDeslocamento)/48)</f>
        <v>0</v>
      </c>
    </row>
    <row r="1461" spans="1:8">
      <c r="A1461" s="24"/>
      <c r="B1461" s="19"/>
      <c r="C1461" s="25">
        <f>IF(D1461="","",D1461/48)</f>
        <v>0</v>
      </c>
      <c r="D1461" s="26">
        <f>IF(A1461="","",ROUND((A1461-cfgDefasagem/1440)*48,0))</f>
        <v>0</v>
      </c>
      <c r="E1461" s="26">
        <f>IF(D1461="","",INT((D1461-cfgDeslocamento)/4))</f>
        <v>0</v>
      </c>
      <c r="F1461" s="26">
        <f>IF(D1461="","",MOD(D1461-cfgDeslocamento,4)+1)</f>
        <v>0</v>
      </c>
      <c r="G1461" s="26">
        <f>IF(A1461="","",IF(AND(ISNUMBER(B1461),B1461&lt;&gt;0),1,0))</f>
        <v>0</v>
      </c>
      <c r="H1461" s="25">
        <f>IF(E1461="","",(E1461*4+3+cfgDeslocamento)/48)</f>
        <v>0</v>
      </c>
    </row>
    <row r="1462" spans="1:8">
      <c r="A1462" s="24"/>
      <c r="B1462" s="19"/>
      <c r="C1462" s="25">
        <f>IF(D1462="","",D1462/48)</f>
        <v>0</v>
      </c>
      <c r="D1462" s="26">
        <f>IF(A1462="","",ROUND((A1462-cfgDefasagem/1440)*48,0))</f>
        <v>0</v>
      </c>
      <c r="E1462" s="26">
        <f>IF(D1462="","",INT((D1462-cfgDeslocamento)/4))</f>
        <v>0</v>
      </c>
      <c r="F1462" s="26">
        <f>IF(D1462="","",MOD(D1462-cfgDeslocamento,4)+1)</f>
        <v>0</v>
      </c>
      <c r="G1462" s="26">
        <f>IF(A1462="","",IF(AND(ISNUMBER(B1462),B1462&lt;&gt;0),1,0))</f>
        <v>0</v>
      </c>
      <c r="H1462" s="25">
        <f>IF(E1462="","",(E1462*4+3+cfgDeslocamento)/48)</f>
        <v>0</v>
      </c>
    </row>
    <row r="1463" spans="1:8">
      <c r="A1463" s="24"/>
      <c r="B1463" s="19"/>
      <c r="C1463" s="25">
        <f>IF(D1463="","",D1463/48)</f>
        <v>0</v>
      </c>
      <c r="D1463" s="26">
        <f>IF(A1463="","",ROUND((A1463-cfgDefasagem/1440)*48,0))</f>
        <v>0</v>
      </c>
      <c r="E1463" s="26">
        <f>IF(D1463="","",INT((D1463-cfgDeslocamento)/4))</f>
        <v>0</v>
      </c>
      <c r="F1463" s="26">
        <f>IF(D1463="","",MOD(D1463-cfgDeslocamento,4)+1)</f>
        <v>0</v>
      </c>
      <c r="G1463" s="26">
        <f>IF(A1463="","",IF(AND(ISNUMBER(B1463),B1463&lt;&gt;0),1,0))</f>
        <v>0</v>
      </c>
      <c r="H1463" s="25">
        <f>IF(E1463="","",(E1463*4+3+cfgDeslocamento)/48)</f>
        <v>0</v>
      </c>
    </row>
    <row r="1464" spans="1:8">
      <c r="A1464" s="24"/>
      <c r="B1464" s="19"/>
      <c r="C1464" s="25">
        <f>IF(D1464="","",D1464/48)</f>
        <v>0</v>
      </c>
      <c r="D1464" s="26">
        <f>IF(A1464="","",ROUND((A1464-cfgDefasagem/1440)*48,0))</f>
        <v>0</v>
      </c>
      <c r="E1464" s="26">
        <f>IF(D1464="","",INT((D1464-cfgDeslocamento)/4))</f>
        <v>0</v>
      </c>
      <c r="F1464" s="26">
        <f>IF(D1464="","",MOD(D1464-cfgDeslocamento,4)+1)</f>
        <v>0</v>
      </c>
      <c r="G1464" s="26">
        <f>IF(A1464="","",IF(AND(ISNUMBER(B1464),B1464&lt;&gt;0),1,0))</f>
        <v>0</v>
      </c>
      <c r="H1464" s="25">
        <f>IF(E1464="","",(E1464*4+3+cfgDeslocamento)/48)</f>
        <v>0</v>
      </c>
    </row>
    <row r="1465" spans="1:8">
      <c r="A1465" s="24"/>
      <c r="B1465" s="19"/>
      <c r="C1465" s="25">
        <f>IF(D1465="","",D1465/48)</f>
        <v>0</v>
      </c>
      <c r="D1465" s="26">
        <f>IF(A1465="","",ROUND((A1465-cfgDefasagem/1440)*48,0))</f>
        <v>0</v>
      </c>
      <c r="E1465" s="26">
        <f>IF(D1465="","",INT((D1465-cfgDeslocamento)/4))</f>
        <v>0</v>
      </c>
      <c r="F1465" s="26">
        <f>IF(D1465="","",MOD(D1465-cfgDeslocamento,4)+1)</f>
        <v>0</v>
      </c>
      <c r="G1465" s="26">
        <f>IF(A1465="","",IF(AND(ISNUMBER(B1465),B1465&lt;&gt;0),1,0))</f>
        <v>0</v>
      </c>
      <c r="H1465" s="25">
        <f>IF(E1465="","",(E1465*4+3+cfgDeslocamento)/48)</f>
        <v>0</v>
      </c>
    </row>
    <row r="1466" spans="1:8">
      <c r="A1466" s="24"/>
      <c r="B1466" s="19"/>
      <c r="C1466" s="25">
        <f>IF(D1466="","",D1466/48)</f>
        <v>0</v>
      </c>
      <c r="D1466" s="26">
        <f>IF(A1466="","",ROUND((A1466-cfgDefasagem/1440)*48,0))</f>
        <v>0</v>
      </c>
      <c r="E1466" s="26">
        <f>IF(D1466="","",INT((D1466-cfgDeslocamento)/4))</f>
        <v>0</v>
      </c>
      <c r="F1466" s="26">
        <f>IF(D1466="","",MOD(D1466-cfgDeslocamento,4)+1)</f>
        <v>0</v>
      </c>
      <c r="G1466" s="26">
        <f>IF(A1466="","",IF(AND(ISNUMBER(B1466),B1466&lt;&gt;0),1,0))</f>
        <v>0</v>
      </c>
      <c r="H1466" s="25">
        <f>IF(E1466="","",(E1466*4+3+cfgDeslocamento)/48)</f>
        <v>0</v>
      </c>
    </row>
    <row r="1467" spans="1:8">
      <c r="A1467" s="24"/>
      <c r="B1467" s="19"/>
      <c r="C1467" s="25">
        <f>IF(D1467="","",D1467/48)</f>
        <v>0</v>
      </c>
      <c r="D1467" s="26">
        <f>IF(A1467="","",ROUND((A1467-cfgDefasagem/1440)*48,0))</f>
        <v>0</v>
      </c>
      <c r="E1467" s="26">
        <f>IF(D1467="","",INT((D1467-cfgDeslocamento)/4))</f>
        <v>0</v>
      </c>
      <c r="F1467" s="26">
        <f>IF(D1467="","",MOD(D1467-cfgDeslocamento,4)+1)</f>
        <v>0</v>
      </c>
      <c r="G1467" s="26">
        <f>IF(A1467="","",IF(AND(ISNUMBER(B1467),B1467&lt;&gt;0),1,0))</f>
        <v>0</v>
      </c>
      <c r="H1467" s="25">
        <f>IF(E1467="","",(E1467*4+3+cfgDeslocamento)/48)</f>
        <v>0</v>
      </c>
    </row>
    <row r="1468" spans="1:8">
      <c r="A1468" s="24"/>
      <c r="B1468" s="19"/>
      <c r="C1468" s="25">
        <f>IF(D1468="","",D1468/48)</f>
        <v>0</v>
      </c>
      <c r="D1468" s="26">
        <f>IF(A1468="","",ROUND((A1468-cfgDefasagem/1440)*48,0))</f>
        <v>0</v>
      </c>
      <c r="E1468" s="26">
        <f>IF(D1468="","",INT((D1468-cfgDeslocamento)/4))</f>
        <v>0</v>
      </c>
      <c r="F1468" s="26">
        <f>IF(D1468="","",MOD(D1468-cfgDeslocamento,4)+1)</f>
        <v>0</v>
      </c>
      <c r="G1468" s="26">
        <f>IF(A1468="","",IF(AND(ISNUMBER(B1468),B1468&lt;&gt;0),1,0))</f>
        <v>0</v>
      </c>
      <c r="H1468" s="25">
        <f>IF(E1468="","",(E1468*4+3+cfgDeslocamento)/48)</f>
        <v>0</v>
      </c>
    </row>
    <row r="1469" spans="1:8">
      <c r="A1469" s="24"/>
      <c r="B1469" s="19"/>
      <c r="C1469" s="25">
        <f>IF(D1469="","",D1469/48)</f>
        <v>0</v>
      </c>
      <c r="D1469" s="26">
        <f>IF(A1469="","",ROUND((A1469-cfgDefasagem/1440)*48,0))</f>
        <v>0</v>
      </c>
      <c r="E1469" s="26">
        <f>IF(D1469="","",INT((D1469-cfgDeslocamento)/4))</f>
        <v>0</v>
      </c>
      <c r="F1469" s="26">
        <f>IF(D1469="","",MOD(D1469-cfgDeslocamento,4)+1)</f>
        <v>0</v>
      </c>
      <c r="G1469" s="26">
        <f>IF(A1469="","",IF(AND(ISNUMBER(B1469),B1469&lt;&gt;0),1,0))</f>
        <v>0</v>
      </c>
      <c r="H1469" s="25">
        <f>IF(E1469="","",(E1469*4+3+cfgDeslocamento)/48)</f>
        <v>0</v>
      </c>
    </row>
    <row r="1470" spans="1:8">
      <c r="A1470" s="24"/>
      <c r="B1470" s="19"/>
      <c r="C1470" s="25">
        <f>IF(D1470="","",D1470/48)</f>
        <v>0</v>
      </c>
      <c r="D1470" s="26">
        <f>IF(A1470="","",ROUND((A1470-cfgDefasagem/1440)*48,0))</f>
        <v>0</v>
      </c>
      <c r="E1470" s="26">
        <f>IF(D1470="","",INT((D1470-cfgDeslocamento)/4))</f>
        <v>0</v>
      </c>
      <c r="F1470" s="26">
        <f>IF(D1470="","",MOD(D1470-cfgDeslocamento,4)+1)</f>
        <v>0</v>
      </c>
      <c r="G1470" s="26">
        <f>IF(A1470="","",IF(AND(ISNUMBER(B1470),B1470&lt;&gt;0),1,0))</f>
        <v>0</v>
      </c>
      <c r="H1470" s="25">
        <f>IF(E1470="","",(E1470*4+3+cfgDeslocamento)/48)</f>
        <v>0</v>
      </c>
    </row>
    <row r="1471" spans="1:8">
      <c r="A1471" s="24"/>
      <c r="B1471" s="19"/>
      <c r="C1471" s="25">
        <f>IF(D1471="","",D1471/48)</f>
        <v>0</v>
      </c>
      <c r="D1471" s="26">
        <f>IF(A1471="","",ROUND((A1471-cfgDefasagem/1440)*48,0))</f>
        <v>0</v>
      </c>
      <c r="E1471" s="26">
        <f>IF(D1471="","",INT((D1471-cfgDeslocamento)/4))</f>
        <v>0</v>
      </c>
      <c r="F1471" s="26">
        <f>IF(D1471="","",MOD(D1471-cfgDeslocamento,4)+1)</f>
        <v>0</v>
      </c>
      <c r="G1471" s="26">
        <f>IF(A1471="","",IF(AND(ISNUMBER(B1471),B1471&lt;&gt;0),1,0))</f>
        <v>0</v>
      </c>
      <c r="H1471" s="25">
        <f>IF(E1471="","",(E1471*4+3+cfgDeslocamento)/48)</f>
        <v>0</v>
      </c>
    </row>
    <row r="1472" spans="1:8">
      <c r="A1472" s="24"/>
      <c r="B1472" s="19"/>
      <c r="C1472" s="25">
        <f>IF(D1472="","",D1472/48)</f>
        <v>0</v>
      </c>
      <c r="D1472" s="26">
        <f>IF(A1472="","",ROUND((A1472-cfgDefasagem/1440)*48,0))</f>
        <v>0</v>
      </c>
      <c r="E1472" s="26">
        <f>IF(D1472="","",INT((D1472-cfgDeslocamento)/4))</f>
        <v>0</v>
      </c>
      <c r="F1472" s="26">
        <f>IF(D1472="","",MOD(D1472-cfgDeslocamento,4)+1)</f>
        <v>0</v>
      </c>
      <c r="G1472" s="26">
        <f>IF(A1472="","",IF(AND(ISNUMBER(B1472),B1472&lt;&gt;0),1,0))</f>
        <v>0</v>
      </c>
      <c r="H1472" s="25">
        <f>IF(E1472="","",(E1472*4+3+cfgDeslocamento)/48)</f>
        <v>0</v>
      </c>
    </row>
    <row r="1473" spans="1:8">
      <c r="A1473" s="24"/>
      <c r="B1473" s="19"/>
      <c r="C1473" s="25">
        <f>IF(D1473="","",D1473/48)</f>
        <v>0</v>
      </c>
      <c r="D1473" s="26">
        <f>IF(A1473="","",ROUND((A1473-cfgDefasagem/1440)*48,0))</f>
        <v>0</v>
      </c>
      <c r="E1473" s="26">
        <f>IF(D1473="","",INT((D1473-cfgDeslocamento)/4))</f>
        <v>0</v>
      </c>
      <c r="F1473" s="26">
        <f>IF(D1473="","",MOD(D1473-cfgDeslocamento,4)+1)</f>
        <v>0</v>
      </c>
      <c r="G1473" s="26">
        <f>IF(A1473="","",IF(AND(ISNUMBER(B1473),B1473&lt;&gt;0),1,0))</f>
        <v>0</v>
      </c>
      <c r="H1473" s="25">
        <f>IF(E1473="","",(E1473*4+3+cfgDeslocamento)/48)</f>
        <v>0</v>
      </c>
    </row>
    <row r="1474" spans="1:8">
      <c r="A1474" s="24"/>
      <c r="B1474" s="19"/>
      <c r="C1474" s="25">
        <f>IF(D1474="","",D1474/48)</f>
        <v>0</v>
      </c>
      <c r="D1474" s="26">
        <f>IF(A1474="","",ROUND((A1474-cfgDefasagem/1440)*48,0))</f>
        <v>0</v>
      </c>
      <c r="E1474" s="26">
        <f>IF(D1474="","",INT((D1474-cfgDeslocamento)/4))</f>
        <v>0</v>
      </c>
      <c r="F1474" s="26">
        <f>IF(D1474="","",MOD(D1474-cfgDeslocamento,4)+1)</f>
        <v>0</v>
      </c>
      <c r="G1474" s="26">
        <f>IF(A1474="","",IF(AND(ISNUMBER(B1474),B1474&lt;&gt;0),1,0))</f>
        <v>0</v>
      </c>
      <c r="H1474" s="25">
        <f>IF(E1474="","",(E1474*4+3+cfgDeslocamento)/48)</f>
        <v>0</v>
      </c>
    </row>
    <row r="1475" spans="1:8">
      <c r="A1475" s="24"/>
      <c r="B1475" s="19"/>
      <c r="C1475" s="25">
        <f>IF(D1475="","",D1475/48)</f>
        <v>0</v>
      </c>
      <c r="D1475" s="26">
        <f>IF(A1475="","",ROUND((A1475-cfgDefasagem/1440)*48,0))</f>
        <v>0</v>
      </c>
      <c r="E1475" s="26">
        <f>IF(D1475="","",INT((D1475-cfgDeslocamento)/4))</f>
        <v>0</v>
      </c>
      <c r="F1475" s="26">
        <f>IF(D1475="","",MOD(D1475-cfgDeslocamento,4)+1)</f>
        <v>0</v>
      </c>
      <c r="G1475" s="26">
        <f>IF(A1475="","",IF(AND(ISNUMBER(B1475),B1475&lt;&gt;0),1,0))</f>
        <v>0</v>
      </c>
      <c r="H1475" s="25">
        <f>IF(E1475="","",(E1475*4+3+cfgDeslocamento)/48)</f>
        <v>0</v>
      </c>
    </row>
    <row r="1476" spans="1:8">
      <c r="A1476" s="24"/>
      <c r="B1476" s="19"/>
      <c r="C1476" s="25">
        <f>IF(D1476="","",D1476/48)</f>
        <v>0</v>
      </c>
      <c r="D1476" s="26">
        <f>IF(A1476="","",ROUND((A1476-cfgDefasagem/1440)*48,0))</f>
        <v>0</v>
      </c>
      <c r="E1476" s="26">
        <f>IF(D1476="","",INT((D1476-cfgDeslocamento)/4))</f>
        <v>0</v>
      </c>
      <c r="F1476" s="26">
        <f>IF(D1476="","",MOD(D1476-cfgDeslocamento,4)+1)</f>
        <v>0</v>
      </c>
      <c r="G1476" s="26">
        <f>IF(A1476="","",IF(AND(ISNUMBER(B1476),B1476&lt;&gt;0),1,0))</f>
        <v>0</v>
      </c>
      <c r="H1476" s="25">
        <f>IF(E1476="","",(E1476*4+3+cfgDeslocamento)/48)</f>
        <v>0</v>
      </c>
    </row>
    <row r="1477" spans="1:8">
      <c r="A1477" s="24"/>
      <c r="B1477" s="19"/>
      <c r="C1477" s="25">
        <f>IF(D1477="","",D1477/48)</f>
        <v>0</v>
      </c>
      <c r="D1477" s="26">
        <f>IF(A1477="","",ROUND((A1477-cfgDefasagem/1440)*48,0))</f>
        <v>0</v>
      </c>
      <c r="E1477" s="26">
        <f>IF(D1477="","",INT((D1477-cfgDeslocamento)/4))</f>
        <v>0</v>
      </c>
      <c r="F1477" s="26">
        <f>IF(D1477="","",MOD(D1477-cfgDeslocamento,4)+1)</f>
        <v>0</v>
      </c>
      <c r="G1477" s="26">
        <f>IF(A1477="","",IF(AND(ISNUMBER(B1477),B1477&lt;&gt;0),1,0))</f>
        <v>0</v>
      </c>
      <c r="H1477" s="25">
        <f>IF(E1477="","",(E1477*4+3+cfgDeslocamento)/48)</f>
        <v>0</v>
      </c>
    </row>
    <row r="1478" spans="1:8">
      <c r="A1478" s="24"/>
      <c r="B1478" s="19"/>
      <c r="C1478" s="25">
        <f>IF(D1478="","",D1478/48)</f>
        <v>0</v>
      </c>
      <c r="D1478" s="26">
        <f>IF(A1478="","",ROUND((A1478-cfgDefasagem/1440)*48,0))</f>
        <v>0</v>
      </c>
      <c r="E1478" s="26">
        <f>IF(D1478="","",INT((D1478-cfgDeslocamento)/4))</f>
        <v>0</v>
      </c>
      <c r="F1478" s="26">
        <f>IF(D1478="","",MOD(D1478-cfgDeslocamento,4)+1)</f>
        <v>0</v>
      </c>
      <c r="G1478" s="26">
        <f>IF(A1478="","",IF(AND(ISNUMBER(B1478),B1478&lt;&gt;0),1,0))</f>
        <v>0</v>
      </c>
      <c r="H1478" s="25">
        <f>IF(E1478="","",(E1478*4+3+cfgDeslocamento)/48)</f>
        <v>0</v>
      </c>
    </row>
    <row r="1479" spans="1:8">
      <c r="A1479" s="24"/>
      <c r="B1479" s="19"/>
      <c r="C1479" s="25">
        <f>IF(D1479="","",D1479/48)</f>
        <v>0</v>
      </c>
      <c r="D1479" s="26">
        <f>IF(A1479="","",ROUND((A1479-cfgDefasagem/1440)*48,0))</f>
        <v>0</v>
      </c>
      <c r="E1479" s="26">
        <f>IF(D1479="","",INT((D1479-cfgDeslocamento)/4))</f>
        <v>0</v>
      </c>
      <c r="F1479" s="26">
        <f>IF(D1479="","",MOD(D1479-cfgDeslocamento,4)+1)</f>
        <v>0</v>
      </c>
      <c r="G1479" s="26">
        <f>IF(A1479="","",IF(AND(ISNUMBER(B1479),B1479&lt;&gt;0),1,0))</f>
        <v>0</v>
      </c>
      <c r="H1479" s="25">
        <f>IF(E1479="","",(E1479*4+3+cfgDeslocamento)/48)</f>
        <v>0</v>
      </c>
    </row>
    <row r="1480" spans="1:8">
      <c r="A1480" s="24"/>
      <c r="B1480" s="19"/>
      <c r="C1480" s="25">
        <f>IF(D1480="","",D1480/48)</f>
        <v>0</v>
      </c>
      <c r="D1480" s="26">
        <f>IF(A1480="","",ROUND((A1480-cfgDefasagem/1440)*48,0))</f>
        <v>0</v>
      </c>
      <c r="E1480" s="26">
        <f>IF(D1480="","",INT((D1480-cfgDeslocamento)/4))</f>
        <v>0</v>
      </c>
      <c r="F1480" s="26">
        <f>IF(D1480="","",MOD(D1480-cfgDeslocamento,4)+1)</f>
        <v>0</v>
      </c>
      <c r="G1480" s="26">
        <f>IF(A1480="","",IF(AND(ISNUMBER(B1480),B1480&lt;&gt;0),1,0))</f>
        <v>0</v>
      </c>
      <c r="H1480" s="25">
        <f>IF(E1480="","",(E1480*4+3+cfgDeslocamento)/48)</f>
        <v>0</v>
      </c>
    </row>
    <row r="1481" spans="1:8">
      <c r="A1481" s="24"/>
      <c r="B1481" s="19"/>
      <c r="C1481" s="25">
        <f>IF(D1481="","",D1481/48)</f>
        <v>0</v>
      </c>
      <c r="D1481" s="26">
        <f>IF(A1481="","",ROUND((A1481-cfgDefasagem/1440)*48,0))</f>
        <v>0</v>
      </c>
      <c r="E1481" s="26">
        <f>IF(D1481="","",INT((D1481-cfgDeslocamento)/4))</f>
        <v>0</v>
      </c>
      <c r="F1481" s="26">
        <f>IF(D1481="","",MOD(D1481-cfgDeslocamento,4)+1)</f>
        <v>0</v>
      </c>
      <c r="G1481" s="26">
        <f>IF(A1481="","",IF(AND(ISNUMBER(B1481),B1481&lt;&gt;0),1,0))</f>
        <v>0</v>
      </c>
      <c r="H1481" s="25">
        <f>IF(E1481="","",(E1481*4+3+cfgDeslocamento)/48)</f>
        <v>0</v>
      </c>
    </row>
    <row r="1482" spans="1:8">
      <c r="A1482" s="24"/>
      <c r="B1482" s="19"/>
      <c r="C1482" s="25">
        <f>IF(D1482="","",D1482/48)</f>
        <v>0</v>
      </c>
      <c r="D1482" s="26">
        <f>IF(A1482="","",ROUND((A1482-cfgDefasagem/1440)*48,0))</f>
        <v>0</v>
      </c>
      <c r="E1482" s="26">
        <f>IF(D1482="","",INT((D1482-cfgDeslocamento)/4))</f>
        <v>0</v>
      </c>
      <c r="F1482" s="26">
        <f>IF(D1482="","",MOD(D1482-cfgDeslocamento,4)+1)</f>
        <v>0</v>
      </c>
      <c r="G1482" s="26">
        <f>IF(A1482="","",IF(AND(ISNUMBER(B1482),B1482&lt;&gt;0),1,0))</f>
        <v>0</v>
      </c>
      <c r="H1482" s="25">
        <f>IF(E1482="","",(E1482*4+3+cfgDeslocamento)/48)</f>
        <v>0</v>
      </c>
    </row>
    <row r="1483" spans="1:8">
      <c r="A1483" s="24"/>
      <c r="B1483" s="19"/>
      <c r="C1483" s="25">
        <f>IF(D1483="","",D1483/48)</f>
        <v>0</v>
      </c>
      <c r="D1483" s="26">
        <f>IF(A1483="","",ROUND((A1483-cfgDefasagem/1440)*48,0))</f>
        <v>0</v>
      </c>
      <c r="E1483" s="26">
        <f>IF(D1483="","",INT((D1483-cfgDeslocamento)/4))</f>
        <v>0</v>
      </c>
      <c r="F1483" s="26">
        <f>IF(D1483="","",MOD(D1483-cfgDeslocamento,4)+1)</f>
        <v>0</v>
      </c>
      <c r="G1483" s="26">
        <f>IF(A1483="","",IF(AND(ISNUMBER(B1483),B1483&lt;&gt;0),1,0))</f>
        <v>0</v>
      </c>
      <c r="H1483" s="25">
        <f>IF(E1483="","",(E1483*4+3+cfgDeslocamento)/48)</f>
        <v>0</v>
      </c>
    </row>
    <row r="1484" spans="1:8">
      <c r="A1484" s="24"/>
      <c r="B1484" s="19"/>
      <c r="C1484" s="25">
        <f>IF(D1484="","",D1484/48)</f>
        <v>0</v>
      </c>
      <c r="D1484" s="26">
        <f>IF(A1484="","",ROUND((A1484-cfgDefasagem/1440)*48,0))</f>
        <v>0</v>
      </c>
      <c r="E1484" s="26">
        <f>IF(D1484="","",INT((D1484-cfgDeslocamento)/4))</f>
        <v>0</v>
      </c>
      <c r="F1484" s="26">
        <f>IF(D1484="","",MOD(D1484-cfgDeslocamento,4)+1)</f>
        <v>0</v>
      </c>
      <c r="G1484" s="26">
        <f>IF(A1484="","",IF(AND(ISNUMBER(B1484),B1484&lt;&gt;0),1,0))</f>
        <v>0</v>
      </c>
      <c r="H1484" s="25">
        <f>IF(E1484="","",(E1484*4+3+cfgDeslocamento)/48)</f>
        <v>0</v>
      </c>
    </row>
    <row r="1485" spans="1:8">
      <c r="A1485" s="24"/>
      <c r="B1485" s="19"/>
      <c r="C1485" s="25">
        <f>IF(D1485="","",D1485/48)</f>
        <v>0</v>
      </c>
      <c r="D1485" s="26">
        <f>IF(A1485="","",ROUND((A1485-cfgDefasagem/1440)*48,0))</f>
        <v>0</v>
      </c>
      <c r="E1485" s="26">
        <f>IF(D1485="","",INT((D1485-cfgDeslocamento)/4))</f>
        <v>0</v>
      </c>
      <c r="F1485" s="26">
        <f>IF(D1485="","",MOD(D1485-cfgDeslocamento,4)+1)</f>
        <v>0</v>
      </c>
      <c r="G1485" s="26">
        <f>IF(A1485="","",IF(AND(ISNUMBER(B1485),B1485&lt;&gt;0),1,0))</f>
        <v>0</v>
      </c>
      <c r="H1485" s="25">
        <f>IF(E1485="","",(E1485*4+3+cfgDeslocamento)/48)</f>
        <v>0</v>
      </c>
    </row>
    <row r="1486" spans="1:8">
      <c r="A1486" s="24"/>
      <c r="B1486" s="19"/>
      <c r="C1486" s="25">
        <f>IF(D1486="","",D1486/48)</f>
        <v>0</v>
      </c>
      <c r="D1486" s="26">
        <f>IF(A1486="","",ROUND((A1486-cfgDefasagem/1440)*48,0))</f>
        <v>0</v>
      </c>
      <c r="E1486" s="26">
        <f>IF(D1486="","",INT((D1486-cfgDeslocamento)/4))</f>
        <v>0</v>
      </c>
      <c r="F1486" s="26">
        <f>IF(D1486="","",MOD(D1486-cfgDeslocamento,4)+1)</f>
        <v>0</v>
      </c>
      <c r="G1486" s="26">
        <f>IF(A1486="","",IF(AND(ISNUMBER(B1486),B1486&lt;&gt;0),1,0))</f>
        <v>0</v>
      </c>
      <c r="H1486" s="25">
        <f>IF(E1486="","",(E1486*4+3+cfgDeslocamento)/48)</f>
        <v>0</v>
      </c>
    </row>
    <row r="1487" spans="1:8">
      <c r="A1487" s="24"/>
      <c r="B1487" s="19"/>
      <c r="C1487" s="25">
        <f>IF(D1487="","",D1487/48)</f>
        <v>0</v>
      </c>
      <c r="D1487" s="26">
        <f>IF(A1487="","",ROUND((A1487-cfgDefasagem/1440)*48,0))</f>
        <v>0</v>
      </c>
      <c r="E1487" s="26">
        <f>IF(D1487="","",INT((D1487-cfgDeslocamento)/4))</f>
        <v>0</v>
      </c>
      <c r="F1487" s="26">
        <f>IF(D1487="","",MOD(D1487-cfgDeslocamento,4)+1)</f>
        <v>0</v>
      </c>
      <c r="G1487" s="26">
        <f>IF(A1487="","",IF(AND(ISNUMBER(B1487),B1487&lt;&gt;0),1,0))</f>
        <v>0</v>
      </c>
      <c r="H1487" s="25">
        <f>IF(E1487="","",(E1487*4+3+cfgDeslocamento)/48)</f>
        <v>0</v>
      </c>
    </row>
    <row r="1488" spans="1:8">
      <c r="A1488" s="24"/>
      <c r="B1488" s="19"/>
      <c r="C1488" s="25">
        <f>IF(D1488="","",D1488/48)</f>
        <v>0</v>
      </c>
      <c r="D1488" s="26">
        <f>IF(A1488="","",ROUND((A1488-cfgDefasagem/1440)*48,0))</f>
        <v>0</v>
      </c>
      <c r="E1488" s="26">
        <f>IF(D1488="","",INT((D1488-cfgDeslocamento)/4))</f>
        <v>0</v>
      </c>
      <c r="F1488" s="26">
        <f>IF(D1488="","",MOD(D1488-cfgDeslocamento,4)+1)</f>
        <v>0</v>
      </c>
      <c r="G1488" s="26">
        <f>IF(A1488="","",IF(AND(ISNUMBER(B1488),B1488&lt;&gt;0),1,0))</f>
        <v>0</v>
      </c>
      <c r="H1488" s="25">
        <f>IF(E1488="","",(E1488*4+3+cfgDeslocamento)/48)</f>
        <v>0</v>
      </c>
    </row>
    <row r="1489" spans="1:8">
      <c r="A1489" s="24"/>
      <c r="B1489" s="19"/>
      <c r="C1489" s="25">
        <f>IF(D1489="","",D1489/48)</f>
        <v>0</v>
      </c>
      <c r="D1489" s="26">
        <f>IF(A1489="","",ROUND((A1489-cfgDefasagem/1440)*48,0))</f>
        <v>0</v>
      </c>
      <c r="E1489" s="26">
        <f>IF(D1489="","",INT((D1489-cfgDeslocamento)/4))</f>
        <v>0</v>
      </c>
      <c r="F1489" s="26">
        <f>IF(D1489="","",MOD(D1489-cfgDeslocamento,4)+1)</f>
        <v>0</v>
      </c>
      <c r="G1489" s="26">
        <f>IF(A1489="","",IF(AND(ISNUMBER(B1489),B1489&lt;&gt;0),1,0))</f>
        <v>0</v>
      </c>
      <c r="H1489" s="25">
        <f>IF(E1489="","",(E1489*4+3+cfgDeslocamento)/48)</f>
        <v>0</v>
      </c>
    </row>
    <row r="1490" spans="1:8">
      <c r="A1490" s="24"/>
      <c r="B1490" s="19"/>
      <c r="C1490" s="25">
        <f>IF(D1490="","",D1490/48)</f>
        <v>0</v>
      </c>
      <c r="D1490" s="26">
        <f>IF(A1490="","",ROUND((A1490-cfgDefasagem/1440)*48,0))</f>
        <v>0</v>
      </c>
      <c r="E1490" s="26">
        <f>IF(D1490="","",INT((D1490-cfgDeslocamento)/4))</f>
        <v>0</v>
      </c>
      <c r="F1490" s="26">
        <f>IF(D1490="","",MOD(D1490-cfgDeslocamento,4)+1)</f>
        <v>0</v>
      </c>
      <c r="G1490" s="26">
        <f>IF(A1490="","",IF(AND(ISNUMBER(B1490),B1490&lt;&gt;0),1,0))</f>
        <v>0</v>
      </c>
      <c r="H1490" s="25">
        <f>IF(E1490="","",(E1490*4+3+cfgDeslocamento)/48)</f>
        <v>0</v>
      </c>
    </row>
    <row r="1491" spans="1:8">
      <c r="A1491" s="24"/>
      <c r="B1491" s="19"/>
      <c r="C1491" s="25">
        <f>IF(D1491="","",D1491/48)</f>
        <v>0</v>
      </c>
      <c r="D1491" s="26">
        <f>IF(A1491="","",ROUND((A1491-cfgDefasagem/1440)*48,0))</f>
        <v>0</v>
      </c>
      <c r="E1491" s="26">
        <f>IF(D1491="","",INT((D1491-cfgDeslocamento)/4))</f>
        <v>0</v>
      </c>
      <c r="F1491" s="26">
        <f>IF(D1491="","",MOD(D1491-cfgDeslocamento,4)+1)</f>
        <v>0</v>
      </c>
      <c r="G1491" s="26">
        <f>IF(A1491="","",IF(AND(ISNUMBER(B1491),B1491&lt;&gt;0),1,0))</f>
        <v>0</v>
      </c>
      <c r="H1491" s="25">
        <f>IF(E1491="","",(E1491*4+3+cfgDeslocamento)/48)</f>
        <v>0</v>
      </c>
    </row>
    <row r="1492" spans="1:8">
      <c r="A1492" s="24"/>
      <c r="B1492" s="19"/>
      <c r="C1492" s="25">
        <f>IF(D1492="","",D1492/48)</f>
        <v>0</v>
      </c>
      <c r="D1492" s="26">
        <f>IF(A1492="","",ROUND((A1492-cfgDefasagem/1440)*48,0))</f>
        <v>0</v>
      </c>
      <c r="E1492" s="26">
        <f>IF(D1492="","",INT((D1492-cfgDeslocamento)/4))</f>
        <v>0</v>
      </c>
      <c r="F1492" s="26">
        <f>IF(D1492="","",MOD(D1492-cfgDeslocamento,4)+1)</f>
        <v>0</v>
      </c>
      <c r="G1492" s="26">
        <f>IF(A1492="","",IF(AND(ISNUMBER(B1492),B1492&lt;&gt;0),1,0))</f>
        <v>0</v>
      </c>
      <c r="H1492" s="25">
        <f>IF(E1492="","",(E1492*4+3+cfgDeslocamento)/48)</f>
        <v>0</v>
      </c>
    </row>
    <row r="1493" spans="1:8">
      <c r="A1493" s="24"/>
      <c r="B1493" s="19"/>
      <c r="C1493" s="25">
        <f>IF(D1493="","",D1493/48)</f>
        <v>0</v>
      </c>
      <c r="D1493" s="26">
        <f>IF(A1493="","",ROUND((A1493-cfgDefasagem/1440)*48,0))</f>
        <v>0</v>
      </c>
      <c r="E1493" s="26">
        <f>IF(D1493="","",INT((D1493-cfgDeslocamento)/4))</f>
        <v>0</v>
      </c>
      <c r="F1493" s="26">
        <f>IF(D1493="","",MOD(D1493-cfgDeslocamento,4)+1)</f>
        <v>0</v>
      </c>
      <c r="G1493" s="26">
        <f>IF(A1493="","",IF(AND(ISNUMBER(B1493),B1493&lt;&gt;0),1,0))</f>
        <v>0</v>
      </c>
      <c r="H1493" s="25">
        <f>IF(E1493="","",(E1493*4+3+cfgDeslocamento)/48)</f>
        <v>0</v>
      </c>
    </row>
    <row r="1494" spans="1:8">
      <c r="A1494" s="24"/>
      <c r="B1494" s="19"/>
      <c r="C1494" s="25">
        <f>IF(D1494="","",D1494/48)</f>
        <v>0</v>
      </c>
      <c r="D1494" s="26">
        <f>IF(A1494="","",ROUND((A1494-cfgDefasagem/1440)*48,0))</f>
        <v>0</v>
      </c>
      <c r="E1494" s="26">
        <f>IF(D1494="","",INT((D1494-cfgDeslocamento)/4))</f>
        <v>0</v>
      </c>
      <c r="F1494" s="26">
        <f>IF(D1494="","",MOD(D1494-cfgDeslocamento,4)+1)</f>
        <v>0</v>
      </c>
      <c r="G1494" s="26">
        <f>IF(A1494="","",IF(AND(ISNUMBER(B1494),B1494&lt;&gt;0),1,0))</f>
        <v>0</v>
      </c>
      <c r="H1494" s="25">
        <f>IF(E1494="","",(E1494*4+3+cfgDeslocamento)/48)</f>
        <v>0</v>
      </c>
    </row>
    <row r="1495" spans="1:8">
      <c r="A1495" s="24"/>
      <c r="B1495" s="19"/>
      <c r="C1495" s="25">
        <f>IF(D1495="","",D1495/48)</f>
        <v>0</v>
      </c>
      <c r="D1495" s="26">
        <f>IF(A1495="","",ROUND((A1495-cfgDefasagem/1440)*48,0))</f>
        <v>0</v>
      </c>
      <c r="E1495" s="26">
        <f>IF(D1495="","",INT((D1495-cfgDeslocamento)/4))</f>
        <v>0</v>
      </c>
      <c r="F1495" s="26">
        <f>IF(D1495="","",MOD(D1495-cfgDeslocamento,4)+1)</f>
        <v>0</v>
      </c>
      <c r="G1495" s="26">
        <f>IF(A1495="","",IF(AND(ISNUMBER(B1495),B1495&lt;&gt;0),1,0))</f>
        <v>0</v>
      </c>
      <c r="H1495" s="25">
        <f>IF(E1495="","",(E1495*4+3+cfgDeslocamento)/48)</f>
        <v>0</v>
      </c>
    </row>
    <row r="1496" spans="1:8">
      <c r="A1496" s="24"/>
      <c r="B1496" s="19"/>
      <c r="C1496" s="25">
        <f>IF(D1496="","",D1496/48)</f>
        <v>0</v>
      </c>
      <c r="D1496" s="26">
        <f>IF(A1496="","",ROUND((A1496-cfgDefasagem/1440)*48,0))</f>
        <v>0</v>
      </c>
      <c r="E1496" s="26">
        <f>IF(D1496="","",INT((D1496-cfgDeslocamento)/4))</f>
        <v>0</v>
      </c>
      <c r="F1496" s="26">
        <f>IF(D1496="","",MOD(D1496-cfgDeslocamento,4)+1)</f>
        <v>0</v>
      </c>
      <c r="G1496" s="26">
        <f>IF(A1496="","",IF(AND(ISNUMBER(B1496),B1496&lt;&gt;0),1,0))</f>
        <v>0</v>
      </c>
      <c r="H1496" s="25">
        <f>IF(E1496="","",(E1496*4+3+cfgDeslocamento)/48)</f>
        <v>0</v>
      </c>
    </row>
    <row r="1497" spans="1:8">
      <c r="A1497" s="24"/>
      <c r="B1497" s="19"/>
      <c r="C1497" s="25">
        <f>IF(D1497="","",D1497/48)</f>
        <v>0</v>
      </c>
      <c r="D1497" s="26">
        <f>IF(A1497="","",ROUND((A1497-cfgDefasagem/1440)*48,0))</f>
        <v>0</v>
      </c>
      <c r="E1497" s="26">
        <f>IF(D1497="","",INT((D1497-cfgDeslocamento)/4))</f>
        <v>0</v>
      </c>
      <c r="F1497" s="26">
        <f>IF(D1497="","",MOD(D1497-cfgDeslocamento,4)+1)</f>
        <v>0</v>
      </c>
      <c r="G1497" s="26">
        <f>IF(A1497="","",IF(AND(ISNUMBER(B1497),B1497&lt;&gt;0),1,0))</f>
        <v>0</v>
      </c>
      <c r="H1497" s="25">
        <f>IF(E1497="","",(E1497*4+3+cfgDeslocamento)/48)</f>
        <v>0</v>
      </c>
    </row>
    <row r="1498" spans="1:8">
      <c r="A1498" s="24"/>
      <c r="B1498" s="19"/>
      <c r="C1498" s="25">
        <f>IF(D1498="","",D1498/48)</f>
        <v>0</v>
      </c>
      <c r="D1498" s="26">
        <f>IF(A1498="","",ROUND((A1498-cfgDefasagem/1440)*48,0))</f>
        <v>0</v>
      </c>
      <c r="E1498" s="26">
        <f>IF(D1498="","",INT((D1498-cfgDeslocamento)/4))</f>
        <v>0</v>
      </c>
      <c r="F1498" s="26">
        <f>IF(D1498="","",MOD(D1498-cfgDeslocamento,4)+1)</f>
        <v>0</v>
      </c>
      <c r="G1498" s="26">
        <f>IF(A1498="","",IF(AND(ISNUMBER(B1498),B1498&lt;&gt;0),1,0))</f>
        <v>0</v>
      </c>
      <c r="H1498" s="25">
        <f>IF(E1498="","",(E1498*4+3+cfgDeslocamento)/48)</f>
        <v>0</v>
      </c>
    </row>
    <row r="1499" spans="1:8">
      <c r="A1499" s="24"/>
      <c r="B1499" s="19"/>
      <c r="C1499" s="25">
        <f>IF(D1499="","",D1499/48)</f>
        <v>0</v>
      </c>
      <c r="D1499" s="26">
        <f>IF(A1499="","",ROUND((A1499-cfgDefasagem/1440)*48,0))</f>
        <v>0</v>
      </c>
      <c r="E1499" s="26">
        <f>IF(D1499="","",INT((D1499-cfgDeslocamento)/4))</f>
        <v>0</v>
      </c>
      <c r="F1499" s="26">
        <f>IF(D1499="","",MOD(D1499-cfgDeslocamento,4)+1)</f>
        <v>0</v>
      </c>
      <c r="G1499" s="26">
        <f>IF(A1499="","",IF(AND(ISNUMBER(B1499),B1499&lt;&gt;0),1,0))</f>
        <v>0</v>
      </c>
      <c r="H1499" s="25">
        <f>IF(E1499="","",(E1499*4+3+cfgDeslocamento)/48)</f>
        <v>0</v>
      </c>
    </row>
    <row r="1500" spans="1:8">
      <c r="A1500" s="24"/>
      <c r="B1500" s="19"/>
      <c r="C1500" s="25">
        <f>IF(D1500="","",D1500/48)</f>
        <v>0</v>
      </c>
      <c r="D1500" s="26">
        <f>IF(A1500="","",ROUND((A1500-cfgDefasagem/1440)*48,0))</f>
        <v>0</v>
      </c>
      <c r="E1500" s="26">
        <f>IF(D1500="","",INT((D1500-cfgDeslocamento)/4))</f>
        <v>0</v>
      </c>
      <c r="F1500" s="26">
        <f>IF(D1500="","",MOD(D1500-cfgDeslocamento,4)+1)</f>
        <v>0</v>
      </c>
      <c r="G1500" s="26">
        <f>IF(A1500="","",IF(AND(ISNUMBER(B1500),B1500&lt;&gt;0),1,0))</f>
        <v>0</v>
      </c>
      <c r="H1500" s="25">
        <f>IF(E1500="","",(E1500*4+3+cfgDeslocamento)/48)</f>
        <v>0</v>
      </c>
    </row>
    <row r="1501" spans="1:8">
      <c r="A1501" s="24"/>
      <c r="B1501" s="19"/>
      <c r="C1501" s="25">
        <f>IF(D1501="","",D1501/48)</f>
        <v>0</v>
      </c>
      <c r="D1501" s="26">
        <f>IF(A1501="","",ROUND((A1501-cfgDefasagem/1440)*48,0))</f>
        <v>0</v>
      </c>
      <c r="E1501" s="26">
        <f>IF(D1501="","",INT((D1501-cfgDeslocamento)/4))</f>
        <v>0</v>
      </c>
      <c r="F1501" s="26">
        <f>IF(D1501="","",MOD(D1501-cfgDeslocamento,4)+1)</f>
        <v>0</v>
      </c>
      <c r="G1501" s="26">
        <f>IF(A1501="","",IF(AND(ISNUMBER(B1501),B1501&lt;&gt;0),1,0))</f>
        <v>0</v>
      </c>
      <c r="H1501" s="25">
        <f>IF(E1501="","",(E1501*4+3+cfgDeslocamento)/48)</f>
        <v>0</v>
      </c>
    </row>
    <row r="1502" spans="1:8">
      <c r="A1502" s="24"/>
      <c r="B1502" s="19"/>
      <c r="C1502" s="25">
        <f>IF(D1502="","",D1502/48)</f>
        <v>0</v>
      </c>
      <c r="D1502" s="26">
        <f>IF(A1502="","",ROUND((A1502-cfgDefasagem/1440)*48,0))</f>
        <v>0</v>
      </c>
      <c r="E1502" s="26">
        <f>IF(D1502="","",INT((D1502-cfgDeslocamento)/4))</f>
        <v>0</v>
      </c>
      <c r="F1502" s="26">
        <f>IF(D1502="","",MOD(D1502-cfgDeslocamento,4)+1)</f>
        <v>0</v>
      </c>
      <c r="G1502" s="26">
        <f>IF(A1502="","",IF(AND(ISNUMBER(B1502),B1502&lt;&gt;0),1,0))</f>
        <v>0</v>
      </c>
      <c r="H1502" s="25">
        <f>IF(E1502="","",(E1502*4+3+cfgDeslocamento)/48)</f>
        <v>0</v>
      </c>
    </row>
    <row r="1503" spans="1:8">
      <c r="A1503" s="24"/>
      <c r="B1503" s="19"/>
      <c r="C1503" s="25">
        <f>IF(D1503="","",D1503/48)</f>
        <v>0</v>
      </c>
      <c r="D1503" s="26">
        <f>IF(A1503="","",ROUND((A1503-cfgDefasagem/1440)*48,0))</f>
        <v>0</v>
      </c>
      <c r="E1503" s="26">
        <f>IF(D1503="","",INT((D1503-cfgDeslocamento)/4))</f>
        <v>0</v>
      </c>
      <c r="F1503" s="26">
        <f>IF(D1503="","",MOD(D1503-cfgDeslocamento,4)+1)</f>
        <v>0</v>
      </c>
      <c r="G1503" s="26">
        <f>IF(A1503="","",IF(AND(ISNUMBER(B1503),B1503&lt;&gt;0),1,0))</f>
        <v>0</v>
      </c>
      <c r="H1503" s="25">
        <f>IF(E1503="","",(E1503*4+3+cfgDeslocamento)/48)</f>
        <v>0</v>
      </c>
    </row>
    <row r="1504" spans="1:8">
      <c r="A1504" s="24"/>
      <c r="B1504" s="19"/>
      <c r="C1504" s="25">
        <f>IF(D1504="","",D1504/48)</f>
        <v>0</v>
      </c>
      <c r="D1504" s="26">
        <f>IF(A1504="","",ROUND((A1504-cfgDefasagem/1440)*48,0))</f>
        <v>0</v>
      </c>
      <c r="E1504" s="26">
        <f>IF(D1504="","",INT((D1504-cfgDeslocamento)/4))</f>
        <v>0</v>
      </c>
      <c r="F1504" s="26">
        <f>IF(D1504="","",MOD(D1504-cfgDeslocamento,4)+1)</f>
        <v>0</v>
      </c>
      <c r="G1504" s="26">
        <f>IF(A1504="","",IF(AND(ISNUMBER(B1504),B1504&lt;&gt;0),1,0))</f>
        <v>0</v>
      </c>
      <c r="H1504" s="25">
        <f>IF(E1504="","",(E1504*4+3+cfgDeslocamento)/48)</f>
        <v>0</v>
      </c>
    </row>
    <row r="1505" spans="1:8">
      <c r="A1505" s="24"/>
      <c r="B1505" s="19"/>
      <c r="C1505" s="25">
        <f>IF(D1505="","",D1505/48)</f>
        <v>0</v>
      </c>
      <c r="D1505" s="26">
        <f>IF(A1505="","",ROUND((A1505-cfgDefasagem/1440)*48,0))</f>
        <v>0</v>
      </c>
      <c r="E1505" s="26">
        <f>IF(D1505="","",INT((D1505-cfgDeslocamento)/4))</f>
        <v>0</v>
      </c>
      <c r="F1505" s="26">
        <f>IF(D1505="","",MOD(D1505-cfgDeslocamento,4)+1)</f>
        <v>0</v>
      </c>
      <c r="G1505" s="26">
        <f>IF(A1505="","",IF(AND(ISNUMBER(B1505),B1505&lt;&gt;0),1,0))</f>
        <v>0</v>
      </c>
      <c r="H1505" s="25">
        <f>IF(E1505="","",(E1505*4+3+cfgDeslocamento)/48)</f>
        <v>0</v>
      </c>
    </row>
    <row r="1506" spans="1:8">
      <c r="A1506" s="24"/>
      <c r="B1506" s="19"/>
      <c r="C1506" s="25">
        <f>IF(D1506="","",D1506/48)</f>
        <v>0</v>
      </c>
      <c r="D1506" s="26">
        <f>IF(A1506="","",ROUND((A1506-cfgDefasagem/1440)*48,0))</f>
        <v>0</v>
      </c>
      <c r="E1506" s="26">
        <f>IF(D1506="","",INT((D1506-cfgDeslocamento)/4))</f>
        <v>0</v>
      </c>
      <c r="F1506" s="26">
        <f>IF(D1506="","",MOD(D1506-cfgDeslocamento,4)+1)</f>
        <v>0</v>
      </c>
      <c r="G1506" s="26">
        <f>IF(A1506="","",IF(AND(ISNUMBER(B1506),B1506&lt;&gt;0),1,0))</f>
        <v>0</v>
      </c>
      <c r="H1506" s="25">
        <f>IF(E1506="","",(E1506*4+3+cfgDeslocamento)/48)</f>
        <v>0</v>
      </c>
    </row>
    <row r="1507" spans="1:8">
      <c r="A1507" s="24"/>
      <c r="B1507" s="19"/>
      <c r="C1507" s="25">
        <f>IF(D1507="","",D1507/48)</f>
        <v>0</v>
      </c>
      <c r="D1507" s="26">
        <f>IF(A1507="","",ROUND((A1507-cfgDefasagem/1440)*48,0))</f>
        <v>0</v>
      </c>
      <c r="E1507" s="26">
        <f>IF(D1507="","",INT((D1507-cfgDeslocamento)/4))</f>
        <v>0</v>
      </c>
      <c r="F1507" s="26">
        <f>IF(D1507="","",MOD(D1507-cfgDeslocamento,4)+1)</f>
        <v>0</v>
      </c>
      <c r="G1507" s="26">
        <f>IF(A1507="","",IF(AND(ISNUMBER(B1507),B1507&lt;&gt;0),1,0))</f>
        <v>0</v>
      </c>
      <c r="H1507" s="25">
        <f>IF(E1507="","",(E1507*4+3+cfgDeslocamento)/48)</f>
        <v>0</v>
      </c>
    </row>
    <row r="1508" spans="1:8">
      <c r="A1508" s="24"/>
      <c r="B1508" s="19"/>
      <c r="C1508" s="25">
        <f>IF(D1508="","",D1508/48)</f>
        <v>0</v>
      </c>
      <c r="D1508" s="26">
        <f>IF(A1508="","",ROUND((A1508-cfgDefasagem/1440)*48,0))</f>
        <v>0</v>
      </c>
      <c r="E1508" s="26">
        <f>IF(D1508="","",INT((D1508-cfgDeslocamento)/4))</f>
        <v>0</v>
      </c>
      <c r="F1508" s="26">
        <f>IF(D1508="","",MOD(D1508-cfgDeslocamento,4)+1)</f>
        <v>0</v>
      </c>
      <c r="G1508" s="26">
        <f>IF(A1508="","",IF(AND(ISNUMBER(B1508),B1508&lt;&gt;0),1,0))</f>
        <v>0</v>
      </c>
      <c r="H1508" s="25">
        <f>IF(E1508="","",(E1508*4+3+cfgDeslocamento)/48)</f>
        <v>0</v>
      </c>
    </row>
    <row r="1509" spans="1:8">
      <c r="A1509" s="24"/>
      <c r="B1509" s="19"/>
      <c r="C1509" s="25">
        <f>IF(D1509="","",D1509/48)</f>
        <v>0</v>
      </c>
      <c r="D1509" s="26">
        <f>IF(A1509="","",ROUND((A1509-cfgDefasagem/1440)*48,0))</f>
        <v>0</v>
      </c>
      <c r="E1509" s="26">
        <f>IF(D1509="","",INT((D1509-cfgDeslocamento)/4))</f>
        <v>0</v>
      </c>
      <c r="F1509" s="26">
        <f>IF(D1509="","",MOD(D1509-cfgDeslocamento,4)+1)</f>
        <v>0</v>
      </c>
      <c r="G1509" s="26">
        <f>IF(A1509="","",IF(AND(ISNUMBER(B1509),B1509&lt;&gt;0),1,0))</f>
        <v>0</v>
      </c>
      <c r="H1509" s="25">
        <f>IF(E1509="","",(E1509*4+3+cfgDeslocamento)/48)</f>
        <v>0</v>
      </c>
    </row>
    <row r="1510" spans="1:8">
      <c r="A1510" s="24"/>
      <c r="B1510" s="19"/>
      <c r="C1510" s="25">
        <f>IF(D1510="","",D1510/48)</f>
        <v>0</v>
      </c>
      <c r="D1510" s="26">
        <f>IF(A1510="","",ROUND((A1510-cfgDefasagem/1440)*48,0))</f>
        <v>0</v>
      </c>
      <c r="E1510" s="26">
        <f>IF(D1510="","",INT((D1510-cfgDeslocamento)/4))</f>
        <v>0</v>
      </c>
      <c r="F1510" s="26">
        <f>IF(D1510="","",MOD(D1510-cfgDeslocamento,4)+1)</f>
        <v>0</v>
      </c>
      <c r="G1510" s="26">
        <f>IF(A1510="","",IF(AND(ISNUMBER(B1510),B1510&lt;&gt;0),1,0))</f>
        <v>0</v>
      </c>
      <c r="H1510" s="25">
        <f>IF(E1510="","",(E1510*4+3+cfgDeslocamento)/48)</f>
        <v>0</v>
      </c>
    </row>
    <row r="1511" spans="1:8">
      <c r="A1511" s="24"/>
      <c r="B1511" s="19"/>
      <c r="C1511" s="25">
        <f>IF(D1511="","",D1511/48)</f>
        <v>0</v>
      </c>
      <c r="D1511" s="26">
        <f>IF(A1511="","",ROUND((A1511-cfgDefasagem/1440)*48,0))</f>
        <v>0</v>
      </c>
      <c r="E1511" s="26">
        <f>IF(D1511="","",INT((D1511-cfgDeslocamento)/4))</f>
        <v>0</v>
      </c>
      <c r="F1511" s="26">
        <f>IF(D1511="","",MOD(D1511-cfgDeslocamento,4)+1)</f>
        <v>0</v>
      </c>
      <c r="G1511" s="26">
        <f>IF(A1511="","",IF(AND(ISNUMBER(B1511),B1511&lt;&gt;0),1,0))</f>
        <v>0</v>
      </c>
      <c r="H1511" s="25">
        <f>IF(E1511="","",(E1511*4+3+cfgDeslocamento)/48)</f>
        <v>0</v>
      </c>
    </row>
    <row r="1512" spans="1:8">
      <c r="A1512" s="24"/>
      <c r="B1512" s="19"/>
      <c r="C1512" s="25">
        <f>IF(D1512="","",D1512/48)</f>
        <v>0</v>
      </c>
      <c r="D1512" s="26">
        <f>IF(A1512="","",ROUND((A1512-cfgDefasagem/1440)*48,0))</f>
        <v>0</v>
      </c>
      <c r="E1512" s="26">
        <f>IF(D1512="","",INT((D1512-cfgDeslocamento)/4))</f>
        <v>0</v>
      </c>
      <c r="F1512" s="26">
        <f>IF(D1512="","",MOD(D1512-cfgDeslocamento,4)+1)</f>
        <v>0</v>
      </c>
      <c r="G1512" s="26">
        <f>IF(A1512="","",IF(AND(ISNUMBER(B1512),B1512&lt;&gt;0),1,0))</f>
        <v>0</v>
      </c>
      <c r="H1512" s="25">
        <f>IF(E1512="","",(E1512*4+3+cfgDeslocamento)/48)</f>
        <v>0</v>
      </c>
    </row>
    <row r="1513" spans="1:8">
      <c r="A1513" s="24"/>
      <c r="B1513" s="19"/>
      <c r="C1513" s="25">
        <f>IF(D1513="","",D1513/48)</f>
        <v>0</v>
      </c>
      <c r="D1513" s="26">
        <f>IF(A1513="","",ROUND((A1513-cfgDefasagem/1440)*48,0))</f>
        <v>0</v>
      </c>
      <c r="E1513" s="26">
        <f>IF(D1513="","",INT((D1513-cfgDeslocamento)/4))</f>
        <v>0</v>
      </c>
      <c r="F1513" s="26">
        <f>IF(D1513="","",MOD(D1513-cfgDeslocamento,4)+1)</f>
        <v>0</v>
      </c>
      <c r="G1513" s="26">
        <f>IF(A1513="","",IF(AND(ISNUMBER(B1513),B1513&lt;&gt;0),1,0))</f>
        <v>0</v>
      </c>
      <c r="H1513" s="25">
        <f>IF(E1513="","",(E1513*4+3+cfgDeslocamento)/48)</f>
        <v>0</v>
      </c>
    </row>
    <row r="1514" spans="1:8">
      <c r="A1514" s="24"/>
      <c r="B1514" s="19"/>
      <c r="C1514" s="25">
        <f>IF(D1514="","",D1514/48)</f>
        <v>0</v>
      </c>
      <c r="D1514" s="26">
        <f>IF(A1514="","",ROUND((A1514-cfgDefasagem/1440)*48,0))</f>
        <v>0</v>
      </c>
      <c r="E1514" s="26">
        <f>IF(D1514="","",INT((D1514-cfgDeslocamento)/4))</f>
        <v>0</v>
      </c>
      <c r="F1514" s="26">
        <f>IF(D1514="","",MOD(D1514-cfgDeslocamento,4)+1)</f>
        <v>0</v>
      </c>
      <c r="G1514" s="26">
        <f>IF(A1514="","",IF(AND(ISNUMBER(B1514),B1514&lt;&gt;0),1,0))</f>
        <v>0</v>
      </c>
      <c r="H1514" s="25">
        <f>IF(E1514="","",(E1514*4+3+cfgDeslocamento)/48)</f>
        <v>0</v>
      </c>
    </row>
    <row r="1515" spans="1:8">
      <c r="A1515" s="24"/>
      <c r="B1515" s="19"/>
      <c r="C1515" s="25">
        <f>IF(D1515="","",D1515/48)</f>
        <v>0</v>
      </c>
      <c r="D1515" s="26">
        <f>IF(A1515="","",ROUND((A1515-cfgDefasagem/1440)*48,0))</f>
        <v>0</v>
      </c>
      <c r="E1515" s="26">
        <f>IF(D1515="","",INT((D1515-cfgDeslocamento)/4))</f>
        <v>0</v>
      </c>
      <c r="F1515" s="26">
        <f>IF(D1515="","",MOD(D1515-cfgDeslocamento,4)+1)</f>
        <v>0</v>
      </c>
      <c r="G1515" s="26">
        <f>IF(A1515="","",IF(AND(ISNUMBER(B1515),B1515&lt;&gt;0),1,0))</f>
        <v>0</v>
      </c>
      <c r="H1515" s="25">
        <f>IF(E1515="","",(E1515*4+3+cfgDeslocamento)/48)</f>
        <v>0</v>
      </c>
    </row>
    <row r="1516" spans="1:8">
      <c r="A1516" s="24"/>
      <c r="B1516" s="19"/>
      <c r="C1516" s="25">
        <f>IF(D1516="","",D1516/48)</f>
        <v>0</v>
      </c>
      <c r="D1516" s="26">
        <f>IF(A1516="","",ROUND((A1516-cfgDefasagem/1440)*48,0))</f>
        <v>0</v>
      </c>
      <c r="E1516" s="26">
        <f>IF(D1516="","",INT((D1516-cfgDeslocamento)/4))</f>
        <v>0</v>
      </c>
      <c r="F1516" s="26">
        <f>IF(D1516="","",MOD(D1516-cfgDeslocamento,4)+1)</f>
        <v>0</v>
      </c>
      <c r="G1516" s="26">
        <f>IF(A1516="","",IF(AND(ISNUMBER(B1516),B1516&lt;&gt;0),1,0))</f>
        <v>0</v>
      </c>
      <c r="H1516" s="25">
        <f>IF(E1516="","",(E1516*4+3+cfgDeslocamento)/48)</f>
        <v>0</v>
      </c>
    </row>
    <row r="1517" spans="1:8">
      <c r="A1517" s="24"/>
      <c r="B1517" s="19"/>
      <c r="C1517" s="25">
        <f>IF(D1517="","",D1517/48)</f>
        <v>0</v>
      </c>
      <c r="D1517" s="26">
        <f>IF(A1517="","",ROUND((A1517-cfgDefasagem/1440)*48,0))</f>
        <v>0</v>
      </c>
      <c r="E1517" s="26">
        <f>IF(D1517="","",INT((D1517-cfgDeslocamento)/4))</f>
        <v>0</v>
      </c>
      <c r="F1517" s="26">
        <f>IF(D1517="","",MOD(D1517-cfgDeslocamento,4)+1)</f>
        <v>0</v>
      </c>
      <c r="G1517" s="26">
        <f>IF(A1517="","",IF(AND(ISNUMBER(B1517),B1517&lt;&gt;0),1,0))</f>
        <v>0</v>
      </c>
      <c r="H1517" s="25">
        <f>IF(E1517="","",(E1517*4+3+cfgDeslocamento)/48)</f>
        <v>0</v>
      </c>
    </row>
    <row r="1518" spans="1:8">
      <c r="A1518" s="24"/>
      <c r="B1518" s="19"/>
      <c r="C1518" s="25">
        <f>IF(D1518="","",D1518/48)</f>
        <v>0</v>
      </c>
      <c r="D1518" s="26">
        <f>IF(A1518="","",ROUND((A1518-cfgDefasagem/1440)*48,0))</f>
        <v>0</v>
      </c>
      <c r="E1518" s="26">
        <f>IF(D1518="","",INT((D1518-cfgDeslocamento)/4))</f>
        <v>0</v>
      </c>
      <c r="F1518" s="26">
        <f>IF(D1518="","",MOD(D1518-cfgDeslocamento,4)+1)</f>
        <v>0</v>
      </c>
      <c r="G1518" s="26">
        <f>IF(A1518="","",IF(AND(ISNUMBER(B1518),B1518&lt;&gt;0),1,0))</f>
        <v>0</v>
      </c>
      <c r="H1518" s="25">
        <f>IF(E1518="","",(E1518*4+3+cfgDeslocamento)/48)</f>
        <v>0</v>
      </c>
    </row>
    <row r="1519" spans="1:8">
      <c r="A1519" s="24"/>
      <c r="B1519" s="19"/>
      <c r="C1519" s="25">
        <f>IF(D1519="","",D1519/48)</f>
        <v>0</v>
      </c>
      <c r="D1519" s="26">
        <f>IF(A1519="","",ROUND((A1519-cfgDefasagem/1440)*48,0))</f>
        <v>0</v>
      </c>
      <c r="E1519" s="26">
        <f>IF(D1519="","",INT((D1519-cfgDeslocamento)/4))</f>
        <v>0</v>
      </c>
      <c r="F1519" s="26">
        <f>IF(D1519="","",MOD(D1519-cfgDeslocamento,4)+1)</f>
        <v>0</v>
      </c>
      <c r="G1519" s="26">
        <f>IF(A1519="","",IF(AND(ISNUMBER(B1519),B1519&lt;&gt;0),1,0))</f>
        <v>0</v>
      </c>
      <c r="H1519" s="25">
        <f>IF(E1519="","",(E1519*4+3+cfgDeslocamento)/48)</f>
        <v>0</v>
      </c>
    </row>
    <row r="1520" spans="1:8">
      <c r="A1520" s="24"/>
      <c r="B1520" s="19"/>
      <c r="C1520" s="25">
        <f>IF(D1520="","",D1520/48)</f>
        <v>0</v>
      </c>
      <c r="D1520" s="26">
        <f>IF(A1520="","",ROUND((A1520-cfgDefasagem/1440)*48,0))</f>
        <v>0</v>
      </c>
      <c r="E1520" s="26">
        <f>IF(D1520="","",INT((D1520-cfgDeslocamento)/4))</f>
        <v>0</v>
      </c>
      <c r="F1520" s="26">
        <f>IF(D1520="","",MOD(D1520-cfgDeslocamento,4)+1)</f>
        <v>0</v>
      </c>
      <c r="G1520" s="26">
        <f>IF(A1520="","",IF(AND(ISNUMBER(B1520),B1520&lt;&gt;0),1,0))</f>
        <v>0</v>
      </c>
      <c r="H1520" s="25">
        <f>IF(E1520="","",(E1520*4+3+cfgDeslocamento)/48)</f>
        <v>0</v>
      </c>
    </row>
    <row r="1521" spans="1:8">
      <c r="A1521" s="24"/>
      <c r="B1521" s="19"/>
      <c r="C1521" s="25">
        <f>IF(D1521="","",D1521/48)</f>
        <v>0</v>
      </c>
      <c r="D1521" s="26">
        <f>IF(A1521="","",ROUND((A1521-cfgDefasagem/1440)*48,0))</f>
        <v>0</v>
      </c>
      <c r="E1521" s="26">
        <f>IF(D1521="","",INT((D1521-cfgDeslocamento)/4))</f>
        <v>0</v>
      </c>
      <c r="F1521" s="26">
        <f>IF(D1521="","",MOD(D1521-cfgDeslocamento,4)+1)</f>
        <v>0</v>
      </c>
      <c r="G1521" s="26">
        <f>IF(A1521="","",IF(AND(ISNUMBER(B1521),B1521&lt;&gt;0),1,0))</f>
        <v>0</v>
      </c>
      <c r="H1521" s="25">
        <f>IF(E1521="","",(E1521*4+3+cfgDeslocamento)/48)</f>
        <v>0</v>
      </c>
    </row>
    <row r="1522" spans="1:8">
      <c r="A1522" s="24"/>
      <c r="B1522" s="19"/>
      <c r="C1522" s="25">
        <f>IF(D1522="","",D1522/48)</f>
        <v>0</v>
      </c>
      <c r="D1522" s="26">
        <f>IF(A1522="","",ROUND((A1522-cfgDefasagem/1440)*48,0))</f>
        <v>0</v>
      </c>
      <c r="E1522" s="26">
        <f>IF(D1522="","",INT((D1522-cfgDeslocamento)/4))</f>
        <v>0</v>
      </c>
      <c r="F1522" s="26">
        <f>IF(D1522="","",MOD(D1522-cfgDeslocamento,4)+1)</f>
        <v>0</v>
      </c>
      <c r="G1522" s="26">
        <f>IF(A1522="","",IF(AND(ISNUMBER(B1522),B1522&lt;&gt;0),1,0))</f>
        <v>0</v>
      </c>
      <c r="H1522" s="25">
        <f>IF(E1522="","",(E1522*4+3+cfgDeslocamento)/48)</f>
        <v>0</v>
      </c>
    </row>
    <row r="1523" spans="1:8">
      <c r="A1523" s="24"/>
      <c r="B1523" s="19"/>
      <c r="C1523" s="25">
        <f>IF(D1523="","",D1523/48)</f>
        <v>0</v>
      </c>
      <c r="D1523" s="26">
        <f>IF(A1523="","",ROUND((A1523-cfgDefasagem/1440)*48,0))</f>
        <v>0</v>
      </c>
      <c r="E1523" s="26">
        <f>IF(D1523="","",INT((D1523-cfgDeslocamento)/4))</f>
        <v>0</v>
      </c>
      <c r="F1523" s="26">
        <f>IF(D1523="","",MOD(D1523-cfgDeslocamento,4)+1)</f>
        <v>0</v>
      </c>
      <c r="G1523" s="26">
        <f>IF(A1523="","",IF(AND(ISNUMBER(B1523),B1523&lt;&gt;0),1,0))</f>
        <v>0</v>
      </c>
      <c r="H1523" s="25">
        <f>IF(E1523="","",(E1523*4+3+cfgDeslocamento)/48)</f>
        <v>0</v>
      </c>
    </row>
    <row r="1524" spans="1:8">
      <c r="A1524" s="24"/>
      <c r="B1524" s="19"/>
      <c r="C1524" s="25">
        <f>IF(D1524="","",D1524/48)</f>
        <v>0</v>
      </c>
      <c r="D1524" s="26">
        <f>IF(A1524="","",ROUND((A1524-cfgDefasagem/1440)*48,0))</f>
        <v>0</v>
      </c>
      <c r="E1524" s="26">
        <f>IF(D1524="","",INT((D1524-cfgDeslocamento)/4))</f>
        <v>0</v>
      </c>
      <c r="F1524" s="26">
        <f>IF(D1524="","",MOD(D1524-cfgDeslocamento,4)+1)</f>
        <v>0</v>
      </c>
      <c r="G1524" s="26">
        <f>IF(A1524="","",IF(AND(ISNUMBER(B1524),B1524&lt;&gt;0),1,0))</f>
        <v>0</v>
      </c>
      <c r="H1524" s="25">
        <f>IF(E1524="","",(E1524*4+3+cfgDeslocamento)/48)</f>
        <v>0</v>
      </c>
    </row>
    <row r="1525" spans="1:8">
      <c r="A1525" s="24"/>
      <c r="B1525" s="19"/>
      <c r="C1525" s="25">
        <f>IF(D1525="","",D1525/48)</f>
        <v>0</v>
      </c>
      <c r="D1525" s="26">
        <f>IF(A1525="","",ROUND((A1525-cfgDefasagem/1440)*48,0))</f>
        <v>0</v>
      </c>
      <c r="E1525" s="26">
        <f>IF(D1525="","",INT((D1525-cfgDeslocamento)/4))</f>
        <v>0</v>
      </c>
      <c r="F1525" s="26">
        <f>IF(D1525="","",MOD(D1525-cfgDeslocamento,4)+1)</f>
        <v>0</v>
      </c>
      <c r="G1525" s="26">
        <f>IF(A1525="","",IF(AND(ISNUMBER(B1525),B1525&lt;&gt;0),1,0))</f>
        <v>0</v>
      </c>
      <c r="H1525" s="25">
        <f>IF(E1525="","",(E1525*4+3+cfgDeslocamento)/48)</f>
        <v>0</v>
      </c>
    </row>
    <row r="1526" spans="1:8">
      <c r="A1526" s="24"/>
      <c r="B1526" s="19"/>
      <c r="C1526" s="25">
        <f>IF(D1526="","",D1526/48)</f>
        <v>0</v>
      </c>
      <c r="D1526" s="26">
        <f>IF(A1526="","",ROUND((A1526-cfgDefasagem/1440)*48,0))</f>
        <v>0</v>
      </c>
      <c r="E1526" s="26">
        <f>IF(D1526="","",INT((D1526-cfgDeslocamento)/4))</f>
        <v>0</v>
      </c>
      <c r="F1526" s="26">
        <f>IF(D1526="","",MOD(D1526-cfgDeslocamento,4)+1)</f>
        <v>0</v>
      </c>
      <c r="G1526" s="26">
        <f>IF(A1526="","",IF(AND(ISNUMBER(B1526),B1526&lt;&gt;0),1,0))</f>
        <v>0</v>
      </c>
      <c r="H1526" s="25">
        <f>IF(E1526="","",(E1526*4+3+cfgDeslocamento)/48)</f>
        <v>0</v>
      </c>
    </row>
    <row r="1527" spans="1:8">
      <c r="A1527" s="24"/>
      <c r="B1527" s="19"/>
      <c r="C1527" s="25">
        <f>IF(D1527="","",D1527/48)</f>
        <v>0</v>
      </c>
      <c r="D1527" s="26">
        <f>IF(A1527="","",ROUND((A1527-cfgDefasagem/1440)*48,0))</f>
        <v>0</v>
      </c>
      <c r="E1527" s="26">
        <f>IF(D1527="","",INT((D1527-cfgDeslocamento)/4))</f>
        <v>0</v>
      </c>
      <c r="F1527" s="26">
        <f>IF(D1527="","",MOD(D1527-cfgDeslocamento,4)+1)</f>
        <v>0</v>
      </c>
      <c r="G1527" s="26">
        <f>IF(A1527="","",IF(AND(ISNUMBER(B1527),B1527&lt;&gt;0),1,0))</f>
        <v>0</v>
      </c>
      <c r="H1527" s="25">
        <f>IF(E1527="","",(E1527*4+3+cfgDeslocamento)/48)</f>
        <v>0</v>
      </c>
    </row>
    <row r="1528" spans="1:8">
      <c r="A1528" s="24"/>
      <c r="B1528" s="19"/>
      <c r="C1528" s="25">
        <f>IF(D1528="","",D1528/48)</f>
        <v>0</v>
      </c>
      <c r="D1528" s="26">
        <f>IF(A1528="","",ROUND((A1528-cfgDefasagem/1440)*48,0))</f>
        <v>0</v>
      </c>
      <c r="E1528" s="26">
        <f>IF(D1528="","",INT((D1528-cfgDeslocamento)/4))</f>
        <v>0</v>
      </c>
      <c r="F1528" s="26">
        <f>IF(D1528="","",MOD(D1528-cfgDeslocamento,4)+1)</f>
        <v>0</v>
      </c>
      <c r="G1528" s="26">
        <f>IF(A1528="","",IF(AND(ISNUMBER(B1528),B1528&lt;&gt;0),1,0))</f>
        <v>0</v>
      </c>
      <c r="H1528" s="25">
        <f>IF(E1528="","",(E1528*4+3+cfgDeslocamento)/48)</f>
        <v>0</v>
      </c>
    </row>
    <row r="1529" spans="1:8">
      <c r="A1529" s="24"/>
      <c r="B1529" s="19"/>
      <c r="C1529" s="25">
        <f>IF(D1529="","",D1529/48)</f>
        <v>0</v>
      </c>
      <c r="D1529" s="26">
        <f>IF(A1529="","",ROUND((A1529-cfgDefasagem/1440)*48,0))</f>
        <v>0</v>
      </c>
      <c r="E1529" s="26">
        <f>IF(D1529="","",INT((D1529-cfgDeslocamento)/4))</f>
        <v>0</v>
      </c>
      <c r="F1529" s="26">
        <f>IF(D1529="","",MOD(D1529-cfgDeslocamento,4)+1)</f>
        <v>0</v>
      </c>
      <c r="G1529" s="26">
        <f>IF(A1529="","",IF(AND(ISNUMBER(B1529),B1529&lt;&gt;0),1,0))</f>
        <v>0</v>
      </c>
      <c r="H1529" s="25">
        <f>IF(E1529="","",(E1529*4+3+cfgDeslocamento)/48)</f>
        <v>0</v>
      </c>
    </row>
    <row r="1530" spans="1:8">
      <c r="A1530" s="24"/>
      <c r="B1530" s="19"/>
      <c r="C1530" s="25">
        <f>IF(D1530="","",D1530/48)</f>
        <v>0</v>
      </c>
      <c r="D1530" s="26">
        <f>IF(A1530="","",ROUND((A1530-cfgDefasagem/1440)*48,0))</f>
        <v>0</v>
      </c>
      <c r="E1530" s="26">
        <f>IF(D1530="","",INT((D1530-cfgDeslocamento)/4))</f>
        <v>0</v>
      </c>
      <c r="F1530" s="26">
        <f>IF(D1530="","",MOD(D1530-cfgDeslocamento,4)+1)</f>
        <v>0</v>
      </c>
      <c r="G1530" s="26">
        <f>IF(A1530="","",IF(AND(ISNUMBER(B1530),B1530&lt;&gt;0),1,0))</f>
        <v>0</v>
      </c>
      <c r="H1530" s="25">
        <f>IF(E1530="","",(E1530*4+3+cfgDeslocamento)/48)</f>
        <v>0</v>
      </c>
    </row>
    <row r="1531" spans="1:8">
      <c r="A1531" s="24"/>
      <c r="B1531" s="19"/>
      <c r="C1531" s="25">
        <f>IF(D1531="","",D1531/48)</f>
        <v>0</v>
      </c>
      <c r="D1531" s="26">
        <f>IF(A1531="","",ROUND((A1531-cfgDefasagem/1440)*48,0))</f>
        <v>0</v>
      </c>
      <c r="E1531" s="26">
        <f>IF(D1531="","",INT((D1531-cfgDeslocamento)/4))</f>
        <v>0</v>
      </c>
      <c r="F1531" s="26">
        <f>IF(D1531="","",MOD(D1531-cfgDeslocamento,4)+1)</f>
        <v>0</v>
      </c>
      <c r="G1531" s="26">
        <f>IF(A1531="","",IF(AND(ISNUMBER(B1531),B1531&lt;&gt;0),1,0))</f>
        <v>0</v>
      </c>
      <c r="H1531" s="25">
        <f>IF(E1531="","",(E1531*4+3+cfgDeslocamento)/48)</f>
        <v>0</v>
      </c>
    </row>
    <row r="1532" spans="1:8">
      <c r="A1532" s="24"/>
      <c r="B1532" s="19"/>
      <c r="C1532" s="25">
        <f>IF(D1532="","",D1532/48)</f>
        <v>0</v>
      </c>
      <c r="D1532" s="26">
        <f>IF(A1532="","",ROUND((A1532-cfgDefasagem/1440)*48,0))</f>
        <v>0</v>
      </c>
      <c r="E1532" s="26">
        <f>IF(D1532="","",INT((D1532-cfgDeslocamento)/4))</f>
        <v>0</v>
      </c>
      <c r="F1532" s="26">
        <f>IF(D1532="","",MOD(D1532-cfgDeslocamento,4)+1)</f>
        <v>0</v>
      </c>
      <c r="G1532" s="26">
        <f>IF(A1532="","",IF(AND(ISNUMBER(B1532),B1532&lt;&gt;0),1,0))</f>
        <v>0</v>
      </c>
      <c r="H1532" s="25">
        <f>IF(E1532="","",(E1532*4+3+cfgDeslocamento)/48)</f>
        <v>0</v>
      </c>
    </row>
    <row r="1533" spans="1:8">
      <c r="A1533" s="24"/>
      <c r="B1533" s="19"/>
      <c r="C1533" s="25">
        <f>IF(D1533="","",D1533/48)</f>
        <v>0</v>
      </c>
      <c r="D1533" s="26">
        <f>IF(A1533="","",ROUND((A1533-cfgDefasagem/1440)*48,0))</f>
        <v>0</v>
      </c>
      <c r="E1533" s="26">
        <f>IF(D1533="","",INT((D1533-cfgDeslocamento)/4))</f>
        <v>0</v>
      </c>
      <c r="F1533" s="26">
        <f>IF(D1533="","",MOD(D1533-cfgDeslocamento,4)+1)</f>
        <v>0</v>
      </c>
      <c r="G1533" s="26">
        <f>IF(A1533="","",IF(AND(ISNUMBER(B1533),B1533&lt;&gt;0),1,0))</f>
        <v>0</v>
      </c>
      <c r="H1533" s="25">
        <f>IF(E1533="","",(E1533*4+3+cfgDeslocamento)/48)</f>
        <v>0</v>
      </c>
    </row>
    <row r="1534" spans="1:8">
      <c r="A1534" s="24"/>
      <c r="B1534" s="19"/>
      <c r="C1534" s="25">
        <f>IF(D1534="","",D1534/48)</f>
        <v>0</v>
      </c>
      <c r="D1534" s="26">
        <f>IF(A1534="","",ROUND((A1534-cfgDefasagem/1440)*48,0))</f>
        <v>0</v>
      </c>
      <c r="E1534" s="26">
        <f>IF(D1534="","",INT((D1534-cfgDeslocamento)/4))</f>
        <v>0</v>
      </c>
      <c r="F1534" s="26">
        <f>IF(D1534="","",MOD(D1534-cfgDeslocamento,4)+1)</f>
        <v>0</v>
      </c>
      <c r="G1534" s="26">
        <f>IF(A1534="","",IF(AND(ISNUMBER(B1534),B1534&lt;&gt;0),1,0))</f>
        <v>0</v>
      </c>
      <c r="H1534" s="25">
        <f>IF(E1534="","",(E1534*4+3+cfgDeslocamento)/48)</f>
        <v>0</v>
      </c>
    </row>
    <row r="1535" spans="1:8">
      <c r="A1535" s="24"/>
      <c r="B1535" s="19"/>
      <c r="C1535" s="25">
        <f>IF(D1535="","",D1535/48)</f>
        <v>0</v>
      </c>
      <c r="D1535" s="26">
        <f>IF(A1535="","",ROUND((A1535-cfgDefasagem/1440)*48,0))</f>
        <v>0</v>
      </c>
      <c r="E1535" s="26">
        <f>IF(D1535="","",INT((D1535-cfgDeslocamento)/4))</f>
        <v>0</v>
      </c>
      <c r="F1535" s="26">
        <f>IF(D1535="","",MOD(D1535-cfgDeslocamento,4)+1)</f>
        <v>0</v>
      </c>
      <c r="G1535" s="26">
        <f>IF(A1535="","",IF(AND(ISNUMBER(B1535),B1535&lt;&gt;0),1,0))</f>
        <v>0</v>
      </c>
      <c r="H1535" s="25">
        <f>IF(E1535="","",(E1535*4+3+cfgDeslocamento)/48)</f>
        <v>0</v>
      </c>
    </row>
    <row r="1536" spans="1:8">
      <c r="A1536" s="24"/>
      <c r="B1536" s="19"/>
      <c r="C1536" s="25">
        <f>IF(D1536="","",D1536/48)</f>
        <v>0</v>
      </c>
      <c r="D1536" s="26">
        <f>IF(A1536="","",ROUND((A1536-cfgDefasagem/1440)*48,0))</f>
        <v>0</v>
      </c>
      <c r="E1536" s="26">
        <f>IF(D1536="","",INT((D1536-cfgDeslocamento)/4))</f>
        <v>0</v>
      </c>
      <c r="F1536" s="26">
        <f>IF(D1536="","",MOD(D1536-cfgDeslocamento,4)+1)</f>
        <v>0</v>
      </c>
      <c r="G1536" s="26">
        <f>IF(A1536="","",IF(AND(ISNUMBER(B1536),B1536&lt;&gt;0),1,0))</f>
        <v>0</v>
      </c>
      <c r="H1536" s="25">
        <f>IF(E1536="","",(E1536*4+3+cfgDeslocamento)/48)</f>
        <v>0</v>
      </c>
    </row>
    <row r="1537" spans="1:8">
      <c r="A1537" s="24"/>
      <c r="B1537" s="19"/>
      <c r="C1537" s="25">
        <f>IF(D1537="","",D1537/48)</f>
        <v>0</v>
      </c>
      <c r="D1537" s="26">
        <f>IF(A1537="","",ROUND((A1537-cfgDefasagem/1440)*48,0))</f>
        <v>0</v>
      </c>
      <c r="E1537" s="26">
        <f>IF(D1537="","",INT((D1537-cfgDeslocamento)/4))</f>
        <v>0</v>
      </c>
      <c r="F1537" s="26">
        <f>IF(D1537="","",MOD(D1537-cfgDeslocamento,4)+1)</f>
        <v>0</v>
      </c>
      <c r="G1537" s="26">
        <f>IF(A1537="","",IF(AND(ISNUMBER(B1537),B1537&lt;&gt;0),1,0))</f>
        <v>0</v>
      </c>
      <c r="H1537" s="25">
        <f>IF(E1537="","",(E1537*4+3+cfgDeslocamento)/48)</f>
        <v>0</v>
      </c>
    </row>
    <row r="1538" spans="1:8">
      <c r="A1538" s="24"/>
      <c r="B1538" s="19"/>
      <c r="C1538" s="25">
        <f>IF(D1538="","",D1538/48)</f>
        <v>0</v>
      </c>
      <c r="D1538" s="26">
        <f>IF(A1538="","",ROUND((A1538-cfgDefasagem/1440)*48,0))</f>
        <v>0</v>
      </c>
      <c r="E1538" s="26">
        <f>IF(D1538="","",INT((D1538-cfgDeslocamento)/4))</f>
        <v>0</v>
      </c>
      <c r="F1538" s="26">
        <f>IF(D1538="","",MOD(D1538-cfgDeslocamento,4)+1)</f>
        <v>0</v>
      </c>
      <c r="G1538" s="26">
        <f>IF(A1538="","",IF(AND(ISNUMBER(B1538),B1538&lt;&gt;0),1,0))</f>
        <v>0</v>
      </c>
      <c r="H1538" s="25">
        <f>IF(E1538="","",(E1538*4+3+cfgDeslocamento)/48)</f>
        <v>0</v>
      </c>
    </row>
    <row r="1539" spans="1:8">
      <c r="A1539" s="24"/>
      <c r="B1539" s="19"/>
      <c r="C1539" s="25">
        <f>IF(D1539="","",D1539/48)</f>
        <v>0</v>
      </c>
      <c r="D1539" s="26">
        <f>IF(A1539="","",ROUND((A1539-cfgDefasagem/1440)*48,0))</f>
        <v>0</v>
      </c>
      <c r="E1539" s="26">
        <f>IF(D1539="","",INT((D1539-cfgDeslocamento)/4))</f>
        <v>0</v>
      </c>
      <c r="F1539" s="26">
        <f>IF(D1539="","",MOD(D1539-cfgDeslocamento,4)+1)</f>
        <v>0</v>
      </c>
      <c r="G1539" s="26">
        <f>IF(A1539="","",IF(AND(ISNUMBER(B1539),B1539&lt;&gt;0),1,0))</f>
        <v>0</v>
      </c>
      <c r="H1539" s="25">
        <f>IF(E1539="","",(E1539*4+3+cfgDeslocamento)/48)</f>
        <v>0</v>
      </c>
    </row>
    <row r="1540" spans="1:8">
      <c r="A1540" s="24"/>
      <c r="B1540" s="19"/>
      <c r="C1540" s="25">
        <f>IF(D1540="","",D1540/48)</f>
        <v>0</v>
      </c>
      <c r="D1540" s="26">
        <f>IF(A1540="","",ROUND((A1540-cfgDefasagem/1440)*48,0))</f>
        <v>0</v>
      </c>
      <c r="E1540" s="26">
        <f>IF(D1540="","",INT((D1540-cfgDeslocamento)/4))</f>
        <v>0</v>
      </c>
      <c r="F1540" s="26">
        <f>IF(D1540="","",MOD(D1540-cfgDeslocamento,4)+1)</f>
        <v>0</v>
      </c>
      <c r="G1540" s="26">
        <f>IF(A1540="","",IF(AND(ISNUMBER(B1540),B1540&lt;&gt;0),1,0))</f>
        <v>0</v>
      </c>
      <c r="H1540" s="25">
        <f>IF(E1540="","",(E1540*4+3+cfgDeslocamento)/48)</f>
        <v>0</v>
      </c>
    </row>
    <row r="1541" spans="1:8">
      <c r="A1541" s="24"/>
      <c r="B1541" s="19"/>
      <c r="C1541" s="25">
        <f>IF(D1541="","",D1541/48)</f>
        <v>0</v>
      </c>
      <c r="D1541" s="26">
        <f>IF(A1541="","",ROUND((A1541-cfgDefasagem/1440)*48,0))</f>
        <v>0</v>
      </c>
      <c r="E1541" s="26">
        <f>IF(D1541="","",INT((D1541-cfgDeslocamento)/4))</f>
        <v>0</v>
      </c>
      <c r="F1541" s="26">
        <f>IF(D1541="","",MOD(D1541-cfgDeslocamento,4)+1)</f>
        <v>0</v>
      </c>
      <c r="G1541" s="26">
        <f>IF(A1541="","",IF(AND(ISNUMBER(B1541),B1541&lt;&gt;0),1,0))</f>
        <v>0</v>
      </c>
      <c r="H1541" s="25">
        <f>IF(E1541="","",(E1541*4+3+cfgDeslocamento)/48)</f>
        <v>0</v>
      </c>
    </row>
    <row r="1542" spans="1:8">
      <c r="A1542" s="24"/>
      <c r="B1542" s="19"/>
      <c r="C1542" s="25">
        <f>IF(D1542="","",D1542/48)</f>
        <v>0</v>
      </c>
      <c r="D1542" s="26">
        <f>IF(A1542="","",ROUND((A1542-cfgDefasagem/1440)*48,0))</f>
        <v>0</v>
      </c>
      <c r="E1542" s="26">
        <f>IF(D1542="","",INT((D1542-cfgDeslocamento)/4))</f>
        <v>0</v>
      </c>
      <c r="F1542" s="26">
        <f>IF(D1542="","",MOD(D1542-cfgDeslocamento,4)+1)</f>
        <v>0</v>
      </c>
      <c r="G1542" s="26">
        <f>IF(A1542="","",IF(AND(ISNUMBER(B1542),B1542&lt;&gt;0),1,0))</f>
        <v>0</v>
      </c>
      <c r="H1542" s="25">
        <f>IF(E1542="","",(E1542*4+3+cfgDeslocamento)/48)</f>
        <v>0</v>
      </c>
    </row>
    <row r="1543" spans="1:8">
      <c r="A1543" s="24"/>
      <c r="B1543" s="19"/>
      <c r="C1543" s="25">
        <f>IF(D1543="","",D1543/48)</f>
        <v>0</v>
      </c>
      <c r="D1543" s="26">
        <f>IF(A1543="","",ROUND((A1543-cfgDefasagem/1440)*48,0))</f>
        <v>0</v>
      </c>
      <c r="E1543" s="26">
        <f>IF(D1543="","",INT((D1543-cfgDeslocamento)/4))</f>
        <v>0</v>
      </c>
      <c r="F1543" s="26">
        <f>IF(D1543="","",MOD(D1543-cfgDeslocamento,4)+1)</f>
        <v>0</v>
      </c>
      <c r="G1543" s="26">
        <f>IF(A1543="","",IF(AND(ISNUMBER(B1543),B1543&lt;&gt;0),1,0))</f>
        <v>0</v>
      </c>
      <c r="H1543" s="25">
        <f>IF(E1543="","",(E1543*4+3+cfgDeslocamento)/48)</f>
        <v>0</v>
      </c>
    </row>
    <row r="1544" spans="1:8">
      <c r="A1544" s="24"/>
      <c r="B1544" s="19"/>
      <c r="C1544" s="25">
        <f>IF(D1544="","",D1544/48)</f>
        <v>0</v>
      </c>
      <c r="D1544" s="26">
        <f>IF(A1544="","",ROUND((A1544-cfgDefasagem/1440)*48,0))</f>
        <v>0</v>
      </c>
      <c r="E1544" s="26">
        <f>IF(D1544="","",INT((D1544-cfgDeslocamento)/4))</f>
        <v>0</v>
      </c>
      <c r="F1544" s="26">
        <f>IF(D1544="","",MOD(D1544-cfgDeslocamento,4)+1)</f>
        <v>0</v>
      </c>
      <c r="G1544" s="26">
        <f>IF(A1544="","",IF(AND(ISNUMBER(B1544),B1544&lt;&gt;0),1,0))</f>
        <v>0</v>
      </c>
      <c r="H1544" s="25">
        <f>IF(E1544="","",(E1544*4+3+cfgDeslocamento)/48)</f>
        <v>0</v>
      </c>
    </row>
    <row r="1545" spans="1:8">
      <c r="A1545" s="24"/>
      <c r="B1545" s="19"/>
      <c r="C1545" s="25">
        <f>IF(D1545="","",D1545/48)</f>
        <v>0</v>
      </c>
      <c r="D1545" s="26">
        <f>IF(A1545="","",ROUND((A1545-cfgDefasagem/1440)*48,0))</f>
        <v>0</v>
      </c>
      <c r="E1545" s="26">
        <f>IF(D1545="","",INT((D1545-cfgDeslocamento)/4))</f>
        <v>0</v>
      </c>
      <c r="F1545" s="26">
        <f>IF(D1545="","",MOD(D1545-cfgDeslocamento,4)+1)</f>
        <v>0</v>
      </c>
      <c r="G1545" s="26">
        <f>IF(A1545="","",IF(AND(ISNUMBER(B1545),B1545&lt;&gt;0),1,0))</f>
        <v>0</v>
      </c>
      <c r="H1545" s="25">
        <f>IF(E1545="","",(E1545*4+3+cfgDeslocamento)/48)</f>
        <v>0</v>
      </c>
    </row>
    <row r="1546" spans="1:8">
      <c r="A1546" s="24"/>
      <c r="B1546" s="19"/>
      <c r="C1546" s="25">
        <f>IF(D1546="","",D1546/48)</f>
        <v>0</v>
      </c>
      <c r="D1546" s="26">
        <f>IF(A1546="","",ROUND((A1546-cfgDefasagem/1440)*48,0))</f>
        <v>0</v>
      </c>
      <c r="E1546" s="26">
        <f>IF(D1546="","",INT((D1546-cfgDeslocamento)/4))</f>
        <v>0</v>
      </c>
      <c r="F1546" s="26">
        <f>IF(D1546="","",MOD(D1546-cfgDeslocamento,4)+1)</f>
        <v>0</v>
      </c>
      <c r="G1546" s="26">
        <f>IF(A1546="","",IF(AND(ISNUMBER(B1546),B1546&lt;&gt;0),1,0))</f>
        <v>0</v>
      </c>
      <c r="H1546" s="25">
        <f>IF(E1546="","",(E1546*4+3+cfgDeslocamento)/48)</f>
        <v>0</v>
      </c>
    </row>
    <row r="1547" spans="1:8">
      <c r="A1547" s="24"/>
      <c r="B1547" s="19"/>
      <c r="C1547" s="25">
        <f>IF(D1547="","",D1547/48)</f>
        <v>0</v>
      </c>
      <c r="D1547" s="26">
        <f>IF(A1547="","",ROUND((A1547-cfgDefasagem/1440)*48,0))</f>
        <v>0</v>
      </c>
      <c r="E1547" s="26">
        <f>IF(D1547="","",INT((D1547-cfgDeslocamento)/4))</f>
        <v>0</v>
      </c>
      <c r="F1547" s="26">
        <f>IF(D1547="","",MOD(D1547-cfgDeslocamento,4)+1)</f>
        <v>0</v>
      </c>
      <c r="G1547" s="26">
        <f>IF(A1547="","",IF(AND(ISNUMBER(B1547),B1547&lt;&gt;0),1,0))</f>
        <v>0</v>
      </c>
      <c r="H1547" s="25">
        <f>IF(E1547="","",(E1547*4+3+cfgDeslocamento)/48)</f>
        <v>0</v>
      </c>
    </row>
    <row r="1548" spans="1:8">
      <c r="A1548" s="24"/>
      <c r="B1548" s="19"/>
      <c r="C1548" s="25">
        <f>IF(D1548="","",D1548/48)</f>
        <v>0</v>
      </c>
      <c r="D1548" s="26">
        <f>IF(A1548="","",ROUND((A1548-cfgDefasagem/1440)*48,0))</f>
        <v>0</v>
      </c>
      <c r="E1548" s="26">
        <f>IF(D1548="","",INT((D1548-cfgDeslocamento)/4))</f>
        <v>0</v>
      </c>
      <c r="F1548" s="26">
        <f>IF(D1548="","",MOD(D1548-cfgDeslocamento,4)+1)</f>
        <v>0</v>
      </c>
      <c r="G1548" s="26">
        <f>IF(A1548="","",IF(AND(ISNUMBER(B1548),B1548&lt;&gt;0),1,0))</f>
        <v>0</v>
      </c>
      <c r="H1548" s="25">
        <f>IF(E1548="","",(E1548*4+3+cfgDeslocamento)/48)</f>
        <v>0</v>
      </c>
    </row>
    <row r="1549" spans="1:8">
      <c r="A1549" s="24"/>
      <c r="B1549" s="19"/>
      <c r="C1549" s="25">
        <f>IF(D1549="","",D1549/48)</f>
        <v>0</v>
      </c>
      <c r="D1549" s="26">
        <f>IF(A1549="","",ROUND((A1549-cfgDefasagem/1440)*48,0))</f>
        <v>0</v>
      </c>
      <c r="E1549" s="26">
        <f>IF(D1549="","",INT((D1549-cfgDeslocamento)/4))</f>
        <v>0</v>
      </c>
      <c r="F1549" s="26">
        <f>IF(D1549="","",MOD(D1549-cfgDeslocamento,4)+1)</f>
        <v>0</v>
      </c>
      <c r="G1549" s="26">
        <f>IF(A1549="","",IF(AND(ISNUMBER(B1549),B1549&lt;&gt;0),1,0))</f>
        <v>0</v>
      </c>
      <c r="H1549" s="25">
        <f>IF(E1549="","",(E1549*4+3+cfgDeslocamento)/48)</f>
        <v>0</v>
      </c>
    </row>
    <row r="1550" spans="1:8">
      <c r="A1550" s="24"/>
      <c r="B1550" s="19"/>
      <c r="C1550" s="25">
        <f>IF(D1550="","",D1550/48)</f>
        <v>0</v>
      </c>
      <c r="D1550" s="26">
        <f>IF(A1550="","",ROUND((A1550-cfgDefasagem/1440)*48,0))</f>
        <v>0</v>
      </c>
      <c r="E1550" s="26">
        <f>IF(D1550="","",INT((D1550-cfgDeslocamento)/4))</f>
        <v>0</v>
      </c>
      <c r="F1550" s="26">
        <f>IF(D1550="","",MOD(D1550-cfgDeslocamento,4)+1)</f>
        <v>0</v>
      </c>
      <c r="G1550" s="26">
        <f>IF(A1550="","",IF(AND(ISNUMBER(B1550),B1550&lt;&gt;0),1,0))</f>
        <v>0</v>
      </c>
      <c r="H1550" s="25">
        <f>IF(E1550="","",(E1550*4+3+cfgDeslocamento)/48)</f>
        <v>0</v>
      </c>
    </row>
    <row r="1551" spans="1:8">
      <c r="A1551" s="24"/>
      <c r="B1551" s="19"/>
      <c r="C1551" s="25">
        <f>IF(D1551="","",D1551/48)</f>
        <v>0</v>
      </c>
      <c r="D1551" s="26">
        <f>IF(A1551="","",ROUND((A1551-cfgDefasagem/1440)*48,0))</f>
        <v>0</v>
      </c>
      <c r="E1551" s="26">
        <f>IF(D1551="","",INT((D1551-cfgDeslocamento)/4))</f>
        <v>0</v>
      </c>
      <c r="F1551" s="26">
        <f>IF(D1551="","",MOD(D1551-cfgDeslocamento,4)+1)</f>
        <v>0</v>
      </c>
      <c r="G1551" s="26">
        <f>IF(A1551="","",IF(AND(ISNUMBER(B1551),B1551&lt;&gt;0),1,0))</f>
        <v>0</v>
      </c>
      <c r="H1551" s="25">
        <f>IF(E1551="","",(E1551*4+3+cfgDeslocamento)/48)</f>
        <v>0</v>
      </c>
    </row>
    <row r="1552" spans="1:8">
      <c r="A1552" s="24"/>
      <c r="B1552" s="19"/>
      <c r="C1552" s="25">
        <f>IF(D1552="","",D1552/48)</f>
        <v>0</v>
      </c>
      <c r="D1552" s="26">
        <f>IF(A1552="","",ROUND((A1552-cfgDefasagem/1440)*48,0))</f>
        <v>0</v>
      </c>
      <c r="E1552" s="26">
        <f>IF(D1552="","",INT((D1552-cfgDeslocamento)/4))</f>
        <v>0</v>
      </c>
      <c r="F1552" s="26">
        <f>IF(D1552="","",MOD(D1552-cfgDeslocamento,4)+1)</f>
        <v>0</v>
      </c>
      <c r="G1552" s="26">
        <f>IF(A1552="","",IF(AND(ISNUMBER(B1552),B1552&lt;&gt;0),1,0))</f>
        <v>0</v>
      </c>
      <c r="H1552" s="25">
        <f>IF(E1552="","",(E1552*4+3+cfgDeslocamento)/48)</f>
        <v>0</v>
      </c>
    </row>
    <row r="1553" spans="1:8">
      <c r="A1553" s="24"/>
      <c r="B1553" s="19"/>
      <c r="C1553" s="25">
        <f>IF(D1553="","",D1553/48)</f>
        <v>0</v>
      </c>
      <c r="D1553" s="26">
        <f>IF(A1553="","",ROUND((A1553-cfgDefasagem/1440)*48,0))</f>
        <v>0</v>
      </c>
      <c r="E1553" s="26">
        <f>IF(D1553="","",INT((D1553-cfgDeslocamento)/4))</f>
        <v>0</v>
      </c>
      <c r="F1553" s="26">
        <f>IF(D1553="","",MOD(D1553-cfgDeslocamento,4)+1)</f>
        <v>0</v>
      </c>
      <c r="G1553" s="26">
        <f>IF(A1553="","",IF(AND(ISNUMBER(B1553),B1553&lt;&gt;0),1,0))</f>
        <v>0</v>
      </c>
      <c r="H1553" s="25">
        <f>IF(E1553="","",(E1553*4+3+cfgDeslocamento)/48)</f>
        <v>0</v>
      </c>
    </row>
    <row r="1554" spans="1:8">
      <c r="A1554" s="24"/>
      <c r="B1554" s="19"/>
      <c r="C1554" s="25">
        <f>IF(D1554="","",D1554/48)</f>
        <v>0</v>
      </c>
      <c r="D1554" s="26">
        <f>IF(A1554="","",ROUND((A1554-cfgDefasagem/1440)*48,0))</f>
        <v>0</v>
      </c>
      <c r="E1554" s="26">
        <f>IF(D1554="","",INT((D1554-cfgDeslocamento)/4))</f>
        <v>0</v>
      </c>
      <c r="F1554" s="26">
        <f>IF(D1554="","",MOD(D1554-cfgDeslocamento,4)+1)</f>
        <v>0</v>
      </c>
      <c r="G1554" s="26">
        <f>IF(A1554="","",IF(AND(ISNUMBER(B1554),B1554&lt;&gt;0),1,0))</f>
        <v>0</v>
      </c>
      <c r="H1554" s="25">
        <f>IF(E1554="","",(E1554*4+3+cfgDeslocamento)/48)</f>
        <v>0</v>
      </c>
    </row>
    <row r="1555" spans="1:8">
      <c r="A1555" s="24"/>
      <c r="B1555" s="19"/>
      <c r="C1555" s="25">
        <f>IF(D1555="","",D1555/48)</f>
        <v>0</v>
      </c>
      <c r="D1555" s="26">
        <f>IF(A1555="","",ROUND((A1555-cfgDefasagem/1440)*48,0))</f>
        <v>0</v>
      </c>
      <c r="E1555" s="26">
        <f>IF(D1555="","",INT((D1555-cfgDeslocamento)/4))</f>
        <v>0</v>
      </c>
      <c r="F1555" s="26">
        <f>IF(D1555="","",MOD(D1555-cfgDeslocamento,4)+1)</f>
        <v>0</v>
      </c>
      <c r="G1555" s="26">
        <f>IF(A1555="","",IF(AND(ISNUMBER(B1555),B1555&lt;&gt;0),1,0))</f>
        <v>0</v>
      </c>
      <c r="H1555" s="25">
        <f>IF(E1555="","",(E1555*4+3+cfgDeslocamento)/48)</f>
        <v>0</v>
      </c>
    </row>
    <row r="1556" spans="1:8">
      <c r="A1556" s="24"/>
      <c r="B1556" s="19"/>
      <c r="C1556" s="25">
        <f>IF(D1556="","",D1556/48)</f>
        <v>0</v>
      </c>
      <c r="D1556" s="26">
        <f>IF(A1556="","",ROUND((A1556-cfgDefasagem/1440)*48,0))</f>
        <v>0</v>
      </c>
      <c r="E1556" s="26">
        <f>IF(D1556="","",INT((D1556-cfgDeslocamento)/4))</f>
        <v>0</v>
      </c>
      <c r="F1556" s="26">
        <f>IF(D1556="","",MOD(D1556-cfgDeslocamento,4)+1)</f>
        <v>0</v>
      </c>
      <c r="G1556" s="26">
        <f>IF(A1556="","",IF(AND(ISNUMBER(B1556),B1556&lt;&gt;0),1,0))</f>
        <v>0</v>
      </c>
      <c r="H1556" s="25">
        <f>IF(E1556="","",(E1556*4+3+cfgDeslocamento)/48)</f>
        <v>0</v>
      </c>
    </row>
    <row r="1557" spans="1:8">
      <c r="A1557" s="24"/>
      <c r="B1557" s="19"/>
      <c r="C1557" s="25">
        <f>IF(D1557="","",D1557/48)</f>
        <v>0</v>
      </c>
      <c r="D1557" s="26">
        <f>IF(A1557="","",ROUND((A1557-cfgDefasagem/1440)*48,0))</f>
        <v>0</v>
      </c>
      <c r="E1557" s="26">
        <f>IF(D1557="","",INT((D1557-cfgDeslocamento)/4))</f>
        <v>0</v>
      </c>
      <c r="F1557" s="26">
        <f>IF(D1557="","",MOD(D1557-cfgDeslocamento,4)+1)</f>
        <v>0</v>
      </c>
      <c r="G1557" s="26">
        <f>IF(A1557="","",IF(AND(ISNUMBER(B1557),B1557&lt;&gt;0),1,0))</f>
        <v>0</v>
      </c>
      <c r="H1557" s="25">
        <f>IF(E1557="","",(E1557*4+3+cfgDeslocamento)/48)</f>
        <v>0</v>
      </c>
    </row>
    <row r="1558" spans="1:8">
      <c r="A1558" s="24"/>
      <c r="B1558" s="19"/>
      <c r="C1558" s="25">
        <f>IF(D1558="","",D1558/48)</f>
        <v>0</v>
      </c>
      <c r="D1558" s="26">
        <f>IF(A1558="","",ROUND((A1558-cfgDefasagem/1440)*48,0))</f>
        <v>0</v>
      </c>
      <c r="E1558" s="26">
        <f>IF(D1558="","",INT((D1558-cfgDeslocamento)/4))</f>
        <v>0</v>
      </c>
      <c r="F1558" s="26">
        <f>IF(D1558="","",MOD(D1558-cfgDeslocamento,4)+1)</f>
        <v>0</v>
      </c>
      <c r="G1558" s="26">
        <f>IF(A1558="","",IF(AND(ISNUMBER(B1558),B1558&lt;&gt;0),1,0))</f>
        <v>0</v>
      </c>
      <c r="H1558" s="25">
        <f>IF(E1558="","",(E1558*4+3+cfgDeslocamento)/48)</f>
        <v>0</v>
      </c>
    </row>
    <row r="1559" spans="1:8">
      <c r="A1559" s="24"/>
      <c r="B1559" s="19"/>
      <c r="C1559" s="25">
        <f>IF(D1559="","",D1559/48)</f>
        <v>0</v>
      </c>
      <c r="D1559" s="26">
        <f>IF(A1559="","",ROUND((A1559-cfgDefasagem/1440)*48,0))</f>
        <v>0</v>
      </c>
      <c r="E1559" s="26">
        <f>IF(D1559="","",INT((D1559-cfgDeslocamento)/4))</f>
        <v>0</v>
      </c>
      <c r="F1559" s="26">
        <f>IF(D1559="","",MOD(D1559-cfgDeslocamento,4)+1)</f>
        <v>0</v>
      </c>
      <c r="G1559" s="26">
        <f>IF(A1559="","",IF(AND(ISNUMBER(B1559),B1559&lt;&gt;0),1,0))</f>
        <v>0</v>
      </c>
      <c r="H1559" s="25">
        <f>IF(E1559="","",(E1559*4+3+cfgDeslocamento)/48)</f>
        <v>0</v>
      </c>
    </row>
    <row r="1560" spans="1:8">
      <c r="A1560" s="24"/>
      <c r="B1560" s="19"/>
      <c r="C1560" s="25">
        <f>IF(D1560="","",D1560/48)</f>
        <v>0</v>
      </c>
      <c r="D1560" s="26">
        <f>IF(A1560="","",ROUND((A1560-cfgDefasagem/1440)*48,0))</f>
        <v>0</v>
      </c>
      <c r="E1560" s="26">
        <f>IF(D1560="","",INT((D1560-cfgDeslocamento)/4))</f>
        <v>0</v>
      </c>
      <c r="F1560" s="26">
        <f>IF(D1560="","",MOD(D1560-cfgDeslocamento,4)+1)</f>
        <v>0</v>
      </c>
      <c r="G1560" s="26">
        <f>IF(A1560="","",IF(AND(ISNUMBER(B1560),B1560&lt;&gt;0),1,0))</f>
        <v>0</v>
      </c>
      <c r="H1560" s="25">
        <f>IF(E1560="","",(E1560*4+3+cfgDeslocamento)/48)</f>
        <v>0</v>
      </c>
    </row>
    <row r="1561" spans="1:8">
      <c r="A1561" s="24"/>
      <c r="B1561" s="19"/>
      <c r="C1561" s="25">
        <f>IF(D1561="","",D1561/48)</f>
        <v>0</v>
      </c>
      <c r="D1561" s="26">
        <f>IF(A1561="","",ROUND((A1561-cfgDefasagem/1440)*48,0))</f>
        <v>0</v>
      </c>
      <c r="E1561" s="26">
        <f>IF(D1561="","",INT((D1561-cfgDeslocamento)/4))</f>
        <v>0</v>
      </c>
      <c r="F1561" s="26">
        <f>IF(D1561="","",MOD(D1561-cfgDeslocamento,4)+1)</f>
        <v>0</v>
      </c>
      <c r="G1561" s="26">
        <f>IF(A1561="","",IF(AND(ISNUMBER(B1561),B1561&lt;&gt;0),1,0))</f>
        <v>0</v>
      </c>
      <c r="H1561" s="25">
        <f>IF(E1561="","",(E1561*4+3+cfgDeslocamento)/48)</f>
        <v>0</v>
      </c>
    </row>
    <row r="1562" spans="1:8">
      <c r="A1562" s="24"/>
      <c r="B1562" s="19"/>
      <c r="C1562" s="25">
        <f>IF(D1562="","",D1562/48)</f>
        <v>0</v>
      </c>
      <c r="D1562" s="26">
        <f>IF(A1562="","",ROUND((A1562-cfgDefasagem/1440)*48,0))</f>
        <v>0</v>
      </c>
      <c r="E1562" s="26">
        <f>IF(D1562="","",INT((D1562-cfgDeslocamento)/4))</f>
        <v>0</v>
      </c>
      <c r="F1562" s="26">
        <f>IF(D1562="","",MOD(D1562-cfgDeslocamento,4)+1)</f>
        <v>0</v>
      </c>
      <c r="G1562" s="26">
        <f>IF(A1562="","",IF(AND(ISNUMBER(B1562),B1562&lt;&gt;0),1,0))</f>
        <v>0</v>
      </c>
      <c r="H1562" s="25">
        <f>IF(E1562="","",(E1562*4+3+cfgDeslocamento)/48)</f>
        <v>0</v>
      </c>
    </row>
    <row r="1563" spans="1:8">
      <c r="A1563" s="24"/>
      <c r="B1563" s="19"/>
      <c r="C1563" s="25">
        <f>IF(D1563="","",D1563/48)</f>
        <v>0</v>
      </c>
      <c r="D1563" s="26">
        <f>IF(A1563="","",ROUND((A1563-cfgDefasagem/1440)*48,0))</f>
        <v>0</v>
      </c>
      <c r="E1563" s="26">
        <f>IF(D1563="","",INT((D1563-cfgDeslocamento)/4))</f>
        <v>0</v>
      </c>
      <c r="F1563" s="26">
        <f>IF(D1563="","",MOD(D1563-cfgDeslocamento,4)+1)</f>
        <v>0</v>
      </c>
      <c r="G1563" s="26">
        <f>IF(A1563="","",IF(AND(ISNUMBER(B1563),B1563&lt;&gt;0),1,0))</f>
        <v>0</v>
      </c>
      <c r="H1563" s="25">
        <f>IF(E1563="","",(E1563*4+3+cfgDeslocamento)/48)</f>
        <v>0</v>
      </c>
    </row>
    <row r="1564" spans="1:8">
      <c r="A1564" s="24"/>
      <c r="B1564" s="19"/>
      <c r="C1564" s="25">
        <f>IF(D1564="","",D1564/48)</f>
        <v>0</v>
      </c>
      <c r="D1564" s="26">
        <f>IF(A1564="","",ROUND((A1564-cfgDefasagem/1440)*48,0))</f>
        <v>0</v>
      </c>
      <c r="E1564" s="26">
        <f>IF(D1564="","",INT((D1564-cfgDeslocamento)/4))</f>
        <v>0</v>
      </c>
      <c r="F1564" s="26">
        <f>IF(D1564="","",MOD(D1564-cfgDeslocamento,4)+1)</f>
        <v>0</v>
      </c>
      <c r="G1564" s="26">
        <f>IF(A1564="","",IF(AND(ISNUMBER(B1564),B1564&lt;&gt;0),1,0))</f>
        <v>0</v>
      </c>
      <c r="H1564" s="25">
        <f>IF(E1564="","",(E1564*4+3+cfgDeslocamento)/48)</f>
        <v>0</v>
      </c>
    </row>
    <row r="1565" spans="1:8">
      <c r="A1565" s="24"/>
      <c r="B1565" s="19"/>
      <c r="C1565" s="25">
        <f>IF(D1565="","",D1565/48)</f>
        <v>0</v>
      </c>
      <c r="D1565" s="26">
        <f>IF(A1565="","",ROUND((A1565-cfgDefasagem/1440)*48,0))</f>
        <v>0</v>
      </c>
      <c r="E1565" s="26">
        <f>IF(D1565="","",INT((D1565-cfgDeslocamento)/4))</f>
        <v>0</v>
      </c>
      <c r="F1565" s="26">
        <f>IF(D1565="","",MOD(D1565-cfgDeslocamento,4)+1)</f>
        <v>0</v>
      </c>
      <c r="G1565" s="26">
        <f>IF(A1565="","",IF(AND(ISNUMBER(B1565),B1565&lt;&gt;0),1,0))</f>
        <v>0</v>
      </c>
      <c r="H1565" s="25">
        <f>IF(E1565="","",(E1565*4+3+cfgDeslocamento)/48)</f>
        <v>0</v>
      </c>
    </row>
    <row r="1566" spans="1:8">
      <c r="A1566" s="24"/>
      <c r="B1566" s="19"/>
      <c r="C1566" s="25">
        <f>IF(D1566="","",D1566/48)</f>
        <v>0</v>
      </c>
      <c r="D1566" s="26">
        <f>IF(A1566="","",ROUND((A1566-cfgDefasagem/1440)*48,0))</f>
        <v>0</v>
      </c>
      <c r="E1566" s="26">
        <f>IF(D1566="","",INT((D1566-cfgDeslocamento)/4))</f>
        <v>0</v>
      </c>
      <c r="F1566" s="26">
        <f>IF(D1566="","",MOD(D1566-cfgDeslocamento,4)+1)</f>
        <v>0</v>
      </c>
      <c r="G1566" s="26">
        <f>IF(A1566="","",IF(AND(ISNUMBER(B1566),B1566&lt;&gt;0),1,0))</f>
        <v>0</v>
      </c>
      <c r="H1566" s="25">
        <f>IF(E1566="","",(E1566*4+3+cfgDeslocamento)/48)</f>
        <v>0</v>
      </c>
    </row>
    <row r="1567" spans="1:8">
      <c r="A1567" s="24"/>
      <c r="B1567" s="19"/>
      <c r="C1567" s="25">
        <f>IF(D1567="","",D1567/48)</f>
        <v>0</v>
      </c>
      <c r="D1567" s="26">
        <f>IF(A1567="","",ROUND((A1567-cfgDefasagem/1440)*48,0))</f>
        <v>0</v>
      </c>
      <c r="E1567" s="26">
        <f>IF(D1567="","",INT((D1567-cfgDeslocamento)/4))</f>
        <v>0</v>
      </c>
      <c r="F1567" s="26">
        <f>IF(D1567="","",MOD(D1567-cfgDeslocamento,4)+1)</f>
        <v>0</v>
      </c>
      <c r="G1567" s="26">
        <f>IF(A1567="","",IF(AND(ISNUMBER(B1567),B1567&lt;&gt;0),1,0))</f>
        <v>0</v>
      </c>
      <c r="H1567" s="25">
        <f>IF(E1567="","",(E1567*4+3+cfgDeslocamento)/48)</f>
        <v>0</v>
      </c>
    </row>
    <row r="1568" spans="1:8">
      <c r="A1568" s="24"/>
      <c r="B1568" s="19"/>
      <c r="C1568" s="25">
        <f>IF(D1568="","",D1568/48)</f>
        <v>0</v>
      </c>
      <c r="D1568" s="26">
        <f>IF(A1568="","",ROUND((A1568-cfgDefasagem/1440)*48,0))</f>
        <v>0</v>
      </c>
      <c r="E1568" s="26">
        <f>IF(D1568="","",INT((D1568-cfgDeslocamento)/4))</f>
        <v>0</v>
      </c>
      <c r="F1568" s="26">
        <f>IF(D1568="","",MOD(D1568-cfgDeslocamento,4)+1)</f>
        <v>0</v>
      </c>
      <c r="G1568" s="26">
        <f>IF(A1568="","",IF(AND(ISNUMBER(B1568),B1568&lt;&gt;0),1,0))</f>
        <v>0</v>
      </c>
      <c r="H1568" s="25">
        <f>IF(E1568="","",(E1568*4+3+cfgDeslocamento)/48)</f>
        <v>0</v>
      </c>
    </row>
    <row r="1569" spans="1:8">
      <c r="A1569" s="24"/>
      <c r="B1569" s="19"/>
      <c r="C1569" s="25">
        <f>IF(D1569="","",D1569/48)</f>
        <v>0</v>
      </c>
      <c r="D1569" s="26">
        <f>IF(A1569="","",ROUND((A1569-cfgDefasagem/1440)*48,0))</f>
        <v>0</v>
      </c>
      <c r="E1569" s="26">
        <f>IF(D1569="","",INT((D1569-cfgDeslocamento)/4))</f>
        <v>0</v>
      </c>
      <c r="F1569" s="26">
        <f>IF(D1569="","",MOD(D1569-cfgDeslocamento,4)+1)</f>
        <v>0</v>
      </c>
      <c r="G1569" s="26">
        <f>IF(A1569="","",IF(AND(ISNUMBER(B1569),B1569&lt;&gt;0),1,0))</f>
        <v>0</v>
      </c>
      <c r="H1569" s="25">
        <f>IF(E1569="","",(E1569*4+3+cfgDeslocamento)/48)</f>
        <v>0</v>
      </c>
    </row>
    <row r="1570" spans="1:8">
      <c r="A1570" s="24"/>
      <c r="B1570" s="19"/>
      <c r="C1570" s="25">
        <f>IF(D1570="","",D1570/48)</f>
        <v>0</v>
      </c>
      <c r="D1570" s="26">
        <f>IF(A1570="","",ROUND((A1570-cfgDefasagem/1440)*48,0))</f>
        <v>0</v>
      </c>
      <c r="E1570" s="26">
        <f>IF(D1570="","",INT((D1570-cfgDeslocamento)/4))</f>
        <v>0</v>
      </c>
      <c r="F1570" s="26">
        <f>IF(D1570="","",MOD(D1570-cfgDeslocamento,4)+1)</f>
        <v>0</v>
      </c>
      <c r="G1570" s="26">
        <f>IF(A1570="","",IF(AND(ISNUMBER(B1570),B1570&lt;&gt;0),1,0))</f>
        <v>0</v>
      </c>
      <c r="H1570" s="25">
        <f>IF(E1570="","",(E1570*4+3+cfgDeslocamento)/48)</f>
        <v>0</v>
      </c>
    </row>
    <row r="1571" spans="1:8">
      <c r="A1571" s="24"/>
      <c r="B1571" s="19"/>
      <c r="C1571" s="25">
        <f>IF(D1571="","",D1571/48)</f>
        <v>0</v>
      </c>
      <c r="D1571" s="26">
        <f>IF(A1571="","",ROUND((A1571-cfgDefasagem/1440)*48,0))</f>
        <v>0</v>
      </c>
      <c r="E1571" s="26">
        <f>IF(D1571="","",INT((D1571-cfgDeslocamento)/4))</f>
        <v>0</v>
      </c>
      <c r="F1571" s="26">
        <f>IF(D1571="","",MOD(D1571-cfgDeslocamento,4)+1)</f>
        <v>0</v>
      </c>
      <c r="G1571" s="26">
        <f>IF(A1571="","",IF(AND(ISNUMBER(B1571),B1571&lt;&gt;0),1,0))</f>
        <v>0</v>
      </c>
      <c r="H1571" s="25">
        <f>IF(E1571="","",(E1571*4+3+cfgDeslocamento)/48)</f>
        <v>0</v>
      </c>
    </row>
    <row r="1572" spans="1:8">
      <c r="A1572" s="24"/>
      <c r="B1572" s="19"/>
      <c r="C1572" s="25">
        <f>IF(D1572="","",D1572/48)</f>
        <v>0</v>
      </c>
      <c r="D1572" s="26">
        <f>IF(A1572="","",ROUND((A1572-cfgDefasagem/1440)*48,0))</f>
        <v>0</v>
      </c>
      <c r="E1572" s="26">
        <f>IF(D1572="","",INT((D1572-cfgDeslocamento)/4))</f>
        <v>0</v>
      </c>
      <c r="F1572" s="26">
        <f>IF(D1572="","",MOD(D1572-cfgDeslocamento,4)+1)</f>
        <v>0</v>
      </c>
      <c r="G1572" s="26">
        <f>IF(A1572="","",IF(AND(ISNUMBER(B1572),B1572&lt;&gt;0),1,0))</f>
        <v>0</v>
      </c>
      <c r="H1572" s="25">
        <f>IF(E1572="","",(E1572*4+3+cfgDeslocamento)/48)</f>
        <v>0</v>
      </c>
    </row>
    <row r="1573" spans="1:8">
      <c r="A1573" s="24"/>
      <c r="B1573" s="19"/>
      <c r="C1573" s="25">
        <f>IF(D1573="","",D1573/48)</f>
        <v>0</v>
      </c>
      <c r="D1573" s="26">
        <f>IF(A1573="","",ROUND((A1573-cfgDefasagem/1440)*48,0))</f>
        <v>0</v>
      </c>
      <c r="E1573" s="26">
        <f>IF(D1573="","",INT((D1573-cfgDeslocamento)/4))</f>
        <v>0</v>
      </c>
      <c r="F1573" s="26">
        <f>IF(D1573="","",MOD(D1573-cfgDeslocamento,4)+1)</f>
        <v>0</v>
      </c>
      <c r="G1573" s="26">
        <f>IF(A1573="","",IF(AND(ISNUMBER(B1573),B1573&lt;&gt;0),1,0))</f>
        <v>0</v>
      </c>
      <c r="H1573" s="25">
        <f>IF(E1573="","",(E1573*4+3+cfgDeslocamento)/48)</f>
        <v>0</v>
      </c>
    </row>
    <row r="1574" spans="1:8">
      <c r="A1574" s="24"/>
      <c r="B1574" s="19"/>
      <c r="C1574" s="25">
        <f>IF(D1574="","",D1574/48)</f>
        <v>0</v>
      </c>
      <c r="D1574" s="26">
        <f>IF(A1574="","",ROUND((A1574-cfgDefasagem/1440)*48,0))</f>
        <v>0</v>
      </c>
      <c r="E1574" s="26">
        <f>IF(D1574="","",INT((D1574-cfgDeslocamento)/4))</f>
        <v>0</v>
      </c>
      <c r="F1574" s="26">
        <f>IF(D1574="","",MOD(D1574-cfgDeslocamento,4)+1)</f>
        <v>0</v>
      </c>
      <c r="G1574" s="26">
        <f>IF(A1574="","",IF(AND(ISNUMBER(B1574),B1574&lt;&gt;0),1,0))</f>
        <v>0</v>
      </c>
      <c r="H1574" s="25">
        <f>IF(E1574="","",(E1574*4+3+cfgDeslocamento)/48)</f>
        <v>0</v>
      </c>
    </row>
    <row r="1575" spans="1:8">
      <c r="A1575" s="24"/>
      <c r="B1575" s="19"/>
      <c r="C1575" s="25">
        <f>IF(D1575="","",D1575/48)</f>
        <v>0</v>
      </c>
      <c r="D1575" s="26">
        <f>IF(A1575="","",ROUND((A1575-cfgDefasagem/1440)*48,0))</f>
        <v>0</v>
      </c>
      <c r="E1575" s="26">
        <f>IF(D1575="","",INT((D1575-cfgDeslocamento)/4))</f>
        <v>0</v>
      </c>
      <c r="F1575" s="26">
        <f>IF(D1575="","",MOD(D1575-cfgDeslocamento,4)+1)</f>
        <v>0</v>
      </c>
      <c r="G1575" s="26">
        <f>IF(A1575="","",IF(AND(ISNUMBER(B1575),B1575&lt;&gt;0),1,0))</f>
        <v>0</v>
      </c>
      <c r="H1575" s="25">
        <f>IF(E1575="","",(E1575*4+3+cfgDeslocamento)/48)</f>
        <v>0</v>
      </c>
    </row>
    <row r="1576" spans="1:8">
      <c r="A1576" s="24"/>
      <c r="B1576" s="19"/>
      <c r="C1576" s="25">
        <f>IF(D1576="","",D1576/48)</f>
        <v>0</v>
      </c>
      <c r="D1576" s="26">
        <f>IF(A1576="","",ROUND((A1576-cfgDefasagem/1440)*48,0))</f>
        <v>0</v>
      </c>
      <c r="E1576" s="26">
        <f>IF(D1576="","",INT((D1576-cfgDeslocamento)/4))</f>
        <v>0</v>
      </c>
      <c r="F1576" s="26">
        <f>IF(D1576="","",MOD(D1576-cfgDeslocamento,4)+1)</f>
        <v>0</v>
      </c>
      <c r="G1576" s="26">
        <f>IF(A1576="","",IF(AND(ISNUMBER(B1576),B1576&lt;&gt;0),1,0))</f>
        <v>0</v>
      </c>
      <c r="H1576" s="25">
        <f>IF(E1576="","",(E1576*4+3+cfgDeslocamento)/48)</f>
        <v>0</v>
      </c>
    </row>
    <row r="1577" spans="1:8">
      <c r="A1577" s="24"/>
      <c r="B1577" s="19"/>
      <c r="C1577" s="25">
        <f>IF(D1577="","",D1577/48)</f>
        <v>0</v>
      </c>
      <c r="D1577" s="26">
        <f>IF(A1577="","",ROUND((A1577-cfgDefasagem/1440)*48,0))</f>
        <v>0</v>
      </c>
      <c r="E1577" s="26">
        <f>IF(D1577="","",INT((D1577-cfgDeslocamento)/4))</f>
        <v>0</v>
      </c>
      <c r="F1577" s="26">
        <f>IF(D1577="","",MOD(D1577-cfgDeslocamento,4)+1)</f>
        <v>0</v>
      </c>
      <c r="G1577" s="26">
        <f>IF(A1577="","",IF(AND(ISNUMBER(B1577),B1577&lt;&gt;0),1,0))</f>
        <v>0</v>
      </c>
      <c r="H1577" s="25">
        <f>IF(E1577="","",(E1577*4+3+cfgDeslocamento)/48)</f>
        <v>0</v>
      </c>
    </row>
    <row r="1578" spans="1:8">
      <c r="A1578" s="24"/>
      <c r="B1578" s="19"/>
      <c r="C1578" s="25">
        <f>IF(D1578="","",D1578/48)</f>
        <v>0</v>
      </c>
      <c r="D1578" s="26">
        <f>IF(A1578="","",ROUND((A1578-cfgDefasagem/1440)*48,0))</f>
        <v>0</v>
      </c>
      <c r="E1578" s="26">
        <f>IF(D1578="","",INT((D1578-cfgDeslocamento)/4))</f>
        <v>0</v>
      </c>
      <c r="F1578" s="26">
        <f>IF(D1578="","",MOD(D1578-cfgDeslocamento,4)+1)</f>
        <v>0</v>
      </c>
      <c r="G1578" s="26">
        <f>IF(A1578="","",IF(AND(ISNUMBER(B1578),B1578&lt;&gt;0),1,0))</f>
        <v>0</v>
      </c>
      <c r="H1578" s="25">
        <f>IF(E1578="","",(E1578*4+3+cfgDeslocamento)/48)</f>
        <v>0</v>
      </c>
    </row>
    <row r="1579" spans="1:8">
      <c r="A1579" s="24"/>
      <c r="B1579" s="19"/>
      <c r="C1579" s="25">
        <f>IF(D1579="","",D1579/48)</f>
        <v>0</v>
      </c>
      <c r="D1579" s="26">
        <f>IF(A1579="","",ROUND((A1579-cfgDefasagem/1440)*48,0))</f>
        <v>0</v>
      </c>
      <c r="E1579" s="26">
        <f>IF(D1579="","",INT((D1579-cfgDeslocamento)/4))</f>
        <v>0</v>
      </c>
      <c r="F1579" s="26">
        <f>IF(D1579="","",MOD(D1579-cfgDeslocamento,4)+1)</f>
        <v>0</v>
      </c>
      <c r="G1579" s="26">
        <f>IF(A1579="","",IF(AND(ISNUMBER(B1579),B1579&lt;&gt;0),1,0))</f>
        <v>0</v>
      </c>
      <c r="H1579" s="25">
        <f>IF(E1579="","",(E1579*4+3+cfgDeslocamento)/48)</f>
        <v>0</v>
      </c>
    </row>
    <row r="1580" spans="1:8">
      <c r="A1580" s="24"/>
      <c r="B1580" s="19"/>
      <c r="C1580" s="25">
        <f>IF(D1580="","",D1580/48)</f>
        <v>0</v>
      </c>
      <c r="D1580" s="26">
        <f>IF(A1580="","",ROUND((A1580-cfgDefasagem/1440)*48,0))</f>
        <v>0</v>
      </c>
      <c r="E1580" s="26">
        <f>IF(D1580="","",INT((D1580-cfgDeslocamento)/4))</f>
        <v>0</v>
      </c>
      <c r="F1580" s="26">
        <f>IF(D1580="","",MOD(D1580-cfgDeslocamento,4)+1)</f>
        <v>0</v>
      </c>
      <c r="G1580" s="26">
        <f>IF(A1580="","",IF(AND(ISNUMBER(B1580),B1580&lt;&gt;0),1,0))</f>
        <v>0</v>
      </c>
      <c r="H1580" s="25">
        <f>IF(E1580="","",(E1580*4+3+cfgDeslocamento)/48)</f>
        <v>0</v>
      </c>
    </row>
    <row r="1581" spans="1:8">
      <c r="A1581" s="24"/>
      <c r="B1581" s="19"/>
      <c r="C1581" s="25">
        <f>IF(D1581="","",D1581/48)</f>
        <v>0</v>
      </c>
      <c r="D1581" s="26">
        <f>IF(A1581="","",ROUND((A1581-cfgDefasagem/1440)*48,0))</f>
        <v>0</v>
      </c>
      <c r="E1581" s="26">
        <f>IF(D1581="","",INT((D1581-cfgDeslocamento)/4))</f>
        <v>0</v>
      </c>
      <c r="F1581" s="26">
        <f>IF(D1581="","",MOD(D1581-cfgDeslocamento,4)+1)</f>
        <v>0</v>
      </c>
      <c r="G1581" s="26">
        <f>IF(A1581="","",IF(AND(ISNUMBER(B1581),B1581&lt;&gt;0),1,0))</f>
        <v>0</v>
      </c>
      <c r="H1581" s="25">
        <f>IF(E1581="","",(E1581*4+3+cfgDeslocamento)/48)</f>
        <v>0</v>
      </c>
    </row>
    <row r="1582" spans="1:8">
      <c r="A1582" s="24"/>
      <c r="B1582" s="19"/>
      <c r="C1582" s="25">
        <f>IF(D1582="","",D1582/48)</f>
        <v>0</v>
      </c>
      <c r="D1582" s="26">
        <f>IF(A1582="","",ROUND((A1582-cfgDefasagem/1440)*48,0))</f>
        <v>0</v>
      </c>
      <c r="E1582" s="26">
        <f>IF(D1582="","",INT((D1582-cfgDeslocamento)/4))</f>
        <v>0</v>
      </c>
      <c r="F1582" s="26">
        <f>IF(D1582="","",MOD(D1582-cfgDeslocamento,4)+1)</f>
        <v>0</v>
      </c>
      <c r="G1582" s="26">
        <f>IF(A1582="","",IF(AND(ISNUMBER(B1582),B1582&lt;&gt;0),1,0))</f>
        <v>0</v>
      </c>
      <c r="H1582" s="25">
        <f>IF(E1582="","",(E1582*4+3+cfgDeslocamento)/48)</f>
        <v>0</v>
      </c>
    </row>
    <row r="1583" spans="1:8">
      <c r="A1583" s="24"/>
      <c r="B1583" s="19"/>
      <c r="C1583" s="25">
        <f>IF(D1583="","",D1583/48)</f>
        <v>0</v>
      </c>
      <c r="D1583" s="26">
        <f>IF(A1583="","",ROUND((A1583-cfgDefasagem/1440)*48,0))</f>
        <v>0</v>
      </c>
      <c r="E1583" s="26">
        <f>IF(D1583="","",INT((D1583-cfgDeslocamento)/4))</f>
        <v>0</v>
      </c>
      <c r="F1583" s="26">
        <f>IF(D1583="","",MOD(D1583-cfgDeslocamento,4)+1)</f>
        <v>0</v>
      </c>
      <c r="G1583" s="26">
        <f>IF(A1583="","",IF(AND(ISNUMBER(B1583),B1583&lt;&gt;0),1,0))</f>
        <v>0</v>
      </c>
      <c r="H1583" s="25">
        <f>IF(E1583="","",(E1583*4+3+cfgDeslocamento)/48)</f>
        <v>0</v>
      </c>
    </row>
    <row r="1584" spans="1:8">
      <c r="A1584" s="24"/>
      <c r="B1584" s="19"/>
      <c r="C1584" s="25">
        <f>IF(D1584="","",D1584/48)</f>
        <v>0</v>
      </c>
      <c r="D1584" s="26">
        <f>IF(A1584="","",ROUND((A1584-cfgDefasagem/1440)*48,0))</f>
        <v>0</v>
      </c>
      <c r="E1584" s="26">
        <f>IF(D1584="","",INT((D1584-cfgDeslocamento)/4))</f>
        <v>0</v>
      </c>
      <c r="F1584" s="26">
        <f>IF(D1584="","",MOD(D1584-cfgDeslocamento,4)+1)</f>
        <v>0</v>
      </c>
      <c r="G1584" s="26">
        <f>IF(A1584="","",IF(AND(ISNUMBER(B1584),B1584&lt;&gt;0),1,0))</f>
        <v>0</v>
      </c>
      <c r="H1584" s="25">
        <f>IF(E1584="","",(E1584*4+3+cfgDeslocamento)/48)</f>
        <v>0</v>
      </c>
    </row>
    <row r="1585" spans="1:8">
      <c r="A1585" s="24"/>
      <c r="B1585" s="19"/>
      <c r="C1585" s="25">
        <f>IF(D1585="","",D1585/48)</f>
        <v>0</v>
      </c>
      <c r="D1585" s="26">
        <f>IF(A1585="","",ROUND((A1585-cfgDefasagem/1440)*48,0))</f>
        <v>0</v>
      </c>
      <c r="E1585" s="26">
        <f>IF(D1585="","",INT((D1585-cfgDeslocamento)/4))</f>
        <v>0</v>
      </c>
      <c r="F1585" s="26">
        <f>IF(D1585="","",MOD(D1585-cfgDeslocamento,4)+1)</f>
        <v>0</v>
      </c>
      <c r="G1585" s="26">
        <f>IF(A1585="","",IF(AND(ISNUMBER(B1585),B1585&lt;&gt;0),1,0))</f>
        <v>0</v>
      </c>
      <c r="H1585" s="25">
        <f>IF(E1585="","",(E1585*4+3+cfgDeslocamento)/48)</f>
        <v>0</v>
      </c>
    </row>
    <row r="1586" spans="1:8">
      <c r="A1586" s="24"/>
      <c r="B1586" s="19"/>
      <c r="C1586" s="25">
        <f>IF(D1586="","",D1586/48)</f>
        <v>0</v>
      </c>
      <c r="D1586" s="26">
        <f>IF(A1586="","",ROUND((A1586-cfgDefasagem/1440)*48,0))</f>
        <v>0</v>
      </c>
      <c r="E1586" s="26">
        <f>IF(D1586="","",INT((D1586-cfgDeslocamento)/4))</f>
        <v>0</v>
      </c>
      <c r="F1586" s="26">
        <f>IF(D1586="","",MOD(D1586-cfgDeslocamento,4)+1)</f>
        <v>0</v>
      </c>
      <c r="G1586" s="26">
        <f>IF(A1586="","",IF(AND(ISNUMBER(B1586),B1586&lt;&gt;0),1,0))</f>
        <v>0</v>
      </c>
      <c r="H1586" s="25">
        <f>IF(E1586="","",(E1586*4+3+cfgDeslocamento)/48)</f>
        <v>0</v>
      </c>
    </row>
    <row r="1587" spans="1:8">
      <c r="A1587" s="24"/>
      <c r="B1587" s="19"/>
      <c r="C1587" s="25">
        <f>IF(D1587="","",D1587/48)</f>
        <v>0</v>
      </c>
      <c r="D1587" s="26">
        <f>IF(A1587="","",ROUND((A1587-cfgDefasagem/1440)*48,0))</f>
        <v>0</v>
      </c>
      <c r="E1587" s="26">
        <f>IF(D1587="","",INT((D1587-cfgDeslocamento)/4))</f>
        <v>0</v>
      </c>
      <c r="F1587" s="26">
        <f>IF(D1587="","",MOD(D1587-cfgDeslocamento,4)+1)</f>
        <v>0</v>
      </c>
      <c r="G1587" s="26">
        <f>IF(A1587="","",IF(AND(ISNUMBER(B1587),B1587&lt;&gt;0),1,0))</f>
        <v>0</v>
      </c>
      <c r="H1587" s="25">
        <f>IF(E1587="","",(E1587*4+3+cfgDeslocamento)/48)</f>
        <v>0</v>
      </c>
    </row>
    <row r="1588" spans="1:8">
      <c r="A1588" s="24"/>
      <c r="B1588" s="19"/>
      <c r="C1588" s="25">
        <f>IF(D1588="","",D1588/48)</f>
        <v>0</v>
      </c>
      <c r="D1588" s="26">
        <f>IF(A1588="","",ROUND((A1588-cfgDefasagem/1440)*48,0))</f>
        <v>0</v>
      </c>
      <c r="E1588" s="26">
        <f>IF(D1588="","",INT((D1588-cfgDeslocamento)/4))</f>
        <v>0</v>
      </c>
      <c r="F1588" s="26">
        <f>IF(D1588="","",MOD(D1588-cfgDeslocamento,4)+1)</f>
        <v>0</v>
      </c>
      <c r="G1588" s="26">
        <f>IF(A1588="","",IF(AND(ISNUMBER(B1588),B1588&lt;&gt;0),1,0))</f>
        <v>0</v>
      </c>
      <c r="H1588" s="25">
        <f>IF(E1588="","",(E1588*4+3+cfgDeslocamento)/48)</f>
        <v>0</v>
      </c>
    </row>
    <row r="1589" spans="1:8">
      <c r="A1589" s="24"/>
      <c r="B1589" s="19"/>
      <c r="C1589" s="25">
        <f>IF(D1589="","",D1589/48)</f>
        <v>0</v>
      </c>
      <c r="D1589" s="26">
        <f>IF(A1589="","",ROUND((A1589-cfgDefasagem/1440)*48,0))</f>
        <v>0</v>
      </c>
      <c r="E1589" s="26">
        <f>IF(D1589="","",INT((D1589-cfgDeslocamento)/4))</f>
        <v>0</v>
      </c>
      <c r="F1589" s="26">
        <f>IF(D1589="","",MOD(D1589-cfgDeslocamento,4)+1)</f>
        <v>0</v>
      </c>
      <c r="G1589" s="26">
        <f>IF(A1589="","",IF(AND(ISNUMBER(B1589),B1589&lt;&gt;0),1,0))</f>
        <v>0</v>
      </c>
      <c r="H1589" s="25">
        <f>IF(E1589="","",(E1589*4+3+cfgDeslocamento)/48)</f>
        <v>0</v>
      </c>
    </row>
    <row r="1590" spans="1:8">
      <c r="A1590" s="24"/>
      <c r="B1590" s="19"/>
      <c r="C1590" s="25">
        <f>IF(D1590="","",D1590/48)</f>
        <v>0</v>
      </c>
      <c r="D1590" s="26">
        <f>IF(A1590="","",ROUND((A1590-cfgDefasagem/1440)*48,0))</f>
        <v>0</v>
      </c>
      <c r="E1590" s="26">
        <f>IF(D1590="","",INT((D1590-cfgDeslocamento)/4))</f>
        <v>0</v>
      </c>
      <c r="F1590" s="26">
        <f>IF(D1590="","",MOD(D1590-cfgDeslocamento,4)+1)</f>
        <v>0</v>
      </c>
      <c r="G1590" s="26">
        <f>IF(A1590="","",IF(AND(ISNUMBER(B1590),B1590&lt;&gt;0),1,0))</f>
        <v>0</v>
      </c>
      <c r="H1590" s="25">
        <f>IF(E1590="","",(E1590*4+3+cfgDeslocamento)/48)</f>
        <v>0</v>
      </c>
    </row>
    <row r="1591" spans="1:8">
      <c r="A1591" s="24"/>
      <c r="B1591" s="19"/>
      <c r="C1591" s="25">
        <f>IF(D1591="","",D1591/48)</f>
        <v>0</v>
      </c>
      <c r="D1591" s="26">
        <f>IF(A1591="","",ROUND((A1591-cfgDefasagem/1440)*48,0))</f>
        <v>0</v>
      </c>
      <c r="E1591" s="26">
        <f>IF(D1591="","",INT((D1591-cfgDeslocamento)/4))</f>
        <v>0</v>
      </c>
      <c r="F1591" s="26">
        <f>IF(D1591="","",MOD(D1591-cfgDeslocamento,4)+1)</f>
        <v>0</v>
      </c>
      <c r="G1591" s="26">
        <f>IF(A1591="","",IF(AND(ISNUMBER(B1591),B1591&lt;&gt;0),1,0))</f>
        <v>0</v>
      </c>
      <c r="H1591" s="25">
        <f>IF(E1591="","",(E1591*4+3+cfgDeslocamento)/48)</f>
        <v>0</v>
      </c>
    </row>
    <row r="1592" spans="1:8">
      <c r="A1592" s="24"/>
      <c r="B1592" s="19"/>
      <c r="C1592" s="25">
        <f>IF(D1592="","",D1592/48)</f>
        <v>0</v>
      </c>
      <c r="D1592" s="26">
        <f>IF(A1592="","",ROUND((A1592-cfgDefasagem/1440)*48,0))</f>
        <v>0</v>
      </c>
      <c r="E1592" s="26">
        <f>IF(D1592="","",INT((D1592-cfgDeslocamento)/4))</f>
        <v>0</v>
      </c>
      <c r="F1592" s="26">
        <f>IF(D1592="","",MOD(D1592-cfgDeslocamento,4)+1)</f>
        <v>0</v>
      </c>
      <c r="G1592" s="26">
        <f>IF(A1592="","",IF(AND(ISNUMBER(B1592),B1592&lt;&gt;0),1,0))</f>
        <v>0</v>
      </c>
      <c r="H1592" s="25">
        <f>IF(E1592="","",(E1592*4+3+cfgDeslocamento)/48)</f>
        <v>0</v>
      </c>
    </row>
    <row r="1593" spans="1:8">
      <c r="A1593" s="24"/>
      <c r="B1593" s="19"/>
      <c r="C1593" s="25">
        <f>IF(D1593="","",D1593/48)</f>
        <v>0</v>
      </c>
      <c r="D1593" s="26">
        <f>IF(A1593="","",ROUND((A1593-cfgDefasagem/1440)*48,0))</f>
        <v>0</v>
      </c>
      <c r="E1593" s="26">
        <f>IF(D1593="","",INT((D1593-cfgDeslocamento)/4))</f>
        <v>0</v>
      </c>
      <c r="F1593" s="26">
        <f>IF(D1593="","",MOD(D1593-cfgDeslocamento,4)+1)</f>
        <v>0</v>
      </c>
      <c r="G1593" s="26">
        <f>IF(A1593="","",IF(AND(ISNUMBER(B1593),B1593&lt;&gt;0),1,0))</f>
        <v>0</v>
      </c>
      <c r="H1593" s="25">
        <f>IF(E1593="","",(E1593*4+3+cfgDeslocamento)/48)</f>
        <v>0</v>
      </c>
    </row>
    <row r="1594" spans="1:8">
      <c r="A1594" s="24"/>
      <c r="B1594" s="19"/>
      <c r="C1594" s="25">
        <f>IF(D1594="","",D1594/48)</f>
        <v>0</v>
      </c>
      <c r="D1594" s="26">
        <f>IF(A1594="","",ROUND((A1594-cfgDefasagem/1440)*48,0))</f>
        <v>0</v>
      </c>
      <c r="E1594" s="26">
        <f>IF(D1594="","",INT((D1594-cfgDeslocamento)/4))</f>
        <v>0</v>
      </c>
      <c r="F1594" s="26">
        <f>IF(D1594="","",MOD(D1594-cfgDeslocamento,4)+1)</f>
        <v>0</v>
      </c>
      <c r="G1594" s="26">
        <f>IF(A1594="","",IF(AND(ISNUMBER(B1594),B1594&lt;&gt;0),1,0))</f>
        <v>0</v>
      </c>
      <c r="H1594" s="25">
        <f>IF(E1594="","",(E1594*4+3+cfgDeslocamento)/48)</f>
        <v>0</v>
      </c>
    </row>
    <row r="1595" spans="1:8">
      <c r="A1595" s="24"/>
      <c r="B1595" s="19"/>
      <c r="C1595" s="25">
        <f>IF(D1595="","",D1595/48)</f>
        <v>0</v>
      </c>
      <c r="D1595" s="26">
        <f>IF(A1595="","",ROUND((A1595-cfgDefasagem/1440)*48,0))</f>
        <v>0</v>
      </c>
      <c r="E1595" s="26">
        <f>IF(D1595="","",INT((D1595-cfgDeslocamento)/4))</f>
        <v>0</v>
      </c>
      <c r="F1595" s="26">
        <f>IF(D1595="","",MOD(D1595-cfgDeslocamento,4)+1)</f>
        <v>0</v>
      </c>
      <c r="G1595" s="26">
        <f>IF(A1595="","",IF(AND(ISNUMBER(B1595),B1595&lt;&gt;0),1,0))</f>
        <v>0</v>
      </c>
      <c r="H1595" s="25">
        <f>IF(E1595="","",(E1595*4+3+cfgDeslocamento)/48)</f>
        <v>0</v>
      </c>
    </row>
    <row r="1596" spans="1:8">
      <c r="A1596" s="24"/>
      <c r="B1596" s="19"/>
      <c r="C1596" s="25">
        <f>IF(D1596="","",D1596/48)</f>
        <v>0</v>
      </c>
      <c r="D1596" s="26">
        <f>IF(A1596="","",ROUND((A1596-cfgDefasagem/1440)*48,0))</f>
        <v>0</v>
      </c>
      <c r="E1596" s="26">
        <f>IF(D1596="","",INT((D1596-cfgDeslocamento)/4))</f>
        <v>0</v>
      </c>
      <c r="F1596" s="26">
        <f>IF(D1596="","",MOD(D1596-cfgDeslocamento,4)+1)</f>
        <v>0</v>
      </c>
      <c r="G1596" s="26">
        <f>IF(A1596="","",IF(AND(ISNUMBER(B1596),B1596&lt;&gt;0),1,0))</f>
        <v>0</v>
      </c>
      <c r="H1596" s="25">
        <f>IF(E1596="","",(E1596*4+3+cfgDeslocamento)/48)</f>
        <v>0</v>
      </c>
    </row>
    <row r="1597" spans="1:8">
      <c r="A1597" s="24"/>
      <c r="B1597" s="19"/>
      <c r="C1597" s="25">
        <f>IF(D1597="","",D1597/48)</f>
        <v>0</v>
      </c>
      <c r="D1597" s="26">
        <f>IF(A1597="","",ROUND((A1597-cfgDefasagem/1440)*48,0))</f>
        <v>0</v>
      </c>
      <c r="E1597" s="26">
        <f>IF(D1597="","",INT((D1597-cfgDeslocamento)/4))</f>
        <v>0</v>
      </c>
      <c r="F1597" s="26">
        <f>IF(D1597="","",MOD(D1597-cfgDeslocamento,4)+1)</f>
        <v>0</v>
      </c>
      <c r="G1597" s="26">
        <f>IF(A1597="","",IF(AND(ISNUMBER(B1597),B1597&lt;&gt;0),1,0))</f>
        <v>0</v>
      </c>
      <c r="H1597" s="25">
        <f>IF(E1597="","",(E1597*4+3+cfgDeslocamento)/48)</f>
        <v>0</v>
      </c>
    </row>
    <row r="1598" spans="1:8">
      <c r="A1598" s="24"/>
      <c r="B1598" s="19"/>
      <c r="C1598" s="25">
        <f>IF(D1598="","",D1598/48)</f>
        <v>0</v>
      </c>
      <c r="D1598" s="26">
        <f>IF(A1598="","",ROUND((A1598-cfgDefasagem/1440)*48,0))</f>
        <v>0</v>
      </c>
      <c r="E1598" s="26">
        <f>IF(D1598="","",INT((D1598-cfgDeslocamento)/4))</f>
        <v>0</v>
      </c>
      <c r="F1598" s="26">
        <f>IF(D1598="","",MOD(D1598-cfgDeslocamento,4)+1)</f>
        <v>0</v>
      </c>
      <c r="G1598" s="26">
        <f>IF(A1598="","",IF(AND(ISNUMBER(B1598),B1598&lt;&gt;0),1,0))</f>
        <v>0</v>
      </c>
      <c r="H1598" s="25">
        <f>IF(E1598="","",(E1598*4+3+cfgDeslocamento)/48)</f>
        <v>0</v>
      </c>
    </row>
    <row r="1599" spans="1:8">
      <c r="A1599" s="24"/>
      <c r="B1599" s="19"/>
      <c r="C1599" s="25">
        <f>IF(D1599="","",D1599/48)</f>
        <v>0</v>
      </c>
      <c r="D1599" s="26">
        <f>IF(A1599="","",ROUND((A1599-cfgDefasagem/1440)*48,0))</f>
        <v>0</v>
      </c>
      <c r="E1599" s="26">
        <f>IF(D1599="","",INT((D1599-cfgDeslocamento)/4))</f>
        <v>0</v>
      </c>
      <c r="F1599" s="26">
        <f>IF(D1599="","",MOD(D1599-cfgDeslocamento,4)+1)</f>
        <v>0</v>
      </c>
      <c r="G1599" s="26">
        <f>IF(A1599="","",IF(AND(ISNUMBER(B1599),B1599&lt;&gt;0),1,0))</f>
        <v>0</v>
      </c>
      <c r="H1599" s="25">
        <f>IF(E1599="","",(E1599*4+3+cfgDeslocamento)/48)</f>
        <v>0</v>
      </c>
    </row>
    <row r="1600" spans="1:8">
      <c r="A1600" s="24"/>
      <c r="B1600" s="19"/>
      <c r="C1600" s="25">
        <f>IF(D1600="","",D1600/48)</f>
        <v>0</v>
      </c>
      <c r="D1600" s="26">
        <f>IF(A1600="","",ROUND((A1600-cfgDefasagem/1440)*48,0))</f>
        <v>0</v>
      </c>
      <c r="E1600" s="26">
        <f>IF(D1600="","",INT((D1600-cfgDeslocamento)/4))</f>
        <v>0</v>
      </c>
      <c r="F1600" s="26">
        <f>IF(D1600="","",MOD(D1600-cfgDeslocamento,4)+1)</f>
        <v>0</v>
      </c>
      <c r="G1600" s="26">
        <f>IF(A1600="","",IF(AND(ISNUMBER(B1600),B1600&lt;&gt;0),1,0))</f>
        <v>0</v>
      </c>
      <c r="H1600" s="25">
        <f>IF(E1600="","",(E1600*4+3+cfgDeslocamento)/48)</f>
        <v>0</v>
      </c>
    </row>
    <row r="1601" spans="1:8">
      <c r="A1601" s="24"/>
      <c r="B1601" s="19"/>
      <c r="C1601" s="25">
        <f>IF(D1601="","",D1601/48)</f>
        <v>0</v>
      </c>
      <c r="D1601" s="26">
        <f>IF(A1601="","",ROUND((A1601-cfgDefasagem/1440)*48,0))</f>
        <v>0</v>
      </c>
      <c r="E1601" s="26">
        <f>IF(D1601="","",INT((D1601-cfgDeslocamento)/4))</f>
        <v>0</v>
      </c>
      <c r="F1601" s="26">
        <f>IF(D1601="","",MOD(D1601-cfgDeslocamento,4)+1)</f>
        <v>0</v>
      </c>
      <c r="G1601" s="26">
        <f>IF(A1601="","",IF(AND(ISNUMBER(B1601),B1601&lt;&gt;0),1,0))</f>
        <v>0</v>
      </c>
      <c r="H1601" s="25">
        <f>IF(E1601="","",(E1601*4+3+cfgDeslocamento)/48)</f>
        <v>0</v>
      </c>
    </row>
    <row r="1602" spans="1:8">
      <c r="A1602" s="24"/>
      <c r="B1602" s="19"/>
      <c r="C1602" s="25">
        <f>IF(D1602="","",D1602/48)</f>
        <v>0</v>
      </c>
      <c r="D1602" s="26">
        <f>IF(A1602="","",ROUND((A1602-cfgDefasagem/1440)*48,0))</f>
        <v>0</v>
      </c>
      <c r="E1602" s="26">
        <f>IF(D1602="","",INT((D1602-cfgDeslocamento)/4))</f>
        <v>0</v>
      </c>
      <c r="F1602" s="26">
        <f>IF(D1602="","",MOD(D1602-cfgDeslocamento,4)+1)</f>
        <v>0</v>
      </c>
      <c r="G1602" s="26">
        <f>IF(A1602="","",IF(AND(ISNUMBER(B1602),B1602&lt;&gt;0),1,0))</f>
        <v>0</v>
      </c>
      <c r="H1602" s="25">
        <f>IF(E1602="","",(E1602*4+3+cfgDeslocamento)/48)</f>
        <v>0</v>
      </c>
    </row>
    <row r="1603" spans="1:8">
      <c r="A1603" s="24"/>
      <c r="B1603" s="19"/>
      <c r="C1603" s="25">
        <f>IF(D1603="","",D1603/48)</f>
        <v>0</v>
      </c>
      <c r="D1603" s="26">
        <f>IF(A1603="","",ROUND((A1603-cfgDefasagem/1440)*48,0))</f>
        <v>0</v>
      </c>
      <c r="E1603" s="26">
        <f>IF(D1603="","",INT((D1603-cfgDeslocamento)/4))</f>
        <v>0</v>
      </c>
      <c r="F1603" s="26">
        <f>IF(D1603="","",MOD(D1603-cfgDeslocamento,4)+1)</f>
        <v>0</v>
      </c>
      <c r="G1603" s="26">
        <f>IF(A1603="","",IF(AND(ISNUMBER(B1603),B1603&lt;&gt;0),1,0))</f>
        <v>0</v>
      </c>
      <c r="H1603" s="25">
        <f>IF(E1603="","",(E1603*4+3+cfgDeslocamento)/48)</f>
        <v>0</v>
      </c>
    </row>
    <row r="1604" spans="1:8">
      <c r="A1604" s="24"/>
      <c r="B1604" s="19"/>
      <c r="C1604" s="25">
        <f>IF(D1604="","",D1604/48)</f>
        <v>0</v>
      </c>
      <c r="D1604" s="26">
        <f>IF(A1604="","",ROUND((A1604-cfgDefasagem/1440)*48,0))</f>
        <v>0</v>
      </c>
      <c r="E1604" s="26">
        <f>IF(D1604="","",INT((D1604-cfgDeslocamento)/4))</f>
        <v>0</v>
      </c>
      <c r="F1604" s="26">
        <f>IF(D1604="","",MOD(D1604-cfgDeslocamento,4)+1)</f>
        <v>0</v>
      </c>
      <c r="G1604" s="26">
        <f>IF(A1604="","",IF(AND(ISNUMBER(B1604),B1604&lt;&gt;0),1,0))</f>
        <v>0</v>
      </c>
      <c r="H1604" s="25">
        <f>IF(E1604="","",(E1604*4+3+cfgDeslocamento)/48)</f>
        <v>0</v>
      </c>
    </row>
    <row r="1605" spans="1:8">
      <c r="A1605" s="24"/>
      <c r="B1605" s="19"/>
      <c r="C1605" s="25">
        <f>IF(D1605="","",D1605/48)</f>
        <v>0</v>
      </c>
      <c r="D1605" s="26">
        <f>IF(A1605="","",ROUND((A1605-cfgDefasagem/1440)*48,0))</f>
        <v>0</v>
      </c>
      <c r="E1605" s="26">
        <f>IF(D1605="","",INT((D1605-cfgDeslocamento)/4))</f>
        <v>0</v>
      </c>
      <c r="F1605" s="26">
        <f>IF(D1605="","",MOD(D1605-cfgDeslocamento,4)+1)</f>
        <v>0</v>
      </c>
      <c r="G1605" s="26">
        <f>IF(A1605="","",IF(AND(ISNUMBER(B1605),B1605&lt;&gt;0),1,0))</f>
        <v>0</v>
      </c>
      <c r="H1605" s="25">
        <f>IF(E1605="","",(E1605*4+3+cfgDeslocamento)/48)</f>
        <v>0</v>
      </c>
    </row>
    <row r="1606" spans="1:8">
      <c r="A1606" s="24"/>
      <c r="B1606" s="19"/>
      <c r="C1606" s="25">
        <f>IF(D1606="","",D1606/48)</f>
        <v>0</v>
      </c>
      <c r="D1606" s="26">
        <f>IF(A1606="","",ROUND((A1606-cfgDefasagem/1440)*48,0))</f>
        <v>0</v>
      </c>
      <c r="E1606" s="26">
        <f>IF(D1606="","",INT((D1606-cfgDeslocamento)/4))</f>
        <v>0</v>
      </c>
      <c r="F1606" s="26">
        <f>IF(D1606="","",MOD(D1606-cfgDeslocamento,4)+1)</f>
        <v>0</v>
      </c>
      <c r="G1606" s="26">
        <f>IF(A1606="","",IF(AND(ISNUMBER(B1606),B1606&lt;&gt;0),1,0))</f>
        <v>0</v>
      </c>
      <c r="H1606" s="25">
        <f>IF(E1606="","",(E1606*4+3+cfgDeslocamento)/48)</f>
        <v>0</v>
      </c>
    </row>
    <row r="1607" spans="1:8">
      <c r="A1607" s="24"/>
      <c r="B1607" s="19"/>
      <c r="C1607" s="25">
        <f>IF(D1607="","",D1607/48)</f>
        <v>0</v>
      </c>
      <c r="D1607" s="26">
        <f>IF(A1607="","",ROUND((A1607-cfgDefasagem/1440)*48,0))</f>
        <v>0</v>
      </c>
      <c r="E1607" s="26">
        <f>IF(D1607="","",INT((D1607-cfgDeslocamento)/4))</f>
        <v>0</v>
      </c>
      <c r="F1607" s="26">
        <f>IF(D1607="","",MOD(D1607-cfgDeslocamento,4)+1)</f>
        <v>0</v>
      </c>
      <c r="G1607" s="26">
        <f>IF(A1607="","",IF(AND(ISNUMBER(B1607),B1607&lt;&gt;0),1,0))</f>
        <v>0</v>
      </c>
      <c r="H1607" s="25">
        <f>IF(E1607="","",(E1607*4+3+cfgDeslocamento)/48)</f>
        <v>0</v>
      </c>
    </row>
    <row r="1608" spans="1:8">
      <c r="A1608" s="24"/>
      <c r="B1608" s="19"/>
      <c r="C1608" s="25">
        <f>IF(D1608="","",D1608/48)</f>
        <v>0</v>
      </c>
      <c r="D1608" s="26">
        <f>IF(A1608="","",ROUND((A1608-cfgDefasagem/1440)*48,0))</f>
        <v>0</v>
      </c>
      <c r="E1608" s="26">
        <f>IF(D1608="","",INT((D1608-cfgDeslocamento)/4))</f>
        <v>0</v>
      </c>
      <c r="F1608" s="26">
        <f>IF(D1608="","",MOD(D1608-cfgDeslocamento,4)+1)</f>
        <v>0</v>
      </c>
      <c r="G1608" s="26">
        <f>IF(A1608="","",IF(AND(ISNUMBER(B1608),B1608&lt;&gt;0),1,0))</f>
        <v>0</v>
      </c>
      <c r="H1608" s="25">
        <f>IF(E1608="","",(E1608*4+3+cfgDeslocamento)/48)</f>
        <v>0</v>
      </c>
    </row>
    <row r="1609" spans="1:8">
      <c r="A1609" s="24"/>
      <c r="B1609" s="19"/>
      <c r="C1609" s="25">
        <f>IF(D1609="","",D1609/48)</f>
        <v>0</v>
      </c>
      <c r="D1609" s="26">
        <f>IF(A1609="","",ROUND((A1609-cfgDefasagem/1440)*48,0))</f>
        <v>0</v>
      </c>
      <c r="E1609" s="26">
        <f>IF(D1609="","",INT((D1609-cfgDeslocamento)/4))</f>
        <v>0</v>
      </c>
      <c r="F1609" s="26">
        <f>IF(D1609="","",MOD(D1609-cfgDeslocamento,4)+1)</f>
        <v>0</v>
      </c>
      <c r="G1609" s="26">
        <f>IF(A1609="","",IF(AND(ISNUMBER(B1609),B1609&lt;&gt;0),1,0))</f>
        <v>0</v>
      </c>
      <c r="H1609" s="25">
        <f>IF(E1609="","",(E1609*4+3+cfgDeslocamento)/48)</f>
        <v>0</v>
      </c>
    </row>
    <row r="1610" spans="1:8">
      <c r="A1610" s="24"/>
      <c r="B1610" s="19"/>
      <c r="C1610" s="25">
        <f>IF(D1610="","",D1610/48)</f>
        <v>0</v>
      </c>
      <c r="D1610" s="26">
        <f>IF(A1610="","",ROUND((A1610-cfgDefasagem/1440)*48,0))</f>
        <v>0</v>
      </c>
      <c r="E1610" s="26">
        <f>IF(D1610="","",INT((D1610-cfgDeslocamento)/4))</f>
        <v>0</v>
      </c>
      <c r="F1610" s="26">
        <f>IF(D1610="","",MOD(D1610-cfgDeslocamento,4)+1)</f>
        <v>0</v>
      </c>
      <c r="G1610" s="26">
        <f>IF(A1610="","",IF(AND(ISNUMBER(B1610),B1610&lt;&gt;0),1,0))</f>
        <v>0</v>
      </c>
      <c r="H1610" s="25">
        <f>IF(E1610="","",(E1610*4+3+cfgDeslocamento)/48)</f>
        <v>0</v>
      </c>
    </row>
    <row r="1611" spans="1:8">
      <c r="A1611" s="24"/>
      <c r="B1611" s="19"/>
      <c r="C1611" s="25">
        <f>IF(D1611="","",D1611/48)</f>
        <v>0</v>
      </c>
      <c r="D1611" s="26">
        <f>IF(A1611="","",ROUND((A1611-cfgDefasagem/1440)*48,0))</f>
        <v>0</v>
      </c>
      <c r="E1611" s="26">
        <f>IF(D1611="","",INT((D1611-cfgDeslocamento)/4))</f>
        <v>0</v>
      </c>
      <c r="F1611" s="26">
        <f>IF(D1611="","",MOD(D1611-cfgDeslocamento,4)+1)</f>
        <v>0</v>
      </c>
      <c r="G1611" s="26">
        <f>IF(A1611="","",IF(AND(ISNUMBER(B1611),B1611&lt;&gt;0),1,0))</f>
        <v>0</v>
      </c>
      <c r="H1611" s="25">
        <f>IF(E1611="","",(E1611*4+3+cfgDeslocamento)/48)</f>
        <v>0</v>
      </c>
    </row>
    <row r="1612" spans="1:8">
      <c r="A1612" s="24"/>
      <c r="B1612" s="19"/>
      <c r="C1612" s="25">
        <f>IF(D1612="","",D1612/48)</f>
        <v>0</v>
      </c>
      <c r="D1612" s="26">
        <f>IF(A1612="","",ROUND((A1612-cfgDefasagem/1440)*48,0))</f>
        <v>0</v>
      </c>
      <c r="E1612" s="26">
        <f>IF(D1612="","",INT((D1612-cfgDeslocamento)/4))</f>
        <v>0</v>
      </c>
      <c r="F1612" s="26">
        <f>IF(D1612="","",MOD(D1612-cfgDeslocamento,4)+1)</f>
        <v>0</v>
      </c>
      <c r="G1612" s="26">
        <f>IF(A1612="","",IF(AND(ISNUMBER(B1612),B1612&lt;&gt;0),1,0))</f>
        <v>0</v>
      </c>
      <c r="H1612" s="25">
        <f>IF(E1612="","",(E1612*4+3+cfgDeslocamento)/48)</f>
        <v>0</v>
      </c>
    </row>
    <row r="1613" spans="1:8">
      <c r="A1613" s="24"/>
      <c r="B1613" s="19"/>
      <c r="C1613" s="25">
        <f>IF(D1613="","",D1613/48)</f>
        <v>0</v>
      </c>
      <c r="D1613" s="26">
        <f>IF(A1613="","",ROUND((A1613-cfgDefasagem/1440)*48,0))</f>
        <v>0</v>
      </c>
      <c r="E1613" s="26">
        <f>IF(D1613="","",INT((D1613-cfgDeslocamento)/4))</f>
        <v>0</v>
      </c>
      <c r="F1613" s="26">
        <f>IF(D1613="","",MOD(D1613-cfgDeslocamento,4)+1)</f>
        <v>0</v>
      </c>
      <c r="G1613" s="26">
        <f>IF(A1613="","",IF(AND(ISNUMBER(B1613),B1613&lt;&gt;0),1,0))</f>
        <v>0</v>
      </c>
      <c r="H1613" s="25">
        <f>IF(E1613="","",(E1613*4+3+cfgDeslocamento)/48)</f>
        <v>0</v>
      </c>
    </row>
    <row r="1614" spans="1:8">
      <c r="A1614" s="24"/>
      <c r="B1614" s="19"/>
      <c r="C1614" s="25">
        <f>IF(D1614="","",D1614/48)</f>
        <v>0</v>
      </c>
      <c r="D1614" s="26">
        <f>IF(A1614="","",ROUND((A1614-cfgDefasagem/1440)*48,0))</f>
        <v>0</v>
      </c>
      <c r="E1614" s="26">
        <f>IF(D1614="","",INT((D1614-cfgDeslocamento)/4))</f>
        <v>0</v>
      </c>
      <c r="F1614" s="26">
        <f>IF(D1614="","",MOD(D1614-cfgDeslocamento,4)+1)</f>
        <v>0</v>
      </c>
      <c r="G1614" s="26">
        <f>IF(A1614="","",IF(AND(ISNUMBER(B1614),B1614&lt;&gt;0),1,0))</f>
        <v>0</v>
      </c>
      <c r="H1614" s="25">
        <f>IF(E1614="","",(E1614*4+3+cfgDeslocamento)/48)</f>
        <v>0</v>
      </c>
    </row>
    <row r="1615" spans="1:8">
      <c r="A1615" s="24"/>
      <c r="B1615" s="19"/>
      <c r="C1615" s="25">
        <f>IF(D1615="","",D1615/48)</f>
        <v>0</v>
      </c>
      <c r="D1615" s="26">
        <f>IF(A1615="","",ROUND((A1615-cfgDefasagem/1440)*48,0))</f>
        <v>0</v>
      </c>
      <c r="E1615" s="26">
        <f>IF(D1615="","",INT((D1615-cfgDeslocamento)/4))</f>
        <v>0</v>
      </c>
      <c r="F1615" s="26">
        <f>IF(D1615="","",MOD(D1615-cfgDeslocamento,4)+1)</f>
        <v>0</v>
      </c>
      <c r="G1615" s="26">
        <f>IF(A1615="","",IF(AND(ISNUMBER(B1615),B1615&lt;&gt;0),1,0))</f>
        <v>0</v>
      </c>
      <c r="H1615" s="25">
        <f>IF(E1615="","",(E1615*4+3+cfgDeslocamento)/48)</f>
        <v>0</v>
      </c>
    </row>
    <row r="1616" spans="1:8">
      <c r="A1616" s="24"/>
      <c r="B1616" s="19"/>
      <c r="C1616" s="25">
        <f>IF(D1616="","",D1616/48)</f>
        <v>0</v>
      </c>
      <c r="D1616" s="26">
        <f>IF(A1616="","",ROUND((A1616-cfgDefasagem/1440)*48,0))</f>
        <v>0</v>
      </c>
      <c r="E1616" s="26">
        <f>IF(D1616="","",INT((D1616-cfgDeslocamento)/4))</f>
        <v>0</v>
      </c>
      <c r="F1616" s="26">
        <f>IF(D1616="","",MOD(D1616-cfgDeslocamento,4)+1)</f>
        <v>0</v>
      </c>
      <c r="G1616" s="26">
        <f>IF(A1616="","",IF(AND(ISNUMBER(B1616),B1616&lt;&gt;0),1,0))</f>
        <v>0</v>
      </c>
      <c r="H1616" s="25">
        <f>IF(E1616="","",(E1616*4+3+cfgDeslocamento)/48)</f>
        <v>0</v>
      </c>
    </row>
    <row r="1617" spans="1:8">
      <c r="A1617" s="24"/>
      <c r="B1617" s="19"/>
      <c r="C1617" s="25">
        <f>IF(D1617="","",D1617/48)</f>
        <v>0</v>
      </c>
      <c r="D1617" s="26">
        <f>IF(A1617="","",ROUND((A1617-cfgDefasagem/1440)*48,0))</f>
        <v>0</v>
      </c>
      <c r="E1617" s="26">
        <f>IF(D1617="","",INT((D1617-cfgDeslocamento)/4))</f>
        <v>0</v>
      </c>
      <c r="F1617" s="26">
        <f>IF(D1617="","",MOD(D1617-cfgDeslocamento,4)+1)</f>
        <v>0</v>
      </c>
      <c r="G1617" s="26">
        <f>IF(A1617="","",IF(AND(ISNUMBER(B1617),B1617&lt;&gt;0),1,0))</f>
        <v>0</v>
      </c>
      <c r="H1617" s="25">
        <f>IF(E1617="","",(E1617*4+3+cfgDeslocamento)/48)</f>
        <v>0</v>
      </c>
    </row>
    <row r="1618" spans="1:8">
      <c r="A1618" s="24"/>
      <c r="B1618" s="19"/>
      <c r="C1618" s="25">
        <f>IF(D1618="","",D1618/48)</f>
        <v>0</v>
      </c>
      <c r="D1618" s="26">
        <f>IF(A1618="","",ROUND((A1618-cfgDefasagem/1440)*48,0))</f>
        <v>0</v>
      </c>
      <c r="E1618" s="26">
        <f>IF(D1618="","",INT((D1618-cfgDeslocamento)/4))</f>
        <v>0</v>
      </c>
      <c r="F1618" s="26">
        <f>IF(D1618="","",MOD(D1618-cfgDeslocamento,4)+1)</f>
        <v>0</v>
      </c>
      <c r="G1618" s="26">
        <f>IF(A1618="","",IF(AND(ISNUMBER(B1618),B1618&lt;&gt;0),1,0))</f>
        <v>0</v>
      </c>
      <c r="H1618" s="25">
        <f>IF(E1618="","",(E1618*4+3+cfgDeslocamento)/48)</f>
        <v>0</v>
      </c>
    </row>
    <row r="1619" spans="1:8">
      <c r="A1619" s="24"/>
      <c r="B1619" s="19"/>
      <c r="C1619" s="25">
        <f>IF(D1619="","",D1619/48)</f>
        <v>0</v>
      </c>
      <c r="D1619" s="26">
        <f>IF(A1619="","",ROUND((A1619-cfgDefasagem/1440)*48,0))</f>
        <v>0</v>
      </c>
      <c r="E1619" s="26">
        <f>IF(D1619="","",INT((D1619-cfgDeslocamento)/4))</f>
        <v>0</v>
      </c>
      <c r="F1619" s="26">
        <f>IF(D1619="","",MOD(D1619-cfgDeslocamento,4)+1)</f>
        <v>0</v>
      </c>
      <c r="G1619" s="26">
        <f>IF(A1619="","",IF(AND(ISNUMBER(B1619),B1619&lt;&gt;0),1,0))</f>
        <v>0</v>
      </c>
      <c r="H1619" s="25">
        <f>IF(E1619="","",(E1619*4+3+cfgDeslocamento)/48)</f>
        <v>0</v>
      </c>
    </row>
    <row r="1620" spans="1:8">
      <c r="A1620" s="24"/>
      <c r="B1620" s="19"/>
      <c r="C1620" s="25">
        <f>IF(D1620="","",D1620/48)</f>
        <v>0</v>
      </c>
      <c r="D1620" s="26">
        <f>IF(A1620="","",ROUND((A1620-cfgDefasagem/1440)*48,0))</f>
        <v>0</v>
      </c>
      <c r="E1620" s="26">
        <f>IF(D1620="","",INT((D1620-cfgDeslocamento)/4))</f>
        <v>0</v>
      </c>
      <c r="F1620" s="26">
        <f>IF(D1620="","",MOD(D1620-cfgDeslocamento,4)+1)</f>
        <v>0</v>
      </c>
      <c r="G1620" s="26">
        <f>IF(A1620="","",IF(AND(ISNUMBER(B1620),B1620&lt;&gt;0),1,0))</f>
        <v>0</v>
      </c>
      <c r="H1620" s="25">
        <f>IF(E1620="","",(E1620*4+3+cfgDeslocamento)/48)</f>
        <v>0</v>
      </c>
    </row>
    <row r="1621" spans="1:8">
      <c r="A1621" s="24"/>
      <c r="B1621" s="19"/>
      <c r="C1621" s="25">
        <f>IF(D1621="","",D1621/48)</f>
        <v>0</v>
      </c>
      <c r="D1621" s="26">
        <f>IF(A1621="","",ROUND((A1621-cfgDefasagem/1440)*48,0))</f>
        <v>0</v>
      </c>
      <c r="E1621" s="26">
        <f>IF(D1621="","",INT((D1621-cfgDeslocamento)/4))</f>
        <v>0</v>
      </c>
      <c r="F1621" s="26">
        <f>IF(D1621="","",MOD(D1621-cfgDeslocamento,4)+1)</f>
        <v>0</v>
      </c>
      <c r="G1621" s="26">
        <f>IF(A1621="","",IF(AND(ISNUMBER(B1621),B1621&lt;&gt;0),1,0))</f>
        <v>0</v>
      </c>
      <c r="H1621" s="25">
        <f>IF(E1621="","",(E1621*4+3+cfgDeslocamento)/48)</f>
        <v>0</v>
      </c>
    </row>
    <row r="1622" spans="1:8">
      <c r="A1622" s="24"/>
      <c r="B1622" s="19"/>
      <c r="C1622" s="25">
        <f>IF(D1622="","",D1622/48)</f>
        <v>0</v>
      </c>
      <c r="D1622" s="26">
        <f>IF(A1622="","",ROUND((A1622-cfgDefasagem/1440)*48,0))</f>
        <v>0</v>
      </c>
      <c r="E1622" s="26">
        <f>IF(D1622="","",INT((D1622-cfgDeslocamento)/4))</f>
        <v>0</v>
      </c>
      <c r="F1622" s="26">
        <f>IF(D1622="","",MOD(D1622-cfgDeslocamento,4)+1)</f>
        <v>0</v>
      </c>
      <c r="G1622" s="26">
        <f>IF(A1622="","",IF(AND(ISNUMBER(B1622),B1622&lt;&gt;0),1,0))</f>
        <v>0</v>
      </c>
      <c r="H1622" s="25">
        <f>IF(E1622="","",(E1622*4+3+cfgDeslocamento)/48)</f>
        <v>0</v>
      </c>
    </row>
    <row r="1623" spans="1:8">
      <c r="A1623" s="24"/>
      <c r="B1623" s="19"/>
      <c r="C1623" s="25">
        <f>IF(D1623="","",D1623/48)</f>
        <v>0</v>
      </c>
      <c r="D1623" s="26">
        <f>IF(A1623="","",ROUND((A1623-cfgDefasagem/1440)*48,0))</f>
        <v>0</v>
      </c>
      <c r="E1623" s="26">
        <f>IF(D1623="","",INT((D1623-cfgDeslocamento)/4))</f>
        <v>0</v>
      </c>
      <c r="F1623" s="26">
        <f>IF(D1623="","",MOD(D1623-cfgDeslocamento,4)+1)</f>
        <v>0</v>
      </c>
      <c r="G1623" s="26">
        <f>IF(A1623="","",IF(AND(ISNUMBER(B1623),B1623&lt;&gt;0),1,0))</f>
        <v>0</v>
      </c>
      <c r="H1623" s="25">
        <f>IF(E1623="","",(E1623*4+3+cfgDeslocamento)/48)</f>
        <v>0</v>
      </c>
    </row>
    <row r="1624" spans="1:8">
      <c r="A1624" s="24"/>
      <c r="B1624" s="19"/>
      <c r="C1624" s="25">
        <f>IF(D1624="","",D1624/48)</f>
        <v>0</v>
      </c>
      <c r="D1624" s="26">
        <f>IF(A1624="","",ROUND((A1624-cfgDefasagem/1440)*48,0))</f>
        <v>0</v>
      </c>
      <c r="E1624" s="26">
        <f>IF(D1624="","",INT((D1624-cfgDeslocamento)/4))</f>
        <v>0</v>
      </c>
      <c r="F1624" s="26">
        <f>IF(D1624="","",MOD(D1624-cfgDeslocamento,4)+1)</f>
        <v>0</v>
      </c>
      <c r="G1624" s="26">
        <f>IF(A1624="","",IF(AND(ISNUMBER(B1624),B1624&lt;&gt;0),1,0))</f>
        <v>0</v>
      </c>
      <c r="H1624" s="25">
        <f>IF(E1624="","",(E1624*4+3+cfgDeslocamento)/48)</f>
        <v>0</v>
      </c>
    </row>
    <row r="1625" spans="1:8">
      <c r="A1625" s="24"/>
      <c r="B1625" s="19"/>
      <c r="C1625" s="25">
        <f>IF(D1625="","",D1625/48)</f>
        <v>0</v>
      </c>
      <c r="D1625" s="26">
        <f>IF(A1625="","",ROUND((A1625-cfgDefasagem/1440)*48,0))</f>
        <v>0</v>
      </c>
      <c r="E1625" s="26">
        <f>IF(D1625="","",INT((D1625-cfgDeslocamento)/4))</f>
        <v>0</v>
      </c>
      <c r="F1625" s="26">
        <f>IF(D1625="","",MOD(D1625-cfgDeslocamento,4)+1)</f>
        <v>0</v>
      </c>
      <c r="G1625" s="26">
        <f>IF(A1625="","",IF(AND(ISNUMBER(B1625),B1625&lt;&gt;0),1,0))</f>
        <v>0</v>
      </c>
      <c r="H1625" s="25">
        <f>IF(E1625="","",(E1625*4+3+cfgDeslocamento)/48)</f>
        <v>0</v>
      </c>
    </row>
    <row r="1626" spans="1:8">
      <c r="A1626" s="24"/>
      <c r="B1626" s="19"/>
      <c r="C1626" s="25">
        <f>IF(D1626="","",D1626/48)</f>
        <v>0</v>
      </c>
      <c r="D1626" s="26">
        <f>IF(A1626="","",ROUND((A1626-cfgDefasagem/1440)*48,0))</f>
        <v>0</v>
      </c>
      <c r="E1626" s="26">
        <f>IF(D1626="","",INT((D1626-cfgDeslocamento)/4))</f>
        <v>0</v>
      </c>
      <c r="F1626" s="26">
        <f>IF(D1626="","",MOD(D1626-cfgDeslocamento,4)+1)</f>
        <v>0</v>
      </c>
      <c r="G1626" s="26">
        <f>IF(A1626="","",IF(AND(ISNUMBER(B1626),B1626&lt;&gt;0),1,0))</f>
        <v>0</v>
      </c>
      <c r="H1626" s="25">
        <f>IF(E1626="","",(E1626*4+3+cfgDeslocamento)/48)</f>
        <v>0</v>
      </c>
    </row>
    <row r="1627" spans="1:8">
      <c r="A1627" s="24"/>
      <c r="B1627" s="19"/>
      <c r="C1627" s="25">
        <f>IF(D1627="","",D1627/48)</f>
        <v>0</v>
      </c>
      <c r="D1627" s="26">
        <f>IF(A1627="","",ROUND((A1627-cfgDefasagem/1440)*48,0))</f>
        <v>0</v>
      </c>
      <c r="E1627" s="26">
        <f>IF(D1627="","",INT((D1627-cfgDeslocamento)/4))</f>
        <v>0</v>
      </c>
      <c r="F1627" s="26">
        <f>IF(D1627="","",MOD(D1627-cfgDeslocamento,4)+1)</f>
        <v>0</v>
      </c>
      <c r="G1627" s="26">
        <f>IF(A1627="","",IF(AND(ISNUMBER(B1627),B1627&lt;&gt;0),1,0))</f>
        <v>0</v>
      </c>
      <c r="H1627" s="25">
        <f>IF(E1627="","",(E1627*4+3+cfgDeslocamento)/48)</f>
        <v>0</v>
      </c>
    </row>
    <row r="1628" spans="1:8">
      <c r="A1628" s="24"/>
      <c r="B1628" s="19"/>
      <c r="C1628" s="25">
        <f>IF(D1628="","",D1628/48)</f>
        <v>0</v>
      </c>
      <c r="D1628" s="26">
        <f>IF(A1628="","",ROUND((A1628-cfgDefasagem/1440)*48,0))</f>
        <v>0</v>
      </c>
      <c r="E1628" s="26">
        <f>IF(D1628="","",INT((D1628-cfgDeslocamento)/4))</f>
        <v>0</v>
      </c>
      <c r="F1628" s="26">
        <f>IF(D1628="","",MOD(D1628-cfgDeslocamento,4)+1)</f>
        <v>0</v>
      </c>
      <c r="G1628" s="26">
        <f>IF(A1628="","",IF(AND(ISNUMBER(B1628),B1628&lt;&gt;0),1,0))</f>
        <v>0</v>
      </c>
      <c r="H1628" s="25">
        <f>IF(E1628="","",(E1628*4+3+cfgDeslocamento)/48)</f>
        <v>0</v>
      </c>
    </row>
    <row r="1629" spans="1:8">
      <c r="A1629" s="24"/>
      <c r="B1629" s="19"/>
      <c r="C1629" s="25">
        <f>IF(D1629="","",D1629/48)</f>
        <v>0</v>
      </c>
      <c r="D1629" s="26">
        <f>IF(A1629="","",ROUND((A1629-cfgDefasagem/1440)*48,0))</f>
        <v>0</v>
      </c>
      <c r="E1629" s="26">
        <f>IF(D1629="","",INT((D1629-cfgDeslocamento)/4))</f>
        <v>0</v>
      </c>
      <c r="F1629" s="26">
        <f>IF(D1629="","",MOD(D1629-cfgDeslocamento,4)+1)</f>
        <v>0</v>
      </c>
      <c r="G1629" s="26">
        <f>IF(A1629="","",IF(AND(ISNUMBER(B1629),B1629&lt;&gt;0),1,0))</f>
        <v>0</v>
      </c>
      <c r="H1629" s="25">
        <f>IF(E1629="","",(E1629*4+3+cfgDeslocamento)/48)</f>
        <v>0</v>
      </c>
    </row>
    <row r="1630" spans="1:8">
      <c r="A1630" s="24"/>
      <c r="B1630" s="19"/>
      <c r="C1630" s="25">
        <f>IF(D1630="","",D1630/48)</f>
        <v>0</v>
      </c>
      <c r="D1630" s="26">
        <f>IF(A1630="","",ROUND((A1630-cfgDefasagem/1440)*48,0))</f>
        <v>0</v>
      </c>
      <c r="E1630" s="26">
        <f>IF(D1630="","",INT((D1630-cfgDeslocamento)/4))</f>
        <v>0</v>
      </c>
      <c r="F1630" s="26">
        <f>IF(D1630="","",MOD(D1630-cfgDeslocamento,4)+1)</f>
        <v>0</v>
      </c>
      <c r="G1630" s="26">
        <f>IF(A1630="","",IF(AND(ISNUMBER(B1630),B1630&lt;&gt;0),1,0))</f>
        <v>0</v>
      </c>
      <c r="H1630" s="25">
        <f>IF(E1630="","",(E1630*4+3+cfgDeslocamento)/48)</f>
        <v>0</v>
      </c>
    </row>
    <row r="1631" spans="1:8">
      <c r="A1631" s="24"/>
      <c r="B1631" s="19"/>
      <c r="C1631" s="25">
        <f>IF(D1631="","",D1631/48)</f>
        <v>0</v>
      </c>
      <c r="D1631" s="26">
        <f>IF(A1631="","",ROUND((A1631-cfgDefasagem/1440)*48,0))</f>
        <v>0</v>
      </c>
      <c r="E1631" s="26">
        <f>IF(D1631="","",INT((D1631-cfgDeslocamento)/4))</f>
        <v>0</v>
      </c>
      <c r="F1631" s="26">
        <f>IF(D1631="","",MOD(D1631-cfgDeslocamento,4)+1)</f>
        <v>0</v>
      </c>
      <c r="G1631" s="26">
        <f>IF(A1631="","",IF(AND(ISNUMBER(B1631),B1631&lt;&gt;0),1,0))</f>
        <v>0</v>
      </c>
      <c r="H1631" s="25">
        <f>IF(E1631="","",(E1631*4+3+cfgDeslocamento)/48)</f>
        <v>0</v>
      </c>
    </row>
    <row r="1632" spans="1:8">
      <c r="A1632" s="24"/>
      <c r="B1632" s="19"/>
      <c r="C1632" s="25">
        <f>IF(D1632="","",D1632/48)</f>
        <v>0</v>
      </c>
      <c r="D1632" s="26">
        <f>IF(A1632="","",ROUND((A1632-cfgDefasagem/1440)*48,0))</f>
        <v>0</v>
      </c>
      <c r="E1632" s="26">
        <f>IF(D1632="","",INT((D1632-cfgDeslocamento)/4))</f>
        <v>0</v>
      </c>
      <c r="F1632" s="26">
        <f>IF(D1632="","",MOD(D1632-cfgDeslocamento,4)+1)</f>
        <v>0</v>
      </c>
      <c r="G1632" s="26">
        <f>IF(A1632="","",IF(AND(ISNUMBER(B1632),B1632&lt;&gt;0),1,0))</f>
        <v>0</v>
      </c>
      <c r="H1632" s="25">
        <f>IF(E1632="","",(E1632*4+3+cfgDeslocamento)/48)</f>
        <v>0</v>
      </c>
    </row>
    <row r="1633" spans="1:8">
      <c r="A1633" s="24"/>
      <c r="B1633" s="19"/>
      <c r="C1633" s="25">
        <f>IF(D1633="","",D1633/48)</f>
        <v>0</v>
      </c>
      <c r="D1633" s="26">
        <f>IF(A1633="","",ROUND((A1633-cfgDefasagem/1440)*48,0))</f>
        <v>0</v>
      </c>
      <c r="E1633" s="26">
        <f>IF(D1633="","",INT((D1633-cfgDeslocamento)/4))</f>
        <v>0</v>
      </c>
      <c r="F1633" s="26">
        <f>IF(D1633="","",MOD(D1633-cfgDeslocamento,4)+1)</f>
        <v>0</v>
      </c>
      <c r="G1633" s="26">
        <f>IF(A1633="","",IF(AND(ISNUMBER(B1633),B1633&lt;&gt;0),1,0))</f>
        <v>0</v>
      </c>
      <c r="H1633" s="25">
        <f>IF(E1633="","",(E1633*4+3+cfgDeslocamento)/48)</f>
        <v>0</v>
      </c>
    </row>
    <row r="1634" spans="1:8">
      <c r="A1634" s="24"/>
      <c r="B1634" s="19"/>
      <c r="C1634" s="25">
        <f>IF(D1634="","",D1634/48)</f>
        <v>0</v>
      </c>
      <c r="D1634" s="26">
        <f>IF(A1634="","",ROUND((A1634-cfgDefasagem/1440)*48,0))</f>
        <v>0</v>
      </c>
      <c r="E1634" s="26">
        <f>IF(D1634="","",INT((D1634-cfgDeslocamento)/4))</f>
        <v>0</v>
      </c>
      <c r="F1634" s="26">
        <f>IF(D1634="","",MOD(D1634-cfgDeslocamento,4)+1)</f>
        <v>0</v>
      </c>
      <c r="G1634" s="26">
        <f>IF(A1634="","",IF(AND(ISNUMBER(B1634),B1634&lt;&gt;0),1,0))</f>
        <v>0</v>
      </c>
      <c r="H1634" s="25">
        <f>IF(E1634="","",(E1634*4+3+cfgDeslocamento)/48)</f>
        <v>0</v>
      </c>
    </row>
    <row r="1635" spans="1:8">
      <c r="A1635" s="24"/>
      <c r="B1635" s="19"/>
      <c r="C1635" s="25">
        <f>IF(D1635="","",D1635/48)</f>
        <v>0</v>
      </c>
      <c r="D1635" s="26">
        <f>IF(A1635="","",ROUND((A1635-cfgDefasagem/1440)*48,0))</f>
        <v>0</v>
      </c>
      <c r="E1635" s="26">
        <f>IF(D1635="","",INT((D1635-cfgDeslocamento)/4))</f>
        <v>0</v>
      </c>
      <c r="F1635" s="26">
        <f>IF(D1635="","",MOD(D1635-cfgDeslocamento,4)+1)</f>
        <v>0</v>
      </c>
      <c r="G1635" s="26">
        <f>IF(A1635="","",IF(AND(ISNUMBER(B1635),B1635&lt;&gt;0),1,0))</f>
        <v>0</v>
      </c>
      <c r="H1635" s="25">
        <f>IF(E1635="","",(E1635*4+3+cfgDeslocamento)/48)</f>
        <v>0</v>
      </c>
    </row>
    <row r="1636" spans="1:8">
      <c r="A1636" s="24"/>
      <c r="B1636" s="19"/>
      <c r="C1636" s="25">
        <f>IF(D1636="","",D1636/48)</f>
        <v>0</v>
      </c>
      <c r="D1636" s="26">
        <f>IF(A1636="","",ROUND((A1636-cfgDefasagem/1440)*48,0))</f>
        <v>0</v>
      </c>
      <c r="E1636" s="26">
        <f>IF(D1636="","",INT((D1636-cfgDeslocamento)/4))</f>
        <v>0</v>
      </c>
      <c r="F1636" s="26">
        <f>IF(D1636="","",MOD(D1636-cfgDeslocamento,4)+1)</f>
        <v>0</v>
      </c>
      <c r="G1636" s="26">
        <f>IF(A1636="","",IF(AND(ISNUMBER(B1636),B1636&lt;&gt;0),1,0))</f>
        <v>0</v>
      </c>
      <c r="H1636" s="25">
        <f>IF(E1636="","",(E1636*4+3+cfgDeslocamento)/48)</f>
        <v>0</v>
      </c>
    </row>
    <row r="1637" spans="1:8">
      <c r="A1637" s="24"/>
      <c r="B1637" s="19"/>
      <c r="C1637" s="25">
        <f>IF(D1637="","",D1637/48)</f>
        <v>0</v>
      </c>
      <c r="D1637" s="26">
        <f>IF(A1637="","",ROUND((A1637-cfgDefasagem/1440)*48,0))</f>
        <v>0</v>
      </c>
      <c r="E1637" s="26">
        <f>IF(D1637="","",INT((D1637-cfgDeslocamento)/4))</f>
        <v>0</v>
      </c>
      <c r="F1637" s="26">
        <f>IF(D1637="","",MOD(D1637-cfgDeslocamento,4)+1)</f>
        <v>0</v>
      </c>
      <c r="G1637" s="26">
        <f>IF(A1637="","",IF(AND(ISNUMBER(B1637),B1637&lt;&gt;0),1,0))</f>
        <v>0</v>
      </c>
      <c r="H1637" s="25">
        <f>IF(E1637="","",(E1637*4+3+cfgDeslocamento)/48)</f>
        <v>0</v>
      </c>
    </row>
    <row r="1638" spans="1:8">
      <c r="A1638" s="24"/>
      <c r="B1638" s="19"/>
      <c r="C1638" s="25">
        <f>IF(D1638="","",D1638/48)</f>
        <v>0</v>
      </c>
      <c r="D1638" s="26">
        <f>IF(A1638="","",ROUND((A1638-cfgDefasagem/1440)*48,0))</f>
        <v>0</v>
      </c>
      <c r="E1638" s="26">
        <f>IF(D1638="","",INT((D1638-cfgDeslocamento)/4))</f>
        <v>0</v>
      </c>
      <c r="F1638" s="26">
        <f>IF(D1638="","",MOD(D1638-cfgDeslocamento,4)+1)</f>
        <v>0</v>
      </c>
      <c r="G1638" s="26">
        <f>IF(A1638="","",IF(AND(ISNUMBER(B1638),B1638&lt;&gt;0),1,0))</f>
        <v>0</v>
      </c>
      <c r="H1638" s="25">
        <f>IF(E1638="","",(E1638*4+3+cfgDeslocamento)/48)</f>
        <v>0</v>
      </c>
    </row>
    <row r="1639" spans="1:8">
      <c r="A1639" s="24"/>
      <c r="B1639" s="19"/>
      <c r="C1639" s="25">
        <f>IF(D1639="","",D1639/48)</f>
        <v>0</v>
      </c>
      <c r="D1639" s="26">
        <f>IF(A1639="","",ROUND((A1639-cfgDefasagem/1440)*48,0))</f>
        <v>0</v>
      </c>
      <c r="E1639" s="26">
        <f>IF(D1639="","",INT((D1639-cfgDeslocamento)/4))</f>
        <v>0</v>
      </c>
      <c r="F1639" s="26">
        <f>IF(D1639="","",MOD(D1639-cfgDeslocamento,4)+1)</f>
        <v>0</v>
      </c>
      <c r="G1639" s="26">
        <f>IF(A1639="","",IF(AND(ISNUMBER(B1639),B1639&lt;&gt;0),1,0))</f>
        <v>0</v>
      </c>
      <c r="H1639" s="25">
        <f>IF(E1639="","",(E1639*4+3+cfgDeslocamento)/48)</f>
        <v>0</v>
      </c>
    </row>
    <row r="1640" spans="1:8">
      <c r="A1640" s="24"/>
      <c r="B1640" s="19"/>
      <c r="C1640" s="25">
        <f>IF(D1640="","",D1640/48)</f>
        <v>0</v>
      </c>
      <c r="D1640" s="26">
        <f>IF(A1640="","",ROUND((A1640-cfgDefasagem/1440)*48,0))</f>
        <v>0</v>
      </c>
      <c r="E1640" s="26">
        <f>IF(D1640="","",INT((D1640-cfgDeslocamento)/4))</f>
        <v>0</v>
      </c>
      <c r="F1640" s="26">
        <f>IF(D1640="","",MOD(D1640-cfgDeslocamento,4)+1)</f>
        <v>0</v>
      </c>
      <c r="G1640" s="26">
        <f>IF(A1640="","",IF(AND(ISNUMBER(B1640),B1640&lt;&gt;0),1,0))</f>
        <v>0</v>
      </c>
      <c r="H1640" s="25">
        <f>IF(E1640="","",(E1640*4+3+cfgDeslocamento)/48)</f>
        <v>0</v>
      </c>
    </row>
    <row r="1641" spans="1:8">
      <c r="A1641" s="24"/>
      <c r="B1641" s="19"/>
      <c r="C1641" s="25">
        <f>IF(D1641="","",D1641/48)</f>
        <v>0</v>
      </c>
      <c r="D1641" s="26">
        <f>IF(A1641="","",ROUND((A1641-cfgDefasagem/1440)*48,0))</f>
        <v>0</v>
      </c>
      <c r="E1641" s="26">
        <f>IF(D1641="","",INT((D1641-cfgDeslocamento)/4))</f>
        <v>0</v>
      </c>
      <c r="F1641" s="26">
        <f>IF(D1641="","",MOD(D1641-cfgDeslocamento,4)+1)</f>
        <v>0</v>
      </c>
      <c r="G1641" s="26">
        <f>IF(A1641="","",IF(AND(ISNUMBER(B1641),B1641&lt;&gt;0),1,0))</f>
        <v>0</v>
      </c>
      <c r="H1641" s="25">
        <f>IF(E1641="","",(E1641*4+3+cfgDeslocamento)/48)</f>
        <v>0</v>
      </c>
    </row>
    <row r="1642" spans="1:8">
      <c r="A1642" s="24"/>
      <c r="B1642" s="19"/>
      <c r="C1642" s="25">
        <f>IF(D1642="","",D1642/48)</f>
        <v>0</v>
      </c>
      <c r="D1642" s="26">
        <f>IF(A1642="","",ROUND((A1642-cfgDefasagem/1440)*48,0))</f>
        <v>0</v>
      </c>
      <c r="E1642" s="26">
        <f>IF(D1642="","",INT((D1642-cfgDeslocamento)/4))</f>
        <v>0</v>
      </c>
      <c r="F1642" s="26">
        <f>IF(D1642="","",MOD(D1642-cfgDeslocamento,4)+1)</f>
        <v>0</v>
      </c>
      <c r="G1642" s="26">
        <f>IF(A1642="","",IF(AND(ISNUMBER(B1642),B1642&lt;&gt;0),1,0))</f>
        <v>0</v>
      </c>
      <c r="H1642" s="25">
        <f>IF(E1642="","",(E1642*4+3+cfgDeslocamento)/48)</f>
        <v>0</v>
      </c>
    </row>
    <row r="1643" spans="1:8">
      <c r="A1643" s="24"/>
      <c r="B1643" s="19"/>
      <c r="C1643" s="25">
        <f>IF(D1643="","",D1643/48)</f>
        <v>0</v>
      </c>
      <c r="D1643" s="26">
        <f>IF(A1643="","",ROUND((A1643-cfgDefasagem/1440)*48,0))</f>
        <v>0</v>
      </c>
      <c r="E1643" s="26">
        <f>IF(D1643="","",INT((D1643-cfgDeslocamento)/4))</f>
        <v>0</v>
      </c>
      <c r="F1643" s="26">
        <f>IF(D1643="","",MOD(D1643-cfgDeslocamento,4)+1)</f>
        <v>0</v>
      </c>
      <c r="G1643" s="26">
        <f>IF(A1643="","",IF(AND(ISNUMBER(B1643),B1643&lt;&gt;0),1,0))</f>
        <v>0</v>
      </c>
      <c r="H1643" s="25">
        <f>IF(E1643="","",(E1643*4+3+cfgDeslocamento)/48)</f>
        <v>0</v>
      </c>
    </row>
    <row r="1644" spans="1:8">
      <c r="A1644" s="24"/>
      <c r="B1644" s="19"/>
      <c r="C1644" s="25">
        <f>IF(D1644="","",D1644/48)</f>
        <v>0</v>
      </c>
      <c r="D1644" s="26">
        <f>IF(A1644="","",ROUND((A1644-cfgDefasagem/1440)*48,0))</f>
        <v>0</v>
      </c>
      <c r="E1644" s="26">
        <f>IF(D1644="","",INT((D1644-cfgDeslocamento)/4))</f>
        <v>0</v>
      </c>
      <c r="F1644" s="26">
        <f>IF(D1644="","",MOD(D1644-cfgDeslocamento,4)+1)</f>
        <v>0</v>
      </c>
      <c r="G1644" s="26">
        <f>IF(A1644="","",IF(AND(ISNUMBER(B1644),B1644&lt;&gt;0),1,0))</f>
        <v>0</v>
      </c>
      <c r="H1644" s="25">
        <f>IF(E1644="","",(E1644*4+3+cfgDeslocamento)/48)</f>
        <v>0</v>
      </c>
    </row>
    <row r="1645" spans="1:8">
      <c r="A1645" s="24"/>
      <c r="B1645" s="19"/>
      <c r="C1645" s="25">
        <f>IF(D1645="","",D1645/48)</f>
        <v>0</v>
      </c>
      <c r="D1645" s="26">
        <f>IF(A1645="","",ROUND((A1645-cfgDefasagem/1440)*48,0))</f>
        <v>0</v>
      </c>
      <c r="E1645" s="26">
        <f>IF(D1645="","",INT((D1645-cfgDeslocamento)/4))</f>
        <v>0</v>
      </c>
      <c r="F1645" s="26">
        <f>IF(D1645="","",MOD(D1645-cfgDeslocamento,4)+1)</f>
        <v>0</v>
      </c>
      <c r="G1645" s="26">
        <f>IF(A1645="","",IF(AND(ISNUMBER(B1645),B1645&lt;&gt;0),1,0))</f>
        <v>0</v>
      </c>
      <c r="H1645" s="25">
        <f>IF(E1645="","",(E1645*4+3+cfgDeslocamento)/48)</f>
        <v>0</v>
      </c>
    </row>
    <row r="1646" spans="1:8">
      <c r="A1646" s="24"/>
      <c r="B1646" s="19"/>
      <c r="C1646" s="25">
        <f>IF(D1646="","",D1646/48)</f>
        <v>0</v>
      </c>
      <c r="D1646" s="26">
        <f>IF(A1646="","",ROUND((A1646-cfgDefasagem/1440)*48,0))</f>
        <v>0</v>
      </c>
      <c r="E1646" s="26">
        <f>IF(D1646="","",INT((D1646-cfgDeslocamento)/4))</f>
        <v>0</v>
      </c>
      <c r="F1646" s="26">
        <f>IF(D1646="","",MOD(D1646-cfgDeslocamento,4)+1)</f>
        <v>0</v>
      </c>
      <c r="G1646" s="26">
        <f>IF(A1646="","",IF(AND(ISNUMBER(B1646),B1646&lt;&gt;0),1,0))</f>
        <v>0</v>
      </c>
      <c r="H1646" s="25">
        <f>IF(E1646="","",(E1646*4+3+cfgDeslocamento)/48)</f>
        <v>0</v>
      </c>
    </row>
    <row r="1647" spans="1:8">
      <c r="A1647" s="24"/>
      <c r="B1647" s="19"/>
      <c r="C1647" s="25">
        <f>IF(D1647="","",D1647/48)</f>
        <v>0</v>
      </c>
      <c r="D1647" s="26">
        <f>IF(A1647="","",ROUND((A1647-cfgDefasagem/1440)*48,0))</f>
        <v>0</v>
      </c>
      <c r="E1647" s="26">
        <f>IF(D1647="","",INT((D1647-cfgDeslocamento)/4))</f>
        <v>0</v>
      </c>
      <c r="F1647" s="26">
        <f>IF(D1647="","",MOD(D1647-cfgDeslocamento,4)+1)</f>
        <v>0</v>
      </c>
      <c r="G1647" s="26">
        <f>IF(A1647="","",IF(AND(ISNUMBER(B1647),B1647&lt;&gt;0),1,0))</f>
        <v>0</v>
      </c>
      <c r="H1647" s="25">
        <f>IF(E1647="","",(E1647*4+3+cfgDeslocamento)/48)</f>
        <v>0</v>
      </c>
    </row>
    <row r="1648" spans="1:8">
      <c r="A1648" s="24"/>
      <c r="B1648" s="19"/>
      <c r="C1648" s="25">
        <f>IF(D1648="","",D1648/48)</f>
        <v>0</v>
      </c>
      <c r="D1648" s="26">
        <f>IF(A1648="","",ROUND((A1648-cfgDefasagem/1440)*48,0))</f>
        <v>0</v>
      </c>
      <c r="E1648" s="26">
        <f>IF(D1648="","",INT((D1648-cfgDeslocamento)/4))</f>
        <v>0</v>
      </c>
      <c r="F1648" s="26">
        <f>IF(D1648="","",MOD(D1648-cfgDeslocamento,4)+1)</f>
        <v>0</v>
      </c>
      <c r="G1648" s="26">
        <f>IF(A1648="","",IF(AND(ISNUMBER(B1648),B1648&lt;&gt;0),1,0))</f>
        <v>0</v>
      </c>
      <c r="H1648" s="25">
        <f>IF(E1648="","",(E1648*4+3+cfgDeslocamento)/48)</f>
        <v>0</v>
      </c>
    </row>
    <row r="1649" spans="1:8">
      <c r="A1649" s="24"/>
      <c r="B1649" s="19"/>
      <c r="C1649" s="25">
        <f>IF(D1649="","",D1649/48)</f>
        <v>0</v>
      </c>
      <c r="D1649" s="26">
        <f>IF(A1649="","",ROUND((A1649-cfgDefasagem/1440)*48,0))</f>
        <v>0</v>
      </c>
      <c r="E1649" s="26">
        <f>IF(D1649="","",INT((D1649-cfgDeslocamento)/4))</f>
        <v>0</v>
      </c>
      <c r="F1649" s="26">
        <f>IF(D1649="","",MOD(D1649-cfgDeslocamento,4)+1)</f>
        <v>0</v>
      </c>
      <c r="G1649" s="26">
        <f>IF(A1649="","",IF(AND(ISNUMBER(B1649),B1649&lt;&gt;0),1,0))</f>
        <v>0</v>
      </c>
      <c r="H1649" s="25">
        <f>IF(E1649="","",(E1649*4+3+cfgDeslocamento)/48)</f>
        <v>0</v>
      </c>
    </row>
    <row r="1650" spans="1:8">
      <c r="A1650" s="24"/>
      <c r="B1650" s="19"/>
      <c r="C1650" s="25">
        <f>IF(D1650="","",D1650/48)</f>
        <v>0</v>
      </c>
      <c r="D1650" s="26">
        <f>IF(A1650="","",ROUND((A1650-cfgDefasagem/1440)*48,0))</f>
        <v>0</v>
      </c>
      <c r="E1650" s="26">
        <f>IF(D1650="","",INT((D1650-cfgDeslocamento)/4))</f>
        <v>0</v>
      </c>
      <c r="F1650" s="26">
        <f>IF(D1650="","",MOD(D1650-cfgDeslocamento,4)+1)</f>
        <v>0</v>
      </c>
      <c r="G1650" s="26">
        <f>IF(A1650="","",IF(AND(ISNUMBER(B1650),B1650&lt;&gt;0),1,0))</f>
        <v>0</v>
      </c>
      <c r="H1650" s="25">
        <f>IF(E1650="","",(E1650*4+3+cfgDeslocamento)/48)</f>
        <v>0</v>
      </c>
    </row>
    <row r="1651" spans="1:8">
      <c r="A1651" s="24"/>
      <c r="B1651" s="19"/>
      <c r="C1651" s="25">
        <f>IF(D1651="","",D1651/48)</f>
        <v>0</v>
      </c>
      <c r="D1651" s="26">
        <f>IF(A1651="","",ROUND((A1651-cfgDefasagem/1440)*48,0))</f>
        <v>0</v>
      </c>
      <c r="E1651" s="26">
        <f>IF(D1651="","",INT((D1651-cfgDeslocamento)/4))</f>
        <v>0</v>
      </c>
      <c r="F1651" s="26">
        <f>IF(D1651="","",MOD(D1651-cfgDeslocamento,4)+1)</f>
        <v>0</v>
      </c>
      <c r="G1651" s="26">
        <f>IF(A1651="","",IF(AND(ISNUMBER(B1651),B1651&lt;&gt;0),1,0))</f>
        <v>0</v>
      </c>
      <c r="H1651" s="25">
        <f>IF(E1651="","",(E1651*4+3+cfgDeslocamento)/48)</f>
        <v>0</v>
      </c>
    </row>
    <row r="1652" spans="1:8">
      <c r="A1652" s="24"/>
      <c r="B1652" s="19"/>
      <c r="C1652" s="25">
        <f>IF(D1652="","",D1652/48)</f>
        <v>0</v>
      </c>
      <c r="D1652" s="26">
        <f>IF(A1652="","",ROUND((A1652-cfgDefasagem/1440)*48,0))</f>
        <v>0</v>
      </c>
      <c r="E1652" s="26">
        <f>IF(D1652="","",INT((D1652-cfgDeslocamento)/4))</f>
        <v>0</v>
      </c>
      <c r="F1652" s="26">
        <f>IF(D1652="","",MOD(D1652-cfgDeslocamento,4)+1)</f>
        <v>0</v>
      </c>
      <c r="G1652" s="26">
        <f>IF(A1652="","",IF(AND(ISNUMBER(B1652),B1652&lt;&gt;0),1,0))</f>
        <v>0</v>
      </c>
      <c r="H1652" s="25">
        <f>IF(E1652="","",(E1652*4+3+cfgDeslocamento)/48)</f>
        <v>0</v>
      </c>
    </row>
    <row r="1653" spans="1:8">
      <c r="A1653" s="24"/>
      <c r="B1653" s="19"/>
      <c r="C1653" s="25">
        <f>IF(D1653="","",D1653/48)</f>
        <v>0</v>
      </c>
      <c r="D1653" s="26">
        <f>IF(A1653="","",ROUND((A1653-cfgDefasagem/1440)*48,0))</f>
        <v>0</v>
      </c>
      <c r="E1653" s="26">
        <f>IF(D1653="","",INT((D1653-cfgDeslocamento)/4))</f>
        <v>0</v>
      </c>
      <c r="F1653" s="26">
        <f>IF(D1653="","",MOD(D1653-cfgDeslocamento,4)+1)</f>
        <v>0</v>
      </c>
      <c r="G1653" s="26">
        <f>IF(A1653="","",IF(AND(ISNUMBER(B1653),B1653&lt;&gt;0),1,0))</f>
        <v>0</v>
      </c>
      <c r="H1653" s="25">
        <f>IF(E1653="","",(E1653*4+3+cfgDeslocamento)/48)</f>
        <v>0</v>
      </c>
    </row>
    <row r="1654" spans="1:8">
      <c r="A1654" s="24"/>
      <c r="B1654" s="19"/>
      <c r="C1654" s="25">
        <f>IF(D1654="","",D1654/48)</f>
        <v>0</v>
      </c>
      <c r="D1654" s="26">
        <f>IF(A1654="","",ROUND((A1654-cfgDefasagem/1440)*48,0))</f>
        <v>0</v>
      </c>
      <c r="E1654" s="26">
        <f>IF(D1654="","",INT((D1654-cfgDeslocamento)/4))</f>
        <v>0</v>
      </c>
      <c r="F1654" s="26">
        <f>IF(D1654="","",MOD(D1654-cfgDeslocamento,4)+1)</f>
        <v>0</v>
      </c>
      <c r="G1654" s="26">
        <f>IF(A1654="","",IF(AND(ISNUMBER(B1654),B1654&lt;&gt;0),1,0))</f>
        <v>0</v>
      </c>
      <c r="H1654" s="25">
        <f>IF(E1654="","",(E1654*4+3+cfgDeslocamento)/48)</f>
        <v>0</v>
      </c>
    </row>
    <row r="1655" spans="1:8">
      <c r="A1655" s="24"/>
      <c r="B1655" s="19"/>
      <c r="C1655" s="25">
        <f>IF(D1655="","",D1655/48)</f>
        <v>0</v>
      </c>
      <c r="D1655" s="26">
        <f>IF(A1655="","",ROUND((A1655-cfgDefasagem/1440)*48,0))</f>
        <v>0</v>
      </c>
      <c r="E1655" s="26">
        <f>IF(D1655="","",INT((D1655-cfgDeslocamento)/4))</f>
        <v>0</v>
      </c>
      <c r="F1655" s="26">
        <f>IF(D1655="","",MOD(D1655-cfgDeslocamento,4)+1)</f>
        <v>0</v>
      </c>
      <c r="G1655" s="26">
        <f>IF(A1655="","",IF(AND(ISNUMBER(B1655),B1655&lt;&gt;0),1,0))</f>
        <v>0</v>
      </c>
      <c r="H1655" s="25">
        <f>IF(E1655="","",(E1655*4+3+cfgDeslocamento)/48)</f>
        <v>0</v>
      </c>
    </row>
    <row r="1656" spans="1:8">
      <c r="A1656" s="24"/>
      <c r="B1656" s="19"/>
      <c r="C1656" s="25">
        <f>IF(D1656="","",D1656/48)</f>
        <v>0</v>
      </c>
      <c r="D1656" s="26">
        <f>IF(A1656="","",ROUND((A1656-cfgDefasagem/1440)*48,0))</f>
        <v>0</v>
      </c>
      <c r="E1656" s="26">
        <f>IF(D1656="","",INT((D1656-cfgDeslocamento)/4))</f>
        <v>0</v>
      </c>
      <c r="F1656" s="26">
        <f>IF(D1656="","",MOD(D1656-cfgDeslocamento,4)+1)</f>
        <v>0</v>
      </c>
      <c r="G1656" s="26">
        <f>IF(A1656="","",IF(AND(ISNUMBER(B1656),B1656&lt;&gt;0),1,0))</f>
        <v>0</v>
      </c>
      <c r="H1656" s="25">
        <f>IF(E1656="","",(E1656*4+3+cfgDeslocamento)/48)</f>
        <v>0</v>
      </c>
    </row>
    <row r="1657" spans="1:8">
      <c r="A1657" s="24"/>
      <c r="B1657" s="19"/>
      <c r="C1657" s="25">
        <f>IF(D1657="","",D1657/48)</f>
        <v>0</v>
      </c>
      <c r="D1657" s="26">
        <f>IF(A1657="","",ROUND((A1657-cfgDefasagem/1440)*48,0))</f>
        <v>0</v>
      </c>
      <c r="E1657" s="26">
        <f>IF(D1657="","",INT((D1657-cfgDeslocamento)/4))</f>
        <v>0</v>
      </c>
      <c r="F1657" s="26">
        <f>IF(D1657="","",MOD(D1657-cfgDeslocamento,4)+1)</f>
        <v>0</v>
      </c>
      <c r="G1657" s="26">
        <f>IF(A1657="","",IF(AND(ISNUMBER(B1657),B1657&lt;&gt;0),1,0))</f>
        <v>0</v>
      </c>
      <c r="H1657" s="25">
        <f>IF(E1657="","",(E1657*4+3+cfgDeslocamento)/48)</f>
        <v>0</v>
      </c>
    </row>
    <row r="1658" spans="1:8">
      <c r="A1658" s="24"/>
      <c r="B1658" s="19"/>
      <c r="C1658" s="25">
        <f>IF(D1658="","",D1658/48)</f>
        <v>0</v>
      </c>
      <c r="D1658" s="26">
        <f>IF(A1658="","",ROUND((A1658-cfgDefasagem/1440)*48,0))</f>
        <v>0</v>
      </c>
      <c r="E1658" s="26">
        <f>IF(D1658="","",INT((D1658-cfgDeslocamento)/4))</f>
        <v>0</v>
      </c>
      <c r="F1658" s="26">
        <f>IF(D1658="","",MOD(D1658-cfgDeslocamento,4)+1)</f>
        <v>0</v>
      </c>
      <c r="G1658" s="26">
        <f>IF(A1658="","",IF(AND(ISNUMBER(B1658),B1658&lt;&gt;0),1,0))</f>
        <v>0</v>
      </c>
      <c r="H1658" s="25">
        <f>IF(E1658="","",(E1658*4+3+cfgDeslocamento)/48)</f>
        <v>0</v>
      </c>
    </row>
    <row r="1659" spans="1:8">
      <c r="A1659" s="24"/>
      <c r="B1659" s="19"/>
      <c r="C1659" s="25">
        <f>IF(D1659="","",D1659/48)</f>
        <v>0</v>
      </c>
      <c r="D1659" s="26">
        <f>IF(A1659="","",ROUND((A1659-cfgDefasagem/1440)*48,0))</f>
        <v>0</v>
      </c>
      <c r="E1659" s="26">
        <f>IF(D1659="","",INT((D1659-cfgDeslocamento)/4))</f>
        <v>0</v>
      </c>
      <c r="F1659" s="26">
        <f>IF(D1659="","",MOD(D1659-cfgDeslocamento,4)+1)</f>
        <v>0</v>
      </c>
      <c r="G1659" s="26">
        <f>IF(A1659="","",IF(AND(ISNUMBER(B1659),B1659&lt;&gt;0),1,0))</f>
        <v>0</v>
      </c>
      <c r="H1659" s="25">
        <f>IF(E1659="","",(E1659*4+3+cfgDeslocamento)/48)</f>
        <v>0</v>
      </c>
    </row>
    <row r="1660" spans="1:8">
      <c r="A1660" s="24"/>
      <c r="B1660" s="19"/>
      <c r="C1660" s="25">
        <f>IF(D1660="","",D1660/48)</f>
        <v>0</v>
      </c>
      <c r="D1660" s="26">
        <f>IF(A1660="","",ROUND((A1660-cfgDefasagem/1440)*48,0))</f>
        <v>0</v>
      </c>
      <c r="E1660" s="26">
        <f>IF(D1660="","",INT((D1660-cfgDeslocamento)/4))</f>
        <v>0</v>
      </c>
      <c r="F1660" s="26">
        <f>IF(D1660="","",MOD(D1660-cfgDeslocamento,4)+1)</f>
        <v>0</v>
      </c>
      <c r="G1660" s="26">
        <f>IF(A1660="","",IF(AND(ISNUMBER(B1660),B1660&lt;&gt;0),1,0))</f>
        <v>0</v>
      </c>
      <c r="H1660" s="25">
        <f>IF(E1660="","",(E1660*4+3+cfgDeslocamento)/48)</f>
        <v>0</v>
      </c>
    </row>
    <row r="1661" spans="1:8">
      <c r="A1661" s="24"/>
      <c r="B1661" s="19"/>
      <c r="C1661" s="25">
        <f>IF(D1661="","",D1661/48)</f>
        <v>0</v>
      </c>
      <c r="D1661" s="26">
        <f>IF(A1661="","",ROUND((A1661-cfgDefasagem/1440)*48,0))</f>
        <v>0</v>
      </c>
      <c r="E1661" s="26">
        <f>IF(D1661="","",INT((D1661-cfgDeslocamento)/4))</f>
        <v>0</v>
      </c>
      <c r="F1661" s="26">
        <f>IF(D1661="","",MOD(D1661-cfgDeslocamento,4)+1)</f>
        <v>0</v>
      </c>
      <c r="G1661" s="26">
        <f>IF(A1661="","",IF(AND(ISNUMBER(B1661),B1661&lt;&gt;0),1,0))</f>
        <v>0</v>
      </c>
      <c r="H1661" s="25">
        <f>IF(E1661="","",(E1661*4+3+cfgDeslocamento)/48)</f>
        <v>0</v>
      </c>
    </row>
    <row r="1662" spans="1:8">
      <c r="A1662" s="24"/>
      <c r="B1662" s="19"/>
      <c r="C1662" s="25">
        <f>IF(D1662="","",D1662/48)</f>
        <v>0</v>
      </c>
      <c r="D1662" s="26">
        <f>IF(A1662="","",ROUND((A1662-cfgDefasagem/1440)*48,0))</f>
        <v>0</v>
      </c>
      <c r="E1662" s="26">
        <f>IF(D1662="","",INT((D1662-cfgDeslocamento)/4))</f>
        <v>0</v>
      </c>
      <c r="F1662" s="26">
        <f>IF(D1662="","",MOD(D1662-cfgDeslocamento,4)+1)</f>
        <v>0</v>
      </c>
      <c r="G1662" s="26">
        <f>IF(A1662="","",IF(AND(ISNUMBER(B1662),B1662&lt;&gt;0),1,0))</f>
        <v>0</v>
      </c>
      <c r="H1662" s="25">
        <f>IF(E1662="","",(E1662*4+3+cfgDeslocamento)/48)</f>
        <v>0</v>
      </c>
    </row>
    <row r="1663" spans="1:8">
      <c r="A1663" s="24"/>
      <c r="B1663" s="19"/>
      <c r="C1663" s="25">
        <f>IF(D1663="","",D1663/48)</f>
        <v>0</v>
      </c>
      <c r="D1663" s="26">
        <f>IF(A1663="","",ROUND((A1663-cfgDefasagem/1440)*48,0))</f>
        <v>0</v>
      </c>
      <c r="E1663" s="26">
        <f>IF(D1663="","",INT((D1663-cfgDeslocamento)/4))</f>
        <v>0</v>
      </c>
      <c r="F1663" s="26">
        <f>IF(D1663="","",MOD(D1663-cfgDeslocamento,4)+1)</f>
        <v>0</v>
      </c>
      <c r="G1663" s="26">
        <f>IF(A1663="","",IF(AND(ISNUMBER(B1663),B1663&lt;&gt;0),1,0))</f>
        <v>0</v>
      </c>
      <c r="H1663" s="25">
        <f>IF(E1663="","",(E1663*4+3+cfgDeslocamento)/48)</f>
        <v>0</v>
      </c>
    </row>
    <row r="1664" spans="1:8">
      <c r="A1664" s="24"/>
      <c r="B1664" s="19"/>
      <c r="C1664" s="25">
        <f>IF(D1664="","",D1664/48)</f>
        <v>0</v>
      </c>
      <c r="D1664" s="26">
        <f>IF(A1664="","",ROUND((A1664-cfgDefasagem/1440)*48,0))</f>
        <v>0</v>
      </c>
      <c r="E1664" s="26">
        <f>IF(D1664="","",INT((D1664-cfgDeslocamento)/4))</f>
        <v>0</v>
      </c>
      <c r="F1664" s="26">
        <f>IF(D1664="","",MOD(D1664-cfgDeslocamento,4)+1)</f>
        <v>0</v>
      </c>
      <c r="G1664" s="26">
        <f>IF(A1664="","",IF(AND(ISNUMBER(B1664),B1664&lt;&gt;0),1,0))</f>
        <v>0</v>
      </c>
      <c r="H1664" s="25">
        <f>IF(E1664="","",(E1664*4+3+cfgDeslocamento)/48)</f>
        <v>0</v>
      </c>
    </row>
    <row r="1665" spans="1:8">
      <c r="A1665" s="24"/>
      <c r="B1665" s="19"/>
      <c r="C1665" s="25">
        <f>IF(D1665="","",D1665/48)</f>
        <v>0</v>
      </c>
      <c r="D1665" s="26">
        <f>IF(A1665="","",ROUND((A1665-cfgDefasagem/1440)*48,0))</f>
        <v>0</v>
      </c>
      <c r="E1665" s="26">
        <f>IF(D1665="","",INT((D1665-cfgDeslocamento)/4))</f>
        <v>0</v>
      </c>
      <c r="F1665" s="26">
        <f>IF(D1665="","",MOD(D1665-cfgDeslocamento,4)+1)</f>
        <v>0</v>
      </c>
      <c r="G1665" s="26">
        <f>IF(A1665="","",IF(AND(ISNUMBER(B1665),B1665&lt;&gt;0),1,0))</f>
        <v>0</v>
      </c>
      <c r="H1665" s="25">
        <f>IF(E1665="","",(E1665*4+3+cfgDeslocamento)/48)</f>
        <v>0</v>
      </c>
    </row>
    <row r="1666" spans="1:8">
      <c r="A1666" s="24"/>
      <c r="B1666" s="19"/>
      <c r="C1666" s="25">
        <f>IF(D1666="","",D1666/48)</f>
        <v>0</v>
      </c>
      <c r="D1666" s="26">
        <f>IF(A1666="","",ROUND((A1666-cfgDefasagem/1440)*48,0))</f>
        <v>0</v>
      </c>
      <c r="E1666" s="26">
        <f>IF(D1666="","",INT((D1666-cfgDeslocamento)/4))</f>
        <v>0</v>
      </c>
      <c r="F1666" s="26">
        <f>IF(D1666="","",MOD(D1666-cfgDeslocamento,4)+1)</f>
        <v>0</v>
      </c>
      <c r="G1666" s="26">
        <f>IF(A1666="","",IF(AND(ISNUMBER(B1666),B1666&lt;&gt;0),1,0))</f>
        <v>0</v>
      </c>
      <c r="H1666" s="25">
        <f>IF(E1666="","",(E1666*4+3+cfgDeslocamento)/48)</f>
        <v>0</v>
      </c>
    </row>
    <row r="1667" spans="1:8">
      <c r="A1667" s="24"/>
      <c r="B1667" s="19"/>
      <c r="C1667" s="25">
        <f>IF(D1667="","",D1667/48)</f>
        <v>0</v>
      </c>
      <c r="D1667" s="26">
        <f>IF(A1667="","",ROUND((A1667-cfgDefasagem/1440)*48,0))</f>
        <v>0</v>
      </c>
      <c r="E1667" s="26">
        <f>IF(D1667="","",INT((D1667-cfgDeslocamento)/4))</f>
        <v>0</v>
      </c>
      <c r="F1667" s="26">
        <f>IF(D1667="","",MOD(D1667-cfgDeslocamento,4)+1)</f>
        <v>0</v>
      </c>
      <c r="G1667" s="26">
        <f>IF(A1667="","",IF(AND(ISNUMBER(B1667),B1667&lt;&gt;0),1,0))</f>
        <v>0</v>
      </c>
      <c r="H1667" s="25">
        <f>IF(E1667="","",(E1667*4+3+cfgDeslocamento)/48)</f>
        <v>0</v>
      </c>
    </row>
    <row r="1668" spans="1:8">
      <c r="A1668" s="24"/>
      <c r="B1668" s="19"/>
      <c r="C1668" s="25">
        <f>IF(D1668="","",D1668/48)</f>
        <v>0</v>
      </c>
      <c r="D1668" s="26">
        <f>IF(A1668="","",ROUND((A1668-cfgDefasagem/1440)*48,0))</f>
        <v>0</v>
      </c>
      <c r="E1668" s="26">
        <f>IF(D1668="","",INT((D1668-cfgDeslocamento)/4))</f>
        <v>0</v>
      </c>
      <c r="F1668" s="26">
        <f>IF(D1668="","",MOD(D1668-cfgDeslocamento,4)+1)</f>
        <v>0</v>
      </c>
      <c r="G1668" s="26">
        <f>IF(A1668="","",IF(AND(ISNUMBER(B1668),B1668&lt;&gt;0),1,0))</f>
        <v>0</v>
      </c>
      <c r="H1668" s="25">
        <f>IF(E1668="","",(E1668*4+3+cfgDeslocamento)/48)</f>
        <v>0</v>
      </c>
    </row>
    <row r="1669" spans="1:8">
      <c r="A1669" s="24"/>
      <c r="B1669" s="19"/>
      <c r="C1669" s="25">
        <f>IF(D1669="","",D1669/48)</f>
        <v>0</v>
      </c>
      <c r="D1669" s="26">
        <f>IF(A1669="","",ROUND((A1669-cfgDefasagem/1440)*48,0))</f>
        <v>0</v>
      </c>
      <c r="E1669" s="26">
        <f>IF(D1669="","",INT((D1669-cfgDeslocamento)/4))</f>
        <v>0</v>
      </c>
      <c r="F1669" s="26">
        <f>IF(D1669="","",MOD(D1669-cfgDeslocamento,4)+1)</f>
        <v>0</v>
      </c>
      <c r="G1669" s="26">
        <f>IF(A1669="","",IF(AND(ISNUMBER(B1669),B1669&lt;&gt;0),1,0))</f>
        <v>0</v>
      </c>
      <c r="H1669" s="25">
        <f>IF(E1669="","",(E1669*4+3+cfgDeslocamento)/48)</f>
        <v>0</v>
      </c>
    </row>
    <row r="1670" spans="1:8">
      <c r="A1670" s="24"/>
      <c r="B1670" s="19"/>
      <c r="C1670" s="25">
        <f>IF(D1670="","",D1670/48)</f>
        <v>0</v>
      </c>
      <c r="D1670" s="26">
        <f>IF(A1670="","",ROUND((A1670-cfgDefasagem/1440)*48,0))</f>
        <v>0</v>
      </c>
      <c r="E1670" s="26">
        <f>IF(D1670="","",INT((D1670-cfgDeslocamento)/4))</f>
        <v>0</v>
      </c>
      <c r="F1670" s="26">
        <f>IF(D1670="","",MOD(D1670-cfgDeslocamento,4)+1)</f>
        <v>0</v>
      </c>
      <c r="G1670" s="26">
        <f>IF(A1670="","",IF(AND(ISNUMBER(B1670),B1670&lt;&gt;0),1,0))</f>
        <v>0</v>
      </c>
      <c r="H1670" s="25">
        <f>IF(E1670="","",(E1670*4+3+cfgDeslocamento)/48)</f>
        <v>0</v>
      </c>
    </row>
    <row r="1671" spans="1:8">
      <c r="A1671" s="24"/>
      <c r="B1671" s="19"/>
      <c r="C1671" s="25">
        <f>IF(D1671="","",D1671/48)</f>
        <v>0</v>
      </c>
      <c r="D1671" s="26">
        <f>IF(A1671="","",ROUND((A1671-cfgDefasagem/1440)*48,0))</f>
        <v>0</v>
      </c>
      <c r="E1671" s="26">
        <f>IF(D1671="","",INT((D1671-cfgDeslocamento)/4))</f>
        <v>0</v>
      </c>
      <c r="F1671" s="26">
        <f>IF(D1671="","",MOD(D1671-cfgDeslocamento,4)+1)</f>
        <v>0</v>
      </c>
      <c r="G1671" s="26">
        <f>IF(A1671="","",IF(AND(ISNUMBER(B1671),B1671&lt;&gt;0),1,0))</f>
        <v>0</v>
      </c>
      <c r="H1671" s="25">
        <f>IF(E1671="","",(E1671*4+3+cfgDeslocamento)/48)</f>
        <v>0</v>
      </c>
    </row>
    <row r="1672" spans="1:8">
      <c r="A1672" s="24"/>
      <c r="B1672" s="19"/>
      <c r="C1672" s="25">
        <f>IF(D1672="","",D1672/48)</f>
        <v>0</v>
      </c>
      <c r="D1672" s="26">
        <f>IF(A1672="","",ROUND((A1672-cfgDefasagem/1440)*48,0))</f>
        <v>0</v>
      </c>
      <c r="E1672" s="26">
        <f>IF(D1672="","",INT((D1672-cfgDeslocamento)/4))</f>
        <v>0</v>
      </c>
      <c r="F1672" s="26">
        <f>IF(D1672="","",MOD(D1672-cfgDeslocamento,4)+1)</f>
        <v>0</v>
      </c>
      <c r="G1672" s="26">
        <f>IF(A1672="","",IF(AND(ISNUMBER(B1672),B1672&lt;&gt;0),1,0))</f>
        <v>0</v>
      </c>
      <c r="H1672" s="25">
        <f>IF(E1672="","",(E1672*4+3+cfgDeslocamento)/48)</f>
        <v>0</v>
      </c>
    </row>
    <row r="1673" spans="1:8">
      <c r="A1673" s="24"/>
      <c r="B1673" s="19"/>
      <c r="C1673" s="25">
        <f>IF(D1673="","",D1673/48)</f>
        <v>0</v>
      </c>
      <c r="D1673" s="26">
        <f>IF(A1673="","",ROUND((A1673-cfgDefasagem/1440)*48,0))</f>
        <v>0</v>
      </c>
      <c r="E1673" s="26">
        <f>IF(D1673="","",INT((D1673-cfgDeslocamento)/4))</f>
        <v>0</v>
      </c>
      <c r="F1673" s="26">
        <f>IF(D1673="","",MOD(D1673-cfgDeslocamento,4)+1)</f>
        <v>0</v>
      </c>
      <c r="G1673" s="26">
        <f>IF(A1673="","",IF(AND(ISNUMBER(B1673),B1673&lt;&gt;0),1,0))</f>
        <v>0</v>
      </c>
      <c r="H1673" s="25">
        <f>IF(E1673="","",(E1673*4+3+cfgDeslocamento)/48)</f>
        <v>0</v>
      </c>
    </row>
    <row r="1674" spans="1:8">
      <c r="A1674" s="24"/>
      <c r="B1674" s="19"/>
      <c r="C1674" s="25">
        <f>IF(D1674="","",D1674/48)</f>
        <v>0</v>
      </c>
      <c r="D1674" s="26">
        <f>IF(A1674="","",ROUND((A1674-cfgDefasagem/1440)*48,0))</f>
        <v>0</v>
      </c>
      <c r="E1674" s="26">
        <f>IF(D1674="","",INT((D1674-cfgDeslocamento)/4))</f>
        <v>0</v>
      </c>
      <c r="F1674" s="26">
        <f>IF(D1674="","",MOD(D1674-cfgDeslocamento,4)+1)</f>
        <v>0</v>
      </c>
      <c r="G1674" s="26">
        <f>IF(A1674="","",IF(AND(ISNUMBER(B1674),B1674&lt;&gt;0),1,0))</f>
        <v>0</v>
      </c>
      <c r="H1674" s="25">
        <f>IF(E1674="","",(E1674*4+3+cfgDeslocamento)/48)</f>
        <v>0</v>
      </c>
    </row>
    <row r="1675" spans="1:8">
      <c r="A1675" s="24"/>
      <c r="B1675" s="19"/>
      <c r="C1675" s="25">
        <f>IF(D1675="","",D1675/48)</f>
        <v>0</v>
      </c>
      <c r="D1675" s="26">
        <f>IF(A1675="","",ROUND((A1675-cfgDefasagem/1440)*48,0))</f>
        <v>0</v>
      </c>
      <c r="E1675" s="26">
        <f>IF(D1675="","",INT((D1675-cfgDeslocamento)/4))</f>
        <v>0</v>
      </c>
      <c r="F1675" s="26">
        <f>IF(D1675="","",MOD(D1675-cfgDeslocamento,4)+1)</f>
        <v>0</v>
      </c>
      <c r="G1675" s="26">
        <f>IF(A1675="","",IF(AND(ISNUMBER(B1675),B1675&lt;&gt;0),1,0))</f>
        <v>0</v>
      </c>
      <c r="H1675" s="25">
        <f>IF(E1675="","",(E1675*4+3+cfgDeslocamento)/48)</f>
        <v>0</v>
      </c>
    </row>
    <row r="1676" spans="1:8">
      <c r="A1676" s="24"/>
      <c r="B1676" s="19"/>
      <c r="C1676" s="25">
        <f>IF(D1676="","",D1676/48)</f>
        <v>0</v>
      </c>
      <c r="D1676" s="26">
        <f>IF(A1676="","",ROUND((A1676-cfgDefasagem/1440)*48,0))</f>
        <v>0</v>
      </c>
      <c r="E1676" s="26">
        <f>IF(D1676="","",INT((D1676-cfgDeslocamento)/4))</f>
        <v>0</v>
      </c>
      <c r="F1676" s="26">
        <f>IF(D1676="","",MOD(D1676-cfgDeslocamento,4)+1)</f>
        <v>0</v>
      </c>
      <c r="G1676" s="26">
        <f>IF(A1676="","",IF(AND(ISNUMBER(B1676),B1676&lt;&gt;0),1,0))</f>
        <v>0</v>
      </c>
      <c r="H1676" s="25">
        <f>IF(E1676="","",(E1676*4+3+cfgDeslocamento)/48)</f>
        <v>0</v>
      </c>
    </row>
    <row r="1677" spans="1:8">
      <c r="A1677" s="24"/>
      <c r="B1677" s="19"/>
      <c r="C1677" s="25">
        <f>IF(D1677="","",D1677/48)</f>
        <v>0</v>
      </c>
      <c r="D1677" s="26">
        <f>IF(A1677="","",ROUND((A1677-cfgDefasagem/1440)*48,0))</f>
        <v>0</v>
      </c>
      <c r="E1677" s="26">
        <f>IF(D1677="","",INT((D1677-cfgDeslocamento)/4))</f>
        <v>0</v>
      </c>
      <c r="F1677" s="26">
        <f>IF(D1677="","",MOD(D1677-cfgDeslocamento,4)+1)</f>
        <v>0</v>
      </c>
      <c r="G1677" s="26">
        <f>IF(A1677="","",IF(AND(ISNUMBER(B1677),B1677&lt;&gt;0),1,0))</f>
        <v>0</v>
      </c>
      <c r="H1677" s="25">
        <f>IF(E1677="","",(E1677*4+3+cfgDeslocamento)/48)</f>
        <v>0</v>
      </c>
    </row>
    <row r="1678" spans="1:8">
      <c r="A1678" s="24"/>
      <c r="B1678" s="19"/>
      <c r="C1678" s="25">
        <f>IF(D1678="","",D1678/48)</f>
        <v>0</v>
      </c>
      <c r="D1678" s="26">
        <f>IF(A1678="","",ROUND((A1678-cfgDefasagem/1440)*48,0))</f>
        <v>0</v>
      </c>
      <c r="E1678" s="26">
        <f>IF(D1678="","",INT((D1678-cfgDeslocamento)/4))</f>
        <v>0</v>
      </c>
      <c r="F1678" s="26">
        <f>IF(D1678="","",MOD(D1678-cfgDeslocamento,4)+1)</f>
        <v>0</v>
      </c>
      <c r="G1678" s="26">
        <f>IF(A1678="","",IF(AND(ISNUMBER(B1678),B1678&lt;&gt;0),1,0))</f>
        <v>0</v>
      </c>
      <c r="H1678" s="25">
        <f>IF(E1678="","",(E1678*4+3+cfgDeslocamento)/48)</f>
        <v>0</v>
      </c>
    </row>
    <row r="1679" spans="1:8">
      <c r="A1679" s="24"/>
      <c r="B1679" s="19"/>
      <c r="C1679" s="25">
        <f>IF(D1679="","",D1679/48)</f>
        <v>0</v>
      </c>
      <c r="D1679" s="26">
        <f>IF(A1679="","",ROUND((A1679-cfgDefasagem/1440)*48,0))</f>
        <v>0</v>
      </c>
      <c r="E1679" s="26">
        <f>IF(D1679="","",INT((D1679-cfgDeslocamento)/4))</f>
        <v>0</v>
      </c>
      <c r="F1679" s="26">
        <f>IF(D1679="","",MOD(D1679-cfgDeslocamento,4)+1)</f>
        <v>0</v>
      </c>
      <c r="G1679" s="26">
        <f>IF(A1679="","",IF(AND(ISNUMBER(B1679),B1679&lt;&gt;0),1,0))</f>
        <v>0</v>
      </c>
      <c r="H1679" s="25">
        <f>IF(E1679="","",(E1679*4+3+cfgDeslocamento)/48)</f>
        <v>0</v>
      </c>
    </row>
    <row r="1680" spans="1:8">
      <c r="A1680" s="24"/>
      <c r="B1680" s="19"/>
      <c r="C1680" s="25">
        <f>IF(D1680="","",D1680/48)</f>
        <v>0</v>
      </c>
      <c r="D1680" s="26">
        <f>IF(A1680="","",ROUND((A1680-cfgDefasagem/1440)*48,0))</f>
        <v>0</v>
      </c>
      <c r="E1680" s="26">
        <f>IF(D1680="","",INT((D1680-cfgDeslocamento)/4))</f>
        <v>0</v>
      </c>
      <c r="F1680" s="26">
        <f>IF(D1680="","",MOD(D1680-cfgDeslocamento,4)+1)</f>
        <v>0</v>
      </c>
      <c r="G1680" s="26">
        <f>IF(A1680="","",IF(AND(ISNUMBER(B1680),B1680&lt;&gt;0),1,0))</f>
        <v>0</v>
      </c>
      <c r="H1680" s="25">
        <f>IF(E1680="","",(E1680*4+3+cfgDeslocamento)/48)</f>
        <v>0</v>
      </c>
    </row>
    <row r="1681" spans="1:8">
      <c r="A1681" s="24"/>
      <c r="B1681" s="19"/>
      <c r="C1681" s="25">
        <f>IF(D1681="","",D1681/48)</f>
        <v>0</v>
      </c>
      <c r="D1681" s="26">
        <f>IF(A1681="","",ROUND((A1681-cfgDefasagem/1440)*48,0))</f>
        <v>0</v>
      </c>
      <c r="E1681" s="26">
        <f>IF(D1681="","",INT((D1681-cfgDeslocamento)/4))</f>
        <v>0</v>
      </c>
      <c r="F1681" s="26">
        <f>IF(D1681="","",MOD(D1681-cfgDeslocamento,4)+1)</f>
        <v>0</v>
      </c>
      <c r="G1681" s="26">
        <f>IF(A1681="","",IF(AND(ISNUMBER(B1681),B1681&lt;&gt;0),1,0))</f>
        <v>0</v>
      </c>
      <c r="H1681" s="25">
        <f>IF(E1681="","",(E1681*4+3+cfgDeslocamento)/48)</f>
        <v>0</v>
      </c>
    </row>
    <row r="1682" spans="1:8">
      <c r="A1682" s="24"/>
      <c r="B1682" s="19"/>
      <c r="C1682" s="25">
        <f>IF(D1682="","",D1682/48)</f>
        <v>0</v>
      </c>
      <c r="D1682" s="26">
        <f>IF(A1682="","",ROUND((A1682-cfgDefasagem/1440)*48,0))</f>
        <v>0</v>
      </c>
      <c r="E1682" s="26">
        <f>IF(D1682="","",INT((D1682-cfgDeslocamento)/4))</f>
        <v>0</v>
      </c>
      <c r="F1682" s="26">
        <f>IF(D1682="","",MOD(D1682-cfgDeslocamento,4)+1)</f>
        <v>0</v>
      </c>
      <c r="G1682" s="26">
        <f>IF(A1682="","",IF(AND(ISNUMBER(B1682),B1682&lt;&gt;0),1,0))</f>
        <v>0</v>
      </c>
      <c r="H1682" s="25">
        <f>IF(E1682="","",(E1682*4+3+cfgDeslocamento)/48)</f>
        <v>0</v>
      </c>
    </row>
    <row r="1683" spans="1:8">
      <c r="A1683" s="24"/>
      <c r="B1683" s="19"/>
      <c r="C1683" s="25">
        <f>IF(D1683="","",D1683/48)</f>
        <v>0</v>
      </c>
      <c r="D1683" s="26">
        <f>IF(A1683="","",ROUND((A1683-cfgDefasagem/1440)*48,0))</f>
        <v>0</v>
      </c>
      <c r="E1683" s="26">
        <f>IF(D1683="","",INT((D1683-cfgDeslocamento)/4))</f>
        <v>0</v>
      </c>
      <c r="F1683" s="26">
        <f>IF(D1683="","",MOD(D1683-cfgDeslocamento,4)+1)</f>
        <v>0</v>
      </c>
      <c r="G1683" s="26">
        <f>IF(A1683="","",IF(AND(ISNUMBER(B1683),B1683&lt;&gt;0),1,0))</f>
        <v>0</v>
      </c>
      <c r="H1683" s="25">
        <f>IF(E1683="","",(E1683*4+3+cfgDeslocamento)/48)</f>
        <v>0</v>
      </c>
    </row>
    <row r="1684" spans="1:8">
      <c r="A1684" s="24"/>
      <c r="B1684" s="19"/>
      <c r="C1684" s="25">
        <f>IF(D1684="","",D1684/48)</f>
        <v>0</v>
      </c>
      <c r="D1684" s="26">
        <f>IF(A1684="","",ROUND((A1684-cfgDefasagem/1440)*48,0))</f>
        <v>0</v>
      </c>
      <c r="E1684" s="26">
        <f>IF(D1684="","",INT((D1684-cfgDeslocamento)/4))</f>
        <v>0</v>
      </c>
      <c r="F1684" s="26">
        <f>IF(D1684="","",MOD(D1684-cfgDeslocamento,4)+1)</f>
        <v>0</v>
      </c>
      <c r="G1684" s="26">
        <f>IF(A1684="","",IF(AND(ISNUMBER(B1684),B1684&lt;&gt;0),1,0))</f>
        <v>0</v>
      </c>
      <c r="H1684" s="25">
        <f>IF(E1684="","",(E1684*4+3+cfgDeslocamento)/48)</f>
        <v>0</v>
      </c>
    </row>
    <row r="1685" spans="1:8">
      <c r="A1685" s="24"/>
      <c r="B1685" s="19"/>
      <c r="C1685" s="25">
        <f>IF(D1685="","",D1685/48)</f>
        <v>0</v>
      </c>
      <c r="D1685" s="26">
        <f>IF(A1685="","",ROUND((A1685-cfgDefasagem/1440)*48,0))</f>
        <v>0</v>
      </c>
      <c r="E1685" s="26">
        <f>IF(D1685="","",INT((D1685-cfgDeslocamento)/4))</f>
        <v>0</v>
      </c>
      <c r="F1685" s="26">
        <f>IF(D1685="","",MOD(D1685-cfgDeslocamento,4)+1)</f>
        <v>0</v>
      </c>
      <c r="G1685" s="26">
        <f>IF(A1685="","",IF(AND(ISNUMBER(B1685),B1685&lt;&gt;0),1,0))</f>
        <v>0</v>
      </c>
      <c r="H1685" s="25">
        <f>IF(E1685="","",(E1685*4+3+cfgDeslocamento)/48)</f>
        <v>0</v>
      </c>
    </row>
    <row r="1686" spans="1:8">
      <c r="A1686" s="24"/>
      <c r="B1686" s="19"/>
      <c r="C1686" s="25">
        <f>IF(D1686="","",D1686/48)</f>
        <v>0</v>
      </c>
      <c r="D1686" s="26">
        <f>IF(A1686="","",ROUND((A1686-cfgDefasagem/1440)*48,0))</f>
        <v>0</v>
      </c>
      <c r="E1686" s="26">
        <f>IF(D1686="","",INT((D1686-cfgDeslocamento)/4))</f>
        <v>0</v>
      </c>
      <c r="F1686" s="26">
        <f>IF(D1686="","",MOD(D1686-cfgDeslocamento,4)+1)</f>
        <v>0</v>
      </c>
      <c r="G1686" s="26">
        <f>IF(A1686="","",IF(AND(ISNUMBER(B1686),B1686&lt;&gt;0),1,0))</f>
        <v>0</v>
      </c>
      <c r="H1686" s="25">
        <f>IF(E1686="","",(E1686*4+3+cfgDeslocamento)/48)</f>
        <v>0</v>
      </c>
    </row>
    <row r="1687" spans="1:8">
      <c r="A1687" s="24"/>
      <c r="B1687" s="19"/>
      <c r="C1687" s="25">
        <f>IF(D1687="","",D1687/48)</f>
        <v>0</v>
      </c>
      <c r="D1687" s="26">
        <f>IF(A1687="","",ROUND((A1687-cfgDefasagem/1440)*48,0))</f>
        <v>0</v>
      </c>
      <c r="E1687" s="26">
        <f>IF(D1687="","",INT((D1687-cfgDeslocamento)/4))</f>
        <v>0</v>
      </c>
      <c r="F1687" s="26">
        <f>IF(D1687="","",MOD(D1687-cfgDeslocamento,4)+1)</f>
        <v>0</v>
      </c>
      <c r="G1687" s="26">
        <f>IF(A1687="","",IF(AND(ISNUMBER(B1687),B1687&lt;&gt;0),1,0))</f>
        <v>0</v>
      </c>
      <c r="H1687" s="25">
        <f>IF(E1687="","",(E1687*4+3+cfgDeslocamento)/48)</f>
        <v>0</v>
      </c>
    </row>
    <row r="1688" spans="1:8">
      <c r="A1688" s="24"/>
      <c r="B1688" s="19"/>
      <c r="C1688" s="25">
        <f>IF(D1688="","",D1688/48)</f>
        <v>0</v>
      </c>
      <c r="D1688" s="26">
        <f>IF(A1688="","",ROUND((A1688-cfgDefasagem/1440)*48,0))</f>
        <v>0</v>
      </c>
      <c r="E1688" s="26">
        <f>IF(D1688="","",INT((D1688-cfgDeslocamento)/4))</f>
        <v>0</v>
      </c>
      <c r="F1688" s="26">
        <f>IF(D1688="","",MOD(D1688-cfgDeslocamento,4)+1)</f>
        <v>0</v>
      </c>
      <c r="G1688" s="26">
        <f>IF(A1688="","",IF(AND(ISNUMBER(B1688),B1688&lt;&gt;0),1,0))</f>
        <v>0</v>
      </c>
      <c r="H1688" s="25">
        <f>IF(E1688="","",(E1688*4+3+cfgDeslocamento)/48)</f>
        <v>0</v>
      </c>
    </row>
    <row r="1689" spans="1:8">
      <c r="A1689" s="24"/>
      <c r="B1689" s="19"/>
      <c r="C1689" s="25">
        <f>IF(D1689="","",D1689/48)</f>
        <v>0</v>
      </c>
      <c r="D1689" s="26">
        <f>IF(A1689="","",ROUND((A1689-cfgDefasagem/1440)*48,0))</f>
        <v>0</v>
      </c>
      <c r="E1689" s="26">
        <f>IF(D1689="","",INT((D1689-cfgDeslocamento)/4))</f>
        <v>0</v>
      </c>
      <c r="F1689" s="26">
        <f>IF(D1689="","",MOD(D1689-cfgDeslocamento,4)+1)</f>
        <v>0</v>
      </c>
      <c r="G1689" s="26">
        <f>IF(A1689="","",IF(AND(ISNUMBER(B1689),B1689&lt;&gt;0),1,0))</f>
        <v>0</v>
      </c>
      <c r="H1689" s="25">
        <f>IF(E1689="","",(E1689*4+3+cfgDeslocamento)/48)</f>
        <v>0</v>
      </c>
    </row>
    <row r="1690" spans="1:8">
      <c r="A1690" s="24"/>
      <c r="B1690" s="19"/>
      <c r="C1690" s="25">
        <f>IF(D1690="","",D1690/48)</f>
        <v>0</v>
      </c>
      <c r="D1690" s="26">
        <f>IF(A1690="","",ROUND((A1690-cfgDefasagem/1440)*48,0))</f>
        <v>0</v>
      </c>
      <c r="E1690" s="26">
        <f>IF(D1690="","",INT((D1690-cfgDeslocamento)/4))</f>
        <v>0</v>
      </c>
      <c r="F1690" s="26">
        <f>IF(D1690="","",MOD(D1690-cfgDeslocamento,4)+1)</f>
        <v>0</v>
      </c>
      <c r="G1690" s="26">
        <f>IF(A1690="","",IF(AND(ISNUMBER(B1690),B1690&lt;&gt;0),1,0))</f>
        <v>0</v>
      </c>
      <c r="H1690" s="25">
        <f>IF(E1690="","",(E1690*4+3+cfgDeslocamento)/48)</f>
        <v>0</v>
      </c>
    </row>
    <row r="1691" spans="1:8">
      <c r="A1691" s="24"/>
      <c r="B1691" s="19"/>
      <c r="C1691" s="25">
        <f>IF(D1691="","",D1691/48)</f>
        <v>0</v>
      </c>
      <c r="D1691" s="26">
        <f>IF(A1691="","",ROUND((A1691-cfgDefasagem/1440)*48,0))</f>
        <v>0</v>
      </c>
      <c r="E1691" s="26">
        <f>IF(D1691="","",INT((D1691-cfgDeslocamento)/4))</f>
        <v>0</v>
      </c>
      <c r="F1691" s="26">
        <f>IF(D1691="","",MOD(D1691-cfgDeslocamento,4)+1)</f>
        <v>0</v>
      </c>
      <c r="G1691" s="26">
        <f>IF(A1691="","",IF(AND(ISNUMBER(B1691),B1691&lt;&gt;0),1,0))</f>
        <v>0</v>
      </c>
      <c r="H1691" s="25">
        <f>IF(E1691="","",(E1691*4+3+cfgDeslocamento)/48)</f>
        <v>0</v>
      </c>
    </row>
    <row r="1692" spans="1:8">
      <c r="A1692" s="24"/>
      <c r="B1692" s="19"/>
      <c r="C1692" s="25">
        <f>IF(D1692="","",D1692/48)</f>
        <v>0</v>
      </c>
      <c r="D1692" s="26">
        <f>IF(A1692="","",ROUND((A1692-cfgDefasagem/1440)*48,0))</f>
        <v>0</v>
      </c>
      <c r="E1692" s="26">
        <f>IF(D1692="","",INT((D1692-cfgDeslocamento)/4))</f>
        <v>0</v>
      </c>
      <c r="F1692" s="26">
        <f>IF(D1692="","",MOD(D1692-cfgDeslocamento,4)+1)</f>
        <v>0</v>
      </c>
      <c r="G1692" s="26">
        <f>IF(A1692="","",IF(AND(ISNUMBER(B1692),B1692&lt;&gt;0),1,0))</f>
        <v>0</v>
      </c>
      <c r="H1692" s="25">
        <f>IF(E1692="","",(E1692*4+3+cfgDeslocamento)/48)</f>
        <v>0</v>
      </c>
    </row>
    <row r="1693" spans="1:8">
      <c r="A1693" s="24"/>
      <c r="B1693" s="19"/>
      <c r="C1693" s="25">
        <f>IF(D1693="","",D1693/48)</f>
        <v>0</v>
      </c>
      <c r="D1693" s="26">
        <f>IF(A1693="","",ROUND((A1693-cfgDefasagem/1440)*48,0))</f>
        <v>0</v>
      </c>
      <c r="E1693" s="26">
        <f>IF(D1693="","",INT((D1693-cfgDeslocamento)/4))</f>
        <v>0</v>
      </c>
      <c r="F1693" s="26">
        <f>IF(D1693="","",MOD(D1693-cfgDeslocamento,4)+1)</f>
        <v>0</v>
      </c>
      <c r="G1693" s="26">
        <f>IF(A1693="","",IF(AND(ISNUMBER(B1693),B1693&lt;&gt;0),1,0))</f>
        <v>0</v>
      </c>
      <c r="H1693" s="25">
        <f>IF(E1693="","",(E1693*4+3+cfgDeslocamento)/48)</f>
        <v>0</v>
      </c>
    </row>
    <row r="1694" spans="1:8">
      <c r="A1694" s="24"/>
      <c r="B1694" s="19"/>
      <c r="C1694" s="25">
        <f>IF(D1694="","",D1694/48)</f>
        <v>0</v>
      </c>
      <c r="D1694" s="26">
        <f>IF(A1694="","",ROUND((A1694-cfgDefasagem/1440)*48,0))</f>
        <v>0</v>
      </c>
      <c r="E1694" s="26">
        <f>IF(D1694="","",INT((D1694-cfgDeslocamento)/4))</f>
        <v>0</v>
      </c>
      <c r="F1694" s="26">
        <f>IF(D1694="","",MOD(D1694-cfgDeslocamento,4)+1)</f>
        <v>0</v>
      </c>
      <c r="G1694" s="26">
        <f>IF(A1694="","",IF(AND(ISNUMBER(B1694),B1694&lt;&gt;0),1,0))</f>
        <v>0</v>
      </c>
      <c r="H1694" s="25">
        <f>IF(E1694="","",(E1694*4+3+cfgDeslocamento)/48)</f>
        <v>0</v>
      </c>
    </row>
    <row r="1695" spans="1:8">
      <c r="A1695" s="24"/>
      <c r="B1695" s="19"/>
      <c r="C1695" s="25">
        <f>IF(D1695="","",D1695/48)</f>
        <v>0</v>
      </c>
      <c r="D1695" s="26">
        <f>IF(A1695="","",ROUND((A1695-cfgDefasagem/1440)*48,0))</f>
        <v>0</v>
      </c>
      <c r="E1695" s="26">
        <f>IF(D1695="","",INT((D1695-cfgDeslocamento)/4))</f>
        <v>0</v>
      </c>
      <c r="F1695" s="26">
        <f>IF(D1695="","",MOD(D1695-cfgDeslocamento,4)+1)</f>
        <v>0</v>
      </c>
      <c r="G1695" s="26">
        <f>IF(A1695="","",IF(AND(ISNUMBER(B1695),B1695&lt;&gt;0),1,0))</f>
        <v>0</v>
      </c>
      <c r="H1695" s="25">
        <f>IF(E1695="","",(E1695*4+3+cfgDeslocamento)/48)</f>
        <v>0</v>
      </c>
    </row>
    <row r="1696" spans="1:8">
      <c r="A1696" s="24"/>
      <c r="B1696" s="19"/>
      <c r="C1696" s="25">
        <f>IF(D1696="","",D1696/48)</f>
        <v>0</v>
      </c>
      <c r="D1696" s="26">
        <f>IF(A1696="","",ROUND((A1696-cfgDefasagem/1440)*48,0))</f>
        <v>0</v>
      </c>
      <c r="E1696" s="26">
        <f>IF(D1696="","",INT((D1696-cfgDeslocamento)/4))</f>
        <v>0</v>
      </c>
      <c r="F1696" s="26">
        <f>IF(D1696="","",MOD(D1696-cfgDeslocamento,4)+1)</f>
        <v>0</v>
      </c>
      <c r="G1696" s="26">
        <f>IF(A1696="","",IF(AND(ISNUMBER(B1696),B1696&lt;&gt;0),1,0))</f>
        <v>0</v>
      </c>
      <c r="H1696" s="25">
        <f>IF(E1696="","",(E1696*4+3+cfgDeslocamento)/48)</f>
        <v>0</v>
      </c>
    </row>
    <row r="1697" spans="1:8">
      <c r="A1697" s="24"/>
      <c r="B1697" s="19"/>
      <c r="C1697" s="25">
        <f>IF(D1697="","",D1697/48)</f>
        <v>0</v>
      </c>
      <c r="D1697" s="26">
        <f>IF(A1697="","",ROUND((A1697-cfgDefasagem/1440)*48,0))</f>
        <v>0</v>
      </c>
      <c r="E1697" s="26">
        <f>IF(D1697="","",INT((D1697-cfgDeslocamento)/4))</f>
        <v>0</v>
      </c>
      <c r="F1697" s="26">
        <f>IF(D1697="","",MOD(D1697-cfgDeslocamento,4)+1)</f>
        <v>0</v>
      </c>
      <c r="G1697" s="26">
        <f>IF(A1697="","",IF(AND(ISNUMBER(B1697),B1697&lt;&gt;0),1,0))</f>
        <v>0</v>
      </c>
      <c r="H1697" s="25">
        <f>IF(E1697="","",(E1697*4+3+cfgDeslocamento)/48)</f>
        <v>0</v>
      </c>
    </row>
    <row r="1698" spans="1:8">
      <c r="A1698" s="24"/>
      <c r="B1698" s="19"/>
      <c r="C1698" s="25">
        <f>IF(D1698="","",D1698/48)</f>
        <v>0</v>
      </c>
      <c r="D1698" s="26">
        <f>IF(A1698="","",ROUND((A1698-cfgDefasagem/1440)*48,0))</f>
        <v>0</v>
      </c>
      <c r="E1698" s="26">
        <f>IF(D1698="","",INT((D1698-cfgDeslocamento)/4))</f>
        <v>0</v>
      </c>
      <c r="F1698" s="26">
        <f>IF(D1698="","",MOD(D1698-cfgDeslocamento,4)+1)</f>
        <v>0</v>
      </c>
      <c r="G1698" s="26">
        <f>IF(A1698="","",IF(AND(ISNUMBER(B1698),B1698&lt;&gt;0),1,0))</f>
        <v>0</v>
      </c>
      <c r="H1698" s="25">
        <f>IF(E1698="","",(E1698*4+3+cfgDeslocamento)/48)</f>
        <v>0</v>
      </c>
    </row>
    <row r="1699" spans="1:8">
      <c r="A1699" s="24"/>
      <c r="B1699" s="19"/>
      <c r="C1699" s="25">
        <f>IF(D1699="","",D1699/48)</f>
        <v>0</v>
      </c>
      <c r="D1699" s="26">
        <f>IF(A1699="","",ROUND((A1699-cfgDefasagem/1440)*48,0))</f>
        <v>0</v>
      </c>
      <c r="E1699" s="26">
        <f>IF(D1699="","",INT((D1699-cfgDeslocamento)/4))</f>
        <v>0</v>
      </c>
      <c r="F1699" s="26">
        <f>IF(D1699="","",MOD(D1699-cfgDeslocamento,4)+1)</f>
        <v>0</v>
      </c>
      <c r="G1699" s="26">
        <f>IF(A1699="","",IF(AND(ISNUMBER(B1699),B1699&lt;&gt;0),1,0))</f>
        <v>0</v>
      </c>
      <c r="H1699" s="25">
        <f>IF(E1699="","",(E1699*4+3+cfgDeslocamento)/48)</f>
        <v>0</v>
      </c>
    </row>
    <row r="1700" spans="1:8">
      <c r="A1700" s="24"/>
      <c r="B1700" s="19"/>
      <c r="C1700" s="25">
        <f>IF(D1700="","",D1700/48)</f>
        <v>0</v>
      </c>
      <c r="D1700" s="26">
        <f>IF(A1700="","",ROUND((A1700-cfgDefasagem/1440)*48,0))</f>
        <v>0</v>
      </c>
      <c r="E1700" s="26">
        <f>IF(D1700="","",INT((D1700-cfgDeslocamento)/4))</f>
        <v>0</v>
      </c>
      <c r="F1700" s="26">
        <f>IF(D1700="","",MOD(D1700-cfgDeslocamento,4)+1)</f>
        <v>0</v>
      </c>
      <c r="G1700" s="26">
        <f>IF(A1700="","",IF(AND(ISNUMBER(B1700),B1700&lt;&gt;0),1,0))</f>
        <v>0</v>
      </c>
      <c r="H1700" s="25">
        <f>IF(E1700="","",(E1700*4+3+cfgDeslocamento)/48)</f>
        <v>0</v>
      </c>
    </row>
    <row r="1701" spans="1:8">
      <c r="A1701" s="24"/>
      <c r="B1701" s="19"/>
      <c r="C1701" s="25">
        <f>IF(D1701="","",D1701/48)</f>
        <v>0</v>
      </c>
      <c r="D1701" s="26">
        <f>IF(A1701="","",ROUND((A1701-cfgDefasagem/1440)*48,0))</f>
        <v>0</v>
      </c>
      <c r="E1701" s="26">
        <f>IF(D1701="","",INT((D1701-cfgDeslocamento)/4))</f>
        <v>0</v>
      </c>
      <c r="F1701" s="26">
        <f>IF(D1701="","",MOD(D1701-cfgDeslocamento,4)+1)</f>
        <v>0</v>
      </c>
      <c r="G1701" s="26">
        <f>IF(A1701="","",IF(AND(ISNUMBER(B1701),B1701&lt;&gt;0),1,0))</f>
        <v>0</v>
      </c>
      <c r="H1701" s="25">
        <f>IF(E1701="","",(E1701*4+3+cfgDeslocamento)/48)</f>
        <v>0</v>
      </c>
    </row>
    <row r="1702" spans="1:8">
      <c r="A1702" s="24"/>
      <c r="B1702" s="19"/>
      <c r="C1702" s="25">
        <f>IF(D1702="","",D1702/48)</f>
        <v>0</v>
      </c>
      <c r="D1702" s="26">
        <f>IF(A1702="","",ROUND((A1702-cfgDefasagem/1440)*48,0))</f>
        <v>0</v>
      </c>
      <c r="E1702" s="26">
        <f>IF(D1702="","",INT((D1702-cfgDeslocamento)/4))</f>
        <v>0</v>
      </c>
      <c r="F1702" s="26">
        <f>IF(D1702="","",MOD(D1702-cfgDeslocamento,4)+1)</f>
        <v>0</v>
      </c>
      <c r="G1702" s="26">
        <f>IF(A1702="","",IF(AND(ISNUMBER(B1702),B1702&lt;&gt;0),1,0))</f>
        <v>0</v>
      </c>
      <c r="H1702" s="25">
        <f>IF(E1702="","",(E1702*4+3+cfgDeslocamento)/48)</f>
        <v>0</v>
      </c>
    </row>
    <row r="1703" spans="1:8">
      <c r="A1703" s="24"/>
      <c r="B1703" s="19"/>
      <c r="C1703" s="25">
        <f>IF(D1703="","",D1703/48)</f>
        <v>0</v>
      </c>
      <c r="D1703" s="26">
        <f>IF(A1703="","",ROUND((A1703-cfgDefasagem/1440)*48,0))</f>
        <v>0</v>
      </c>
      <c r="E1703" s="26">
        <f>IF(D1703="","",INT((D1703-cfgDeslocamento)/4))</f>
        <v>0</v>
      </c>
      <c r="F1703" s="26">
        <f>IF(D1703="","",MOD(D1703-cfgDeslocamento,4)+1)</f>
        <v>0</v>
      </c>
      <c r="G1703" s="26">
        <f>IF(A1703="","",IF(AND(ISNUMBER(B1703),B1703&lt;&gt;0),1,0))</f>
        <v>0</v>
      </c>
      <c r="H1703" s="25">
        <f>IF(E1703="","",(E1703*4+3+cfgDeslocamento)/48)</f>
        <v>0</v>
      </c>
    </row>
    <row r="1704" spans="1:8">
      <c r="A1704" s="24"/>
      <c r="B1704" s="19"/>
      <c r="C1704" s="25">
        <f>IF(D1704="","",D1704/48)</f>
        <v>0</v>
      </c>
      <c r="D1704" s="26">
        <f>IF(A1704="","",ROUND((A1704-cfgDefasagem/1440)*48,0))</f>
        <v>0</v>
      </c>
      <c r="E1704" s="26">
        <f>IF(D1704="","",INT((D1704-cfgDeslocamento)/4))</f>
        <v>0</v>
      </c>
      <c r="F1704" s="26">
        <f>IF(D1704="","",MOD(D1704-cfgDeslocamento,4)+1)</f>
        <v>0</v>
      </c>
      <c r="G1704" s="26">
        <f>IF(A1704="","",IF(AND(ISNUMBER(B1704),B1704&lt;&gt;0),1,0))</f>
        <v>0</v>
      </c>
      <c r="H1704" s="25">
        <f>IF(E1704="","",(E1704*4+3+cfgDeslocamento)/48)</f>
        <v>0</v>
      </c>
    </row>
    <row r="1705" spans="1:8">
      <c r="A1705" s="24"/>
      <c r="B1705" s="19"/>
      <c r="C1705" s="25">
        <f>IF(D1705="","",D1705/48)</f>
        <v>0</v>
      </c>
      <c r="D1705" s="26">
        <f>IF(A1705="","",ROUND((A1705-cfgDefasagem/1440)*48,0))</f>
        <v>0</v>
      </c>
      <c r="E1705" s="26">
        <f>IF(D1705="","",INT((D1705-cfgDeslocamento)/4))</f>
        <v>0</v>
      </c>
      <c r="F1705" s="26">
        <f>IF(D1705="","",MOD(D1705-cfgDeslocamento,4)+1)</f>
        <v>0</v>
      </c>
      <c r="G1705" s="26">
        <f>IF(A1705="","",IF(AND(ISNUMBER(B1705),B1705&lt;&gt;0),1,0))</f>
        <v>0</v>
      </c>
      <c r="H1705" s="25">
        <f>IF(E1705="","",(E1705*4+3+cfgDeslocamento)/48)</f>
        <v>0</v>
      </c>
    </row>
    <row r="1706" spans="1:8">
      <c r="A1706" s="24"/>
      <c r="B1706" s="19"/>
      <c r="C1706" s="25">
        <f>IF(D1706="","",D1706/48)</f>
        <v>0</v>
      </c>
      <c r="D1706" s="26">
        <f>IF(A1706="","",ROUND((A1706-cfgDefasagem/1440)*48,0))</f>
        <v>0</v>
      </c>
      <c r="E1706" s="26">
        <f>IF(D1706="","",INT((D1706-cfgDeslocamento)/4))</f>
        <v>0</v>
      </c>
      <c r="F1706" s="26">
        <f>IF(D1706="","",MOD(D1706-cfgDeslocamento,4)+1)</f>
        <v>0</v>
      </c>
      <c r="G1706" s="26">
        <f>IF(A1706="","",IF(AND(ISNUMBER(B1706),B1706&lt;&gt;0),1,0))</f>
        <v>0</v>
      </c>
      <c r="H1706" s="25">
        <f>IF(E1706="","",(E1706*4+3+cfgDeslocamento)/48)</f>
        <v>0</v>
      </c>
    </row>
    <row r="1707" spans="1:8">
      <c r="A1707" s="24"/>
      <c r="B1707" s="19"/>
      <c r="C1707" s="25">
        <f>IF(D1707="","",D1707/48)</f>
        <v>0</v>
      </c>
      <c r="D1707" s="26">
        <f>IF(A1707="","",ROUND((A1707-cfgDefasagem/1440)*48,0))</f>
        <v>0</v>
      </c>
      <c r="E1707" s="26">
        <f>IF(D1707="","",INT((D1707-cfgDeslocamento)/4))</f>
        <v>0</v>
      </c>
      <c r="F1707" s="26">
        <f>IF(D1707="","",MOD(D1707-cfgDeslocamento,4)+1)</f>
        <v>0</v>
      </c>
      <c r="G1707" s="26">
        <f>IF(A1707="","",IF(AND(ISNUMBER(B1707),B1707&lt;&gt;0),1,0))</f>
        <v>0</v>
      </c>
      <c r="H1707" s="25">
        <f>IF(E1707="","",(E1707*4+3+cfgDeslocamento)/48)</f>
        <v>0</v>
      </c>
    </row>
    <row r="1708" spans="1:8">
      <c r="A1708" s="24"/>
      <c r="B1708" s="19"/>
      <c r="C1708" s="25">
        <f>IF(D1708="","",D1708/48)</f>
        <v>0</v>
      </c>
      <c r="D1708" s="26">
        <f>IF(A1708="","",ROUND((A1708-cfgDefasagem/1440)*48,0))</f>
        <v>0</v>
      </c>
      <c r="E1708" s="26">
        <f>IF(D1708="","",INT((D1708-cfgDeslocamento)/4))</f>
        <v>0</v>
      </c>
      <c r="F1708" s="26">
        <f>IF(D1708="","",MOD(D1708-cfgDeslocamento,4)+1)</f>
        <v>0</v>
      </c>
      <c r="G1708" s="26">
        <f>IF(A1708="","",IF(AND(ISNUMBER(B1708),B1708&lt;&gt;0),1,0))</f>
        <v>0</v>
      </c>
      <c r="H1708" s="25">
        <f>IF(E1708="","",(E1708*4+3+cfgDeslocamento)/48)</f>
        <v>0</v>
      </c>
    </row>
    <row r="1709" spans="1:8">
      <c r="A1709" s="24"/>
      <c r="B1709" s="19"/>
      <c r="C1709" s="25">
        <f>IF(D1709="","",D1709/48)</f>
        <v>0</v>
      </c>
      <c r="D1709" s="26">
        <f>IF(A1709="","",ROUND((A1709-cfgDefasagem/1440)*48,0))</f>
        <v>0</v>
      </c>
      <c r="E1709" s="26">
        <f>IF(D1709="","",INT((D1709-cfgDeslocamento)/4))</f>
        <v>0</v>
      </c>
      <c r="F1709" s="26">
        <f>IF(D1709="","",MOD(D1709-cfgDeslocamento,4)+1)</f>
        <v>0</v>
      </c>
      <c r="G1709" s="26">
        <f>IF(A1709="","",IF(AND(ISNUMBER(B1709),B1709&lt;&gt;0),1,0))</f>
        <v>0</v>
      </c>
      <c r="H1709" s="25">
        <f>IF(E1709="","",(E1709*4+3+cfgDeslocamento)/48)</f>
        <v>0</v>
      </c>
    </row>
    <row r="1710" spans="1:8">
      <c r="A1710" s="24"/>
      <c r="B1710" s="19"/>
      <c r="C1710" s="25">
        <f>IF(D1710="","",D1710/48)</f>
        <v>0</v>
      </c>
      <c r="D1710" s="26">
        <f>IF(A1710="","",ROUND((A1710-cfgDefasagem/1440)*48,0))</f>
        <v>0</v>
      </c>
      <c r="E1710" s="26">
        <f>IF(D1710="","",INT((D1710-cfgDeslocamento)/4))</f>
        <v>0</v>
      </c>
      <c r="F1710" s="26">
        <f>IF(D1710="","",MOD(D1710-cfgDeslocamento,4)+1)</f>
        <v>0</v>
      </c>
      <c r="G1710" s="26">
        <f>IF(A1710="","",IF(AND(ISNUMBER(B1710),B1710&lt;&gt;0),1,0))</f>
        <v>0</v>
      </c>
      <c r="H1710" s="25">
        <f>IF(E1710="","",(E1710*4+3+cfgDeslocamento)/48)</f>
        <v>0</v>
      </c>
    </row>
    <row r="1711" spans="1:8">
      <c r="A1711" s="24"/>
      <c r="B1711" s="19"/>
      <c r="C1711" s="25">
        <f>IF(D1711="","",D1711/48)</f>
        <v>0</v>
      </c>
      <c r="D1711" s="26">
        <f>IF(A1711="","",ROUND((A1711-cfgDefasagem/1440)*48,0))</f>
        <v>0</v>
      </c>
      <c r="E1711" s="26">
        <f>IF(D1711="","",INT((D1711-cfgDeslocamento)/4))</f>
        <v>0</v>
      </c>
      <c r="F1711" s="26">
        <f>IF(D1711="","",MOD(D1711-cfgDeslocamento,4)+1)</f>
        <v>0</v>
      </c>
      <c r="G1711" s="26">
        <f>IF(A1711="","",IF(AND(ISNUMBER(B1711),B1711&lt;&gt;0),1,0))</f>
        <v>0</v>
      </c>
      <c r="H1711" s="25">
        <f>IF(E1711="","",(E1711*4+3+cfgDeslocamento)/48)</f>
        <v>0</v>
      </c>
    </row>
    <row r="1712" spans="1:8">
      <c r="A1712" s="24"/>
      <c r="B1712" s="19"/>
      <c r="C1712" s="25">
        <f>IF(D1712="","",D1712/48)</f>
        <v>0</v>
      </c>
      <c r="D1712" s="26">
        <f>IF(A1712="","",ROUND((A1712-cfgDefasagem/1440)*48,0))</f>
        <v>0</v>
      </c>
      <c r="E1712" s="26">
        <f>IF(D1712="","",INT((D1712-cfgDeslocamento)/4))</f>
        <v>0</v>
      </c>
      <c r="F1712" s="26">
        <f>IF(D1712="","",MOD(D1712-cfgDeslocamento,4)+1)</f>
        <v>0</v>
      </c>
      <c r="G1712" s="26">
        <f>IF(A1712="","",IF(AND(ISNUMBER(B1712),B1712&lt;&gt;0),1,0))</f>
        <v>0</v>
      </c>
      <c r="H1712" s="25">
        <f>IF(E1712="","",(E1712*4+3+cfgDeslocamento)/48)</f>
        <v>0</v>
      </c>
    </row>
    <row r="1713" spans="1:8">
      <c r="A1713" s="24"/>
      <c r="B1713" s="19"/>
      <c r="C1713" s="25">
        <f>IF(D1713="","",D1713/48)</f>
        <v>0</v>
      </c>
      <c r="D1713" s="26">
        <f>IF(A1713="","",ROUND((A1713-cfgDefasagem/1440)*48,0))</f>
        <v>0</v>
      </c>
      <c r="E1713" s="26">
        <f>IF(D1713="","",INT((D1713-cfgDeslocamento)/4))</f>
        <v>0</v>
      </c>
      <c r="F1713" s="26">
        <f>IF(D1713="","",MOD(D1713-cfgDeslocamento,4)+1)</f>
        <v>0</v>
      </c>
      <c r="G1713" s="26">
        <f>IF(A1713="","",IF(AND(ISNUMBER(B1713),B1713&lt;&gt;0),1,0))</f>
        <v>0</v>
      </c>
      <c r="H1713" s="25">
        <f>IF(E1713="","",(E1713*4+3+cfgDeslocamento)/48)</f>
        <v>0</v>
      </c>
    </row>
    <row r="1714" spans="1:8">
      <c r="A1714" s="24"/>
      <c r="B1714" s="19"/>
      <c r="C1714" s="25">
        <f>IF(D1714="","",D1714/48)</f>
        <v>0</v>
      </c>
      <c r="D1714" s="26">
        <f>IF(A1714="","",ROUND((A1714-cfgDefasagem/1440)*48,0))</f>
        <v>0</v>
      </c>
      <c r="E1714" s="26">
        <f>IF(D1714="","",INT((D1714-cfgDeslocamento)/4))</f>
        <v>0</v>
      </c>
      <c r="F1714" s="26">
        <f>IF(D1714="","",MOD(D1714-cfgDeslocamento,4)+1)</f>
        <v>0</v>
      </c>
      <c r="G1714" s="26">
        <f>IF(A1714="","",IF(AND(ISNUMBER(B1714),B1714&lt;&gt;0),1,0))</f>
        <v>0</v>
      </c>
      <c r="H1714" s="25">
        <f>IF(E1714="","",(E1714*4+3+cfgDeslocamento)/48)</f>
        <v>0</v>
      </c>
    </row>
    <row r="1715" spans="1:8">
      <c r="A1715" s="24"/>
      <c r="B1715" s="19"/>
      <c r="C1715" s="25">
        <f>IF(D1715="","",D1715/48)</f>
        <v>0</v>
      </c>
      <c r="D1715" s="26">
        <f>IF(A1715="","",ROUND((A1715-cfgDefasagem/1440)*48,0))</f>
        <v>0</v>
      </c>
      <c r="E1715" s="26">
        <f>IF(D1715="","",INT((D1715-cfgDeslocamento)/4))</f>
        <v>0</v>
      </c>
      <c r="F1715" s="26">
        <f>IF(D1715="","",MOD(D1715-cfgDeslocamento,4)+1)</f>
        <v>0</v>
      </c>
      <c r="G1715" s="26">
        <f>IF(A1715="","",IF(AND(ISNUMBER(B1715),B1715&lt;&gt;0),1,0))</f>
        <v>0</v>
      </c>
      <c r="H1715" s="25">
        <f>IF(E1715="","",(E1715*4+3+cfgDeslocamento)/48)</f>
        <v>0</v>
      </c>
    </row>
    <row r="1716" spans="1:8">
      <c r="A1716" s="24"/>
      <c r="B1716" s="19"/>
      <c r="C1716" s="25">
        <f>IF(D1716="","",D1716/48)</f>
        <v>0</v>
      </c>
      <c r="D1716" s="26">
        <f>IF(A1716="","",ROUND((A1716-cfgDefasagem/1440)*48,0))</f>
        <v>0</v>
      </c>
      <c r="E1716" s="26">
        <f>IF(D1716="","",INT((D1716-cfgDeslocamento)/4))</f>
        <v>0</v>
      </c>
      <c r="F1716" s="26">
        <f>IF(D1716="","",MOD(D1716-cfgDeslocamento,4)+1)</f>
        <v>0</v>
      </c>
      <c r="G1716" s="26">
        <f>IF(A1716="","",IF(AND(ISNUMBER(B1716),B1716&lt;&gt;0),1,0))</f>
        <v>0</v>
      </c>
      <c r="H1716" s="25">
        <f>IF(E1716="","",(E1716*4+3+cfgDeslocamento)/48)</f>
        <v>0</v>
      </c>
    </row>
    <row r="1717" spans="1:8">
      <c r="A1717" s="24"/>
      <c r="B1717" s="19"/>
      <c r="C1717" s="25">
        <f>IF(D1717="","",D1717/48)</f>
        <v>0</v>
      </c>
      <c r="D1717" s="26">
        <f>IF(A1717="","",ROUND((A1717-cfgDefasagem/1440)*48,0))</f>
        <v>0</v>
      </c>
      <c r="E1717" s="26">
        <f>IF(D1717="","",INT((D1717-cfgDeslocamento)/4))</f>
        <v>0</v>
      </c>
      <c r="F1717" s="26">
        <f>IF(D1717="","",MOD(D1717-cfgDeslocamento,4)+1)</f>
        <v>0</v>
      </c>
      <c r="G1717" s="26">
        <f>IF(A1717="","",IF(AND(ISNUMBER(B1717),B1717&lt;&gt;0),1,0))</f>
        <v>0</v>
      </c>
      <c r="H1717" s="25">
        <f>IF(E1717="","",(E1717*4+3+cfgDeslocamento)/48)</f>
        <v>0</v>
      </c>
    </row>
    <row r="1718" spans="1:8">
      <c r="A1718" s="24"/>
      <c r="B1718" s="19"/>
      <c r="C1718" s="25">
        <f>IF(D1718="","",D1718/48)</f>
        <v>0</v>
      </c>
      <c r="D1718" s="26">
        <f>IF(A1718="","",ROUND((A1718-cfgDefasagem/1440)*48,0))</f>
        <v>0</v>
      </c>
      <c r="E1718" s="26">
        <f>IF(D1718="","",INT((D1718-cfgDeslocamento)/4))</f>
        <v>0</v>
      </c>
      <c r="F1718" s="26">
        <f>IF(D1718="","",MOD(D1718-cfgDeslocamento,4)+1)</f>
        <v>0</v>
      </c>
      <c r="G1718" s="26">
        <f>IF(A1718="","",IF(AND(ISNUMBER(B1718),B1718&lt;&gt;0),1,0))</f>
        <v>0</v>
      </c>
      <c r="H1718" s="25">
        <f>IF(E1718="","",(E1718*4+3+cfgDeslocamento)/48)</f>
        <v>0</v>
      </c>
    </row>
    <row r="1719" spans="1:8">
      <c r="A1719" s="24"/>
      <c r="B1719" s="19"/>
      <c r="C1719" s="25">
        <f>IF(D1719="","",D1719/48)</f>
        <v>0</v>
      </c>
      <c r="D1719" s="26">
        <f>IF(A1719="","",ROUND((A1719-cfgDefasagem/1440)*48,0))</f>
        <v>0</v>
      </c>
      <c r="E1719" s="26">
        <f>IF(D1719="","",INT((D1719-cfgDeslocamento)/4))</f>
        <v>0</v>
      </c>
      <c r="F1719" s="26">
        <f>IF(D1719="","",MOD(D1719-cfgDeslocamento,4)+1)</f>
        <v>0</v>
      </c>
      <c r="G1719" s="26">
        <f>IF(A1719="","",IF(AND(ISNUMBER(B1719),B1719&lt;&gt;0),1,0))</f>
        <v>0</v>
      </c>
      <c r="H1719" s="25">
        <f>IF(E1719="","",(E1719*4+3+cfgDeslocamento)/48)</f>
        <v>0</v>
      </c>
    </row>
    <row r="1720" spans="1:8">
      <c r="A1720" s="24"/>
      <c r="B1720" s="19"/>
      <c r="C1720" s="25">
        <f>IF(D1720="","",D1720/48)</f>
        <v>0</v>
      </c>
      <c r="D1720" s="26">
        <f>IF(A1720="","",ROUND((A1720-cfgDefasagem/1440)*48,0))</f>
        <v>0</v>
      </c>
      <c r="E1720" s="26">
        <f>IF(D1720="","",INT((D1720-cfgDeslocamento)/4))</f>
        <v>0</v>
      </c>
      <c r="F1720" s="26">
        <f>IF(D1720="","",MOD(D1720-cfgDeslocamento,4)+1)</f>
        <v>0</v>
      </c>
      <c r="G1720" s="26">
        <f>IF(A1720="","",IF(AND(ISNUMBER(B1720),B1720&lt;&gt;0),1,0))</f>
        <v>0</v>
      </c>
      <c r="H1720" s="25">
        <f>IF(E1720="","",(E1720*4+3+cfgDeslocamento)/48)</f>
        <v>0</v>
      </c>
    </row>
    <row r="1721" spans="1:8">
      <c r="A1721" s="24"/>
      <c r="B1721" s="19"/>
      <c r="C1721" s="25">
        <f>IF(D1721="","",D1721/48)</f>
        <v>0</v>
      </c>
      <c r="D1721" s="26">
        <f>IF(A1721="","",ROUND((A1721-cfgDefasagem/1440)*48,0))</f>
        <v>0</v>
      </c>
      <c r="E1721" s="26">
        <f>IF(D1721="","",INT((D1721-cfgDeslocamento)/4))</f>
        <v>0</v>
      </c>
      <c r="F1721" s="26">
        <f>IF(D1721="","",MOD(D1721-cfgDeslocamento,4)+1)</f>
        <v>0</v>
      </c>
      <c r="G1721" s="26">
        <f>IF(A1721="","",IF(AND(ISNUMBER(B1721),B1721&lt;&gt;0),1,0))</f>
        <v>0</v>
      </c>
      <c r="H1721" s="25">
        <f>IF(E1721="","",(E1721*4+3+cfgDeslocamento)/48)</f>
        <v>0</v>
      </c>
    </row>
    <row r="1722" spans="1:8">
      <c r="A1722" s="24"/>
      <c r="B1722" s="19"/>
      <c r="C1722" s="25">
        <f>IF(D1722="","",D1722/48)</f>
        <v>0</v>
      </c>
      <c r="D1722" s="26">
        <f>IF(A1722="","",ROUND((A1722-cfgDefasagem/1440)*48,0))</f>
        <v>0</v>
      </c>
      <c r="E1722" s="26">
        <f>IF(D1722="","",INT((D1722-cfgDeslocamento)/4))</f>
        <v>0</v>
      </c>
      <c r="F1722" s="26">
        <f>IF(D1722="","",MOD(D1722-cfgDeslocamento,4)+1)</f>
        <v>0</v>
      </c>
      <c r="G1722" s="26">
        <f>IF(A1722="","",IF(AND(ISNUMBER(B1722),B1722&lt;&gt;0),1,0))</f>
        <v>0</v>
      </c>
      <c r="H1722" s="25">
        <f>IF(E1722="","",(E1722*4+3+cfgDeslocamento)/48)</f>
        <v>0</v>
      </c>
    </row>
    <row r="1723" spans="1:8">
      <c r="A1723" s="24"/>
      <c r="B1723" s="19"/>
      <c r="C1723" s="25">
        <f>IF(D1723="","",D1723/48)</f>
        <v>0</v>
      </c>
      <c r="D1723" s="26">
        <f>IF(A1723="","",ROUND((A1723-cfgDefasagem/1440)*48,0))</f>
        <v>0</v>
      </c>
      <c r="E1723" s="26">
        <f>IF(D1723="","",INT((D1723-cfgDeslocamento)/4))</f>
        <v>0</v>
      </c>
      <c r="F1723" s="26">
        <f>IF(D1723="","",MOD(D1723-cfgDeslocamento,4)+1)</f>
        <v>0</v>
      </c>
      <c r="G1723" s="26">
        <f>IF(A1723="","",IF(AND(ISNUMBER(B1723),B1723&lt;&gt;0),1,0))</f>
        <v>0</v>
      </c>
      <c r="H1723" s="25">
        <f>IF(E1723="","",(E1723*4+3+cfgDeslocamento)/48)</f>
        <v>0</v>
      </c>
    </row>
    <row r="1724" spans="1:8">
      <c r="A1724" s="24"/>
      <c r="B1724" s="19"/>
      <c r="C1724" s="25">
        <f>IF(D1724="","",D1724/48)</f>
        <v>0</v>
      </c>
      <c r="D1724" s="26">
        <f>IF(A1724="","",ROUND((A1724-cfgDefasagem/1440)*48,0))</f>
        <v>0</v>
      </c>
      <c r="E1724" s="26">
        <f>IF(D1724="","",INT((D1724-cfgDeslocamento)/4))</f>
        <v>0</v>
      </c>
      <c r="F1724" s="26">
        <f>IF(D1724="","",MOD(D1724-cfgDeslocamento,4)+1)</f>
        <v>0</v>
      </c>
      <c r="G1724" s="26">
        <f>IF(A1724="","",IF(AND(ISNUMBER(B1724),B1724&lt;&gt;0),1,0))</f>
        <v>0</v>
      </c>
      <c r="H1724" s="25">
        <f>IF(E1724="","",(E1724*4+3+cfgDeslocamento)/48)</f>
        <v>0</v>
      </c>
    </row>
    <row r="1725" spans="1:8">
      <c r="A1725" s="24"/>
      <c r="B1725" s="19"/>
      <c r="C1725" s="25">
        <f>IF(D1725="","",D1725/48)</f>
        <v>0</v>
      </c>
      <c r="D1725" s="26">
        <f>IF(A1725="","",ROUND((A1725-cfgDefasagem/1440)*48,0))</f>
        <v>0</v>
      </c>
      <c r="E1725" s="26">
        <f>IF(D1725="","",INT((D1725-cfgDeslocamento)/4))</f>
        <v>0</v>
      </c>
      <c r="F1725" s="26">
        <f>IF(D1725="","",MOD(D1725-cfgDeslocamento,4)+1)</f>
        <v>0</v>
      </c>
      <c r="G1725" s="26">
        <f>IF(A1725="","",IF(AND(ISNUMBER(B1725),B1725&lt;&gt;0),1,0))</f>
        <v>0</v>
      </c>
      <c r="H1725" s="25">
        <f>IF(E1725="","",(E1725*4+3+cfgDeslocamento)/48)</f>
        <v>0</v>
      </c>
    </row>
    <row r="1726" spans="1:8">
      <c r="A1726" s="24"/>
      <c r="B1726" s="19"/>
      <c r="C1726" s="25">
        <f>IF(D1726="","",D1726/48)</f>
        <v>0</v>
      </c>
      <c r="D1726" s="26">
        <f>IF(A1726="","",ROUND((A1726-cfgDefasagem/1440)*48,0))</f>
        <v>0</v>
      </c>
      <c r="E1726" s="26">
        <f>IF(D1726="","",INT((D1726-cfgDeslocamento)/4))</f>
        <v>0</v>
      </c>
      <c r="F1726" s="26">
        <f>IF(D1726="","",MOD(D1726-cfgDeslocamento,4)+1)</f>
        <v>0</v>
      </c>
      <c r="G1726" s="26">
        <f>IF(A1726="","",IF(AND(ISNUMBER(B1726),B1726&lt;&gt;0),1,0))</f>
        <v>0</v>
      </c>
      <c r="H1726" s="25">
        <f>IF(E1726="","",(E1726*4+3+cfgDeslocamento)/48)</f>
        <v>0</v>
      </c>
    </row>
    <row r="1727" spans="1:8">
      <c r="A1727" s="24"/>
      <c r="B1727" s="19"/>
      <c r="C1727" s="25">
        <f>IF(D1727="","",D1727/48)</f>
        <v>0</v>
      </c>
      <c r="D1727" s="26">
        <f>IF(A1727="","",ROUND((A1727-cfgDefasagem/1440)*48,0))</f>
        <v>0</v>
      </c>
      <c r="E1727" s="26">
        <f>IF(D1727="","",INT((D1727-cfgDeslocamento)/4))</f>
        <v>0</v>
      </c>
      <c r="F1727" s="26">
        <f>IF(D1727="","",MOD(D1727-cfgDeslocamento,4)+1)</f>
        <v>0</v>
      </c>
      <c r="G1727" s="26">
        <f>IF(A1727="","",IF(AND(ISNUMBER(B1727),B1727&lt;&gt;0),1,0))</f>
        <v>0</v>
      </c>
      <c r="H1727" s="25">
        <f>IF(E1727="","",(E1727*4+3+cfgDeslocamento)/48)</f>
        <v>0</v>
      </c>
    </row>
    <row r="1728" spans="1:8">
      <c r="A1728" s="24"/>
      <c r="B1728" s="19"/>
      <c r="C1728" s="25">
        <f>IF(D1728="","",D1728/48)</f>
        <v>0</v>
      </c>
      <c r="D1728" s="26">
        <f>IF(A1728="","",ROUND((A1728-cfgDefasagem/1440)*48,0))</f>
        <v>0</v>
      </c>
      <c r="E1728" s="26">
        <f>IF(D1728="","",INT((D1728-cfgDeslocamento)/4))</f>
        <v>0</v>
      </c>
      <c r="F1728" s="26">
        <f>IF(D1728="","",MOD(D1728-cfgDeslocamento,4)+1)</f>
        <v>0</v>
      </c>
      <c r="G1728" s="26">
        <f>IF(A1728="","",IF(AND(ISNUMBER(B1728),B1728&lt;&gt;0),1,0))</f>
        <v>0</v>
      </c>
      <c r="H1728" s="25">
        <f>IF(E1728="","",(E1728*4+3+cfgDeslocamento)/48)</f>
        <v>0</v>
      </c>
    </row>
    <row r="1729" spans="1:8">
      <c r="A1729" s="24"/>
      <c r="B1729" s="19"/>
      <c r="C1729" s="25">
        <f>IF(D1729="","",D1729/48)</f>
        <v>0</v>
      </c>
      <c r="D1729" s="26">
        <f>IF(A1729="","",ROUND((A1729-cfgDefasagem/1440)*48,0))</f>
        <v>0</v>
      </c>
      <c r="E1729" s="26">
        <f>IF(D1729="","",INT((D1729-cfgDeslocamento)/4))</f>
        <v>0</v>
      </c>
      <c r="F1729" s="26">
        <f>IF(D1729="","",MOD(D1729-cfgDeslocamento,4)+1)</f>
        <v>0</v>
      </c>
      <c r="G1729" s="26">
        <f>IF(A1729="","",IF(AND(ISNUMBER(B1729),B1729&lt;&gt;0),1,0))</f>
        <v>0</v>
      </c>
      <c r="H1729" s="25">
        <f>IF(E1729="","",(E1729*4+3+cfgDeslocamento)/48)</f>
        <v>0</v>
      </c>
    </row>
    <row r="1730" spans="1:8">
      <c r="A1730" s="24"/>
      <c r="B1730" s="19"/>
      <c r="C1730" s="25">
        <f>IF(D1730="","",D1730/48)</f>
        <v>0</v>
      </c>
      <c r="D1730" s="26">
        <f>IF(A1730="","",ROUND((A1730-cfgDefasagem/1440)*48,0))</f>
        <v>0</v>
      </c>
      <c r="E1730" s="26">
        <f>IF(D1730="","",INT((D1730-cfgDeslocamento)/4))</f>
        <v>0</v>
      </c>
      <c r="F1730" s="26">
        <f>IF(D1730="","",MOD(D1730-cfgDeslocamento,4)+1)</f>
        <v>0</v>
      </c>
      <c r="G1730" s="26">
        <f>IF(A1730="","",IF(AND(ISNUMBER(B1730),B1730&lt;&gt;0),1,0))</f>
        <v>0</v>
      </c>
      <c r="H1730" s="25">
        <f>IF(E1730="","",(E1730*4+3+cfgDeslocamento)/48)</f>
        <v>0</v>
      </c>
    </row>
    <row r="1731" spans="1:8">
      <c r="A1731" s="24"/>
      <c r="B1731" s="19"/>
      <c r="C1731" s="25">
        <f>IF(D1731="","",D1731/48)</f>
        <v>0</v>
      </c>
      <c r="D1731" s="26">
        <f>IF(A1731="","",ROUND((A1731-cfgDefasagem/1440)*48,0))</f>
        <v>0</v>
      </c>
      <c r="E1731" s="26">
        <f>IF(D1731="","",INT((D1731-cfgDeslocamento)/4))</f>
        <v>0</v>
      </c>
      <c r="F1731" s="26">
        <f>IF(D1731="","",MOD(D1731-cfgDeslocamento,4)+1)</f>
        <v>0</v>
      </c>
      <c r="G1731" s="26">
        <f>IF(A1731="","",IF(AND(ISNUMBER(B1731),B1731&lt;&gt;0),1,0))</f>
        <v>0</v>
      </c>
      <c r="H1731" s="25">
        <f>IF(E1731="","",(E1731*4+3+cfgDeslocamento)/48)</f>
        <v>0</v>
      </c>
    </row>
    <row r="1732" spans="1:8">
      <c r="A1732" s="24"/>
      <c r="B1732" s="19"/>
      <c r="C1732" s="25">
        <f>IF(D1732="","",D1732/48)</f>
        <v>0</v>
      </c>
      <c r="D1732" s="26">
        <f>IF(A1732="","",ROUND((A1732-cfgDefasagem/1440)*48,0))</f>
        <v>0</v>
      </c>
      <c r="E1732" s="26">
        <f>IF(D1732="","",INT((D1732-cfgDeslocamento)/4))</f>
        <v>0</v>
      </c>
      <c r="F1732" s="26">
        <f>IF(D1732="","",MOD(D1732-cfgDeslocamento,4)+1)</f>
        <v>0</v>
      </c>
      <c r="G1732" s="26">
        <f>IF(A1732="","",IF(AND(ISNUMBER(B1732),B1732&lt;&gt;0),1,0))</f>
        <v>0</v>
      </c>
      <c r="H1732" s="25">
        <f>IF(E1732="","",(E1732*4+3+cfgDeslocamento)/48)</f>
        <v>0</v>
      </c>
    </row>
    <row r="1733" spans="1:8">
      <c r="A1733" s="24"/>
      <c r="B1733" s="19"/>
      <c r="C1733" s="25">
        <f>IF(D1733="","",D1733/48)</f>
        <v>0</v>
      </c>
      <c r="D1733" s="26">
        <f>IF(A1733="","",ROUND((A1733-cfgDefasagem/1440)*48,0))</f>
        <v>0</v>
      </c>
      <c r="E1733" s="26">
        <f>IF(D1733="","",INT((D1733-cfgDeslocamento)/4))</f>
        <v>0</v>
      </c>
      <c r="F1733" s="26">
        <f>IF(D1733="","",MOD(D1733-cfgDeslocamento,4)+1)</f>
        <v>0</v>
      </c>
      <c r="G1733" s="26">
        <f>IF(A1733="","",IF(AND(ISNUMBER(B1733),B1733&lt;&gt;0),1,0))</f>
        <v>0</v>
      </c>
      <c r="H1733" s="25">
        <f>IF(E1733="","",(E1733*4+3+cfgDeslocamento)/48)</f>
        <v>0</v>
      </c>
    </row>
    <row r="1734" spans="1:8">
      <c r="A1734" s="24"/>
      <c r="B1734" s="19"/>
      <c r="C1734" s="25">
        <f>IF(D1734="","",D1734/48)</f>
        <v>0</v>
      </c>
      <c r="D1734" s="26">
        <f>IF(A1734="","",ROUND((A1734-cfgDefasagem/1440)*48,0))</f>
        <v>0</v>
      </c>
      <c r="E1734" s="26">
        <f>IF(D1734="","",INT((D1734-cfgDeslocamento)/4))</f>
        <v>0</v>
      </c>
      <c r="F1734" s="26">
        <f>IF(D1734="","",MOD(D1734-cfgDeslocamento,4)+1)</f>
        <v>0</v>
      </c>
      <c r="G1734" s="26">
        <f>IF(A1734="","",IF(AND(ISNUMBER(B1734),B1734&lt;&gt;0),1,0))</f>
        <v>0</v>
      </c>
      <c r="H1734" s="25">
        <f>IF(E1734="","",(E1734*4+3+cfgDeslocamento)/48)</f>
        <v>0</v>
      </c>
    </row>
    <row r="1735" spans="1:8">
      <c r="A1735" s="24"/>
      <c r="B1735" s="19"/>
      <c r="C1735" s="25">
        <f>IF(D1735="","",D1735/48)</f>
        <v>0</v>
      </c>
      <c r="D1735" s="26">
        <f>IF(A1735="","",ROUND((A1735-cfgDefasagem/1440)*48,0))</f>
        <v>0</v>
      </c>
      <c r="E1735" s="26">
        <f>IF(D1735="","",INT((D1735-cfgDeslocamento)/4))</f>
        <v>0</v>
      </c>
      <c r="F1735" s="26">
        <f>IF(D1735="","",MOD(D1735-cfgDeslocamento,4)+1)</f>
        <v>0</v>
      </c>
      <c r="G1735" s="26">
        <f>IF(A1735="","",IF(AND(ISNUMBER(B1735),B1735&lt;&gt;0),1,0))</f>
        <v>0</v>
      </c>
      <c r="H1735" s="25">
        <f>IF(E1735="","",(E1735*4+3+cfgDeslocamento)/48)</f>
        <v>0</v>
      </c>
    </row>
    <row r="1736" spans="1:8">
      <c r="A1736" s="24"/>
      <c r="B1736" s="19"/>
      <c r="C1736" s="25">
        <f>IF(D1736="","",D1736/48)</f>
        <v>0</v>
      </c>
      <c r="D1736" s="26">
        <f>IF(A1736="","",ROUND((A1736-cfgDefasagem/1440)*48,0))</f>
        <v>0</v>
      </c>
      <c r="E1736" s="26">
        <f>IF(D1736="","",INT((D1736-cfgDeslocamento)/4))</f>
        <v>0</v>
      </c>
      <c r="F1736" s="26">
        <f>IF(D1736="","",MOD(D1736-cfgDeslocamento,4)+1)</f>
        <v>0</v>
      </c>
      <c r="G1736" s="26">
        <f>IF(A1736="","",IF(AND(ISNUMBER(B1736),B1736&lt;&gt;0),1,0))</f>
        <v>0</v>
      </c>
      <c r="H1736" s="25">
        <f>IF(E1736="","",(E1736*4+3+cfgDeslocamento)/48)</f>
        <v>0</v>
      </c>
    </row>
    <row r="1737" spans="1:8">
      <c r="A1737" s="24"/>
      <c r="B1737" s="19"/>
      <c r="C1737" s="25">
        <f>IF(D1737="","",D1737/48)</f>
        <v>0</v>
      </c>
      <c r="D1737" s="26">
        <f>IF(A1737="","",ROUND((A1737-cfgDefasagem/1440)*48,0))</f>
        <v>0</v>
      </c>
      <c r="E1737" s="26">
        <f>IF(D1737="","",INT((D1737-cfgDeslocamento)/4))</f>
        <v>0</v>
      </c>
      <c r="F1737" s="26">
        <f>IF(D1737="","",MOD(D1737-cfgDeslocamento,4)+1)</f>
        <v>0</v>
      </c>
      <c r="G1737" s="26">
        <f>IF(A1737="","",IF(AND(ISNUMBER(B1737),B1737&lt;&gt;0),1,0))</f>
        <v>0</v>
      </c>
      <c r="H1737" s="25">
        <f>IF(E1737="","",(E1737*4+3+cfgDeslocamento)/48)</f>
        <v>0</v>
      </c>
    </row>
    <row r="1738" spans="1:8">
      <c r="A1738" s="24"/>
      <c r="B1738" s="19"/>
      <c r="C1738" s="25">
        <f>IF(D1738="","",D1738/48)</f>
        <v>0</v>
      </c>
      <c r="D1738" s="26">
        <f>IF(A1738="","",ROUND((A1738-cfgDefasagem/1440)*48,0))</f>
        <v>0</v>
      </c>
      <c r="E1738" s="26">
        <f>IF(D1738="","",INT((D1738-cfgDeslocamento)/4))</f>
        <v>0</v>
      </c>
      <c r="F1738" s="26">
        <f>IF(D1738="","",MOD(D1738-cfgDeslocamento,4)+1)</f>
        <v>0</v>
      </c>
      <c r="G1738" s="26">
        <f>IF(A1738="","",IF(AND(ISNUMBER(B1738),B1738&lt;&gt;0),1,0))</f>
        <v>0</v>
      </c>
      <c r="H1738" s="25">
        <f>IF(E1738="","",(E1738*4+3+cfgDeslocamento)/48)</f>
        <v>0</v>
      </c>
    </row>
    <row r="1739" spans="1:8">
      <c r="A1739" s="24"/>
      <c r="B1739" s="19"/>
      <c r="C1739" s="25">
        <f>IF(D1739="","",D1739/48)</f>
        <v>0</v>
      </c>
      <c r="D1739" s="26">
        <f>IF(A1739="","",ROUND((A1739-cfgDefasagem/1440)*48,0))</f>
        <v>0</v>
      </c>
      <c r="E1739" s="26">
        <f>IF(D1739="","",INT((D1739-cfgDeslocamento)/4))</f>
        <v>0</v>
      </c>
      <c r="F1739" s="26">
        <f>IF(D1739="","",MOD(D1739-cfgDeslocamento,4)+1)</f>
        <v>0</v>
      </c>
      <c r="G1739" s="26">
        <f>IF(A1739="","",IF(AND(ISNUMBER(B1739),B1739&lt;&gt;0),1,0))</f>
        <v>0</v>
      </c>
      <c r="H1739" s="25">
        <f>IF(E1739="","",(E1739*4+3+cfgDeslocamento)/48)</f>
        <v>0</v>
      </c>
    </row>
    <row r="1740" spans="1:8">
      <c r="A1740" s="24"/>
      <c r="B1740" s="19"/>
      <c r="C1740" s="25">
        <f>IF(D1740="","",D1740/48)</f>
        <v>0</v>
      </c>
      <c r="D1740" s="26">
        <f>IF(A1740="","",ROUND((A1740-cfgDefasagem/1440)*48,0))</f>
        <v>0</v>
      </c>
      <c r="E1740" s="26">
        <f>IF(D1740="","",INT((D1740-cfgDeslocamento)/4))</f>
        <v>0</v>
      </c>
      <c r="F1740" s="26">
        <f>IF(D1740="","",MOD(D1740-cfgDeslocamento,4)+1)</f>
        <v>0</v>
      </c>
      <c r="G1740" s="26">
        <f>IF(A1740="","",IF(AND(ISNUMBER(B1740),B1740&lt;&gt;0),1,0))</f>
        <v>0</v>
      </c>
      <c r="H1740" s="25">
        <f>IF(E1740="","",(E1740*4+3+cfgDeslocamento)/48)</f>
        <v>0</v>
      </c>
    </row>
    <row r="1741" spans="1:8">
      <c r="A1741" s="24"/>
      <c r="B1741" s="19"/>
      <c r="C1741" s="25">
        <f>IF(D1741="","",D1741/48)</f>
        <v>0</v>
      </c>
      <c r="D1741" s="26">
        <f>IF(A1741="","",ROUND((A1741-cfgDefasagem/1440)*48,0))</f>
        <v>0</v>
      </c>
      <c r="E1741" s="26">
        <f>IF(D1741="","",INT((D1741-cfgDeslocamento)/4))</f>
        <v>0</v>
      </c>
      <c r="F1741" s="26">
        <f>IF(D1741="","",MOD(D1741-cfgDeslocamento,4)+1)</f>
        <v>0</v>
      </c>
      <c r="G1741" s="26">
        <f>IF(A1741="","",IF(AND(ISNUMBER(B1741),B1741&lt;&gt;0),1,0))</f>
        <v>0</v>
      </c>
      <c r="H1741" s="25">
        <f>IF(E1741="","",(E1741*4+3+cfgDeslocamento)/48)</f>
        <v>0</v>
      </c>
    </row>
    <row r="1742" spans="1:8">
      <c r="A1742" s="24"/>
      <c r="B1742" s="19"/>
      <c r="C1742" s="25">
        <f>IF(D1742="","",D1742/48)</f>
        <v>0</v>
      </c>
      <c r="D1742" s="26">
        <f>IF(A1742="","",ROUND((A1742-cfgDefasagem/1440)*48,0))</f>
        <v>0</v>
      </c>
      <c r="E1742" s="26">
        <f>IF(D1742="","",INT((D1742-cfgDeslocamento)/4))</f>
        <v>0</v>
      </c>
      <c r="F1742" s="26">
        <f>IF(D1742="","",MOD(D1742-cfgDeslocamento,4)+1)</f>
        <v>0</v>
      </c>
      <c r="G1742" s="26">
        <f>IF(A1742="","",IF(AND(ISNUMBER(B1742),B1742&lt;&gt;0),1,0))</f>
        <v>0</v>
      </c>
      <c r="H1742" s="25">
        <f>IF(E1742="","",(E1742*4+3+cfgDeslocamento)/48)</f>
        <v>0</v>
      </c>
    </row>
    <row r="1743" spans="1:8">
      <c r="A1743" s="24"/>
      <c r="B1743" s="19"/>
      <c r="C1743" s="25">
        <f>IF(D1743="","",D1743/48)</f>
        <v>0</v>
      </c>
      <c r="D1743" s="26">
        <f>IF(A1743="","",ROUND((A1743-cfgDefasagem/1440)*48,0))</f>
        <v>0</v>
      </c>
      <c r="E1743" s="26">
        <f>IF(D1743="","",INT((D1743-cfgDeslocamento)/4))</f>
        <v>0</v>
      </c>
      <c r="F1743" s="26">
        <f>IF(D1743="","",MOD(D1743-cfgDeslocamento,4)+1)</f>
        <v>0</v>
      </c>
      <c r="G1743" s="26">
        <f>IF(A1743="","",IF(AND(ISNUMBER(B1743),B1743&lt;&gt;0),1,0))</f>
        <v>0</v>
      </c>
      <c r="H1743" s="25">
        <f>IF(E1743="","",(E1743*4+3+cfgDeslocamento)/48)</f>
        <v>0</v>
      </c>
    </row>
    <row r="1744" spans="1:8">
      <c r="A1744" s="24"/>
      <c r="B1744" s="19"/>
      <c r="C1744" s="25">
        <f>IF(D1744="","",D1744/48)</f>
        <v>0</v>
      </c>
      <c r="D1744" s="26">
        <f>IF(A1744="","",ROUND((A1744-cfgDefasagem/1440)*48,0))</f>
        <v>0</v>
      </c>
      <c r="E1744" s="26">
        <f>IF(D1744="","",INT((D1744-cfgDeslocamento)/4))</f>
        <v>0</v>
      </c>
      <c r="F1744" s="26">
        <f>IF(D1744="","",MOD(D1744-cfgDeslocamento,4)+1)</f>
        <v>0</v>
      </c>
      <c r="G1744" s="26">
        <f>IF(A1744="","",IF(AND(ISNUMBER(B1744),B1744&lt;&gt;0),1,0))</f>
        <v>0</v>
      </c>
      <c r="H1744" s="25">
        <f>IF(E1744="","",(E1744*4+3+cfgDeslocamento)/48)</f>
        <v>0</v>
      </c>
    </row>
    <row r="1745" spans="1:8">
      <c r="A1745" s="24"/>
      <c r="B1745" s="19"/>
      <c r="C1745" s="25">
        <f>IF(D1745="","",D1745/48)</f>
        <v>0</v>
      </c>
      <c r="D1745" s="26">
        <f>IF(A1745="","",ROUND((A1745-cfgDefasagem/1440)*48,0))</f>
        <v>0</v>
      </c>
      <c r="E1745" s="26">
        <f>IF(D1745="","",INT((D1745-cfgDeslocamento)/4))</f>
        <v>0</v>
      </c>
      <c r="F1745" s="26">
        <f>IF(D1745="","",MOD(D1745-cfgDeslocamento,4)+1)</f>
        <v>0</v>
      </c>
      <c r="G1745" s="26">
        <f>IF(A1745="","",IF(AND(ISNUMBER(B1745),B1745&lt;&gt;0),1,0))</f>
        <v>0</v>
      </c>
      <c r="H1745" s="25">
        <f>IF(E1745="","",(E1745*4+3+cfgDeslocamento)/48)</f>
        <v>0</v>
      </c>
    </row>
    <row r="1746" spans="1:8">
      <c r="A1746" s="24"/>
      <c r="B1746" s="19"/>
      <c r="C1746" s="25">
        <f>IF(D1746="","",D1746/48)</f>
        <v>0</v>
      </c>
      <c r="D1746" s="26">
        <f>IF(A1746="","",ROUND((A1746-cfgDefasagem/1440)*48,0))</f>
        <v>0</v>
      </c>
      <c r="E1746" s="26">
        <f>IF(D1746="","",INT((D1746-cfgDeslocamento)/4))</f>
        <v>0</v>
      </c>
      <c r="F1746" s="26">
        <f>IF(D1746="","",MOD(D1746-cfgDeslocamento,4)+1)</f>
        <v>0</v>
      </c>
      <c r="G1746" s="26">
        <f>IF(A1746="","",IF(AND(ISNUMBER(B1746),B1746&lt;&gt;0),1,0))</f>
        <v>0</v>
      </c>
      <c r="H1746" s="25">
        <f>IF(E1746="","",(E1746*4+3+cfgDeslocamento)/48)</f>
        <v>0</v>
      </c>
    </row>
    <row r="1747" spans="1:8">
      <c r="A1747" s="24"/>
      <c r="B1747" s="19"/>
      <c r="C1747" s="25">
        <f>IF(D1747="","",D1747/48)</f>
        <v>0</v>
      </c>
      <c r="D1747" s="26">
        <f>IF(A1747="","",ROUND((A1747-cfgDefasagem/1440)*48,0))</f>
        <v>0</v>
      </c>
      <c r="E1747" s="26">
        <f>IF(D1747="","",INT((D1747-cfgDeslocamento)/4))</f>
        <v>0</v>
      </c>
      <c r="F1747" s="26">
        <f>IF(D1747="","",MOD(D1747-cfgDeslocamento,4)+1)</f>
        <v>0</v>
      </c>
      <c r="G1747" s="26">
        <f>IF(A1747="","",IF(AND(ISNUMBER(B1747),B1747&lt;&gt;0),1,0))</f>
        <v>0</v>
      </c>
      <c r="H1747" s="25">
        <f>IF(E1747="","",(E1747*4+3+cfgDeslocamento)/48)</f>
        <v>0</v>
      </c>
    </row>
    <row r="1748" spans="1:8">
      <c r="A1748" s="24"/>
      <c r="B1748" s="19"/>
      <c r="C1748" s="25">
        <f>IF(D1748="","",D1748/48)</f>
        <v>0</v>
      </c>
      <c r="D1748" s="26">
        <f>IF(A1748="","",ROUND((A1748-cfgDefasagem/1440)*48,0))</f>
        <v>0</v>
      </c>
      <c r="E1748" s="26">
        <f>IF(D1748="","",INT((D1748-cfgDeslocamento)/4))</f>
        <v>0</v>
      </c>
      <c r="F1748" s="26">
        <f>IF(D1748="","",MOD(D1748-cfgDeslocamento,4)+1)</f>
        <v>0</v>
      </c>
      <c r="G1748" s="26">
        <f>IF(A1748="","",IF(AND(ISNUMBER(B1748),B1748&lt;&gt;0),1,0))</f>
        <v>0</v>
      </c>
      <c r="H1748" s="25">
        <f>IF(E1748="","",(E1748*4+3+cfgDeslocamento)/48)</f>
        <v>0</v>
      </c>
    </row>
    <row r="1749" spans="1:8">
      <c r="A1749" s="24"/>
      <c r="B1749" s="19"/>
      <c r="C1749" s="25">
        <f>IF(D1749="","",D1749/48)</f>
        <v>0</v>
      </c>
      <c r="D1749" s="26">
        <f>IF(A1749="","",ROUND((A1749-cfgDefasagem/1440)*48,0))</f>
        <v>0</v>
      </c>
      <c r="E1749" s="26">
        <f>IF(D1749="","",INT((D1749-cfgDeslocamento)/4))</f>
        <v>0</v>
      </c>
      <c r="F1749" s="26">
        <f>IF(D1749="","",MOD(D1749-cfgDeslocamento,4)+1)</f>
        <v>0</v>
      </c>
      <c r="G1749" s="26">
        <f>IF(A1749="","",IF(AND(ISNUMBER(B1749),B1749&lt;&gt;0),1,0))</f>
        <v>0</v>
      </c>
      <c r="H1749" s="25">
        <f>IF(E1749="","",(E1749*4+3+cfgDeslocamento)/48)</f>
        <v>0</v>
      </c>
    </row>
    <row r="1750" spans="1:8">
      <c r="A1750" s="24"/>
      <c r="B1750" s="19"/>
      <c r="C1750" s="25">
        <f>IF(D1750="","",D1750/48)</f>
        <v>0</v>
      </c>
      <c r="D1750" s="26">
        <f>IF(A1750="","",ROUND((A1750-cfgDefasagem/1440)*48,0))</f>
        <v>0</v>
      </c>
      <c r="E1750" s="26">
        <f>IF(D1750="","",INT((D1750-cfgDeslocamento)/4))</f>
        <v>0</v>
      </c>
      <c r="F1750" s="26">
        <f>IF(D1750="","",MOD(D1750-cfgDeslocamento,4)+1)</f>
        <v>0</v>
      </c>
      <c r="G1750" s="26">
        <f>IF(A1750="","",IF(AND(ISNUMBER(B1750),B1750&lt;&gt;0),1,0))</f>
        <v>0</v>
      </c>
      <c r="H1750" s="25">
        <f>IF(E1750="","",(E1750*4+3+cfgDeslocamento)/48)</f>
        <v>0</v>
      </c>
    </row>
    <row r="1751" spans="1:8">
      <c r="A1751" s="24"/>
      <c r="B1751" s="19"/>
      <c r="C1751" s="25">
        <f>IF(D1751="","",D1751/48)</f>
        <v>0</v>
      </c>
      <c r="D1751" s="26">
        <f>IF(A1751="","",ROUND((A1751-cfgDefasagem/1440)*48,0))</f>
        <v>0</v>
      </c>
      <c r="E1751" s="26">
        <f>IF(D1751="","",INT((D1751-cfgDeslocamento)/4))</f>
        <v>0</v>
      </c>
      <c r="F1751" s="26">
        <f>IF(D1751="","",MOD(D1751-cfgDeslocamento,4)+1)</f>
        <v>0</v>
      </c>
      <c r="G1751" s="26">
        <f>IF(A1751="","",IF(AND(ISNUMBER(B1751),B1751&lt;&gt;0),1,0))</f>
        <v>0</v>
      </c>
      <c r="H1751" s="25">
        <f>IF(E1751="","",(E1751*4+3+cfgDeslocamento)/48)</f>
        <v>0</v>
      </c>
    </row>
    <row r="1752" spans="1:8">
      <c r="A1752" s="24"/>
      <c r="B1752" s="19"/>
      <c r="C1752" s="25">
        <f>IF(D1752="","",D1752/48)</f>
        <v>0</v>
      </c>
      <c r="D1752" s="26">
        <f>IF(A1752="","",ROUND((A1752-cfgDefasagem/1440)*48,0))</f>
        <v>0</v>
      </c>
      <c r="E1752" s="26">
        <f>IF(D1752="","",INT((D1752-cfgDeslocamento)/4))</f>
        <v>0</v>
      </c>
      <c r="F1752" s="26">
        <f>IF(D1752="","",MOD(D1752-cfgDeslocamento,4)+1)</f>
        <v>0</v>
      </c>
      <c r="G1752" s="26">
        <f>IF(A1752="","",IF(AND(ISNUMBER(B1752),B1752&lt;&gt;0),1,0))</f>
        <v>0</v>
      </c>
      <c r="H1752" s="25">
        <f>IF(E1752="","",(E1752*4+3+cfgDeslocamento)/48)</f>
        <v>0</v>
      </c>
    </row>
    <row r="1753" spans="1:8">
      <c r="A1753" s="24"/>
      <c r="B1753" s="19"/>
      <c r="C1753" s="25">
        <f>IF(D1753="","",D1753/48)</f>
        <v>0</v>
      </c>
      <c r="D1753" s="26">
        <f>IF(A1753="","",ROUND((A1753-cfgDefasagem/1440)*48,0))</f>
        <v>0</v>
      </c>
      <c r="E1753" s="26">
        <f>IF(D1753="","",INT((D1753-cfgDeslocamento)/4))</f>
        <v>0</v>
      </c>
      <c r="F1753" s="26">
        <f>IF(D1753="","",MOD(D1753-cfgDeslocamento,4)+1)</f>
        <v>0</v>
      </c>
      <c r="G1753" s="26">
        <f>IF(A1753="","",IF(AND(ISNUMBER(B1753),B1753&lt;&gt;0),1,0))</f>
        <v>0</v>
      </c>
      <c r="H1753" s="25">
        <f>IF(E1753="","",(E1753*4+3+cfgDeslocamento)/48)</f>
        <v>0</v>
      </c>
    </row>
    <row r="1754" spans="1:8">
      <c r="A1754" s="24"/>
      <c r="B1754" s="19"/>
      <c r="C1754" s="25">
        <f>IF(D1754="","",D1754/48)</f>
        <v>0</v>
      </c>
      <c r="D1754" s="26">
        <f>IF(A1754="","",ROUND((A1754-cfgDefasagem/1440)*48,0))</f>
        <v>0</v>
      </c>
      <c r="E1754" s="26">
        <f>IF(D1754="","",INT((D1754-cfgDeslocamento)/4))</f>
        <v>0</v>
      </c>
      <c r="F1754" s="26">
        <f>IF(D1754="","",MOD(D1754-cfgDeslocamento,4)+1)</f>
        <v>0</v>
      </c>
      <c r="G1754" s="26">
        <f>IF(A1754="","",IF(AND(ISNUMBER(B1754),B1754&lt;&gt;0),1,0))</f>
        <v>0</v>
      </c>
      <c r="H1754" s="25">
        <f>IF(E1754="","",(E1754*4+3+cfgDeslocamento)/48)</f>
        <v>0</v>
      </c>
    </row>
    <row r="1755" spans="1:8">
      <c r="A1755" s="24"/>
      <c r="B1755" s="19"/>
      <c r="C1755" s="25">
        <f>IF(D1755="","",D1755/48)</f>
        <v>0</v>
      </c>
      <c r="D1755" s="26">
        <f>IF(A1755="","",ROUND((A1755-cfgDefasagem/1440)*48,0))</f>
        <v>0</v>
      </c>
      <c r="E1755" s="26">
        <f>IF(D1755="","",INT((D1755-cfgDeslocamento)/4))</f>
        <v>0</v>
      </c>
      <c r="F1755" s="26">
        <f>IF(D1755="","",MOD(D1755-cfgDeslocamento,4)+1)</f>
        <v>0</v>
      </c>
      <c r="G1755" s="26">
        <f>IF(A1755="","",IF(AND(ISNUMBER(B1755),B1755&lt;&gt;0),1,0))</f>
        <v>0</v>
      </c>
      <c r="H1755" s="25">
        <f>IF(E1755="","",(E1755*4+3+cfgDeslocamento)/48)</f>
        <v>0</v>
      </c>
    </row>
    <row r="1756" spans="1:8">
      <c r="A1756" s="24"/>
      <c r="B1756" s="19"/>
      <c r="C1756" s="25">
        <f>IF(D1756="","",D1756/48)</f>
        <v>0</v>
      </c>
      <c r="D1756" s="26">
        <f>IF(A1756="","",ROUND((A1756-cfgDefasagem/1440)*48,0))</f>
        <v>0</v>
      </c>
      <c r="E1756" s="26">
        <f>IF(D1756="","",INT((D1756-cfgDeslocamento)/4))</f>
        <v>0</v>
      </c>
      <c r="F1756" s="26">
        <f>IF(D1756="","",MOD(D1756-cfgDeslocamento,4)+1)</f>
        <v>0</v>
      </c>
      <c r="G1756" s="26">
        <f>IF(A1756="","",IF(AND(ISNUMBER(B1756),B1756&lt;&gt;0),1,0))</f>
        <v>0</v>
      </c>
      <c r="H1756" s="25">
        <f>IF(E1756="","",(E1756*4+3+cfgDeslocamento)/48)</f>
        <v>0</v>
      </c>
    </row>
    <row r="1757" spans="1:8">
      <c r="A1757" s="24"/>
      <c r="B1757" s="19"/>
      <c r="C1757" s="25">
        <f>IF(D1757="","",D1757/48)</f>
        <v>0</v>
      </c>
      <c r="D1757" s="26">
        <f>IF(A1757="","",ROUND((A1757-cfgDefasagem/1440)*48,0))</f>
        <v>0</v>
      </c>
      <c r="E1757" s="26">
        <f>IF(D1757="","",INT((D1757-cfgDeslocamento)/4))</f>
        <v>0</v>
      </c>
      <c r="F1757" s="26">
        <f>IF(D1757="","",MOD(D1757-cfgDeslocamento,4)+1)</f>
        <v>0</v>
      </c>
      <c r="G1757" s="26">
        <f>IF(A1757="","",IF(AND(ISNUMBER(B1757),B1757&lt;&gt;0),1,0))</f>
        <v>0</v>
      </c>
      <c r="H1757" s="25">
        <f>IF(E1757="","",(E1757*4+3+cfgDeslocamento)/48)</f>
        <v>0</v>
      </c>
    </row>
    <row r="1758" spans="1:8">
      <c r="A1758" s="24"/>
      <c r="B1758" s="19"/>
      <c r="C1758" s="25">
        <f>IF(D1758="","",D1758/48)</f>
        <v>0</v>
      </c>
      <c r="D1758" s="26">
        <f>IF(A1758="","",ROUND((A1758-cfgDefasagem/1440)*48,0))</f>
        <v>0</v>
      </c>
      <c r="E1758" s="26">
        <f>IF(D1758="","",INT((D1758-cfgDeslocamento)/4))</f>
        <v>0</v>
      </c>
      <c r="F1758" s="26">
        <f>IF(D1758="","",MOD(D1758-cfgDeslocamento,4)+1)</f>
        <v>0</v>
      </c>
      <c r="G1758" s="26">
        <f>IF(A1758="","",IF(AND(ISNUMBER(B1758),B1758&lt;&gt;0),1,0))</f>
        <v>0</v>
      </c>
      <c r="H1758" s="25">
        <f>IF(E1758="","",(E1758*4+3+cfgDeslocamento)/48)</f>
        <v>0</v>
      </c>
    </row>
    <row r="1759" spans="1:8">
      <c r="A1759" s="24"/>
      <c r="B1759" s="19"/>
      <c r="C1759" s="25">
        <f>IF(D1759="","",D1759/48)</f>
        <v>0</v>
      </c>
      <c r="D1759" s="26">
        <f>IF(A1759="","",ROUND((A1759-cfgDefasagem/1440)*48,0))</f>
        <v>0</v>
      </c>
      <c r="E1759" s="26">
        <f>IF(D1759="","",INT((D1759-cfgDeslocamento)/4))</f>
        <v>0</v>
      </c>
      <c r="F1759" s="26">
        <f>IF(D1759="","",MOD(D1759-cfgDeslocamento,4)+1)</f>
        <v>0</v>
      </c>
      <c r="G1759" s="26">
        <f>IF(A1759="","",IF(AND(ISNUMBER(B1759),B1759&lt;&gt;0),1,0))</f>
        <v>0</v>
      </c>
      <c r="H1759" s="25">
        <f>IF(E1759="","",(E1759*4+3+cfgDeslocamento)/48)</f>
        <v>0</v>
      </c>
    </row>
    <row r="1760" spans="1:8">
      <c r="A1760" s="24"/>
      <c r="B1760" s="19"/>
      <c r="C1760" s="25">
        <f>IF(D1760="","",D1760/48)</f>
        <v>0</v>
      </c>
      <c r="D1760" s="26">
        <f>IF(A1760="","",ROUND((A1760-cfgDefasagem/1440)*48,0))</f>
        <v>0</v>
      </c>
      <c r="E1760" s="26">
        <f>IF(D1760="","",INT((D1760-cfgDeslocamento)/4))</f>
        <v>0</v>
      </c>
      <c r="F1760" s="26">
        <f>IF(D1760="","",MOD(D1760-cfgDeslocamento,4)+1)</f>
        <v>0</v>
      </c>
      <c r="G1760" s="26">
        <f>IF(A1760="","",IF(AND(ISNUMBER(B1760),B1760&lt;&gt;0),1,0))</f>
        <v>0</v>
      </c>
      <c r="H1760" s="25">
        <f>IF(E1760="","",(E1760*4+3+cfgDeslocamento)/48)</f>
        <v>0</v>
      </c>
    </row>
    <row r="1761" spans="1:8">
      <c r="A1761" s="24"/>
      <c r="B1761" s="19"/>
      <c r="C1761" s="25">
        <f>IF(D1761="","",D1761/48)</f>
        <v>0</v>
      </c>
      <c r="D1761" s="26">
        <f>IF(A1761="","",ROUND((A1761-cfgDefasagem/1440)*48,0))</f>
        <v>0</v>
      </c>
      <c r="E1761" s="26">
        <f>IF(D1761="","",INT((D1761-cfgDeslocamento)/4))</f>
        <v>0</v>
      </c>
      <c r="F1761" s="26">
        <f>IF(D1761="","",MOD(D1761-cfgDeslocamento,4)+1)</f>
        <v>0</v>
      </c>
      <c r="G1761" s="26">
        <f>IF(A1761="","",IF(AND(ISNUMBER(B1761),B1761&lt;&gt;0),1,0))</f>
        <v>0</v>
      </c>
      <c r="H1761" s="25">
        <f>IF(E1761="","",(E1761*4+3+cfgDeslocamento)/48)</f>
        <v>0</v>
      </c>
    </row>
    <row r="1762" spans="1:8">
      <c r="A1762" s="24"/>
      <c r="B1762" s="19"/>
      <c r="C1762" s="25">
        <f>IF(D1762="","",D1762/48)</f>
        <v>0</v>
      </c>
      <c r="D1762" s="26">
        <f>IF(A1762="","",ROUND((A1762-cfgDefasagem/1440)*48,0))</f>
        <v>0</v>
      </c>
      <c r="E1762" s="26">
        <f>IF(D1762="","",INT((D1762-cfgDeslocamento)/4))</f>
        <v>0</v>
      </c>
      <c r="F1762" s="26">
        <f>IF(D1762="","",MOD(D1762-cfgDeslocamento,4)+1)</f>
        <v>0</v>
      </c>
      <c r="G1762" s="26">
        <f>IF(A1762="","",IF(AND(ISNUMBER(B1762),B1762&lt;&gt;0),1,0))</f>
        <v>0</v>
      </c>
      <c r="H1762" s="25">
        <f>IF(E1762="","",(E1762*4+3+cfgDeslocamento)/48)</f>
        <v>0</v>
      </c>
    </row>
    <row r="1763" spans="1:8">
      <c r="A1763" s="24"/>
      <c r="B1763" s="19"/>
      <c r="C1763" s="25">
        <f>IF(D1763="","",D1763/48)</f>
        <v>0</v>
      </c>
      <c r="D1763" s="26">
        <f>IF(A1763="","",ROUND((A1763-cfgDefasagem/1440)*48,0))</f>
        <v>0</v>
      </c>
      <c r="E1763" s="26">
        <f>IF(D1763="","",INT((D1763-cfgDeslocamento)/4))</f>
        <v>0</v>
      </c>
      <c r="F1763" s="26">
        <f>IF(D1763="","",MOD(D1763-cfgDeslocamento,4)+1)</f>
        <v>0</v>
      </c>
      <c r="G1763" s="26">
        <f>IF(A1763="","",IF(AND(ISNUMBER(B1763),B1763&lt;&gt;0),1,0))</f>
        <v>0</v>
      </c>
      <c r="H1763" s="25">
        <f>IF(E1763="","",(E1763*4+3+cfgDeslocamento)/48)</f>
        <v>0</v>
      </c>
    </row>
    <row r="1764" spans="1:8">
      <c r="A1764" s="24"/>
      <c r="B1764" s="19"/>
      <c r="C1764" s="25">
        <f>IF(D1764="","",D1764/48)</f>
        <v>0</v>
      </c>
      <c r="D1764" s="26">
        <f>IF(A1764="","",ROUND((A1764-cfgDefasagem/1440)*48,0))</f>
        <v>0</v>
      </c>
      <c r="E1764" s="26">
        <f>IF(D1764="","",INT((D1764-cfgDeslocamento)/4))</f>
        <v>0</v>
      </c>
      <c r="F1764" s="26">
        <f>IF(D1764="","",MOD(D1764-cfgDeslocamento,4)+1)</f>
        <v>0</v>
      </c>
      <c r="G1764" s="26">
        <f>IF(A1764="","",IF(AND(ISNUMBER(B1764),B1764&lt;&gt;0),1,0))</f>
        <v>0</v>
      </c>
      <c r="H1764" s="25">
        <f>IF(E1764="","",(E1764*4+3+cfgDeslocamento)/48)</f>
        <v>0</v>
      </c>
    </row>
    <row r="1765" spans="1:8">
      <c r="A1765" s="24"/>
      <c r="B1765" s="19"/>
      <c r="C1765" s="25">
        <f>IF(D1765="","",D1765/48)</f>
        <v>0</v>
      </c>
      <c r="D1765" s="26">
        <f>IF(A1765="","",ROUND((A1765-cfgDefasagem/1440)*48,0))</f>
        <v>0</v>
      </c>
      <c r="E1765" s="26">
        <f>IF(D1765="","",INT((D1765-cfgDeslocamento)/4))</f>
        <v>0</v>
      </c>
      <c r="F1765" s="26">
        <f>IF(D1765="","",MOD(D1765-cfgDeslocamento,4)+1)</f>
        <v>0</v>
      </c>
      <c r="G1765" s="26">
        <f>IF(A1765="","",IF(AND(ISNUMBER(B1765),B1765&lt;&gt;0),1,0))</f>
        <v>0</v>
      </c>
      <c r="H1765" s="25">
        <f>IF(E1765="","",(E1765*4+3+cfgDeslocamento)/48)</f>
        <v>0</v>
      </c>
    </row>
    <row r="1766" spans="1:8">
      <c r="A1766" s="24"/>
      <c r="B1766" s="19"/>
      <c r="C1766" s="25">
        <f>IF(D1766="","",D1766/48)</f>
        <v>0</v>
      </c>
      <c r="D1766" s="26">
        <f>IF(A1766="","",ROUND((A1766-cfgDefasagem/1440)*48,0))</f>
        <v>0</v>
      </c>
      <c r="E1766" s="26">
        <f>IF(D1766="","",INT((D1766-cfgDeslocamento)/4))</f>
        <v>0</v>
      </c>
      <c r="F1766" s="26">
        <f>IF(D1766="","",MOD(D1766-cfgDeslocamento,4)+1)</f>
        <v>0</v>
      </c>
      <c r="G1766" s="26">
        <f>IF(A1766="","",IF(AND(ISNUMBER(B1766),B1766&lt;&gt;0),1,0))</f>
        <v>0</v>
      </c>
      <c r="H1766" s="25">
        <f>IF(E1766="","",(E1766*4+3+cfgDeslocamento)/48)</f>
        <v>0</v>
      </c>
    </row>
    <row r="1767" spans="1:8">
      <c r="A1767" s="24"/>
      <c r="B1767" s="19"/>
      <c r="C1767" s="25">
        <f>IF(D1767="","",D1767/48)</f>
        <v>0</v>
      </c>
      <c r="D1767" s="26">
        <f>IF(A1767="","",ROUND((A1767-cfgDefasagem/1440)*48,0))</f>
        <v>0</v>
      </c>
      <c r="E1767" s="26">
        <f>IF(D1767="","",INT((D1767-cfgDeslocamento)/4))</f>
        <v>0</v>
      </c>
      <c r="F1767" s="26">
        <f>IF(D1767="","",MOD(D1767-cfgDeslocamento,4)+1)</f>
        <v>0</v>
      </c>
      <c r="G1767" s="26">
        <f>IF(A1767="","",IF(AND(ISNUMBER(B1767),B1767&lt;&gt;0),1,0))</f>
        <v>0</v>
      </c>
      <c r="H1767" s="25">
        <f>IF(E1767="","",(E1767*4+3+cfgDeslocamento)/48)</f>
        <v>0</v>
      </c>
    </row>
    <row r="1768" spans="1:8">
      <c r="A1768" s="24"/>
      <c r="B1768" s="19"/>
      <c r="C1768" s="25">
        <f>IF(D1768="","",D1768/48)</f>
        <v>0</v>
      </c>
      <c r="D1768" s="26">
        <f>IF(A1768="","",ROUND((A1768-cfgDefasagem/1440)*48,0))</f>
        <v>0</v>
      </c>
      <c r="E1768" s="26">
        <f>IF(D1768="","",INT((D1768-cfgDeslocamento)/4))</f>
        <v>0</v>
      </c>
      <c r="F1768" s="26">
        <f>IF(D1768="","",MOD(D1768-cfgDeslocamento,4)+1)</f>
        <v>0</v>
      </c>
      <c r="G1768" s="26">
        <f>IF(A1768="","",IF(AND(ISNUMBER(B1768),B1768&lt;&gt;0),1,0))</f>
        <v>0</v>
      </c>
      <c r="H1768" s="25">
        <f>IF(E1768="","",(E1768*4+3+cfgDeslocamento)/48)</f>
        <v>0</v>
      </c>
    </row>
    <row r="1769" spans="1:8">
      <c r="A1769" s="24"/>
      <c r="B1769" s="19"/>
      <c r="C1769" s="25">
        <f>IF(D1769="","",D1769/48)</f>
        <v>0</v>
      </c>
      <c r="D1769" s="26">
        <f>IF(A1769="","",ROUND((A1769-cfgDefasagem/1440)*48,0))</f>
        <v>0</v>
      </c>
      <c r="E1769" s="26">
        <f>IF(D1769="","",INT((D1769-cfgDeslocamento)/4))</f>
        <v>0</v>
      </c>
      <c r="F1769" s="26">
        <f>IF(D1769="","",MOD(D1769-cfgDeslocamento,4)+1)</f>
        <v>0</v>
      </c>
      <c r="G1769" s="26">
        <f>IF(A1769="","",IF(AND(ISNUMBER(B1769),B1769&lt;&gt;0),1,0))</f>
        <v>0</v>
      </c>
      <c r="H1769" s="25">
        <f>IF(E1769="","",(E1769*4+3+cfgDeslocamento)/48)</f>
        <v>0</v>
      </c>
    </row>
    <row r="1770" spans="1:8">
      <c r="A1770" s="24"/>
      <c r="B1770" s="19"/>
      <c r="C1770" s="25">
        <f>IF(D1770="","",D1770/48)</f>
        <v>0</v>
      </c>
      <c r="D1770" s="26">
        <f>IF(A1770="","",ROUND((A1770-cfgDefasagem/1440)*48,0))</f>
        <v>0</v>
      </c>
      <c r="E1770" s="26">
        <f>IF(D1770="","",INT((D1770-cfgDeslocamento)/4))</f>
        <v>0</v>
      </c>
      <c r="F1770" s="26">
        <f>IF(D1770="","",MOD(D1770-cfgDeslocamento,4)+1)</f>
        <v>0</v>
      </c>
      <c r="G1770" s="26">
        <f>IF(A1770="","",IF(AND(ISNUMBER(B1770),B1770&lt;&gt;0),1,0))</f>
        <v>0</v>
      </c>
      <c r="H1770" s="25">
        <f>IF(E1770="","",(E1770*4+3+cfgDeslocamento)/48)</f>
        <v>0</v>
      </c>
    </row>
    <row r="1771" spans="1:8">
      <c r="A1771" s="24"/>
      <c r="B1771" s="19"/>
      <c r="C1771" s="25">
        <f>IF(D1771="","",D1771/48)</f>
        <v>0</v>
      </c>
      <c r="D1771" s="26">
        <f>IF(A1771="","",ROUND((A1771-cfgDefasagem/1440)*48,0))</f>
        <v>0</v>
      </c>
      <c r="E1771" s="26">
        <f>IF(D1771="","",INT((D1771-cfgDeslocamento)/4))</f>
        <v>0</v>
      </c>
      <c r="F1771" s="26">
        <f>IF(D1771="","",MOD(D1771-cfgDeslocamento,4)+1)</f>
        <v>0</v>
      </c>
      <c r="G1771" s="26">
        <f>IF(A1771="","",IF(AND(ISNUMBER(B1771),B1771&lt;&gt;0),1,0))</f>
        <v>0</v>
      </c>
      <c r="H1771" s="25">
        <f>IF(E1771="","",(E1771*4+3+cfgDeslocamento)/48)</f>
        <v>0</v>
      </c>
    </row>
    <row r="1772" spans="1:8">
      <c r="A1772" s="24"/>
      <c r="B1772" s="19"/>
      <c r="C1772" s="25">
        <f>IF(D1772="","",D1772/48)</f>
        <v>0</v>
      </c>
      <c r="D1772" s="26">
        <f>IF(A1772="","",ROUND((A1772-cfgDefasagem/1440)*48,0))</f>
        <v>0</v>
      </c>
      <c r="E1772" s="26">
        <f>IF(D1772="","",INT((D1772-cfgDeslocamento)/4))</f>
        <v>0</v>
      </c>
      <c r="F1772" s="26">
        <f>IF(D1772="","",MOD(D1772-cfgDeslocamento,4)+1)</f>
        <v>0</v>
      </c>
      <c r="G1772" s="26">
        <f>IF(A1772="","",IF(AND(ISNUMBER(B1772),B1772&lt;&gt;0),1,0))</f>
        <v>0</v>
      </c>
      <c r="H1772" s="25">
        <f>IF(E1772="","",(E1772*4+3+cfgDeslocamento)/48)</f>
        <v>0</v>
      </c>
    </row>
    <row r="1773" spans="1:8">
      <c r="A1773" s="24"/>
      <c r="B1773" s="19"/>
      <c r="C1773" s="25">
        <f>IF(D1773="","",D1773/48)</f>
        <v>0</v>
      </c>
      <c r="D1773" s="26">
        <f>IF(A1773="","",ROUND((A1773-cfgDefasagem/1440)*48,0))</f>
        <v>0</v>
      </c>
      <c r="E1773" s="26">
        <f>IF(D1773="","",INT((D1773-cfgDeslocamento)/4))</f>
        <v>0</v>
      </c>
      <c r="F1773" s="26">
        <f>IF(D1773="","",MOD(D1773-cfgDeslocamento,4)+1)</f>
        <v>0</v>
      </c>
      <c r="G1773" s="26">
        <f>IF(A1773="","",IF(AND(ISNUMBER(B1773),B1773&lt;&gt;0),1,0))</f>
        <v>0</v>
      </c>
      <c r="H1773" s="25">
        <f>IF(E1773="","",(E1773*4+3+cfgDeslocamento)/48)</f>
        <v>0</v>
      </c>
    </row>
    <row r="1774" spans="1:8">
      <c r="A1774" s="24"/>
      <c r="B1774" s="19"/>
      <c r="C1774" s="25">
        <f>IF(D1774="","",D1774/48)</f>
        <v>0</v>
      </c>
      <c r="D1774" s="26">
        <f>IF(A1774="","",ROUND((A1774-cfgDefasagem/1440)*48,0))</f>
        <v>0</v>
      </c>
      <c r="E1774" s="26">
        <f>IF(D1774="","",INT((D1774-cfgDeslocamento)/4))</f>
        <v>0</v>
      </c>
      <c r="F1774" s="26">
        <f>IF(D1774="","",MOD(D1774-cfgDeslocamento,4)+1)</f>
        <v>0</v>
      </c>
      <c r="G1774" s="26">
        <f>IF(A1774="","",IF(AND(ISNUMBER(B1774),B1774&lt;&gt;0),1,0))</f>
        <v>0</v>
      </c>
      <c r="H1774" s="25">
        <f>IF(E1774="","",(E1774*4+3+cfgDeslocamento)/48)</f>
        <v>0</v>
      </c>
    </row>
    <row r="1775" spans="1:8">
      <c r="A1775" s="24"/>
      <c r="B1775" s="19"/>
      <c r="C1775" s="25">
        <f>IF(D1775="","",D1775/48)</f>
        <v>0</v>
      </c>
      <c r="D1775" s="26">
        <f>IF(A1775="","",ROUND((A1775-cfgDefasagem/1440)*48,0))</f>
        <v>0</v>
      </c>
      <c r="E1775" s="26">
        <f>IF(D1775="","",INT((D1775-cfgDeslocamento)/4))</f>
        <v>0</v>
      </c>
      <c r="F1775" s="26">
        <f>IF(D1775="","",MOD(D1775-cfgDeslocamento,4)+1)</f>
        <v>0</v>
      </c>
      <c r="G1775" s="26">
        <f>IF(A1775="","",IF(AND(ISNUMBER(B1775),B1775&lt;&gt;0),1,0))</f>
        <v>0</v>
      </c>
      <c r="H1775" s="25">
        <f>IF(E1775="","",(E1775*4+3+cfgDeslocamento)/48)</f>
        <v>0</v>
      </c>
    </row>
    <row r="1776" spans="1:8">
      <c r="A1776" s="24"/>
      <c r="B1776" s="19"/>
      <c r="C1776" s="25">
        <f>IF(D1776="","",D1776/48)</f>
        <v>0</v>
      </c>
      <c r="D1776" s="26">
        <f>IF(A1776="","",ROUND((A1776-cfgDefasagem/1440)*48,0))</f>
        <v>0</v>
      </c>
      <c r="E1776" s="26">
        <f>IF(D1776="","",INT((D1776-cfgDeslocamento)/4))</f>
        <v>0</v>
      </c>
      <c r="F1776" s="26">
        <f>IF(D1776="","",MOD(D1776-cfgDeslocamento,4)+1)</f>
        <v>0</v>
      </c>
      <c r="G1776" s="26">
        <f>IF(A1776="","",IF(AND(ISNUMBER(B1776),B1776&lt;&gt;0),1,0))</f>
        <v>0</v>
      </c>
      <c r="H1776" s="25">
        <f>IF(E1776="","",(E1776*4+3+cfgDeslocamento)/48)</f>
        <v>0</v>
      </c>
    </row>
    <row r="1777" spans="1:8">
      <c r="A1777" s="24"/>
      <c r="B1777" s="19"/>
      <c r="C1777" s="25">
        <f>IF(D1777="","",D1777/48)</f>
        <v>0</v>
      </c>
      <c r="D1777" s="26">
        <f>IF(A1777="","",ROUND((A1777-cfgDefasagem/1440)*48,0))</f>
        <v>0</v>
      </c>
      <c r="E1777" s="26">
        <f>IF(D1777="","",INT((D1777-cfgDeslocamento)/4))</f>
        <v>0</v>
      </c>
      <c r="F1777" s="26">
        <f>IF(D1777="","",MOD(D1777-cfgDeslocamento,4)+1)</f>
        <v>0</v>
      </c>
      <c r="G1777" s="26">
        <f>IF(A1777="","",IF(AND(ISNUMBER(B1777),B1777&lt;&gt;0),1,0))</f>
        <v>0</v>
      </c>
      <c r="H1777" s="25">
        <f>IF(E1777="","",(E1777*4+3+cfgDeslocamento)/48)</f>
        <v>0</v>
      </c>
    </row>
    <row r="1778" spans="1:8">
      <c r="A1778" s="24"/>
      <c r="B1778" s="19"/>
      <c r="C1778" s="25">
        <f>IF(D1778="","",D1778/48)</f>
        <v>0</v>
      </c>
      <c r="D1778" s="26">
        <f>IF(A1778="","",ROUND((A1778-cfgDefasagem/1440)*48,0))</f>
        <v>0</v>
      </c>
      <c r="E1778" s="26">
        <f>IF(D1778="","",INT((D1778-cfgDeslocamento)/4))</f>
        <v>0</v>
      </c>
      <c r="F1778" s="26">
        <f>IF(D1778="","",MOD(D1778-cfgDeslocamento,4)+1)</f>
        <v>0</v>
      </c>
      <c r="G1778" s="26">
        <f>IF(A1778="","",IF(AND(ISNUMBER(B1778),B1778&lt;&gt;0),1,0))</f>
        <v>0</v>
      </c>
      <c r="H1778" s="25">
        <f>IF(E1778="","",(E1778*4+3+cfgDeslocamento)/48)</f>
        <v>0</v>
      </c>
    </row>
    <row r="1779" spans="1:8">
      <c r="A1779" s="24"/>
      <c r="B1779" s="19"/>
      <c r="C1779" s="25">
        <f>IF(D1779="","",D1779/48)</f>
        <v>0</v>
      </c>
      <c r="D1779" s="26">
        <f>IF(A1779="","",ROUND((A1779-cfgDefasagem/1440)*48,0))</f>
        <v>0</v>
      </c>
      <c r="E1779" s="26">
        <f>IF(D1779="","",INT((D1779-cfgDeslocamento)/4))</f>
        <v>0</v>
      </c>
      <c r="F1779" s="26">
        <f>IF(D1779="","",MOD(D1779-cfgDeslocamento,4)+1)</f>
        <v>0</v>
      </c>
      <c r="G1779" s="26">
        <f>IF(A1779="","",IF(AND(ISNUMBER(B1779),B1779&lt;&gt;0),1,0))</f>
        <v>0</v>
      </c>
      <c r="H1779" s="25">
        <f>IF(E1779="","",(E1779*4+3+cfgDeslocamento)/48)</f>
        <v>0</v>
      </c>
    </row>
    <row r="1780" spans="1:8">
      <c r="A1780" s="24"/>
      <c r="B1780" s="19"/>
      <c r="C1780" s="25">
        <f>IF(D1780="","",D1780/48)</f>
        <v>0</v>
      </c>
      <c r="D1780" s="26">
        <f>IF(A1780="","",ROUND((A1780-cfgDefasagem/1440)*48,0))</f>
        <v>0</v>
      </c>
      <c r="E1780" s="26">
        <f>IF(D1780="","",INT((D1780-cfgDeslocamento)/4))</f>
        <v>0</v>
      </c>
      <c r="F1780" s="26">
        <f>IF(D1780="","",MOD(D1780-cfgDeslocamento,4)+1)</f>
        <v>0</v>
      </c>
      <c r="G1780" s="26">
        <f>IF(A1780="","",IF(AND(ISNUMBER(B1780),B1780&lt;&gt;0),1,0))</f>
        <v>0</v>
      </c>
      <c r="H1780" s="25">
        <f>IF(E1780="","",(E1780*4+3+cfgDeslocamento)/48)</f>
        <v>0</v>
      </c>
    </row>
    <row r="1781" spans="1:8">
      <c r="A1781" s="24"/>
      <c r="B1781" s="19"/>
      <c r="C1781" s="25">
        <f>IF(D1781="","",D1781/48)</f>
        <v>0</v>
      </c>
      <c r="D1781" s="26">
        <f>IF(A1781="","",ROUND((A1781-cfgDefasagem/1440)*48,0))</f>
        <v>0</v>
      </c>
      <c r="E1781" s="26">
        <f>IF(D1781="","",INT((D1781-cfgDeslocamento)/4))</f>
        <v>0</v>
      </c>
      <c r="F1781" s="26">
        <f>IF(D1781="","",MOD(D1781-cfgDeslocamento,4)+1)</f>
        <v>0</v>
      </c>
      <c r="G1781" s="26">
        <f>IF(A1781="","",IF(AND(ISNUMBER(B1781),B1781&lt;&gt;0),1,0))</f>
        <v>0</v>
      </c>
      <c r="H1781" s="25">
        <f>IF(E1781="","",(E1781*4+3+cfgDeslocamento)/48)</f>
        <v>0</v>
      </c>
    </row>
    <row r="1782" spans="1:8">
      <c r="A1782" s="24"/>
      <c r="B1782" s="19"/>
      <c r="C1782" s="25">
        <f>IF(D1782="","",D1782/48)</f>
        <v>0</v>
      </c>
      <c r="D1782" s="26">
        <f>IF(A1782="","",ROUND((A1782-cfgDefasagem/1440)*48,0))</f>
        <v>0</v>
      </c>
      <c r="E1782" s="26">
        <f>IF(D1782="","",INT((D1782-cfgDeslocamento)/4))</f>
        <v>0</v>
      </c>
      <c r="F1782" s="26">
        <f>IF(D1782="","",MOD(D1782-cfgDeslocamento,4)+1)</f>
        <v>0</v>
      </c>
      <c r="G1782" s="26">
        <f>IF(A1782="","",IF(AND(ISNUMBER(B1782),B1782&lt;&gt;0),1,0))</f>
        <v>0</v>
      </c>
      <c r="H1782" s="25">
        <f>IF(E1782="","",(E1782*4+3+cfgDeslocamento)/48)</f>
        <v>0</v>
      </c>
    </row>
    <row r="1783" spans="1:8">
      <c r="A1783" s="24"/>
      <c r="B1783" s="19"/>
      <c r="C1783" s="25">
        <f>IF(D1783="","",D1783/48)</f>
        <v>0</v>
      </c>
      <c r="D1783" s="26">
        <f>IF(A1783="","",ROUND((A1783-cfgDefasagem/1440)*48,0))</f>
        <v>0</v>
      </c>
      <c r="E1783" s="26">
        <f>IF(D1783="","",INT((D1783-cfgDeslocamento)/4))</f>
        <v>0</v>
      </c>
      <c r="F1783" s="26">
        <f>IF(D1783="","",MOD(D1783-cfgDeslocamento,4)+1)</f>
        <v>0</v>
      </c>
      <c r="G1783" s="26">
        <f>IF(A1783="","",IF(AND(ISNUMBER(B1783),B1783&lt;&gt;0),1,0))</f>
        <v>0</v>
      </c>
      <c r="H1783" s="25">
        <f>IF(E1783="","",(E1783*4+3+cfgDeslocamento)/48)</f>
        <v>0</v>
      </c>
    </row>
    <row r="1784" spans="1:8">
      <c r="A1784" s="24"/>
      <c r="B1784" s="19"/>
      <c r="C1784" s="25">
        <f>IF(D1784="","",D1784/48)</f>
        <v>0</v>
      </c>
      <c r="D1784" s="26">
        <f>IF(A1784="","",ROUND((A1784-cfgDefasagem/1440)*48,0))</f>
        <v>0</v>
      </c>
      <c r="E1784" s="26">
        <f>IF(D1784="","",INT((D1784-cfgDeslocamento)/4))</f>
        <v>0</v>
      </c>
      <c r="F1784" s="26">
        <f>IF(D1784="","",MOD(D1784-cfgDeslocamento,4)+1)</f>
        <v>0</v>
      </c>
      <c r="G1784" s="26">
        <f>IF(A1784="","",IF(AND(ISNUMBER(B1784),B1784&lt;&gt;0),1,0))</f>
        <v>0</v>
      </c>
      <c r="H1784" s="25">
        <f>IF(E1784="","",(E1784*4+3+cfgDeslocamento)/48)</f>
        <v>0</v>
      </c>
    </row>
    <row r="1785" spans="1:8">
      <c r="A1785" s="24"/>
      <c r="B1785" s="19"/>
      <c r="C1785" s="25">
        <f>IF(D1785="","",D1785/48)</f>
        <v>0</v>
      </c>
      <c r="D1785" s="26">
        <f>IF(A1785="","",ROUND((A1785-cfgDefasagem/1440)*48,0))</f>
        <v>0</v>
      </c>
      <c r="E1785" s="26">
        <f>IF(D1785="","",INT((D1785-cfgDeslocamento)/4))</f>
        <v>0</v>
      </c>
      <c r="F1785" s="26">
        <f>IF(D1785="","",MOD(D1785-cfgDeslocamento,4)+1)</f>
        <v>0</v>
      </c>
      <c r="G1785" s="26">
        <f>IF(A1785="","",IF(AND(ISNUMBER(B1785),B1785&lt;&gt;0),1,0))</f>
        <v>0</v>
      </c>
      <c r="H1785" s="25">
        <f>IF(E1785="","",(E1785*4+3+cfgDeslocamento)/48)</f>
        <v>0</v>
      </c>
    </row>
    <row r="1786" spans="1:8">
      <c r="A1786" s="24"/>
      <c r="B1786" s="19"/>
      <c r="C1786" s="25">
        <f>IF(D1786="","",D1786/48)</f>
        <v>0</v>
      </c>
      <c r="D1786" s="26">
        <f>IF(A1786="","",ROUND((A1786-cfgDefasagem/1440)*48,0))</f>
        <v>0</v>
      </c>
      <c r="E1786" s="26">
        <f>IF(D1786="","",INT((D1786-cfgDeslocamento)/4))</f>
        <v>0</v>
      </c>
      <c r="F1786" s="26">
        <f>IF(D1786="","",MOD(D1786-cfgDeslocamento,4)+1)</f>
        <v>0</v>
      </c>
      <c r="G1786" s="26">
        <f>IF(A1786="","",IF(AND(ISNUMBER(B1786),B1786&lt;&gt;0),1,0))</f>
        <v>0</v>
      </c>
      <c r="H1786" s="25">
        <f>IF(E1786="","",(E1786*4+3+cfgDeslocamento)/48)</f>
        <v>0</v>
      </c>
    </row>
    <row r="1787" spans="1:8">
      <c r="A1787" s="24"/>
      <c r="B1787" s="19"/>
      <c r="C1787" s="25">
        <f>IF(D1787="","",D1787/48)</f>
        <v>0</v>
      </c>
      <c r="D1787" s="26">
        <f>IF(A1787="","",ROUND((A1787-cfgDefasagem/1440)*48,0))</f>
        <v>0</v>
      </c>
      <c r="E1787" s="26">
        <f>IF(D1787="","",INT((D1787-cfgDeslocamento)/4))</f>
        <v>0</v>
      </c>
      <c r="F1787" s="26">
        <f>IF(D1787="","",MOD(D1787-cfgDeslocamento,4)+1)</f>
        <v>0</v>
      </c>
      <c r="G1787" s="26">
        <f>IF(A1787="","",IF(AND(ISNUMBER(B1787),B1787&lt;&gt;0),1,0))</f>
        <v>0</v>
      </c>
      <c r="H1787" s="25">
        <f>IF(E1787="","",(E1787*4+3+cfgDeslocamento)/48)</f>
        <v>0</v>
      </c>
    </row>
    <row r="1788" spans="1:8">
      <c r="A1788" s="24"/>
      <c r="B1788" s="19"/>
      <c r="C1788" s="25">
        <f>IF(D1788="","",D1788/48)</f>
        <v>0</v>
      </c>
      <c r="D1788" s="26">
        <f>IF(A1788="","",ROUND((A1788-cfgDefasagem/1440)*48,0))</f>
        <v>0</v>
      </c>
      <c r="E1788" s="26">
        <f>IF(D1788="","",INT((D1788-cfgDeslocamento)/4))</f>
        <v>0</v>
      </c>
      <c r="F1788" s="26">
        <f>IF(D1788="","",MOD(D1788-cfgDeslocamento,4)+1)</f>
        <v>0</v>
      </c>
      <c r="G1788" s="26">
        <f>IF(A1788="","",IF(AND(ISNUMBER(B1788),B1788&lt;&gt;0),1,0))</f>
        <v>0</v>
      </c>
      <c r="H1788" s="25">
        <f>IF(E1788="","",(E1788*4+3+cfgDeslocamento)/48)</f>
        <v>0</v>
      </c>
    </row>
    <row r="1789" spans="1:8">
      <c r="A1789" s="24"/>
      <c r="B1789" s="19"/>
      <c r="C1789" s="25">
        <f>IF(D1789="","",D1789/48)</f>
        <v>0</v>
      </c>
      <c r="D1789" s="26">
        <f>IF(A1789="","",ROUND((A1789-cfgDefasagem/1440)*48,0))</f>
        <v>0</v>
      </c>
      <c r="E1789" s="26">
        <f>IF(D1789="","",INT((D1789-cfgDeslocamento)/4))</f>
        <v>0</v>
      </c>
      <c r="F1789" s="26">
        <f>IF(D1789="","",MOD(D1789-cfgDeslocamento,4)+1)</f>
        <v>0</v>
      </c>
      <c r="G1789" s="26">
        <f>IF(A1789="","",IF(AND(ISNUMBER(B1789),B1789&lt;&gt;0),1,0))</f>
        <v>0</v>
      </c>
      <c r="H1789" s="25">
        <f>IF(E1789="","",(E1789*4+3+cfgDeslocamento)/48)</f>
        <v>0</v>
      </c>
    </row>
    <row r="1790" spans="1:8">
      <c r="A1790" s="24"/>
      <c r="B1790" s="19"/>
      <c r="C1790" s="25">
        <f>IF(D1790="","",D1790/48)</f>
        <v>0</v>
      </c>
      <c r="D1790" s="26">
        <f>IF(A1790="","",ROUND((A1790-cfgDefasagem/1440)*48,0))</f>
        <v>0</v>
      </c>
      <c r="E1790" s="26">
        <f>IF(D1790="","",INT((D1790-cfgDeslocamento)/4))</f>
        <v>0</v>
      </c>
      <c r="F1790" s="26">
        <f>IF(D1790="","",MOD(D1790-cfgDeslocamento,4)+1)</f>
        <v>0</v>
      </c>
      <c r="G1790" s="26">
        <f>IF(A1790="","",IF(AND(ISNUMBER(B1790),B1790&lt;&gt;0),1,0))</f>
        <v>0</v>
      </c>
      <c r="H1790" s="25">
        <f>IF(E1790="","",(E1790*4+3+cfgDeslocamento)/48)</f>
        <v>0</v>
      </c>
    </row>
    <row r="1791" spans="1:8">
      <c r="A1791" s="24"/>
      <c r="B1791" s="19"/>
      <c r="C1791" s="25">
        <f>IF(D1791="","",D1791/48)</f>
        <v>0</v>
      </c>
      <c r="D1791" s="26">
        <f>IF(A1791="","",ROUND((A1791-cfgDefasagem/1440)*48,0))</f>
        <v>0</v>
      </c>
      <c r="E1791" s="26">
        <f>IF(D1791="","",INT((D1791-cfgDeslocamento)/4))</f>
        <v>0</v>
      </c>
      <c r="F1791" s="26">
        <f>IF(D1791="","",MOD(D1791-cfgDeslocamento,4)+1)</f>
        <v>0</v>
      </c>
      <c r="G1791" s="26">
        <f>IF(A1791="","",IF(AND(ISNUMBER(B1791),B1791&lt;&gt;0),1,0))</f>
        <v>0</v>
      </c>
      <c r="H1791" s="25">
        <f>IF(E1791="","",(E1791*4+3+cfgDeslocamento)/48)</f>
        <v>0</v>
      </c>
    </row>
    <row r="1792" spans="1:8">
      <c r="A1792" s="24"/>
      <c r="B1792" s="19"/>
      <c r="C1792" s="25">
        <f>IF(D1792="","",D1792/48)</f>
        <v>0</v>
      </c>
      <c r="D1792" s="26">
        <f>IF(A1792="","",ROUND((A1792-cfgDefasagem/1440)*48,0))</f>
        <v>0</v>
      </c>
      <c r="E1792" s="26">
        <f>IF(D1792="","",INT((D1792-cfgDeslocamento)/4))</f>
        <v>0</v>
      </c>
      <c r="F1792" s="26">
        <f>IF(D1792="","",MOD(D1792-cfgDeslocamento,4)+1)</f>
        <v>0</v>
      </c>
      <c r="G1792" s="26">
        <f>IF(A1792="","",IF(AND(ISNUMBER(B1792),B1792&lt;&gt;0),1,0))</f>
        <v>0</v>
      </c>
      <c r="H1792" s="25">
        <f>IF(E1792="","",(E1792*4+3+cfgDeslocamento)/48)</f>
        <v>0</v>
      </c>
    </row>
    <row r="1793" spans="1:8">
      <c r="A1793" s="24"/>
      <c r="B1793" s="19"/>
      <c r="C1793" s="25">
        <f>IF(D1793="","",D1793/48)</f>
        <v>0</v>
      </c>
      <c r="D1793" s="26">
        <f>IF(A1793="","",ROUND((A1793-cfgDefasagem/1440)*48,0))</f>
        <v>0</v>
      </c>
      <c r="E1793" s="26">
        <f>IF(D1793="","",INT((D1793-cfgDeslocamento)/4))</f>
        <v>0</v>
      </c>
      <c r="F1793" s="26">
        <f>IF(D1793="","",MOD(D1793-cfgDeslocamento,4)+1)</f>
        <v>0</v>
      </c>
      <c r="G1793" s="26">
        <f>IF(A1793="","",IF(AND(ISNUMBER(B1793),B1793&lt;&gt;0),1,0))</f>
        <v>0</v>
      </c>
      <c r="H1793" s="25">
        <f>IF(E1793="","",(E1793*4+3+cfgDeslocamento)/48)</f>
        <v>0</v>
      </c>
    </row>
    <row r="1794" spans="1:8">
      <c r="A1794" s="24"/>
      <c r="B1794" s="19"/>
      <c r="C1794" s="25">
        <f>IF(D1794="","",D1794/48)</f>
        <v>0</v>
      </c>
      <c r="D1794" s="26">
        <f>IF(A1794="","",ROUND((A1794-cfgDefasagem/1440)*48,0))</f>
        <v>0</v>
      </c>
      <c r="E1794" s="26">
        <f>IF(D1794="","",INT((D1794-cfgDeslocamento)/4))</f>
        <v>0</v>
      </c>
      <c r="F1794" s="26">
        <f>IF(D1794="","",MOD(D1794-cfgDeslocamento,4)+1)</f>
        <v>0</v>
      </c>
      <c r="G1794" s="26">
        <f>IF(A1794="","",IF(AND(ISNUMBER(B1794),B1794&lt;&gt;0),1,0))</f>
        <v>0</v>
      </c>
      <c r="H1794" s="25">
        <f>IF(E1794="","",(E1794*4+3+cfgDeslocamento)/48)</f>
        <v>0</v>
      </c>
    </row>
    <row r="1795" spans="1:8">
      <c r="A1795" s="24"/>
      <c r="B1795" s="19"/>
      <c r="C1795" s="25">
        <f>IF(D1795="","",D1795/48)</f>
        <v>0</v>
      </c>
      <c r="D1795" s="26">
        <f>IF(A1795="","",ROUND((A1795-cfgDefasagem/1440)*48,0))</f>
        <v>0</v>
      </c>
      <c r="E1795" s="26">
        <f>IF(D1795="","",INT((D1795-cfgDeslocamento)/4))</f>
        <v>0</v>
      </c>
      <c r="F1795" s="26">
        <f>IF(D1795="","",MOD(D1795-cfgDeslocamento,4)+1)</f>
        <v>0</v>
      </c>
      <c r="G1795" s="26">
        <f>IF(A1795="","",IF(AND(ISNUMBER(B1795),B1795&lt;&gt;0),1,0))</f>
        <v>0</v>
      </c>
      <c r="H1795" s="25">
        <f>IF(E1795="","",(E1795*4+3+cfgDeslocamento)/48)</f>
        <v>0</v>
      </c>
    </row>
    <row r="1796" spans="1:8">
      <c r="A1796" s="24"/>
      <c r="B1796" s="19"/>
      <c r="C1796" s="25">
        <f>IF(D1796="","",D1796/48)</f>
        <v>0</v>
      </c>
      <c r="D1796" s="26">
        <f>IF(A1796="","",ROUND((A1796-cfgDefasagem/1440)*48,0))</f>
        <v>0</v>
      </c>
      <c r="E1796" s="26">
        <f>IF(D1796="","",INT((D1796-cfgDeslocamento)/4))</f>
        <v>0</v>
      </c>
      <c r="F1796" s="26">
        <f>IF(D1796="","",MOD(D1796-cfgDeslocamento,4)+1)</f>
        <v>0</v>
      </c>
      <c r="G1796" s="26">
        <f>IF(A1796="","",IF(AND(ISNUMBER(B1796),B1796&lt;&gt;0),1,0))</f>
        <v>0</v>
      </c>
      <c r="H1796" s="25">
        <f>IF(E1796="","",(E1796*4+3+cfgDeslocamento)/48)</f>
        <v>0</v>
      </c>
    </row>
    <row r="1797" spans="1:8">
      <c r="A1797" s="24"/>
      <c r="B1797" s="19"/>
      <c r="C1797" s="25">
        <f>IF(D1797="","",D1797/48)</f>
        <v>0</v>
      </c>
      <c r="D1797" s="26">
        <f>IF(A1797="","",ROUND((A1797-cfgDefasagem/1440)*48,0))</f>
        <v>0</v>
      </c>
      <c r="E1797" s="26">
        <f>IF(D1797="","",INT((D1797-cfgDeslocamento)/4))</f>
        <v>0</v>
      </c>
      <c r="F1797" s="26">
        <f>IF(D1797="","",MOD(D1797-cfgDeslocamento,4)+1)</f>
        <v>0</v>
      </c>
      <c r="G1797" s="26">
        <f>IF(A1797="","",IF(AND(ISNUMBER(B1797),B1797&lt;&gt;0),1,0))</f>
        <v>0</v>
      </c>
      <c r="H1797" s="25">
        <f>IF(E1797="","",(E1797*4+3+cfgDeslocamento)/48)</f>
        <v>0</v>
      </c>
    </row>
    <row r="1798" spans="1:8">
      <c r="A1798" s="24"/>
      <c r="B1798" s="19"/>
      <c r="C1798" s="25">
        <f>IF(D1798="","",D1798/48)</f>
        <v>0</v>
      </c>
      <c r="D1798" s="26">
        <f>IF(A1798="","",ROUND((A1798-cfgDefasagem/1440)*48,0))</f>
        <v>0</v>
      </c>
      <c r="E1798" s="26">
        <f>IF(D1798="","",INT((D1798-cfgDeslocamento)/4))</f>
        <v>0</v>
      </c>
      <c r="F1798" s="26">
        <f>IF(D1798="","",MOD(D1798-cfgDeslocamento,4)+1)</f>
        <v>0</v>
      </c>
      <c r="G1798" s="26">
        <f>IF(A1798="","",IF(AND(ISNUMBER(B1798),B1798&lt;&gt;0),1,0))</f>
        <v>0</v>
      </c>
      <c r="H1798" s="25">
        <f>IF(E1798="","",(E1798*4+3+cfgDeslocamento)/48)</f>
        <v>0</v>
      </c>
    </row>
    <row r="1799" spans="1:8">
      <c r="A1799" s="24"/>
      <c r="B1799" s="19"/>
      <c r="C1799" s="25">
        <f>IF(D1799="","",D1799/48)</f>
        <v>0</v>
      </c>
      <c r="D1799" s="26">
        <f>IF(A1799="","",ROUND((A1799-cfgDefasagem/1440)*48,0))</f>
        <v>0</v>
      </c>
      <c r="E1799" s="26">
        <f>IF(D1799="","",INT((D1799-cfgDeslocamento)/4))</f>
        <v>0</v>
      </c>
      <c r="F1799" s="26">
        <f>IF(D1799="","",MOD(D1799-cfgDeslocamento,4)+1)</f>
        <v>0</v>
      </c>
      <c r="G1799" s="26">
        <f>IF(A1799="","",IF(AND(ISNUMBER(B1799),B1799&lt;&gt;0),1,0))</f>
        <v>0</v>
      </c>
      <c r="H1799" s="25">
        <f>IF(E1799="","",(E1799*4+3+cfgDeslocamento)/48)</f>
        <v>0</v>
      </c>
    </row>
    <row r="1800" spans="1:8">
      <c r="A1800" s="24"/>
      <c r="B1800" s="19"/>
      <c r="C1800" s="25">
        <f>IF(D1800="","",D1800/48)</f>
        <v>0</v>
      </c>
      <c r="D1800" s="26">
        <f>IF(A1800="","",ROUND((A1800-cfgDefasagem/1440)*48,0))</f>
        <v>0</v>
      </c>
      <c r="E1800" s="26">
        <f>IF(D1800="","",INT((D1800-cfgDeslocamento)/4))</f>
        <v>0</v>
      </c>
      <c r="F1800" s="26">
        <f>IF(D1800="","",MOD(D1800-cfgDeslocamento,4)+1)</f>
        <v>0</v>
      </c>
      <c r="G1800" s="26">
        <f>IF(A1800="","",IF(AND(ISNUMBER(B1800),B1800&lt;&gt;0),1,0))</f>
        <v>0</v>
      </c>
      <c r="H1800" s="25">
        <f>IF(E1800="","",(E1800*4+3+cfgDeslocamento)/48)</f>
        <v>0</v>
      </c>
    </row>
    <row r="1801" spans="1:8">
      <c r="A1801" s="24"/>
      <c r="B1801" s="19"/>
      <c r="C1801" s="25">
        <f>IF(D1801="","",D1801/48)</f>
        <v>0</v>
      </c>
      <c r="D1801" s="26">
        <f>IF(A1801="","",ROUND((A1801-cfgDefasagem/1440)*48,0))</f>
        <v>0</v>
      </c>
      <c r="E1801" s="26">
        <f>IF(D1801="","",INT((D1801-cfgDeslocamento)/4))</f>
        <v>0</v>
      </c>
      <c r="F1801" s="26">
        <f>IF(D1801="","",MOD(D1801-cfgDeslocamento,4)+1)</f>
        <v>0</v>
      </c>
      <c r="G1801" s="26">
        <f>IF(A1801="","",IF(AND(ISNUMBER(B1801),B1801&lt;&gt;0),1,0))</f>
        <v>0</v>
      </c>
      <c r="H1801" s="25">
        <f>IF(E1801="","",(E1801*4+3+cfgDeslocamento)/48)</f>
        <v>0</v>
      </c>
    </row>
    <row r="1802" spans="1:8">
      <c r="A1802" s="24"/>
      <c r="B1802" s="19"/>
      <c r="C1802" s="25">
        <f>IF(D1802="","",D1802/48)</f>
        <v>0</v>
      </c>
      <c r="D1802" s="26">
        <f>IF(A1802="","",ROUND((A1802-cfgDefasagem/1440)*48,0))</f>
        <v>0</v>
      </c>
      <c r="E1802" s="26">
        <f>IF(D1802="","",INT((D1802-cfgDeslocamento)/4))</f>
        <v>0</v>
      </c>
      <c r="F1802" s="26">
        <f>IF(D1802="","",MOD(D1802-cfgDeslocamento,4)+1)</f>
        <v>0</v>
      </c>
      <c r="G1802" s="26">
        <f>IF(A1802="","",IF(AND(ISNUMBER(B1802),B1802&lt;&gt;0),1,0))</f>
        <v>0</v>
      </c>
      <c r="H1802" s="25">
        <f>IF(E1802="","",(E1802*4+3+cfgDeslocamento)/48)</f>
        <v>0</v>
      </c>
    </row>
    <row r="1803" spans="1:8">
      <c r="A1803" s="24"/>
      <c r="B1803" s="19"/>
      <c r="C1803" s="25">
        <f>IF(D1803="","",D1803/48)</f>
        <v>0</v>
      </c>
      <c r="D1803" s="26">
        <f>IF(A1803="","",ROUND((A1803-cfgDefasagem/1440)*48,0))</f>
        <v>0</v>
      </c>
      <c r="E1803" s="26">
        <f>IF(D1803="","",INT((D1803-cfgDeslocamento)/4))</f>
        <v>0</v>
      </c>
      <c r="F1803" s="26">
        <f>IF(D1803="","",MOD(D1803-cfgDeslocamento,4)+1)</f>
        <v>0</v>
      </c>
      <c r="G1803" s="26">
        <f>IF(A1803="","",IF(AND(ISNUMBER(B1803),B1803&lt;&gt;0),1,0))</f>
        <v>0</v>
      </c>
      <c r="H1803" s="25">
        <f>IF(E1803="","",(E1803*4+3+cfgDeslocamento)/48)</f>
        <v>0</v>
      </c>
    </row>
    <row r="1804" spans="1:8">
      <c r="A1804" s="24"/>
      <c r="B1804" s="19"/>
      <c r="C1804" s="25">
        <f>IF(D1804="","",D1804/48)</f>
        <v>0</v>
      </c>
      <c r="D1804" s="26">
        <f>IF(A1804="","",ROUND((A1804-cfgDefasagem/1440)*48,0))</f>
        <v>0</v>
      </c>
      <c r="E1804" s="26">
        <f>IF(D1804="","",INT((D1804-cfgDeslocamento)/4))</f>
        <v>0</v>
      </c>
      <c r="F1804" s="26">
        <f>IF(D1804="","",MOD(D1804-cfgDeslocamento,4)+1)</f>
        <v>0</v>
      </c>
      <c r="G1804" s="26">
        <f>IF(A1804="","",IF(AND(ISNUMBER(B1804),B1804&lt;&gt;0),1,0))</f>
        <v>0</v>
      </c>
      <c r="H1804" s="25">
        <f>IF(E1804="","",(E1804*4+3+cfgDeslocamento)/48)</f>
        <v>0</v>
      </c>
    </row>
    <row r="1805" spans="1:8">
      <c r="A1805" s="24"/>
      <c r="B1805" s="19"/>
      <c r="C1805" s="25">
        <f>IF(D1805="","",D1805/48)</f>
        <v>0</v>
      </c>
      <c r="D1805" s="26">
        <f>IF(A1805="","",ROUND((A1805-cfgDefasagem/1440)*48,0))</f>
        <v>0</v>
      </c>
      <c r="E1805" s="26">
        <f>IF(D1805="","",INT((D1805-cfgDeslocamento)/4))</f>
        <v>0</v>
      </c>
      <c r="F1805" s="26">
        <f>IF(D1805="","",MOD(D1805-cfgDeslocamento,4)+1)</f>
        <v>0</v>
      </c>
      <c r="G1805" s="26">
        <f>IF(A1805="","",IF(AND(ISNUMBER(B1805),B1805&lt;&gt;0),1,0))</f>
        <v>0</v>
      </c>
      <c r="H1805" s="25">
        <f>IF(E1805="","",(E1805*4+3+cfgDeslocamento)/48)</f>
        <v>0</v>
      </c>
    </row>
    <row r="1806" spans="1:8">
      <c r="A1806" s="24"/>
      <c r="B1806" s="19"/>
      <c r="C1806" s="25">
        <f>IF(D1806="","",D1806/48)</f>
        <v>0</v>
      </c>
      <c r="D1806" s="26">
        <f>IF(A1806="","",ROUND((A1806-cfgDefasagem/1440)*48,0))</f>
        <v>0</v>
      </c>
      <c r="E1806" s="26">
        <f>IF(D1806="","",INT((D1806-cfgDeslocamento)/4))</f>
        <v>0</v>
      </c>
      <c r="F1806" s="26">
        <f>IF(D1806="","",MOD(D1806-cfgDeslocamento,4)+1)</f>
        <v>0</v>
      </c>
      <c r="G1806" s="26">
        <f>IF(A1806="","",IF(AND(ISNUMBER(B1806),B1806&lt;&gt;0),1,0))</f>
        <v>0</v>
      </c>
      <c r="H1806" s="25">
        <f>IF(E1806="","",(E1806*4+3+cfgDeslocamento)/48)</f>
        <v>0</v>
      </c>
    </row>
    <row r="1807" spans="1:8">
      <c r="A1807" s="24"/>
      <c r="B1807" s="19"/>
      <c r="C1807" s="25">
        <f>IF(D1807="","",D1807/48)</f>
        <v>0</v>
      </c>
      <c r="D1807" s="26">
        <f>IF(A1807="","",ROUND((A1807-cfgDefasagem/1440)*48,0))</f>
        <v>0</v>
      </c>
      <c r="E1807" s="26">
        <f>IF(D1807="","",INT((D1807-cfgDeslocamento)/4))</f>
        <v>0</v>
      </c>
      <c r="F1807" s="26">
        <f>IF(D1807="","",MOD(D1807-cfgDeslocamento,4)+1)</f>
        <v>0</v>
      </c>
      <c r="G1807" s="26">
        <f>IF(A1807="","",IF(AND(ISNUMBER(B1807),B1807&lt;&gt;0),1,0))</f>
        <v>0</v>
      </c>
      <c r="H1807" s="25">
        <f>IF(E1807="","",(E1807*4+3+cfgDeslocamento)/48)</f>
        <v>0</v>
      </c>
    </row>
    <row r="1808" spans="1:8">
      <c r="A1808" s="24"/>
      <c r="B1808" s="19"/>
      <c r="C1808" s="25">
        <f>IF(D1808="","",D1808/48)</f>
        <v>0</v>
      </c>
      <c r="D1808" s="26">
        <f>IF(A1808="","",ROUND((A1808-cfgDefasagem/1440)*48,0))</f>
        <v>0</v>
      </c>
      <c r="E1808" s="26">
        <f>IF(D1808="","",INT((D1808-cfgDeslocamento)/4))</f>
        <v>0</v>
      </c>
      <c r="F1808" s="26">
        <f>IF(D1808="","",MOD(D1808-cfgDeslocamento,4)+1)</f>
        <v>0</v>
      </c>
      <c r="G1808" s="26">
        <f>IF(A1808="","",IF(AND(ISNUMBER(B1808),B1808&lt;&gt;0),1,0))</f>
        <v>0</v>
      </c>
      <c r="H1808" s="25">
        <f>IF(E1808="","",(E1808*4+3+cfgDeslocamento)/48)</f>
        <v>0</v>
      </c>
    </row>
    <row r="1809" spans="1:8">
      <c r="A1809" s="24"/>
      <c r="B1809" s="19"/>
      <c r="C1809" s="25">
        <f>IF(D1809="","",D1809/48)</f>
        <v>0</v>
      </c>
      <c r="D1809" s="26">
        <f>IF(A1809="","",ROUND((A1809-cfgDefasagem/1440)*48,0))</f>
        <v>0</v>
      </c>
      <c r="E1809" s="26">
        <f>IF(D1809="","",INT((D1809-cfgDeslocamento)/4))</f>
        <v>0</v>
      </c>
      <c r="F1809" s="26">
        <f>IF(D1809="","",MOD(D1809-cfgDeslocamento,4)+1)</f>
        <v>0</v>
      </c>
      <c r="G1809" s="26">
        <f>IF(A1809="","",IF(AND(ISNUMBER(B1809),B1809&lt;&gt;0),1,0))</f>
        <v>0</v>
      </c>
      <c r="H1809" s="25">
        <f>IF(E1809="","",(E1809*4+3+cfgDeslocamento)/48)</f>
        <v>0</v>
      </c>
    </row>
    <row r="1810" spans="1:8">
      <c r="A1810" s="24"/>
      <c r="B1810" s="19"/>
      <c r="C1810" s="25">
        <f>IF(D1810="","",D1810/48)</f>
        <v>0</v>
      </c>
      <c r="D1810" s="26">
        <f>IF(A1810="","",ROUND((A1810-cfgDefasagem/1440)*48,0))</f>
        <v>0</v>
      </c>
      <c r="E1810" s="26">
        <f>IF(D1810="","",INT((D1810-cfgDeslocamento)/4))</f>
        <v>0</v>
      </c>
      <c r="F1810" s="26">
        <f>IF(D1810="","",MOD(D1810-cfgDeslocamento,4)+1)</f>
        <v>0</v>
      </c>
      <c r="G1810" s="26">
        <f>IF(A1810="","",IF(AND(ISNUMBER(B1810),B1810&lt;&gt;0),1,0))</f>
        <v>0</v>
      </c>
      <c r="H1810" s="25">
        <f>IF(E1810="","",(E1810*4+3+cfgDeslocamento)/48)</f>
        <v>0</v>
      </c>
    </row>
    <row r="1811" spans="1:8">
      <c r="A1811" s="24"/>
      <c r="B1811" s="19"/>
      <c r="C1811" s="25">
        <f>IF(D1811="","",D1811/48)</f>
        <v>0</v>
      </c>
      <c r="D1811" s="26">
        <f>IF(A1811="","",ROUND((A1811-cfgDefasagem/1440)*48,0))</f>
        <v>0</v>
      </c>
      <c r="E1811" s="26">
        <f>IF(D1811="","",INT((D1811-cfgDeslocamento)/4))</f>
        <v>0</v>
      </c>
      <c r="F1811" s="26">
        <f>IF(D1811="","",MOD(D1811-cfgDeslocamento,4)+1)</f>
        <v>0</v>
      </c>
      <c r="G1811" s="26">
        <f>IF(A1811="","",IF(AND(ISNUMBER(B1811),B1811&lt;&gt;0),1,0))</f>
        <v>0</v>
      </c>
      <c r="H1811" s="25">
        <f>IF(E1811="","",(E1811*4+3+cfgDeslocamento)/48)</f>
        <v>0</v>
      </c>
    </row>
    <row r="1812" spans="1:8">
      <c r="A1812" s="24"/>
      <c r="B1812" s="19"/>
      <c r="C1812" s="25">
        <f>IF(D1812="","",D1812/48)</f>
        <v>0</v>
      </c>
      <c r="D1812" s="26">
        <f>IF(A1812="","",ROUND((A1812-cfgDefasagem/1440)*48,0))</f>
        <v>0</v>
      </c>
      <c r="E1812" s="26">
        <f>IF(D1812="","",INT((D1812-cfgDeslocamento)/4))</f>
        <v>0</v>
      </c>
      <c r="F1812" s="26">
        <f>IF(D1812="","",MOD(D1812-cfgDeslocamento,4)+1)</f>
        <v>0</v>
      </c>
      <c r="G1812" s="26">
        <f>IF(A1812="","",IF(AND(ISNUMBER(B1812),B1812&lt;&gt;0),1,0))</f>
        <v>0</v>
      </c>
      <c r="H1812" s="25">
        <f>IF(E1812="","",(E1812*4+3+cfgDeslocamento)/48)</f>
        <v>0</v>
      </c>
    </row>
    <row r="1813" spans="1:8">
      <c r="A1813" s="24"/>
      <c r="B1813" s="19"/>
      <c r="C1813" s="25">
        <f>IF(D1813="","",D1813/48)</f>
        <v>0</v>
      </c>
      <c r="D1813" s="26">
        <f>IF(A1813="","",ROUND((A1813-cfgDefasagem/1440)*48,0))</f>
        <v>0</v>
      </c>
      <c r="E1813" s="26">
        <f>IF(D1813="","",INT((D1813-cfgDeslocamento)/4))</f>
        <v>0</v>
      </c>
      <c r="F1813" s="26">
        <f>IF(D1813="","",MOD(D1813-cfgDeslocamento,4)+1)</f>
        <v>0</v>
      </c>
      <c r="G1813" s="26">
        <f>IF(A1813="","",IF(AND(ISNUMBER(B1813),B1813&lt;&gt;0),1,0))</f>
        <v>0</v>
      </c>
      <c r="H1813" s="25">
        <f>IF(E1813="","",(E1813*4+3+cfgDeslocamento)/48)</f>
        <v>0</v>
      </c>
    </row>
    <row r="1814" spans="1:8">
      <c r="A1814" s="24"/>
      <c r="B1814" s="19"/>
      <c r="C1814" s="25">
        <f>IF(D1814="","",D1814/48)</f>
        <v>0</v>
      </c>
      <c r="D1814" s="26">
        <f>IF(A1814="","",ROUND((A1814-cfgDefasagem/1440)*48,0))</f>
        <v>0</v>
      </c>
      <c r="E1814" s="26">
        <f>IF(D1814="","",INT((D1814-cfgDeslocamento)/4))</f>
        <v>0</v>
      </c>
      <c r="F1814" s="26">
        <f>IF(D1814="","",MOD(D1814-cfgDeslocamento,4)+1)</f>
        <v>0</v>
      </c>
      <c r="G1814" s="26">
        <f>IF(A1814="","",IF(AND(ISNUMBER(B1814),B1814&lt;&gt;0),1,0))</f>
        <v>0</v>
      </c>
      <c r="H1814" s="25">
        <f>IF(E1814="","",(E1814*4+3+cfgDeslocamento)/48)</f>
        <v>0</v>
      </c>
    </row>
    <row r="1815" spans="1:8">
      <c r="A1815" s="24"/>
      <c r="B1815" s="19"/>
      <c r="C1815" s="25">
        <f>IF(D1815="","",D1815/48)</f>
        <v>0</v>
      </c>
      <c r="D1815" s="26">
        <f>IF(A1815="","",ROUND((A1815-cfgDefasagem/1440)*48,0))</f>
        <v>0</v>
      </c>
      <c r="E1815" s="26">
        <f>IF(D1815="","",INT((D1815-cfgDeslocamento)/4))</f>
        <v>0</v>
      </c>
      <c r="F1815" s="26">
        <f>IF(D1815="","",MOD(D1815-cfgDeslocamento,4)+1)</f>
        <v>0</v>
      </c>
      <c r="G1815" s="26">
        <f>IF(A1815="","",IF(AND(ISNUMBER(B1815),B1815&lt;&gt;0),1,0))</f>
        <v>0</v>
      </c>
      <c r="H1815" s="25">
        <f>IF(E1815="","",(E1815*4+3+cfgDeslocamento)/48)</f>
        <v>0</v>
      </c>
    </row>
    <row r="1816" spans="1:8">
      <c r="A1816" s="24"/>
      <c r="B1816" s="19"/>
      <c r="C1816" s="25">
        <f>IF(D1816="","",D1816/48)</f>
        <v>0</v>
      </c>
      <c r="D1816" s="26">
        <f>IF(A1816="","",ROUND((A1816-cfgDefasagem/1440)*48,0))</f>
        <v>0</v>
      </c>
      <c r="E1816" s="26">
        <f>IF(D1816="","",INT((D1816-cfgDeslocamento)/4))</f>
        <v>0</v>
      </c>
      <c r="F1816" s="26">
        <f>IF(D1816="","",MOD(D1816-cfgDeslocamento,4)+1)</f>
        <v>0</v>
      </c>
      <c r="G1816" s="26">
        <f>IF(A1816="","",IF(AND(ISNUMBER(B1816),B1816&lt;&gt;0),1,0))</f>
        <v>0</v>
      </c>
      <c r="H1816" s="25">
        <f>IF(E1816="","",(E1816*4+3+cfgDeslocamento)/48)</f>
        <v>0</v>
      </c>
    </row>
    <row r="1817" spans="1:8">
      <c r="A1817" s="24"/>
      <c r="B1817" s="19"/>
      <c r="C1817" s="25">
        <f>IF(D1817="","",D1817/48)</f>
        <v>0</v>
      </c>
      <c r="D1817" s="26">
        <f>IF(A1817="","",ROUND((A1817-cfgDefasagem/1440)*48,0))</f>
        <v>0</v>
      </c>
      <c r="E1817" s="26">
        <f>IF(D1817="","",INT((D1817-cfgDeslocamento)/4))</f>
        <v>0</v>
      </c>
      <c r="F1817" s="26">
        <f>IF(D1817="","",MOD(D1817-cfgDeslocamento,4)+1)</f>
        <v>0</v>
      </c>
      <c r="G1817" s="26">
        <f>IF(A1817="","",IF(AND(ISNUMBER(B1817),B1817&lt;&gt;0),1,0))</f>
        <v>0</v>
      </c>
      <c r="H1817" s="25">
        <f>IF(E1817="","",(E1817*4+3+cfgDeslocamento)/48)</f>
        <v>0</v>
      </c>
    </row>
    <row r="1818" spans="1:8">
      <c r="A1818" s="24"/>
      <c r="B1818" s="19"/>
      <c r="C1818" s="25">
        <f>IF(D1818="","",D1818/48)</f>
        <v>0</v>
      </c>
      <c r="D1818" s="26">
        <f>IF(A1818="","",ROUND((A1818-cfgDefasagem/1440)*48,0))</f>
        <v>0</v>
      </c>
      <c r="E1818" s="26">
        <f>IF(D1818="","",INT((D1818-cfgDeslocamento)/4))</f>
        <v>0</v>
      </c>
      <c r="F1818" s="26">
        <f>IF(D1818="","",MOD(D1818-cfgDeslocamento,4)+1)</f>
        <v>0</v>
      </c>
      <c r="G1818" s="26">
        <f>IF(A1818="","",IF(AND(ISNUMBER(B1818),B1818&lt;&gt;0),1,0))</f>
        <v>0</v>
      </c>
      <c r="H1818" s="25">
        <f>IF(E1818="","",(E1818*4+3+cfgDeslocamento)/48)</f>
        <v>0</v>
      </c>
    </row>
    <row r="1819" spans="1:8">
      <c r="A1819" s="24"/>
      <c r="B1819" s="19"/>
      <c r="C1819" s="25">
        <f>IF(D1819="","",D1819/48)</f>
        <v>0</v>
      </c>
      <c r="D1819" s="26">
        <f>IF(A1819="","",ROUND((A1819-cfgDefasagem/1440)*48,0))</f>
        <v>0</v>
      </c>
      <c r="E1819" s="26">
        <f>IF(D1819="","",INT((D1819-cfgDeslocamento)/4))</f>
        <v>0</v>
      </c>
      <c r="F1819" s="26">
        <f>IF(D1819="","",MOD(D1819-cfgDeslocamento,4)+1)</f>
        <v>0</v>
      </c>
      <c r="G1819" s="26">
        <f>IF(A1819="","",IF(AND(ISNUMBER(B1819),B1819&lt;&gt;0),1,0))</f>
        <v>0</v>
      </c>
      <c r="H1819" s="25">
        <f>IF(E1819="","",(E1819*4+3+cfgDeslocamento)/48)</f>
        <v>0</v>
      </c>
    </row>
    <row r="1820" spans="1:8">
      <c r="A1820" s="24"/>
      <c r="B1820" s="19"/>
      <c r="C1820" s="25">
        <f>IF(D1820="","",D1820/48)</f>
        <v>0</v>
      </c>
      <c r="D1820" s="26">
        <f>IF(A1820="","",ROUND((A1820-cfgDefasagem/1440)*48,0))</f>
        <v>0</v>
      </c>
      <c r="E1820" s="26">
        <f>IF(D1820="","",INT((D1820-cfgDeslocamento)/4))</f>
        <v>0</v>
      </c>
      <c r="F1820" s="26">
        <f>IF(D1820="","",MOD(D1820-cfgDeslocamento,4)+1)</f>
        <v>0</v>
      </c>
      <c r="G1820" s="26">
        <f>IF(A1820="","",IF(AND(ISNUMBER(B1820),B1820&lt;&gt;0),1,0))</f>
        <v>0</v>
      </c>
      <c r="H1820" s="25">
        <f>IF(E1820="","",(E1820*4+3+cfgDeslocamento)/48)</f>
        <v>0</v>
      </c>
    </row>
    <row r="1821" spans="1:8">
      <c r="A1821" s="24"/>
      <c r="B1821" s="19"/>
      <c r="C1821" s="25">
        <f>IF(D1821="","",D1821/48)</f>
        <v>0</v>
      </c>
      <c r="D1821" s="26">
        <f>IF(A1821="","",ROUND((A1821-cfgDefasagem/1440)*48,0))</f>
        <v>0</v>
      </c>
      <c r="E1821" s="26">
        <f>IF(D1821="","",INT((D1821-cfgDeslocamento)/4))</f>
        <v>0</v>
      </c>
      <c r="F1821" s="26">
        <f>IF(D1821="","",MOD(D1821-cfgDeslocamento,4)+1)</f>
        <v>0</v>
      </c>
      <c r="G1821" s="26">
        <f>IF(A1821="","",IF(AND(ISNUMBER(B1821),B1821&lt;&gt;0),1,0))</f>
        <v>0</v>
      </c>
      <c r="H1821" s="25">
        <f>IF(E1821="","",(E1821*4+3+cfgDeslocamento)/48)</f>
        <v>0</v>
      </c>
    </row>
    <row r="1822" spans="1:8">
      <c r="A1822" s="24"/>
      <c r="B1822" s="19"/>
      <c r="C1822" s="25">
        <f>IF(D1822="","",D1822/48)</f>
        <v>0</v>
      </c>
      <c r="D1822" s="26">
        <f>IF(A1822="","",ROUND((A1822-cfgDefasagem/1440)*48,0))</f>
        <v>0</v>
      </c>
      <c r="E1822" s="26">
        <f>IF(D1822="","",INT((D1822-cfgDeslocamento)/4))</f>
        <v>0</v>
      </c>
      <c r="F1822" s="26">
        <f>IF(D1822="","",MOD(D1822-cfgDeslocamento,4)+1)</f>
        <v>0</v>
      </c>
      <c r="G1822" s="26">
        <f>IF(A1822="","",IF(AND(ISNUMBER(B1822),B1822&lt;&gt;0),1,0))</f>
        <v>0</v>
      </c>
      <c r="H1822" s="25">
        <f>IF(E1822="","",(E1822*4+3+cfgDeslocamento)/48)</f>
        <v>0</v>
      </c>
    </row>
    <row r="1823" spans="1:8">
      <c r="A1823" s="24"/>
      <c r="B1823" s="19"/>
      <c r="C1823" s="25">
        <f>IF(D1823="","",D1823/48)</f>
        <v>0</v>
      </c>
      <c r="D1823" s="26">
        <f>IF(A1823="","",ROUND((A1823-cfgDefasagem/1440)*48,0))</f>
        <v>0</v>
      </c>
      <c r="E1823" s="26">
        <f>IF(D1823="","",INT((D1823-cfgDeslocamento)/4))</f>
        <v>0</v>
      </c>
      <c r="F1823" s="26">
        <f>IF(D1823="","",MOD(D1823-cfgDeslocamento,4)+1)</f>
        <v>0</v>
      </c>
      <c r="G1823" s="26">
        <f>IF(A1823="","",IF(AND(ISNUMBER(B1823),B1823&lt;&gt;0),1,0))</f>
        <v>0</v>
      </c>
      <c r="H1823" s="25">
        <f>IF(E1823="","",(E1823*4+3+cfgDeslocamento)/48)</f>
        <v>0</v>
      </c>
    </row>
    <row r="1824" spans="1:8">
      <c r="A1824" s="24"/>
      <c r="B1824" s="19"/>
      <c r="C1824" s="25">
        <f>IF(D1824="","",D1824/48)</f>
        <v>0</v>
      </c>
      <c r="D1824" s="26">
        <f>IF(A1824="","",ROUND((A1824-cfgDefasagem/1440)*48,0))</f>
        <v>0</v>
      </c>
      <c r="E1824" s="26">
        <f>IF(D1824="","",INT((D1824-cfgDeslocamento)/4))</f>
        <v>0</v>
      </c>
      <c r="F1824" s="26">
        <f>IF(D1824="","",MOD(D1824-cfgDeslocamento,4)+1)</f>
        <v>0</v>
      </c>
      <c r="G1824" s="26">
        <f>IF(A1824="","",IF(AND(ISNUMBER(B1824),B1824&lt;&gt;0),1,0))</f>
        <v>0</v>
      </c>
      <c r="H1824" s="25">
        <f>IF(E1824="","",(E1824*4+3+cfgDeslocamento)/48)</f>
        <v>0</v>
      </c>
    </row>
    <row r="1825" spans="1:8">
      <c r="A1825" s="24"/>
      <c r="B1825" s="19"/>
      <c r="C1825" s="25">
        <f>IF(D1825="","",D1825/48)</f>
        <v>0</v>
      </c>
      <c r="D1825" s="26">
        <f>IF(A1825="","",ROUND((A1825-cfgDefasagem/1440)*48,0))</f>
        <v>0</v>
      </c>
      <c r="E1825" s="26">
        <f>IF(D1825="","",INT((D1825-cfgDeslocamento)/4))</f>
        <v>0</v>
      </c>
      <c r="F1825" s="26">
        <f>IF(D1825="","",MOD(D1825-cfgDeslocamento,4)+1)</f>
        <v>0</v>
      </c>
      <c r="G1825" s="26">
        <f>IF(A1825="","",IF(AND(ISNUMBER(B1825),B1825&lt;&gt;0),1,0))</f>
        <v>0</v>
      </c>
      <c r="H1825" s="25">
        <f>IF(E1825="","",(E1825*4+3+cfgDeslocamento)/48)</f>
        <v>0</v>
      </c>
    </row>
    <row r="1826" spans="1:8">
      <c r="A1826" s="24"/>
      <c r="B1826" s="19"/>
      <c r="C1826" s="25">
        <f>IF(D1826="","",D1826/48)</f>
        <v>0</v>
      </c>
      <c r="D1826" s="26">
        <f>IF(A1826="","",ROUND((A1826-cfgDefasagem/1440)*48,0))</f>
        <v>0</v>
      </c>
      <c r="E1826" s="26">
        <f>IF(D1826="","",INT((D1826-cfgDeslocamento)/4))</f>
        <v>0</v>
      </c>
      <c r="F1826" s="26">
        <f>IF(D1826="","",MOD(D1826-cfgDeslocamento,4)+1)</f>
        <v>0</v>
      </c>
      <c r="G1826" s="26">
        <f>IF(A1826="","",IF(AND(ISNUMBER(B1826),B1826&lt;&gt;0),1,0))</f>
        <v>0</v>
      </c>
      <c r="H1826" s="25">
        <f>IF(E1826="","",(E1826*4+3+cfgDeslocamento)/48)</f>
        <v>0</v>
      </c>
    </row>
    <row r="1827" spans="1:8">
      <c r="A1827" s="24"/>
      <c r="B1827" s="19"/>
      <c r="C1827" s="25">
        <f>IF(D1827="","",D1827/48)</f>
        <v>0</v>
      </c>
      <c r="D1827" s="26">
        <f>IF(A1827="","",ROUND((A1827-cfgDefasagem/1440)*48,0))</f>
        <v>0</v>
      </c>
      <c r="E1827" s="26">
        <f>IF(D1827="","",INT((D1827-cfgDeslocamento)/4))</f>
        <v>0</v>
      </c>
      <c r="F1827" s="26">
        <f>IF(D1827="","",MOD(D1827-cfgDeslocamento,4)+1)</f>
        <v>0</v>
      </c>
      <c r="G1827" s="26">
        <f>IF(A1827="","",IF(AND(ISNUMBER(B1827),B1827&lt;&gt;0),1,0))</f>
        <v>0</v>
      </c>
      <c r="H1827" s="25">
        <f>IF(E1827="","",(E1827*4+3+cfgDeslocamento)/48)</f>
        <v>0</v>
      </c>
    </row>
    <row r="1828" spans="1:8">
      <c r="A1828" s="24"/>
      <c r="B1828" s="19"/>
      <c r="C1828" s="25">
        <f>IF(D1828="","",D1828/48)</f>
        <v>0</v>
      </c>
      <c r="D1828" s="26">
        <f>IF(A1828="","",ROUND((A1828-cfgDefasagem/1440)*48,0))</f>
        <v>0</v>
      </c>
      <c r="E1828" s="26">
        <f>IF(D1828="","",INT((D1828-cfgDeslocamento)/4))</f>
        <v>0</v>
      </c>
      <c r="F1828" s="26">
        <f>IF(D1828="","",MOD(D1828-cfgDeslocamento,4)+1)</f>
        <v>0</v>
      </c>
      <c r="G1828" s="26">
        <f>IF(A1828="","",IF(AND(ISNUMBER(B1828),B1828&lt;&gt;0),1,0))</f>
        <v>0</v>
      </c>
      <c r="H1828" s="25">
        <f>IF(E1828="","",(E1828*4+3+cfgDeslocamento)/48)</f>
        <v>0</v>
      </c>
    </row>
    <row r="1829" spans="1:8">
      <c r="A1829" s="24"/>
      <c r="B1829" s="19"/>
      <c r="C1829" s="25">
        <f>IF(D1829="","",D1829/48)</f>
        <v>0</v>
      </c>
      <c r="D1829" s="26">
        <f>IF(A1829="","",ROUND((A1829-cfgDefasagem/1440)*48,0))</f>
        <v>0</v>
      </c>
      <c r="E1829" s="26">
        <f>IF(D1829="","",INT((D1829-cfgDeslocamento)/4))</f>
        <v>0</v>
      </c>
      <c r="F1829" s="26">
        <f>IF(D1829="","",MOD(D1829-cfgDeslocamento,4)+1)</f>
        <v>0</v>
      </c>
      <c r="G1829" s="26">
        <f>IF(A1829="","",IF(AND(ISNUMBER(B1829),B1829&lt;&gt;0),1,0))</f>
        <v>0</v>
      </c>
      <c r="H1829" s="25">
        <f>IF(E1829="","",(E1829*4+3+cfgDeslocamento)/48)</f>
        <v>0</v>
      </c>
    </row>
    <row r="1830" spans="1:8">
      <c r="A1830" s="24"/>
      <c r="B1830" s="19"/>
      <c r="C1830" s="25">
        <f>IF(D1830="","",D1830/48)</f>
        <v>0</v>
      </c>
      <c r="D1830" s="26">
        <f>IF(A1830="","",ROUND((A1830-cfgDefasagem/1440)*48,0))</f>
        <v>0</v>
      </c>
      <c r="E1830" s="26">
        <f>IF(D1830="","",INT((D1830-cfgDeslocamento)/4))</f>
        <v>0</v>
      </c>
      <c r="F1830" s="26">
        <f>IF(D1830="","",MOD(D1830-cfgDeslocamento,4)+1)</f>
        <v>0</v>
      </c>
      <c r="G1830" s="26">
        <f>IF(A1830="","",IF(AND(ISNUMBER(B1830),B1830&lt;&gt;0),1,0))</f>
        <v>0</v>
      </c>
      <c r="H1830" s="25">
        <f>IF(E1830="","",(E1830*4+3+cfgDeslocamento)/48)</f>
        <v>0</v>
      </c>
    </row>
    <row r="1831" spans="1:8">
      <c r="A1831" s="24"/>
      <c r="B1831" s="19"/>
      <c r="C1831" s="25">
        <f>IF(D1831="","",D1831/48)</f>
        <v>0</v>
      </c>
      <c r="D1831" s="26">
        <f>IF(A1831="","",ROUND((A1831-cfgDefasagem/1440)*48,0))</f>
        <v>0</v>
      </c>
      <c r="E1831" s="26">
        <f>IF(D1831="","",INT((D1831-cfgDeslocamento)/4))</f>
        <v>0</v>
      </c>
      <c r="F1831" s="26">
        <f>IF(D1831="","",MOD(D1831-cfgDeslocamento,4)+1)</f>
        <v>0</v>
      </c>
      <c r="G1831" s="26">
        <f>IF(A1831="","",IF(AND(ISNUMBER(B1831),B1831&lt;&gt;0),1,0))</f>
        <v>0</v>
      </c>
      <c r="H1831" s="25">
        <f>IF(E1831="","",(E1831*4+3+cfgDeslocamento)/48)</f>
        <v>0</v>
      </c>
    </row>
    <row r="1832" spans="1:8">
      <c r="A1832" s="24"/>
      <c r="B1832" s="19"/>
      <c r="C1832" s="25">
        <f>IF(D1832="","",D1832/48)</f>
        <v>0</v>
      </c>
      <c r="D1832" s="26">
        <f>IF(A1832="","",ROUND((A1832-cfgDefasagem/1440)*48,0))</f>
        <v>0</v>
      </c>
      <c r="E1832" s="26">
        <f>IF(D1832="","",INT((D1832-cfgDeslocamento)/4))</f>
        <v>0</v>
      </c>
      <c r="F1832" s="26">
        <f>IF(D1832="","",MOD(D1832-cfgDeslocamento,4)+1)</f>
        <v>0</v>
      </c>
      <c r="G1832" s="26">
        <f>IF(A1832="","",IF(AND(ISNUMBER(B1832),B1832&lt;&gt;0),1,0))</f>
        <v>0</v>
      </c>
      <c r="H1832" s="25">
        <f>IF(E1832="","",(E1832*4+3+cfgDeslocamento)/48)</f>
        <v>0</v>
      </c>
    </row>
    <row r="1833" spans="1:8">
      <c r="A1833" s="24"/>
      <c r="B1833" s="19"/>
      <c r="C1833" s="25">
        <f>IF(D1833="","",D1833/48)</f>
        <v>0</v>
      </c>
      <c r="D1833" s="26">
        <f>IF(A1833="","",ROUND((A1833-cfgDefasagem/1440)*48,0))</f>
        <v>0</v>
      </c>
      <c r="E1833" s="26">
        <f>IF(D1833="","",INT((D1833-cfgDeslocamento)/4))</f>
        <v>0</v>
      </c>
      <c r="F1833" s="26">
        <f>IF(D1833="","",MOD(D1833-cfgDeslocamento,4)+1)</f>
        <v>0</v>
      </c>
      <c r="G1833" s="26">
        <f>IF(A1833="","",IF(AND(ISNUMBER(B1833),B1833&lt;&gt;0),1,0))</f>
        <v>0</v>
      </c>
      <c r="H1833" s="25">
        <f>IF(E1833="","",(E1833*4+3+cfgDeslocamento)/48)</f>
        <v>0</v>
      </c>
    </row>
    <row r="1834" spans="1:8">
      <c r="A1834" s="24"/>
      <c r="B1834" s="19"/>
      <c r="C1834" s="25">
        <f>IF(D1834="","",D1834/48)</f>
        <v>0</v>
      </c>
      <c r="D1834" s="26">
        <f>IF(A1834="","",ROUND((A1834-cfgDefasagem/1440)*48,0))</f>
        <v>0</v>
      </c>
      <c r="E1834" s="26">
        <f>IF(D1834="","",INT((D1834-cfgDeslocamento)/4))</f>
        <v>0</v>
      </c>
      <c r="F1834" s="26">
        <f>IF(D1834="","",MOD(D1834-cfgDeslocamento,4)+1)</f>
        <v>0</v>
      </c>
      <c r="G1834" s="26">
        <f>IF(A1834="","",IF(AND(ISNUMBER(B1834),B1834&lt;&gt;0),1,0))</f>
        <v>0</v>
      </c>
      <c r="H1834" s="25">
        <f>IF(E1834="","",(E1834*4+3+cfgDeslocamento)/48)</f>
        <v>0</v>
      </c>
    </row>
    <row r="1835" spans="1:8">
      <c r="A1835" s="24"/>
      <c r="B1835" s="19"/>
      <c r="C1835" s="25">
        <f>IF(D1835="","",D1835/48)</f>
        <v>0</v>
      </c>
      <c r="D1835" s="26">
        <f>IF(A1835="","",ROUND((A1835-cfgDefasagem/1440)*48,0))</f>
        <v>0</v>
      </c>
      <c r="E1835" s="26">
        <f>IF(D1835="","",INT((D1835-cfgDeslocamento)/4))</f>
        <v>0</v>
      </c>
      <c r="F1835" s="26">
        <f>IF(D1835="","",MOD(D1835-cfgDeslocamento,4)+1)</f>
        <v>0</v>
      </c>
      <c r="G1835" s="26">
        <f>IF(A1835="","",IF(AND(ISNUMBER(B1835),B1835&lt;&gt;0),1,0))</f>
        <v>0</v>
      </c>
      <c r="H1835" s="25">
        <f>IF(E1835="","",(E1835*4+3+cfgDeslocamento)/48)</f>
        <v>0</v>
      </c>
    </row>
    <row r="1836" spans="1:8">
      <c r="A1836" s="24"/>
      <c r="B1836" s="19"/>
      <c r="C1836" s="25">
        <f>IF(D1836="","",D1836/48)</f>
        <v>0</v>
      </c>
      <c r="D1836" s="26">
        <f>IF(A1836="","",ROUND((A1836-cfgDefasagem/1440)*48,0))</f>
        <v>0</v>
      </c>
      <c r="E1836" s="26">
        <f>IF(D1836="","",INT((D1836-cfgDeslocamento)/4))</f>
        <v>0</v>
      </c>
      <c r="F1836" s="26">
        <f>IF(D1836="","",MOD(D1836-cfgDeslocamento,4)+1)</f>
        <v>0</v>
      </c>
      <c r="G1836" s="26">
        <f>IF(A1836="","",IF(AND(ISNUMBER(B1836),B1836&lt;&gt;0),1,0))</f>
        <v>0</v>
      </c>
      <c r="H1836" s="25">
        <f>IF(E1836="","",(E1836*4+3+cfgDeslocamento)/48)</f>
        <v>0</v>
      </c>
    </row>
    <row r="1837" spans="1:8">
      <c r="A1837" s="24"/>
      <c r="B1837" s="19"/>
      <c r="C1837" s="25">
        <f>IF(D1837="","",D1837/48)</f>
        <v>0</v>
      </c>
      <c r="D1837" s="26">
        <f>IF(A1837="","",ROUND((A1837-cfgDefasagem/1440)*48,0))</f>
        <v>0</v>
      </c>
      <c r="E1837" s="26">
        <f>IF(D1837="","",INT((D1837-cfgDeslocamento)/4))</f>
        <v>0</v>
      </c>
      <c r="F1837" s="26">
        <f>IF(D1837="","",MOD(D1837-cfgDeslocamento,4)+1)</f>
        <v>0</v>
      </c>
      <c r="G1837" s="26">
        <f>IF(A1837="","",IF(AND(ISNUMBER(B1837),B1837&lt;&gt;0),1,0))</f>
        <v>0</v>
      </c>
      <c r="H1837" s="25">
        <f>IF(E1837="","",(E1837*4+3+cfgDeslocamento)/48)</f>
        <v>0</v>
      </c>
    </row>
    <row r="1838" spans="1:8">
      <c r="A1838" s="24"/>
      <c r="B1838" s="19"/>
      <c r="C1838" s="25">
        <f>IF(D1838="","",D1838/48)</f>
        <v>0</v>
      </c>
      <c r="D1838" s="26">
        <f>IF(A1838="","",ROUND((A1838-cfgDefasagem/1440)*48,0))</f>
        <v>0</v>
      </c>
      <c r="E1838" s="26">
        <f>IF(D1838="","",INT((D1838-cfgDeslocamento)/4))</f>
        <v>0</v>
      </c>
      <c r="F1838" s="26">
        <f>IF(D1838="","",MOD(D1838-cfgDeslocamento,4)+1)</f>
        <v>0</v>
      </c>
      <c r="G1838" s="26">
        <f>IF(A1838="","",IF(AND(ISNUMBER(B1838),B1838&lt;&gt;0),1,0))</f>
        <v>0</v>
      </c>
      <c r="H1838" s="25">
        <f>IF(E1838="","",(E1838*4+3+cfgDeslocamento)/48)</f>
        <v>0</v>
      </c>
    </row>
    <row r="1839" spans="1:8">
      <c r="A1839" s="24"/>
      <c r="B1839" s="19"/>
      <c r="C1839" s="25">
        <f>IF(D1839="","",D1839/48)</f>
        <v>0</v>
      </c>
      <c r="D1839" s="26">
        <f>IF(A1839="","",ROUND((A1839-cfgDefasagem/1440)*48,0))</f>
        <v>0</v>
      </c>
      <c r="E1839" s="26">
        <f>IF(D1839="","",INT((D1839-cfgDeslocamento)/4))</f>
        <v>0</v>
      </c>
      <c r="F1839" s="26">
        <f>IF(D1839="","",MOD(D1839-cfgDeslocamento,4)+1)</f>
        <v>0</v>
      </c>
      <c r="G1839" s="26">
        <f>IF(A1839="","",IF(AND(ISNUMBER(B1839),B1839&lt;&gt;0),1,0))</f>
        <v>0</v>
      </c>
      <c r="H1839" s="25">
        <f>IF(E1839="","",(E1839*4+3+cfgDeslocamento)/48)</f>
        <v>0</v>
      </c>
    </row>
    <row r="1840" spans="1:8">
      <c r="A1840" s="24"/>
      <c r="B1840" s="19"/>
      <c r="C1840" s="25">
        <f>IF(D1840="","",D1840/48)</f>
        <v>0</v>
      </c>
      <c r="D1840" s="26">
        <f>IF(A1840="","",ROUND((A1840-cfgDefasagem/1440)*48,0))</f>
        <v>0</v>
      </c>
      <c r="E1840" s="26">
        <f>IF(D1840="","",INT((D1840-cfgDeslocamento)/4))</f>
        <v>0</v>
      </c>
      <c r="F1840" s="26">
        <f>IF(D1840="","",MOD(D1840-cfgDeslocamento,4)+1)</f>
        <v>0</v>
      </c>
      <c r="G1840" s="26">
        <f>IF(A1840="","",IF(AND(ISNUMBER(B1840),B1840&lt;&gt;0),1,0))</f>
        <v>0</v>
      </c>
      <c r="H1840" s="25">
        <f>IF(E1840="","",(E1840*4+3+cfgDeslocamento)/48)</f>
        <v>0</v>
      </c>
    </row>
    <row r="1841" spans="1:8">
      <c r="A1841" s="24"/>
      <c r="B1841" s="19"/>
      <c r="C1841" s="25">
        <f>IF(D1841="","",D1841/48)</f>
        <v>0</v>
      </c>
      <c r="D1841" s="26">
        <f>IF(A1841="","",ROUND((A1841-cfgDefasagem/1440)*48,0))</f>
        <v>0</v>
      </c>
      <c r="E1841" s="26">
        <f>IF(D1841="","",INT((D1841-cfgDeslocamento)/4))</f>
        <v>0</v>
      </c>
      <c r="F1841" s="26">
        <f>IF(D1841="","",MOD(D1841-cfgDeslocamento,4)+1)</f>
        <v>0</v>
      </c>
      <c r="G1841" s="26">
        <f>IF(A1841="","",IF(AND(ISNUMBER(B1841),B1841&lt;&gt;0),1,0))</f>
        <v>0</v>
      </c>
      <c r="H1841" s="25">
        <f>IF(E1841="","",(E1841*4+3+cfgDeslocamento)/48)</f>
        <v>0</v>
      </c>
    </row>
    <row r="1842" spans="1:8">
      <c r="A1842" s="24"/>
      <c r="B1842" s="19"/>
      <c r="C1842" s="25">
        <f>IF(D1842="","",D1842/48)</f>
        <v>0</v>
      </c>
      <c r="D1842" s="26">
        <f>IF(A1842="","",ROUND((A1842-cfgDefasagem/1440)*48,0))</f>
        <v>0</v>
      </c>
      <c r="E1842" s="26">
        <f>IF(D1842="","",INT((D1842-cfgDeslocamento)/4))</f>
        <v>0</v>
      </c>
      <c r="F1842" s="26">
        <f>IF(D1842="","",MOD(D1842-cfgDeslocamento,4)+1)</f>
        <v>0</v>
      </c>
      <c r="G1842" s="26">
        <f>IF(A1842="","",IF(AND(ISNUMBER(B1842),B1842&lt;&gt;0),1,0))</f>
        <v>0</v>
      </c>
      <c r="H1842" s="25">
        <f>IF(E1842="","",(E1842*4+3+cfgDeslocamento)/48)</f>
        <v>0</v>
      </c>
    </row>
    <row r="1843" spans="1:8">
      <c r="A1843" s="24"/>
      <c r="B1843" s="19"/>
      <c r="C1843" s="25">
        <f>IF(D1843="","",D1843/48)</f>
        <v>0</v>
      </c>
      <c r="D1843" s="26">
        <f>IF(A1843="","",ROUND((A1843-cfgDefasagem/1440)*48,0))</f>
        <v>0</v>
      </c>
      <c r="E1843" s="26">
        <f>IF(D1843="","",INT((D1843-cfgDeslocamento)/4))</f>
        <v>0</v>
      </c>
      <c r="F1843" s="26">
        <f>IF(D1843="","",MOD(D1843-cfgDeslocamento,4)+1)</f>
        <v>0</v>
      </c>
      <c r="G1843" s="26">
        <f>IF(A1843="","",IF(AND(ISNUMBER(B1843),B1843&lt;&gt;0),1,0))</f>
        <v>0</v>
      </c>
      <c r="H1843" s="25">
        <f>IF(E1843="","",(E1843*4+3+cfgDeslocamento)/48)</f>
        <v>0</v>
      </c>
    </row>
    <row r="1844" spans="1:8">
      <c r="A1844" s="24"/>
      <c r="B1844" s="19"/>
      <c r="C1844" s="25">
        <f>IF(D1844="","",D1844/48)</f>
        <v>0</v>
      </c>
      <c r="D1844" s="26">
        <f>IF(A1844="","",ROUND((A1844-cfgDefasagem/1440)*48,0))</f>
        <v>0</v>
      </c>
      <c r="E1844" s="26">
        <f>IF(D1844="","",INT((D1844-cfgDeslocamento)/4))</f>
        <v>0</v>
      </c>
      <c r="F1844" s="26">
        <f>IF(D1844="","",MOD(D1844-cfgDeslocamento,4)+1)</f>
        <v>0</v>
      </c>
      <c r="G1844" s="26">
        <f>IF(A1844="","",IF(AND(ISNUMBER(B1844),B1844&lt;&gt;0),1,0))</f>
        <v>0</v>
      </c>
      <c r="H1844" s="25">
        <f>IF(E1844="","",(E1844*4+3+cfgDeslocamento)/48)</f>
        <v>0</v>
      </c>
    </row>
    <row r="1845" spans="1:8">
      <c r="A1845" s="24"/>
      <c r="B1845" s="19"/>
      <c r="C1845" s="25">
        <f>IF(D1845="","",D1845/48)</f>
        <v>0</v>
      </c>
      <c r="D1845" s="26">
        <f>IF(A1845="","",ROUND((A1845-cfgDefasagem/1440)*48,0))</f>
        <v>0</v>
      </c>
      <c r="E1845" s="26">
        <f>IF(D1845="","",INT((D1845-cfgDeslocamento)/4))</f>
        <v>0</v>
      </c>
      <c r="F1845" s="26">
        <f>IF(D1845="","",MOD(D1845-cfgDeslocamento,4)+1)</f>
        <v>0</v>
      </c>
      <c r="G1845" s="26">
        <f>IF(A1845="","",IF(AND(ISNUMBER(B1845),B1845&lt;&gt;0),1,0))</f>
        <v>0</v>
      </c>
      <c r="H1845" s="25">
        <f>IF(E1845="","",(E1845*4+3+cfgDeslocamento)/48)</f>
        <v>0</v>
      </c>
    </row>
    <row r="1846" spans="1:8">
      <c r="A1846" s="24"/>
      <c r="B1846" s="19"/>
      <c r="C1846" s="25">
        <f>IF(D1846="","",D1846/48)</f>
        <v>0</v>
      </c>
      <c r="D1846" s="26">
        <f>IF(A1846="","",ROUND((A1846-cfgDefasagem/1440)*48,0))</f>
        <v>0</v>
      </c>
      <c r="E1846" s="26">
        <f>IF(D1846="","",INT((D1846-cfgDeslocamento)/4))</f>
        <v>0</v>
      </c>
      <c r="F1846" s="26">
        <f>IF(D1846="","",MOD(D1846-cfgDeslocamento,4)+1)</f>
        <v>0</v>
      </c>
      <c r="G1846" s="26">
        <f>IF(A1846="","",IF(AND(ISNUMBER(B1846),B1846&lt;&gt;0),1,0))</f>
        <v>0</v>
      </c>
      <c r="H1846" s="25">
        <f>IF(E1846="","",(E1846*4+3+cfgDeslocamento)/48)</f>
        <v>0</v>
      </c>
    </row>
    <row r="1847" spans="1:8">
      <c r="A1847" s="24"/>
      <c r="B1847" s="19"/>
      <c r="C1847" s="25">
        <f>IF(D1847="","",D1847/48)</f>
        <v>0</v>
      </c>
      <c r="D1847" s="26">
        <f>IF(A1847="","",ROUND((A1847-cfgDefasagem/1440)*48,0))</f>
        <v>0</v>
      </c>
      <c r="E1847" s="26">
        <f>IF(D1847="","",INT((D1847-cfgDeslocamento)/4))</f>
        <v>0</v>
      </c>
      <c r="F1847" s="26">
        <f>IF(D1847="","",MOD(D1847-cfgDeslocamento,4)+1)</f>
        <v>0</v>
      </c>
      <c r="G1847" s="26">
        <f>IF(A1847="","",IF(AND(ISNUMBER(B1847),B1847&lt;&gt;0),1,0))</f>
        <v>0</v>
      </c>
      <c r="H1847" s="25">
        <f>IF(E1847="","",(E1847*4+3+cfgDeslocamento)/48)</f>
        <v>0</v>
      </c>
    </row>
    <row r="1848" spans="1:8">
      <c r="A1848" s="24"/>
      <c r="B1848" s="19"/>
      <c r="C1848" s="25">
        <f>IF(D1848="","",D1848/48)</f>
        <v>0</v>
      </c>
      <c r="D1848" s="26">
        <f>IF(A1848="","",ROUND((A1848-cfgDefasagem/1440)*48,0))</f>
        <v>0</v>
      </c>
      <c r="E1848" s="26">
        <f>IF(D1848="","",INT((D1848-cfgDeslocamento)/4))</f>
        <v>0</v>
      </c>
      <c r="F1848" s="26">
        <f>IF(D1848="","",MOD(D1848-cfgDeslocamento,4)+1)</f>
        <v>0</v>
      </c>
      <c r="G1848" s="26">
        <f>IF(A1848="","",IF(AND(ISNUMBER(B1848),B1848&lt;&gt;0),1,0))</f>
        <v>0</v>
      </c>
      <c r="H1848" s="25">
        <f>IF(E1848="","",(E1848*4+3+cfgDeslocamento)/48)</f>
        <v>0</v>
      </c>
    </row>
    <row r="1849" spans="1:8">
      <c r="A1849" s="24"/>
      <c r="B1849" s="19"/>
      <c r="C1849" s="25">
        <f>IF(D1849="","",D1849/48)</f>
        <v>0</v>
      </c>
      <c r="D1849" s="26">
        <f>IF(A1849="","",ROUND((A1849-cfgDefasagem/1440)*48,0))</f>
        <v>0</v>
      </c>
      <c r="E1849" s="26">
        <f>IF(D1849="","",INT((D1849-cfgDeslocamento)/4))</f>
        <v>0</v>
      </c>
      <c r="F1849" s="26">
        <f>IF(D1849="","",MOD(D1849-cfgDeslocamento,4)+1)</f>
        <v>0</v>
      </c>
      <c r="G1849" s="26">
        <f>IF(A1849="","",IF(AND(ISNUMBER(B1849),B1849&lt;&gt;0),1,0))</f>
        <v>0</v>
      </c>
      <c r="H1849" s="25">
        <f>IF(E1849="","",(E1849*4+3+cfgDeslocamento)/48)</f>
        <v>0</v>
      </c>
    </row>
    <row r="1850" spans="1:8">
      <c r="A1850" s="24"/>
      <c r="B1850" s="19"/>
      <c r="C1850" s="25">
        <f>IF(D1850="","",D1850/48)</f>
        <v>0</v>
      </c>
      <c r="D1850" s="26">
        <f>IF(A1850="","",ROUND((A1850-cfgDefasagem/1440)*48,0))</f>
        <v>0</v>
      </c>
      <c r="E1850" s="26">
        <f>IF(D1850="","",INT((D1850-cfgDeslocamento)/4))</f>
        <v>0</v>
      </c>
      <c r="F1850" s="26">
        <f>IF(D1850="","",MOD(D1850-cfgDeslocamento,4)+1)</f>
        <v>0</v>
      </c>
      <c r="G1850" s="26">
        <f>IF(A1850="","",IF(AND(ISNUMBER(B1850),B1850&lt;&gt;0),1,0))</f>
        <v>0</v>
      </c>
      <c r="H1850" s="25">
        <f>IF(E1850="","",(E1850*4+3+cfgDeslocamento)/48)</f>
        <v>0</v>
      </c>
    </row>
    <row r="1851" spans="1:8">
      <c r="A1851" s="24"/>
      <c r="B1851" s="19"/>
      <c r="C1851" s="25">
        <f>IF(D1851="","",D1851/48)</f>
        <v>0</v>
      </c>
      <c r="D1851" s="26">
        <f>IF(A1851="","",ROUND((A1851-cfgDefasagem/1440)*48,0))</f>
        <v>0</v>
      </c>
      <c r="E1851" s="26">
        <f>IF(D1851="","",INT((D1851-cfgDeslocamento)/4))</f>
        <v>0</v>
      </c>
      <c r="F1851" s="26">
        <f>IF(D1851="","",MOD(D1851-cfgDeslocamento,4)+1)</f>
        <v>0</v>
      </c>
      <c r="G1851" s="26">
        <f>IF(A1851="","",IF(AND(ISNUMBER(B1851),B1851&lt;&gt;0),1,0))</f>
        <v>0</v>
      </c>
      <c r="H1851" s="25">
        <f>IF(E1851="","",(E1851*4+3+cfgDeslocamento)/48)</f>
        <v>0</v>
      </c>
    </row>
    <row r="1852" spans="1:8">
      <c r="A1852" s="24"/>
      <c r="B1852" s="19"/>
      <c r="C1852" s="25">
        <f>IF(D1852="","",D1852/48)</f>
        <v>0</v>
      </c>
      <c r="D1852" s="26">
        <f>IF(A1852="","",ROUND((A1852-cfgDefasagem/1440)*48,0))</f>
        <v>0</v>
      </c>
      <c r="E1852" s="26">
        <f>IF(D1852="","",INT((D1852-cfgDeslocamento)/4))</f>
        <v>0</v>
      </c>
      <c r="F1852" s="26">
        <f>IF(D1852="","",MOD(D1852-cfgDeslocamento,4)+1)</f>
        <v>0</v>
      </c>
      <c r="G1852" s="26">
        <f>IF(A1852="","",IF(AND(ISNUMBER(B1852),B1852&lt;&gt;0),1,0))</f>
        <v>0</v>
      </c>
      <c r="H1852" s="25">
        <f>IF(E1852="","",(E1852*4+3+cfgDeslocamento)/48)</f>
        <v>0</v>
      </c>
    </row>
    <row r="1853" spans="1:8">
      <c r="A1853" s="24"/>
      <c r="B1853" s="19"/>
      <c r="C1853" s="25">
        <f>IF(D1853="","",D1853/48)</f>
        <v>0</v>
      </c>
      <c r="D1853" s="26">
        <f>IF(A1853="","",ROUND((A1853-cfgDefasagem/1440)*48,0))</f>
        <v>0</v>
      </c>
      <c r="E1853" s="26">
        <f>IF(D1853="","",INT((D1853-cfgDeslocamento)/4))</f>
        <v>0</v>
      </c>
      <c r="F1853" s="26">
        <f>IF(D1853="","",MOD(D1853-cfgDeslocamento,4)+1)</f>
        <v>0</v>
      </c>
      <c r="G1853" s="26">
        <f>IF(A1853="","",IF(AND(ISNUMBER(B1853),B1853&lt;&gt;0),1,0))</f>
        <v>0</v>
      </c>
      <c r="H1853" s="25">
        <f>IF(E1853="","",(E1853*4+3+cfgDeslocamento)/48)</f>
        <v>0</v>
      </c>
    </row>
    <row r="1854" spans="1:8">
      <c r="A1854" s="24"/>
      <c r="B1854" s="19"/>
      <c r="C1854" s="25">
        <f>IF(D1854="","",D1854/48)</f>
        <v>0</v>
      </c>
      <c r="D1854" s="26">
        <f>IF(A1854="","",ROUND((A1854-cfgDefasagem/1440)*48,0))</f>
        <v>0</v>
      </c>
      <c r="E1854" s="26">
        <f>IF(D1854="","",INT((D1854-cfgDeslocamento)/4))</f>
        <v>0</v>
      </c>
      <c r="F1854" s="26">
        <f>IF(D1854="","",MOD(D1854-cfgDeslocamento,4)+1)</f>
        <v>0</v>
      </c>
      <c r="G1854" s="26">
        <f>IF(A1854="","",IF(AND(ISNUMBER(B1854),B1854&lt;&gt;0),1,0))</f>
        <v>0</v>
      </c>
      <c r="H1854" s="25">
        <f>IF(E1854="","",(E1854*4+3+cfgDeslocamento)/48)</f>
        <v>0</v>
      </c>
    </row>
    <row r="1855" spans="1:8">
      <c r="A1855" s="24"/>
      <c r="B1855" s="19"/>
      <c r="C1855" s="25">
        <f>IF(D1855="","",D1855/48)</f>
        <v>0</v>
      </c>
      <c r="D1855" s="26">
        <f>IF(A1855="","",ROUND((A1855-cfgDefasagem/1440)*48,0))</f>
        <v>0</v>
      </c>
      <c r="E1855" s="26">
        <f>IF(D1855="","",INT((D1855-cfgDeslocamento)/4))</f>
        <v>0</v>
      </c>
      <c r="F1855" s="26">
        <f>IF(D1855="","",MOD(D1855-cfgDeslocamento,4)+1)</f>
        <v>0</v>
      </c>
      <c r="G1855" s="26">
        <f>IF(A1855="","",IF(AND(ISNUMBER(B1855),B1855&lt;&gt;0),1,0))</f>
        <v>0</v>
      </c>
      <c r="H1855" s="25">
        <f>IF(E1855="","",(E1855*4+3+cfgDeslocamento)/48)</f>
        <v>0</v>
      </c>
    </row>
    <row r="1856" spans="1:8">
      <c r="A1856" s="24"/>
      <c r="B1856" s="19"/>
      <c r="C1856" s="25">
        <f>IF(D1856="","",D1856/48)</f>
        <v>0</v>
      </c>
      <c r="D1856" s="26">
        <f>IF(A1856="","",ROUND((A1856-cfgDefasagem/1440)*48,0))</f>
        <v>0</v>
      </c>
      <c r="E1856" s="26">
        <f>IF(D1856="","",INT((D1856-cfgDeslocamento)/4))</f>
        <v>0</v>
      </c>
      <c r="F1856" s="26">
        <f>IF(D1856="","",MOD(D1856-cfgDeslocamento,4)+1)</f>
        <v>0</v>
      </c>
      <c r="G1856" s="26">
        <f>IF(A1856="","",IF(AND(ISNUMBER(B1856),B1856&lt;&gt;0),1,0))</f>
        <v>0</v>
      </c>
      <c r="H1856" s="25">
        <f>IF(E1856="","",(E1856*4+3+cfgDeslocamento)/48)</f>
        <v>0</v>
      </c>
    </row>
    <row r="1857" spans="1:8">
      <c r="A1857" s="24"/>
      <c r="B1857" s="19"/>
      <c r="C1857" s="25">
        <f>IF(D1857="","",D1857/48)</f>
        <v>0</v>
      </c>
      <c r="D1857" s="26">
        <f>IF(A1857="","",ROUND((A1857-cfgDefasagem/1440)*48,0))</f>
        <v>0</v>
      </c>
      <c r="E1857" s="26">
        <f>IF(D1857="","",INT((D1857-cfgDeslocamento)/4))</f>
        <v>0</v>
      </c>
      <c r="F1857" s="26">
        <f>IF(D1857="","",MOD(D1857-cfgDeslocamento,4)+1)</f>
        <v>0</v>
      </c>
      <c r="G1857" s="26">
        <f>IF(A1857="","",IF(AND(ISNUMBER(B1857),B1857&lt;&gt;0),1,0))</f>
        <v>0</v>
      </c>
      <c r="H1857" s="25">
        <f>IF(E1857="","",(E1857*4+3+cfgDeslocamento)/48)</f>
        <v>0</v>
      </c>
    </row>
    <row r="1858" spans="1:8">
      <c r="A1858" s="24"/>
      <c r="B1858" s="19"/>
      <c r="C1858" s="25">
        <f>IF(D1858="","",D1858/48)</f>
        <v>0</v>
      </c>
      <c r="D1858" s="26">
        <f>IF(A1858="","",ROUND((A1858-cfgDefasagem/1440)*48,0))</f>
        <v>0</v>
      </c>
      <c r="E1858" s="26">
        <f>IF(D1858="","",INT((D1858-cfgDeslocamento)/4))</f>
        <v>0</v>
      </c>
      <c r="F1858" s="26">
        <f>IF(D1858="","",MOD(D1858-cfgDeslocamento,4)+1)</f>
        <v>0</v>
      </c>
      <c r="G1858" s="26">
        <f>IF(A1858="","",IF(AND(ISNUMBER(B1858),B1858&lt;&gt;0),1,0))</f>
        <v>0</v>
      </c>
      <c r="H1858" s="25">
        <f>IF(E1858="","",(E1858*4+3+cfgDeslocamento)/48)</f>
        <v>0</v>
      </c>
    </row>
    <row r="1859" spans="1:8">
      <c r="A1859" s="24"/>
      <c r="B1859" s="19"/>
      <c r="C1859" s="25">
        <f>IF(D1859="","",D1859/48)</f>
        <v>0</v>
      </c>
      <c r="D1859" s="26">
        <f>IF(A1859="","",ROUND((A1859-cfgDefasagem/1440)*48,0))</f>
        <v>0</v>
      </c>
      <c r="E1859" s="26">
        <f>IF(D1859="","",INT((D1859-cfgDeslocamento)/4))</f>
        <v>0</v>
      </c>
      <c r="F1859" s="26">
        <f>IF(D1859="","",MOD(D1859-cfgDeslocamento,4)+1)</f>
        <v>0</v>
      </c>
      <c r="G1859" s="26">
        <f>IF(A1859="","",IF(AND(ISNUMBER(B1859),B1859&lt;&gt;0),1,0))</f>
        <v>0</v>
      </c>
      <c r="H1859" s="25">
        <f>IF(E1859="","",(E1859*4+3+cfgDeslocamento)/48)</f>
        <v>0</v>
      </c>
    </row>
    <row r="1860" spans="1:8">
      <c r="A1860" s="24"/>
      <c r="B1860" s="19"/>
      <c r="C1860" s="25">
        <f>IF(D1860="","",D1860/48)</f>
        <v>0</v>
      </c>
      <c r="D1860" s="26">
        <f>IF(A1860="","",ROUND((A1860-cfgDefasagem/1440)*48,0))</f>
        <v>0</v>
      </c>
      <c r="E1860" s="26">
        <f>IF(D1860="","",INT((D1860-cfgDeslocamento)/4))</f>
        <v>0</v>
      </c>
      <c r="F1860" s="26">
        <f>IF(D1860="","",MOD(D1860-cfgDeslocamento,4)+1)</f>
        <v>0</v>
      </c>
      <c r="G1860" s="26">
        <f>IF(A1860="","",IF(AND(ISNUMBER(B1860),B1860&lt;&gt;0),1,0))</f>
        <v>0</v>
      </c>
      <c r="H1860" s="25">
        <f>IF(E1860="","",(E1860*4+3+cfgDeslocamento)/48)</f>
        <v>0</v>
      </c>
    </row>
    <row r="1861" spans="1:8">
      <c r="A1861" s="24"/>
      <c r="B1861" s="19"/>
      <c r="C1861" s="25">
        <f>IF(D1861="","",D1861/48)</f>
        <v>0</v>
      </c>
      <c r="D1861" s="26">
        <f>IF(A1861="","",ROUND((A1861-cfgDefasagem/1440)*48,0))</f>
        <v>0</v>
      </c>
      <c r="E1861" s="26">
        <f>IF(D1861="","",INT((D1861-cfgDeslocamento)/4))</f>
        <v>0</v>
      </c>
      <c r="F1861" s="26">
        <f>IF(D1861="","",MOD(D1861-cfgDeslocamento,4)+1)</f>
        <v>0</v>
      </c>
      <c r="G1861" s="26">
        <f>IF(A1861="","",IF(AND(ISNUMBER(B1861),B1861&lt;&gt;0),1,0))</f>
        <v>0</v>
      </c>
      <c r="H1861" s="25">
        <f>IF(E1861="","",(E1861*4+3+cfgDeslocamento)/48)</f>
        <v>0</v>
      </c>
    </row>
    <row r="1862" spans="1:8">
      <c r="A1862" s="24"/>
      <c r="B1862" s="19"/>
      <c r="C1862" s="25">
        <f>IF(D1862="","",D1862/48)</f>
        <v>0</v>
      </c>
      <c r="D1862" s="26">
        <f>IF(A1862="","",ROUND((A1862-cfgDefasagem/1440)*48,0))</f>
        <v>0</v>
      </c>
      <c r="E1862" s="26">
        <f>IF(D1862="","",INT((D1862-cfgDeslocamento)/4))</f>
        <v>0</v>
      </c>
      <c r="F1862" s="26">
        <f>IF(D1862="","",MOD(D1862-cfgDeslocamento,4)+1)</f>
        <v>0</v>
      </c>
      <c r="G1862" s="26">
        <f>IF(A1862="","",IF(AND(ISNUMBER(B1862),B1862&lt;&gt;0),1,0))</f>
        <v>0</v>
      </c>
      <c r="H1862" s="25">
        <f>IF(E1862="","",(E1862*4+3+cfgDeslocamento)/48)</f>
        <v>0</v>
      </c>
    </row>
    <row r="1863" spans="1:8">
      <c r="A1863" s="24"/>
      <c r="B1863" s="19"/>
      <c r="C1863" s="25">
        <f>IF(D1863="","",D1863/48)</f>
        <v>0</v>
      </c>
      <c r="D1863" s="26">
        <f>IF(A1863="","",ROUND((A1863-cfgDefasagem/1440)*48,0))</f>
        <v>0</v>
      </c>
      <c r="E1863" s="26">
        <f>IF(D1863="","",INT((D1863-cfgDeslocamento)/4))</f>
        <v>0</v>
      </c>
      <c r="F1863" s="26">
        <f>IF(D1863="","",MOD(D1863-cfgDeslocamento,4)+1)</f>
        <v>0</v>
      </c>
      <c r="G1863" s="26">
        <f>IF(A1863="","",IF(AND(ISNUMBER(B1863),B1863&lt;&gt;0),1,0))</f>
        <v>0</v>
      </c>
      <c r="H1863" s="25">
        <f>IF(E1863="","",(E1863*4+3+cfgDeslocamento)/48)</f>
        <v>0</v>
      </c>
    </row>
    <row r="1864" spans="1:8">
      <c r="A1864" s="24"/>
      <c r="B1864" s="19"/>
      <c r="C1864" s="25">
        <f>IF(D1864="","",D1864/48)</f>
        <v>0</v>
      </c>
      <c r="D1864" s="26">
        <f>IF(A1864="","",ROUND((A1864-cfgDefasagem/1440)*48,0))</f>
        <v>0</v>
      </c>
      <c r="E1864" s="26">
        <f>IF(D1864="","",INT((D1864-cfgDeslocamento)/4))</f>
        <v>0</v>
      </c>
      <c r="F1864" s="26">
        <f>IF(D1864="","",MOD(D1864-cfgDeslocamento,4)+1)</f>
        <v>0</v>
      </c>
      <c r="G1864" s="26">
        <f>IF(A1864="","",IF(AND(ISNUMBER(B1864),B1864&lt;&gt;0),1,0))</f>
        <v>0</v>
      </c>
      <c r="H1864" s="25">
        <f>IF(E1864="","",(E1864*4+3+cfgDeslocamento)/48)</f>
        <v>0</v>
      </c>
    </row>
    <row r="1865" spans="1:8">
      <c r="A1865" s="24"/>
      <c r="B1865" s="19"/>
      <c r="C1865" s="25">
        <f>IF(D1865="","",D1865/48)</f>
        <v>0</v>
      </c>
      <c r="D1865" s="26">
        <f>IF(A1865="","",ROUND((A1865-cfgDefasagem/1440)*48,0))</f>
        <v>0</v>
      </c>
      <c r="E1865" s="26">
        <f>IF(D1865="","",INT((D1865-cfgDeslocamento)/4))</f>
        <v>0</v>
      </c>
      <c r="F1865" s="26">
        <f>IF(D1865="","",MOD(D1865-cfgDeslocamento,4)+1)</f>
        <v>0</v>
      </c>
      <c r="G1865" s="26">
        <f>IF(A1865="","",IF(AND(ISNUMBER(B1865),B1865&lt;&gt;0),1,0))</f>
        <v>0</v>
      </c>
      <c r="H1865" s="25">
        <f>IF(E1865="","",(E1865*4+3+cfgDeslocamento)/48)</f>
        <v>0</v>
      </c>
    </row>
    <row r="1866" spans="1:8">
      <c r="A1866" s="24"/>
      <c r="B1866" s="19"/>
      <c r="C1866" s="25">
        <f>IF(D1866="","",D1866/48)</f>
        <v>0</v>
      </c>
      <c r="D1866" s="26">
        <f>IF(A1866="","",ROUND((A1866-cfgDefasagem/1440)*48,0))</f>
        <v>0</v>
      </c>
      <c r="E1866" s="26">
        <f>IF(D1866="","",INT((D1866-cfgDeslocamento)/4))</f>
        <v>0</v>
      </c>
      <c r="F1866" s="26">
        <f>IF(D1866="","",MOD(D1866-cfgDeslocamento,4)+1)</f>
        <v>0</v>
      </c>
      <c r="G1866" s="26">
        <f>IF(A1866="","",IF(AND(ISNUMBER(B1866),B1866&lt;&gt;0),1,0))</f>
        <v>0</v>
      </c>
      <c r="H1866" s="25">
        <f>IF(E1866="","",(E1866*4+3+cfgDeslocamento)/48)</f>
        <v>0</v>
      </c>
    </row>
    <row r="1867" spans="1:8">
      <c r="A1867" s="24"/>
      <c r="B1867" s="19"/>
      <c r="C1867" s="25">
        <f>IF(D1867="","",D1867/48)</f>
        <v>0</v>
      </c>
      <c r="D1867" s="26">
        <f>IF(A1867="","",ROUND((A1867-cfgDefasagem/1440)*48,0))</f>
        <v>0</v>
      </c>
      <c r="E1867" s="26">
        <f>IF(D1867="","",INT((D1867-cfgDeslocamento)/4))</f>
        <v>0</v>
      </c>
      <c r="F1867" s="26">
        <f>IF(D1867="","",MOD(D1867-cfgDeslocamento,4)+1)</f>
        <v>0</v>
      </c>
      <c r="G1867" s="26">
        <f>IF(A1867="","",IF(AND(ISNUMBER(B1867),B1867&lt;&gt;0),1,0))</f>
        <v>0</v>
      </c>
      <c r="H1867" s="25">
        <f>IF(E1867="","",(E1867*4+3+cfgDeslocamento)/48)</f>
        <v>0</v>
      </c>
    </row>
    <row r="1868" spans="1:8">
      <c r="A1868" s="24"/>
      <c r="B1868" s="19"/>
      <c r="C1868" s="25">
        <f>IF(D1868="","",D1868/48)</f>
        <v>0</v>
      </c>
      <c r="D1868" s="26">
        <f>IF(A1868="","",ROUND((A1868-cfgDefasagem/1440)*48,0))</f>
        <v>0</v>
      </c>
      <c r="E1868" s="26">
        <f>IF(D1868="","",INT((D1868-cfgDeslocamento)/4))</f>
        <v>0</v>
      </c>
      <c r="F1868" s="26">
        <f>IF(D1868="","",MOD(D1868-cfgDeslocamento,4)+1)</f>
        <v>0</v>
      </c>
      <c r="G1868" s="26">
        <f>IF(A1868="","",IF(AND(ISNUMBER(B1868),B1868&lt;&gt;0),1,0))</f>
        <v>0</v>
      </c>
      <c r="H1868" s="25">
        <f>IF(E1868="","",(E1868*4+3+cfgDeslocamento)/48)</f>
        <v>0</v>
      </c>
    </row>
    <row r="1869" spans="1:8">
      <c r="A1869" s="24"/>
      <c r="B1869" s="19"/>
      <c r="C1869" s="25">
        <f>IF(D1869="","",D1869/48)</f>
        <v>0</v>
      </c>
      <c r="D1869" s="26">
        <f>IF(A1869="","",ROUND((A1869-cfgDefasagem/1440)*48,0))</f>
        <v>0</v>
      </c>
      <c r="E1869" s="26">
        <f>IF(D1869="","",INT((D1869-cfgDeslocamento)/4))</f>
        <v>0</v>
      </c>
      <c r="F1869" s="26">
        <f>IF(D1869="","",MOD(D1869-cfgDeslocamento,4)+1)</f>
        <v>0</v>
      </c>
      <c r="G1869" s="26">
        <f>IF(A1869="","",IF(AND(ISNUMBER(B1869),B1869&lt;&gt;0),1,0))</f>
        <v>0</v>
      </c>
      <c r="H1869" s="25">
        <f>IF(E1869="","",(E1869*4+3+cfgDeslocamento)/48)</f>
        <v>0</v>
      </c>
    </row>
    <row r="1870" spans="1:8">
      <c r="A1870" s="24"/>
      <c r="B1870" s="19"/>
      <c r="C1870" s="25">
        <f>IF(D1870="","",D1870/48)</f>
        <v>0</v>
      </c>
      <c r="D1870" s="26">
        <f>IF(A1870="","",ROUND((A1870-cfgDefasagem/1440)*48,0))</f>
        <v>0</v>
      </c>
      <c r="E1870" s="26">
        <f>IF(D1870="","",INT((D1870-cfgDeslocamento)/4))</f>
        <v>0</v>
      </c>
      <c r="F1870" s="26">
        <f>IF(D1870="","",MOD(D1870-cfgDeslocamento,4)+1)</f>
        <v>0</v>
      </c>
      <c r="G1870" s="26">
        <f>IF(A1870="","",IF(AND(ISNUMBER(B1870),B1870&lt;&gt;0),1,0))</f>
        <v>0</v>
      </c>
      <c r="H1870" s="25">
        <f>IF(E1870="","",(E1870*4+3+cfgDeslocamento)/48)</f>
        <v>0</v>
      </c>
    </row>
    <row r="1871" spans="1:8">
      <c r="A1871" s="24"/>
      <c r="B1871" s="19"/>
      <c r="C1871" s="25">
        <f>IF(D1871="","",D1871/48)</f>
        <v>0</v>
      </c>
      <c r="D1871" s="26">
        <f>IF(A1871="","",ROUND((A1871-cfgDefasagem/1440)*48,0))</f>
        <v>0</v>
      </c>
      <c r="E1871" s="26">
        <f>IF(D1871="","",INT((D1871-cfgDeslocamento)/4))</f>
        <v>0</v>
      </c>
      <c r="F1871" s="26">
        <f>IF(D1871="","",MOD(D1871-cfgDeslocamento,4)+1)</f>
        <v>0</v>
      </c>
      <c r="G1871" s="26">
        <f>IF(A1871="","",IF(AND(ISNUMBER(B1871),B1871&lt;&gt;0),1,0))</f>
        <v>0</v>
      </c>
      <c r="H1871" s="25">
        <f>IF(E1871="","",(E1871*4+3+cfgDeslocamento)/48)</f>
        <v>0</v>
      </c>
    </row>
    <row r="1872" spans="1:8">
      <c r="A1872" s="24"/>
      <c r="B1872" s="19"/>
      <c r="C1872" s="25">
        <f>IF(D1872="","",D1872/48)</f>
        <v>0</v>
      </c>
      <c r="D1872" s="26">
        <f>IF(A1872="","",ROUND((A1872-cfgDefasagem/1440)*48,0))</f>
        <v>0</v>
      </c>
      <c r="E1872" s="26">
        <f>IF(D1872="","",INT((D1872-cfgDeslocamento)/4))</f>
        <v>0</v>
      </c>
      <c r="F1872" s="26">
        <f>IF(D1872="","",MOD(D1872-cfgDeslocamento,4)+1)</f>
        <v>0</v>
      </c>
      <c r="G1872" s="26">
        <f>IF(A1872="","",IF(AND(ISNUMBER(B1872),B1872&lt;&gt;0),1,0))</f>
        <v>0</v>
      </c>
      <c r="H1872" s="25">
        <f>IF(E1872="","",(E1872*4+3+cfgDeslocamento)/48)</f>
        <v>0</v>
      </c>
    </row>
    <row r="1873" spans="1:8">
      <c r="A1873" s="24"/>
      <c r="B1873" s="19"/>
      <c r="C1873" s="25">
        <f>IF(D1873="","",D1873/48)</f>
        <v>0</v>
      </c>
      <c r="D1873" s="26">
        <f>IF(A1873="","",ROUND((A1873-cfgDefasagem/1440)*48,0))</f>
        <v>0</v>
      </c>
      <c r="E1873" s="26">
        <f>IF(D1873="","",INT((D1873-cfgDeslocamento)/4))</f>
        <v>0</v>
      </c>
      <c r="F1873" s="26">
        <f>IF(D1873="","",MOD(D1873-cfgDeslocamento,4)+1)</f>
        <v>0</v>
      </c>
      <c r="G1873" s="26">
        <f>IF(A1873="","",IF(AND(ISNUMBER(B1873),B1873&lt;&gt;0),1,0))</f>
        <v>0</v>
      </c>
      <c r="H1873" s="25">
        <f>IF(E1873="","",(E1873*4+3+cfgDeslocamento)/48)</f>
        <v>0</v>
      </c>
    </row>
    <row r="1874" spans="1:8">
      <c r="A1874" s="24"/>
      <c r="B1874" s="19"/>
      <c r="C1874" s="25">
        <f>IF(D1874="","",D1874/48)</f>
        <v>0</v>
      </c>
      <c r="D1874" s="26">
        <f>IF(A1874="","",ROUND((A1874-cfgDefasagem/1440)*48,0))</f>
        <v>0</v>
      </c>
      <c r="E1874" s="26">
        <f>IF(D1874="","",INT((D1874-cfgDeslocamento)/4))</f>
        <v>0</v>
      </c>
      <c r="F1874" s="26">
        <f>IF(D1874="","",MOD(D1874-cfgDeslocamento,4)+1)</f>
        <v>0</v>
      </c>
      <c r="G1874" s="26">
        <f>IF(A1874="","",IF(AND(ISNUMBER(B1874),B1874&lt;&gt;0),1,0))</f>
        <v>0</v>
      </c>
      <c r="H1874" s="25">
        <f>IF(E1874="","",(E1874*4+3+cfgDeslocamento)/48)</f>
        <v>0</v>
      </c>
    </row>
    <row r="1875" spans="1:8">
      <c r="A1875" s="24"/>
      <c r="B1875" s="19"/>
      <c r="C1875" s="25">
        <f>IF(D1875="","",D1875/48)</f>
        <v>0</v>
      </c>
      <c r="D1875" s="26">
        <f>IF(A1875="","",ROUND((A1875-cfgDefasagem/1440)*48,0))</f>
        <v>0</v>
      </c>
      <c r="E1875" s="26">
        <f>IF(D1875="","",INT((D1875-cfgDeslocamento)/4))</f>
        <v>0</v>
      </c>
      <c r="F1875" s="26">
        <f>IF(D1875="","",MOD(D1875-cfgDeslocamento,4)+1)</f>
        <v>0</v>
      </c>
      <c r="G1875" s="26">
        <f>IF(A1875="","",IF(AND(ISNUMBER(B1875),B1875&lt;&gt;0),1,0))</f>
        <v>0</v>
      </c>
      <c r="H1875" s="25">
        <f>IF(E1875="","",(E1875*4+3+cfgDeslocamento)/48)</f>
        <v>0</v>
      </c>
    </row>
    <row r="1876" spans="1:8">
      <c r="A1876" s="24"/>
      <c r="B1876" s="19"/>
      <c r="C1876" s="25">
        <f>IF(D1876="","",D1876/48)</f>
        <v>0</v>
      </c>
      <c r="D1876" s="26">
        <f>IF(A1876="","",ROUND((A1876-cfgDefasagem/1440)*48,0))</f>
        <v>0</v>
      </c>
      <c r="E1876" s="26">
        <f>IF(D1876="","",INT((D1876-cfgDeslocamento)/4))</f>
        <v>0</v>
      </c>
      <c r="F1876" s="26">
        <f>IF(D1876="","",MOD(D1876-cfgDeslocamento,4)+1)</f>
        <v>0</v>
      </c>
      <c r="G1876" s="26">
        <f>IF(A1876="","",IF(AND(ISNUMBER(B1876),B1876&lt;&gt;0),1,0))</f>
        <v>0</v>
      </c>
      <c r="H1876" s="25">
        <f>IF(E1876="","",(E1876*4+3+cfgDeslocamento)/48)</f>
        <v>0</v>
      </c>
    </row>
    <row r="1877" spans="1:8">
      <c r="A1877" s="24"/>
      <c r="B1877" s="19"/>
      <c r="C1877" s="25">
        <f>IF(D1877="","",D1877/48)</f>
        <v>0</v>
      </c>
      <c r="D1877" s="26">
        <f>IF(A1877="","",ROUND((A1877-cfgDefasagem/1440)*48,0))</f>
        <v>0</v>
      </c>
      <c r="E1877" s="26">
        <f>IF(D1877="","",INT((D1877-cfgDeslocamento)/4))</f>
        <v>0</v>
      </c>
      <c r="F1877" s="26">
        <f>IF(D1877="","",MOD(D1877-cfgDeslocamento,4)+1)</f>
        <v>0</v>
      </c>
      <c r="G1877" s="26">
        <f>IF(A1877="","",IF(AND(ISNUMBER(B1877),B1877&lt;&gt;0),1,0))</f>
        <v>0</v>
      </c>
      <c r="H1877" s="25">
        <f>IF(E1877="","",(E1877*4+3+cfgDeslocamento)/48)</f>
        <v>0</v>
      </c>
    </row>
    <row r="1878" spans="1:8">
      <c r="A1878" s="24"/>
      <c r="B1878" s="19"/>
      <c r="C1878" s="25">
        <f>IF(D1878="","",D1878/48)</f>
        <v>0</v>
      </c>
      <c r="D1878" s="26">
        <f>IF(A1878="","",ROUND((A1878-cfgDefasagem/1440)*48,0))</f>
        <v>0</v>
      </c>
      <c r="E1878" s="26">
        <f>IF(D1878="","",INT((D1878-cfgDeslocamento)/4))</f>
        <v>0</v>
      </c>
      <c r="F1878" s="26">
        <f>IF(D1878="","",MOD(D1878-cfgDeslocamento,4)+1)</f>
        <v>0</v>
      </c>
      <c r="G1878" s="26">
        <f>IF(A1878="","",IF(AND(ISNUMBER(B1878),B1878&lt;&gt;0),1,0))</f>
        <v>0</v>
      </c>
      <c r="H1878" s="25">
        <f>IF(E1878="","",(E1878*4+3+cfgDeslocamento)/48)</f>
        <v>0</v>
      </c>
    </row>
    <row r="1879" spans="1:8">
      <c r="A1879" s="24"/>
      <c r="B1879" s="19"/>
      <c r="C1879" s="25">
        <f>IF(D1879="","",D1879/48)</f>
        <v>0</v>
      </c>
      <c r="D1879" s="26">
        <f>IF(A1879="","",ROUND((A1879-cfgDefasagem/1440)*48,0))</f>
        <v>0</v>
      </c>
      <c r="E1879" s="26">
        <f>IF(D1879="","",INT((D1879-cfgDeslocamento)/4))</f>
        <v>0</v>
      </c>
      <c r="F1879" s="26">
        <f>IF(D1879="","",MOD(D1879-cfgDeslocamento,4)+1)</f>
        <v>0</v>
      </c>
      <c r="G1879" s="26">
        <f>IF(A1879="","",IF(AND(ISNUMBER(B1879),B1879&lt;&gt;0),1,0))</f>
        <v>0</v>
      </c>
      <c r="H1879" s="25">
        <f>IF(E1879="","",(E1879*4+3+cfgDeslocamento)/48)</f>
        <v>0</v>
      </c>
    </row>
    <row r="1880" spans="1:8">
      <c r="A1880" s="24"/>
      <c r="B1880" s="19"/>
      <c r="C1880" s="25">
        <f>IF(D1880="","",D1880/48)</f>
        <v>0</v>
      </c>
      <c r="D1880" s="26">
        <f>IF(A1880="","",ROUND((A1880-cfgDefasagem/1440)*48,0))</f>
        <v>0</v>
      </c>
      <c r="E1880" s="26">
        <f>IF(D1880="","",INT((D1880-cfgDeslocamento)/4))</f>
        <v>0</v>
      </c>
      <c r="F1880" s="26">
        <f>IF(D1880="","",MOD(D1880-cfgDeslocamento,4)+1)</f>
        <v>0</v>
      </c>
      <c r="G1880" s="26">
        <f>IF(A1880="","",IF(AND(ISNUMBER(B1880),B1880&lt;&gt;0),1,0))</f>
        <v>0</v>
      </c>
      <c r="H1880" s="25">
        <f>IF(E1880="","",(E1880*4+3+cfgDeslocamento)/48)</f>
        <v>0</v>
      </c>
    </row>
    <row r="1881" spans="1:8">
      <c r="A1881" s="24"/>
      <c r="B1881" s="19"/>
      <c r="C1881" s="25">
        <f>IF(D1881="","",D1881/48)</f>
        <v>0</v>
      </c>
      <c r="D1881" s="26">
        <f>IF(A1881="","",ROUND((A1881-cfgDefasagem/1440)*48,0))</f>
        <v>0</v>
      </c>
      <c r="E1881" s="26">
        <f>IF(D1881="","",INT((D1881-cfgDeslocamento)/4))</f>
        <v>0</v>
      </c>
      <c r="F1881" s="26">
        <f>IF(D1881="","",MOD(D1881-cfgDeslocamento,4)+1)</f>
        <v>0</v>
      </c>
      <c r="G1881" s="26">
        <f>IF(A1881="","",IF(AND(ISNUMBER(B1881),B1881&lt;&gt;0),1,0))</f>
        <v>0</v>
      </c>
      <c r="H1881" s="25">
        <f>IF(E1881="","",(E1881*4+3+cfgDeslocamento)/48)</f>
        <v>0</v>
      </c>
    </row>
    <row r="1882" spans="1:8">
      <c r="A1882" s="24"/>
      <c r="B1882" s="19"/>
      <c r="C1882" s="25">
        <f>IF(D1882="","",D1882/48)</f>
        <v>0</v>
      </c>
      <c r="D1882" s="26">
        <f>IF(A1882="","",ROUND((A1882-cfgDefasagem/1440)*48,0))</f>
        <v>0</v>
      </c>
      <c r="E1882" s="26">
        <f>IF(D1882="","",INT((D1882-cfgDeslocamento)/4))</f>
        <v>0</v>
      </c>
      <c r="F1882" s="26">
        <f>IF(D1882="","",MOD(D1882-cfgDeslocamento,4)+1)</f>
        <v>0</v>
      </c>
      <c r="G1882" s="26">
        <f>IF(A1882="","",IF(AND(ISNUMBER(B1882),B1882&lt;&gt;0),1,0))</f>
        <v>0</v>
      </c>
      <c r="H1882" s="25">
        <f>IF(E1882="","",(E1882*4+3+cfgDeslocamento)/48)</f>
        <v>0</v>
      </c>
    </row>
    <row r="1883" spans="1:8">
      <c r="A1883" s="24"/>
      <c r="B1883" s="19"/>
      <c r="C1883" s="25">
        <f>IF(D1883="","",D1883/48)</f>
        <v>0</v>
      </c>
      <c r="D1883" s="26">
        <f>IF(A1883="","",ROUND((A1883-cfgDefasagem/1440)*48,0))</f>
        <v>0</v>
      </c>
      <c r="E1883" s="26">
        <f>IF(D1883="","",INT((D1883-cfgDeslocamento)/4))</f>
        <v>0</v>
      </c>
      <c r="F1883" s="26">
        <f>IF(D1883="","",MOD(D1883-cfgDeslocamento,4)+1)</f>
        <v>0</v>
      </c>
      <c r="G1883" s="26">
        <f>IF(A1883="","",IF(AND(ISNUMBER(B1883),B1883&lt;&gt;0),1,0))</f>
        <v>0</v>
      </c>
      <c r="H1883" s="25">
        <f>IF(E1883="","",(E1883*4+3+cfgDeslocamento)/48)</f>
        <v>0</v>
      </c>
    </row>
    <row r="1884" spans="1:8">
      <c r="A1884" s="24"/>
      <c r="B1884" s="19"/>
      <c r="C1884" s="25">
        <f>IF(D1884="","",D1884/48)</f>
        <v>0</v>
      </c>
      <c r="D1884" s="26">
        <f>IF(A1884="","",ROUND((A1884-cfgDefasagem/1440)*48,0))</f>
        <v>0</v>
      </c>
      <c r="E1884" s="26">
        <f>IF(D1884="","",INT((D1884-cfgDeslocamento)/4))</f>
        <v>0</v>
      </c>
      <c r="F1884" s="26">
        <f>IF(D1884="","",MOD(D1884-cfgDeslocamento,4)+1)</f>
        <v>0</v>
      </c>
      <c r="G1884" s="26">
        <f>IF(A1884="","",IF(AND(ISNUMBER(B1884),B1884&lt;&gt;0),1,0))</f>
        <v>0</v>
      </c>
      <c r="H1884" s="25">
        <f>IF(E1884="","",(E1884*4+3+cfgDeslocamento)/48)</f>
        <v>0</v>
      </c>
    </row>
    <row r="1885" spans="1:8">
      <c r="A1885" s="24"/>
      <c r="B1885" s="19"/>
      <c r="C1885" s="25">
        <f>IF(D1885="","",D1885/48)</f>
        <v>0</v>
      </c>
      <c r="D1885" s="26">
        <f>IF(A1885="","",ROUND((A1885-cfgDefasagem/1440)*48,0))</f>
        <v>0</v>
      </c>
      <c r="E1885" s="26">
        <f>IF(D1885="","",INT((D1885-cfgDeslocamento)/4))</f>
        <v>0</v>
      </c>
      <c r="F1885" s="26">
        <f>IF(D1885="","",MOD(D1885-cfgDeslocamento,4)+1)</f>
        <v>0</v>
      </c>
      <c r="G1885" s="26">
        <f>IF(A1885="","",IF(AND(ISNUMBER(B1885),B1885&lt;&gt;0),1,0))</f>
        <v>0</v>
      </c>
      <c r="H1885" s="25">
        <f>IF(E1885="","",(E1885*4+3+cfgDeslocamento)/48)</f>
        <v>0</v>
      </c>
    </row>
    <row r="1886" spans="1:8">
      <c r="A1886" s="24"/>
      <c r="B1886" s="19"/>
      <c r="C1886" s="25">
        <f>IF(D1886="","",D1886/48)</f>
        <v>0</v>
      </c>
      <c r="D1886" s="26">
        <f>IF(A1886="","",ROUND((A1886-cfgDefasagem/1440)*48,0))</f>
        <v>0</v>
      </c>
      <c r="E1886" s="26">
        <f>IF(D1886="","",INT((D1886-cfgDeslocamento)/4))</f>
        <v>0</v>
      </c>
      <c r="F1886" s="26">
        <f>IF(D1886="","",MOD(D1886-cfgDeslocamento,4)+1)</f>
        <v>0</v>
      </c>
      <c r="G1886" s="26">
        <f>IF(A1886="","",IF(AND(ISNUMBER(B1886),B1886&lt;&gt;0),1,0))</f>
        <v>0</v>
      </c>
      <c r="H1886" s="25">
        <f>IF(E1886="","",(E1886*4+3+cfgDeslocamento)/48)</f>
        <v>0</v>
      </c>
    </row>
    <row r="1887" spans="1:8">
      <c r="A1887" s="24"/>
      <c r="B1887" s="19"/>
      <c r="C1887" s="25">
        <f>IF(D1887="","",D1887/48)</f>
        <v>0</v>
      </c>
      <c r="D1887" s="26">
        <f>IF(A1887="","",ROUND((A1887-cfgDefasagem/1440)*48,0))</f>
        <v>0</v>
      </c>
      <c r="E1887" s="26">
        <f>IF(D1887="","",INT((D1887-cfgDeslocamento)/4))</f>
        <v>0</v>
      </c>
      <c r="F1887" s="26">
        <f>IF(D1887="","",MOD(D1887-cfgDeslocamento,4)+1)</f>
        <v>0</v>
      </c>
      <c r="G1887" s="26">
        <f>IF(A1887="","",IF(AND(ISNUMBER(B1887),B1887&lt;&gt;0),1,0))</f>
        <v>0</v>
      </c>
      <c r="H1887" s="25">
        <f>IF(E1887="","",(E1887*4+3+cfgDeslocamento)/48)</f>
        <v>0</v>
      </c>
    </row>
    <row r="1888" spans="1:8">
      <c r="A1888" s="24"/>
      <c r="B1888" s="19"/>
      <c r="C1888" s="25">
        <f>IF(D1888="","",D1888/48)</f>
        <v>0</v>
      </c>
      <c r="D1888" s="26">
        <f>IF(A1888="","",ROUND((A1888-cfgDefasagem/1440)*48,0))</f>
        <v>0</v>
      </c>
      <c r="E1888" s="26">
        <f>IF(D1888="","",INT((D1888-cfgDeslocamento)/4))</f>
        <v>0</v>
      </c>
      <c r="F1888" s="26">
        <f>IF(D1888="","",MOD(D1888-cfgDeslocamento,4)+1)</f>
        <v>0</v>
      </c>
      <c r="G1888" s="26">
        <f>IF(A1888="","",IF(AND(ISNUMBER(B1888),B1888&lt;&gt;0),1,0))</f>
        <v>0</v>
      </c>
      <c r="H1888" s="25">
        <f>IF(E1888="","",(E1888*4+3+cfgDeslocamento)/48)</f>
        <v>0</v>
      </c>
    </row>
    <row r="1889" spans="1:8">
      <c r="A1889" s="24"/>
      <c r="B1889" s="19"/>
      <c r="C1889" s="25">
        <f>IF(D1889="","",D1889/48)</f>
        <v>0</v>
      </c>
      <c r="D1889" s="26">
        <f>IF(A1889="","",ROUND((A1889-cfgDefasagem/1440)*48,0))</f>
        <v>0</v>
      </c>
      <c r="E1889" s="26">
        <f>IF(D1889="","",INT((D1889-cfgDeslocamento)/4))</f>
        <v>0</v>
      </c>
      <c r="F1889" s="26">
        <f>IF(D1889="","",MOD(D1889-cfgDeslocamento,4)+1)</f>
        <v>0</v>
      </c>
      <c r="G1889" s="26">
        <f>IF(A1889="","",IF(AND(ISNUMBER(B1889),B1889&lt;&gt;0),1,0))</f>
        <v>0</v>
      </c>
      <c r="H1889" s="25">
        <f>IF(E1889="","",(E1889*4+3+cfgDeslocamento)/48)</f>
        <v>0</v>
      </c>
    </row>
    <row r="1890" spans="1:8">
      <c r="A1890" s="24"/>
      <c r="B1890" s="19"/>
      <c r="C1890" s="25">
        <f>IF(D1890="","",D1890/48)</f>
        <v>0</v>
      </c>
      <c r="D1890" s="26">
        <f>IF(A1890="","",ROUND((A1890-cfgDefasagem/1440)*48,0))</f>
        <v>0</v>
      </c>
      <c r="E1890" s="26">
        <f>IF(D1890="","",INT((D1890-cfgDeslocamento)/4))</f>
        <v>0</v>
      </c>
      <c r="F1890" s="26">
        <f>IF(D1890="","",MOD(D1890-cfgDeslocamento,4)+1)</f>
        <v>0</v>
      </c>
      <c r="G1890" s="26">
        <f>IF(A1890="","",IF(AND(ISNUMBER(B1890),B1890&lt;&gt;0),1,0))</f>
        <v>0</v>
      </c>
      <c r="H1890" s="25">
        <f>IF(E1890="","",(E1890*4+3+cfgDeslocamento)/48)</f>
        <v>0</v>
      </c>
    </row>
    <row r="1891" spans="1:8">
      <c r="A1891" s="24"/>
      <c r="B1891" s="19"/>
      <c r="C1891" s="25">
        <f>IF(D1891="","",D1891/48)</f>
        <v>0</v>
      </c>
      <c r="D1891" s="26">
        <f>IF(A1891="","",ROUND((A1891-cfgDefasagem/1440)*48,0))</f>
        <v>0</v>
      </c>
      <c r="E1891" s="26">
        <f>IF(D1891="","",INT((D1891-cfgDeslocamento)/4))</f>
        <v>0</v>
      </c>
      <c r="F1891" s="26">
        <f>IF(D1891="","",MOD(D1891-cfgDeslocamento,4)+1)</f>
        <v>0</v>
      </c>
      <c r="G1891" s="26">
        <f>IF(A1891="","",IF(AND(ISNUMBER(B1891),B1891&lt;&gt;0),1,0))</f>
        <v>0</v>
      </c>
      <c r="H1891" s="25">
        <f>IF(E1891="","",(E1891*4+3+cfgDeslocamento)/48)</f>
        <v>0</v>
      </c>
    </row>
    <row r="1892" spans="1:8">
      <c r="A1892" s="24"/>
      <c r="B1892" s="19"/>
      <c r="C1892" s="25">
        <f>IF(D1892="","",D1892/48)</f>
        <v>0</v>
      </c>
      <c r="D1892" s="26">
        <f>IF(A1892="","",ROUND((A1892-cfgDefasagem/1440)*48,0))</f>
        <v>0</v>
      </c>
      <c r="E1892" s="26">
        <f>IF(D1892="","",INT((D1892-cfgDeslocamento)/4))</f>
        <v>0</v>
      </c>
      <c r="F1892" s="26">
        <f>IF(D1892="","",MOD(D1892-cfgDeslocamento,4)+1)</f>
        <v>0</v>
      </c>
      <c r="G1892" s="26">
        <f>IF(A1892="","",IF(AND(ISNUMBER(B1892),B1892&lt;&gt;0),1,0))</f>
        <v>0</v>
      </c>
      <c r="H1892" s="25">
        <f>IF(E1892="","",(E1892*4+3+cfgDeslocamento)/48)</f>
        <v>0</v>
      </c>
    </row>
    <row r="1893" spans="1:8">
      <c r="A1893" s="24"/>
      <c r="B1893" s="19"/>
      <c r="C1893" s="25">
        <f>IF(D1893="","",D1893/48)</f>
        <v>0</v>
      </c>
      <c r="D1893" s="26">
        <f>IF(A1893="","",ROUND((A1893-cfgDefasagem/1440)*48,0))</f>
        <v>0</v>
      </c>
      <c r="E1893" s="26">
        <f>IF(D1893="","",INT((D1893-cfgDeslocamento)/4))</f>
        <v>0</v>
      </c>
      <c r="F1893" s="26">
        <f>IF(D1893="","",MOD(D1893-cfgDeslocamento,4)+1)</f>
        <v>0</v>
      </c>
      <c r="G1893" s="26">
        <f>IF(A1893="","",IF(AND(ISNUMBER(B1893),B1893&lt;&gt;0),1,0))</f>
        <v>0</v>
      </c>
      <c r="H1893" s="25">
        <f>IF(E1893="","",(E1893*4+3+cfgDeslocamento)/48)</f>
        <v>0</v>
      </c>
    </row>
    <row r="1894" spans="1:8">
      <c r="A1894" s="24"/>
      <c r="B1894" s="19"/>
      <c r="C1894" s="25">
        <f>IF(D1894="","",D1894/48)</f>
        <v>0</v>
      </c>
      <c r="D1894" s="26">
        <f>IF(A1894="","",ROUND((A1894-cfgDefasagem/1440)*48,0))</f>
        <v>0</v>
      </c>
      <c r="E1894" s="26">
        <f>IF(D1894="","",INT((D1894-cfgDeslocamento)/4))</f>
        <v>0</v>
      </c>
      <c r="F1894" s="26">
        <f>IF(D1894="","",MOD(D1894-cfgDeslocamento,4)+1)</f>
        <v>0</v>
      </c>
      <c r="G1894" s="26">
        <f>IF(A1894="","",IF(AND(ISNUMBER(B1894),B1894&lt;&gt;0),1,0))</f>
        <v>0</v>
      </c>
      <c r="H1894" s="25">
        <f>IF(E1894="","",(E1894*4+3+cfgDeslocamento)/48)</f>
        <v>0</v>
      </c>
    </row>
    <row r="1895" spans="1:8">
      <c r="A1895" s="24"/>
      <c r="B1895" s="19"/>
      <c r="C1895" s="25">
        <f>IF(D1895="","",D1895/48)</f>
        <v>0</v>
      </c>
      <c r="D1895" s="26">
        <f>IF(A1895="","",ROUND((A1895-cfgDefasagem/1440)*48,0))</f>
        <v>0</v>
      </c>
      <c r="E1895" s="26">
        <f>IF(D1895="","",INT((D1895-cfgDeslocamento)/4))</f>
        <v>0</v>
      </c>
      <c r="F1895" s="26">
        <f>IF(D1895="","",MOD(D1895-cfgDeslocamento,4)+1)</f>
        <v>0</v>
      </c>
      <c r="G1895" s="26">
        <f>IF(A1895="","",IF(AND(ISNUMBER(B1895),B1895&lt;&gt;0),1,0))</f>
        <v>0</v>
      </c>
      <c r="H1895" s="25">
        <f>IF(E1895="","",(E1895*4+3+cfgDeslocamento)/48)</f>
        <v>0</v>
      </c>
    </row>
    <row r="1896" spans="1:8">
      <c r="A1896" s="24"/>
      <c r="B1896" s="19"/>
      <c r="C1896" s="25">
        <f>IF(D1896="","",D1896/48)</f>
        <v>0</v>
      </c>
      <c r="D1896" s="26">
        <f>IF(A1896="","",ROUND((A1896-cfgDefasagem/1440)*48,0))</f>
        <v>0</v>
      </c>
      <c r="E1896" s="26">
        <f>IF(D1896="","",INT((D1896-cfgDeslocamento)/4))</f>
        <v>0</v>
      </c>
      <c r="F1896" s="26">
        <f>IF(D1896="","",MOD(D1896-cfgDeslocamento,4)+1)</f>
        <v>0</v>
      </c>
      <c r="G1896" s="26">
        <f>IF(A1896="","",IF(AND(ISNUMBER(B1896),B1896&lt;&gt;0),1,0))</f>
        <v>0</v>
      </c>
      <c r="H1896" s="25">
        <f>IF(E1896="","",(E1896*4+3+cfgDeslocamento)/48)</f>
        <v>0</v>
      </c>
    </row>
    <row r="1897" spans="1:8">
      <c r="A1897" s="24"/>
      <c r="B1897" s="19"/>
      <c r="C1897" s="25">
        <f>IF(D1897="","",D1897/48)</f>
        <v>0</v>
      </c>
      <c r="D1897" s="26">
        <f>IF(A1897="","",ROUND((A1897-cfgDefasagem/1440)*48,0))</f>
        <v>0</v>
      </c>
      <c r="E1897" s="26">
        <f>IF(D1897="","",INT((D1897-cfgDeslocamento)/4))</f>
        <v>0</v>
      </c>
      <c r="F1897" s="26">
        <f>IF(D1897="","",MOD(D1897-cfgDeslocamento,4)+1)</f>
        <v>0</v>
      </c>
      <c r="G1897" s="26">
        <f>IF(A1897="","",IF(AND(ISNUMBER(B1897),B1897&lt;&gt;0),1,0))</f>
        <v>0</v>
      </c>
      <c r="H1897" s="25">
        <f>IF(E1897="","",(E1897*4+3+cfgDeslocamento)/48)</f>
        <v>0</v>
      </c>
    </row>
    <row r="1898" spans="1:8">
      <c r="A1898" s="24"/>
      <c r="B1898" s="19"/>
      <c r="C1898" s="25">
        <f>IF(D1898="","",D1898/48)</f>
        <v>0</v>
      </c>
      <c r="D1898" s="26">
        <f>IF(A1898="","",ROUND((A1898-cfgDefasagem/1440)*48,0))</f>
        <v>0</v>
      </c>
      <c r="E1898" s="26">
        <f>IF(D1898="","",INT((D1898-cfgDeslocamento)/4))</f>
        <v>0</v>
      </c>
      <c r="F1898" s="26">
        <f>IF(D1898="","",MOD(D1898-cfgDeslocamento,4)+1)</f>
        <v>0</v>
      </c>
      <c r="G1898" s="26">
        <f>IF(A1898="","",IF(AND(ISNUMBER(B1898),B1898&lt;&gt;0),1,0))</f>
        <v>0</v>
      </c>
      <c r="H1898" s="25">
        <f>IF(E1898="","",(E1898*4+3+cfgDeslocamento)/48)</f>
        <v>0</v>
      </c>
    </row>
    <row r="1899" spans="1:8">
      <c r="A1899" s="24"/>
      <c r="B1899" s="19"/>
      <c r="C1899" s="25">
        <f>IF(D1899="","",D1899/48)</f>
        <v>0</v>
      </c>
      <c r="D1899" s="26">
        <f>IF(A1899="","",ROUND((A1899-cfgDefasagem/1440)*48,0))</f>
        <v>0</v>
      </c>
      <c r="E1899" s="26">
        <f>IF(D1899="","",INT((D1899-cfgDeslocamento)/4))</f>
        <v>0</v>
      </c>
      <c r="F1899" s="26">
        <f>IF(D1899="","",MOD(D1899-cfgDeslocamento,4)+1)</f>
        <v>0</v>
      </c>
      <c r="G1899" s="26">
        <f>IF(A1899="","",IF(AND(ISNUMBER(B1899),B1899&lt;&gt;0),1,0))</f>
        <v>0</v>
      </c>
      <c r="H1899" s="25">
        <f>IF(E1899="","",(E1899*4+3+cfgDeslocamento)/48)</f>
        <v>0</v>
      </c>
    </row>
    <row r="1900" spans="1:8">
      <c r="A1900" s="24"/>
      <c r="B1900" s="19"/>
      <c r="C1900" s="25">
        <f>IF(D1900="","",D1900/48)</f>
        <v>0</v>
      </c>
      <c r="D1900" s="26">
        <f>IF(A1900="","",ROUND((A1900-cfgDefasagem/1440)*48,0))</f>
        <v>0</v>
      </c>
      <c r="E1900" s="26">
        <f>IF(D1900="","",INT((D1900-cfgDeslocamento)/4))</f>
        <v>0</v>
      </c>
      <c r="F1900" s="26">
        <f>IF(D1900="","",MOD(D1900-cfgDeslocamento,4)+1)</f>
        <v>0</v>
      </c>
      <c r="G1900" s="26">
        <f>IF(A1900="","",IF(AND(ISNUMBER(B1900),B1900&lt;&gt;0),1,0))</f>
        <v>0</v>
      </c>
      <c r="H1900" s="25">
        <f>IF(E1900="","",(E1900*4+3+cfgDeslocamento)/48)</f>
        <v>0</v>
      </c>
    </row>
    <row r="1901" spans="1:8">
      <c r="A1901" s="24"/>
      <c r="B1901" s="19"/>
      <c r="C1901" s="25">
        <f>IF(D1901="","",D1901/48)</f>
        <v>0</v>
      </c>
      <c r="D1901" s="26">
        <f>IF(A1901="","",ROUND((A1901-cfgDefasagem/1440)*48,0))</f>
        <v>0</v>
      </c>
      <c r="E1901" s="26">
        <f>IF(D1901="","",INT((D1901-cfgDeslocamento)/4))</f>
        <v>0</v>
      </c>
      <c r="F1901" s="26">
        <f>IF(D1901="","",MOD(D1901-cfgDeslocamento,4)+1)</f>
        <v>0</v>
      </c>
      <c r="G1901" s="26">
        <f>IF(A1901="","",IF(AND(ISNUMBER(B1901),B1901&lt;&gt;0),1,0))</f>
        <v>0</v>
      </c>
      <c r="H1901" s="25">
        <f>IF(E1901="","",(E1901*4+3+cfgDeslocamento)/48)</f>
        <v>0</v>
      </c>
    </row>
    <row r="1902" spans="1:8">
      <c r="A1902" s="24"/>
      <c r="B1902" s="19"/>
      <c r="C1902" s="25">
        <f>IF(D1902="","",D1902/48)</f>
        <v>0</v>
      </c>
      <c r="D1902" s="26">
        <f>IF(A1902="","",ROUND((A1902-cfgDefasagem/1440)*48,0))</f>
        <v>0</v>
      </c>
      <c r="E1902" s="26">
        <f>IF(D1902="","",INT((D1902-cfgDeslocamento)/4))</f>
        <v>0</v>
      </c>
      <c r="F1902" s="26">
        <f>IF(D1902="","",MOD(D1902-cfgDeslocamento,4)+1)</f>
        <v>0</v>
      </c>
      <c r="G1902" s="26">
        <f>IF(A1902="","",IF(AND(ISNUMBER(B1902),B1902&lt;&gt;0),1,0))</f>
        <v>0</v>
      </c>
      <c r="H1902" s="25">
        <f>IF(E1902="","",(E1902*4+3+cfgDeslocamento)/48)</f>
        <v>0</v>
      </c>
    </row>
    <row r="1903" spans="1:8">
      <c r="A1903" s="24"/>
      <c r="B1903" s="19"/>
      <c r="C1903" s="25">
        <f>IF(D1903="","",D1903/48)</f>
        <v>0</v>
      </c>
      <c r="D1903" s="26">
        <f>IF(A1903="","",ROUND((A1903-cfgDefasagem/1440)*48,0))</f>
        <v>0</v>
      </c>
      <c r="E1903" s="26">
        <f>IF(D1903="","",INT((D1903-cfgDeslocamento)/4))</f>
        <v>0</v>
      </c>
      <c r="F1903" s="26">
        <f>IF(D1903="","",MOD(D1903-cfgDeslocamento,4)+1)</f>
        <v>0</v>
      </c>
      <c r="G1903" s="26">
        <f>IF(A1903="","",IF(AND(ISNUMBER(B1903),B1903&lt;&gt;0),1,0))</f>
        <v>0</v>
      </c>
      <c r="H1903" s="25">
        <f>IF(E1903="","",(E1903*4+3+cfgDeslocamento)/48)</f>
        <v>0</v>
      </c>
    </row>
    <row r="1904" spans="1:8">
      <c r="A1904" s="24"/>
      <c r="B1904" s="19"/>
      <c r="C1904" s="25">
        <f>IF(D1904="","",D1904/48)</f>
        <v>0</v>
      </c>
      <c r="D1904" s="26">
        <f>IF(A1904="","",ROUND((A1904-cfgDefasagem/1440)*48,0))</f>
        <v>0</v>
      </c>
      <c r="E1904" s="26">
        <f>IF(D1904="","",INT((D1904-cfgDeslocamento)/4))</f>
        <v>0</v>
      </c>
      <c r="F1904" s="26">
        <f>IF(D1904="","",MOD(D1904-cfgDeslocamento,4)+1)</f>
        <v>0</v>
      </c>
      <c r="G1904" s="26">
        <f>IF(A1904="","",IF(AND(ISNUMBER(B1904),B1904&lt;&gt;0),1,0))</f>
        <v>0</v>
      </c>
      <c r="H1904" s="25">
        <f>IF(E1904="","",(E1904*4+3+cfgDeslocamento)/48)</f>
        <v>0</v>
      </c>
    </row>
    <row r="1905" spans="1:8">
      <c r="A1905" s="24"/>
      <c r="B1905" s="19"/>
      <c r="C1905" s="25">
        <f>IF(D1905="","",D1905/48)</f>
        <v>0</v>
      </c>
      <c r="D1905" s="26">
        <f>IF(A1905="","",ROUND((A1905-cfgDefasagem/1440)*48,0))</f>
        <v>0</v>
      </c>
      <c r="E1905" s="26">
        <f>IF(D1905="","",INT((D1905-cfgDeslocamento)/4))</f>
        <v>0</v>
      </c>
      <c r="F1905" s="26">
        <f>IF(D1905="","",MOD(D1905-cfgDeslocamento,4)+1)</f>
        <v>0</v>
      </c>
      <c r="G1905" s="26">
        <f>IF(A1905="","",IF(AND(ISNUMBER(B1905),B1905&lt;&gt;0),1,0))</f>
        <v>0</v>
      </c>
      <c r="H1905" s="25">
        <f>IF(E1905="","",(E1905*4+3+cfgDeslocamento)/48)</f>
        <v>0</v>
      </c>
    </row>
    <row r="1906" spans="1:8">
      <c r="A1906" s="24"/>
      <c r="B1906" s="19"/>
      <c r="C1906" s="25">
        <f>IF(D1906="","",D1906/48)</f>
        <v>0</v>
      </c>
      <c r="D1906" s="26">
        <f>IF(A1906="","",ROUND((A1906-cfgDefasagem/1440)*48,0))</f>
        <v>0</v>
      </c>
      <c r="E1906" s="26">
        <f>IF(D1906="","",INT((D1906-cfgDeslocamento)/4))</f>
        <v>0</v>
      </c>
      <c r="F1906" s="26">
        <f>IF(D1906="","",MOD(D1906-cfgDeslocamento,4)+1)</f>
        <v>0</v>
      </c>
      <c r="G1906" s="26">
        <f>IF(A1906="","",IF(AND(ISNUMBER(B1906),B1906&lt;&gt;0),1,0))</f>
        <v>0</v>
      </c>
      <c r="H1906" s="25">
        <f>IF(E1906="","",(E1906*4+3+cfgDeslocamento)/48)</f>
        <v>0</v>
      </c>
    </row>
    <row r="1907" spans="1:8">
      <c r="A1907" s="24"/>
      <c r="B1907" s="19"/>
      <c r="C1907" s="25">
        <f>IF(D1907="","",D1907/48)</f>
        <v>0</v>
      </c>
      <c r="D1907" s="26">
        <f>IF(A1907="","",ROUND((A1907-cfgDefasagem/1440)*48,0))</f>
        <v>0</v>
      </c>
      <c r="E1907" s="26">
        <f>IF(D1907="","",INT((D1907-cfgDeslocamento)/4))</f>
        <v>0</v>
      </c>
      <c r="F1907" s="26">
        <f>IF(D1907="","",MOD(D1907-cfgDeslocamento,4)+1)</f>
        <v>0</v>
      </c>
      <c r="G1907" s="26">
        <f>IF(A1907="","",IF(AND(ISNUMBER(B1907),B1907&lt;&gt;0),1,0))</f>
        <v>0</v>
      </c>
      <c r="H1907" s="25">
        <f>IF(E1907="","",(E1907*4+3+cfgDeslocamento)/48)</f>
        <v>0</v>
      </c>
    </row>
    <row r="1908" spans="1:8">
      <c r="A1908" s="24"/>
      <c r="B1908" s="19"/>
      <c r="C1908" s="25">
        <f>IF(D1908="","",D1908/48)</f>
        <v>0</v>
      </c>
      <c r="D1908" s="26">
        <f>IF(A1908="","",ROUND((A1908-cfgDefasagem/1440)*48,0))</f>
        <v>0</v>
      </c>
      <c r="E1908" s="26">
        <f>IF(D1908="","",INT((D1908-cfgDeslocamento)/4))</f>
        <v>0</v>
      </c>
      <c r="F1908" s="26">
        <f>IF(D1908="","",MOD(D1908-cfgDeslocamento,4)+1)</f>
        <v>0</v>
      </c>
      <c r="G1908" s="26">
        <f>IF(A1908="","",IF(AND(ISNUMBER(B1908),B1908&lt;&gt;0),1,0))</f>
        <v>0</v>
      </c>
      <c r="H1908" s="25">
        <f>IF(E1908="","",(E1908*4+3+cfgDeslocamento)/48)</f>
        <v>0</v>
      </c>
    </row>
    <row r="1909" spans="1:8">
      <c r="A1909" s="24"/>
      <c r="B1909" s="19"/>
      <c r="C1909" s="25">
        <f>IF(D1909="","",D1909/48)</f>
        <v>0</v>
      </c>
      <c r="D1909" s="26">
        <f>IF(A1909="","",ROUND((A1909-cfgDefasagem/1440)*48,0))</f>
        <v>0</v>
      </c>
      <c r="E1909" s="26">
        <f>IF(D1909="","",INT((D1909-cfgDeslocamento)/4))</f>
        <v>0</v>
      </c>
      <c r="F1909" s="26">
        <f>IF(D1909="","",MOD(D1909-cfgDeslocamento,4)+1)</f>
        <v>0</v>
      </c>
      <c r="G1909" s="26">
        <f>IF(A1909="","",IF(AND(ISNUMBER(B1909),B1909&lt;&gt;0),1,0))</f>
        <v>0</v>
      </c>
      <c r="H1909" s="25">
        <f>IF(E1909="","",(E1909*4+3+cfgDeslocamento)/48)</f>
        <v>0</v>
      </c>
    </row>
    <row r="1910" spans="1:8">
      <c r="A1910" s="24"/>
      <c r="B1910" s="19"/>
      <c r="C1910" s="25">
        <f>IF(D1910="","",D1910/48)</f>
        <v>0</v>
      </c>
      <c r="D1910" s="26">
        <f>IF(A1910="","",ROUND((A1910-cfgDefasagem/1440)*48,0))</f>
        <v>0</v>
      </c>
      <c r="E1910" s="26">
        <f>IF(D1910="","",INT((D1910-cfgDeslocamento)/4))</f>
        <v>0</v>
      </c>
      <c r="F1910" s="26">
        <f>IF(D1910="","",MOD(D1910-cfgDeslocamento,4)+1)</f>
        <v>0</v>
      </c>
      <c r="G1910" s="26">
        <f>IF(A1910="","",IF(AND(ISNUMBER(B1910),B1910&lt;&gt;0),1,0))</f>
        <v>0</v>
      </c>
      <c r="H1910" s="25">
        <f>IF(E1910="","",(E1910*4+3+cfgDeslocamento)/48)</f>
        <v>0</v>
      </c>
    </row>
    <row r="1911" spans="1:8">
      <c r="A1911" s="24"/>
      <c r="B1911" s="19"/>
      <c r="C1911" s="25">
        <f>IF(D1911="","",D1911/48)</f>
        <v>0</v>
      </c>
      <c r="D1911" s="26">
        <f>IF(A1911="","",ROUND((A1911-cfgDefasagem/1440)*48,0))</f>
        <v>0</v>
      </c>
      <c r="E1911" s="26">
        <f>IF(D1911="","",INT((D1911-cfgDeslocamento)/4))</f>
        <v>0</v>
      </c>
      <c r="F1911" s="26">
        <f>IF(D1911="","",MOD(D1911-cfgDeslocamento,4)+1)</f>
        <v>0</v>
      </c>
      <c r="G1911" s="26">
        <f>IF(A1911="","",IF(AND(ISNUMBER(B1911),B1911&lt;&gt;0),1,0))</f>
        <v>0</v>
      </c>
      <c r="H1911" s="25">
        <f>IF(E1911="","",(E1911*4+3+cfgDeslocamento)/48)</f>
        <v>0</v>
      </c>
    </row>
    <row r="1912" spans="1:8">
      <c r="A1912" s="24"/>
      <c r="B1912" s="19"/>
      <c r="C1912" s="25">
        <f>IF(D1912="","",D1912/48)</f>
        <v>0</v>
      </c>
      <c r="D1912" s="26">
        <f>IF(A1912="","",ROUND((A1912-cfgDefasagem/1440)*48,0))</f>
        <v>0</v>
      </c>
      <c r="E1912" s="26">
        <f>IF(D1912="","",INT((D1912-cfgDeslocamento)/4))</f>
        <v>0</v>
      </c>
      <c r="F1912" s="26">
        <f>IF(D1912="","",MOD(D1912-cfgDeslocamento,4)+1)</f>
        <v>0</v>
      </c>
      <c r="G1912" s="26">
        <f>IF(A1912="","",IF(AND(ISNUMBER(B1912),B1912&lt;&gt;0),1,0))</f>
        <v>0</v>
      </c>
      <c r="H1912" s="25">
        <f>IF(E1912="","",(E1912*4+3+cfgDeslocamento)/48)</f>
        <v>0</v>
      </c>
    </row>
    <row r="1913" spans="1:8">
      <c r="A1913" s="24"/>
      <c r="B1913" s="19"/>
      <c r="C1913" s="25">
        <f>IF(D1913="","",D1913/48)</f>
        <v>0</v>
      </c>
      <c r="D1913" s="26">
        <f>IF(A1913="","",ROUND((A1913-cfgDefasagem/1440)*48,0))</f>
        <v>0</v>
      </c>
      <c r="E1913" s="26">
        <f>IF(D1913="","",INT((D1913-cfgDeslocamento)/4))</f>
        <v>0</v>
      </c>
      <c r="F1913" s="26">
        <f>IF(D1913="","",MOD(D1913-cfgDeslocamento,4)+1)</f>
        <v>0</v>
      </c>
      <c r="G1913" s="26">
        <f>IF(A1913="","",IF(AND(ISNUMBER(B1913),B1913&lt;&gt;0),1,0))</f>
        <v>0</v>
      </c>
      <c r="H1913" s="25">
        <f>IF(E1913="","",(E1913*4+3+cfgDeslocamento)/48)</f>
        <v>0</v>
      </c>
    </row>
    <row r="1914" spans="1:8">
      <c r="A1914" s="24"/>
      <c r="B1914" s="19"/>
      <c r="C1914" s="25">
        <f>IF(D1914="","",D1914/48)</f>
        <v>0</v>
      </c>
      <c r="D1914" s="26">
        <f>IF(A1914="","",ROUND((A1914-cfgDefasagem/1440)*48,0))</f>
        <v>0</v>
      </c>
      <c r="E1914" s="26">
        <f>IF(D1914="","",INT((D1914-cfgDeslocamento)/4))</f>
        <v>0</v>
      </c>
      <c r="F1914" s="26">
        <f>IF(D1914="","",MOD(D1914-cfgDeslocamento,4)+1)</f>
        <v>0</v>
      </c>
      <c r="G1914" s="26">
        <f>IF(A1914="","",IF(AND(ISNUMBER(B1914),B1914&lt;&gt;0),1,0))</f>
        <v>0</v>
      </c>
      <c r="H1914" s="25">
        <f>IF(E1914="","",(E1914*4+3+cfgDeslocamento)/48)</f>
        <v>0</v>
      </c>
    </row>
    <row r="1915" spans="1:8">
      <c r="A1915" s="24"/>
      <c r="B1915" s="19"/>
      <c r="C1915" s="25">
        <f>IF(D1915="","",D1915/48)</f>
        <v>0</v>
      </c>
      <c r="D1915" s="26">
        <f>IF(A1915="","",ROUND((A1915-cfgDefasagem/1440)*48,0))</f>
        <v>0</v>
      </c>
      <c r="E1915" s="26">
        <f>IF(D1915="","",INT((D1915-cfgDeslocamento)/4))</f>
        <v>0</v>
      </c>
      <c r="F1915" s="26">
        <f>IF(D1915="","",MOD(D1915-cfgDeslocamento,4)+1)</f>
        <v>0</v>
      </c>
      <c r="G1915" s="26">
        <f>IF(A1915="","",IF(AND(ISNUMBER(B1915),B1915&lt;&gt;0),1,0))</f>
        <v>0</v>
      </c>
      <c r="H1915" s="25">
        <f>IF(E1915="","",(E1915*4+3+cfgDeslocamento)/48)</f>
        <v>0</v>
      </c>
    </row>
    <row r="1916" spans="1:8">
      <c r="A1916" s="24"/>
      <c r="B1916" s="19"/>
      <c r="C1916" s="25">
        <f>IF(D1916="","",D1916/48)</f>
        <v>0</v>
      </c>
      <c r="D1916" s="26">
        <f>IF(A1916="","",ROUND((A1916-cfgDefasagem/1440)*48,0))</f>
        <v>0</v>
      </c>
      <c r="E1916" s="26">
        <f>IF(D1916="","",INT((D1916-cfgDeslocamento)/4))</f>
        <v>0</v>
      </c>
      <c r="F1916" s="26">
        <f>IF(D1916="","",MOD(D1916-cfgDeslocamento,4)+1)</f>
        <v>0</v>
      </c>
      <c r="G1916" s="26">
        <f>IF(A1916="","",IF(AND(ISNUMBER(B1916),B1916&lt;&gt;0),1,0))</f>
        <v>0</v>
      </c>
      <c r="H1916" s="25">
        <f>IF(E1916="","",(E1916*4+3+cfgDeslocamento)/48)</f>
        <v>0</v>
      </c>
    </row>
    <row r="1917" spans="1:8">
      <c r="A1917" s="24"/>
      <c r="B1917" s="19"/>
      <c r="C1917" s="25">
        <f>IF(D1917="","",D1917/48)</f>
        <v>0</v>
      </c>
      <c r="D1917" s="26">
        <f>IF(A1917="","",ROUND((A1917-cfgDefasagem/1440)*48,0))</f>
        <v>0</v>
      </c>
      <c r="E1917" s="26">
        <f>IF(D1917="","",INT((D1917-cfgDeslocamento)/4))</f>
        <v>0</v>
      </c>
      <c r="F1917" s="26">
        <f>IF(D1917="","",MOD(D1917-cfgDeslocamento,4)+1)</f>
        <v>0</v>
      </c>
      <c r="G1917" s="26">
        <f>IF(A1917="","",IF(AND(ISNUMBER(B1917),B1917&lt;&gt;0),1,0))</f>
        <v>0</v>
      </c>
      <c r="H1917" s="25">
        <f>IF(E1917="","",(E1917*4+3+cfgDeslocamento)/48)</f>
        <v>0</v>
      </c>
    </row>
    <row r="1918" spans="1:8">
      <c r="A1918" s="24"/>
      <c r="B1918" s="19"/>
      <c r="C1918" s="25">
        <f>IF(D1918="","",D1918/48)</f>
        <v>0</v>
      </c>
      <c r="D1918" s="26">
        <f>IF(A1918="","",ROUND((A1918-cfgDefasagem/1440)*48,0))</f>
        <v>0</v>
      </c>
      <c r="E1918" s="26">
        <f>IF(D1918="","",INT((D1918-cfgDeslocamento)/4))</f>
        <v>0</v>
      </c>
      <c r="F1918" s="26">
        <f>IF(D1918="","",MOD(D1918-cfgDeslocamento,4)+1)</f>
        <v>0</v>
      </c>
      <c r="G1918" s="26">
        <f>IF(A1918="","",IF(AND(ISNUMBER(B1918),B1918&lt;&gt;0),1,0))</f>
        <v>0</v>
      </c>
      <c r="H1918" s="25">
        <f>IF(E1918="","",(E1918*4+3+cfgDeslocamento)/48)</f>
        <v>0</v>
      </c>
    </row>
    <row r="1919" spans="1:8">
      <c r="A1919" s="24"/>
      <c r="B1919" s="19"/>
      <c r="C1919" s="25">
        <f>IF(D1919="","",D1919/48)</f>
        <v>0</v>
      </c>
      <c r="D1919" s="26">
        <f>IF(A1919="","",ROUND((A1919-cfgDefasagem/1440)*48,0))</f>
        <v>0</v>
      </c>
      <c r="E1919" s="26">
        <f>IF(D1919="","",INT((D1919-cfgDeslocamento)/4))</f>
        <v>0</v>
      </c>
      <c r="F1919" s="26">
        <f>IF(D1919="","",MOD(D1919-cfgDeslocamento,4)+1)</f>
        <v>0</v>
      </c>
      <c r="G1919" s="26">
        <f>IF(A1919="","",IF(AND(ISNUMBER(B1919),B1919&lt;&gt;0),1,0))</f>
        <v>0</v>
      </c>
      <c r="H1919" s="25">
        <f>IF(E1919="","",(E1919*4+3+cfgDeslocamento)/48)</f>
        <v>0</v>
      </c>
    </row>
    <row r="1920" spans="1:8">
      <c r="A1920" s="24"/>
      <c r="B1920" s="19"/>
      <c r="C1920" s="25">
        <f>IF(D1920="","",D1920/48)</f>
        <v>0</v>
      </c>
      <c r="D1920" s="26">
        <f>IF(A1920="","",ROUND((A1920-cfgDefasagem/1440)*48,0))</f>
        <v>0</v>
      </c>
      <c r="E1920" s="26">
        <f>IF(D1920="","",INT((D1920-cfgDeslocamento)/4))</f>
        <v>0</v>
      </c>
      <c r="F1920" s="26">
        <f>IF(D1920="","",MOD(D1920-cfgDeslocamento,4)+1)</f>
        <v>0</v>
      </c>
      <c r="G1920" s="26">
        <f>IF(A1920="","",IF(AND(ISNUMBER(B1920),B1920&lt;&gt;0),1,0))</f>
        <v>0</v>
      </c>
      <c r="H1920" s="25">
        <f>IF(E1920="","",(E1920*4+3+cfgDeslocamento)/48)</f>
        <v>0</v>
      </c>
    </row>
    <row r="1921" spans="1:8">
      <c r="A1921" s="24"/>
      <c r="B1921" s="19"/>
      <c r="C1921" s="25">
        <f>IF(D1921="","",D1921/48)</f>
        <v>0</v>
      </c>
      <c r="D1921" s="26">
        <f>IF(A1921="","",ROUND((A1921-cfgDefasagem/1440)*48,0))</f>
        <v>0</v>
      </c>
      <c r="E1921" s="26">
        <f>IF(D1921="","",INT((D1921-cfgDeslocamento)/4))</f>
        <v>0</v>
      </c>
      <c r="F1921" s="26">
        <f>IF(D1921="","",MOD(D1921-cfgDeslocamento,4)+1)</f>
        <v>0</v>
      </c>
      <c r="G1921" s="26">
        <f>IF(A1921="","",IF(AND(ISNUMBER(B1921),B1921&lt;&gt;0),1,0))</f>
        <v>0</v>
      </c>
      <c r="H1921" s="25">
        <f>IF(E1921="","",(E1921*4+3+cfgDeslocamento)/48)</f>
        <v>0</v>
      </c>
    </row>
    <row r="1922" spans="1:8">
      <c r="A1922" s="24"/>
      <c r="B1922" s="19"/>
      <c r="C1922" s="25">
        <f>IF(D1922="","",D1922/48)</f>
        <v>0</v>
      </c>
      <c r="D1922" s="26">
        <f>IF(A1922="","",ROUND((A1922-cfgDefasagem/1440)*48,0))</f>
        <v>0</v>
      </c>
      <c r="E1922" s="26">
        <f>IF(D1922="","",INT((D1922-cfgDeslocamento)/4))</f>
        <v>0</v>
      </c>
      <c r="F1922" s="26">
        <f>IF(D1922="","",MOD(D1922-cfgDeslocamento,4)+1)</f>
        <v>0</v>
      </c>
      <c r="G1922" s="26">
        <f>IF(A1922="","",IF(AND(ISNUMBER(B1922),B1922&lt;&gt;0),1,0))</f>
        <v>0</v>
      </c>
      <c r="H1922" s="25">
        <f>IF(E1922="","",(E1922*4+3+cfgDeslocamento)/48)</f>
        <v>0</v>
      </c>
    </row>
    <row r="1923" spans="1:8">
      <c r="A1923" s="24"/>
      <c r="B1923" s="19"/>
      <c r="C1923" s="25">
        <f>IF(D1923="","",D1923/48)</f>
        <v>0</v>
      </c>
      <c r="D1923" s="26">
        <f>IF(A1923="","",ROUND((A1923-cfgDefasagem/1440)*48,0))</f>
        <v>0</v>
      </c>
      <c r="E1923" s="26">
        <f>IF(D1923="","",INT((D1923-cfgDeslocamento)/4))</f>
        <v>0</v>
      </c>
      <c r="F1923" s="26">
        <f>IF(D1923="","",MOD(D1923-cfgDeslocamento,4)+1)</f>
        <v>0</v>
      </c>
      <c r="G1923" s="26">
        <f>IF(A1923="","",IF(AND(ISNUMBER(B1923),B1923&lt;&gt;0),1,0))</f>
        <v>0</v>
      </c>
      <c r="H1923" s="25">
        <f>IF(E1923="","",(E1923*4+3+cfgDeslocamento)/48)</f>
        <v>0</v>
      </c>
    </row>
    <row r="1924" spans="1:8">
      <c r="A1924" s="24"/>
      <c r="B1924" s="19"/>
      <c r="C1924" s="25">
        <f>IF(D1924="","",D1924/48)</f>
        <v>0</v>
      </c>
      <c r="D1924" s="26">
        <f>IF(A1924="","",ROUND((A1924-cfgDefasagem/1440)*48,0))</f>
        <v>0</v>
      </c>
      <c r="E1924" s="26">
        <f>IF(D1924="","",INT((D1924-cfgDeslocamento)/4))</f>
        <v>0</v>
      </c>
      <c r="F1924" s="26">
        <f>IF(D1924="","",MOD(D1924-cfgDeslocamento,4)+1)</f>
        <v>0</v>
      </c>
      <c r="G1924" s="26">
        <f>IF(A1924="","",IF(AND(ISNUMBER(B1924),B1924&lt;&gt;0),1,0))</f>
        <v>0</v>
      </c>
      <c r="H1924" s="25">
        <f>IF(E1924="","",(E1924*4+3+cfgDeslocamento)/48)</f>
        <v>0</v>
      </c>
    </row>
    <row r="1925" spans="1:8">
      <c r="A1925" s="24"/>
      <c r="B1925" s="19"/>
      <c r="C1925" s="25">
        <f>IF(D1925="","",D1925/48)</f>
        <v>0</v>
      </c>
      <c r="D1925" s="26">
        <f>IF(A1925="","",ROUND((A1925-cfgDefasagem/1440)*48,0))</f>
        <v>0</v>
      </c>
      <c r="E1925" s="26">
        <f>IF(D1925="","",INT((D1925-cfgDeslocamento)/4))</f>
        <v>0</v>
      </c>
      <c r="F1925" s="26">
        <f>IF(D1925="","",MOD(D1925-cfgDeslocamento,4)+1)</f>
        <v>0</v>
      </c>
      <c r="G1925" s="26">
        <f>IF(A1925="","",IF(AND(ISNUMBER(B1925),B1925&lt;&gt;0),1,0))</f>
        <v>0</v>
      </c>
      <c r="H1925" s="25">
        <f>IF(E1925="","",(E1925*4+3+cfgDeslocamento)/48)</f>
        <v>0</v>
      </c>
    </row>
    <row r="1926" spans="1:8">
      <c r="A1926" s="24"/>
      <c r="B1926" s="19"/>
      <c r="C1926" s="25">
        <f>IF(D1926="","",D1926/48)</f>
        <v>0</v>
      </c>
      <c r="D1926" s="26">
        <f>IF(A1926="","",ROUND((A1926-cfgDefasagem/1440)*48,0))</f>
        <v>0</v>
      </c>
      <c r="E1926" s="26">
        <f>IF(D1926="","",INT((D1926-cfgDeslocamento)/4))</f>
        <v>0</v>
      </c>
      <c r="F1926" s="26">
        <f>IF(D1926="","",MOD(D1926-cfgDeslocamento,4)+1)</f>
        <v>0</v>
      </c>
      <c r="G1926" s="26">
        <f>IF(A1926="","",IF(AND(ISNUMBER(B1926),B1926&lt;&gt;0),1,0))</f>
        <v>0</v>
      </c>
      <c r="H1926" s="25">
        <f>IF(E1926="","",(E1926*4+3+cfgDeslocamento)/48)</f>
        <v>0</v>
      </c>
    </row>
    <row r="1927" spans="1:8">
      <c r="A1927" s="24"/>
      <c r="B1927" s="19"/>
      <c r="C1927" s="25">
        <f>IF(D1927="","",D1927/48)</f>
        <v>0</v>
      </c>
      <c r="D1927" s="26">
        <f>IF(A1927="","",ROUND((A1927-cfgDefasagem/1440)*48,0))</f>
        <v>0</v>
      </c>
      <c r="E1927" s="26">
        <f>IF(D1927="","",INT((D1927-cfgDeslocamento)/4))</f>
        <v>0</v>
      </c>
      <c r="F1927" s="26">
        <f>IF(D1927="","",MOD(D1927-cfgDeslocamento,4)+1)</f>
        <v>0</v>
      </c>
      <c r="G1927" s="26">
        <f>IF(A1927="","",IF(AND(ISNUMBER(B1927),B1927&lt;&gt;0),1,0))</f>
        <v>0</v>
      </c>
      <c r="H1927" s="25">
        <f>IF(E1927="","",(E1927*4+3+cfgDeslocamento)/48)</f>
        <v>0</v>
      </c>
    </row>
    <row r="1928" spans="1:8">
      <c r="A1928" s="24"/>
      <c r="B1928" s="19"/>
      <c r="C1928" s="25">
        <f>IF(D1928="","",D1928/48)</f>
        <v>0</v>
      </c>
      <c r="D1928" s="26">
        <f>IF(A1928="","",ROUND((A1928-cfgDefasagem/1440)*48,0))</f>
        <v>0</v>
      </c>
      <c r="E1928" s="26">
        <f>IF(D1928="","",INT((D1928-cfgDeslocamento)/4))</f>
        <v>0</v>
      </c>
      <c r="F1928" s="26">
        <f>IF(D1928="","",MOD(D1928-cfgDeslocamento,4)+1)</f>
        <v>0</v>
      </c>
      <c r="G1928" s="26">
        <f>IF(A1928="","",IF(AND(ISNUMBER(B1928),B1928&lt;&gt;0),1,0))</f>
        <v>0</v>
      </c>
      <c r="H1928" s="25">
        <f>IF(E1928="","",(E1928*4+3+cfgDeslocamento)/48)</f>
        <v>0</v>
      </c>
    </row>
    <row r="1929" spans="1:8">
      <c r="A1929" s="24"/>
      <c r="B1929" s="19"/>
      <c r="C1929" s="25">
        <f>IF(D1929="","",D1929/48)</f>
        <v>0</v>
      </c>
      <c r="D1929" s="26">
        <f>IF(A1929="","",ROUND((A1929-cfgDefasagem/1440)*48,0))</f>
        <v>0</v>
      </c>
      <c r="E1929" s="26">
        <f>IF(D1929="","",INT((D1929-cfgDeslocamento)/4))</f>
        <v>0</v>
      </c>
      <c r="F1929" s="26">
        <f>IF(D1929="","",MOD(D1929-cfgDeslocamento,4)+1)</f>
        <v>0</v>
      </c>
      <c r="G1929" s="26">
        <f>IF(A1929="","",IF(AND(ISNUMBER(B1929),B1929&lt;&gt;0),1,0))</f>
        <v>0</v>
      </c>
      <c r="H1929" s="25">
        <f>IF(E1929="","",(E1929*4+3+cfgDeslocamento)/48)</f>
        <v>0</v>
      </c>
    </row>
    <row r="1930" spans="1:8">
      <c r="A1930" s="24"/>
      <c r="B1930" s="19"/>
      <c r="C1930" s="25">
        <f>IF(D1930="","",D1930/48)</f>
        <v>0</v>
      </c>
      <c r="D1930" s="26">
        <f>IF(A1930="","",ROUND((A1930-cfgDefasagem/1440)*48,0))</f>
        <v>0</v>
      </c>
      <c r="E1930" s="26">
        <f>IF(D1930="","",INT((D1930-cfgDeslocamento)/4))</f>
        <v>0</v>
      </c>
      <c r="F1930" s="26">
        <f>IF(D1930="","",MOD(D1930-cfgDeslocamento,4)+1)</f>
        <v>0</v>
      </c>
      <c r="G1930" s="26">
        <f>IF(A1930="","",IF(AND(ISNUMBER(B1930),B1930&lt;&gt;0),1,0))</f>
        <v>0</v>
      </c>
      <c r="H1930" s="25">
        <f>IF(E1930="","",(E1930*4+3+cfgDeslocamento)/48)</f>
        <v>0</v>
      </c>
    </row>
    <row r="1931" spans="1:8">
      <c r="A1931" s="24"/>
      <c r="B1931" s="19"/>
      <c r="C1931" s="25">
        <f>IF(D1931="","",D1931/48)</f>
        <v>0</v>
      </c>
      <c r="D1931" s="26">
        <f>IF(A1931="","",ROUND((A1931-cfgDefasagem/1440)*48,0))</f>
        <v>0</v>
      </c>
      <c r="E1931" s="26">
        <f>IF(D1931="","",INT((D1931-cfgDeslocamento)/4))</f>
        <v>0</v>
      </c>
      <c r="F1931" s="26">
        <f>IF(D1931="","",MOD(D1931-cfgDeslocamento,4)+1)</f>
        <v>0</v>
      </c>
      <c r="G1931" s="26">
        <f>IF(A1931="","",IF(AND(ISNUMBER(B1931),B1931&lt;&gt;0),1,0))</f>
        <v>0</v>
      </c>
      <c r="H1931" s="25">
        <f>IF(E1931="","",(E1931*4+3+cfgDeslocamento)/48)</f>
        <v>0</v>
      </c>
    </row>
    <row r="1932" spans="1:8">
      <c r="A1932" s="24"/>
      <c r="B1932" s="19"/>
      <c r="C1932" s="25">
        <f>IF(D1932="","",D1932/48)</f>
        <v>0</v>
      </c>
      <c r="D1932" s="26">
        <f>IF(A1932="","",ROUND((A1932-cfgDefasagem/1440)*48,0))</f>
        <v>0</v>
      </c>
      <c r="E1932" s="26">
        <f>IF(D1932="","",INT((D1932-cfgDeslocamento)/4))</f>
        <v>0</v>
      </c>
      <c r="F1932" s="26">
        <f>IF(D1932="","",MOD(D1932-cfgDeslocamento,4)+1)</f>
        <v>0</v>
      </c>
      <c r="G1932" s="26">
        <f>IF(A1932="","",IF(AND(ISNUMBER(B1932),B1932&lt;&gt;0),1,0))</f>
        <v>0</v>
      </c>
      <c r="H1932" s="25">
        <f>IF(E1932="","",(E1932*4+3+cfgDeslocamento)/48)</f>
        <v>0</v>
      </c>
    </row>
    <row r="1933" spans="1:8">
      <c r="A1933" s="24"/>
      <c r="B1933" s="19"/>
      <c r="C1933" s="25">
        <f>IF(D1933="","",D1933/48)</f>
        <v>0</v>
      </c>
      <c r="D1933" s="26">
        <f>IF(A1933="","",ROUND((A1933-cfgDefasagem/1440)*48,0))</f>
        <v>0</v>
      </c>
      <c r="E1933" s="26">
        <f>IF(D1933="","",INT((D1933-cfgDeslocamento)/4))</f>
        <v>0</v>
      </c>
      <c r="F1933" s="26">
        <f>IF(D1933="","",MOD(D1933-cfgDeslocamento,4)+1)</f>
        <v>0</v>
      </c>
      <c r="G1933" s="26">
        <f>IF(A1933="","",IF(AND(ISNUMBER(B1933),B1933&lt;&gt;0),1,0))</f>
        <v>0</v>
      </c>
      <c r="H1933" s="25">
        <f>IF(E1933="","",(E1933*4+3+cfgDeslocamento)/48)</f>
        <v>0</v>
      </c>
    </row>
    <row r="1934" spans="1:8">
      <c r="A1934" s="24"/>
      <c r="B1934" s="19"/>
      <c r="C1934" s="25">
        <f>IF(D1934="","",D1934/48)</f>
        <v>0</v>
      </c>
      <c r="D1934" s="26">
        <f>IF(A1934="","",ROUND((A1934-cfgDefasagem/1440)*48,0))</f>
        <v>0</v>
      </c>
      <c r="E1934" s="26">
        <f>IF(D1934="","",INT((D1934-cfgDeslocamento)/4))</f>
        <v>0</v>
      </c>
      <c r="F1934" s="26">
        <f>IF(D1934="","",MOD(D1934-cfgDeslocamento,4)+1)</f>
        <v>0</v>
      </c>
      <c r="G1934" s="26">
        <f>IF(A1934="","",IF(AND(ISNUMBER(B1934),B1934&lt;&gt;0),1,0))</f>
        <v>0</v>
      </c>
      <c r="H1934" s="25">
        <f>IF(E1934="","",(E1934*4+3+cfgDeslocamento)/48)</f>
        <v>0</v>
      </c>
    </row>
    <row r="1935" spans="1:8">
      <c r="A1935" s="24"/>
      <c r="B1935" s="19"/>
      <c r="C1935" s="25">
        <f>IF(D1935="","",D1935/48)</f>
        <v>0</v>
      </c>
      <c r="D1935" s="26">
        <f>IF(A1935="","",ROUND((A1935-cfgDefasagem/1440)*48,0))</f>
        <v>0</v>
      </c>
      <c r="E1935" s="26">
        <f>IF(D1935="","",INT((D1935-cfgDeslocamento)/4))</f>
        <v>0</v>
      </c>
      <c r="F1935" s="26">
        <f>IF(D1935="","",MOD(D1935-cfgDeslocamento,4)+1)</f>
        <v>0</v>
      </c>
      <c r="G1935" s="26">
        <f>IF(A1935="","",IF(AND(ISNUMBER(B1935),B1935&lt;&gt;0),1,0))</f>
        <v>0</v>
      </c>
      <c r="H1935" s="25">
        <f>IF(E1935="","",(E1935*4+3+cfgDeslocamento)/48)</f>
        <v>0</v>
      </c>
    </row>
    <row r="1936" spans="1:8">
      <c r="A1936" s="24"/>
      <c r="B1936" s="19"/>
      <c r="C1936" s="25">
        <f>IF(D1936="","",D1936/48)</f>
        <v>0</v>
      </c>
      <c r="D1936" s="26">
        <f>IF(A1936="","",ROUND((A1936-cfgDefasagem/1440)*48,0))</f>
        <v>0</v>
      </c>
      <c r="E1936" s="26">
        <f>IF(D1936="","",INT((D1936-cfgDeslocamento)/4))</f>
        <v>0</v>
      </c>
      <c r="F1936" s="26">
        <f>IF(D1936="","",MOD(D1936-cfgDeslocamento,4)+1)</f>
        <v>0</v>
      </c>
      <c r="G1936" s="26">
        <f>IF(A1936="","",IF(AND(ISNUMBER(B1936),B1936&lt;&gt;0),1,0))</f>
        <v>0</v>
      </c>
      <c r="H1936" s="25">
        <f>IF(E1936="","",(E1936*4+3+cfgDeslocamento)/48)</f>
        <v>0</v>
      </c>
    </row>
    <row r="1937" spans="1:8">
      <c r="A1937" s="24"/>
      <c r="B1937" s="19"/>
      <c r="C1937" s="25">
        <f>IF(D1937="","",D1937/48)</f>
        <v>0</v>
      </c>
      <c r="D1937" s="26">
        <f>IF(A1937="","",ROUND((A1937-cfgDefasagem/1440)*48,0))</f>
        <v>0</v>
      </c>
      <c r="E1937" s="26">
        <f>IF(D1937="","",INT((D1937-cfgDeslocamento)/4))</f>
        <v>0</v>
      </c>
      <c r="F1937" s="26">
        <f>IF(D1937="","",MOD(D1937-cfgDeslocamento,4)+1)</f>
        <v>0</v>
      </c>
      <c r="G1937" s="26">
        <f>IF(A1937="","",IF(AND(ISNUMBER(B1937),B1937&lt;&gt;0),1,0))</f>
        <v>0</v>
      </c>
      <c r="H1937" s="25">
        <f>IF(E1937="","",(E1937*4+3+cfgDeslocamento)/48)</f>
        <v>0</v>
      </c>
    </row>
    <row r="1938" spans="1:8">
      <c r="A1938" s="24"/>
      <c r="B1938" s="19"/>
      <c r="C1938" s="25">
        <f>IF(D1938="","",D1938/48)</f>
        <v>0</v>
      </c>
      <c r="D1938" s="26">
        <f>IF(A1938="","",ROUND((A1938-cfgDefasagem/1440)*48,0))</f>
        <v>0</v>
      </c>
      <c r="E1938" s="26">
        <f>IF(D1938="","",INT((D1938-cfgDeslocamento)/4))</f>
        <v>0</v>
      </c>
      <c r="F1938" s="26">
        <f>IF(D1938="","",MOD(D1938-cfgDeslocamento,4)+1)</f>
        <v>0</v>
      </c>
      <c r="G1938" s="26">
        <f>IF(A1938="","",IF(AND(ISNUMBER(B1938),B1938&lt;&gt;0),1,0))</f>
        <v>0</v>
      </c>
      <c r="H1938" s="25">
        <f>IF(E1938="","",(E1938*4+3+cfgDeslocamento)/48)</f>
        <v>0</v>
      </c>
    </row>
    <row r="1939" spans="1:8">
      <c r="A1939" s="24"/>
      <c r="B1939" s="19"/>
      <c r="C1939" s="25">
        <f>IF(D1939="","",D1939/48)</f>
        <v>0</v>
      </c>
      <c r="D1939" s="26">
        <f>IF(A1939="","",ROUND((A1939-cfgDefasagem/1440)*48,0))</f>
        <v>0</v>
      </c>
      <c r="E1939" s="26">
        <f>IF(D1939="","",INT((D1939-cfgDeslocamento)/4))</f>
        <v>0</v>
      </c>
      <c r="F1939" s="26">
        <f>IF(D1939="","",MOD(D1939-cfgDeslocamento,4)+1)</f>
        <v>0</v>
      </c>
      <c r="G1939" s="26">
        <f>IF(A1939="","",IF(AND(ISNUMBER(B1939),B1939&lt;&gt;0),1,0))</f>
        <v>0</v>
      </c>
      <c r="H1939" s="25">
        <f>IF(E1939="","",(E1939*4+3+cfgDeslocamento)/48)</f>
        <v>0</v>
      </c>
    </row>
    <row r="1940" spans="1:8">
      <c r="A1940" s="24"/>
      <c r="B1940" s="19"/>
      <c r="C1940" s="25">
        <f>IF(D1940="","",D1940/48)</f>
        <v>0</v>
      </c>
      <c r="D1940" s="26">
        <f>IF(A1940="","",ROUND((A1940-cfgDefasagem/1440)*48,0))</f>
        <v>0</v>
      </c>
      <c r="E1940" s="26">
        <f>IF(D1940="","",INT((D1940-cfgDeslocamento)/4))</f>
        <v>0</v>
      </c>
      <c r="F1940" s="26">
        <f>IF(D1940="","",MOD(D1940-cfgDeslocamento,4)+1)</f>
        <v>0</v>
      </c>
      <c r="G1940" s="26">
        <f>IF(A1940="","",IF(AND(ISNUMBER(B1940),B1940&lt;&gt;0),1,0))</f>
        <v>0</v>
      </c>
      <c r="H1940" s="25">
        <f>IF(E1940="","",(E1940*4+3+cfgDeslocamento)/48)</f>
        <v>0</v>
      </c>
    </row>
    <row r="1941" spans="1:8">
      <c r="A1941" s="24"/>
      <c r="B1941" s="19"/>
      <c r="C1941" s="25">
        <f>IF(D1941="","",D1941/48)</f>
        <v>0</v>
      </c>
      <c r="D1941" s="26">
        <f>IF(A1941="","",ROUND((A1941-cfgDefasagem/1440)*48,0))</f>
        <v>0</v>
      </c>
      <c r="E1941" s="26">
        <f>IF(D1941="","",INT((D1941-cfgDeslocamento)/4))</f>
        <v>0</v>
      </c>
      <c r="F1941" s="26">
        <f>IF(D1941="","",MOD(D1941-cfgDeslocamento,4)+1)</f>
        <v>0</v>
      </c>
      <c r="G1941" s="26">
        <f>IF(A1941="","",IF(AND(ISNUMBER(B1941),B1941&lt;&gt;0),1,0))</f>
        <v>0</v>
      </c>
      <c r="H1941" s="25">
        <f>IF(E1941="","",(E1941*4+3+cfgDeslocamento)/48)</f>
        <v>0</v>
      </c>
    </row>
    <row r="1942" spans="1:8">
      <c r="A1942" s="24"/>
      <c r="B1942" s="19"/>
      <c r="C1942" s="25">
        <f>IF(D1942="","",D1942/48)</f>
        <v>0</v>
      </c>
      <c r="D1942" s="26">
        <f>IF(A1942="","",ROUND((A1942-cfgDefasagem/1440)*48,0))</f>
        <v>0</v>
      </c>
      <c r="E1942" s="26">
        <f>IF(D1942="","",INT((D1942-cfgDeslocamento)/4))</f>
        <v>0</v>
      </c>
      <c r="F1942" s="26">
        <f>IF(D1942="","",MOD(D1942-cfgDeslocamento,4)+1)</f>
        <v>0</v>
      </c>
      <c r="G1942" s="26">
        <f>IF(A1942="","",IF(AND(ISNUMBER(B1942),B1942&lt;&gt;0),1,0))</f>
        <v>0</v>
      </c>
      <c r="H1942" s="25">
        <f>IF(E1942="","",(E1942*4+3+cfgDeslocamento)/48)</f>
        <v>0</v>
      </c>
    </row>
    <row r="1943" spans="1:8">
      <c r="A1943" s="24"/>
      <c r="B1943" s="19"/>
      <c r="C1943" s="25">
        <f>IF(D1943="","",D1943/48)</f>
        <v>0</v>
      </c>
      <c r="D1943" s="26">
        <f>IF(A1943="","",ROUND((A1943-cfgDefasagem/1440)*48,0))</f>
        <v>0</v>
      </c>
      <c r="E1943" s="26">
        <f>IF(D1943="","",INT((D1943-cfgDeslocamento)/4))</f>
        <v>0</v>
      </c>
      <c r="F1943" s="26">
        <f>IF(D1943="","",MOD(D1943-cfgDeslocamento,4)+1)</f>
        <v>0</v>
      </c>
      <c r="G1943" s="26">
        <f>IF(A1943="","",IF(AND(ISNUMBER(B1943),B1943&lt;&gt;0),1,0))</f>
        <v>0</v>
      </c>
      <c r="H1943" s="25">
        <f>IF(E1943="","",(E1943*4+3+cfgDeslocamento)/48)</f>
        <v>0</v>
      </c>
    </row>
    <row r="1944" spans="1:8">
      <c r="A1944" s="24"/>
      <c r="B1944" s="19"/>
      <c r="C1944" s="25">
        <f>IF(D1944="","",D1944/48)</f>
        <v>0</v>
      </c>
      <c r="D1944" s="26">
        <f>IF(A1944="","",ROUND((A1944-cfgDefasagem/1440)*48,0))</f>
        <v>0</v>
      </c>
      <c r="E1944" s="26">
        <f>IF(D1944="","",INT((D1944-cfgDeslocamento)/4))</f>
        <v>0</v>
      </c>
      <c r="F1944" s="26">
        <f>IF(D1944="","",MOD(D1944-cfgDeslocamento,4)+1)</f>
        <v>0</v>
      </c>
      <c r="G1944" s="26">
        <f>IF(A1944="","",IF(AND(ISNUMBER(B1944),B1944&lt;&gt;0),1,0))</f>
        <v>0</v>
      </c>
      <c r="H1944" s="25">
        <f>IF(E1944="","",(E1944*4+3+cfgDeslocamento)/48)</f>
        <v>0</v>
      </c>
    </row>
    <row r="1945" spans="1:8">
      <c r="A1945" s="24"/>
      <c r="B1945" s="19"/>
      <c r="C1945" s="25">
        <f>IF(D1945="","",D1945/48)</f>
        <v>0</v>
      </c>
      <c r="D1945" s="26">
        <f>IF(A1945="","",ROUND((A1945-cfgDefasagem/1440)*48,0))</f>
        <v>0</v>
      </c>
      <c r="E1945" s="26">
        <f>IF(D1945="","",INT((D1945-cfgDeslocamento)/4))</f>
        <v>0</v>
      </c>
      <c r="F1945" s="26">
        <f>IF(D1945="","",MOD(D1945-cfgDeslocamento,4)+1)</f>
        <v>0</v>
      </c>
      <c r="G1945" s="26">
        <f>IF(A1945="","",IF(AND(ISNUMBER(B1945),B1945&lt;&gt;0),1,0))</f>
        <v>0</v>
      </c>
      <c r="H1945" s="25">
        <f>IF(E1945="","",(E1945*4+3+cfgDeslocamento)/48)</f>
        <v>0</v>
      </c>
    </row>
    <row r="1946" spans="1:8">
      <c r="A1946" s="24"/>
      <c r="B1946" s="19"/>
      <c r="C1946" s="25">
        <f>IF(D1946="","",D1946/48)</f>
        <v>0</v>
      </c>
      <c r="D1946" s="26">
        <f>IF(A1946="","",ROUND((A1946-cfgDefasagem/1440)*48,0))</f>
        <v>0</v>
      </c>
      <c r="E1946" s="26">
        <f>IF(D1946="","",INT((D1946-cfgDeslocamento)/4))</f>
        <v>0</v>
      </c>
      <c r="F1946" s="26">
        <f>IF(D1946="","",MOD(D1946-cfgDeslocamento,4)+1)</f>
        <v>0</v>
      </c>
      <c r="G1946" s="26">
        <f>IF(A1946="","",IF(AND(ISNUMBER(B1946),B1946&lt;&gt;0),1,0))</f>
        <v>0</v>
      </c>
      <c r="H1946" s="25">
        <f>IF(E1946="","",(E1946*4+3+cfgDeslocamento)/48)</f>
        <v>0</v>
      </c>
    </row>
    <row r="1947" spans="1:8">
      <c r="A1947" s="24"/>
      <c r="B1947" s="19"/>
      <c r="C1947" s="25">
        <f>IF(D1947="","",D1947/48)</f>
        <v>0</v>
      </c>
      <c r="D1947" s="26">
        <f>IF(A1947="","",ROUND((A1947-cfgDefasagem/1440)*48,0))</f>
        <v>0</v>
      </c>
      <c r="E1947" s="26">
        <f>IF(D1947="","",INT((D1947-cfgDeslocamento)/4))</f>
        <v>0</v>
      </c>
      <c r="F1947" s="26">
        <f>IF(D1947="","",MOD(D1947-cfgDeslocamento,4)+1)</f>
        <v>0</v>
      </c>
      <c r="G1947" s="26">
        <f>IF(A1947="","",IF(AND(ISNUMBER(B1947),B1947&lt;&gt;0),1,0))</f>
        <v>0</v>
      </c>
      <c r="H1947" s="25">
        <f>IF(E1947="","",(E1947*4+3+cfgDeslocamento)/48)</f>
        <v>0</v>
      </c>
    </row>
    <row r="1948" spans="1:8">
      <c r="A1948" s="24"/>
      <c r="B1948" s="19"/>
      <c r="C1948" s="25">
        <f>IF(D1948="","",D1948/48)</f>
        <v>0</v>
      </c>
      <c r="D1948" s="26">
        <f>IF(A1948="","",ROUND((A1948-cfgDefasagem/1440)*48,0))</f>
        <v>0</v>
      </c>
      <c r="E1948" s="26">
        <f>IF(D1948="","",INT((D1948-cfgDeslocamento)/4))</f>
        <v>0</v>
      </c>
      <c r="F1948" s="26">
        <f>IF(D1948="","",MOD(D1948-cfgDeslocamento,4)+1)</f>
        <v>0</v>
      </c>
      <c r="G1948" s="26">
        <f>IF(A1948="","",IF(AND(ISNUMBER(B1948),B1948&lt;&gt;0),1,0))</f>
        <v>0</v>
      </c>
      <c r="H1948" s="25">
        <f>IF(E1948="","",(E1948*4+3+cfgDeslocamento)/48)</f>
        <v>0</v>
      </c>
    </row>
    <row r="1949" spans="1:8">
      <c r="A1949" s="24"/>
      <c r="B1949" s="19"/>
      <c r="C1949" s="25">
        <f>IF(D1949="","",D1949/48)</f>
        <v>0</v>
      </c>
      <c r="D1949" s="26">
        <f>IF(A1949="","",ROUND((A1949-cfgDefasagem/1440)*48,0))</f>
        <v>0</v>
      </c>
      <c r="E1949" s="26">
        <f>IF(D1949="","",INT((D1949-cfgDeslocamento)/4))</f>
        <v>0</v>
      </c>
      <c r="F1949" s="26">
        <f>IF(D1949="","",MOD(D1949-cfgDeslocamento,4)+1)</f>
        <v>0</v>
      </c>
      <c r="G1949" s="26">
        <f>IF(A1949="","",IF(AND(ISNUMBER(B1949),B1949&lt;&gt;0),1,0))</f>
        <v>0</v>
      </c>
      <c r="H1949" s="25">
        <f>IF(E1949="","",(E1949*4+3+cfgDeslocamento)/48)</f>
        <v>0</v>
      </c>
    </row>
    <row r="1950" spans="1:8">
      <c r="A1950" s="24"/>
      <c r="B1950" s="19"/>
      <c r="C1950" s="25">
        <f>IF(D1950="","",D1950/48)</f>
        <v>0</v>
      </c>
      <c r="D1950" s="26">
        <f>IF(A1950="","",ROUND((A1950-cfgDefasagem/1440)*48,0))</f>
        <v>0</v>
      </c>
      <c r="E1950" s="26">
        <f>IF(D1950="","",INT((D1950-cfgDeslocamento)/4))</f>
        <v>0</v>
      </c>
      <c r="F1950" s="26">
        <f>IF(D1950="","",MOD(D1950-cfgDeslocamento,4)+1)</f>
        <v>0</v>
      </c>
      <c r="G1950" s="26">
        <f>IF(A1950="","",IF(AND(ISNUMBER(B1950),B1950&lt;&gt;0),1,0))</f>
        <v>0</v>
      </c>
      <c r="H1950" s="25">
        <f>IF(E1950="","",(E1950*4+3+cfgDeslocamento)/48)</f>
        <v>0</v>
      </c>
    </row>
    <row r="1951" spans="1:8">
      <c r="A1951" s="24"/>
      <c r="B1951" s="19"/>
      <c r="C1951" s="25">
        <f>IF(D1951="","",D1951/48)</f>
        <v>0</v>
      </c>
      <c r="D1951" s="26">
        <f>IF(A1951="","",ROUND((A1951-cfgDefasagem/1440)*48,0))</f>
        <v>0</v>
      </c>
      <c r="E1951" s="26">
        <f>IF(D1951="","",INT((D1951-cfgDeslocamento)/4))</f>
        <v>0</v>
      </c>
      <c r="F1951" s="26">
        <f>IF(D1951="","",MOD(D1951-cfgDeslocamento,4)+1)</f>
        <v>0</v>
      </c>
      <c r="G1951" s="26">
        <f>IF(A1951="","",IF(AND(ISNUMBER(B1951),B1951&lt;&gt;0),1,0))</f>
        <v>0</v>
      </c>
      <c r="H1951" s="25">
        <f>IF(E1951="","",(E1951*4+3+cfgDeslocamento)/48)</f>
        <v>0</v>
      </c>
    </row>
    <row r="1952" spans="1:8">
      <c r="A1952" s="24"/>
      <c r="B1952" s="19"/>
      <c r="C1952" s="25">
        <f>IF(D1952="","",D1952/48)</f>
        <v>0</v>
      </c>
      <c r="D1952" s="26">
        <f>IF(A1952="","",ROUND((A1952-cfgDefasagem/1440)*48,0))</f>
        <v>0</v>
      </c>
      <c r="E1952" s="26">
        <f>IF(D1952="","",INT((D1952-cfgDeslocamento)/4))</f>
        <v>0</v>
      </c>
      <c r="F1952" s="26">
        <f>IF(D1952="","",MOD(D1952-cfgDeslocamento,4)+1)</f>
        <v>0</v>
      </c>
      <c r="G1952" s="26">
        <f>IF(A1952="","",IF(AND(ISNUMBER(B1952),B1952&lt;&gt;0),1,0))</f>
        <v>0</v>
      </c>
      <c r="H1952" s="25">
        <f>IF(E1952="","",(E1952*4+3+cfgDeslocamento)/48)</f>
        <v>0</v>
      </c>
    </row>
    <row r="1953" spans="1:8">
      <c r="A1953" s="24"/>
      <c r="B1953" s="19"/>
      <c r="C1953" s="25">
        <f>IF(D1953="","",D1953/48)</f>
        <v>0</v>
      </c>
      <c r="D1953" s="26">
        <f>IF(A1953="","",ROUND((A1953-cfgDefasagem/1440)*48,0))</f>
        <v>0</v>
      </c>
      <c r="E1953" s="26">
        <f>IF(D1953="","",INT((D1953-cfgDeslocamento)/4))</f>
        <v>0</v>
      </c>
      <c r="F1953" s="26">
        <f>IF(D1953="","",MOD(D1953-cfgDeslocamento,4)+1)</f>
        <v>0</v>
      </c>
      <c r="G1953" s="26">
        <f>IF(A1953="","",IF(AND(ISNUMBER(B1953),B1953&lt;&gt;0),1,0))</f>
        <v>0</v>
      </c>
      <c r="H1953" s="25">
        <f>IF(E1953="","",(E1953*4+3+cfgDeslocamento)/48)</f>
        <v>0</v>
      </c>
    </row>
    <row r="1954" spans="1:8">
      <c r="A1954" s="24"/>
      <c r="B1954" s="19"/>
      <c r="C1954" s="25">
        <f>IF(D1954="","",D1954/48)</f>
        <v>0</v>
      </c>
      <c r="D1954" s="26">
        <f>IF(A1954="","",ROUND((A1954-cfgDefasagem/1440)*48,0))</f>
        <v>0</v>
      </c>
      <c r="E1954" s="26">
        <f>IF(D1954="","",INT((D1954-cfgDeslocamento)/4))</f>
        <v>0</v>
      </c>
      <c r="F1954" s="26">
        <f>IF(D1954="","",MOD(D1954-cfgDeslocamento,4)+1)</f>
        <v>0</v>
      </c>
      <c r="G1954" s="26">
        <f>IF(A1954="","",IF(AND(ISNUMBER(B1954),B1954&lt;&gt;0),1,0))</f>
        <v>0</v>
      </c>
      <c r="H1954" s="25">
        <f>IF(E1954="","",(E1954*4+3+cfgDeslocamento)/48)</f>
        <v>0</v>
      </c>
    </row>
    <row r="1955" spans="1:8">
      <c r="A1955" s="24"/>
      <c r="B1955" s="19"/>
      <c r="C1955" s="25">
        <f>IF(D1955="","",D1955/48)</f>
        <v>0</v>
      </c>
      <c r="D1955" s="26">
        <f>IF(A1955="","",ROUND((A1955-cfgDefasagem/1440)*48,0))</f>
        <v>0</v>
      </c>
      <c r="E1955" s="26">
        <f>IF(D1955="","",INT((D1955-cfgDeslocamento)/4))</f>
        <v>0</v>
      </c>
      <c r="F1955" s="26">
        <f>IF(D1955="","",MOD(D1955-cfgDeslocamento,4)+1)</f>
        <v>0</v>
      </c>
      <c r="G1955" s="26">
        <f>IF(A1955="","",IF(AND(ISNUMBER(B1955),B1955&lt;&gt;0),1,0))</f>
        <v>0</v>
      </c>
      <c r="H1955" s="25">
        <f>IF(E1955="","",(E1955*4+3+cfgDeslocamento)/48)</f>
        <v>0</v>
      </c>
    </row>
    <row r="1956" spans="1:8">
      <c r="A1956" s="24"/>
      <c r="B1956" s="19"/>
      <c r="C1956" s="25">
        <f>IF(D1956="","",D1956/48)</f>
        <v>0</v>
      </c>
      <c r="D1956" s="26">
        <f>IF(A1956="","",ROUND((A1956-cfgDefasagem/1440)*48,0))</f>
        <v>0</v>
      </c>
      <c r="E1956" s="26">
        <f>IF(D1956="","",INT((D1956-cfgDeslocamento)/4))</f>
        <v>0</v>
      </c>
      <c r="F1956" s="26">
        <f>IF(D1956="","",MOD(D1956-cfgDeslocamento,4)+1)</f>
        <v>0</v>
      </c>
      <c r="G1956" s="26">
        <f>IF(A1956="","",IF(AND(ISNUMBER(B1956),B1956&lt;&gt;0),1,0))</f>
        <v>0</v>
      </c>
      <c r="H1956" s="25">
        <f>IF(E1956="","",(E1956*4+3+cfgDeslocamento)/48)</f>
        <v>0</v>
      </c>
    </row>
    <row r="1957" spans="1:8">
      <c r="A1957" s="24"/>
      <c r="B1957" s="19"/>
      <c r="C1957" s="25">
        <f>IF(D1957="","",D1957/48)</f>
        <v>0</v>
      </c>
      <c r="D1957" s="26">
        <f>IF(A1957="","",ROUND((A1957-cfgDefasagem/1440)*48,0))</f>
        <v>0</v>
      </c>
      <c r="E1957" s="26">
        <f>IF(D1957="","",INT((D1957-cfgDeslocamento)/4))</f>
        <v>0</v>
      </c>
      <c r="F1957" s="26">
        <f>IF(D1957="","",MOD(D1957-cfgDeslocamento,4)+1)</f>
        <v>0</v>
      </c>
      <c r="G1957" s="26">
        <f>IF(A1957="","",IF(AND(ISNUMBER(B1957),B1957&lt;&gt;0),1,0))</f>
        <v>0</v>
      </c>
      <c r="H1957" s="25">
        <f>IF(E1957="","",(E1957*4+3+cfgDeslocamento)/48)</f>
        <v>0</v>
      </c>
    </row>
    <row r="1958" spans="1:8">
      <c r="A1958" s="24"/>
      <c r="B1958" s="19"/>
      <c r="C1958" s="25">
        <f>IF(D1958="","",D1958/48)</f>
        <v>0</v>
      </c>
      <c r="D1958" s="26">
        <f>IF(A1958="","",ROUND((A1958-cfgDefasagem/1440)*48,0))</f>
        <v>0</v>
      </c>
      <c r="E1958" s="26">
        <f>IF(D1958="","",INT((D1958-cfgDeslocamento)/4))</f>
        <v>0</v>
      </c>
      <c r="F1958" s="26">
        <f>IF(D1958="","",MOD(D1958-cfgDeslocamento,4)+1)</f>
        <v>0</v>
      </c>
      <c r="G1958" s="26">
        <f>IF(A1958="","",IF(AND(ISNUMBER(B1958),B1958&lt;&gt;0),1,0))</f>
        <v>0</v>
      </c>
      <c r="H1958" s="25">
        <f>IF(E1958="","",(E1958*4+3+cfgDeslocamento)/48)</f>
        <v>0</v>
      </c>
    </row>
    <row r="1959" spans="1:8">
      <c r="A1959" s="24"/>
      <c r="B1959" s="19"/>
      <c r="C1959" s="25">
        <f>IF(D1959="","",D1959/48)</f>
        <v>0</v>
      </c>
      <c r="D1959" s="26">
        <f>IF(A1959="","",ROUND((A1959-cfgDefasagem/1440)*48,0))</f>
        <v>0</v>
      </c>
      <c r="E1959" s="26">
        <f>IF(D1959="","",INT((D1959-cfgDeslocamento)/4))</f>
        <v>0</v>
      </c>
      <c r="F1959" s="26">
        <f>IF(D1959="","",MOD(D1959-cfgDeslocamento,4)+1)</f>
        <v>0</v>
      </c>
      <c r="G1959" s="26">
        <f>IF(A1959="","",IF(AND(ISNUMBER(B1959),B1959&lt;&gt;0),1,0))</f>
        <v>0</v>
      </c>
      <c r="H1959" s="25">
        <f>IF(E1959="","",(E1959*4+3+cfgDeslocamento)/48)</f>
        <v>0</v>
      </c>
    </row>
    <row r="1960" spans="1:8">
      <c r="A1960" s="24"/>
      <c r="B1960" s="19"/>
      <c r="C1960" s="25">
        <f>IF(D1960="","",D1960/48)</f>
        <v>0</v>
      </c>
      <c r="D1960" s="26">
        <f>IF(A1960="","",ROUND((A1960-cfgDefasagem/1440)*48,0))</f>
        <v>0</v>
      </c>
      <c r="E1960" s="26">
        <f>IF(D1960="","",INT((D1960-cfgDeslocamento)/4))</f>
        <v>0</v>
      </c>
      <c r="F1960" s="26">
        <f>IF(D1960="","",MOD(D1960-cfgDeslocamento,4)+1)</f>
        <v>0</v>
      </c>
      <c r="G1960" s="26">
        <f>IF(A1960="","",IF(AND(ISNUMBER(B1960),B1960&lt;&gt;0),1,0))</f>
        <v>0</v>
      </c>
      <c r="H1960" s="25">
        <f>IF(E1960="","",(E1960*4+3+cfgDeslocamento)/48)</f>
        <v>0</v>
      </c>
    </row>
    <row r="1961" spans="1:8">
      <c r="A1961" s="24"/>
      <c r="B1961" s="19"/>
      <c r="C1961" s="25">
        <f>IF(D1961="","",D1961/48)</f>
        <v>0</v>
      </c>
      <c r="D1961" s="26">
        <f>IF(A1961="","",ROUND((A1961-cfgDefasagem/1440)*48,0))</f>
        <v>0</v>
      </c>
      <c r="E1961" s="26">
        <f>IF(D1961="","",INT((D1961-cfgDeslocamento)/4))</f>
        <v>0</v>
      </c>
      <c r="F1961" s="26">
        <f>IF(D1961="","",MOD(D1961-cfgDeslocamento,4)+1)</f>
        <v>0</v>
      </c>
      <c r="G1961" s="26">
        <f>IF(A1961="","",IF(AND(ISNUMBER(B1961),B1961&lt;&gt;0),1,0))</f>
        <v>0</v>
      </c>
      <c r="H1961" s="25">
        <f>IF(E1961="","",(E1961*4+3+cfgDeslocamento)/48)</f>
        <v>0</v>
      </c>
    </row>
    <row r="1962" spans="1:8">
      <c r="A1962" s="24"/>
      <c r="B1962" s="19"/>
      <c r="C1962" s="25">
        <f>IF(D1962="","",D1962/48)</f>
        <v>0</v>
      </c>
      <c r="D1962" s="26">
        <f>IF(A1962="","",ROUND((A1962-cfgDefasagem/1440)*48,0))</f>
        <v>0</v>
      </c>
      <c r="E1962" s="26">
        <f>IF(D1962="","",INT((D1962-cfgDeslocamento)/4))</f>
        <v>0</v>
      </c>
      <c r="F1962" s="26">
        <f>IF(D1962="","",MOD(D1962-cfgDeslocamento,4)+1)</f>
        <v>0</v>
      </c>
      <c r="G1962" s="26">
        <f>IF(A1962="","",IF(AND(ISNUMBER(B1962),B1962&lt;&gt;0),1,0))</f>
        <v>0</v>
      </c>
      <c r="H1962" s="25">
        <f>IF(E1962="","",(E1962*4+3+cfgDeslocamento)/48)</f>
        <v>0</v>
      </c>
    </row>
    <row r="1963" spans="1:8">
      <c r="A1963" s="24"/>
      <c r="B1963" s="19"/>
      <c r="C1963" s="25">
        <f>IF(D1963="","",D1963/48)</f>
        <v>0</v>
      </c>
      <c r="D1963" s="26">
        <f>IF(A1963="","",ROUND((A1963-cfgDefasagem/1440)*48,0))</f>
        <v>0</v>
      </c>
      <c r="E1963" s="26">
        <f>IF(D1963="","",INT((D1963-cfgDeslocamento)/4))</f>
        <v>0</v>
      </c>
      <c r="F1963" s="26">
        <f>IF(D1963="","",MOD(D1963-cfgDeslocamento,4)+1)</f>
        <v>0</v>
      </c>
      <c r="G1963" s="26">
        <f>IF(A1963="","",IF(AND(ISNUMBER(B1963),B1963&lt;&gt;0),1,0))</f>
        <v>0</v>
      </c>
      <c r="H1963" s="25">
        <f>IF(E1963="","",(E1963*4+3+cfgDeslocamento)/48)</f>
        <v>0</v>
      </c>
    </row>
    <row r="1964" spans="1:8">
      <c r="A1964" s="24"/>
      <c r="B1964" s="19"/>
      <c r="C1964" s="25">
        <f>IF(D1964="","",D1964/48)</f>
        <v>0</v>
      </c>
      <c r="D1964" s="26">
        <f>IF(A1964="","",ROUND((A1964-cfgDefasagem/1440)*48,0))</f>
        <v>0</v>
      </c>
      <c r="E1964" s="26">
        <f>IF(D1964="","",INT((D1964-cfgDeslocamento)/4))</f>
        <v>0</v>
      </c>
      <c r="F1964" s="26">
        <f>IF(D1964="","",MOD(D1964-cfgDeslocamento,4)+1)</f>
        <v>0</v>
      </c>
      <c r="G1964" s="26">
        <f>IF(A1964="","",IF(AND(ISNUMBER(B1964),B1964&lt;&gt;0),1,0))</f>
        <v>0</v>
      </c>
      <c r="H1964" s="25">
        <f>IF(E1964="","",(E1964*4+3+cfgDeslocamento)/48)</f>
        <v>0</v>
      </c>
    </row>
    <row r="1965" spans="1:8">
      <c r="A1965" s="24"/>
      <c r="B1965" s="19"/>
      <c r="C1965" s="25">
        <f>IF(D1965="","",D1965/48)</f>
        <v>0</v>
      </c>
      <c r="D1965" s="26">
        <f>IF(A1965="","",ROUND((A1965-cfgDefasagem/1440)*48,0))</f>
        <v>0</v>
      </c>
      <c r="E1965" s="26">
        <f>IF(D1965="","",INT((D1965-cfgDeslocamento)/4))</f>
        <v>0</v>
      </c>
      <c r="F1965" s="26">
        <f>IF(D1965="","",MOD(D1965-cfgDeslocamento,4)+1)</f>
        <v>0</v>
      </c>
      <c r="G1965" s="26">
        <f>IF(A1965="","",IF(AND(ISNUMBER(B1965),B1965&lt;&gt;0),1,0))</f>
        <v>0</v>
      </c>
      <c r="H1965" s="25">
        <f>IF(E1965="","",(E1965*4+3+cfgDeslocamento)/48)</f>
        <v>0</v>
      </c>
    </row>
    <row r="1966" spans="1:8">
      <c r="A1966" s="24"/>
      <c r="B1966" s="19"/>
      <c r="C1966" s="25">
        <f>IF(D1966="","",D1966/48)</f>
        <v>0</v>
      </c>
      <c r="D1966" s="26">
        <f>IF(A1966="","",ROUND((A1966-cfgDefasagem/1440)*48,0))</f>
        <v>0</v>
      </c>
      <c r="E1966" s="26">
        <f>IF(D1966="","",INT((D1966-cfgDeslocamento)/4))</f>
        <v>0</v>
      </c>
      <c r="F1966" s="26">
        <f>IF(D1966="","",MOD(D1966-cfgDeslocamento,4)+1)</f>
        <v>0</v>
      </c>
      <c r="G1966" s="26">
        <f>IF(A1966="","",IF(AND(ISNUMBER(B1966),B1966&lt;&gt;0),1,0))</f>
        <v>0</v>
      </c>
      <c r="H1966" s="25">
        <f>IF(E1966="","",(E1966*4+3+cfgDeslocamento)/48)</f>
        <v>0</v>
      </c>
    </row>
    <row r="1967" spans="1:8">
      <c r="A1967" s="24"/>
      <c r="B1967" s="19"/>
      <c r="C1967" s="25">
        <f>IF(D1967="","",D1967/48)</f>
        <v>0</v>
      </c>
      <c r="D1967" s="26">
        <f>IF(A1967="","",ROUND((A1967-cfgDefasagem/1440)*48,0))</f>
        <v>0</v>
      </c>
      <c r="E1967" s="26">
        <f>IF(D1967="","",INT((D1967-cfgDeslocamento)/4))</f>
        <v>0</v>
      </c>
      <c r="F1967" s="26">
        <f>IF(D1967="","",MOD(D1967-cfgDeslocamento,4)+1)</f>
        <v>0</v>
      </c>
      <c r="G1967" s="26">
        <f>IF(A1967="","",IF(AND(ISNUMBER(B1967),B1967&lt;&gt;0),1,0))</f>
        <v>0</v>
      </c>
      <c r="H1967" s="25">
        <f>IF(E1967="","",(E1967*4+3+cfgDeslocamento)/48)</f>
        <v>0</v>
      </c>
    </row>
    <row r="1968" spans="1:8">
      <c r="A1968" s="24"/>
      <c r="B1968" s="19"/>
      <c r="C1968" s="25">
        <f>IF(D1968="","",D1968/48)</f>
        <v>0</v>
      </c>
      <c r="D1968" s="26">
        <f>IF(A1968="","",ROUND((A1968-cfgDefasagem/1440)*48,0))</f>
        <v>0</v>
      </c>
      <c r="E1968" s="26">
        <f>IF(D1968="","",INT((D1968-cfgDeslocamento)/4))</f>
        <v>0</v>
      </c>
      <c r="F1968" s="26">
        <f>IF(D1968="","",MOD(D1968-cfgDeslocamento,4)+1)</f>
        <v>0</v>
      </c>
      <c r="G1968" s="26">
        <f>IF(A1968="","",IF(AND(ISNUMBER(B1968),B1968&lt;&gt;0),1,0))</f>
        <v>0</v>
      </c>
      <c r="H1968" s="25">
        <f>IF(E1968="","",(E1968*4+3+cfgDeslocamento)/48)</f>
        <v>0</v>
      </c>
    </row>
    <row r="1969" spans="1:8">
      <c r="A1969" s="24"/>
      <c r="B1969" s="19"/>
      <c r="C1969" s="25">
        <f>IF(D1969="","",D1969/48)</f>
        <v>0</v>
      </c>
      <c r="D1969" s="26">
        <f>IF(A1969="","",ROUND((A1969-cfgDefasagem/1440)*48,0))</f>
        <v>0</v>
      </c>
      <c r="E1969" s="26">
        <f>IF(D1969="","",INT((D1969-cfgDeslocamento)/4))</f>
        <v>0</v>
      </c>
      <c r="F1969" s="26">
        <f>IF(D1969="","",MOD(D1969-cfgDeslocamento,4)+1)</f>
        <v>0</v>
      </c>
      <c r="G1969" s="26">
        <f>IF(A1969="","",IF(AND(ISNUMBER(B1969),B1969&lt;&gt;0),1,0))</f>
        <v>0</v>
      </c>
      <c r="H1969" s="25">
        <f>IF(E1969="","",(E1969*4+3+cfgDeslocamento)/48)</f>
        <v>0</v>
      </c>
    </row>
    <row r="1970" spans="1:8">
      <c r="A1970" s="24"/>
      <c r="B1970" s="19"/>
      <c r="C1970" s="25">
        <f>IF(D1970="","",D1970/48)</f>
        <v>0</v>
      </c>
      <c r="D1970" s="26">
        <f>IF(A1970="","",ROUND((A1970-cfgDefasagem/1440)*48,0))</f>
        <v>0</v>
      </c>
      <c r="E1970" s="26">
        <f>IF(D1970="","",INT((D1970-cfgDeslocamento)/4))</f>
        <v>0</v>
      </c>
      <c r="F1970" s="26">
        <f>IF(D1970="","",MOD(D1970-cfgDeslocamento,4)+1)</f>
        <v>0</v>
      </c>
      <c r="G1970" s="26">
        <f>IF(A1970="","",IF(AND(ISNUMBER(B1970),B1970&lt;&gt;0),1,0))</f>
        <v>0</v>
      </c>
      <c r="H1970" s="25">
        <f>IF(E1970="","",(E1970*4+3+cfgDeslocamento)/48)</f>
        <v>0</v>
      </c>
    </row>
    <row r="1971" spans="1:8">
      <c r="A1971" s="24"/>
      <c r="B1971" s="19"/>
      <c r="C1971" s="25">
        <f>IF(D1971="","",D1971/48)</f>
        <v>0</v>
      </c>
      <c r="D1971" s="26">
        <f>IF(A1971="","",ROUND((A1971-cfgDefasagem/1440)*48,0))</f>
        <v>0</v>
      </c>
      <c r="E1971" s="26">
        <f>IF(D1971="","",INT((D1971-cfgDeslocamento)/4))</f>
        <v>0</v>
      </c>
      <c r="F1971" s="26">
        <f>IF(D1971="","",MOD(D1971-cfgDeslocamento,4)+1)</f>
        <v>0</v>
      </c>
      <c r="G1971" s="26">
        <f>IF(A1971="","",IF(AND(ISNUMBER(B1971),B1971&lt;&gt;0),1,0))</f>
        <v>0</v>
      </c>
      <c r="H1971" s="25">
        <f>IF(E1971="","",(E1971*4+3+cfgDeslocamento)/48)</f>
        <v>0</v>
      </c>
    </row>
    <row r="1972" spans="1:8">
      <c r="A1972" s="24"/>
      <c r="B1972" s="19"/>
      <c r="C1972" s="25">
        <f>IF(D1972="","",D1972/48)</f>
        <v>0</v>
      </c>
      <c r="D1972" s="26">
        <f>IF(A1972="","",ROUND((A1972-cfgDefasagem/1440)*48,0))</f>
        <v>0</v>
      </c>
      <c r="E1972" s="26">
        <f>IF(D1972="","",INT((D1972-cfgDeslocamento)/4))</f>
        <v>0</v>
      </c>
      <c r="F1972" s="26">
        <f>IF(D1972="","",MOD(D1972-cfgDeslocamento,4)+1)</f>
        <v>0</v>
      </c>
      <c r="G1972" s="26">
        <f>IF(A1972="","",IF(AND(ISNUMBER(B1972),B1972&lt;&gt;0),1,0))</f>
        <v>0</v>
      </c>
      <c r="H1972" s="25">
        <f>IF(E1972="","",(E1972*4+3+cfgDeslocamento)/48)</f>
        <v>0</v>
      </c>
    </row>
    <row r="1973" spans="1:8">
      <c r="A1973" s="24"/>
      <c r="B1973" s="19"/>
      <c r="C1973" s="25">
        <f>IF(D1973="","",D1973/48)</f>
        <v>0</v>
      </c>
      <c r="D1973" s="26">
        <f>IF(A1973="","",ROUND((A1973-cfgDefasagem/1440)*48,0))</f>
        <v>0</v>
      </c>
      <c r="E1973" s="26">
        <f>IF(D1973="","",INT((D1973-cfgDeslocamento)/4))</f>
        <v>0</v>
      </c>
      <c r="F1973" s="26">
        <f>IF(D1973="","",MOD(D1973-cfgDeslocamento,4)+1)</f>
        <v>0</v>
      </c>
      <c r="G1973" s="26">
        <f>IF(A1973="","",IF(AND(ISNUMBER(B1973),B1973&lt;&gt;0),1,0))</f>
        <v>0</v>
      </c>
      <c r="H1973" s="25">
        <f>IF(E1973="","",(E1973*4+3+cfgDeslocamento)/48)</f>
        <v>0</v>
      </c>
    </row>
    <row r="1974" spans="1:8">
      <c r="A1974" s="24"/>
      <c r="B1974" s="19"/>
      <c r="C1974" s="25">
        <f>IF(D1974="","",D1974/48)</f>
        <v>0</v>
      </c>
      <c r="D1974" s="26">
        <f>IF(A1974="","",ROUND((A1974-cfgDefasagem/1440)*48,0))</f>
        <v>0</v>
      </c>
      <c r="E1974" s="26">
        <f>IF(D1974="","",INT((D1974-cfgDeslocamento)/4))</f>
        <v>0</v>
      </c>
      <c r="F1974" s="26">
        <f>IF(D1974="","",MOD(D1974-cfgDeslocamento,4)+1)</f>
        <v>0</v>
      </c>
      <c r="G1974" s="26">
        <f>IF(A1974="","",IF(AND(ISNUMBER(B1974),B1974&lt;&gt;0),1,0))</f>
        <v>0</v>
      </c>
      <c r="H1974" s="25">
        <f>IF(E1974="","",(E1974*4+3+cfgDeslocamento)/48)</f>
        <v>0</v>
      </c>
    </row>
    <row r="1975" spans="1:8">
      <c r="A1975" s="24"/>
      <c r="B1975" s="19"/>
      <c r="C1975" s="25">
        <f>IF(D1975="","",D1975/48)</f>
        <v>0</v>
      </c>
      <c r="D1975" s="26">
        <f>IF(A1975="","",ROUND((A1975-cfgDefasagem/1440)*48,0))</f>
        <v>0</v>
      </c>
      <c r="E1975" s="26">
        <f>IF(D1975="","",INT((D1975-cfgDeslocamento)/4))</f>
        <v>0</v>
      </c>
      <c r="F1975" s="26">
        <f>IF(D1975="","",MOD(D1975-cfgDeslocamento,4)+1)</f>
        <v>0</v>
      </c>
      <c r="G1975" s="26">
        <f>IF(A1975="","",IF(AND(ISNUMBER(B1975),B1975&lt;&gt;0),1,0))</f>
        <v>0</v>
      </c>
      <c r="H1975" s="25">
        <f>IF(E1975="","",(E1975*4+3+cfgDeslocamento)/48)</f>
        <v>0</v>
      </c>
    </row>
    <row r="1976" spans="1:8">
      <c r="A1976" s="24"/>
      <c r="B1976" s="19"/>
      <c r="C1976" s="25">
        <f>IF(D1976="","",D1976/48)</f>
        <v>0</v>
      </c>
      <c r="D1976" s="26">
        <f>IF(A1976="","",ROUND((A1976-cfgDefasagem/1440)*48,0))</f>
        <v>0</v>
      </c>
      <c r="E1976" s="26">
        <f>IF(D1976="","",INT((D1976-cfgDeslocamento)/4))</f>
        <v>0</v>
      </c>
      <c r="F1976" s="26">
        <f>IF(D1976="","",MOD(D1976-cfgDeslocamento,4)+1)</f>
        <v>0</v>
      </c>
      <c r="G1976" s="26">
        <f>IF(A1976="","",IF(AND(ISNUMBER(B1976),B1976&lt;&gt;0),1,0))</f>
        <v>0</v>
      </c>
      <c r="H1976" s="25">
        <f>IF(E1976="","",(E1976*4+3+cfgDeslocamento)/48)</f>
        <v>0</v>
      </c>
    </row>
    <row r="1977" spans="1:8">
      <c r="A1977" s="24"/>
      <c r="B1977" s="19"/>
      <c r="C1977" s="25">
        <f>IF(D1977="","",D1977/48)</f>
        <v>0</v>
      </c>
      <c r="D1977" s="26">
        <f>IF(A1977="","",ROUND((A1977-cfgDefasagem/1440)*48,0))</f>
        <v>0</v>
      </c>
      <c r="E1977" s="26">
        <f>IF(D1977="","",INT((D1977-cfgDeslocamento)/4))</f>
        <v>0</v>
      </c>
      <c r="F1977" s="26">
        <f>IF(D1977="","",MOD(D1977-cfgDeslocamento,4)+1)</f>
        <v>0</v>
      </c>
      <c r="G1977" s="26">
        <f>IF(A1977="","",IF(AND(ISNUMBER(B1977),B1977&lt;&gt;0),1,0))</f>
        <v>0</v>
      </c>
      <c r="H1977" s="25">
        <f>IF(E1977="","",(E1977*4+3+cfgDeslocamento)/48)</f>
        <v>0</v>
      </c>
    </row>
    <row r="1978" spans="1:8">
      <c r="A1978" s="24"/>
      <c r="B1978" s="19"/>
      <c r="C1978" s="25">
        <f>IF(D1978="","",D1978/48)</f>
        <v>0</v>
      </c>
      <c r="D1978" s="26">
        <f>IF(A1978="","",ROUND((A1978-cfgDefasagem/1440)*48,0))</f>
        <v>0</v>
      </c>
      <c r="E1978" s="26">
        <f>IF(D1978="","",INT((D1978-cfgDeslocamento)/4))</f>
        <v>0</v>
      </c>
      <c r="F1978" s="26">
        <f>IF(D1978="","",MOD(D1978-cfgDeslocamento,4)+1)</f>
        <v>0</v>
      </c>
      <c r="G1978" s="26">
        <f>IF(A1978="","",IF(AND(ISNUMBER(B1978),B1978&lt;&gt;0),1,0))</f>
        <v>0</v>
      </c>
      <c r="H1978" s="25">
        <f>IF(E1978="","",(E1978*4+3+cfgDeslocamento)/48)</f>
        <v>0</v>
      </c>
    </row>
    <row r="1979" spans="1:8">
      <c r="A1979" s="24"/>
      <c r="B1979" s="19"/>
      <c r="C1979" s="25">
        <f>IF(D1979="","",D1979/48)</f>
        <v>0</v>
      </c>
      <c r="D1979" s="26">
        <f>IF(A1979="","",ROUND((A1979-cfgDefasagem/1440)*48,0))</f>
        <v>0</v>
      </c>
      <c r="E1979" s="26">
        <f>IF(D1979="","",INT((D1979-cfgDeslocamento)/4))</f>
        <v>0</v>
      </c>
      <c r="F1979" s="26">
        <f>IF(D1979="","",MOD(D1979-cfgDeslocamento,4)+1)</f>
        <v>0</v>
      </c>
      <c r="G1979" s="26">
        <f>IF(A1979="","",IF(AND(ISNUMBER(B1979),B1979&lt;&gt;0),1,0))</f>
        <v>0</v>
      </c>
      <c r="H1979" s="25">
        <f>IF(E1979="","",(E1979*4+3+cfgDeslocamento)/48)</f>
        <v>0</v>
      </c>
    </row>
    <row r="1980" spans="1:8">
      <c r="A1980" s="24"/>
      <c r="B1980" s="19"/>
      <c r="C1980" s="25">
        <f>IF(D1980="","",D1980/48)</f>
        <v>0</v>
      </c>
      <c r="D1980" s="26">
        <f>IF(A1980="","",ROUND((A1980-cfgDefasagem/1440)*48,0))</f>
        <v>0</v>
      </c>
      <c r="E1980" s="26">
        <f>IF(D1980="","",INT((D1980-cfgDeslocamento)/4))</f>
        <v>0</v>
      </c>
      <c r="F1980" s="26">
        <f>IF(D1980="","",MOD(D1980-cfgDeslocamento,4)+1)</f>
        <v>0</v>
      </c>
      <c r="G1980" s="26">
        <f>IF(A1980="","",IF(AND(ISNUMBER(B1980),B1980&lt;&gt;0),1,0))</f>
        <v>0</v>
      </c>
      <c r="H1980" s="25">
        <f>IF(E1980="","",(E1980*4+3+cfgDeslocamento)/48)</f>
        <v>0</v>
      </c>
    </row>
    <row r="1981" spans="1:8">
      <c r="A1981" s="24"/>
      <c r="B1981" s="19"/>
      <c r="C1981" s="25">
        <f>IF(D1981="","",D1981/48)</f>
        <v>0</v>
      </c>
      <c r="D1981" s="26">
        <f>IF(A1981="","",ROUND((A1981-cfgDefasagem/1440)*48,0))</f>
        <v>0</v>
      </c>
      <c r="E1981" s="26">
        <f>IF(D1981="","",INT((D1981-cfgDeslocamento)/4))</f>
        <v>0</v>
      </c>
      <c r="F1981" s="26">
        <f>IF(D1981="","",MOD(D1981-cfgDeslocamento,4)+1)</f>
        <v>0</v>
      </c>
      <c r="G1981" s="26">
        <f>IF(A1981="","",IF(AND(ISNUMBER(B1981),B1981&lt;&gt;0),1,0))</f>
        <v>0</v>
      </c>
      <c r="H1981" s="25">
        <f>IF(E1981="","",(E1981*4+3+cfgDeslocamento)/48)</f>
        <v>0</v>
      </c>
    </row>
    <row r="1982" spans="1:8">
      <c r="A1982" s="24"/>
      <c r="B1982" s="19"/>
      <c r="C1982" s="25">
        <f>IF(D1982="","",D1982/48)</f>
        <v>0</v>
      </c>
      <c r="D1982" s="26">
        <f>IF(A1982="","",ROUND((A1982-cfgDefasagem/1440)*48,0))</f>
        <v>0</v>
      </c>
      <c r="E1982" s="26">
        <f>IF(D1982="","",INT((D1982-cfgDeslocamento)/4))</f>
        <v>0</v>
      </c>
      <c r="F1982" s="26">
        <f>IF(D1982="","",MOD(D1982-cfgDeslocamento,4)+1)</f>
        <v>0</v>
      </c>
      <c r="G1982" s="26">
        <f>IF(A1982="","",IF(AND(ISNUMBER(B1982),B1982&lt;&gt;0),1,0))</f>
        <v>0</v>
      </c>
      <c r="H1982" s="25">
        <f>IF(E1982="","",(E1982*4+3+cfgDeslocamento)/48)</f>
        <v>0</v>
      </c>
    </row>
    <row r="1983" spans="1:8">
      <c r="A1983" s="24"/>
      <c r="B1983" s="19"/>
      <c r="C1983" s="25">
        <f>IF(D1983="","",D1983/48)</f>
        <v>0</v>
      </c>
      <c r="D1983" s="26">
        <f>IF(A1983="","",ROUND((A1983-cfgDefasagem/1440)*48,0))</f>
        <v>0</v>
      </c>
      <c r="E1983" s="26">
        <f>IF(D1983="","",INT((D1983-cfgDeslocamento)/4))</f>
        <v>0</v>
      </c>
      <c r="F1983" s="26">
        <f>IF(D1983="","",MOD(D1983-cfgDeslocamento,4)+1)</f>
        <v>0</v>
      </c>
      <c r="G1983" s="26">
        <f>IF(A1983="","",IF(AND(ISNUMBER(B1983),B1983&lt;&gt;0),1,0))</f>
        <v>0</v>
      </c>
      <c r="H1983" s="25">
        <f>IF(E1983="","",(E1983*4+3+cfgDeslocamento)/48)</f>
        <v>0</v>
      </c>
    </row>
    <row r="1984" spans="1:8">
      <c r="A1984" s="24"/>
      <c r="B1984" s="19"/>
      <c r="C1984" s="25">
        <f>IF(D1984="","",D1984/48)</f>
        <v>0</v>
      </c>
      <c r="D1984" s="26">
        <f>IF(A1984="","",ROUND((A1984-cfgDefasagem/1440)*48,0))</f>
        <v>0</v>
      </c>
      <c r="E1984" s="26">
        <f>IF(D1984="","",INT((D1984-cfgDeslocamento)/4))</f>
        <v>0</v>
      </c>
      <c r="F1984" s="26">
        <f>IF(D1984="","",MOD(D1984-cfgDeslocamento,4)+1)</f>
        <v>0</v>
      </c>
      <c r="G1984" s="26">
        <f>IF(A1984="","",IF(AND(ISNUMBER(B1984),B1984&lt;&gt;0),1,0))</f>
        <v>0</v>
      </c>
      <c r="H1984" s="25">
        <f>IF(E1984="","",(E1984*4+3+cfgDeslocamento)/48)</f>
        <v>0</v>
      </c>
    </row>
    <row r="1985" spans="1:8">
      <c r="A1985" s="24"/>
      <c r="B1985" s="19"/>
      <c r="C1985" s="25">
        <f>IF(D1985="","",D1985/48)</f>
        <v>0</v>
      </c>
      <c r="D1985" s="26">
        <f>IF(A1985="","",ROUND((A1985-cfgDefasagem/1440)*48,0))</f>
        <v>0</v>
      </c>
      <c r="E1985" s="26">
        <f>IF(D1985="","",INT((D1985-cfgDeslocamento)/4))</f>
        <v>0</v>
      </c>
      <c r="F1985" s="26">
        <f>IF(D1985="","",MOD(D1985-cfgDeslocamento,4)+1)</f>
        <v>0</v>
      </c>
      <c r="G1985" s="26">
        <f>IF(A1985="","",IF(AND(ISNUMBER(B1985),B1985&lt;&gt;0),1,0))</f>
        <v>0</v>
      </c>
      <c r="H1985" s="25">
        <f>IF(E1985="","",(E1985*4+3+cfgDeslocamento)/48)</f>
        <v>0</v>
      </c>
    </row>
    <row r="1986" spans="1:8">
      <c r="A1986" s="24"/>
      <c r="B1986" s="19"/>
      <c r="C1986" s="25">
        <f>IF(D1986="","",D1986/48)</f>
        <v>0</v>
      </c>
      <c r="D1986" s="26">
        <f>IF(A1986="","",ROUND((A1986-cfgDefasagem/1440)*48,0))</f>
        <v>0</v>
      </c>
      <c r="E1986" s="26">
        <f>IF(D1986="","",INT((D1986-cfgDeslocamento)/4))</f>
        <v>0</v>
      </c>
      <c r="F1986" s="26">
        <f>IF(D1986="","",MOD(D1986-cfgDeslocamento,4)+1)</f>
        <v>0</v>
      </c>
      <c r="G1986" s="26">
        <f>IF(A1986="","",IF(AND(ISNUMBER(B1986),B1986&lt;&gt;0),1,0))</f>
        <v>0</v>
      </c>
      <c r="H1986" s="25">
        <f>IF(E1986="","",(E1986*4+3+cfgDeslocamento)/48)</f>
        <v>0</v>
      </c>
    </row>
    <row r="1987" spans="1:8">
      <c r="A1987" s="24"/>
      <c r="B1987" s="19"/>
      <c r="C1987" s="25">
        <f>IF(D1987="","",D1987/48)</f>
        <v>0</v>
      </c>
      <c r="D1987" s="26">
        <f>IF(A1987="","",ROUND((A1987-cfgDefasagem/1440)*48,0))</f>
        <v>0</v>
      </c>
      <c r="E1987" s="26">
        <f>IF(D1987="","",INT((D1987-cfgDeslocamento)/4))</f>
        <v>0</v>
      </c>
      <c r="F1987" s="26">
        <f>IF(D1987="","",MOD(D1987-cfgDeslocamento,4)+1)</f>
        <v>0</v>
      </c>
      <c r="G1987" s="26">
        <f>IF(A1987="","",IF(AND(ISNUMBER(B1987),B1987&lt;&gt;0),1,0))</f>
        <v>0</v>
      </c>
      <c r="H1987" s="25">
        <f>IF(E1987="","",(E1987*4+3+cfgDeslocamento)/48)</f>
        <v>0</v>
      </c>
    </row>
    <row r="1988" spans="1:8">
      <c r="A1988" s="24"/>
      <c r="B1988" s="19"/>
      <c r="C1988" s="25">
        <f>IF(D1988="","",D1988/48)</f>
        <v>0</v>
      </c>
      <c r="D1988" s="26">
        <f>IF(A1988="","",ROUND((A1988-cfgDefasagem/1440)*48,0))</f>
        <v>0</v>
      </c>
      <c r="E1988" s="26">
        <f>IF(D1988="","",INT((D1988-cfgDeslocamento)/4))</f>
        <v>0</v>
      </c>
      <c r="F1988" s="26">
        <f>IF(D1988="","",MOD(D1988-cfgDeslocamento,4)+1)</f>
        <v>0</v>
      </c>
      <c r="G1988" s="26">
        <f>IF(A1988="","",IF(AND(ISNUMBER(B1988),B1988&lt;&gt;0),1,0))</f>
        <v>0</v>
      </c>
      <c r="H1988" s="25">
        <f>IF(E1988="","",(E1988*4+3+cfgDeslocamento)/48)</f>
        <v>0</v>
      </c>
    </row>
    <row r="1989" spans="1:8">
      <c r="A1989" s="24"/>
      <c r="B1989" s="19"/>
      <c r="C1989" s="25">
        <f>IF(D1989="","",D1989/48)</f>
        <v>0</v>
      </c>
      <c r="D1989" s="26">
        <f>IF(A1989="","",ROUND((A1989-cfgDefasagem/1440)*48,0))</f>
        <v>0</v>
      </c>
      <c r="E1989" s="26">
        <f>IF(D1989="","",INT((D1989-cfgDeslocamento)/4))</f>
        <v>0</v>
      </c>
      <c r="F1989" s="26">
        <f>IF(D1989="","",MOD(D1989-cfgDeslocamento,4)+1)</f>
        <v>0</v>
      </c>
      <c r="G1989" s="26">
        <f>IF(A1989="","",IF(AND(ISNUMBER(B1989),B1989&lt;&gt;0),1,0))</f>
        <v>0</v>
      </c>
      <c r="H1989" s="25">
        <f>IF(E1989="","",(E1989*4+3+cfgDeslocamento)/48)</f>
        <v>0</v>
      </c>
    </row>
    <row r="1990" spans="1:8">
      <c r="A1990" s="24"/>
      <c r="B1990" s="19"/>
      <c r="C1990" s="25">
        <f>IF(D1990="","",D1990/48)</f>
        <v>0</v>
      </c>
      <c r="D1990" s="26">
        <f>IF(A1990="","",ROUND((A1990-cfgDefasagem/1440)*48,0))</f>
        <v>0</v>
      </c>
      <c r="E1990" s="26">
        <f>IF(D1990="","",INT((D1990-cfgDeslocamento)/4))</f>
        <v>0</v>
      </c>
      <c r="F1990" s="26">
        <f>IF(D1990="","",MOD(D1990-cfgDeslocamento,4)+1)</f>
        <v>0</v>
      </c>
      <c r="G1990" s="26">
        <f>IF(A1990="","",IF(AND(ISNUMBER(B1990),B1990&lt;&gt;0),1,0))</f>
        <v>0</v>
      </c>
      <c r="H1990" s="25">
        <f>IF(E1990="","",(E1990*4+3+cfgDeslocamento)/48)</f>
        <v>0</v>
      </c>
    </row>
    <row r="1991" spans="1:8">
      <c r="A1991" s="24"/>
      <c r="B1991" s="19"/>
      <c r="C1991" s="25">
        <f>IF(D1991="","",D1991/48)</f>
        <v>0</v>
      </c>
      <c r="D1991" s="26">
        <f>IF(A1991="","",ROUND((A1991-cfgDefasagem/1440)*48,0))</f>
        <v>0</v>
      </c>
      <c r="E1991" s="26">
        <f>IF(D1991="","",INT((D1991-cfgDeslocamento)/4))</f>
        <v>0</v>
      </c>
      <c r="F1991" s="26">
        <f>IF(D1991="","",MOD(D1991-cfgDeslocamento,4)+1)</f>
        <v>0</v>
      </c>
      <c r="G1991" s="26">
        <f>IF(A1991="","",IF(AND(ISNUMBER(B1991),B1991&lt;&gt;0),1,0))</f>
        <v>0</v>
      </c>
      <c r="H1991" s="25">
        <f>IF(E1991="","",(E1991*4+3+cfgDeslocamento)/48)</f>
        <v>0</v>
      </c>
    </row>
    <row r="1992" spans="1:8">
      <c r="A1992" s="24"/>
      <c r="B1992" s="19"/>
      <c r="C1992" s="25">
        <f>IF(D1992="","",D1992/48)</f>
        <v>0</v>
      </c>
      <c r="D1992" s="26">
        <f>IF(A1992="","",ROUND((A1992-cfgDefasagem/1440)*48,0))</f>
        <v>0</v>
      </c>
      <c r="E1992" s="26">
        <f>IF(D1992="","",INT((D1992-cfgDeslocamento)/4))</f>
        <v>0</v>
      </c>
      <c r="F1992" s="26">
        <f>IF(D1992="","",MOD(D1992-cfgDeslocamento,4)+1)</f>
        <v>0</v>
      </c>
      <c r="G1992" s="26">
        <f>IF(A1992="","",IF(AND(ISNUMBER(B1992),B1992&lt;&gt;0),1,0))</f>
        <v>0</v>
      </c>
      <c r="H1992" s="25">
        <f>IF(E1992="","",(E1992*4+3+cfgDeslocamento)/48)</f>
        <v>0</v>
      </c>
    </row>
    <row r="1993" spans="1:8">
      <c r="A1993" s="24"/>
      <c r="B1993" s="19"/>
      <c r="C1993" s="25">
        <f>IF(D1993="","",D1993/48)</f>
        <v>0</v>
      </c>
      <c r="D1993" s="26">
        <f>IF(A1993="","",ROUND((A1993-cfgDefasagem/1440)*48,0))</f>
        <v>0</v>
      </c>
      <c r="E1993" s="26">
        <f>IF(D1993="","",INT((D1993-cfgDeslocamento)/4))</f>
        <v>0</v>
      </c>
      <c r="F1993" s="26">
        <f>IF(D1993="","",MOD(D1993-cfgDeslocamento,4)+1)</f>
        <v>0</v>
      </c>
      <c r="G1993" s="26">
        <f>IF(A1993="","",IF(AND(ISNUMBER(B1993),B1993&lt;&gt;0),1,0))</f>
        <v>0</v>
      </c>
      <c r="H1993" s="25">
        <f>IF(E1993="","",(E1993*4+3+cfgDeslocamento)/48)</f>
        <v>0</v>
      </c>
    </row>
    <row r="1994" spans="1:8">
      <c r="A1994" s="24"/>
      <c r="B1994" s="19"/>
      <c r="C1994" s="25">
        <f>IF(D1994="","",D1994/48)</f>
        <v>0</v>
      </c>
      <c r="D1994" s="26">
        <f>IF(A1994="","",ROUND((A1994-cfgDefasagem/1440)*48,0))</f>
        <v>0</v>
      </c>
      <c r="E1994" s="26">
        <f>IF(D1994="","",INT((D1994-cfgDeslocamento)/4))</f>
        <v>0</v>
      </c>
      <c r="F1994" s="26">
        <f>IF(D1994="","",MOD(D1994-cfgDeslocamento,4)+1)</f>
        <v>0</v>
      </c>
      <c r="G1994" s="26">
        <f>IF(A1994="","",IF(AND(ISNUMBER(B1994),B1994&lt;&gt;0),1,0))</f>
        <v>0</v>
      </c>
      <c r="H1994" s="25">
        <f>IF(E1994="","",(E1994*4+3+cfgDeslocamento)/48)</f>
        <v>0</v>
      </c>
    </row>
    <row r="1995" spans="1:8">
      <c r="A1995" s="24"/>
      <c r="B1995" s="19"/>
      <c r="C1995" s="25">
        <f>IF(D1995="","",D1995/48)</f>
        <v>0</v>
      </c>
      <c r="D1995" s="26">
        <f>IF(A1995="","",ROUND((A1995-cfgDefasagem/1440)*48,0))</f>
        <v>0</v>
      </c>
      <c r="E1995" s="26">
        <f>IF(D1995="","",INT((D1995-cfgDeslocamento)/4))</f>
        <v>0</v>
      </c>
      <c r="F1995" s="26">
        <f>IF(D1995="","",MOD(D1995-cfgDeslocamento,4)+1)</f>
        <v>0</v>
      </c>
      <c r="G1995" s="26">
        <f>IF(A1995="","",IF(AND(ISNUMBER(B1995),B1995&lt;&gt;0),1,0))</f>
        <v>0</v>
      </c>
      <c r="H1995" s="25">
        <f>IF(E1995="","",(E1995*4+3+cfgDeslocamento)/48)</f>
        <v>0</v>
      </c>
    </row>
    <row r="1996" spans="1:8">
      <c r="A1996" s="24"/>
      <c r="B1996" s="19"/>
      <c r="C1996" s="25">
        <f>IF(D1996="","",D1996/48)</f>
        <v>0</v>
      </c>
      <c r="D1996" s="26">
        <f>IF(A1996="","",ROUND((A1996-cfgDefasagem/1440)*48,0))</f>
        <v>0</v>
      </c>
      <c r="E1996" s="26">
        <f>IF(D1996="","",INT((D1996-cfgDeslocamento)/4))</f>
        <v>0</v>
      </c>
      <c r="F1996" s="26">
        <f>IF(D1996="","",MOD(D1996-cfgDeslocamento,4)+1)</f>
        <v>0</v>
      </c>
      <c r="G1996" s="26">
        <f>IF(A1996="","",IF(AND(ISNUMBER(B1996),B1996&lt;&gt;0),1,0))</f>
        <v>0</v>
      </c>
      <c r="H1996" s="25">
        <f>IF(E1996="","",(E1996*4+3+cfgDeslocamento)/48)</f>
        <v>0</v>
      </c>
    </row>
    <row r="1997" spans="1:8">
      <c r="A1997" s="24"/>
      <c r="B1997" s="19"/>
      <c r="C1997" s="25">
        <f>IF(D1997="","",D1997/48)</f>
        <v>0</v>
      </c>
      <c r="D1997" s="26">
        <f>IF(A1997="","",ROUND((A1997-cfgDefasagem/1440)*48,0))</f>
        <v>0</v>
      </c>
      <c r="E1997" s="26">
        <f>IF(D1997="","",INT((D1997-cfgDeslocamento)/4))</f>
        <v>0</v>
      </c>
      <c r="F1997" s="26">
        <f>IF(D1997="","",MOD(D1997-cfgDeslocamento,4)+1)</f>
        <v>0</v>
      </c>
      <c r="G1997" s="26">
        <f>IF(A1997="","",IF(AND(ISNUMBER(B1997),B1997&lt;&gt;0),1,0))</f>
        <v>0</v>
      </c>
      <c r="H1997" s="25">
        <f>IF(E1997="","",(E1997*4+3+cfgDeslocamento)/48)</f>
        <v>0</v>
      </c>
    </row>
    <row r="1998" spans="1:8">
      <c r="A1998" s="24"/>
      <c r="B1998" s="19"/>
      <c r="C1998" s="25">
        <f>IF(D1998="","",D1998/48)</f>
        <v>0</v>
      </c>
      <c r="D1998" s="26">
        <f>IF(A1998="","",ROUND((A1998-cfgDefasagem/1440)*48,0))</f>
        <v>0</v>
      </c>
      <c r="E1998" s="26">
        <f>IF(D1998="","",INT((D1998-cfgDeslocamento)/4))</f>
        <v>0</v>
      </c>
      <c r="F1998" s="26">
        <f>IF(D1998="","",MOD(D1998-cfgDeslocamento,4)+1)</f>
        <v>0</v>
      </c>
      <c r="G1998" s="26">
        <f>IF(A1998="","",IF(AND(ISNUMBER(B1998),B1998&lt;&gt;0),1,0))</f>
        <v>0</v>
      </c>
      <c r="H1998" s="25">
        <f>IF(E1998="","",(E1998*4+3+cfgDeslocamento)/48)</f>
        <v>0</v>
      </c>
    </row>
    <row r="1999" spans="1:8">
      <c r="A1999" s="24"/>
      <c r="B1999" s="19"/>
      <c r="C1999" s="25">
        <f>IF(D1999="","",D1999/48)</f>
        <v>0</v>
      </c>
      <c r="D1999" s="26">
        <f>IF(A1999="","",ROUND((A1999-cfgDefasagem/1440)*48,0))</f>
        <v>0</v>
      </c>
      <c r="E1999" s="26">
        <f>IF(D1999="","",INT((D1999-cfgDeslocamento)/4))</f>
        <v>0</v>
      </c>
      <c r="F1999" s="26">
        <f>IF(D1999="","",MOD(D1999-cfgDeslocamento,4)+1)</f>
        <v>0</v>
      </c>
      <c r="G1999" s="26">
        <f>IF(A1999="","",IF(AND(ISNUMBER(B1999),B1999&lt;&gt;0),1,0))</f>
        <v>0</v>
      </c>
      <c r="H1999" s="25">
        <f>IF(E1999="","",(E1999*4+3+cfgDeslocamento)/48)</f>
        <v>0</v>
      </c>
    </row>
    <row r="2000" spans="1:8">
      <c r="A2000" s="24"/>
      <c r="B2000" s="19"/>
      <c r="C2000" s="25">
        <f>IF(D2000="","",D2000/48)</f>
        <v>0</v>
      </c>
      <c r="D2000" s="26">
        <f>IF(A2000="","",ROUND((A2000-cfgDefasagem/1440)*48,0))</f>
        <v>0</v>
      </c>
      <c r="E2000" s="26">
        <f>IF(D2000="","",INT((D2000-cfgDeslocamento)/4))</f>
        <v>0</v>
      </c>
      <c r="F2000" s="26">
        <f>IF(D2000="","",MOD(D2000-cfgDeslocamento,4)+1)</f>
        <v>0</v>
      </c>
      <c r="G2000" s="26">
        <f>IF(A2000="","",IF(AND(ISNUMBER(B2000),B2000&lt;&gt;0),1,0))</f>
        <v>0</v>
      </c>
      <c r="H2000" s="25">
        <f>IF(E2000="","",(E2000*4+3+cfgDeslocamento)/48)</f>
        <v>0</v>
      </c>
    </row>
    <row r="2001" spans="1:8">
      <c r="A2001" s="24"/>
      <c r="B2001" s="19"/>
      <c r="C2001" s="25">
        <f>IF(D2001="","",D2001/48)</f>
        <v>0</v>
      </c>
      <c r="D2001" s="26">
        <f>IF(A2001="","",ROUND((A2001-cfgDefasagem/1440)*48,0))</f>
        <v>0</v>
      </c>
      <c r="E2001" s="26">
        <f>IF(D2001="","",INT((D2001-cfgDeslocamento)/4))</f>
        <v>0</v>
      </c>
      <c r="F2001" s="26">
        <f>IF(D2001="","",MOD(D2001-cfgDeslocamento,4)+1)</f>
        <v>0</v>
      </c>
      <c r="G2001" s="26">
        <f>IF(A2001="","",IF(AND(ISNUMBER(B2001),B2001&lt;&gt;0),1,0))</f>
        <v>0</v>
      </c>
      <c r="H2001" s="25">
        <f>IF(E2001="","",(E2001*4+3+cfgDeslocamento)/48)</f>
        <v>0</v>
      </c>
    </row>
    <row r="2002" spans="1:8">
      <c r="A2002" s="24"/>
      <c r="B2002" s="19"/>
      <c r="C2002" s="25">
        <f>IF(D2002="","",D2002/48)</f>
        <v>0</v>
      </c>
      <c r="D2002" s="26">
        <f>IF(A2002="","",ROUND((A2002-cfgDefasagem/1440)*48,0))</f>
        <v>0</v>
      </c>
      <c r="E2002" s="26">
        <f>IF(D2002="","",INT((D2002-cfgDeslocamento)/4))</f>
        <v>0</v>
      </c>
      <c r="F2002" s="26">
        <f>IF(D2002="","",MOD(D2002-cfgDeslocamento,4)+1)</f>
        <v>0</v>
      </c>
      <c r="G2002" s="26">
        <f>IF(A2002="","",IF(AND(ISNUMBER(B2002),B2002&lt;&gt;0),1,0))</f>
        <v>0</v>
      </c>
      <c r="H2002" s="25">
        <f>IF(E2002="","",(E2002*4+3+cfgDeslocamento)/48)</f>
        <v>0</v>
      </c>
    </row>
    <row r="2003" spans="1:8">
      <c r="A2003" s="24"/>
      <c r="B2003" s="19"/>
      <c r="C2003" s="25">
        <f>IF(D2003="","",D2003/48)</f>
        <v>0</v>
      </c>
      <c r="D2003" s="26">
        <f>IF(A2003="","",ROUND((A2003-cfgDefasagem/1440)*48,0))</f>
        <v>0</v>
      </c>
      <c r="E2003" s="26">
        <f>IF(D2003="","",INT((D2003-cfgDeslocamento)/4))</f>
        <v>0</v>
      </c>
      <c r="F2003" s="26">
        <f>IF(D2003="","",MOD(D2003-cfgDeslocamento,4)+1)</f>
        <v>0</v>
      </c>
      <c r="G2003" s="26">
        <f>IF(A2003="","",IF(AND(ISNUMBER(B2003),B2003&lt;&gt;0),1,0))</f>
        <v>0</v>
      </c>
      <c r="H2003" s="25">
        <f>IF(E2003="","",(E2003*4+3+cfgDeslocamento)/48)</f>
        <v>0</v>
      </c>
    </row>
    <row r="2004" spans="1:8">
      <c r="A2004" s="24"/>
      <c r="B2004" s="19"/>
      <c r="C2004" s="25">
        <f>IF(D2004="","",D2004/48)</f>
        <v>0</v>
      </c>
      <c r="D2004" s="26">
        <f>IF(A2004="","",ROUND((A2004-cfgDefasagem/1440)*48,0))</f>
        <v>0</v>
      </c>
      <c r="E2004" s="26">
        <f>IF(D2004="","",INT((D2004-cfgDeslocamento)/4))</f>
        <v>0</v>
      </c>
      <c r="F2004" s="26">
        <f>IF(D2004="","",MOD(D2004-cfgDeslocamento,4)+1)</f>
        <v>0</v>
      </c>
      <c r="G2004" s="26">
        <f>IF(A2004="","",IF(AND(ISNUMBER(B2004),B2004&lt;&gt;0),1,0))</f>
        <v>0</v>
      </c>
      <c r="H2004" s="25">
        <f>IF(E2004="","",(E2004*4+3+cfgDeslocamento)/48)</f>
        <v>0</v>
      </c>
    </row>
    <row r="2005" spans="1:8">
      <c r="A2005" s="24"/>
      <c r="B2005" s="19"/>
      <c r="C2005" s="25">
        <f>IF(D2005="","",D2005/48)</f>
        <v>0</v>
      </c>
      <c r="D2005" s="26">
        <f>IF(A2005="","",ROUND((A2005-cfgDefasagem/1440)*48,0))</f>
        <v>0</v>
      </c>
      <c r="E2005" s="26">
        <f>IF(D2005="","",INT((D2005-cfgDeslocamento)/4))</f>
        <v>0</v>
      </c>
      <c r="F2005" s="26">
        <f>IF(D2005="","",MOD(D2005-cfgDeslocamento,4)+1)</f>
        <v>0</v>
      </c>
      <c r="G2005" s="26">
        <f>IF(A2005="","",IF(AND(ISNUMBER(B2005),B2005&lt;&gt;0),1,0))</f>
        <v>0</v>
      </c>
      <c r="H2005" s="25">
        <f>IF(E2005="","",(E2005*4+3+cfgDeslocamento)/48)</f>
        <v>0</v>
      </c>
    </row>
    <row r="2006" spans="1:8">
      <c r="A2006" s="24"/>
      <c r="B2006" s="19"/>
      <c r="C2006" s="25">
        <f>IF(D2006="","",D2006/48)</f>
        <v>0</v>
      </c>
      <c r="D2006" s="26">
        <f>IF(A2006="","",ROUND((A2006-cfgDefasagem/1440)*48,0))</f>
        <v>0</v>
      </c>
      <c r="E2006" s="26">
        <f>IF(D2006="","",INT((D2006-cfgDeslocamento)/4))</f>
        <v>0</v>
      </c>
      <c r="F2006" s="26">
        <f>IF(D2006="","",MOD(D2006-cfgDeslocamento,4)+1)</f>
        <v>0</v>
      </c>
      <c r="G2006" s="26">
        <f>IF(A2006="","",IF(AND(ISNUMBER(B2006),B2006&lt;&gt;0),1,0))</f>
        <v>0</v>
      </c>
      <c r="H2006" s="25">
        <f>IF(E2006="","",(E2006*4+3+cfgDeslocamento)/48)</f>
        <v>0</v>
      </c>
    </row>
    <row r="2007" spans="1:8">
      <c r="A2007" s="24"/>
      <c r="B2007" s="19"/>
      <c r="C2007" s="25">
        <f>IF(D2007="","",D2007/48)</f>
        <v>0</v>
      </c>
      <c r="D2007" s="26">
        <f>IF(A2007="","",ROUND((A2007-cfgDefasagem/1440)*48,0))</f>
        <v>0</v>
      </c>
      <c r="E2007" s="26">
        <f>IF(D2007="","",INT((D2007-cfgDeslocamento)/4))</f>
        <v>0</v>
      </c>
      <c r="F2007" s="26">
        <f>IF(D2007="","",MOD(D2007-cfgDeslocamento,4)+1)</f>
        <v>0</v>
      </c>
      <c r="G2007" s="26">
        <f>IF(A2007="","",IF(AND(ISNUMBER(B2007),B2007&lt;&gt;0),1,0))</f>
        <v>0</v>
      </c>
      <c r="H2007" s="25">
        <f>IF(E2007="","",(E2007*4+3+cfgDeslocamento)/48)</f>
        <v>0</v>
      </c>
    </row>
    <row r="2008" spans="1:8">
      <c r="A2008" s="24"/>
      <c r="B2008" s="19"/>
      <c r="C2008" s="25">
        <f>IF(D2008="","",D2008/48)</f>
        <v>0</v>
      </c>
      <c r="D2008" s="26">
        <f>IF(A2008="","",ROUND((A2008-cfgDefasagem/1440)*48,0))</f>
        <v>0</v>
      </c>
      <c r="E2008" s="26">
        <f>IF(D2008="","",INT((D2008-cfgDeslocamento)/4))</f>
        <v>0</v>
      </c>
      <c r="F2008" s="26">
        <f>IF(D2008="","",MOD(D2008-cfgDeslocamento,4)+1)</f>
        <v>0</v>
      </c>
      <c r="G2008" s="26">
        <f>IF(A2008="","",IF(AND(ISNUMBER(B2008),B2008&lt;&gt;0),1,0))</f>
        <v>0</v>
      </c>
      <c r="H2008" s="25">
        <f>IF(E2008="","",(E2008*4+3+cfgDeslocamento)/48)</f>
        <v>0</v>
      </c>
    </row>
    <row r="2009" spans="1:8">
      <c r="A2009" s="24"/>
      <c r="B2009" s="19"/>
      <c r="C2009" s="25">
        <f>IF(D2009="","",D2009/48)</f>
        <v>0</v>
      </c>
      <c r="D2009" s="26">
        <f>IF(A2009="","",ROUND((A2009-cfgDefasagem/1440)*48,0))</f>
        <v>0</v>
      </c>
      <c r="E2009" s="26">
        <f>IF(D2009="","",INT((D2009-cfgDeslocamento)/4))</f>
        <v>0</v>
      </c>
      <c r="F2009" s="26">
        <f>IF(D2009="","",MOD(D2009-cfgDeslocamento,4)+1)</f>
        <v>0</v>
      </c>
      <c r="G2009" s="26">
        <f>IF(A2009="","",IF(AND(ISNUMBER(B2009),B2009&lt;&gt;0),1,0))</f>
        <v>0</v>
      </c>
      <c r="H2009" s="25">
        <f>IF(E2009="","",(E2009*4+3+cfgDeslocamento)/48)</f>
        <v>0</v>
      </c>
    </row>
    <row r="2010" spans="1:8">
      <c r="A2010" s="24"/>
      <c r="B2010" s="19"/>
      <c r="C2010" s="25">
        <f>IF(D2010="","",D2010/48)</f>
        <v>0</v>
      </c>
      <c r="D2010" s="26">
        <f>IF(A2010="","",ROUND((A2010-cfgDefasagem/1440)*48,0))</f>
        <v>0</v>
      </c>
      <c r="E2010" s="26">
        <f>IF(D2010="","",INT((D2010-cfgDeslocamento)/4))</f>
        <v>0</v>
      </c>
      <c r="F2010" s="26">
        <f>IF(D2010="","",MOD(D2010-cfgDeslocamento,4)+1)</f>
        <v>0</v>
      </c>
      <c r="G2010" s="26">
        <f>IF(A2010="","",IF(AND(ISNUMBER(B2010),B2010&lt;&gt;0),1,0))</f>
        <v>0</v>
      </c>
      <c r="H2010" s="25">
        <f>IF(E2010="","",(E2010*4+3+cfgDeslocamento)/48)</f>
        <v>0</v>
      </c>
    </row>
    <row r="2011" spans="1:8">
      <c r="A2011" s="24"/>
      <c r="B2011" s="19"/>
      <c r="C2011" s="25">
        <f>IF(D2011="","",D2011/48)</f>
        <v>0</v>
      </c>
      <c r="D2011" s="26">
        <f>IF(A2011="","",ROUND((A2011-cfgDefasagem/1440)*48,0))</f>
        <v>0</v>
      </c>
      <c r="E2011" s="26">
        <f>IF(D2011="","",INT((D2011-cfgDeslocamento)/4))</f>
        <v>0</v>
      </c>
      <c r="F2011" s="26">
        <f>IF(D2011="","",MOD(D2011-cfgDeslocamento,4)+1)</f>
        <v>0</v>
      </c>
      <c r="G2011" s="26">
        <f>IF(A2011="","",IF(AND(ISNUMBER(B2011),B2011&lt;&gt;0),1,0))</f>
        <v>0</v>
      </c>
      <c r="H2011" s="25">
        <f>IF(E2011="","",(E2011*4+3+cfgDeslocamento)/48)</f>
        <v>0</v>
      </c>
    </row>
    <row r="2012" spans="1:8">
      <c r="A2012" s="24"/>
      <c r="B2012" s="19"/>
      <c r="C2012" s="25">
        <f>IF(D2012="","",D2012/48)</f>
        <v>0</v>
      </c>
      <c r="D2012" s="26">
        <f>IF(A2012="","",ROUND((A2012-cfgDefasagem/1440)*48,0))</f>
        <v>0</v>
      </c>
      <c r="E2012" s="26">
        <f>IF(D2012="","",INT((D2012-cfgDeslocamento)/4))</f>
        <v>0</v>
      </c>
      <c r="F2012" s="26">
        <f>IF(D2012="","",MOD(D2012-cfgDeslocamento,4)+1)</f>
        <v>0</v>
      </c>
      <c r="G2012" s="26">
        <f>IF(A2012="","",IF(AND(ISNUMBER(B2012),B2012&lt;&gt;0),1,0))</f>
        <v>0</v>
      </c>
      <c r="H2012" s="25">
        <f>IF(E2012="","",(E2012*4+3+cfgDeslocamento)/48)</f>
        <v>0</v>
      </c>
    </row>
    <row r="2013" spans="1:8">
      <c r="A2013" s="24"/>
      <c r="B2013" s="19"/>
      <c r="C2013" s="25">
        <f>IF(D2013="","",D2013/48)</f>
        <v>0</v>
      </c>
      <c r="D2013" s="26">
        <f>IF(A2013="","",ROUND((A2013-cfgDefasagem/1440)*48,0))</f>
        <v>0</v>
      </c>
      <c r="E2013" s="26">
        <f>IF(D2013="","",INT((D2013-cfgDeslocamento)/4))</f>
        <v>0</v>
      </c>
      <c r="F2013" s="26">
        <f>IF(D2013="","",MOD(D2013-cfgDeslocamento,4)+1)</f>
        <v>0</v>
      </c>
      <c r="G2013" s="26">
        <f>IF(A2013="","",IF(AND(ISNUMBER(B2013),B2013&lt;&gt;0),1,0))</f>
        <v>0</v>
      </c>
      <c r="H2013" s="25">
        <f>IF(E2013="","",(E2013*4+3+cfgDeslocamento)/48)</f>
        <v>0</v>
      </c>
    </row>
    <row r="2014" spans="1:8">
      <c r="A2014" s="24"/>
      <c r="B2014" s="19"/>
      <c r="C2014" s="25">
        <f>IF(D2014="","",D2014/48)</f>
        <v>0</v>
      </c>
      <c r="D2014" s="26">
        <f>IF(A2014="","",ROUND((A2014-cfgDefasagem/1440)*48,0))</f>
        <v>0</v>
      </c>
      <c r="E2014" s="26">
        <f>IF(D2014="","",INT((D2014-cfgDeslocamento)/4))</f>
        <v>0</v>
      </c>
      <c r="F2014" s="26">
        <f>IF(D2014="","",MOD(D2014-cfgDeslocamento,4)+1)</f>
        <v>0</v>
      </c>
      <c r="G2014" s="26">
        <f>IF(A2014="","",IF(AND(ISNUMBER(B2014),B2014&lt;&gt;0),1,0))</f>
        <v>0</v>
      </c>
      <c r="H2014" s="25">
        <f>IF(E2014="","",(E2014*4+3+cfgDeslocamento)/48)</f>
        <v>0</v>
      </c>
    </row>
    <row r="2015" spans="1:8">
      <c r="A2015" s="24"/>
      <c r="B2015" s="19"/>
      <c r="C2015" s="25">
        <f>IF(D2015="","",D2015/48)</f>
        <v>0</v>
      </c>
      <c r="D2015" s="26">
        <f>IF(A2015="","",ROUND((A2015-cfgDefasagem/1440)*48,0))</f>
        <v>0</v>
      </c>
      <c r="E2015" s="26">
        <f>IF(D2015="","",INT((D2015-cfgDeslocamento)/4))</f>
        <v>0</v>
      </c>
      <c r="F2015" s="26">
        <f>IF(D2015="","",MOD(D2015-cfgDeslocamento,4)+1)</f>
        <v>0</v>
      </c>
      <c r="G2015" s="26">
        <f>IF(A2015="","",IF(AND(ISNUMBER(B2015),B2015&lt;&gt;0),1,0))</f>
        <v>0</v>
      </c>
      <c r="H2015" s="25">
        <f>IF(E2015="","",(E2015*4+3+cfgDeslocamento)/48)</f>
        <v>0</v>
      </c>
    </row>
    <row r="2016" spans="1:8">
      <c r="A2016" s="24"/>
      <c r="B2016" s="19"/>
      <c r="C2016" s="25">
        <f>IF(D2016="","",D2016/48)</f>
        <v>0</v>
      </c>
      <c r="D2016" s="26">
        <f>IF(A2016="","",ROUND((A2016-cfgDefasagem/1440)*48,0))</f>
        <v>0</v>
      </c>
      <c r="E2016" s="26">
        <f>IF(D2016="","",INT((D2016-cfgDeslocamento)/4))</f>
        <v>0</v>
      </c>
      <c r="F2016" s="26">
        <f>IF(D2016="","",MOD(D2016-cfgDeslocamento,4)+1)</f>
        <v>0</v>
      </c>
      <c r="G2016" s="26">
        <f>IF(A2016="","",IF(AND(ISNUMBER(B2016),B2016&lt;&gt;0),1,0))</f>
        <v>0</v>
      </c>
      <c r="H2016" s="25">
        <f>IF(E2016="","",(E2016*4+3+cfgDeslocamento)/48)</f>
        <v>0</v>
      </c>
    </row>
    <row r="2017" spans="1:8">
      <c r="A2017" s="24"/>
      <c r="B2017" s="19"/>
      <c r="C2017" s="25">
        <f>IF(D2017="","",D2017/48)</f>
        <v>0</v>
      </c>
      <c r="D2017" s="26">
        <f>IF(A2017="","",ROUND((A2017-cfgDefasagem/1440)*48,0))</f>
        <v>0</v>
      </c>
      <c r="E2017" s="26">
        <f>IF(D2017="","",INT((D2017-cfgDeslocamento)/4))</f>
        <v>0</v>
      </c>
      <c r="F2017" s="26">
        <f>IF(D2017="","",MOD(D2017-cfgDeslocamento,4)+1)</f>
        <v>0</v>
      </c>
      <c r="G2017" s="26">
        <f>IF(A2017="","",IF(AND(ISNUMBER(B2017),B2017&lt;&gt;0),1,0))</f>
        <v>0</v>
      </c>
      <c r="H2017" s="25">
        <f>IF(E2017="","",(E2017*4+3+cfgDeslocamento)/48)</f>
        <v>0</v>
      </c>
    </row>
    <row r="2018" spans="1:8">
      <c r="A2018" s="24"/>
      <c r="B2018" s="19"/>
      <c r="C2018" s="25">
        <f>IF(D2018="","",D2018/48)</f>
        <v>0</v>
      </c>
      <c r="D2018" s="26">
        <f>IF(A2018="","",ROUND((A2018-cfgDefasagem/1440)*48,0))</f>
        <v>0</v>
      </c>
      <c r="E2018" s="26">
        <f>IF(D2018="","",INT((D2018-cfgDeslocamento)/4))</f>
        <v>0</v>
      </c>
      <c r="F2018" s="26">
        <f>IF(D2018="","",MOD(D2018-cfgDeslocamento,4)+1)</f>
        <v>0</v>
      </c>
      <c r="G2018" s="26">
        <f>IF(A2018="","",IF(AND(ISNUMBER(B2018),B2018&lt;&gt;0),1,0))</f>
        <v>0</v>
      </c>
      <c r="H2018" s="25">
        <f>IF(E2018="","",(E2018*4+3+cfgDeslocamento)/48)</f>
        <v>0</v>
      </c>
    </row>
    <row r="2019" spans="1:8">
      <c r="A2019" s="24"/>
      <c r="B2019" s="19"/>
      <c r="C2019" s="25">
        <f>IF(D2019="","",D2019/48)</f>
        <v>0</v>
      </c>
      <c r="D2019" s="26">
        <f>IF(A2019="","",ROUND((A2019-cfgDefasagem/1440)*48,0))</f>
        <v>0</v>
      </c>
      <c r="E2019" s="26">
        <f>IF(D2019="","",INT((D2019-cfgDeslocamento)/4))</f>
        <v>0</v>
      </c>
      <c r="F2019" s="26">
        <f>IF(D2019="","",MOD(D2019-cfgDeslocamento,4)+1)</f>
        <v>0</v>
      </c>
      <c r="G2019" s="26">
        <f>IF(A2019="","",IF(AND(ISNUMBER(B2019),B2019&lt;&gt;0),1,0))</f>
        <v>0</v>
      </c>
      <c r="H2019" s="25">
        <f>IF(E2019="","",(E2019*4+3+cfgDeslocamento)/48)</f>
        <v>0</v>
      </c>
    </row>
    <row r="2020" spans="1:8">
      <c r="A2020" s="24"/>
      <c r="B2020" s="19"/>
      <c r="C2020" s="25">
        <f>IF(D2020="","",D2020/48)</f>
        <v>0</v>
      </c>
      <c r="D2020" s="26">
        <f>IF(A2020="","",ROUND((A2020-cfgDefasagem/1440)*48,0))</f>
        <v>0</v>
      </c>
      <c r="E2020" s="26">
        <f>IF(D2020="","",INT((D2020-cfgDeslocamento)/4))</f>
        <v>0</v>
      </c>
      <c r="F2020" s="26">
        <f>IF(D2020="","",MOD(D2020-cfgDeslocamento,4)+1)</f>
        <v>0</v>
      </c>
      <c r="G2020" s="26">
        <f>IF(A2020="","",IF(AND(ISNUMBER(B2020),B2020&lt;&gt;0),1,0))</f>
        <v>0</v>
      </c>
      <c r="H2020" s="25">
        <f>IF(E2020="","",(E2020*4+3+cfgDeslocamento)/48)</f>
        <v>0</v>
      </c>
    </row>
    <row r="2021" spans="1:8">
      <c r="A2021" s="24"/>
      <c r="B2021" s="19"/>
      <c r="C2021" s="25">
        <f>IF(D2021="","",D2021/48)</f>
        <v>0</v>
      </c>
      <c r="D2021" s="26">
        <f>IF(A2021="","",ROUND((A2021-cfgDefasagem/1440)*48,0))</f>
        <v>0</v>
      </c>
      <c r="E2021" s="26">
        <f>IF(D2021="","",INT((D2021-cfgDeslocamento)/4))</f>
        <v>0</v>
      </c>
      <c r="F2021" s="26">
        <f>IF(D2021="","",MOD(D2021-cfgDeslocamento,4)+1)</f>
        <v>0</v>
      </c>
      <c r="G2021" s="26">
        <f>IF(A2021="","",IF(AND(ISNUMBER(B2021),B2021&lt;&gt;0),1,0))</f>
        <v>0</v>
      </c>
      <c r="H2021" s="25">
        <f>IF(E2021="","",(E2021*4+3+cfgDeslocamento)/48)</f>
        <v>0</v>
      </c>
    </row>
    <row r="2022" spans="1:8">
      <c r="A2022" s="24"/>
      <c r="B2022" s="19"/>
      <c r="C2022" s="25">
        <f>IF(D2022="","",D2022/48)</f>
        <v>0</v>
      </c>
      <c r="D2022" s="26">
        <f>IF(A2022="","",ROUND((A2022-cfgDefasagem/1440)*48,0))</f>
        <v>0</v>
      </c>
      <c r="E2022" s="26">
        <f>IF(D2022="","",INT((D2022-cfgDeslocamento)/4))</f>
        <v>0</v>
      </c>
      <c r="F2022" s="26">
        <f>IF(D2022="","",MOD(D2022-cfgDeslocamento,4)+1)</f>
        <v>0</v>
      </c>
      <c r="G2022" s="26">
        <f>IF(A2022="","",IF(AND(ISNUMBER(B2022),B2022&lt;&gt;0),1,0))</f>
        <v>0</v>
      </c>
      <c r="H2022" s="25">
        <f>IF(E2022="","",(E2022*4+3+cfgDeslocamento)/48)</f>
        <v>0</v>
      </c>
    </row>
    <row r="2023" spans="1:8">
      <c r="A2023" s="24"/>
      <c r="B2023" s="19"/>
      <c r="C2023" s="25">
        <f>IF(D2023="","",D2023/48)</f>
        <v>0</v>
      </c>
      <c r="D2023" s="26">
        <f>IF(A2023="","",ROUND((A2023-cfgDefasagem/1440)*48,0))</f>
        <v>0</v>
      </c>
      <c r="E2023" s="26">
        <f>IF(D2023="","",INT((D2023-cfgDeslocamento)/4))</f>
        <v>0</v>
      </c>
      <c r="F2023" s="26">
        <f>IF(D2023="","",MOD(D2023-cfgDeslocamento,4)+1)</f>
        <v>0</v>
      </c>
      <c r="G2023" s="26">
        <f>IF(A2023="","",IF(AND(ISNUMBER(B2023),B2023&lt;&gt;0),1,0))</f>
        <v>0</v>
      </c>
      <c r="H2023" s="25">
        <f>IF(E2023="","",(E2023*4+3+cfgDeslocamento)/48)</f>
        <v>0</v>
      </c>
    </row>
    <row r="2024" spans="1:8">
      <c r="A2024" s="24"/>
      <c r="B2024" s="19"/>
      <c r="C2024" s="25">
        <f>IF(D2024="","",D2024/48)</f>
        <v>0</v>
      </c>
      <c r="D2024" s="26">
        <f>IF(A2024="","",ROUND((A2024-cfgDefasagem/1440)*48,0))</f>
        <v>0</v>
      </c>
      <c r="E2024" s="26">
        <f>IF(D2024="","",INT((D2024-cfgDeslocamento)/4))</f>
        <v>0</v>
      </c>
      <c r="F2024" s="26">
        <f>IF(D2024="","",MOD(D2024-cfgDeslocamento,4)+1)</f>
        <v>0</v>
      </c>
      <c r="G2024" s="26">
        <f>IF(A2024="","",IF(AND(ISNUMBER(B2024),B2024&lt;&gt;0),1,0))</f>
        <v>0</v>
      </c>
      <c r="H2024" s="25">
        <f>IF(E2024="","",(E2024*4+3+cfgDeslocamento)/48)</f>
        <v>0</v>
      </c>
    </row>
    <row r="2025" spans="1:8">
      <c r="A2025" s="24"/>
      <c r="B2025" s="19"/>
      <c r="C2025" s="25">
        <f>IF(D2025="","",D2025/48)</f>
        <v>0</v>
      </c>
      <c r="D2025" s="26">
        <f>IF(A2025="","",ROUND((A2025-cfgDefasagem/1440)*48,0))</f>
        <v>0</v>
      </c>
      <c r="E2025" s="26">
        <f>IF(D2025="","",INT((D2025-cfgDeslocamento)/4))</f>
        <v>0</v>
      </c>
      <c r="F2025" s="26">
        <f>IF(D2025="","",MOD(D2025-cfgDeslocamento,4)+1)</f>
        <v>0</v>
      </c>
      <c r="G2025" s="26">
        <f>IF(A2025="","",IF(AND(ISNUMBER(B2025),B2025&lt;&gt;0),1,0))</f>
        <v>0</v>
      </c>
      <c r="H2025" s="25">
        <f>IF(E2025="","",(E2025*4+3+cfgDeslocamento)/48)</f>
        <v>0</v>
      </c>
    </row>
    <row r="2026" spans="1:8">
      <c r="A2026" s="24"/>
      <c r="B2026" s="19"/>
      <c r="C2026" s="25">
        <f>IF(D2026="","",D2026/48)</f>
        <v>0</v>
      </c>
      <c r="D2026" s="26">
        <f>IF(A2026="","",ROUND((A2026-cfgDefasagem/1440)*48,0))</f>
        <v>0</v>
      </c>
      <c r="E2026" s="26">
        <f>IF(D2026="","",INT((D2026-cfgDeslocamento)/4))</f>
        <v>0</v>
      </c>
      <c r="F2026" s="26">
        <f>IF(D2026="","",MOD(D2026-cfgDeslocamento,4)+1)</f>
        <v>0</v>
      </c>
      <c r="G2026" s="26">
        <f>IF(A2026="","",IF(AND(ISNUMBER(B2026),B2026&lt;&gt;0),1,0))</f>
        <v>0</v>
      </c>
      <c r="H2026" s="25">
        <f>IF(E2026="","",(E2026*4+3+cfgDeslocamento)/48)</f>
        <v>0</v>
      </c>
    </row>
    <row r="2027" spans="1:8">
      <c r="A2027" s="24"/>
      <c r="B2027" s="19"/>
      <c r="C2027" s="25">
        <f>IF(D2027="","",D2027/48)</f>
        <v>0</v>
      </c>
      <c r="D2027" s="26">
        <f>IF(A2027="","",ROUND((A2027-cfgDefasagem/1440)*48,0))</f>
        <v>0</v>
      </c>
      <c r="E2027" s="26">
        <f>IF(D2027="","",INT((D2027-cfgDeslocamento)/4))</f>
        <v>0</v>
      </c>
      <c r="F2027" s="26">
        <f>IF(D2027="","",MOD(D2027-cfgDeslocamento,4)+1)</f>
        <v>0</v>
      </c>
      <c r="G2027" s="26">
        <f>IF(A2027="","",IF(AND(ISNUMBER(B2027),B2027&lt;&gt;0),1,0))</f>
        <v>0</v>
      </c>
      <c r="H2027" s="25">
        <f>IF(E2027="","",(E2027*4+3+cfgDeslocamento)/48)</f>
        <v>0</v>
      </c>
    </row>
    <row r="2028" spans="1:8">
      <c r="A2028" s="24"/>
      <c r="B2028" s="19"/>
      <c r="C2028" s="25">
        <f>IF(D2028="","",D2028/48)</f>
        <v>0</v>
      </c>
      <c r="D2028" s="26">
        <f>IF(A2028="","",ROUND((A2028-cfgDefasagem/1440)*48,0))</f>
        <v>0</v>
      </c>
      <c r="E2028" s="26">
        <f>IF(D2028="","",INT((D2028-cfgDeslocamento)/4))</f>
        <v>0</v>
      </c>
      <c r="F2028" s="26">
        <f>IF(D2028="","",MOD(D2028-cfgDeslocamento,4)+1)</f>
        <v>0</v>
      </c>
      <c r="G2028" s="26">
        <f>IF(A2028="","",IF(AND(ISNUMBER(B2028),B2028&lt;&gt;0),1,0))</f>
        <v>0</v>
      </c>
      <c r="H2028" s="25">
        <f>IF(E2028="","",(E2028*4+3+cfgDeslocamento)/48)</f>
        <v>0</v>
      </c>
    </row>
    <row r="2029" spans="1:8">
      <c r="A2029" s="24"/>
      <c r="B2029" s="19"/>
      <c r="C2029" s="25">
        <f>IF(D2029="","",D2029/48)</f>
        <v>0</v>
      </c>
      <c r="D2029" s="26">
        <f>IF(A2029="","",ROUND((A2029-cfgDefasagem/1440)*48,0))</f>
        <v>0</v>
      </c>
      <c r="E2029" s="26">
        <f>IF(D2029="","",INT((D2029-cfgDeslocamento)/4))</f>
        <v>0</v>
      </c>
      <c r="F2029" s="26">
        <f>IF(D2029="","",MOD(D2029-cfgDeslocamento,4)+1)</f>
        <v>0</v>
      </c>
      <c r="G2029" s="26">
        <f>IF(A2029="","",IF(AND(ISNUMBER(B2029),B2029&lt;&gt;0),1,0))</f>
        <v>0</v>
      </c>
      <c r="H2029" s="25">
        <f>IF(E2029="","",(E2029*4+3+cfgDeslocamento)/48)</f>
        <v>0</v>
      </c>
    </row>
    <row r="2030" spans="1:8">
      <c r="A2030" s="24"/>
      <c r="B2030" s="19"/>
      <c r="C2030" s="25">
        <f>IF(D2030="","",D2030/48)</f>
        <v>0</v>
      </c>
      <c r="D2030" s="26">
        <f>IF(A2030="","",ROUND((A2030-cfgDefasagem/1440)*48,0))</f>
        <v>0</v>
      </c>
      <c r="E2030" s="26">
        <f>IF(D2030="","",INT((D2030-cfgDeslocamento)/4))</f>
        <v>0</v>
      </c>
      <c r="F2030" s="26">
        <f>IF(D2030="","",MOD(D2030-cfgDeslocamento,4)+1)</f>
        <v>0</v>
      </c>
      <c r="G2030" s="26">
        <f>IF(A2030="","",IF(AND(ISNUMBER(B2030),B2030&lt;&gt;0),1,0))</f>
        <v>0</v>
      </c>
      <c r="H2030" s="25">
        <f>IF(E2030="","",(E2030*4+3+cfgDeslocamento)/48)</f>
        <v>0</v>
      </c>
    </row>
    <row r="2031" spans="1:8">
      <c r="A2031" s="24"/>
      <c r="B2031" s="19"/>
      <c r="C2031" s="25">
        <f>IF(D2031="","",D2031/48)</f>
        <v>0</v>
      </c>
      <c r="D2031" s="26">
        <f>IF(A2031="","",ROUND((A2031-cfgDefasagem/1440)*48,0))</f>
        <v>0</v>
      </c>
      <c r="E2031" s="26">
        <f>IF(D2031="","",INT((D2031-cfgDeslocamento)/4))</f>
        <v>0</v>
      </c>
      <c r="F2031" s="26">
        <f>IF(D2031="","",MOD(D2031-cfgDeslocamento,4)+1)</f>
        <v>0</v>
      </c>
      <c r="G2031" s="26">
        <f>IF(A2031="","",IF(AND(ISNUMBER(B2031),B2031&lt;&gt;0),1,0))</f>
        <v>0</v>
      </c>
      <c r="H2031" s="25">
        <f>IF(E2031="","",(E2031*4+3+cfgDeslocamento)/48)</f>
        <v>0</v>
      </c>
    </row>
    <row r="2032" spans="1:8">
      <c r="A2032" s="24"/>
      <c r="B2032" s="19"/>
      <c r="C2032" s="25">
        <f>IF(D2032="","",D2032/48)</f>
        <v>0</v>
      </c>
      <c r="D2032" s="26">
        <f>IF(A2032="","",ROUND((A2032-cfgDefasagem/1440)*48,0))</f>
        <v>0</v>
      </c>
      <c r="E2032" s="26">
        <f>IF(D2032="","",INT((D2032-cfgDeslocamento)/4))</f>
        <v>0</v>
      </c>
      <c r="F2032" s="26">
        <f>IF(D2032="","",MOD(D2032-cfgDeslocamento,4)+1)</f>
        <v>0</v>
      </c>
      <c r="G2032" s="26">
        <f>IF(A2032="","",IF(AND(ISNUMBER(B2032),B2032&lt;&gt;0),1,0))</f>
        <v>0</v>
      </c>
      <c r="H2032" s="25">
        <f>IF(E2032="","",(E2032*4+3+cfgDeslocamento)/48)</f>
        <v>0</v>
      </c>
    </row>
    <row r="2033" spans="1:8">
      <c r="A2033" s="24"/>
      <c r="B2033" s="19"/>
      <c r="C2033" s="25">
        <f>IF(D2033="","",D2033/48)</f>
        <v>0</v>
      </c>
      <c r="D2033" s="26">
        <f>IF(A2033="","",ROUND((A2033-cfgDefasagem/1440)*48,0))</f>
        <v>0</v>
      </c>
      <c r="E2033" s="26">
        <f>IF(D2033="","",INT((D2033-cfgDeslocamento)/4))</f>
        <v>0</v>
      </c>
      <c r="F2033" s="26">
        <f>IF(D2033="","",MOD(D2033-cfgDeslocamento,4)+1)</f>
        <v>0</v>
      </c>
      <c r="G2033" s="26">
        <f>IF(A2033="","",IF(AND(ISNUMBER(B2033),B2033&lt;&gt;0),1,0))</f>
        <v>0</v>
      </c>
      <c r="H2033" s="25">
        <f>IF(E2033="","",(E2033*4+3+cfgDeslocamento)/48)</f>
        <v>0</v>
      </c>
    </row>
    <row r="2034" spans="1:8">
      <c r="A2034" s="24"/>
      <c r="B2034" s="19"/>
      <c r="C2034" s="25">
        <f>IF(D2034="","",D2034/48)</f>
        <v>0</v>
      </c>
      <c r="D2034" s="26">
        <f>IF(A2034="","",ROUND((A2034-cfgDefasagem/1440)*48,0))</f>
        <v>0</v>
      </c>
      <c r="E2034" s="26">
        <f>IF(D2034="","",INT((D2034-cfgDeslocamento)/4))</f>
        <v>0</v>
      </c>
      <c r="F2034" s="26">
        <f>IF(D2034="","",MOD(D2034-cfgDeslocamento,4)+1)</f>
        <v>0</v>
      </c>
      <c r="G2034" s="26">
        <f>IF(A2034="","",IF(AND(ISNUMBER(B2034),B2034&lt;&gt;0),1,0))</f>
        <v>0</v>
      </c>
      <c r="H2034" s="25">
        <f>IF(E2034="","",(E2034*4+3+cfgDeslocamento)/48)</f>
        <v>0</v>
      </c>
    </row>
    <row r="2035" spans="1:8">
      <c r="A2035" s="24"/>
      <c r="B2035" s="19"/>
      <c r="C2035" s="25">
        <f>IF(D2035="","",D2035/48)</f>
        <v>0</v>
      </c>
      <c r="D2035" s="26">
        <f>IF(A2035="","",ROUND((A2035-cfgDefasagem/1440)*48,0))</f>
        <v>0</v>
      </c>
      <c r="E2035" s="26">
        <f>IF(D2035="","",INT((D2035-cfgDeslocamento)/4))</f>
        <v>0</v>
      </c>
      <c r="F2035" s="26">
        <f>IF(D2035="","",MOD(D2035-cfgDeslocamento,4)+1)</f>
        <v>0</v>
      </c>
      <c r="G2035" s="26">
        <f>IF(A2035="","",IF(AND(ISNUMBER(B2035),B2035&lt;&gt;0),1,0))</f>
        <v>0</v>
      </c>
      <c r="H2035" s="25">
        <f>IF(E2035="","",(E2035*4+3+cfgDeslocamento)/48)</f>
        <v>0</v>
      </c>
    </row>
    <row r="2036" spans="1:8">
      <c r="A2036" s="24"/>
      <c r="B2036" s="19"/>
      <c r="C2036" s="25">
        <f>IF(D2036="","",D2036/48)</f>
        <v>0</v>
      </c>
      <c r="D2036" s="26">
        <f>IF(A2036="","",ROUND((A2036-cfgDefasagem/1440)*48,0))</f>
        <v>0</v>
      </c>
      <c r="E2036" s="26">
        <f>IF(D2036="","",INT((D2036-cfgDeslocamento)/4))</f>
        <v>0</v>
      </c>
      <c r="F2036" s="26">
        <f>IF(D2036="","",MOD(D2036-cfgDeslocamento,4)+1)</f>
        <v>0</v>
      </c>
      <c r="G2036" s="26">
        <f>IF(A2036="","",IF(AND(ISNUMBER(B2036),B2036&lt;&gt;0),1,0))</f>
        <v>0</v>
      </c>
      <c r="H2036" s="25">
        <f>IF(E2036="","",(E2036*4+3+cfgDeslocamento)/48)</f>
        <v>0</v>
      </c>
    </row>
    <row r="2037" spans="1:8">
      <c r="A2037" s="24"/>
      <c r="B2037" s="19"/>
      <c r="C2037" s="25">
        <f>IF(D2037="","",D2037/48)</f>
        <v>0</v>
      </c>
      <c r="D2037" s="26">
        <f>IF(A2037="","",ROUND((A2037-cfgDefasagem/1440)*48,0))</f>
        <v>0</v>
      </c>
      <c r="E2037" s="26">
        <f>IF(D2037="","",INT((D2037-cfgDeslocamento)/4))</f>
        <v>0</v>
      </c>
      <c r="F2037" s="26">
        <f>IF(D2037="","",MOD(D2037-cfgDeslocamento,4)+1)</f>
        <v>0</v>
      </c>
      <c r="G2037" s="26">
        <f>IF(A2037="","",IF(AND(ISNUMBER(B2037),B2037&lt;&gt;0),1,0))</f>
        <v>0</v>
      </c>
      <c r="H2037" s="25">
        <f>IF(E2037="","",(E2037*4+3+cfgDeslocamento)/48)</f>
        <v>0</v>
      </c>
    </row>
    <row r="2038" spans="1:8">
      <c r="A2038" s="24"/>
      <c r="B2038" s="19"/>
      <c r="C2038" s="25">
        <f>IF(D2038="","",D2038/48)</f>
        <v>0</v>
      </c>
      <c r="D2038" s="26">
        <f>IF(A2038="","",ROUND((A2038-cfgDefasagem/1440)*48,0))</f>
        <v>0</v>
      </c>
      <c r="E2038" s="26">
        <f>IF(D2038="","",INT((D2038-cfgDeslocamento)/4))</f>
        <v>0</v>
      </c>
      <c r="F2038" s="26">
        <f>IF(D2038="","",MOD(D2038-cfgDeslocamento,4)+1)</f>
        <v>0</v>
      </c>
      <c r="G2038" s="26">
        <f>IF(A2038="","",IF(AND(ISNUMBER(B2038),B2038&lt;&gt;0),1,0))</f>
        <v>0</v>
      </c>
      <c r="H2038" s="25">
        <f>IF(E2038="","",(E2038*4+3+cfgDeslocamento)/48)</f>
        <v>0</v>
      </c>
    </row>
    <row r="2039" spans="1:8">
      <c r="A2039" s="24"/>
      <c r="B2039" s="19"/>
      <c r="C2039" s="25">
        <f>IF(D2039="","",D2039/48)</f>
        <v>0</v>
      </c>
      <c r="D2039" s="26">
        <f>IF(A2039="","",ROUND((A2039-cfgDefasagem/1440)*48,0))</f>
        <v>0</v>
      </c>
      <c r="E2039" s="26">
        <f>IF(D2039="","",INT((D2039-cfgDeslocamento)/4))</f>
        <v>0</v>
      </c>
      <c r="F2039" s="26">
        <f>IF(D2039="","",MOD(D2039-cfgDeslocamento,4)+1)</f>
        <v>0</v>
      </c>
      <c r="G2039" s="26">
        <f>IF(A2039="","",IF(AND(ISNUMBER(B2039),B2039&lt;&gt;0),1,0))</f>
        <v>0</v>
      </c>
      <c r="H2039" s="25">
        <f>IF(E2039="","",(E2039*4+3+cfgDeslocamento)/48)</f>
        <v>0</v>
      </c>
    </row>
    <row r="2040" spans="1:8">
      <c r="A2040" s="24"/>
      <c r="B2040" s="19"/>
      <c r="C2040" s="25">
        <f>IF(D2040="","",D2040/48)</f>
        <v>0</v>
      </c>
      <c r="D2040" s="26">
        <f>IF(A2040="","",ROUND((A2040-cfgDefasagem/1440)*48,0))</f>
        <v>0</v>
      </c>
      <c r="E2040" s="26">
        <f>IF(D2040="","",INT((D2040-cfgDeslocamento)/4))</f>
        <v>0</v>
      </c>
      <c r="F2040" s="26">
        <f>IF(D2040="","",MOD(D2040-cfgDeslocamento,4)+1)</f>
        <v>0</v>
      </c>
      <c r="G2040" s="26">
        <f>IF(A2040="","",IF(AND(ISNUMBER(B2040),B2040&lt;&gt;0),1,0))</f>
        <v>0</v>
      </c>
      <c r="H2040" s="25">
        <f>IF(E2040="","",(E2040*4+3+cfgDeslocamento)/48)</f>
        <v>0</v>
      </c>
    </row>
    <row r="2041" spans="1:8">
      <c r="A2041" s="24"/>
      <c r="B2041" s="19"/>
      <c r="C2041" s="25">
        <f>IF(D2041="","",D2041/48)</f>
        <v>0</v>
      </c>
      <c r="D2041" s="26">
        <f>IF(A2041="","",ROUND((A2041-cfgDefasagem/1440)*48,0))</f>
        <v>0</v>
      </c>
      <c r="E2041" s="26">
        <f>IF(D2041="","",INT((D2041-cfgDeslocamento)/4))</f>
        <v>0</v>
      </c>
      <c r="F2041" s="26">
        <f>IF(D2041="","",MOD(D2041-cfgDeslocamento,4)+1)</f>
        <v>0</v>
      </c>
      <c r="G2041" s="26">
        <f>IF(A2041="","",IF(AND(ISNUMBER(B2041),B2041&lt;&gt;0),1,0))</f>
        <v>0</v>
      </c>
      <c r="H2041" s="25">
        <f>IF(E2041="","",(E2041*4+3+cfgDeslocamento)/48)</f>
        <v>0</v>
      </c>
    </row>
    <row r="2042" spans="1:8">
      <c r="A2042" s="24"/>
      <c r="B2042" s="19"/>
      <c r="C2042" s="25">
        <f>IF(D2042="","",D2042/48)</f>
        <v>0</v>
      </c>
      <c r="D2042" s="26">
        <f>IF(A2042="","",ROUND((A2042-cfgDefasagem/1440)*48,0))</f>
        <v>0</v>
      </c>
      <c r="E2042" s="26">
        <f>IF(D2042="","",INT((D2042-cfgDeslocamento)/4))</f>
        <v>0</v>
      </c>
      <c r="F2042" s="26">
        <f>IF(D2042="","",MOD(D2042-cfgDeslocamento,4)+1)</f>
        <v>0</v>
      </c>
      <c r="G2042" s="26">
        <f>IF(A2042="","",IF(AND(ISNUMBER(B2042),B2042&lt;&gt;0),1,0))</f>
        <v>0</v>
      </c>
      <c r="H2042" s="25">
        <f>IF(E2042="","",(E2042*4+3+cfgDeslocamento)/48)</f>
        <v>0</v>
      </c>
    </row>
    <row r="2043" spans="1:8">
      <c r="A2043" s="24"/>
      <c r="B2043" s="19"/>
      <c r="C2043" s="25">
        <f>IF(D2043="","",D2043/48)</f>
        <v>0</v>
      </c>
      <c r="D2043" s="26">
        <f>IF(A2043="","",ROUND((A2043-cfgDefasagem/1440)*48,0))</f>
        <v>0</v>
      </c>
      <c r="E2043" s="26">
        <f>IF(D2043="","",INT((D2043-cfgDeslocamento)/4))</f>
        <v>0</v>
      </c>
      <c r="F2043" s="26">
        <f>IF(D2043="","",MOD(D2043-cfgDeslocamento,4)+1)</f>
        <v>0</v>
      </c>
      <c r="G2043" s="26">
        <f>IF(A2043="","",IF(AND(ISNUMBER(B2043),B2043&lt;&gt;0),1,0))</f>
        <v>0</v>
      </c>
      <c r="H2043" s="25">
        <f>IF(E2043="","",(E2043*4+3+cfgDeslocamento)/48)</f>
        <v>0</v>
      </c>
    </row>
    <row r="2044" spans="1:8">
      <c r="A2044" s="24"/>
      <c r="B2044" s="19"/>
      <c r="C2044" s="25">
        <f>IF(D2044="","",D2044/48)</f>
        <v>0</v>
      </c>
      <c r="D2044" s="26">
        <f>IF(A2044="","",ROUND((A2044-cfgDefasagem/1440)*48,0))</f>
        <v>0</v>
      </c>
      <c r="E2044" s="26">
        <f>IF(D2044="","",INT((D2044-cfgDeslocamento)/4))</f>
        <v>0</v>
      </c>
      <c r="F2044" s="26">
        <f>IF(D2044="","",MOD(D2044-cfgDeslocamento,4)+1)</f>
        <v>0</v>
      </c>
      <c r="G2044" s="26">
        <f>IF(A2044="","",IF(AND(ISNUMBER(B2044),B2044&lt;&gt;0),1,0))</f>
        <v>0</v>
      </c>
      <c r="H2044" s="25">
        <f>IF(E2044="","",(E2044*4+3+cfgDeslocamento)/48)</f>
        <v>0</v>
      </c>
    </row>
    <row r="2045" spans="1:8">
      <c r="A2045" s="24"/>
      <c r="B2045" s="19"/>
      <c r="C2045" s="25">
        <f>IF(D2045="","",D2045/48)</f>
        <v>0</v>
      </c>
      <c r="D2045" s="26">
        <f>IF(A2045="","",ROUND((A2045-cfgDefasagem/1440)*48,0))</f>
        <v>0</v>
      </c>
      <c r="E2045" s="26">
        <f>IF(D2045="","",INT((D2045-cfgDeslocamento)/4))</f>
        <v>0</v>
      </c>
      <c r="F2045" s="26">
        <f>IF(D2045="","",MOD(D2045-cfgDeslocamento,4)+1)</f>
        <v>0</v>
      </c>
      <c r="G2045" s="26">
        <f>IF(A2045="","",IF(AND(ISNUMBER(B2045),B2045&lt;&gt;0),1,0))</f>
        <v>0</v>
      </c>
      <c r="H2045" s="25">
        <f>IF(E2045="","",(E2045*4+3+cfgDeslocamento)/48)</f>
        <v>0</v>
      </c>
    </row>
    <row r="2046" spans="1:8">
      <c r="A2046" s="24"/>
      <c r="B2046" s="19"/>
      <c r="C2046" s="25">
        <f>IF(D2046="","",D2046/48)</f>
        <v>0</v>
      </c>
      <c r="D2046" s="26">
        <f>IF(A2046="","",ROUND((A2046-cfgDefasagem/1440)*48,0))</f>
        <v>0</v>
      </c>
      <c r="E2046" s="26">
        <f>IF(D2046="","",INT((D2046-cfgDeslocamento)/4))</f>
        <v>0</v>
      </c>
      <c r="F2046" s="26">
        <f>IF(D2046="","",MOD(D2046-cfgDeslocamento,4)+1)</f>
        <v>0</v>
      </c>
      <c r="G2046" s="26">
        <f>IF(A2046="","",IF(AND(ISNUMBER(B2046),B2046&lt;&gt;0),1,0))</f>
        <v>0</v>
      </c>
      <c r="H2046" s="25">
        <f>IF(E2046="","",(E2046*4+3+cfgDeslocamento)/48)</f>
        <v>0</v>
      </c>
    </row>
    <row r="2047" spans="1:8">
      <c r="A2047" s="24"/>
      <c r="B2047" s="19"/>
      <c r="C2047" s="25">
        <f>IF(D2047="","",D2047/48)</f>
        <v>0</v>
      </c>
      <c r="D2047" s="26">
        <f>IF(A2047="","",ROUND((A2047-cfgDefasagem/1440)*48,0))</f>
        <v>0</v>
      </c>
      <c r="E2047" s="26">
        <f>IF(D2047="","",INT((D2047-cfgDeslocamento)/4))</f>
        <v>0</v>
      </c>
      <c r="F2047" s="26">
        <f>IF(D2047="","",MOD(D2047-cfgDeslocamento,4)+1)</f>
        <v>0</v>
      </c>
      <c r="G2047" s="26">
        <f>IF(A2047="","",IF(AND(ISNUMBER(B2047),B2047&lt;&gt;0),1,0))</f>
        <v>0</v>
      </c>
      <c r="H2047" s="25">
        <f>IF(E2047="","",(E2047*4+3+cfgDeslocamento)/48)</f>
        <v>0</v>
      </c>
    </row>
    <row r="2048" spans="1:8">
      <c r="A2048" s="24"/>
      <c r="B2048" s="19"/>
      <c r="C2048" s="25">
        <f>IF(D2048="","",D2048/48)</f>
        <v>0</v>
      </c>
      <c r="D2048" s="26">
        <f>IF(A2048="","",ROUND((A2048-cfgDefasagem/1440)*48,0))</f>
        <v>0</v>
      </c>
      <c r="E2048" s="26">
        <f>IF(D2048="","",INT((D2048-cfgDeslocamento)/4))</f>
        <v>0</v>
      </c>
      <c r="F2048" s="26">
        <f>IF(D2048="","",MOD(D2048-cfgDeslocamento,4)+1)</f>
        <v>0</v>
      </c>
      <c r="G2048" s="26">
        <f>IF(A2048="","",IF(AND(ISNUMBER(B2048),B2048&lt;&gt;0),1,0))</f>
        <v>0</v>
      </c>
      <c r="H2048" s="25">
        <f>IF(E2048="","",(E2048*4+3+cfgDeslocamento)/48)</f>
        <v>0</v>
      </c>
    </row>
    <row r="2049" spans="1:8">
      <c r="A2049" s="24"/>
      <c r="B2049" s="19"/>
      <c r="C2049" s="25">
        <f>IF(D2049="","",D2049/48)</f>
        <v>0</v>
      </c>
      <c r="D2049" s="26">
        <f>IF(A2049="","",ROUND((A2049-cfgDefasagem/1440)*48,0))</f>
        <v>0</v>
      </c>
      <c r="E2049" s="26">
        <f>IF(D2049="","",INT((D2049-cfgDeslocamento)/4))</f>
        <v>0</v>
      </c>
      <c r="F2049" s="26">
        <f>IF(D2049="","",MOD(D2049-cfgDeslocamento,4)+1)</f>
        <v>0</v>
      </c>
      <c r="G2049" s="26">
        <f>IF(A2049="","",IF(AND(ISNUMBER(B2049),B2049&lt;&gt;0),1,0))</f>
        <v>0</v>
      </c>
      <c r="H2049" s="25">
        <f>IF(E2049="","",(E2049*4+3+cfgDeslocamento)/48)</f>
        <v>0</v>
      </c>
    </row>
    <row r="2050" spans="1:8">
      <c r="A2050" s="24"/>
      <c r="B2050" s="19"/>
      <c r="C2050" s="25">
        <f>IF(D2050="","",D2050/48)</f>
        <v>0</v>
      </c>
      <c r="D2050" s="26">
        <f>IF(A2050="","",ROUND((A2050-cfgDefasagem/1440)*48,0))</f>
        <v>0</v>
      </c>
      <c r="E2050" s="26">
        <f>IF(D2050="","",INT((D2050-cfgDeslocamento)/4))</f>
        <v>0</v>
      </c>
      <c r="F2050" s="26">
        <f>IF(D2050="","",MOD(D2050-cfgDeslocamento,4)+1)</f>
        <v>0</v>
      </c>
      <c r="G2050" s="26">
        <f>IF(A2050="","",IF(AND(ISNUMBER(B2050),B2050&lt;&gt;0),1,0))</f>
        <v>0</v>
      </c>
      <c r="H2050" s="25">
        <f>IF(E2050="","",(E2050*4+3+cfgDeslocamento)/48)</f>
        <v>0</v>
      </c>
    </row>
    <row r="2051" spans="1:8">
      <c r="A2051" s="24"/>
      <c r="B2051" s="19"/>
      <c r="C2051" s="25">
        <f>IF(D2051="","",D2051/48)</f>
        <v>0</v>
      </c>
      <c r="D2051" s="26">
        <f>IF(A2051="","",ROUND((A2051-cfgDefasagem/1440)*48,0))</f>
        <v>0</v>
      </c>
      <c r="E2051" s="26">
        <f>IF(D2051="","",INT((D2051-cfgDeslocamento)/4))</f>
        <v>0</v>
      </c>
      <c r="F2051" s="26">
        <f>IF(D2051="","",MOD(D2051-cfgDeslocamento,4)+1)</f>
        <v>0</v>
      </c>
      <c r="G2051" s="26">
        <f>IF(A2051="","",IF(AND(ISNUMBER(B2051),B2051&lt;&gt;0),1,0))</f>
        <v>0</v>
      </c>
      <c r="H2051" s="25">
        <f>IF(E2051="","",(E2051*4+3+cfgDeslocamento)/48)</f>
        <v>0</v>
      </c>
    </row>
    <row r="2052" spans="1:8">
      <c r="A2052" s="24"/>
      <c r="B2052" s="19"/>
      <c r="C2052" s="25">
        <f>IF(D2052="","",D2052/48)</f>
        <v>0</v>
      </c>
      <c r="D2052" s="26">
        <f>IF(A2052="","",ROUND((A2052-cfgDefasagem/1440)*48,0))</f>
        <v>0</v>
      </c>
      <c r="E2052" s="26">
        <f>IF(D2052="","",INT((D2052-cfgDeslocamento)/4))</f>
        <v>0</v>
      </c>
      <c r="F2052" s="26">
        <f>IF(D2052="","",MOD(D2052-cfgDeslocamento,4)+1)</f>
        <v>0</v>
      </c>
      <c r="G2052" s="26">
        <f>IF(A2052="","",IF(AND(ISNUMBER(B2052),B2052&lt;&gt;0),1,0))</f>
        <v>0</v>
      </c>
      <c r="H2052" s="25">
        <f>IF(E2052="","",(E2052*4+3+cfgDeslocamento)/48)</f>
        <v>0</v>
      </c>
    </row>
    <row r="2053" spans="1:8">
      <c r="A2053" s="24"/>
      <c r="B2053" s="19"/>
      <c r="C2053" s="25">
        <f>IF(D2053="","",D2053/48)</f>
        <v>0</v>
      </c>
      <c r="D2053" s="26">
        <f>IF(A2053="","",ROUND((A2053-cfgDefasagem/1440)*48,0))</f>
        <v>0</v>
      </c>
      <c r="E2053" s="26">
        <f>IF(D2053="","",INT((D2053-cfgDeslocamento)/4))</f>
        <v>0</v>
      </c>
      <c r="F2053" s="26">
        <f>IF(D2053="","",MOD(D2053-cfgDeslocamento,4)+1)</f>
        <v>0</v>
      </c>
      <c r="G2053" s="26">
        <f>IF(A2053="","",IF(AND(ISNUMBER(B2053),B2053&lt;&gt;0),1,0))</f>
        <v>0</v>
      </c>
      <c r="H2053" s="25">
        <f>IF(E2053="","",(E2053*4+3+cfgDeslocamento)/48)</f>
        <v>0</v>
      </c>
    </row>
    <row r="2054" spans="1:8">
      <c r="A2054" s="24"/>
      <c r="B2054" s="19"/>
      <c r="C2054" s="25">
        <f>IF(D2054="","",D2054/48)</f>
        <v>0</v>
      </c>
      <c r="D2054" s="26">
        <f>IF(A2054="","",ROUND((A2054-cfgDefasagem/1440)*48,0))</f>
        <v>0</v>
      </c>
      <c r="E2054" s="26">
        <f>IF(D2054="","",INT((D2054-cfgDeslocamento)/4))</f>
        <v>0</v>
      </c>
      <c r="F2054" s="26">
        <f>IF(D2054="","",MOD(D2054-cfgDeslocamento,4)+1)</f>
        <v>0</v>
      </c>
      <c r="G2054" s="26">
        <f>IF(A2054="","",IF(AND(ISNUMBER(B2054),B2054&lt;&gt;0),1,0))</f>
        <v>0</v>
      </c>
      <c r="H2054" s="25">
        <f>IF(E2054="","",(E2054*4+3+cfgDeslocamento)/48)</f>
        <v>0</v>
      </c>
    </row>
    <row r="2055" spans="1:8">
      <c r="A2055" s="24"/>
      <c r="B2055" s="19"/>
      <c r="C2055" s="25">
        <f>IF(D2055="","",D2055/48)</f>
        <v>0</v>
      </c>
      <c r="D2055" s="26">
        <f>IF(A2055="","",ROUND((A2055-cfgDefasagem/1440)*48,0))</f>
        <v>0</v>
      </c>
      <c r="E2055" s="26">
        <f>IF(D2055="","",INT((D2055-cfgDeslocamento)/4))</f>
        <v>0</v>
      </c>
      <c r="F2055" s="26">
        <f>IF(D2055="","",MOD(D2055-cfgDeslocamento,4)+1)</f>
        <v>0</v>
      </c>
      <c r="G2055" s="26">
        <f>IF(A2055="","",IF(AND(ISNUMBER(B2055),B2055&lt;&gt;0),1,0))</f>
        <v>0</v>
      </c>
      <c r="H2055" s="25">
        <f>IF(E2055="","",(E2055*4+3+cfgDeslocamento)/48)</f>
        <v>0</v>
      </c>
    </row>
    <row r="2056" spans="1:8">
      <c r="A2056" s="24"/>
      <c r="B2056" s="19"/>
      <c r="C2056" s="25">
        <f>IF(D2056="","",D2056/48)</f>
        <v>0</v>
      </c>
      <c r="D2056" s="26">
        <f>IF(A2056="","",ROUND((A2056-cfgDefasagem/1440)*48,0))</f>
        <v>0</v>
      </c>
      <c r="E2056" s="26">
        <f>IF(D2056="","",INT((D2056-cfgDeslocamento)/4))</f>
        <v>0</v>
      </c>
      <c r="F2056" s="26">
        <f>IF(D2056="","",MOD(D2056-cfgDeslocamento,4)+1)</f>
        <v>0</v>
      </c>
      <c r="G2056" s="26">
        <f>IF(A2056="","",IF(AND(ISNUMBER(B2056),B2056&lt;&gt;0),1,0))</f>
        <v>0</v>
      </c>
      <c r="H2056" s="25">
        <f>IF(E2056="","",(E2056*4+3+cfgDeslocamento)/48)</f>
        <v>0</v>
      </c>
    </row>
    <row r="2057" spans="1:8">
      <c r="A2057" s="24"/>
      <c r="B2057" s="19"/>
      <c r="C2057" s="25">
        <f>IF(D2057="","",D2057/48)</f>
        <v>0</v>
      </c>
      <c r="D2057" s="26">
        <f>IF(A2057="","",ROUND((A2057-cfgDefasagem/1440)*48,0))</f>
        <v>0</v>
      </c>
      <c r="E2057" s="26">
        <f>IF(D2057="","",INT((D2057-cfgDeslocamento)/4))</f>
        <v>0</v>
      </c>
      <c r="F2057" s="26">
        <f>IF(D2057="","",MOD(D2057-cfgDeslocamento,4)+1)</f>
        <v>0</v>
      </c>
      <c r="G2057" s="26">
        <f>IF(A2057="","",IF(AND(ISNUMBER(B2057),B2057&lt;&gt;0),1,0))</f>
        <v>0</v>
      </c>
      <c r="H2057" s="25">
        <f>IF(E2057="","",(E2057*4+3+cfgDeslocamento)/48)</f>
        <v>0</v>
      </c>
    </row>
    <row r="2058" spans="1:8">
      <c r="A2058" s="24"/>
      <c r="B2058" s="19"/>
      <c r="C2058" s="25">
        <f>IF(D2058="","",D2058/48)</f>
        <v>0</v>
      </c>
      <c r="D2058" s="26">
        <f>IF(A2058="","",ROUND((A2058-cfgDefasagem/1440)*48,0))</f>
        <v>0</v>
      </c>
      <c r="E2058" s="26">
        <f>IF(D2058="","",INT((D2058-cfgDeslocamento)/4))</f>
        <v>0</v>
      </c>
      <c r="F2058" s="26">
        <f>IF(D2058="","",MOD(D2058-cfgDeslocamento,4)+1)</f>
        <v>0</v>
      </c>
      <c r="G2058" s="26">
        <f>IF(A2058="","",IF(AND(ISNUMBER(B2058),B2058&lt;&gt;0),1,0))</f>
        <v>0</v>
      </c>
      <c r="H2058" s="25">
        <f>IF(E2058="","",(E2058*4+3+cfgDeslocamento)/48)</f>
        <v>0</v>
      </c>
    </row>
    <row r="2059" spans="1:8">
      <c r="A2059" s="24"/>
      <c r="B2059" s="19"/>
      <c r="C2059" s="25">
        <f>IF(D2059="","",D2059/48)</f>
        <v>0</v>
      </c>
      <c r="D2059" s="26">
        <f>IF(A2059="","",ROUND((A2059-cfgDefasagem/1440)*48,0))</f>
        <v>0</v>
      </c>
      <c r="E2059" s="26">
        <f>IF(D2059="","",INT((D2059-cfgDeslocamento)/4))</f>
        <v>0</v>
      </c>
      <c r="F2059" s="26">
        <f>IF(D2059="","",MOD(D2059-cfgDeslocamento,4)+1)</f>
        <v>0</v>
      </c>
      <c r="G2059" s="26">
        <f>IF(A2059="","",IF(AND(ISNUMBER(B2059),B2059&lt;&gt;0),1,0))</f>
        <v>0</v>
      </c>
      <c r="H2059" s="25">
        <f>IF(E2059="","",(E2059*4+3+cfgDeslocamento)/48)</f>
        <v>0</v>
      </c>
    </row>
    <row r="2060" spans="1:8">
      <c r="A2060" s="24"/>
      <c r="B2060" s="19"/>
      <c r="C2060" s="25">
        <f>IF(D2060="","",D2060/48)</f>
        <v>0</v>
      </c>
      <c r="D2060" s="26">
        <f>IF(A2060="","",ROUND((A2060-cfgDefasagem/1440)*48,0))</f>
        <v>0</v>
      </c>
      <c r="E2060" s="26">
        <f>IF(D2060="","",INT((D2060-cfgDeslocamento)/4))</f>
        <v>0</v>
      </c>
      <c r="F2060" s="26">
        <f>IF(D2060="","",MOD(D2060-cfgDeslocamento,4)+1)</f>
        <v>0</v>
      </c>
      <c r="G2060" s="26">
        <f>IF(A2060="","",IF(AND(ISNUMBER(B2060),B2060&lt;&gt;0),1,0))</f>
        <v>0</v>
      </c>
      <c r="H2060" s="25">
        <f>IF(E2060="","",(E2060*4+3+cfgDeslocamento)/48)</f>
        <v>0</v>
      </c>
    </row>
    <row r="2061" spans="1:8">
      <c r="A2061" s="24"/>
      <c r="B2061" s="19"/>
      <c r="C2061" s="25">
        <f>IF(D2061="","",D2061/48)</f>
        <v>0</v>
      </c>
      <c r="D2061" s="26">
        <f>IF(A2061="","",ROUND((A2061-cfgDefasagem/1440)*48,0))</f>
        <v>0</v>
      </c>
      <c r="E2061" s="26">
        <f>IF(D2061="","",INT((D2061-cfgDeslocamento)/4))</f>
        <v>0</v>
      </c>
      <c r="F2061" s="26">
        <f>IF(D2061="","",MOD(D2061-cfgDeslocamento,4)+1)</f>
        <v>0</v>
      </c>
      <c r="G2061" s="26">
        <f>IF(A2061="","",IF(AND(ISNUMBER(B2061),B2061&lt;&gt;0),1,0))</f>
        <v>0</v>
      </c>
      <c r="H2061" s="25">
        <f>IF(E2061="","",(E2061*4+3+cfgDeslocamento)/48)</f>
        <v>0</v>
      </c>
    </row>
    <row r="2062" spans="1:8">
      <c r="A2062" s="24"/>
      <c r="B2062" s="19"/>
      <c r="C2062" s="25">
        <f>IF(D2062="","",D2062/48)</f>
        <v>0</v>
      </c>
      <c r="D2062" s="26">
        <f>IF(A2062="","",ROUND((A2062-cfgDefasagem/1440)*48,0))</f>
        <v>0</v>
      </c>
      <c r="E2062" s="26">
        <f>IF(D2062="","",INT((D2062-cfgDeslocamento)/4))</f>
        <v>0</v>
      </c>
      <c r="F2062" s="26">
        <f>IF(D2062="","",MOD(D2062-cfgDeslocamento,4)+1)</f>
        <v>0</v>
      </c>
      <c r="G2062" s="26">
        <f>IF(A2062="","",IF(AND(ISNUMBER(B2062),B2062&lt;&gt;0),1,0))</f>
        <v>0</v>
      </c>
      <c r="H2062" s="25">
        <f>IF(E2062="","",(E2062*4+3+cfgDeslocamento)/48)</f>
        <v>0</v>
      </c>
    </row>
    <row r="2063" spans="1:8">
      <c r="A2063" s="24"/>
      <c r="B2063" s="19"/>
      <c r="C2063" s="25">
        <f>IF(D2063="","",D2063/48)</f>
        <v>0</v>
      </c>
      <c r="D2063" s="26">
        <f>IF(A2063="","",ROUND((A2063-cfgDefasagem/1440)*48,0))</f>
        <v>0</v>
      </c>
      <c r="E2063" s="26">
        <f>IF(D2063="","",INT((D2063-cfgDeslocamento)/4))</f>
        <v>0</v>
      </c>
      <c r="F2063" s="26">
        <f>IF(D2063="","",MOD(D2063-cfgDeslocamento,4)+1)</f>
        <v>0</v>
      </c>
      <c r="G2063" s="26">
        <f>IF(A2063="","",IF(AND(ISNUMBER(B2063),B2063&lt;&gt;0),1,0))</f>
        <v>0</v>
      </c>
      <c r="H2063" s="25">
        <f>IF(E2063="","",(E2063*4+3+cfgDeslocamento)/48)</f>
        <v>0</v>
      </c>
    </row>
    <row r="2064" spans="1:8">
      <c r="A2064" s="24"/>
      <c r="B2064" s="19"/>
      <c r="C2064" s="25">
        <f>IF(D2064="","",D2064/48)</f>
        <v>0</v>
      </c>
      <c r="D2064" s="26">
        <f>IF(A2064="","",ROUND((A2064-cfgDefasagem/1440)*48,0))</f>
        <v>0</v>
      </c>
      <c r="E2064" s="26">
        <f>IF(D2064="","",INT((D2064-cfgDeslocamento)/4))</f>
        <v>0</v>
      </c>
      <c r="F2064" s="26">
        <f>IF(D2064="","",MOD(D2064-cfgDeslocamento,4)+1)</f>
        <v>0</v>
      </c>
      <c r="G2064" s="26">
        <f>IF(A2064="","",IF(AND(ISNUMBER(B2064),B2064&lt;&gt;0),1,0))</f>
        <v>0</v>
      </c>
      <c r="H2064" s="25">
        <f>IF(E2064="","",(E2064*4+3+cfgDeslocamento)/48)</f>
        <v>0</v>
      </c>
    </row>
    <row r="2065" spans="1:8">
      <c r="A2065" s="24"/>
      <c r="B2065" s="19"/>
      <c r="C2065" s="25">
        <f>IF(D2065="","",D2065/48)</f>
        <v>0</v>
      </c>
      <c r="D2065" s="26">
        <f>IF(A2065="","",ROUND((A2065-cfgDefasagem/1440)*48,0))</f>
        <v>0</v>
      </c>
      <c r="E2065" s="26">
        <f>IF(D2065="","",INT((D2065-cfgDeslocamento)/4))</f>
        <v>0</v>
      </c>
      <c r="F2065" s="26">
        <f>IF(D2065="","",MOD(D2065-cfgDeslocamento,4)+1)</f>
        <v>0</v>
      </c>
      <c r="G2065" s="26">
        <f>IF(A2065="","",IF(AND(ISNUMBER(B2065),B2065&lt;&gt;0),1,0))</f>
        <v>0</v>
      </c>
      <c r="H2065" s="25">
        <f>IF(E2065="","",(E2065*4+3+cfgDeslocamento)/48)</f>
        <v>0</v>
      </c>
    </row>
    <row r="2066" spans="1:8">
      <c r="A2066" s="24"/>
      <c r="B2066" s="19"/>
      <c r="C2066" s="25">
        <f>IF(D2066="","",D2066/48)</f>
        <v>0</v>
      </c>
      <c r="D2066" s="26">
        <f>IF(A2066="","",ROUND((A2066-cfgDefasagem/1440)*48,0))</f>
        <v>0</v>
      </c>
      <c r="E2066" s="26">
        <f>IF(D2066="","",INT((D2066-cfgDeslocamento)/4))</f>
        <v>0</v>
      </c>
      <c r="F2066" s="26">
        <f>IF(D2066="","",MOD(D2066-cfgDeslocamento,4)+1)</f>
        <v>0</v>
      </c>
      <c r="G2066" s="26">
        <f>IF(A2066="","",IF(AND(ISNUMBER(B2066),B2066&lt;&gt;0),1,0))</f>
        <v>0</v>
      </c>
      <c r="H2066" s="25">
        <f>IF(E2066="","",(E2066*4+3+cfgDeslocamento)/48)</f>
        <v>0</v>
      </c>
    </row>
    <row r="2067" spans="1:8">
      <c r="A2067" s="24"/>
      <c r="B2067" s="19"/>
      <c r="C2067" s="25">
        <f>IF(D2067="","",D2067/48)</f>
        <v>0</v>
      </c>
      <c r="D2067" s="26">
        <f>IF(A2067="","",ROUND((A2067-cfgDefasagem/1440)*48,0))</f>
        <v>0</v>
      </c>
      <c r="E2067" s="26">
        <f>IF(D2067="","",INT((D2067-cfgDeslocamento)/4))</f>
        <v>0</v>
      </c>
      <c r="F2067" s="26">
        <f>IF(D2067="","",MOD(D2067-cfgDeslocamento,4)+1)</f>
        <v>0</v>
      </c>
      <c r="G2067" s="26">
        <f>IF(A2067="","",IF(AND(ISNUMBER(B2067),B2067&lt;&gt;0),1,0))</f>
        <v>0</v>
      </c>
      <c r="H2067" s="25">
        <f>IF(E2067="","",(E2067*4+3+cfgDeslocamento)/48)</f>
        <v>0</v>
      </c>
    </row>
    <row r="2068" spans="1:8">
      <c r="A2068" s="24"/>
      <c r="B2068" s="19"/>
      <c r="C2068" s="25">
        <f>IF(D2068="","",D2068/48)</f>
        <v>0</v>
      </c>
      <c r="D2068" s="26">
        <f>IF(A2068="","",ROUND((A2068-cfgDefasagem/1440)*48,0))</f>
        <v>0</v>
      </c>
      <c r="E2068" s="26">
        <f>IF(D2068="","",INT((D2068-cfgDeslocamento)/4))</f>
        <v>0</v>
      </c>
      <c r="F2068" s="26">
        <f>IF(D2068="","",MOD(D2068-cfgDeslocamento,4)+1)</f>
        <v>0</v>
      </c>
      <c r="G2068" s="26">
        <f>IF(A2068="","",IF(AND(ISNUMBER(B2068),B2068&lt;&gt;0),1,0))</f>
        <v>0</v>
      </c>
      <c r="H2068" s="25">
        <f>IF(E2068="","",(E2068*4+3+cfgDeslocamento)/48)</f>
        <v>0</v>
      </c>
    </row>
    <row r="2069" spans="1:8">
      <c r="A2069" s="24"/>
      <c r="B2069" s="19"/>
      <c r="C2069" s="25">
        <f>IF(D2069="","",D2069/48)</f>
        <v>0</v>
      </c>
      <c r="D2069" s="26">
        <f>IF(A2069="","",ROUND((A2069-cfgDefasagem/1440)*48,0))</f>
        <v>0</v>
      </c>
      <c r="E2069" s="26">
        <f>IF(D2069="","",INT((D2069-cfgDeslocamento)/4))</f>
        <v>0</v>
      </c>
      <c r="F2069" s="26">
        <f>IF(D2069="","",MOD(D2069-cfgDeslocamento,4)+1)</f>
        <v>0</v>
      </c>
      <c r="G2069" s="26">
        <f>IF(A2069="","",IF(AND(ISNUMBER(B2069),B2069&lt;&gt;0),1,0))</f>
        <v>0</v>
      </c>
      <c r="H2069" s="25">
        <f>IF(E2069="","",(E2069*4+3+cfgDeslocamento)/48)</f>
        <v>0</v>
      </c>
    </row>
    <row r="2070" spans="1:8">
      <c r="A2070" s="24"/>
      <c r="B2070" s="19"/>
      <c r="C2070" s="25">
        <f>IF(D2070="","",D2070/48)</f>
        <v>0</v>
      </c>
      <c r="D2070" s="26">
        <f>IF(A2070="","",ROUND((A2070-cfgDefasagem/1440)*48,0))</f>
        <v>0</v>
      </c>
      <c r="E2070" s="26">
        <f>IF(D2070="","",INT((D2070-cfgDeslocamento)/4))</f>
        <v>0</v>
      </c>
      <c r="F2070" s="26">
        <f>IF(D2070="","",MOD(D2070-cfgDeslocamento,4)+1)</f>
        <v>0</v>
      </c>
      <c r="G2070" s="26">
        <f>IF(A2070="","",IF(AND(ISNUMBER(B2070),B2070&lt;&gt;0),1,0))</f>
        <v>0</v>
      </c>
      <c r="H2070" s="25">
        <f>IF(E2070="","",(E2070*4+3+cfgDeslocamento)/48)</f>
        <v>0</v>
      </c>
    </row>
    <row r="2071" spans="1:8">
      <c r="A2071" s="24"/>
      <c r="B2071" s="19"/>
      <c r="C2071" s="25">
        <f>IF(D2071="","",D2071/48)</f>
        <v>0</v>
      </c>
      <c r="D2071" s="26">
        <f>IF(A2071="","",ROUND((A2071-cfgDefasagem/1440)*48,0))</f>
        <v>0</v>
      </c>
      <c r="E2071" s="26">
        <f>IF(D2071="","",INT((D2071-cfgDeslocamento)/4))</f>
        <v>0</v>
      </c>
      <c r="F2071" s="26">
        <f>IF(D2071="","",MOD(D2071-cfgDeslocamento,4)+1)</f>
        <v>0</v>
      </c>
      <c r="G2071" s="26">
        <f>IF(A2071="","",IF(AND(ISNUMBER(B2071),B2071&lt;&gt;0),1,0))</f>
        <v>0</v>
      </c>
      <c r="H2071" s="25">
        <f>IF(E2071="","",(E2071*4+3+cfgDeslocamento)/48)</f>
        <v>0</v>
      </c>
    </row>
    <row r="2072" spans="1:8">
      <c r="A2072" s="24"/>
      <c r="B2072" s="19"/>
      <c r="C2072" s="25">
        <f>IF(D2072="","",D2072/48)</f>
        <v>0</v>
      </c>
      <c r="D2072" s="26">
        <f>IF(A2072="","",ROUND((A2072-cfgDefasagem/1440)*48,0))</f>
        <v>0</v>
      </c>
      <c r="E2072" s="26">
        <f>IF(D2072="","",INT((D2072-cfgDeslocamento)/4))</f>
        <v>0</v>
      </c>
      <c r="F2072" s="26">
        <f>IF(D2072="","",MOD(D2072-cfgDeslocamento,4)+1)</f>
        <v>0</v>
      </c>
      <c r="G2072" s="26">
        <f>IF(A2072="","",IF(AND(ISNUMBER(B2072),B2072&lt;&gt;0),1,0))</f>
        <v>0</v>
      </c>
      <c r="H2072" s="25">
        <f>IF(E2072="","",(E2072*4+3+cfgDeslocamento)/48)</f>
        <v>0</v>
      </c>
    </row>
    <row r="2073" spans="1:8">
      <c r="A2073" s="24"/>
      <c r="B2073" s="19"/>
      <c r="C2073" s="25">
        <f>IF(D2073="","",D2073/48)</f>
        <v>0</v>
      </c>
      <c r="D2073" s="26">
        <f>IF(A2073="","",ROUND((A2073-cfgDefasagem/1440)*48,0))</f>
        <v>0</v>
      </c>
      <c r="E2073" s="26">
        <f>IF(D2073="","",INT((D2073-cfgDeslocamento)/4))</f>
        <v>0</v>
      </c>
      <c r="F2073" s="26">
        <f>IF(D2073="","",MOD(D2073-cfgDeslocamento,4)+1)</f>
        <v>0</v>
      </c>
      <c r="G2073" s="26">
        <f>IF(A2073="","",IF(AND(ISNUMBER(B2073),B2073&lt;&gt;0),1,0))</f>
        <v>0</v>
      </c>
      <c r="H2073" s="25">
        <f>IF(E2073="","",(E2073*4+3+cfgDeslocamento)/48)</f>
        <v>0</v>
      </c>
    </row>
    <row r="2074" spans="1:8">
      <c r="A2074" s="24"/>
      <c r="B2074" s="19"/>
      <c r="C2074" s="25">
        <f>IF(D2074="","",D2074/48)</f>
        <v>0</v>
      </c>
      <c r="D2074" s="26">
        <f>IF(A2074="","",ROUND((A2074-cfgDefasagem/1440)*48,0))</f>
        <v>0</v>
      </c>
      <c r="E2074" s="26">
        <f>IF(D2074="","",INT((D2074-cfgDeslocamento)/4))</f>
        <v>0</v>
      </c>
      <c r="F2074" s="26">
        <f>IF(D2074="","",MOD(D2074-cfgDeslocamento,4)+1)</f>
        <v>0</v>
      </c>
      <c r="G2074" s="26">
        <f>IF(A2074="","",IF(AND(ISNUMBER(B2074),B2074&lt;&gt;0),1,0))</f>
        <v>0</v>
      </c>
      <c r="H2074" s="25">
        <f>IF(E2074="","",(E2074*4+3+cfgDeslocamento)/48)</f>
        <v>0</v>
      </c>
    </row>
    <row r="2075" spans="1:8">
      <c r="A2075" s="24"/>
      <c r="B2075" s="19"/>
      <c r="C2075" s="25">
        <f>IF(D2075="","",D2075/48)</f>
        <v>0</v>
      </c>
      <c r="D2075" s="26">
        <f>IF(A2075="","",ROUND((A2075-cfgDefasagem/1440)*48,0))</f>
        <v>0</v>
      </c>
      <c r="E2075" s="26">
        <f>IF(D2075="","",INT((D2075-cfgDeslocamento)/4))</f>
        <v>0</v>
      </c>
      <c r="F2075" s="26">
        <f>IF(D2075="","",MOD(D2075-cfgDeslocamento,4)+1)</f>
        <v>0</v>
      </c>
      <c r="G2075" s="26">
        <f>IF(A2075="","",IF(AND(ISNUMBER(B2075),B2075&lt;&gt;0),1,0))</f>
        <v>0</v>
      </c>
      <c r="H2075" s="25">
        <f>IF(E2075="","",(E2075*4+3+cfgDeslocamento)/48)</f>
        <v>0</v>
      </c>
    </row>
    <row r="2076" spans="1:8">
      <c r="A2076" s="24"/>
      <c r="B2076" s="19"/>
      <c r="C2076" s="25">
        <f>IF(D2076="","",D2076/48)</f>
        <v>0</v>
      </c>
      <c r="D2076" s="26">
        <f>IF(A2076="","",ROUND((A2076-cfgDefasagem/1440)*48,0))</f>
        <v>0</v>
      </c>
      <c r="E2076" s="26">
        <f>IF(D2076="","",INT((D2076-cfgDeslocamento)/4))</f>
        <v>0</v>
      </c>
      <c r="F2076" s="26">
        <f>IF(D2076="","",MOD(D2076-cfgDeslocamento,4)+1)</f>
        <v>0</v>
      </c>
      <c r="G2076" s="26">
        <f>IF(A2076="","",IF(AND(ISNUMBER(B2076),B2076&lt;&gt;0),1,0))</f>
        <v>0</v>
      </c>
      <c r="H2076" s="25">
        <f>IF(E2076="","",(E2076*4+3+cfgDeslocamento)/48)</f>
        <v>0</v>
      </c>
    </row>
    <row r="2077" spans="1:8">
      <c r="A2077" s="24"/>
      <c r="B2077" s="19"/>
      <c r="C2077" s="25">
        <f>IF(D2077="","",D2077/48)</f>
        <v>0</v>
      </c>
      <c r="D2077" s="26">
        <f>IF(A2077="","",ROUND((A2077-cfgDefasagem/1440)*48,0))</f>
        <v>0</v>
      </c>
      <c r="E2077" s="26">
        <f>IF(D2077="","",INT((D2077-cfgDeslocamento)/4))</f>
        <v>0</v>
      </c>
      <c r="F2077" s="26">
        <f>IF(D2077="","",MOD(D2077-cfgDeslocamento,4)+1)</f>
        <v>0</v>
      </c>
      <c r="G2077" s="26">
        <f>IF(A2077="","",IF(AND(ISNUMBER(B2077),B2077&lt;&gt;0),1,0))</f>
        <v>0</v>
      </c>
      <c r="H2077" s="25">
        <f>IF(E2077="","",(E2077*4+3+cfgDeslocamento)/48)</f>
        <v>0</v>
      </c>
    </row>
    <row r="2078" spans="1:8">
      <c r="A2078" s="24"/>
      <c r="B2078" s="19"/>
      <c r="C2078" s="25">
        <f>IF(D2078="","",D2078/48)</f>
        <v>0</v>
      </c>
      <c r="D2078" s="26">
        <f>IF(A2078="","",ROUND((A2078-cfgDefasagem/1440)*48,0))</f>
        <v>0</v>
      </c>
      <c r="E2078" s="26">
        <f>IF(D2078="","",INT((D2078-cfgDeslocamento)/4))</f>
        <v>0</v>
      </c>
      <c r="F2078" s="26">
        <f>IF(D2078="","",MOD(D2078-cfgDeslocamento,4)+1)</f>
        <v>0</v>
      </c>
      <c r="G2078" s="26">
        <f>IF(A2078="","",IF(AND(ISNUMBER(B2078),B2078&lt;&gt;0),1,0))</f>
        <v>0</v>
      </c>
      <c r="H2078" s="25">
        <f>IF(E2078="","",(E2078*4+3+cfgDeslocamento)/48)</f>
        <v>0</v>
      </c>
    </row>
    <row r="2079" spans="1:8">
      <c r="A2079" s="24"/>
      <c r="B2079" s="19"/>
      <c r="C2079" s="25">
        <f>IF(D2079="","",D2079/48)</f>
        <v>0</v>
      </c>
      <c r="D2079" s="26">
        <f>IF(A2079="","",ROUND((A2079-cfgDefasagem/1440)*48,0))</f>
        <v>0</v>
      </c>
      <c r="E2079" s="26">
        <f>IF(D2079="","",INT((D2079-cfgDeslocamento)/4))</f>
        <v>0</v>
      </c>
      <c r="F2079" s="26">
        <f>IF(D2079="","",MOD(D2079-cfgDeslocamento,4)+1)</f>
        <v>0</v>
      </c>
      <c r="G2079" s="26">
        <f>IF(A2079="","",IF(AND(ISNUMBER(B2079),B2079&lt;&gt;0),1,0))</f>
        <v>0</v>
      </c>
      <c r="H2079" s="25">
        <f>IF(E2079="","",(E2079*4+3+cfgDeslocamento)/48)</f>
        <v>0</v>
      </c>
    </row>
    <row r="2080" spans="1:8">
      <c r="A2080" s="24"/>
      <c r="B2080" s="19"/>
      <c r="C2080" s="25">
        <f>IF(D2080="","",D2080/48)</f>
        <v>0</v>
      </c>
      <c r="D2080" s="26">
        <f>IF(A2080="","",ROUND((A2080-cfgDefasagem/1440)*48,0))</f>
        <v>0</v>
      </c>
      <c r="E2080" s="26">
        <f>IF(D2080="","",INT((D2080-cfgDeslocamento)/4))</f>
        <v>0</v>
      </c>
      <c r="F2080" s="26">
        <f>IF(D2080="","",MOD(D2080-cfgDeslocamento,4)+1)</f>
        <v>0</v>
      </c>
      <c r="G2080" s="26">
        <f>IF(A2080="","",IF(AND(ISNUMBER(B2080),B2080&lt;&gt;0),1,0))</f>
        <v>0</v>
      </c>
      <c r="H2080" s="25">
        <f>IF(E2080="","",(E2080*4+3+cfgDeslocamento)/48)</f>
        <v>0</v>
      </c>
    </row>
    <row r="2081" spans="1:8">
      <c r="A2081" s="24"/>
      <c r="B2081" s="19"/>
      <c r="C2081" s="25">
        <f>IF(D2081="","",D2081/48)</f>
        <v>0</v>
      </c>
      <c r="D2081" s="26">
        <f>IF(A2081="","",ROUND((A2081-cfgDefasagem/1440)*48,0))</f>
        <v>0</v>
      </c>
      <c r="E2081" s="26">
        <f>IF(D2081="","",INT((D2081-cfgDeslocamento)/4))</f>
        <v>0</v>
      </c>
      <c r="F2081" s="26">
        <f>IF(D2081="","",MOD(D2081-cfgDeslocamento,4)+1)</f>
        <v>0</v>
      </c>
      <c r="G2081" s="26">
        <f>IF(A2081="","",IF(AND(ISNUMBER(B2081),B2081&lt;&gt;0),1,0))</f>
        <v>0</v>
      </c>
      <c r="H2081" s="25">
        <f>IF(E2081="","",(E2081*4+3+cfgDeslocamento)/48)</f>
        <v>0</v>
      </c>
    </row>
    <row r="2082" spans="1:8">
      <c r="A2082" s="24"/>
      <c r="B2082" s="19"/>
      <c r="C2082" s="25">
        <f>IF(D2082="","",D2082/48)</f>
        <v>0</v>
      </c>
      <c r="D2082" s="26">
        <f>IF(A2082="","",ROUND((A2082-cfgDefasagem/1440)*48,0))</f>
        <v>0</v>
      </c>
      <c r="E2082" s="26">
        <f>IF(D2082="","",INT((D2082-cfgDeslocamento)/4))</f>
        <v>0</v>
      </c>
      <c r="F2082" s="26">
        <f>IF(D2082="","",MOD(D2082-cfgDeslocamento,4)+1)</f>
        <v>0</v>
      </c>
      <c r="G2082" s="26">
        <f>IF(A2082="","",IF(AND(ISNUMBER(B2082),B2082&lt;&gt;0),1,0))</f>
        <v>0</v>
      </c>
      <c r="H2082" s="25">
        <f>IF(E2082="","",(E2082*4+3+cfgDeslocamento)/48)</f>
        <v>0</v>
      </c>
    </row>
    <row r="2083" spans="1:8">
      <c r="A2083" s="24"/>
      <c r="B2083" s="19"/>
      <c r="C2083" s="25">
        <f>IF(D2083="","",D2083/48)</f>
        <v>0</v>
      </c>
      <c r="D2083" s="26">
        <f>IF(A2083="","",ROUND((A2083-cfgDefasagem/1440)*48,0))</f>
        <v>0</v>
      </c>
      <c r="E2083" s="26">
        <f>IF(D2083="","",INT((D2083-cfgDeslocamento)/4))</f>
        <v>0</v>
      </c>
      <c r="F2083" s="26">
        <f>IF(D2083="","",MOD(D2083-cfgDeslocamento,4)+1)</f>
        <v>0</v>
      </c>
      <c r="G2083" s="26">
        <f>IF(A2083="","",IF(AND(ISNUMBER(B2083),B2083&lt;&gt;0),1,0))</f>
        <v>0</v>
      </c>
      <c r="H2083" s="25">
        <f>IF(E2083="","",(E2083*4+3+cfgDeslocamento)/48)</f>
        <v>0</v>
      </c>
    </row>
    <row r="2084" spans="1:8">
      <c r="A2084" s="24"/>
      <c r="B2084" s="19"/>
      <c r="C2084" s="25">
        <f>IF(D2084="","",D2084/48)</f>
        <v>0</v>
      </c>
      <c r="D2084" s="26">
        <f>IF(A2084="","",ROUND((A2084-cfgDefasagem/1440)*48,0))</f>
        <v>0</v>
      </c>
      <c r="E2084" s="26">
        <f>IF(D2084="","",INT((D2084-cfgDeslocamento)/4))</f>
        <v>0</v>
      </c>
      <c r="F2084" s="26">
        <f>IF(D2084="","",MOD(D2084-cfgDeslocamento,4)+1)</f>
        <v>0</v>
      </c>
      <c r="G2084" s="26">
        <f>IF(A2084="","",IF(AND(ISNUMBER(B2084),B2084&lt;&gt;0),1,0))</f>
        <v>0</v>
      </c>
      <c r="H2084" s="25">
        <f>IF(E2084="","",(E2084*4+3+cfgDeslocamento)/48)</f>
        <v>0</v>
      </c>
    </row>
    <row r="2085" spans="1:8">
      <c r="A2085" s="24"/>
      <c r="B2085" s="19"/>
      <c r="C2085" s="25">
        <f>IF(D2085="","",D2085/48)</f>
        <v>0</v>
      </c>
      <c r="D2085" s="26">
        <f>IF(A2085="","",ROUND((A2085-cfgDefasagem/1440)*48,0))</f>
        <v>0</v>
      </c>
      <c r="E2085" s="26">
        <f>IF(D2085="","",INT((D2085-cfgDeslocamento)/4))</f>
        <v>0</v>
      </c>
      <c r="F2085" s="26">
        <f>IF(D2085="","",MOD(D2085-cfgDeslocamento,4)+1)</f>
        <v>0</v>
      </c>
      <c r="G2085" s="26">
        <f>IF(A2085="","",IF(AND(ISNUMBER(B2085),B2085&lt;&gt;0),1,0))</f>
        <v>0</v>
      </c>
      <c r="H2085" s="25">
        <f>IF(E2085="","",(E2085*4+3+cfgDeslocamento)/48)</f>
        <v>0</v>
      </c>
    </row>
    <row r="2086" spans="1:8">
      <c r="A2086" s="24"/>
      <c r="B2086" s="19"/>
      <c r="C2086" s="25">
        <f>IF(D2086="","",D2086/48)</f>
        <v>0</v>
      </c>
      <c r="D2086" s="26">
        <f>IF(A2086="","",ROUND((A2086-cfgDefasagem/1440)*48,0))</f>
        <v>0</v>
      </c>
      <c r="E2086" s="26">
        <f>IF(D2086="","",INT((D2086-cfgDeslocamento)/4))</f>
        <v>0</v>
      </c>
      <c r="F2086" s="26">
        <f>IF(D2086="","",MOD(D2086-cfgDeslocamento,4)+1)</f>
        <v>0</v>
      </c>
      <c r="G2086" s="26">
        <f>IF(A2086="","",IF(AND(ISNUMBER(B2086),B2086&lt;&gt;0),1,0))</f>
        <v>0</v>
      </c>
      <c r="H2086" s="25">
        <f>IF(E2086="","",(E2086*4+3+cfgDeslocamento)/48)</f>
        <v>0</v>
      </c>
    </row>
    <row r="2087" spans="1:8">
      <c r="A2087" s="24"/>
      <c r="B2087" s="19"/>
      <c r="C2087" s="25">
        <f>IF(D2087="","",D2087/48)</f>
        <v>0</v>
      </c>
      <c r="D2087" s="26">
        <f>IF(A2087="","",ROUND((A2087-cfgDefasagem/1440)*48,0))</f>
        <v>0</v>
      </c>
      <c r="E2087" s="26">
        <f>IF(D2087="","",INT((D2087-cfgDeslocamento)/4))</f>
        <v>0</v>
      </c>
      <c r="F2087" s="26">
        <f>IF(D2087="","",MOD(D2087-cfgDeslocamento,4)+1)</f>
        <v>0</v>
      </c>
      <c r="G2087" s="26">
        <f>IF(A2087="","",IF(AND(ISNUMBER(B2087),B2087&lt;&gt;0),1,0))</f>
        <v>0</v>
      </c>
      <c r="H2087" s="25">
        <f>IF(E2087="","",(E2087*4+3+cfgDeslocamento)/48)</f>
        <v>0</v>
      </c>
    </row>
    <row r="2088" spans="1:8">
      <c r="A2088" s="24"/>
      <c r="B2088" s="19"/>
      <c r="C2088" s="25">
        <f>IF(D2088="","",D2088/48)</f>
        <v>0</v>
      </c>
      <c r="D2088" s="26">
        <f>IF(A2088="","",ROUND((A2088-cfgDefasagem/1440)*48,0))</f>
        <v>0</v>
      </c>
      <c r="E2088" s="26">
        <f>IF(D2088="","",INT((D2088-cfgDeslocamento)/4))</f>
        <v>0</v>
      </c>
      <c r="F2088" s="26">
        <f>IF(D2088="","",MOD(D2088-cfgDeslocamento,4)+1)</f>
        <v>0</v>
      </c>
      <c r="G2088" s="26">
        <f>IF(A2088="","",IF(AND(ISNUMBER(B2088),B2088&lt;&gt;0),1,0))</f>
        <v>0</v>
      </c>
      <c r="H2088" s="25">
        <f>IF(E2088="","",(E2088*4+3+cfgDeslocamento)/48)</f>
        <v>0</v>
      </c>
    </row>
    <row r="2089" spans="1:8">
      <c r="A2089" s="24"/>
      <c r="B2089" s="19"/>
      <c r="C2089" s="25">
        <f>IF(D2089="","",D2089/48)</f>
        <v>0</v>
      </c>
      <c r="D2089" s="26">
        <f>IF(A2089="","",ROUND((A2089-cfgDefasagem/1440)*48,0))</f>
        <v>0</v>
      </c>
      <c r="E2089" s="26">
        <f>IF(D2089="","",INT((D2089-cfgDeslocamento)/4))</f>
        <v>0</v>
      </c>
      <c r="F2089" s="26">
        <f>IF(D2089="","",MOD(D2089-cfgDeslocamento,4)+1)</f>
        <v>0</v>
      </c>
      <c r="G2089" s="26">
        <f>IF(A2089="","",IF(AND(ISNUMBER(B2089),B2089&lt;&gt;0),1,0))</f>
        <v>0</v>
      </c>
      <c r="H2089" s="25">
        <f>IF(E2089="","",(E2089*4+3+cfgDeslocamento)/48)</f>
        <v>0</v>
      </c>
    </row>
    <row r="2090" spans="1:8">
      <c r="A2090" s="24"/>
      <c r="B2090" s="19"/>
      <c r="C2090" s="25">
        <f>IF(D2090="","",D2090/48)</f>
        <v>0</v>
      </c>
      <c r="D2090" s="26">
        <f>IF(A2090="","",ROUND((A2090-cfgDefasagem/1440)*48,0))</f>
        <v>0</v>
      </c>
      <c r="E2090" s="26">
        <f>IF(D2090="","",INT((D2090-cfgDeslocamento)/4))</f>
        <v>0</v>
      </c>
      <c r="F2090" s="26">
        <f>IF(D2090="","",MOD(D2090-cfgDeslocamento,4)+1)</f>
        <v>0</v>
      </c>
      <c r="G2090" s="26">
        <f>IF(A2090="","",IF(AND(ISNUMBER(B2090),B2090&lt;&gt;0),1,0))</f>
        <v>0</v>
      </c>
      <c r="H2090" s="25">
        <f>IF(E2090="","",(E2090*4+3+cfgDeslocamento)/48)</f>
        <v>0</v>
      </c>
    </row>
    <row r="2091" spans="1:8">
      <c r="A2091" s="24"/>
      <c r="B2091" s="19"/>
      <c r="C2091" s="25">
        <f>IF(D2091="","",D2091/48)</f>
        <v>0</v>
      </c>
      <c r="D2091" s="26">
        <f>IF(A2091="","",ROUND((A2091-cfgDefasagem/1440)*48,0))</f>
        <v>0</v>
      </c>
      <c r="E2091" s="26">
        <f>IF(D2091="","",INT((D2091-cfgDeslocamento)/4))</f>
        <v>0</v>
      </c>
      <c r="F2091" s="26">
        <f>IF(D2091="","",MOD(D2091-cfgDeslocamento,4)+1)</f>
        <v>0</v>
      </c>
      <c r="G2091" s="26">
        <f>IF(A2091="","",IF(AND(ISNUMBER(B2091),B2091&lt;&gt;0),1,0))</f>
        <v>0</v>
      </c>
      <c r="H2091" s="25">
        <f>IF(E2091="","",(E2091*4+3+cfgDeslocamento)/48)</f>
        <v>0</v>
      </c>
    </row>
    <row r="2092" spans="1:8">
      <c r="A2092" s="24"/>
      <c r="B2092" s="19"/>
      <c r="C2092" s="25">
        <f>IF(D2092="","",D2092/48)</f>
        <v>0</v>
      </c>
      <c r="D2092" s="26">
        <f>IF(A2092="","",ROUND((A2092-cfgDefasagem/1440)*48,0))</f>
        <v>0</v>
      </c>
      <c r="E2092" s="26">
        <f>IF(D2092="","",INT((D2092-cfgDeslocamento)/4))</f>
        <v>0</v>
      </c>
      <c r="F2092" s="26">
        <f>IF(D2092="","",MOD(D2092-cfgDeslocamento,4)+1)</f>
        <v>0</v>
      </c>
      <c r="G2092" s="26">
        <f>IF(A2092="","",IF(AND(ISNUMBER(B2092),B2092&lt;&gt;0),1,0))</f>
        <v>0</v>
      </c>
      <c r="H2092" s="25">
        <f>IF(E2092="","",(E2092*4+3+cfgDeslocamento)/48)</f>
        <v>0</v>
      </c>
    </row>
    <row r="2093" spans="1:8">
      <c r="A2093" s="24"/>
      <c r="B2093" s="19"/>
      <c r="C2093" s="25">
        <f>IF(D2093="","",D2093/48)</f>
        <v>0</v>
      </c>
      <c r="D2093" s="26">
        <f>IF(A2093="","",ROUND((A2093-cfgDefasagem/1440)*48,0))</f>
        <v>0</v>
      </c>
      <c r="E2093" s="26">
        <f>IF(D2093="","",INT((D2093-cfgDeslocamento)/4))</f>
        <v>0</v>
      </c>
      <c r="F2093" s="26">
        <f>IF(D2093="","",MOD(D2093-cfgDeslocamento,4)+1)</f>
        <v>0</v>
      </c>
      <c r="G2093" s="26">
        <f>IF(A2093="","",IF(AND(ISNUMBER(B2093),B2093&lt;&gt;0),1,0))</f>
        <v>0</v>
      </c>
      <c r="H2093" s="25">
        <f>IF(E2093="","",(E2093*4+3+cfgDeslocamento)/48)</f>
        <v>0</v>
      </c>
    </row>
    <row r="2094" spans="1:8">
      <c r="A2094" s="24"/>
      <c r="B2094" s="19"/>
      <c r="C2094" s="25">
        <f>IF(D2094="","",D2094/48)</f>
        <v>0</v>
      </c>
      <c r="D2094" s="26">
        <f>IF(A2094="","",ROUND((A2094-cfgDefasagem/1440)*48,0))</f>
        <v>0</v>
      </c>
      <c r="E2094" s="26">
        <f>IF(D2094="","",INT((D2094-cfgDeslocamento)/4))</f>
        <v>0</v>
      </c>
      <c r="F2094" s="26">
        <f>IF(D2094="","",MOD(D2094-cfgDeslocamento,4)+1)</f>
        <v>0</v>
      </c>
      <c r="G2094" s="26">
        <f>IF(A2094="","",IF(AND(ISNUMBER(B2094),B2094&lt;&gt;0),1,0))</f>
        <v>0</v>
      </c>
      <c r="H2094" s="25">
        <f>IF(E2094="","",(E2094*4+3+cfgDeslocamento)/48)</f>
        <v>0</v>
      </c>
    </row>
    <row r="2095" spans="1:8">
      <c r="A2095" s="24"/>
      <c r="B2095" s="19"/>
      <c r="C2095" s="25">
        <f>IF(D2095="","",D2095/48)</f>
        <v>0</v>
      </c>
      <c r="D2095" s="26">
        <f>IF(A2095="","",ROUND((A2095-cfgDefasagem/1440)*48,0))</f>
        <v>0</v>
      </c>
      <c r="E2095" s="26">
        <f>IF(D2095="","",INT((D2095-cfgDeslocamento)/4))</f>
        <v>0</v>
      </c>
      <c r="F2095" s="26">
        <f>IF(D2095="","",MOD(D2095-cfgDeslocamento,4)+1)</f>
        <v>0</v>
      </c>
      <c r="G2095" s="26">
        <f>IF(A2095="","",IF(AND(ISNUMBER(B2095),B2095&lt;&gt;0),1,0))</f>
        <v>0</v>
      </c>
      <c r="H2095" s="25">
        <f>IF(E2095="","",(E2095*4+3+cfgDeslocamento)/48)</f>
        <v>0</v>
      </c>
    </row>
    <row r="2096" spans="1:8">
      <c r="A2096" s="24"/>
      <c r="B2096" s="19"/>
      <c r="C2096" s="25">
        <f>IF(D2096="","",D2096/48)</f>
        <v>0</v>
      </c>
      <c r="D2096" s="26">
        <f>IF(A2096="","",ROUND((A2096-cfgDefasagem/1440)*48,0))</f>
        <v>0</v>
      </c>
      <c r="E2096" s="26">
        <f>IF(D2096="","",INT((D2096-cfgDeslocamento)/4))</f>
        <v>0</v>
      </c>
      <c r="F2096" s="26">
        <f>IF(D2096="","",MOD(D2096-cfgDeslocamento,4)+1)</f>
        <v>0</v>
      </c>
      <c r="G2096" s="26">
        <f>IF(A2096="","",IF(AND(ISNUMBER(B2096),B2096&lt;&gt;0),1,0))</f>
        <v>0</v>
      </c>
      <c r="H2096" s="25">
        <f>IF(E2096="","",(E2096*4+3+cfgDeslocamento)/48)</f>
        <v>0</v>
      </c>
    </row>
    <row r="2097" spans="1:8">
      <c r="A2097" s="24"/>
      <c r="B2097" s="19"/>
      <c r="C2097" s="25">
        <f>IF(D2097="","",D2097/48)</f>
        <v>0</v>
      </c>
      <c r="D2097" s="26">
        <f>IF(A2097="","",ROUND((A2097-cfgDefasagem/1440)*48,0))</f>
        <v>0</v>
      </c>
      <c r="E2097" s="26">
        <f>IF(D2097="","",INT((D2097-cfgDeslocamento)/4))</f>
        <v>0</v>
      </c>
      <c r="F2097" s="26">
        <f>IF(D2097="","",MOD(D2097-cfgDeslocamento,4)+1)</f>
        <v>0</v>
      </c>
      <c r="G2097" s="26">
        <f>IF(A2097="","",IF(AND(ISNUMBER(B2097),B2097&lt;&gt;0),1,0))</f>
        <v>0</v>
      </c>
      <c r="H2097" s="25">
        <f>IF(E2097="","",(E2097*4+3+cfgDeslocamento)/48)</f>
        <v>0</v>
      </c>
    </row>
    <row r="2098" spans="1:8">
      <c r="A2098" s="24"/>
      <c r="B2098" s="19"/>
      <c r="C2098" s="25">
        <f>IF(D2098="","",D2098/48)</f>
        <v>0</v>
      </c>
      <c r="D2098" s="26">
        <f>IF(A2098="","",ROUND((A2098-cfgDefasagem/1440)*48,0))</f>
        <v>0</v>
      </c>
      <c r="E2098" s="26">
        <f>IF(D2098="","",INT((D2098-cfgDeslocamento)/4))</f>
        <v>0</v>
      </c>
      <c r="F2098" s="26">
        <f>IF(D2098="","",MOD(D2098-cfgDeslocamento,4)+1)</f>
        <v>0</v>
      </c>
      <c r="G2098" s="26">
        <f>IF(A2098="","",IF(AND(ISNUMBER(B2098),B2098&lt;&gt;0),1,0))</f>
        <v>0</v>
      </c>
      <c r="H2098" s="25">
        <f>IF(E2098="","",(E2098*4+3+cfgDeslocamento)/48)</f>
        <v>0</v>
      </c>
    </row>
    <row r="2099" spans="1:8">
      <c r="A2099" s="24"/>
      <c r="B2099" s="19"/>
      <c r="C2099" s="25">
        <f>IF(D2099="","",D2099/48)</f>
        <v>0</v>
      </c>
      <c r="D2099" s="26">
        <f>IF(A2099="","",ROUND((A2099-cfgDefasagem/1440)*48,0))</f>
        <v>0</v>
      </c>
      <c r="E2099" s="26">
        <f>IF(D2099="","",INT((D2099-cfgDeslocamento)/4))</f>
        <v>0</v>
      </c>
      <c r="F2099" s="26">
        <f>IF(D2099="","",MOD(D2099-cfgDeslocamento,4)+1)</f>
        <v>0</v>
      </c>
      <c r="G2099" s="26">
        <f>IF(A2099="","",IF(AND(ISNUMBER(B2099),B2099&lt;&gt;0),1,0))</f>
        <v>0</v>
      </c>
      <c r="H2099" s="25">
        <f>IF(E2099="","",(E2099*4+3+cfgDeslocamento)/48)</f>
        <v>0</v>
      </c>
    </row>
    <row r="2100" spans="1:8">
      <c r="A2100" s="24"/>
      <c r="B2100" s="19"/>
      <c r="C2100" s="25">
        <f>IF(D2100="","",D2100/48)</f>
        <v>0</v>
      </c>
      <c r="D2100" s="26">
        <f>IF(A2100="","",ROUND((A2100-cfgDefasagem/1440)*48,0))</f>
        <v>0</v>
      </c>
      <c r="E2100" s="26">
        <f>IF(D2100="","",INT((D2100-cfgDeslocamento)/4))</f>
        <v>0</v>
      </c>
      <c r="F2100" s="26">
        <f>IF(D2100="","",MOD(D2100-cfgDeslocamento,4)+1)</f>
        <v>0</v>
      </c>
      <c r="G2100" s="26">
        <f>IF(A2100="","",IF(AND(ISNUMBER(B2100),B2100&lt;&gt;0),1,0))</f>
        <v>0</v>
      </c>
      <c r="H2100" s="25">
        <f>IF(E2100="","",(E2100*4+3+cfgDeslocamento)/48)</f>
        <v>0</v>
      </c>
    </row>
    <row r="2101" spans="1:8">
      <c r="A2101" s="24"/>
      <c r="B2101" s="19"/>
      <c r="C2101" s="25">
        <f>IF(D2101="","",D2101/48)</f>
        <v>0</v>
      </c>
      <c r="D2101" s="26">
        <f>IF(A2101="","",ROUND((A2101-cfgDefasagem/1440)*48,0))</f>
        <v>0</v>
      </c>
      <c r="E2101" s="26">
        <f>IF(D2101="","",INT((D2101-cfgDeslocamento)/4))</f>
        <v>0</v>
      </c>
      <c r="F2101" s="26">
        <f>IF(D2101="","",MOD(D2101-cfgDeslocamento,4)+1)</f>
        <v>0</v>
      </c>
      <c r="G2101" s="26">
        <f>IF(A2101="","",IF(AND(ISNUMBER(B2101),B2101&lt;&gt;0),1,0))</f>
        <v>0</v>
      </c>
      <c r="H2101" s="25">
        <f>IF(E2101="","",(E2101*4+3+cfgDeslocamento)/48)</f>
        <v>0</v>
      </c>
    </row>
    <row r="2102" spans="1:8">
      <c r="A2102" s="24"/>
      <c r="B2102" s="19"/>
      <c r="C2102" s="25">
        <f>IF(D2102="","",D2102/48)</f>
        <v>0</v>
      </c>
      <c r="D2102" s="26">
        <f>IF(A2102="","",ROUND((A2102-cfgDefasagem/1440)*48,0))</f>
        <v>0</v>
      </c>
      <c r="E2102" s="26">
        <f>IF(D2102="","",INT((D2102-cfgDeslocamento)/4))</f>
        <v>0</v>
      </c>
      <c r="F2102" s="26">
        <f>IF(D2102="","",MOD(D2102-cfgDeslocamento,4)+1)</f>
        <v>0</v>
      </c>
      <c r="G2102" s="26">
        <f>IF(A2102="","",IF(AND(ISNUMBER(B2102),B2102&lt;&gt;0),1,0))</f>
        <v>0</v>
      </c>
      <c r="H2102" s="25">
        <f>IF(E2102="","",(E2102*4+3+cfgDeslocamento)/48)</f>
        <v>0</v>
      </c>
    </row>
    <row r="2103" spans="1:8">
      <c r="A2103" s="24"/>
      <c r="B2103" s="19"/>
      <c r="C2103" s="25">
        <f>IF(D2103="","",D2103/48)</f>
        <v>0</v>
      </c>
      <c r="D2103" s="26">
        <f>IF(A2103="","",ROUND((A2103-cfgDefasagem/1440)*48,0))</f>
        <v>0</v>
      </c>
      <c r="E2103" s="26">
        <f>IF(D2103="","",INT((D2103-cfgDeslocamento)/4))</f>
        <v>0</v>
      </c>
      <c r="F2103" s="26">
        <f>IF(D2103="","",MOD(D2103-cfgDeslocamento,4)+1)</f>
        <v>0</v>
      </c>
      <c r="G2103" s="26">
        <f>IF(A2103="","",IF(AND(ISNUMBER(B2103),B2103&lt;&gt;0),1,0))</f>
        <v>0</v>
      </c>
      <c r="H2103" s="25">
        <f>IF(E2103="","",(E2103*4+3+cfgDeslocamento)/48)</f>
        <v>0</v>
      </c>
    </row>
    <row r="2104" spans="1:8">
      <c r="A2104" s="24"/>
      <c r="B2104" s="19"/>
      <c r="C2104" s="25">
        <f>IF(D2104="","",D2104/48)</f>
        <v>0</v>
      </c>
      <c r="D2104" s="26">
        <f>IF(A2104="","",ROUND((A2104-cfgDefasagem/1440)*48,0))</f>
        <v>0</v>
      </c>
      <c r="E2104" s="26">
        <f>IF(D2104="","",INT((D2104-cfgDeslocamento)/4))</f>
        <v>0</v>
      </c>
      <c r="F2104" s="26">
        <f>IF(D2104="","",MOD(D2104-cfgDeslocamento,4)+1)</f>
        <v>0</v>
      </c>
      <c r="G2104" s="26">
        <f>IF(A2104="","",IF(AND(ISNUMBER(B2104),B2104&lt;&gt;0),1,0))</f>
        <v>0</v>
      </c>
      <c r="H2104" s="25">
        <f>IF(E2104="","",(E2104*4+3+cfgDeslocamento)/48)</f>
        <v>0</v>
      </c>
    </row>
    <row r="2105" spans="1:8">
      <c r="A2105" s="24"/>
      <c r="B2105" s="19"/>
      <c r="C2105" s="25">
        <f>IF(D2105="","",D2105/48)</f>
        <v>0</v>
      </c>
      <c r="D2105" s="26">
        <f>IF(A2105="","",ROUND((A2105-cfgDefasagem/1440)*48,0))</f>
        <v>0</v>
      </c>
      <c r="E2105" s="26">
        <f>IF(D2105="","",INT((D2105-cfgDeslocamento)/4))</f>
        <v>0</v>
      </c>
      <c r="F2105" s="26">
        <f>IF(D2105="","",MOD(D2105-cfgDeslocamento,4)+1)</f>
        <v>0</v>
      </c>
      <c r="G2105" s="26">
        <f>IF(A2105="","",IF(AND(ISNUMBER(B2105),B2105&lt;&gt;0),1,0))</f>
        <v>0</v>
      </c>
      <c r="H2105" s="25">
        <f>IF(E2105="","",(E2105*4+3+cfgDeslocamento)/48)</f>
        <v>0</v>
      </c>
    </row>
    <row r="2106" spans="1:8">
      <c r="A2106" s="24"/>
      <c r="B2106" s="19"/>
      <c r="C2106" s="25">
        <f>IF(D2106="","",D2106/48)</f>
        <v>0</v>
      </c>
      <c r="D2106" s="26">
        <f>IF(A2106="","",ROUND((A2106-cfgDefasagem/1440)*48,0))</f>
        <v>0</v>
      </c>
      <c r="E2106" s="26">
        <f>IF(D2106="","",INT((D2106-cfgDeslocamento)/4))</f>
        <v>0</v>
      </c>
      <c r="F2106" s="26">
        <f>IF(D2106="","",MOD(D2106-cfgDeslocamento,4)+1)</f>
        <v>0</v>
      </c>
      <c r="G2106" s="26">
        <f>IF(A2106="","",IF(AND(ISNUMBER(B2106),B2106&lt;&gt;0),1,0))</f>
        <v>0</v>
      </c>
      <c r="H2106" s="25">
        <f>IF(E2106="","",(E2106*4+3+cfgDeslocamento)/48)</f>
        <v>0</v>
      </c>
    </row>
    <row r="2107" spans="1:8">
      <c r="A2107" s="24"/>
      <c r="B2107" s="19"/>
      <c r="C2107" s="25">
        <f>IF(D2107="","",D2107/48)</f>
        <v>0</v>
      </c>
      <c r="D2107" s="26">
        <f>IF(A2107="","",ROUND((A2107-cfgDefasagem/1440)*48,0))</f>
        <v>0</v>
      </c>
      <c r="E2107" s="26">
        <f>IF(D2107="","",INT((D2107-cfgDeslocamento)/4))</f>
        <v>0</v>
      </c>
      <c r="F2107" s="26">
        <f>IF(D2107="","",MOD(D2107-cfgDeslocamento,4)+1)</f>
        <v>0</v>
      </c>
      <c r="G2107" s="26">
        <f>IF(A2107="","",IF(AND(ISNUMBER(B2107),B2107&lt;&gt;0),1,0))</f>
        <v>0</v>
      </c>
      <c r="H2107" s="25">
        <f>IF(E2107="","",(E2107*4+3+cfgDeslocamento)/48)</f>
        <v>0</v>
      </c>
    </row>
    <row r="2108" spans="1:8">
      <c r="A2108" s="24"/>
      <c r="B2108" s="19"/>
      <c r="C2108" s="25">
        <f>IF(D2108="","",D2108/48)</f>
        <v>0</v>
      </c>
      <c r="D2108" s="26">
        <f>IF(A2108="","",ROUND((A2108-cfgDefasagem/1440)*48,0))</f>
        <v>0</v>
      </c>
      <c r="E2108" s="26">
        <f>IF(D2108="","",INT((D2108-cfgDeslocamento)/4))</f>
        <v>0</v>
      </c>
      <c r="F2108" s="26">
        <f>IF(D2108="","",MOD(D2108-cfgDeslocamento,4)+1)</f>
        <v>0</v>
      </c>
      <c r="G2108" s="26">
        <f>IF(A2108="","",IF(AND(ISNUMBER(B2108),B2108&lt;&gt;0),1,0))</f>
        <v>0</v>
      </c>
      <c r="H2108" s="25">
        <f>IF(E2108="","",(E2108*4+3+cfgDeslocamento)/48)</f>
        <v>0</v>
      </c>
    </row>
    <row r="2109" spans="1:8">
      <c r="A2109" s="24"/>
      <c r="B2109" s="19"/>
      <c r="C2109" s="25">
        <f>IF(D2109="","",D2109/48)</f>
        <v>0</v>
      </c>
      <c r="D2109" s="26">
        <f>IF(A2109="","",ROUND((A2109-cfgDefasagem/1440)*48,0))</f>
        <v>0</v>
      </c>
      <c r="E2109" s="26">
        <f>IF(D2109="","",INT((D2109-cfgDeslocamento)/4))</f>
        <v>0</v>
      </c>
      <c r="F2109" s="26">
        <f>IF(D2109="","",MOD(D2109-cfgDeslocamento,4)+1)</f>
        <v>0</v>
      </c>
      <c r="G2109" s="26">
        <f>IF(A2109="","",IF(AND(ISNUMBER(B2109),B2109&lt;&gt;0),1,0))</f>
        <v>0</v>
      </c>
      <c r="H2109" s="25">
        <f>IF(E2109="","",(E2109*4+3+cfgDeslocamento)/48)</f>
        <v>0</v>
      </c>
    </row>
    <row r="2110" spans="1:8">
      <c r="A2110" s="24"/>
      <c r="B2110" s="19"/>
      <c r="C2110" s="25">
        <f>IF(D2110="","",D2110/48)</f>
        <v>0</v>
      </c>
      <c r="D2110" s="26">
        <f>IF(A2110="","",ROUND((A2110-cfgDefasagem/1440)*48,0))</f>
        <v>0</v>
      </c>
      <c r="E2110" s="26">
        <f>IF(D2110="","",INT((D2110-cfgDeslocamento)/4))</f>
        <v>0</v>
      </c>
      <c r="F2110" s="26">
        <f>IF(D2110="","",MOD(D2110-cfgDeslocamento,4)+1)</f>
        <v>0</v>
      </c>
      <c r="G2110" s="26">
        <f>IF(A2110="","",IF(AND(ISNUMBER(B2110),B2110&lt;&gt;0),1,0))</f>
        <v>0</v>
      </c>
      <c r="H2110" s="25">
        <f>IF(E2110="","",(E2110*4+3+cfgDeslocamento)/48)</f>
        <v>0</v>
      </c>
    </row>
    <row r="2111" spans="1:8">
      <c r="A2111" s="24"/>
      <c r="B2111" s="19"/>
      <c r="C2111" s="25">
        <f>IF(D2111="","",D2111/48)</f>
        <v>0</v>
      </c>
      <c r="D2111" s="26">
        <f>IF(A2111="","",ROUND((A2111-cfgDefasagem/1440)*48,0))</f>
        <v>0</v>
      </c>
      <c r="E2111" s="26">
        <f>IF(D2111="","",INT((D2111-cfgDeslocamento)/4))</f>
        <v>0</v>
      </c>
      <c r="F2111" s="26">
        <f>IF(D2111="","",MOD(D2111-cfgDeslocamento,4)+1)</f>
        <v>0</v>
      </c>
      <c r="G2111" s="26">
        <f>IF(A2111="","",IF(AND(ISNUMBER(B2111),B2111&lt;&gt;0),1,0))</f>
        <v>0</v>
      </c>
      <c r="H2111" s="25">
        <f>IF(E2111="","",(E2111*4+3+cfgDeslocamento)/48)</f>
        <v>0</v>
      </c>
    </row>
    <row r="2112" spans="1:8">
      <c r="A2112" s="24"/>
      <c r="B2112" s="19"/>
      <c r="C2112" s="25">
        <f>IF(D2112="","",D2112/48)</f>
        <v>0</v>
      </c>
      <c r="D2112" s="26">
        <f>IF(A2112="","",ROUND((A2112-cfgDefasagem/1440)*48,0))</f>
        <v>0</v>
      </c>
      <c r="E2112" s="26">
        <f>IF(D2112="","",INT((D2112-cfgDeslocamento)/4))</f>
        <v>0</v>
      </c>
      <c r="F2112" s="26">
        <f>IF(D2112="","",MOD(D2112-cfgDeslocamento,4)+1)</f>
        <v>0</v>
      </c>
      <c r="G2112" s="26">
        <f>IF(A2112="","",IF(AND(ISNUMBER(B2112),B2112&lt;&gt;0),1,0))</f>
        <v>0</v>
      </c>
      <c r="H2112" s="25">
        <f>IF(E2112="","",(E2112*4+3+cfgDeslocamento)/48)</f>
        <v>0</v>
      </c>
    </row>
    <row r="2113" spans="1:8">
      <c r="A2113" s="24"/>
      <c r="B2113" s="19"/>
      <c r="C2113" s="25">
        <f>IF(D2113="","",D2113/48)</f>
        <v>0</v>
      </c>
      <c r="D2113" s="26">
        <f>IF(A2113="","",ROUND((A2113-cfgDefasagem/1440)*48,0))</f>
        <v>0</v>
      </c>
      <c r="E2113" s="26">
        <f>IF(D2113="","",INT((D2113-cfgDeslocamento)/4))</f>
        <v>0</v>
      </c>
      <c r="F2113" s="26">
        <f>IF(D2113="","",MOD(D2113-cfgDeslocamento,4)+1)</f>
        <v>0</v>
      </c>
      <c r="G2113" s="26">
        <f>IF(A2113="","",IF(AND(ISNUMBER(B2113),B2113&lt;&gt;0),1,0))</f>
        <v>0</v>
      </c>
      <c r="H2113" s="25">
        <f>IF(E2113="","",(E2113*4+3+cfgDeslocamento)/48)</f>
        <v>0</v>
      </c>
    </row>
    <row r="2114" spans="1:8">
      <c r="A2114" s="24"/>
      <c r="B2114" s="19"/>
      <c r="C2114" s="25">
        <f>IF(D2114="","",D2114/48)</f>
        <v>0</v>
      </c>
      <c r="D2114" s="26">
        <f>IF(A2114="","",ROUND((A2114-cfgDefasagem/1440)*48,0))</f>
        <v>0</v>
      </c>
      <c r="E2114" s="26">
        <f>IF(D2114="","",INT((D2114-cfgDeslocamento)/4))</f>
        <v>0</v>
      </c>
      <c r="F2114" s="26">
        <f>IF(D2114="","",MOD(D2114-cfgDeslocamento,4)+1)</f>
        <v>0</v>
      </c>
      <c r="G2114" s="26">
        <f>IF(A2114="","",IF(AND(ISNUMBER(B2114),B2114&lt;&gt;0),1,0))</f>
        <v>0</v>
      </c>
      <c r="H2114" s="25">
        <f>IF(E2114="","",(E2114*4+3+cfgDeslocamento)/48)</f>
        <v>0</v>
      </c>
    </row>
    <row r="2115" spans="1:8">
      <c r="A2115" s="24"/>
      <c r="B2115" s="19"/>
      <c r="C2115" s="25">
        <f>IF(D2115="","",D2115/48)</f>
        <v>0</v>
      </c>
      <c r="D2115" s="26">
        <f>IF(A2115="","",ROUND((A2115-cfgDefasagem/1440)*48,0))</f>
        <v>0</v>
      </c>
      <c r="E2115" s="26">
        <f>IF(D2115="","",INT((D2115-cfgDeslocamento)/4))</f>
        <v>0</v>
      </c>
      <c r="F2115" s="26">
        <f>IF(D2115="","",MOD(D2115-cfgDeslocamento,4)+1)</f>
        <v>0</v>
      </c>
      <c r="G2115" s="26">
        <f>IF(A2115="","",IF(AND(ISNUMBER(B2115),B2115&lt;&gt;0),1,0))</f>
        <v>0</v>
      </c>
      <c r="H2115" s="25">
        <f>IF(E2115="","",(E2115*4+3+cfgDeslocamento)/48)</f>
        <v>0</v>
      </c>
    </row>
    <row r="2116" spans="1:8">
      <c r="A2116" s="24"/>
      <c r="B2116" s="19"/>
      <c r="C2116" s="25">
        <f>IF(D2116="","",D2116/48)</f>
        <v>0</v>
      </c>
      <c r="D2116" s="26">
        <f>IF(A2116="","",ROUND((A2116-cfgDefasagem/1440)*48,0))</f>
        <v>0</v>
      </c>
      <c r="E2116" s="26">
        <f>IF(D2116="","",INT((D2116-cfgDeslocamento)/4))</f>
        <v>0</v>
      </c>
      <c r="F2116" s="26">
        <f>IF(D2116="","",MOD(D2116-cfgDeslocamento,4)+1)</f>
        <v>0</v>
      </c>
      <c r="G2116" s="26">
        <f>IF(A2116="","",IF(AND(ISNUMBER(B2116),B2116&lt;&gt;0),1,0))</f>
        <v>0</v>
      </c>
      <c r="H2116" s="25">
        <f>IF(E2116="","",(E2116*4+3+cfgDeslocamento)/48)</f>
        <v>0</v>
      </c>
    </row>
    <row r="2117" spans="1:8">
      <c r="A2117" s="24"/>
      <c r="B2117" s="19"/>
      <c r="C2117" s="25">
        <f>IF(D2117="","",D2117/48)</f>
        <v>0</v>
      </c>
      <c r="D2117" s="26">
        <f>IF(A2117="","",ROUND((A2117-cfgDefasagem/1440)*48,0))</f>
        <v>0</v>
      </c>
      <c r="E2117" s="26">
        <f>IF(D2117="","",INT((D2117-cfgDeslocamento)/4))</f>
        <v>0</v>
      </c>
      <c r="F2117" s="26">
        <f>IF(D2117="","",MOD(D2117-cfgDeslocamento,4)+1)</f>
        <v>0</v>
      </c>
      <c r="G2117" s="26">
        <f>IF(A2117="","",IF(AND(ISNUMBER(B2117),B2117&lt;&gt;0),1,0))</f>
        <v>0</v>
      </c>
      <c r="H2117" s="25">
        <f>IF(E2117="","",(E2117*4+3+cfgDeslocamento)/48)</f>
        <v>0</v>
      </c>
    </row>
    <row r="2118" spans="1:8">
      <c r="A2118" s="24"/>
      <c r="B2118" s="19"/>
      <c r="C2118" s="25">
        <f>IF(D2118="","",D2118/48)</f>
        <v>0</v>
      </c>
      <c r="D2118" s="26">
        <f>IF(A2118="","",ROUND((A2118-cfgDefasagem/1440)*48,0))</f>
        <v>0</v>
      </c>
      <c r="E2118" s="26">
        <f>IF(D2118="","",INT((D2118-cfgDeslocamento)/4))</f>
        <v>0</v>
      </c>
      <c r="F2118" s="26">
        <f>IF(D2118="","",MOD(D2118-cfgDeslocamento,4)+1)</f>
        <v>0</v>
      </c>
      <c r="G2118" s="26">
        <f>IF(A2118="","",IF(AND(ISNUMBER(B2118),B2118&lt;&gt;0),1,0))</f>
        <v>0</v>
      </c>
      <c r="H2118" s="25">
        <f>IF(E2118="","",(E2118*4+3+cfgDeslocamento)/48)</f>
        <v>0</v>
      </c>
    </row>
    <row r="2119" spans="1:8">
      <c r="A2119" s="24"/>
      <c r="B2119" s="19"/>
      <c r="C2119" s="25">
        <f>IF(D2119="","",D2119/48)</f>
        <v>0</v>
      </c>
      <c r="D2119" s="26">
        <f>IF(A2119="","",ROUND((A2119-cfgDefasagem/1440)*48,0))</f>
        <v>0</v>
      </c>
      <c r="E2119" s="26">
        <f>IF(D2119="","",INT((D2119-cfgDeslocamento)/4))</f>
        <v>0</v>
      </c>
      <c r="F2119" s="26">
        <f>IF(D2119="","",MOD(D2119-cfgDeslocamento,4)+1)</f>
        <v>0</v>
      </c>
      <c r="G2119" s="26">
        <f>IF(A2119="","",IF(AND(ISNUMBER(B2119),B2119&lt;&gt;0),1,0))</f>
        <v>0</v>
      </c>
      <c r="H2119" s="25">
        <f>IF(E2119="","",(E2119*4+3+cfgDeslocamento)/48)</f>
        <v>0</v>
      </c>
    </row>
    <row r="2120" spans="1:8">
      <c r="A2120" s="24"/>
      <c r="B2120" s="19"/>
      <c r="C2120" s="25">
        <f>IF(D2120="","",D2120/48)</f>
        <v>0</v>
      </c>
      <c r="D2120" s="26">
        <f>IF(A2120="","",ROUND((A2120-cfgDefasagem/1440)*48,0))</f>
        <v>0</v>
      </c>
      <c r="E2120" s="26">
        <f>IF(D2120="","",INT((D2120-cfgDeslocamento)/4))</f>
        <v>0</v>
      </c>
      <c r="F2120" s="26">
        <f>IF(D2120="","",MOD(D2120-cfgDeslocamento,4)+1)</f>
        <v>0</v>
      </c>
      <c r="G2120" s="26">
        <f>IF(A2120="","",IF(AND(ISNUMBER(B2120),B2120&lt;&gt;0),1,0))</f>
        <v>0</v>
      </c>
      <c r="H2120" s="25">
        <f>IF(E2120="","",(E2120*4+3+cfgDeslocamento)/48)</f>
        <v>0</v>
      </c>
    </row>
    <row r="2121" spans="1:8">
      <c r="A2121" s="24"/>
      <c r="B2121" s="19"/>
      <c r="C2121" s="25">
        <f>IF(D2121="","",D2121/48)</f>
        <v>0</v>
      </c>
      <c r="D2121" s="26">
        <f>IF(A2121="","",ROUND((A2121-cfgDefasagem/1440)*48,0))</f>
        <v>0</v>
      </c>
      <c r="E2121" s="26">
        <f>IF(D2121="","",INT((D2121-cfgDeslocamento)/4))</f>
        <v>0</v>
      </c>
      <c r="F2121" s="26">
        <f>IF(D2121="","",MOD(D2121-cfgDeslocamento,4)+1)</f>
        <v>0</v>
      </c>
      <c r="G2121" s="26">
        <f>IF(A2121="","",IF(AND(ISNUMBER(B2121),B2121&lt;&gt;0),1,0))</f>
        <v>0</v>
      </c>
      <c r="H2121" s="25">
        <f>IF(E2121="","",(E2121*4+3+cfgDeslocamento)/48)</f>
        <v>0</v>
      </c>
    </row>
    <row r="2122" spans="1:8">
      <c r="A2122" s="24"/>
      <c r="B2122" s="19"/>
      <c r="C2122" s="25">
        <f>IF(D2122="","",D2122/48)</f>
        <v>0</v>
      </c>
      <c r="D2122" s="26">
        <f>IF(A2122="","",ROUND((A2122-cfgDefasagem/1440)*48,0))</f>
        <v>0</v>
      </c>
      <c r="E2122" s="26">
        <f>IF(D2122="","",INT((D2122-cfgDeslocamento)/4))</f>
        <v>0</v>
      </c>
      <c r="F2122" s="26">
        <f>IF(D2122="","",MOD(D2122-cfgDeslocamento,4)+1)</f>
        <v>0</v>
      </c>
      <c r="G2122" s="26">
        <f>IF(A2122="","",IF(AND(ISNUMBER(B2122),B2122&lt;&gt;0),1,0))</f>
        <v>0</v>
      </c>
      <c r="H2122" s="25">
        <f>IF(E2122="","",(E2122*4+3+cfgDeslocamento)/48)</f>
        <v>0</v>
      </c>
    </row>
    <row r="2123" spans="1:8">
      <c r="A2123" s="24"/>
      <c r="B2123" s="19"/>
      <c r="C2123" s="25">
        <f>IF(D2123="","",D2123/48)</f>
        <v>0</v>
      </c>
      <c r="D2123" s="26">
        <f>IF(A2123="","",ROUND((A2123-cfgDefasagem/1440)*48,0))</f>
        <v>0</v>
      </c>
      <c r="E2123" s="26">
        <f>IF(D2123="","",INT((D2123-cfgDeslocamento)/4))</f>
        <v>0</v>
      </c>
      <c r="F2123" s="26">
        <f>IF(D2123="","",MOD(D2123-cfgDeslocamento,4)+1)</f>
        <v>0</v>
      </c>
      <c r="G2123" s="26">
        <f>IF(A2123="","",IF(AND(ISNUMBER(B2123),B2123&lt;&gt;0),1,0))</f>
        <v>0</v>
      </c>
      <c r="H2123" s="25">
        <f>IF(E2123="","",(E2123*4+3+cfgDeslocamento)/48)</f>
        <v>0</v>
      </c>
    </row>
    <row r="2124" spans="1:8">
      <c r="A2124" s="24"/>
      <c r="B2124" s="19"/>
      <c r="C2124" s="25">
        <f>IF(D2124="","",D2124/48)</f>
        <v>0</v>
      </c>
      <c r="D2124" s="26">
        <f>IF(A2124="","",ROUND((A2124-cfgDefasagem/1440)*48,0))</f>
        <v>0</v>
      </c>
      <c r="E2124" s="26">
        <f>IF(D2124="","",INT((D2124-cfgDeslocamento)/4))</f>
        <v>0</v>
      </c>
      <c r="F2124" s="26">
        <f>IF(D2124="","",MOD(D2124-cfgDeslocamento,4)+1)</f>
        <v>0</v>
      </c>
      <c r="G2124" s="26">
        <f>IF(A2124="","",IF(AND(ISNUMBER(B2124),B2124&lt;&gt;0),1,0))</f>
        <v>0</v>
      </c>
      <c r="H2124" s="25">
        <f>IF(E2124="","",(E2124*4+3+cfgDeslocamento)/48)</f>
        <v>0</v>
      </c>
    </row>
    <row r="2125" spans="1:8">
      <c r="A2125" s="24"/>
      <c r="B2125" s="19"/>
      <c r="C2125" s="25">
        <f>IF(D2125="","",D2125/48)</f>
        <v>0</v>
      </c>
      <c r="D2125" s="26">
        <f>IF(A2125="","",ROUND((A2125-cfgDefasagem/1440)*48,0))</f>
        <v>0</v>
      </c>
      <c r="E2125" s="26">
        <f>IF(D2125="","",INT((D2125-cfgDeslocamento)/4))</f>
        <v>0</v>
      </c>
      <c r="F2125" s="26">
        <f>IF(D2125="","",MOD(D2125-cfgDeslocamento,4)+1)</f>
        <v>0</v>
      </c>
      <c r="G2125" s="26">
        <f>IF(A2125="","",IF(AND(ISNUMBER(B2125),B2125&lt;&gt;0),1,0))</f>
        <v>0</v>
      </c>
      <c r="H2125" s="25">
        <f>IF(E2125="","",(E2125*4+3+cfgDeslocamento)/48)</f>
        <v>0</v>
      </c>
    </row>
    <row r="2126" spans="1:8">
      <c r="A2126" s="24"/>
      <c r="B2126" s="19"/>
      <c r="C2126" s="25">
        <f>IF(D2126="","",D2126/48)</f>
        <v>0</v>
      </c>
      <c r="D2126" s="26">
        <f>IF(A2126="","",ROUND((A2126-cfgDefasagem/1440)*48,0))</f>
        <v>0</v>
      </c>
      <c r="E2126" s="26">
        <f>IF(D2126="","",INT((D2126-cfgDeslocamento)/4))</f>
        <v>0</v>
      </c>
      <c r="F2126" s="26">
        <f>IF(D2126="","",MOD(D2126-cfgDeslocamento,4)+1)</f>
        <v>0</v>
      </c>
      <c r="G2126" s="26">
        <f>IF(A2126="","",IF(AND(ISNUMBER(B2126),B2126&lt;&gt;0),1,0))</f>
        <v>0</v>
      </c>
      <c r="H2126" s="25">
        <f>IF(E2126="","",(E2126*4+3+cfgDeslocamento)/48)</f>
        <v>0</v>
      </c>
    </row>
    <row r="2127" spans="1:8">
      <c r="A2127" s="24"/>
      <c r="B2127" s="19"/>
      <c r="C2127" s="25">
        <f>IF(D2127="","",D2127/48)</f>
        <v>0</v>
      </c>
      <c r="D2127" s="26">
        <f>IF(A2127="","",ROUND((A2127-cfgDefasagem/1440)*48,0))</f>
        <v>0</v>
      </c>
      <c r="E2127" s="26">
        <f>IF(D2127="","",INT((D2127-cfgDeslocamento)/4))</f>
        <v>0</v>
      </c>
      <c r="F2127" s="26">
        <f>IF(D2127="","",MOD(D2127-cfgDeslocamento,4)+1)</f>
        <v>0</v>
      </c>
      <c r="G2127" s="26">
        <f>IF(A2127="","",IF(AND(ISNUMBER(B2127),B2127&lt;&gt;0),1,0))</f>
        <v>0</v>
      </c>
      <c r="H2127" s="25">
        <f>IF(E2127="","",(E2127*4+3+cfgDeslocamento)/48)</f>
        <v>0</v>
      </c>
    </row>
    <row r="2128" spans="1:8">
      <c r="A2128" s="24"/>
      <c r="B2128" s="19"/>
      <c r="C2128" s="25">
        <f>IF(D2128="","",D2128/48)</f>
        <v>0</v>
      </c>
      <c r="D2128" s="26">
        <f>IF(A2128="","",ROUND((A2128-cfgDefasagem/1440)*48,0))</f>
        <v>0</v>
      </c>
      <c r="E2128" s="26">
        <f>IF(D2128="","",INT((D2128-cfgDeslocamento)/4))</f>
        <v>0</v>
      </c>
      <c r="F2128" s="26">
        <f>IF(D2128="","",MOD(D2128-cfgDeslocamento,4)+1)</f>
        <v>0</v>
      </c>
      <c r="G2128" s="26">
        <f>IF(A2128="","",IF(AND(ISNUMBER(B2128),B2128&lt;&gt;0),1,0))</f>
        <v>0</v>
      </c>
      <c r="H2128" s="25">
        <f>IF(E2128="","",(E2128*4+3+cfgDeslocamento)/48)</f>
        <v>0</v>
      </c>
    </row>
    <row r="2129" spans="1:8">
      <c r="A2129" s="24"/>
      <c r="B2129" s="19"/>
      <c r="C2129" s="25">
        <f>IF(D2129="","",D2129/48)</f>
        <v>0</v>
      </c>
      <c r="D2129" s="26">
        <f>IF(A2129="","",ROUND((A2129-cfgDefasagem/1440)*48,0))</f>
        <v>0</v>
      </c>
      <c r="E2129" s="26">
        <f>IF(D2129="","",INT((D2129-cfgDeslocamento)/4))</f>
        <v>0</v>
      </c>
      <c r="F2129" s="26">
        <f>IF(D2129="","",MOD(D2129-cfgDeslocamento,4)+1)</f>
        <v>0</v>
      </c>
      <c r="G2129" s="26">
        <f>IF(A2129="","",IF(AND(ISNUMBER(B2129),B2129&lt;&gt;0),1,0))</f>
        <v>0</v>
      </c>
      <c r="H2129" s="25">
        <f>IF(E2129="","",(E2129*4+3+cfgDeslocamento)/48)</f>
        <v>0</v>
      </c>
    </row>
    <row r="2130" spans="1:8">
      <c r="A2130" s="24"/>
      <c r="B2130" s="19"/>
      <c r="C2130" s="25">
        <f>IF(D2130="","",D2130/48)</f>
        <v>0</v>
      </c>
      <c r="D2130" s="26">
        <f>IF(A2130="","",ROUND((A2130-cfgDefasagem/1440)*48,0))</f>
        <v>0</v>
      </c>
      <c r="E2130" s="26">
        <f>IF(D2130="","",INT((D2130-cfgDeslocamento)/4))</f>
        <v>0</v>
      </c>
      <c r="F2130" s="26">
        <f>IF(D2130="","",MOD(D2130-cfgDeslocamento,4)+1)</f>
        <v>0</v>
      </c>
      <c r="G2130" s="26">
        <f>IF(A2130="","",IF(AND(ISNUMBER(B2130),B2130&lt;&gt;0),1,0))</f>
        <v>0</v>
      </c>
      <c r="H2130" s="25">
        <f>IF(E2130="","",(E2130*4+3+cfgDeslocamento)/48)</f>
        <v>0</v>
      </c>
    </row>
    <row r="2131" spans="1:8">
      <c r="A2131" s="24"/>
      <c r="B2131" s="19"/>
      <c r="C2131" s="25">
        <f>IF(D2131="","",D2131/48)</f>
        <v>0</v>
      </c>
      <c r="D2131" s="26">
        <f>IF(A2131="","",ROUND((A2131-cfgDefasagem/1440)*48,0))</f>
        <v>0</v>
      </c>
      <c r="E2131" s="26">
        <f>IF(D2131="","",INT((D2131-cfgDeslocamento)/4))</f>
        <v>0</v>
      </c>
      <c r="F2131" s="26">
        <f>IF(D2131="","",MOD(D2131-cfgDeslocamento,4)+1)</f>
        <v>0</v>
      </c>
      <c r="G2131" s="26">
        <f>IF(A2131="","",IF(AND(ISNUMBER(B2131),B2131&lt;&gt;0),1,0))</f>
        <v>0</v>
      </c>
      <c r="H2131" s="25">
        <f>IF(E2131="","",(E2131*4+3+cfgDeslocamento)/48)</f>
        <v>0</v>
      </c>
    </row>
    <row r="2132" spans="1:8">
      <c r="A2132" s="24"/>
      <c r="B2132" s="19"/>
      <c r="C2132" s="25">
        <f>IF(D2132="","",D2132/48)</f>
        <v>0</v>
      </c>
      <c r="D2132" s="26">
        <f>IF(A2132="","",ROUND((A2132-cfgDefasagem/1440)*48,0))</f>
        <v>0</v>
      </c>
      <c r="E2132" s="26">
        <f>IF(D2132="","",INT((D2132-cfgDeslocamento)/4))</f>
        <v>0</v>
      </c>
      <c r="F2132" s="26">
        <f>IF(D2132="","",MOD(D2132-cfgDeslocamento,4)+1)</f>
        <v>0</v>
      </c>
      <c r="G2132" s="26">
        <f>IF(A2132="","",IF(AND(ISNUMBER(B2132),B2132&lt;&gt;0),1,0))</f>
        <v>0</v>
      </c>
      <c r="H2132" s="25">
        <f>IF(E2132="","",(E2132*4+3+cfgDeslocamento)/48)</f>
        <v>0</v>
      </c>
    </row>
    <row r="2133" spans="1:8">
      <c r="A2133" s="24"/>
      <c r="B2133" s="19"/>
      <c r="C2133" s="25">
        <f>IF(D2133="","",D2133/48)</f>
        <v>0</v>
      </c>
      <c r="D2133" s="26">
        <f>IF(A2133="","",ROUND((A2133-cfgDefasagem/1440)*48,0))</f>
        <v>0</v>
      </c>
      <c r="E2133" s="26">
        <f>IF(D2133="","",INT((D2133-cfgDeslocamento)/4))</f>
        <v>0</v>
      </c>
      <c r="F2133" s="26">
        <f>IF(D2133="","",MOD(D2133-cfgDeslocamento,4)+1)</f>
        <v>0</v>
      </c>
      <c r="G2133" s="26">
        <f>IF(A2133="","",IF(AND(ISNUMBER(B2133),B2133&lt;&gt;0),1,0))</f>
        <v>0</v>
      </c>
      <c r="H2133" s="25">
        <f>IF(E2133="","",(E2133*4+3+cfgDeslocamento)/48)</f>
        <v>0</v>
      </c>
    </row>
    <row r="2134" spans="1:8">
      <c r="A2134" s="24"/>
      <c r="B2134" s="19"/>
      <c r="C2134" s="25">
        <f>IF(D2134="","",D2134/48)</f>
        <v>0</v>
      </c>
      <c r="D2134" s="26">
        <f>IF(A2134="","",ROUND((A2134-cfgDefasagem/1440)*48,0))</f>
        <v>0</v>
      </c>
      <c r="E2134" s="26">
        <f>IF(D2134="","",INT((D2134-cfgDeslocamento)/4))</f>
        <v>0</v>
      </c>
      <c r="F2134" s="26">
        <f>IF(D2134="","",MOD(D2134-cfgDeslocamento,4)+1)</f>
        <v>0</v>
      </c>
      <c r="G2134" s="26">
        <f>IF(A2134="","",IF(AND(ISNUMBER(B2134),B2134&lt;&gt;0),1,0))</f>
        <v>0</v>
      </c>
      <c r="H2134" s="25">
        <f>IF(E2134="","",(E2134*4+3+cfgDeslocamento)/48)</f>
        <v>0</v>
      </c>
    </row>
    <row r="2135" spans="1:8">
      <c r="A2135" s="24"/>
      <c r="B2135" s="19"/>
      <c r="C2135" s="25">
        <f>IF(D2135="","",D2135/48)</f>
        <v>0</v>
      </c>
      <c r="D2135" s="26">
        <f>IF(A2135="","",ROUND((A2135-cfgDefasagem/1440)*48,0))</f>
        <v>0</v>
      </c>
      <c r="E2135" s="26">
        <f>IF(D2135="","",INT((D2135-cfgDeslocamento)/4))</f>
        <v>0</v>
      </c>
      <c r="F2135" s="26">
        <f>IF(D2135="","",MOD(D2135-cfgDeslocamento,4)+1)</f>
        <v>0</v>
      </c>
      <c r="G2135" s="26">
        <f>IF(A2135="","",IF(AND(ISNUMBER(B2135),B2135&lt;&gt;0),1,0))</f>
        <v>0</v>
      </c>
      <c r="H2135" s="25">
        <f>IF(E2135="","",(E2135*4+3+cfgDeslocamento)/48)</f>
        <v>0</v>
      </c>
    </row>
    <row r="2136" spans="1:8">
      <c r="A2136" s="24"/>
      <c r="B2136" s="19"/>
      <c r="C2136" s="25">
        <f>IF(D2136="","",D2136/48)</f>
        <v>0</v>
      </c>
      <c r="D2136" s="26">
        <f>IF(A2136="","",ROUND((A2136-cfgDefasagem/1440)*48,0))</f>
        <v>0</v>
      </c>
      <c r="E2136" s="26">
        <f>IF(D2136="","",INT((D2136-cfgDeslocamento)/4))</f>
        <v>0</v>
      </c>
      <c r="F2136" s="26">
        <f>IF(D2136="","",MOD(D2136-cfgDeslocamento,4)+1)</f>
        <v>0</v>
      </c>
      <c r="G2136" s="26">
        <f>IF(A2136="","",IF(AND(ISNUMBER(B2136),B2136&lt;&gt;0),1,0))</f>
        <v>0</v>
      </c>
      <c r="H2136" s="25">
        <f>IF(E2136="","",(E2136*4+3+cfgDeslocamento)/48)</f>
        <v>0</v>
      </c>
    </row>
    <row r="2137" spans="1:8">
      <c r="A2137" s="24"/>
      <c r="B2137" s="19"/>
      <c r="C2137" s="25">
        <f>IF(D2137="","",D2137/48)</f>
        <v>0</v>
      </c>
      <c r="D2137" s="26">
        <f>IF(A2137="","",ROUND((A2137-cfgDefasagem/1440)*48,0))</f>
        <v>0</v>
      </c>
      <c r="E2137" s="26">
        <f>IF(D2137="","",INT((D2137-cfgDeslocamento)/4))</f>
        <v>0</v>
      </c>
      <c r="F2137" s="26">
        <f>IF(D2137="","",MOD(D2137-cfgDeslocamento,4)+1)</f>
        <v>0</v>
      </c>
      <c r="G2137" s="26">
        <f>IF(A2137="","",IF(AND(ISNUMBER(B2137),B2137&lt;&gt;0),1,0))</f>
        <v>0</v>
      </c>
      <c r="H2137" s="25">
        <f>IF(E2137="","",(E2137*4+3+cfgDeslocamento)/48)</f>
        <v>0</v>
      </c>
    </row>
    <row r="2138" spans="1:8">
      <c r="A2138" s="24"/>
      <c r="B2138" s="19"/>
      <c r="C2138" s="25">
        <f>IF(D2138="","",D2138/48)</f>
        <v>0</v>
      </c>
      <c r="D2138" s="26">
        <f>IF(A2138="","",ROUND((A2138-cfgDefasagem/1440)*48,0))</f>
        <v>0</v>
      </c>
      <c r="E2138" s="26">
        <f>IF(D2138="","",INT((D2138-cfgDeslocamento)/4))</f>
        <v>0</v>
      </c>
      <c r="F2138" s="26">
        <f>IF(D2138="","",MOD(D2138-cfgDeslocamento,4)+1)</f>
        <v>0</v>
      </c>
      <c r="G2138" s="26">
        <f>IF(A2138="","",IF(AND(ISNUMBER(B2138),B2138&lt;&gt;0),1,0))</f>
        <v>0</v>
      </c>
      <c r="H2138" s="25">
        <f>IF(E2138="","",(E2138*4+3+cfgDeslocamento)/48)</f>
        <v>0</v>
      </c>
    </row>
    <row r="2139" spans="1:8">
      <c r="A2139" s="24"/>
      <c r="B2139" s="19"/>
      <c r="C2139" s="25">
        <f>IF(D2139="","",D2139/48)</f>
        <v>0</v>
      </c>
      <c r="D2139" s="26">
        <f>IF(A2139="","",ROUND((A2139-cfgDefasagem/1440)*48,0))</f>
        <v>0</v>
      </c>
      <c r="E2139" s="26">
        <f>IF(D2139="","",INT((D2139-cfgDeslocamento)/4))</f>
        <v>0</v>
      </c>
      <c r="F2139" s="26">
        <f>IF(D2139="","",MOD(D2139-cfgDeslocamento,4)+1)</f>
        <v>0</v>
      </c>
      <c r="G2139" s="26">
        <f>IF(A2139="","",IF(AND(ISNUMBER(B2139),B2139&lt;&gt;0),1,0))</f>
        <v>0</v>
      </c>
      <c r="H2139" s="25">
        <f>IF(E2139="","",(E2139*4+3+cfgDeslocamento)/48)</f>
        <v>0</v>
      </c>
    </row>
    <row r="2140" spans="1:8">
      <c r="A2140" s="24"/>
      <c r="B2140" s="19"/>
      <c r="C2140" s="25">
        <f>IF(D2140="","",D2140/48)</f>
        <v>0</v>
      </c>
      <c r="D2140" s="26">
        <f>IF(A2140="","",ROUND((A2140-cfgDefasagem/1440)*48,0))</f>
        <v>0</v>
      </c>
      <c r="E2140" s="26">
        <f>IF(D2140="","",INT((D2140-cfgDeslocamento)/4))</f>
        <v>0</v>
      </c>
      <c r="F2140" s="26">
        <f>IF(D2140="","",MOD(D2140-cfgDeslocamento,4)+1)</f>
        <v>0</v>
      </c>
      <c r="G2140" s="26">
        <f>IF(A2140="","",IF(AND(ISNUMBER(B2140),B2140&lt;&gt;0),1,0))</f>
        <v>0</v>
      </c>
      <c r="H2140" s="25">
        <f>IF(E2140="","",(E2140*4+3+cfgDeslocamento)/48)</f>
        <v>0</v>
      </c>
    </row>
    <row r="2141" spans="1:8">
      <c r="A2141" s="24"/>
      <c r="B2141" s="19"/>
      <c r="C2141" s="25">
        <f>IF(D2141="","",D2141/48)</f>
        <v>0</v>
      </c>
      <c r="D2141" s="26">
        <f>IF(A2141="","",ROUND((A2141-cfgDefasagem/1440)*48,0))</f>
        <v>0</v>
      </c>
      <c r="E2141" s="26">
        <f>IF(D2141="","",INT((D2141-cfgDeslocamento)/4))</f>
        <v>0</v>
      </c>
      <c r="F2141" s="26">
        <f>IF(D2141="","",MOD(D2141-cfgDeslocamento,4)+1)</f>
        <v>0</v>
      </c>
      <c r="G2141" s="26">
        <f>IF(A2141="","",IF(AND(ISNUMBER(B2141),B2141&lt;&gt;0),1,0))</f>
        <v>0</v>
      </c>
      <c r="H2141" s="25">
        <f>IF(E2141="","",(E2141*4+3+cfgDeslocamento)/48)</f>
        <v>0</v>
      </c>
    </row>
    <row r="2142" spans="1:8">
      <c r="A2142" s="24"/>
      <c r="B2142" s="19"/>
      <c r="C2142" s="25">
        <f>IF(D2142="","",D2142/48)</f>
        <v>0</v>
      </c>
      <c r="D2142" s="26">
        <f>IF(A2142="","",ROUND((A2142-cfgDefasagem/1440)*48,0))</f>
        <v>0</v>
      </c>
      <c r="E2142" s="26">
        <f>IF(D2142="","",INT((D2142-cfgDeslocamento)/4))</f>
        <v>0</v>
      </c>
      <c r="F2142" s="26">
        <f>IF(D2142="","",MOD(D2142-cfgDeslocamento,4)+1)</f>
        <v>0</v>
      </c>
      <c r="G2142" s="26">
        <f>IF(A2142="","",IF(AND(ISNUMBER(B2142),B2142&lt;&gt;0),1,0))</f>
        <v>0</v>
      </c>
      <c r="H2142" s="25">
        <f>IF(E2142="","",(E2142*4+3+cfgDeslocamento)/48)</f>
        <v>0</v>
      </c>
    </row>
    <row r="2143" spans="1:8">
      <c r="A2143" s="24"/>
      <c r="B2143" s="19"/>
      <c r="C2143" s="25">
        <f>IF(D2143="","",D2143/48)</f>
        <v>0</v>
      </c>
      <c r="D2143" s="26">
        <f>IF(A2143="","",ROUND((A2143-cfgDefasagem/1440)*48,0))</f>
        <v>0</v>
      </c>
      <c r="E2143" s="26">
        <f>IF(D2143="","",INT((D2143-cfgDeslocamento)/4))</f>
        <v>0</v>
      </c>
      <c r="F2143" s="26">
        <f>IF(D2143="","",MOD(D2143-cfgDeslocamento,4)+1)</f>
        <v>0</v>
      </c>
      <c r="G2143" s="26">
        <f>IF(A2143="","",IF(AND(ISNUMBER(B2143),B2143&lt;&gt;0),1,0))</f>
        <v>0</v>
      </c>
      <c r="H2143" s="25">
        <f>IF(E2143="","",(E2143*4+3+cfgDeslocamento)/48)</f>
        <v>0</v>
      </c>
    </row>
    <row r="2144" spans="1:8">
      <c r="A2144" s="24"/>
      <c r="B2144" s="19"/>
      <c r="C2144" s="25">
        <f>IF(D2144="","",D2144/48)</f>
        <v>0</v>
      </c>
      <c r="D2144" s="26">
        <f>IF(A2144="","",ROUND((A2144-cfgDefasagem/1440)*48,0))</f>
        <v>0</v>
      </c>
      <c r="E2144" s="26">
        <f>IF(D2144="","",INT((D2144-cfgDeslocamento)/4))</f>
        <v>0</v>
      </c>
      <c r="F2144" s="26">
        <f>IF(D2144="","",MOD(D2144-cfgDeslocamento,4)+1)</f>
        <v>0</v>
      </c>
      <c r="G2144" s="26">
        <f>IF(A2144="","",IF(AND(ISNUMBER(B2144),B2144&lt;&gt;0),1,0))</f>
        <v>0</v>
      </c>
      <c r="H2144" s="25">
        <f>IF(E2144="","",(E2144*4+3+cfgDeslocamento)/48)</f>
        <v>0</v>
      </c>
    </row>
    <row r="2145" spans="1:8">
      <c r="A2145" s="24"/>
      <c r="B2145" s="19"/>
      <c r="C2145" s="25">
        <f>IF(D2145="","",D2145/48)</f>
        <v>0</v>
      </c>
      <c r="D2145" s="26">
        <f>IF(A2145="","",ROUND((A2145-cfgDefasagem/1440)*48,0))</f>
        <v>0</v>
      </c>
      <c r="E2145" s="26">
        <f>IF(D2145="","",INT((D2145-cfgDeslocamento)/4))</f>
        <v>0</v>
      </c>
      <c r="F2145" s="26">
        <f>IF(D2145="","",MOD(D2145-cfgDeslocamento,4)+1)</f>
        <v>0</v>
      </c>
      <c r="G2145" s="26">
        <f>IF(A2145="","",IF(AND(ISNUMBER(B2145),B2145&lt;&gt;0),1,0))</f>
        <v>0</v>
      </c>
      <c r="H2145" s="25">
        <f>IF(E2145="","",(E2145*4+3+cfgDeslocamento)/48)</f>
        <v>0</v>
      </c>
    </row>
    <row r="2146" spans="1:8">
      <c r="A2146" s="24"/>
      <c r="B2146" s="19"/>
      <c r="C2146" s="25">
        <f>IF(D2146="","",D2146/48)</f>
        <v>0</v>
      </c>
      <c r="D2146" s="26">
        <f>IF(A2146="","",ROUND((A2146-cfgDefasagem/1440)*48,0))</f>
        <v>0</v>
      </c>
      <c r="E2146" s="26">
        <f>IF(D2146="","",INT((D2146-cfgDeslocamento)/4))</f>
        <v>0</v>
      </c>
      <c r="F2146" s="26">
        <f>IF(D2146="","",MOD(D2146-cfgDeslocamento,4)+1)</f>
        <v>0</v>
      </c>
      <c r="G2146" s="26">
        <f>IF(A2146="","",IF(AND(ISNUMBER(B2146),B2146&lt;&gt;0),1,0))</f>
        <v>0</v>
      </c>
      <c r="H2146" s="25">
        <f>IF(E2146="","",(E2146*4+3+cfgDeslocamento)/48)</f>
        <v>0</v>
      </c>
    </row>
    <row r="2147" spans="1:8">
      <c r="A2147" s="24"/>
      <c r="B2147" s="19"/>
      <c r="C2147" s="25">
        <f>IF(D2147="","",D2147/48)</f>
        <v>0</v>
      </c>
      <c r="D2147" s="26">
        <f>IF(A2147="","",ROUND((A2147-cfgDefasagem/1440)*48,0))</f>
        <v>0</v>
      </c>
      <c r="E2147" s="26">
        <f>IF(D2147="","",INT((D2147-cfgDeslocamento)/4))</f>
        <v>0</v>
      </c>
      <c r="F2147" s="26">
        <f>IF(D2147="","",MOD(D2147-cfgDeslocamento,4)+1)</f>
        <v>0</v>
      </c>
      <c r="G2147" s="26">
        <f>IF(A2147="","",IF(AND(ISNUMBER(B2147),B2147&lt;&gt;0),1,0))</f>
        <v>0</v>
      </c>
      <c r="H2147" s="25">
        <f>IF(E2147="","",(E2147*4+3+cfgDeslocamento)/48)</f>
        <v>0</v>
      </c>
    </row>
    <row r="2148" spans="1:8">
      <c r="A2148" s="24"/>
      <c r="B2148" s="19"/>
      <c r="C2148" s="25">
        <f>IF(D2148="","",D2148/48)</f>
        <v>0</v>
      </c>
      <c r="D2148" s="26">
        <f>IF(A2148="","",ROUND((A2148-cfgDefasagem/1440)*48,0))</f>
        <v>0</v>
      </c>
      <c r="E2148" s="26">
        <f>IF(D2148="","",INT((D2148-cfgDeslocamento)/4))</f>
        <v>0</v>
      </c>
      <c r="F2148" s="26">
        <f>IF(D2148="","",MOD(D2148-cfgDeslocamento,4)+1)</f>
        <v>0</v>
      </c>
      <c r="G2148" s="26">
        <f>IF(A2148="","",IF(AND(ISNUMBER(B2148),B2148&lt;&gt;0),1,0))</f>
        <v>0</v>
      </c>
      <c r="H2148" s="25">
        <f>IF(E2148="","",(E2148*4+3+cfgDeslocamento)/48)</f>
        <v>0</v>
      </c>
    </row>
    <row r="2149" spans="1:8">
      <c r="A2149" s="24"/>
      <c r="B2149" s="19"/>
      <c r="C2149" s="25">
        <f>IF(D2149="","",D2149/48)</f>
        <v>0</v>
      </c>
      <c r="D2149" s="26">
        <f>IF(A2149="","",ROUND((A2149-cfgDefasagem/1440)*48,0))</f>
        <v>0</v>
      </c>
      <c r="E2149" s="26">
        <f>IF(D2149="","",INT((D2149-cfgDeslocamento)/4))</f>
        <v>0</v>
      </c>
      <c r="F2149" s="26">
        <f>IF(D2149="","",MOD(D2149-cfgDeslocamento,4)+1)</f>
        <v>0</v>
      </c>
      <c r="G2149" s="26">
        <f>IF(A2149="","",IF(AND(ISNUMBER(B2149),B2149&lt;&gt;0),1,0))</f>
        <v>0</v>
      </c>
      <c r="H2149" s="25">
        <f>IF(E2149="","",(E2149*4+3+cfgDeslocamento)/48)</f>
        <v>0</v>
      </c>
    </row>
    <row r="2150" spans="1:8">
      <c r="A2150" s="24"/>
      <c r="B2150" s="19"/>
      <c r="C2150" s="25">
        <f>IF(D2150="","",D2150/48)</f>
        <v>0</v>
      </c>
      <c r="D2150" s="26">
        <f>IF(A2150="","",ROUND((A2150-cfgDefasagem/1440)*48,0))</f>
        <v>0</v>
      </c>
      <c r="E2150" s="26">
        <f>IF(D2150="","",INT((D2150-cfgDeslocamento)/4))</f>
        <v>0</v>
      </c>
      <c r="F2150" s="26">
        <f>IF(D2150="","",MOD(D2150-cfgDeslocamento,4)+1)</f>
        <v>0</v>
      </c>
      <c r="G2150" s="26">
        <f>IF(A2150="","",IF(AND(ISNUMBER(B2150),B2150&lt;&gt;0),1,0))</f>
        <v>0</v>
      </c>
      <c r="H2150" s="25">
        <f>IF(E2150="","",(E2150*4+3+cfgDeslocamento)/48)</f>
        <v>0</v>
      </c>
    </row>
    <row r="2151" spans="1:8">
      <c r="A2151" s="24"/>
      <c r="B2151" s="19"/>
      <c r="C2151" s="25">
        <f>IF(D2151="","",D2151/48)</f>
        <v>0</v>
      </c>
      <c r="D2151" s="26">
        <f>IF(A2151="","",ROUND((A2151-cfgDefasagem/1440)*48,0))</f>
        <v>0</v>
      </c>
      <c r="E2151" s="26">
        <f>IF(D2151="","",INT((D2151-cfgDeslocamento)/4))</f>
        <v>0</v>
      </c>
      <c r="F2151" s="26">
        <f>IF(D2151="","",MOD(D2151-cfgDeslocamento,4)+1)</f>
        <v>0</v>
      </c>
      <c r="G2151" s="26">
        <f>IF(A2151="","",IF(AND(ISNUMBER(B2151),B2151&lt;&gt;0),1,0))</f>
        <v>0</v>
      </c>
      <c r="H2151" s="25">
        <f>IF(E2151="","",(E2151*4+3+cfgDeslocamento)/48)</f>
        <v>0</v>
      </c>
    </row>
    <row r="2152" spans="1:8">
      <c r="A2152" s="24"/>
      <c r="B2152" s="19"/>
      <c r="C2152" s="25">
        <f>IF(D2152="","",D2152/48)</f>
        <v>0</v>
      </c>
      <c r="D2152" s="26">
        <f>IF(A2152="","",ROUND((A2152-cfgDefasagem/1440)*48,0))</f>
        <v>0</v>
      </c>
      <c r="E2152" s="26">
        <f>IF(D2152="","",INT((D2152-cfgDeslocamento)/4))</f>
        <v>0</v>
      </c>
      <c r="F2152" s="26">
        <f>IF(D2152="","",MOD(D2152-cfgDeslocamento,4)+1)</f>
        <v>0</v>
      </c>
      <c r="G2152" s="26">
        <f>IF(A2152="","",IF(AND(ISNUMBER(B2152),B2152&lt;&gt;0),1,0))</f>
        <v>0</v>
      </c>
      <c r="H2152" s="25">
        <f>IF(E2152="","",(E2152*4+3+cfgDeslocamento)/48)</f>
        <v>0</v>
      </c>
    </row>
    <row r="2153" spans="1:8">
      <c r="A2153" s="24"/>
      <c r="B2153" s="19"/>
      <c r="C2153" s="25">
        <f>IF(D2153="","",D2153/48)</f>
        <v>0</v>
      </c>
      <c r="D2153" s="26">
        <f>IF(A2153="","",ROUND((A2153-cfgDefasagem/1440)*48,0))</f>
        <v>0</v>
      </c>
      <c r="E2153" s="26">
        <f>IF(D2153="","",INT((D2153-cfgDeslocamento)/4))</f>
        <v>0</v>
      </c>
      <c r="F2153" s="26">
        <f>IF(D2153="","",MOD(D2153-cfgDeslocamento,4)+1)</f>
        <v>0</v>
      </c>
      <c r="G2153" s="26">
        <f>IF(A2153="","",IF(AND(ISNUMBER(B2153),B2153&lt;&gt;0),1,0))</f>
        <v>0</v>
      </c>
      <c r="H2153" s="25">
        <f>IF(E2153="","",(E2153*4+3+cfgDeslocamento)/48)</f>
        <v>0</v>
      </c>
    </row>
    <row r="2154" spans="1:8">
      <c r="A2154" s="24"/>
      <c r="B2154" s="19"/>
      <c r="C2154" s="25">
        <f>IF(D2154="","",D2154/48)</f>
        <v>0</v>
      </c>
      <c r="D2154" s="26">
        <f>IF(A2154="","",ROUND((A2154-cfgDefasagem/1440)*48,0))</f>
        <v>0</v>
      </c>
      <c r="E2154" s="26">
        <f>IF(D2154="","",INT((D2154-cfgDeslocamento)/4))</f>
        <v>0</v>
      </c>
      <c r="F2154" s="26">
        <f>IF(D2154="","",MOD(D2154-cfgDeslocamento,4)+1)</f>
        <v>0</v>
      </c>
      <c r="G2154" s="26">
        <f>IF(A2154="","",IF(AND(ISNUMBER(B2154),B2154&lt;&gt;0),1,0))</f>
        <v>0</v>
      </c>
      <c r="H2154" s="25">
        <f>IF(E2154="","",(E2154*4+3+cfgDeslocamento)/48)</f>
        <v>0</v>
      </c>
    </row>
    <row r="2155" spans="1:8">
      <c r="A2155" s="24"/>
      <c r="B2155" s="19"/>
      <c r="C2155" s="25">
        <f>IF(D2155="","",D2155/48)</f>
        <v>0</v>
      </c>
      <c r="D2155" s="26">
        <f>IF(A2155="","",ROUND((A2155-cfgDefasagem/1440)*48,0))</f>
        <v>0</v>
      </c>
      <c r="E2155" s="26">
        <f>IF(D2155="","",INT((D2155-cfgDeslocamento)/4))</f>
        <v>0</v>
      </c>
      <c r="F2155" s="26">
        <f>IF(D2155="","",MOD(D2155-cfgDeslocamento,4)+1)</f>
        <v>0</v>
      </c>
      <c r="G2155" s="26">
        <f>IF(A2155="","",IF(AND(ISNUMBER(B2155),B2155&lt;&gt;0),1,0))</f>
        <v>0</v>
      </c>
      <c r="H2155" s="25">
        <f>IF(E2155="","",(E2155*4+3+cfgDeslocamento)/48)</f>
        <v>0</v>
      </c>
    </row>
    <row r="2156" spans="1:8">
      <c r="A2156" s="24"/>
      <c r="B2156" s="19"/>
      <c r="C2156" s="25">
        <f>IF(D2156="","",D2156/48)</f>
        <v>0</v>
      </c>
      <c r="D2156" s="26">
        <f>IF(A2156="","",ROUND((A2156-cfgDefasagem/1440)*48,0))</f>
        <v>0</v>
      </c>
      <c r="E2156" s="26">
        <f>IF(D2156="","",INT((D2156-cfgDeslocamento)/4))</f>
        <v>0</v>
      </c>
      <c r="F2156" s="26">
        <f>IF(D2156="","",MOD(D2156-cfgDeslocamento,4)+1)</f>
        <v>0</v>
      </c>
      <c r="G2156" s="26">
        <f>IF(A2156="","",IF(AND(ISNUMBER(B2156),B2156&lt;&gt;0),1,0))</f>
        <v>0</v>
      </c>
      <c r="H2156" s="25">
        <f>IF(E2156="","",(E2156*4+3+cfgDeslocamento)/48)</f>
        <v>0</v>
      </c>
    </row>
    <row r="2157" spans="1:8">
      <c r="A2157" s="24"/>
      <c r="B2157" s="19"/>
      <c r="C2157" s="25">
        <f>IF(D2157="","",D2157/48)</f>
        <v>0</v>
      </c>
      <c r="D2157" s="26">
        <f>IF(A2157="","",ROUND((A2157-cfgDefasagem/1440)*48,0))</f>
        <v>0</v>
      </c>
      <c r="E2157" s="26">
        <f>IF(D2157="","",INT((D2157-cfgDeslocamento)/4))</f>
        <v>0</v>
      </c>
      <c r="F2157" s="26">
        <f>IF(D2157="","",MOD(D2157-cfgDeslocamento,4)+1)</f>
        <v>0</v>
      </c>
      <c r="G2157" s="26">
        <f>IF(A2157="","",IF(AND(ISNUMBER(B2157),B2157&lt;&gt;0),1,0))</f>
        <v>0</v>
      </c>
      <c r="H2157" s="25">
        <f>IF(E2157="","",(E2157*4+3+cfgDeslocamento)/48)</f>
        <v>0</v>
      </c>
    </row>
    <row r="2158" spans="1:8">
      <c r="A2158" s="24"/>
      <c r="B2158" s="19"/>
      <c r="C2158" s="25">
        <f>IF(D2158="","",D2158/48)</f>
        <v>0</v>
      </c>
      <c r="D2158" s="26">
        <f>IF(A2158="","",ROUND((A2158-cfgDefasagem/1440)*48,0))</f>
        <v>0</v>
      </c>
      <c r="E2158" s="26">
        <f>IF(D2158="","",INT((D2158-cfgDeslocamento)/4))</f>
        <v>0</v>
      </c>
      <c r="F2158" s="26">
        <f>IF(D2158="","",MOD(D2158-cfgDeslocamento,4)+1)</f>
        <v>0</v>
      </c>
      <c r="G2158" s="26">
        <f>IF(A2158="","",IF(AND(ISNUMBER(B2158),B2158&lt;&gt;0),1,0))</f>
        <v>0</v>
      </c>
      <c r="H2158" s="25">
        <f>IF(E2158="","",(E2158*4+3+cfgDeslocamento)/48)</f>
        <v>0</v>
      </c>
    </row>
    <row r="2159" spans="1:8">
      <c r="A2159" s="24"/>
      <c r="B2159" s="19"/>
      <c r="C2159" s="25">
        <f>IF(D2159="","",D2159/48)</f>
        <v>0</v>
      </c>
      <c r="D2159" s="26">
        <f>IF(A2159="","",ROUND((A2159-cfgDefasagem/1440)*48,0))</f>
        <v>0</v>
      </c>
      <c r="E2159" s="26">
        <f>IF(D2159="","",INT((D2159-cfgDeslocamento)/4))</f>
        <v>0</v>
      </c>
      <c r="F2159" s="26">
        <f>IF(D2159="","",MOD(D2159-cfgDeslocamento,4)+1)</f>
        <v>0</v>
      </c>
      <c r="G2159" s="26">
        <f>IF(A2159="","",IF(AND(ISNUMBER(B2159),B2159&lt;&gt;0),1,0))</f>
        <v>0</v>
      </c>
      <c r="H2159" s="25">
        <f>IF(E2159="","",(E2159*4+3+cfgDeslocamento)/48)</f>
        <v>0</v>
      </c>
    </row>
    <row r="2160" spans="1:8">
      <c r="A2160" s="24"/>
      <c r="B2160" s="19"/>
      <c r="C2160" s="25">
        <f>IF(D2160="","",D2160/48)</f>
        <v>0</v>
      </c>
      <c r="D2160" s="26">
        <f>IF(A2160="","",ROUND((A2160-cfgDefasagem/1440)*48,0))</f>
        <v>0</v>
      </c>
      <c r="E2160" s="26">
        <f>IF(D2160="","",INT((D2160-cfgDeslocamento)/4))</f>
        <v>0</v>
      </c>
      <c r="F2160" s="26">
        <f>IF(D2160="","",MOD(D2160-cfgDeslocamento,4)+1)</f>
        <v>0</v>
      </c>
      <c r="G2160" s="26">
        <f>IF(A2160="","",IF(AND(ISNUMBER(B2160),B2160&lt;&gt;0),1,0))</f>
        <v>0</v>
      </c>
      <c r="H2160" s="25">
        <f>IF(E2160="","",(E2160*4+3+cfgDeslocamento)/48)</f>
        <v>0</v>
      </c>
    </row>
    <row r="2161" spans="1:8">
      <c r="A2161" s="24"/>
      <c r="B2161" s="19"/>
      <c r="C2161" s="25">
        <f>IF(D2161="","",D2161/48)</f>
        <v>0</v>
      </c>
      <c r="D2161" s="26">
        <f>IF(A2161="","",ROUND((A2161-cfgDefasagem/1440)*48,0))</f>
        <v>0</v>
      </c>
      <c r="E2161" s="26">
        <f>IF(D2161="","",INT((D2161-cfgDeslocamento)/4))</f>
        <v>0</v>
      </c>
      <c r="F2161" s="26">
        <f>IF(D2161="","",MOD(D2161-cfgDeslocamento,4)+1)</f>
        <v>0</v>
      </c>
      <c r="G2161" s="26">
        <f>IF(A2161="","",IF(AND(ISNUMBER(B2161),B2161&lt;&gt;0),1,0))</f>
        <v>0</v>
      </c>
      <c r="H2161" s="25">
        <f>IF(E2161="","",(E2161*4+3+cfgDeslocamento)/48)</f>
        <v>0</v>
      </c>
    </row>
    <row r="2162" spans="1:8">
      <c r="A2162" s="24"/>
      <c r="B2162" s="19"/>
      <c r="C2162" s="25">
        <f>IF(D2162="","",D2162/48)</f>
        <v>0</v>
      </c>
      <c r="D2162" s="26">
        <f>IF(A2162="","",ROUND((A2162-cfgDefasagem/1440)*48,0))</f>
        <v>0</v>
      </c>
      <c r="E2162" s="26">
        <f>IF(D2162="","",INT((D2162-cfgDeslocamento)/4))</f>
        <v>0</v>
      </c>
      <c r="F2162" s="26">
        <f>IF(D2162="","",MOD(D2162-cfgDeslocamento,4)+1)</f>
        <v>0</v>
      </c>
      <c r="G2162" s="26">
        <f>IF(A2162="","",IF(AND(ISNUMBER(B2162),B2162&lt;&gt;0),1,0))</f>
        <v>0</v>
      </c>
      <c r="H2162" s="25">
        <f>IF(E2162="","",(E2162*4+3+cfgDeslocamento)/48)</f>
        <v>0</v>
      </c>
    </row>
    <row r="2163" spans="1:8">
      <c r="A2163" s="24"/>
      <c r="B2163" s="19"/>
      <c r="C2163" s="25">
        <f>IF(D2163="","",D2163/48)</f>
        <v>0</v>
      </c>
      <c r="D2163" s="26">
        <f>IF(A2163="","",ROUND((A2163-cfgDefasagem/1440)*48,0))</f>
        <v>0</v>
      </c>
      <c r="E2163" s="26">
        <f>IF(D2163="","",INT((D2163-cfgDeslocamento)/4))</f>
        <v>0</v>
      </c>
      <c r="F2163" s="26">
        <f>IF(D2163="","",MOD(D2163-cfgDeslocamento,4)+1)</f>
        <v>0</v>
      </c>
      <c r="G2163" s="26">
        <f>IF(A2163="","",IF(AND(ISNUMBER(B2163),B2163&lt;&gt;0),1,0))</f>
        <v>0</v>
      </c>
      <c r="H2163" s="25">
        <f>IF(E2163="","",(E2163*4+3+cfgDeslocamento)/48)</f>
        <v>0</v>
      </c>
    </row>
    <row r="2164" spans="1:8">
      <c r="A2164" s="24"/>
      <c r="B2164" s="19"/>
      <c r="C2164" s="25">
        <f>IF(D2164="","",D2164/48)</f>
        <v>0</v>
      </c>
      <c r="D2164" s="26">
        <f>IF(A2164="","",ROUND((A2164-cfgDefasagem/1440)*48,0))</f>
        <v>0</v>
      </c>
      <c r="E2164" s="26">
        <f>IF(D2164="","",INT((D2164-cfgDeslocamento)/4))</f>
        <v>0</v>
      </c>
      <c r="F2164" s="26">
        <f>IF(D2164="","",MOD(D2164-cfgDeslocamento,4)+1)</f>
        <v>0</v>
      </c>
      <c r="G2164" s="26">
        <f>IF(A2164="","",IF(AND(ISNUMBER(B2164),B2164&lt;&gt;0),1,0))</f>
        <v>0</v>
      </c>
      <c r="H2164" s="25">
        <f>IF(E2164="","",(E2164*4+3+cfgDeslocamento)/48)</f>
        <v>0</v>
      </c>
    </row>
    <row r="2165" spans="1:8">
      <c r="A2165" s="24"/>
      <c r="B2165" s="19"/>
      <c r="C2165" s="25">
        <f>IF(D2165="","",D2165/48)</f>
        <v>0</v>
      </c>
      <c r="D2165" s="26">
        <f>IF(A2165="","",ROUND((A2165-cfgDefasagem/1440)*48,0))</f>
        <v>0</v>
      </c>
      <c r="E2165" s="26">
        <f>IF(D2165="","",INT((D2165-cfgDeslocamento)/4))</f>
        <v>0</v>
      </c>
      <c r="F2165" s="26">
        <f>IF(D2165="","",MOD(D2165-cfgDeslocamento,4)+1)</f>
        <v>0</v>
      </c>
      <c r="G2165" s="26">
        <f>IF(A2165="","",IF(AND(ISNUMBER(B2165),B2165&lt;&gt;0),1,0))</f>
        <v>0</v>
      </c>
      <c r="H2165" s="25">
        <f>IF(E2165="","",(E2165*4+3+cfgDeslocamento)/48)</f>
        <v>0</v>
      </c>
    </row>
    <row r="2166" spans="1:8">
      <c r="A2166" s="24"/>
      <c r="B2166" s="19"/>
      <c r="C2166" s="25">
        <f>IF(D2166="","",D2166/48)</f>
        <v>0</v>
      </c>
      <c r="D2166" s="26">
        <f>IF(A2166="","",ROUND((A2166-cfgDefasagem/1440)*48,0))</f>
        <v>0</v>
      </c>
      <c r="E2166" s="26">
        <f>IF(D2166="","",INT((D2166-cfgDeslocamento)/4))</f>
        <v>0</v>
      </c>
      <c r="F2166" s="26">
        <f>IF(D2166="","",MOD(D2166-cfgDeslocamento,4)+1)</f>
        <v>0</v>
      </c>
      <c r="G2166" s="26">
        <f>IF(A2166="","",IF(AND(ISNUMBER(B2166),B2166&lt;&gt;0),1,0))</f>
        <v>0</v>
      </c>
      <c r="H2166" s="25">
        <f>IF(E2166="","",(E2166*4+3+cfgDeslocamento)/48)</f>
        <v>0</v>
      </c>
    </row>
    <row r="2167" spans="1:8">
      <c r="A2167" s="24"/>
      <c r="B2167" s="19"/>
      <c r="C2167" s="25">
        <f>IF(D2167="","",D2167/48)</f>
        <v>0</v>
      </c>
      <c r="D2167" s="26">
        <f>IF(A2167="","",ROUND((A2167-cfgDefasagem/1440)*48,0))</f>
        <v>0</v>
      </c>
      <c r="E2167" s="26">
        <f>IF(D2167="","",INT((D2167-cfgDeslocamento)/4))</f>
        <v>0</v>
      </c>
      <c r="F2167" s="26">
        <f>IF(D2167="","",MOD(D2167-cfgDeslocamento,4)+1)</f>
        <v>0</v>
      </c>
      <c r="G2167" s="26">
        <f>IF(A2167="","",IF(AND(ISNUMBER(B2167),B2167&lt;&gt;0),1,0))</f>
        <v>0</v>
      </c>
      <c r="H2167" s="25">
        <f>IF(E2167="","",(E2167*4+3+cfgDeslocamento)/48)</f>
        <v>0</v>
      </c>
    </row>
    <row r="2168" spans="1:8">
      <c r="A2168" s="24"/>
      <c r="B2168" s="19"/>
      <c r="C2168" s="25">
        <f>IF(D2168="","",D2168/48)</f>
        <v>0</v>
      </c>
      <c r="D2168" s="26">
        <f>IF(A2168="","",ROUND((A2168-cfgDefasagem/1440)*48,0))</f>
        <v>0</v>
      </c>
      <c r="E2168" s="26">
        <f>IF(D2168="","",INT((D2168-cfgDeslocamento)/4))</f>
        <v>0</v>
      </c>
      <c r="F2168" s="26">
        <f>IF(D2168="","",MOD(D2168-cfgDeslocamento,4)+1)</f>
        <v>0</v>
      </c>
      <c r="G2168" s="26">
        <f>IF(A2168="","",IF(AND(ISNUMBER(B2168),B2168&lt;&gt;0),1,0))</f>
        <v>0</v>
      </c>
      <c r="H2168" s="25">
        <f>IF(E2168="","",(E2168*4+3+cfgDeslocamento)/48)</f>
        <v>0</v>
      </c>
    </row>
    <row r="2169" spans="1:8">
      <c r="A2169" s="24"/>
      <c r="B2169" s="19"/>
      <c r="C2169" s="25">
        <f>IF(D2169="","",D2169/48)</f>
        <v>0</v>
      </c>
      <c r="D2169" s="26">
        <f>IF(A2169="","",ROUND((A2169-cfgDefasagem/1440)*48,0))</f>
        <v>0</v>
      </c>
      <c r="E2169" s="26">
        <f>IF(D2169="","",INT((D2169-cfgDeslocamento)/4))</f>
        <v>0</v>
      </c>
      <c r="F2169" s="26">
        <f>IF(D2169="","",MOD(D2169-cfgDeslocamento,4)+1)</f>
        <v>0</v>
      </c>
      <c r="G2169" s="26">
        <f>IF(A2169="","",IF(AND(ISNUMBER(B2169),B2169&lt;&gt;0),1,0))</f>
        <v>0</v>
      </c>
      <c r="H2169" s="25">
        <f>IF(E2169="","",(E2169*4+3+cfgDeslocamento)/48)</f>
        <v>0</v>
      </c>
    </row>
    <row r="2170" spans="1:8">
      <c r="A2170" s="24"/>
      <c r="B2170" s="19"/>
      <c r="C2170" s="25">
        <f>IF(D2170="","",D2170/48)</f>
        <v>0</v>
      </c>
      <c r="D2170" s="26">
        <f>IF(A2170="","",ROUND((A2170-cfgDefasagem/1440)*48,0))</f>
        <v>0</v>
      </c>
      <c r="E2170" s="26">
        <f>IF(D2170="","",INT((D2170-cfgDeslocamento)/4))</f>
        <v>0</v>
      </c>
      <c r="F2170" s="26">
        <f>IF(D2170="","",MOD(D2170-cfgDeslocamento,4)+1)</f>
        <v>0</v>
      </c>
      <c r="G2170" s="26">
        <f>IF(A2170="","",IF(AND(ISNUMBER(B2170),B2170&lt;&gt;0),1,0))</f>
        <v>0</v>
      </c>
      <c r="H2170" s="25">
        <f>IF(E2170="","",(E2170*4+3+cfgDeslocamento)/48)</f>
        <v>0</v>
      </c>
    </row>
    <row r="2171" spans="1:8">
      <c r="A2171" s="24"/>
      <c r="B2171" s="19"/>
      <c r="C2171" s="25">
        <f>IF(D2171="","",D2171/48)</f>
        <v>0</v>
      </c>
      <c r="D2171" s="26">
        <f>IF(A2171="","",ROUND((A2171-cfgDefasagem/1440)*48,0))</f>
        <v>0</v>
      </c>
      <c r="E2171" s="26">
        <f>IF(D2171="","",INT((D2171-cfgDeslocamento)/4))</f>
        <v>0</v>
      </c>
      <c r="F2171" s="26">
        <f>IF(D2171="","",MOD(D2171-cfgDeslocamento,4)+1)</f>
        <v>0</v>
      </c>
      <c r="G2171" s="26">
        <f>IF(A2171="","",IF(AND(ISNUMBER(B2171),B2171&lt;&gt;0),1,0))</f>
        <v>0</v>
      </c>
      <c r="H2171" s="25">
        <f>IF(E2171="","",(E2171*4+3+cfgDeslocamento)/48)</f>
        <v>0</v>
      </c>
    </row>
    <row r="2172" spans="1:8">
      <c r="A2172" s="24"/>
      <c r="B2172" s="19"/>
      <c r="C2172" s="25">
        <f>IF(D2172="","",D2172/48)</f>
        <v>0</v>
      </c>
      <c r="D2172" s="26">
        <f>IF(A2172="","",ROUND((A2172-cfgDefasagem/1440)*48,0))</f>
        <v>0</v>
      </c>
      <c r="E2172" s="26">
        <f>IF(D2172="","",INT((D2172-cfgDeslocamento)/4))</f>
        <v>0</v>
      </c>
      <c r="F2172" s="26">
        <f>IF(D2172="","",MOD(D2172-cfgDeslocamento,4)+1)</f>
        <v>0</v>
      </c>
      <c r="G2172" s="26">
        <f>IF(A2172="","",IF(AND(ISNUMBER(B2172),B2172&lt;&gt;0),1,0))</f>
        <v>0</v>
      </c>
      <c r="H2172" s="25">
        <f>IF(E2172="","",(E2172*4+3+cfgDeslocamento)/48)</f>
        <v>0</v>
      </c>
    </row>
    <row r="2173" spans="1:8">
      <c r="A2173" s="24"/>
      <c r="B2173" s="19"/>
      <c r="C2173" s="25">
        <f>IF(D2173="","",D2173/48)</f>
        <v>0</v>
      </c>
      <c r="D2173" s="26">
        <f>IF(A2173="","",ROUND((A2173-cfgDefasagem/1440)*48,0))</f>
        <v>0</v>
      </c>
      <c r="E2173" s="26">
        <f>IF(D2173="","",INT((D2173-cfgDeslocamento)/4))</f>
        <v>0</v>
      </c>
      <c r="F2173" s="26">
        <f>IF(D2173="","",MOD(D2173-cfgDeslocamento,4)+1)</f>
        <v>0</v>
      </c>
      <c r="G2173" s="26">
        <f>IF(A2173="","",IF(AND(ISNUMBER(B2173),B2173&lt;&gt;0),1,0))</f>
        <v>0</v>
      </c>
      <c r="H2173" s="25">
        <f>IF(E2173="","",(E2173*4+3+cfgDeslocamento)/48)</f>
        <v>0</v>
      </c>
    </row>
    <row r="2174" spans="1:8">
      <c r="A2174" s="24"/>
      <c r="B2174" s="19"/>
      <c r="C2174" s="25">
        <f>IF(D2174="","",D2174/48)</f>
        <v>0</v>
      </c>
      <c r="D2174" s="26">
        <f>IF(A2174="","",ROUND((A2174-cfgDefasagem/1440)*48,0))</f>
        <v>0</v>
      </c>
      <c r="E2174" s="26">
        <f>IF(D2174="","",INT((D2174-cfgDeslocamento)/4))</f>
        <v>0</v>
      </c>
      <c r="F2174" s="26">
        <f>IF(D2174="","",MOD(D2174-cfgDeslocamento,4)+1)</f>
        <v>0</v>
      </c>
      <c r="G2174" s="26">
        <f>IF(A2174="","",IF(AND(ISNUMBER(B2174),B2174&lt;&gt;0),1,0))</f>
        <v>0</v>
      </c>
      <c r="H2174" s="25">
        <f>IF(E2174="","",(E2174*4+3+cfgDeslocamento)/48)</f>
        <v>0</v>
      </c>
    </row>
    <row r="2175" spans="1:8">
      <c r="A2175" s="24"/>
      <c r="B2175" s="19"/>
      <c r="C2175" s="25">
        <f>IF(D2175="","",D2175/48)</f>
        <v>0</v>
      </c>
      <c r="D2175" s="26">
        <f>IF(A2175="","",ROUND((A2175-cfgDefasagem/1440)*48,0))</f>
        <v>0</v>
      </c>
      <c r="E2175" s="26">
        <f>IF(D2175="","",INT((D2175-cfgDeslocamento)/4))</f>
        <v>0</v>
      </c>
      <c r="F2175" s="26">
        <f>IF(D2175="","",MOD(D2175-cfgDeslocamento,4)+1)</f>
        <v>0</v>
      </c>
      <c r="G2175" s="26">
        <f>IF(A2175="","",IF(AND(ISNUMBER(B2175),B2175&lt;&gt;0),1,0))</f>
        <v>0</v>
      </c>
      <c r="H2175" s="25">
        <f>IF(E2175="","",(E2175*4+3+cfgDeslocamento)/48)</f>
        <v>0</v>
      </c>
    </row>
    <row r="2176" spans="1:8">
      <c r="A2176" s="24"/>
      <c r="B2176" s="19"/>
      <c r="C2176" s="25">
        <f>IF(D2176="","",D2176/48)</f>
        <v>0</v>
      </c>
      <c r="D2176" s="26">
        <f>IF(A2176="","",ROUND((A2176-cfgDefasagem/1440)*48,0))</f>
        <v>0</v>
      </c>
      <c r="E2176" s="26">
        <f>IF(D2176="","",INT((D2176-cfgDeslocamento)/4))</f>
        <v>0</v>
      </c>
      <c r="F2176" s="26">
        <f>IF(D2176="","",MOD(D2176-cfgDeslocamento,4)+1)</f>
        <v>0</v>
      </c>
      <c r="G2176" s="26">
        <f>IF(A2176="","",IF(AND(ISNUMBER(B2176),B2176&lt;&gt;0),1,0))</f>
        <v>0</v>
      </c>
      <c r="H2176" s="25">
        <f>IF(E2176="","",(E2176*4+3+cfgDeslocamento)/48)</f>
        <v>0</v>
      </c>
    </row>
    <row r="2177" spans="1:8">
      <c r="A2177" s="24"/>
      <c r="B2177" s="19"/>
      <c r="C2177" s="25">
        <f>IF(D2177="","",D2177/48)</f>
        <v>0</v>
      </c>
      <c r="D2177" s="26">
        <f>IF(A2177="","",ROUND((A2177-cfgDefasagem/1440)*48,0))</f>
        <v>0</v>
      </c>
      <c r="E2177" s="26">
        <f>IF(D2177="","",INT((D2177-cfgDeslocamento)/4))</f>
        <v>0</v>
      </c>
      <c r="F2177" s="26">
        <f>IF(D2177="","",MOD(D2177-cfgDeslocamento,4)+1)</f>
        <v>0</v>
      </c>
      <c r="G2177" s="26">
        <f>IF(A2177="","",IF(AND(ISNUMBER(B2177),B2177&lt;&gt;0),1,0))</f>
        <v>0</v>
      </c>
      <c r="H2177" s="25">
        <f>IF(E2177="","",(E2177*4+3+cfgDeslocamento)/48)</f>
        <v>0</v>
      </c>
    </row>
    <row r="2178" spans="1:8">
      <c r="A2178" s="24"/>
      <c r="B2178" s="19"/>
      <c r="C2178" s="25">
        <f>IF(D2178="","",D2178/48)</f>
        <v>0</v>
      </c>
      <c r="D2178" s="26">
        <f>IF(A2178="","",ROUND((A2178-cfgDefasagem/1440)*48,0))</f>
        <v>0</v>
      </c>
      <c r="E2178" s="26">
        <f>IF(D2178="","",INT((D2178-cfgDeslocamento)/4))</f>
        <v>0</v>
      </c>
      <c r="F2178" s="26">
        <f>IF(D2178="","",MOD(D2178-cfgDeslocamento,4)+1)</f>
        <v>0</v>
      </c>
      <c r="G2178" s="26">
        <f>IF(A2178="","",IF(AND(ISNUMBER(B2178),B2178&lt;&gt;0),1,0))</f>
        <v>0</v>
      </c>
      <c r="H2178" s="25">
        <f>IF(E2178="","",(E2178*4+3+cfgDeslocamento)/48)</f>
        <v>0</v>
      </c>
    </row>
    <row r="2179" spans="1:8">
      <c r="A2179" s="24"/>
      <c r="B2179" s="19"/>
      <c r="C2179" s="25">
        <f>IF(D2179="","",D2179/48)</f>
        <v>0</v>
      </c>
      <c r="D2179" s="26">
        <f>IF(A2179="","",ROUND((A2179-cfgDefasagem/1440)*48,0))</f>
        <v>0</v>
      </c>
      <c r="E2179" s="26">
        <f>IF(D2179="","",INT((D2179-cfgDeslocamento)/4))</f>
        <v>0</v>
      </c>
      <c r="F2179" s="26">
        <f>IF(D2179="","",MOD(D2179-cfgDeslocamento,4)+1)</f>
        <v>0</v>
      </c>
      <c r="G2179" s="26">
        <f>IF(A2179="","",IF(AND(ISNUMBER(B2179),B2179&lt;&gt;0),1,0))</f>
        <v>0</v>
      </c>
      <c r="H2179" s="25">
        <f>IF(E2179="","",(E2179*4+3+cfgDeslocamento)/48)</f>
        <v>0</v>
      </c>
    </row>
    <row r="2180" spans="1:8">
      <c r="A2180" s="24"/>
      <c r="B2180" s="19"/>
      <c r="C2180" s="25">
        <f>IF(D2180="","",D2180/48)</f>
        <v>0</v>
      </c>
      <c r="D2180" s="26">
        <f>IF(A2180="","",ROUND((A2180-cfgDefasagem/1440)*48,0))</f>
        <v>0</v>
      </c>
      <c r="E2180" s="26">
        <f>IF(D2180="","",INT((D2180-cfgDeslocamento)/4))</f>
        <v>0</v>
      </c>
      <c r="F2180" s="26">
        <f>IF(D2180="","",MOD(D2180-cfgDeslocamento,4)+1)</f>
        <v>0</v>
      </c>
      <c r="G2180" s="26">
        <f>IF(A2180="","",IF(AND(ISNUMBER(B2180),B2180&lt;&gt;0),1,0))</f>
        <v>0</v>
      </c>
      <c r="H2180" s="25">
        <f>IF(E2180="","",(E2180*4+3+cfgDeslocamento)/48)</f>
        <v>0</v>
      </c>
    </row>
    <row r="2181" spans="1:8">
      <c r="A2181" s="24"/>
      <c r="B2181" s="19"/>
      <c r="C2181" s="25">
        <f>IF(D2181="","",D2181/48)</f>
        <v>0</v>
      </c>
      <c r="D2181" s="26">
        <f>IF(A2181="","",ROUND((A2181-cfgDefasagem/1440)*48,0))</f>
        <v>0</v>
      </c>
      <c r="E2181" s="26">
        <f>IF(D2181="","",INT((D2181-cfgDeslocamento)/4))</f>
        <v>0</v>
      </c>
      <c r="F2181" s="26">
        <f>IF(D2181="","",MOD(D2181-cfgDeslocamento,4)+1)</f>
        <v>0</v>
      </c>
      <c r="G2181" s="26">
        <f>IF(A2181="","",IF(AND(ISNUMBER(B2181),B2181&lt;&gt;0),1,0))</f>
        <v>0</v>
      </c>
      <c r="H2181" s="25">
        <f>IF(E2181="","",(E2181*4+3+cfgDeslocamento)/48)</f>
        <v>0</v>
      </c>
    </row>
    <row r="2182" spans="1:8">
      <c r="A2182" s="24"/>
      <c r="B2182" s="19"/>
      <c r="C2182" s="25">
        <f>IF(D2182="","",D2182/48)</f>
        <v>0</v>
      </c>
      <c r="D2182" s="26">
        <f>IF(A2182="","",ROUND((A2182-cfgDefasagem/1440)*48,0))</f>
        <v>0</v>
      </c>
      <c r="E2182" s="26">
        <f>IF(D2182="","",INT((D2182-cfgDeslocamento)/4))</f>
        <v>0</v>
      </c>
      <c r="F2182" s="26">
        <f>IF(D2182="","",MOD(D2182-cfgDeslocamento,4)+1)</f>
        <v>0</v>
      </c>
      <c r="G2182" s="26">
        <f>IF(A2182="","",IF(AND(ISNUMBER(B2182),B2182&lt;&gt;0),1,0))</f>
        <v>0</v>
      </c>
      <c r="H2182" s="25">
        <f>IF(E2182="","",(E2182*4+3+cfgDeslocamento)/48)</f>
        <v>0</v>
      </c>
    </row>
    <row r="2183" spans="1:8">
      <c r="A2183" s="24"/>
      <c r="B2183" s="19"/>
      <c r="C2183" s="25">
        <f>IF(D2183="","",D2183/48)</f>
        <v>0</v>
      </c>
      <c r="D2183" s="26">
        <f>IF(A2183="","",ROUND((A2183-cfgDefasagem/1440)*48,0))</f>
        <v>0</v>
      </c>
      <c r="E2183" s="26">
        <f>IF(D2183="","",INT((D2183-cfgDeslocamento)/4))</f>
        <v>0</v>
      </c>
      <c r="F2183" s="26">
        <f>IF(D2183="","",MOD(D2183-cfgDeslocamento,4)+1)</f>
        <v>0</v>
      </c>
      <c r="G2183" s="26">
        <f>IF(A2183="","",IF(AND(ISNUMBER(B2183),B2183&lt;&gt;0),1,0))</f>
        <v>0</v>
      </c>
      <c r="H2183" s="25">
        <f>IF(E2183="","",(E2183*4+3+cfgDeslocamento)/48)</f>
        <v>0</v>
      </c>
    </row>
    <row r="2184" spans="1:8">
      <c r="A2184" s="24"/>
      <c r="B2184" s="19"/>
      <c r="C2184" s="25">
        <f>IF(D2184="","",D2184/48)</f>
        <v>0</v>
      </c>
      <c r="D2184" s="26">
        <f>IF(A2184="","",ROUND((A2184-cfgDefasagem/1440)*48,0))</f>
        <v>0</v>
      </c>
      <c r="E2184" s="26">
        <f>IF(D2184="","",INT((D2184-cfgDeslocamento)/4))</f>
        <v>0</v>
      </c>
      <c r="F2184" s="26">
        <f>IF(D2184="","",MOD(D2184-cfgDeslocamento,4)+1)</f>
        <v>0</v>
      </c>
      <c r="G2184" s="26">
        <f>IF(A2184="","",IF(AND(ISNUMBER(B2184),B2184&lt;&gt;0),1,0))</f>
        <v>0</v>
      </c>
      <c r="H2184" s="25">
        <f>IF(E2184="","",(E2184*4+3+cfgDeslocamento)/48)</f>
        <v>0</v>
      </c>
    </row>
    <row r="2185" spans="1:8">
      <c r="A2185" s="24"/>
      <c r="B2185" s="19"/>
      <c r="C2185" s="25">
        <f>IF(D2185="","",D2185/48)</f>
        <v>0</v>
      </c>
      <c r="D2185" s="26">
        <f>IF(A2185="","",ROUND((A2185-cfgDefasagem/1440)*48,0))</f>
        <v>0</v>
      </c>
      <c r="E2185" s="26">
        <f>IF(D2185="","",INT((D2185-cfgDeslocamento)/4))</f>
        <v>0</v>
      </c>
      <c r="F2185" s="26">
        <f>IF(D2185="","",MOD(D2185-cfgDeslocamento,4)+1)</f>
        <v>0</v>
      </c>
      <c r="G2185" s="26">
        <f>IF(A2185="","",IF(AND(ISNUMBER(B2185),B2185&lt;&gt;0),1,0))</f>
        <v>0</v>
      </c>
      <c r="H2185" s="25">
        <f>IF(E2185="","",(E2185*4+3+cfgDeslocamento)/48)</f>
        <v>0</v>
      </c>
    </row>
    <row r="2186" spans="1:8">
      <c r="A2186" s="24"/>
      <c r="B2186" s="19"/>
      <c r="C2186" s="25">
        <f>IF(D2186="","",D2186/48)</f>
        <v>0</v>
      </c>
      <c r="D2186" s="26">
        <f>IF(A2186="","",ROUND((A2186-cfgDefasagem/1440)*48,0))</f>
        <v>0</v>
      </c>
      <c r="E2186" s="26">
        <f>IF(D2186="","",INT((D2186-cfgDeslocamento)/4))</f>
        <v>0</v>
      </c>
      <c r="F2186" s="26">
        <f>IF(D2186="","",MOD(D2186-cfgDeslocamento,4)+1)</f>
        <v>0</v>
      </c>
      <c r="G2186" s="26">
        <f>IF(A2186="","",IF(AND(ISNUMBER(B2186),B2186&lt;&gt;0),1,0))</f>
        <v>0</v>
      </c>
      <c r="H2186" s="25">
        <f>IF(E2186="","",(E2186*4+3+cfgDeslocamento)/48)</f>
        <v>0</v>
      </c>
    </row>
    <row r="2187" spans="1:8">
      <c r="A2187" s="24"/>
      <c r="B2187" s="19"/>
      <c r="C2187" s="25">
        <f>IF(D2187="","",D2187/48)</f>
        <v>0</v>
      </c>
      <c r="D2187" s="26">
        <f>IF(A2187="","",ROUND((A2187-cfgDefasagem/1440)*48,0))</f>
        <v>0</v>
      </c>
      <c r="E2187" s="26">
        <f>IF(D2187="","",INT((D2187-cfgDeslocamento)/4))</f>
        <v>0</v>
      </c>
      <c r="F2187" s="26">
        <f>IF(D2187="","",MOD(D2187-cfgDeslocamento,4)+1)</f>
        <v>0</v>
      </c>
      <c r="G2187" s="26">
        <f>IF(A2187="","",IF(AND(ISNUMBER(B2187),B2187&lt;&gt;0),1,0))</f>
        <v>0</v>
      </c>
      <c r="H2187" s="25">
        <f>IF(E2187="","",(E2187*4+3+cfgDeslocamento)/48)</f>
        <v>0</v>
      </c>
    </row>
    <row r="2188" spans="1:8">
      <c r="A2188" s="24"/>
      <c r="B2188" s="19"/>
      <c r="C2188" s="25">
        <f>IF(D2188="","",D2188/48)</f>
        <v>0</v>
      </c>
      <c r="D2188" s="26">
        <f>IF(A2188="","",ROUND((A2188-cfgDefasagem/1440)*48,0))</f>
        <v>0</v>
      </c>
      <c r="E2188" s="26">
        <f>IF(D2188="","",INT((D2188-cfgDeslocamento)/4))</f>
        <v>0</v>
      </c>
      <c r="F2188" s="26">
        <f>IF(D2188="","",MOD(D2188-cfgDeslocamento,4)+1)</f>
        <v>0</v>
      </c>
      <c r="G2188" s="26">
        <f>IF(A2188="","",IF(AND(ISNUMBER(B2188),B2188&lt;&gt;0),1,0))</f>
        <v>0</v>
      </c>
      <c r="H2188" s="25">
        <f>IF(E2188="","",(E2188*4+3+cfgDeslocamento)/48)</f>
        <v>0</v>
      </c>
    </row>
    <row r="2189" spans="1:8">
      <c r="A2189" s="24"/>
      <c r="B2189" s="19"/>
      <c r="C2189" s="25">
        <f>IF(D2189="","",D2189/48)</f>
        <v>0</v>
      </c>
      <c r="D2189" s="26">
        <f>IF(A2189="","",ROUND((A2189-cfgDefasagem/1440)*48,0))</f>
        <v>0</v>
      </c>
      <c r="E2189" s="26">
        <f>IF(D2189="","",INT((D2189-cfgDeslocamento)/4))</f>
        <v>0</v>
      </c>
      <c r="F2189" s="26">
        <f>IF(D2189="","",MOD(D2189-cfgDeslocamento,4)+1)</f>
        <v>0</v>
      </c>
      <c r="G2189" s="26">
        <f>IF(A2189="","",IF(AND(ISNUMBER(B2189),B2189&lt;&gt;0),1,0))</f>
        <v>0</v>
      </c>
      <c r="H2189" s="25">
        <f>IF(E2189="","",(E2189*4+3+cfgDeslocamento)/48)</f>
        <v>0</v>
      </c>
    </row>
    <row r="2190" spans="1:8">
      <c r="A2190" s="24"/>
      <c r="B2190" s="19"/>
      <c r="C2190" s="25">
        <f>IF(D2190="","",D2190/48)</f>
        <v>0</v>
      </c>
      <c r="D2190" s="26">
        <f>IF(A2190="","",ROUND((A2190-cfgDefasagem/1440)*48,0))</f>
        <v>0</v>
      </c>
      <c r="E2190" s="26">
        <f>IF(D2190="","",INT((D2190-cfgDeslocamento)/4))</f>
        <v>0</v>
      </c>
      <c r="F2190" s="26">
        <f>IF(D2190="","",MOD(D2190-cfgDeslocamento,4)+1)</f>
        <v>0</v>
      </c>
      <c r="G2190" s="26">
        <f>IF(A2190="","",IF(AND(ISNUMBER(B2190),B2190&lt;&gt;0),1,0))</f>
        <v>0</v>
      </c>
      <c r="H2190" s="25">
        <f>IF(E2190="","",(E2190*4+3+cfgDeslocamento)/48)</f>
        <v>0</v>
      </c>
    </row>
    <row r="2191" spans="1:8">
      <c r="A2191" s="24"/>
      <c r="B2191" s="19"/>
      <c r="C2191" s="25">
        <f>IF(D2191="","",D2191/48)</f>
        <v>0</v>
      </c>
      <c r="D2191" s="26">
        <f>IF(A2191="","",ROUND((A2191-cfgDefasagem/1440)*48,0))</f>
        <v>0</v>
      </c>
      <c r="E2191" s="26">
        <f>IF(D2191="","",INT((D2191-cfgDeslocamento)/4))</f>
        <v>0</v>
      </c>
      <c r="F2191" s="26">
        <f>IF(D2191="","",MOD(D2191-cfgDeslocamento,4)+1)</f>
        <v>0</v>
      </c>
      <c r="G2191" s="26">
        <f>IF(A2191="","",IF(AND(ISNUMBER(B2191),B2191&lt;&gt;0),1,0))</f>
        <v>0</v>
      </c>
      <c r="H2191" s="25">
        <f>IF(E2191="","",(E2191*4+3+cfgDeslocamento)/48)</f>
        <v>0</v>
      </c>
    </row>
    <row r="2192" spans="1:8">
      <c r="A2192" s="24"/>
      <c r="B2192" s="19"/>
      <c r="C2192" s="25">
        <f>IF(D2192="","",D2192/48)</f>
        <v>0</v>
      </c>
      <c r="D2192" s="26">
        <f>IF(A2192="","",ROUND((A2192-cfgDefasagem/1440)*48,0))</f>
        <v>0</v>
      </c>
      <c r="E2192" s="26">
        <f>IF(D2192="","",INT((D2192-cfgDeslocamento)/4))</f>
        <v>0</v>
      </c>
      <c r="F2192" s="26">
        <f>IF(D2192="","",MOD(D2192-cfgDeslocamento,4)+1)</f>
        <v>0</v>
      </c>
      <c r="G2192" s="26">
        <f>IF(A2192="","",IF(AND(ISNUMBER(B2192),B2192&lt;&gt;0),1,0))</f>
        <v>0</v>
      </c>
      <c r="H2192" s="25">
        <f>IF(E2192="","",(E2192*4+3+cfgDeslocamento)/48)</f>
        <v>0</v>
      </c>
    </row>
    <row r="2193" spans="1:8">
      <c r="A2193" s="24"/>
      <c r="B2193" s="19"/>
      <c r="C2193" s="25">
        <f>IF(D2193="","",D2193/48)</f>
        <v>0</v>
      </c>
      <c r="D2193" s="26">
        <f>IF(A2193="","",ROUND((A2193-cfgDefasagem/1440)*48,0))</f>
        <v>0</v>
      </c>
      <c r="E2193" s="26">
        <f>IF(D2193="","",INT((D2193-cfgDeslocamento)/4))</f>
        <v>0</v>
      </c>
      <c r="F2193" s="26">
        <f>IF(D2193="","",MOD(D2193-cfgDeslocamento,4)+1)</f>
        <v>0</v>
      </c>
      <c r="G2193" s="26">
        <f>IF(A2193="","",IF(AND(ISNUMBER(B2193),B2193&lt;&gt;0),1,0))</f>
        <v>0</v>
      </c>
      <c r="H2193" s="25">
        <f>IF(E2193="","",(E2193*4+3+cfgDeslocamento)/48)</f>
        <v>0</v>
      </c>
    </row>
    <row r="2194" spans="1:8">
      <c r="A2194" s="24"/>
      <c r="B2194" s="19"/>
      <c r="C2194" s="25">
        <f>IF(D2194="","",D2194/48)</f>
        <v>0</v>
      </c>
      <c r="D2194" s="26">
        <f>IF(A2194="","",ROUND((A2194-cfgDefasagem/1440)*48,0))</f>
        <v>0</v>
      </c>
      <c r="E2194" s="26">
        <f>IF(D2194="","",INT((D2194-cfgDeslocamento)/4))</f>
        <v>0</v>
      </c>
      <c r="F2194" s="26">
        <f>IF(D2194="","",MOD(D2194-cfgDeslocamento,4)+1)</f>
        <v>0</v>
      </c>
      <c r="G2194" s="26">
        <f>IF(A2194="","",IF(AND(ISNUMBER(B2194),B2194&lt;&gt;0),1,0))</f>
        <v>0</v>
      </c>
      <c r="H2194" s="25">
        <f>IF(E2194="","",(E2194*4+3+cfgDeslocamento)/48)</f>
        <v>0</v>
      </c>
    </row>
    <row r="2195" spans="1:8">
      <c r="A2195" s="24"/>
      <c r="B2195" s="19"/>
      <c r="C2195" s="25">
        <f>IF(D2195="","",D2195/48)</f>
        <v>0</v>
      </c>
      <c r="D2195" s="26">
        <f>IF(A2195="","",ROUND((A2195-cfgDefasagem/1440)*48,0))</f>
        <v>0</v>
      </c>
      <c r="E2195" s="26">
        <f>IF(D2195="","",INT((D2195-cfgDeslocamento)/4))</f>
        <v>0</v>
      </c>
      <c r="F2195" s="26">
        <f>IF(D2195="","",MOD(D2195-cfgDeslocamento,4)+1)</f>
        <v>0</v>
      </c>
      <c r="G2195" s="26">
        <f>IF(A2195="","",IF(AND(ISNUMBER(B2195),B2195&lt;&gt;0),1,0))</f>
        <v>0</v>
      </c>
      <c r="H2195" s="25">
        <f>IF(E2195="","",(E2195*4+3+cfgDeslocamento)/48)</f>
        <v>0</v>
      </c>
    </row>
    <row r="2196" spans="1:8">
      <c r="A2196" s="24"/>
      <c r="B2196" s="19"/>
      <c r="C2196" s="25">
        <f>IF(D2196="","",D2196/48)</f>
        <v>0</v>
      </c>
      <c r="D2196" s="26">
        <f>IF(A2196="","",ROUND((A2196-cfgDefasagem/1440)*48,0))</f>
        <v>0</v>
      </c>
      <c r="E2196" s="26">
        <f>IF(D2196="","",INT((D2196-cfgDeslocamento)/4))</f>
        <v>0</v>
      </c>
      <c r="F2196" s="26">
        <f>IF(D2196="","",MOD(D2196-cfgDeslocamento,4)+1)</f>
        <v>0</v>
      </c>
      <c r="G2196" s="26">
        <f>IF(A2196="","",IF(AND(ISNUMBER(B2196),B2196&lt;&gt;0),1,0))</f>
        <v>0</v>
      </c>
      <c r="H2196" s="25">
        <f>IF(E2196="","",(E2196*4+3+cfgDeslocamento)/48)</f>
        <v>0</v>
      </c>
    </row>
    <row r="2197" spans="1:8">
      <c r="A2197" s="24"/>
      <c r="B2197" s="19"/>
      <c r="C2197" s="25">
        <f>IF(D2197="","",D2197/48)</f>
        <v>0</v>
      </c>
      <c r="D2197" s="26">
        <f>IF(A2197="","",ROUND((A2197-cfgDefasagem/1440)*48,0))</f>
        <v>0</v>
      </c>
      <c r="E2197" s="26">
        <f>IF(D2197="","",INT((D2197-cfgDeslocamento)/4))</f>
        <v>0</v>
      </c>
      <c r="F2197" s="26">
        <f>IF(D2197="","",MOD(D2197-cfgDeslocamento,4)+1)</f>
        <v>0</v>
      </c>
      <c r="G2197" s="26">
        <f>IF(A2197="","",IF(AND(ISNUMBER(B2197),B2197&lt;&gt;0),1,0))</f>
        <v>0</v>
      </c>
      <c r="H2197" s="25">
        <f>IF(E2197="","",(E2197*4+3+cfgDeslocamento)/48)</f>
        <v>0</v>
      </c>
    </row>
    <row r="2198" spans="1:8">
      <c r="A2198" s="24"/>
      <c r="B2198" s="19"/>
      <c r="C2198" s="25">
        <f>IF(D2198="","",D2198/48)</f>
        <v>0</v>
      </c>
      <c r="D2198" s="26">
        <f>IF(A2198="","",ROUND((A2198-cfgDefasagem/1440)*48,0))</f>
        <v>0</v>
      </c>
      <c r="E2198" s="26">
        <f>IF(D2198="","",INT((D2198-cfgDeslocamento)/4))</f>
        <v>0</v>
      </c>
      <c r="F2198" s="26">
        <f>IF(D2198="","",MOD(D2198-cfgDeslocamento,4)+1)</f>
        <v>0</v>
      </c>
      <c r="G2198" s="26">
        <f>IF(A2198="","",IF(AND(ISNUMBER(B2198),B2198&lt;&gt;0),1,0))</f>
        <v>0</v>
      </c>
      <c r="H2198" s="25">
        <f>IF(E2198="","",(E2198*4+3+cfgDeslocamento)/48)</f>
        <v>0</v>
      </c>
    </row>
    <row r="2199" spans="1:8">
      <c r="A2199" s="24"/>
      <c r="B2199" s="19"/>
      <c r="C2199" s="25">
        <f>IF(D2199="","",D2199/48)</f>
        <v>0</v>
      </c>
      <c r="D2199" s="26">
        <f>IF(A2199="","",ROUND((A2199-cfgDefasagem/1440)*48,0))</f>
        <v>0</v>
      </c>
      <c r="E2199" s="26">
        <f>IF(D2199="","",INT((D2199-cfgDeslocamento)/4))</f>
        <v>0</v>
      </c>
      <c r="F2199" s="26">
        <f>IF(D2199="","",MOD(D2199-cfgDeslocamento,4)+1)</f>
        <v>0</v>
      </c>
      <c r="G2199" s="26">
        <f>IF(A2199="","",IF(AND(ISNUMBER(B2199),B2199&lt;&gt;0),1,0))</f>
        <v>0</v>
      </c>
      <c r="H2199" s="25">
        <f>IF(E2199="","",(E2199*4+3+cfgDeslocamento)/48)</f>
        <v>0</v>
      </c>
    </row>
    <row r="2200" spans="1:8">
      <c r="A2200" s="24"/>
      <c r="B2200" s="19"/>
      <c r="C2200" s="25">
        <f>IF(D2200="","",D2200/48)</f>
        <v>0</v>
      </c>
      <c r="D2200" s="26">
        <f>IF(A2200="","",ROUND((A2200-cfgDefasagem/1440)*48,0))</f>
        <v>0</v>
      </c>
      <c r="E2200" s="26">
        <f>IF(D2200="","",INT((D2200-cfgDeslocamento)/4))</f>
        <v>0</v>
      </c>
      <c r="F2200" s="26">
        <f>IF(D2200="","",MOD(D2200-cfgDeslocamento,4)+1)</f>
        <v>0</v>
      </c>
      <c r="G2200" s="26">
        <f>IF(A2200="","",IF(AND(ISNUMBER(B2200),B2200&lt;&gt;0),1,0))</f>
        <v>0</v>
      </c>
      <c r="H2200" s="25">
        <f>IF(E2200="","",(E2200*4+3+cfgDeslocamento)/48)</f>
        <v>0</v>
      </c>
    </row>
    <row r="2201" spans="1:8">
      <c r="A2201" s="24"/>
      <c r="B2201" s="19"/>
      <c r="C2201" s="25">
        <f>IF(D2201="","",D2201/48)</f>
        <v>0</v>
      </c>
      <c r="D2201" s="26">
        <f>IF(A2201="","",ROUND((A2201-cfgDefasagem/1440)*48,0))</f>
        <v>0</v>
      </c>
      <c r="E2201" s="26">
        <f>IF(D2201="","",INT((D2201-cfgDeslocamento)/4))</f>
        <v>0</v>
      </c>
      <c r="F2201" s="26">
        <f>IF(D2201="","",MOD(D2201-cfgDeslocamento,4)+1)</f>
        <v>0</v>
      </c>
      <c r="G2201" s="26">
        <f>IF(A2201="","",IF(AND(ISNUMBER(B2201),B2201&lt;&gt;0),1,0))</f>
        <v>0</v>
      </c>
      <c r="H2201" s="25">
        <f>IF(E2201="","",(E2201*4+3+cfgDeslocamento)/48)</f>
        <v>0</v>
      </c>
    </row>
    <row r="2202" spans="1:8">
      <c r="A2202" s="24"/>
      <c r="B2202" s="19"/>
      <c r="C2202" s="25">
        <f>IF(D2202="","",D2202/48)</f>
        <v>0</v>
      </c>
      <c r="D2202" s="26">
        <f>IF(A2202="","",ROUND((A2202-cfgDefasagem/1440)*48,0))</f>
        <v>0</v>
      </c>
      <c r="E2202" s="26">
        <f>IF(D2202="","",INT((D2202-cfgDeslocamento)/4))</f>
        <v>0</v>
      </c>
      <c r="F2202" s="26">
        <f>IF(D2202="","",MOD(D2202-cfgDeslocamento,4)+1)</f>
        <v>0</v>
      </c>
      <c r="G2202" s="26">
        <f>IF(A2202="","",IF(AND(ISNUMBER(B2202),B2202&lt;&gt;0),1,0))</f>
        <v>0</v>
      </c>
      <c r="H2202" s="25">
        <f>IF(E2202="","",(E2202*4+3+cfgDeslocamento)/48)</f>
        <v>0</v>
      </c>
    </row>
    <row r="2203" spans="1:8">
      <c r="A2203" s="24"/>
      <c r="B2203" s="19"/>
      <c r="C2203" s="25">
        <f>IF(D2203="","",D2203/48)</f>
        <v>0</v>
      </c>
      <c r="D2203" s="26">
        <f>IF(A2203="","",ROUND((A2203-cfgDefasagem/1440)*48,0))</f>
        <v>0</v>
      </c>
      <c r="E2203" s="26">
        <f>IF(D2203="","",INT((D2203-cfgDeslocamento)/4))</f>
        <v>0</v>
      </c>
      <c r="F2203" s="26">
        <f>IF(D2203="","",MOD(D2203-cfgDeslocamento,4)+1)</f>
        <v>0</v>
      </c>
      <c r="G2203" s="26">
        <f>IF(A2203="","",IF(AND(ISNUMBER(B2203),B2203&lt;&gt;0),1,0))</f>
        <v>0</v>
      </c>
      <c r="H2203" s="25">
        <f>IF(E2203="","",(E2203*4+3+cfgDeslocamento)/48)</f>
        <v>0</v>
      </c>
    </row>
    <row r="2204" spans="1:8">
      <c r="A2204" s="24"/>
      <c r="B2204" s="19"/>
      <c r="C2204" s="25">
        <f>IF(D2204="","",D2204/48)</f>
        <v>0</v>
      </c>
      <c r="D2204" s="26">
        <f>IF(A2204="","",ROUND((A2204-cfgDefasagem/1440)*48,0))</f>
        <v>0</v>
      </c>
      <c r="E2204" s="26">
        <f>IF(D2204="","",INT((D2204-cfgDeslocamento)/4))</f>
        <v>0</v>
      </c>
      <c r="F2204" s="26">
        <f>IF(D2204="","",MOD(D2204-cfgDeslocamento,4)+1)</f>
        <v>0</v>
      </c>
      <c r="G2204" s="26">
        <f>IF(A2204="","",IF(AND(ISNUMBER(B2204),B2204&lt;&gt;0),1,0))</f>
        <v>0</v>
      </c>
      <c r="H2204" s="25">
        <f>IF(E2204="","",(E2204*4+3+cfgDeslocamento)/48)</f>
        <v>0</v>
      </c>
    </row>
    <row r="2205" spans="1:8">
      <c r="A2205" s="24"/>
      <c r="B2205" s="19"/>
      <c r="C2205" s="25">
        <f>IF(D2205="","",D2205/48)</f>
        <v>0</v>
      </c>
      <c r="D2205" s="26">
        <f>IF(A2205="","",ROUND((A2205-cfgDefasagem/1440)*48,0))</f>
        <v>0</v>
      </c>
      <c r="E2205" s="26">
        <f>IF(D2205="","",INT((D2205-cfgDeslocamento)/4))</f>
        <v>0</v>
      </c>
      <c r="F2205" s="26">
        <f>IF(D2205="","",MOD(D2205-cfgDeslocamento,4)+1)</f>
        <v>0</v>
      </c>
      <c r="G2205" s="26">
        <f>IF(A2205="","",IF(AND(ISNUMBER(B2205),B2205&lt;&gt;0),1,0))</f>
        <v>0</v>
      </c>
      <c r="H2205" s="25">
        <f>IF(E2205="","",(E2205*4+3+cfgDeslocamento)/48)</f>
        <v>0</v>
      </c>
    </row>
    <row r="2206" spans="1:8">
      <c r="A2206" s="24"/>
      <c r="B2206" s="19"/>
      <c r="C2206" s="25">
        <f>IF(D2206="","",D2206/48)</f>
        <v>0</v>
      </c>
      <c r="D2206" s="26">
        <f>IF(A2206="","",ROUND((A2206-cfgDefasagem/1440)*48,0))</f>
        <v>0</v>
      </c>
      <c r="E2206" s="26">
        <f>IF(D2206="","",INT((D2206-cfgDeslocamento)/4))</f>
        <v>0</v>
      </c>
      <c r="F2206" s="26">
        <f>IF(D2206="","",MOD(D2206-cfgDeslocamento,4)+1)</f>
        <v>0</v>
      </c>
      <c r="G2206" s="26">
        <f>IF(A2206="","",IF(AND(ISNUMBER(B2206),B2206&lt;&gt;0),1,0))</f>
        <v>0</v>
      </c>
      <c r="H2206" s="25">
        <f>IF(E2206="","",(E2206*4+3+cfgDeslocamento)/48)</f>
        <v>0</v>
      </c>
    </row>
    <row r="2207" spans="1:8">
      <c r="A2207" s="24"/>
      <c r="B2207" s="19"/>
      <c r="C2207" s="25">
        <f>IF(D2207="","",D2207/48)</f>
        <v>0</v>
      </c>
      <c r="D2207" s="26">
        <f>IF(A2207="","",ROUND((A2207-cfgDefasagem/1440)*48,0))</f>
        <v>0</v>
      </c>
      <c r="E2207" s="26">
        <f>IF(D2207="","",INT((D2207-cfgDeslocamento)/4))</f>
        <v>0</v>
      </c>
      <c r="F2207" s="26">
        <f>IF(D2207="","",MOD(D2207-cfgDeslocamento,4)+1)</f>
        <v>0</v>
      </c>
      <c r="G2207" s="26">
        <f>IF(A2207="","",IF(AND(ISNUMBER(B2207),B2207&lt;&gt;0),1,0))</f>
        <v>0</v>
      </c>
      <c r="H2207" s="25">
        <f>IF(E2207="","",(E2207*4+3+cfgDeslocamento)/48)</f>
        <v>0</v>
      </c>
    </row>
    <row r="2208" spans="1:8">
      <c r="A2208" s="24"/>
      <c r="B2208" s="19"/>
      <c r="C2208" s="25">
        <f>IF(D2208="","",D2208/48)</f>
        <v>0</v>
      </c>
      <c r="D2208" s="26">
        <f>IF(A2208="","",ROUND((A2208-cfgDefasagem/1440)*48,0))</f>
        <v>0</v>
      </c>
      <c r="E2208" s="26">
        <f>IF(D2208="","",INT((D2208-cfgDeslocamento)/4))</f>
        <v>0</v>
      </c>
      <c r="F2208" s="26">
        <f>IF(D2208="","",MOD(D2208-cfgDeslocamento,4)+1)</f>
        <v>0</v>
      </c>
      <c r="G2208" s="26">
        <f>IF(A2208="","",IF(AND(ISNUMBER(B2208),B2208&lt;&gt;0),1,0))</f>
        <v>0</v>
      </c>
      <c r="H2208" s="25">
        <f>IF(E2208="","",(E2208*4+3+cfgDeslocamento)/48)</f>
        <v>0</v>
      </c>
    </row>
    <row r="2209" spans="1:8">
      <c r="A2209" s="24"/>
      <c r="B2209" s="19"/>
      <c r="C2209" s="25">
        <f>IF(D2209="","",D2209/48)</f>
        <v>0</v>
      </c>
      <c r="D2209" s="26">
        <f>IF(A2209="","",ROUND((A2209-cfgDefasagem/1440)*48,0))</f>
        <v>0</v>
      </c>
      <c r="E2209" s="26">
        <f>IF(D2209="","",INT((D2209-cfgDeslocamento)/4))</f>
        <v>0</v>
      </c>
      <c r="F2209" s="26">
        <f>IF(D2209="","",MOD(D2209-cfgDeslocamento,4)+1)</f>
        <v>0</v>
      </c>
      <c r="G2209" s="26">
        <f>IF(A2209="","",IF(AND(ISNUMBER(B2209),B2209&lt;&gt;0),1,0))</f>
        <v>0</v>
      </c>
      <c r="H2209" s="25">
        <f>IF(E2209="","",(E2209*4+3+cfgDeslocamento)/48)</f>
        <v>0</v>
      </c>
    </row>
    <row r="2210" spans="1:8">
      <c r="A2210" s="24"/>
      <c r="B2210" s="19"/>
      <c r="C2210" s="25">
        <f>IF(D2210="","",D2210/48)</f>
        <v>0</v>
      </c>
      <c r="D2210" s="26">
        <f>IF(A2210="","",ROUND((A2210-cfgDefasagem/1440)*48,0))</f>
        <v>0</v>
      </c>
      <c r="E2210" s="26">
        <f>IF(D2210="","",INT((D2210-cfgDeslocamento)/4))</f>
        <v>0</v>
      </c>
      <c r="F2210" s="26">
        <f>IF(D2210="","",MOD(D2210-cfgDeslocamento,4)+1)</f>
        <v>0</v>
      </c>
      <c r="G2210" s="26">
        <f>IF(A2210="","",IF(AND(ISNUMBER(B2210),B2210&lt;&gt;0),1,0))</f>
        <v>0</v>
      </c>
      <c r="H2210" s="25">
        <f>IF(E2210="","",(E2210*4+3+cfgDeslocamento)/48)</f>
        <v>0</v>
      </c>
    </row>
    <row r="2211" spans="1:8">
      <c r="A2211" s="24"/>
      <c r="B2211" s="19"/>
      <c r="C2211" s="25">
        <f>IF(D2211="","",D2211/48)</f>
        <v>0</v>
      </c>
      <c r="D2211" s="26">
        <f>IF(A2211="","",ROUND((A2211-cfgDefasagem/1440)*48,0))</f>
        <v>0</v>
      </c>
      <c r="E2211" s="26">
        <f>IF(D2211="","",INT((D2211-cfgDeslocamento)/4))</f>
        <v>0</v>
      </c>
      <c r="F2211" s="26">
        <f>IF(D2211="","",MOD(D2211-cfgDeslocamento,4)+1)</f>
        <v>0</v>
      </c>
      <c r="G2211" s="26">
        <f>IF(A2211="","",IF(AND(ISNUMBER(B2211),B2211&lt;&gt;0),1,0))</f>
        <v>0</v>
      </c>
      <c r="H2211" s="25">
        <f>IF(E2211="","",(E2211*4+3+cfgDeslocamento)/48)</f>
        <v>0</v>
      </c>
    </row>
    <row r="2212" spans="1:8">
      <c r="A2212" s="24"/>
      <c r="B2212" s="19"/>
      <c r="C2212" s="25">
        <f>IF(D2212="","",D2212/48)</f>
        <v>0</v>
      </c>
      <c r="D2212" s="26">
        <f>IF(A2212="","",ROUND((A2212-cfgDefasagem/1440)*48,0))</f>
        <v>0</v>
      </c>
      <c r="E2212" s="26">
        <f>IF(D2212="","",INT((D2212-cfgDeslocamento)/4))</f>
        <v>0</v>
      </c>
      <c r="F2212" s="26">
        <f>IF(D2212="","",MOD(D2212-cfgDeslocamento,4)+1)</f>
        <v>0</v>
      </c>
      <c r="G2212" s="26">
        <f>IF(A2212="","",IF(AND(ISNUMBER(B2212),B2212&lt;&gt;0),1,0))</f>
        <v>0</v>
      </c>
      <c r="H2212" s="25">
        <f>IF(E2212="","",(E2212*4+3+cfgDeslocamento)/48)</f>
        <v>0</v>
      </c>
    </row>
    <row r="2213" spans="1:8">
      <c r="A2213" s="24"/>
      <c r="B2213" s="19"/>
      <c r="C2213" s="25">
        <f>IF(D2213="","",D2213/48)</f>
        <v>0</v>
      </c>
      <c r="D2213" s="26">
        <f>IF(A2213="","",ROUND((A2213-cfgDefasagem/1440)*48,0))</f>
        <v>0</v>
      </c>
      <c r="E2213" s="26">
        <f>IF(D2213="","",INT((D2213-cfgDeslocamento)/4))</f>
        <v>0</v>
      </c>
      <c r="F2213" s="26">
        <f>IF(D2213="","",MOD(D2213-cfgDeslocamento,4)+1)</f>
        <v>0</v>
      </c>
      <c r="G2213" s="26">
        <f>IF(A2213="","",IF(AND(ISNUMBER(B2213),B2213&lt;&gt;0),1,0))</f>
        <v>0</v>
      </c>
      <c r="H2213" s="25">
        <f>IF(E2213="","",(E2213*4+3+cfgDeslocamento)/48)</f>
        <v>0</v>
      </c>
    </row>
    <row r="2214" spans="1:8">
      <c r="A2214" s="24"/>
      <c r="B2214" s="19"/>
      <c r="C2214" s="25">
        <f>IF(D2214="","",D2214/48)</f>
        <v>0</v>
      </c>
      <c r="D2214" s="26">
        <f>IF(A2214="","",ROUND((A2214-cfgDefasagem/1440)*48,0))</f>
        <v>0</v>
      </c>
      <c r="E2214" s="26">
        <f>IF(D2214="","",INT((D2214-cfgDeslocamento)/4))</f>
        <v>0</v>
      </c>
      <c r="F2214" s="26">
        <f>IF(D2214="","",MOD(D2214-cfgDeslocamento,4)+1)</f>
        <v>0</v>
      </c>
      <c r="G2214" s="26">
        <f>IF(A2214="","",IF(AND(ISNUMBER(B2214),B2214&lt;&gt;0),1,0))</f>
        <v>0</v>
      </c>
      <c r="H2214" s="25">
        <f>IF(E2214="","",(E2214*4+3+cfgDeslocamento)/48)</f>
        <v>0</v>
      </c>
    </row>
    <row r="2215" spans="1:8">
      <c r="A2215" s="24"/>
      <c r="B2215" s="19"/>
      <c r="C2215" s="25">
        <f>IF(D2215="","",D2215/48)</f>
        <v>0</v>
      </c>
      <c r="D2215" s="26">
        <f>IF(A2215="","",ROUND((A2215-cfgDefasagem/1440)*48,0))</f>
        <v>0</v>
      </c>
      <c r="E2215" s="26">
        <f>IF(D2215="","",INT((D2215-cfgDeslocamento)/4))</f>
        <v>0</v>
      </c>
      <c r="F2215" s="26">
        <f>IF(D2215="","",MOD(D2215-cfgDeslocamento,4)+1)</f>
        <v>0</v>
      </c>
      <c r="G2215" s="26">
        <f>IF(A2215="","",IF(AND(ISNUMBER(B2215),B2215&lt;&gt;0),1,0))</f>
        <v>0</v>
      </c>
      <c r="H2215" s="25">
        <f>IF(E2215="","",(E2215*4+3+cfgDeslocamento)/48)</f>
        <v>0</v>
      </c>
    </row>
    <row r="2216" spans="1:8">
      <c r="A2216" s="24"/>
      <c r="B2216" s="19"/>
      <c r="C2216" s="25">
        <f>IF(D2216="","",D2216/48)</f>
        <v>0</v>
      </c>
      <c r="D2216" s="26">
        <f>IF(A2216="","",ROUND((A2216-cfgDefasagem/1440)*48,0))</f>
        <v>0</v>
      </c>
      <c r="E2216" s="26">
        <f>IF(D2216="","",INT((D2216-cfgDeslocamento)/4))</f>
        <v>0</v>
      </c>
      <c r="F2216" s="26">
        <f>IF(D2216="","",MOD(D2216-cfgDeslocamento,4)+1)</f>
        <v>0</v>
      </c>
      <c r="G2216" s="26">
        <f>IF(A2216="","",IF(AND(ISNUMBER(B2216),B2216&lt;&gt;0),1,0))</f>
        <v>0</v>
      </c>
      <c r="H2216" s="25">
        <f>IF(E2216="","",(E2216*4+3+cfgDeslocamento)/48)</f>
        <v>0</v>
      </c>
    </row>
    <row r="2217" spans="1:8">
      <c r="A2217" s="24"/>
      <c r="B2217" s="19"/>
      <c r="C2217" s="25">
        <f>IF(D2217="","",D2217/48)</f>
        <v>0</v>
      </c>
      <c r="D2217" s="26">
        <f>IF(A2217="","",ROUND((A2217-cfgDefasagem/1440)*48,0))</f>
        <v>0</v>
      </c>
      <c r="E2217" s="26">
        <f>IF(D2217="","",INT((D2217-cfgDeslocamento)/4))</f>
        <v>0</v>
      </c>
      <c r="F2217" s="26">
        <f>IF(D2217="","",MOD(D2217-cfgDeslocamento,4)+1)</f>
        <v>0</v>
      </c>
      <c r="G2217" s="26">
        <f>IF(A2217="","",IF(AND(ISNUMBER(B2217),B2217&lt;&gt;0),1,0))</f>
        <v>0</v>
      </c>
      <c r="H2217" s="25">
        <f>IF(E2217="","",(E2217*4+3+cfgDeslocamento)/48)</f>
        <v>0</v>
      </c>
    </row>
    <row r="2218" spans="1:8">
      <c r="A2218" s="24"/>
      <c r="B2218" s="19"/>
      <c r="C2218" s="25">
        <f>IF(D2218="","",D2218/48)</f>
        <v>0</v>
      </c>
      <c r="D2218" s="26">
        <f>IF(A2218="","",ROUND((A2218-cfgDefasagem/1440)*48,0))</f>
        <v>0</v>
      </c>
      <c r="E2218" s="26">
        <f>IF(D2218="","",INT((D2218-cfgDeslocamento)/4))</f>
        <v>0</v>
      </c>
      <c r="F2218" s="26">
        <f>IF(D2218="","",MOD(D2218-cfgDeslocamento,4)+1)</f>
        <v>0</v>
      </c>
      <c r="G2218" s="26">
        <f>IF(A2218="","",IF(AND(ISNUMBER(B2218),B2218&lt;&gt;0),1,0))</f>
        <v>0</v>
      </c>
      <c r="H2218" s="25">
        <f>IF(E2218="","",(E2218*4+3+cfgDeslocamento)/48)</f>
        <v>0</v>
      </c>
    </row>
    <row r="2219" spans="1:8">
      <c r="A2219" s="24"/>
      <c r="B2219" s="19"/>
      <c r="C2219" s="25">
        <f>IF(D2219="","",D2219/48)</f>
        <v>0</v>
      </c>
      <c r="D2219" s="26">
        <f>IF(A2219="","",ROUND((A2219-cfgDefasagem/1440)*48,0))</f>
        <v>0</v>
      </c>
      <c r="E2219" s="26">
        <f>IF(D2219="","",INT((D2219-cfgDeslocamento)/4))</f>
        <v>0</v>
      </c>
      <c r="F2219" s="26">
        <f>IF(D2219="","",MOD(D2219-cfgDeslocamento,4)+1)</f>
        <v>0</v>
      </c>
      <c r="G2219" s="26">
        <f>IF(A2219="","",IF(AND(ISNUMBER(B2219),B2219&lt;&gt;0),1,0))</f>
        <v>0</v>
      </c>
      <c r="H2219" s="25">
        <f>IF(E2219="","",(E2219*4+3+cfgDeslocamento)/48)</f>
        <v>0</v>
      </c>
    </row>
    <row r="2220" spans="1:8">
      <c r="A2220" s="24"/>
      <c r="B2220" s="19"/>
      <c r="C2220" s="25">
        <f>IF(D2220="","",D2220/48)</f>
        <v>0</v>
      </c>
      <c r="D2220" s="26">
        <f>IF(A2220="","",ROUND((A2220-cfgDefasagem/1440)*48,0))</f>
        <v>0</v>
      </c>
      <c r="E2220" s="26">
        <f>IF(D2220="","",INT((D2220-cfgDeslocamento)/4))</f>
        <v>0</v>
      </c>
      <c r="F2220" s="26">
        <f>IF(D2220="","",MOD(D2220-cfgDeslocamento,4)+1)</f>
        <v>0</v>
      </c>
      <c r="G2220" s="26">
        <f>IF(A2220="","",IF(AND(ISNUMBER(B2220),B2220&lt;&gt;0),1,0))</f>
        <v>0</v>
      </c>
      <c r="H2220" s="25">
        <f>IF(E2220="","",(E2220*4+3+cfgDeslocamento)/48)</f>
        <v>0</v>
      </c>
    </row>
    <row r="2221" spans="1:8">
      <c r="A2221" s="24"/>
      <c r="B2221" s="19"/>
      <c r="C2221" s="25">
        <f>IF(D2221="","",D2221/48)</f>
        <v>0</v>
      </c>
      <c r="D2221" s="26">
        <f>IF(A2221="","",ROUND((A2221-cfgDefasagem/1440)*48,0))</f>
        <v>0</v>
      </c>
      <c r="E2221" s="26">
        <f>IF(D2221="","",INT((D2221-cfgDeslocamento)/4))</f>
        <v>0</v>
      </c>
      <c r="F2221" s="26">
        <f>IF(D2221="","",MOD(D2221-cfgDeslocamento,4)+1)</f>
        <v>0</v>
      </c>
      <c r="G2221" s="26">
        <f>IF(A2221="","",IF(AND(ISNUMBER(B2221),B2221&lt;&gt;0),1,0))</f>
        <v>0</v>
      </c>
      <c r="H2221" s="25">
        <f>IF(E2221="","",(E2221*4+3+cfgDeslocamento)/48)</f>
        <v>0</v>
      </c>
    </row>
    <row r="2222" spans="1:8">
      <c r="A2222" s="24"/>
      <c r="B2222" s="19"/>
      <c r="C2222" s="25">
        <f>IF(D2222="","",D2222/48)</f>
        <v>0</v>
      </c>
      <c r="D2222" s="26">
        <f>IF(A2222="","",ROUND((A2222-cfgDefasagem/1440)*48,0))</f>
        <v>0</v>
      </c>
      <c r="E2222" s="26">
        <f>IF(D2222="","",INT((D2222-cfgDeslocamento)/4))</f>
        <v>0</v>
      </c>
      <c r="F2222" s="26">
        <f>IF(D2222="","",MOD(D2222-cfgDeslocamento,4)+1)</f>
        <v>0</v>
      </c>
      <c r="G2222" s="26">
        <f>IF(A2222="","",IF(AND(ISNUMBER(B2222),B2222&lt;&gt;0),1,0))</f>
        <v>0</v>
      </c>
      <c r="H2222" s="25">
        <f>IF(E2222="","",(E2222*4+3+cfgDeslocamento)/48)</f>
        <v>0</v>
      </c>
    </row>
    <row r="2223" spans="1:8">
      <c r="A2223" s="24"/>
      <c r="B2223" s="19"/>
      <c r="C2223" s="25">
        <f>IF(D2223="","",D2223/48)</f>
        <v>0</v>
      </c>
      <c r="D2223" s="26">
        <f>IF(A2223="","",ROUND((A2223-cfgDefasagem/1440)*48,0))</f>
        <v>0</v>
      </c>
      <c r="E2223" s="26">
        <f>IF(D2223="","",INT((D2223-cfgDeslocamento)/4))</f>
        <v>0</v>
      </c>
      <c r="F2223" s="26">
        <f>IF(D2223="","",MOD(D2223-cfgDeslocamento,4)+1)</f>
        <v>0</v>
      </c>
      <c r="G2223" s="26">
        <f>IF(A2223="","",IF(AND(ISNUMBER(B2223),B2223&lt;&gt;0),1,0))</f>
        <v>0</v>
      </c>
      <c r="H2223" s="25">
        <f>IF(E2223="","",(E2223*4+3+cfgDeslocamento)/48)</f>
        <v>0</v>
      </c>
    </row>
    <row r="2224" spans="1:8">
      <c r="A2224" s="24"/>
      <c r="B2224" s="19"/>
      <c r="C2224" s="25">
        <f>IF(D2224="","",D2224/48)</f>
        <v>0</v>
      </c>
      <c r="D2224" s="26">
        <f>IF(A2224="","",ROUND((A2224-cfgDefasagem/1440)*48,0))</f>
        <v>0</v>
      </c>
      <c r="E2224" s="26">
        <f>IF(D2224="","",INT((D2224-cfgDeslocamento)/4))</f>
        <v>0</v>
      </c>
      <c r="F2224" s="26">
        <f>IF(D2224="","",MOD(D2224-cfgDeslocamento,4)+1)</f>
        <v>0</v>
      </c>
      <c r="G2224" s="26">
        <f>IF(A2224="","",IF(AND(ISNUMBER(B2224),B2224&lt;&gt;0),1,0))</f>
        <v>0</v>
      </c>
      <c r="H2224" s="25">
        <f>IF(E2224="","",(E2224*4+3+cfgDeslocamento)/48)</f>
        <v>0</v>
      </c>
    </row>
    <row r="2225" spans="1:8">
      <c r="A2225" s="24"/>
      <c r="B2225" s="19"/>
      <c r="C2225" s="25">
        <f>IF(D2225="","",D2225/48)</f>
        <v>0</v>
      </c>
      <c r="D2225" s="26">
        <f>IF(A2225="","",ROUND((A2225-cfgDefasagem/1440)*48,0))</f>
        <v>0</v>
      </c>
      <c r="E2225" s="26">
        <f>IF(D2225="","",INT((D2225-cfgDeslocamento)/4))</f>
        <v>0</v>
      </c>
      <c r="F2225" s="26">
        <f>IF(D2225="","",MOD(D2225-cfgDeslocamento,4)+1)</f>
        <v>0</v>
      </c>
      <c r="G2225" s="26">
        <f>IF(A2225="","",IF(AND(ISNUMBER(B2225),B2225&lt;&gt;0),1,0))</f>
        <v>0</v>
      </c>
      <c r="H2225" s="25">
        <f>IF(E2225="","",(E2225*4+3+cfgDeslocamento)/48)</f>
        <v>0</v>
      </c>
    </row>
    <row r="2226" spans="1:8">
      <c r="A2226" s="24"/>
      <c r="B2226" s="19"/>
      <c r="C2226" s="25">
        <f>IF(D2226="","",D2226/48)</f>
        <v>0</v>
      </c>
      <c r="D2226" s="26">
        <f>IF(A2226="","",ROUND((A2226-cfgDefasagem/1440)*48,0))</f>
        <v>0</v>
      </c>
      <c r="E2226" s="26">
        <f>IF(D2226="","",INT((D2226-cfgDeslocamento)/4))</f>
        <v>0</v>
      </c>
      <c r="F2226" s="26">
        <f>IF(D2226="","",MOD(D2226-cfgDeslocamento,4)+1)</f>
        <v>0</v>
      </c>
      <c r="G2226" s="26">
        <f>IF(A2226="","",IF(AND(ISNUMBER(B2226),B2226&lt;&gt;0),1,0))</f>
        <v>0</v>
      </c>
      <c r="H2226" s="25">
        <f>IF(E2226="","",(E2226*4+3+cfgDeslocamento)/48)</f>
        <v>0</v>
      </c>
    </row>
    <row r="2227" spans="1:8">
      <c r="A2227" s="24"/>
      <c r="B2227" s="19"/>
      <c r="C2227" s="25">
        <f>IF(D2227="","",D2227/48)</f>
        <v>0</v>
      </c>
      <c r="D2227" s="26">
        <f>IF(A2227="","",ROUND((A2227-cfgDefasagem/1440)*48,0))</f>
        <v>0</v>
      </c>
      <c r="E2227" s="26">
        <f>IF(D2227="","",INT((D2227-cfgDeslocamento)/4))</f>
        <v>0</v>
      </c>
      <c r="F2227" s="26">
        <f>IF(D2227="","",MOD(D2227-cfgDeslocamento,4)+1)</f>
        <v>0</v>
      </c>
      <c r="G2227" s="26">
        <f>IF(A2227="","",IF(AND(ISNUMBER(B2227),B2227&lt;&gt;0),1,0))</f>
        <v>0</v>
      </c>
      <c r="H2227" s="25">
        <f>IF(E2227="","",(E2227*4+3+cfgDeslocamento)/48)</f>
        <v>0</v>
      </c>
    </row>
    <row r="2228" spans="1:8">
      <c r="A2228" s="24"/>
      <c r="B2228" s="19"/>
      <c r="C2228" s="25">
        <f>IF(D2228="","",D2228/48)</f>
        <v>0</v>
      </c>
      <c r="D2228" s="26">
        <f>IF(A2228="","",ROUND((A2228-cfgDefasagem/1440)*48,0))</f>
        <v>0</v>
      </c>
      <c r="E2228" s="26">
        <f>IF(D2228="","",INT((D2228-cfgDeslocamento)/4))</f>
        <v>0</v>
      </c>
      <c r="F2228" s="26">
        <f>IF(D2228="","",MOD(D2228-cfgDeslocamento,4)+1)</f>
        <v>0</v>
      </c>
      <c r="G2228" s="26">
        <f>IF(A2228="","",IF(AND(ISNUMBER(B2228),B2228&lt;&gt;0),1,0))</f>
        <v>0</v>
      </c>
      <c r="H2228" s="25">
        <f>IF(E2228="","",(E2228*4+3+cfgDeslocamento)/48)</f>
        <v>0</v>
      </c>
    </row>
    <row r="2229" spans="1:8">
      <c r="A2229" s="24"/>
      <c r="B2229" s="19"/>
      <c r="C2229" s="25">
        <f>IF(D2229="","",D2229/48)</f>
        <v>0</v>
      </c>
      <c r="D2229" s="26">
        <f>IF(A2229="","",ROUND((A2229-cfgDefasagem/1440)*48,0))</f>
        <v>0</v>
      </c>
      <c r="E2229" s="26">
        <f>IF(D2229="","",INT((D2229-cfgDeslocamento)/4))</f>
        <v>0</v>
      </c>
      <c r="F2229" s="26">
        <f>IF(D2229="","",MOD(D2229-cfgDeslocamento,4)+1)</f>
        <v>0</v>
      </c>
      <c r="G2229" s="26">
        <f>IF(A2229="","",IF(AND(ISNUMBER(B2229),B2229&lt;&gt;0),1,0))</f>
        <v>0</v>
      </c>
      <c r="H2229" s="25">
        <f>IF(E2229="","",(E2229*4+3+cfgDeslocamento)/48)</f>
        <v>0</v>
      </c>
    </row>
    <row r="2230" spans="1:8">
      <c r="A2230" s="24"/>
      <c r="B2230" s="19"/>
      <c r="C2230" s="25">
        <f>IF(D2230="","",D2230/48)</f>
        <v>0</v>
      </c>
      <c r="D2230" s="26">
        <f>IF(A2230="","",ROUND((A2230-cfgDefasagem/1440)*48,0))</f>
        <v>0</v>
      </c>
      <c r="E2230" s="26">
        <f>IF(D2230="","",INT((D2230-cfgDeslocamento)/4))</f>
        <v>0</v>
      </c>
      <c r="F2230" s="26">
        <f>IF(D2230="","",MOD(D2230-cfgDeslocamento,4)+1)</f>
        <v>0</v>
      </c>
      <c r="G2230" s="26">
        <f>IF(A2230="","",IF(AND(ISNUMBER(B2230),B2230&lt;&gt;0),1,0))</f>
        <v>0</v>
      </c>
      <c r="H2230" s="25">
        <f>IF(E2230="","",(E2230*4+3+cfgDeslocamento)/48)</f>
        <v>0</v>
      </c>
    </row>
    <row r="2231" spans="1:8">
      <c r="A2231" s="24"/>
      <c r="B2231" s="19"/>
      <c r="C2231" s="25">
        <f>IF(D2231="","",D2231/48)</f>
        <v>0</v>
      </c>
      <c r="D2231" s="26">
        <f>IF(A2231="","",ROUND((A2231-cfgDefasagem/1440)*48,0))</f>
        <v>0</v>
      </c>
      <c r="E2231" s="26">
        <f>IF(D2231="","",INT((D2231-cfgDeslocamento)/4))</f>
        <v>0</v>
      </c>
      <c r="F2231" s="26">
        <f>IF(D2231="","",MOD(D2231-cfgDeslocamento,4)+1)</f>
        <v>0</v>
      </c>
      <c r="G2231" s="26">
        <f>IF(A2231="","",IF(AND(ISNUMBER(B2231),B2231&lt;&gt;0),1,0))</f>
        <v>0</v>
      </c>
      <c r="H2231" s="25">
        <f>IF(E2231="","",(E2231*4+3+cfgDeslocamento)/48)</f>
        <v>0</v>
      </c>
    </row>
    <row r="2232" spans="1:8">
      <c r="A2232" s="24"/>
      <c r="B2232" s="19"/>
      <c r="C2232" s="25">
        <f>IF(D2232="","",D2232/48)</f>
        <v>0</v>
      </c>
      <c r="D2232" s="26">
        <f>IF(A2232="","",ROUND((A2232-cfgDefasagem/1440)*48,0))</f>
        <v>0</v>
      </c>
      <c r="E2232" s="26">
        <f>IF(D2232="","",INT((D2232-cfgDeslocamento)/4))</f>
        <v>0</v>
      </c>
      <c r="F2232" s="26">
        <f>IF(D2232="","",MOD(D2232-cfgDeslocamento,4)+1)</f>
        <v>0</v>
      </c>
      <c r="G2232" s="26">
        <f>IF(A2232="","",IF(AND(ISNUMBER(B2232),B2232&lt;&gt;0),1,0))</f>
        <v>0</v>
      </c>
      <c r="H2232" s="25">
        <f>IF(E2232="","",(E2232*4+3+cfgDeslocamento)/48)</f>
        <v>0</v>
      </c>
    </row>
    <row r="2233" spans="1:8">
      <c r="A2233" s="24"/>
      <c r="B2233" s="19"/>
      <c r="C2233" s="25">
        <f>IF(D2233="","",D2233/48)</f>
        <v>0</v>
      </c>
      <c r="D2233" s="26">
        <f>IF(A2233="","",ROUND((A2233-cfgDefasagem/1440)*48,0))</f>
        <v>0</v>
      </c>
      <c r="E2233" s="26">
        <f>IF(D2233="","",INT((D2233-cfgDeslocamento)/4))</f>
        <v>0</v>
      </c>
      <c r="F2233" s="26">
        <f>IF(D2233="","",MOD(D2233-cfgDeslocamento,4)+1)</f>
        <v>0</v>
      </c>
      <c r="G2233" s="26">
        <f>IF(A2233="","",IF(AND(ISNUMBER(B2233),B2233&lt;&gt;0),1,0))</f>
        <v>0</v>
      </c>
      <c r="H2233" s="25">
        <f>IF(E2233="","",(E2233*4+3+cfgDeslocamento)/48)</f>
        <v>0</v>
      </c>
    </row>
    <row r="2234" spans="1:8">
      <c r="A2234" s="24"/>
      <c r="B2234" s="19"/>
      <c r="C2234" s="25">
        <f>IF(D2234="","",D2234/48)</f>
        <v>0</v>
      </c>
      <c r="D2234" s="26">
        <f>IF(A2234="","",ROUND((A2234-cfgDefasagem/1440)*48,0))</f>
        <v>0</v>
      </c>
      <c r="E2234" s="26">
        <f>IF(D2234="","",INT((D2234-cfgDeslocamento)/4))</f>
        <v>0</v>
      </c>
      <c r="F2234" s="26">
        <f>IF(D2234="","",MOD(D2234-cfgDeslocamento,4)+1)</f>
        <v>0</v>
      </c>
      <c r="G2234" s="26">
        <f>IF(A2234="","",IF(AND(ISNUMBER(B2234),B2234&lt;&gt;0),1,0))</f>
        <v>0</v>
      </c>
      <c r="H2234" s="25">
        <f>IF(E2234="","",(E2234*4+3+cfgDeslocamento)/48)</f>
        <v>0</v>
      </c>
    </row>
    <row r="2235" spans="1:8">
      <c r="A2235" s="24"/>
      <c r="B2235" s="19"/>
      <c r="C2235" s="25">
        <f>IF(D2235="","",D2235/48)</f>
        <v>0</v>
      </c>
      <c r="D2235" s="26">
        <f>IF(A2235="","",ROUND((A2235-cfgDefasagem/1440)*48,0))</f>
        <v>0</v>
      </c>
      <c r="E2235" s="26">
        <f>IF(D2235="","",INT((D2235-cfgDeslocamento)/4))</f>
        <v>0</v>
      </c>
      <c r="F2235" s="26">
        <f>IF(D2235="","",MOD(D2235-cfgDeslocamento,4)+1)</f>
        <v>0</v>
      </c>
      <c r="G2235" s="26">
        <f>IF(A2235="","",IF(AND(ISNUMBER(B2235),B2235&lt;&gt;0),1,0))</f>
        <v>0</v>
      </c>
      <c r="H2235" s="25">
        <f>IF(E2235="","",(E2235*4+3+cfgDeslocamento)/48)</f>
        <v>0</v>
      </c>
    </row>
    <row r="2236" spans="1:8">
      <c r="A2236" s="24"/>
      <c r="B2236" s="19"/>
      <c r="C2236" s="25">
        <f>IF(D2236="","",D2236/48)</f>
        <v>0</v>
      </c>
      <c r="D2236" s="26">
        <f>IF(A2236="","",ROUND((A2236-cfgDefasagem/1440)*48,0))</f>
        <v>0</v>
      </c>
      <c r="E2236" s="26">
        <f>IF(D2236="","",INT((D2236-cfgDeslocamento)/4))</f>
        <v>0</v>
      </c>
      <c r="F2236" s="26">
        <f>IF(D2236="","",MOD(D2236-cfgDeslocamento,4)+1)</f>
        <v>0</v>
      </c>
      <c r="G2236" s="26">
        <f>IF(A2236="","",IF(AND(ISNUMBER(B2236),B2236&lt;&gt;0),1,0))</f>
        <v>0</v>
      </c>
      <c r="H2236" s="25">
        <f>IF(E2236="","",(E2236*4+3+cfgDeslocamento)/48)</f>
        <v>0</v>
      </c>
    </row>
    <row r="2237" spans="1:8">
      <c r="A2237" s="24"/>
      <c r="B2237" s="19"/>
      <c r="C2237" s="25">
        <f>IF(D2237="","",D2237/48)</f>
        <v>0</v>
      </c>
      <c r="D2237" s="26">
        <f>IF(A2237="","",ROUND((A2237-cfgDefasagem/1440)*48,0))</f>
        <v>0</v>
      </c>
      <c r="E2237" s="26">
        <f>IF(D2237="","",INT((D2237-cfgDeslocamento)/4))</f>
        <v>0</v>
      </c>
      <c r="F2237" s="26">
        <f>IF(D2237="","",MOD(D2237-cfgDeslocamento,4)+1)</f>
        <v>0</v>
      </c>
      <c r="G2237" s="26">
        <f>IF(A2237="","",IF(AND(ISNUMBER(B2237),B2237&lt;&gt;0),1,0))</f>
        <v>0</v>
      </c>
      <c r="H2237" s="25">
        <f>IF(E2237="","",(E2237*4+3+cfgDeslocamento)/48)</f>
        <v>0</v>
      </c>
    </row>
    <row r="2238" spans="1:8">
      <c r="A2238" s="24"/>
      <c r="B2238" s="19"/>
      <c r="C2238" s="25">
        <f>IF(D2238="","",D2238/48)</f>
        <v>0</v>
      </c>
      <c r="D2238" s="26">
        <f>IF(A2238="","",ROUND((A2238-cfgDefasagem/1440)*48,0))</f>
        <v>0</v>
      </c>
      <c r="E2238" s="26">
        <f>IF(D2238="","",INT((D2238-cfgDeslocamento)/4))</f>
        <v>0</v>
      </c>
      <c r="F2238" s="26">
        <f>IF(D2238="","",MOD(D2238-cfgDeslocamento,4)+1)</f>
        <v>0</v>
      </c>
      <c r="G2238" s="26">
        <f>IF(A2238="","",IF(AND(ISNUMBER(B2238),B2238&lt;&gt;0),1,0))</f>
        <v>0</v>
      </c>
      <c r="H2238" s="25">
        <f>IF(E2238="","",(E2238*4+3+cfgDeslocamento)/48)</f>
        <v>0</v>
      </c>
    </row>
    <row r="2239" spans="1:8">
      <c r="A2239" s="24"/>
      <c r="B2239" s="19"/>
      <c r="C2239" s="25">
        <f>IF(D2239="","",D2239/48)</f>
        <v>0</v>
      </c>
      <c r="D2239" s="26">
        <f>IF(A2239="","",ROUND((A2239-cfgDefasagem/1440)*48,0))</f>
        <v>0</v>
      </c>
      <c r="E2239" s="26">
        <f>IF(D2239="","",INT((D2239-cfgDeslocamento)/4))</f>
        <v>0</v>
      </c>
      <c r="F2239" s="26">
        <f>IF(D2239="","",MOD(D2239-cfgDeslocamento,4)+1)</f>
        <v>0</v>
      </c>
      <c r="G2239" s="26">
        <f>IF(A2239="","",IF(AND(ISNUMBER(B2239),B2239&lt;&gt;0),1,0))</f>
        <v>0</v>
      </c>
      <c r="H2239" s="25">
        <f>IF(E2239="","",(E2239*4+3+cfgDeslocamento)/48)</f>
        <v>0</v>
      </c>
    </row>
    <row r="2240" spans="1:8">
      <c r="A2240" s="24"/>
      <c r="B2240" s="19"/>
      <c r="C2240" s="25">
        <f>IF(D2240="","",D2240/48)</f>
        <v>0</v>
      </c>
      <c r="D2240" s="26">
        <f>IF(A2240="","",ROUND((A2240-cfgDefasagem/1440)*48,0))</f>
        <v>0</v>
      </c>
      <c r="E2240" s="26">
        <f>IF(D2240="","",INT((D2240-cfgDeslocamento)/4))</f>
        <v>0</v>
      </c>
      <c r="F2240" s="26">
        <f>IF(D2240="","",MOD(D2240-cfgDeslocamento,4)+1)</f>
        <v>0</v>
      </c>
      <c r="G2240" s="26">
        <f>IF(A2240="","",IF(AND(ISNUMBER(B2240),B2240&lt;&gt;0),1,0))</f>
        <v>0</v>
      </c>
      <c r="H2240" s="25">
        <f>IF(E2240="","",(E2240*4+3+cfgDeslocamento)/48)</f>
        <v>0</v>
      </c>
    </row>
    <row r="2241" spans="1:8">
      <c r="A2241" s="24"/>
      <c r="B2241" s="19"/>
      <c r="C2241" s="25">
        <f>IF(D2241="","",D2241/48)</f>
        <v>0</v>
      </c>
      <c r="D2241" s="26">
        <f>IF(A2241="","",ROUND((A2241-cfgDefasagem/1440)*48,0))</f>
        <v>0</v>
      </c>
      <c r="E2241" s="26">
        <f>IF(D2241="","",INT((D2241-cfgDeslocamento)/4))</f>
        <v>0</v>
      </c>
      <c r="F2241" s="26">
        <f>IF(D2241="","",MOD(D2241-cfgDeslocamento,4)+1)</f>
        <v>0</v>
      </c>
      <c r="G2241" s="26">
        <f>IF(A2241="","",IF(AND(ISNUMBER(B2241),B2241&lt;&gt;0),1,0))</f>
        <v>0</v>
      </c>
      <c r="H2241" s="25">
        <f>IF(E2241="","",(E2241*4+3+cfgDeslocamento)/48)</f>
        <v>0</v>
      </c>
    </row>
    <row r="2242" spans="1:8">
      <c r="A2242" s="24"/>
      <c r="B2242" s="19"/>
      <c r="C2242" s="25">
        <f>IF(D2242="","",D2242/48)</f>
        <v>0</v>
      </c>
      <c r="D2242" s="26">
        <f>IF(A2242="","",ROUND((A2242-cfgDefasagem/1440)*48,0))</f>
        <v>0</v>
      </c>
      <c r="E2242" s="26">
        <f>IF(D2242="","",INT((D2242-cfgDeslocamento)/4))</f>
        <v>0</v>
      </c>
      <c r="F2242" s="26">
        <f>IF(D2242="","",MOD(D2242-cfgDeslocamento,4)+1)</f>
        <v>0</v>
      </c>
      <c r="G2242" s="26">
        <f>IF(A2242="","",IF(AND(ISNUMBER(B2242),B2242&lt;&gt;0),1,0))</f>
        <v>0</v>
      </c>
      <c r="H2242" s="25">
        <f>IF(E2242="","",(E2242*4+3+cfgDeslocamento)/48)</f>
        <v>0</v>
      </c>
    </row>
    <row r="2243" spans="1:8">
      <c r="A2243" s="24"/>
      <c r="B2243" s="19"/>
      <c r="C2243" s="25">
        <f>IF(D2243="","",D2243/48)</f>
        <v>0</v>
      </c>
      <c r="D2243" s="26">
        <f>IF(A2243="","",ROUND((A2243-cfgDefasagem/1440)*48,0))</f>
        <v>0</v>
      </c>
      <c r="E2243" s="26">
        <f>IF(D2243="","",INT((D2243-cfgDeslocamento)/4))</f>
        <v>0</v>
      </c>
      <c r="F2243" s="26">
        <f>IF(D2243="","",MOD(D2243-cfgDeslocamento,4)+1)</f>
        <v>0</v>
      </c>
      <c r="G2243" s="26">
        <f>IF(A2243="","",IF(AND(ISNUMBER(B2243),B2243&lt;&gt;0),1,0))</f>
        <v>0</v>
      </c>
      <c r="H2243" s="25">
        <f>IF(E2243="","",(E2243*4+3+cfgDeslocamento)/48)</f>
        <v>0</v>
      </c>
    </row>
    <row r="2244" spans="1:8">
      <c r="A2244" s="24"/>
      <c r="B2244" s="19"/>
      <c r="C2244" s="25">
        <f>IF(D2244="","",D2244/48)</f>
        <v>0</v>
      </c>
      <c r="D2244" s="26">
        <f>IF(A2244="","",ROUND((A2244-cfgDefasagem/1440)*48,0))</f>
        <v>0</v>
      </c>
      <c r="E2244" s="26">
        <f>IF(D2244="","",INT((D2244-cfgDeslocamento)/4))</f>
        <v>0</v>
      </c>
      <c r="F2244" s="26">
        <f>IF(D2244="","",MOD(D2244-cfgDeslocamento,4)+1)</f>
        <v>0</v>
      </c>
      <c r="G2244" s="26">
        <f>IF(A2244="","",IF(AND(ISNUMBER(B2244),B2244&lt;&gt;0),1,0))</f>
        <v>0</v>
      </c>
      <c r="H2244" s="25">
        <f>IF(E2244="","",(E2244*4+3+cfgDeslocamento)/48)</f>
        <v>0</v>
      </c>
    </row>
    <row r="2245" spans="1:8">
      <c r="A2245" s="24"/>
      <c r="B2245" s="19"/>
      <c r="C2245" s="25">
        <f>IF(D2245="","",D2245/48)</f>
        <v>0</v>
      </c>
      <c r="D2245" s="26">
        <f>IF(A2245="","",ROUND((A2245-cfgDefasagem/1440)*48,0))</f>
        <v>0</v>
      </c>
      <c r="E2245" s="26">
        <f>IF(D2245="","",INT((D2245-cfgDeslocamento)/4))</f>
        <v>0</v>
      </c>
      <c r="F2245" s="26">
        <f>IF(D2245="","",MOD(D2245-cfgDeslocamento,4)+1)</f>
        <v>0</v>
      </c>
      <c r="G2245" s="26">
        <f>IF(A2245="","",IF(AND(ISNUMBER(B2245),B2245&lt;&gt;0),1,0))</f>
        <v>0</v>
      </c>
      <c r="H2245" s="25">
        <f>IF(E2245="","",(E2245*4+3+cfgDeslocamento)/48)</f>
        <v>0</v>
      </c>
    </row>
    <row r="2246" spans="1:8">
      <c r="A2246" s="24"/>
      <c r="B2246" s="19"/>
      <c r="C2246" s="25">
        <f>IF(D2246="","",D2246/48)</f>
        <v>0</v>
      </c>
      <c r="D2246" s="26">
        <f>IF(A2246="","",ROUND((A2246-cfgDefasagem/1440)*48,0))</f>
        <v>0</v>
      </c>
      <c r="E2246" s="26">
        <f>IF(D2246="","",INT((D2246-cfgDeslocamento)/4))</f>
        <v>0</v>
      </c>
      <c r="F2246" s="26">
        <f>IF(D2246="","",MOD(D2246-cfgDeslocamento,4)+1)</f>
        <v>0</v>
      </c>
      <c r="G2246" s="26">
        <f>IF(A2246="","",IF(AND(ISNUMBER(B2246),B2246&lt;&gt;0),1,0))</f>
        <v>0</v>
      </c>
      <c r="H2246" s="25">
        <f>IF(E2246="","",(E2246*4+3+cfgDeslocamento)/48)</f>
        <v>0</v>
      </c>
    </row>
    <row r="2247" spans="1:8">
      <c r="A2247" s="24"/>
      <c r="B2247" s="19"/>
      <c r="C2247" s="25">
        <f>IF(D2247="","",D2247/48)</f>
        <v>0</v>
      </c>
      <c r="D2247" s="26">
        <f>IF(A2247="","",ROUND((A2247-cfgDefasagem/1440)*48,0))</f>
        <v>0</v>
      </c>
      <c r="E2247" s="26">
        <f>IF(D2247="","",INT((D2247-cfgDeslocamento)/4))</f>
        <v>0</v>
      </c>
      <c r="F2247" s="26">
        <f>IF(D2247="","",MOD(D2247-cfgDeslocamento,4)+1)</f>
        <v>0</v>
      </c>
      <c r="G2247" s="26">
        <f>IF(A2247="","",IF(AND(ISNUMBER(B2247),B2247&lt;&gt;0),1,0))</f>
        <v>0</v>
      </c>
      <c r="H2247" s="25">
        <f>IF(E2247="","",(E2247*4+3+cfgDeslocamento)/48)</f>
        <v>0</v>
      </c>
    </row>
    <row r="2248" spans="1:8">
      <c r="A2248" s="24"/>
      <c r="B2248" s="19"/>
      <c r="C2248" s="25">
        <f>IF(D2248="","",D2248/48)</f>
        <v>0</v>
      </c>
      <c r="D2248" s="26">
        <f>IF(A2248="","",ROUND((A2248-cfgDefasagem/1440)*48,0))</f>
        <v>0</v>
      </c>
      <c r="E2248" s="26">
        <f>IF(D2248="","",INT((D2248-cfgDeslocamento)/4))</f>
        <v>0</v>
      </c>
      <c r="F2248" s="26">
        <f>IF(D2248="","",MOD(D2248-cfgDeslocamento,4)+1)</f>
        <v>0</v>
      </c>
      <c r="G2248" s="26">
        <f>IF(A2248="","",IF(AND(ISNUMBER(B2248),B2248&lt;&gt;0),1,0))</f>
        <v>0</v>
      </c>
      <c r="H2248" s="25">
        <f>IF(E2248="","",(E2248*4+3+cfgDeslocamento)/48)</f>
        <v>0</v>
      </c>
    </row>
    <row r="2249" spans="1:8">
      <c r="A2249" s="24"/>
      <c r="B2249" s="19"/>
      <c r="C2249" s="25">
        <f>IF(D2249="","",D2249/48)</f>
        <v>0</v>
      </c>
      <c r="D2249" s="26">
        <f>IF(A2249="","",ROUND((A2249-cfgDefasagem/1440)*48,0))</f>
        <v>0</v>
      </c>
      <c r="E2249" s="26">
        <f>IF(D2249="","",INT((D2249-cfgDeslocamento)/4))</f>
        <v>0</v>
      </c>
      <c r="F2249" s="26">
        <f>IF(D2249="","",MOD(D2249-cfgDeslocamento,4)+1)</f>
        <v>0</v>
      </c>
      <c r="G2249" s="26">
        <f>IF(A2249="","",IF(AND(ISNUMBER(B2249),B2249&lt;&gt;0),1,0))</f>
        <v>0</v>
      </c>
      <c r="H2249" s="25">
        <f>IF(E2249="","",(E2249*4+3+cfgDeslocamento)/48)</f>
        <v>0</v>
      </c>
    </row>
    <row r="2250" spans="1:8">
      <c r="A2250" s="24"/>
      <c r="B2250" s="19"/>
      <c r="C2250" s="25">
        <f>IF(D2250="","",D2250/48)</f>
        <v>0</v>
      </c>
      <c r="D2250" s="26">
        <f>IF(A2250="","",ROUND((A2250-cfgDefasagem/1440)*48,0))</f>
        <v>0</v>
      </c>
      <c r="E2250" s="26">
        <f>IF(D2250="","",INT((D2250-cfgDeslocamento)/4))</f>
        <v>0</v>
      </c>
      <c r="F2250" s="26">
        <f>IF(D2250="","",MOD(D2250-cfgDeslocamento,4)+1)</f>
        <v>0</v>
      </c>
      <c r="G2250" s="26">
        <f>IF(A2250="","",IF(AND(ISNUMBER(B2250),B2250&lt;&gt;0),1,0))</f>
        <v>0</v>
      </c>
      <c r="H2250" s="25">
        <f>IF(E2250="","",(E2250*4+3+cfgDeslocamento)/48)</f>
        <v>0</v>
      </c>
    </row>
    <row r="2251" spans="1:8">
      <c r="A2251" s="24"/>
      <c r="B2251" s="19"/>
      <c r="C2251" s="25">
        <f>IF(D2251="","",D2251/48)</f>
        <v>0</v>
      </c>
      <c r="D2251" s="26">
        <f>IF(A2251="","",ROUND((A2251-cfgDefasagem/1440)*48,0))</f>
        <v>0</v>
      </c>
      <c r="E2251" s="26">
        <f>IF(D2251="","",INT((D2251-cfgDeslocamento)/4))</f>
        <v>0</v>
      </c>
      <c r="F2251" s="26">
        <f>IF(D2251="","",MOD(D2251-cfgDeslocamento,4)+1)</f>
        <v>0</v>
      </c>
      <c r="G2251" s="26">
        <f>IF(A2251="","",IF(AND(ISNUMBER(B2251),B2251&lt;&gt;0),1,0))</f>
        <v>0</v>
      </c>
      <c r="H2251" s="25">
        <f>IF(E2251="","",(E2251*4+3+cfgDeslocamento)/48)</f>
        <v>0</v>
      </c>
    </row>
    <row r="2252" spans="1:8">
      <c r="A2252" s="24"/>
      <c r="B2252" s="19"/>
      <c r="C2252" s="25">
        <f>IF(D2252="","",D2252/48)</f>
        <v>0</v>
      </c>
      <c r="D2252" s="26">
        <f>IF(A2252="","",ROUND((A2252-cfgDefasagem/1440)*48,0))</f>
        <v>0</v>
      </c>
      <c r="E2252" s="26">
        <f>IF(D2252="","",INT((D2252-cfgDeslocamento)/4))</f>
        <v>0</v>
      </c>
      <c r="F2252" s="26">
        <f>IF(D2252="","",MOD(D2252-cfgDeslocamento,4)+1)</f>
        <v>0</v>
      </c>
      <c r="G2252" s="26">
        <f>IF(A2252="","",IF(AND(ISNUMBER(B2252),B2252&lt;&gt;0),1,0))</f>
        <v>0</v>
      </c>
      <c r="H2252" s="25">
        <f>IF(E2252="","",(E2252*4+3+cfgDeslocamento)/48)</f>
        <v>0</v>
      </c>
    </row>
    <row r="2253" spans="1:8">
      <c r="A2253" s="24"/>
      <c r="B2253" s="19"/>
      <c r="C2253" s="25">
        <f>IF(D2253="","",D2253/48)</f>
        <v>0</v>
      </c>
      <c r="D2253" s="26">
        <f>IF(A2253="","",ROUND((A2253-cfgDefasagem/1440)*48,0))</f>
        <v>0</v>
      </c>
      <c r="E2253" s="26">
        <f>IF(D2253="","",INT((D2253-cfgDeslocamento)/4))</f>
        <v>0</v>
      </c>
      <c r="F2253" s="26">
        <f>IF(D2253="","",MOD(D2253-cfgDeslocamento,4)+1)</f>
        <v>0</v>
      </c>
      <c r="G2253" s="26">
        <f>IF(A2253="","",IF(AND(ISNUMBER(B2253),B2253&lt;&gt;0),1,0))</f>
        <v>0</v>
      </c>
      <c r="H2253" s="25">
        <f>IF(E2253="","",(E2253*4+3+cfgDeslocamento)/48)</f>
        <v>0</v>
      </c>
    </row>
    <row r="2254" spans="1:8">
      <c r="A2254" s="24"/>
      <c r="B2254" s="19"/>
      <c r="C2254" s="25">
        <f>IF(D2254="","",D2254/48)</f>
        <v>0</v>
      </c>
      <c r="D2254" s="26">
        <f>IF(A2254="","",ROUND((A2254-cfgDefasagem/1440)*48,0))</f>
        <v>0</v>
      </c>
      <c r="E2254" s="26">
        <f>IF(D2254="","",INT((D2254-cfgDeslocamento)/4))</f>
        <v>0</v>
      </c>
      <c r="F2254" s="26">
        <f>IF(D2254="","",MOD(D2254-cfgDeslocamento,4)+1)</f>
        <v>0</v>
      </c>
      <c r="G2254" s="26">
        <f>IF(A2254="","",IF(AND(ISNUMBER(B2254),B2254&lt;&gt;0),1,0))</f>
        <v>0</v>
      </c>
      <c r="H2254" s="25">
        <f>IF(E2254="","",(E2254*4+3+cfgDeslocamento)/48)</f>
        <v>0</v>
      </c>
    </row>
    <row r="2255" spans="1:8">
      <c r="A2255" s="24"/>
      <c r="B2255" s="19"/>
      <c r="C2255" s="25">
        <f>IF(D2255="","",D2255/48)</f>
        <v>0</v>
      </c>
      <c r="D2255" s="26">
        <f>IF(A2255="","",ROUND((A2255-cfgDefasagem/1440)*48,0))</f>
        <v>0</v>
      </c>
      <c r="E2255" s="26">
        <f>IF(D2255="","",INT((D2255-cfgDeslocamento)/4))</f>
        <v>0</v>
      </c>
      <c r="F2255" s="26">
        <f>IF(D2255="","",MOD(D2255-cfgDeslocamento,4)+1)</f>
        <v>0</v>
      </c>
      <c r="G2255" s="26">
        <f>IF(A2255="","",IF(AND(ISNUMBER(B2255),B2255&lt;&gt;0),1,0))</f>
        <v>0</v>
      </c>
      <c r="H2255" s="25">
        <f>IF(E2255="","",(E2255*4+3+cfgDeslocamento)/48)</f>
        <v>0</v>
      </c>
    </row>
    <row r="2256" spans="1:8">
      <c r="A2256" s="24"/>
      <c r="B2256" s="19"/>
      <c r="C2256" s="25">
        <f>IF(D2256="","",D2256/48)</f>
        <v>0</v>
      </c>
      <c r="D2256" s="26">
        <f>IF(A2256="","",ROUND((A2256-cfgDefasagem/1440)*48,0))</f>
        <v>0</v>
      </c>
      <c r="E2256" s="26">
        <f>IF(D2256="","",INT((D2256-cfgDeslocamento)/4))</f>
        <v>0</v>
      </c>
      <c r="F2256" s="26">
        <f>IF(D2256="","",MOD(D2256-cfgDeslocamento,4)+1)</f>
        <v>0</v>
      </c>
      <c r="G2256" s="26">
        <f>IF(A2256="","",IF(AND(ISNUMBER(B2256),B2256&lt;&gt;0),1,0))</f>
        <v>0</v>
      </c>
      <c r="H2256" s="25">
        <f>IF(E2256="","",(E2256*4+3+cfgDeslocamento)/48)</f>
        <v>0</v>
      </c>
    </row>
    <row r="2257" spans="1:8">
      <c r="A2257" s="24"/>
      <c r="B2257" s="19"/>
      <c r="C2257" s="25">
        <f>IF(D2257="","",D2257/48)</f>
        <v>0</v>
      </c>
      <c r="D2257" s="26">
        <f>IF(A2257="","",ROUND((A2257-cfgDefasagem/1440)*48,0))</f>
        <v>0</v>
      </c>
      <c r="E2257" s="26">
        <f>IF(D2257="","",INT((D2257-cfgDeslocamento)/4))</f>
        <v>0</v>
      </c>
      <c r="F2257" s="26">
        <f>IF(D2257="","",MOD(D2257-cfgDeslocamento,4)+1)</f>
        <v>0</v>
      </c>
      <c r="G2257" s="26">
        <f>IF(A2257="","",IF(AND(ISNUMBER(B2257),B2257&lt;&gt;0),1,0))</f>
        <v>0</v>
      </c>
      <c r="H2257" s="25">
        <f>IF(E2257="","",(E2257*4+3+cfgDeslocamento)/48)</f>
        <v>0</v>
      </c>
    </row>
    <row r="2258" spans="1:8">
      <c r="A2258" s="24"/>
      <c r="B2258" s="19"/>
      <c r="C2258" s="25">
        <f>IF(D2258="","",D2258/48)</f>
        <v>0</v>
      </c>
      <c r="D2258" s="26">
        <f>IF(A2258="","",ROUND((A2258-cfgDefasagem/1440)*48,0))</f>
        <v>0</v>
      </c>
      <c r="E2258" s="26">
        <f>IF(D2258="","",INT((D2258-cfgDeslocamento)/4))</f>
        <v>0</v>
      </c>
      <c r="F2258" s="26">
        <f>IF(D2258="","",MOD(D2258-cfgDeslocamento,4)+1)</f>
        <v>0</v>
      </c>
      <c r="G2258" s="26">
        <f>IF(A2258="","",IF(AND(ISNUMBER(B2258),B2258&lt;&gt;0),1,0))</f>
        <v>0</v>
      </c>
      <c r="H2258" s="25">
        <f>IF(E2258="","",(E2258*4+3+cfgDeslocamento)/48)</f>
        <v>0</v>
      </c>
    </row>
    <row r="2259" spans="1:8">
      <c r="A2259" s="24"/>
      <c r="B2259" s="19"/>
      <c r="C2259" s="25">
        <f>IF(D2259="","",D2259/48)</f>
        <v>0</v>
      </c>
      <c r="D2259" s="26">
        <f>IF(A2259="","",ROUND((A2259-cfgDefasagem/1440)*48,0))</f>
        <v>0</v>
      </c>
      <c r="E2259" s="26">
        <f>IF(D2259="","",INT((D2259-cfgDeslocamento)/4))</f>
        <v>0</v>
      </c>
      <c r="F2259" s="26">
        <f>IF(D2259="","",MOD(D2259-cfgDeslocamento,4)+1)</f>
        <v>0</v>
      </c>
      <c r="G2259" s="26">
        <f>IF(A2259="","",IF(AND(ISNUMBER(B2259),B2259&lt;&gt;0),1,0))</f>
        <v>0</v>
      </c>
      <c r="H2259" s="25">
        <f>IF(E2259="","",(E2259*4+3+cfgDeslocamento)/48)</f>
        <v>0</v>
      </c>
    </row>
    <row r="2260" spans="1:8">
      <c r="A2260" s="24"/>
      <c r="B2260" s="19"/>
      <c r="C2260" s="25">
        <f>IF(D2260="","",D2260/48)</f>
        <v>0</v>
      </c>
      <c r="D2260" s="26">
        <f>IF(A2260="","",ROUND((A2260-cfgDefasagem/1440)*48,0))</f>
        <v>0</v>
      </c>
      <c r="E2260" s="26">
        <f>IF(D2260="","",INT((D2260-cfgDeslocamento)/4))</f>
        <v>0</v>
      </c>
      <c r="F2260" s="26">
        <f>IF(D2260="","",MOD(D2260-cfgDeslocamento,4)+1)</f>
        <v>0</v>
      </c>
      <c r="G2260" s="26">
        <f>IF(A2260="","",IF(AND(ISNUMBER(B2260),B2260&lt;&gt;0),1,0))</f>
        <v>0</v>
      </c>
      <c r="H2260" s="25">
        <f>IF(E2260="","",(E2260*4+3+cfgDeslocamento)/48)</f>
        <v>0</v>
      </c>
    </row>
    <row r="2261" spans="1:8">
      <c r="A2261" s="24"/>
      <c r="B2261" s="19"/>
      <c r="C2261" s="25">
        <f>IF(D2261="","",D2261/48)</f>
        <v>0</v>
      </c>
      <c r="D2261" s="26">
        <f>IF(A2261="","",ROUND((A2261-cfgDefasagem/1440)*48,0))</f>
        <v>0</v>
      </c>
      <c r="E2261" s="26">
        <f>IF(D2261="","",INT((D2261-cfgDeslocamento)/4))</f>
        <v>0</v>
      </c>
      <c r="F2261" s="26">
        <f>IF(D2261="","",MOD(D2261-cfgDeslocamento,4)+1)</f>
        <v>0</v>
      </c>
      <c r="G2261" s="26">
        <f>IF(A2261="","",IF(AND(ISNUMBER(B2261),B2261&lt;&gt;0),1,0))</f>
        <v>0</v>
      </c>
      <c r="H2261" s="25">
        <f>IF(E2261="","",(E2261*4+3+cfgDeslocamento)/48)</f>
        <v>0</v>
      </c>
    </row>
    <row r="2262" spans="1:8">
      <c r="A2262" s="24"/>
      <c r="B2262" s="19"/>
      <c r="C2262" s="25">
        <f>IF(D2262="","",D2262/48)</f>
        <v>0</v>
      </c>
      <c r="D2262" s="26">
        <f>IF(A2262="","",ROUND((A2262-cfgDefasagem/1440)*48,0))</f>
        <v>0</v>
      </c>
      <c r="E2262" s="26">
        <f>IF(D2262="","",INT((D2262-cfgDeslocamento)/4))</f>
        <v>0</v>
      </c>
      <c r="F2262" s="26">
        <f>IF(D2262="","",MOD(D2262-cfgDeslocamento,4)+1)</f>
        <v>0</v>
      </c>
      <c r="G2262" s="26">
        <f>IF(A2262="","",IF(AND(ISNUMBER(B2262),B2262&lt;&gt;0),1,0))</f>
        <v>0</v>
      </c>
      <c r="H2262" s="25">
        <f>IF(E2262="","",(E2262*4+3+cfgDeslocamento)/48)</f>
        <v>0</v>
      </c>
    </row>
    <row r="2263" spans="1:8">
      <c r="A2263" s="24"/>
      <c r="B2263" s="19"/>
      <c r="C2263" s="25">
        <f>IF(D2263="","",D2263/48)</f>
        <v>0</v>
      </c>
      <c r="D2263" s="26">
        <f>IF(A2263="","",ROUND((A2263-cfgDefasagem/1440)*48,0))</f>
        <v>0</v>
      </c>
      <c r="E2263" s="26">
        <f>IF(D2263="","",INT((D2263-cfgDeslocamento)/4))</f>
        <v>0</v>
      </c>
      <c r="F2263" s="26">
        <f>IF(D2263="","",MOD(D2263-cfgDeslocamento,4)+1)</f>
        <v>0</v>
      </c>
      <c r="G2263" s="26">
        <f>IF(A2263="","",IF(AND(ISNUMBER(B2263),B2263&lt;&gt;0),1,0))</f>
        <v>0</v>
      </c>
      <c r="H2263" s="25">
        <f>IF(E2263="","",(E2263*4+3+cfgDeslocamento)/48)</f>
        <v>0</v>
      </c>
    </row>
    <row r="2264" spans="1:8">
      <c r="A2264" s="24"/>
      <c r="B2264" s="19"/>
      <c r="C2264" s="25">
        <f>IF(D2264="","",D2264/48)</f>
        <v>0</v>
      </c>
      <c r="D2264" s="26">
        <f>IF(A2264="","",ROUND((A2264-cfgDefasagem/1440)*48,0))</f>
        <v>0</v>
      </c>
      <c r="E2264" s="26">
        <f>IF(D2264="","",INT((D2264-cfgDeslocamento)/4))</f>
        <v>0</v>
      </c>
      <c r="F2264" s="26">
        <f>IF(D2264="","",MOD(D2264-cfgDeslocamento,4)+1)</f>
        <v>0</v>
      </c>
      <c r="G2264" s="26">
        <f>IF(A2264="","",IF(AND(ISNUMBER(B2264),B2264&lt;&gt;0),1,0))</f>
        <v>0</v>
      </c>
      <c r="H2264" s="25">
        <f>IF(E2264="","",(E2264*4+3+cfgDeslocamento)/48)</f>
        <v>0</v>
      </c>
    </row>
    <row r="2265" spans="1:8">
      <c r="A2265" s="24"/>
      <c r="B2265" s="19"/>
      <c r="C2265" s="25">
        <f>IF(D2265="","",D2265/48)</f>
        <v>0</v>
      </c>
      <c r="D2265" s="26">
        <f>IF(A2265="","",ROUND((A2265-cfgDefasagem/1440)*48,0))</f>
        <v>0</v>
      </c>
      <c r="E2265" s="26">
        <f>IF(D2265="","",INT((D2265-cfgDeslocamento)/4))</f>
        <v>0</v>
      </c>
      <c r="F2265" s="26">
        <f>IF(D2265="","",MOD(D2265-cfgDeslocamento,4)+1)</f>
        <v>0</v>
      </c>
      <c r="G2265" s="26">
        <f>IF(A2265="","",IF(AND(ISNUMBER(B2265),B2265&lt;&gt;0),1,0))</f>
        <v>0</v>
      </c>
      <c r="H2265" s="25">
        <f>IF(E2265="","",(E2265*4+3+cfgDeslocamento)/48)</f>
        <v>0</v>
      </c>
    </row>
    <row r="2266" spans="1:8">
      <c r="A2266" s="24"/>
      <c r="B2266" s="19"/>
      <c r="C2266" s="25">
        <f>IF(D2266="","",D2266/48)</f>
        <v>0</v>
      </c>
      <c r="D2266" s="26">
        <f>IF(A2266="","",ROUND((A2266-cfgDefasagem/1440)*48,0))</f>
        <v>0</v>
      </c>
      <c r="E2266" s="26">
        <f>IF(D2266="","",INT((D2266-cfgDeslocamento)/4))</f>
        <v>0</v>
      </c>
      <c r="F2266" s="26">
        <f>IF(D2266="","",MOD(D2266-cfgDeslocamento,4)+1)</f>
        <v>0</v>
      </c>
      <c r="G2266" s="26">
        <f>IF(A2266="","",IF(AND(ISNUMBER(B2266),B2266&lt;&gt;0),1,0))</f>
        <v>0</v>
      </c>
      <c r="H2266" s="25">
        <f>IF(E2266="","",(E2266*4+3+cfgDeslocamento)/48)</f>
        <v>0</v>
      </c>
    </row>
    <row r="2267" spans="1:8">
      <c r="A2267" s="24"/>
      <c r="B2267" s="19"/>
      <c r="C2267" s="25">
        <f>IF(D2267="","",D2267/48)</f>
        <v>0</v>
      </c>
      <c r="D2267" s="26">
        <f>IF(A2267="","",ROUND((A2267-cfgDefasagem/1440)*48,0))</f>
        <v>0</v>
      </c>
      <c r="E2267" s="26">
        <f>IF(D2267="","",INT((D2267-cfgDeslocamento)/4))</f>
        <v>0</v>
      </c>
      <c r="F2267" s="26">
        <f>IF(D2267="","",MOD(D2267-cfgDeslocamento,4)+1)</f>
        <v>0</v>
      </c>
      <c r="G2267" s="26">
        <f>IF(A2267="","",IF(AND(ISNUMBER(B2267),B2267&lt;&gt;0),1,0))</f>
        <v>0</v>
      </c>
      <c r="H2267" s="25">
        <f>IF(E2267="","",(E2267*4+3+cfgDeslocamento)/48)</f>
        <v>0</v>
      </c>
    </row>
    <row r="2268" spans="1:8">
      <c r="A2268" s="24"/>
      <c r="B2268" s="19"/>
      <c r="C2268" s="25">
        <f>IF(D2268="","",D2268/48)</f>
        <v>0</v>
      </c>
      <c r="D2268" s="26">
        <f>IF(A2268="","",ROUND((A2268-cfgDefasagem/1440)*48,0))</f>
        <v>0</v>
      </c>
      <c r="E2268" s="26">
        <f>IF(D2268="","",INT((D2268-cfgDeslocamento)/4))</f>
        <v>0</v>
      </c>
      <c r="F2268" s="26">
        <f>IF(D2268="","",MOD(D2268-cfgDeslocamento,4)+1)</f>
        <v>0</v>
      </c>
      <c r="G2268" s="26">
        <f>IF(A2268="","",IF(AND(ISNUMBER(B2268),B2268&lt;&gt;0),1,0))</f>
        <v>0</v>
      </c>
      <c r="H2268" s="25">
        <f>IF(E2268="","",(E2268*4+3+cfgDeslocamento)/48)</f>
        <v>0</v>
      </c>
    </row>
    <row r="2269" spans="1:8">
      <c r="A2269" s="24"/>
      <c r="B2269" s="19"/>
      <c r="C2269" s="25">
        <f>IF(D2269="","",D2269/48)</f>
        <v>0</v>
      </c>
      <c r="D2269" s="26">
        <f>IF(A2269="","",ROUND((A2269-cfgDefasagem/1440)*48,0))</f>
        <v>0</v>
      </c>
      <c r="E2269" s="26">
        <f>IF(D2269="","",INT((D2269-cfgDeslocamento)/4))</f>
        <v>0</v>
      </c>
      <c r="F2269" s="26">
        <f>IF(D2269="","",MOD(D2269-cfgDeslocamento,4)+1)</f>
        <v>0</v>
      </c>
      <c r="G2269" s="26">
        <f>IF(A2269="","",IF(AND(ISNUMBER(B2269),B2269&lt;&gt;0),1,0))</f>
        <v>0</v>
      </c>
      <c r="H2269" s="25">
        <f>IF(E2269="","",(E2269*4+3+cfgDeslocamento)/48)</f>
        <v>0</v>
      </c>
    </row>
    <row r="2270" spans="1:8">
      <c r="A2270" s="24"/>
      <c r="B2270" s="19"/>
      <c r="C2270" s="25">
        <f>IF(D2270="","",D2270/48)</f>
        <v>0</v>
      </c>
      <c r="D2270" s="26">
        <f>IF(A2270="","",ROUND((A2270-cfgDefasagem/1440)*48,0))</f>
        <v>0</v>
      </c>
      <c r="E2270" s="26">
        <f>IF(D2270="","",INT((D2270-cfgDeslocamento)/4))</f>
        <v>0</v>
      </c>
      <c r="F2270" s="26">
        <f>IF(D2270="","",MOD(D2270-cfgDeslocamento,4)+1)</f>
        <v>0</v>
      </c>
      <c r="G2270" s="26">
        <f>IF(A2270="","",IF(AND(ISNUMBER(B2270),B2270&lt;&gt;0),1,0))</f>
        <v>0</v>
      </c>
      <c r="H2270" s="25">
        <f>IF(E2270="","",(E2270*4+3+cfgDeslocamento)/48)</f>
        <v>0</v>
      </c>
    </row>
    <row r="2271" spans="1:8">
      <c r="A2271" s="24"/>
      <c r="B2271" s="19"/>
      <c r="C2271" s="25">
        <f>IF(D2271="","",D2271/48)</f>
        <v>0</v>
      </c>
      <c r="D2271" s="26">
        <f>IF(A2271="","",ROUND((A2271-cfgDefasagem/1440)*48,0))</f>
        <v>0</v>
      </c>
      <c r="E2271" s="26">
        <f>IF(D2271="","",INT((D2271-cfgDeslocamento)/4))</f>
        <v>0</v>
      </c>
      <c r="F2271" s="26">
        <f>IF(D2271="","",MOD(D2271-cfgDeslocamento,4)+1)</f>
        <v>0</v>
      </c>
      <c r="G2271" s="26">
        <f>IF(A2271="","",IF(AND(ISNUMBER(B2271),B2271&lt;&gt;0),1,0))</f>
        <v>0</v>
      </c>
      <c r="H2271" s="25">
        <f>IF(E2271="","",(E2271*4+3+cfgDeslocamento)/48)</f>
        <v>0</v>
      </c>
    </row>
    <row r="2272" spans="1:8">
      <c r="A2272" s="24"/>
      <c r="B2272" s="19"/>
      <c r="C2272" s="25">
        <f>IF(D2272="","",D2272/48)</f>
        <v>0</v>
      </c>
      <c r="D2272" s="26">
        <f>IF(A2272="","",ROUND((A2272-cfgDefasagem/1440)*48,0))</f>
        <v>0</v>
      </c>
      <c r="E2272" s="26">
        <f>IF(D2272="","",INT((D2272-cfgDeslocamento)/4))</f>
        <v>0</v>
      </c>
      <c r="F2272" s="26">
        <f>IF(D2272="","",MOD(D2272-cfgDeslocamento,4)+1)</f>
        <v>0</v>
      </c>
      <c r="G2272" s="26">
        <f>IF(A2272="","",IF(AND(ISNUMBER(B2272),B2272&lt;&gt;0),1,0))</f>
        <v>0</v>
      </c>
      <c r="H2272" s="25">
        <f>IF(E2272="","",(E2272*4+3+cfgDeslocamento)/48)</f>
        <v>0</v>
      </c>
    </row>
    <row r="2273" spans="1:8">
      <c r="A2273" s="24"/>
      <c r="B2273" s="19"/>
      <c r="C2273" s="25">
        <f>IF(D2273="","",D2273/48)</f>
        <v>0</v>
      </c>
      <c r="D2273" s="26">
        <f>IF(A2273="","",ROUND((A2273-cfgDefasagem/1440)*48,0))</f>
        <v>0</v>
      </c>
      <c r="E2273" s="26">
        <f>IF(D2273="","",INT((D2273-cfgDeslocamento)/4))</f>
        <v>0</v>
      </c>
      <c r="F2273" s="26">
        <f>IF(D2273="","",MOD(D2273-cfgDeslocamento,4)+1)</f>
        <v>0</v>
      </c>
      <c r="G2273" s="26">
        <f>IF(A2273="","",IF(AND(ISNUMBER(B2273),B2273&lt;&gt;0),1,0))</f>
        <v>0</v>
      </c>
      <c r="H2273" s="25">
        <f>IF(E2273="","",(E2273*4+3+cfgDeslocamento)/48)</f>
        <v>0</v>
      </c>
    </row>
    <row r="2274" spans="1:8">
      <c r="A2274" s="24"/>
      <c r="B2274" s="19"/>
      <c r="C2274" s="25">
        <f>IF(D2274="","",D2274/48)</f>
        <v>0</v>
      </c>
      <c r="D2274" s="26">
        <f>IF(A2274="","",ROUND((A2274-cfgDefasagem/1440)*48,0))</f>
        <v>0</v>
      </c>
      <c r="E2274" s="26">
        <f>IF(D2274="","",INT((D2274-cfgDeslocamento)/4))</f>
        <v>0</v>
      </c>
      <c r="F2274" s="26">
        <f>IF(D2274="","",MOD(D2274-cfgDeslocamento,4)+1)</f>
        <v>0</v>
      </c>
      <c r="G2274" s="26">
        <f>IF(A2274="","",IF(AND(ISNUMBER(B2274),B2274&lt;&gt;0),1,0))</f>
        <v>0</v>
      </c>
      <c r="H2274" s="25">
        <f>IF(E2274="","",(E2274*4+3+cfgDeslocamento)/48)</f>
        <v>0</v>
      </c>
    </row>
    <row r="2275" spans="1:8">
      <c r="A2275" s="24"/>
      <c r="B2275" s="19"/>
      <c r="C2275" s="25">
        <f>IF(D2275="","",D2275/48)</f>
        <v>0</v>
      </c>
      <c r="D2275" s="26">
        <f>IF(A2275="","",ROUND((A2275-cfgDefasagem/1440)*48,0))</f>
        <v>0</v>
      </c>
      <c r="E2275" s="26">
        <f>IF(D2275="","",INT((D2275-cfgDeslocamento)/4))</f>
        <v>0</v>
      </c>
      <c r="F2275" s="26">
        <f>IF(D2275="","",MOD(D2275-cfgDeslocamento,4)+1)</f>
        <v>0</v>
      </c>
      <c r="G2275" s="26">
        <f>IF(A2275="","",IF(AND(ISNUMBER(B2275),B2275&lt;&gt;0),1,0))</f>
        <v>0</v>
      </c>
      <c r="H2275" s="25">
        <f>IF(E2275="","",(E2275*4+3+cfgDeslocamento)/48)</f>
        <v>0</v>
      </c>
    </row>
    <row r="2276" spans="1:8">
      <c r="A2276" s="24"/>
      <c r="B2276" s="19"/>
      <c r="C2276" s="25">
        <f>IF(D2276="","",D2276/48)</f>
        <v>0</v>
      </c>
      <c r="D2276" s="26">
        <f>IF(A2276="","",ROUND((A2276-cfgDefasagem/1440)*48,0))</f>
        <v>0</v>
      </c>
      <c r="E2276" s="26">
        <f>IF(D2276="","",INT((D2276-cfgDeslocamento)/4))</f>
        <v>0</v>
      </c>
      <c r="F2276" s="26">
        <f>IF(D2276="","",MOD(D2276-cfgDeslocamento,4)+1)</f>
        <v>0</v>
      </c>
      <c r="G2276" s="26">
        <f>IF(A2276="","",IF(AND(ISNUMBER(B2276),B2276&lt;&gt;0),1,0))</f>
        <v>0</v>
      </c>
      <c r="H2276" s="25">
        <f>IF(E2276="","",(E2276*4+3+cfgDeslocamento)/48)</f>
        <v>0</v>
      </c>
    </row>
    <row r="2277" spans="1:8">
      <c r="A2277" s="24"/>
      <c r="B2277" s="19"/>
      <c r="C2277" s="25">
        <f>IF(D2277="","",D2277/48)</f>
        <v>0</v>
      </c>
      <c r="D2277" s="26">
        <f>IF(A2277="","",ROUND((A2277-cfgDefasagem/1440)*48,0))</f>
        <v>0</v>
      </c>
      <c r="E2277" s="26">
        <f>IF(D2277="","",INT((D2277-cfgDeslocamento)/4))</f>
        <v>0</v>
      </c>
      <c r="F2277" s="26">
        <f>IF(D2277="","",MOD(D2277-cfgDeslocamento,4)+1)</f>
        <v>0</v>
      </c>
      <c r="G2277" s="26">
        <f>IF(A2277="","",IF(AND(ISNUMBER(B2277),B2277&lt;&gt;0),1,0))</f>
        <v>0</v>
      </c>
      <c r="H2277" s="25">
        <f>IF(E2277="","",(E2277*4+3+cfgDeslocamento)/48)</f>
        <v>0</v>
      </c>
    </row>
    <row r="2278" spans="1:8">
      <c r="A2278" s="24"/>
      <c r="B2278" s="19"/>
      <c r="C2278" s="25">
        <f>IF(D2278="","",D2278/48)</f>
        <v>0</v>
      </c>
      <c r="D2278" s="26">
        <f>IF(A2278="","",ROUND((A2278-cfgDefasagem/1440)*48,0))</f>
        <v>0</v>
      </c>
      <c r="E2278" s="26">
        <f>IF(D2278="","",INT((D2278-cfgDeslocamento)/4))</f>
        <v>0</v>
      </c>
      <c r="F2278" s="26">
        <f>IF(D2278="","",MOD(D2278-cfgDeslocamento,4)+1)</f>
        <v>0</v>
      </c>
      <c r="G2278" s="26">
        <f>IF(A2278="","",IF(AND(ISNUMBER(B2278),B2278&lt;&gt;0),1,0))</f>
        <v>0</v>
      </c>
      <c r="H2278" s="25">
        <f>IF(E2278="","",(E2278*4+3+cfgDeslocamento)/48)</f>
        <v>0</v>
      </c>
    </row>
    <row r="2279" spans="1:8">
      <c r="A2279" s="24"/>
      <c r="B2279" s="19"/>
      <c r="C2279" s="25">
        <f>IF(D2279="","",D2279/48)</f>
        <v>0</v>
      </c>
      <c r="D2279" s="26">
        <f>IF(A2279="","",ROUND((A2279-cfgDefasagem/1440)*48,0))</f>
        <v>0</v>
      </c>
      <c r="E2279" s="26">
        <f>IF(D2279="","",INT((D2279-cfgDeslocamento)/4))</f>
        <v>0</v>
      </c>
      <c r="F2279" s="26">
        <f>IF(D2279="","",MOD(D2279-cfgDeslocamento,4)+1)</f>
        <v>0</v>
      </c>
      <c r="G2279" s="26">
        <f>IF(A2279="","",IF(AND(ISNUMBER(B2279),B2279&lt;&gt;0),1,0))</f>
        <v>0</v>
      </c>
      <c r="H2279" s="25">
        <f>IF(E2279="","",(E2279*4+3+cfgDeslocamento)/48)</f>
        <v>0</v>
      </c>
    </row>
    <row r="2280" spans="1:8">
      <c r="A2280" s="24"/>
      <c r="B2280" s="19"/>
      <c r="C2280" s="25">
        <f>IF(D2280="","",D2280/48)</f>
        <v>0</v>
      </c>
      <c r="D2280" s="26">
        <f>IF(A2280="","",ROUND((A2280-cfgDefasagem/1440)*48,0))</f>
        <v>0</v>
      </c>
      <c r="E2280" s="26">
        <f>IF(D2280="","",INT((D2280-cfgDeslocamento)/4))</f>
        <v>0</v>
      </c>
      <c r="F2280" s="26">
        <f>IF(D2280="","",MOD(D2280-cfgDeslocamento,4)+1)</f>
        <v>0</v>
      </c>
      <c r="G2280" s="26">
        <f>IF(A2280="","",IF(AND(ISNUMBER(B2280),B2280&lt;&gt;0),1,0))</f>
        <v>0</v>
      </c>
      <c r="H2280" s="25">
        <f>IF(E2280="","",(E2280*4+3+cfgDeslocamento)/48)</f>
        <v>0</v>
      </c>
    </row>
    <row r="2281" spans="1:8">
      <c r="A2281" s="24"/>
      <c r="B2281" s="19"/>
      <c r="C2281" s="25">
        <f>IF(D2281="","",D2281/48)</f>
        <v>0</v>
      </c>
      <c r="D2281" s="26">
        <f>IF(A2281="","",ROUND((A2281-cfgDefasagem/1440)*48,0))</f>
        <v>0</v>
      </c>
      <c r="E2281" s="26">
        <f>IF(D2281="","",INT((D2281-cfgDeslocamento)/4))</f>
        <v>0</v>
      </c>
      <c r="F2281" s="26">
        <f>IF(D2281="","",MOD(D2281-cfgDeslocamento,4)+1)</f>
        <v>0</v>
      </c>
      <c r="G2281" s="26">
        <f>IF(A2281="","",IF(AND(ISNUMBER(B2281),B2281&lt;&gt;0),1,0))</f>
        <v>0</v>
      </c>
      <c r="H2281" s="25">
        <f>IF(E2281="","",(E2281*4+3+cfgDeslocamento)/48)</f>
        <v>0</v>
      </c>
    </row>
    <row r="2282" spans="1:8">
      <c r="A2282" s="24"/>
      <c r="B2282" s="19"/>
      <c r="C2282" s="25">
        <f>IF(D2282="","",D2282/48)</f>
        <v>0</v>
      </c>
      <c r="D2282" s="26">
        <f>IF(A2282="","",ROUND((A2282-cfgDefasagem/1440)*48,0))</f>
        <v>0</v>
      </c>
      <c r="E2282" s="26">
        <f>IF(D2282="","",INT((D2282-cfgDeslocamento)/4))</f>
        <v>0</v>
      </c>
      <c r="F2282" s="26">
        <f>IF(D2282="","",MOD(D2282-cfgDeslocamento,4)+1)</f>
        <v>0</v>
      </c>
      <c r="G2282" s="26">
        <f>IF(A2282="","",IF(AND(ISNUMBER(B2282),B2282&lt;&gt;0),1,0))</f>
        <v>0</v>
      </c>
      <c r="H2282" s="25">
        <f>IF(E2282="","",(E2282*4+3+cfgDeslocamento)/48)</f>
        <v>0</v>
      </c>
    </row>
    <row r="2283" spans="1:8">
      <c r="A2283" s="24"/>
      <c r="B2283" s="19"/>
      <c r="C2283" s="25">
        <f>IF(D2283="","",D2283/48)</f>
        <v>0</v>
      </c>
      <c r="D2283" s="26">
        <f>IF(A2283="","",ROUND((A2283-cfgDefasagem/1440)*48,0))</f>
        <v>0</v>
      </c>
      <c r="E2283" s="26">
        <f>IF(D2283="","",INT((D2283-cfgDeslocamento)/4))</f>
        <v>0</v>
      </c>
      <c r="F2283" s="26">
        <f>IF(D2283="","",MOD(D2283-cfgDeslocamento,4)+1)</f>
        <v>0</v>
      </c>
      <c r="G2283" s="26">
        <f>IF(A2283="","",IF(AND(ISNUMBER(B2283),B2283&lt;&gt;0),1,0))</f>
        <v>0</v>
      </c>
      <c r="H2283" s="25">
        <f>IF(E2283="","",(E2283*4+3+cfgDeslocamento)/48)</f>
        <v>0</v>
      </c>
    </row>
    <row r="2284" spans="1:8">
      <c r="A2284" s="24"/>
      <c r="B2284" s="19"/>
      <c r="C2284" s="25">
        <f>IF(D2284="","",D2284/48)</f>
        <v>0</v>
      </c>
      <c r="D2284" s="26">
        <f>IF(A2284="","",ROUND((A2284-cfgDefasagem/1440)*48,0))</f>
        <v>0</v>
      </c>
      <c r="E2284" s="26">
        <f>IF(D2284="","",INT((D2284-cfgDeslocamento)/4))</f>
        <v>0</v>
      </c>
      <c r="F2284" s="26">
        <f>IF(D2284="","",MOD(D2284-cfgDeslocamento,4)+1)</f>
        <v>0</v>
      </c>
      <c r="G2284" s="26">
        <f>IF(A2284="","",IF(AND(ISNUMBER(B2284),B2284&lt;&gt;0),1,0))</f>
        <v>0</v>
      </c>
      <c r="H2284" s="25">
        <f>IF(E2284="","",(E2284*4+3+cfgDeslocamento)/48)</f>
        <v>0</v>
      </c>
    </row>
    <row r="2285" spans="1:8">
      <c r="A2285" s="24"/>
      <c r="B2285" s="19"/>
      <c r="C2285" s="25">
        <f>IF(D2285="","",D2285/48)</f>
        <v>0</v>
      </c>
      <c r="D2285" s="26">
        <f>IF(A2285="","",ROUND((A2285-cfgDefasagem/1440)*48,0))</f>
        <v>0</v>
      </c>
      <c r="E2285" s="26">
        <f>IF(D2285="","",INT((D2285-cfgDeslocamento)/4))</f>
        <v>0</v>
      </c>
      <c r="F2285" s="26">
        <f>IF(D2285="","",MOD(D2285-cfgDeslocamento,4)+1)</f>
        <v>0</v>
      </c>
      <c r="G2285" s="26">
        <f>IF(A2285="","",IF(AND(ISNUMBER(B2285),B2285&lt;&gt;0),1,0))</f>
        <v>0</v>
      </c>
      <c r="H2285" s="25">
        <f>IF(E2285="","",(E2285*4+3+cfgDeslocamento)/48)</f>
        <v>0</v>
      </c>
    </row>
    <row r="2286" spans="1:8">
      <c r="A2286" s="24"/>
      <c r="B2286" s="19"/>
      <c r="C2286" s="25">
        <f>IF(D2286="","",D2286/48)</f>
        <v>0</v>
      </c>
      <c r="D2286" s="26">
        <f>IF(A2286="","",ROUND((A2286-cfgDefasagem/1440)*48,0))</f>
        <v>0</v>
      </c>
      <c r="E2286" s="26">
        <f>IF(D2286="","",INT((D2286-cfgDeslocamento)/4))</f>
        <v>0</v>
      </c>
      <c r="F2286" s="26">
        <f>IF(D2286="","",MOD(D2286-cfgDeslocamento,4)+1)</f>
        <v>0</v>
      </c>
      <c r="G2286" s="26">
        <f>IF(A2286="","",IF(AND(ISNUMBER(B2286),B2286&lt;&gt;0),1,0))</f>
        <v>0</v>
      </c>
      <c r="H2286" s="25">
        <f>IF(E2286="","",(E2286*4+3+cfgDeslocamento)/48)</f>
        <v>0</v>
      </c>
    </row>
    <row r="2287" spans="1:8">
      <c r="A2287" s="24"/>
      <c r="B2287" s="19"/>
      <c r="C2287" s="25">
        <f>IF(D2287="","",D2287/48)</f>
        <v>0</v>
      </c>
      <c r="D2287" s="26">
        <f>IF(A2287="","",ROUND((A2287-cfgDefasagem/1440)*48,0))</f>
        <v>0</v>
      </c>
      <c r="E2287" s="26">
        <f>IF(D2287="","",INT((D2287-cfgDeslocamento)/4))</f>
        <v>0</v>
      </c>
      <c r="F2287" s="26">
        <f>IF(D2287="","",MOD(D2287-cfgDeslocamento,4)+1)</f>
        <v>0</v>
      </c>
      <c r="G2287" s="26">
        <f>IF(A2287="","",IF(AND(ISNUMBER(B2287),B2287&lt;&gt;0),1,0))</f>
        <v>0</v>
      </c>
      <c r="H2287" s="25">
        <f>IF(E2287="","",(E2287*4+3+cfgDeslocamento)/48)</f>
        <v>0</v>
      </c>
    </row>
    <row r="2288" spans="1:8">
      <c r="A2288" s="24"/>
      <c r="B2288" s="19"/>
      <c r="C2288" s="25">
        <f>IF(D2288="","",D2288/48)</f>
        <v>0</v>
      </c>
      <c r="D2288" s="26">
        <f>IF(A2288="","",ROUND((A2288-cfgDefasagem/1440)*48,0))</f>
        <v>0</v>
      </c>
      <c r="E2288" s="26">
        <f>IF(D2288="","",INT((D2288-cfgDeslocamento)/4))</f>
        <v>0</v>
      </c>
      <c r="F2288" s="26">
        <f>IF(D2288="","",MOD(D2288-cfgDeslocamento,4)+1)</f>
        <v>0</v>
      </c>
      <c r="G2288" s="26">
        <f>IF(A2288="","",IF(AND(ISNUMBER(B2288),B2288&lt;&gt;0),1,0))</f>
        <v>0</v>
      </c>
      <c r="H2288" s="25">
        <f>IF(E2288="","",(E2288*4+3+cfgDeslocamento)/48)</f>
        <v>0</v>
      </c>
    </row>
    <row r="2289" spans="1:8">
      <c r="A2289" s="24"/>
      <c r="B2289" s="19"/>
      <c r="C2289" s="25">
        <f>IF(D2289="","",D2289/48)</f>
        <v>0</v>
      </c>
      <c r="D2289" s="26">
        <f>IF(A2289="","",ROUND((A2289-cfgDefasagem/1440)*48,0))</f>
        <v>0</v>
      </c>
      <c r="E2289" s="26">
        <f>IF(D2289="","",INT((D2289-cfgDeslocamento)/4))</f>
        <v>0</v>
      </c>
      <c r="F2289" s="26">
        <f>IF(D2289="","",MOD(D2289-cfgDeslocamento,4)+1)</f>
        <v>0</v>
      </c>
      <c r="G2289" s="26">
        <f>IF(A2289="","",IF(AND(ISNUMBER(B2289),B2289&lt;&gt;0),1,0))</f>
        <v>0</v>
      </c>
      <c r="H2289" s="25">
        <f>IF(E2289="","",(E2289*4+3+cfgDeslocamento)/48)</f>
        <v>0</v>
      </c>
    </row>
    <row r="2290" spans="1:8">
      <c r="A2290" s="24"/>
      <c r="B2290" s="19"/>
      <c r="C2290" s="25">
        <f>IF(D2290="","",D2290/48)</f>
        <v>0</v>
      </c>
      <c r="D2290" s="26">
        <f>IF(A2290="","",ROUND((A2290-cfgDefasagem/1440)*48,0))</f>
        <v>0</v>
      </c>
      <c r="E2290" s="26">
        <f>IF(D2290="","",INT((D2290-cfgDeslocamento)/4))</f>
        <v>0</v>
      </c>
      <c r="F2290" s="26">
        <f>IF(D2290="","",MOD(D2290-cfgDeslocamento,4)+1)</f>
        <v>0</v>
      </c>
      <c r="G2290" s="26">
        <f>IF(A2290="","",IF(AND(ISNUMBER(B2290),B2290&lt;&gt;0),1,0))</f>
        <v>0</v>
      </c>
      <c r="H2290" s="25">
        <f>IF(E2290="","",(E2290*4+3+cfgDeslocamento)/48)</f>
        <v>0</v>
      </c>
    </row>
    <row r="2291" spans="1:8">
      <c r="A2291" s="24"/>
      <c r="B2291" s="19"/>
      <c r="C2291" s="25">
        <f>IF(D2291="","",D2291/48)</f>
        <v>0</v>
      </c>
      <c r="D2291" s="26">
        <f>IF(A2291="","",ROUND((A2291-cfgDefasagem/1440)*48,0))</f>
        <v>0</v>
      </c>
      <c r="E2291" s="26">
        <f>IF(D2291="","",INT((D2291-cfgDeslocamento)/4))</f>
        <v>0</v>
      </c>
      <c r="F2291" s="26">
        <f>IF(D2291="","",MOD(D2291-cfgDeslocamento,4)+1)</f>
        <v>0</v>
      </c>
      <c r="G2291" s="26">
        <f>IF(A2291="","",IF(AND(ISNUMBER(B2291),B2291&lt;&gt;0),1,0))</f>
        <v>0</v>
      </c>
      <c r="H2291" s="25">
        <f>IF(E2291="","",(E2291*4+3+cfgDeslocamento)/48)</f>
        <v>0</v>
      </c>
    </row>
    <row r="2292" spans="1:8">
      <c r="A2292" s="24"/>
      <c r="B2292" s="19"/>
      <c r="C2292" s="25">
        <f>IF(D2292="","",D2292/48)</f>
        <v>0</v>
      </c>
      <c r="D2292" s="26">
        <f>IF(A2292="","",ROUND((A2292-cfgDefasagem/1440)*48,0))</f>
        <v>0</v>
      </c>
      <c r="E2292" s="26">
        <f>IF(D2292="","",INT((D2292-cfgDeslocamento)/4))</f>
        <v>0</v>
      </c>
      <c r="F2292" s="26">
        <f>IF(D2292="","",MOD(D2292-cfgDeslocamento,4)+1)</f>
        <v>0</v>
      </c>
      <c r="G2292" s="26">
        <f>IF(A2292="","",IF(AND(ISNUMBER(B2292),B2292&lt;&gt;0),1,0))</f>
        <v>0</v>
      </c>
      <c r="H2292" s="25">
        <f>IF(E2292="","",(E2292*4+3+cfgDeslocamento)/48)</f>
        <v>0</v>
      </c>
    </row>
    <row r="2293" spans="1:8">
      <c r="A2293" s="24"/>
      <c r="B2293" s="19"/>
      <c r="C2293" s="25">
        <f>IF(D2293="","",D2293/48)</f>
        <v>0</v>
      </c>
      <c r="D2293" s="26">
        <f>IF(A2293="","",ROUND((A2293-cfgDefasagem/1440)*48,0))</f>
        <v>0</v>
      </c>
      <c r="E2293" s="26">
        <f>IF(D2293="","",INT((D2293-cfgDeslocamento)/4))</f>
        <v>0</v>
      </c>
      <c r="F2293" s="26">
        <f>IF(D2293="","",MOD(D2293-cfgDeslocamento,4)+1)</f>
        <v>0</v>
      </c>
      <c r="G2293" s="26">
        <f>IF(A2293="","",IF(AND(ISNUMBER(B2293),B2293&lt;&gt;0),1,0))</f>
        <v>0</v>
      </c>
      <c r="H2293" s="25">
        <f>IF(E2293="","",(E2293*4+3+cfgDeslocamento)/48)</f>
        <v>0</v>
      </c>
    </row>
    <row r="2294" spans="1:8">
      <c r="A2294" s="24"/>
      <c r="B2294" s="19"/>
      <c r="C2294" s="25">
        <f>IF(D2294="","",D2294/48)</f>
        <v>0</v>
      </c>
      <c r="D2294" s="26">
        <f>IF(A2294="","",ROUND((A2294-cfgDefasagem/1440)*48,0))</f>
        <v>0</v>
      </c>
      <c r="E2294" s="26">
        <f>IF(D2294="","",INT((D2294-cfgDeslocamento)/4))</f>
        <v>0</v>
      </c>
      <c r="F2294" s="26">
        <f>IF(D2294="","",MOD(D2294-cfgDeslocamento,4)+1)</f>
        <v>0</v>
      </c>
      <c r="G2294" s="26">
        <f>IF(A2294="","",IF(AND(ISNUMBER(B2294),B2294&lt;&gt;0),1,0))</f>
        <v>0</v>
      </c>
      <c r="H2294" s="25">
        <f>IF(E2294="","",(E2294*4+3+cfgDeslocamento)/48)</f>
        <v>0</v>
      </c>
    </row>
    <row r="2295" spans="1:8">
      <c r="A2295" s="24"/>
      <c r="B2295" s="19"/>
      <c r="C2295" s="25">
        <f>IF(D2295="","",D2295/48)</f>
        <v>0</v>
      </c>
      <c r="D2295" s="26">
        <f>IF(A2295="","",ROUND((A2295-cfgDefasagem/1440)*48,0))</f>
        <v>0</v>
      </c>
      <c r="E2295" s="26">
        <f>IF(D2295="","",INT((D2295-cfgDeslocamento)/4))</f>
        <v>0</v>
      </c>
      <c r="F2295" s="26">
        <f>IF(D2295="","",MOD(D2295-cfgDeslocamento,4)+1)</f>
        <v>0</v>
      </c>
      <c r="G2295" s="26">
        <f>IF(A2295="","",IF(AND(ISNUMBER(B2295),B2295&lt;&gt;0),1,0))</f>
        <v>0</v>
      </c>
      <c r="H2295" s="25">
        <f>IF(E2295="","",(E2295*4+3+cfgDeslocamento)/48)</f>
        <v>0</v>
      </c>
    </row>
    <row r="2296" spans="1:8">
      <c r="A2296" s="24"/>
      <c r="B2296" s="19"/>
      <c r="C2296" s="25">
        <f>IF(D2296="","",D2296/48)</f>
        <v>0</v>
      </c>
      <c r="D2296" s="26">
        <f>IF(A2296="","",ROUND((A2296-cfgDefasagem/1440)*48,0))</f>
        <v>0</v>
      </c>
      <c r="E2296" s="26">
        <f>IF(D2296="","",INT((D2296-cfgDeslocamento)/4))</f>
        <v>0</v>
      </c>
      <c r="F2296" s="26">
        <f>IF(D2296="","",MOD(D2296-cfgDeslocamento,4)+1)</f>
        <v>0</v>
      </c>
      <c r="G2296" s="26">
        <f>IF(A2296="","",IF(AND(ISNUMBER(B2296),B2296&lt;&gt;0),1,0))</f>
        <v>0</v>
      </c>
      <c r="H2296" s="25">
        <f>IF(E2296="","",(E2296*4+3+cfgDeslocamento)/48)</f>
        <v>0</v>
      </c>
    </row>
    <row r="2297" spans="1:8">
      <c r="A2297" s="24"/>
      <c r="B2297" s="19"/>
      <c r="C2297" s="25">
        <f>IF(D2297="","",D2297/48)</f>
        <v>0</v>
      </c>
      <c r="D2297" s="26">
        <f>IF(A2297="","",ROUND((A2297-cfgDefasagem/1440)*48,0))</f>
        <v>0</v>
      </c>
      <c r="E2297" s="26">
        <f>IF(D2297="","",INT((D2297-cfgDeslocamento)/4))</f>
        <v>0</v>
      </c>
      <c r="F2297" s="26">
        <f>IF(D2297="","",MOD(D2297-cfgDeslocamento,4)+1)</f>
        <v>0</v>
      </c>
      <c r="G2297" s="26">
        <f>IF(A2297="","",IF(AND(ISNUMBER(B2297),B2297&lt;&gt;0),1,0))</f>
        <v>0</v>
      </c>
      <c r="H2297" s="25">
        <f>IF(E2297="","",(E2297*4+3+cfgDeslocamento)/48)</f>
        <v>0</v>
      </c>
    </row>
    <row r="2298" spans="1:8">
      <c r="A2298" s="24"/>
      <c r="B2298" s="19"/>
      <c r="C2298" s="25">
        <f>IF(D2298="","",D2298/48)</f>
        <v>0</v>
      </c>
      <c r="D2298" s="26">
        <f>IF(A2298="","",ROUND((A2298-cfgDefasagem/1440)*48,0))</f>
        <v>0</v>
      </c>
      <c r="E2298" s="26">
        <f>IF(D2298="","",INT((D2298-cfgDeslocamento)/4))</f>
        <v>0</v>
      </c>
      <c r="F2298" s="26">
        <f>IF(D2298="","",MOD(D2298-cfgDeslocamento,4)+1)</f>
        <v>0</v>
      </c>
      <c r="G2298" s="26">
        <f>IF(A2298="","",IF(AND(ISNUMBER(B2298),B2298&lt;&gt;0),1,0))</f>
        <v>0</v>
      </c>
      <c r="H2298" s="25">
        <f>IF(E2298="","",(E2298*4+3+cfgDeslocamento)/48)</f>
        <v>0</v>
      </c>
    </row>
    <row r="2299" spans="1:8">
      <c r="A2299" s="24"/>
      <c r="B2299" s="19"/>
      <c r="C2299" s="25">
        <f>IF(D2299="","",D2299/48)</f>
        <v>0</v>
      </c>
      <c r="D2299" s="26">
        <f>IF(A2299="","",ROUND((A2299-cfgDefasagem/1440)*48,0))</f>
        <v>0</v>
      </c>
      <c r="E2299" s="26">
        <f>IF(D2299="","",INT((D2299-cfgDeslocamento)/4))</f>
        <v>0</v>
      </c>
      <c r="F2299" s="26">
        <f>IF(D2299="","",MOD(D2299-cfgDeslocamento,4)+1)</f>
        <v>0</v>
      </c>
      <c r="G2299" s="26">
        <f>IF(A2299="","",IF(AND(ISNUMBER(B2299),B2299&lt;&gt;0),1,0))</f>
        <v>0</v>
      </c>
      <c r="H2299" s="25">
        <f>IF(E2299="","",(E2299*4+3+cfgDeslocamento)/48)</f>
        <v>0</v>
      </c>
    </row>
    <row r="2300" spans="1:8">
      <c r="A2300" s="24"/>
      <c r="B2300" s="19"/>
      <c r="C2300" s="25">
        <f>IF(D2300="","",D2300/48)</f>
        <v>0</v>
      </c>
      <c r="D2300" s="26">
        <f>IF(A2300="","",ROUND((A2300-cfgDefasagem/1440)*48,0))</f>
        <v>0</v>
      </c>
      <c r="E2300" s="26">
        <f>IF(D2300="","",INT((D2300-cfgDeslocamento)/4))</f>
        <v>0</v>
      </c>
      <c r="F2300" s="26">
        <f>IF(D2300="","",MOD(D2300-cfgDeslocamento,4)+1)</f>
        <v>0</v>
      </c>
      <c r="G2300" s="26">
        <f>IF(A2300="","",IF(AND(ISNUMBER(B2300),B2300&lt;&gt;0),1,0))</f>
        <v>0</v>
      </c>
      <c r="H2300" s="25">
        <f>IF(E2300="","",(E2300*4+3+cfgDeslocamento)/48)</f>
        <v>0</v>
      </c>
    </row>
    <row r="2301" spans="1:8">
      <c r="A2301" s="24"/>
      <c r="B2301" s="19"/>
      <c r="C2301" s="25">
        <f>IF(D2301="","",D2301/48)</f>
        <v>0</v>
      </c>
      <c r="D2301" s="26">
        <f>IF(A2301="","",ROUND((A2301-cfgDefasagem/1440)*48,0))</f>
        <v>0</v>
      </c>
      <c r="E2301" s="26">
        <f>IF(D2301="","",INT((D2301-cfgDeslocamento)/4))</f>
        <v>0</v>
      </c>
      <c r="F2301" s="26">
        <f>IF(D2301="","",MOD(D2301-cfgDeslocamento,4)+1)</f>
        <v>0</v>
      </c>
      <c r="G2301" s="26">
        <f>IF(A2301="","",IF(AND(ISNUMBER(B2301),B2301&lt;&gt;0),1,0))</f>
        <v>0</v>
      </c>
      <c r="H2301" s="25">
        <f>IF(E2301="","",(E2301*4+3+cfgDeslocamento)/48)</f>
        <v>0</v>
      </c>
    </row>
    <row r="2302" spans="1:8">
      <c r="A2302" s="24"/>
      <c r="B2302" s="19"/>
      <c r="C2302" s="25">
        <f>IF(D2302="","",D2302/48)</f>
        <v>0</v>
      </c>
      <c r="D2302" s="26">
        <f>IF(A2302="","",ROUND((A2302-cfgDefasagem/1440)*48,0))</f>
        <v>0</v>
      </c>
      <c r="E2302" s="26">
        <f>IF(D2302="","",INT((D2302-cfgDeslocamento)/4))</f>
        <v>0</v>
      </c>
      <c r="F2302" s="26">
        <f>IF(D2302="","",MOD(D2302-cfgDeslocamento,4)+1)</f>
        <v>0</v>
      </c>
      <c r="G2302" s="26">
        <f>IF(A2302="","",IF(AND(ISNUMBER(B2302),B2302&lt;&gt;0),1,0))</f>
        <v>0</v>
      </c>
      <c r="H2302" s="25">
        <f>IF(E2302="","",(E2302*4+3+cfgDeslocamento)/48)</f>
        <v>0</v>
      </c>
    </row>
    <row r="2303" spans="1:8">
      <c r="A2303" s="24"/>
      <c r="B2303" s="19"/>
      <c r="C2303" s="25">
        <f>IF(D2303="","",D2303/48)</f>
        <v>0</v>
      </c>
      <c r="D2303" s="26">
        <f>IF(A2303="","",ROUND((A2303-cfgDefasagem/1440)*48,0))</f>
        <v>0</v>
      </c>
      <c r="E2303" s="26">
        <f>IF(D2303="","",INT((D2303-cfgDeslocamento)/4))</f>
        <v>0</v>
      </c>
      <c r="F2303" s="26">
        <f>IF(D2303="","",MOD(D2303-cfgDeslocamento,4)+1)</f>
        <v>0</v>
      </c>
      <c r="G2303" s="26">
        <f>IF(A2303="","",IF(AND(ISNUMBER(B2303),B2303&lt;&gt;0),1,0))</f>
        <v>0</v>
      </c>
      <c r="H2303" s="25">
        <f>IF(E2303="","",(E2303*4+3+cfgDeslocamento)/48)</f>
        <v>0</v>
      </c>
    </row>
    <row r="2304" spans="1:8">
      <c r="A2304" s="24"/>
      <c r="B2304" s="19"/>
      <c r="C2304" s="25">
        <f>IF(D2304="","",D2304/48)</f>
        <v>0</v>
      </c>
      <c r="D2304" s="26">
        <f>IF(A2304="","",ROUND((A2304-cfgDefasagem/1440)*48,0))</f>
        <v>0</v>
      </c>
      <c r="E2304" s="26">
        <f>IF(D2304="","",INT((D2304-cfgDeslocamento)/4))</f>
        <v>0</v>
      </c>
      <c r="F2304" s="26">
        <f>IF(D2304="","",MOD(D2304-cfgDeslocamento,4)+1)</f>
        <v>0</v>
      </c>
      <c r="G2304" s="26">
        <f>IF(A2304="","",IF(AND(ISNUMBER(B2304),B2304&lt;&gt;0),1,0))</f>
        <v>0</v>
      </c>
      <c r="H2304" s="25">
        <f>IF(E2304="","",(E2304*4+3+cfgDeslocamento)/48)</f>
        <v>0</v>
      </c>
    </row>
    <row r="2305" spans="1:8">
      <c r="A2305" s="24"/>
      <c r="B2305" s="19"/>
      <c r="C2305" s="25">
        <f>IF(D2305="","",D2305/48)</f>
        <v>0</v>
      </c>
      <c r="D2305" s="26">
        <f>IF(A2305="","",ROUND((A2305-cfgDefasagem/1440)*48,0))</f>
        <v>0</v>
      </c>
      <c r="E2305" s="26">
        <f>IF(D2305="","",INT((D2305-cfgDeslocamento)/4))</f>
        <v>0</v>
      </c>
      <c r="F2305" s="26">
        <f>IF(D2305="","",MOD(D2305-cfgDeslocamento,4)+1)</f>
        <v>0</v>
      </c>
      <c r="G2305" s="26">
        <f>IF(A2305="","",IF(AND(ISNUMBER(B2305),B2305&lt;&gt;0),1,0))</f>
        <v>0</v>
      </c>
      <c r="H2305" s="25">
        <f>IF(E2305="","",(E2305*4+3+cfgDeslocamento)/48)</f>
        <v>0</v>
      </c>
    </row>
    <row r="2306" spans="1:8">
      <c r="A2306" s="24"/>
      <c r="B2306" s="19"/>
      <c r="C2306" s="25">
        <f>IF(D2306="","",D2306/48)</f>
        <v>0</v>
      </c>
      <c r="D2306" s="26">
        <f>IF(A2306="","",ROUND((A2306-cfgDefasagem/1440)*48,0))</f>
        <v>0</v>
      </c>
      <c r="E2306" s="26">
        <f>IF(D2306="","",INT((D2306-cfgDeslocamento)/4))</f>
        <v>0</v>
      </c>
      <c r="F2306" s="26">
        <f>IF(D2306="","",MOD(D2306-cfgDeslocamento,4)+1)</f>
        <v>0</v>
      </c>
      <c r="G2306" s="26">
        <f>IF(A2306="","",IF(AND(ISNUMBER(B2306),B2306&lt;&gt;0),1,0))</f>
        <v>0</v>
      </c>
      <c r="H2306" s="25">
        <f>IF(E2306="","",(E2306*4+3+cfgDeslocamento)/48)</f>
        <v>0</v>
      </c>
    </row>
    <row r="2307" spans="1:8">
      <c r="A2307" s="24"/>
      <c r="B2307" s="19"/>
      <c r="C2307" s="25">
        <f>IF(D2307="","",D2307/48)</f>
        <v>0</v>
      </c>
      <c r="D2307" s="26">
        <f>IF(A2307="","",ROUND((A2307-cfgDefasagem/1440)*48,0))</f>
        <v>0</v>
      </c>
      <c r="E2307" s="26">
        <f>IF(D2307="","",INT((D2307-cfgDeslocamento)/4))</f>
        <v>0</v>
      </c>
      <c r="F2307" s="26">
        <f>IF(D2307="","",MOD(D2307-cfgDeslocamento,4)+1)</f>
        <v>0</v>
      </c>
      <c r="G2307" s="26">
        <f>IF(A2307="","",IF(AND(ISNUMBER(B2307),B2307&lt;&gt;0),1,0))</f>
        <v>0</v>
      </c>
      <c r="H2307" s="25">
        <f>IF(E2307="","",(E2307*4+3+cfgDeslocamento)/48)</f>
        <v>0</v>
      </c>
    </row>
    <row r="2308" spans="1:8">
      <c r="A2308" s="24"/>
      <c r="B2308" s="19"/>
      <c r="C2308" s="25">
        <f>IF(D2308="","",D2308/48)</f>
        <v>0</v>
      </c>
      <c r="D2308" s="26">
        <f>IF(A2308="","",ROUND((A2308-cfgDefasagem/1440)*48,0))</f>
        <v>0</v>
      </c>
      <c r="E2308" s="26">
        <f>IF(D2308="","",INT((D2308-cfgDeslocamento)/4))</f>
        <v>0</v>
      </c>
      <c r="F2308" s="26">
        <f>IF(D2308="","",MOD(D2308-cfgDeslocamento,4)+1)</f>
        <v>0</v>
      </c>
      <c r="G2308" s="26">
        <f>IF(A2308="","",IF(AND(ISNUMBER(B2308),B2308&lt;&gt;0),1,0))</f>
        <v>0</v>
      </c>
      <c r="H2308" s="25">
        <f>IF(E2308="","",(E2308*4+3+cfgDeslocamento)/48)</f>
        <v>0</v>
      </c>
    </row>
    <row r="2309" spans="1:8">
      <c r="A2309" s="24"/>
      <c r="B2309" s="19"/>
      <c r="C2309" s="25">
        <f>IF(D2309="","",D2309/48)</f>
        <v>0</v>
      </c>
      <c r="D2309" s="26">
        <f>IF(A2309="","",ROUND((A2309-cfgDefasagem/1440)*48,0))</f>
        <v>0</v>
      </c>
      <c r="E2309" s="26">
        <f>IF(D2309="","",INT((D2309-cfgDeslocamento)/4))</f>
        <v>0</v>
      </c>
      <c r="F2309" s="26">
        <f>IF(D2309="","",MOD(D2309-cfgDeslocamento,4)+1)</f>
        <v>0</v>
      </c>
      <c r="G2309" s="26">
        <f>IF(A2309="","",IF(AND(ISNUMBER(B2309),B2309&lt;&gt;0),1,0))</f>
        <v>0</v>
      </c>
      <c r="H2309" s="25">
        <f>IF(E2309="","",(E2309*4+3+cfgDeslocamento)/48)</f>
        <v>0</v>
      </c>
    </row>
    <row r="2310" spans="1:8">
      <c r="A2310" s="24"/>
      <c r="B2310" s="19"/>
      <c r="C2310" s="25">
        <f>IF(D2310="","",D2310/48)</f>
        <v>0</v>
      </c>
      <c r="D2310" s="26">
        <f>IF(A2310="","",ROUND((A2310-cfgDefasagem/1440)*48,0))</f>
        <v>0</v>
      </c>
      <c r="E2310" s="26">
        <f>IF(D2310="","",INT((D2310-cfgDeslocamento)/4))</f>
        <v>0</v>
      </c>
      <c r="F2310" s="26">
        <f>IF(D2310="","",MOD(D2310-cfgDeslocamento,4)+1)</f>
        <v>0</v>
      </c>
      <c r="G2310" s="26">
        <f>IF(A2310="","",IF(AND(ISNUMBER(B2310),B2310&lt;&gt;0),1,0))</f>
        <v>0</v>
      </c>
      <c r="H2310" s="25">
        <f>IF(E2310="","",(E2310*4+3+cfgDeslocamento)/48)</f>
        <v>0</v>
      </c>
    </row>
    <row r="2311" spans="1:8">
      <c r="A2311" s="24"/>
      <c r="B2311" s="19"/>
      <c r="C2311" s="25">
        <f>IF(D2311="","",D2311/48)</f>
        <v>0</v>
      </c>
      <c r="D2311" s="26">
        <f>IF(A2311="","",ROUND((A2311-cfgDefasagem/1440)*48,0))</f>
        <v>0</v>
      </c>
      <c r="E2311" s="26">
        <f>IF(D2311="","",INT((D2311-cfgDeslocamento)/4))</f>
        <v>0</v>
      </c>
      <c r="F2311" s="26">
        <f>IF(D2311="","",MOD(D2311-cfgDeslocamento,4)+1)</f>
        <v>0</v>
      </c>
      <c r="G2311" s="26">
        <f>IF(A2311="","",IF(AND(ISNUMBER(B2311),B2311&lt;&gt;0),1,0))</f>
        <v>0</v>
      </c>
      <c r="H2311" s="25">
        <f>IF(E2311="","",(E2311*4+3+cfgDeslocamento)/48)</f>
        <v>0</v>
      </c>
    </row>
    <row r="2312" spans="1:8">
      <c r="A2312" s="24"/>
      <c r="B2312" s="19"/>
      <c r="C2312" s="25">
        <f>IF(D2312="","",D2312/48)</f>
        <v>0</v>
      </c>
      <c r="D2312" s="26">
        <f>IF(A2312="","",ROUND((A2312-cfgDefasagem/1440)*48,0))</f>
        <v>0</v>
      </c>
      <c r="E2312" s="26">
        <f>IF(D2312="","",INT((D2312-cfgDeslocamento)/4))</f>
        <v>0</v>
      </c>
      <c r="F2312" s="26">
        <f>IF(D2312="","",MOD(D2312-cfgDeslocamento,4)+1)</f>
        <v>0</v>
      </c>
      <c r="G2312" s="26">
        <f>IF(A2312="","",IF(AND(ISNUMBER(B2312),B2312&lt;&gt;0),1,0))</f>
        <v>0</v>
      </c>
      <c r="H2312" s="25">
        <f>IF(E2312="","",(E2312*4+3+cfgDeslocamento)/48)</f>
        <v>0</v>
      </c>
    </row>
    <row r="2313" spans="1:8">
      <c r="A2313" s="24"/>
      <c r="B2313" s="19"/>
      <c r="C2313" s="25">
        <f>IF(D2313="","",D2313/48)</f>
        <v>0</v>
      </c>
      <c r="D2313" s="26">
        <f>IF(A2313="","",ROUND((A2313-cfgDefasagem/1440)*48,0))</f>
        <v>0</v>
      </c>
      <c r="E2313" s="26">
        <f>IF(D2313="","",INT((D2313-cfgDeslocamento)/4))</f>
        <v>0</v>
      </c>
      <c r="F2313" s="26">
        <f>IF(D2313="","",MOD(D2313-cfgDeslocamento,4)+1)</f>
        <v>0</v>
      </c>
      <c r="G2313" s="26">
        <f>IF(A2313="","",IF(AND(ISNUMBER(B2313),B2313&lt;&gt;0),1,0))</f>
        <v>0</v>
      </c>
      <c r="H2313" s="25">
        <f>IF(E2313="","",(E2313*4+3+cfgDeslocamento)/48)</f>
        <v>0</v>
      </c>
    </row>
    <row r="2314" spans="1:8">
      <c r="A2314" s="24"/>
      <c r="B2314" s="19"/>
      <c r="C2314" s="25">
        <f>IF(D2314="","",D2314/48)</f>
        <v>0</v>
      </c>
      <c r="D2314" s="26">
        <f>IF(A2314="","",ROUND((A2314-cfgDefasagem/1440)*48,0))</f>
        <v>0</v>
      </c>
      <c r="E2314" s="26">
        <f>IF(D2314="","",INT((D2314-cfgDeslocamento)/4))</f>
        <v>0</v>
      </c>
      <c r="F2314" s="26">
        <f>IF(D2314="","",MOD(D2314-cfgDeslocamento,4)+1)</f>
        <v>0</v>
      </c>
      <c r="G2314" s="26">
        <f>IF(A2314="","",IF(AND(ISNUMBER(B2314),B2314&lt;&gt;0),1,0))</f>
        <v>0</v>
      </c>
      <c r="H2314" s="25">
        <f>IF(E2314="","",(E2314*4+3+cfgDeslocamento)/48)</f>
        <v>0</v>
      </c>
    </row>
    <row r="2315" spans="1:8">
      <c r="A2315" s="24"/>
      <c r="B2315" s="19"/>
      <c r="C2315" s="25">
        <f>IF(D2315="","",D2315/48)</f>
        <v>0</v>
      </c>
      <c r="D2315" s="26">
        <f>IF(A2315="","",ROUND((A2315-cfgDefasagem/1440)*48,0))</f>
        <v>0</v>
      </c>
      <c r="E2315" s="26">
        <f>IF(D2315="","",INT((D2315-cfgDeslocamento)/4))</f>
        <v>0</v>
      </c>
      <c r="F2315" s="26">
        <f>IF(D2315="","",MOD(D2315-cfgDeslocamento,4)+1)</f>
        <v>0</v>
      </c>
      <c r="G2315" s="26">
        <f>IF(A2315="","",IF(AND(ISNUMBER(B2315),B2315&lt;&gt;0),1,0))</f>
        <v>0</v>
      </c>
      <c r="H2315" s="25">
        <f>IF(E2315="","",(E2315*4+3+cfgDeslocamento)/48)</f>
        <v>0</v>
      </c>
    </row>
    <row r="2316" spans="1:8">
      <c r="A2316" s="24"/>
      <c r="B2316" s="19"/>
      <c r="C2316" s="25">
        <f>IF(D2316="","",D2316/48)</f>
        <v>0</v>
      </c>
      <c r="D2316" s="26">
        <f>IF(A2316="","",ROUND((A2316-cfgDefasagem/1440)*48,0))</f>
        <v>0</v>
      </c>
      <c r="E2316" s="26">
        <f>IF(D2316="","",INT((D2316-cfgDeslocamento)/4))</f>
        <v>0</v>
      </c>
      <c r="F2316" s="26">
        <f>IF(D2316="","",MOD(D2316-cfgDeslocamento,4)+1)</f>
        <v>0</v>
      </c>
      <c r="G2316" s="26">
        <f>IF(A2316="","",IF(AND(ISNUMBER(B2316),B2316&lt;&gt;0),1,0))</f>
        <v>0</v>
      </c>
      <c r="H2316" s="25">
        <f>IF(E2316="","",(E2316*4+3+cfgDeslocamento)/48)</f>
        <v>0</v>
      </c>
    </row>
    <row r="2317" spans="1:8">
      <c r="A2317" s="24"/>
      <c r="B2317" s="19"/>
      <c r="C2317" s="25">
        <f>IF(D2317="","",D2317/48)</f>
        <v>0</v>
      </c>
      <c r="D2317" s="26">
        <f>IF(A2317="","",ROUND((A2317-cfgDefasagem/1440)*48,0))</f>
        <v>0</v>
      </c>
      <c r="E2317" s="26">
        <f>IF(D2317="","",INT((D2317-cfgDeslocamento)/4))</f>
        <v>0</v>
      </c>
      <c r="F2317" s="26">
        <f>IF(D2317="","",MOD(D2317-cfgDeslocamento,4)+1)</f>
        <v>0</v>
      </c>
      <c r="G2317" s="26">
        <f>IF(A2317="","",IF(AND(ISNUMBER(B2317),B2317&lt;&gt;0),1,0))</f>
        <v>0</v>
      </c>
      <c r="H2317" s="25">
        <f>IF(E2317="","",(E2317*4+3+cfgDeslocamento)/48)</f>
        <v>0</v>
      </c>
    </row>
    <row r="2318" spans="1:8">
      <c r="A2318" s="24"/>
      <c r="B2318" s="19"/>
      <c r="C2318" s="25">
        <f>IF(D2318="","",D2318/48)</f>
        <v>0</v>
      </c>
      <c r="D2318" s="26">
        <f>IF(A2318="","",ROUND((A2318-cfgDefasagem/1440)*48,0))</f>
        <v>0</v>
      </c>
      <c r="E2318" s="26">
        <f>IF(D2318="","",INT((D2318-cfgDeslocamento)/4))</f>
        <v>0</v>
      </c>
      <c r="F2318" s="26">
        <f>IF(D2318="","",MOD(D2318-cfgDeslocamento,4)+1)</f>
        <v>0</v>
      </c>
      <c r="G2318" s="26">
        <f>IF(A2318="","",IF(AND(ISNUMBER(B2318),B2318&lt;&gt;0),1,0))</f>
        <v>0</v>
      </c>
      <c r="H2318" s="25">
        <f>IF(E2318="","",(E2318*4+3+cfgDeslocamento)/48)</f>
        <v>0</v>
      </c>
    </row>
    <row r="2319" spans="1:8">
      <c r="A2319" s="24"/>
      <c r="B2319" s="19"/>
      <c r="C2319" s="25">
        <f>IF(D2319="","",D2319/48)</f>
        <v>0</v>
      </c>
      <c r="D2319" s="26">
        <f>IF(A2319="","",ROUND((A2319-cfgDefasagem/1440)*48,0))</f>
        <v>0</v>
      </c>
      <c r="E2319" s="26">
        <f>IF(D2319="","",INT((D2319-cfgDeslocamento)/4))</f>
        <v>0</v>
      </c>
      <c r="F2319" s="26">
        <f>IF(D2319="","",MOD(D2319-cfgDeslocamento,4)+1)</f>
        <v>0</v>
      </c>
      <c r="G2319" s="26">
        <f>IF(A2319="","",IF(AND(ISNUMBER(B2319),B2319&lt;&gt;0),1,0))</f>
        <v>0</v>
      </c>
      <c r="H2319" s="25">
        <f>IF(E2319="","",(E2319*4+3+cfgDeslocamento)/48)</f>
        <v>0</v>
      </c>
    </row>
    <row r="2320" spans="1:8">
      <c r="A2320" s="24"/>
      <c r="B2320" s="19"/>
      <c r="C2320" s="25">
        <f>IF(D2320="","",D2320/48)</f>
        <v>0</v>
      </c>
      <c r="D2320" s="26">
        <f>IF(A2320="","",ROUND((A2320-cfgDefasagem/1440)*48,0))</f>
        <v>0</v>
      </c>
      <c r="E2320" s="26">
        <f>IF(D2320="","",INT((D2320-cfgDeslocamento)/4))</f>
        <v>0</v>
      </c>
      <c r="F2320" s="26">
        <f>IF(D2320="","",MOD(D2320-cfgDeslocamento,4)+1)</f>
        <v>0</v>
      </c>
      <c r="G2320" s="26">
        <f>IF(A2320="","",IF(AND(ISNUMBER(B2320),B2320&lt;&gt;0),1,0))</f>
        <v>0</v>
      </c>
      <c r="H2320" s="25">
        <f>IF(E2320="","",(E2320*4+3+cfgDeslocamento)/48)</f>
        <v>0</v>
      </c>
    </row>
    <row r="2321" spans="1:8">
      <c r="A2321" s="24"/>
      <c r="B2321" s="19"/>
      <c r="C2321" s="25">
        <f>IF(D2321="","",D2321/48)</f>
        <v>0</v>
      </c>
      <c r="D2321" s="26">
        <f>IF(A2321="","",ROUND((A2321-cfgDefasagem/1440)*48,0))</f>
        <v>0</v>
      </c>
      <c r="E2321" s="26">
        <f>IF(D2321="","",INT((D2321-cfgDeslocamento)/4))</f>
        <v>0</v>
      </c>
      <c r="F2321" s="26">
        <f>IF(D2321="","",MOD(D2321-cfgDeslocamento,4)+1)</f>
        <v>0</v>
      </c>
      <c r="G2321" s="26">
        <f>IF(A2321="","",IF(AND(ISNUMBER(B2321),B2321&lt;&gt;0),1,0))</f>
        <v>0</v>
      </c>
      <c r="H2321" s="25">
        <f>IF(E2321="","",(E2321*4+3+cfgDeslocamento)/48)</f>
        <v>0</v>
      </c>
    </row>
    <row r="2322" spans="1:8">
      <c r="A2322" s="24"/>
      <c r="B2322" s="19"/>
      <c r="C2322" s="25">
        <f>IF(D2322="","",D2322/48)</f>
        <v>0</v>
      </c>
      <c r="D2322" s="26">
        <f>IF(A2322="","",ROUND((A2322-cfgDefasagem/1440)*48,0))</f>
        <v>0</v>
      </c>
      <c r="E2322" s="26">
        <f>IF(D2322="","",INT((D2322-cfgDeslocamento)/4))</f>
        <v>0</v>
      </c>
      <c r="F2322" s="26">
        <f>IF(D2322="","",MOD(D2322-cfgDeslocamento,4)+1)</f>
        <v>0</v>
      </c>
      <c r="G2322" s="26">
        <f>IF(A2322="","",IF(AND(ISNUMBER(B2322),B2322&lt;&gt;0),1,0))</f>
        <v>0</v>
      </c>
      <c r="H2322" s="25">
        <f>IF(E2322="","",(E2322*4+3+cfgDeslocamento)/48)</f>
        <v>0</v>
      </c>
    </row>
    <row r="2323" spans="1:8">
      <c r="A2323" s="24"/>
      <c r="B2323" s="19"/>
      <c r="C2323" s="25">
        <f>IF(D2323="","",D2323/48)</f>
        <v>0</v>
      </c>
      <c r="D2323" s="26">
        <f>IF(A2323="","",ROUND((A2323-cfgDefasagem/1440)*48,0))</f>
        <v>0</v>
      </c>
      <c r="E2323" s="26">
        <f>IF(D2323="","",INT((D2323-cfgDeslocamento)/4))</f>
        <v>0</v>
      </c>
      <c r="F2323" s="26">
        <f>IF(D2323="","",MOD(D2323-cfgDeslocamento,4)+1)</f>
        <v>0</v>
      </c>
      <c r="G2323" s="26">
        <f>IF(A2323="","",IF(AND(ISNUMBER(B2323),B2323&lt;&gt;0),1,0))</f>
        <v>0</v>
      </c>
      <c r="H2323" s="25">
        <f>IF(E2323="","",(E2323*4+3+cfgDeslocamento)/48)</f>
        <v>0</v>
      </c>
    </row>
    <row r="2324" spans="1:8">
      <c r="A2324" s="24"/>
      <c r="B2324" s="19"/>
      <c r="C2324" s="25">
        <f>IF(D2324="","",D2324/48)</f>
        <v>0</v>
      </c>
      <c r="D2324" s="26">
        <f>IF(A2324="","",ROUND((A2324-cfgDefasagem/1440)*48,0))</f>
        <v>0</v>
      </c>
      <c r="E2324" s="26">
        <f>IF(D2324="","",INT((D2324-cfgDeslocamento)/4))</f>
        <v>0</v>
      </c>
      <c r="F2324" s="26">
        <f>IF(D2324="","",MOD(D2324-cfgDeslocamento,4)+1)</f>
        <v>0</v>
      </c>
      <c r="G2324" s="26">
        <f>IF(A2324="","",IF(AND(ISNUMBER(B2324),B2324&lt;&gt;0),1,0))</f>
        <v>0</v>
      </c>
      <c r="H2324" s="25">
        <f>IF(E2324="","",(E2324*4+3+cfgDeslocamento)/48)</f>
        <v>0</v>
      </c>
    </row>
    <row r="2325" spans="1:8">
      <c r="A2325" s="24"/>
      <c r="B2325" s="19"/>
      <c r="C2325" s="25">
        <f>IF(D2325="","",D2325/48)</f>
        <v>0</v>
      </c>
      <c r="D2325" s="26">
        <f>IF(A2325="","",ROUND((A2325-cfgDefasagem/1440)*48,0))</f>
        <v>0</v>
      </c>
      <c r="E2325" s="26">
        <f>IF(D2325="","",INT((D2325-cfgDeslocamento)/4))</f>
        <v>0</v>
      </c>
      <c r="F2325" s="26">
        <f>IF(D2325="","",MOD(D2325-cfgDeslocamento,4)+1)</f>
        <v>0</v>
      </c>
      <c r="G2325" s="26">
        <f>IF(A2325="","",IF(AND(ISNUMBER(B2325),B2325&lt;&gt;0),1,0))</f>
        <v>0</v>
      </c>
      <c r="H2325" s="25">
        <f>IF(E2325="","",(E2325*4+3+cfgDeslocamento)/48)</f>
        <v>0</v>
      </c>
    </row>
    <row r="2326" spans="1:8">
      <c r="A2326" s="24"/>
      <c r="B2326" s="19"/>
      <c r="C2326" s="25">
        <f>IF(D2326="","",D2326/48)</f>
        <v>0</v>
      </c>
      <c r="D2326" s="26">
        <f>IF(A2326="","",ROUND((A2326-cfgDefasagem/1440)*48,0))</f>
        <v>0</v>
      </c>
      <c r="E2326" s="26">
        <f>IF(D2326="","",INT((D2326-cfgDeslocamento)/4))</f>
        <v>0</v>
      </c>
      <c r="F2326" s="26">
        <f>IF(D2326="","",MOD(D2326-cfgDeslocamento,4)+1)</f>
        <v>0</v>
      </c>
      <c r="G2326" s="26">
        <f>IF(A2326="","",IF(AND(ISNUMBER(B2326),B2326&lt;&gt;0),1,0))</f>
        <v>0</v>
      </c>
      <c r="H2326" s="25">
        <f>IF(E2326="","",(E2326*4+3+cfgDeslocamento)/48)</f>
        <v>0</v>
      </c>
    </row>
    <row r="2327" spans="1:8">
      <c r="A2327" s="24"/>
      <c r="B2327" s="19"/>
      <c r="C2327" s="25">
        <f>IF(D2327="","",D2327/48)</f>
        <v>0</v>
      </c>
      <c r="D2327" s="26">
        <f>IF(A2327="","",ROUND((A2327-cfgDefasagem/1440)*48,0))</f>
        <v>0</v>
      </c>
      <c r="E2327" s="26">
        <f>IF(D2327="","",INT((D2327-cfgDeslocamento)/4))</f>
        <v>0</v>
      </c>
      <c r="F2327" s="26">
        <f>IF(D2327="","",MOD(D2327-cfgDeslocamento,4)+1)</f>
        <v>0</v>
      </c>
      <c r="G2327" s="26">
        <f>IF(A2327="","",IF(AND(ISNUMBER(B2327),B2327&lt;&gt;0),1,0))</f>
        <v>0</v>
      </c>
      <c r="H2327" s="25">
        <f>IF(E2327="","",(E2327*4+3+cfgDeslocamento)/48)</f>
        <v>0</v>
      </c>
    </row>
    <row r="2328" spans="1:8">
      <c r="A2328" s="24"/>
      <c r="B2328" s="19"/>
      <c r="C2328" s="25">
        <f>IF(D2328="","",D2328/48)</f>
        <v>0</v>
      </c>
      <c r="D2328" s="26">
        <f>IF(A2328="","",ROUND((A2328-cfgDefasagem/1440)*48,0))</f>
        <v>0</v>
      </c>
      <c r="E2328" s="26">
        <f>IF(D2328="","",INT((D2328-cfgDeslocamento)/4))</f>
        <v>0</v>
      </c>
      <c r="F2328" s="26">
        <f>IF(D2328="","",MOD(D2328-cfgDeslocamento,4)+1)</f>
        <v>0</v>
      </c>
      <c r="G2328" s="26">
        <f>IF(A2328="","",IF(AND(ISNUMBER(B2328),B2328&lt;&gt;0),1,0))</f>
        <v>0</v>
      </c>
      <c r="H2328" s="25">
        <f>IF(E2328="","",(E2328*4+3+cfgDeslocamento)/48)</f>
        <v>0</v>
      </c>
    </row>
    <row r="2329" spans="1:8">
      <c r="A2329" s="24"/>
      <c r="B2329" s="19"/>
      <c r="C2329" s="25">
        <f>IF(D2329="","",D2329/48)</f>
        <v>0</v>
      </c>
      <c r="D2329" s="26">
        <f>IF(A2329="","",ROUND((A2329-cfgDefasagem/1440)*48,0))</f>
        <v>0</v>
      </c>
      <c r="E2329" s="26">
        <f>IF(D2329="","",INT((D2329-cfgDeslocamento)/4))</f>
        <v>0</v>
      </c>
      <c r="F2329" s="26">
        <f>IF(D2329="","",MOD(D2329-cfgDeslocamento,4)+1)</f>
        <v>0</v>
      </c>
      <c r="G2329" s="26">
        <f>IF(A2329="","",IF(AND(ISNUMBER(B2329),B2329&lt;&gt;0),1,0))</f>
        <v>0</v>
      </c>
      <c r="H2329" s="25">
        <f>IF(E2329="","",(E2329*4+3+cfgDeslocamento)/48)</f>
        <v>0</v>
      </c>
    </row>
    <row r="2330" spans="1:8">
      <c r="A2330" s="24"/>
      <c r="B2330" s="19"/>
      <c r="C2330" s="25">
        <f>IF(D2330="","",D2330/48)</f>
        <v>0</v>
      </c>
      <c r="D2330" s="26">
        <f>IF(A2330="","",ROUND((A2330-cfgDefasagem/1440)*48,0))</f>
        <v>0</v>
      </c>
      <c r="E2330" s="26">
        <f>IF(D2330="","",INT((D2330-cfgDeslocamento)/4))</f>
        <v>0</v>
      </c>
      <c r="F2330" s="26">
        <f>IF(D2330="","",MOD(D2330-cfgDeslocamento,4)+1)</f>
        <v>0</v>
      </c>
      <c r="G2330" s="26">
        <f>IF(A2330="","",IF(AND(ISNUMBER(B2330),B2330&lt;&gt;0),1,0))</f>
        <v>0</v>
      </c>
      <c r="H2330" s="25">
        <f>IF(E2330="","",(E2330*4+3+cfgDeslocamento)/48)</f>
        <v>0</v>
      </c>
    </row>
    <row r="2331" spans="1:8">
      <c r="A2331" s="24"/>
      <c r="B2331" s="19"/>
      <c r="C2331" s="25">
        <f>IF(D2331="","",D2331/48)</f>
        <v>0</v>
      </c>
      <c r="D2331" s="26">
        <f>IF(A2331="","",ROUND((A2331-cfgDefasagem/1440)*48,0))</f>
        <v>0</v>
      </c>
      <c r="E2331" s="26">
        <f>IF(D2331="","",INT((D2331-cfgDeslocamento)/4))</f>
        <v>0</v>
      </c>
      <c r="F2331" s="26">
        <f>IF(D2331="","",MOD(D2331-cfgDeslocamento,4)+1)</f>
        <v>0</v>
      </c>
      <c r="G2331" s="26">
        <f>IF(A2331="","",IF(AND(ISNUMBER(B2331),B2331&lt;&gt;0),1,0))</f>
        <v>0</v>
      </c>
      <c r="H2331" s="25">
        <f>IF(E2331="","",(E2331*4+3+cfgDeslocamento)/48)</f>
        <v>0</v>
      </c>
    </row>
    <row r="2332" spans="1:8">
      <c r="A2332" s="24"/>
      <c r="B2332" s="19"/>
      <c r="C2332" s="25">
        <f>IF(D2332="","",D2332/48)</f>
        <v>0</v>
      </c>
      <c r="D2332" s="26">
        <f>IF(A2332="","",ROUND((A2332-cfgDefasagem/1440)*48,0))</f>
        <v>0</v>
      </c>
      <c r="E2332" s="26">
        <f>IF(D2332="","",INT((D2332-cfgDeslocamento)/4))</f>
        <v>0</v>
      </c>
      <c r="F2332" s="26">
        <f>IF(D2332="","",MOD(D2332-cfgDeslocamento,4)+1)</f>
        <v>0</v>
      </c>
      <c r="G2332" s="26">
        <f>IF(A2332="","",IF(AND(ISNUMBER(B2332),B2332&lt;&gt;0),1,0))</f>
        <v>0</v>
      </c>
      <c r="H2332" s="25">
        <f>IF(E2332="","",(E2332*4+3+cfgDeslocamento)/48)</f>
        <v>0</v>
      </c>
    </row>
    <row r="2333" spans="1:8">
      <c r="A2333" s="24"/>
      <c r="B2333" s="19"/>
      <c r="C2333" s="25">
        <f>IF(D2333="","",D2333/48)</f>
        <v>0</v>
      </c>
      <c r="D2333" s="26">
        <f>IF(A2333="","",ROUND((A2333-cfgDefasagem/1440)*48,0))</f>
        <v>0</v>
      </c>
      <c r="E2333" s="26">
        <f>IF(D2333="","",INT((D2333-cfgDeslocamento)/4))</f>
        <v>0</v>
      </c>
      <c r="F2333" s="26">
        <f>IF(D2333="","",MOD(D2333-cfgDeslocamento,4)+1)</f>
        <v>0</v>
      </c>
      <c r="G2333" s="26">
        <f>IF(A2333="","",IF(AND(ISNUMBER(B2333),B2333&lt;&gt;0),1,0))</f>
        <v>0</v>
      </c>
      <c r="H2333" s="25">
        <f>IF(E2333="","",(E2333*4+3+cfgDeslocamento)/48)</f>
        <v>0</v>
      </c>
    </row>
    <row r="2334" spans="1:8">
      <c r="A2334" s="24"/>
      <c r="B2334" s="19"/>
      <c r="C2334" s="25">
        <f>IF(D2334="","",D2334/48)</f>
        <v>0</v>
      </c>
      <c r="D2334" s="26">
        <f>IF(A2334="","",ROUND((A2334-cfgDefasagem/1440)*48,0))</f>
        <v>0</v>
      </c>
      <c r="E2334" s="26">
        <f>IF(D2334="","",INT((D2334-cfgDeslocamento)/4))</f>
        <v>0</v>
      </c>
      <c r="F2334" s="26">
        <f>IF(D2334="","",MOD(D2334-cfgDeslocamento,4)+1)</f>
        <v>0</v>
      </c>
      <c r="G2334" s="26">
        <f>IF(A2334="","",IF(AND(ISNUMBER(B2334),B2334&lt;&gt;0),1,0))</f>
        <v>0</v>
      </c>
      <c r="H2334" s="25">
        <f>IF(E2334="","",(E2334*4+3+cfgDeslocamento)/48)</f>
        <v>0</v>
      </c>
    </row>
    <row r="2335" spans="1:8">
      <c r="A2335" s="24"/>
      <c r="B2335" s="19"/>
      <c r="C2335" s="25">
        <f>IF(D2335="","",D2335/48)</f>
        <v>0</v>
      </c>
      <c r="D2335" s="26">
        <f>IF(A2335="","",ROUND((A2335-cfgDefasagem/1440)*48,0))</f>
        <v>0</v>
      </c>
      <c r="E2335" s="26">
        <f>IF(D2335="","",INT((D2335-cfgDeslocamento)/4))</f>
        <v>0</v>
      </c>
      <c r="F2335" s="26">
        <f>IF(D2335="","",MOD(D2335-cfgDeslocamento,4)+1)</f>
        <v>0</v>
      </c>
      <c r="G2335" s="26">
        <f>IF(A2335="","",IF(AND(ISNUMBER(B2335),B2335&lt;&gt;0),1,0))</f>
        <v>0</v>
      </c>
      <c r="H2335" s="25">
        <f>IF(E2335="","",(E2335*4+3+cfgDeslocamento)/48)</f>
        <v>0</v>
      </c>
    </row>
    <row r="2336" spans="1:8">
      <c r="A2336" s="24"/>
      <c r="B2336" s="19"/>
      <c r="C2336" s="25">
        <f>IF(D2336="","",D2336/48)</f>
        <v>0</v>
      </c>
      <c r="D2336" s="26">
        <f>IF(A2336="","",ROUND((A2336-cfgDefasagem/1440)*48,0))</f>
        <v>0</v>
      </c>
      <c r="E2336" s="26">
        <f>IF(D2336="","",INT((D2336-cfgDeslocamento)/4))</f>
        <v>0</v>
      </c>
      <c r="F2336" s="26">
        <f>IF(D2336="","",MOD(D2336-cfgDeslocamento,4)+1)</f>
        <v>0</v>
      </c>
      <c r="G2336" s="26">
        <f>IF(A2336="","",IF(AND(ISNUMBER(B2336),B2336&lt;&gt;0),1,0))</f>
        <v>0</v>
      </c>
      <c r="H2336" s="25">
        <f>IF(E2336="","",(E2336*4+3+cfgDeslocamento)/48)</f>
        <v>0</v>
      </c>
    </row>
    <row r="2337" spans="1:8">
      <c r="A2337" s="24"/>
      <c r="B2337" s="19"/>
      <c r="C2337" s="25">
        <f>IF(D2337="","",D2337/48)</f>
        <v>0</v>
      </c>
      <c r="D2337" s="26">
        <f>IF(A2337="","",ROUND((A2337-cfgDefasagem/1440)*48,0))</f>
        <v>0</v>
      </c>
      <c r="E2337" s="26">
        <f>IF(D2337="","",INT((D2337-cfgDeslocamento)/4))</f>
        <v>0</v>
      </c>
      <c r="F2337" s="26">
        <f>IF(D2337="","",MOD(D2337-cfgDeslocamento,4)+1)</f>
        <v>0</v>
      </c>
      <c r="G2337" s="26">
        <f>IF(A2337="","",IF(AND(ISNUMBER(B2337),B2337&lt;&gt;0),1,0))</f>
        <v>0</v>
      </c>
      <c r="H2337" s="25">
        <f>IF(E2337="","",(E2337*4+3+cfgDeslocamento)/48)</f>
        <v>0</v>
      </c>
    </row>
    <row r="2338" spans="1:8">
      <c r="A2338" s="24"/>
      <c r="B2338" s="19"/>
      <c r="C2338" s="25">
        <f>IF(D2338="","",D2338/48)</f>
        <v>0</v>
      </c>
      <c r="D2338" s="26">
        <f>IF(A2338="","",ROUND((A2338-cfgDefasagem/1440)*48,0))</f>
        <v>0</v>
      </c>
      <c r="E2338" s="26">
        <f>IF(D2338="","",INT((D2338-cfgDeslocamento)/4))</f>
        <v>0</v>
      </c>
      <c r="F2338" s="26">
        <f>IF(D2338="","",MOD(D2338-cfgDeslocamento,4)+1)</f>
        <v>0</v>
      </c>
      <c r="G2338" s="26">
        <f>IF(A2338="","",IF(AND(ISNUMBER(B2338),B2338&lt;&gt;0),1,0))</f>
        <v>0</v>
      </c>
      <c r="H2338" s="25">
        <f>IF(E2338="","",(E2338*4+3+cfgDeslocamento)/48)</f>
        <v>0</v>
      </c>
    </row>
    <row r="2339" spans="1:8">
      <c r="A2339" s="24"/>
      <c r="B2339" s="19"/>
      <c r="C2339" s="25">
        <f>IF(D2339="","",D2339/48)</f>
        <v>0</v>
      </c>
      <c r="D2339" s="26">
        <f>IF(A2339="","",ROUND((A2339-cfgDefasagem/1440)*48,0))</f>
        <v>0</v>
      </c>
      <c r="E2339" s="26">
        <f>IF(D2339="","",INT((D2339-cfgDeslocamento)/4))</f>
        <v>0</v>
      </c>
      <c r="F2339" s="26">
        <f>IF(D2339="","",MOD(D2339-cfgDeslocamento,4)+1)</f>
        <v>0</v>
      </c>
      <c r="G2339" s="26">
        <f>IF(A2339="","",IF(AND(ISNUMBER(B2339),B2339&lt;&gt;0),1,0))</f>
        <v>0</v>
      </c>
      <c r="H2339" s="25">
        <f>IF(E2339="","",(E2339*4+3+cfgDeslocamento)/48)</f>
        <v>0</v>
      </c>
    </row>
    <row r="2340" spans="1:8">
      <c r="A2340" s="24"/>
      <c r="B2340" s="19"/>
      <c r="C2340" s="25">
        <f>IF(D2340="","",D2340/48)</f>
        <v>0</v>
      </c>
      <c r="D2340" s="26">
        <f>IF(A2340="","",ROUND((A2340-cfgDefasagem/1440)*48,0))</f>
        <v>0</v>
      </c>
      <c r="E2340" s="26">
        <f>IF(D2340="","",INT((D2340-cfgDeslocamento)/4))</f>
        <v>0</v>
      </c>
      <c r="F2340" s="26">
        <f>IF(D2340="","",MOD(D2340-cfgDeslocamento,4)+1)</f>
        <v>0</v>
      </c>
      <c r="G2340" s="26">
        <f>IF(A2340="","",IF(AND(ISNUMBER(B2340),B2340&lt;&gt;0),1,0))</f>
        <v>0</v>
      </c>
      <c r="H2340" s="25">
        <f>IF(E2340="","",(E2340*4+3+cfgDeslocamento)/48)</f>
        <v>0</v>
      </c>
    </row>
    <row r="2341" spans="1:8">
      <c r="A2341" s="24"/>
      <c r="B2341" s="19"/>
      <c r="C2341" s="25">
        <f>IF(D2341="","",D2341/48)</f>
        <v>0</v>
      </c>
      <c r="D2341" s="26">
        <f>IF(A2341="","",ROUND((A2341-cfgDefasagem/1440)*48,0))</f>
        <v>0</v>
      </c>
      <c r="E2341" s="26">
        <f>IF(D2341="","",INT((D2341-cfgDeslocamento)/4))</f>
        <v>0</v>
      </c>
      <c r="F2341" s="26">
        <f>IF(D2341="","",MOD(D2341-cfgDeslocamento,4)+1)</f>
        <v>0</v>
      </c>
      <c r="G2341" s="26">
        <f>IF(A2341="","",IF(AND(ISNUMBER(B2341),B2341&lt;&gt;0),1,0))</f>
        <v>0</v>
      </c>
      <c r="H2341" s="25">
        <f>IF(E2341="","",(E2341*4+3+cfgDeslocamento)/48)</f>
        <v>0</v>
      </c>
    </row>
    <row r="2342" spans="1:8">
      <c r="A2342" s="24"/>
      <c r="B2342" s="19"/>
      <c r="C2342" s="25">
        <f>IF(D2342="","",D2342/48)</f>
        <v>0</v>
      </c>
      <c r="D2342" s="26">
        <f>IF(A2342="","",ROUND((A2342-cfgDefasagem/1440)*48,0))</f>
        <v>0</v>
      </c>
      <c r="E2342" s="26">
        <f>IF(D2342="","",INT((D2342-cfgDeslocamento)/4))</f>
        <v>0</v>
      </c>
      <c r="F2342" s="26">
        <f>IF(D2342="","",MOD(D2342-cfgDeslocamento,4)+1)</f>
        <v>0</v>
      </c>
      <c r="G2342" s="26">
        <f>IF(A2342="","",IF(AND(ISNUMBER(B2342),B2342&lt;&gt;0),1,0))</f>
        <v>0</v>
      </c>
      <c r="H2342" s="25">
        <f>IF(E2342="","",(E2342*4+3+cfgDeslocamento)/48)</f>
        <v>0</v>
      </c>
    </row>
    <row r="2343" spans="1:8">
      <c r="A2343" s="24"/>
      <c r="B2343" s="19"/>
      <c r="C2343" s="25">
        <f>IF(D2343="","",D2343/48)</f>
        <v>0</v>
      </c>
      <c r="D2343" s="26">
        <f>IF(A2343="","",ROUND((A2343-cfgDefasagem/1440)*48,0))</f>
        <v>0</v>
      </c>
      <c r="E2343" s="26">
        <f>IF(D2343="","",INT((D2343-cfgDeslocamento)/4))</f>
        <v>0</v>
      </c>
      <c r="F2343" s="26">
        <f>IF(D2343="","",MOD(D2343-cfgDeslocamento,4)+1)</f>
        <v>0</v>
      </c>
      <c r="G2343" s="26">
        <f>IF(A2343="","",IF(AND(ISNUMBER(B2343),B2343&lt;&gt;0),1,0))</f>
        <v>0</v>
      </c>
      <c r="H2343" s="25">
        <f>IF(E2343="","",(E2343*4+3+cfgDeslocamento)/48)</f>
        <v>0</v>
      </c>
    </row>
    <row r="2344" spans="1:8">
      <c r="A2344" s="24"/>
      <c r="B2344" s="19"/>
      <c r="C2344" s="25">
        <f>IF(D2344="","",D2344/48)</f>
        <v>0</v>
      </c>
      <c r="D2344" s="26">
        <f>IF(A2344="","",ROUND((A2344-cfgDefasagem/1440)*48,0))</f>
        <v>0</v>
      </c>
      <c r="E2344" s="26">
        <f>IF(D2344="","",INT((D2344-cfgDeslocamento)/4))</f>
        <v>0</v>
      </c>
      <c r="F2344" s="26">
        <f>IF(D2344="","",MOD(D2344-cfgDeslocamento,4)+1)</f>
        <v>0</v>
      </c>
      <c r="G2344" s="26">
        <f>IF(A2344="","",IF(AND(ISNUMBER(B2344),B2344&lt;&gt;0),1,0))</f>
        <v>0</v>
      </c>
      <c r="H2344" s="25">
        <f>IF(E2344="","",(E2344*4+3+cfgDeslocamento)/48)</f>
        <v>0</v>
      </c>
    </row>
    <row r="2345" spans="1:8">
      <c r="A2345" s="24"/>
      <c r="B2345" s="19"/>
      <c r="C2345" s="25">
        <f>IF(D2345="","",D2345/48)</f>
        <v>0</v>
      </c>
      <c r="D2345" s="26">
        <f>IF(A2345="","",ROUND((A2345-cfgDefasagem/1440)*48,0))</f>
        <v>0</v>
      </c>
      <c r="E2345" s="26">
        <f>IF(D2345="","",INT((D2345-cfgDeslocamento)/4))</f>
        <v>0</v>
      </c>
      <c r="F2345" s="26">
        <f>IF(D2345="","",MOD(D2345-cfgDeslocamento,4)+1)</f>
        <v>0</v>
      </c>
      <c r="G2345" s="26">
        <f>IF(A2345="","",IF(AND(ISNUMBER(B2345),B2345&lt;&gt;0),1,0))</f>
        <v>0</v>
      </c>
      <c r="H2345" s="25">
        <f>IF(E2345="","",(E2345*4+3+cfgDeslocamento)/48)</f>
        <v>0</v>
      </c>
    </row>
    <row r="2346" spans="1:8">
      <c r="A2346" s="24"/>
      <c r="B2346" s="19"/>
      <c r="C2346" s="25">
        <f>IF(D2346="","",D2346/48)</f>
        <v>0</v>
      </c>
      <c r="D2346" s="26">
        <f>IF(A2346="","",ROUND((A2346-cfgDefasagem/1440)*48,0))</f>
        <v>0</v>
      </c>
      <c r="E2346" s="26">
        <f>IF(D2346="","",INT((D2346-cfgDeslocamento)/4))</f>
        <v>0</v>
      </c>
      <c r="F2346" s="26">
        <f>IF(D2346="","",MOD(D2346-cfgDeslocamento,4)+1)</f>
        <v>0</v>
      </c>
      <c r="G2346" s="26">
        <f>IF(A2346="","",IF(AND(ISNUMBER(B2346),B2346&lt;&gt;0),1,0))</f>
        <v>0</v>
      </c>
      <c r="H2346" s="25">
        <f>IF(E2346="","",(E2346*4+3+cfgDeslocamento)/48)</f>
        <v>0</v>
      </c>
    </row>
    <row r="2347" spans="1:8">
      <c r="A2347" s="24"/>
      <c r="B2347" s="19"/>
      <c r="C2347" s="25">
        <f>IF(D2347="","",D2347/48)</f>
        <v>0</v>
      </c>
      <c r="D2347" s="26">
        <f>IF(A2347="","",ROUND((A2347-cfgDefasagem/1440)*48,0))</f>
        <v>0</v>
      </c>
      <c r="E2347" s="26">
        <f>IF(D2347="","",INT((D2347-cfgDeslocamento)/4))</f>
        <v>0</v>
      </c>
      <c r="F2347" s="26">
        <f>IF(D2347="","",MOD(D2347-cfgDeslocamento,4)+1)</f>
        <v>0</v>
      </c>
      <c r="G2347" s="26">
        <f>IF(A2347="","",IF(AND(ISNUMBER(B2347),B2347&lt;&gt;0),1,0))</f>
        <v>0</v>
      </c>
      <c r="H2347" s="25">
        <f>IF(E2347="","",(E2347*4+3+cfgDeslocamento)/48)</f>
        <v>0</v>
      </c>
    </row>
    <row r="2348" spans="1:8">
      <c r="A2348" s="24"/>
      <c r="B2348" s="19"/>
      <c r="C2348" s="25">
        <f>IF(D2348="","",D2348/48)</f>
        <v>0</v>
      </c>
      <c r="D2348" s="26">
        <f>IF(A2348="","",ROUND((A2348-cfgDefasagem/1440)*48,0))</f>
        <v>0</v>
      </c>
      <c r="E2348" s="26">
        <f>IF(D2348="","",INT((D2348-cfgDeslocamento)/4))</f>
        <v>0</v>
      </c>
      <c r="F2348" s="26">
        <f>IF(D2348="","",MOD(D2348-cfgDeslocamento,4)+1)</f>
        <v>0</v>
      </c>
      <c r="G2348" s="26">
        <f>IF(A2348="","",IF(AND(ISNUMBER(B2348),B2348&lt;&gt;0),1,0))</f>
        <v>0</v>
      </c>
      <c r="H2348" s="25">
        <f>IF(E2348="","",(E2348*4+3+cfgDeslocamento)/48)</f>
        <v>0</v>
      </c>
    </row>
    <row r="2349" spans="1:8">
      <c r="A2349" s="24"/>
      <c r="B2349" s="19"/>
      <c r="C2349" s="25">
        <f>IF(D2349="","",D2349/48)</f>
        <v>0</v>
      </c>
      <c r="D2349" s="26">
        <f>IF(A2349="","",ROUND((A2349-cfgDefasagem/1440)*48,0))</f>
        <v>0</v>
      </c>
      <c r="E2349" s="26">
        <f>IF(D2349="","",INT((D2349-cfgDeslocamento)/4))</f>
        <v>0</v>
      </c>
      <c r="F2349" s="26">
        <f>IF(D2349="","",MOD(D2349-cfgDeslocamento,4)+1)</f>
        <v>0</v>
      </c>
      <c r="G2349" s="26">
        <f>IF(A2349="","",IF(AND(ISNUMBER(B2349),B2349&lt;&gt;0),1,0))</f>
        <v>0</v>
      </c>
      <c r="H2349" s="25">
        <f>IF(E2349="","",(E2349*4+3+cfgDeslocamento)/48)</f>
        <v>0</v>
      </c>
    </row>
    <row r="2350" spans="1:8">
      <c r="A2350" s="24"/>
      <c r="B2350" s="19"/>
      <c r="C2350" s="25">
        <f>IF(D2350="","",D2350/48)</f>
        <v>0</v>
      </c>
      <c r="D2350" s="26">
        <f>IF(A2350="","",ROUND((A2350-cfgDefasagem/1440)*48,0))</f>
        <v>0</v>
      </c>
      <c r="E2350" s="26">
        <f>IF(D2350="","",INT((D2350-cfgDeslocamento)/4))</f>
        <v>0</v>
      </c>
      <c r="F2350" s="26">
        <f>IF(D2350="","",MOD(D2350-cfgDeslocamento,4)+1)</f>
        <v>0</v>
      </c>
      <c r="G2350" s="26">
        <f>IF(A2350="","",IF(AND(ISNUMBER(B2350),B2350&lt;&gt;0),1,0))</f>
        <v>0</v>
      </c>
      <c r="H2350" s="25">
        <f>IF(E2350="","",(E2350*4+3+cfgDeslocamento)/48)</f>
        <v>0</v>
      </c>
    </row>
    <row r="2351" spans="1:8">
      <c r="A2351" s="24"/>
      <c r="B2351" s="19"/>
      <c r="C2351" s="25">
        <f>IF(D2351="","",D2351/48)</f>
        <v>0</v>
      </c>
      <c r="D2351" s="26">
        <f>IF(A2351="","",ROUND((A2351-cfgDefasagem/1440)*48,0))</f>
        <v>0</v>
      </c>
      <c r="E2351" s="26">
        <f>IF(D2351="","",INT((D2351-cfgDeslocamento)/4))</f>
        <v>0</v>
      </c>
      <c r="F2351" s="26">
        <f>IF(D2351="","",MOD(D2351-cfgDeslocamento,4)+1)</f>
        <v>0</v>
      </c>
      <c r="G2351" s="26">
        <f>IF(A2351="","",IF(AND(ISNUMBER(B2351),B2351&lt;&gt;0),1,0))</f>
        <v>0</v>
      </c>
      <c r="H2351" s="25">
        <f>IF(E2351="","",(E2351*4+3+cfgDeslocamento)/48)</f>
        <v>0</v>
      </c>
    </row>
    <row r="2352" spans="1:8">
      <c r="A2352" s="24"/>
      <c r="B2352" s="19"/>
      <c r="C2352" s="25">
        <f>IF(D2352="","",D2352/48)</f>
        <v>0</v>
      </c>
      <c r="D2352" s="26">
        <f>IF(A2352="","",ROUND((A2352-cfgDefasagem/1440)*48,0))</f>
        <v>0</v>
      </c>
      <c r="E2352" s="26">
        <f>IF(D2352="","",INT((D2352-cfgDeslocamento)/4))</f>
        <v>0</v>
      </c>
      <c r="F2352" s="26">
        <f>IF(D2352="","",MOD(D2352-cfgDeslocamento,4)+1)</f>
        <v>0</v>
      </c>
      <c r="G2352" s="26">
        <f>IF(A2352="","",IF(AND(ISNUMBER(B2352),B2352&lt;&gt;0),1,0))</f>
        <v>0</v>
      </c>
      <c r="H2352" s="25">
        <f>IF(E2352="","",(E2352*4+3+cfgDeslocamento)/48)</f>
        <v>0</v>
      </c>
    </row>
    <row r="2353" spans="1:8">
      <c r="A2353" s="24"/>
      <c r="B2353" s="19"/>
      <c r="C2353" s="25">
        <f>IF(D2353="","",D2353/48)</f>
        <v>0</v>
      </c>
      <c r="D2353" s="26">
        <f>IF(A2353="","",ROUND((A2353-cfgDefasagem/1440)*48,0))</f>
        <v>0</v>
      </c>
      <c r="E2353" s="26">
        <f>IF(D2353="","",INT((D2353-cfgDeslocamento)/4))</f>
        <v>0</v>
      </c>
      <c r="F2353" s="26">
        <f>IF(D2353="","",MOD(D2353-cfgDeslocamento,4)+1)</f>
        <v>0</v>
      </c>
      <c r="G2353" s="26">
        <f>IF(A2353="","",IF(AND(ISNUMBER(B2353),B2353&lt;&gt;0),1,0))</f>
        <v>0</v>
      </c>
      <c r="H2353" s="25">
        <f>IF(E2353="","",(E2353*4+3+cfgDeslocamento)/48)</f>
        <v>0</v>
      </c>
    </row>
    <row r="2354" spans="1:8">
      <c r="A2354" s="24"/>
      <c r="B2354" s="19"/>
      <c r="C2354" s="25">
        <f>IF(D2354="","",D2354/48)</f>
        <v>0</v>
      </c>
      <c r="D2354" s="26">
        <f>IF(A2354="","",ROUND((A2354-cfgDefasagem/1440)*48,0))</f>
        <v>0</v>
      </c>
      <c r="E2354" s="26">
        <f>IF(D2354="","",INT((D2354-cfgDeslocamento)/4))</f>
        <v>0</v>
      </c>
      <c r="F2354" s="26">
        <f>IF(D2354="","",MOD(D2354-cfgDeslocamento,4)+1)</f>
        <v>0</v>
      </c>
      <c r="G2354" s="26">
        <f>IF(A2354="","",IF(AND(ISNUMBER(B2354),B2354&lt;&gt;0),1,0))</f>
        <v>0</v>
      </c>
      <c r="H2354" s="25">
        <f>IF(E2354="","",(E2354*4+3+cfgDeslocamento)/48)</f>
        <v>0</v>
      </c>
    </row>
    <row r="2355" spans="1:8">
      <c r="A2355" s="24"/>
      <c r="B2355" s="19"/>
      <c r="C2355" s="25">
        <f>IF(D2355="","",D2355/48)</f>
        <v>0</v>
      </c>
      <c r="D2355" s="26">
        <f>IF(A2355="","",ROUND((A2355-cfgDefasagem/1440)*48,0))</f>
        <v>0</v>
      </c>
      <c r="E2355" s="26">
        <f>IF(D2355="","",INT((D2355-cfgDeslocamento)/4))</f>
        <v>0</v>
      </c>
      <c r="F2355" s="26">
        <f>IF(D2355="","",MOD(D2355-cfgDeslocamento,4)+1)</f>
        <v>0</v>
      </c>
      <c r="G2355" s="26">
        <f>IF(A2355="","",IF(AND(ISNUMBER(B2355),B2355&lt;&gt;0),1,0))</f>
        <v>0</v>
      </c>
      <c r="H2355" s="25">
        <f>IF(E2355="","",(E2355*4+3+cfgDeslocamento)/48)</f>
        <v>0</v>
      </c>
    </row>
    <row r="2356" spans="1:8">
      <c r="A2356" s="24"/>
      <c r="B2356" s="19"/>
      <c r="C2356" s="25">
        <f>IF(D2356="","",D2356/48)</f>
        <v>0</v>
      </c>
      <c r="D2356" s="26">
        <f>IF(A2356="","",ROUND((A2356-cfgDefasagem/1440)*48,0))</f>
        <v>0</v>
      </c>
      <c r="E2356" s="26">
        <f>IF(D2356="","",INT((D2356-cfgDeslocamento)/4))</f>
        <v>0</v>
      </c>
      <c r="F2356" s="26">
        <f>IF(D2356="","",MOD(D2356-cfgDeslocamento,4)+1)</f>
        <v>0</v>
      </c>
      <c r="G2356" s="26">
        <f>IF(A2356="","",IF(AND(ISNUMBER(B2356),B2356&lt;&gt;0),1,0))</f>
        <v>0</v>
      </c>
      <c r="H2356" s="25">
        <f>IF(E2356="","",(E2356*4+3+cfgDeslocamento)/48)</f>
        <v>0</v>
      </c>
    </row>
    <row r="2357" spans="1:8">
      <c r="A2357" s="24"/>
      <c r="B2357" s="19"/>
      <c r="C2357" s="25">
        <f>IF(D2357="","",D2357/48)</f>
        <v>0</v>
      </c>
      <c r="D2357" s="26">
        <f>IF(A2357="","",ROUND((A2357-cfgDefasagem/1440)*48,0))</f>
        <v>0</v>
      </c>
      <c r="E2357" s="26">
        <f>IF(D2357="","",INT((D2357-cfgDeslocamento)/4))</f>
        <v>0</v>
      </c>
      <c r="F2357" s="26">
        <f>IF(D2357="","",MOD(D2357-cfgDeslocamento,4)+1)</f>
        <v>0</v>
      </c>
      <c r="G2357" s="26">
        <f>IF(A2357="","",IF(AND(ISNUMBER(B2357),B2357&lt;&gt;0),1,0))</f>
        <v>0</v>
      </c>
      <c r="H2357" s="25">
        <f>IF(E2357="","",(E2357*4+3+cfgDeslocamento)/48)</f>
        <v>0</v>
      </c>
    </row>
    <row r="2358" spans="1:8">
      <c r="A2358" s="24"/>
      <c r="B2358" s="19"/>
      <c r="C2358" s="25">
        <f>IF(D2358="","",D2358/48)</f>
        <v>0</v>
      </c>
      <c r="D2358" s="26">
        <f>IF(A2358="","",ROUND((A2358-cfgDefasagem/1440)*48,0))</f>
        <v>0</v>
      </c>
      <c r="E2358" s="26">
        <f>IF(D2358="","",INT((D2358-cfgDeslocamento)/4))</f>
        <v>0</v>
      </c>
      <c r="F2358" s="26">
        <f>IF(D2358="","",MOD(D2358-cfgDeslocamento,4)+1)</f>
        <v>0</v>
      </c>
      <c r="G2358" s="26">
        <f>IF(A2358="","",IF(AND(ISNUMBER(B2358),B2358&lt;&gt;0),1,0))</f>
        <v>0</v>
      </c>
      <c r="H2358" s="25">
        <f>IF(E2358="","",(E2358*4+3+cfgDeslocamento)/48)</f>
        <v>0</v>
      </c>
    </row>
    <row r="2359" spans="1:8">
      <c r="A2359" s="24"/>
      <c r="B2359" s="19"/>
      <c r="C2359" s="25">
        <f>IF(D2359="","",D2359/48)</f>
        <v>0</v>
      </c>
      <c r="D2359" s="26">
        <f>IF(A2359="","",ROUND((A2359-cfgDefasagem/1440)*48,0))</f>
        <v>0</v>
      </c>
      <c r="E2359" s="26">
        <f>IF(D2359="","",INT((D2359-cfgDeslocamento)/4))</f>
        <v>0</v>
      </c>
      <c r="F2359" s="26">
        <f>IF(D2359="","",MOD(D2359-cfgDeslocamento,4)+1)</f>
        <v>0</v>
      </c>
      <c r="G2359" s="26">
        <f>IF(A2359="","",IF(AND(ISNUMBER(B2359),B2359&lt;&gt;0),1,0))</f>
        <v>0</v>
      </c>
      <c r="H2359" s="25">
        <f>IF(E2359="","",(E2359*4+3+cfgDeslocamento)/48)</f>
        <v>0</v>
      </c>
    </row>
    <row r="2360" spans="1:8">
      <c r="A2360" s="24"/>
      <c r="B2360" s="19"/>
      <c r="C2360" s="25">
        <f>IF(D2360="","",D2360/48)</f>
        <v>0</v>
      </c>
      <c r="D2360" s="26">
        <f>IF(A2360="","",ROUND((A2360-cfgDefasagem/1440)*48,0))</f>
        <v>0</v>
      </c>
      <c r="E2360" s="26">
        <f>IF(D2360="","",INT((D2360-cfgDeslocamento)/4))</f>
        <v>0</v>
      </c>
      <c r="F2360" s="26">
        <f>IF(D2360="","",MOD(D2360-cfgDeslocamento,4)+1)</f>
        <v>0</v>
      </c>
      <c r="G2360" s="26">
        <f>IF(A2360="","",IF(AND(ISNUMBER(B2360),B2360&lt;&gt;0),1,0))</f>
        <v>0</v>
      </c>
      <c r="H2360" s="25">
        <f>IF(E2360="","",(E2360*4+3+cfgDeslocamento)/48)</f>
        <v>0</v>
      </c>
    </row>
    <row r="2361" spans="1:8">
      <c r="A2361" s="24"/>
      <c r="B2361" s="19"/>
      <c r="C2361" s="25">
        <f>IF(D2361="","",D2361/48)</f>
        <v>0</v>
      </c>
      <c r="D2361" s="26">
        <f>IF(A2361="","",ROUND((A2361-cfgDefasagem/1440)*48,0))</f>
        <v>0</v>
      </c>
      <c r="E2361" s="26">
        <f>IF(D2361="","",INT((D2361-cfgDeslocamento)/4))</f>
        <v>0</v>
      </c>
      <c r="F2361" s="26">
        <f>IF(D2361="","",MOD(D2361-cfgDeslocamento,4)+1)</f>
        <v>0</v>
      </c>
      <c r="G2361" s="26">
        <f>IF(A2361="","",IF(AND(ISNUMBER(B2361),B2361&lt;&gt;0),1,0))</f>
        <v>0</v>
      </c>
      <c r="H2361" s="25">
        <f>IF(E2361="","",(E2361*4+3+cfgDeslocamento)/48)</f>
        <v>0</v>
      </c>
    </row>
    <row r="2362" spans="1:8">
      <c r="A2362" s="24"/>
      <c r="B2362" s="19"/>
      <c r="C2362" s="25">
        <f>IF(D2362="","",D2362/48)</f>
        <v>0</v>
      </c>
      <c r="D2362" s="26">
        <f>IF(A2362="","",ROUND((A2362-cfgDefasagem/1440)*48,0))</f>
        <v>0</v>
      </c>
      <c r="E2362" s="26">
        <f>IF(D2362="","",INT((D2362-cfgDeslocamento)/4))</f>
        <v>0</v>
      </c>
      <c r="F2362" s="26">
        <f>IF(D2362="","",MOD(D2362-cfgDeslocamento,4)+1)</f>
        <v>0</v>
      </c>
      <c r="G2362" s="26">
        <f>IF(A2362="","",IF(AND(ISNUMBER(B2362),B2362&lt;&gt;0),1,0))</f>
        <v>0</v>
      </c>
      <c r="H2362" s="25">
        <f>IF(E2362="","",(E2362*4+3+cfgDeslocamento)/48)</f>
        <v>0</v>
      </c>
    </row>
    <row r="2363" spans="1:8">
      <c r="A2363" s="24"/>
      <c r="B2363" s="19"/>
      <c r="C2363" s="25">
        <f>IF(D2363="","",D2363/48)</f>
        <v>0</v>
      </c>
      <c r="D2363" s="26">
        <f>IF(A2363="","",ROUND((A2363-cfgDefasagem/1440)*48,0))</f>
        <v>0</v>
      </c>
      <c r="E2363" s="26">
        <f>IF(D2363="","",INT((D2363-cfgDeslocamento)/4))</f>
        <v>0</v>
      </c>
      <c r="F2363" s="26">
        <f>IF(D2363="","",MOD(D2363-cfgDeslocamento,4)+1)</f>
        <v>0</v>
      </c>
      <c r="G2363" s="26">
        <f>IF(A2363="","",IF(AND(ISNUMBER(B2363),B2363&lt;&gt;0),1,0))</f>
        <v>0</v>
      </c>
      <c r="H2363" s="25">
        <f>IF(E2363="","",(E2363*4+3+cfgDeslocamento)/48)</f>
        <v>0</v>
      </c>
    </row>
    <row r="2364" spans="1:8">
      <c r="A2364" s="24"/>
      <c r="B2364" s="19"/>
      <c r="C2364" s="25">
        <f>IF(D2364="","",D2364/48)</f>
        <v>0</v>
      </c>
      <c r="D2364" s="26">
        <f>IF(A2364="","",ROUND((A2364-cfgDefasagem/1440)*48,0))</f>
        <v>0</v>
      </c>
      <c r="E2364" s="26">
        <f>IF(D2364="","",INT((D2364-cfgDeslocamento)/4))</f>
        <v>0</v>
      </c>
      <c r="F2364" s="26">
        <f>IF(D2364="","",MOD(D2364-cfgDeslocamento,4)+1)</f>
        <v>0</v>
      </c>
      <c r="G2364" s="26">
        <f>IF(A2364="","",IF(AND(ISNUMBER(B2364),B2364&lt;&gt;0),1,0))</f>
        <v>0</v>
      </c>
      <c r="H2364" s="25">
        <f>IF(E2364="","",(E2364*4+3+cfgDeslocamento)/48)</f>
        <v>0</v>
      </c>
    </row>
    <row r="2365" spans="1:8">
      <c r="A2365" s="24"/>
      <c r="B2365" s="19"/>
      <c r="C2365" s="25">
        <f>IF(D2365="","",D2365/48)</f>
        <v>0</v>
      </c>
      <c r="D2365" s="26">
        <f>IF(A2365="","",ROUND((A2365-cfgDefasagem/1440)*48,0))</f>
        <v>0</v>
      </c>
      <c r="E2365" s="26">
        <f>IF(D2365="","",INT((D2365-cfgDeslocamento)/4))</f>
        <v>0</v>
      </c>
      <c r="F2365" s="26">
        <f>IF(D2365="","",MOD(D2365-cfgDeslocamento,4)+1)</f>
        <v>0</v>
      </c>
      <c r="G2365" s="26">
        <f>IF(A2365="","",IF(AND(ISNUMBER(B2365),B2365&lt;&gt;0),1,0))</f>
        <v>0</v>
      </c>
      <c r="H2365" s="25">
        <f>IF(E2365="","",(E2365*4+3+cfgDeslocamento)/48)</f>
        <v>0</v>
      </c>
    </row>
    <row r="2366" spans="1:8">
      <c r="A2366" s="24"/>
      <c r="B2366" s="19"/>
      <c r="C2366" s="25">
        <f>IF(D2366="","",D2366/48)</f>
        <v>0</v>
      </c>
      <c r="D2366" s="26">
        <f>IF(A2366="","",ROUND((A2366-cfgDefasagem/1440)*48,0))</f>
        <v>0</v>
      </c>
      <c r="E2366" s="26">
        <f>IF(D2366="","",INT((D2366-cfgDeslocamento)/4))</f>
        <v>0</v>
      </c>
      <c r="F2366" s="26">
        <f>IF(D2366="","",MOD(D2366-cfgDeslocamento,4)+1)</f>
        <v>0</v>
      </c>
      <c r="G2366" s="26">
        <f>IF(A2366="","",IF(AND(ISNUMBER(B2366),B2366&lt;&gt;0),1,0))</f>
        <v>0</v>
      </c>
      <c r="H2366" s="25">
        <f>IF(E2366="","",(E2366*4+3+cfgDeslocamento)/48)</f>
        <v>0</v>
      </c>
    </row>
    <row r="2367" spans="1:8">
      <c r="A2367" s="24"/>
      <c r="B2367" s="19"/>
      <c r="C2367" s="25">
        <f>IF(D2367="","",D2367/48)</f>
        <v>0</v>
      </c>
      <c r="D2367" s="26">
        <f>IF(A2367="","",ROUND((A2367-cfgDefasagem/1440)*48,0))</f>
        <v>0</v>
      </c>
      <c r="E2367" s="26">
        <f>IF(D2367="","",INT((D2367-cfgDeslocamento)/4))</f>
        <v>0</v>
      </c>
      <c r="F2367" s="26">
        <f>IF(D2367="","",MOD(D2367-cfgDeslocamento,4)+1)</f>
        <v>0</v>
      </c>
      <c r="G2367" s="26">
        <f>IF(A2367="","",IF(AND(ISNUMBER(B2367),B2367&lt;&gt;0),1,0))</f>
        <v>0</v>
      </c>
      <c r="H2367" s="25">
        <f>IF(E2367="","",(E2367*4+3+cfgDeslocamento)/48)</f>
        <v>0</v>
      </c>
    </row>
    <row r="2368" spans="1:8">
      <c r="A2368" s="24"/>
      <c r="B2368" s="19"/>
      <c r="C2368" s="25">
        <f>IF(D2368="","",D2368/48)</f>
        <v>0</v>
      </c>
      <c r="D2368" s="26">
        <f>IF(A2368="","",ROUND((A2368-cfgDefasagem/1440)*48,0))</f>
        <v>0</v>
      </c>
      <c r="E2368" s="26">
        <f>IF(D2368="","",INT((D2368-cfgDeslocamento)/4))</f>
        <v>0</v>
      </c>
      <c r="F2368" s="26">
        <f>IF(D2368="","",MOD(D2368-cfgDeslocamento,4)+1)</f>
        <v>0</v>
      </c>
      <c r="G2368" s="26">
        <f>IF(A2368="","",IF(AND(ISNUMBER(B2368),B2368&lt;&gt;0),1,0))</f>
        <v>0</v>
      </c>
      <c r="H2368" s="25">
        <f>IF(E2368="","",(E2368*4+3+cfgDeslocamento)/48)</f>
        <v>0</v>
      </c>
    </row>
    <row r="2369" spans="1:8">
      <c r="A2369" s="24"/>
      <c r="B2369" s="19"/>
      <c r="C2369" s="25">
        <f>IF(D2369="","",D2369/48)</f>
        <v>0</v>
      </c>
      <c r="D2369" s="26">
        <f>IF(A2369="","",ROUND((A2369-cfgDefasagem/1440)*48,0))</f>
        <v>0</v>
      </c>
      <c r="E2369" s="26">
        <f>IF(D2369="","",INT((D2369-cfgDeslocamento)/4))</f>
        <v>0</v>
      </c>
      <c r="F2369" s="26">
        <f>IF(D2369="","",MOD(D2369-cfgDeslocamento,4)+1)</f>
        <v>0</v>
      </c>
      <c r="G2369" s="26">
        <f>IF(A2369="","",IF(AND(ISNUMBER(B2369),B2369&lt;&gt;0),1,0))</f>
        <v>0</v>
      </c>
      <c r="H2369" s="25">
        <f>IF(E2369="","",(E2369*4+3+cfgDeslocamento)/48)</f>
        <v>0</v>
      </c>
    </row>
    <row r="2370" spans="1:8">
      <c r="A2370" s="24"/>
      <c r="B2370" s="19"/>
      <c r="C2370" s="25">
        <f>IF(D2370="","",D2370/48)</f>
        <v>0</v>
      </c>
      <c r="D2370" s="26">
        <f>IF(A2370="","",ROUND((A2370-cfgDefasagem/1440)*48,0))</f>
        <v>0</v>
      </c>
      <c r="E2370" s="26">
        <f>IF(D2370="","",INT((D2370-cfgDeslocamento)/4))</f>
        <v>0</v>
      </c>
      <c r="F2370" s="26">
        <f>IF(D2370="","",MOD(D2370-cfgDeslocamento,4)+1)</f>
        <v>0</v>
      </c>
      <c r="G2370" s="26">
        <f>IF(A2370="","",IF(AND(ISNUMBER(B2370),B2370&lt;&gt;0),1,0))</f>
        <v>0</v>
      </c>
      <c r="H2370" s="25">
        <f>IF(E2370="","",(E2370*4+3+cfgDeslocamento)/48)</f>
        <v>0</v>
      </c>
    </row>
    <row r="2371" spans="1:8">
      <c r="A2371" s="24"/>
      <c r="B2371" s="19"/>
      <c r="C2371" s="25">
        <f>IF(D2371="","",D2371/48)</f>
        <v>0</v>
      </c>
      <c r="D2371" s="26">
        <f>IF(A2371="","",ROUND((A2371-cfgDefasagem/1440)*48,0))</f>
        <v>0</v>
      </c>
      <c r="E2371" s="26">
        <f>IF(D2371="","",INT((D2371-cfgDeslocamento)/4))</f>
        <v>0</v>
      </c>
      <c r="F2371" s="26">
        <f>IF(D2371="","",MOD(D2371-cfgDeslocamento,4)+1)</f>
        <v>0</v>
      </c>
      <c r="G2371" s="26">
        <f>IF(A2371="","",IF(AND(ISNUMBER(B2371),B2371&lt;&gt;0),1,0))</f>
        <v>0</v>
      </c>
      <c r="H2371" s="25">
        <f>IF(E2371="","",(E2371*4+3+cfgDeslocamento)/48)</f>
        <v>0</v>
      </c>
    </row>
    <row r="2372" spans="1:8">
      <c r="A2372" s="24"/>
      <c r="B2372" s="19"/>
      <c r="C2372" s="25">
        <f>IF(D2372="","",D2372/48)</f>
        <v>0</v>
      </c>
      <c r="D2372" s="26">
        <f>IF(A2372="","",ROUND((A2372-cfgDefasagem/1440)*48,0))</f>
        <v>0</v>
      </c>
      <c r="E2372" s="26">
        <f>IF(D2372="","",INT((D2372-cfgDeslocamento)/4))</f>
        <v>0</v>
      </c>
      <c r="F2372" s="26">
        <f>IF(D2372="","",MOD(D2372-cfgDeslocamento,4)+1)</f>
        <v>0</v>
      </c>
      <c r="G2372" s="26">
        <f>IF(A2372="","",IF(AND(ISNUMBER(B2372),B2372&lt;&gt;0),1,0))</f>
        <v>0</v>
      </c>
      <c r="H2372" s="25">
        <f>IF(E2372="","",(E2372*4+3+cfgDeslocamento)/48)</f>
        <v>0</v>
      </c>
    </row>
    <row r="2373" spans="1:8">
      <c r="A2373" s="24"/>
      <c r="B2373" s="19"/>
      <c r="C2373" s="25">
        <f>IF(D2373="","",D2373/48)</f>
        <v>0</v>
      </c>
      <c r="D2373" s="26">
        <f>IF(A2373="","",ROUND((A2373-cfgDefasagem/1440)*48,0))</f>
        <v>0</v>
      </c>
      <c r="E2373" s="26">
        <f>IF(D2373="","",INT((D2373-cfgDeslocamento)/4))</f>
        <v>0</v>
      </c>
      <c r="F2373" s="26">
        <f>IF(D2373="","",MOD(D2373-cfgDeslocamento,4)+1)</f>
        <v>0</v>
      </c>
      <c r="G2373" s="26">
        <f>IF(A2373="","",IF(AND(ISNUMBER(B2373),B2373&lt;&gt;0),1,0))</f>
        <v>0</v>
      </c>
      <c r="H2373" s="25">
        <f>IF(E2373="","",(E2373*4+3+cfgDeslocamento)/48)</f>
        <v>0</v>
      </c>
    </row>
    <row r="2374" spans="1:8">
      <c r="A2374" s="24"/>
      <c r="B2374" s="19"/>
      <c r="C2374" s="25">
        <f>IF(D2374="","",D2374/48)</f>
        <v>0</v>
      </c>
      <c r="D2374" s="26">
        <f>IF(A2374="","",ROUND((A2374-cfgDefasagem/1440)*48,0))</f>
        <v>0</v>
      </c>
      <c r="E2374" s="26">
        <f>IF(D2374="","",INT((D2374-cfgDeslocamento)/4))</f>
        <v>0</v>
      </c>
      <c r="F2374" s="26">
        <f>IF(D2374="","",MOD(D2374-cfgDeslocamento,4)+1)</f>
        <v>0</v>
      </c>
      <c r="G2374" s="26">
        <f>IF(A2374="","",IF(AND(ISNUMBER(B2374),B2374&lt;&gt;0),1,0))</f>
        <v>0</v>
      </c>
      <c r="H2374" s="25">
        <f>IF(E2374="","",(E2374*4+3+cfgDeslocamento)/48)</f>
        <v>0</v>
      </c>
    </row>
    <row r="2375" spans="1:8">
      <c r="A2375" s="24"/>
      <c r="B2375" s="19"/>
      <c r="C2375" s="25">
        <f>IF(D2375="","",D2375/48)</f>
        <v>0</v>
      </c>
      <c r="D2375" s="26">
        <f>IF(A2375="","",ROUND((A2375-cfgDefasagem/1440)*48,0))</f>
        <v>0</v>
      </c>
      <c r="E2375" s="26">
        <f>IF(D2375="","",INT((D2375-cfgDeslocamento)/4))</f>
        <v>0</v>
      </c>
      <c r="F2375" s="26">
        <f>IF(D2375="","",MOD(D2375-cfgDeslocamento,4)+1)</f>
        <v>0</v>
      </c>
      <c r="G2375" s="26">
        <f>IF(A2375="","",IF(AND(ISNUMBER(B2375),B2375&lt;&gt;0),1,0))</f>
        <v>0</v>
      </c>
      <c r="H2375" s="25">
        <f>IF(E2375="","",(E2375*4+3+cfgDeslocamento)/48)</f>
        <v>0</v>
      </c>
    </row>
    <row r="2376" spans="1:8">
      <c r="A2376" s="24"/>
      <c r="B2376" s="19"/>
      <c r="C2376" s="25">
        <f>IF(D2376="","",D2376/48)</f>
        <v>0</v>
      </c>
      <c r="D2376" s="26">
        <f>IF(A2376="","",ROUND((A2376-cfgDefasagem/1440)*48,0))</f>
        <v>0</v>
      </c>
      <c r="E2376" s="26">
        <f>IF(D2376="","",INT((D2376-cfgDeslocamento)/4))</f>
        <v>0</v>
      </c>
      <c r="F2376" s="26">
        <f>IF(D2376="","",MOD(D2376-cfgDeslocamento,4)+1)</f>
        <v>0</v>
      </c>
      <c r="G2376" s="26">
        <f>IF(A2376="","",IF(AND(ISNUMBER(B2376),B2376&lt;&gt;0),1,0))</f>
        <v>0</v>
      </c>
      <c r="H2376" s="25">
        <f>IF(E2376="","",(E2376*4+3+cfgDeslocamento)/48)</f>
        <v>0</v>
      </c>
    </row>
    <row r="2377" spans="1:8">
      <c r="A2377" s="24"/>
      <c r="B2377" s="19"/>
      <c r="C2377" s="25">
        <f>IF(D2377="","",D2377/48)</f>
        <v>0</v>
      </c>
      <c r="D2377" s="26">
        <f>IF(A2377="","",ROUND((A2377-cfgDefasagem/1440)*48,0))</f>
        <v>0</v>
      </c>
      <c r="E2377" s="26">
        <f>IF(D2377="","",INT((D2377-cfgDeslocamento)/4))</f>
        <v>0</v>
      </c>
      <c r="F2377" s="26">
        <f>IF(D2377="","",MOD(D2377-cfgDeslocamento,4)+1)</f>
        <v>0</v>
      </c>
      <c r="G2377" s="26">
        <f>IF(A2377="","",IF(AND(ISNUMBER(B2377),B2377&lt;&gt;0),1,0))</f>
        <v>0</v>
      </c>
      <c r="H2377" s="25">
        <f>IF(E2377="","",(E2377*4+3+cfgDeslocamento)/48)</f>
        <v>0</v>
      </c>
    </row>
    <row r="2378" spans="1:8">
      <c r="A2378" s="24"/>
      <c r="B2378" s="19"/>
      <c r="C2378" s="25">
        <f>IF(D2378="","",D2378/48)</f>
        <v>0</v>
      </c>
      <c r="D2378" s="26">
        <f>IF(A2378="","",ROUND((A2378-cfgDefasagem/1440)*48,0))</f>
        <v>0</v>
      </c>
      <c r="E2378" s="26">
        <f>IF(D2378="","",INT((D2378-cfgDeslocamento)/4))</f>
        <v>0</v>
      </c>
      <c r="F2378" s="26">
        <f>IF(D2378="","",MOD(D2378-cfgDeslocamento,4)+1)</f>
        <v>0</v>
      </c>
      <c r="G2378" s="26">
        <f>IF(A2378="","",IF(AND(ISNUMBER(B2378),B2378&lt;&gt;0),1,0))</f>
        <v>0</v>
      </c>
      <c r="H2378" s="25">
        <f>IF(E2378="","",(E2378*4+3+cfgDeslocamento)/48)</f>
        <v>0</v>
      </c>
    </row>
    <row r="2379" spans="1:8">
      <c r="A2379" s="24"/>
      <c r="B2379" s="19"/>
      <c r="C2379" s="25">
        <f>IF(D2379="","",D2379/48)</f>
        <v>0</v>
      </c>
      <c r="D2379" s="26">
        <f>IF(A2379="","",ROUND((A2379-cfgDefasagem/1440)*48,0))</f>
        <v>0</v>
      </c>
      <c r="E2379" s="26">
        <f>IF(D2379="","",INT((D2379-cfgDeslocamento)/4))</f>
        <v>0</v>
      </c>
      <c r="F2379" s="26">
        <f>IF(D2379="","",MOD(D2379-cfgDeslocamento,4)+1)</f>
        <v>0</v>
      </c>
      <c r="G2379" s="26">
        <f>IF(A2379="","",IF(AND(ISNUMBER(B2379),B2379&lt;&gt;0),1,0))</f>
        <v>0</v>
      </c>
      <c r="H2379" s="25">
        <f>IF(E2379="","",(E2379*4+3+cfgDeslocamento)/48)</f>
        <v>0</v>
      </c>
    </row>
    <row r="2380" spans="1:8">
      <c r="A2380" s="24"/>
      <c r="B2380" s="19"/>
      <c r="C2380" s="25">
        <f>IF(D2380="","",D2380/48)</f>
        <v>0</v>
      </c>
      <c r="D2380" s="26">
        <f>IF(A2380="","",ROUND((A2380-cfgDefasagem/1440)*48,0))</f>
        <v>0</v>
      </c>
      <c r="E2380" s="26">
        <f>IF(D2380="","",INT((D2380-cfgDeslocamento)/4))</f>
        <v>0</v>
      </c>
      <c r="F2380" s="26">
        <f>IF(D2380="","",MOD(D2380-cfgDeslocamento,4)+1)</f>
        <v>0</v>
      </c>
      <c r="G2380" s="26">
        <f>IF(A2380="","",IF(AND(ISNUMBER(B2380),B2380&lt;&gt;0),1,0))</f>
        <v>0</v>
      </c>
      <c r="H2380" s="25">
        <f>IF(E2380="","",(E2380*4+3+cfgDeslocamento)/48)</f>
        <v>0</v>
      </c>
    </row>
    <row r="2381" spans="1:8">
      <c r="A2381" s="24"/>
      <c r="B2381" s="19"/>
      <c r="C2381" s="25">
        <f>IF(D2381="","",D2381/48)</f>
        <v>0</v>
      </c>
      <c r="D2381" s="26">
        <f>IF(A2381="","",ROUND((A2381-cfgDefasagem/1440)*48,0))</f>
        <v>0</v>
      </c>
      <c r="E2381" s="26">
        <f>IF(D2381="","",INT((D2381-cfgDeslocamento)/4))</f>
        <v>0</v>
      </c>
      <c r="F2381" s="26">
        <f>IF(D2381="","",MOD(D2381-cfgDeslocamento,4)+1)</f>
        <v>0</v>
      </c>
      <c r="G2381" s="26">
        <f>IF(A2381="","",IF(AND(ISNUMBER(B2381),B2381&lt;&gt;0),1,0))</f>
        <v>0</v>
      </c>
      <c r="H2381" s="25">
        <f>IF(E2381="","",(E2381*4+3+cfgDeslocamento)/48)</f>
        <v>0</v>
      </c>
    </row>
    <row r="2382" spans="1:8">
      <c r="A2382" s="24"/>
      <c r="B2382" s="19"/>
      <c r="C2382" s="25">
        <f>IF(D2382="","",D2382/48)</f>
        <v>0</v>
      </c>
      <c r="D2382" s="26">
        <f>IF(A2382="","",ROUND((A2382-cfgDefasagem/1440)*48,0))</f>
        <v>0</v>
      </c>
      <c r="E2382" s="26">
        <f>IF(D2382="","",INT((D2382-cfgDeslocamento)/4))</f>
        <v>0</v>
      </c>
      <c r="F2382" s="26">
        <f>IF(D2382="","",MOD(D2382-cfgDeslocamento,4)+1)</f>
        <v>0</v>
      </c>
      <c r="G2382" s="26">
        <f>IF(A2382="","",IF(AND(ISNUMBER(B2382),B2382&lt;&gt;0),1,0))</f>
        <v>0</v>
      </c>
      <c r="H2382" s="25">
        <f>IF(E2382="","",(E2382*4+3+cfgDeslocamento)/48)</f>
        <v>0</v>
      </c>
    </row>
    <row r="2383" spans="1:8">
      <c r="A2383" s="24"/>
      <c r="B2383" s="19"/>
      <c r="C2383" s="25">
        <f>IF(D2383="","",D2383/48)</f>
        <v>0</v>
      </c>
      <c r="D2383" s="26">
        <f>IF(A2383="","",ROUND((A2383-cfgDefasagem/1440)*48,0))</f>
        <v>0</v>
      </c>
      <c r="E2383" s="26">
        <f>IF(D2383="","",INT((D2383-cfgDeslocamento)/4))</f>
        <v>0</v>
      </c>
      <c r="F2383" s="26">
        <f>IF(D2383="","",MOD(D2383-cfgDeslocamento,4)+1)</f>
        <v>0</v>
      </c>
      <c r="G2383" s="26">
        <f>IF(A2383="","",IF(AND(ISNUMBER(B2383),B2383&lt;&gt;0),1,0))</f>
        <v>0</v>
      </c>
      <c r="H2383" s="25">
        <f>IF(E2383="","",(E2383*4+3+cfgDeslocamento)/48)</f>
        <v>0</v>
      </c>
    </row>
    <row r="2384" spans="1:8">
      <c r="A2384" s="24"/>
      <c r="B2384" s="19"/>
      <c r="C2384" s="25">
        <f>IF(D2384="","",D2384/48)</f>
        <v>0</v>
      </c>
      <c r="D2384" s="26">
        <f>IF(A2384="","",ROUND((A2384-cfgDefasagem/1440)*48,0))</f>
        <v>0</v>
      </c>
      <c r="E2384" s="26">
        <f>IF(D2384="","",INT((D2384-cfgDeslocamento)/4))</f>
        <v>0</v>
      </c>
      <c r="F2384" s="26">
        <f>IF(D2384="","",MOD(D2384-cfgDeslocamento,4)+1)</f>
        <v>0</v>
      </c>
      <c r="G2384" s="26">
        <f>IF(A2384="","",IF(AND(ISNUMBER(B2384),B2384&lt;&gt;0),1,0))</f>
        <v>0</v>
      </c>
      <c r="H2384" s="25">
        <f>IF(E2384="","",(E2384*4+3+cfgDeslocamento)/48)</f>
        <v>0</v>
      </c>
    </row>
    <row r="2385" spans="1:8">
      <c r="A2385" s="24"/>
      <c r="B2385" s="19"/>
      <c r="C2385" s="25">
        <f>IF(D2385="","",D2385/48)</f>
        <v>0</v>
      </c>
      <c r="D2385" s="26">
        <f>IF(A2385="","",ROUND((A2385-cfgDefasagem/1440)*48,0))</f>
        <v>0</v>
      </c>
      <c r="E2385" s="26">
        <f>IF(D2385="","",INT((D2385-cfgDeslocamento)/4))</f>
        <v>0</v>
      </c>
      <c r="F2385" s="26">
        <f>IF(D2385="","",MOD(D2385-cfgDeslocamento,4)+1)</f>
        <v>0</v>
      </c>
      <c r="G2385" s="26">
        <f>IF(A2385="","",IF(AND(ISNUMBER(B2385),B2385&lt;&gt;0),1,0))</f>
        <v>0</v>
      </c>
      <c r="H2385" s="25">
        <f>IF(E2385="","",(E2385*4+3+cfgDeslocamento)/48)</f>
        <v>0</v>
      </c>
    </row>
    <row r="2386" spans="1:8">
      <c r="A2386" s="24"/>
      <c r="B2386" s="19"/>
      <c r="C2386" s="25">
        <f>IF(D2386="","",D2386/48)</f>
        <v>0</v>
      </c>
      <c r="D2386" s="26">
        <f>IF(A2386="","",ROUND((A2386-cfgDefasagem/1440)*48,0))</f>
        <v>0</v>
      </c>
      <c r="E2386" s="26">
        <f>IF(D2386="","",INT((D2386-cfgDeslocamento)/4))</f>
        <v>0</v>
      </c>
      <c r="F2386" s="26">
        <f>IF(D2386="","",MOD(D2386-cfgDeslocamento,4)+1)</f>
        <v>0</v>
      </c>
      <c r="G2386" s="26">
        <f>IF(A2386="","",IF(AND(ISNUMBER(B2386),B2386&lt;&gt;0),1,0))</f>
        <v>0</v>
      </c>
      <c r="H2386" s="25">
        <f>IF(E2386="","",(E2386*4+3+cfgDeslocamento)/48)</f>
        <v>0</v>
      </c>
    </row>
    <row r="2387" spans="1:8">
      <c r="A2387" s="24"/>
      <c r="B2387" s="19"/>
      <c r="C2387" s="25">
        <f>IF(D2387="","",D2387/48)</f>
        <v>0</v>
      </c>
      <c r="D2387" s="26">
        <f>IF(A2387="","",ROUND((A2387-cfgDefasagem/1440)*48,0))</f>
        <v>0</v>
      </c>
      <c r="E2387" s="26">
        <f>IF(D2387="","",INT((D2387-cfgDeslocamento)/4))</f>
        <v>0</v>
      </c>
      <c r="F2387" s="26">
        <f>IF(D2387="","",MOD(D2387-cfgDeslocamento,4)+1)</f>
        <v>0</v>
      </c>
      <c r="G2387" s="26">
        <f>IF(A2387="","",IF(AND(ISNUMBER(B2387),B2387&lt;&gt;0),1,0))</f>
        <v>0</v>
      </c>
      <c r="H2387" s="25">
        <f>IF(E2387="","",(E2387*4+3+cfgDeslocamento)/48)</f>
        <v>0</v>
      </c>
    </row>
    <row r="2388" spans="1:8">
      <c r="A2388" s="24"/>
      <c r="B2388" s="19"/>
      <c r="C2388" s="25">
        <f>IF(D2388="","",D2388/48)</f>
        <v>0</v>
      </c>
      <c r="D2388" s="26">
        <f>IF(A2388="","",ROUND((A2388-cfgDefasagem/1440)*48,0))</f>
        <v>0</v>
      </c>
      <c r="E2388" s="26">
        <f>IF(D2388="","",INT((D2388-cfgDeslocamento)/4))</f>
        <v>0</v>
      </c>
      <c r="F2388" s="26">
        <f>IF(D2388="","",MOD(D2388-cfgDeslocamento,4)+1)</f>
        <v>0</v>
      </c>
      <c r="G2388" s="26">
        <f>IF(A2388="","",IF(AND(ISNUMBER(B2388),B2388&lt;&gt;0),1,0))</f>
        <v>0</v>
      </c>
      <c r="H2388" s="25">
        <f>IF(E2388="","",(E2388*4+3+cfgDeslocamento)/48)</f>
        <v>0</v>
      </c>
    </row>
    <row r="2389" spans="1:8">
      <c r="A2389" s="24"/>
      <c r="B2389" s="19"/>
      <c r="C2389" s="25">
        <f>IF(D2389="","",D2389/48)</f>
        <v>0</v>
      </c>
      <c r="D2389" s="26">
        <f>IF(A2389="","",ROUND((A2389-cfgDefasagem/1440)*48,0))</f>
        <v>0</v>
      </c>
      <c r="E2389" s="26">
        <f>IF(D2389="","",INT((D2389-cfgDeslocamento)/4))</f>
        <v>0</v>
      </c>
      <c r="F2389" s="26">
        <f>IF(D2389="","",MOD(D2389-cfgDeslocamento,4)+1)</f>
        <v>0</v>
      </c>
      <c r="G2389" s="26">
        <f>IF(A2389="","",IF(AND(ISNUMBER(B2389),B2389&lt;&gt;0),1,0))</f>
        <v>0</v>
      </c>
      <c r="H2389" s="25">
        <f>IF(E2389="","",(E2389*4+3+cfgDeslocamento)/48)</f>
        <v>0</v>
      </c>
    </row>
    <row r="2390" spans="1:8">
      <c r="A2390" s="24"/>
      <c r="B2390" s="19"/>
      <c r="C2390" s="25">
        <f>IF(D2390="","",D2390/48)</f>
        <v>0</v>
      </c>
      <c r="D2390" s="26">
        <f>IF(A2390="","",ROUND((A2390-cfgDefasagem/1440)*48,0))</f>
        <v>0</v>
      </c>
      <c r="E2390" s="26">
        <f>IF(D2390="","",INT((D2390-cfgDeslocamento)/4))</f>
        <v>0</v>
      </c>
      <c r="F2390" s="26">
        <f>IF(D2390="","",MOD(D2390-cfgDeslocamento,4)+1)</f>
        <v>0</v>
      </c>
      <c r="G2390" s="26">
        <f>IF(A2390="","",IF(AND(ISNUMBER(B2390),B2390&lt;&gt;0),1,0))</f>
        <v>0</v>
      </c>
      <c r="H2390" s="25">
        <f>IF(E2390="","",(E2390*4+3+cfgDeslocamento)/48)</f>
        <v>0</v>
      </c>
    </row>
    <row r="2391" spans="1:8">
      <c r="A2391" s="24"/>
      <c r="B2391" s="19"/>
      <c r="C2391" s="25">
        <f>IF(D2391="","",D2391/48)</f>
        <v>0</v>
      </c>
      <c r="D2391" s="26">
        <f>IF(A2391="","",ROUND((A2391-cfgDefasagem/1440)*48,0))</f>
        <v>0</v>
      </c>
      <c r="E2391" s="26">
        <f>IF(D2391="","",INT((D2391-cfgDeslocamento)/4))</f>
        <v>0</v>
      </c>
      <c r="F2391" s="26">
        <f>IF(D2391="","",MOD(D2391-cfgDeslocamento,4)+1)</f>
        <v>0</v>
      </c>
      <c r="G2391" s="26">
        <f>IF(A2391="","",IF(AND(ISNUMBER(B2391),B2391&lt;&gt;0),1,0))</f>
        <v>0</v>
      </c>
      <c r="H2391" s="25">
        <f>IF(E2391="","",(E2391*4+3+cfgDeslocamento)/48)</f>
        <v>0</v>
      </c>
    </row>
    <row r="2392" spans="1:8">
      <c r="A2392" s="24"/>
      <c r="B2392" s="19"/>
      <c r="C2392" s="25">
        <f>IF(D2392="","",D2392/48)</f>
        <v>0</v>
      </c>
      <c r="D2392" s="26">
        <f>IF(A2392="","",ROUND((A2392-cfgDefasagem/1440)*48,0))</f>
        <v>0</v>
      </c>
      <c r="E2392" s="26">
        <f>IF(D2392="","",INT((D2392-cfgDeslocamento)/4))</f>
        <v>0</v>
      </c>
      <c r="F2392" s="26">
        <f>IF(D2392="","",MOD(D2392-cfgDeslocamento,4)+1)</f>
        <v>0</v>
      </c>
      <c r="G2392" s="26">
        <f>IF(A2392="","",IF(AND(ISNUMBER(B2392),B2392&lt;&gt;0),1,0))</f>
        <v>0</v>
      </c>
      <c r="H2392" s="25">
        <f>IF(E2392="","",(E2392*4+3+cfgDeslocamento)/48)</f>
        <v>0</v>
      </c>
    </row>
    <row r="2393" spans="1:8">
      <c r="A2393" s="24"/>
      <c r="B2393" s="19"/>
      <c r="C2393" s="25">
        <f>IF(D2393="","",D2393/48)</f>
        <v>0</v>
      </c>
      <c r="D2393" s="26">
        <f>IF(A2393="","",ROUND((A2393-cfgDefasagem/1440)*48,0))</f>
        <v>0</v>
      </c>
      <c r="E2393" s="26">
        <f>IF(D2393="","",INT((D2393-cfgDeslocamento)/4))</f>
        <v>0</v>
      </c>
      <c r="F2393" s="26">
        <f>IF(D2393="","",MOD(D2393-cfgDeslocamento,4)+1)</f>
        <v>0</v>
      </c>
      <c r="G2393" s="26">
        <f>IF(A2393="","",IF(AND(ISNUMBER(B2393),B2393&lt;&gt;0),1,0))</f>
        <v>0</v>
      </c>
      <c r="H2393" s="25">
        <f>IF(E2393="","",(E2393*4+3+cfgDeslocamento)/48)</f>
        <v>0</v>
      </c>
    </row>
    <row r="2394" spans="1:8">
      <c r="A2394" s="24"/>
      <c r="B2394" s="19"/>
      <c r="C2394" s="25">
        <f>IF(D2394="","",D2394/48)</f>
        <v>0</v>
      </c>
      <c r="D2394" s="26">
        <f>IF(A2394="","",ROUND((A2394-cfgDefasagem/1440)*48,0))</f>
        <v>0</v>
      </c>
      <c r="E2394" s="26">
        <f>IF(D2394="","",INT((D2394-cfgDeslocamento)/4))</f>
        <v>0</v>
      </c>
      <c r="F2394" s="26">
        <f>IF(D2394="","",MOD(D2394-cfgDeslocamento,4)+1)</f>
        <v>0</v>
      </c>
      <c r="G2394" s="26">
        <f>IF(A2394="","",IF(AND(ISNUMBER(B2394),B2394&lt;&gt;0),1,0))</f>
        <v>0</v>
      </c>
      <c r="H2394" s="25">
        <f>IF(E2394="","",(E2394*4+3+cfgDeslocamento)/48)</f>
        <v>0</v>
      </c>
    </row>
    <row r="2395" spans="1:8">
      <c r="A2395" s="24"/>
      <c r="B2395" s="19"/>
      <c r="C2395" s="25">
        <f>IF(D2395="","",D2395/48)</f>
        <v>0</v>
      </c>
      <c r="D2395" s="26">
        <f>IF(A2395="","",ROUND((A2395-cfgDefasagem/1440)*48,0))</f>
        <v>0</v>
      </c>
      <c r="E2395" s="26">
        <f>IF(D2395="","",INT((D2395-cfgDeslocamento)/4))</f>
        <v>0</v>
      </c>
      <c r="F2395" s="26">
        <f>IF(D2395="","",MOD(D2395-cfgDeslocamento,4)+1)</f>
        <v>0</v>
      </c>
      <c r="G2395" s="26">
        <f>IF(A2395="","",IF(AND(ISNUMBER(B2395),B2395&lt;&gt;0),1,0))</f>
        <v>0</v>
      </c>
      <c r="H2395" s="25">
        <f>IF(E2395="","",(E2395*4+3+cfgDeslocamento)/48)</f>
        <v>0</v>
      </c>
    </row>
    <row r="2396" spans="1:8">
      <c r="A2396" s="24"/>
      <c r="B2396" s="19"/>
      <c r="C2396" s="25">
        <f>IF(D2396="","",D2396/48)</f>
        <v>0</v>
      </c>
      <c r="D2396" s="26">
        <f>IF(A2396="","",ROUND((A2396-cfgDefasagem/1440)*48,0))</f>
        <v>0</v>
      </c>
      <c r="E2396" s="26">
        <f>IF(D2396="","",INT((D2396-cfgDeslocamento)/4))</f>
        <v>0</v>
      </c>
      <c r="F2396" s="26">
        <f>IF(D2396="","",MOD(D2396-cfgDeslocamento,4)+1)</f>
        <v>0</v>
      </c>
      <c r="G2396" s="26">
        <f>IF(A2396="","",IF(AND(ISNUMBER(B2396),B2396&lt;&gt;0),1,0))</f>
        <v>0</v>
      </c>
      <c r="H2396" s="25">
        <f>IF(E2396="","",(E2396*4+3+cfgDeslocamento)/48)</f>
        <v>0</v>
      </c>
    </row>
    <row r="2397" spans="1:8">
      <c r="A2397" s="24"/>
      <c r="B2397" s="19"/>
      <c r="C2397" s="25">
        <f>IF(D2397="","",D2397/48)</f>
        <v>0</v>
      </c>
      <c r="D2397" s="26">
        <f>IF(A2397="","",ROUND((A2397-cfgDefasagem/1440)*48,0))</f>
        <v>0</v>
      </c>
      <c r="E2397" s="26">
        <f>IF(D2397="","",INT((D2397-cfgDeslocamento)/4))</f>
        <v>0</v>
      </c>
      <c r="F2397" s="26">
        <f>IF(D2397="","",MOD(D2397-cfgDeslocamento,4)+1)</f>
        <v>0</v>
      </c>
      <c r="G2397" s="26">
        <f>IF(A2397="","",IF(AND(ISNUMBER(B2397),B2397&lt;&gt;0),1,0))</f>
        <v>0</v>
      </c>
      <c r="H2397" s="25">
        <f>IF(E2397="","",(E2397*4+3+cfgDeslocamento)/48)</f>
        <v>0</v>
      </c>
    </row>
    <row r="2398" spans="1:8">
      <c r="A2398" s="24"/>
      <c r="B2398" s="19"/>
      <c r="C2398" s="25">
        <f>IF(D2398="","",D2398/48)</f>
        <v>0</v>
      </c>
      <c r="D2398" s="26">
        <f>IF(A2398="","",ROUND((A2398-cfgDefasagem/1440)*48,0))</f>
        <v>0</v>
      </c>
      <c r="E2398" s="26">
        <f>IF(D2398="","",INT((D2398-cfgDeslocamento)/4))</f>
        <v>0</v>
      </c>
      <c r="F2398" s="26">
        <f>IF(D2398="","",MOD(D2398-cfgDeslocamento,4)+1)</f>
        <v>0</v>
      </c>
      <c r="G2398" s="26">
        <f>IF(A2398="","",IF(AND(ISNUMBER(B2398),B2398&lt;&gt;0),1,0))</f>
        <v>0</v>
      </c>
      <c r="H2398" s="25">
        <f>IF(E2398="","",(E2398*4+3+cfgDeslocamento)/48)</f>
        <v>0</v>
      </c>
    </row>
    <row r="2399" spans="1:8">
      <c r="A2399" s="24"/>
      <c r="B2399" s="19"/>
      <c r="C2399" s="25">
        <f>IF(D2399="","",D2399/48)</f>
        <v>0</v>
      </c>
      <c r="D2399" s="26">
        <f>IF(A2399="","",ROUND((A2399-cfgDefasagem/1440)*48,0))</f>
        <v>0</v>
      </c>
      <c r="E2399" s="26">
        <f>IF(D2399="","",INT((D2399-cfgDeslocamento)/4))</f>
        <v>0</v>
      </c>
      <c r="F2399" s="26">
        <f>IF(D2399="","",MOD(D2399-cfgDeslocamento,4)+1)</f>
        <v>0</v>
      </c>
      <c r="G2399" s="26">
        <f>IF(A2399="","",IF(AND(ISNUMBER(B2399),B2399&lt;&gt;0),1,0))</f>
        <v>0</v>
      </c>
      <c r="H2399" s="25">
        <f>IF(E2399="","",(E2399*4+3+cfgDeslocamento)/48)</f>
        <v>0</v>
      </c>
    </row>
    <row r="2400" spans="1:8">
      <c r="A2400" s="24"/>
      <c r="B2400" s="19"/>
      <c r="C2400" s="25">
        <f>IF(D2400="","",D2400/48)</f>
        <v>0</v>
      </c>
      <c r="D2400" s="26">
        <f>IF(A2400="","",ROUND((A2400-cfgDefasagem/1440)*48,0))</f>
        <v>0</v>
      </c>
      <c r="E2400" s="26">
        <f>IF(D2400="","",INT((D2400-cfgDeslocamento)/4))</f>
        <v>0</v>
      </c>
      <c r="F2400" s="26">
        <f>IF(D2400="","",MOD(D2400-cfgDeslocamento,4)+1)</f>
        <v>0</v>
      </c>
      <c r="G2400" s="26">
        <f>IF(A2400="","",IF(AND(ISNUMBER(B2400),B2400&lt;&gt;0),1,0))</f>
        <v>0</v>
      </c>
      <c r="H2400" s="25">
        <f>IF(E2400="","",(E2400*4+3+cfgDeslocamento)/48)</f>
        <v>0</v>
      </c>
    </row>
    <row r="2401" spans="1:8">
      <c r="A2401" s="24"/>
      <c r="B2401" s="19"/>
      <c r="C2401" s="25">
        <f>IF(D2401="","",D2401/48)</f>
        <v>0</v>
      </c>
      <c r="D2401" s="26">
        <f>IF(A2401="","",ROUND((A2401-cfgDefasagem/1440)*48,0))</f>
        <v>0</v>
      </c>
      <c r="E2401" s="26">
        <f>IF(D2401="","",INT((D2401-cfgDeslocamento)/4))</f>
        <v>0</v>
      </c>
      <c r="F2401" s="26">
        <f>IF(D2401="","",MOD(D2401-cfgDeslocamento,4)+1)</f>
        <v>0</v>
      </c>
      <c r="G2401" s="26">
        <f>IF(A2401="","",IF(AND(ISNUMBER(B2401),B2401&lt;&gt;0),1,0))</f>
        <v>0</v>
      </c>
      <c r="H2401" s="25">
        <f>IF(E2401="","",(E2401*4+3+cfgDeslocamento)/48)</f>
        <v>0</v>
      </c>
    </row>
    <row r="2402" spans="1:8">
      <c r="A2402" s="24"/>
      <c r="B2402" s="19"/>
      <c r="C2402" s="25">
        <f>IF(D2402="","",D2402/48)</f>
        <v>0</v>
      </c>
      <c r="D2402" s="26">
        <f>IF(A2402="","",ROUND((A2402-cfgDefasagem/1440)*48,0))</f>
        <v>0</v>
      </c>
      <c r="E2402" s="26">
        <f>IF(D2402="","",INT((D2402-cfgDeslocamento)/4))</f>
        <v>0</v>
      </c>
      <c r="F2402" s="26">
        <f>IF(D2402="","",MOD(D2402-cfgDeslocamento,4)+1)</f>
        <v>0</v>
      </c>
      <c r="G2402" s="26">
        <f>IF(A2402="","",IF(AND(ISNUMBER(B2402),B2402&lt;&gt;0),1,0))</f>
        <v>0</v>
      </c>
      <c r="H2402" s="25">
        <f>IF(E2402="","",(E2402*4+3+cfgDeslocamento)/48)</f>
        <v>0</v>
      </c>
    </row>
    <row r="2403" spans="1:8">
      <c r="A2403" s="24"/>
      <c r="B2403" s="19"/>
      <c r="C2403" s="25">
        <f>IF(D2403="","",D2403/48)</f>
        <v>0</v>
      </c>
      <c r="D2403" s="26">
        <f>IF(A2403="","",ROUND((A2403-cfgDefasagem/1440)*48,0))</f>
        <v>0</v>
      </c>
      <c r="E2403" s="26">
        <f>IF(D2403="","",INT((D2403-cfgDeslocamento)/4))</f>
        <v>0</v>
      </c>
      <c r="F2403" s="26">
        <f>IF(D2403="","",MOD(D2403-cfgDeslocamento,4)+1)</f>
        <v>0</v>
      </c>
      <c r="G2403" s="26">
        <f>IF(A2403="","",IF(AND(ISNUMBER(B2403),B2403&lt;&gt;0),1,0))</f>
        <v>0</v>
      </c>
      <c r="H2403" s="25">
        <f>IF(E2403="","",(E2403*4+3+cfgDeslocamento)/48)</f>
        <v>0</v>
      </c>
    </row>
    <row r="2404" spans="1:8">
      <c r="A2404" s="24"/>
      <c r="B2404" s="19"/>
      <c r="C2404" s="25">
        <f>IF(D2404="","",D2404/48)</f>
        <v>0</v>
      </c>
      <c r="D2404" s="26">
        <f>IF(A2404="","",ROUND((A2404-cfgDefasagem/1440)*48,0))</f>
        <v>0</v>
      </c>
      <c r="E2404" s="26">
        <f>IF(D2404="","",INT((D2404-cfgDeslocamento)/4))</f>
        <v>0</v>
      </c>
      <c r="F2404" s="26">
        <f>IF(D2404="","",MOD(D2404-cfgDeslocamento,4)+1)</f>
        <v>0</v>
      </c>
      <c r="G2404" s="26">
        <f>IF(A2404="","",IF(AND(ISNUMBER(B2404),B2404&lt;&gt;0),1,0))</f>
        <v>0</v>
      </c>
      <c r="H2404" s="25">
        <f>IF(E2404="","",(E2404*4+3+cfgDeslocamento)/48)</f>
        <v>0</v>
      </c>
    </row>
    <row r="2405" spans="1:8">
      <c r="A2405" s="24"/>
      <c r="B2405" s="19"/>
      <c r="C2405" s="25">
        <f>IF(D2405="","",D2405/48)</f>
        <v>0</v>
      </c>
      <c r="D2405" s="26">
        <f>IF(A2405="","",ROUND((A2405-cfgDefasagem/1440)*48,0))</f>
        <v>0</v>
      </c>
      <c r="E2405" s="26">
        <f>IF(D2405="","",INT((D2405-cfgDeslocamento)/4))</f>
        <v>0</v>
      </c>
      <c r="F2405" s="26">
        <f>IF(D2405="","",MOD(D2405-cfgDeslocamento,4)+1)</f>
        <v>0</v>
      </c>
      <c r="G2405" s="26">
        <f>IF(A2405="","",IF(AND(ISNUMBER(B2405),B2405&lt;&gt;0),1,0))</f>
        <v>0</v>
      </c>
      <c r="H2405" s="25">
        <f>IF(E2405="","",(E2405*4+3+cfgDeslocamento)/48)</f>
        <v>0</v>
      </c>
    </row>
    <row r="2406" spans="1:8">
      <c r="A2406" s="24"/>
      <c r="B2406" s="19"/>
      <c r="C2406" s="25">
        <f>IF(D2406="","",D2406/48)</f>
        <v>0</v>
      </c>
      <c r="D2406" s="26">
        <f>IF(A2406="","",ROUND((A2406-cfgDefasagem/1440)*48,0))</f>
        <v>0</v>
      </c>
      <c r="E2406" s="26">
        <f>IF(D2406="","",INT((D2406-cfgDeslocamento)/4))</f>
        <v>0</v>
      </c>
      <c r="F2406" s="26">
        <f>IF(D2406="","",MOD(D2406-cfgDeslocamento,4)+1)</f>
        <v>0</v>
      </c>
      <c r="G2406" s="26">
        <f>IF(A2406="","",IF(AND(ISNUMBER(B2406),B2406&lt;&gt;0),1,0))</f>
        <v>0</v>
      </c>
      <c r="H2406" s="25">
        <f>IF(E2406="","",(E2406*4+3+cfgDeslocamento)/48)</f>
        <v>0</v>
      </c>
    </row>
    <row r="2407" spans="1:8">
      <c r="A2407" s="24"/>
      <c r="B2407" s="19"/>
      <c r="C2407" s="25">
        <f>IF(D2407="","",D2407/48)</f>
        <v>0</v>
      </c>
      <c r="D2407" s="26">
        <f>IF(A2407="","",ROUND((A2407-cfgDefasagem/1440)*48,0))</f>
        <v>0</v>
      </c>
      <c r="E2407" s="26">
        <f>IF(D2407="","",INT((D2407-cfgDeslocamento)/4))</f>
        <v>0</v>
      </c>
      <c r="F2407" s="26">
        <f>IF(D2407="","",MOD(D2407-cfgDeslocamento,4)+1)</f>
        <v>0</v>
      </c>
      <c r="G2407" s="26">
        <f>IF(A2407="","",IF(AND(ISNUMBER(B2407),B2407&lt;&gt;0),1,0))</f>
        <v>0</v>
      </c>
      <c r="H2407" s="25">
        <f>IF(E2407="","",(E2407*4+3+cfgDeslocamento)/48)</f>
        <v>0</v>
      </c>
    </row>
    <row r="2408" spans="1:8">
      <c r="A2408" s="24"/>
      <c r="B2408" s="19"/>
      <c r="C2408" s="25">
        <f>IF(D2408="","",D2408/48)</f>
        <v>0</v>
      </c>
      <c r="D2408" s="26">
        <f>IF(A2408="","",ROUND((A2408-cfgDefasagem/1440)*48,0))</f>
        <v>0</v>
      </c>
      <c r="E2408" s="26">
        <f>IF(D2408="","",INT((D2408-cfgDeslocamento)/4))</f>
        <v>0</v>
      </c>
      <c r="F2408" s="26">
        <f>IF(D2408="","",MOD(D2408-cfgDeslocamento,4)+1)</f>
        <v>0</v>
      </c>
      <c r="G2408" s="26">
        <f>IF(A2408="","",IF(AND(ISNUMBER(B2408),B2408&lt;&gt;0),1,0))</f>
        <v>0</v>
      </c>
      <c r="H2408" s="25">
        <f>IF(E2408="","",(E2408*4+3+cfgDeslocamento)/48)</f>
        <v>0</v>
      </c>
    </row>
    <row r="2409" spans="1:8">
      <c r="A2409" s="24"/>
      <c r="B2409" s="19"/>
      <c r="C2409" s="25">
        <f>IF(D2409="","",D2409/48)</f>
        <v>0</v>
      </c>
      <c r="D2409" s="26">
        <f>IF(A2409="","",ROUND((A2409-cfgDefasagem/1440)*48,0))</f>
        <v>0</v>
      </c>
      <c r="E2409" s="26">
        <f>IF(D2409="","",INT((D2409-cfgDeslocamento)/4))</f>
        <v>0</v>
      </c>
      <c r="F2409" s="26">
        <f>IF(D2409="","",MOD(D2409-cfgDeslocamento,4)+1)</f>
        <v>0</v>
      </c>
      <c r="G2409" s="26">
        <f>IF(A2409="","",IF(AND(ISNUMBER(B2409),B2409&lt;&gt;0),1,0))</f>
        <v>0</v>
      </c>
      <c r="H2409" s="25">
        <f>IF(E2409="","",(E2409*4+3+cfgDeslocamento)/48)</f>
        <v>0</v>
      </c>
    </row>
    <row r="2410" spans="1:8">
      <c r="A2410" s="24"/>
      <c r="B2410" s="19"/>
      <c r="C2410" s="25">
        <f>IF(D2410="","",D2410/48)</f>
        <v>0</v>
      </c>
      <c r="D2410" s="26">
        <f>IF(A2410="","",ROUND((A2410-cfgDefasagem/1440)*48,0))</f>
        <v>0</v>
      </c>
      <c r="E2410" s="26">
        <f>IF(D2410="","",INT((D2410-cfgDeslocamento)/4))</f>
        <v>0</v>
      </c>
      <c r="F2410" s="26">
        <f>IF(D2410="","",MOD(D2410-cfgDeslocamento,4)+1)</f>
        <v>0</v>
      </c>
      <c r="G2410" s="26">
        <f>IF(A2410="","",IF(AND(ISNUMBER(B2410),B2410&lt;&gt;0),1,0))</f>
        <v>0</v>
      </c>
      <c r="H2410" s="25">
        <f>IF(E2410="","",(E2410*4+3+cfgDeslocamento)/48)</f>
        <v>0</v>
      </c>
    </row>
    <row r="2411" spans="1:8">
      <c r="A2411" s="24"/>
      <c r="B2411" s="19"/>
      <c r="C2411" s="25">
        <f>IF(D2411="","",D2411/48)</f>
        <v>0</v>
      </c>
      <c r="D2411" s="26">
        <f>IF(A2411="","",ROUND((A2411-cfgDefasagem/1440)*48,0))</f>
        <v>0</v>
      </c>
      <c r="E2411" s="26">
        <f>IF(D2411="","",INT((D2411-cfgDeslocamento)/4))</f>
        <v>0</v>
      </c>
      <c r="F2411" s="26">
        <f>IF(D2411="","",MOD(D2411-cfgDeslocamento,4)+1)</f>
        <v>0</v>
      </c>
      <c r="G2411" s="26">
        <f>IF(A2411="","",IF(AND(ISNUMBER(B2411),B2411&lt;&gt;0),1,0))</f>
        <v>0</v>
      </c>
      <c r="H2411" s="25">
        <f>IF(E2411="","",(E2411*4+3+cfgDeslocamento)/48)</f>
        <v>0</v>
      </c>
    </row>
    <row r="2412" spans="1:8">
      <c r="A2412" s="24"/>
      <c r="B2412" s="19"/>
      <c r="C2412" s="25">
        <f>IF(D2412="","",D2412/48)</f>
        <v>0</v>
      </c>
      <c r="D2412" s="26">
        <f>IF(A2412="","",ROUND((A2412-cfgDefasagem/1440)*48,0))</f>
        <v>0</v>
      </c>
      <c r="E2412" s="26">
        <f>IF(D2412="","",INT((D2412-cfgDeslocamento)/4))</f>
        <v>0</v>
      </c>
      <c r="F2412" s="26">
        <f>IF(D2412="","",MOD(D2412-cfgDeslocamento,4)+1)</f>
        <v>0</v>
      </c>
      <c r="G2412" s="26">
        <f>IF(A2412="","",IF(AND(ISNUMBER(B2412),B2412&lt;&gt;0),1,0))</f>
        <v>0</v>
      </c>
      <c r="H2412" s="25">
        <f>IF(E2412="","",(E2412*4+3+cfgDeslocamento)/48)</f>
        <v>0</v>
      </c>
    </row>
    <row r="2413" spans="1:8">
      <c r="A2413" s="24"/>
      <c r="B2413" s="19"/>
      <c r="C2413" s="25">
        <f>IF(D2413="","",D2413/48)</f>
        <v>0</v>
      </c>
      <c r="D2413" s="26">
        <f>IF(A2413="","",ROUND((A2413-cfgDefasagem/1440)*48,0))</f>
        <v>0</v>
      </c>
      <c r="E2413" s="26">
        <f>IF(D2413="","",INT((D2413-cfgDeslocamento)/4))</f>
        <v>0</v>
      </c>
      <c r="F2413" s="26">
        <f>IF(D2413="","",MOD(D2413-cfgDeslocamento,4)+1)</f>
        <v>0</v>
      </c>
      <c r="G2413" s="26">
        <f>IF(A2413="","",IF(AND(ISNUMBER(B2413),B2413&lt;&gt;0),1,0))</f>
        <v>0</v>
      </c>
      <c r="H2413" s="25">
        <f>IF(E2413="","",(E2413*4+3+cfgDeslocamento)/48)</f>
        <v>0</v>
      </c>
    </row>
    <row r="2414" spans="1:8">
      <c r="A2414" s="24"/>
      <c r="B2414" s="19"/>
      <c r="C2414" s="25">
        <f>IF(D2414="","",D2414/48)</f>
        <v>0</v>
      </c>
      <c r="D2414" s="26">
        <f>IF(A2414="","",ROUND((A2414-cfgDefasagem/1440)*48,0))</f>
        <v>0</v>
      </c>
      <c r="E2414" s="26">
        <f>IF(D2414="","",INT((D2414-cfgDeslocamento)/4))</f>
        <v>0</v>
      </c>
      <c r="F2414" s="26">
        <f>IF(D2414="","",MOD(D2414-cfgDeslocamento,4)+1)</f>
        <v>0</v>
      </c>
      <c r="G2414" s="26">
        <f>IF(A2414="","",IF(AND(ISNUMBER(B2414),B2414&lt;&gt;0),1,0))</f>
        <v>0</v>
      </c>
      <c r="H2414" s="25">
        <f>IF(E2414="","",(E2414*4+3+cfgDeslocamento)/48)</f>
        <v>0</v>
      </c>
    </row>
    <row r="2415" spans="1:8">
      <c r="A2415" s="24"/>
      <c r="B2415" s="19"/>
      <c r="C2415" s="25">
        <f>IF(D2415="","",D2415/48)</f>
        <v>0</v>
      </c>
      <c r="D2415" s="26">
        <f>IF(A2415="","",ROUND((A2415-cfgDefasagem/1440)*48,0))</f>
        <v>0</v>
      </c>
      <c r="E2415" s="26">
        <f>IF(D2415="","",INT((D2415-cfgDeslocamento)/4))</f>
        <v>0</v>
      </c>
      <c r="F2415" s="26">
        <f>IF(D2415="","",MOD(D2415-cfgDeslocamento,4)+1)</f>
        <v>0</v>
      </c>
      <c r="G2415" s="26">
        <f>IF(A2415="","",IF(AND(ISNUMBER(B2415),B2415&lt;&gt;0),1,0))</f>
        <v>0</v>
      </c>
      <c r="H2415" s="25">
        <f>IF(E2415="","",(E2415*4+3+cfgDeslocamento)/48)</f>
        <v>0</v>
      </c>
    </row>
    <row r="2416" spans="1:8">
      <c r="A2416" s="24"/>
      <c r="B2416" s="19"/>
      <c r="C2416" s="25">
        <f>IF(D2416="","",D2416/48)</f>
        <v>0</v>
      </c>
      <c r="D2416" s="26">
        <f>IF(A2416="","",ROUND((A2416-cfgDefasagem/1440)*48,0))</f>
        <v>0</v>
      </c>
      <c r="E2416" s="26">
        <f>IF(D2416="","",INT((D2416-cfgDeslocamento)/4))</f>
        <v>0</v>
      </c>
      <c r="F2416" s="26">
        <f>IF(D2416="","",MOD(D2416-cfgDeslocamento,4)+1)</f>
        <v>0</v>
      </c>
      <c r="G2416" s="26">
        <f>IF(A2416="","",IF(AND(ISNUMBER(B2416),B2416&lt;&gt;0),1,0))</f>
        <v>0</v>
      </c>
      <c r="H2416" s="25">
        <f>IF(E2416="","",(E2416*4+3+cfgDeslocamento)/48)</f>
        <v>0</v>
      </c>
    </row>
    <row r="2417" spans="1:8">
      <c r="A2417" s="24"/>
      <c r="B2417" s="19"/>
      <c r="C2417" s="25">
        <f>IF(D2417="","",D2417/48)</f>
        <v>0</v>
      </c>
      <c r="D2417" s="26">
        <f>IF(A2417="","",ROUND((A2417-cfgDefasagem/1440)*48,0))</f>
        <v>0</v>
      </c>
      <c r="E2417" s="26">
        <f>IF(D2417="","",INT((D2417-cfgDeslocamento)/4))</f>
        <v>0</v>
      </c>
      <c r="F2417" s="26">
        <f>IF(D2417="","",MOD(D2417-cfgDeslocamento,4)+1)</f>
        <v>0</v>
      </c>
      <c r="G2417" s="26">
        <f>IF(A2417="","",IF(AND(ISNUMBER(B2417),B2417&lt;&gt;0),1,0))</f>
        <v>0</v>
      </c>
      <c r="H2417" s="25">
        <f>IF(E2417="","",(E2417*4+3+cfgDeslocamento)/48)</f>
        <v>0</v>
      </c>
    </row>
    <row r="2418" spans="1:8">
      <c r="A2418" s="24"/>
      <c r="B2418" s="19"/>
      <c r="C2418" s="25">
        <f>IF(D2418="","",D2418/48)</f>
        <v>0</v>
      </c>
      <c r="D2418" s="26">
        <f>IF(A2418="","",ROUND((A2418-cfgDefasagem/1440)*48,0))</f>
        <v>0</v>
      </c>
      <c r="E2418" s="26">
        <f>IF(D2418="","",INT((D2418-cfgDeslocamento)/4))</f>
        <v>0</v>
      </c>
      <c r="F2418" s="26">
        <f>IF(D2418="","",MOD(D2418-cfgDeslocamento,4)+1)</f>
        <v>0</v>
      </c>
      <c r="G2418" s="26">
        <f>IF(A2418="","",IF(AND(ISNUMBER(B2418),B2418&lt;&gt;0),1,0))</f>
        <v>0</v>
      </c>
      <c r="H2418" s="25">
        <f>IF(E2418="","",(E2418*4+3+cfgDeslocamento)/48)</f>
        <v>0</v>
      </c>
    </row>
    <row r="2419" spans="1:8">
      <c r="A2419" s="24"/>
      <c r="B2419" s="19"/>
      <c r="C2419" s="25">
        <f>IF(D2419="","",D2419/48)</f>
        <v>0</v>
      </c>
      <c r="D2419" s="26">
        <f>IF(A2419="","",ROUND((A2419-cfgDefasagem/1440)*48,0))</f>
        <v>0</v>
      </c>
      <c r="E2419" s="26">
        <f>IF(D2419="","",INT((D2419-cfgDeslocamento)/4))</f>
        <v>0</v>
      </c>
      <c r="F2419" s="26">
        <f>IF(D2419="","",MOD(D2419-cfgDeslocamento,4)+1)</f>
        <v>0</v>
      </c>
      <c r="G2419" s="26">
        <f>IF(A2419="","",IF(AND(ISNUMBER(B2419),B2419&lt;&gt;0),1,0))</f>
        <v>0</v>
      </c>
      <c r="H2419" s="25">
        <f>IF(E2419="","",(E2419*4+3+cfgDeslocamento)/48)</f>
        <v>0</v>
      </c>
    </row>
    <row r="2420" spans="1:8">
      <c r="A2420" s="24"/>
      <c r="B2420" s="19"/>
      <c r="C2420" s="25">
        <f>IF(D2420="","",D2420/48)</f>
        <v>0</v>
      </c>
      <c r="D2420" s="26">
        <f>IF(A2420="","",ROUND((A2420-cfgDefasagem/1440)*48,0))</f>
        <v>0</v>
      </c>
      <c r="E2420" s="26">
        <f>IF(D2420="","",INT((D2420-cfgDeslocamento)/4))</f>
        <v>0</v>
      </c>
      <c r="F2420" s="26">
        <f>IF(D2420="","",MOD(D2420-cfgDeslocamento,4)+1)</f>
        <v>0</v>
      </c>
      <c r="G2420" s="26">
        <f>IF(A2420="","",IF(AND(ISNUMBER(B2420),B2420&lt;&gt;0),1,0))</f>
        <v>0</v>
      </c>
      <c r="H2420" s="25">
        <f>IF(E2420="","",(E2420*4+3+cfgDeslocamento)/48)</f>
        <v>0</v>
      </c>
    </row>
    <row r="2421" spans="1:8">
      <c r="A2421" s="24"/>
      <c r="B2421" s="19"/>
      <c r="C2421" s="25">
        <f>IF(D2421="","",D2421/48)</f>
        <v>0</v>
      </c>
      <c r="D2421" s="26">
        <f>IF(A2421="","",ROUND((A2421-cfgDefasagem/1440)*48,0))</f>
        <v>0</v>
      </c>
      <c r="E2421" s="26">
        <f>IF(D2421="","",INT((D2421-cfgDeslocamento)/4))</f>
        <v>0</v>
      </c>
      <c r="F2421" s="26">
        <f>IF(D2421="","",MOD(D2421-cfgDeslocamento,4)+1)</f>
        <v>0</v>
      </c>
      <c r="G2421" s="26">
        <f>IF(A2421="","",IF(AND(ISNUMBER(B2421),B2421&lt;&gt;0),1,0))</f>
        <v>0</v>
      </c>
      <c r="H2421" s="25">
        <f>IF(E2421="","",(E2421*4+3+cfgDeslocamento)/48)</f>
        <v>0</v>
      </c>
    </row>
    <row r="2422" spans="1:8">
      <c r="A2422" s="24"/>
      <c r="B2422" s="19"/>
      <c r="C2422" s="25">
        <f>IF(D2422="","",D2422/48)</f>
        <v>0</v>
      </c>
      <c r="D2422" s="26">
        <f>IF(A2422="","",ROUND((A2422-cfgDefasagem/1440)*48,0))</f>
        <v>0</v>
      </c>
      <c r="E2422" s="26">
        <f>IF(D2422="","",INT((D2422-cfgDeslocamento)/4))</f>
        <v>0</v>
      </c>
      <c r="F2422" s="26">
        <f>IF(D2422="","",MOD(D2422-cfgDeslocamento,4)+1)</f>
        <v>0</v>
      </c>
      <c r="G2422" s="26">
        <f>IF(A2422="","",IF(AND(ISNUMBER(B2422),B2422&lt;&gt;0),1,0))</f>
        <v>0</v>
      </c>
      <c r="H2422" s="25">
        <f>IF(E2422="","",(E2422*4+3+cfgDeslocamento)/48)</f>
        <v>0</v>
      </c>
    </row>
    <row r="2423" spans="1:8">
      <c r="A2423" s="24"/>
      <c r="B2423" s="19"/>
      <c r="C2423" s="25">
        <f>IF(D2423="","",D2423/48)</f>
        <v>0</v>
      </c>
      <c r="D2423" s="26">
        <f>IF(A2423="","",ROUND((A2423-cfgDefasagem/1440)*48,0))</f>
        <v>0</v>
      </c>
      <c r="E2423" s="26">
        <f>IF(D2423="","",INT((D2423-cfgDeslocamento)/4))</f>
        <v>0</v>
      </c>
      <c r="F2423" s="26">
        <f>IF(D2423="","",MOD(D2423-cfgDeslocamento,4)+1)</f>
        <v>0</v>
      </c>
      <c r="G2423" s="26">
        <f>IF(A2423="","",IF(AND(ISNUMBER(B2423),B2423&lt;&gt;0),1,0))</f>
        <v>0</v>
      </c>
      <c r="H2423" s="25">
        <f>IF(E2423="","",(E2423*4+3+cfgDeslocamento)/48)</f>
        <v>0</v>
      </c>
    </row>
    <row r="2424" spans="1:8">
      <c r="A2424" s="24"/>
      <c r="B2424" s="19"/>
      <c r="C2424" s="25">
        <f>IF(D2424="","",D2424/48)</f>
        <v>0</v>
      </c>
      <c r="D2424" s="26">
        <f>IF(A2424="","",ROUND((A2424-cfgDefasagem/1440)*48,0))</f>
        <v>0</v>
      </c>
      <c r="E2424" s="26">
        <f>IF(D2424="","",INT((D2424-cfgDeslocamento)/4))</f>
        <v>0</v>
      </c>
      <c r="F2424" s="26">
        <f>IF(D2424="","",MOD(D2424-cfgDeslocamento,4)+1)</f>
        <v>0</v>
      </c>
      <c r="G2424" s="26">
        <f>IF(A2424="","",IF(AND(ISNUMBER(B2424),B2424&lt;&gt;0),1,0))</f>
        <v>0</v>
      </c>
      <c r="H2424" s="25">
        <f>IF(E2424="","",(E2424*4+3+cfgDeslocamento)/48)</f>
        <v>0</v>
      </c>
    </row>
    <row r="2425" spans="1:8">
      <c r="A2425" s="24"/>
      <c r="B2425" s="19"/>
      <c r="C2425" s="25">
        <f>IF(D2425="","",D2425/48)</f>
        <v>0</v>
      </c>
      <c r="D2425" s="26">
        <f>IF(A2425="","",ROUND((A2425-cfgDefasagem/1440)*48,0))</f>
        <v>0</v>
      </c>
      <c r="E2425" s="26">
        <f>IF(D2425="","",INT((D2425-cfgDeslocamento)/4))</f>
        <v>0</v>
      </c>
      <c r="F2425" s="26">
        <f>IF(D2425="","",MOD(D2425-cfgDeslocamento,4)+1)</f>
        <v>0</v>
      </c>
      <c r="G2425" s="26">
        <f>IF(A2425="","",IF(AND(ISNUMBER(B2425),B2425&lt;&gt;0),1,0))</f>
        <v>0</v>
      </c>
      <c r="H2425" s="25">
        <f>IF(E2425="","",(E2425*4+3+cfgDeslocamento)/48)</f>
        <v>0</v>
      </c>
    </row>
    <row r="2426" spans="1:8">
      <c r="A2426" s="24"/>
      <c r="B2426" s="19"/>
      <c r="C2426" s="25">
        <f>IF(D2426="","",D2426/48)</f>
        <v>0</v>
      </c>
      <c r="D2426" s="26">
        <f>IF(A2426="","",ROUND((A2426-cfgDefasagem/1440)*48,0))</f>
        <v>0</v>
      </c>
      <c r="E2426" s="26">
        <f>IF(D2426="","",INT((D2426-cfgDeslocamento)/4))</f>
        <v>0</v>
      </c>
      <c r="F2426" s="26">
        <f>IF(D2426="","",MOD(D2426-cfgDeslocamento,4)+1)</f>
        <v>0</v>
      </c>
      <c r="G2426" s="26">
        <f>IF(A2426="","",IF(AND(ISNUMBER(B2426),B2426&lt;&gt;0),1,0))</f>
        <v>0</v>
      </c>
      <c r="H2426" s="25">
        <f>IF(E2426="","",(E2426*4+3+cfgDeslocamento)/48)</f>
        <v>0</v>
      </c>
    </row>
    <row r="2427" spans="1:8">
      <c r="A2427" s="24"/>
      <c r="B2427" s="19"/>
      <c r="C2427" s="25">
        <f>IF(D2427="","",D2427/48)</f>
        <v>0</v>
      </c>
      <c r="D2427" s="26">
        <f>IF(A2427="","",ROUND((A2427-cfgDefasagem/1440)*48,0))</f>
        <v>0</v>
      </c>
      <c r="E2427" s="26">
        <f>IF(D2427="","",INT((D2427-cfgDeslocamento)/4))</f>
        <v>0</v>
      </c>
      <c r="F2427" s="26">
        <f>IF(D2427="","",MOD(D2427-cfgDeslocamento,4)+1)</f>
        <v>0</v>
      </c>
      <c r="G2427" s="26">
        <f>IF(A2427="","",IF(AND(ISNUMBER(B2427),B2427&lt;&gt;0),1,0))</f>
        <v>0</v>
      </c>
      <c r="H2427" s="25">
        <f>IF(E2427="","",(E2427*4+3+cfgDeslocamento)/48)</f>
        <v>0</v>
      </c>
    </row>
    <row r="2428" spans="1:8">
      <c r="A2428" s="24"/>
      <c r="B2428" s="19"/>
      <c r="C2428" s="25">
        <f>IF(D2428="","",D2428/48)</f>
        <v>0</v>
      </c>
      <c r="D2428" s="26">
        <f>IF(A2428="","",ROUND((A2428-cfgDefasagem/1440)*48,0))</f>
        <v>0</v>
      </c>
      <c r="E2428" s="26">
        <f>IF(D2428="","",INT((D2428-cfgDeslocamento)/4))</f>
        <v>0</v>
      </c>
      <c r="F2428" s="26">
        <f>IF(D2428="","",MOD(D2428-cfgDeslocamento,4)+1)</f>
        <v>0</v>
      </c>
      <c r="G2428" s="26">
        <f>IF(A2428="","",IF(AND(ISNUMBER(B2428),B2428&lt;&gt;0),1,0))</f>
        <v>0</v>
      </c>
      <c r="H2428" s="25">
        <f>IF(E2428="","",(E2428*4+3+cfgDeslocamento)/48)</f>
        <v>0</v>
      </c>
    </row>
    <row r="2429" spans="1:8">
      <c r="A2429" s="24"/>
      <c r="B2429" s="19"/>
      <c r="C2429" s="25">
        <f>IF(D2429="","",D2429/48)</f>
        <v>0</v>
      </c>
      <c r="D2429" s="26">
        <f>IF(A2429="","",ROUND((A2429-cfgDefasagem/1440)*48,0))</f>
        <v>0</v>
      </c>
      <c r="E2429" s="26">
        <f>IF(D2429="","",INT((D2429-cfgDeslocamento)/4))</f>
        <v>0</v>
      </c>
      <c r="F2429" s="26">
        <f>IF(D2429="","",MOD(D2429-cfgDeslocamento,4)+1)</f>
        <v>0</v>
      </c>
      <c r="G2429" s="26">
        <f>IF(A2429="","",IF(AND(ISNUMBER(B2429),B2429&lt;&gt;0),1,0))</f>
        <v>0</v>
      </c>
      <c r="H2429" s="25">
        <f>IF(E2429="","",(E2429*4+3+cfgDeslocamento)/48)</f>
        <v>0</v>
      </c>
    </row>
    <row r="2430" spans="1:8">
      <c r="A2430" s="24"/>
      <c r="B2430" s="19"/>
      <c r="C2430" s="25">
        <f>IF(D2430="","",D2430/48)</f>
        <v>0</v>
      </c>
      <c r="D2430" s="26">
        <f>IF(A2430="","",ROUND((A2430-cfgDefasagem/1440)*48,0))</f>
        <v>0</v>
      </c>
      <c r="E2430" s="26">
        <f>IF(D2430="","",INT((D2430-cfgDeslocamento)/4))</f>
        <v>0</v>
      </c>
      <c r="F2430" s="26">
        <f>IF(D2430="","",MOD(D2430-cfgDeslocamento,4)+1)</f>
        <v>0</v>
      </c>
      <c r="G2430" s="26">
        <f>IF(A2430="","",IF(AND(ISNUMBER(B2430),B2430&lt;&gt;0),1,0))</f>
        <v>0</v>
      </c>
      <c r="H2430" s="25">
        <f>IF(E2430="","",(E2430*4+3+cfgDeslocamento)/48)</f>
        <v>0</v>
      </c>
    </row>
    <row r="2431" spans="1:8">
      <c r="A2431" s="24"/>
      <c r="B2431" s="19"/>
      <c r="C2431" s="25">
        <f>IF(D2431="","",D2431/48)</f>
        <v>0</v>
      </c>
      <c r="D2431" s="26">
        <f>IF(A2431="","",ROUND((A2431-cfgDefasagem/1440)*48,0))</f>
        <v>0</v>
      </c>
      <c r="E2431" s="26">
        <f>IF(D2431="","",INT((D2431-cfgDeslocamento)/4))</f>
        <v>0</v>
      </c>
      <c r="F2431" s="26">
        <f>IF(D2431="","",MOD(D2431-cfgDeslocamento,4)+1)</f>
        <v>0</v>
      </c>
      <c r="G2431" s="26">
        <f>IF(A2431="","",IF(AND(ISNUMBER(B2431),B2431&lt;&gt;0),1,0))</f>
        <v>0</v>
      </c>
      <c r="H2431" s="25">
        <f>IF(E2431="","",(E2431*4+3+cfgDeslocamento)/48)</f>
        <v>0</v>
      </c>
    </row>
    <row r="2432" spans="1:8">
      <c r="A2432" s="24"/>
      <c r="B2432" s="19"/>
      <c r="C2432" s="25">
        <f>IF(D2432="","",D2432/48)</f>
        <v>0</v>
      </c>
      <c r="D2432" s="26">
        <f>IF(A2432="","",ROUND((A2432-cfgDefasagem/1440)*48,0))</f>
        <v>0</v>
      </c>
      <c r="E2432" s="26">
        <f>IF(D2432="","",INT((D2432-cfgDeslocamento)/4))</f>
        <v>0</v>
      </c>
      <c r="F2432" s="26">
        <f>IF(D2432="","",MOD(D2432-cfgDeslocamento,4)+1)</f>
        <v>0</v>
      </c>
      <c r="G2432" s="26">
        <f>IF(A2432="","",IF(AND(ISNUMBER(B2432),B2432&lt;&gt;0),1,0))</f>
        <v>0</v>
      </c>
      <c r="H2432" s="25">
        <f>IF(E2432="","",(E2432*4+3+cfgDeslocamento)/48)</f>
        <v>0</v>
      </c>
    </row>
    <row r="2433" spans="1:8">
      <c r="A2433" s="24"/>
      <c r="B2433" s="19"/>
      <c r="C2433" s="25">
        <f>IF(D2433="","",D2433/48)</f>
        <v>0</v>
      </c>
      <c r="D2433" s="26">
        <f>IF(A2433="","",ROUND((A2433-cfgDefasagem/1440)*48,0))</f>
        <v>0</v>
      </c>
      <c r="E2433" s="26">
        <f>IF(D2433="","",INT((D2433-cfgDeslocamento)/4))</f>
        <v>0</v>
      </c>
      <c r="F2433" s="26">
        <f>IF(D2433="","",MOD(D2433-cfgDeslocamento,4)+1)</f>
        <v>0</v>
      </c>
      <c r="G2433" s="26">
        <f>IF(A2433="","",IF(AND(ISNUMBER(B2433),B2433&lt;&gt;0),1,0))</f>
        <v>0</v>
      </c>
      <c r="H2433" s="25">
        <f>IF(E2433="","",(E2433*4+3+cfgDeslocamento)/48)</f>
        <v>0</v>
      </c>
    </row>
    <row r="2434" spans="1:8">
      <c r="A2434" s="24"/>
      <c r="B2434" s="19"/>
      <c r="C2434" s="25">
        <f>IF(D2434="","",D2434/48)</f>
        <v>0</v>
      </c>
      <c r="D2434" s="26">
        <f>IF(A2434="","",ROUND((A2434-cfgDefasagem/1440)*48,0))</f>
        <v>0</v>
      </c>
      <c r="E2434" s="26">
        <f>IF(D2434="","",INT((D2434-cfgDeslocamento)/4))</f>
        <v>0</v>
      </c>
      <c r="F2434" s="26">
        <f>IF(D2434="","",MOD(D2434-cfgDeslocamento,4)+1)</f>
        <v>0</v>
      </c>
      <c r="G2434" s="26">
        <f>IF(A2434="","",IF(AND(ISNUMBER(B2434),B2434&lt;&gt;0),1,0))</f>
        <v>0</v>
      </c>
      <c r="H2434" s="25">
        <f>IF(E2434="","",(E2434*4+3+cfgDeslocamento)/48)</f>
        <v>0</v>
      </c>
    </row>
    <row r="2435" spans="1:8">
      <c r="A2435" s="24"/>
      <c r="B2435" s="19"/>
      <c r="C2435" s="25">
        <f>IF(D2435="","",D2435/48)</f>
        <v>0</v>
      </c>
      <c r="D2435" s="26">
        <f>IF(A2435="","",ROUND((A2435-cfgDefasagem/1440)*48,0))</f>
        <v>0</v>
      </c>
      <c r="E2435" s="26">
        <f>IF(D2435="","",INT((D2435-cfgDeslocamento)/4))</f>
        <v>0</v>
      </c>
      <c r="F2435" s="26">
        <f>IF(D2435="","",MOD(D2435-cfgDeslocamento,4)+1)</f>
        <v>0</v>
      </c>
      <c r="G2435" s="26">
        <f>IF(A2435="","",IF(AND(ISNUMBER(B2435),B2435&lt;&gt;0),1,0))</f>
        <v>0</v>
      </c>
      <c r="H2435" s="25">
        <f>IF(E2435="","",(E2435*4+3+cfgDeslocamento)/48)</f>
        <v>0</v>
      </c>
    </row>
    <row r="2436" spans="1:8">
      <c r="A2436" s="24"/>
      <c r="B2436" s="19"/>
      <c r="C2436" s="25">
        <f>IF(D2436="","",D2436/48)</f>
        <v>0</v>
      </c>
      <c r="D2436" s="26">
        <f>IF(A2436="","",ROUND((A2436-cfgDefasagem/1440)*48,0))</f>
        <v>0</v>
      </c>
      <c r="E2436" s="26">
        <f>IF(D2436="","",INT((D2436-cfgDeslocamento)/4))</f>
        <v>0</v>
      </c>
      <c r="F2436" s="26">
        <f>IF(D2436="","",MOD(D2436-cfgDeslocamento,4)+1)</f>
        <v>0</v>
      </c>
      <c r="G2436" s="26">
        <f>IF(A2436="","",IF(AND(ISNUMBER(B2436),B2436&lt;&gt;0),1,0))</f>
        <v>0</v>
      </c>
      <c r="H2436" s="25">
        <f>IF(E2436="","",(E2436*4+3+cfgDeslocamento)/48)</f>
        <v>0</v>
      </c>
    </row>
    <row r="2437" spans="1:8">
      <c r="A2437" s="24"/>
      <c r="B2437" s="19"/>
      <c r="C2437" s="25">
        <f>IF(D2437="","",D2437/48)</f>
        <v>0</v>
      </c>
      <c r="D2437" s="26">
        <f>IF(A2437="","",ROUND((A2437-cfgDefasagem/1440)*48,0))</f>
        <v>0</v>
      </c>
      <c r="E2437" s="26">
        <f>IF(D2437="","",INT((D2437-cfgDeslocamento)/4))</f>
        <v>0</v>
      </c>
      <c r="F2437" s="26">
        <f>IF(D2437="","",MOD(D2437-cfgDeslocamento,4)+1)</f>
        <v>0</v>
      </c>
      <c r="G2437" s="26">
        <f>IF(A2437="","",IF(AND(ISNUMBER(B2437),B2437&lt;&gt;0),1,0))</f>
        <v>0</v>
      </c>
      <c r="H2437" s="25">
        <f>IF(E2437="","",(E2437*4+3+cfgDeslocamento)/48)</f>
        <v>0</v>
      </c>
    </row>
    <row r="2438" spans="1:8">
      <c r="A2438" s="24"/>
      <c r="B2438" s="19"/>
      <c r="C2438" s="25">
        <f>IF(D2438="","",D2438/48)</f>
        <v>0</v>
      </c>
      <c r="D2438" s="26">
        <f>IF(A2438="","",ROUND((A2438-cfgDefasagem/1440)*48,0))</f>
        <v>0</v>
      </c>
      <c r="E2438" s="26">
        <f>IF(D2438="","",INT((D2438-cfgDeslocamento)/4))</f>
        <v>0</v>
      </c>
      <c r="F2438" s="26">
        <f>IF(D2438="","",MOD(D2438-cfgDeslocamento,4)+1)</f>
        <v>0</v>
      </c>
      <c r="G2438" s="26">
        <f>IF(A2438="","",IF(AND(ISNUMBER(B2438),B2438&lt;&gt;0),1,0))</f>
        <v>0</v>
      </c>
      <c r="H2438" s="25">
        <f>IF(E2438="","",(E2438*4+3+cfgDeslocamento)/48)</f>
        <v>0</v>
      </c>
    </row>
    <row r="2439" spans="1:8">
      <c r="A2439" s="24"/>
      <c r="B2439" s="19"/>
      <c r="C2439" s="25">
        <f>IF(D2439="","",D2439/48)</f>
        <v>0</v>
      </c>
      <c r="D2439" s="26">
        <f>IF(A2439="","",ROUND((A2439-cfgDefasagem/1440)*48,0))</f>
        <v>0</v>
      </c>
      <c r="E2439" s="26">
        <f>IF(D2439="","",INT((D2439-cfgDeslocamento)/4))</f>
        <v>0</v>
      </c>
      <c r="F2439" s="26">
        <f>IF(D2439="","",MOD(D2439-cfgDeslocamento,4)+1)</f>
        <v>0</v>
      </c>
      <c r="G2439" s="26">
        <f>IF(A2439="","",IF(AND(ISNUMBER(B2439),B2439&lt;&gt;0),1,0))</f>
        <v>0</v>
      </c>
      <c r="H2439" s="25">
        <f>IF(E2439="","",(E2439*4+3+cfgDeslocamento)/48)</f>
        <v>0</v>
      </c>
    </row>
    <row r="2440" spans="1:8">
      <c r="A2440" s="24"/>
      <c r="B2440" s="19"/>
      <c r="C2440" s="25">
        <f>IF(D2440="","",D2440/48)</f>
        <v>0</v>
      </c>
      <c r="D2440" s="26">
        <f>IF(A2440="","",ROUND((A2440-cfgDefasagem/1440)*48,0))</f>
        <v>0</v>
      </c>
      <c r="E2440" s="26">
        <f>IF(D2440="","",INT((D2440-cfgDeslocamento)/4))</f>
        <v>0</v>
      </c>
      <c r="F2440" s="26">
        <f>IF(D2440="","",MOD(D2440-cfgDeslocamento,4)+1)</f>
        <v>0</v>
      </c>
      <c r="G2440" s="26">
        <f>IF(A2440="","",IF(AND(ISNUMBER(B2440),B2440&lt;&gt;0),1,0))</f>
        <v>0</v>
      </c>
      <c r="H2440" s="25">
        <f>IF(E2440="","",(E2440*4+3+cfgDeslocamento)/48)</f>
        <v>0</v>
      </c>
    </row>
    <row r="2441" spans="1:8">
      <c r="A2441" s="24"/>
      <c r="B2441" s="19"/>
      <c r="C2441" s="25">
        <f>IF(D2441="","",D2441/48)</f>
        <v>0</v>
      </c>
      <c r="D2441" s="26">
        <f>IF(A2441="","",ROUND((A2441-cfgDefasagem/1440)*48,0))</f>
        <v>0</v>
      </c>
      <c r="E2441" s="26">
        <f>IF(D2441="","",INT((D2441-cfgDeslocamento)/4))</f>
        <v>0</v>
      </c>
      <c r="F2441" s="26">
        <f>IF(D2441="","",MOD(D2441-cfgDeslocamento,4)+1)</f>
        <v>0</v>
      </c>
      <c r="G2441" s="26">
        <f>IF(A2441="","",IF(AND(ISNUMBER(B2441),B2441&lt;&gt;0),1,0))</f>
        <v>0</v>
      </c>
      <c r="H2441" s="25">
        <f>IF(E2441="","",(E2441*4+3+cfgDeslocamento)/48)</f>
        <v>0</v>
      </c>
    </row>
    <row r="2442" spans="1:8">
      <c r="A2442" s="24"/>
      <c r="B2442" s="19"/>
      <c r="C2442" s="25">
        <f>IF(D2442="","",D2442/48)</f>
        <v>0</v>
      </c>
      <c r="D2442" s="26">
        <f>IF(A2442="","",ROUND((A2442-cfgDefasagem/1440)*48,0))</f>
        <v>0</v>
      </c>
      <c r="E2442" s="26">
        <f>IF(D2442="","",INT((D2442-cfgDeslocamento)/4))</f>
        <v>0</v>
      </c>
      <c r="F2442" s="26">
        <f>IF(D2442="","",MOD(D2442-cfgDeslocamento,4)+1)</f>
        <v>0</v>
      </c>
      <c r="G2442" s="26">
        <f>IF(A2442="","",IF(AND(ISNUMBER(B2442),B2442&lt;&gt;0),1,0))</f>
        <v>0</v>
      </c>
      <c r="H2442" s="25">
        <f>IF(E2442="","",(E2442*4+3+cfgDeslocamento)/48)</f>
        <v>0</v>
      </c>
    </row>
    <row r="2443" spans="1:8">
      <c r="A2443" s="24"/>
      <c r="B2443" s="19"/>
      <c r="C2443" s="25">
        <f>IF(D2443="","",D2443/48)</f>
        <v>0</v>
      </c>
      <c r="D2443" s="26">
        <f>IF(A2443="","",ROUND((A2443-cfgDefasagem/1440)*48,0))</f>
        <v>0</v>
      </c>
      <c r="E2443" s="26">
        <f>IF(D2443="","",INT((D2443-cfgDeslocamento)/4))</f>
        <v>0</v>
      </c>
      <c r="F2443" s="26">
        <f>IF(D2443="","",MOD(D2443-cfgDeslocamento,4)+1)</f>
        <v>0</v>
      </c>
      <c r="G2443" s="26">
        <f>IF(A2443="","",IF(AND(ISNUMBER(B2443),B2443&lt;&gt;0),1,0))</f>
        <v>0</v>
      </c>
      <c r="H2443" s="25">
        <f>IF(E2443="","",(E2443*4+3+cfgDeslocamento)/48)</f>
        <v>0</v>
      </c>
    </row>
    <row r="2444" spans="1:8">
      <c r="A2444" s="24"/>
      <c r="B2444" s="19"/>
      <c r="C2444" s="25">
        <f>IF(D2444="","",D2444/48)</f>
        <v>0</v>
      </c>
      <c r="D2444" s="26">
        <f>IF(A2444="","",ROUND((A2444-cfgDefasagem/1440)*48,0))</f>
        <v>0</v>
      </c>
      <c r="E2444" s="26">
        <f>IF(D2444="","",INT((D2444-cfgDeslocamento)/4))</f>
        <v>0</v>
      </c>
      <c r="F2444" s="26">
        <f>IF(D2444="","",MOD(D2444-cfgDeslocamento,4)+1)</f>
        <v>0</v>
      </c>
      <c r="G2444" s="26">
        <f>IF(A2444="","",IF(AND(ISNUMBER(B2444),B2444&lt;&gt;0),1,0))</f>
        <v>0</v>
      </c>
      <c r="H2444" s="25">
        <f>IF(E2444="","",(E2444*4+3+cfgDeslocamento)/48)</f>
        <v>0</v>
      </c>
    </row>
    <row r="2445" spans="1:8">
      <c r="A2445" s="24"/>
      <c r="B2445" s="19"/>
      <c r="C2445" s="25">
        <f>IF(D2445="","",D2445/48)</f>
        <v>0</v>
      </c>
      <c r="D2445" s="26">
        <f>IF(A2445="","",ROUND((A2445-cfgDefasagem/1440)*48,0))</f>
        <v>0</v>
      </c>
      <c r="E2445" s="26">
        <f>IF(D2445="","",INT((D2445-cfgDeslocamento)/4))</f>
        <v>0</v>
      </c>
      <c r="F2445" s="26">
        <f>IF(D2445="","",MOD(D2445-cfgDeslocamento,4)+1)</f>
        <v>0</v>
      </c>
      <c r="G2445" s="26">
        <f>IF(A2445="","",IF(AND(ISNUMBER(B2445),B2445&lt;&gt;0),1,0))</f>
        <v>0</v>
      </c>
      <c r="H2445" s="25">
        <f>IF(E2445="","",(E2445*4+3+cfgDeslocamento)/48)</f>
        <v>0</v>
      </c>
    </row>
    <row r="2446" spans="1:8">
      <c r="A2446" s="24"/>
      <c r="B2446" s="19"/>
      <c r="C2446" s="25">
        <f>IF(D2446="","",D2446/48)</f>
        <v>0</v>
      </c>
      <c r="D2446" s="26">
        <f>IF(A2446="","",ROUND((A2446-cfgDefasagem/1440)*48,0))</f>
        <v>0</v>
      </c>
      <c r="E2446" s="26">
        <f>IF(D2446="","",INT((D2446-cfgDeslocamento)/4))</f>
        <v>0</v>
      </c>
      <c r="F2446" s="26">
        <f>IF(D2446="","",MOD(D2446-cfgDeslocamento,4)+1)</f>
        <v>0</v>
      </c>
      <c r="G2446" s="26">
        <f>IF(A2446="","",IF(AND(ISNUMBER(B2446),B2446&lt;&gt;0),1,0))</f>
        <v>0</v>
      </c>
      <c r="H2446" s="25">
        <f>IF(E2446="","",(E2446*4+3+cfgDeslocamento)/48)</f>
        <v>0</v>
      </c>
    </row>
    <row r="2447" spans="1:8">
      <c r="A2447" s="24"/>
      <c r="B2447" s="19"/>
      <c r="C2447" s="25">
        <f>IF(D2447="","",D2447/48)</f>
        <v>0</v>
      </c>
      <c r="D2447" s="26">
        <f>IF(A2447="","",ROUND((A2447-cfgDefasagem/1440)*48,0))</f>
        <v>0</v>
      </c>
      <c r="E2447" s="26">
        <f>IF(D2447="","",INT((D2447-cfgDeslocamento)/4))</f>
        <v>0</v>
      </c>
      <c r="F2447" s="26">
        <f>IF(D2447="","",MOD(D2447-cfgDeslocamento,4)+1)</f>
        <v>0</v>
      </c>
      <c r="G2447" s="26">
        <f>IF(A2447="","",IF(AND(ISNUMBER(B2447),B2447&lt;&gt;0),1,0))</f>
        <v>0</v>
      </c>
      <c r="H2447" s="25">
        <f>IF(E2447="","",(E2447*4+3+cfgDeslocamento)/48)</f>
        <v>0</v>
      </c>
    </row>
    <row r="2448" spans="1:8">
      <c r="A2448" s="24"/>
      <c r="B2448" s="19"/>
      <c r="C2448" s="25">
        <f>IF(D2448="","",D2448/48)</f>
        <v>0</v>
      </c>
      <c r="D2448" s="26">
        <f>IF(A2448="","",ROUND((A2448-cfgDefasagem/1440)*48,0))</f>
        <v>0</v>
      </c>
      <c r="E2448" s="26">
        <f>IF(D2448="","",INT((D2448-cfgDeslocamento)/4))</f>
        <v>0</v>
      </c>
      <c r="F2448" s="26">
        <f>IF(D2448="","",MOD(D2448-cfgDeslocamento,4)+1)</f>
        <v>0</v>
      </c>
      <c r="G2448" s="26">
        <f>IF(A2448="","",IF(AND(ISNUMBER(B2448),B2448&lt;&gt;0),1,0))</f>
        <v>0</v>
      </c>
      <c r="H2448" s="25">
        <f>IF(E2448="","",(E2448*4+3+cfgDeslocamento)/48)</f>
        <v>0</v>
      </c>
    </row>
    <row r="2449" spans="1:8">
      <c r="A2449" s="24"/>
      <c r="B2449" s="19"/>
      <c r="C2449" s="25">
        <f>IF(D2449="","",D2449/48)</f>
        <v>0</v>
      </c>
      <c r="D2449" s="26">
        <f>IF(A2449="","",ROUND((A2449-cfgDefasagem/1440)*48,0))</f>
        <v>0</v>
      </c>
      <c r="E2449" s="26">
        <f>IF(D2449="","",INT((D2449-cfgDeslocamento)/4))</f>
        <v>0</v>
      </c>
      <c r="F2449" s="26">
        <f>IF(D2449="","",MOD(D2449-cfgDeslocamento,4)+1)</f>
        <v>0</v>
      </c>
      <c r="G2449" s="26">
        <f>IF(A2449="","",IF(AND(ISNUMBER(B2449),B2449&lt;&gt;0),1,0))</f>
        <v>0</v>
      </c>
      <c r="H2449" s="25">
        <f>IF(E2449="","",(E2449*4+3+cfgDeslocamento)/48)</f>
        <v>0</v>
      </c>
    </row>
    <row r="2450" spans="1:8">
      <c r="A2450" s="24"/>
      <c r="B2450" s="19"/>
      <c r="C2450" s="25">
        <f>IF(D2450="","",D2450/48)</f>
        <v>0</v>
      </c>
      <c r="D2450" s="26">
        <f>IF(A2450="","",ROUND((A2450-cfgDefasagem/1440)*48,0))</f>
        <v>0</v>
      </c>
      <c r="E2450" s="26">
        <f>IF(D2450="","",INT((D2450-cfgDeslocamento)/4))</f>
        <v>0</v>
      </c>
      <c r="F2450" s="26">
        <f>IF(D2450="","",MOD(D2450-cfgDeslocamento,4)+1)</f>
        <v>0</v>
      </c>
      <c r="G2450" s="26">
        <f>IF(A2450="","",IF(AND(ISNUMBER(B2450),B2450&lt;&gt;0),1,0))</f>
        <v>0</v>
      </c>
      <c r="H2450" s="25">
        <f>IF(E2450="","",(E2450*4+3+cfgDeslocamento)/48)</f>
        <v>0</v>
      </c>
    </row>
    <row r="2451" spans="1:8">
      <c r="A2451" s="24"/>
      <c r="B2451" s="19"/>
      <c r="C2451" s="25">
        <f>IF(D2451="","",D2451/48)</f>
        <v>0</v>
      </c>
      <c r="D2451" s="26">
        <f>IF(A2451="","",ROUND((A2451-cfgDefasagem/1440)*48,0))</f>
        <v>0</v>
      </c>
      <c r="E2451" s="26">
        <f>IF(D2451="","",INT((D2451-cfgDeslocamento)/4))</f>
        <v>0</v>
      </c>
      <c r="F2451" s="26">
        <f>IF(D2451="","",MOD(D2451-cfgDeslocamento,4)+1)</f>
        <v>0</v>
      </c>
      <c r="G2451" s="26">
        <f>IF(A2451="","",IF(AND(ISNUMBER(B2451),B2451&lt;&gt;0),1,0))</f>
        <v>0</v>
      </c>
      <c r="H2451" s="25">
        <f>IF(E2451="","",(E2451*4+3+cfgDeslocamento)/48)</f>
        <v>0</v>
      </c>
    </row>
    <row r="2452" spans="1:8">
      <c r="A2452" s="24"/>
      <c r="B2452" s="19"/>
      <c r="C2452" s="25">
        <f>IF(D2452="","",D2452/48)</f>
        <v>0</v>
      </c>
      <c r="D2452" s="26">
        <f>IF(A2452="","",ROUND((A2452-cfgDefasagem/1440)*48,0))</f>
        <v>0</v>
      </c>
      <c r="E2452" s="26">
        <f>IF(D2452="","",INT((D2452-cfgDeslocamento)/4))</f>
        <v>0</v>
      </c>
      <c r="F2452" s="26">
        <f>IF(D2452="","",MOD(D2452-cfgDeslocamento,4)+1)</f>
        <v>0</v>
      </c>
      <c r="G2452" s="26">
        <f>IF(A2452="","",IF(AND(ISNUMBER(B2452),B2452&lt;&gt;0),1,0))</f>
        <v>0</v>
      </c>
      <c r="H2452" s="25">
        <f>IF(E2452="","",(E2452*4+3+cfgDeslocamento)/48)</f>
        <v>0</v>
      </c>
    </row>
    <row r="2453" spans="1:8">
      <c r="A2453" s="24"/>
      <c r="B2453" s="19"/>
      <c r="C2453" s="25">
        <f>IF(D2453="","",D2453/48)</f>
        <v>0</v>
      </c>
      <c r="D2453" s="26">
        <f>IF(A2453="","",ROUND((A2453-cfgDefasagem/1440)*48,0))</f>
        <v>0</v>
      </c>
      <c r="E2453" s="26">
        <f>IF(D2453="","",INT((D2453-cfgDeslocamento)/4))</f>
        <v>0</v>
      </c>
      <c r="F2453" s="26">
        <f>IF(D2453="","",MOD(D2453-cfgDeslocamento,4)+1)</f>
        <v>0</v>
      </c>
      <c r="G2453" s="26">
        <f>IF(A2453="","",IF(AND(ISNUMBER(B2453),B2453&lt;&gt;0),1,0))</f>
        <v>0</v>
      </c>
      <c r="H2453" s="25">
        <f>IF(E2453="","",(E2453*4+3+cfgDeslocamento)/48)</f>
        <v>0</v>
      </c>
    </row>
    <row r="2454" spans="1:8">
      <c r="A2454" s="24"/>
      <c r="B2454" s="19"/>
      <c r="C2454" s="25">
        <f>IF(D2454="","",D2454/48)</f>
        <v>0</v>
      </c>
      <c r="D2454" s="26">
        <f>IF(A2454="","",ROUND((A2454-cfgDefasagem/1440)*48,0))</f>
        <v>0</v>
      </c>
      <c r="E2454" s="26">
        <f>IF(D2454="","",INT((D2454-cfgDeslocamento)/4))</f>
        <v>0</v>
      </c>
      <c r="F2454" s="26">
        <f>IF(D2454="","",MOD(D2454-cfgDeslocamento,4)+1)</f>
        <v>0</v>
      </c>
      <c r="G2454" s="26">
        <f>IF(A2454="","",IF(AND(ISNUMBER(B2454),B2454&lt;&gt;0),1,0))</f>
        <v>0</v>
      </c>
      <c r="H2454" s="25">
        <f>IF(E2454="","",(E2454*4+3+cfgDeslocamento)/48)</f>
        <v>0</v>
      </c>
    </row>
    <row r="2455" spans="1:8">
      <c r="A2455" s="24"/>
      <c r="B2455" s="19"/>
      <c r="C2455" s="25">
        <f>IF(D2455="","",D2455/48)</f>
        <v>0</v>
      </c>
      <c r="D2455" s="26">
        <f>IF(A2455="","",ROUND((A2455-cfgDefasagem/1440)*48,0))</f>
        <v>0</v>
      </c>
      <c r="E2455" s="26">
        <f>IF(D2455="","",INT((D2455-cfgDeslocamento)/4))</f>
        <v>0</v>
      </c>
      <c r="F2455" s="26">
        <f>IF(D2455="","",MOD(D2455-cfgDeslocamento,4)+1)</f>
        <v>0</v>
      </c>
      <c r="G2455" s="26">
        <f>IF(A2455="","",IF(AND(ISNUMBER(B2455),B2455&lt;&gt;0),1,0))</f>
        <v>0</v>
      </c>
      <c r="H2455" s="25">
        <f>IF(E2455="","",(E2455*4+3+cfgDeslocamento)/48)</f>
        <v>0</v>
      </c>
    </row>
    <row r="2456" spans="1:8">
      <c r="A2456" s="24"/>
      <c r="B2456" s="19"/>
      <c r="C2456" s="25">
        <f>IF(D2456="","",D2456/48)</f>
        <v>0</v>
      </c>
      <c r="D2456" s="26">
        <f>IF(A2456="","",ROUND((A2456-cfgDefasagem/1440)*48,0))</f>
        <v>0</v>
      </c>
      <c r="E2456" s="26">
        <f>IF(D2456="","",INT((D2456-cfgDeslocamento)/4))</f>
        <v>0</v>
      </c>
      <c r="F2456" s="26">
        <f>IF(D2456="","",MOD(D2456-cfgDeslocamento,4)+1)</f>
        <v>0</v>
      </c>
      <c r="G2456" s="26">
        <f>IF(A2456="","",IF(AND(ISNUMBER(B2456),B2456&lt;&gt;0),1,0))</f>
        <v>0</v>
      </c>
      <c r="H2456" s="25">
        <f>IF(E2456="","",(E2456*4+3+cfgDeslocamento)/48)</f>
        <v>0</v>
      </c>
    </row>
    <row r="2457" spans="1:8">
      <c r="A2457" s="24"/>
      <c r="B2457" s="19"/>
      <c r="C2457" s="25">
        <f>IF(D2457="","",D2457/48)</f>
        <v>0</v>
      </c>
      <c r="D2457" s="26">
        <f>IF(A2457="","",ROUND((A2457-cfgDefasagem/1440)*48,0))</f>
        <v>0</v>
      </c>
      <c r="E2457" s="26">
        <f>IF(D2457="","",INT((D2457-cfgDeslocamento)/4))</f>
        <v>0</v>
      </c>
      <c r="F2457" s="26">
        <f>IF(D2457="","",MOD(D2457-cfgDeslocamento,4)+1)</f>
        <v>0</v>
      </c>
      <c r="G2457" s="26">
        <f>IF(A2457="","",IF(AND(ISNUMBER(B2457),B2457&lt;&gt;0),1,0))</f>
        <v>0</v>
      </c>
      <c r="H2457" s="25">
        <f>IF(E2457="","",(E2457*4+3+cfgDeslocamento)/48)</f>
        <v>0</v>
      </c>
    </row>
    <row r="2458" spans="1:8">
      <c r="A2458" s="24"/>
      <c r="B2458" s="19"/>
      <c r="C2458" s="25">
        <f>IF(D2458="","",D2458/48)</f>
        <v>0</v>
      </c>
      <c r="D2458" s="26">
        <f>IF(A2458="","",ROUND((A2458-cfgDefasagem/1440)*48,0))</f>
        <v>0</v>
      </c>
      <c r="E2458" s="26">
        <f>IF(D2458="","",INT((D2458-cfgDeslocamento)/4))</f>
        <v>0</v>
      </c>
      <c r="F2458" s="26">
        <f>IF(D2458="","",MOD(D2458-cfgDeslocamento,4)+1)</f>
        <v>0</v>
      </c>
      <c r="G2458" s="26">
        <f>IF(A2458="","",IF(AND(ISNUMBER(B2458),B2458&lt;&gt;0),1,0))</f>
        <v>0</v>
      </c>
      <c r="H2458" s="25">
        <f>IF(E2458="","",(E2458*4+3+cfgDeslocamento)/48)</f>
        <v>0</v>
      </c>
    </row>
    <row r="2459" spans="1:8">
      <c r="A2459" s="24"/>
      <c r="B2459" s="19"/>
      <c r="C2459" s="25">
        <f>IF(D2459="","",D2459/48)</f>
        <v>0</v>
      </c>
      <c r="D2459" s="26">
        <f>IF(A2459="","",ROUND((A2459-cfgDefasagem/1440)*48,0))</f>
        <v>0</v>
      </c>
      <c r="E2459" s="26">
        <f>IF(D2459="","",INT((D2459-cfgDeslocamento)/4))</f>
        <v>0</v>
      </c>
      <c r="F2459" s="26">
        <f>IF(D2459="","",MOD(D2459-cfgDeslocamento,4)+1)</f>
        <v>0</v>
      </c>
      <c r="G2459" s="26">
        <f>IF(A2459="","",IF(AND(ISNUMBER(B2459),B2459&lt;&gt;0),1,0))</f>
        <v>0</v>
      </c>
      <c r="H2459" s="25">
        <f>IF(E2459="","",(E2459*4+3+cfgDeslocamento)/48)</f>
        <v>0</v>
      </c>
    </row>
    <row r="2460" spans="1:8">
      <c r="A2460" s="24"/>
      <c r="B2460" s="19"/>
      <c r="C2460" s="25">
        <f>IF(D2460="","",D2460/48)</f>
        <v>0</v>
      </c>
      <c r="D2460" s="26">
        <f>IF(A2460="","",ROUND((A2460-cfgDefasagem/1440)*48,0))</f>
        <v>0</v>
      </c>
      <c r="E2460" s="26">
        <f>IF(D2460="","",INT((D2460-cfgDeslocamento)/4))</f>
        <v>0</v>
      </c>
      <c r="F2460" s="26">
        <f>IF(D2460="","",MOD(D2460-cfgDeslocamento,4)+1)</f>
        <v>0</v>
      </c>
      <c r="G2460" s="26">
        <f>IF(A2460="","",IF(AND(ISNUMBER(B2460),B2460&lt;&gt;0),1,0))</f>
        <v>0</v>
      </c>
      <c r="H2460" s="25">
        <f>IF(E2460="","",(E2460*4+3+cfgDeslocamento)/48)</f>
        <v>0</v>
      </c>
    </row>
    <row r="2461" spans="1:8">
      <c r="A2461" s="24"/>
      <c r="B2461" s="19"/>
      <c r="C2461" s="25">
        <f>IF(D2461="","",D2461/48)</f>
        <v>0</v>
      </c>
      <c r="D2461" s="26">
        <f>IF(A2461="","",ROUND((A2461-cfgDefasagem/1440)*48,0))</f>
        <v>0</v>
      </c>
      <c r="E2461" s="26">
        <f>IF(D2461="","",INT((D2461-cfgDeslocamento)/4))</f>
        <v>0</v>
      </c>
      <c r="F2461" s="26">
        <f>IF(D2461="","",MOD(D2461-cfgDeslocamento,4)+1)</f>
        <v>0</v>
      </c>
      <c r="G2461" s="26">
        <f>IF(A2461="","",IF(AND(ISNUMBER(B2461),B2461&lt;&gt;0),1,0))</f>
        <v>0</v>
      </c>
      <c r="H2461" s="25">
        <f>IF(E2461="","",(E2461*4+3+cfgDeslocamento)/48)</f>
        <v>0</v>
      </c>
    </row>
    <row r="2462" spans="1:8">
      <c r="A2462" s="24"/>
      <c r="B2462" s="19"/>
      <c r="C2462" s="25">
        <f>IF(D2462="","",D2462/48)</f>
        <v>0</v>
      </c>
      <c r="D2462" s="26">
        <f>IF(A2462="","",ROUND((A2462-cfgDefasagem/1440)*48,0))</f>
        <v>0</v>
      </c>
      <c r="E2462" s="26">
        <f>IF(D2462="","",INT((D2462-cfgDeslocamento)/4))</f>
        <v>0</v>
      </c>
      <c r="F2462" s="26">
        <f>IF(D2462="","",MOD(D2462-cfgDeslocamento,4)+1)</f>
        <v>0</v>
      </c>
      <c r="G2462" s="26">
        <f>IF(A2462="","",IF(AND(ISNUMBER(B2462),B2462&lt;&gt;0),1,0))</f>
        <v>0</v>
      </c>
      <c r="H2462" s="25">
        <f>IF(E2462="","",(E2462*4+3+cfgDeslocamento)/48)</f>
        <v>0</v>
      </c>
    </row>
    <row r="2463" spans="1:8">
      <c r="A2463" s="24"/>
      <c r="B2463" s="19"/>
      <c r="C2463" s="25">
        <f>IF(D2463="","",D2463/48)</f>
        <v>0</v>
      </c>
      <c r="D2463" s="26">
        <f>IF(A2463="","",ROUND((A2463-cfgDefasagem/1440)*48,0))</f>
        <v>0</v>
      </c>
      <c r="E2463" s="26">
        <f>IF(D2463="","",INT((D2463-cfgDeslocamento)/4))</f>
        <v>0</v>
      </c>
      <c r="F2463" s="26">
        <f>IF(D2463="","",MOD(D2463-cfgDeslocamento,4)+1)</f>
        <v>0</v>
      </c>
      <c r="G2463" s="26">
        <f>IF(A2463="","",IF(AND(ISNUMBER(B2463),B2463&lt;&gt;0),1,0))</f>
        <v>0</v>
      </c>
      <c r="H2463" s="25">
        <f>IF(E2463="","",(E2463*4+3+cfgDeslocamento)/48)</f>
        <v>0</v>
      </c>
    </row>
    <row r="2464" spans="1:8">
      <c r="A2464" s="24"/>
      <c r="B2464" s="19"/>
      <c r="C2464" s="25">
        <f>IF(D2464="","",D2464/48)</f>
        <v>0</v>
      </c>
      <c r="D2464" s="26">
        <f>IF(A2464="","",ROUND((A2464-cfgDefasagem/1440)*48,0))</f>
        <v>0</v>
      </c>
      <c r="E2464" s="26">
        <f>IF(D2464="","",INT((D2464-cfgDeslocamento)/4))</f>
        <v>0</v>
      </c>
      <c r="F2464" s="26">
        <f>IF(D2464="","",MOD(D2464-cfgDeslocamento,4)+1)</f>
        <v>0</v>
      </c>
      <c r="G2464" s="26">
        <f>IF(A2464="","",IF(AND(ISNUMBER(B2464),B2464&lt;&gt;0),1,0))</f>
        <v>0</v>
      </c>
      <c r="H2464" s="25">
        <f>IF(E2464="","",(E2464*4+3+cfgDeslocamento)/48)</f>
        <v>0</v>
      </c>
    </row>
    <row r="2465" spans="1:8">
      <c r="A2465" s="24"/>
      <c r="B2465" s="19"/>
      <c r="C2465" s="25">
        <f>IF(D2465="","",D2465/48)</f>
        <v>0</v>
      </c>
      <c r="D2465" s="26">
        <f>IF(A2465="","",ROUND((A2465-cfgDefasagem/1440)*48,0))</f>
        <v>0</v>
      </c>
      <c r="E2465" s="26">
        <f>IF(D2465="","",INT((D2465-cfgDeslocamento)/4))</f>
        <v>0</v>
      </c>
      <c r="F2465" s="26">
        <f>IF(D2465="","",MOD(D2465-cfgDeslocamento,4)+1)</f>
        <v>0</v>
      </c>
      <c r="G2465" s="26">
        <f>IF(A2465="","",IF(AND(ISNUMBER(B2465),B2465&lt;&gt;0),1,0))</f>
        <v>0</v>
      </c>
      <c r="H2465" s="25">
        <f>IF(E2465="","",(E2465*4+3+cfgDeslocamento)/48)</f>
        <v>0</v>
      </c>
    </row>
    <row r="2466" spans="1:8">
      <c r="A2466" s="24"/>
      <c r="B2466" s="19"/>
      <c r="C2466" s="25">
        <f>IF(D2466="","",D2466/48)</f>
        <v>0</v>
      </c>
      <c r="D2466" s="26">
        <f>IF(A2466="","",ROUND((A2466-cfgDefasagem/1440)*48,0))</f>
        <v>0</v>
      </c>
      <c r="E2466" s="26">
        <f>IF(D2466="","",INT((D2466-cfgDeslocamento)/4))</f>
        <v>0</v>
      </c>
      <c r="F2466" s="26">
        <f>IF(D2466="","",MOD(D2466-cfgDeslocamento,4)+1)</f>
        <v>0</v>
      </c>
      <c r="G2466" s="26">
        <f>IF(A2466="","",IF(AND(ISNUMBER(B2466),B2466&lt;&gt;0),1,0))</f>
        <v>0</v>
      </c>
      <c r="H2466" s="25">
        <f>IF(E2466="","",(E2466*4+3+cfgDeslocamento)/48)</f>
        <v>0</v>
      </c>
    </row>
    <row r="2467" spans="1:8">
      <c r="A2467" s="24"/>
      <c r="B2467" s="19"/>
      <c r="C2467" s="25">
        <f>IF(D2467="","",D2467/48)</f>
        <v>0</v>
      </c>
      <c r="D2467" s="26">
        <f>IF(A2467="","",ROUND((A2467-cfgDefasagem/1440)*48,0))</f>
        <v>0</v>
      </c>
      <c r="E2467" s="26">
        <f>IF(D2467="","",INT((D2467-cfgDeslocamento)/4))</f>
        <v>0</v>
      </c>
      <c r="F2467" s="26">
        <f>IF(D2467="","",MOD(D2467-cfgDeslocamento,4)+1)</f>
        <v>0</v>
      </c>
      <c r="G2467" s="26">
        <f>IF(A2467="","",IF(AND(ISNUMBER(B2467),B2467&lt;&gt;0),1,0))</f>
        <v>0</v>
      </c>
      <c r="H2467" s="25">
        <f>IF(E2467="","",(E2467*4+3+cfgDeslocamento)/48)</f>
        <v>0</v>
      </c>
    </row>
    <row r="2468" spans="1:8">
      <c r="A2468" s="24"/>
      <c r="B2468" s="19"/>
      <c r="C2468" s="25">
        <f>IF(D2468="","",D2468/48)</f>
        <v>0</v>
      </c>
      <c r="D2468" s="26">
        <f>IF(A2468="","",ROUND((A2468-cfgDefasagem/1440)*48,0))</f>
        <v>0</v>
      </c>
      <c r="E2468" s="26">
        <f>IF(D2468="","",INT((D2468-cfgDeslocamento)/4))</f>
        <v>0</v>
      </c>
      <c r="F2468" s="26">
        <f>IF(D2468="","",MOD(D2468-cfgDeslocamento,4)+1)</f>
        <v>0</v>
      </c>
      <c r="G2468" s="26">
        <f>IF(A2468="","",IF(AND(ISNUMBER(B2468),B2468&lt;&gt;0),1,0))</f>
        <v>0</v>
      </c>
      <c r="H2468" s="25">
        <f>IF(E2468="","",(E2468*4+3+cfgDeslocamento)/48)</f>
        <v>0</v>
      </c>
    </row>
    <row r="2469" spans="1:8">
      <c r="A2469" s="24"/>
      <c r="B2469" s="19"/>
      <c r="C2469" s="25">
        <f>IF(D2469="","",D2469/48)</f>
        <v>0</v>
      </c>
      <c r="D2469" s="26">
        <f>IF(A2469="","",ROUND((A2469-cfgDefasagem/1440)*48,0))</f>
        <v>0</v>
      </c>
      <c r="E2469" s="26">
        <f>IF(D2469="","",INT((D2469-cfgDeslocamento)/4))</f>
        <v>0</v>
      </c>
      <c r="F2469" s="26">
        <f>IF(D2469="","",MOD(D2469-cfgDeslocamento,4)+1)</f>
        <v>0</v>
      </c>
      <c r="G2469" s="26">
        <f>IF(A2469="","",IF(AND(ISNUMBER(B2469),B2469&lt;&gt;0),1,0))</f>
        <v>0</v>
      </c>
      <c r="H2469" s="25">
        <f>IF(E2469="","",(E2469*4+3+cfgDeslocamento)/48)</f>
        <v>0</v>
      </c>
    </row>
    <row r="2470" spans="1:8">
      <c r="A2470" s="24"/>
      <c r="B2470" s="19"/>
      <c r="C2470" s="25">
        <f>IF(D2470="","",D2470/48)</f>
        <v>0</v>
      </c>
      <c r="D2470" s="26">
        <f>IF(A2470="","",ROUND((A2470-cfgDefasagem/1440)*48,0))</f>
        <v>0</v>
      </c>
      <c r="E2470" s="26">
        <f>IF(D2470="","",INT((D2470-cfgDeslocamento)/4))</f>
        <v>0</v>
      </c>
      <c r="F2470" s="26">
        <f>IF(D2470="","",MOD(D2470-cfgDeslocamento,4)+1)</f>
        <v>0</v>
      </c>
      <c r="G2470" s="26">
        <f>IF(A2470="","",IF(AND(ISNUMBER(B2470),B2470&lt;&gt;0),1,0))</f>
        <v>0</v>
      </c>
      <c r="H2470" s="25">
        <f>IF(E2470="","",(E2470*4+3+cfgDeslocamento)/48)</f>
        <v>0</v>
      </c>
    </row>
    <row r="2471" spans="1:8">
      <c r="A2471" s="24"/>
      <c r="B2471" s="19"/>
      <c r="C2471" s="25">
        <f>IF(D2471="","",D2471/48)</f>
        <v>0</v>
      </c>
      <c r="D2471" s="26">
        <f>IF(A2471="","",ROUND((A2471-cfgDefasagem/1440)*48,0))</f>
        <v>0</v>
      </c>
      <c r="E2471" s="26">
        <f>IF(D2471="","",INT((D2471-cfgDeslocamento)/4))</f>
        <v>0</v>
      </c>
      <c r="F2471" s="26">
        <f>IF(D2471="","",MOD(D2471-cfgDeslocamento,4)+1)</f>
        <v>0</v>
      </c>
      <c r="G2471" s="26">
        <f>IF(A2471="","",IF(AND(ISNUMBER(B2471),B2471&lt;&gt;0),1,0))</f>
        <v>0</v>
      </c>
      <c r="H2471" s="25">
        <f>IF(E2471="","",(E2471*4+3+cfgDeslocamento)/48)</f>
        <v>0</v>
      </c>
    </row>
    <row r="2472" spans="1:8">
      <c r="A2472" s="24"/>
      <c r="B2472" s="19"/>
      <c r="C2472" s="25">
        <f>IF(D2472="","",D2472/48)</f>
        <v>0</v>
      </c>
      <c r="D2472" s="26">
        <f>IF(A2472="","",ROUND((A2472-cfgDefasagem/1440)*48,0))</f>
        <v>0</v>
      </c>
      <c r="E2472" s="26">
        <f>IF(D2472="","",INT((D2472-cfgDeslocamento)/4))</f>
        <v>0</v>
      </c>
      <c r="F2472" s="26">
        <f>IF(D2472="","",MOD(D2472-cfgDeslocamento,4)+1)</f>
        <v>0</v>
      </c>
      <c r="G2472" s="26">
        <f>IF(A2472="","",IF(AND(ISNUMBER(B2472),B2472&lt;&gt;0),1,0))</f>
        <v>0</v>
      </c>
      <c r="H2472" s="25">
        <f>IF(E2472="","",(E2472*4+3+cfgDeslocamento)/48)</f>
        <v>0</v>
      </c>
    </row>
    <row r="2473" spans="1:8">
      <c r="A2473" s="24"/>
      <c r="B2473" s="19"/>
      <c r="C2473" s="25">
        <f>IF(D2473="","",D2473/48)</f>
        <v>0</v>
      </c>
      <c r="D2473" s="26">
        <f>IF(A2473="","",ROUND((A2473-cfgDefasagem/1440)*48,0))</f>
        <v>0</v>
      </c>
      <c r="E2473" s="26">
        <f>IF(D2473="","",INT((D2473-cfgDeslocamento)/4))</f>
        <v>0</v>
      </c>
      <c r="F2473" s="26">
        <f>IF(D2473="","",MOD(D2473-cfgDeslocamento,4)+1)</f>
        <v>0</v>
      </c>
      <c r="G2473" s="26">
        <f>IF(A2473="","",IF(AND(ISNUMBER(B2473),B2473&lt;&gt;0),1,0))</f>
        <v>0</v>
      </c>
      <c r="H2473" s="25">
        <f>IF(E2473="","",(E2473*4+3+cfgDeslocamento)/48)</f>
        <v>0</v>
      </c>
    </row>
    <row r="2474" spans="1:8">
      <c r="A2474" s="24"/>
      <c r="B2474" s="19"/>
      <c r="C2474" s="25">
        <f>IF(D2474="","",D2474/48)</f>
        <v>0</v>
      </c>
      <c r="D2474" s="26">
        <f>IF(A2474="","",ROUND((A2474-cfgDefasagem/1440)*48,0))</f>
        <v>0</v>
      </c>
      <c r="E2474" s="26">
        <f>IF(D2474="","",INT((D2474-cfgDeslocamento)/4))</f>
        <v>0</v>
      </c>
      <c r="F2474" s="26">
        <f>IF(D2474="","",MOD(D2474-cfgDeslocamento,4)+1)</f>
        <v>0</v>
      </c>
      <c r="G2474" s="26">
        <f>IF(A2474="","",IF(AND(ISNUMBER(B2474),B2474&lt;&gt;0),1,0))</f>
        <v>0</v>
      </c>
      <c r="H2474" s="25">
        <f>IF(E2474="","",(E2474*4+3+cfgDeslocamento)/48)</f>
        <v>0</v>
      </c>
    </row>
    <row r="2475" spans="1:8">
      <c r="A2475" s="24"/>
      <c r="B2475" s="19"/>
      <c r="C2475" s="25">
        <f>IF(D2475="","",D2475/48)</f>
        <v>0</v>
      </c>
      <c r="D2475" s="26">
        <f>IF(A2475="","",ROUND((A2475-cfgDefasagem/1440)*48,0))</f>
        <v>0</v>
      </c>
      <c r="E2475" s="26">
        <f>IF(D2475="","",INT((D2475-cfgDeslocamento)/4))</f>
        <v>0</v>
      </c>
      <c r="F2475" s="26">
        <f>IF(D2475="","",MOD(D2475-cfgDeslocamento,4)+1)</f>
        <v>0</v>
      </c>
      <c r="G2475" s="26">
        <f>IF(A2475="","",IF(AND(ISNUMBER(B2475),B2475&lt;&gt;0),1,0))</f>
        <v>0</v>
      </c>
      <c r="H2475" s="25">
        <f>IF(E2475="","",(E2475*4+3+cfgDeslocamento)/48)</f>
        <v>0</v>
      </c>
    </row>
    <row r="2476" spans="1:8">
      <c r="A2476" s="24"/>
      <c r="B2476" s="19"/>
      <c r="C2476" s="25">
        <f>IF(D2476="","",D2476/48)</f>
        <v>0</v>
      </c>
      <c r="D2476" s="26">
        <f>IF(A2476="","",ROUND((A2476-cfgDefasagem/1440)*48,0))</f>
        <v>0</v>
      </c>
      <c r="E2476" s="26">
        <f>IF(D2476="","",INT((D2476-cfgDeslocamento)/4))</f>
        <v>0</v>
      </c>
      <c r="F2476" s="26">
        <f>IF(D2476="","",MOD(D2476-cfgDeslocamento,4)+1)</f>
        <v>0</v>
      </c>
      <c r="G2476" s="26">
        <f>IF(A2476="","",IF(AND(ISNUMBER(B2476),B2476&lt;&gt;0),1,0))</f>
        <v>0</v>
      </c>
      <c r="H2476" s="25">
        <f>IF(E2476="","",(E2476*4+3+cfgDeslocamento)/48)</f>
        <v>0</v>
      </c>
    </row>
    <row r="2477" spans="1:8">
      <c r="A2477" s="24"/>
      <c r="B2477" s="19"/>
      <c r="C2477" s="25">
        <f>IF(D2477="","",D2477/48)</f>
        <v>0</v>
      </c>
      <c r="D2477" s="26">
        <f>IF(A2477="","",ROUND((A2477-cfgDefasagem/1440)*48,0))</f>
        <v>0</v>
      </c>
      <c r="E2477" s="26">
        <f>IF(D2477="","",INT((D2477-cfgDeslocamento)/4))</f>
        <v>0</v>
      </c>
      <c r="F2477" s="26">
        <f>IF(D2477="","",MOD(D2477-cfgDeslocamento,4)+1)</f>
        <v>0</v>
      </c>
      <c r="G2477" s="26">
        <f>IF(A2477="","",IF(AND(ISNUMBER(B2477),B2477&lt;&gt;0),1,0))</f>
        <v>0</v>
      </c>
      <c r="H2477" s="25">
        <f>IF(E2477="","",(E2477*4+3+cfgDeslocamento)/48)</f>
        <v>0</v>
      </c>
    </row>
    <row r="2478" spans="1:8">
      <c r="A2478" s="24"/>
      <c r="B2478" s="19"/>
      <c r="C2478" s="25">
        <f>IF(D2478="","",D2478/48)</f>
        <v>0</v>
      </c>
      <c r="D2478" s="26">
        <f>IF(A2478="","",ROUND((A2478-cfgDefasagem/1440)*48,0))</f>
        <v>0</v>
      </c>
      <c r="E2478" s="26">
        <f>IF(D2478="","",INT((D2478-cfgDeslocamento)/4))</f>
        <v>0</v>
      </c>
      <c r="F2478" s="26">
        <f>IF(D2478="","",MOD(D2478-cfgDeslocamento,4)+1)</f>
        <v>0</v>
      </c>
      <c r="G2478" s="26">
        <f>IF(A2478="","",IF(AND(ISNUMBER(B2478),B2478&lt;&gt;0),1,0))</f>
        <v>0</v>
      </c>
      <c r="H2478" s="25">
        <f>IF(E2478="","",(E2478*4+3+cfgDeslocamento)/48)</f>
        <v>0</v>
      </c>
    </row>
    <row r="2479" spans="1:8">
      <c r="A2479" s="24"/>
      <c r="B2479" s="19"/>
      <c r="C2479" s="25">
        <f>IF(D2479="","",D2479/48)</f>
        <v>0</v>
      </c>
      <c r="D2479" s="26">
        <f>IF(A2479="","",ROUND((A2479-cfgDefasagem/1440)*48,0))</f>
        <v>0</v>
      </c>
      <c r="E2479" s="26">
        <f>IF(D2479="","",INT((D2479-cfgDeslocamento)/4))</f>
        <v>0</v>
      </c>
      <c r="F2479" s="26">
        <f>IF(D2479="","",MOD(D2479-cfgDeslocamento,4)+1)</f>
        <v>0</v>
      </c>
      <c r="G2479" s="26">
        <f>IF(A2479="","",IF(AND(ISNUMBER(B2479),B2479&lt;&gt;0),1,0))</f>
        <v>0</v>
      </c>
      <c r="H2479" s="25">
        <f>IF(E2479="","",(E2479*4+3+cfgDeslocamento)/48)</f>
        <v>0</v>
      </c>
    </row>
    <row r="2480" spans="1:8">
      <c r="A2480" s="24"/>
      <c r="B2480" s="19"/>
      <c r="C2480" s="25">
        <f>IF(D2480="","",D2480/48)</f>
        <v>0</v>
      </c>
      <c r="D2480" s="26">
        <f>IF(A2480="","",ROUND((A2480-cfgDefasagem/1440)*48,0))</f>
        <v>0</v>
      </c>
      <c r="E2480" s="26">
        <f>IF(D2480="","",INT((D2480-cfgDeslocamento)/4))</f>
        <v>0</v>
      </c>
      <c r="F2480" s="26">
        <f>IF(D2480="","",MOD(D2480-cfgDeslocamento,4)+1)</f>
        <v>0</v>
      </c>
      <c r="G2480" s="26">
        <f>IF(A2480="","",IF(AND(ISNUMBER(B2480),B2480&lt;&gt;0),1,0))</f>
        <v>0</v>
      </c>
      <c r="H2480" s="25">
        <f>IF(E2480="","",(E2480*4+3+cfgDeslocamento)/48)</f>
        <v>0</v>
      </c>
    </row>
    <row r="2481" spans="1:8">
      <c r="A2481" s="24"/>
      <c r="B2481" s="19"/>
      <c r="C2481" s="25">
        <f>IF(D2481="","",D2481/48)</f>
        <v>0</v>
      </c>
      <c r="D2481" s="26">
        <f>IF(A2481="","",ROUND((A2481-cfgDefasagem/1440)*48,0))</f>
        <v>0</v>
      </c>
      <c r="E2481" s="26">
        <f>IF(D2481="","",INT((D2481-cfgDeslocamento)/4))</f>
        <v>0</v>
      </c>
      <c r="F2481" s="26">
        <f>IF(D2481="","",MOD(D2481-cfgDeslocamento,4)+1)</f>
        <v>0</v>
      </c>
      <c r="G2481" s="26">
        <f>IF(A2481="","",IF(AND(ISNUMBER(B2481),B2481&lt;&gt;0),1,0))</f>
        <v>0</v>
      </c>
      <c r="H2481" s="25">
        <f>IF(E2481="","",(E2481*4+3+cfgDeslocamento)/48)</f>
        <v>0</v>
      </c>
    </row>
    <row r="2482" spans="1:8">
      <c r="A2482" s="24"/>
      <c r="B2482" s="19"/>
      <c r="C2482" s="25">
        <f>IF(D2482="","",D2482/48)</f>
        <v>0</v>
      </c>
      <c r="D2482" s="26">
        <f>IF(A2482="","",ROUND((A2482-cfgDefasagem/1440)*48,0))</f>
        <v>0</v>
      </c>
      <c r="E2482" s="26">
        <f>IF(D2482="","",INT((D2482-cfgDeslocamento)/4))</f>
        <v>0</v>
      </c>
      <c r="F2482" s="26">
        <f>IF(D2482="","",MOD(D2482-cfgDeslocamento,4)+1)</f>
        <v>0</v>
      </c>
      <c r="G2482" s="26">
        <f>IF(A2482="","",IF(AND(ISNUMBER(B2482),B2482&lt;&gt;0),1,0))</f>
        <v>0</v>
      </c>
      <c r="H2482" s="25">
        <f>IF(E2482="","",(E2482*4+3+cfgDeslocamento)/48)</f>
        <v>0</v>
      </c>
    </row>
    <row r="2483" spans="1:8">
      <c r="A2483" s="24"/>
      <c r="B2483" s="19"/>
      <c r="C2483" s="25">
        <f>IF(D2483="","",D2483/48)</f>
        <v>0</v>
      </c>
      <c r="D2483" s="26">
        <f>IF(A2483="","",ROUND((A2483-cfgDefasagem/1440)*48,0))</f>
        <v>0</v>
      </c>
      <c r="E2483" s="26">
        <f>IF(D2483="","",INT((D2483-cfgDeslocamento)/4))</f>
        <v>0</v>
      </c>
      <c r="F2483" s="26">
        <f>IF(D2483="","",MOD(D2483-cfgDeslocamento,4)+1)</f>
        <v>0</v>
      </c>
      <c r="G2483" s="26">
        <f>IF(A2483="","",IF(AND(ISNUMBER(B2483),B2483&lt;&gt;0),1,0))</f>
        <v>0</v>
      </c>
      <c r="H2483" s="25">
        <f>IF(E2483="","",(E2483*4+3+cfgDeslocamento)/48)</f>
        <v>0</v>
      </c>
    </row>
    <row r="2484" spans="1:8">
      <c r="A2484" s="24"/>
      <c r="B2484" s="19"/>
      <c r="C2484" s="25">
        <f>IF(D2484="","",D2484/48)</f>
        <v>0</v>
      </c>
      <c r="D2484" s="26">
        <f>IF(A2484="","",ROUND((A2484-cfgDefasagem/1440)*48,0))</f>
        <v>0</v>
      </c>
      <c r="E2484" s="26">
        <f>IF(D2484="","",INT((D2484-cfgDeslocamento)/4))</f>
        <v>0</v>
      </c>
      <c r="F2484" s="26">
        <f>IF(D2484="","",MOD(D2484-cfgDeslocamento,4)+1)</f>
        <v>0</v>
      </c>
      <c r="G2484" s="26">
        <f>IF(A2484="","",IF(AND(ISNUMBER(B2484),B2484&lt;&gt;0),1,0))</f>
        <v>0</v>
      </c>
      <c r="H2484" s="25">
        <f>IF(E2484="","",(E2484*4+3+cfgDeslocamento)/48)</f>
        <v>0</v>
      </c>
    </row>
    <row r="2485" spans="1:8">
      <c r="A2485" s="24"/>
      <c r="B2485" s="19"/>
      <c r="C2485" s="25">
        <f>IF(D2485="","",D2485/48)</f>
        <v>0</v>
      </c>
      <c r="D2485" s="26">
        <f>IF(A2485="","",ROUND((A2485-cfgDefasagem/1440)*48,0))</f>
        <v>0</v>
      </c>
      <c r="E2485" s="26">
        <f>IF(D2485="","",INT((D2485-cfgDeslocamento)/4))</f>
        <v>0</v>
      </c>
      <c r="F2485" s="26">
        <f>IF(D2485="","",MOD(D2485-cfgDeslocamento,4)+1)</f>
        <v>0</v>
      </c>
      <c r="G2485" s="26">
        <f>IF(A2485="","",IF(AND(ISNUMBER(B2485),B2485&lt;&gt;0),1,0))</f>
        <v>0</v>
      </c>
      <c r="H2485" s="25">
        <f>IF(E2485="","",(E2485*4+3+cfgDeslocamento)/48)</f>
        <v>0</v>
      </c>
    </row>
    <row r="2486" spans="1:8">
      <c r="A2486" s="24"/>
      <c r="B2486" s="19"/>
      <c r="C2486" s="25">
        <f>IF(D2486="","",D2486/48)</f>
        <v>0</v>
      </c>
      <c r="D2486" s="26">
        <f>IF(A2486="","",ROUND((A2486-cfgDefasagem/1440)*48,0))</f>
        <v>0</v>
      </c>
      <c r="E2486" s="26">
        <f>IF(D2486="","",INT((D2486-cfgDeslocamento)/4))</f>
        <v>0</v>
      </c>
      <c r="F2486" s="26">
        <f>IF(D2486="","",MOD(D2486-cfgDeslocamento,4)+1)</f>
        <v>0</v>
      </c>
      <c r="G2486" s="26">
        <f>IF(A2486="","",IF(AND(ISNUMBER(B2486),B2486&lt;&gt;0),1,0))</f>
        <v>0</v>
      </c>
      <c r="H2486" s="25">
        <f>IF(E2486="","",(E2486*4+3+cfgDeslocamento)/48)</f>
        <v>0</v>
      </c>
    </row>
    <row r="2487" spans="1:8">
      <c r="A2487" s="24"/>
      <c r="B2487" s="19"/>
      <c r="C2487" s="25">
        <f>IF(D2487="","",D2487/48)</f>
        <v>0</v>
      </c>
      <c r="D2487" s="26">
        <f>IF(A2487="","",ROUND((A2487-cfgDefasagem/1440)*48,0))</f>
        <v>0</v>
      </c>
      <c r="E2487" s="26">
        <f>IF(D2487="","",INT((D2487-cfgDeslocamento)/4))</f>
        <v>0</v>
      </c>
      <c r="F2487" s="26">
        <f>IF(D2487="","",MOD(D2487-cfgDeslocamento,4)+1)</f>
        <v>0</v>
      </c>
      <c r="G2487" s="26">
        <f>IF(A2487="","",IF(AND(ISNUMBER(B2487),B2487&lt;&gt;0),1,0))</f>
        <v>0</v>
      </c>
      <c r="H2487" s="25">
        <f>IF(E2487="","",(E2487*4+3+cfgDeslocamento)/48)</f>
        <v>0</v>
      </c>
    </row>
    <row r="2488" spans="1:8">
      <c r="A2488" s="24"/>
      <c r="B2488" s="19"/>
      <c r="C2488" s="25">
        <f>IF(D2488="","",D2488/48)</f>
        <v>0</v>
      </c>
      <c r="D2488" s="26">
        <f>IF(A2488="","",ROUND((A2488-cfgDefasagem/1440)*48,0))</f>
        <v>0</v>
      </c>
      <c r="E2488" s="26">
        <f>IF(D2488="","",INT((D2488-cfgDeslocamento)/4))</f>
        <v>0</v>
      </c>
      <c r="F2488" s="26">
        <f>IF(D2488="","",MOD(D2488-cfgDeslocamento,4)+1)</f>
        <v>0</v>
      </c>
      <c r="G2488" s="26">
        <f>IF(A2488="","",IF(AND(ISNUMBER(B2488),B2488&lt;&gt;0),1,0))</f>
        <v>0</v>
      </c>
      <c r="H2488" s="25">
        <f>IF(E2488="","",(E2488*4+3+cfgDeslocamento)/48)</f>
        <v>0</v>
      </c>
    </row>
    <row r="2489" spans="1:8">
      <c r="A2489" s="24"/>
      <c r="B2489" s="19"/>
      <c r="C2489" s="25">
        <f>IF(D2489="","",D2489/48)</f>
        <v>0</v>
      </c>
      <c r="D2489" s="26">
        <f>IF(A2489="","",ROUND((A2489-cfgDefasagem/1440)*48,0))</f>
        <v>0</v>
      </c>
      <c r="E2489" s="26">
        <f>IF(D2489="","",INT((D2489-cfgDeslocamento)/4))</f>
        <v>0</v>
      </c>
      <c r="F2489" s="26">
        <f>IF(D2489="","",MOD(D2489-cfgDeslocamento,4)+1)</f>
        <v>0</v>
      </c>
      <c r="G2489" s="26">
        <f>IF(A2489="","",IF(AND(ISNUMBER(B2489),B2489&lt;&gt;0),1,0))</f>
        <v>0</v>
      </c>
      <c r="H2489" s="25">
        <f>IF(E2489="","",(E2489*4+3+cfgDeslocamento)/48)</f>
        <v>0</v>
      </c>
    </row>
    <row r="2490" spans="1:8">
      <c r="A2490" s="24"/>
      <c r="B2490" s="19"/>
      <c r="C2490" s="25">
        <f>IF(D2490="","",D2490/48)</f>
        <v>0</v>
      </c>
      <c r="D2490" s="26">
        <f>IF(A2490="","",ROUND((A2490-cfgDefasagem/1440)*48,0))</f>
        <v>0</v>
      </c>
      <c r="E2490" s="26">
        <f>IF(D2490="","",INT((D2490-cfgDeslocamento)/4))</f>
        <v>0</v>
      </c>
      <c r="F2490" s="26">
        <f>IF(D2490="","",MOD(D2490-cfgDeslocamento,4)+1)</f>
        <v>0</v>
      </c>
      <c r="G2490" s="26">
        <f>IF(A2490="","",IF(AND(ISNUMBER(B2490),B2490&lt;&gt;0),1,0))</f>
        <v>0</v>
      </c>
      <c r="H2490" s="25">
        <f>IF(E2490="","",(E2490*4+3+cfgDeslocamento)/48)</f>
        <v>0</v>
      </c>
    </row>
    <row r="2491" spans="1:8">
      <c r="A2491" s="24"/>
      <c r="B2491" s="19"/>
      <c r="C2491" s="25">
        <f>IF(D2491="","",D2491/48)</f>
        <v>0</v>
      </c>
      <c r="D2491" s="26">
        <f>IF(A2491="","",ROUND((A2491-cfgDefasagem/1440)*48,0))</f>
        <v>0</v>
      </c>
      <c r="E2491" s="26">
        <f>IF(D2491="","",INT((D2491-cfgDeslocamento)/4))</f>
        <v>0</v>
      </c>
      <c r="F2491" s="26">
        <f>IF(D2491="","",MOD(D2491-cfgDeslocamento,4)+1)</f>
        <v>0</v>
      </c>
      <c r="G2491" s="26">
        <f>IF(A2491="","",IF(AND(ISNUMBER(B2491),B2491&lt;&gt;0),1,0))</f>
        <v>0</v>
      </c>
      <c r="H2491" s="25">
        <f>IF(E2491="","",(E2491*4+3+cfgDeslocamento)/48)</f>
        <v>0</v>
      </c>
    </row>
    <row r="2492" spans="1:8">
      <c r="A2492" s="24"/>
      <c r="B2492" s="19"/>
      <c r="C2492" s="25">
        <f>IF(D2492="","",D2492/48)</f>
        <v>0</v>
      </c>
      <c r="D2492" s="26">
        <f>IF(A2492="","",ROUND((A2492-cfgDefasagem/1440)*48,0))</f>
        <v>0</v>
      </c>
      <c r="E2492" s="26">
        <f>IF(D2492="","",INT((D2492-cfgDeslocamento)/4))</f>
        <v>0</v>
      </c>
      <c r="F2492" s="26">
        <f>IF(D2492="","",MOD(D2492-cfgDeslocamento,4)+1)</f>
        <v>0</v>
      </c>
      <c r="G2492" s="26">
        <f>IF(A2492="","",IF(AND(ISNUMBER(B2492),B2492&lt;&gt;0),1,0))</f>
        <v>0</v>
      </c>
      <c r="H2492" s="25">
        <f>IF(E2492="","",(E2492*4+3+cfgDeslocamento)/48)</f>
        <v>0</v>
      </c>
    </row>
    <row r="2493" spans="1:8">
      <c r="A2493" s="24"/>
      <c r="B2493" s="19"/>
      <c r="C2493" s="25">
        <f>IF(D2493="","",D2493/48)</f>
        <v>0</v>
      </c>
      <c r="D2493" s="26">
        <f>IF(A2493="","",ROUND((A2493-cfgDefasagem/1440)*48,0))</f>
        <v>0</v>
      </c>
      <c r="E2493" s="26">
        <f>IF(D2493="","",INT((D2493-cfgDeslocamento)/4))</f>
        <v>0</v>
      </c>
      <c r="F2493" s="26">
        <f>IF(D2493="","",MOD(D2493-cfgDeslocamento,4)+1)</f>
        <v>0</v>
      </c>
      <c r="G2493" s="26">
        <f>IF(A2493="","",IF(AND(ISNUMBER(B2493),B2493&lt;&gt;0),1,0))</f>
        <v>0</v>
      </c>
      <c r="H2493" s="25">
        <f>IF(E2493="","",(E2493*4+3+cfgDeslocamento)/48)</f>
        <v>0</v>
      </c>
    </row>
    <row r="2494" spans="1:8">
      <c r="A2494" s="24"/>
      <c r="B2494" s="19"/>
      <c r="C2494" s="25">
        <f>IF(D2494="","",D2494/48)</f>
        <v>0</v>
      </c>
      <c r="D2494" s="26">
        <f>IF(A2494="","",ROUND((A2494-cfgDefasagem/1440)*48,0))</f>
        <v>0</v>
      </c>
      <c r="E2494" s="26">
        <f>IF(D2494="","",INT((D2494-cfgDeslocamento)/4))</f>
        <v>0</v>
      </c>
      <c r="F2494" s="26">
        <f>IF(D2494="","",MOD(D2494-cfgDeslocamento,4)+1)</f>
        <v>0</v>
      </c>
      <c r="G2494" s="26">
        <f>IF(A2494="","",IF(AND(ISNUMBER(B2494),B2494&lt;&gt;0),1,0))</f>
        <v>0</v>
      </c>
      <c r="H2494" s="25">
        <f>IF(E2494="","",(E2494*4+3+cfgDeslocamento)/48)</f>
        <v>0</v>
      </c>
    </row>
    <row r="2495" spans="1:8">
      <c r="A2495" s="24"/>
      <c r="B2495" s="19"/>
      <c r="C2495" s="25">
        <f>IF(D2495="","",D2495/48)</f>
        <v>0</v>
      </c>
      <c r="D2495" s="26">
        <f>IF(A2495="","",ROUND((A2495-cfgDefasagem/1440)*48,0))</f>
        <v>0</v>
      </c>
      <c r="E2495" s="26">
        <f>IF(D2495="","",INT((D2495-cfgDeslocamento)/4))</f>
        <v>0</v>
      </c>
      <c r="F2495" s="26">
        <f>IF(D2495="","",MOD(D2495-cfgDeslocamento,4)+1)</f>
        <v>0</v>
      </c>
      <c r="G2495" s="26">
        <f>IF(A2495="","",IF(AND(ISNUMBER(B2495),B2495&lt;&gt;0),1,0))</f>
        <v>0</v>
      </c>
      <c r="H2495" s="25">
        <f>IF(E2495="","",(E2495*4+3+cfgDeslocamento)/48)</f>
        <v>0</v>
      </c>
    </row>
    <row r="2496" spans="1:8">
      <c r="A2496" s="24"/>
      <c r="B2496" s="19"/>
      <c r="C2496" s="25">
        <f>IF(D2496="","",D2496/48)</f>
        <v>0</v>
      </c>
      <c r="D2496" s="26">
        <f>IF(A2496="","",ROUND((A2496-cfgDefasagem/1440)*48,0))</f>
        <v>0</v>
      </c>
      <c r="E2496" s="26">
        <f>IF(D2496="","",INT((D2496-cfgDeslocamento)/4))</f>
        <v>0</v>
      </c>
      <c r="F2496" s="26">
        <f>IF(D2496="","",MOD(D2496-cfgDeslocamento,4)+1)</f>
        <v>0</v>
      </c>
      <c r="G2496" s="26">
        <f>IF(A2496="","",IF(AND(ISNUMBER(B2496),B2496&lt;&gt;0),1,0))</f>
        <v>0</v>
      </c>
      <c r="H2496" s="25">
        <f>IF(E2496="","",(E2496*4+3+cfgDeslocamento)/48)</f>
        <v>0</v>
      </c>
    </row>
    <row r="2497" spans="1:8">
      <c r="A2497" s="24"/>
      <c r="B2497" s="19"/>
      <c r="C2497" s="25">
        <f>IF(D2497="","",D2497/48)</f>
        <v>0</v>
      </c>
      <c r="D2497" s="26">
        <f>IF(A2497="","",ROUND((A2497-cfgDefasagem/1440)*48,0))</f>
        <v>0</v>
      </c>
      <c r="E2497" s="26">
        <f>IF(D2497="","",INT((D2497-cfgDeslocamento)/4))</f>
        <v>0</v>
      </c>
      <c r="F2497" s="26">
        <f>IF(D2497="","",MOD(D2497-cfgDeslocamento,4)+1)</f>
        <v>0</v>
      </c>
      <c r="G2497" s="26">
        <f>IF(A2497="","",IF(AND(ISNUMBER(B2497),B2497&lt;&gt;0),1,0))</f>
        <v>0</v>
      </c>
      <c r="H2497" s="25">
        <f>IF(E2497="","",(E2497*4+3+cfgDeslocamento)/48)</f>
        <v>0</v>
      </c>
    </row>
    <row r="2498" spans="1:8">
      <c r="A2498" s="24"/>
      <c r="B2498" s="19"/>
      <c r="C2498" s="25">
        <f>IF(D2498="","",D2498/48)</f>
        <v>0</v>
      </c>
      <c r="D2498" s="26">
        <f>IF(A2498="","",ROUND((A2498-cfgDefasagem/1440)*48,0))</f>
        <v>0</v>
      </c>
      <c r="E2498" s="26">
        <f>IF(D2498="","",INT((D2498-cfgDeslocamento)/4))</f>
        <v>0</v>
      </c>
      <c r="F2498" s="26">
        <f>IF(D2498="","",MOD(D2498-cfgDeslocamento,4)+1)</f>
        <v>0</v>
      </c>
      <c r="G2498" s="26">
        <f>IF(A2498="","",IF(AND(ISNUMBER(B2498),B2498&lt;&gt;0),1,0))</f>
        <v>0</v>
      </c>
      <c r="H2498" s="25">
        <f>IF(E2498="","",(E2498*4+3+cfgDeslocamento)/48)</f>
        <v>0</v>
      </c>
    </row>
    <row r="2499" spans="1:8">
      <c r="A2499" s="24"/>
      <c r="B2499" s="19"/>
      <c r="C2499" s="25">
        <f>IF(D2499="","",D2499/48)</f>
        <v>0</v>
      </c>
      <c r="D2499" s="26">
        <f>IF(A2499="","",ROUND((A2499-cfgDefasagem/1440)*48,0))</f>
        <v>0</v>
      </c>
      <c r="E2499" s="26">
        <f>IF(D2499="","",INT((D2499-cfgDeslocamento)/4))</f>
        <v>0</v>
      </c>
      <c r="F2499" s="26">
        <f>IF(D2499="","",MOD(D2499-cfgDeslocamento,4)+1)</f>
        <v>0</v>
      </c>
      <c r="G2499" s="26">
        <f>IF(A2499="","",IF(AND(ISNUMBER(B2499),B2499&lt;&gt;0),1,0))</f>
        <v>0</v>
      </c>
      <c r="H2499" s="25">
        <f>IF(E2499="","",(E2499*4+3+cfgDeslocamento)/48)</f>
        <v>0</v>
      </c>
    </row>
    <row r="2500" spans="1:8">
      <c r="A2500" s="24"/>
      <c r="B2500" s="19"/>
      <c r="C2500" s="25">
        <f>IF(D2500="","",D2500/48)</f>
        <v>0</v>
      </c>
      <c r="D2500" s="26">
        <f>IF(A2500="","",ROUND((A2500-cfgDefasagem/1440)*48,0))</f>
        <v>0</v>
      </c>
      <c r="E2500" s="26">
        <f>IF(D2500="","",INT((D2500-cfgDeslocamento)/4))</f>
        <v>0</v>
      </c>
      <c r="F2500" s="26">
        <f>IF(D2500="","",MOD(D2500-cfgDeslocamento,4)+1)</f>
        <v>0</v>
      </c>
      <c r="G2500" s="26">
        <f>IF(A2500="","",IF(AND(ISNUMBER(B2500),B2500&lt;&gt;0),1,0))</f>
        <v>0</v>
      </c>
      <c r="H2500" s="25">
        <f>IF(E2500="","",(E2500*4+3+cfgDeslocamento)/48)</f>
        <v>0</v>
      </c>
    </row>
    <row r="2501" spans="1:8">
      <c r="A2501" s="24"/>
      <c r="B2501" s="19"/>
      <c r="C2501" s="25">
        <f>IF(D2501="","",D2501/48)</f>
        <v>0</v>
      </c>
      <c r="D2501" s="26">
        <f>IF(A2501="","",ROUND((A2501-cfgDefasagem/1440)*48,0))</f>
        <v>0</v>
      </c>
      <c r="E2501" s="26">
        <f>IF(D2501="","",INT((D2501-cfgDeslocamento)/4))</f>
        <v>0</v>
      </c>
      <c r="F2501" s="26">
        <f>IF(D2501="","",MOD(D2501-cfgDeslocamento,4)+1)</f>
        <v>0</v>
      </c>
      <c r="G2501" s="26">
        <f>IF(A2501="","",IF(AND(ISNUMBER(B2501),B2501&lt;&gt;0),1,0))</f>
        <v>0</v>
      </c>
      <c r="H2501" s="25">
        <f>IF(E2501="","",(E2501*4+3+cfgDeslocamento)/48)</f>
        <v>0</v>
      </c>
    </row>
    <row r="2502" spans="1:8">
      <c r="A2502" s="24"/>
      <c r="B2502" s="19"/>
      <c r="C2502" s="25">
        <f>IF(D2502="","",D2502/48)</f>
        <v>0</v>
      </c>
      <c r="D2502" s="26">
        <f>IF(A2502="","",ROUND((A2502-cfgDefasagem/1440)*48,0))</f>
        <v>0</v>
      </c>
      <c r="E2502" s="26">
        <f>IF(D2502="","",INT((D2502-cfgDeslocamento)/4))</f>
        <v>0</v>
      </c>
      <c r="F2502" s="26">
        <f>IF(D2502="","",MOD(D2502-cfgDeslocamento,4)+1)</f>
        <v>0</v>
      </c>
      <c r="G2502" s="26">
        <f>IF(A2502="","",IF(AND(ISNUMBER(B2502),B2502&lt;&gt;0),1,0))</f>
        <v>0</v>
      </c>
      <c r="H2502" s="25">
        <f>IF(E2502="","",(E2502*4+3+cfgDeslocamento)/48)</f>
        <v>0</v>
      </c>
    </row>
    <row r="2503" spans="1:8">
      <c r="A2503" s="24"/>
      <c r="B2503" s="19"/>
      <c r="C2503" s="25">
        <f>IF(D2503="","",D2503/48)</f>
        <v>0</v>
      </c>
      <c r="D2503" s="26">
        <f>IF(A2503="","",ROUND((A2503-cfgDefasagem/1440)*48,0))</f>
        <v>0</v>
      </c>
      <c r="E2503" s="26">
        <f>IF(D2503="","",INT((D2503-cfgDeslocamento)/4))</f>
        <v>0</v>
      </c>
      <c r="F2503" s="26">
        <f>IF(D2503="","",MOD(D2503-cfgDeslocamento,4)+1)</f>
        <v>0</v>
      </c>
      <c r="G2503" s="26">
        <f>IF(A2503="","",IF(AND(ISNUMBER(B2503),B2503&lt;&gt;0),1,0))</f>
        <v>0</v>
      </c>
      <c r="H2503" s="25">
        <f>IF(E2503="","",(E2503*4+3+cfgDeslocamento)/48)</f>
        <v>0</v>
      </c>
    </row>
    <row r="2504" spans="1:8">
      <c r="A2504" s="24"/>
      <c r="B2504" s="19"/>
      <c r="C2504" s="25">
        <f>IF(D2504="","",D2504/48)</f>
        <v>0</v>
      </c>
      <c r="D2504" s="26">
        <f>IF(A2504="","",ROUND((A2504-cfgDefasagem/1440)*48,0))</f>
        <v>0</v>
      </c>
      <c r="E2504" s="26">
        <f>IF(D2504="","",INT((D2504-cfgDeslocamento)/4))</f>
        <v>0</v>
      </c>
      <c r="F2504" s="26">
        <f>IF(D2504="","",MOD(D2504-cfgDeslocamento,4)+1)</f>
        <v>0</v>
      </c>
      <c r="G2504" s="26">
        <f>IF(A2504="","",IF(AND(ISNUMBER(B2504),B2504&lt;&gt;0),1,0))</f>
        <v>0</v>
      </c>
      <c r="H2504" s="25">
        <f>IF(E2504="","",(E2504*4+3+cfgDeslocamento)/48)</f>
        <v>0</v>
      </c>
    </row>
    <row r="2505" spans="1:8">
      <c r="A2505" s="24"/>
      <c r="B2505" s="19"/>
      <c r="C2505" s="25">
        <f>IF(D2505="","",D2505/48)</f>
        <v>0</v>
      </c>
      <c r="D2505" s="26">
        <f>IF(A2505="","",ROUND((A2505-cfgDefasagem/1440)*48,0))</f>
        <v>0</v>
      </c>
      <c r="E2505" s="26">
        <f>IF(D2505="","",INT((D2505-cfgDeslocamento)/4))</f>
        <v>0</v>
      </c>
      <c r="F2505" s="26">
        <f>IF(D2505="","",MOD(D2505-cfgDeslocamento,4)+1)</f>
        <v>0</v>
      </c>
      <c r="G2505" s="26">
        <f>IF(A2505="","",IF(AND(ISNUMBER(B2505),B2505&lt;&gt;0),1,0))</f>
        <v>0</v>
      </c>
      <c r="H2505" s="25">
        <f>IF(E2505="","",(E2505*4+3+cfgDeslocamento)/48)</f>
        <v>0</v>
      </c>
    </row>
    <row r="2506" spans="1:8">
      <c r="A2506" s="24"/>
      <c r="B2506" s="19"/>
      <c r="C2506" s="25">
        <f>IF(D2506="","",D2506/48)</f>
        <v>0</v>
      </c>
      <c r="D2506" s="26">
        <f>IF(A2506="","",ROUND((A2506-cfgDefasagem/1440)*48,0))</f>
        <v>0</v>
      </c>
      <c r="E2506" s="26">
        <f>IF(D2506="","",INT((D2506-cfgDeslocamento)/4))</f>
        <v>0</v>
      </c>
      <c r="F2506" s="26">
        <f>IF(D2506="","",MOD(D2506-cfgDeslocamento,4)+1)</f>
        <v>0</v>
      </c>
      <c r="G2506" s="26">
        <f>IF(A2506="","",IF(AND(ISNUMBER(B2506),B2506&lt;&gt;0),1,0))</f>
        <v>0</v>
      </c>
      <c r="H2506" s="25">
        <f>IF(E2506="","",(E2506*4+3+cfgDeslocamento)/48)</f>
        <v>0</v>
      </c>
    </row>
    <row r="2507" spans="1:8">
      <c r="A2507" s="24"/>
      <c r="B2507" s="19"/>
      <c r="C2507" s="25">
        <f>IF(D2507="","",D2507/48)</f>
        <v>0</v>
      </c>
      <c r="D2507" s="26">
        <f>IF(A2507="","",ROUND((A2507-cfgDefasagem/1440)*48,0))</f>
        <v>0</v>
      </c>
      <c r="E2507" s="26">
        <f>IF(D2507="","",INT((D2507-cfgDeslocamento)/4))</f>
        <v>0</v>
      </c>
      <c r="F2507" s="26">
        <f>IF(D2507="","",MOD(D2507-cfgDeslocamento,4)+1)</f>
        <v>0</v>
      </c>
      <c r="G2507" s="26">
        <f>IF(A2507="","",IF(AND(ISNUMBER(B2507),B2507&lt;&gt;0),1,0))</f>
        <v>0</v>
      </c>
      <c r="H2507" s="25">
        <f>IF(E2507="","",(E2507*4+3+cfgDeslocamento)/48)</f>
        <v>0</v>
      </c>
    </row>
    <row r="2508" spans="1:8">
      <c r="A2508" s="24"/>
      <c r="B2508" s="19"/>
      <c r="C2508" s="25">
        <f>IF(D2508="","",D2508/48)</f>
        <v>0</v>
      </c>
      <c r="D2508" s="26">
        <f>IF(A2508="","",ROUND((A2508-cfgDefasagem/1440)*48,0))</f>
        <v>0</v>
      </c>
      <c r="E2508" s="26">
        <f>IF(D2508="","",INT((D2508-cfgDeslocamento)/4))</f>
        <v>0</v>
      </c>
      <c r="F2508" s="26">
        <f>IF(D2508="","",MOD(D2508-cfgDeslocamento,4)+1)</f>
        <v>0</v>
      </c>
      <c r="G2508" s="26">
        <f>IF(A2508="","",IF(AND(ISNUMBER(B2508),B2508&lt;&gt;0),1,0))</f>
        <v>0</v>
      </c>
      <c r="H2508" s="25">
        <f>IF(E2508="","",(E2508*4+3+cfgDeslocamento)/48)</f>
        <v>0</v>
      </c>
    </row>
    <row r="2509" spans="1:8">
      <c r="A2509" s="24"/>
      <c r="B2509" s="19"/>
      <c r="C2509" s="25">
        <f>IF(D2509="","",D2509/48)</f>
        <v>0</v>
      </c>
      <c r="D2509" s="26">
        <f>IF(A2509="","",ROUND((A2509-cfgDefasagem/1440)*48,0))</f>
        <v>0</v>
      </c>
      <c r="E2509" s="26">
        <f>IF(D2509="","",INT((D2509-cfgDeslocamento)/4))</f>
        <v>0</v>
      </c>
      <c r="F2509" s="26">
        <f>IF(D2509="","",MOD(D2509-cfgDeslocamento,4)+1)</f>
        <v>0</v>
      </c>
      <c r="G2509" s="26">
        <f>IF(A2509="","",IF(AND(ISNUMBER(B2509),B2509&lt;&gt;0),1,0))</f>
        <v>0</v>
      </c>
      <c r="H2509" s="25">
        <f>IF(E2509="","",(E2509*4+3+cfgDeslocamento)/48)</f>
        <v>0</v>
      </c>
    </row>
    <row r="2510" spans="1:8">
      <c r="A2510" s="24"/>
      <c r="B2510" s="19"/>
      <c r="C2510" s="25">
        <f>IF(D2510="","",D2510/48)</f>
        <v>0</v>
      </c>
      <c r="D2510" s="26">
        <f>IF(A2510="","",ROUND((A2510-cfgDefasagem/1440)*48,0))</f>
        <v>0</v>
      </c>
      <c r="E2510" s="26">
        <f>IF(D2510="","",INT((D2510-cfgDeslocamento)/4))</f>
        <v>0</v>
      </c>
      <c r="F2510" s="26">
        <f>IF(D2510="","",MOD(D2510-cfgDeslocamento,4)+1)</f>
        <v>0</v>
      </c>
      <c r="G2510" s="26">
        <f>IF(A2510="","",IF(AND(ISNUMBER(B2510),B2510&lt;&gt;0),1,0))</f>
        <v>0</v>
      </c>
      <c r="H2510" s="25">
        <f>IF(E2510="","",(E2510*4+3+cfgDeslocamento)/48)</f>
        <v>0</v>
      </c>
    </row>
    <row r="2511" spans="1:8">
      <c r="A2511" s="24"/>
      <c r="B2511" s="19"/>
      <c r="C2511" s="25">
        <f>IF(D2511="","",D2511/48)</f>
        <v>0</v>
      </c>
      <c r="D2511" s="26">
        <f>IF(A2511="","",ROUND((A2511-cfgDefasagem/1440)*48,0))</f>
        <v>0</v>
      </c>
      <c r="E2511" s="26">
        <f>IF(D2511="","",INT((D2511-cfgDeslocamento)/4))</f>
        <v>0</v>
      </c>
      <c r="F2511" s="26">
        <f>IF(D2511="","",MOD(D2511-cfgDeslocamento,4)+1)</f>
        <v>0</v>
      </c>
      <c r="G2511" s="26">
        <f>IF(A2511="","",IF(AND(ISNUMBER(B2511),B2511&lt;&gt;0),1,0))</f>
        <v>0</v>
      </c>
      <c r="H2511" s="25">
        <f>IF(E2511="","",(E2511*4+3+cfgDeslocamento)/48)</f>
        <v>0</v>
      </c>
    </row>
    <row r="2512" spans="1:8">
      <c r="A2512" s="24"/>
      <c r="B2512" s="19"/>
      <c r="C2512" s="25">
        <f>IF(D2512="","",D2512/48)</f>
        <v>0</v>
      </c>
      <c r="D2512" s="26">
        <f>IF(A2512="","",ROUND((A2512-cfgDefasagem/1440)*48,0))</f>
        <v>0</v>
      </c>
      <c r="E2512" s="26">
        <f>IF(D2512="","",INT((D2512-cfgDeslocamento)/4))</f>
        <v>0</v>
      </c>
      <c r="F2512" s="26">
        <f>IF(D2512="","",MOD(D2512-cfgDeslocamento,4)+1)</f>
        <v>0</v>
      </c>
      <c r="G2512" s="26">
        <f>IF(A2512="","",IF(AND(ISNUMBER(B2512),B2512&lt;&gt;0),1,0))</f>
        <v>0</v>
      </c>
      <c r="H2512" s="25">
        <f>IF(E2512="","",(E2512*4+3+cfgDeslocamento)/48)</f>
        <v>0</v>
      </c>
    </row>
    <row r="2513" spans="1:8">
      <c r="A2513" s="24"/>
      <c r="B2513" s="19"/>
      <c r="C2513" s="25">
        <f>IF(D2513="","",D2513/48)</f>
        <v>0</v>
      </c>
      <c r="D2513" s="26">
        <f>IF(A2513="","",ROUND((A2513-cfgDefasagem/1440)*48,0))</f>
        <v>0</v>
      </c>
      <c r="E2513" s="26">
        <f>IF(D2513="","",INT((D2513-cfgDeslocamento)/4))</f>
        <v>0</v>
      </c>
      <c r="F2513" s="26">
        <f>IF(D2513="","",MOD(D2513-cfgDeslocamento,4)+1)</f>
        <v>0</v>
      </c>
      <c r="G2513" s="26">
        <f>IF(A2513="","",IF(AND(ISNUMBER(B2513),B2513&lt;&gt;0),1,0))</f>
        <v>0</v>
      </c>
      <c r="H2513" s="25">
        <f>IF(E2513="","",(E2513*4+3+cfgDeslocamento)/48)</f>
        <v>0</v>
      </c>
    </row>
    <row r="2514" spans="1:8">
      <c r="A2514" s="24"/>
      <c r="B2514" s="19"/>
      <c r="C2514" s="25">
        <f>IF(D2514="","",D2514/48)</f>
        <v>0</v>
      </c>
      <c r="D2514" s="26">
        <f>IF(A2514="","",ROUND((A2514-cfgDefasagem/1440)*48,0))</f>
        <v>0</v>
      </c>
      <c r="E2514" s="26">
        <f>IF(D2514="","",INT((D2514-cfgDeslocamento)/4))</f>
        <v>0</v>
      </c>
      <c r="F2514" s="26">
        <f>IF(D2514="","",MOD(D2514-cfgDeslocamento,4)+1)</f>
        <v>0</v>
      </c>
      <c r="G2514" s="26">
        <f>IF(A2514="","",IF(AND(ISNUMBER(B2514),B2514&lt;&gt;0),1,0))</f>
        <v>0</v>
      </c>
      <c r="H2514" s="25">
        <f>IF(E2514="","",(E2514*4+3+cfgDeslocamento)/48)</f>
        <v>0</v>
      </c>
    </row>
    <row r="2515" spans="1:8">
      <c r="A2515" s="24"/>
      <c r="B2515" s="19"/>
      <c r="C2515" s="25">
        <f>IF(D2515="","",D2515/48)</f>
        <v>0</v>
      </c>
      <c r="D2515" s="26">
        <f>IF(A2515="","",ROUND((A2515-cfgDefasagem/1440)*48,0))</f>
        <v>0</v>
      </c>
      <c r="E2515" s="26">
        <f>IF(D2515="","",INT((D2515-cfgDeslocamento)/4))</f>
        <v>0</v>
      </c>
      <c r="F2515" s="26">
        <f>IF(D2515="","",MOD(D2515-cfgDeslocamento,4)+1)</f>
        <v>0</v>
      </c>
      <c r="G2515" s="26">
        <f>IF(A2515="","",IF(AND(ISNUMBER(B2515),B2515&lt;&gt;0),1,0))</f>
        <v>0</v>
      </c>
      <c r="H2515" s="25">
        <f>IF(E2515="","",(E2515*4+3+cfgDeslocamento)/48)</f>
        <v>0</v>
      </c>
    </row>
    <row r="2516" spans="1:8">
      <c r="A2516" s="24"/>
      <c r="B2516" s="19"/>
      <c r="C2516" s="25">
        <f>IF(D2516="","",D2516/48)</f>
        <v>0</v>
      </c>
      <c r="D2516" s="26">
        <f>IF(A2516="","",ROUND((A2516-cfgDefasagem/1440)*48,0))</f>
        <v>0</v>
      </c>
      <c r="E2516" s="26">
        <f>IF(D2516="","",INT((D2516-cfgDeslocamento)/4))</f>
        <v>0</v>
      </c>
      <c r="F2516" s="26">
        <f>IF(D2516="","",MOD(D2516-cfgDeslocamento,4)+1)</f>
        <v>0</v>
      </c>
      <c r="G2516" s="26">
        <f>IF(A2516="","",IF(AND(ISNUMBER(B2516),B2516&lt;&gt;0),1,0))</f>
        <v>0</v>
      </c>
      <c r="H2516" s="25">
        <f>IF(E2516="","",(E2516*4+3+cfgDeslocamento)/48)</f>
        <v>0</v>
      </c>
    </row>
    <row r="2517" spans="1:8">
      <c r="A2517" s="24"/>
      <c r="B2517" s="19"/>
      <c r="C2517" s="25">
        <f>IF(D2517="","",D2517/48)</f>
        <v>0</v>
      </c>
      <c r="D2517" s="26">
        <f>IF(A2517="","",ROUND((A2517-cfgDefasagem/1440)*48,0))</f>
        <v>0</v>
      </c>
      <c r="E2517" s="26">
        <f>IF(D2517="","",INT((D2517-cfgDeslocamento)/4))</f>
        <v>0</v>
      </c>
      <c r="F2517" s="26">
        <f>IF(D2517="","",MOD(D2517-cfgDeslocamento,4)+1)</f>
        <v>0</v>
      </c>
      <c r="G2517" s="26">
        <f>IF(A2517="","",IF(AND(ISNUMBER(B2517),B2517&lt;&gt;0),1,0))</f>
        <v>0</v>
      </c>
      <c r="H2517" s="25">
        <f>IF(E2517="","",(E2517*4+3+cfgDeslocamento)/48)</f>
        <v>0</v>
      </c>
    </row>
    <row r="2518" spans="1:8">
      <c r="A2518" s="24"/>
      <c r="B2518" s="19"/>
      <c r="C2518" s="25">
        <f>IF(D2518="","",D2518/48)</f>
        <v>0</v>
      </c>
      <c r="D2518" s="26">
        <f>IF(A2518="","",ROUND((A2518-cfgDefasagem/1440)*48,0))</f>
        <v>0</v>
      </c>
      <c r="E2518" s="26">
        <f>IF(D2518="","",INT((D2518-cfgDeslocamento)/4))</f>
        <v>0</v>
      </c>
      <c r="F2518" s="26">
        <f>IF(D2518="","",MOD(D2518-cfgDeslocamento,4)+1)</f>
        <v>0</v>
      </c>
      <c r="G2518" s="26">
        <f>IF(A2518="","",IF(AND(ISNUMBER(B2518),B2518&lt;&gt;0),1,0))</f>
        <v>0</v>
      </c>
      <c r="H2518" s="25">
        <f>IF(E2518="","",(E2518*4+3+cfgDeslocamento)/48)</f>
        <v>0</v>
      </c>
    </row>
    <row r="2519" spans="1:8">
      <c r="A2519" s="24"/>
      <c r="B2519" s="19"/>
      <c r="C2519" s="25">
        <f>IF(D2519="","",D2519/48)</f>
        <v>0</v>
      </c>
      <c r="D2519" s="26">
        <f>IF(A2519="","",ROUND((A2519-cfgDefasagem/1440)*48,0))</f>
        <v>0</v>
      </c>
      <c r="E2519" s="26">
        <f>IF(D2519="","",INT((D2519-cfgDeslocamento)/4))</f>
        <v>0</v>
      </c>
      <c r="F2519" s="26">
        <f>IF(D2519="","",MOD(D2519-cfgDeslocamento,4)+1)</f>
        <v>0</v>
      </c>
      <c r="G2519" s="26">
        <f>IF(A2519="","",IF(AND(ISNUMBER(B2519),B2519&lt;&gt;0),1,0))</f>
        <v>0</v>
      </c>
      <c r="H2519" s="25">
        <f>IF(E2519="","",(E2519*4+3+cfgDeslocamento)/48)</f>
        <v>0</v>
      </c>
    </row>
    <row r="2520" spans="1:8">
      <c r="A2520" s="24"/>
      <c r="B2520" s="19"/>
      <c r="C2520" s="25">
        <f>IF(D2520="","",D2520/48)</f>
        <v>0</v>
      </c>
      <c r="D2520" s="26">
        <f>IF(A2520="","",ROUND((A2520-cfgDefasagem/1440)*48,0))</f>
        <v>0</v>
      </c>
      <c r="E2520" s="26">
        <f>IF(D2520="","",INT((D2520-cfgDeslocamento)/4))</f>
        <v>0</v>
      </c>
      <c r="F2520" s="26">
        <f>IF(D2520="","",MOD(D2520-cfgDeslocamento,4)+1)</f>
        <v>0</v>
      </c>
      <c r="G2520" s="26">
        <f>IF(A2520="","",IF(AND(ISNUMBER(B2520),B2520&lt;&gt;0),1,0))</f>
        <v>0</v>
      </c>
      <c r="H2520" s="25">
        <f>IF(E2520="","",(E2520*4+3+cfgDeslocamento)/48)</f>
        <v>0</v>
      </c>
    </row>
    <row r="2521" spans="1:8">
      <c r="A2521" s="24"/>
      <c r="B2521" s="19"/>
      <c r="C2521" s="25">
        <f>IF(D2521="","",D2521/48)</f>
        <v>0</v>
      </c>
      <c r="D2521" s="26">
        <f>IF(A2521="","",ROUND((A2521-cfgDefasagem/1440)*48,0))</f>
        <v>0</v>
      </c>
      <c r="E2521" s="26">
        <f>IF(D2521="","",INT((D2521-cfgDeslocamento)/4))</f>
        <v>0</v>
      </c>
      <c r="F2521" s="26">
        <f>IF(D2521="","",MOD(D2521-cfgDeslocamento,4)+1)</f>
        <v>0</v>
      </c>
      <c r="G2521" s="26">
        <f>IF(A2521="","",IF(AND(ISNUMBER(B2521),B2521&lt;&gt;0),1,0))</f>
        <v>0</v>
      </c>
      <c r="H2521" s="25">
        <f>IF(E2521="","",(E2521*4+3+cfgDeslocamento)/48)</f>
        <v>0</v>
      </c>
    </row>
    <row r="2522" spans="1:8">
      <c r="A2522" s="24"/>
      <c r="B2522" s="19"/>
      <c r="C2522" s="25">
        <f>IF(D2522="","",D2522/48)</f>
        <v>0</v>
      </c>
      <c r="D2522" s="26">
        <f>IF(A2522="","",ROUND((A2522-cfgDefasagem/1440)*48,0))</f>
        <v>0</v>
      </c>
      <c r="E2522" s="26">
        <f>IF(D2522="","",INT((D2522-cfgDeslocamento)/4))</f>
        <v>0</v>
      </c>
      <c r="F2522" s="26">
        <f>IF(D2522="","",MOD(D2522-cfgDeslocamento,4)+1)</f>
        <v>0</v>
      </c>
      <c r="G2522" s="26">
        <f>IF(A2522="","",IF(AND(ISNUMBER(B2522),B2522&lt;&gt;0),1,0))</f>
        <v>0</v>
      </c>
      <c r="H2522" s="25">
        <f>IF(E2522="","",(E2522*4+3+cfgDeslocamento)/48)</f>
        <v>0</v>
      </c>
    </row>
    <row r="2523" spans="1:8">
      <c r="A2523" s="24"/>
      <c r="B2523" s="19"/>
      <c r="C2523" s="25">
        <f>IF(D2523="","",D2523/48)</f>
        <v>0</v>
      </c>
      <c r="D2523" s="26">
        <f>IF(A2523="","",ROUND((A2523-cfgDefasagem/1440)*48,0))</f>
        <v>0</v>
      </c>
      <c r="E2523" s="26">
        <f>IF(D2523="","",INT((D2523-cfgDeslocamento)/4))</f>
        <v>0</v>
      </c>
      <c r="F2523" s="26">
        <f>IF(D2523="","",MOD(D2523-cfgDeslocamento,4)+1)</f>
        <v>0</v>
      </c>
      <c r="G2523" s="26">
        <f>IF(A2523="","",IF(AND(ISNUMBER(B2523),B2523&lt;&gt;0),1,0))</f>
        <v>0</v>
      </c>
      <c r="H2523" s="25">
        <f>IF(E2523="","",(E2523*4+3+cfgDeslocamento)/48)</f>
        <v>0</v>
      </c>
    </row>
    <row r="2524" spans="1:8">
      <c r="A2524" s="24"/>
      <c r="B2524" s="19"/>
      <c r="C2524" s="25">
        <f>IF(D2524="","",D2524/48)</f>
        <v>0</v>
      </c>
      <c r="D2524" s="26">
        <f>IF(A2524="","",ROUND((A2524-cfgDefasagem/1440)*48,0))</f>
        <v>0</v>
      </c>
      <c r="E2524" s="26">
        <f>IF(D2524="","",INT((D2524-cfgDeslocamento)/4))</f>
        <v>0</v>
      </c>
      <c r="F2524" s="26">
        <f>IF(D2524="","",MOD(D2524-cfgDeslocamento,4)+1)</f>
        <v>0</v>
      </c>
      <c r="G2524" s="26">
        <f>IF(A2524="","",IF(AND(ISNUMBER(B2524),B2524&lt;&gt;0),1,0))</f>
        <v>0</v>
      </c>
      <c r="H2524" s="25">
        <f>IF(E2524="","",(E2524*4+3+cfgDeslocamento)/48)</f>
        <v>0</v>
      </c>
    </row>
    <row r="2525" spans="1:8">
      <c r="A2525" s="24"/>
      <c r="B2525" s="19"/>
      <c r="C2525" s="25">
        <f>IF(D2525="","",D2525/48)</f>
        <v>0</v>
      </c>
      <c r="D2525" s="26">
        <f>IF(A2525="","",ROUND((A2525-cfgDefasagem/1440)*48,0))</f>
        <v>0</v>
      </c>
      <c r="E2525" s="26">
        <f>IF(D2525="","",INT((D2525-cfgDeslocamento)/4))</f>
        <v>0</v>
      </c>
      <c r="F2525" s="26">
        <f>IF(D2525="","",MOD(D2525-cfgDeslocamento,4)+1)</f>
        <v>0</v>
      </c>
      <c r="G2525" s="26">
        <f>IF(A2525="","",IF(AND(ISNUMBER(B2525),B2525&lt;&gt;0),1,0))</f>
        <v>0</v>
      </c>
      <c r="H2525" s="25">
        <f>IF(E2525="","",(E2525*4+3+cfgDeslocamento)/48)</f>
        <v>0</v>
      </c>
    </row>
    <row r="2526" spans="1:8">
      <c r="A2526" s="24"/>
      <c r="B2526" s="19"/>
      <c r="C2526" s="25">
        <f>IF(D2526="","",D2526/48)</f>
        <v>0</v>
      </c>
      <c r="D2526" s="26">
        <f>IF(A2526="","",ROUND((A2526-cfgDefasagem/1440)*48,0))</f>
        <v>0</v>
      </c>
      <c r="E2526" s="26">
        <f>IF(D2526="","",INT((D2526-cfgDeslocamento)/4))</f>
        <v>0</v>
      </c>
      <c r="F2526" s="26">
        <f>IF(D2526="","",MOD(D2526-cfgDeslocamento,4)+1)</f>
        <v>0</v>
      </c>
      <c r="G2526" s="26">
        <f>IF(A2526="","",IF(AND(ISNUMBER(B2526),B2526&lt;&gt;0),1,0))</f>
        <v>0</v>
      </c>
      <c r="H2526" s="25">
        <f>IF(E2526="","",(E2526*4+3+cfgDeslocamento)/48)</f>
        <v>0</v>
      </c>
    </row>
    <row r="2527" spans="1:8">
      <c r="A2527" s="24"/>
      <c r="B2527" s="19"/>
      <c r="C2527" s="25">
        <f>IF(D2527="","",D2527/48)</f>
        <v>0</v>
      </c>
      <c r="D2527" s="26">
        <f>IF(A2527="","",ROUND((A2527-cfgDefasagem/1440)*48,0))</f>
        <v>0</v>
      </c>
      <c r="E2527" s="26">
        <f>IF(D2527="","",INT((D2527-cfgDeslocamento)/4))</f>
        <v>0</v>
      </c>
      <c r="F2527" s="26">
        <f>IF(D2527="","",MOD(D2527-cfgDeslocamento,4)+1)</f>
        <v>0</v>
      </c>
      <c r="G2527" s="26">
        <f>IF(A2527="","",IF(AND(ISNUMBER(B2527),B2527&lt;&gt;0),1,0))</f>
        <v>0</v>
      </c>
      <c r="H2527" s="25">
        <f>IF(E2527="","",(E2527*4+3+cfgDeslocamento)/48)</f>
        <v>0</v>
      </c>
    </row>
    <row r="2528" spans="1:8">
      <c r="A2528" s="24"/>
      <c r="B2528" s="19"/>
      <c r="C2528" s="25">
        <f>IF(D2528="","",D2528/48)</f>
        <v>0</v>
      </c>
      <c r="D2528" s="26">
        <f>IF(A2528="","",ROUND((A2528-cfgDefasagem/1440)*48,0))</f>
        <v>0</v>
      </c>
      <c r="E2528" s="26">
        <f>IF(D2528="","",INT((D2528-cfgDeslocamento)/4))</f>
        <v>0</v>
      </c>
      <c r="F2528" s="26">
        <f>IF(D2528="","",MOD(D2528-cfgDeslocamento,4)+1)</f>
        <v>0</v>
      </c>
      <c r="G2528" s="26">
        <f>IF(A2528="","",IF(AND(ISNUMBER(B2528),B2528&lt;&gt;0),1,0))</f>
        <v>0</v>
      </c>
      <c r="H2528" s="25">
        <f>IF(E2528="","",(E2528*4+3+cfgDeslocamento)/48)</f>
        <v>0</v>
      </c>
    </row>
    <row r="2529" spans="1:8">
      <c r="A2529" s="24"/>
      <c r="B2529" s="19"/>
      <c r="C2529" s="25">
        <f>IF(D2529="","",D2529/48)</f>
        <v>0</v>
      </c>
      <c r="D2529" s="26">
        <f>IF(A2529="","",ROUND((A2529-cfgDefasagem/1440)*48,0))</f>
        <v>0</v>
      </c>
      <c r="E2529" s="26">
        <f>IF(D2529="","",INT((D2529-cfgDeslocamento)/4))</f>
        <v>0</v>
      </c>
      <c r="F2529" s="26">
        <f>IF(D2529="","",MOD(D2529-cfgDeslocamento,4)+1)</f>
        <v>0</v>
      </c>
      <c r="G2529" s="26">
        <f>IF(A2529="","",IF(AND(ISNUMBER(B2529),B2529&lt;&gt;0),1,0))</f>
        <v>0</v>
      </c>
      <c r="H2529" s="25">
        <f>IF(E2529="","",(E2529*4+3+cfgDeslocamento)/48)</f>
        <v>0</v>
      </c>
    </row>
    <row r="2530" spans="1:8">
      <c r="A2530" s="24"/>
      <c r="B2530" s="19"/>
      <c r="C2530" s="25">
        <f>IF(D2530="","",D2530/48)</f>
        <v>0</v>
      </c>
      <c r="D2530" s="26">
        <f>IF(A2530="","",ROUND((A2530-cfgDefasagem/1440)*48,0))</f>
        <v>0</v>
      </c>
      <c r="E2530" s="26">
        <f>IF(D2530="","",INT((D2530-cfgDeslocamento)/4))</f>
        <v>0</v>
      </c>
      <c r="F2530" s="26">
        <f>IF(D2530="","",MOD(D2530-cfgDeslocamento,4)+1)</f>
        <v>0</v>
      </c>
      <c r="G2530" s="26">
        <f>IF(A2530="","",IF(AND(ISNUMBER(B2530),B2530&lt;&gt;0),1,0))</f>
        <v>0</v>
      </c>
      <c r="H2530" s="25">
        <f>IF(E2530="","",(E2530*4+3+cfgDeslocamento)/48)</f>
        <v>0</v>
      </c>
    </row>
    <row r="2531" spans="1:8">
      <c r="A2531" s="24"/>
      <c r="B2531" s="19"/>
      <c r="C2531" s="25">
        <f>IF(D2531="","",D2531/48)</f>
        <v>0</v>
      </c>
      <c r="D2531" s="26">
        <f>IF(A2531="","",ROUND((A2531-cfgDefasagem/1440)*48,0))</f>
        <v>0</v>
      </c>
      <c r="E2531" s="26">
        <f>IF(D2531="","",INT((D2531-cfgDeslocamento)/4))</f>
        <v>0</v>
      </c>
      <c r="F2531" s="26">
        <f>IF(D2531="","",MOD(D2531-cfgDeslocamento,4)+1)</f>
        <v>0</v>
      </c>
      <c r="G2531" s="26">
        <f>IF(A2531="","",IF(AND(ISNUMBER(B2531),B2531&lt;&gt;0),1,0))</f>
        <v>0</v>
      </c>
      <c r="H2531" s="25">
        <f>IF(E2531="","",(E2531*4+3+cfgDeslocamento)/48)</f>
        <v>0</v>
      </c>
    </row>
    <row r="2532" spans="1:8">
      <c r="A2532" s="24"/>
      <c r="B2532" s="19"/>
      <c r="C2532" s="25">
        <f>IF(D2532="","",D2532/48)</f>
        <v>0</v>
      </c>
      <c r="D2532" s="26">
        <f>IF(A2532="","",ROUND((A2532-cfgDefasagem/1440)*48,0))</f>
        <v>0</v>
      </c>
      <c r="E2532" s="26">
        <f>IF(D2532="","",INT((D2532-cfgDeslocamento)/4))</f>
        <v>0</v>
      </c>
      <c r="F2532" s="26">
        <f>IF(D2532="","",MOD(D2532-cfgDeslocamento,4)+1)</f>
        <v>0</v>
      </c>
      <c r="G2532" s="26">
        <f>IF(A2532="","",IF(AND(ISNUMBER(B2532),B2532&lt;&gt;0),1,0))</f>
        <v>0</v>
      </c>
      <c r="H2532" s="25">
        <f>IF(E2532="","",(E2532*4+3+cfgDeslocamento)/48)</f>
        <v>0</v>
      </c>
    </row>
    <row r="2533" spans="1:8">
      <c r="A2533" s="24"/>
      <c r="B2533" s="19"/>
      <c r="C2533" s="25">
        <f>IF(D2533="","",D2533/48)</f>
        <v>0</v>
      </c>
      <c r="D2533" s="26">
        <f>IF(A2533="","",ROUND((A2533-cfgDefasagem/1440)*48,0))</f>
        <v>0</v>
      </c>
      <c r="E2533" s="26">
        <f>IF(D2533="","",INT((D2533-cfgDeslocamento)/4))</f>
        <v>0</v>
      </c>
      <c r="F2533" s="26">
        <f>IF(D2533="","",MOD(D2533-cfgDeslocamento,4)+1)</f>
        <v>0</v>
      </c>
      <c r="G2533" s="26">
        <f>IF(A2533="","",IF(AND(ISNUMBER(B2533),B2533&lt;&gt;0),1,0))</f>
        <v>0</v>
      </c>
      <c r="H2533" s="25">
        <f>IF(E2533="","",(E2533*4+3+cfgDeslocamento)/48)</f>
        <v>0</v>
      </c>
    </row>
    <row r="2534" spans="1:8">
      <c r="A2534" s="24"/>
      <c r="B2534" s="19"/>
      <c r="C2534" s="25">
        <f>IF(D2534="","",D2534/48)</f>
        <v>0</v>
      </c>
      <c r="D2534" s="26">
        <f>IF(A2534="","",ROUND((A2534-cfgDefasagem/1440)*48,0))</f>
        <v>0</v>
      </c>
      <c r="E2534" s="26">
        <f>IF(D2534="","",INT((D2534-cfgDeslocamento)/4))</f>
        <v>0</v>
      </c>
      <c r="F2534" s="26">
        <f>IF(D2534="","",MOD(D2534-cfgDeslocamento,4)+1)</f>
        <v>0</v>
      </c>
      <c r="G2534" s="26">
        <f>IF(A2534="","",IF(AND(ISNUMBER(B2534),B2534&lt;&gt;0),1,0))</f>
        <v>0</v>
      </c>
      <c r="H2534" s="25">
        <f>IF(E2534="","",(E2534*4+3+cfgDeslocamento)/48)</f>
        <v>0</v>
      </c>
    </row>
    <row r="2535" spans="1:8">
      <c r="A2535" s="24"/>
      <c r="B2535" s="19"/>
      <c r="C2535" s="25">
        <f>IF(D2535="","",D2535/48)</f>
        <v>0</v>
      </c>
      <c r="D2535" s="26">
        <f>IF(A2535="","",ROUND((A2535-cfgDefasagem/1440)*48,0))</f>
        <v>0</v>
      </c>
      <c r="E2535" s="26">
        <f>IF(D2535="","",INT((D2535-cfgDeslocamento)/4))</f>
        <v>0</v>
      </c>
      <c r="F2535" s="26">
        <f>IF(D2535="","",MOD(D2535-cfgDeslocamento,4)+1)</f>
        <v>0</v>
      </c>
      <c r="G2535" s="26">
        <f>IF(A2535="","",IF(AND(ISNUMBER(B2535),B2535&lt;&gt;0),1,0))</f>
        <v>0</v>
      </c>
      <c r="H2535" s="25">
        <f>IF(E2535="","",(E2535*4+3+cfgDeslocamento)/48)</f>
        <v>0</v>
      </c>
    </row>
    <row r="2536" spans="1:8">
      <c r="A2536" s="24"/>
      <c r="B2536" s="19"/>
      <c r="C2536" s="25">
        <f>IF(D2536="","",D2536/48)</f>
        <v>0</v>
      </c>
      <c r="D2536" s="26">
        <f>IF(A2536="","",ROUND((A2536-cfgDefasagem/1440)*48,0))</f>
        <v>0</v>
      </c>
      <c r="E2536" s="26">
        <f>IF(D2536="","",INT((D2536-cfgDeslocamento)/4))</f>
        <v>0</v>
      </c>
      <c r="F2536" s="26">
        <f>IF(D2536="","",MOD(D2536-cfgDeslocamento,4)+1)</f>
        <v>0</v>
      </c>
      <c r="G2536" s="26">
        <f>IF(A2536="","",IF(AND(ISNUMBER(B2536),B2536&lt;&gt;0),1,0))</f>
        <v>0</v>
      </c>
      <c r="H2536" s="25">
        <f>IF(E2536="","",(E2536*4+3+cfgDeslocamento)/48)</f>
        <v>0</v>
      </c>
    </row>
    <row r="2537" spans="1:8">
      <c r="A2537" s="24"/>
      <c r="B2537" s="19"/>
      <c r="C2537" s="25">
        <f>IF(D2537="","",D2537/48)</f>
        <v>0</v>
      </c>
      <c r="D2537" s="26">
        <f>IF(A2537="","",ROUND((A2537-cfgDefasagem/1440)*48,0))</f>
        <v>0</v>
      </c>
      <c r="E2537" s="26">
        <f>IF(D2537="","",INT((D2537-cfgDeslocamento)/4))</f>
        <v>0</v>
      </c>
      <c r="F2537" s="26">
        <f>IF(D2537="","",MOD(D2537-cfgDeslocamento,4)+1)</f>
        <v>0</v>
      </c>
      <c r="G2537" s="26">
        <f>IF(A2537="","",IF(AND(ISNUMBER(B2537),B2537&lt;&gt;0),1,0))</f>
        <v>0</v>
      </c>
      <c r="H2537" s="25">
        <f>IF(E2537="","",(E2537*4+3+cfgDeslocamento)/48)</f>
        <v>0</v>
      </c>
    </row>
    <row r="2538" spans="1:8">
      <c r="A2538" s="24"/>
      <c r="B2538" s="19"/>
      <c r="C2538" s="25">
        <f>IF(D2538="","",D2538/48)</f>
        <v>0</v>
      </c>
      <c r="D2538" s="26">
        <f>IF(A2538="","",ROUND((A2538-cfgDefasagem/1440)*48,0))</f>
        <v>0</v>
      </c>
      <c r="E2538" s="26">
        <f>IF(D2538="","",INT((D2538-cfgDeslocamento)/4))</f>
        <v>0</v>
      </c>
      <c r="F2538" s="26">
        <f>IF(D2538="","",MOD(D2538-cfgDeslocamento,4)+1)</f>
        <v>0</v>
      </c>
      <c r="G2538" s="26">
        <f>IF(A2538="","",IF(AND(ISNUMBER(B2538),B2538&lt;&gt;0),1,0))</f>
        <v>0</v>
      </c>
      <c r="H2538" s="25">
        <f>IF(E2538="","",(E2538*4+3+cfgDeslocamento)/48)</f>
        <v>0</v>
      </c>
    </row>
    <row r="2539" spans="1:8">
      <c r="A2539" s="24"/>
      <c r="B2539" s="19"/>
      <c r="C2539" s="25">
        <f>IF(D2539="","",D2539/48)</f>
        <v>0</v>
      </c>
      <c r="D2539" s="26">
        <f>IF(A2539="","",ROUND((A2539-cfgDefasagem/1440)*48,0))</f>
        <v>0</v>
      </c>
      <c r="E2539" s="26">
        <f>IF(D2539="","",INT((D2539-cfgDeslocamento)/4))</f>
        <v>0</v>
      </c>
      <c r="F2539" s="26">
        <f>IF(D2539="","",MOD(D2539-cfgDeslocamento,4)+1)</f>
        <v>0</v>
      </c>
      <c r="G2539" s="26">
        <f>IF(A2539="","",IF(AND(ISNUMBER(B2539),B2539&lt;&gt;0),1,0))</f>
        <v>0</v>
      </c>
      <c r="H2539" s="25">
        <f>IF(E2539="","",(E2539*4+3+cfgDeslocamento)/48)</f>
        <v>0</v>
      </c>
    </row>
    <row r="2540" spans="1:8">
      <c r="A2540" s="24"/>
      <c r="B2540" s="19"/>
      <c r="C2540" s="25">
        <f>IF(D2540="","",D2540/48)</f>
        <v>0</v>
      </c>
      <c r="D2540" s="26">
        <f>IF(A2540="","",ROUND((A2540-cfgDefasagem/1440)*48,0))</f>
        <v>0</v>
      </c>
      <c r="E2540" s="26">
        <f>IF(D2540="","",INT((D2540-cfgDeslocamento)/4))</f>
        <v>0</v>
      </c>
      <c r="F2540" s="26">
        <f>IF(D2540="","",MOD(D2540-cfgDeslocamento,4)+1)</f>
        <v>0</v>
      </c>
      <c r="G2540" s="26">
        <f>IF(A2540="","",IF(AND(ISNUMBER(B2540),B2540&lt;&gt;0),1,0))</f>
        <v>0</v>
      </c>
      <c r="H2540" s="25">
        <f>IF(E2540="","",(E2540*4+3+cfgDeslocamento)/48)</f>
        <v>0</v>
      </c>
    </row>
    <row r="2541" spans="1:8">
      <c r="A2541" s="24"/>
      <c r="B2541" s="19"/>
      <c r="C2541" s="25">
        <f>IF(D2541="","",D2541/48)</f>
        <v>0</v>
      </c>
      <c r="D2541" s="26">
        <f>IF(A2541="","",ROUND((A2541-cfgDefasagem/1440)*48,0))</f>
        <v>0</v>
      </c>
      <c r="E2541" s="26">
        <f>IF(D2541="","",INT((D2541-cfgDeslocamento)/4))</f>
        <v>0</v>
      </c>
      <c r="F2541" s="26">
        <f>IF(D2541="","",MOD(D2541-cfgDeslocamento,4)+1)</f>
        <v>0</v>
      </c>
      <c r="G2541" s="26">
        <f>IF(A2541="","",IF(AND(ISNUMBER(B2541),B2541&lt;&gt;0),1,0))</f>
        <v>0</v>
      </c>
      <c r="H2541" s="25">
        <f>IF(E2541="","",(E2541*4+3+cfgDeslocamento)/48)</f>
        <v>0</v>
      </c>
    </row>
    <row r="2542" spans="1:8">
      <c r="A2542" s="24"/>
      <c r="B2542" s="19"/>
      <c r="C2542" s="25">
        <f>IF(D2542="","",D2542/48)</f>
        <v>0</v>
      </c>
      <c r="D2542" s="26">
        <f>IF(A2542="","",ROUND((A2542-cfgDefasagem/1440)*48,0))</f>
        <v>0</v>
      </c>
      <c r="E2542" s="26">
        <f>IF(D2542="","",INT((D2542-cfgDeslocamento)/4))</f>
        <v>0</v>
      </c>
      <c r="F2542" s="26">
        <f>IF(D2542="","",MOD(D2542-cfgDeslocamento,4)+1)</f>
        <v>0</v>
      </c>
      <c r="G2542" s="26">
        <f>IF(A2542="","",IF(AND(ISNUMBER(B2542),B2542&lt;&gt;0),1,0))</f>
        <v>0</v>
      </c>
      <c r="H2542" s="25">
        <f>IF(E2542="","",(E2542*4+3+cfgDeslocamento)/48)</f>
        <v>0</v>
      </c>
    </row>
    <row r="2543" spans="1:8">
      <c r="A2543" s="24"/>
      <c r="B2543" s="19"/>
      <c r="C2543" s="25">
        <f>IF(D2543="","",D2543/48)</f>
        <v>0</v>
      </c>
      <c r="D2543" s="26">
        <f>IF(A2543="","",ROUND((A2543-cfgDefasagem/1440)*48,0))</f>
        <v>0</v>
      </c>
      <c r="E2543" s="26">
        <f>IF(D2543="","",INT((D2543-cfgDeslocamento)/4))</f>
        <v>0</v>
      </c>
      <c r="F2543" s="26">
        <f>IF(D2543="","",MOD(D2543-cfgDeslocamento,4)+1)</f>
        <v>0</v>
      </c>
      <c r="G2543" s="26">
        <f>IF(A2543="","",IF(AND(ISNUMBER(B2543),B2543&lt;&gt;0),1,0))</f>
        <v>0</v>
      </c>
      <c r="H2543" s="25">
        <f>IF(E2543="","",(E2543*4+3+cfgDeslocamento)/48)</f>
        <v>0</v>
      </c>
    </row>
    <row r="2544" spans="1:8">
      <c r="A2544" s="24"/>
      <c r="B2544" s="19"/>
      <c r="C2544" s="25">
        <f>IF(D2544="","",D2544/48)</f>
        <v>0</v>
      </c>
      <c r="D2544" s="26">
        <f>IF(A2544="","",ROUND((A2544-cfgDefasagem/1440)*48,0))</f>
        <v>0</v>
      </c>
      <c r="E2544" s="26">
        <f>IF(D2544="","",INT((D2544-cfgDeslocamento)/4))</f>
        <v>0</v>
      </c>
      <c r="F2544" s="26">
        <f>IF(D2544="","",MOD(D2544-cfgDeslocamento,4)+1)</f>
        <v>0</v>
      </c>
      <c r="G2544" s="26">
        <f>IF(A2544="","",IF(AND(ISNUMBER(B2544),B2544&lt;&gt;0),1,0))</f>
        <v>0</v>
      </c>
      <c r="H2544" s="25">
        <f>IF(E2544="","",(E2544*4+3+cfgDeslocamento)/48)</f>
        <v>0</v>
      </c>
    </row>
    <row r="2545" spans="1:8">
      <c r="A2545" s="24"/>
      <c r="B2545" s="19"/>
      <c r="C2545" s="25">
        <f>IF(D2545="","",D2545/48)</f>
        <v>0</v>
      </c>
      <c r="D2545" s="26">
        <f>IF(A2545="","",ROUND((A2545-cfgDefasagem/1440)*48,0))</f>
        <v>0</v>
      </c>
      <c r="E2545" s="26">
        <f>IF(D2545="","",INT((D2545-cfgDeslocamento)/4))</f>
        <v>0</v>
      </c>
      <c r="F2545" s="26">
        <f>IF(D2545="","",MOD(D2545-cfgDeslocamento,4)+1)</f>
        <v>0</v>
      </c>
      <c r="G2545" s="26">
        <f>IF(A2545="","",IF(AND(ISNUMBER(B2545),B2545&lt;&gt;0),1,0))</f>
        <v>0</v>
      </c>
      <c r="H2545" s="25">
        <f>IF(E2545="","",(E2545*4+3+cfgDeslocamento)/48)</f>
        <v>0</v>
      </c>
    </row>
    <row r="2546" spans="1:8">
      <c r="A2546" s="24"/>
      <c r="B2546" s="19"/>
      <c r="C2546" s="25">
        <f>IF(D2546="","",D2546/48)</f>
        <v>0</v>
      </c>
      <c r="D2546" s="26">
        <f>IF(A2546="","",ROUND((A2546-cfgDefasagem/1440)*48,0))</f>
        <v>0</v>
      </c>
      <c r="E2546" s="26">
        <f>IF(D2546="","",INT((D2546-cfgDeslocamento)/4))</f>
        <v>0</v>
      </c>
      <c r="F2546" s="26">
        <f>IF(D2546="","",MOD(D2546-cfgDeslocamento,4)+1)</f>
        <v>0</v>
      </c>
      <c r="G2546" s="26">
        <f>IF(A2546="","",IF(AND(ISNUMBER(B2546),B2546&lt;&gt;0),1,0))</f>
        <v>0</v>
      </c>
      <c r="H2546" s="25">
        <f>IF(E2546="","",(E2546*4+3+cfgDeslocamento)/48)</f>
        <v>0</v>
      </c>
    </row>
    <row r="2547" spans="1:8">
      <c r="A2547" s="24"/>
      <c r="B2547" s="19"/>
      <c r="C2547" s="25">
        <f>IF(D2547="","",D2547/48)</f>
        <v>0</v>
      </c>
      <c r="D2547" s="26">
        <f>IF(A2547="","",ROUND((A2547-cfgDefasagem/1440)*48,0))</f>
        <v>0</v>
      </c>
      <c r="E2547" s="26">
        <f>IF(D2547="","",INT((D2547-cfgDeslocamento)/4))</f>
        <v>0</v>
      </c>
      <c r="F2547" s="26">
        <f>IF(D2547="","",MOD(D2547-cfgDeslocamento,4)+1)</f>
        <v>0</v>
      </c>
      <c r="G2547" s="26">
        <f>IF(A2547="","",IF(AND(ISNUMBER(B2547),B2547&lt;&gt;0),1,0))</f>
        <v>0</v>
      </c>
      <c r="H2547" s="25">
        <f>IF(E2547="","",(E2547*4+3+cfgDeslocamento)/48)</f>
        <v>0</v>
      </c>
    </row>
    <row r="2548" spans="1:8">
      <c r="A2548" s="24"/>
      <c r="B2548" s="19"/>
      <c r="C2548" s="25">
        <f>IF(D2548="","",D2548/48)</f>
        <v>0</v>
      </c>
      <c r="D2548" s="26">
        <f>IF(A2548="","",ROUND((A2548-cfgDefasagem/1440)*48,0))</f>
        <v>0</v>
      </c>
      <c r="E2548" s="26">
        <f>IF(D2548="","",INT((D2548-cfgDeslocamento)/4))</f>
        <v>0</v>
      </c>
      <c r="F2548" s="26">
        <f>IF(D2548="","",MOD(D2548-cfgDeslocamento,4)+1)</f>
        <v>0</v>
      </c>
      <c r="G2548" s="26">
        <f>IF(A2548="","",IF(AND(ISNUMBER(B2548),B2548&lt;&gt;0),1,0))</f>
        <v>0</v>
      </c>
      <c r="H2548" s="25">
        <f>IF(E2548="","",(E2548*4+3+cfgDeslocamento)/48)</f>
        <v>0</v>
      </c>
    </row>
    <row r="2549" spans="1:8">
      <c r="A2549" s="24"/>
      <c r="B2549" s="19"/>
      <c r="C2549" s="25">
        <f>IF(D2549="","",D2549/48)</f>
        <v>0</v>
      </c>
      <c r="D2549" s="26">
        <f>IF(A2549="","",ROUND((A2549-cfgDefasagem/1440)*48,0))</f>
        <v>0</v>
      </c>
      <c r="E2549" s="26">
        <f>IF(D2549="","",INT((D2549-cfgDeslocamento)/4))</f>
        <v>0</v>
      </c>
      <c r="F2549" s="26">
        <f>IF(D2549="","",MOD(D2549-cfgDeslocamento,4)+1)</f>
        <v>0</v>
      </c>
      <c r="G2549" s="26">
        <f>IF(A2549="","",IF(AND(ISNUMBER(B2549),B2549&lt;&gt;0),1,0))</f>
        <v>0</v>
      </c>
      <c r="H2549" s="25">
        <f>IF(E2549="","",(E2549*4+3+cfgDeslocamento)/48)</f>
        <v>0</v>
      </c>
    </row>
    <row r="2550" spans="1:8">
      <c r="A2550" s="24"/>
      <c r="B2550" s="19"/>
      <c r="C2550" s="25">
        <f>IF(D2550="","",D2550/48)</f>
        <v>0</v>
      </c>
      <c r="D2550" s="26">
        <f>IF(A2550="","",ROUND((A2550-cfgDefasagem/1440)*48,0))</f>
        <v>0</v>
      </c>
      <c r="E2550" s="26">
        <f>IF(D2550="","",INT((D2550-cfgDeslocamento)/4))</f>
        <v>0</v>
      </c>
      <c r="F2550" s="26">
        <f>IF(D2550="","",MOD(D2550-cfgDeslocamento,4)+1)</f>
        <v>0</v>
      </c>
      <c r="G2550" s="26">
        <f>IF(A2550="","",IF(AND(ISNUMBER(B2550),B2550&lt;&gt;0),1,0))</f>
        <v>0</v>
      </c>
      <c r="H2550" s="25">
        <f>IF(E2550="","",(E2550*4+3+cfgDeslocamento)/48)</f>
        <v>0</v>
      </c>
    </row>
    <row r="2551" spans="1:8">
      <c r="A2551" s="24"/>
      <c r="B2551" s="19"/>
      <c r="C2551" s="25">
        <f>IF(D2551="","",D2551/48)</f>
        <v>0</v>
      </c>
      <c r="D2551" s="26">
        <f>IF(A2551="","",ROUND((A2551-cfgDefasagem/1440)*48,0))</f>
        <v>0</v>
      </c>
      <c r="E2551" s="26">
        <f>IF(D2551="","",INT((D2551-cfgDeslocamento)/4))</f>
        <v>0</v>
      </c>
      <c r="F2551" s="26">
        <f>IF(D2551="","",MOD(D2551-cfgDeslocamento,4)+1)</f>
        <v>0</v>
      </c>
      <c r="G2551" s="26">
        <f>IF(A2551="","",IF(AND(ISNUMBER(B2551),B2551&lt;&gt;0),1,0))</f>
        <v>0</v>
      </c>
      <c r="H2551" s="25">
        <f>IF(E2551="","",(E2551*4+3+cfgDeslocamento)/48)</f>
        <v>0</v>
      </c>
    </row>
    <row r="2552" spans="1:8">
      <c r="A2552" s="24"/>
      <c r="B2552" s="19"/>
      <c r="C2552" s="25">
        <f>IF(D2552="","",D2552/48)</f>
        <v>0</v>
      </c>
      <c r="D2552" s="26">
        <f>IF(A2552="","",ROUND((A2552-cfgDefasagem/1440)*48,0))</f>
        <v>0</v>
      </c>
      <c r="E2552" s="26">
        <f>IF(D2552="","",INT((D2552-cfgDeslocamento)/4))</f>
        <v>0</v>
      </c>
      <c r="F2552" s="26">
        <f>IF(D2552="","",MOD(D2552-cfgDeslocamento,4)+1)</f>
        <v>0</v>
      </c>
      <c r="G2552" s="26">
        <f>IF(A2552="","",IF(AND(ISNUMBER(B2552),B2552&lt;&gt;0),1,0))</f>
        <v>0</v>
      </c>
      <c r="H2552" s="25">
        <f>IF(E2552="","",(E2552*4+3+cfgDeslocamento)/48)</f>
        <v>0</v>
      </c>
    </row>
    <row r="2553" spans="1:8">
      <c r="A2553" s="24"/>
      <c r="B2553" s="19"/>
      <c r="C2553" s="25">
        <f>IF(D2553="","",D2553/48)</f>
        <v>0</v>
      </c>
      <c r="D2553" s="26">
        <f>IF(A2553="","",ROUND((A2553-cfgDefasagem/1440)*48,0))</f>
        <v>0</v>
      </c>
      <c r="E2553" s="26">
        <f>IF(D2553="","",INT((D2553-cfgDeslocamento)/4))</f>
        <v>0</v>
      </c>
      <c r="F2553" s="26">
        <f>IF(D2553="","",MOD(D2553-cfgDeslocamento,4)+1)</f>
        <v>0</v>
      </c>
      <c r="G2553" s="26">
        <f>IF(A2553="","",IF(AND(ISNUMBER(B2553),B2553&lt;&gt;0),1,0))</f>
        <v>0</v>
      </c>
      <c r="H2553" s="25">
        <f>IF(E2553="","",(E2553*4+3+cfgDeslocamento)/48)</f>
        <v>0</v>
      </c>
    </row>
    <row r="2554" spans="1:8">
      <c r="A2554" s="24"/>
      <c r="B2554" s="19"/>
      <c r="C2554" s="25">
        <f>IF(D2554="","",D2554/48)</f>
        <v>0</v>
      </c>
      <c r="D2554" s="26">
        <f>IF(A2554="","",ROUND((A2554-cfgDefasagem/1440)*48,0))</f>
        <v>0</v>
      </c>
      <c r="E2554" s="26">
        <f>IF(D2554="","",INT((D2554-cfgDeslocamento)/4))</f>
        <v>0</v>
      </c>
      <c r="F2554" s="26">
        <f>IF(D2554="","",MOD(D2554-cfgDeslocamento,4)+1)</f>
        <v>0</v>
      </c>
      <c r="G2554" s="26">
        <f>IF(A2554="","",IF(AND(ISNUMBER(B2554),B2554&lt;&gt;0),1,0))</f>
        <v>0</v>
      </c>
      <c r="H2554" s="25">
        <f>IF(E2554="","",(E2554*4+3+cfgDeslocamento)/48)</f>
        <v>0</v>
      </c>
    </row>
    <row r="2555" spans="1:8">
      <c r="A2555" s="24"/>
      <c r="B2555" s="19"/>
      <c r="C2555" s="25">
        <f>IF(D2555="","",D2555/48)</f>
        <v>0</v>
      </c>
      <c r="D2555" s="26">
        <f>IF(A2555="","",ROUND((A2555-cfgDefasagem/1440)*48,0))</f>
        <v>0</v>
      </c>
      <c r="E2555" s="26">
        <f>IF(D2555="","",INT((D2555-cfgDeslocamento)/4))</f>
        <v>0</v>
      </c>
      <c r="F2555" s="26">
        <f>IF(D2555="","",MOD(D2555-cfgDeslocamento,4)+1)</f>
        <v>0</v>
      </c>
      <c r="G2555" s="26">
        <f>IF(A2555="","",IF(AND(ISNUMBER(B2555),B2555&lt;&gt;0),1,0))</f>
        <v>0</v>
      </c>
      <c r="H2555" s="25">
        <f>IF(E2555="","",(E2555*4+3+cfgDeslocamento)/48)</f>
        <v>0</v>
      </c>
    </row>
    <row r="2556" spans="1:8">
      <c r="A2556" s="24"/>
      <c r="B2556" s="19"/>
      <c r="C2556" s="25">
        <f>IF(D2556="","",D2556/48)</f>
        <v>0</v>
      </c>
      <c r="D2556" s="26">
        <f>IF(A2556="","",ROUND((A2556-cfgDefasagem/1440)*48,0))</f>
        <v>0</v>
      </c>
      <c r="E2556" s="26">
        <f>IF(D2556="","",INT((D2556-cfgDeslocamento)/4))</f>
        <v>0</v>
      </c>
      <c r="F2556" s="26">
        <f>IF(D2556="","",MOD(D2556-cfgDeslocamento,4)+1)</f>
        <v>0</v>
      </c>
      <c r="G2556" s="26">
        <f>IF(A2556="","",IF(AND(ISNUMBER(B2556),B2556&lt;&gt;0),1,0))</f>
        <v>0</v>
      </c>
      <c r="H2556" s="25">
        <f>IF(E2556="","",(E2556*4+3+cfgDeslocamento)/48)</f>
        <v>0</v>
      </c>
    </row>
    <row r="2557" spans="1:8">
      <c r="A2557" s="24"/>
      <c r="B2557" s="19"/>
      <c r="C2557" s="25">
        <f>IF(D2557="","",D2557/48)</f>
        <v>0</v>
      </c>
      <c r="D2557" s="26">
        <f>IF(A2557="","",ROUND((A2557-cfgDefasagem/1440)*48,0))</f>
        <v>0</v>
      </c>
      <c r="E2557" s="26">
        <f>IF(D2557="","",INT((D2557-cfgDeslocamento)/4))</f>
        <v>0</v>
      </c>
      <c r="F2557" s="26">
        <f>IF(D2557="","",MOD(D2557-cfgDeslocamento,4)+1)</f>
        <v>0</v>
      </c>
      <c r="G2557" s="26">
        <f>IF(A2557="","",IF(AND(ISNUMBER(B2557),B2557&lt;&gt;0),1,0))</f>
        <v>0</v>
      </c>
      <c r="H2557" s="25">
        <f>IF(E2557="","",(E2557*4+3+cfgDeslocamento)/48)</f>
        <v>0</v>
      </c>
    </row>
    <row r="2558" spans="1:8">
      <c r="A2558" s="24"/>
      <c r="B2558" s="19"/>
      <c r="C2558" s="25">
        <f>IF(D2558="","",D2558/48)</f>
        <v>0</v>
      </c>
      <c r="D2558" s="26">
        <f>IF(A2558="","",ROUND((A2558-cfgDefasagem/1440)*48,0))</f>
        <v>0</v>
      </c>
      <c r="E2558" s="26">
        <f>IF(D2558="","",INT((D2558-cfgDeslocamento)/4))</f>
        <v>0</v>
      </c>
      <c r="F2558" s="26">
        <f>IF(D2558="","",MOD(D2558-cfgDeslocamento,4)+1)</f>
        <v>0</v>
      </c>
      <c r="G2558" s="26">
        <f>IF(A2558="","",IF(AND(ISNUMBER(B2558),B2558&lt;&gt;0),1,0))</f>
        <v>0</v>
      </c>
      <c r="H2558" s="25">
        <f>IF(E2558="","",(E2558*4+3+cfgDeslocamento)/48)</f>
        <v>0</v>
      </c>
    </row>
    <row r="2559" spans="1:8">
      <c r="A2559" s="24"/>
      <c r="B2559" s="19"/>
      <c r="C2559" s="25">
        <f>IF(D2559="","",D2559/48)</f>
        <v>0</v>
      </c>
      <c r="D2559" s="26">
        <f>IF(A2559="","",ROUND((A2559-cfgDefasagem/1440)*48,0))</f>
        <v>0</v>
      </c>
      <c r="E2559" s="26">
        <f>IF(D2559="","",INT((D2559-cfgDeslocamento)/4))</f>
        <v>0</v>
      </c>
      <c r="F2559" s="26">
        <f>IF(D2559="","",MOD(D2559-cfgDeslocamento,4)+1)</f>
        <v>0</v>
      </c>
      <c r="G2559" s="26">
        <f>IF(A2559="","",IF(AND(ISNUMBER(B2559),B2559&lt;&gt;0),1,0))</f>
        <v>0</v>
      </c>
      <c r="H2559" s="25">
        <f>IF(E2559="","",(E2559*4+3+cfgDeslocamento)/48)</f>
        <v>0</v>
      </c>
    </row>
    <row r="2560" spans="1:8">
      <c r="A2560" s="24"/>
      <c r="B2560" s="19"/>
      <c r="C2560" s="25">
        <f>IF(D2560="","",D2560/48)</f>
        <v>0</v>
      </c>
      <c r="D2560" s="26">
        <f>IF(A2560="","",ROUND((A2560-cfgDefasagem/1440)*48,0))</f>
        <v>0</v>
      </c>
      <c r="E2560" s="26">
        <f>IF(D2560="","",INT((D2560-cfgDeslocamento)/4))</f>
        <v>0</v>
      </c>
      <c r="F2560" s="26">
        <f>IF(D2560="","",MOD(D2560-cfgDeslocamento,4)+1)</f>
        <v>0</v>
      </c>
      <c r="G2560" s="26">
        <f>IF(A2560="","",IF(AND(ISNUMBER(B2560),B2560&lt;&gt;0),1,0))</f>
        <v>0</v>
      </c>
      <c r="H2560" s="25">
        <f>IF(E2560="","",(E2560*4+3+cfgDeslocamento)/48)</f>
        <v>0</v>
      </c>
    </row>
    <row r="2561" spans="1:8">
      <c r="A2561" s="24"/>
      <c r="B2561" s="19"/>
      <c r="C2561" s="25">
        <f>IF(D2561="","",D2561/48)</f>
        <v>0</v>
      </c>
      <c r="D2561" s="26">
        <f>IF(A2561="","",ROUND((A2561-cfgDefasagem/1440)*48,0))</f>
        <v>0</v>
      </c>
      <c r="E2561" s="26">
        <f>IF(D2561="","",INT((D2561-cfgDeslocamento)/4))</f>
        <v>0</v>
      </c>
      <c r="F2561" s="26">
        <f>IF(D2561="","",MOD(D2561-cfgDeslocamento,4)+1)</f>
        <v>0</v>
      </c>
      <c r="G2561" s="26">
        <f>IF(A2561="","",IF(AND(ISNUMBER(B2561),B2561&lt;&gt;0),1,0))</f>
        <v>0</v>
      </c>
      <c r="H2561" s="25">
        <f>IF(E2561="","",(E2561*4+3+cfgDeslocamento)/48)</f>
        <v>0</v>
      </c>
    </row>
    <row r="2562" spans="1:8">
      <c r="A2562" s="24"/>
      <c r="B2562" s="19"/>
      <c r="C2562" s="25">
        <f>IF(D2562="","",D2562/48)</f>
        <v>0</v>
      </c>
      <c r="D2562" s="26">
        <f>IF(A2562="","",ROUND((A2562-cfgDefasagem/1440)*48,0))</f>
        <v>0</v>
      </c>
      <c r="E2562" s="26">
        <f>IF(D2562="","",INT((D2562-cfgDeslocamento)/4))</f>
        <v>0</v>
      </c>
      <c r="F2562" s="26">
        <f>IF(D2562="","",MOD(D2562-cfgDeslocamento,4)+1)</f>
        <v>0</v>
      </c>
      <c r="G2562" s="26">
        <f>IF(A2562="","",IF(AND(ISNUMBER(B2562),B2562&lt;&gt;0),1,0))</f>
        <v>0</v>
      </c>
      <c r="H2562" s="25">
        <f>IF(E2562="","",(E2562*4+3+cfgDeslocamento)/48)</f>
        <v>0</v>
      </c>
    </row>
    <row r="2563" spans="1:8">
      <c r="A2563" s="24"/>
      <c r="B2563" s="19"/>
      <c r="C2563" s="25">
        <f>IF(D2563="","",D2563/48)</f>
        <v>0</v>
      </c>
      <c r="D2563" s="26">
        <f>IF(A2563="","",ROUND((A2563-cfgDefasagem/1440)*48,0))</f>
        <v>0</v>
      </c>
      <c r="E2563" s="26">
        <f>IF(D2563="","",INT((D2563-cfgDeslocamento)/4))</f>
        <v>0</v>
      </c>
      <c r="F2563" s="26">
        <f>IF(D2563="","",MOD(D2563-cfgDeslocamento,4)+1)</f>
        <v>0</v>
      </c>
      <c r="G2563" s="26">
        <f>IF(A2563="","",IF(AND(ISNUMBER(B2563),B2563&lt;&gt;0),1,0))</f>
        <v>0</v>
      </c>
      <c r="H2563" s="25">
        <f>IF(E2563="","",(E2563*4+3+cfgDeslocamento)/48)</f>
        <v>0</v>
      </c>
    </row>
    <row r="2564" spans="1:8">
      <c r="A2564" s="24"/>
      <c r="B2564" s="19"/>
      <c r="C2564" s="25">
        <f>IF(D2564="","",D2564/48)</f>
        <v>0</v>
      </c>
      <c r="D2564" s="26">
        <f>IF(A2564="","",ROUND((A2564-cfgDefasagem/1440)*48,0))</f>
        <v>0</v>
      </c>
      <c r="E2564" s="26">
        <f>IF(D2564="","",INT((D2564-cfgDeslocamento)/4))</f>
        <v>0</v>
      </c>
      <c r="F2564" s="26">
        <f>IF(D2564="","",MOD(D2564-cfgDeslocamento,4)+1)</f>
        <v>0</v>
      </c>
      <c r="G2564" s="26">
        <f>IF(A2564="","",IF(AND(ISNUMBER(B2564),B2564&lt;&gt;0),1,0))</f>
        <v>0</v>
      </c>
      <c r="H2564" s="25">
        <f>IF(E2564="","",(E2564*4+3+cfgDeslocamento)/48)</f>
        <v>0</v>
      </c>
    </row>
    <row r="2565" spans="1:8">
      <c r="A2565" s="24"/>
      <c r="B2565" s="19"/>
      <c r="C2565" s="25">
        <f>IF(D2565="","",D2565/48)</f>
        <v>0</v>
      </c>
      <c r="D2565" s="26">
        <f>IF(A2565="","",ROUND((A2565-cfgDefasagem/1440)*48,0))</f>
        <v>0</v>
      </c>
      <c r="E2565" s="26">
        <f>IF(D2565="","",INT((D2565-cfgDeslocamento)/4))</f>
        <v>0</v>
      </c>
      <c r="F2565" s="26">
        <f>IF(D2565="","",MOD(D2565-cfgDeslocamento,4)+1)</f>
        <v>0</v>
      </c>
      <c r="G2565" s="26">
        <f>IF(A2565="","",IF(AND(ISNUMBER(B2565),B2565&lt;&gt;0),1,0))</f>
        <v>0</v>
      </c>
      <c r="H2565" s="25">
        <f>IF(E2565="","",(E2565*4+3+cfgDeslocamento)/48)</f>
        <v>0</v>
      </c>
    </row>
    <row r="2566" spans="1:8">
      <c r="A2566" s="24"/>
      <c r="B2566" s="19"/>
      <c r="C2566" s="25">
        <f>IF(D2566="","",D2566/48)</f>
        <v>0</v>
      </c>
      <c r="D2566" s="26">
        <f>IF(A2566="","",ROUND((A2566-cfgDefasagem/1440)*48,0))</f>
        <v>0</v>
      </c>
      <c r="E2566" s="26">
        <f>IF(D2566="","",INT((D2566-cfgDeslocamento)/4))</f>
        <v>0</v>
      </c>
      <c r="F2566" s="26">
        <f>IF(D2566="","",MOD(D2566-cfgDeslocamento,4)+1)</f>
        <v>0</v>
      </c>
      <c r="G2566" s="26">
        <f>IF(A2566="","",IF(AND(ISNUMBER(B2566),B2566&lt;&gt;0),1,0))</f>
        <v>0</v>
      </c>
      <c r="H2566" s="25">
        <f>IF(E2566="","",(E2566*4+3+cfgDeslocamento)/48)</f>
        <v>0</v>
      </c>
    </row>
    <row r="2567" spans="1:8">
      <c r="A2567" s="24"/>
      <c r="B2567" s="19"/>
      <c r="C2567" s="25">
        <f>IF(D2567="","",D2567/48)</f>
        <v>0</v>
      </c>
      <c r="D2567" s="26">
        <f>IF(A2567="","",ROUND((A2567-cfgDefasagem/1440)*48,0))</f>
        <v>0</v>
      </c>
      <c r="E2567" s="26">
        <f>IF(D2567="","",INT((D2567-cfgDeslocamento)/4))</f>
        <v>0</v>
      </c>
      <c r="F2567" s="26">
        <f>IF(D2567="","",MOD(D2567-cfgDeslocamento,4)+1)</f>
        <v>0</v>
      </c>
      <c r="G2567" s="26">
        <f>IF(A2567="","",IF(AND(ISNUMBER(B2567),B2567&lt;&gt;0),1,0))</f>
        <v>0</v>
      </c>
      <c r="H2567" s="25">
        <f>IF(E2567="","",(E2567*4+3+cfgDeslocamento)/48)</f>
        <v>0</v>
      </c>
    </row>
    <row r="2568" spans="1:8">
      <c r="A2568" s="24"/>
      <c r="B2568" s="19"/>
      <c r="C2568" s="25">
        <f>IF(D2568="","",D2568/48)</f>
        <v>0</v>
      </c>
      <c r="D2568" s="26">
        <f>IF(A2568="","",ROUND((A2568-cfgDefasagem/1440)*48,0))</f>
        <v>0</v>
      </c>
      <c r="E2568" s="26">
        <f>IF(D2568="","",INT((D2568-cfgDeslocamento)/4))</f>
        <v>0</v>
      </c>
      <c r="F2568" s="26">
        <f>IF(D2568="","",MOD(D2568-cfgDeslocamento,4)+1)</f>
        <v>0</v>
      </c>
      <c r="G2568" s="26">
        <f>IF(A2568="","",IF(AND(ISNUMBER(B2568),B2568&lt;&gt;0),1,0))</f>
        <v>0</v>
      </c>
      <c r="H2568" s="25">
        <f>IF(E2568="","",(E2568*4+3+cfgDeslocamento)/48)</f>
        <v>0</v>
      </c>
    </row>
    <row r="2569" spans="1:8">
      <c r="A2569" s="24"/>
      <c r="B2569" s="19"/>
      <c r="C2569" s="25">
        <f>IF(D2569="","",D2569/48)</f>
        <v>0</v>
      </c>
      <c r="D2569" s="26">
        <f>IF(A2569="","",ROUND((A2569-cfgDefasagem/1440)*48,0))</f>
        <v>0</v>
      </c>
      <c r="E2569" s="26">
        <f>IF(D2569="","",INT((D2569-cfgDeslocamento)/4))</f>
        <v>0</v>
      </c>
      <c r="F2569" s="26">
        <f>IF(D2569="","",MOD(D2569-cfgDeslocamento,4)+1)</f>
        <v>0</v>
      </c>
      <c r="G2569" s="26">
        <f>IF(A2569="","",IF(AND(ISNUMBER(B2569),B2569&lt;&gt;0),1,0))</f>
        <v>0</v>
      </c>
      <c r="H2569" s="25">
        <f>IF(E2569="","",(E2569*4+3+cfgDeslocamento)/48)</f>
        <v>0</v>
      </c>
    </row>
    <row r="2570" spans="1:8">
      <c r="A2570" s="24"/>
      <c r="B2570" s="19"/>
      <c r="C2570" s="25">
        <f>IF(D2570="","",D2570/48)</f>
        <v>0</v>
      </c>
      <c r="D2570" s="26">
        <f>IF(A2570="","",ROUND((A2570-cfgDefasagem/1440)*48,0))</f>
        <v>0</v>
      </c>
      <c r="E2570" s="26">
        <f>IF(D2570="","",INT((D2570-cfgDeslocamento)/4))</f>
        <v>0</v>
      </c>
      <c r="F2570" s="26">
        <f>IF(D2570="","",MOD(D2570-cfgDeslocamento,4)+1)</f>
        <v>0</v>
      </c>
      <c r="G2570" s="26">
        <f>IF(A2570="","",IF(AND(ISNUMBER(B2570),B2570&lt;&gt;0),1,0))</f>
        <v>0</v>
      </c>
      <c r="H2570" s="25">
        <f>IF(E2570="","",(E2570*4+3+cfgDeslocamento)/48)</f>
        <v>0</v>
      </c>
    </row>
    <row r="2571" spans="1:8">
      <c r="A2571" s="24"/>
      <c r="B2571" s="19"/>
      <c r="C2571" s="25">
        <f>IF(D2571="","",D2571/48)</f>
        <v>0</v>
      </c>
      <c r="D2571" s="26">
        <f>IF(A2571="","",ROUND((A2571-cfgDefasagem/1440)*48,0))</f>
        <v>0</v>
      </c>
      <c r="E2571" s="26">
        <f>IF(D2571="","",INT((D2571-cfgDeslocamento)/4))</f>
        <v>0</v>
      </c>
      <c r="F2571" s="26">
        <f>IF(D2571="","",MOD(D2571-cfgDeslocamento,4)+1)</f>
        <v>0</v>
      </c>
      <c r="G2571" s="26">
        <f>IF(A2571="","",IF(AND(ISNUMBER(B2571),B2571&lt;&gt;0),1,0))</f>
        <v>0</v>
      </c>
      <c r="H2571" s="25">
        <f>IF(E2571="","",(E2571*4+3+cfgDeslocamento)/48)</f>
        <v>0</v>
      </c>
    </row>
    <row r="2572" spans="1:8">
      <c r="A2572" s="24"/>
      <c r="B2572" s="19"/>
      <c r="C2572" s="25">
        <f>IF(D2572="","",D2572/48)</f>
        <v>0</v>
      </c>
      <c r="D2572" s="26">
        <f>IF(A2572="","",ROUND((A2572-cfgDefasagem/1440)*48,0))</f>
        <v>0</v>
      </c>
      <c r="E2572" s="26">
        <f>IF(D2572="","",INT((D2572-cfgDeslocamento)/4))</f>
        <v>0</v>
      </c>
      <c r="F2572" s="26">
        <f>IF(D2572="","",MOD(D2572-cfgDeslocamento,4)+1)</f>
        <v>0</v>
      </c>
      <c r="G2572" s="26">
        <f>IF(A2572="","",IF(AND(ISNUMBER(B2572),B2572&lt;&gt;0),1,0))</f>
        <v>0</v>
      </c>
      <c r="H2572" s="25">
        <f>IF(E2572="","",(E2572*4+3+cfgDeslocamento)/48)</f>
        <v>0</v>
      </c>
    </row>
    <row r="2573" spans="1:8">
      <c r="A2573" s="24"/>
      <c r="B2573" s="19"/>
      <c r="C2573" s="25">
        <f>IF(D2573="","",D2573/48)</f>
        <v>0</v>
      </c>
      <c r="D2573" s="26">
        <f>IF(A2573="","",ROUND((A2573-cfgDefasagem/1440)*48,0))</f>
        <v>0</v>
      </c>
      <c r="E2573" s="26">
        <f>IF(D2573="","",INT((D2573-cfgDeslocamento)/4))</f>
        <v>0</v>
      </c>
      <c r="F2573" s="26">
        <f>IF(D2573="","",MOD(D2573-cfgDeslocamento,4)+1)</f>
        <v>0</v>
      </c>
      <c r="G2573" s="26">
        <f>IF(A2573="","",IF(AND(ISNUMBER(B2573),B2573&lt;&gt;0),1,0))</f>
        <v>0</v>
      </c>
      <c r="H2573" s="25">
        <f>IF(E2573="","",(E2573*4+3+cfgDeslocamento)/48)</f>
        <v>0</v>
      </c>
    </row>
    <row r="2574" spans="1:8">
      <c r="A2574" s="24"/>
      <c r="B2574" s="19"/>
      <c r="C2574" s="25">
        <f>IF(D2574="","",D2574/48)</f>
        <v>0</v>
      </c>
      <c r="D2574" s="26">
        <f>IF(A2574="","",ROUND((A2574-cfgDefasagem/1440)*48,0))</f>
        <v>0</v>
      </c>
      <c r="E2574" s="26">
        <f>IF(D2574="","",INT((D2574-cfgDeslocamento)/4))</f>
        <v>0</v>
      </c>
      <c r="F2574" s="26">
        <f>IF(D2574="","",MOD(D2574-cfgDeslocamento,4)+1)</f>
        <v>0</v>
      </c>
      <c r="G2574" s="26">
        <f>IF(A2574="","",IF(AND(ISNUMBER(B2574),B2574&lt;&gt;0),1,0))</f>
        <v>0</v>
      </c>
      <c r="H2574" s="25">
        <f>IF(E2574="","",(E2574*4+3+cfgDeslocamento)/48)</f>
        <v>0</v>
      </c>
    </row>
    <row r="2575" spans="1:8">
      <c r="A2575" s="24"/>
      <c r="B2575" s="19"/>
      <c r="C2575" s="25">
        <f>IF(D2575="","",D2575/48)</f>
        <v>0</v>
      </c>
      <c r="D2575" s="26">
        <f>IF(A2575="","",ROUND((A2575-cfgDefasagem/1440)*48,0))</f>
        <v>0</v>
      </c>
      <c r="E2575" s="26">
        <f>IF(D2575="","",INT((D2575-cfgDeslocamento)/4))</f>
        <v>0</v>
      </c>
      <c r="F2575" s="26">
        <f>IF(D2575="","",MOD(D2575-cfgDeslocamento,4)+1)</f>
        <v>0</v>
      </c>
      <c r="G2575" s="26">
        <f>IF(A2575="","",IF(AND(ISNUMBER(B2575),B2575&lt;&gt;0),1,0))</f>
        <v>0</v>
      </c>
      <c r="H2575" s="25">
        <f>IF(E2575="","",(E2575*4+3+cfgDeslocamento)/48)</f>
        <v>0</v>
      </c>
    </row>
    <row r="2576" spans="1:8">
      <c r="A2576" s="24"/>
      <c r="B2576" s="19"/>
      <c r="C2576" s="25">
        <f>IF(D2576="","",D2576/48)</f>
        <v>0</v>
      </c>
      <c r="D2576" s="26">
        <f>IF(A2576="","",ROUND((A2576-cfgDefasagem/1440)*48,0))</f>
        <v>0</v>
      </c>
      <c r="E2576" s="26">
        <f>IF(D2576="","",INT((D2576-cfgDeslocamento)/4))</f>
        <v>0</v>
      </c>
      <c r="F2576" s="26">
        <f>IF(D2576="","",MOD(D2576-cfgDeslocamento,4)+1)</f>
        <v>0</v>
      </c>
      <c r="G2576" s="26">
        <f>IF(A2576="","",IF(AND(ISNUMBER(B2576),B2576&lt;&gt;0),1,0))</f>
        <v>0</v>
      </c>
      <c r="H2576" s="25">
        <f>IF(E2576="","",(E2576*4+3+cfgDeslocamento)/48)</f>
        <v>0</v>
      </c>
    </row>
    <row r="2577" spans="1:8">
      <c r="A2577" s="24"/>
      <c r="B2577" s="19"/>
      <c r="C2577" s="25">
        <f>IF(D2577="","",D2577/48)</f>
        <v>0</v>
      </c>
      <c r="D2577" s="26">
        <f>IF(A2577="","",ROUND((A2577-cfgDefasagem/1440)*48,0))</f>
        <v>0</v>
      </c>
      <c r="E2577" s="26">
        <f>IF(D2577="","",INT((D2577-cfgDeslocamento)/4))</f>
        <v>0</v>
      </c>
      <c r="F2577" s="26">
        <f>IF(D2577="","",MOD(D2577-cfgDeslocamento,4)+1)</f>
        <v>0</v>
      </c>
      <c r="G2577" s="26">
        <f>IF(A2577="","",IF(AND(ISNUMBER(B2577),B2577&lt;&gt;0),1,0))</f>
        <v>0</v>
      </c>
      <c r="H2577" s="25">
        <f>IF(E2577="","",(E2577*4+3+cfgDeslocamento)/48)</f>
        <v>0</v>
      </c>
    </row>
    <row r="2578" spans="1:8">
      <c r="A2578" s="24"/>
      <c r="B2578" s="19"/>
      <c r="C2578" s="25">
        <f>IF(D2578="","",D2578/48)</f>
        <v>0</v>
      </c>
      <c r="D2578" s="26">
        <f>IF(A2578="","",ROUND((A2578-cfgDefasagem/1440)*48,0))</f>
        <v>0</v>
      </c>
      <c r="E2578" s="26">
        <f>IF(D2578="","",INT((D2578-cfgDeslocamento)/4))</f>
        <v>0</v>
      </c>
      <c r="F2578" s="26">
        <f>IF(D2578="","",MOD(D2578-cfgDeslocamento,4)+1)</f>
        <v>0</v>
      </c>
      <c r="G2578" s="26">
        <f>IF(A2578="","",IF(AND(ISNUMBER(B2578),B2578&lt;&gt;0),1,0))</f>
        <v>0</v>
      </c>
      <c r="H2578" s="25">
        <f>IF(E2578="","",(E2578*4+3+cfgDeslocamento)/48)</f>
        <v>0</v>
      </c>
    </row>
    <row r="2579" spans="1:8">
      <c r="A2579" s="24"/>
      <c r="B2579" s="19"/>
      <c r="C2579" s="25">
        <f>IF(D2579="","",D2579/48)</f>
        <v>0</v>
      </c>
      <c r="D2579" s="26">
        <f>IF(A2579="","",ROUND((A2579-cfgDefasagem/1440)*48,0))</f>
        <v>0</v>
      </c>
      <c r="E2579" s="26">
        <f>IF(D2579="","",INT((D2579-cfgDeslocamento)/4))</f>
        <v>0</v>
      </c>
      <c r="F2579" s="26">
        <f>IF(D2579="","",MOD(D2579-cfgDeslocamento,4)+1)</f>
        <v>0</v>
      </c>
      <c r="G2579" s="26">
        <f>IF(A2579="","",IF(AND(ISNUMBER(B2579),B2579&lt;&gt;0),1,0))</f>
        <v>0</v>
      </c>
      <c r="H2579" s="25">
        <f>IF(E2579="","",(E2579*4+3+cfgDeslocamento)/48)</f>
        <v>0</v>
      </c>
    </row>
    <row r="2580" spans="1:8">
      <c r="A2580" s="24"/>
      <c r="B2580" s="19"/>
      <c r="C2580" s="25">
        <f>IF(D2580="","",D2580/48)</f>
        <v>0</v>
      </c>
      <c r="D2580" s="26">
        <f>IF(A2580="","",ROUND((A2580-cfgDefasagem/1440)*48,0))</f>
        <v>0</v>
      </c>
      <c r="E2580" s="26">
        <f>IF(D2580="","",INT((D2580-cfgDeslocamento)/4))</f>
        <v>0</v>
      </c>
      <c r="F2580" s="26">
        <f>IF(D2580="","",MOD(D2580-cfgDeslocamento,4)+1)</f>
        <v>0</v>
      </c>
      <c r="G2580" s="26">
        <f>IF(A2580="","",IF(AND(ISNUMBER(B2580),B2580&lt;&gt;0),1,0))</f>
        <v>0</v>
      </c>
      <c r="H2580" s="25">
        <f>IF(E2580="","",(E2580*4+3+cfgDeslocamento)/48)</f>
        <v>0</v>
      </c>
    </row>
    <row r="2581" spans="1:8">
      <c r="A2581" s="24"/>
      <c r="B2581" s="19"/>
      <c r="C2581" s="25">
        <f>IF(D2581="","",D2581/48)</f>
        <v>0</v>
      </c>
      <c r="D2581" s="26">
        <f>IF(A2581="","",ROUND((A2581-cfgDefasagem/1440)*48,0))</f>
        <v>0</v>
      </c>
      <c r="E2581" s="26">
        <f>IF(D2581="","",INT((D2581-cfgDeslocamento)/4))</f>
        <v>0</v>
      </c>
      <c r="F2581" s="26">
        <f>IF(D2581="","",MOD(D2581-cfgDeslocamento,4)+1)</f>
        <v>0</v>
      </c>
      <c r="G2581" s="26">
        <f>IF(A2581="","",IF(AND(ISNUMBER(B2581),B2581&lt;&gt;0),1,0))</f>
        <v>0</v>
      </c>
      <c r="H2581" s="25">
        <f>IF(E2581="","",(E2581*4+3+cfgDeslocamento)/48)</f>
        <v>0</v>
      </c>
    </row>
    <row r="2582" spans="1:8">
      <c r="A2582" s="24"/>
      <c r="B2582" s="19"/>
      <c r="C2582" s="25">
        <f>IF(D2582="","",D2582/48)</f>
        <v>0</v>
      </c>
      <c r="D2582" s="26">
        <f>IF(A2582="","",ROUND((A2582-cfgDefasagem/1440)*48,0))</f>
        <v>0</v>
      </c>
      <c r="E2582" s="26">
        <f>IF(D2582="","",INT((D2582-cfgDeslocamento)/4))</f>
        <v>0</v>
      </c>
      <c r="F2582" s="26">
        <f>IF(D2582="","",MOD(D2582-cfgDeslocamento,4)+1)</f>
        <v>0</v>
      </c>
      <c r="G2582" s="26">
        <f>IF(A2582="","",IF(AND(ISNUMBER(B2582),B2582&lt;&gt;0),1,0))</f>
        <v>0</v>
      </c>
      <c r="H2582" s="25">
        <f>IF(E2582="","",(E2582*4+3+cfgDeslocamento)/48)</f>
        <v>0</v>
      </c>
    </row>
    <row r="2583" spans="1:8">
      <c r="A2583" s="24"/>
      <c r="B2583" s="19"/>
      <c r="C2583" s="25">
        <f>IF(D2583="","",D2583/48)</f>
        <v>0</v>
      </c>
      <c r="D2583" s="26">
        <f>IF(A2583="","",ROUND((A2583-cfgDefasagem/1440)*48,0))</f>
        <v>0</v>
      </c>
      <c r="E2583" s="26">
        <f>IF(D2583="","",INT((D2583-cfgDeslocamento)/4))</f>
        <v>0</v>
      </c>
      <c r="F2583" s="26">
        <f>IF(D2583="","",MOD(D2583-cfgDeslocamento,4)+1)</f>
        <v>0</v>
      </c>
      <c r="G2583" s="26">
        <f>IF(A2583="","",IF(AND(ISNUMBER(B2583),B2583&lt;&gt;0),1,0))</f>
        <v>0</v>
      </c>
      <c r="H2583" s="25">
        <f>IF(E2583="","",(E2583*4+3+cfgDeslocamento)/48)</f>
        <v>0</v>
      </c>
    </row>
    <row r="2584" spans="1:8">
      <c r="A2584" s="24"/>
      <c r="B2584" s="19"/>
      <c r="C2584" s="25">
        <f>IF(D2584="","",D2584/48)</f>
        <v>0</v>
      </c>
      <c r="D2584" s="26">
        <f>IF(A2584="","",ROUND((A2584-cfgDefasagem/1440)*48,0))</f>
        <v>0</v>
      </c>
      <c r="E2584" s="26">
        <f>IF(D2584="","",INT((D2584-cfgDeslocamento)/4))</f>
        <v>0</v>
      </c>
      <c r="F2584" s="26">
        <f>IF(D2584="","",MOD(D2584-cfgDeslocamento,4)+1)</f>
        <v>0</v>
      </c>
      <c r="G2584" s="26">
        <f>IF(A2584="","",IF(AND(ISNUMBER(B2584),B2584&lt;&gt;0),1,0))</f>
        <v>0</v>
      </c>
      <c r="H2584" s="25">
        <f>IF(E2584="","",(E2584*4+3+cfgDeslocamento)/48)</f>
        <v>0</v>
      </c>
    </row>
    <row r="2585" spans="1:8">
      <c r="A2585" s="24"/>
      <c r="B2585" s="19"/>
      <c r="C2585" s="25">
        <f>IF(D2585="","",D2585/48)</f>
        <v>0</v>
      </c>
      <c r="D2585" s="26">
        <f>IF(A2585="","",ROUND((A2585-cfgDefasagem/1440)*48,0))</f>
        <v>0</v>
      </c>
      <c r="E2585" s="26">
        <f>IF(D2585="","",INT((D2585-cfgDeslocamento)/4))</f>
        <v>0</v>
      </c>
      <c r="F2585" s="26">
        <f>IF(D2585="","",MOD(D2585-cfgDeslocamento,4)+1)</f>
        <v>0</v>
      </c>
      <c r="G2585" s="26">
        <f>IF(A2585="","",IF(AND(ISNUMBER(B2585),B2585&lt;&gt;0),1,0))</f>
        <v>0</v>
      </c>
      <c r="H2585" s="25">
        <f>IF(E2585="","",(E2585*4+3+cfgDeslocamento)/48)</f>
        <v>0</v>
      </c>
    </row>
    <row r="2586" spans="1:8">
      <c r="A2586" s="24"/>
      <c r="B2586" s="19"/>
      <c r="C2586" s="25">
        <f>IF(D2586="","",D2586/48)</f>
        <v>0</v>
      </c>
      <c r="D2586" s="26">
        <f>IF(A2586="","",ROUND((A2586-cfgDefasagem/1440)*48,0))</f>
        <v>0</v>
      </c>
      <c r="E2586" s="26">
        <f>IF(D2586="","",INT((D2586-cfgDeslocamento)/4))</f>
        <v>0</v>
      </c>
      <c r="F2586" s="26">
        <f>IF(D2586="","",MOD(D2586-cfgDeslocamento,4)+1)</f>
        <v>0</v>
      </c>
      <c r="G2586" s="26">
        <f>IF(A2586="","",IF(AND(ISNUMBER(B2586),B2586&lt;&gt;0),1,0))</f>
        <v>0</v>
      </c>
      <c r="H2586" s="25">
        <f>IF(E2586="","",(E2586*4+3+cfgDeslocamento)/48)</f>
        <v>0</v>
      </c>
    </row>
    <row r="2587" spans="1:8">
      <c r="A2587" s="24"/>
      <c r="B2587" s="19"/>
      <c r="C2587" s="25">
        <f>IF(D2587="","",D2587/48)</f>
        <v>0</v>
      </c>
      <c r="D2587" s="26">
        <f>IF(A2587="","",ROUND((A2587-cfgDefasagem/1440)*48,0))</f>
        <v>0</v>
      </c>
      <c r="E2587" s="26">
        <f>IF(D2587="","",INT((D2587-cfgDeslocamento)/4))</f>
        <v>0</v>
      </c>
      <c r="F2587" s="26">
        <f>IF(D2587="","",MOD(D2587-cfgDeslocamento,4)+1)</f>
        <v>0</v>
      </c>
      <c r="G2587" s="26">
        <f>IF(A2587="","",IF(AND(ISNUMBER(B2587),B2587&lt;&gt;0),1,0))</f>
        <v>0</v>
      </c>
      <c r="H2587" s="25">
        <f>IF(E2587="","",(E2587*4+3+cfgDeslocamento)/48)</f>
        <v>0</v>
      </c>
    </row>
    <row r="2588" spans="1:8">
      <c r="A2588" s="24"/>
      <c r="B2588" s="19"/>
      <c r="C2588" s="25">
        <f>IF(D2588="","",D2588/48)</f>
        <v>0</v>
      </c>
      <c r="D2588" s="26">
        <f>IF(A2588="","",ROUND((A2588-cfgDefasagem/1440)*48,0))</f>
        <v>0</v>
      </c>
      <c r="E2588" s="26">
        <f>IF(D2588="","",INT((D2588-cfgDeslocamento)/4))</f>
        <v>0</v>
      </c>
      <c r="F2588" s="26">
        <f>IF(D2588="","",MOD(D2588-cfgDeslocamento,4)+1)</f>
        <v>0</v>
      </c>
      <c r="G2588" s="26">
        <f>IF(A2588="","",IF(AND(ISNUMBER(B2588),B2588&lt;&gt;0),1,0))</f>
        <v>0</v>
      </c>
      <c r="H2588" s="25">
        <f>IF(E2588="","",(E2588*4+3+cfgDeslocamento)/48)</f>
        <v>0</v>
      </c>
    </row>
    <row r="2589" spans="1:8">
      <c r="A2589" s="24"/>
      <c r="B2589" s="19"/>
      <c r="C2589" s="25">
        <f>IF(D2589="","",D2589/48)</f>
        <v>0</v>
      </c>
      <c r="D2589" s="26">
        <f>IF(A2589="","",ROUND((A2589-cfgDefasagem/1440)*48,0))</f>
        <v>0</v>
      </c>
      <c r="E2589" s="26">
        <f>IF(D2589="","",INT((D2589-cfgDeslocamento)/4))</f>
        <v>0</v>
      </c>
      <c r="F2589" s="26">
        <f>IF(D2589="","",MOD(D2589-cfgDeslocamento,4)+1)</f>
        <v>0</v>
      </c>
      <c r="G2589" s="26">
        <f>IF(A2589="","",IF(AND(ISNUMBER(B2589),B2589&lt;&gt;0),1,0))</f>
        <v>0</v>
      </c>
      <c r="H2589" s="25">
        <f>IF(E2589="","",(E2589*4+3+cfgDeslocamento)/48)</f>
        <v>0</v>
      </c>
    </row>
    <row r="2590" spans="1:8">
      <c r="A2590" s="24"/>
      <c r="B2590" s="19"/>
      <c r="C2590" s="25">
        <f>IF(D2590="","",D2590/48)</f>
        <v>0</v>
      </c>
      <c r="D2590" s="26">
        <f>IF(A2590="","",ROUND((A2590-cfgDefasagem/1440)*48,0))</f>
        <v>0</v>
      </c>
      <c r="E2590" s="26">
        <f>IF(D2590="","",INT((D2590-cfgDeslocamento)/4))</f>
        <v>0</v>
      </c>
      <c r="F2590" s="26">
        <f>IF(D2590="","",MOD(D2590-cfgDeslocamento,4)+1)</f>
        <v>0</v>
      </c>
      <c r="G2590" s="26">
        <f>IF(A2590="","",IF(AND(ISNUMBER(B2590),B2590&lt;&gt;0),1,0))</f>
        <v>0</v>
      </c>
      <c r="H2590" s="25">
        <f>IF(E2590="","",(E2590*4+3+cfgDeslocamento)/48)</f>
        <v>0</v>
      </c>
    </row>
    <row r="2591" spans="1:8">
      <c r="A2591" s="24"/>
      <c r="B2591" s="19"/>
      <c r="C2591" s="25">
        <f>IF(D2591="","",D2591/48)</f>
        <v>0</v>
      </c>
      <c r="D2591" s="26">
        <f>IF(A2591="","",ROUND((A2591-cfgDefasagem/1440)*48,0))</f>
        <v>0</v>
      </c>
      <c r="E2591" s="26">
        <f>IF(D2591="","",INT((D2591-cfgDeslocamento)/4))</f>
        <v>0</v>
      </c>
      <c r="F2591" s="26">
        <f>IF(D2591="","",MOD(D2591-cfgDeslocamento,4)+1)</f>
        <v>0</v>
      </c>
      <c r="G2591" s="26">
        <f>IF(A2591="","",IF(AND(ISNUMBER(B2591),B2591&lt;&gt;0),1,0))</f>
        <v>0</v>
      </c>
      <c r="H2591" s="25">
        <f>IF(E2591="","",(E2591*4+3+cfgDeslocamento)/48)</f>
        <v>0</v>
      </c>
    </row>
    <row r="2592" spans="1:8">
      <c r="A2592" s="24"/>
      <c r="B2592" s="19"/>
      <c r="C2592" s="25">
        <f>IF(D2592="","",D2592/48)</f>
        <v>0</v>
      </c>
      <c r="D2592" s="26">
        <f>IF(A2592="","",ROUND((A2592-cfgDefasagem/1440)*48,0))</f>
        <v>0</v>
      </c>
      <c r="E2592" s="26">
        <f>IF(D2592="","",INT((D2592-cfgDeslocamento)/4))</f>
        <v>0</v>
      </c>
      <c r="F2592" s="26">
        <f>IF(D2592="","",MOD(D2592-cfgDeslocamento,4)+1)</f>
        <v>0</v>
      </c>
      <c r="G2592" s="26">
        <f>IF(A2592="","",IF(AND(ISNUMBER(B2592),B2592&lt;&gt;0),1,0))</f>
        <v>0</v>
      </c>
      <c r="H2592" s="25">
        <f>IF(E2592="","",(E2592*4+3+cfgDeslocamento)/48)</f>
        <v>0</v>
      </c>
    </row>
    <row r="2593" spans="1:8">
      <c r="A2593" s="24"/>
      <c r="B2593" s="19"/>
      <c r="C2593" s="25">
        <f>IF(D2593="","",D2593/48)</f>
        <v>0</v>
      </c>
      <c r="D2593" s="26">
        <f>IF(A2593="","",ROUND((A2593-cfgDefasagem/1440)*48,0))</f>
        <v>0</v>
      </c>
      <c r="E2593" s="26">
        <f>IF(D2593="","",INT((D2593-cfgDeslocamento)/4))</f>
        <v>0</v>
      </c>
      <c r="F2593" s="26">
        <f>IF(D2593="","",MOD(D2593-cfgDeslocamento,4)+1)</f>
        <v>0</v>
      </c>
      <c r="G2593" s="26">
        <f>IF(A2593="","",IF(AND(ISNUMBER(B2593),B2593&lt;&gt;0),1,0))</f>
        <v>0</v>
      </c>
      <c r="H2593" s="25">
        <f>IF(E2593="","",(E2593*4+3+cfgDeslocamento)/48)</f>
        <v>0</v>
      </c>
    </row>
    <row r="2594" spans="1:8">
      <c r="A2594" s="24"/>
      <c r="B2594" s="19"/>
      <c r="C2594" s="25">
        <f>IF(D2594="","",D2594/48)</f>
        <v>0</v>
      </c>
      <c r="D2594" s="26">
        <f>IF(A2594="","",ROUND((A2594-cfgDefasagem/1440)*48,0))</f>
        <v>0</v>
      </c>
      <c r="E2594" s="26">
        <f>IF(D2594="","",INT((D2594-cfgDeslocamento)/4))</f>
        <v>0</v>
      </c>
      <c r="F2594" s="26">
        <f>IF(D2594="","",MOD(D2594-cfgDeslocamento,4)+1)</f>
        <v>0</v>
      </c>
      <c r="G2594" s="26">
        <f>IF(A2594="","",IF(AND(ISNUMBER(B2594),B2594&lt;&gt;0),1,0))</f>
        <v>0</v>
      </c>
      <c r="H2594" s="25">
        <f>IF(E2594="","",(E2594*4+3+cfgDeslocamento)/48)</f>
        <v>0</v>
      </c>
    </row>
    <row r="2595" spans="1:8">
      <c r="A2595" s="24"/>
      <c r="B2595" s="19"/>
      <c r="C2595" s="25">
        <f>IF(D2595="","",D2595/48)</f>
        <v>0</v>
      </c>
      <c r="D2595" s="26">
        <f>IF(A2595="","",ROUND((A2595-cfgDefasagem/1440)*48,0))</f>
        <v>0</v>
      </c>
      <c r="E2595" s="26">
        <f>IF(D2595="","",INT((D2595-cfgDeslocamento)/4))</f>
        <v>0</v>
      </c>
      <c r="F2595" s="26">
        <f>IF(D2595="","",MOD(D2595-cfgDeslocamento,4)+1)</f>
        <v>0</v>
      </c>
      <c r="G2595" s="26">
        <f>IF(A2595="","",IF(AND(ISNUMBER(B2595),B2595&lt;&gt;0),1,0))</f>
        <v>0</v>
      </c>
      <c r="H2595" s="25">
        <f>IF(E2595="","",(E2595*4+3+cfgDeslocamento)/48)</f>
        <v>0</v>
      </c>
    </row>
    <row r="2596" spans="1:8">
      <c r="A2596" s="24"/>
      <c r="B2596" s="19"/>
      <c r="C2596" s="25">
        <f>IF(D2596="","",D2596/48)</f>
        <v>0</v>
      </c>
      <c r="D2596" s="26">
        <f>IF(A2596="","",ROUND((A2596-cfgDefasagem/1440)*48,0))</f>
        <v>0</v>
      </c>
      <c r="E2596" s="26">
        <f>IF(D2596="","",INT((D2596-cfgDeslocamento)/4))</f>
        <v>0</v>
      </c>
      <c r="F2596" s="26">
        <f>IF(D2596="","",MOD(D2596-cfgDeslocamento,4)+1)</f>
        <v>0</v>
      </c>
      <c r="G2596" s="26">
        <f>IF(A2596="","",IF(AND(ISNUMBER(B2596),B2596&lt;&gt;0),1,0))</f>
        <v>0</v>
      </c>
      <c r="H2596" s="25">
        <f>IF(E2596="","",(E2596*4+3+cfgDeslocamento)/48)</f>
        <v>0</v>
      </c>
    </row>
    <row r="2597" spans="1:8">
      <c r="A2597" s="24"/>
      <c r="B2597" s="19"/>
      <c r="C2597" s="25">
        <f>IF(D2597="","",D2597/48)</f>
        <v>0</v>
      </c>
      <c r="D2597" s="26">
        <f>IF(A2597="","",ROUND((A2597-cfgDefasagem/1440)*48,0))</f>
        <v>0</v>
      </c>
      <c r="E2597" s="26">
        <f>IF(D2597="","",INT((D2597-cfgDeslocamento)/4))</f>
        <v>0</v>
      </c>
      <c r="F2597" s="26">
        <f>IF(D2597="","",MOD(D2597-cfgDeslocamento,4)+1)</f>
        <v>0</v>
      </c>
      <c r="G2597" s="26">
        <f>IF(A2597="","",IF(AND(ISNUMBER(B2597),B2597&lt;&gt;0),1,0))</f>
        <v>0</v>
      </c>
      <c r="H2597" s="25">
        <f>IF(E2597="","",(E2597*4+3+cfgDeslocamento)/48)</f>
        <v>0</v>
      </c>
    </row>
    <row r="2598" spans="1:8">
      <c r="A2598" s="24"/>
      <c r="B2598" s="19"/>
      <c r="C2598" s="25">
        <f>IF(D2598="","",D2598/48)</f>
        <v>0</v>
      </c>
      <c r="D2598" s="26">
        <f>IF(A2598="","",ROUND((A2598-cfgDefasagem/1440)*48,0))</f>
        <v>0</v>
      </c>
      <c r="E2598" s="26">
        <f>IF(D2598="","",INT((D2598-cfgDeslocamento)/4))</f>
        <v>0</v>
      </c>
      <c r="F2598" s="26">
        <f>IF(D2598="","",MOD(D2598-cfgDeslocamento,4)+1)</f>
        <v>0</v>
      </c>
      <c r="G2598" s="26">
        <f>IF(A2598="","",IF(AND(ISNUMBER(B2598),B2598&lt;&gt;0),1,0))</f>
        <v>0</v>
      </c>
      <c r="H2598" s="25">
        <f>IF(E2598="","",(E2598*4+3+cfgDeslocamento)/48)</f>
        <v>0</v>
      </c>
    </row>
    <row r="2599" spans="1:8">
      <c r="A2599" s="24"/>
      <c r="B2599" s="19"/>
      <c r="C2599" s="25">
        <f>IF(D2599="","",D2599/48)</f>
        <v>0</v>
      </c>
      <c r="D2599" s="26">
        <f>IF(A2599="","",ROUND((A2599-cfgDefasagem/1440)*48,0))</f>
        <v>0</v>
      </c>
      <c r="E2599" s="26">
        <f>IF(D2599="","",INT((D2599-cfgDeslocamento)/4))</f>
        <v>0</v>
      </c>
      <c r="F2599" s="26">
        <f>IF(D2599="","",MOD(D2599-cfgDeslocamento,4)+1)</f>
        <v>0</v>
      </c>
      <c r="G2599" s="26">
        <f>IF(A2599="","",IF(AND(ISNUMBER(B2599),B2599&lt;&gt;0),1,0))</f>
        <v>0</v>
      </c>
      <c r="H2599" s="25">
        <f>IF(E2599="","",(E2599*4+3+cfgDeslocamento)/48)</f>
        <v>0</v>
      </c>
    </row>
    <row r="2600" spans="1:8">
      <c r="A2600" s="24"/>
      <c r="B2600" s="19"/>
      <c r="C2600" s="25">
        <f>IF(D2600="","",D2600/48)</f>
        <v>0</v>
      </c>
      <c r="D2600" s="26">
        <f>IF(A2600="","",ROUND((A2600-cfgDefasagem/1440)*48,0))</f>
        <v>0</v>
      </c>
      <c r="E2600" s="26">
        <f>IF(D2600="","",INT((D2600-cfgDeslocamento)/4))</f>
        <v>0</v>
      </c>
      <c r="F2600" s="26">
        <f>IF(D2600="","",MOD(D2600-cfgDeslocamento,4)+1)</f>
        <v>0</v>
      </c>
      <c r="G2600" s="26">
        <f>IF(A2600="","",IF(AND(ISNUMBER(B2600),B2600&lt;&gt;0),1,0))</f>
        <v>0</v>
      </c>
      <c r="H2600" s="25">
        <f>IF(E2600="","",(E2600*4+3+cfgDeslocamento)/48)</f>
        <v>0</v>
      </c>
    </row>
    <row r="2601" spans="1:8">
      <c r="A2601" s="24"/>
      <c r="B2601" s="19"/>
      <c r="C2601" s="25">
        <f>IF(D2601="","",D2601/48)</f>
        <v>0</v>
      </c>
      <c r="D2601" s="26">
        <f>IF(A2601="","",ROUND((A2601-cfgDefasagem/1440)*48,0))</f>
        <v>0</v>
      </c>
      <c r="E2601" s="26">
        <f>IF(D2601="","",INT((D2601-cfgDeslocamento)/4))</f>
        <v>0</v>
      </c>
      <c r="F2601" s="26">
        <f>IF(D2601="","",MOD(D2601-cfgDeslocamento,4)+1)</f>
        <v>0</v>
      </c>
      <c r="G2601" s="26">
        <f>IF(A2601="","",IF(AND(ISNUMBER(B2601),B2601&lt;&gt;0),1,0))</f>
        <v>0</v>
      </c>
      <c r="H2601" s="25">
        <f>IF(E2601="","",(E2601*4+3+cfgDeslocamento)/48)</f>
        <v>0</v>
      </c>
    </row>
    <row r="2602" spans="1:8">
      <c r="A2602" s="24"/>
      <c r="B2602" s="19"/>
      <c r="C2602" s="25">
        <f>IF(D2602="","",D2602/48)</f>
        <v>0</v>
      </c>
      <c r="D2602" s="26">
        <f>IF(A2602="","",ROUND((A2602-cfgDefasagem/1440)*48,0))</f>
        <v>0</v>
      </c>
      <c r="E2602" s="26">
        <f>IF(D2602="","",INT((D2602-cfgDeslocamento)/4))</f>
        <v>0</v>
      </c>
      <c r="F2602" s="26">
        <f>IF(D2602="","",MOD(D2602-cfgDeslocamento,4)+1)</f>
        <v>0</v>
      </c>
      <c r="G2602" s="26">
        <f>IF(A2602="","",IF(AND(ISNUMBER(B2602),B2602&lt;&gt;0),1,0))</f>
        <v>0</v>
      </c>
      <c r="H2602" s="25">
        <f>IF(E2602="","",(E2602*4+3+cfgDeslocamento)/48)</f>
        <v>0</v>
      </c>
    </row>
    <row r="2603" spans="1:8">
      <c r="A2603" s="24"/>
      <c r="B2603" s="19"/>
      <c r="C2603" s="25">
        <f>IF(D2603="","",D2603/48)</f>
        <v>0</v>
      </c>
      <c r="D2603" s="26">
        <f>IF(A2603="","",ROUND((A2603-cfgDefasagem/1440)*48,0))</f>
        <v>0</v>
      </c>
      <c r="E2603" s="26">
        <f>IF(D2603="","",INT((D2603-cfgDeslocamento)/4))</f>
        <v>0</v>
      </c>
      <c r="F2603" s="26">
        <f>IF(D2603="","",MOD(D2603-cfgDeslocamento,4)+1)</f>
        <v>0</v>
      </c>
      <c r="G2603" s="26">
        <f>IF(A2603="","",IF(AND(ISNUMBER(B2603),B2603&lt;&gt;0),1,0))</f>
        <v>0</v>
      </c>
      <c r="H2603" s="25">
        <f>IF(E2603="","",(E2603*4+3+cfgDeslocamento)/48)</f>
        <v>0</v>
      </c>
    </row>
    <row r="2604" spans="1:8">
      <c r="A2604" s="24"/>
      <c r="B2604" s="19"/>
      <c r="C2604" s="25">
        <f>IF(D2604="","",D2604/48)</f>
        <v>0</v>
      </c>
      <c r="D2604" s="26">
        <f>IF(A2604="","",ROUND((A2604-cfgDefasagem/1440)*48,0))</f>
        <v>0</v>
      </c>
      <c r="E2604" s="26">
        <f>IF(D2604="","",INT((D2604-cfgDeslocamento)/4))</f>
        <v>0</v>
      </c>
      <c r="F2604" s="26">
        <f>IF(D2604="","",MOD(D2604-cfgDeslocamento,4)+1)</f>
        <v>0</v>
      </c>
      <c r="G2604" s="26">
        <f>IF(A2604="","",IF(AND(ISNUMBER(B2604),B2604&lt;&gt;0),1,0))</f>
        <v>0</v>
      </c>
      <c r="H2604" s="25">
        <f>IF(E2604="","",(E2604*4+3+cfgDeslocamento)/48)</f>
        <v>0</v>
      </c>
    </row>
    <row r="2605" spans="1:8">
      <c r="A2605" s="24"/>
      <c r="B2605" s="19"/>
      <c r="C2605" s="25">
        <f>IF(D2605="","",D2605/48)</f>
        <v>0</v>
      </c>
      <c r="D2605" s="26">
        <f>IF(A2605="","",ROUND((A2605-cfgDefasagem/1440)*48,0))</f>
        <v>0</v>
      </c>
      <c r="E2605" s="26">
        <f>IF(D2605="","",INT((D2605-cfgDeslocamento)/4))</f>
        <v>0</v>
      </c>
      <c r="F2605" s="26">
        <f>IF(D2605="","",MOD(D2605-cfgDeslocamento,4)+1)</f>
        <v>0</v>
      </c>
      <c r="G2605" s="26">
        <f>IF(A2605="","",IF(AND(ISNUMBER(B2605),B2605&lt;&gt;0),1,0))</f>
        <v>0</v>
      </c>
      <c r="H2605" s="25">
        <f>IF(E2605="","",(E2605*4+3+cfgDeslocamento)/48)</f>
        <v>0</v>
      </c>
    </row>
    <row r="2606" spans="1:8">
      <c r="A2606" s="24"/>
      <c r="B2606" s="19"/>
      <c r="C2606" s="25">
        <f>IF(D2606="","",D2606/48)</f>
        <v>0</v>
      </c>
      <c r="D2606" s="26">
        <f>IF(A2606="","",ROUND((A2606-cfgDefasagem/1440)*48,0))</f>
        <v>0</v>
      </c>
      <c r="E2606" s="26">
        <f>IF(D2606="","",INT((D2606-cfgDeslocamento)/4))</f>
        <v>0</v>
      </c>
      <c r="F2606" s="26">
        <f>IF(D2606="","",MOD(D2606-cfgDeslocamento,4)+1)</f>
        <v>0</v>
      </c>
      <c r="G2606" s="26">
        <f>IF(A2606="","",IF(AND(ISNUMBER(B2606),B2606&lt;&gt;0),1,0))</f>
        <v>0</v>
      </c>
      <c r="H2606" s="25">
        <f>IF(E2606="","",(E2606*4+3+cfgDeslocamento)/48)</f>
        <v>0</v>
      </c>
    </row>
    <row r="2607" spans="1:8">
      <c r="A2607" s="24"/>
      <c r="B2607" s="19"/>
      <c r="C2607" s="25">
        <f>IF(D2607="","",D2607/48)</f>
        <v>0</v>
      </c>
      <c r="D2607" s="26">
        <f>IF(A2607="","",ROUND((A2607-cfgDefasagem/1440)*48,0))</f>
        <v>0</v>
      </c>
      <c r="E2607" s="26">
        <f>IF(D2607="","",INT((D2607-cfgDeslocamento)/4))</f>
        <v>0</v>
      </c>
      <c r="F2607" s="26">
        <f>IF(D2607="","",MOD(D2607-cfgDeslocamento,4)+1)</f>
        <v>0</v>
      </c>
      <c r="G2607" s="26">
        <f>IF(A2607="","",IF(AND(ISNUMBER(B2607),B2607&lt;&gt;0),1,0))</f>
        <v>0</v>
      </c>
      <c r="H2607" s="25">
        <f>IF(E2607="","",(E2607*4+3+cfgDeslocamento)/48)</f>
        <v>0</v>
      </c>
    </row>
    <row r="2608" spans="1:8">
      <c r="A2608" s="24"/>
      <c r="B2608" s="19"/>
      <c r="C2608" s="25">
        <f>IF(D2608="","",D2608/48)</f>
        <v>0</v>
      </c>
      <c r="D2608" s="26">
        <f>IF(A2608="","",ROUND((A2608-cfgDefasagem/1440)*48,0))</f>
        <v>0</v>
      </c>
      <c r="E2608" s="26">
        <f>IF(D2608="","",INT((D2608-cfgDeslocamento)/4))</f>
        <v>0</v>
      </c>
      <c r="F2608" s="26">
        <f>IF(D2608="","",MOD(D2608-cfgDeslocamento,4)+1)</f>
        <v>0</v>
      </c>
      <c r="G2608" s="26">
        <f>IF(A2608="","",IF(AND(ISNUMBER(B2608),B2608&lt;&gt;0),1,0))</f>
        <v>0</v>
      </c>
      <c r="H2608" s="25">
        <f>IF(E2608="","",(E2608*4+3+cfgDeslocamento)/48)</f>
        <v>0</v>
      </c>
    </row>
    <row r="2609" spans="1:8">
      <c r="A2609" s="24"/>
      <c r="B2609" s="19"/>
      <c r="C2609" s="25">
        <f>IF(D2609="","",D2609/48)</f>
        <v>0</v>
      </c>
      <c r="D2609" s="26">
        <f>IF(A2609="","",ROUND((A2609-cfgDefasagem/1440)*48,0))</f>
        <v>0</v>
      </c>
      <c r="E2609" s="26">
        <f>IF(D2609="","",INT((D2609-cfgDeslocamento)/4))</f>
        <v>0</v>
      </c>
      <c r="F2609" s="26">
        <f>IF(D2609="","",MOD(D2609-cfgDeslocamento,4)+1)</f>
        <v>0</v>
      </c>
      <c r="G2609" s="26">
        <f>IF(A2609="","",IF(AND(ISNUMBER(B2609),B2609&lt;&gt;0),1,0))</f>
        <v>0</v>
      </c>
      <c r="H2609" s="25">
        <f>IF(E2609="","",(E2609*4+3+cfgDeslocamento)/48)</f>
        <v>0</v>
      </c>
    </row>
    <row r="2610" spans="1:8">
      <c r="A2610" s="24"/>
      <c r="B2610" s="19"/>
      <c r="C2610" s="25">
        <f>IF(D2610="","",D2610/48)</f>
        <v>0</v>
      </c>
      <c r="D2610" s="26">
        <f>IF(A2610="","",ROUND((A2610-cfgDefasagem/1440)*48,0))</f>
        <v>0</v>
      </c>
      <c r="E2610" s="26">
        <f>IF(D2610="","",INT((D2610-cfgDeslocamento)/4))</f>
        <v>0</v>
      </c>
      <c r="F2610" s="26">
        <f>IF(D2610="","",MOD(D2610-cfgDeslocamento,4)+1)</f>
        <v>0</v>
      </c>
      <c r="G2610" s="26">
        <f>IF(A2610="","",IF(AND(ISNUMBER(B2610),B2610&lt;&gt;0),1,0))</f>
        <v>0</v>
      </c>
      <c r="H2610" s="25">
        <f>IF(E2610="","",(E2610*4+3+cfgDeslocamento)/48)</f>
        <v>0</v>
      </c>
    </row>
    <row r="2611" spans="1:8">
      <c r="A2611" s="24"/>
      <c r="B2611" s="19"/>
      <c r="C2611" s="25">
        <f>IF(D2611="","",D2611/48)</f>
        <v>0</v>
      </c>
      <c r="D2611" s="26">
        <f>IF(A2611="","",ROUND((A2611-cfgDefasagem/1440)*48,0))</f>
        <v>0</v>
      </c>
      <c r="E2611" s="26">
        <f>IF(D2611="","",INT((D2611-cfgDeslocamento)/4))</f>
        <v>0</v>
      </c>
      <c r="F2611" s="26">
        <f>IF(D2611="","",MOD(D2611-cfgDeslocamento,4)+1)</f>
        <v>0</v>
      </c>
      <c r="G2611" s="26">
        <f>IF(A2611="","",IF(AND(ISNUMBER(B2611),B2611&lt;&gt;0),1,0))</f>
        <v>0</v>
      </c>
      <c r="H2611" s="25">
        <f>IF(E2611="","",(E2611*4+3+cfgDeslocamento)/48)</f>
        <v>0</v>
      </c>
    </row>
    <row r="2612" spans="1:8">
      <c r="A2612" s="24"/>
      <c r="B2612" s="19"/>
      <c r="C2612" s="25">
        <f>IF(D2612="","",D2612/48)</f>
        <v>0</v>
      </c>
      <c r="D2612" s="26">
        <f>IF(A2612="","",ROUND((A2612-cfgDefasagem/1440)*48,0))</f>
        <v>0</v>
      </c>
      <c r="E2612" s="26">
        <f>IF(D2612="","",INT((D2612-cfgDeslocamento)/4))</f>
        <v>0</v>
      </c>
      <c r="F2612" s="26">
        <f>IF(D2612="","",MOD(D2612-cfgDeslocamento,4)+1)</f>
        <v>0</v>
      </c>
      <c r="G2612" s="26">
        <f>IF(A2612="","",IF(AND(ISNUMBER(B2612),B2612&lt;&gt;0),1,0))</f>
        <v>0</v>
      </c>
      <c r="H2612" s="25">
        <f>IF(E2612="","",(E2612*4+3+cfgDeslocamento)/48)</f>
        <v>0</v>
      </c>
    </row>
    <row r="2613" spans="1:8">
      <c r="A2613" s="24"/>
      <c r="B2613" s="19"/>
      <c r="C2613" s="25">
        <f>IF(D2613="","",D2613/48)</f>
        <v>0</v>
      </c>
      <c r="D2613" s="26">
        <f>IF(A2613="","",ROUND((A2613-cfgDefasagem/1440)*48,0))</f>
        <v>0</v>
      </c>
      <c r="E2613" s="26">
        <f>IF(D2613="","",INT((D2613-cfgDeslocamento)/4))</f>
        <v>0</v>
      </c>
      <c r="F2613" s="26">
        <f>IF(D2613="","",MOD(D2613-cfgDeslocamento,4)+1)</f>
        <v>0</v>
      </c>
      <c r="G2613" s="26">
        <f>IF(A2613="","",IF(AND(ISNUMBER(B2613),B2613&lt;&gt;0),1,0))</f>
        <v>0</v>
      </c>
      <c r="H2613" s="25">
        <f>IF(E2613="","",(E2613*4+3+cfgDeslocamento)/48)</f>
        <v>0</v>
      </c>
    </row>
    <row r="2614" spans="1:8">
      <c r="A2614" s="24"/>
      <c r="B2614" s="19"/>
      <c r="C2614" s="25">
        <f>IF(D2614="","",D2614/48)</f>
        <v>0</v>
      </c>
      <c r="D2614" s="26">
        <f>IF(A2614="","",ROUND((A2614-cfgDefasagem/1440)*48,0))</f>
        <v>0</v>
      </c>
      <c r="E2614" s="26">
        <f>IF(D2614="","",INT((D2614-cfgDeslocamento)/4))</f>
        <v>0</v>
      </c>
      <c r="F2614" s="26">
        <f>IF(D2614="","",MOD(D2614-cfgDeslocamento,4)+1)</f>
        <v>0</v>
      </c>
      <c r="G2614" s="26">
        <f>IF(A2614="","",IF(AND(ISNUMBER(B2614),B2614&lt;&gt;0),1,0))</f>
        <v>0</v>
      </c>
      <c r="H2614" s="25">
        <f>IF(E2614="","",(E2614*4+3+cfgDeslocamento)/48)</f>
        <v>0</v>
      </c>
    </row>
    <row r="2615" spans="1:8">
      <c r="A2615" s="24"/>
      <c r="B2615" s="19"/>
      <c r="C2615" s="25">
        <f>IF(D2615="","",D2615/48)</f>
        <v>0</v>
      </c>
      <c r="D2615" s="26">
        <f>IF(A2615="","",ROUND((A2615-cfgDefasagem/1440)*48,0))</f>
        <v>0</v>
      </c>
      <c r="E2615" s="26">
        <f>IF(D2615="","",INT((D2615-cfgDeslocamento)/4))</f>
        <v>0</v>
      </c>
      <c r="F2615" s="26">
        <f>IF(D2615="","",MOD(D2615-cfgDeslocamento,4)+1)</f>
        <v>0</v>
      </c>
      <c r="G2615" s="26">
        <f>IF(A2615="","",IF(AND(ISNUMBER(B2615),B2615&lt;&gt;0),1,0))</f>
        <v>0</v>
      </c>
      <c r="H2615" s="25">
        <f>IF(E2615="","",(E2615*4+3+cfgDeslocamento)/48)</f>
        <v>0</v>
      </c>
    </row>
    <row r="2616" spans="1:8">
      <c r="A2616" s="24"/>
      <c r="B2616" s="19"/>
      <c r="C2616" s="25">
        <f>IF(D2616="","",D2616/48)</f>
        <v>0</v>
      </c>
      <c r="D2616" s="26">
        <f>IF(A2616="","",ROUND((A2616-cfgDefasagem/1440)*48,0))</f>
        <v>0</v>
      </c>
      <c r="E2616" s="26">
        <f>IF(D2616="","",INT((D2616-cfgDeslocamento)/4))</f>
        <v>0</v>
      </c>
      <c r="F2616" s="26">
        <f>IF(D2616="","",MOD(D2616-cfgDeslocamento,4)+1)</f>
        <v>0</v>
      </c>
      <c r="G2616" s="26">
        <f>IF(A2616="","",IF(AND(ISNUMBER(B2616),B2616&lt;&gt;0),1,0))</f>
        <v>0</v>
      </c>
      <c r="H2616" s="25">
        <f>IF(E2616="","",(E2616*4+3+cfgDeslocamento)/48)</f>
        <v>0</v>
      </c>
    </row>
    <row r="2617" spans="1:8">
      <c r="A2617" s="24"/>
      <c r="B2617" s="19"/>
      <c r="C2617" s="25">
        <f>IF(D2617="","",D2617/48)</f>
        <v>0</v>
      </c>
      <c r="D2617" s="26">
        <f>IF(A2617="","",ROUND((A2617-cfgDefasagem/1440)*48,0))</f>
        <v>0</v>
      </c>
      <c r="E2617" s="26">
        <f>IF(D2617="","",INT((D2617-cfgDeslocamento)/4))</f>
        <v>0</v>
      </c>
      <c r="F2617" s="26">
        <f>IF(D2617="","",MOD(D2617-cfgDeslocamento,4)+1)</f>
        <v>0</v>
      </c>
      <c r="G2617" s="26">
        <f>IF(A2617="","",IF(AND(ISNUMBER(B2617),B2617&lt;&gt;0),1,0))</f>
        <v>0</v>
      </c>
      <c r="H2617" s="25">
        <f>IF(E2617="","",(E2617*4+3+cfgDeslocamento)/48)</f>
        <v>0</v>
      </c>
    </row>
    <row r="2618" spans="1:8">
      <c r="A2618" s="24"/>
      <c r="B2618" s="19"/>
      <c r="C2618" s="25">
        <f>IF(D2618="","",D2618/48)</f>
        <v>0</v>
      </c>
      <c r="D2618" s="26">
        <f>IF(A2618="","",ROUND((A2618-cfgDefasagem/1440)*48,0))</f>
        <v>0</v>
      </c>
      <c r="E2618" s="26">
        <f>IF(D2618="","",INT((D2618-cfgDeslocamento)/4))</f>
        <v>0</v>
      </c>
      <c r="F2618" s="26">
        <f>IF(D2618="","",MOD(D2618-cfgDeslocamento,4)+1)</f>
        <v>0</v>
      </c>
      <c r="G2618" s="26">
        <f>IF(A2618="","",IF(AND(ISNUMBER(B2618),B2618&lt;&gt;0),1,0))</f>
        <v>0</v>
      </c>
      <c r="H2618" s="25">
        <f>IF(E2618="","",(E2618*4+3+cfgDeslocamento)/48)</f>
        <v>0</v>
      </c>
    </row>
    <row r="2619" spans="1:8">
      <c r="A2619" s="24"/>
      <c r="B2619" s="19"/>
      <c r="C2619" s="25">
        <f>IF(D2619="","",D2619/48)</f>
        <v>0</v>
      </c>
      <c r="D2619" s="26">
        <f>IF(A2619="","",ROUND((A2619-cfgDefasagem/1440)*48,0))</f>
        <v>0</v>
      </c>
      <c r="E2619" s="26">
        <f>IF(D2619="","",INT((D2619-cfgDeslocamento)/4))</f>
        <v>0</v>
      </c>
      <c r="F2619" s="26">
        <f>IF(D2619="","",MOD(D2619-cfgDeslocamento,4)+1)</f>
        <v>0</v>
      </c>
      <c r="G2619" s="26">
        <f>IF(A2619="","",IF(AND(ISNUMBER(B2619),B2619&lt;&gt;0),1,0))</f>
        <v>0</v>
      </c>
      <c r="H2619" s="25">
        <f>IF(E2619="","",(E2619*4+3+cfgDeslocamento)/48)</f>
        <v>0</v>
      </c>
    </row>
    <row r="2620" spans="1:8">
      <c r="A2620" s="24"/>
      <c r="B2620" s="19"/>
      <c r="C2620" s="25">
        <f>IF(D2620="","",D2620/48)</f>
        <v>0</v>
      </c>
      <c r="D2620" s="26">
        <f>IF(A2620="","",ROUND((A2620-cfgDefasagem/1440)*48,0))</f>
        <v>0</v>
      </c>
      <c r="E2620" s="26">
        <f>IF(D2620="","",INT((D2620-cfgDeslocamento)/4))</f>
        <v>0</v>
      </c>
      <c r="F2620" s="26">
        <f>IF(D2620="","",MOD(D2620-cfgDeslocamento,4)+1)</f>
        <v>0</v>
      </c>
      <c r="G2620" s="26">
        <f>IF(A2620="","",IF(AND(ISNUMBER(B2620),B2620&lt;&gt;0),1,0))</f>
        <v>0</v>
      </c>
      <c r="H2620" s="25">
        <f>IF(E2620="","",(E2620*4+3+cfgDeslocamento)/48)</f>
        <v>0</v>
      </c>
    </row>
    <row r="2621" spans="1:8">
      <c r="A2621" s="24"/>
      <c r="B2621" s="19"/>
      <c r="C2621" s="25">
        <f>IF(D2621="","",D2621/48)</f>
        <v>0</v>
      </c>
      <c r="D2621" s="26">
        <f>IF(A2621="","",ROUND((A2621-cfgDefasagem/1440)*48,0))</f>
        <v>0</v>
      </c>
      <c r="E2621" s="26">
        <f>IF(D2621="","",INT((D2621-cfgDeslocamento)/4))</f>
        <v>0</v>
      </c>
      <c r="F2621" s="26">
        <f>IF(D2621="","",MOD(D2621-cfgDeslocamento,4)+1)</f>
        <v>0</v>
      </c>
      <c r="G2621" s="26">
        <f>IF(A2621="","",IF(AND(ISNUMBER(B2621),B2621&lt;&gt;0),1,0))</f>
        <v>0</v>
      </c>
      <c r="H2621" s="25">
        <f>IF(E2621="","",(E2621*4+3+cfgDeslocamento)/48)</f>
        <v>0</v>
      </c>
    </row>
    <row r="2622" spans="1:8">
      <c r="A2622" s="24"/>
      <c r="B2622" s="19"/>
      <c r="C2622" s="25">
        <f>IF(D2622="","",D2622/48)</f>
        <v>0</v>
      </c>
      <c r="D2622" s="26">
        <f>IF(A2622="","",ROUND((A2622-cfgDefasagem/1440)*48,0))</f>
        <v>0</v>
      </c>
      <c r="E2622" s="26">
        <f>IF(D2622="","",INT((D2622-cfgDeslocamento)/4))</f>
        <v>0</v>
      </c>
      <c r="F2622" s="26">
        <f>IF(D2622="","",MOD(D2622-cfgDeslocamento,4)+1)</f>
        <v>0</v>
      </c>
      <c r="G2622" s="26">
        <f>IF(A2622="","",IF(AND(ISNUMBER(B2622),B2622&lt;&gt;0),1,0))</f>
        <v>0</v>
      </c>
      <c r="H2622" s="25">
        <f>IF(E2622="","",(E2622*4+3+cfgDeslocamento)/48)</f>
        <v>0</v>
      </c>
    </row>
    <row r="2623" spans="1:8">
      <c r="A2623" s="24"/>
      <c r="B2623" s="19"/>
      <c r="C2623" s="25">
        <f>IF(D2623="","",D2623/48)</f>
        <v>0</v>
      </c>
      <c r="D2623" s="26">
        <f>IF(A2623="","",ROUND((A2623-cfgDefasagem/1440)*48,0))</f>
        <v>0</v>
      </c>
      <c r="E2623" s="26">
        <f>IF(D2623="","",INT((D2623-cfgDeslocamento)/4))</f>
        <v>0</v>
      </c>
      <c r="F2623" s="26">
        <f>IF(D2623="","",MOD(D2623-cfgDeslocamento,4)+1)</f>
        <v>0</v>
      </c>
      <c r="G2623" s="26">
        <f>IF(A2623="","",IF(AND(ISNUMBER(B2623),B2623&lt;&gt;0),1,0))</f>
        <v>0</v>
      </c>
      <c r="H2623" s="25">
        <f>IF(E2623="","",(E2623*4+3+cfgDeslocamento)/48)</f>
        <v>0</v>
      </c>
    </row>
    <row r="2624" spans="1:8">
      <c r="A2624" s="24"/>
      <c r="B2624" s="19"/>
      <c r="C2624" s="25">
        <f>IF(D2624="","",D2624/48)</f>
        <v>0</v>
      </c>
      <c r="D2624" s="26">
        <f>IF(A2624="","",ROUND((A2624-cfgDefasagem/1440)*48,0))</f>
        <v>0</v>
      </c>
      <c r="E2624" s="26">
        <f>IF(D2624="","",INT((D2624-cfgDeslocamento)/4))</f>
        <v>0</v>
      </c>
      <c r="F2624" s="26">
        <f>IF(D2624="","",MOD(D2624-cfgDeslocamento,4)+1)</f>
        <v>0</v>
      </c>
      <c r="G2624" s="26">
        <f>IF(A2624="","",IF(AND(ISNUMBER(B2624),B2624&lt;&gt;0),1,0))</f>
        <v>0</v>
      </c>
      <c r="H2624" s="25">
        <f>IF(E2624="","",(E2624*4+3+cfgDeslocamento)/48)</f>
        <v>0</v>
      </c>
    </row>
    <row r="2625" spans="1:8">
      <c r="A2625" s="24"/>
      <c r="B2625" s="19"/>
      <c r="C2625" s="25">
        <f>IF(D2625="","",D2625/48)</f>
        <v>0</v>
      </c>
      <c r="D2625" s="26">
        <f>IF(A2625="","",ROUND((A2625-cfgDefasagem/1440)*48,0))</f>
        <v>0</v>
      </c>
      <c r="E2625" s="26">
        <f>IF(D2625="","",INT((D2625-cfgDeslocamento)/4))</f>
        <v>0</v>
      </c>
      <c r="F2625" s="26">
        <f>IF(D2625="","",MOD(D2625-cfgDeslocamento,4)+1)</f>
        <v>0</v>
      </c>
      <c r="G2625" s="26">
        <f>IF(A2625="","",IF(AND(ISNUMBER(B2625),B2625&lt;&gt;0),1,0))</f>
        <v>0</v>
      </c>
      <c r="H2625" s="25">
        <f>IF(E2625="","",(E2625*4+3+cfgDeslocamento)/48)</f>
        <v>0</v>
      </c>
    </row>
    <row r="2626" spans="1:8">
      <c r="A2626" s="24"/>
      <c r="B2626" s="19"/>
      <c r="C2626" s="25">
        <f>IF(D2626="","",D2626/48)</f>
        <v>0</v>
      </c>
      <c r="D2626" s="26">
        <f>IF(A2626="","",ROUND((A2626-cfgDefasagem/1440)*48,0))</f>
        <v>0</v>
      </c>
      <c r="E2626" s="26">
        <f>IF(D2626="","",INT((D2626-cfgDeslocamento)/4))</f>
        <v>0</v>
      </c>
      <c r="F2626" s="26">
        <f>IF(D2626="","",MOD(D2626-cfgDeslocamento,4)+1)</f>
        <v>0</v>
      </c>
      <c r="G2626" s="26">
        <f>IF(A2626="","",IF(AND(ISNUMBER(B2626),B2626&lt;&gt;0),1,0))</f>
        <v>0</v>
      </c>
      <c r="H2626" s="25">
        <f>IF(E2626="","",(E2626*4+3+cfgDeslocamento)/48)</f>
        <v>0</v>
      </c>
    </row>
    <row r="2627" spans="1:8">
      <c r="A2627" s="24"/>
      <c r="B2627" s="19"/>
      <c r="C2627" s="25">
        <f>IF(D2627="","",D2627/48)</f>
        <v>0</v>
      </c>
      <c r="D2627" s="26">
        <f>IF(A2627="","",ROUND((A2627-cfgDefasagem/1440)*48,0))</f>
        <v>0</v>
      </c>
      <c r="E2627" s="26">
        <f>IF(D2627="","",INT((D2627-cfgDeslocamento)/4))</f>
        <v>0</v>
      </c>
      <c r="F2627" s="26">
        <f>IF(D2627="","",MOD(D2627-cfgDeslocamento,4)+1)</f>
        <v>0</v>
      </c>
      <c r="G2627" s="26">
        <f>IF(A2627="","",IF(AND(ISNUMBER(B2627),B2627&lt;&gt;0),1,0))</f>
        <v>0</v>
      </c>
      <c r="H2627" s="25">
        <f>IF(E2627="","",(E2627*4+3+cfgDeslocamento)/48)</f>
        <v>0</v>
      </c>
    </row>
    <row r="2628" spans="1:8">
      <c r="A2628" s="24"/>
      <c r="B2628" s="19"/>
      <c r="C2628" s="25">
        <f>IF(D2628="","",D2628/48)</f>
        <v>0</v>
      </c>
      <c r="D2628" s="26">
        <f>IF(A2628="","",ROUND((A2628-cfgDefasagem/1440)*48,0))</f>
        <v>0</v>
      </c>
      <c r="E2628" s="26">
        <f>IF(D2628="","",INT((D2628-cfgDeslocamento)/4))</f>
        <v>0</v>
      </c>
      <c r="F2628" s="26">
        <f>IF(D2628="","",MOD(D2628-cfgDeslocamento,4)+1)</f>
        <v>0</v>
      </c>
      <c r="G2628" s="26">
        <f>IF(A2628="","",IF(AND(ISNUMBER(B2628),B2628&lt;&gt;0),1,0))</f>
        <v>0</v>
      </c>
      <c r="H2628" s="25">
        <f>IF(E2628="","",(E2628*4+3+cfgDeslocamento)/48)</f>
        <v>0</v>
      </c>
    </row>
    <row r="2629" spans="1:8">
      <c r="A2629" s="24"/>
      <c r="B2629" s="19"/>
      <c r="C2629" s="25">
        <f>IF(D2629="","",D2629/48)</f>
        <v>0</v>
      </c>
      <c r="D2629" s="26">
        <f>IF(A2629="","",ROUND((A2629-cfgDefasagem/1440)*48,0))</f>
        <v>0</v>
      </c>
      <c r="E2629" s="26">
        <f>IF(D2629="","",INT((D2629-cfgDeslocamento)/4))</f>
        <v>0</v>
      </c>
      <c r="F2629" s="26">
        <f>IF(D2629="","",MOD(D2629-cfgDeslocamento,4)+1)</f>
        <v>0</v>
      </c>
      <c r="G2629" s="26">
        <f>IF(A2629="","",IF(AND(ISNUMBER(B2629),B2629&lt;&gt;0),1,0))</f>
        <v>0</v>
      </c>
      <c r="H2629" s="25">
        <f>IF(E2629="","",(E2629*4+3+cfgDeslocamento)/48)</f>
        <v>0</v>
      </c>
    </row>
    <row r="2630" spans="1:8">
      <c r="A2630" s="24"/>
      <c r="B2630" s="19"/>
      <c r="C2630" s="25">
        <f>IF(D2630="","",D2630/48)</f>
        <v>0</v>
      </c>
      <c r="D2630" s="26">
        <f>IF(A2630="","",ROUND((A2630-cfgDefasagem/1440)*48,0))</f>
        <v>0</v>
      </c>
      <c r="E2630" s="26">
        <f>IF(D2630="","",INT((D2630-cfgDeslocamento)/4))</f>
        <v>0</v>
      </c>
      <c r="F2630" s="26">
        <f>IF(D2630="","",MOD(D2630-cfgDeslocamento,4)+1)</f>
        <v>0</v>
      </c>
      <c r="G2630" s="26">
        <f>IF(A2630="","",IF(AND(ISNUMBER(B2630),B2630&lt;&gt;0),1,0))</f>
        <v>0</v>
      </c>
      <c r="H2630" s="25">
        <f>IF(E2630="","",(E2630*4+3+cfgDeslocamento)/48)</f>
        <v>0</v>
      </c>
    </row>
    <row r="2631" spans="1:8">
      <c r="A2631" s="24"/>
      <c r="B2631" s="19"/>
      <c r="C2631" s="25">
        <f>IF(D2631="","",D2631/48)</f>
        <v>0</v>
      </c>
      <c r="D2631" s="26">
        <f>IF(A2631="","",ROUND((A2631-cfgDefasagem/1440)*48,0))</f>
        <v>0</v>
      </c>
      <c r="E2631" s="26">
        <f>IF(D2631="","",INT((D2631-cfgDeslocamento)/4))</f>
        <v>0</v>
      </c>
      <c r="F2631" s="26">
        <f>IF(D2631="","",MOD(D2631-cfgDeslocamento,4)+1)</f>
        <v>0</v>
      </c>
      <c r="G2631" s="26">
        <f>IF(A2631="","",IF(AND(ISNUMBER(B2631),B2631&lt;&gt;0),1,0))</f>
        <v>0</v>
      </c>
      <c r="H2631" s="25">
        <f>IF(E2631="","",(E2631*4+3+cfgDeslocamento)/48)</f>
        <v>0</v>
      </c>
    </row>
    <row r="2632" spans="1:8">
      <c r="A2632" s="24"/>
      <c r="B2632" s="19"/>
      <c r="C2632" s="25">
        <f>IF(D2632="","",D2632/48)</f>
        <v>0</v>
      </c>
      <c r="D2632" s="26">
        <f>IF(A2632="","",ROUND((A2632-cfgDefasagem/1440)*48,0))</f>
        <v>0</v>
      </c>
      <c r="E2632" s="26">
        <f>IF(D2632="","",INT((D2632-cfgDeslocamento)/4))</f>
        <v>0</v>
      </c>
      <c r="F2632" s="26">
        <f>IF(D2632="","",MOD(D2632-cfgDeslocamento,4)+1)</f>
        <v>0</v>
      </c>
      <c r="G2632" s="26">
        <f>IF(A2632="","",IF(AND(ISNUMBER(B2632),B2632&lt;&gt;0),1,0))</f>
        <v>0</v>
      </c>
      <c r="H2632" s="25">
        <f>IF(E2632="","",(E2632*4+3+cfgDeslocamento)/48)</f>
        <v>0</v>
      </c>
    </row>
    <row r="2633" spans="1:8">
      <c r="A2633" s="24"/>
      <c r="B2633" s="19"/>
      <c r="C2633" s="25">
        <f>IF(D2633="","",D2633/48)</f>
        <v>0</v>
      </c>
      <c r="D2633" s="26">
        <f>IF(A2633="","",ROUND((A2633-cfgDefasagem/1440)*48,0))</f>
        <v>0</v>
      </c>
      <c r="E2633" s="26">
        <f>IF(D2633="","",INT((D2633-cfgDeslocamento)/4))</f>
        <v>0</v>
      </c>
      <c r="F2633" s="26">
        <f>IF(D2633="","",MOD(D2633-cfgDeslocamento,4)+1)</f>
        <v>0</v>
      </c>
      <c r="G2633" s="26">
        <f>IF(A2633="","",IF(AND(ISNUMBER(B2633),B2633&lt;&gt;0),1,0))</f>
        <v>0</v>
      </c>
      <c r="H2633" s="25">
        <f>IF(E2633="","",(E2633*4+3+cfgDeslocamento)/48)</f>
        <v>0</v>
      </c>
    </row>
    <row r="2634" spans="1:8">
      <c r="A2634" s="24"/>
      <c r="B2634" s="19"/>
      <c r="C2634" s="25">
        <f>IF(D2634="","",D2634/48)</f>
        <v>0</v>
      </c>
      <c r="D2634" s="26">
        <f>IF(A2634="","",ROUND((A2634-cfgDefasagem/1440)*48,0))</f>
        <v>0</v>
      </c>
      <c r="E2634" s="26">
        <f>IF(D2634="","",INT((D2634-cfgDeslocamento)/4))</f>
        <v>0</v>
      </c>
      <c r="F2634" s="26">
        <f>IF(D2634="","",MOD(D2634-cfgDeslocamento,4)+1)</f>
        <v>0</v>
      </c>
      <c r="G2634" s="26">
        <f>IF(A2634="","",IF(AND(ISNUMBER(B2634),B2634&lt;&gt;0),1,0))</f>
        <v>0</v>
      </c>
      <c r="H2634" s="25">
        <f>IF(E2634="","",(E2634*4+3+cfgDeslocamento)/48)</f>
        <v>0</v>
      </c>
    </row>
    <row r="2635" spans="1:8">
      <c r="A2635" s="24"/>
      <c r="B2635" s="19"/>
      <c r="C2635" s="25">
        <f>IF(D2635="","",D2635/48)</f>
        <v>0</v>
      </c>
      <c r="D2635" s="26">
        <f>IF(A2635="","",ROUND((A2635-cfgDefasagem/1440)*48,0))</f>
        <v>0</v>
      </c>
      <c r="E2635" s="26">
        <f>IF(D2635="","",INT((D2635-cfgDeslocamento)/4))</f>
        <v>0</v>
      </c>
      <c r="F2635" s="26">
        <f>IF(D2635="","",MOD(D2635-cfgDeslocamento,4)+1)</f>
        <v>0</v>
      </c>
      <c r="G2635" s="26">
        <f>IF(A2635="","",IF(AND(ISNUMBER(B2635),B2635&lt;&gt;0),1,0))</f>
        <v>0</v>
      </c>
      <c r="H2635" s="25">
        <f>IF(E2635="","",(E2635*4+3+cfgDeslocamento)/48)</f>
        <v>0</v>
      </c>
    </row>
    <row r="2636" spans="1:8">
      <c r="A2636" s="24"/>
      <c r="B2636" s="19"/>
      <c r="C2636" s="25">
        <f>IF(D2636="","",D2636/48)</f>
        <v>0</v>
      </c>
      <c r="D2636" s="26">
        <f>IF(A2636="","",ROUND((A2636-cfgDefasagem/1440)*48,0))</f>
        <v>0</v>
      </c>
      <c r="E2636" s="26">
        <f>IF(D2636="","",INT((D2636-cfgDeslocamento)/4))</f>
        <v>0</v>
      </c>
      <c r="F2636" s="26">
        <f>IF(D2636="","",MOD(D2636-cfgDeslocamento,4)+1)</f>
        <v>0</v>
      </c>
      <c r="G2636" s="26">
        <f>IF(A2636="","",IF(AND(ISNUMBER(B2636),B2636&lt;&gt;0),1,0))</f>
        <v>0</v>
      </c>
      <c r="H2636" s="25">
        <f>IF(E2636="","",(E2636*4+3+cfgDeslocamento)/48)</f>
        <v>0</v>
      </c>
    </row>
    <row r="2637" spans="1:8">
      <c r="A2637" s="24"/>
      <c r="B2637" s="19"/>
      <c r="C2637" s="25">
        <f>IF(D2637="","",D2637/48)</f>
        <v>0</v>
      </c>
      <c r="D2637" s="26">
        <f>IF(A2637="","",ROUND((A2637-cfgDefasagem/1440)*48,0))</f>
        <v>0</v>
      </c>
      <c r="E2637" s="26">
        <f>IF(D2637="","",INT((D2637-cfgDeslocamento)/4))</f>
        <v>0</v>
      </c>
      <c r="F2637" s="26">
        <f>IF(D2637="","",MOD(D2637-cfgDeslocamento,4)+1)</f>
        <v>0</v>
      </c>
      <c r="G2637" s="26">
        <f>IF(A2637="","",IF(AND(ISNUMBER(B2637),B2637&lt;&gt;0),1,0))</f>
        <v>0</v>
      </c>
      <c r="H2637" s="25">
        <f>IF(E2637="","",(E2637*4+3+cfgDeslocamento)/48)</f>
        <v>0</v>
      </c>
    </row>
    <row r="2638" spans="1:8">
      <c r="A2638" s="24"/>
      <c r="B2638" s="19"/>
      <c r="C2638" s="25">
        <f>IF(D2638="","",D2638/48)</f>
        <v>0</v>
      </c>
      <c r="D2638" s="26">
        <f>IF(A2638="","",ROUND((A2638-cfgDefasagem/1440)*48,0))</f>
        <v>0</v>
      </c>
      <c r="E2638" s="26">
        <f>IF(D2638="","",INT((D2638-cfgDeslocamento)/4))</f>
        <v>0</v>
      </c>
      <c r="F2638" s="26">
        <f>IF(D2638="","",MOD(D2638-cfgDeslocamento,4)+1)</f>
        <v>0</v>
      </c>
      <c r="G2638" s="26">
        <f>IF(A2638="","",IF(AND(ISNUMBER(B2638),B2638&lt;&gt;0),1,0))</f>
        <v>0</v>
      </c>
      <c r="H2638" s="25">
        <f>IF(E2638="","",(E2638*4+3+cfgDeslocamento)/48)</f>
        <v>0</v>
      </c>
    </row>
    <row r="2639" spans="1:8">
      <c r="A2639" s="24"/>
      <c r="B2639" s="19"/>
      <c r="C2639" s="25">
        <f>IF(D2639="","",D2639/48)</f>
        <v>0</v>
      </c>
      <c r="D2639" s="26">
        <f>IF(A2639="","",ROUND((A2639-cfgDefasagem/1440)*48,0))</f>
        <v>0</v>
      </c>
      <c r="E2639" s="26">
        <f>IF(D2639="","",INT((D2639-cfgDeslocamento)/4))</f>
        <v>0</v>
      </c>
      <c r="F2639" s="26">
        <f>IF(D2639="","",MOD(D2639-cfgDeslocamento,4)+1)</f>
        <v>0</v>
      </c>
      <c r="G2639" s="26">
        <f>IF(A2639="","",IF(AND(ISNUMBER(B2639),B2639&lt;&gt;0),1,0))</f>
        <v>0</v>
      </c>
      <c r="H2639" s="25">
        <f>IF(E2639="","",(E2639*4+3+cfgDeslocamento)/48)</f>
        <v>0</v>
      </c>
    </row>
    <row r="2640" spans="1:8">
      <c r="A2640" s="24"/>
      <c r="B2640" s="19"/>
      <c r="C2640" s="25">
        <f>IF(D2640="","",D2640/48)</f>
        <v>0</v>
      </c>
      <c r="D2640" s="26">
        <f>IF(A2640="","",ROUND((A2640-cfgDefasagem/1440)*48,0))</f>
        <v>0</v>
      </c>
      <c r="E2640" s="26">
        <f>IF(D2640="","",INT((D2640-cfgDeslocamento)/4))</f>
        <v>0</v>
      </c>
      <c r="F2640" s="26">
        <f>IF(D2640="","",MOD(D2640-cfgDeslocamento,4)+1)</f>
        <v>0</v>
      </c>
      <c r="G2640" s="26">
        <f>IF(A2640="","",IF(AND(ISNUMBER(B2640),B2640&lt;&gt;0),1,0))</f>
        <v>0</v>
      </c>
      <c r="H2640" s="25">
        <f>IF(E2640="","",(E2640*4+3+cfgDeslocamento)/48)</f>
        <v>0</v>
      </c>
    </row>
    <row r="2641" spans="1:8">
      <c r="A2641" s="24"/>
      <c r="B2641" s="19"/>
      <c r="C2641" s="25">
        <f>IF(D2641="","",D2641/48)</f>
        <v>0</v>
      </c>
      <c r="D2641" s="26">
        <f>IF(A2641="","",ROUND((A2641-cfgDefasagem/1440)*48,0))</f>
        <v>0</v>
      </c>
      <c r="E2641" s="26">
        <f>IF(D2641="","",INT((D2641-cfgDeslocamento)/4))</f>
        <v>0</v>
      </c>
      <c r="F2641" s="26">
        <f>IF(D2641="","",MOD(D2641-cfgDeslocamento,4)+1)</f>
        <v>0</v>
      </c>
      <c r="G2641" s="26">
        <f>IF(A2641="","",IF(AND(ISNUMBER(B2641),B2641&lt;&gt;0),1,0))</f>
        <v>0</v>
      </c>
      <c r="H2641" s="25">
        <f>IF(E2641="","",(E2641*4+3+cfgDeslocamento)/48)</f>
        <v>0</v>
      </c>
    </row>
    <row r="2642" spans="1:8">
      <c r="A2642" s="24"/>
      <c r="B2642" s="19"/>
      <c r="C2642" s="25">
        <f>IF(D2642="","",D2642/48)</f>
        <v>0</v>
      </c>
      <c r="D2642" s="26">
        <f>IF(A2642="","",ROUND((A2642-cfgDefasagem/1440)*48,0))</f>
        <v>0</v>
      </c>
      <c r="E2642" s="26">
        <f>IF(D2642="","",INT((D2642-cfgDeslocamento)/4))</f>
        <v>0</v>
      </c>
      <c r="F2642" s="26">
        <f>IF(D2642="","",MOD(D2642-cfgDeslocamento,4)+1)</f>
        <v>0</v>
      </c>
      <c r="G2642" s="26">
        <f>IF(A2642="","",IF(AND(ISNUMBER(B2642),B2642&lt;&gt;0),1,0))</f>
        <v>0</v>
      </c>
      <c r="H2642" s="25">
        <f>IF(E2642="","",(E2642*4+3+cfgDeslocamento)/48)</f>
        <v>0</v>
      </c>
    </row>
    <row r="2643" spans="1:8">
      <c r="A2643" s="24"/>
      <c r="B2643" s="19"/>
      <c r="C2643" s="25">
        <f>IF(D2643="","",D2643/48)</f>
        <v>0</v>
      </c>
      <c r="D2643" s="26">
        <f>IF(A2643="","",ROUND((A2643-cfgDefasagem/1440)*48,0))</f>
        <v>0</v>
      </c>
      <c r="E2643" s="26">
        <f>IF(D2643="","",INT((D2643-cfgDeslocamento)/4))</f>
        <v>0</v>
      </c>
      <c r="F2643" s="26">
        <f>IF(D2643="","",MOD(D2643-cfgDeslocamento,4)+1)</f>
        <v>0</v>
      </c>
      <c r="G2643" s="26">
        <f>IF(A2643="","",IF(AND(ISNUMBER(B2643),B2643&lt;&gt;0),1,0))</f>
        <v>0</v>
      </c>
      <c r="H2643" s="25">
        <f>IF(E2643="","",(E2643*4+3+cfgDeslocamento)/48)</f>
        <v>0</v>
      </c>
    </row>
    <row r="2644" spans="1:8">
      <c r="A2644" s="24"/>
      <c r="B2644" s="19"/>
      <c r="C2644" s="25">
        <f>IF(D2644="","",D2644/48)</f>
        <v>0</v>
      </c>
      <c r="D2644" s="26">
        <f>IF(A2644="","",ROUND((A2644-cfgDefasagem/1440)*48,0))</f>
        <v>0</v>
      </c>
      <c r="E2644" s="26">
        <f>IF(D2644="","",INT((D2644-cfgDeslocamento)/4))</f>
        <v>0</v>
      </c>
      <c r="F2644" s="26">
        <f>IF(D2644="","",MOD(D2644-cfgDeslocamento,4)+1)</f>
        <v>0</v>
      </c>
      <c r="G2644" s="26">
        <f>IF(A2644="","",IF(AND(ISNUMBER(B2644),B2644&lt;&gt;0),1,0))</f>
        <v>0</v>
      </c>
      <c r="H2644" s="25">
        <f>IF(E2644="","",(E2644*4+3+cfgDeslocamento)/48)</f>
        <v>0</v>
      </c>
    </row>
    <row r="2645" spans="1:8">
      <c r="A2645" s="24"/>
      <c r="B2645" s="19"/>
      <c r="C2645" s="25">
        <f>IF(D2645="","",D2645/48)</f>
        <v>0</v>
      </c>
      <c r="D2645" s="26">
        <f>IF(A2645="","",ROUND((A2645-cfgDefasagem/1440)*48,0))</f>
        <v>0</v>
      </c>
      <c r="E2645" s="26">
        <f>IF(D2645="","",INT((D2645-cfgDeslocamento)/4))</f>
        <v>0</v>
      </c>
      <c r="F2645" s="26">
        <f>IF(D2645="","",MOD(D2645-cfgDeslocamento,4)+1)</f>
        <v>0</v>
      </c>
      <c r="G2645" s="26">
        <f>IF(A2645="","",IF(AND(ISNUMBER(B2645),B2645&lt;&gt;0),1,0))</f>
        <v>0</v>
      </c>
      <c r="H2645" s="25">
        <f>IF(E2645="","",(E2645*4+3+cfgDeslocamento)/48)</f>
        <v>0</v>
      </c>
    </row>
    <row r="2646" spans="1:8">
      <c r="A2646" s="24"/>
      <c r="B2646" s="19"/>
      <c r="C2646" s="25">
        <f>IF(D2646="","",D2646/48)</f>
        <v>0</v>
      </c>
      <c r="D2646" s="26">
        <f>IF(A2646="","",ROUND((A2646-cfgDefasagem/1440)*48,0))</f>
        <v>0</v>
      </c>
      <c r="E2646" s="26">
        <f>IF(D2646="","",INT((D2646-cfgDeslocamento)/4))</f>
        <v>0</v>
      </c>
      <c r="F2646" s="26">
        <f>IF(D2646="","",MOD(D2646-cfgDeslocamento,4)+1)</f>
        <v>0</v>
      </c>
      <c r="G2646" s="26">
        <f>IF(A2646="","",IF(AND(ISNUMBER(B2646),B2646&lt;&gt;0),1,0))</f>
        <v>0</v>
      </c>
      <c r="H2646" s="25">
        <f>IF(E2646="","",(E2646*4+3+cfgDeslocamento)/48)</f>
        <v>0</v>
      </c>
    </row>
    <row r="2647" spans="1:8">
      <c r="A2647" s="24"/>
      <c r="B2647" s="19"/>
      <c r="C2647" s="25">
        <f>IF(D2647="","",D2647/48)</f>
        <v>0</v>
      </c>
      <c r="D2647" s="26">
        <f>IF(A2647="","",ROUND((A2647-cfgDefasagem/1440)*48,0))</f>
        <v>0</v>
      </c>
      <c r="E2647" s="26">
        <f>IF(D2647="","",INT((D2647-cfgDeslocamento)/4))</f>
        <v>0</v>
      </c>
      <c r="F2647" s="26">
        <f>IF(D2647="","",MOD(D2647-cfgDeslocamento,4)+1)</f>
        <v>0</v>
      </c>
      <c r="G2647" s="26">
        <f>IF(A2647="","",IF(AND(ISNUMBER(B2647),B2647&lt;&gt;0),1,0))</f>
        <v>0</v>
      </c>
      <c r="H2647" s="25">
        <f>IF(E2647="","",(E2647*4+3+cfgDeslocamento)/48)</f>
        <v>0</v>
      </c>
    </row>
    <row r="2648" spans="1:8">
      <c r="A2648" s="24"/>
      <c r="B2648" s="19"/>
      <c r="C2648" s="25">
        <f>IF(D2648="","",D2648/48)</f>
        <v>0</v>
      </c>
      <c r="D2648" s="26">
        <f>IF(A2648="","",ROUND((A2648-cfgDefasagem/1440)*48,0))</f>
        <v>0</v>
      </c>
      <c r="E2648" s="26">
        <f>IF(D2648="","",INT((D2648-cfgDeslocamento)/4))</f>
        <v>0</v>
      </c>
      <c r="F2648" s="26">
        <f>IF(D2648="","",MOD(D2648-cfgDeslocamento,4)+1)</f>
        <v>0</v>
      </c>
      <c r="G2648" s="26">
        <f>IF(A2648="","",IF(AND(ISNUMBER(B2648),B2648&lt;&gt;0),1,0))</f>
        <v>0</v>
      </c>
      <c r="H2648" s="25">
        <f>IF(E2648="","",(E2648*4+3+cfgDeslocamento)/48)</f>
        <v>0</v>
      </c>
    </row>
    <row r="2649" spans="1:8">
      <c r="A2649" s="24"/>
      <c r="B2649" s="19"/>
      <c r="C2649" s="25">
        <f>IF(D2649="","",D2649/48)</f>
        <v>0</v>
      </c>
      <c r="D2649" s="26">
        <f>IF(A2649="","",ROUND((A2649-cfgDefasagem/1440)*48,0))</f>
        <v>0</v>
      </c>
      <c r="E2649" s="26">
        <f>IF(D2649="","",INT((D2649-cfgDeslocamento)/4))</f>
        <v>0</v>
      </c>
      <c r="F2649" s="26">
        <f>IF(D2649="","",MOD(D2649-cfgDeslocamento,4)+1)</f>
        <v>0</v>
      </c>
      <c r="G2649" s="26">
        <f>IF(A2649="","",IF(AND(ISNUMBER(B2649),B2649&lt;&gt;0),1,0))</f>
        <v>0</v>
      </c>
      <c r="H2649" s="25">
        <f>IF(E2649="","",(E2649*4+3+cfgDeslocamento)/48)</f>
        <v>0</v>
      </c>
    </row>
    <row r="2650" spans="1:8">
      <c r="A2650" s="24"/>
      <c r="B2650" s="19"/>
      <c r="C2650" s="25">
        <f>IF(D2650="","",D2650/48)</f>
        <v>0</v>
      </c>
      <c r="D2650" s="26">
        <f>IF(A2650="","",ROUND((A2650-cfgDefasagem/1440)*48,0))</f>
        <v>0</v>
      </c>
      <c r="E2650" s="26">
        <f>IF(D2650="","",INT((D2650-cfgDeslocamento)/4))</f>
        <v>0</v>
      </c>
      <c r="F2650" s="26">
        <f>IF(D2650="","",MOD(D2650-cfgDeslocamento,4)+1)</f>
        <v>0</v>
      </c>
      <c r="G2650" s="26">
        <f>IF(A2650="","",IF(AND(ISNUMBER(B2650),B2650&lt;&gt;0),1,0))</f>
        <v>0</v>
      </c>
      <c r="H2650" s="25">
        <f>IF(E2650="","",(E2650*4+3+cfgDeslocamento)/48)</f>
        <v>0</v>
      </c>
    </row>
    <row r="2651" spans="1:8">
      <c r="A2651" s="24"/>
      <c r="B2651" s="19"/>
      <c r="C2651" s="25">
        <f>IF(D2651="","",D2651/48)</f>
        <v>0</v>
      </c>
      <c r="D2651" s="26">
        <f>IF(A2651="","",ROUND((A2651-cfgDefasagem/1440)*48,0))</f>
        <v>0</v>
      </c>
      <c r="E2651" s="26">
        <f>IF(D2651="","",INT((D2651-cfgDeslocamento)/4))</f>
        <v>0</v>
      </c>
      <c r="F2651" s="26">
        <f>IF(D2651="","",MOD(D2651-cfgDeslocamento,4)+1)</f>
        <v>0</v>
      </c>
      <c r="G2651" s="26">
        <f>IF(A2651="","",IF(AND(ISNUMBER(B2651),B2651&lt;&gt;0),1,0))</f>
        <v>0</v>
      </c>
      <c r="H2651" s="25">
        <f>IF(E2651="","",(E2651*4+3+cfgDeslocamento)/48)</f>
        <v>0</v>
      </c>
    </row>
    <row r="2652" spans="1:8">
      <c r="A2652" s="24"/>
      <c r="B2652" s="19"/>
      <c r="C2652" s="25">
        <f>IF(D2652="","",D2652/48)</f>
        <v>0</v>
      </c>
      <c r="D2652" s="26">
        <f>IF(A2652="","",ROUND((A2652-cfgDefasagem/1440)*48,0))</f>
        <v>0</v>
      </c>
      <c r="E2652" s="26">
        <f>IF(D2652="","",INT((D2652-cfgDeslocamento)/4))</f>
        <v>0</v>
      </c>
      <c r="F2652" s="26">
        <f>IF(D2652="","",MOD(D2652-cfgDeslocamento,4)+1)</f>
        <v>0</v>
      </c>
      <c r="G2652" s="26">
        <f>IF(A2652="","",IF(AND(ISNUMBER(B2652),B2652&lt;&gt;0),1,0))</f>
        <v>0</v>
      </c>
      <c r="H2652" s="25">
        <f>IF(E2652="","",(E2652*4+3+cfgDeslocamento)/48)</f>
        <v>0</v>
      </c>
    </row>
    <row r="2653" spans="1:8">
      <c r="A2653" s="24"/>
      <c r="B2653" s="19"/>
      <c r="C2653" s="25">
        <f>IF(D2653="","",D2653/48)</f>
        <v>0</v>
      </c>
      <c r="D2653" s="26">
        <f>IF(A2653="","",ROUND((A2653-cfgDefasagem/1440)*48,0))</f>
        <v>0</v>
      </c>
      <c r="E2653" s="26">
        <f>IF(D2653="","",INT((D2653-cfgDeslocamento)/4))</f>
        <v>0</v>
      </c>
      <c r="F2653" s="26">
        <f>IF(D2653="","",MOD(D2653-cfgDeslocamento,4)+1)</f>
        <v>0</v>
      </c>
      <c r="G2653" s="26">
        <f>IF(A2653="","",IF(AND(ISNUMBER(B2653),B2653&lt;&gt;0),1,0))</f>
        <v>0</v>
      </c>
      <c r="H2653" s="25">
        <f>IF(E2653="","",(E2653*4+3+cfgDeslocamento)/48)</f>
        <v>0</v>
      </c>
    </row>
    <row r="2654" spans="1:8">
      <c r="A2654" s="24"/>
      <c r="B2654" s="19"/>
      <c r="C2654" s="25">
        <f>IF(D2654="","",D2654/48)</f>
        <v>0</v>
      </c>
      <c r="D2654" s="26">
        <f>IF(A2654="","",ROUND((A2654-cfgDefasagem/1440)*48,0))</f>
        <v>0</v>
      </c>
      <c r="E2654" s="26">
        <f>IF(D2654="","",INT((D2654-cfgDeslocamento)/4))</f>
        <v>0</v>
      </c>
      <c r="F2654" s="26">
        <f>IF(D2654="","",MOD(D2654-cfgDeslocamento,4)+1)</f>
        <v>0</v>
      </c>
      <c r="G2654" s="26">
        <f>IF(A2654="","",IF(AND(ISNUMBER(B2654),B2654&lt;&gt;0),1,0))</f>
        <v>0</v>
      </c>
      <c r="H2654" s="25">
        <f>IF(E2654="","",(E2654*4+3+cfgDeslocamento)/48)</f>
        <v>0</v>
      </c>
    </row>
    <row r="2655" spans="1:8">
      <c r="A2655" s="24"/>
      <c r="B2655" s="19"/>
      <c r="C2655" s="25">
        <f>IF(D2655="","",D2655/48)</f>
        <v>0</v>
      </c>
      <c r="D2655" s="26">
        <f>IF(A2655="","",ROUND((A2655-cfgDefasagem/1440)*48,0))</f>
        <v>0</v>
      </c>
      <c r="E2655" s="26">
        <f>IF(D2655="","",INT((D2655-cfgDeslocamento)/4))</f>
        <v>0</v>
      </c>
      <c r="F2655" s="26">
        <f>IF(D2655="","",MOD(D2655-cfgDeslocamento,4)+1)</f>
        <v>0</v>
      </c>
      <c r="G2655" s="26">
        <f>IF(A2655="","",IF(AND(ISNUMBER(B2655),B2655&lt;&gt;0),1,0))</f>
        <v>0</v>
      </c>
      <c r="H2655" s="25">
        <f>IF(E2655="","",(E2655*4+3+cfgDeslocamento)/48)</f>
        <v>0</v>
      </c>
    </row>
    <row r="2656" spans="1:8">
      <c r="A2656" s="24"/>
      <c r="B2656" s="19"/>
      <c r="C2656" s="25">
        <f>IF(D2656="","",D2656/48)</f>
        <v>0</v>
      </c>
      <c r="D2656" s="26">
        <f>IF(A2656="","",ROUND((A2656-cfgDefasagem/1440)*48,0))</f>
        <v>0</v>
      </c>
      <c r="E2656" s="26">
        <f>IF(D2656="","",INT((D2656-cfgDeslocamento)/4))</f>
        <v>0</v>
      </c>
      <c r="F2656" s="26">
        <f>IF(D2656="","",MOD(D2656-cfgDeslocamento,4)+1)</f>
        <v>0</v>
      </c>
      <c r="G2656" s="26">
        <f>IF(A2656="","",IF(AND(ISNUMBER(B2656),B2656&lt;&gt;0),1,0))</f>
        <v>0</v>
      </c>
      <c r="H2656" s="25">
        <f>IF(E2656="","",(E2656*4+3+cfgDeslocamento)/48)</f>
        <v>0</v>
      </c>
    </row>
    <row r="2657" spans="1:8">
      <c r="A2657" s="24"/>
      <c r="B2657" s="19"/>
      <c r="C2657" s="25">
        <f>IF(D2657="","",D2657/48)</f>
        <v>0</v>
      </c>
      <c r="D2657" s="26">
        <f>IF(A2657="","",ROUND((A2657-cfgDefasagem/1440)*48,0))</f>
        <v>0</v>
      </c>
      <c r="E2657" s="26">
        <f>IF(D2657="","",INT((D2657-cfgDeslocamento)/4))</f>
        <v>0</v>
      </c>
      <c r="F2657" s="26">
        <f>IF(D2657="","",MOD(D2657-cfgDeslocamento,4)+1)</f>
        <v>0</v>
      </c>
      <c r="G2657" s="26">
        <f>IF(A2657="","",IF(AND(ISNUMBER(B2657),B2657&lt;&gt;0),1,0))</f>
        <v>0</v>
      </c>
      <c r="H2657" s="25">
        <f>IF(E2657="","",(E2657*4+3+cfgDeslocamento)/48)</f>
        <v>0</v>
      </c>
    </row>
    <row r="2658" spans="1:8">
      <c r="A2658" s="24"/>
      <c r="B2658" s="19"/>
      <c r="C2658" s="25">
        <f>IF(D2658="","",D2658/48)</f>
        <v>0</v>
      </c>
      <c r="D2658" s="26">
        <f>IF(A2658="","",ROUND((A2658-cfgDefasagem/1440)*48,0))</f>
        <v>0</v>
      </c>
      <c r="E2658" s="26">
        <f>IF(D2658="","",INT((D2658-cfgDeslocamento)/4))</f>
        <v>0</v>
      </c>
      <c r="F2658" s="26">
        <f>IF(D2658="","",MOD(D2658-cfgDeslocamento,4)+1)</f>
        <v>0</v>
      </c>
      <c r="G2658" s="26">
        <f>IF(A2658="","",IF(AND(ISNUMBER(B2658),B2658&lt;&gt;0),1,0))</f>
        <v>0</v>
      </c>
      <c r="H2658" s="25">
        <f>IF(E2658="","",(E2658*4+3+cfgDeslocamento)/48)</f>
        <v>0</v>
      </c>
    </row>
    <row r="2659" spans="1:8">
      <c r="A2659" s="24"/>
      <c r="B2659" s="19"/>
      <c r="C2659" s="25">
        <f>IF(D2659="","",D2659/48)</f>
        <v>0</v>
      </c>
      <c r="D2659" s="26">
        <f>IF(A2659="","",ROUND((A2659-cfgDefasagem/1440)*48,0))</f>
        <v>0</v>
      </c>
      <c r="E2659" s="26">
        <f>IF(D2659="","",INT((D2659-cfgDeslocamento)/4))</f>
        <v>0</v>
      </c>
      <c r="F2659" s="26">
        <f>IF(D2659="","",MOD(D2659-cfgDeslocamento,4)+1)</f>
        <v>0</v>
      </c>
      <c r="G2659" s="26">
        <f>IF(A2659="","",IF(AND(ISNUMBER(B2659),B2659&lt;&gt;0),1,0))</f>
        <v>0</v>
      </c>
      <c r="H2659" s="25">
        <f>IF(E2659="","",(E2659*4+3+cfgDeslocamento)/48)</f>
        <v>0</v>
      </c>
    </row>
    <row r="2660" spans="1:8">
      <c r="A2660" s="24"/>
      <c r="B2660" s="19"/>
      <c r="C2660" s="25">
        <f>IF(D2660="","",D2660/48)</f>
        <v>0</v>
      </c>
      <c r="D2660" s="26">
        <f>IF(A2660="","",ROUND((A2660-cfgDefasagem/1440)*48,0))</f>
        <v>0</v>
      </c>
      <c r="E2660" s="26">
        <f>IF(D2660="","",INT((D2660-cfgDeslocamento)/4))</f>
        <v>0</v>
      </c>
      <c r="F2660" s="26">
        <f>IF(D2660="","",MOD(D2660-cfgDeslocamento,4)+1)</f>
        <v>0</v>
      </c>
      <c r="G2660" s="26">
        <f>IF(A2660="","",IF(AND(ISNUMBER(B2660),B2660&lt;&gt;0),1,0))</f>
        <v>0</v>
      </c>
      <c r="H2660" s="25">
        <f>IF(E2660="","",(E2660*4+3+cfgDeslocamento)/48)</f>
        <v>0</v>
      </c>
    </row>
    <row r="2661" spans="1:8">
      <c r="A2661" s="24"/>
      <c r="B2661" s="19"/>
      <c r="C2661" s="25">
        <f>IF(D2661="","",D2661/48)</f>
        <v>0</v>
      </c>
      <c r="D2661" s="26">
        <f>IF(A2661="","",ROUND((A2661-cfgDefasagem/1440)*48,0))</f>
        <v>0</v>
      </c>
      <c r="E2661" s="26">
        <f>IF(D2661="","",INT((D2661-cfgDeslocamento)/4))</f>
        <v>0</v>
      </c>
      <c r="F2661" s="26">
        <f>IF(D2661="","",MOD(D2661-cfgDeslocamento,4)+1)</f>
        <v>0</v>
      </c>
      <c r="G2661" s="26">
        <f>IF(A2661="","",IF(AND(ISNUMBER(B2661),B2661&lt;&gt;0),1,0))</f>
        <v>0</v>
      </c>
      <c r="H2661" s="25">
        <f>IF(E2661="","",(E2661*4+3+cfgDeslocamento)/48)</f>
        <v>0</v>
      </c>
    </row>
    <row r="2662" spans="1:8">
      <c r="A2662" s="24"/>
      <c r="B2662" s="19"/>
      <c r="C2662" s="25">
        <f>IF(D2662="","",D2662/48)</f>
        <v>0</v>
      </c>
      <c r="D2662" s="26">
        <f>IF(A2662="","",ROUND((A2662-cfgDefasagem/1440)*48,0))</f>
        <v>0</v>
      </c>
      <c r="E2662" s="26">
        <f>IF(D2662="","",INT((D2662-cfgDeslocamento)/4))</f>
        <v>0</v>
      </c>
      <c r="F2662" s="26">
        <f>IF(D2662="","",MOD(D2662-cfgDeslocamento,4)+1)</f>
        <v>0</v>
      </c>
      <c r="G2662" s="26">
        <f>IF(A2662="","",IF(AND(ISNUMBER(B2662),B2662&lt;&gt;0),1,0))</f>
        <v>0</v>
      </c>
      <c r="H2662" s="25">
        <f>IF(E2662="","",(E2662*4+3+cfgDeslocamento)/48)</f>
        <v>0</v>
      </c>
    </row>
    <row r="2663" spans="1:8">
      <c r="A2663" s="24"/>
      <c r="B2663" s="19"/>
      <c r="C2663" s="25">
        <f>IF(D2663="","",D2663/48)</f>
        <v>0</v>
      </c>
      <c r="D2663" s="26">
        <f>IF(A2663="","",ROUND((A2663-cfgDefasagem/1440)*48,0))</f>
        <v>0</v>
      </c>
      <c r="E2663" s="26">
        <f>IF(D2663="","",INT((D2663-cfgDeslocamento)/4))</f>
        <v>0</v>
      </c>
      <c r="F2663" s="26">
        <f>IF(D2663="","",MOD(D2663-cfgDeslocamento,4)+1)</f>
        <v>0</v>
      </c>
      <c r="G2663" s="26">
        <f>IF(A2663="","",IF(AND(ISNUMBER(B2663),B2663&lt;&gt;0),1,0))</f>
        <v>0</v>
      </c>
      <c r="H2663" s="25">
        <f>IF(E2663="","",(E2663*4+3+cfgDeslocamento)/48)</f>
        <v>0</v>
      </c>
    </row>
    <row r="2664" spans="1:8">
      <c r="A2664" s="24"/>
      <c r="B2664" s="19"/>
      <c r="C2664" s="25">
        <f>IF(D2664="","",D2664/48)</f>
        <v>0</v>
      </c>
      <c r="D2664" s="26">
        <f>IF(A2664="","",ROUND((A2664-cfgDefasagem/1440)*48,0))</f>
        <v>0</v>
      </c>
      <c r="E2664" s="26">
        <f>IF(D2664="","",INT((D2664-cfgDeslocamento)/4))</f>
        <v>0</v>
      </c>
      <c r="F2664" s="26">
        <f>IF(D2664="","",MOD(D2664-cfgDeslocamento,4)+1)</f>
        <v>0</v>
      </c>
      <c r="G2664" s="26">
        <f>IF(A2664="","",IF(AND(ISNUMBER(B2664),B2664&lt;&gt;0),1,0))</f>
        <v>0</v>
      </c>
      <c r="H2664" s="25">
        <f>IF(E2664="","",(E2664*4+3+cfgDeslocamento)/48)</f>
        <v>0</v>
      </c>
    </row>
    <row r="2665" spans="1:8">
      <c r="A2665" s="24"/>
      <c r="B2665" s="19"/>
      <c r="C2665" s="25">
        <f>IF(D2665="","",D2665/48)</f>
        <v>0</v>
      </c>
      <c r="D2665" s="26">
        <f>IF(A2665="","",ROUND((A2665-cfgDefasagem/1440)*48,0))</f>
        <v>0</v>
      </c>
      <c r="E2665" s="26">
        <f>IF(D2665="","",INT((D2665-cfgDeslocamento)/4))</f>
        <v>0</v>
      </c>
      <c r="F2665" s="26">
        <f>IF(D2665="","",MOD(D2665-cfgDeslocamento,4)+1)</f>
        <v>0</v>
      </c>
      <c r="G2665" s="26">
        <f>IF(A2665="","",IF(AND(ISNUMBER(B2665),B2665&lt;&gt;0),1,0))</f>
        <v>0</v>
      </c>
      <c r="H2665" s="25">
        <f>IF(E2665="","",(E2665*4+3+cfgDeslocamento)/48)</f>
        <v>0</v>
      </c>
    </row>
    <row r="2666" spans="1:8">
      <c r="A2666" s="24"/>
      <c r="B2666" s="19"/>
      <c r="C2666" s="25">
        <f>IF(D2666="","",D2666/48)</f>
        <v>0</v>
      </c>
      <c r="D2666" s="26">
        <f>IF(A2666="","",ROUND((A2666-cfgDefasagem/1440)*48,0))</f>
        <v>0</v>
      </c>
      <c r="E2666" s="26">
        <f>IF(D2666="","",INT((D2666-cfgDeslocamento)/4))</f>
        <v>0</v>
      </c>
      <c r="F2666" s="26">
        <f>IF(D2666="","",MOD(D2666-cfgDeslocamento,4)+1)</f>
        <v>0</v>
      </c>
      <c r="G2666" s="26">
        <f>IF(A2666="","",IF(AND(ISNUMBER(B2666),B2666&lt;&gt;0),1,0))</f>
        <v>0</v>
      </c>
      <c r="H2666" s="25">
        <f>IF(E2666="","",(E2666*4+3+cfgDeslocamento)/48)</f>
        <v>0</v>
      </c>
    </row>
    <row r="2667" spans="1:8">
      <c r="A2667" s="24"/>
      <c r="B2667" s="19"/>
      <c r="C2667" s="25">
        <f>IF(D2667="","",D2667/48)</f>
        <v>0</v>
      </c>
      <c r="D2667" s="26">
        <f>IF(A2667="","",ROUND((A2667-cfgDefasagem/1440)*48,0))</f>
        <v>0</v>
      </c>
      <c r="E2667" s="26">
        <f>IF(D2667="","",INT((D2667-cfgDeslocamento)/4))</f>
        <v>0</v>
      </c>
      <c r="F2667" s="26">
        <f>IF(D2667="","",MOD(D2667-cfgDeslocamento,4)+1)</f>
        <v>0</v>
      </c>
      <c r="G2667" s="26">
        <f>IF(A2667="","",IF(AND(ISNUMBER(B2667),B2667&lt;&gt;0),1,0))</f>
        <v>0</v>
      </c>
      <c r="H2667" s="25">
        <f>IF(E2667="","",(E2667*4+3+cfgDeslocamento)/48)</f>
        <v>0</v>
      </c>
    </row>
    <row r="2668" spans="1:8">
      <c r="A2668" s="24"/>
      <c r="B2668" s="19"/>
      <c r="C2668" s="25">
        <f>IF(D2668="","",D2668/48)</f>
        <v>0</v>
      </c>
      <c r="D2668" s="26">
        <f>IF(A2668="","",ROUND((A2668-cfgDefasagem/1440)*48,0))</f>
        <v>0</v>
      </c>
      <c r="E2668" s="26">
        <f>IF(D2668="","",INT((D2668-cfgDeslocamento)/4))</f>
        <v>0</v>
      </c>
      <c r="F2668" s="26">
        <f>IF(D2668="","",MOD(D2668-cfgDeslocamento,4)+1)</f>
        <v>0</v>
      </c>
      <c r="G2668" s="26">
        <f>IF(A2668="","",IF(AND(ISNUMBER(B2668),B2668&lt;&gt;0),1,0))</f>
        <v>0</v>
      </c>
      <c r="H2668" s="25">
        <f>IF(E2668="","",(E2668*4+3+cfgDeslocamento)/48)</f>
        <v>0</v>
      </c>
    </row>
    <row r="2669" spans="1:8">
      <c r="A2669" s="24"/>
      <c r="B2669" s="19"/>
      <c r="C2669" s="25">
        <f>IF(D2669="","",D2669/48)</f>
        <v>0</v>
      </c>
      <c r="D2669" s="26">
        <f>IF(A2669="","",ROUND((A2669-cfgDefasagem/1440)*48,0))</f>
        <v>0</v>
      </c>
      <c r="E2669" s="26">
        <f>IF(D2669="","",INT((D2669-cfgDeslocamento)/4))</f>
        <v>0</v>
      </c>
      <c r="F2669" s="26">
        <f>IF(D2669="","",MOD(D2669-cfgDeslocamento,4)+1)</f>
        <v>0</v>
      </c>
      <c r="G2669" s="26">
        <f>IF(A2669="","",IF(AND(ISNUMBER(B2669),B2669&lt;&gt;0),1,0))</f>
        <v>0</v>
      </c>
      <c r="H2669" s="25">
        <f>IF(E2669="","",(E2669*4+3+cfgDeslocamento)/48)</f>
        <v>0</v>
      </c>
    </row>
    <row r="2670" spans="1:8">
      <c r="A2670" s="24"/>
      <c r="B2670" s="19"/>
      <c r="C2670" s="25">
        <f>IF(D2670="","",D2670/48)</f>
        <v>0</v>
      </c>
      <c r="D2670" s="26">
        <f>IF(A2670="","",ROUND((A2670-cfgDefasagem/1440)*48,0))</f>
        <v>0</v>
      </c>
      <c r="E2670" s="26">
        <f>IF(D2670="","",INT((D2670-cfgDeslocamento)/4))</f>
        <v>0</v>
      </c>
      <c r="F2670" s="26">
        <f>IF(D2670="","",MOD(D2670-cfgDeslocamento,4)+1)</f>
        <v>0</v>
      </c>
      <c r="G2670" s="26">
        <f>IF(A2670="","",IF(AND(ISNUMBER(B2670),B2670&lt;&gt;0),1,0))</f>
        <v>0</v>
      </c>
      <c r="H2670" s="25">
        <f>IF(E2670="","",(E2670*4+3+cfgDeslocamento)/48)</f>
        <v>0</v>
      </c>
    </row>
    <row r="2671" spans="1:8">
      <c r="A2671" s="24"/>
      <c r="B2671" s="19"/>
      <c r="C2671" s="25">
        <f>IF(D2671="","",D2671/48)</f>
        <v>0</v>
      </c>
      <c r="D2671" s="26">
        <f>IF(A2671="","",ROUND((A2671-cfgDefasagem/1440)*48,0))</f>
        <v>0</v>
      </c>
      <c r="E2671" s="26">
        <f>IF(D2671="","",INT((D2671-cfgDeslocamento)/4))</f>
        <v>0</v>
      </c>
      <c r="F2671" s="26">
        <f>IF(D2671="","",MOD(D2671-cfgDeslocamento,4)+1)</f>
        <v>0</v>
      </c>
      <c r="G2671" s="26">
        <f>IF(A2671="","",IF(AND(ISNUMBER(B2671),B2671&lt;&gt;0),1,0))</f>
        <v>0</v>
      </c>
      <c r="H2671" s="25">
        <f>IF(E2671="","",(E2671*4+3+cfgDeslocamento)/48)</f>
        <v>0</v>
      </c>
    </row>
    <row r="2672" spans="1:8">
      <c r="A2672" s="24"/>
      <c r="B2672" s="19"/>
      <c r="C2672" s="25">
        <f>IF(D2672="","",D2672/48)</f>
        <v>0</v>
      </c>
      <c r="D2672" s="26">
        <f>IF(A2672="","",ROUND((A2672-cfgDefasagem/1440)*48,0))</f>
        <v>0</v>
      </c>
      <c r="E2672" s="26">
        <f>IF(D2672="","",INT((D2672-cfgDeslocamento)/4))</f>
        <v>0</v>
      </c>
      <c r="F2672" s="26">
        <f>IF(D2672="","",MOD(D2672-cfgDeslocamento,4)+1)</f>
        <v>0</v>
      </c>
      <c r="G2672" s="26">
        <f>IF(A2672="","",IF(AND(ISNUMBER(B2672),B2672&lt;&gt;0),1,0))</f>
        <v>0</v>
      </c>
      <c r="H2672" s="25">
        <f>IF(E2672="","",(E2672*4+3+cfgDeslocamento)/48)</f>
        <v>0</v>
      </c>
    </row>
    <row r="2673" spans="1:8">
      <c r="A2673" s="24"/>
      <c r="B2673" s="19"/>
      <c r="C2673" s="25">
        <f>IF(D2673="","",D2673/48)</f>
        <v>0</v>
      </c>
      <c r="D2673" s="26">
        <f>IF(A2673="","",ROUND((A2673-cfgDefasagem/1440)*48,0))</f>
        <v>0</v>
      </c>
      <c r="E2673" s="26">
        <f>IF(D2673="","",INT((D2673-cfgDeslocamento)/4))</f>
        <v>0</v>
      </c>
      <c r="F2673" s="26">
        <f>IF(D2673="","",MOD(D2673-cfgDeslocamento,4)+1)</f>
        <v>0</v>
      </c>
      <c r="G2673" s="26">
        <f>IF(A2673="","",IF(AND(ISNUMBER(B2673),B2673&lt;&gt;0),1,0))</f>
        <v>0</v>
      </c>
      <c r="H2673" s="25">
        <f>IF(E2673="","",(E2673*4+3+cfgDeslocamento)/48)</f>
        <v>0</v>
      </c>
    </row>
    <row r="2674" spans="1:8">
      <c r="A2674" s="24"/>
      <c r="B2674" s="19"/>
      <c r="C2674" s="25">
        <f>IF(D2674="","",D2674/48)</f>
        <v>0</v>
      </c>
      <c r="D2674" s="26">
        <f>IF(A2674="","",ROUND((A2674-cfgDefasagem/1440)*48,0))</f>
        <v>0</v>
      </c>
      <c r="E2674" s="26">
        <f>IF(D2674="","",INT((D2674-cfgDeslocamento)/4))</f>
        <v>0</v>
      </c>
      <c r="F2674" s="26">
        <f>IF(D2674="","",MOD(D2674-cfgDeslocamento,4)+1)</f>
        <v>0</v>
      </c>
      <c r="G2674" s="26">
        <f>IF(A2674="","",IF(AND(ISNUMBER(B2674),B2674&lt;&gt;0),1,0))</f>
        <v>0</v>
      </c>
      <c r="H2674" s="25">
        <f>IF(E2674="","",(E2674*4+3+cfgDeslocamento)/48)</f>
        <v>0</v>
      </c>
    </row>
    <row r="2675" spans="1:8">
      <c r="A2675" s="24"/>
      <c r="B2675" s="19"/>
      <c r="C2675" s="25">
        <f>IF(D2675="","",D2675/48)</f>
        <v>0</v>
      </c>
      <c r="D2675" s="26">
        <f>IF(A2675="","",ROUND((A2675-cfgDefasagem/1440)*48,0))</f>
        <v>0</v>
      </c>
      <c r="E2675" s="26">
        <f>IF(D2675="","",INT((D2675-cfgDeslocamento)/4))</f>
        <v>0</v>
      </c>
      <c r="F2675" s="26">
        <f>IF(D2675="","",MOD(D2675-cfgDeslocamento,4)+1)</f>
        <v>0</v>
      </c>
      <c r="G2675" s="26">
        <f>IF(A2675="","",IF(AND(ISNUMBER(B2675),B2675&lt;&gt;0),1,0))</f>
        <v>0</v>
      </c>
      <c r="H2675" s="25">
        <f>IF(E2675="","",(E2675*4+3+cfgDeslocamento)/48)</f>
        <v>0</v>
      </c>
    </row>
    <row r="2676" spans="1:8">
      <c r="A2676" s="24"/>
      <c r="B2676" s="19"/>
      <c r="C2676" s="25">
        <f>IF(D2676="","",D2676/48)</f>
        <v>0</v>
      </c>
      <c r="D2676" s="26">
        <f>IF(A2676="","",ROUND((A2676-cfgDefasagem/1440)*48,0))</f>
        <v>0</v>
      </c>
      <c r="E2676" s="26">
        <f>IF(D2676="","",INT((D2676-cfgDeslocamento)/4))</f>
        <v>0</v>
      </c>
      <c r="F2676" s="26">
        <f>IF(D2676="","",MOD(D2676-cfgDeslocamento,4)+1)</f>
        <v>0</v>
      </c>
      <c r="G2676" s="26">
        <f>IF(A2676="","",IF(AND(ISNUMBER(B2676),B2676&lt;&gt;0),1,0))</f>
        <v>0</v>
      </c>
      <c r="H2676" s="25">
        <f>IF(E2676="","",(E2676*4+3+cfgDeslocamento)/48)</f>
        <v>0</v>
      </c>
    </row>
    <row r="2677" spans="1:8">
      <c r="A2677" s="24"/>
      <c r="B2677" s="19"/>
      <c r="C2677" s="25">
        <f>IF(D2677="","",D2677/48)</f>
        <v>0</v>
      </c>
      <c r="D2677" s="26">
        <f>IF(A2677="","",ROUND((A2677-cfgDefasagem/1440)*48,0))</f>
        <v>0</v>
      </c>
      <c r="E2677" s="26">
        <f>IF(D2677="","",INT((D2677-cfgDeslocamento)/4))</f>
        <v>0</v>
      </c>
      <c r="F2677" s="26">
        <f>IF(D2677="","",MOD(D2677-cfgDeslocamento,4)+1)</f>
        <v>0</v>
      </c>
      <c r="G2677" s="26">
        <f>IF(A2677="","",IF(AND(ISNUMBER(B2677),B2677&lt;&gt;0),1,0))</f>
        <v>0</v>
      </c>
      <c r="H2677" s="25">
        <f>IF(E2677="","",(E2677*4+3+cfgDeslocamento)/48)</f>
        <v>0</v>
      </c>
    </row>
    <row r="2678" spans="1:8">
      <c r="A2678" s="24"/>
      <c r="B2678" s="19"/>
      <c r="C2678" s="25">
        <f>IF(D2678="","",D2678/48)</f>
        <v>0</v>
      </c>
      <c r="D2678" s="26">
        <f>IF(A2678="","",ROUND((A2678-cfgDefasagem/1440)*48,0))</f>
        <v>0</v>
      </c>
      <c r="E2678" s="26">
        <f>IF(D2678="","",INT((D2678-cfgDeslocamento)/4))</f>
        <v>0</v>
      </c>
      <c r="F2678" s="26">
        <f>IF(D2678="","",MOD(D2678-cfgDeslocamento,4)+1)</f>
        <v>0</v>
      </c>
      <c r="G2678" s="26">
        <f>IF(A2678="","",IF(AND(ISNUMBER(B2678),B2678&lt;&gt;0),1,0))</f>
        <v>0</v>
      </c>
      <c r="H2678" s="25">
        <f>IF(E2678="","",(E2678*4+3+cfgDeslocamento)/48)</f>
        <v>0</v>
      </c>
    </row>
    <row r="2679" spans="1:8">
      <c r="A2679" s="24"/>
      <c r="B2679" s="19"/>
      <c r="C2679" s="25">
        <f>IF(D2679="","",D2679/48)</f>
        <v>0</v>
      </c>
      <c r="D2679" s="26">
        <f>IF(A2679="","",ROUND((A2679-cfgDefasagem/1440)*48,0))</f>
        <v>0</v>
      </c>
      <c r="E2679" s="26">
        <f>IF(D2679="","",INT((D2679-cfgDeslocamento)/4))</f>
        <v>0</v>
      </c>
      <c r="F2679" s="26">
        <f>IF(D2679="","",MOD(D2679-cfgDeslocamento,4)+1)</f>
        <v>0</v>
      </c>
      <c r="G2679" s="26">
        <f>IF(A2679="","",IF(AND(ISNUMBER(B2679),B2679&lt;&gt;0),1,0))</f>
        <v>0</v>
      </c>
      <c r="H2679" s="25">
        <f>IF(E2679="","",(E2679*4+3+cfgDeslocamento)/48)</f>
        <v>0</v>
      </c>
    </row>
    <row r="2680" spans="1:8">
      <c r="A2680" s="24"/>
      <c r="B2680" s="19"/>
      <c r="C2680" s="25">
        <f>IF(D2680="","",D2680/48)</f>
        <v>0</v>
      </c>
      <c r="D2680" s="26">
        <f>IF(A2680="","",ROUND((A2680-cfgDefasagem/1440)*48,0))</f>
        <v>0</v>
      </c>
      <c r="E2680" s="26">
        <f>IF(D2680="","",INT((D2680-cfgDeslocamento)/4))</f>
        <v>0</v>
      </c>
      <c r="F2680" s="26">
        <f>IF(D2680="","",MOD(D2680-cfgDeslocamento,4)+1)</f>
        <v>0</v>
      </c>
      <c r="G2680" s="26">
        <f>IF(A2680="","",IF(AND(ISNUMBER(B2680),B2680&lt;&gt;0),1,0))</f>
        <v>0</v>
      </c>
      <c r="H2680" s="25">
        <f>IF(E2680="","",(E2680*4+3+cfgDeslocamento)/48)</f>
        <v>0</v>
      </c>
    </row>
    <row r="2681" spans="1:8">
      <c r="A2681" s="24"/>
      <c r="B2681" s="19"/>
      <c r="C2681" s="25">
        <f>IF(D2681="","",D2681/48)</f>
        <v>0</v>
      </c>
      <c r="D2681" s="26">
        <f>IF(A2681="","",ROUND((A2681-cfgDefasagem/1440)*48,0))</f>
        <v>0</v>
      </c>
      <c r="E2681" s="26">
        <f>IF(D2681="","",INT((D2681-cfgDeslocamento)/4))</f>
        <v>0</v>
      </c>
      <c r="F2681" s="26">
        <f>IF(D2681="","",MOD(D2681-cfgDeslocamento,4)+1)</f>
        <v>0</v>
      </c>
      <c r="G2681" s="26">
        <f>IF(A2681="","",IF(AND(ISNUMBER(B2681),B2681&lt;&gt;0),1,0))</f>
        <v>0</v>
      </c>
      <c r="H2681" s="25">
        <f>IF(E2681="","",(E2681*4+3+cfgDeslocamento)/48)</f>
        <v>0</v>
      </c>
    </row>
    <row r="2682" spans="1:8">
      <c r="A2682" s="24"/>
      <c r="B2682" s="19"/>
      <c r="C2682" s="25">
        <f>IF(D2682="","",D2682/48)</f>
        <v>0</v>
      </c>
      <c r="D2682" s="26">
        <f>IF(A2682="","",ROUND((A2682-cfgDefasagem/1440)*48,0))</f>
        <v>0</v>
      </c>
      <c r="E2682" s="26">
        <f>IF(D2682="","",INT((D2682-cfgDeslocamento)/4))</f>
        <v>0</v>
      </c>
      <c r="F2682" s="26">
        <f>IF(D2682="","",MOD(D2682-cfgDeslocamento,4)+1)</f>
        <v>0</v>
      </c>
      <c r="G2682" s="26">
        <f>IF(A2682="","",IF(AND(ISNUMBER(B2682),B2682&lt;&gt;0),1,0))</f>
        <v>0</v>
      </c>
      <c r="H2682" s="25">
        <f>IF(E2682="","",(E2682*4+3+cfgDeslocamento)/48)</f>
        <v>0</v>
      </c>
    </row>
    <row r="2683" spans="1:8">
      <c r="A2683" s="24"/>
      <c r="B2683" s="19"/>
      <c r="C2683" s="25">
        <f>IF(D2683="","",D2683/48)</f>
        <v>0</v>
      </c>
      <c r="D2683" s="26">
        <f>IF(A2683="","",ROUND((A2683-cfgDefasagem/1440)*48,0))</f>
        <v>0</v>
      </c>
      <c r="E2683" s="26">
        <f>IF(D2683="","",INT((D2683-cfgDeslocamento)/4))</f>
        <v>0</v>
      </c>
      <c r="F2683" s="26">
        <f>IF(D2683="","",MOD(D2683-cfgDeslocamento,4)+1)</f>
        <v>0</v>
      </c>
      <c r="G2683" s="26">
        <f>IF(A2683="","",IF(AND(ISNUMBER(B2683),B2683&lt;&gt;0),1,0))</f>
        <v>0</v>
      </c>
      <c r="H2683" s="25">
        <f>IF(E2683="","",(E2683*4+3+cfgDeslocamento)/48)</f>
        <v>0</v>
      </c>
    </row>
    <row r="2684" spans="1:8">
      <c r="A2684" s="24"/>
      <c r="B2684" s="19"/>
      <c r="C2684" s="25">
        <f>IF(D2684="","",D2684/48)</f>
        <v>0</v>
      </c>
      <c r="D2684" s="26">
        <f>IF(A2684="","",ROUND((A2684-cfgDefasagem/1440)*48,0))</f>
        <v>0</v>
      </c>
      <c r="E2684" s="26">
        <f>IF(D2684="","",INT((D2684-cfgDeslocamento)/4))</f>
        <v>0</v>
      </c>
      <c r="F2684" s="26">
        <f>IF(D2684="","",MOD(D2684-cfgDeslocamento,4)+1)</f>
        <v>0</v>
      </c>
      <c r="G2684" s="26">
        <f>IF(A2684="","",IF(AND(ISNUMBER(B2684),B2684&lt;&gt;0),1,0))</f>
        <v>0</v>
      </c>
      <c r="H2684" s="25">
        <f>IF(E2684="","",(E2684*4+3+cfgDeslocamento)/48)</f>
        <v>0</v>
      </c>
    </row>
    <row r="2685" spans="1:8">
      <c r="A2685" s="24"/>
      <c r="B2685" s="19"/>
      <c r="C2685" s="25">
        <f>IF(D2685="","",D2685/48)</f>
        <v>0</v>
      </c>
      <c r="D2685" s="26">
        <f>IF(A2685="","",ROUND((A2685-cfgDefasagem/1440)*48,0))</f>
        <v>0</v>
      </c>
      <c r="E2685" s="26">
        <f>IF(D2685="","",INT((D2685-cfgDeslocamento)/4))</f>
        <v>0</v>
      </c>
      <c r="F2685" s="26">
        <f>IF(D2685="","",MOD(D2685-cfgDeslocamento,4)+1)</f>
        <v>0</v>
      </c>
      <c r="G2685" s="26">
        <f>IF(A2685="","",IF(AND(ISNUMBER(B2685),B2685&lt;&gt;0),1,0))</f>
        <v>0</v>
      </c>
      <c r="H2685" s="25">
        <f>IF(E2685="","",(E2685*4+3+cfgDeslocamento)/48)</f>
        <v>0</v>
      </c>
    </row>
    <row r="2686" spans="1:8">
      <c r="A2686" s="24"/>
      <c r="B2686" s="19"/>
      <c r="C2686" s="25">
        <f>IF(D2686="","",D2686/48)</f>
        <v>0</v>
      </c>
      <c r="D2686" s="26">
        <f>IF(A2686="","",ROUND((A2686-cfgDefasagem/1440)*48,0))</f>
        <v>0</v>
      </c>
      <c r="E2686" s="26">
        <f>IF(D2686="","",INT((D2686-cfgDeslocamento)/4))</f>
        <v>0</v>
      </c>
      <c r="F2686" s="26">
        <f>IF(D2686="","",MOD(D2686-cfgDeslocamento,4)+1)</f>
        <v>0</v>
      </c>
      <c r="G2686" s="26">
        <f>IF(A2686="","",IF(AND(ISNUMBER(B2686),B2686&lt;&gt;0),1,0))</f>
        <v>0</v>
      </c>
      <c r="H2686" s="25">
        <f>IF(E2686="","",(E2686*4+3+cfgDeslocamento)/48)</f>
        <v>0</v>
      </c>
    </row>
    <row r="2687" spans="1:8">
      <c r="A2687" s="24"/>
      <c r="B2687" s="19"/>
      <c r="C2687" s="25">
        <f>IF(D2687="","",D2687/48)</f>
        <v>0</v>
      </c>
      <c r="D2687" s="26">
        <f>IF(A2687="","",ROUND((A2687-cfgDefasagem/1440)*48,0))</f>
        <v>0</v>
      </c>
      <c r="E2687" s="26">
        <f>IF(D2687="","",INT((D2687-cfgDeslocamento)/4))</f>
        <v>0</v>
      </c>
      <c r="F2687" s="26">
        <f>IF(D2687="","",MOD(D2687-cfgDeslocamento,4)+1)</f>
        <v>0</v>
      </c>
      <c r="G2687" s="26">
        <f>IF(A2687="","",IF(AND(ISNUMBER(B2687),B2687&lt;&gt;0),1,0))</f>
        <v>0</v>
      </c>
      <c r="H2687" s="25">
        <f>IF(E2687="","",(E2687*4+3+cfgDeslocamento)/48)</f>
        <v>0</v>
      </c>
    </row>
    <row r="2688" spans="1:8">
      <c r="A2688" s="24"/>
      <c r="B2688" s="19"/>
      <c r="C2688" s="25">
        <f>IF(D2688="","",D2688/48)</f>
        <v>0</v>
      </c>
      <c r="D2688" s="26">
        <f>IF(A2688="","",ROUND((A2688-cfgDefasagem/1440)*48,0))</f>
        <v>0</v>
      </c>
      <c r="E2688" s="26">
        <f>IF(D2688="","",INT((D2688-cfgDeslocamento)/4))</f>
        <v>0</v>
      </c>
      <c r="F2688" s="26">
        <f>IF(D2688="","",MOD(D2688-cfgDeslocamento,4)+1)</f>
        <v>0</v>
      </c>
      <c r="G2688" s="26">
        <f>IF(A2688="","",IF(AND(ISNUMBER(B2688),B2688&lt;&gt;0),1,0))</f>
        <v>0</v>
      </c>
      <c r="H2688" s="25">
        <f>IF(E2688="","",(E2688*4+3+cfgDeslocamento)/48)</f>
        <v>0</v>
      </c>
    </row>
    <row r="2689" spans="1:8">
      <c r="A2689" s="24"/>
      <c r="B2689" s="19"/>
      <c r="C2689" s="25">
        <f>IF(D2689="","",D2689/48)</f>
        <v>0</v>
      </c>
      <c r="D2689" s="26">
        <f>IF(A2689="","",ROUND((A2689-cfgDefasagem/1440)*48,0))</f>
        <v>0</v>
      </c>
      <c r="E2689" s="26">
        <f>IF(D2689="","",INT((D2689-cfgDeslocamento)/4))</f>
        <v>0</v>
      </c>
      <c r="F2689" s="26">
        <f>IF(D2689="","",MOD(D2689-cfgDeslocamento,4)+1)</f>
        <v>0</v>
      </c>
      <c r="G2689" s="26">
        <f>IF(A2689="","",IF(AND(ISNUMBER(B2689),B2689&lt;&gt;0),1,0))</f>
        <v>0</v>
      </c>
      <c r="H2689" s="25">
        <f>IF(E2689="","",(E2689*4+3+cfgDeslocamento)/48)</f>
        <v>0</v>
      </c>
    </row>
    <row r="2690" spans="1:8">
      <c r="A2690" s="24"/>
      <c r="B2690" s="19"/>
      <c r="C2690" s="25">
        <f>IF(D2690="","",D2690/48)</f>
        <v>0</v>
      </c>
      <c r="D2690" s="26">
        <f>IF(A2690="","",ROUND((A2690-cfgDefasagem/1440)*48,0))</f>
        <v>0</v>
      </c>
      <c r="E2690" s="26">
        <f>IF(D2690="","",INT((D2690-cfgDeslocamento)/4))</f>
        <v>0</v>
      </c>
      <c r="F2690" s="26">
        <f>IF(D2690="","",MOD(D2690-cfgDeslocamento,4)+1)</f>
        <v>0</v>
      </c>
      <c r="G2690" s="26">
        <f>IF(A2690="","",IF(AND(ISNUMBER(B2690),B2690&lt;&gt;0),1,0))</f>
        <v>0</v>
      </c>
      <c r="H2690" s="25">
        <f>IF(E2690="","",(E2690*4+3+cfgDeslocamento)/48)</f>
        <v>0</v>
      </c>
    </row>
    <row r="2691" spans="1:8">
      <c r="A2691" s="24"/>
      <c r="B2691" s="19"/>
      <c r="C2691" s="25">
        <f>IF(D2691="","",D2691/48)</f>
        <v>0</v>
      </c>
      <c r="D2691" s="26">
        <f>IF(A2691="","",ROUND((A2691-cfgDefasagem/1440)*48,0))</f>
        <v>0</v>
      </c>
      <c r="E2691" s="26">
        <f>IF(D2691="","",INT((D2691-cfgDeslocamento)/4))</f>
        <v>0</v>
      </c>
      <c r="F2691" s="26">
        <f>IF(D2691="","",MOD(D2691-cfgDeslocamento,4)+1)</f>
        <v>0</v>
      </c>
      <c r="G2691" s="26">
        <f>IF(A2691="","",IF(AND(ISNUMBER(B2691),B2691&lt;&gt;0),1,0))</f>
        <v>0</v>
      </c>
      <c r="H2691" s="25">
        <f>IF(E2691="","",(E2691*4+3+cfgDeslocamento)/48)</f>
        <v>0</v>
      </c>
    </row>
    <row r="2692" spans="1:8">
      <c r="A2692" s="24"/>
      <c r="B2692" s="19"/>
      <c r="C2692" s="25">
        <f>IF(D2692="","",D2692/48)</f>
        <v>0</v>
      </c>
      <c r="D2692" s="26">
        <f>IF(A2692="","",ROUND((A2692-cfgDefasagem/1440)*48,0))</f>
        <v>0</v>
      </c>
      <c r="E2692" s="26">
        <f>IF(D2692="","",INT((D2692-cfgDeslocamento)/4))</f>
        <v>0</v>
      </c>
      <c r="F2692" s="26">
        <f>IF(D2692="","",MOD(D2692-cfgDeslocamento,4)+1)</f>
        <v>0</v>
      </c>
      <c r="G2692" s="26">
        <f>IF(A2692="","",IF(AND(ISNUMBER(B2692),B2692&lt;&gt;0),1,0))</f>
        <v>0</v>
      </c>
      <c r="H2692" s="25">
        <f>IF(E2692="","",(E2692*4+3+cfgDeslocamento)/48)</f>
        <v>0</v>
      </c>
    </row>
    <row r="2693" spans="1:8">
      <c r="A2693" s="24"/>
      <c r="B2693" s="19"/>
      <c r="C2693" s="25">
        <f>IF(D2693="","",D2693/48)</f>
        <v>0</v>
      </c>
      <c r="D2693" s="26">
        <f>IF(A2693="","",ROUND((A2693-cfgDefasagem/1440)*48,0))</f>
        <v>0</v>
      </c>
      <c r="E2693" s="26">
        <f>IF(D2693="","",INT((D2693-cfgDeslocamento)/4))</f>
        <v>0</v>
      </c>
      <c r="F2693" s="26">
        <f>IF(D2693="","",MOD(D2693-cfgDeslocamento,4)+1)</f>
        <v>0</v>
      </c>
      <c r="G2693" s="26">
        <f>IF(A2693="","",IF(AND(ISNUMBER(B2693),B2693&lt;&gt;0),1,0))</f>
        <v>0</v>
      </c>
      <c r="H2693" s="25">
        <f>IF(E2693="","",(E2693*4+3+cfgDeslocamento)/48)</f>
        <v>0</v>
      </c>
    </row>
    <row r="2694" spans="1:8">
      <c r="A2694" s="24"/>
      <c r="B2694" s="19"/>
      <c r="C2694" s="25">
        <f>IF(D2694="","",D2694/48)</f>
        <v>0</v>
      </c>
      <c r="D2694" s="26">
        <f>IF(A2694="","",ROUND((A2694-cfgDefasagem/1440)*48,0))</f>
        <v>0</v>
      </c>
      <c r="E2694" s="26">
        <f>IF(D2694="","",INT((D2694-cfgDeslocamento)/4))</f>
        <v>0</v>
      </c>
      <c r="F2694" s="26">
        <f>IF(D2694="","",MOD(D2694-cfgDeslocamento,4)+1)</f>
        <v>0</v>
      </c>
      <c r="G2694" s="26">
        <f>IF(A2694="","",IF(AND(ISNUMBER(B2694),B2694&lt;&gt;0),1,0))</f>
        <v>0</v>
      </c>
      <c r="H2694" s="25">
        <f>IF(E2694="","",(E2694*4+3+cfgDeslocamento)/48)</f>
        <v>0</v>
      </c>
    </row>
    <row r="2695" spans="1:8">
      <c r="A2695" s="24"/>
      <c r="B2695" s="19"/>
      <c r="C2695" s="25">
        <f>IF(D2695="","",D2695/48)</f>
        <v>0</v>
      </c>
      <c r="D2695" s="26">
        <f>IF(A2695="","",ROUND((A2695-cfgDefasagem/1440)*48,0))</f>
        <v>0</v>
      </c>
      <c r="E2695" s="26">
        <f>IF(D2695="","",INT((D2695-cfgDeslocamento)/4))</f>
        <v>0</v>
      </c>
      <c r="F2695" s="26">
        <f>IF(D2695="","",MOD(D2695-cfgDeslocamento,4)+1)</f>
        <v>0</v>
      </c>
      <c r="G2695" s="26">
        <f>IF(A2695="","",IF(AND(ISNUMBER(B2695),B2695&lt;&gt;0),1,0))</f>
        <v>0</v>
      </c>
      <c r="H2695" s="25">
        <f>IF(E2695="","",(E2695*4+3+cfgDeslocamento)/48)</f>
        <v>0</v>
      </c>
    </row>
    <row r="2696" spans="1:8">
      <c r="A2696" s="24"/>
      <c r="B2696" s="19"/>
      <c r="C2696" s="25">
        <f>IF(D2696="","",D2696/48)</f>
        <v>0</v>
      </c>
      <c r="D2696" s="26">
        <f>IF(A2696="","",ROUND((A2696-cfgDefasagem/1440)*48,0))</f>
        <v>0</v>
      </c>
      <c r="E2696" s="26">
        <f>IF(D2696="","",INT((D2696-cfgDeslocamento)/4))</f>
        <v>0</v>
      </c>
      <c r="F2696" s="26">
        <f>IF(D2696="","",MOD(D2696-cfgDeslocamento,4)+1)</f>
        <v>0</v>
      </c>
      <c r="G2696" s="26">
        <f>IF(A2696="","",IF(AND(ISNUMBER(B2696),B2696&lt;&gt;0),1,0))</f>
        <v>0</v>
      </c>
      <c r="H2696" s="25">
        <f>IF(E2696="","",(E2696*4+3+cfgDeslocamento)/48)</f>
        <v>0</v>
      </c>
    </row>
    <row r="2697" spans="1:8">
      <c r="A2697" s="24"/>
      <c r="B2697" s="19"/>
      <c r="C2697" s="25">
        <f>IF(D2697="","",D2697/48)</f>
        <v>0</v>
      </c>
      <c r="D2697" s="26">
        <f>IF(A2697="","",ROUND((A2697-cfgDefasagem/1440)*48,0))</f>
        <v>0</v>
      </c>
      <c r="E2697" s="26">
        <f>IF(D2697="","",INT((D2697-cfgDeslocamento)/4))</f>
        <v>0</v>
      </c>
      <c r="F2697" s="26">
        <f>IF(D2697="","",MOD(D2697-cfgDeslocamento,4)+1)</f>
        <v>0</v>
      </c>
      <c r="G2697" s="26">
        <f>IF(A2697="","",IF(AND(ISNUMBER(B2697),B2697&lt;&gt;0),1,0))</f>
        <v>0</v>
      </c>
      <c r="H2697" s="25">
        <f>IF(E2697="","",(E2697*4+3+cfgDeslocamento)/48)</f>
        <v>0</v>
      </c>
    </row>
    <row r="2698" spans="1:8">
      <c r="A2698" s="24"/>
      <c r="B2698" s="19"/>
      <c r="C2698" s="25">
        <f>IF(D2698="","",D2698/48)</f>
        <v>0</v>
      </c>
      <c r="D2698" s="26">
        <f>IF(A2698="","",ROUND((A2698-cfgDefasagem/1440)*48,0))</f>
        <v>0</v>
      </c>
      <c r="E2698" s="26">
        <f>IF(D2698="","",INT((D2698-cfgDeslocamento)/4))</f>
        <v>0</v>
      </c>
      <c r="F2698" s="26">
        <f>IF(D2698="","",MOD(D2698-cfgDeslocamento,4)+1)</f>
        <v>0</v>
      </c>
      <c r="G2698" s="26">
        <f>IF(A2698="","",IF(AND(ISNUMBER(B2698),B2698&lt;&gt;0),1,0))</f>
        <v>0</v>
      </c>
      <c r="H2698" s="25">
        <f>IF(E2698="","",(E2698*4+3+cfgDeslocamento)/48)</f>
        <v>0</v>
      </c>
    </row>
    <row r="2699" spans="1:8">
      <c r="A2699" s="24"/>
      <c r="B2699" s="19"/>
      <c r="C2699" s="25">
        <f>IF(D2699="","",D2699/48)</f>
        <v>0</v>
      </c>
      <c r="D2699" s="26">
        <f>IF(A2699="","",ROUND((A2699-cfgDefasagem/1440)*48,0))</f>
        <v>0</v>
      </c>
      <c r="E2699" s="26">
        <f>IF(D2699="","",INT((D2699-cfgDeslocamento)/4))</f>
        <v>0</v>
      </c>
      <c r="F2699" s="26">
        <f>IF(D2699="","",MOD(D2699-cfgDeslocamento,4)+1)</f>
        <v>0</v>
      </c>
      <c r="G2699" s="26">
        <f>IF(A2699="","",IF(AND(ISNUMBER(B2699),B2699&lt;&gt;0),1,0))</f>
        <v>0</v>
      </c>
      <c r="H2699" s="25">
        <f>IF(E2699="","",(E2699*4+3+cfgDeslocamento)/48)</f>
        <v>0</v>
      </c>
    </row>
    <row r="2700" spans="1:8">
      <c r="A2700" s="24"/>
      <c r="B2700" s="19"/>
      <c r="C2700" s="25">
        <f>IF(D2700="","",D2700/48)</f>
        <v>0</v>
      </c>
      <c r="D2700" s="26">
        <f>IF(A2700="","",ROUND((A2700-cfgDefasagem/1440)*48,0))</f>
        <v>0</v>
      </c>
      <c r="E2700" s="26">
        <f>IF(D2700="","",INT((D2700-cfgDeslocamento)/4))</f>
        <v>0</v>
      </c>
      <c r="F2700" s="26">
        <f>IF(D2700="","",MOD(D2700-cfgDeslocamento,4)+1)</f>
        <v>0</v>
      </c>
      <c r="G2700" s="26">
        <f>IF(A2700="","",IF(AND(ISNUMBER(B2700),B2700&lt;&gt;0),1,0))</f>
        <v>0</v>
      </c>
      <c r="H2700" s="25">
        <f>IF(E2700="","",(E2700*4+3+cfgDeslocamento)/48)</f>
        <v>0</v>
      </c>
    </row>
    <row r="2701" spans="1:8">
      <c r="A2701" s="24"/>
      <c r="B2701" s="19"/>
      <c r="C2701" s="25">
        <f>IF(D2701="","",D2701/48)</f>
        <v>0</v>
      </c>
      <c r="D2701" s="26">
        <f>IF(A2701="","",ROUND((A2701-cfgDefasagem/1440)*48,0))</f>
        <v>0</v>
      </c>
      <c r="E2701" s="26">
        <f>IF(D2701="","",INT((D2701-cfgDeslocamento)/4))</f>
        <v>0</v>
      </c>
      <c r="F2701" s="26">
        <f>IF(D2701="","",MOD(D2701-cfgDeslocamento,4)+1)</f>
        <v>0</v>
      </c>
      <c r="G2701" s="26">
        <f>IF(A2701="","",IF(AND(ISNUMBER(B2701),B2701&lt;&gt;0),1,0))</f>
        <v>0</v>
      </c>
      <c r="H2701" s="25">
        <f>IF(E2701="","",(E2701*4+3+cfgDeslocamento)/48)</f>
        <v>0</v>
      </c>
    </row>
    <row r="2702" spans="1:8">
      <c r="A2702" s="24"/>
      <c r="B2702" s="19"/>
      <c r="C2702" s="25">
        <f>IF(D2702="","",D2702/48)</f>
        <v>0</v>
      </c>
      <c r="D2702" s="26">
        <f>IF(A2702="","",ROUND((A2702-cfgDefasagem/1440)*48,0))</f>
        <v>0</v>
      </c>
      <c r="E2702" s="26">
        <f>IF(D2702="","",INT((D2702-cfgDeslocamento)/4))</f>
        <v>0</v>
      </c>
      <c r="F2702" s="26">
        <f>IF(D2702="","",MOD(D2702-cfgDeslocamento,4)+1)</f>
        <v>0</v>
      </c>
      <c r="G2702" s="26">
        <f>IF(A2702="","",IF(AND(ISNUMBER(B2702),B2702&lt;&gt;0),1,0))</f>
        <v>0</v>
      </c>
      <c r="H2702" s="25">
        <f>IF(E2702="","",(E2702*4+3+cfgDeslocamento)/48)</f>
        <v>0</v>
      </c>
    </row>
    <row r="2703" spans="1:8">
      <c r="A2703" s="24"/>
      <c r="B2703" s="19"/>
      <c r="C2703" s="25">
        <f>IF(D2703="","",D2703/48)</f>
        <v>0</v>
      </c>
      <c r="D2703" s="26">
        <f>IF(A2703="","",ROUND((A2703-cfgDefasagem/1440)*48,0))</f>
        <v>0</v>
      </c>
      <c r="E2703" s="26">
        <f>IF(D2703="","",INT((D2703-cfgDeslocamento)/4))</f>
        <v>0</v>
      </c>
      <c r="F2703" s="26">
        <f>IF(D2703="","",MOD(D2703-cfgDeslocamento,4)+1)</f>
        <v>0</v>
      </c>
      <c r="G2703" s="26">
        <f>IF(A2703="","",IF(AND(ISNUMBER(B2703),B2703&lt;&gt;0),1,0))</f>
        <v>0</v>
      </c>
      <c r="H2703" s="25">
        <f>IF(E2703="","",(E2703*4+3+cfgDeslocamento)/48)</f>
        <v>0</v>
      </c>
    </row>
    <row r="2704" spans="1:8">
      <c r="A2704" s="24"/>
      <c r="B2704" s="19"/>
      <c r="C2704" s="25">
        <f>IF(D2704="","",D2704/48)</f>
        <v>0</v>
      </c>
      <c r="D2704" s="26">
        <f>IF(A2704="","",ROUND((A2704-cfgDefasagem/1440)*48,0))</f>
        <v>0</v>
      </c>
      <c r="E2704" s="26">
        <f>IF(D2704="","",INT((D2704-cfgDeslocamento)/4))</f>
        <v>0</v>
      </c>
      <c r="F2704" s="26">
        <f>IF(D2704="","",MOD(D2704-cfgDeslocamento,4)+1)</f>
        <v>0</v>
      </c>
      <c r="G2704" s="26">
        <f>IF(A2704="","",IF(AND(ISNUMBER(B2704),B2704&lt;&gt;0),1,0))</f>
        <v>0</v>
      </c>
      <c r="H2704" s="25">
        <f>IF(E2704="","",(E2704*4+3+cfgDeslocamento)/48)</f>
        <v>0</v>
      </c>
    </row>
    <row r="2705" spans="1:8">
      <c r="A2705" s="24"/>
      <c r="B2705" s="19"/>
      <c r="C2705" s="25">
        <f>IF(D2705="","",D2705/48)</f>
        <v>0</v>
      </c>
      <c r="D2705" s="26">
        <f>IF(A2705="","",ROUND((A2705-cfgDefasagem/1440)*48,0))</f>
        <v>0</v>
      </c>
      <c r="E2705" s="26">
        <f>IF(D2705="","",INT((D2705-cfgDeslocamento)/4))</f>
        <v>0</v>
      </c>
      <c r="F2705" s="26">
        <f>IF(D2705="","",MOD(D2705-cfgDeslocamento,4)+1)</f>
        <v>0</v>
      </c>
      <c r="G2705" s="26">
        <f>IF(A2705="","",IF(AND(ISNUMBER(B2705),B2705&lt;&gt;0),1,0))</f>
        <v>0</v>
      </c>
      <c r="H2705" s="25">
        <f>IF(E2705="","",(E2705*4+3+cfgDeslocamento)/48)</f>
        <v>0</v>
      </c>
    </row>
    <row r="2706" spans="1:8">
      <c r="A2706" s="24"/>
      <c r="B2706" s="19"/>
      <c r="C2706" s="25">
        <f>IF(D2706="","",D2706/48)</f>
        <v>0</v>
      </c>
      <c r="D2706" s="26">
        <f>IF(A2706="","",ROUND((A2706-cfgDefasagem/1440)*48,0))</f>
        <v>0</v>
      </c>
      <c r="E2706" s="26">
        <f>IF(D2706="","",INT((D2706-cfgDeslocamento)/4))</f>
        <v>0</v>
      </c>
      <c r="F2706" s="26">
        <f>IF(D2706="","",MOD(D2706-cfgDeslocamento,4)+1)</f>
        <v>0</v>
      </c>
      <c r="G2706" s="26">
        <f>IF(A2706="","",IF(AND(ISNUMBER(B2706),B2706&lt;&gt;0),1,0))</f>
        <v>0</v>
      </c>
      <c r="H2706" s="25">
        <f>IF(E2706="","",(E2706*4+3+cfgDeslocamento)/48)</f>
        <v>0</v>
      </c>
    </row>
    <row r="2707" spans="1:8">
      <c r="A2707" s="24"/>
      <c r="B2707" s="19"/>
      <c r="C2707" s="25">
        <f>IF(D2707="","",D2707/48)</f>
        <v>0</v>
      </c>
      <c r="D2707" s="26">
        <f>IF(A2707="","",ROUND((A2707-cfgDefasagem/1440)*48,0))</f>
        <v>0</v>
      </c>
      <c r="E2707" s="26">
        <f>IF(D2707="","",INT((D2707-cfgDeslocamento)/4))</f>
        <v>0</v>
      </c>
      <c r="F2707" s="26">
        <f>IF(D2707="","",MOD(D2707-cfgDeslocamento,4)+1)</f>
        <v>0</v>
      </c>
      <c r="G2707" s="26">
        <f>IF(A2707="","",IF(AND(ISNUMBER(B2707),B2707&lt;&gt;0),1,0))</f>
        <v>0</v>
      </c>
      <c r="H2707" s="25">
        <f>IF(E2707="","",(E2707*4+3+cfgDeslocamento)/48)</f>
        <v>0</v>
      </c>
    </row>
    <row r="2708" spans="1:8">
      <c r="A2708" s="24"/>
      <c r="B2708" s="19"/>
      <c r="C2708" s="25">
        <f>IF(D2708="","",D2708/48)</f>
        <v>0</v>
      </c>
      <c r="D2708" s="26">
        <f>IF(A2708="","",ROUND((A2708-cfgDefasagem/1440)*48,0))</f>
        <v>0</v>
      </c>
      <c r="E2708" s="26">
        <f>IF(D2708="","",INT((D2708-cfgDeslocamento)/4))</f>
        <v>0</v>
      </c>
      <c r="F2708" s="26">
        <f>IF(D2708="","",MOD(D2708-cfgDeslocamento,4)+1)</f>
        <v>0</v>
      </c>
      <c r="G2708" s="26">
        <f>IF(A2708="","",IF(AND(ISNUMBER(B2708),B2708&lt;&gt;0),1,0))</f>
        <v>0</v>
      </c>
      <c r="H2708" s="25">
        <f>IF(E2708="","",(E2708*4+3+cfgDeslocamento)/48)</f>
        <v>0</v>
      </c>
    </row>
    <row r="2709" spans="1:8">
      <c r="A2709" s="24"/>
      <c r="B2709" s="19"/>
      <c r="C2709" s="25">
        <f>IF(D2709="","",D2709/48)</f>
        <v>0</v>
      </c>
      <c r="D2709" s="26">
        <f>IF(A2709="","",ROUND((A2709-cfgDefasagem/1440)*48,0))</f>
        <v>0</v>
      </c>
      <c r="E2709" s="26">
        <f>IF(D2709="","",INT((D2709-cfgDeslocamento)/4))</f>
        <v>0</v>
      </c>
      <c r="F2709" s="26">
        <f>IF(D2709="","",MOD(D2709-cfgDeslocamento,4)+1)</f>
        <v>0</v>
      </c>
      <c r="G2709" s="26">
        <f>IF(A2709="","",IF(AND(ISNUMBER(B2709),B2709&lt;&gt;0),1,0))</f>
        <v>0</v>
      </c>
      <c r="H2709" s="25">
        <f>IF(E2709="","",(E2709*4+3+cfgDeslocamento)/48)</f>
        <v>0</v>
      </c>
    </row>
    <row r="2710" spans="1:8">
      <c r="A2710" s="24"/>
      <c r="B2710" s="19"/>
      <c r="C2710" s="25">
        <f>IF(D2710="","",D2710/48)</f>
        <v>0</v>
      </c>
      <c r="D2710" s="26">
        <f>IF(A2710="","",ROUND((A2710-cfgDefasagem/1440)*48,0))</f>
        <v>0</v>
      </c>
      <c r="E2710" s="26">
        <f>IF(D2710="","",INT((D2710-cfgDeslocamento)/4))</f>
        <v>0</v>
      </c>
      <c r="F2710" s="26">
        <f>IF(D2710="","",MOD(D2710-cfgDeslocamento,4)+1)</f>
        <v>0</v>
      </c>
      <c r="G2710" s="26">
        <f>IF(A2710="","",IF(AND(ISNUMBER(B2710),B2710&lt;&gt;0),1,0))</f>
        <v>0</v>
      </c>
      <c r="H2710" s="25">
        <f>IF(E2710="","",(E2710*4+3+cfgDeslocamento)/48)</f>
        <v>0</v>
      </c>
    </row>
    <row r="2711" spans="1:8">
      <c r="A2711" s="24"/>
      <c r="B2711" s="19"/>
      <c r="C2711" s="25">
        <f>IF(D2711="","",D2711/48)</f>
        <v>0</v>
      </c>
      <c r="D2711" s="26">
        <f>IF(A2711="","",ROUND((A2711-cfgDefasagem/1440)*48,0))</f>
        <v>0</v>
      </c>
      <c r="E2711" s="26">
        <f>IF(D2711="","",INT((D2711-cfgDeslocamento)/4))</f>
        <v>0</v>
      </c>
      <c r="F2711" s="26">
        <f>IF(D2711="","",MOD(D2711-cfgDeslocamento,4)+1)</f>
        <v>0</v>
      </c>
      <c r="G2711" s="26">
        <f>IF(A2711="","",IF(AND(ISNUMBER(B2711),B2711&lt;&gt;0),1,0))</f>
        <v>0</v>
      </c>
      <c r="H2711" s="25">
        <f>IF(E2711="","",(E2711*4+3+cfgDeslocamento)/48)</f>
        <v>0</v>
      </c>
    </row>
    <row r="2712" spans="1:8">
      <c r="A2712" s="24"/>
      <c r="B2712" s="19"/>
      <c r="C2712" s="25">
        <f>IF(D2712="","",D2712/48)</f>
        <v>0</v>
      </c>
      <c r="D2712" s="26">
        <f>IF(A2712="","",ROUND((A2712-cfgDefasagem/1440)*48,0))</f>
        <v>0</v>
      </c>
      <c r="E2712" s="26">
        <f>IF(D2712="","",INT((D2712-cfgDeslocamento)/4))</f>
        <v>0</v>
      </c>
      <c r="F2712" s="26">
        <f>IF(D2712="","",MOD(D2712-cfgDeslocamento,4)+1)</f>
        <v>0</v>
      </c>
      <c r="G2712" s="26">
        <f>IF(A2712="","",IF(AND(ISNUMBER(B2712),B2712&lt;&gt;0),1,0))</f>
        <v>0</v>
      </c>
      <c r="H2712" s="25">
        <f>IF(E2712="","",(E2712*4+3+cfgDeslocamento)/48)</f>
        <v>0</v>
      </c>
    </row>
    <row r="2713" spans="1:8">
      <c r="A2713" s="24"/>
      <c r="B2713" s="19"/>
      <c r="C2713" s="25">
        <f>IF(D2713="","",D2713/48)</f>
        <v>0</v>
      </c>
      <c r="D2713" s="26">
        <f>IF(A2713="","",ROUND((A2713-cfgDefasagem/1440)*48,0))</f>
        <v>0</v>
      </c>
      <c r="E2713" s="26">
        <f>IF(D2713="","",INT((D2713-cfgDeslocamento)/4))</f>
        <v>0</v>
      </c>
      <c r="F2713" s="26">
        <f>IF(D2713="","",MOD(D2713-cfgDeslocamento,4)+1)</f>
        <v>0</v>
      </c>
      <c r="G2713" s="26">
        <f>IF(A2713="","",IF(AND(ISNUMBER(B2713),B2713&lt;&gt;0),1,0))</f>
        <v>0</v>
      </c>
      <c r="H2713" s="25">
        <f>IF(E2713="","",(E2713*4+3+cfgDeslocamento)/48)</f>
        <v>0</v>
      </c>
    </row>
    <row r="2714" spans="1:8">
      <c r="A2714" s="24"/>
      <c r="B2714" s="19"/>
      <c r="C2714" s="25">
        <f>IF(D2714="","",D2714/48)</f>
        <v>0</v>
      </c>
      <c r="D2714" s="26">
        <f>IF(A2714="","",ROUND((A2714-cfgDefasagem/1440)*48,0))</f>
        <v>0</v>
      </c>
      <c r="E2714" s="26">
        <f>IF(D2714="","",INT((D2714-cfgDeslocamento)/4))</f>
        <v>0</v>
      </c>
      <c r="F2714" s="26">
        <f>IF(D2714="","",MOD(D2714-cfgDeslocamento,4)+1)</f>
        <v>0</v>
      </c>
      <c r="G2714" s="26">
        <f>IF(A2714="","",IF(AND(ISNUMBER(B2714),B2714&lt;&gt;0),1,0))</f>
        <v>0</v>
      </c>
      <c r="H2714" s="25">
        <f>IF(E2714="","",(E2714*4+3+cfgDeslocamento)/48)</f>
        <v>0</v>
      </c>
    </row>
    <row r="2715" spans="1:8">
      <c r="A2715" s="24"/>
      <c r="B2715" s="19"/>
      <c r="C2715" s="25">
        <f>IF(D2715="","",D2715/48)</f>
        <v>0</v>
      </c>
      <c r="D2715" s="26">
        <f>IF(A2715="","",ROUND((A2715-cfgDefasagem/1440)*48,0))</f>
        <v>0</v>
      </c>
      <c r="E2715" s="26">
        <f>IF(D2715="","",INT((D2715-cfgDeslocamento)/4))</f>
        <v>0</v>
      </c>
      <c r="F2715" s="26">
        <f>IF(D2715="","",MOD(D2715-cfgDeslocamento,4)+1)</f>
        <v>0</v>
      </c>
      <c r="G2715" s="26">
        <f>IF(A2715="","",IF(AND(ISNUMBER(B2715),B2715&lt;&gt;0),1,0))</f>
        <v>0</v>
      </c>
      <c r="H2715" s="25">
        <f>IF(E2715="","",(E2715*4+3+cfgDeslocamento)/48)</f>
        <v>0</v>
      </c>
    </row>
    <row r="2716" spans="1:8">
      <c r="A2716" s="24"/>
      <c r="B2716" s="19"/>
      <c r="C2716" s="25">
        <f>IF(D2716="","",D2716/48)</f>
        <v>0</v>
      </c>
      <c r="D2716" s="26">
        <f>IF(A2716="","",ROUND((A2716-cfgDefasagem/1440)*48,0))</f>
        <v>0</v>
      </c>
      <c r="E2716" s="26">
        <f>IF(D2716="","",INT((D2716-cfgDeslocamento)/4))</f>
        <v>0</v>
      </c>
      <c r="F2716" s="26">
        <f>IF(D2716="","",MOD(D2716-cfgDeslocamento,4)+1)</f>
        <v>0</v>
      </c>
      <c r="G2716" s="26">
        <f>IF(A2716="","",IF(AND(ISNUMBER(B2716),B2716&lt;&gt;0),1,0))</f>
        <v>0</v>
      </c>
      <c r="H2716" s="25">
        <f>IF(E2716="","",(E2716*4+3+cfgDeslocamento)/48)</f>
        <v>0</v>
      </c>
    </row>
    <row r="2717" spans="1:8">
      <c r="A2717" s="24"/>
      <c r="B2717" s="19"/>
      <c r="C2717" s="25">
        <f>IF(D2717="","",D2717/48)</f>
        <v>0</v>
      </c>
      <c r="D2717" s="26">
        <f>IF(A2717="","",ROUND((A2717-cfgDefasagem/1440)*48,0))</f>
        <v>0</v>
      </c>
      <c r="E2717" s="26">
        <f>IF(D2717="","",INT((D2717-cfgDeslocamento)/4))</f>
        <v>0</v>
      </c>
      <c r="F2717" s="26">
        <f>IF(D2717="","",MOD(D2717-cfgDeslocamento,4)+1)</f>
        <v>0</v>
      </c>
      <c r="G2717" s="26">
        <f>IF(A2717="","",IF(AND(ISNUMBER(B2717),B2717&lt;&gt;0),1,0))</f>
        <v>0</v>
      </c>
      <c r="H2717" s="25">
        <f>IF(E2717="","",(E2717*4+3+cfgDeslocamento)/48)</f>
        <v>0</v>
      </c>
    </row>
    <row r="2718" spans="1:8">
      <c r="A2718" s="24"/>
      <c r="B2718" s="19"/>
      <c r="C2718" s="25">
        <f>IF(D2718="","",D2718/48)</f>
        <v>0</v>
      </c>
      <c r="D2718" s="26">
        <f>IF(A2718="","",ROUND((A2718-cfgDefasagem/1440)*48,0))</f>
        <v>0</v>
      </c>
      <c r="E2718" s="26">
        <f>IF(D2718="","",INT((D2718-cfgDeslocamento)/4))</f>
        <v>0</v>
      </c>
      <c r="F2718" s="26">
        <f>IF(D2718="","",MOD(D2718-cfgDeslocamento,4)+1)</f>
        <v>0</v>
      </c>
      <c r="G2718" s="26">
        <f>IF(A2718="","",IF(AND(ISNUMBER(B2718),B2718&lt;&gt;0),1,0))</f>
        <v>0</v>
      </c>
      <c r="H2718" s="25">
        <f>IF(E2718="","",(E2718*4+3+cfgDeslocamento)/48)</f>
        <v>0</v>
      </c>
    </row>
    <row r="2719" spans="1:8">
      <c r="A2719" s="24"/>
      <c r="B2719" s="19"/>
      <c r="C2719" s="25">
        <f>IF(D2719="","",D2719/48)</f>
        <v>0</v>
      </c>
      <c r="D2719" s="26">
        <f>IF(A2719="","",ROUND((A2719-cfgDefasagem/1440)*48,0))</f>
        <v>0</v>
      </c>
      <c r="E2719" s="26">
        <f>IF(D2719="","",INT((D2719-cfgDeslocamento)/4))</f>
        <v>0</v>
      </c>
      <c r="F2719" s="26">
        <f>IF(D2719="","",MOD(D2719-cfgDeslocamento,4)+1)</f>
        <v>0</v>
      </c>
      <c r="G2719" s="26">
        <f>IF(A2719="","",IF(AND(ISNUMBER(B2719),B2719&lt;&gt;0),1,0))</f>
        <v>0</v>
      </c>
      <c r="H2719" s="25">
        <f>IF(E2719="","",(E2719*4+3+cfgDeslocamento)/48)</f>
        <v>0</v>
      </c>
    </row>
    <row r="2720" spans="1:8">
      <c r="A2720" s="24"/>
      <c r="B2720" s="19"/>
      <c r="C2720" s="25">
        <f>IF(D2720="","",D2720/48)</f>
        <v>0</v>
      </c>
      <c r="D2720" s="26">
        <f>IF(A2720="","",ROUND((A2720-cfgDefasagem/1440)*48,0))</f>
        <v>0</v>
      </c>
      <c r="E2720" s="26">
        <f>IF(D2720="","",INT((D2720-cfgDeslocamento)/4))</f>
        <v>0</v>
      </c>
      <c r="F2720" s="26">
        <f>IF(D2720="","",MOD(D2720-cfgDeslocamento,4)+1)</f>
        <v>0</v>
      </c>
      <c r="G2720" s="26">
        <f>IF(A2720="","",IF(AND(ISNUMBER(B2720),B2720&lt;&gt;0),1,0))</f>
        <v>0</v>
      </c>
      <c r="H2720" s="25">
        <f>IF(E2720="","",(E2720*4+3+cfgDeslocamento)/48)</f>
        <v>0</v>
      </c>
    </row>
    <row r="2721" spans="1:8">
      <c r="A2721" s="24"/>
      <c r="B2721" s="19"/>
      <c r="C2721" s="25">
        <f>IF(D2721="","",D2721/48)</f>
        <v>0</v>
      </c>
      <c r="D2721" s="26">
        <f>IF(A2721="","",ROUND((A2721-cfgDefasagem/1440)*48,0))</f>
        <v>0</v>
      </c>
      <c r="E2721" s="26">
        <f>IF(D2721="","",INT((D2721-cfgDeslocamento)/4))</f>
        <v>0</v>
      </c>
      <c r="F2721" s="26">
        <f>IF(D2721="","",MOD(D2721-cfgDeslocamento,4)+1)</f>
        <v>0</v>
      </c>
      <c r="G2721" s="26">
        <f>IF(A2721="","",IF(AND(ISNUMBER(B2721),B2721&lt;&gt;0),1,0))</f>
        <v>0</v>
      </c>
      <c r="H2721" s="25">
        <f>IF(E2721="","",(E2721*4+3+cfgDeslocamento)/48)</f>
        <v>0</v>
      </c>
    </row>
    <row r="2722" spans="1:8">
      <c r="A2722" s="24"/>
      <c r="B2722" s="19"/>
      <c r="C2722" s="25">
        <f>IF(D2722="","",D2722/48)</f>
        <v>0</v>
      </c>
      <c r="D2722" s="26">
        <f>IF(A2722="","",ROUND((A2722-cfgDefasagem/1440)*48,0))</f>
        <v>0</v>
      </c>
      <c r="E2722" s="26">
        <f>IF(D2722="","",INT((D2722-cfgDeslocamento)/4))</f>
        <v>0</v>
      </c>
      <c r="F2722" s="26">
        <f>IF(D2722="","",MOD(D2722-cfgDeslocamento,4)+1)</f>
        <v>0</v>
      </c>
      <c r="G2722" s="26">
        <f>IF(A2722="","",IF(AND(ISNUMBER(B2722),B2722&lt;&gt;0),1,0))</f>
        <v>0</v>
      </c>
      <c r="H2722" s="25">
        <f>IF(E2722="","",(E2722*4+3+cfgDeslocamento)/48)</f>
        <v>0</v>
      </c>
    </row>
    <row r="2723" spans="1:8">
      <c r="A2723" s="24"/>
      <c r="B2723" s="19"/>
      <c r="C2723" s="25">
        <f>IF(D2723="","",D2723/48)</f>
        <v>0</v>
      </c>
      <c r="D2723" s="26">
        <f>IF(A2723="","",ROUND((A2723-cfgDefasagem/1440)*48,0))</f>
        <v>0</v>
      </c>
      <c r="E2723" s="26">
        <f>IF(D2723="","",INT((D2723-cfgDeslocamento)/4))</f>
        <v>0</v>
      </c>
      <c r="F2723" s="26">
        <f>IF(D2723="","",MOD(D2723-cfgDeslocamento,4)+1)</f>
        <v>0</v>
      </c>
      <c r="G2723" s="26">
        <f>IF(A2723="","",IF(AND(ISNUMBER(B2723),B2723&lt;&gt;0),1,0))</f>
        <v>0</v>
      </c>
      <c r="H2723" s="25">
        <f>IF(E2723="","",(E2723*4+3+cfgDeslocamento)/48)</f>
        <v>0</v>
      </c>
    </row>
    <row r="2724" spans="1:8">
      <c r="A2724" s="24"/>
      <c r="B2724" s="19"/>
      <c r="C2724" s="25">
        <f>IF(D2724="","",D2724/48)</f>
        <v>0</v>
      </c>
      <c r="D2724" s="26">
        <f>IF(A2724="","",ROUND((A2724-cfgDefasagem/1440)*48,0))</f>
        <v>0</v>
      </c>
      <c r="E2724" s="26">
        <f>IF(D2724="","",INT((D2724-cfgDeslocamento)/4))</f>
        <v>0</v>
      </c>
      <c r="F2724" s="26">
        <f>IF(D2724="","",MOD(D2724-cfgDeslocamento,4)+1)</f>
        <v>0</v>
      </c>
      <c r="G2724" s="26">
        <f>IF(A2724="","",IF(AND(ISNUMBER(B2724),B2724&lt;&gt;0),1,0))</f>
        <v>0</v>
      </c>
      <c r="H2724" s="25">
        <f>IF(E2724="","",(E2724*4+3+cfgDeslocamento)/48)</f>
        <v>0</v>
      </c>
    </row>
    <row r="2725" spans="1:8">
      <c r="A2725" s="24"/>
      <c r="B2725" s="19"/>
      <c r="C2725" s="25">
        <f>IF(D2725="","",D2725/48)</f>
        <v>0</v>
      </c>
      <c r="D2725" s="26">
        <f>IF(A2725="","",ROUND((A2725-cfgDefasagem/1440)*48,0))</f>
        <v>0</v>
      </c>
      <c r="E2725" s="26">
        <f>IF(D2725="","",INT((D2725-cfgDeslocamento)/4))</f>
        <v>0</v>
      </c>
      <c r="F2725" s="26">
        <f>IF(D2725="","",MOD(D2725-cfgDeslocamento,4)+1)</f>
        <v>0</v>
      </c>
      <c r="G2725" s="26">
        <f>IF(A2725="","",IF(AND(ISNUMBER(B2725),B2725&lt;&gt;0),1,0))</f>
        <v>0</v>
      </c>
      <c r="H2725" s="25">
        <f>IF(E2725="","",(E2725*4+3+cfgDeslocamento)/48)</f>
        <v>0</v>
      </c>
    </row>
    <row r="2726" spans="1:8">
      <c r="A2726" s="24"/>
      <c r="B2726" s="19"/>
      <c r="C2726" s="25">
        <f>IF(D2726="","",D2726/48)</f>
        <v>0</v>
      </c>
      <c r="D2726" s="26">
        <f>IF(A2726="","",ROUND((A2726-cfgDefasagem/1440)*48,0))</f>
        <v>0</v>
      </c>
      <c r="E2726" s="26">
        <f>IF(D2726="","",INT((D2726-cfgDeslocamento)/4))</f>
        <v>0</v>
      </c>
      <c r="F2726" s="26">
        <f>IF(D2726="","",MOD(D2726-cfgDeslocamento,4)+1)</f>
        <v>0</v>
      </c>
      <c r="G2726" s="26">
        <f>IF(A2726="","",IF(AND(ISNUMBER(B2726),B2726&lt;&gt;0),1,0))</f>
        <v>0</v>
      </c>
      <c r="H2726" s="25">
        <f>IF(E2726="","",(E2726*4+3+cfgDeslocamento)/48)</f>
        <v>0</v>
      </c>
    </row>
    <row r="2727" spans="1:8">
      <c r="A2727" s="24"/>
      <c r="B2727" s="19"/>
      <c r="C2727" s="25">
        <f>IF(D2727="","",D2727/48)</f>
        <v>0</v>
      </c>
      <c r="D2727" s="26">
        <f>IF(A2727="","",ROUND((A2727-cfgDefasagem/1440)*48,0))</f>
        <v>0</v>
      </c>
      <c r="E2727" s="26">
        <f>IF(D2727="","",INT((D2727-cfgDeslocamento)/4))</f>
        <v>0</v>
      </c>
      <c r="F2727" s="26">
        <f>IF(D2727="","",MOD(D2727-cfgDeslocamento,4)+1)</f>
        <v>0</v>
      </c>
      <c r="G2727" s="26">
        <f>IF(A2727="","",IF(AND(ISNUMBER(B2727),B2727&lt;&gt;0),1,0))</f>
        <v>0</v>
      </c>
      <c r="H2727" s="25">
        <f>IF(E2727="","",(E2727*4+3+cfgDeslocamento)/48)</f>
        <v>0</v>
      </c>
    </row>
    <row r="2728" spans="1:8">
      <c r="A2728" s="24"/>
      <c r="B2728" s="19"/>
      <c r="C2728" s="25">
        <f>IF(D2728="","",D2728/48)</f>
        <v>0</v>
      </c>
      <c r="D2728" s="26">
        <f>IF(A2728="","",ROUND((A2728-cfgDefasagem/1440)*48,0))</f>
        <v>0</v>
      </c>
      <c r="E2728" s="26">
        <f>IF(D2728="","",INT((D2728-cfgDeslocamento)/4))</f>
        <v>0</v>
      </c>
      <c r="F2728" s="26">
        <f>IF(D2728="","",MOD(D2728-cfgDeslocamento,4)+1)</f>
        <v>0</v>
      </c>
      <c r="G2728" s="26">
        <f>IF(A2728="","",IF(AND(ISNUMBER(B2728),B2728&lt;&gt;0),1,0))</f>
        <v>0</v>
      </c>
      <c r="H2728" s="25">
        <f>IF(E2728="","",(E2728*4+3+cfgDeslocamento)/48)</f>
        <v>0</v>
      </c>
    </row>
    <row r="2729" spans="1:8">
      <c r="A2729" s="24"/>
      <c r="B2729" s="19"/>
      <c r="C2729" s="25">
        <f>IF(D2729="","",D2729/48)</f>
        <v>0</v>
      </c>
      <c r="D2729" s="26">
        <f>IF(A2729="","",ROUND((A2729-cfgDefasagem/1440)*48,0))</f>
        <v>0</v>
      </c>
      <c r="E2729" s="26">
        <f>IF(D2729="","",INT((D2729-cfgDeslocamento)/4))</f>
        <v>0</v>
      </c>
      <c r="F2729" s="26">
        <f>IF(D2729="","",MOD(D2729-cfgDeslocamento,4)+1)</f>
        <v>0</v>
      </c>
      <c r="G2729" s="26">
        <f>IF(A2729="","",IF(AND(ISNUMBER(B2729),B2729&lt;&gt;0),1,0))</f>
        <v>0</v>
      </c>
      <c r="H2729" s="25">
        <f>IF(E2729="","",(E2729*4+3+cfgDeslocamento)/48)</f>
        <v>0</v>
      </c>
    </row>
    <row r="2730" spans="1:8">
      <c r="A2730" s="24"/>
      <c r="B2730" s="19"/>
      <c r="C2730" s="25">
        <f>IF(D2730="","",D2730/48)</f>
        <v>0</v>
      </c>
      <c r="D2730" s="26">
        <f>IF(A2730="","",ROUND((A2730-cfgDefasagem/1440)*48,0))</f>
        <v>0</v>
      </c>
      <c r="E2730" s="26">
        <f>IF(D2730="","",INT((D2730-cfgDeslocamento)/4))</f>
        <v>0</v>
      </c>
      <c r="F2730" s="26">
        <f>IF(D2730="","",MOD(D2730-cfgDeslocamento,4)+1)</f>
        <v>0</v>
      </c>
      <c r="G2730" s="26">
        <f>IF(A2730="","",IF(AND(ISNUMBER(B2730),B2730&lt;&gt;0),1,0))</f>
        <v>0</v>
      </c>
      <c r="H2730" s="25">
        <f>IF(E2730="","",(E2730*4+3+cfgDeslocamento)/48)</f>
        <v>0</v>
      </c>
    </row>
    <row r="2731" spans="1:8">
      <c r="A2731" s="24"/>
      <c r="B2731" s="19"/>
      <c r="C2731" s="25">
        <f>IF(D2731="","",D2731/48)</f>
        <v>0</v>
      </c>
      <c r="D2731" s="26">
        <f>IF(A2731="","",ROUND((A2731-cfgDefasagem/1440)*48,0))</f>
        <v>0</v>
      </c>
      <c r="E2731" s="26">
        <f>IF(D2731="","",INT((D2731-cfgDeslocamento)/4))</f>
        <v>0</v>
      </c>
      <c r="F2731" s="26">
        <f>IF(D2731="","",MOD(D2731-cfgDeslocamento,4)+1)</f>
        <v>0</v>
      </c>
      <c r="G2731" s="26">
        <f>IF(A2731="","",IF(AND(ISNUMBER(B2731),B2731&lt;&gt;0),1,0))</f>
        <v>0</v>
      </c>
      <c r="H2731" s="25">
        <f>IF(E2731="","",(E2731*4+3+cfgDeslocamento)/48)</f>
        <v>0</v>
      </c>
    </row>
    <row r="2732" spans="1:8">
      <c r="A2732" s="24"/>
      <c r="B2732" s="19"/>
      <c r="C2732" s="25">
        <f>IF(D2732="","",D2732/48)</f>
        <v>0</v>
      </c>
      <c r="D2732" s="26">
        <f>IF(A2732="","",ROUND((A2732-cfgDefasagem/1440)*48,0))</f>
        <v>0</v>
      </c>
      <c r="E2732" s="26">
        <f>IF(D2732="","",INT((D2732-cfgDeslocamento)/4))</f>
        <v>0</v>
      </c>
      <c r="F2732" s="26">
        <f>IF(D2732="","",MOD(D2732-cfgDeslocamento,4)+1)</f>
        <v>0</v>
      </c>
      <c r="G2732" s="26">
        <f>IF(A2732="","",IF(AND(ISNUMBER(B2732),B2732&lt;&gt;0),1,0))</f>
        <v>0</v>
      </c>
      <c r="H2732" s="25">
        <f>IF(E2732="","",(E2732*4+3+cfgDeslocamento)/48)</f>
        <v>0</v>
      </c>
    </row>
    <row r="2733" spans="1:8">
      <c r="A2733" s="24"/>
      <c r="B2733" s="19"/>
      <c r="C2733" s="25">
        <f>IF(D2733="","",D2733/48)</f>
        <v>0</v>
      </c>
      <c r="D2733" s="26">
        <f>IF(A2733="","",ROUND((A2733-cfgDefasagem/1440)*48,0))</f>
        <v>0</v>
      </c>
      <c r="E2733" s="26">
        <f>IF(D2733="","",INT((D2733-cfgDeslocamento)/4))</f>
        <v>0</v>
      </c>
      <c r="F2733" s="26">
        <f>IF(D2733="","",MOD(D2733-cfgDeslocamento,4)+1)</f>
        <v>0</v>
      </c>
      <c r="G2733" s="26">
        <f>IF(A2733="","",IF(AND(ISNUMBER(B2733),B2733&lt;&gt;0),1,0))</f>
        <v>0</v>
      </c>
      <c r="H2733" s="25">
        <f>IF(E2733="","",(E2733*4+3+cfgDeslocamento)/48)</f>
        <v>0</v>
      </c>
    </row>
    <row r="2734" spans="1:8">
      <c r="A2734" s="24"/>
      <c r="B2734" s="19"/>
      <c r="C2734" s="25">
        <f>IF(D2734="","",D2734/48)</f>
        <v>0</v>
      </c>
      <c r="D2734" s="26">
        <f>IF(A2734="","",ROUND((A2734-cfgDefasagem/1440)*48,0))</f>
        <v>0</v>
      </c>
      <c r="E2734" s="26">
        <f>IF(D2734="","",INT((D2734-cfgDeslocamento)/4))</f>
        <v>0</v>
      </c>
      <c r="F2734" s="26">
        <f>IF(D2734="","",MOD(D2734-cfgDeslocamento,4)+1)</f>
        <v>0</v>
      </c>
      <c r="G2734" s="26">
        <f>IF(A2734="","",IF(AND(ISNUMBER(B2734),B2734&lt;&gt;0),1,0))</f>
        <v>0</v>
      </c>
      <c r="H2734" s="25">
        <f>IF(E2734="","",(E2734*4+3+cfgDeslocamento)/48)</f>
        <v>0</v>
      </c>
    </row>
    <row r="2735" spans="1:8">
      <c r="A2735" s="24"/>
      <c r="B2735" s="19"/>
      <c r="C2735" s="25">
        <f>IF(D2735="","",D2735/48)</f>
        <v>0</v>
      </c>
      <c r="D2735" s="26">
        <f>IF(A2735="","",ROUND((A2735-cfgDefasagem/1440)*48,0))</f>
        <v>0</v>
      </c>
      <c r="E2735" s="26">
        <f>IF(D2735="","",INT((D2735-cfgDeslocamento)/4))</f>
        <v>0</v>
      </c>
      <c r="F2735" s="26">
        <f>IF(D2735="","",MOD(D2735-cfgDeslocamento,4)+1)</f>
        <v>0</v>
      </c>
      <c r="G2735" s="26">
        <f>IF(A2735="","",IF(AND(ISNUMBER(B2735),B2735&lt;&gt;0),1,0))</f>
        <v>0</v>
      </c>
      <c r="H2735" s="25">
        <f>IF(E2735="","",(E2735*4+3+cfgDeslocamento)/48)</f>
        <v>0</v>
      </c>
    </row>
    <row r="2736" spans="1:8">
      <c r="A2736" s="24"/>
      <c r="B2736" s="19"/>
      <c r="C2736" s="25">
        <f>IF(D2736="","",D2736/48)</f>
        <v>0</v>
      </c>
      <c r="D2736" s="26">
        <f>IF(A2736="","",ROUND((A2736-cfgDefasagem/1440)*48,0))</f>
        <v>0</v>
      </c>
      <c r="E2736" s="26">
        <f>IF(D2736="","",INT((D2736-cfgDeslocamento)/4))</f>
        <v>0</v>
      </c>
      <c r="F2736" s="26">
        <f>IF(D2736="","",MOD(D2736-cfgDeslocamento,4)+1)</f>
        <v>0</v>
      </c>
      <c r="G2736" s="26">
        <f>IF(A2736="","",IF(AND(ISNUMBER(B2736),B2736&lt;&gt;0),1,0))</f>
        <v>0</v>
      </c>
      <c r="H2736" s="25">
        <f>IF(E2736="","",(E2736*4+3+cfgDeslocamento)/48)</f>
        <v>0</v>
      </c>
    </row>
    <row r="2737" spans="1:8">
      <c r="A2737" s="24"/>
      <c r="B2737" s="19"/>
      <c r="C2737" s="25">
        <f>IF(D2737="","",D2737/48)</f>
        <v>0</v>
      </c>
      <c r="D2737" s="26">
        <f>IF(A2737="","",ROUND((A2737-cfgDefasagem/1440)*48,0))</f>
        <v>0</v>
      </c>
      <c r="E2737" s="26">
        <f>IF(D2737="","",INT((D2737-cfgDeslocamento)/4))</f>
        <v>0</v>
      </c>
      <c r="F2737" s="26">
        <f>IF(D2737="","",MOD(D2737-cfgDeslocamento,4)+1)</f>
        <v>0</v>
      </c>
      <c r="G2737" s="26">
        <f>IF(A2737="","",IF(AND(ISNUMBER(B2737),B2737&lt;&gt;0),1,0))</f>
        <v>0</v>
      </c>
      <c r="H2737" s="25">
        <f>IF(E2737="","",(E2737*4+3+cfgDeslocamento)/48)</f>
        <v>0</v>
      </c>
    </row>
    <row r="2738" spans="1:8">
      <c r="A2738" s="24"/>
      <c r="B2738" s="19"/>
      <c r="C2738" s="25">
        <f>IF(D2738="","",D2738/48)</f>
        <v>0</v>
      </c>
      <c r="D2738" s="26">
        <f>IF(A2738="","",ROUND((A2738-cfgDefasagem/1440)*48,0))</f>
        <v>0</v>
      </c>
      <c r="E2738" s="26">
        <f>IF(D2738="","",INT((D2738-cfgDeslocamento)/4))</f>
        <v>0</v>
      </c>
      <c r="F2738" s="26">
        <f>IF(D2738="","",MOD(D2738-cfgDeslocamento,4)+1)</f>
        <v>0</v>
      </c>
      <c r="G2738" s="26">
        <f>IF(A2738="","",IF(AND(ISNUMBER(B2738),B2738&lt;&gt;0),1,0))</f>
        <v>0</v>
      </c>
      <c r="H2738" s="25">
        <f>IF(E2738="","",(E2738*4+3+cfgDeslocamento)/48)</f>
        <v>0</v>
      </c>
    </row>
    <row r="2739" spans="1:8">
      <c r="A2739" s="24"/>
      <c r="B2739" s="19"/>
      <c r="C2739" s="25">
        <f>IF(D2739="","",D2739/48)</f>
        <v>0</v>
      </c>
      <c r="D2739" s="26">
        <f>IF(A2739="","",ROUND((A2739-cfgDefasagem/1440)*48,0))</f>
        <v>0</v>
      </c>
      <c r="E2739" s="26">
        <f>IF(D2739="","",INT((D2739-cfgDeslocamento)/4))</f>
        <v>0</v>
      </c>
      <c r="F2739" s="26">
        <f>IF(D2739="","",MOD(D2739-cfgDeslocamento,4)+1)</f>
        <v>0</v>
      </c>
      <c r="G2739" s="26">
        <f>IF(A2739="","",IF(AND(ISNUMBER(B2739),B2739&lt;&gt;0),1,0))</f>
        <v>0</v>
      </c>
      <c r="H2739" s="25">
        <f>IF(E2739="","",(E2739*4+3+cfgDeslocamento)/48)</f>
        <v>0</v>
      </c>
    </row>
    <row r="2740" spans="1:8">
      <c r="A2740" s="24"/>
      <c r="B2740" s="19"/>
      <c r="C2740" s="25">
        <f>IF(D2740="","",D2740/48)</f>
        <v>0</v>
      </c>
      <c r="D2740" s="26">
        <f>IF(A2740="","",ROUND((A2740-cfgDefasagem/1440)*48,0))</f>
        <v>0</v>
      </c>
      <c r="E2740" s="26">
        <f>IF(D2740="","",INT((D2740-cfgDeslocamento)/4))</f>
        <v>0</v>
      </c>
      <c r="F2740" s="26">
        <f>IF(D2740="","",MOD(D2740-cfgDeslocamento,4)+1)</f>
        <v>0</v>
      </c>
      <c r="G2740" s="26">
        <f>IF(A2740="","",IF(AND(ISNUMBER(B2740),B2740&lt;&gt;0),1,0))</f>
        <v>0</v>
      </c>
      <c r="H2740" s="25">
        <f>IF(E2740="","",(E2740*4+3+cfgDeslocamento)/48)</f>
        <v>0</v>
      </c>
    </row>
    <row r="2741" spans="1:8">
      <c r="A2741" s="24"/>
      <c r="B2741" s="19"/>
      <c r="C2741" s="25">
        <f>IF(D2741="","",D2741/48)</f>
        <v>0</v>
      </c>
      <c r="D2741" s="26">
        <f>IF(A2741="","",ROUND((A2741-cfgDefasagem/1440)*48,0))</f>
        <v>0</v>
      </c>
      <c r="E2741" s="26">
        <f>IF(D2741="","",INT((D2741-cfgDeslocamento)/4))</f>
        <v>0</v>
      </c>
      <c r="F2741" s="26">
        <f>IF(D2741="","",MOD(D2741-cfgDeslocamento,4)+1)</f>
        <v>0</v>
      </c>
      <c r="G2741" s="26">
        <f>IF(A2741="","",IF(AND(ISNUMBER(B2741),B2741&lt;&gt;0),1,0))</f>
        <v>0</v>
      </c>
      <c r="H2741" s="25">
        <f>IF(E2741="","",(E2741*4+3+cfgDeslocamento)/48)</f>
        <v>0</v>
      </c>
    </row>
    <row r="2742" spans="1:8">
      <c r="A2742" s="24"/>
      <c r="B2742" s="19"/>
      <c r="C2742" s="25">
        <f>IF(D2742="","",D2742/48)</f>
        <v>0</v>
      </c>
      <c r="D2742" s="26">
        <f>IF(A2742="","",ROUND((A2742-cfgDefasagem/1440)*48,0))</f>
        <v>0</v>
      </c>
      <c r="E2742" s="26">
        <f>IF(D2742="","",INT((D2742-cfgDeslocamento)/4))</f>
        <v>0</v>
      </c>
      <c r="F2742" s="26">
        <f>IF(D2742="","",MOD(D2742-cfgDeslocamento,4)+1)</f>
        <v>0</v>
      </c>
      <c r="G2742" s="26">
        <f>IF(A2742="","",IF(AND(ISNUMBER(B2742),B2742&lt;&gt;0),1,0))</f>
        <v>0</v>
      </c>
      <c r="H2742" s="25">
        <f>IF(E2742="","",(E2742*4+3+cfgDeslocamento)/48)</f>
        <v>0</v>
      </c>
    </row>
    <row r="2743" spans="1:8">
      <c r="A2743" s="24"/>
      <c r="B2743" s="19"/>
      <c r="C2743" s="25">
        <f>IF(D2743="","",D2743/48)</f>
        <v>0</v>
      </c>
      <c r="D2743" s="26">
        <f>IF(A2743="","",ROUND((A2743-cfgDefasagem/1440)*48,0))</f>
        <v>0</v>
      </c>
      <c r="E2743" s="26">
        <f>IF(D2743="","",INT((D2743-cfgDeslocamento)/4))</f>
        <v>0</v>
      </c>
      <c r="F2743" s="26">
        <f>IF(D2743="","",MOD(D2743-cfgDeslocamento,4)+1)</f>
        <v>0</v>
      </c>
      <c r="G2743" s="26">
        <f>IF(A2743="","",IF(AND(ISNUMBER(B2743),B2743&lt;&gt;0),1,0))</f>
        <v>0</v>
      </c>
      <c r="H2743" s="25">
        <f>IF(E2743="","",(E2743*4+3+cfgDeslocamento)/48)</f>
        <v>0</v>
      </c>
    </row>
    <row r="2744" spans="1:8">
      <c r="A2744" s="24"/>
      <c r="B2744" s="19"/>
      <c r="C2744" s="25">
        <f>IF(D2744="","",D2744/48)</f>
        <v>0</v>
      </c>
      <c r="D2744" s="26">
        <f>IF(A2744="","",ROUND((A2744-cfgDefasagem/1440)*48,0))</f>
        <v>0</v>
      </c>
      <c r="E2744" s="26">
        <f>IF(D2744="","",INT((D2744-cfgDeslocamento)/4))</f>
        <v>0</v>
      </c>
      <c r="F2744" s="26">
        <f>IF(D2744="","",MOD(D2744-cfgDeslocamento,4)+1)</f>
        <v>0</v>
      </c>
      <c r="G2744" s="26">
        <f>IF(A2744="","",IF(AND(ISNUMBER(B2744),B2744&lt;&gt;0),1,0))</f>
        <v>0</v>
      </c>
      <c r="H2744" s="25">
        <f>IF(E2744="","",(E2744*4+3+cfgDeslocamento)/48)</f>
        <v>0</v>
      </c>
    </row>
    <row r="2745" spans="1:8">
      <c r="A2745" s="24"/>
      <c r="B2745" s="19"/>
      <c r="C2745" s="25">
        <f>IF(D2745="","",D2745/48)</f>
        <v>0</v>
      </c>
      <c r="D2745" s="26">
        <f>IF(A2745="","",ROUND((A2745-cfgDefasagem/1440)*48,0))</f>
        <v>0</v>
      </c>
      <c r="E2745" s="26">
        <f>IF(D2745="","",INT((D2745-cfgDeslocamento)/4))</f>
        <v>0</v>
      </c>
      <c r="F2745" s="26">
        <f>IF(D2745="","",MOD(D2745-cfgDeslocamento,4)+1)</f>
        <v>0</v>
      </c>
      <c r="G2745" s="26">
        <f>IF(A2745="","",IF(AND(ISNUMBER(B2745),B2745&lt;&gt;0),1,0))</f>
        <v>0</v>
      </c>
      <c r="H2745" s="25">
        <f>IF(E2745="","",(E2745*4+3+cfgDeslocamento)/48)</f>
        <v>0</v>
      </c>
    </row>
    <row r="2746" spans="1:8">
      <c r="A2746" s="24"/>
      <c r="B2746" s="19"/>
      <c r="C2746" s="25">
        <f>IF(D2746="","",D2746/48)</f>
        <v>0</v>
      </c>
      <c r="D2746" s="26">
        <f>IF(A2746="","",ROUND((A2746-cfgDefasagem/1440)*48,0))</f>
        <v>0</v>
      </c>
      <c r="E2746" s="26">
        <f>IF(D2746="","",INT((D2746-cfgDeslocamento)/4))</f>
        <v>0</v>
      </c>
      <c r="F2746" s="26">
        <f>IF(D2746="","",MOD(D2746-cfgDeslocamento,4)+1)</f>
        <v>0</v>
      </c>
      <c r="G2746" s="26">
        <f>IF(A2746="","",IF(AND(ISNUMBER(B2746),B2746&lt;&gt;0),1,0))</f>
        <v>0</v>
      </c>
      <c r="H2746" s="25">
        <f>IF(E2746="","",(E2746*4+3+cfgDeslocamento)/48)</f>
        <v>0</v>
      </c>
    </row>
    <row r="2747" spans="1:8">
      <c r="A2747" s="24"/>
      <c r="B2747" s="19"/>
      <c r="C2747" s="25">
        <f>IF(D2747="","",D2747/48)</f>
        <v>0</v>
      </c>
      <c r="D2747" s="26">
        <f>IF(A2747="","",ROUND((A2747-cfgDefasagem/1440)*48,0))</f>
        <v>0</v>
      </c>
      <c r="E2747" s="26">
        <f>IF(D2747="","",INT((D2747-cfgDeslocamento)/4))</f>
        <v>0</v>
      </c>
      <c r="F2747" s="26">
        <f>IF(D2747="","",MOD(D2747-cfgDeslocamento,4)+1)</f>
        <v>0</v>
      </c>
      <c r="G2747" s="26">
        <f>IF(A2747="","",IF(AND(ISNUMBER(B2747),B2747&lt;&gt;0),1,0))</f>
        <v>0</v>
      </c>
      <c r="H2747" s="25">
        <f>IF(E2747="","",(E2747*4+3+cfgDeslocamento)/48)</f>
        <v>0</v>
      </c>
    </row>
    <row r="2748" spans="1:8">
      <c r="A2748" s="24"/>
      <c r="B2748" s="19"/>
      <c r="C2748" s="25">
        <f>IF(D2748="","",D2748/48)</f>
        <v>0</v>
      </c>
      <c r="D2748" s="26">
        <f>IF(A2748="","",ROUND((A2748-cfgDefasagem/1440)*48,0))</f>
        <v>0</v>
      </c>
      <c r="E2748" s="26">
        <f>IF(D2748="","",INT((D2748-cfgDeslocamento)/4))</f>
        <v>0</v>
      </c>
      <c r="F2748" s="26">
        <f>IF(D2748="","",MOD(D2748-cfgDeslocamento,4)+1)</f>
        <v>0</v>
      </c>
      <c r="G2748" s="26">
        <f>IF(A2748="","",IF(AND(ISNUMBER(B2748),B2748&lt;&gt;0),1,0))</f>
        <v>0</v>
      </c>
      <c r="H2748" s="25">
        <f>IF(E2748="","",(E2748*4+3+cfgDeslocamento)/48)</f>
        <v>0</v>
      </c>
    </row>
    <row r="2749" spans="1:8">
      <c r="A2749" s="24"/>
      <c r="B2749" s="19"/>
      <c r="C2749" s="25">
        <f>IF(D2749="","",D2749/48)</f>
        <v>0</v>
      </c>
      <c r="D2749" s="26">
        <f>IF(A2749="","",ROUND((A2749-cfgDefasagem/1440)*48,0))</f>
        <v>0</v>
      </c>
      <c r="E2749" s="26">
        <f>IF(D2749="","",INT((D2749-cfgDeslocamento)/4))</f>
        <v>0</v>
      </c>
      <c r="F2749" s="26">
        <f>IF(D2749="","",MOD(D2749-cfgDeslocamento,4)+1)</f>
        <v>0</v>
      </c>
      <c r="G2749" s="26">
        <f>IF(A2749="","",IF(AND(ISNUMBER(B2749),B2749&lt;&gt;0),1,0))</f>
        <v>0</v>
      </c>
      <c r="H2749" s="25">
        <f>IF(E2749="","",(E2749*4+3+cfgDeslocamento)/48)</f>
        <v>0</v>
      </c>
    </row>
    <row r="2750" spans="1:8">
      <c r="A2750" s="24"/>
      <c r="B2750" s="19"/>
      <c r="C2750" s="25">
        <f>IF(D2750="","",D2750/48)</f>
        <v>0</v>
      </c>
      <c r="D2750" s="26">
        <f>IF(A2750="","",ROUND((A2750-cfgDefasagem/1440)*48,0))</f>
        <v>0</v>
      </c>
      <c r="E2750" s="26">
        <f>IF(D2750="","",INT((D2750-cfgDeslocamento)/4))</f>
        <v>0</v>
      </c>
      <c r="F2750" s="26">
        <f>IF(D2750="","",MOD(D2750-cfgDeslocamento,4)+1)</f>
        <v>0</v>
      </c>
      <c r="G2750" s="26">
        <f>IF(A2750="","",IF(AND(ISNUMBER(B2750),B2750&lt;&gt;0),1,0))</f>
        <v>0</v>
      </c>
      <c r="H2750" s="25">
        <f>IF(E2750="","",(E2750*4+3+cfgDeslocamento)/48)</f>
        <v>0</v>
      </c>
    </row>
    <row r="2751" spans="1:8">
      <c r="A2751" s="24"/>
      <c r="B2751" s="19"/>
      <c r="C2751" s="25">
        <f>IF(D2751="","",D2751/48)</f>
        <v>0</v>
      </c>
      <c r="D2751" s="26">
        <f>IF(A2751="","",ROUND((A2751-cfgDefasagem/1440)*48,0))</f>
        <v>0</v>
      </c>
      <c r="E2751" s="26">
        <f>IF(D2751="","",INT((D2751-cfgDeslocamento)/4))</f>
        <v>0</v>
      </c>
      <c r="F2751" s="26">
        <f>IF(D2751="","",MOD(D2751-cfgDeslocamento,4)+1)</f>
        <v>0</v>
      </c>
      <c r="G2751" s="26">
        <f>IF(A2751="","",IF(AND(ISNUMBER(B2751),B2751&lt;&gt;0),1,0))</f>
        <v>0</v>
      </c>
      <c r="H2751" s="25">
        <f>IF(E2751="","",(E2751*4+3+cfgDeslocamento)/48)</f>
        <v>0</v>
      </c>
    </row>
    <row r="2752" spans="1:8">
      <c r="A2752" s="24"/>
      <c r="B2752" s="19"/>
      <c r="C2752" s="25">
        <f>IF(D2752="","",D2752/48)</f>
        <v>0</v>
      </c>
      <c r="D2752" s="26">
        <f>IF(A2752="","",ROUND((A2752-cfgDefasagem/1440)*48,0))</f>
        <v>0</v>
      </c>
      <c r="E2752" s="26">
        <f>IF(D2752="","",INT((D2752-cfgDeslocamento)/4))</f>
        <v>0</v>
      </c>
      <c r="F2752" s="26">
        <f>IF(D2752="","",MOD(D2752-cfgDeslocamento,4)+1)</f>
        <v>0</v>
      </c>
      <c r="G2752" s="26">
        <f>IF(A2752="","",IF(AND(ISNUMBER(B2752),B2752&lt;&gt;0),1,0))</f>
        <v>0</v>
      </c>
      <c r="H2752" s="25">
        <f>IF(E2752="","",(E2752*4+3+cfgDeslocamento)/48)</f>
        <v>0</v>
      </c>
    </row>
    <row r="2753" spans="1:8">
      <c r="A2753" s="24"/>
      <c r="B2753" s="19"/>
      <c r="C2753" s="25">
        <f>IF(D2753="","",D2753/48)</f>
        <v>0</v>
      </c>
      <c r="D2753" s="26">
        <f>IF(A2753="","",ROUND((A2753-cfgDefasagem/1440)*48,0))</f>
        <v>0</v>
      </c>
      <c r="E2753" s="26">
        <f>IF(D2753="","",INT((D2753-cfgDeslocamento)/4))</f>
        <v>0</v>
      </c>
      <c r="F2753" s="26">
        <f>IF(D2753="","",MOD(D2753-cfgDeslocamento,4)+1)</f>
        <v>0</v>
      </c>
      <c r="G2753" s="26">
        <f>IF(A2753="","",IF(AND(ISNUMBER(B2753),B2753&lt;&gt;0),1,0))</f>
        <v>0</v>
      </c>
      <c r="H2753" s="25">
        <f>IF(E2753="","",(E2753*4+3+cfgDeslocamento)/48)</f>
        <v>0</v>
      </c>
    </row>
    <row r="2754" spans="1:8">
      <c r="A2754" s="24"/>
      <c r="B2754" s="19"/>
      <c r="C2754" s="25">
        <f>IF(D2754="","",D2754/48)</f>
        <v>0</v>
      </c>
      <c r="D2754" s="26">
        <f>IF(A2754="","",ROUND((A2754-cfgDefasagem/1440)*48,0))</f>
        <v>0</v>
      </c>
      <c r="E2754" s="26">
        <f>IF(D2754="","",INT((D2754-cfgDeslocamento)/4))</f>
        <v>0</v>
      </c>
      <c r="F2754" s="26">
        <f>IF(D2754="","",MOD(D2754-cfgDeslocamento,4)+1)</f>
        <v>0</v>
      </c>
      <c r="G2754" s="26">
        <f>IF(A2754="","",IF(AND(ISNUMBER(B2754),B2754&lt;&gt;0),1,0))</f>
        <v>0</v>
      </c>
      <c r="H2754" s="25">
        <f>IF(E2754="","",(E2754*4+3+cfgDeslocamento)/48)</f>
        <v>0</v>
      </c>
    </row>
    <row r="2755" spans="1:8">
      <c r="A2755" s="24"/>
      <c r="B2755" s="19"/>
      <c r="C2755" s="25">
        <f>IF(D2755="","",D2755/48)</f>
        <v>0</v>
      </c>
      <c r="D2755" s="26">
        <f>IF(A2755="","",ROUND((A2755-cfgDefasagem/1440)*48,0))</f>
        <v>0</v>
      </c>
      <c r="E2755" s="26">
        <f>IF(D2755="","",INT((D2755-cfgDeslocamento)/4))</f>
        <v>0</v>
      </c>
      <c r="F2755" s="26">
        <f>IF(D2755="","",MOD(D2755-cfgDeslocamento,4)+1)</f>
        <v>0</v>
      </c>
      <c r="G2755" s="26">
        <f>IF(A2755="","",IF(AND(ISNUMBER(B2755),B2755&lt;&gt;0),1,0))</f>
        <v>0</v>
      </c>
      <c r="H2755" s="25">
        <f>IF(E2755="","",(E2755*4+3+cfgDeslocamento)/48)</f>
        <v>0</v>
      </c>
    </row>
    <row r="2756" spans="1:8">
      <c r="A2756" s="24"/>
      <c r="B2756" s="19"/>
      <c r="C2756" s="25">
        <f>IF(D2756="","",D2756/48)</f>
        <v>0</v>
      </c>
      <c r="D2756" s="26">
        <f>IF(A2756="","",ROUND((A2756-cfgDefasagem/1440)*48,0))</f>
        <v>0</v>
      </c>
      <c r="E2756" s="26">
        <f>IF(D2756="","",INT((D2756-cfgDeslocamento)/4))</f>
        <v>0</v>
      </c>
      <c r="F2756" s="26">
        <f>IF(D2756="","",MOD(D2756-cfgDeslocamento,4)+1)</f>
        <v>0</v>
      </c>
      <c r="G2756" s="26">
        <f>IF(A2756="","",IF(AND(ISNUMBER(B2756),B2756&lt;&gt;0),1,0))</f>
        <v>0</v>
      </c>
      <c r="H2756" s="25">
        <f>IF(E2756="","",(E2756*4+3+cfgDeslocamento)/48)</f>
        <v>0</v>
      </c>
    </row>
    <row r="2757" spans="1:8">
      <c r="A2757" s="24"/>
      <c r="B2757" s="19"/>
      <c r="C2757" s="25">
        <f>IF(D2757="","",D2757/48)</f>
        <v>0</v>
      </c>
      <c r="D2757" s="26">
        <f>IF(A2757="","",ROUND((A2757-cfgDefasagem/1440)*48,0))</f>
        <v>0</v>
      </c>
      <c r="E2757" s="26">
        <f>IF(D2757="","",INT((D2757-cfgDeslocamento)/4))</f>
        <v>0</v>
      </c>
      <c r="F2757" s="26">
        <f>IF(D2757="","",MOD(D2757-cfgDeslocamento,4)+1)</f>
        <v>0</v>
      </c>
      <c r="G2757" s="26">
        <f>IF(A2757="","",IF(AND(ISNUMBER(B2757),B2757&lt;&gt;0),1,0))</f>
        <v>0</v>
      </c>
      <c r="H2757" s="25">
        <f>IF(E2757="","",(E2757*4+3+cfgDeslocamento)/48)</f>
        <v>0</v>
      </c>
    </row>
    <row r="2758" spans="1:8">
      <c r="A2758" s="24"/>
      <c r="B2758" s="19"/>
      <c r="C2758" s="25">
        <f>IF(D2758="","",D2758/48)</f>
        <v>0</v>
      </c>
      <c r="D2758" s="26">
        <f>IF(A2758="","",ROUND((A2758-cfgDefasagem/1440)*48,0))</f>
        <v>0</v>
      </c>
      <c r="E2758" s="26">
        <f>IF(D2758="","",INT((D2758-cfgDeslocamento)/4))</f>
        <v>0</v>
      </c>
      <c r="F2758" s="26">
        <f>IF(D2758="","",MOD(D2758-cfgDeslocamento,4)+1)</f>
        <v>0</v>
      </c>
      <c r="G2758" s="26">
        <f>IF(A2758="","",IF(AND(ISNUMBER(B2758),B2758&lt;&gt;0),1,0))</f>
        <v>0</v>
      </c>
      <c r="H2758" s="25">
        <f>IF(E2758="","",(E2758*4+3+cfgDeslocamento)/48)</f>
        <v>0</v>
      </c>
    </row>
    <row r="2759" spans="1:8">
      <c r="A2759" s="24"/>
      <c r="B2759" s="19"/>
      <c r="C2759" s="25">
        <f>IF(D2759="","",D2759/48)</f>
        <v>0</v>
      </c>
      <c r="D2759" s="26">
        <f>IF(A2759="","",ROUND((A2759-cfgDefasagem/1440)*48,0))</f>
        <v>0</v>
      </c>
      <c r="E2759" s="26">
        <f>IF(D2759="","",INT((D2759-cfgDeslocamento)/4))</f>
        <v>0</v>
      </c>
      <c r="F2759" s="26">
        <f>IF(D2759="","",MOD(D2759-cfgDeslocamento,4)+1)</f>
        <v>0</v>
      </c>
      <c r="G2759" s="26">
        <f>IF(A2759="","",IF(AND(ISNUMBER(B2759),B2759&lt;&gt;0),1,0))</f>
        <v>0</v>
      </c>
      <c r="H2759" s="25">
        <f>IF(E2759="","",(E2759*4+3+cfgDeslocamento)/48)</f>
        <v>0</v>
      </c>
    </row>
    <row r="2760" spans="1:8">
      <c r="A2760" s="24"/>
      <c r="B2760" s="19"/>
      <c r="C2760" s="25">
        <f>IF(D2760="","",D2760/48)</f>
        <v>0</v>
      </c>
      <c r="D2760" s="26">
        <f>IF(A2760="","",ROUND((A2760-cfgDefasagem/1440)*48,0))</f>
        <v>0</v>
      </c>
      <c r="E2760" s="26">
        <f>IF(D2760="","",INT((D2760-cfgDeslocamento)/4))</f>
        <v>0</v>
      </c>
      <c r="F2760" s="26">
        <f>IF(D2760="","",MOD(D2760-cfgDeslocamento,4)+1)</f>
        <v>0</v>
      </c>
      <c r="G2760" s="26">
        <f>IF(A2760="","",IF(AND(ISNUMBER(B2760),B2760&lt;&gt;0),1,0))</f>
        <v>0</v>
      </c>
      <c r="H2760" s="25">
        <f>IF(E2760="","",(E2760*4+3+cfgDeslocamento)/48)</f>
        <v>0</v>
      </c>
    </row>
    <row r="2761" spans="1:8">
      <c r="A2761" s="24"/>
      <c r="B2761" s="19"/>
      <c r="C2761" s="25">
        <f>IF(D2761="","",D2761/48)</f>
        <v>0</v>
      </c>
      <c r="D2761" s="26">
        <f>IF(A2761="","",ROUND((A2761-cfgDefasagem/1440)*48,0))</f>
        <v>0</v>
      </c>
      <c r="E2761" s="26">
        <f>IF(D2761="","",INT((D2761-cfgDeslocamento)/4))</f>
        <v>0</v>
      </c>
      <c r="F2761" s="26">
        <f>IF(D2761="","",MOD(D2761-cfgDeslocamento,4)+1)</f>
        <v>0</v>
      </c>
      <c r="G2761" s="26">
        <f>IF(A2761="","",IF(AND(ISNUMBER(B2761),B2761&lt;&gt;0),1,0))</f>
        <v>0</v>
      </c>
      <c r="H2761" s="25">
        <f>IF(E2761="","",(E2761*4+3+cfgDeslocamento)/48)</f>
        <v>0</v>
      </c>
    </row>
    <row r="2762" spans="1:8">
      <c r="A2762" s="24"/>
      <c r="B2762" s="19"/>
      <c r="C2762" s="25">
        <f>IF(D2762="","",D2762/48)</f>
        <v>0</v>
      </c>
      <c r="D2762" s="26">
        <f>IF(A2762="","",ROUND((A2762-cfgDefasagem/1440)*48,0))</f>
        <v>0</v>
      </c>
      <c r="E2762" s="26">
        <f>IF(D2762="","",INT((D2762-cfgDeslocamento)/4))</f>
        <v>0</v>
      </c>
      <c r="F2762" s="26">
        <f>IF(D2762="","",MOD(D2762-cfgDeslocamento,4)+1)</f>
        <v>0</v>
      </c>
      <c r="G2762" s="26">
        <f>IF(A2762="","",IF(AND(ISNUMBER(B2762),B2762&lt;&gt;0),1,0))</f>
        <v>0</v>
      </c>
      <c r="H2762" s="25">
        <f>IF(E2762="","",(E2762*4+3+cfgDeslocamento)/48)</f>
        <v>0</v>
      </c>
    </row>
    <row r="2763" spans="1:8">
      <c r="A2763" s="24"/>
      <c r="B2763" s="19"/>
      <c r="C2763" s="25">
        <f>IF(D2763="","",D2763/48)</f>
        <v>0</v>
      </c>
      <c r="D2763" s="26">
        <f>IF(A2763="","",ROUND((A2763-cfgDefasagem/1440)*48,0))</f>
        <v>0</v>
      </c>
      <c r="E2763" s="26">
        <f>IF(D2763="","",INT((D2763-cfgDeslocamento)/4))</f>
        <v>0</v>
      </c>
      <c r="F2763" s="26">
        <f>IF(D2763="","",MOD(D2763-cfgDeslocamento,4)+1)</f>
        <v>0</v>
      </c>
      <c r="G2763" s="26">
        <f>IF(A2763="","",IF(AND(ISNUMBER(B2763),B2763&lt;&gt;0),1,0))</f>
        <v>0</v>
      </c>
      <c r="H2763" s="25">
        <f>IF(E2763="","",(E2763*4+3+cfgDeslocamento)/48)</f>
        <v>0</v>
      </c>
    </row>
    <row r="2764" spans="1:8">
      <c r="A2764" s="24"/>
      <c r="B2764" s="19"/>
      <c r="C2764" s="25">
        <f>IF(D2764="","",D2764/48)</f>
        <v>0</v>
      </c>
      <c r="D2764" s="26">
        <f>IF(A2764="","",ROUND((A2764-cfgDefasagem/1440)*48,0))</f>
        <v>0</v>
      </c>
      <c r="E2764" s="26">
        <f>IF(D2764="","",INT((D2764-cfgDeslocamento)/4))</f>
        <v>0</v>
      </c>
      <c r="F2764" s="26">
        <f>IF(D2764="","",MOD(D2764-cfgDeslocamento,4)+1)</f>
        <v>0</v>
      </c>
      <c r="G2764" s="26">
        <f>IF(A2764="","",IF(AND(ISNUMBER(B2764),B2764&lt;&gt;0),1,0))</f>
        <v>0</v>
      </c>
      <c r="H2764" s="25">
        <f>IF(E2764="","",(E2764*4+3+cfgDeslocamento)/48)</f>
        <v>0</v>
      </c>
    </row>
    <row r="2765" spans="1:8">
      <c r="A2765" s="24"/>
      <c r="B2765" s="19"/>
      <c r="C2765" s="25">
        <f>IF(D2765="","",D2765/48)</f>
        <v>0</v>
      </c>
      <c r="D2765" s="26">
        <f>IF(A2765="","",ROUND((A2765-cfgDefasagem/1440)*48,0))</f>
        <v>0</v>
      </c>
      <c r="E2765" s="26">
        <f>IF(D2765="","",INT((D2765-cfgDeslocamento)/4))</f>
        <v>0</v>
      </c>
      <c r="F2765" s="26">
        <f>IF(D2765="","",MOD(D2765-cfgDeslocamento,4)+1)</f>
        <v>0</v>
      </c>
      <c r="G2765" s="26">
        <f>IF(A2765="","",IF(AND(ISNUMBER(B2765),B2765&lt;&gt;0),1,0))</f>
        <v>0</v>
      </c>
      <c r="H2765" s="25">
        <f>IF(E2765="","",(E2765*4+3+cfgDeslocamento)/48)</f>
        <v>0</v>
      </c>
    </row>
    <row r="2766" spans="1:8">
      <c r="A2766" s="24"/>
      <c r="B2766" s="19"/>
      <c r="C2766" s="25">
        <f>IF(D2766="","",D2766/48)</f>
        <v>0</v>
      </c>
      <c r="D2766" s="26">
        <f>IF(A2766="","",ROUND((A2766-cfgDefasagem/1440)*48,0))</f>
        <v>0</v>
      </c>
      <c r="E2766" s="26">
        <f>IF(D2766="","",INT((D2766-cfgDeslocamento)/4))</f>
        <v>0</v>
      </c>
      <c r="F2766" s="26">
        <f>IF(D2766="","",MOD(D2766-cfgDeslocamento,4)+1)</f>
        <v>0</v>
      </c>
      <c r="G2766" s="26">
        <f>IF(A2766="","",IF(AND(ISNUMBER(B2766),B2766&lt;&gt;0),1,0))</f>
        <v>0</v>
      </c>
      <c r="H2766" s="25">
        <f>IF(E2766="","",(E2766*4+3+cfgDeslocamento)/48)</f>
        <v>0</v>
      </c>
    </row>
    <row r="2767" spans="1:8">
      <c r="A2767" s="24"/>
      <c r="B2767" s="19"/>
      <c r="C2767" s="25">
        <f>IF(D2767="","",D2767/48)</f>
        <v>0</v>
      </c>
      <c r="D2767" s="26">
        <f>IF(A2767="","",ROUND((A2767-cfgDefasagem/1440)*48,0))</f>
        <v>0</v>
      </c>
      <c r="E2767" s="26">
        <f>IF(D2767="","",INT((D2767-cfgDeslocamento)/4))</f>
        <v>0</v>
      </c>
      <c r="F2767" s="26">
        <f>IF(D2767="","",MOD(D2767-cfgDeslocamento,4)+1)</f>
        <v>0</v>
      </c>
      <c r="G2767" s="26">
        <f>IF(A2767="","",IF(AND(ISNUMBER(B2767),B2767&lt;&gt;0),1,0))</f>
        <v>0</v>
      </c>
      <c r="H2767" s="25">
        <f>IF(E2767="","",(E2767*4+3+cfgDeslocamento)/48)</f>
        <v>0</v>
      </c>
    </row>
    <row r="2768" spans="1:8">
      <c r="A2768" s="24"/>
      <c r="B2768" s="19"/>
      <c r="C2768" s="25">
        <f>IF(D2768="","",D2768/48)</f>
        <v>0</v>
      </c>
      <c r="D2768" s="26">
        <f>IF(A2768="","",ROUND((A2768-cfgDefasagem/1440)*48,0))</f>
        <v>0</v>
      </c>
      <c r="E2768" s="26">
        <f>IF(D2768="","",INT((D2768-cfgDeslocamento)/4))</f>
        <v>0</v>
      </c>
      <c r="F2768" s="26">
        <f>IF(D2768="","",MOD(D2768-cfgDeslocamento,4)+1)</f>
        <v>0</v>
      </c>
      <c r="G2768" s="26">
        <f>IF(A2768="","",IF(AND(ISNUMBER(B2768),B2768&lt;&gt;0),1,0))</f>
        <v>0</v>
      </c>
      <c r="H2768" s="25">
        <f>IF(E2768="","",(E2768*4+3+cfgDeslocamento)/48)</f>
        <v>0</v>
      </c>
    </row>
    <row r="2769" spans="1:8">
      <c r="A2769" s="24"/>
      <c r="B2769" s="19"/>
      <c r="C2769" s="25">
        <f>IF(D2769="","",D2769/48)</f>
        <v>0</v>
      </c>
      <c r="D2769" s="26">
        <f>IF(A2769="","",ROUND((A2769-cfgDefasagem/1440)*48,0))</f>
        <v>0</v>
      </c>
      <c r="E2769" s="26">
        <f>IF(D2769="","",INT((D2769-cfgDeslocamento)/4))</f>
        <v>0</v>
      </c>
      <c r="F2769" s="26">
        <f>IF(D2769="","",MOD(D2769-cfgDeslocamento,4)+1)</f>
        <v>0</v>
      </c>
      <c r="G2769" s="26">
        <f>IF(A2769="","",IF(AND(ISNUMBER(B2769),B2769&lt;&gt;0),1,0))</f>
        <v>0</v>
      </c>
      <c r="H2769" s="25">
        <f>IF(E2769="","",(E2769*4+3+cfgDeslocamento)/48)</f>
        <v>0</v>
      </c>
    </row>
    <row r="2770" spans="1:8">
      <c r="A2770" s="24"/>
      <c r="B2770" s="19"/>
      <c r="C2770" s="25">
        <f>IF(D2770="","",D2770/48)</f>
        <v>0</v>
      </c>
      <c r="D2770" s="26">
        <f>IF(A2770="","",ROUND((A2770-cfgDefasagem/1440)*48,0))</f>
        <v>0</v>
      </c>
      <c r="E2770" s="26">
        <f>IF(D2770="","",INT((D2770-cfgDeslocamento)/4))</f>
        <v>0</v>
      </c>
      <c r="F2770" s="26">
        <f>IF(D2770="","",MOD(D2770-cfgDeslocamento,4)+1)</f>
        <v>0</v>
      </c>
      <c r="G2770" s="26">
        <f>IF(A2770="","",IF(AND(ISNUMBER(B2770),B2770&lt;&gt;0),1,0))</f>
        <v>0</v>
      </c>
      <c r="H2770" s="25">
        <f>IF(E2770="","",(E2770*4+3+cfgDeslocamento)/48)</f>
        <v>0</v>
      </c>
    </row>
    <row r="2771" spans="1:8">
      <c r="A2771" s="24"/>
      <c r="B2771" s="19"/>
      <c r="C2771" s="25">
        <f>IF(D2771="","",D2771/48)</f>
        <v>0</v>
      </c>
      <c r="D2771" s="26">
        <f>IF(A2771="","",ROUND((A2771-cfgDefasagem/1440)*48,0))</f>
        <v>0</v>
      </c>
      <c r="E2771" s="26">
        <f>IF(D2771="","",INT((D2771-cfgDeslocamento)/4))</f>
        <v>0</v>
      </c>
      <c r="F2771" s="26">
        <f>IF(D2771="","",MOD(D2771-cfgDeslocamento,4)+1)</f>
        <v>0</v>
      </c>
      <c r="G2771" s="26">
        <f>IF(A2771="","",IF(AND(ISNUMBER(B2771),B2771&lt;&gt;0),1,0))</f>
        <v>0</v>
      </c>
      <c r="H2771" s="25">
        <f>IF(E2771="","",(E2771*4+3+cfgDeslocamento)/48)</f>
        <v>0</v>
      </c>
    </row>
    <row r="2772" spans="1:8">
      <c r="A2772" s="24"/>
      <c r="B2772" s="19"/>
      <c r="C2772" s="25">
        <f>IF(D2772="","",D2772/48)</f>
        <v>0</v>
      </c>
      <c r="D2772" s="26">
        <f>IF(A2772="","",ROUND((A2772-cfgDefasagem/1440)*48,0))</f>
        <v>0</v>
      </c>
      <c r="E2772" s="26">
        <f>IF(D2772="","",INT((D2772-cfgDeslocamento)/4))</f>
        <v>0</v>
      </c>
      <c r="F2772" s="26">
        <f>IF(D2772="","",MOD(D2772-cfgDeslocamento,4)+1)</f>
        <v>0</v>
      </c>
      <c r="G2772" s="26">
        <f>IF(A2772="","",IF(AND(ISNUMBER(B2772),B2772&lt;&gt;0),1,0))</f>
        <v>0</v>
      </c>
      <c r="H2772" s="25">
        <f>IF(E2772="","",(E2772*4+3+cfgDeslocamento)/48)</f>
        <v>0</v>
      </c>
    </row>
    <row r="2773" spans="1:8">
      <c r="A2773" s="24"/>
      <c r="B2773" s="19"/>
      <c r="C2773" s="25">
        <f>IF(D2773="","",D2773/48)</f>
        <v>0</v>
      </c>
      <c r="D2773" s="26">
        <f>IF(A2773="","",ROUND((A2773-cfgDefasagem/1440)*48,0))</f>
        <v>0</v>
      </c>
      <c r="E2773" s="26">
        <f>IF(D2773="","",INT((D2773-cfgDeslocamento)/4))</f>
        <v>0</v>
      </c>
      <c r="F2773" s="26">
        <f>IF(D2773="","",MOD(D2773-cfgDeslocamento,4)+1)</f>
        <v>0</v>
      </c>
      <c r="G2773" s="26">
        <f>IF(A2773="","",IF(AND(ISNUMBER(B2773),B2773&lt;&gt;0),1,0))</f>
        <v>0</v>
      </c>
      <c r="H2773" s="25">
        <f>IF(E2773="","",(E2773*4+3+cfgDeslocamento)/48)</f>
        <v>0</v>
      </c>
    </row>
    <row r="2774" spans="1:8">
      <c r="A2774" s="24"/>
      <c r="B2774" s="19"/>
      <c r="C2774" s="25">
        <f>IF(D2774="","",D2774/48)</f>
        <v>0</v>
      </c>
      <c r="D2774" s="26">
        <f>IF(A2774="","",ROUND((A2774-cfgDefasagem/1440)*48,0))</f>
        <v>0</v>
      </c>
      <c r="E2774" s="26">
        <f>IF(D2774="","",INT((D2774-cfgDeslocamento)/4))</f>
        <v>0</v>
      </c>
      <c r="F2774" s="26">
        <f>IF(D2774="","",MOD(D2774-cfgDeslocamento,4)+1)</f>
        <v>0</v>
      </c>
      <c r="G2774" s="26">
        <f>IF(A2774="","",IF(AND(ISNUMBER(B2774),B2774&lt;&gt;0),1,0))</f>
        <v>0</v>
      </c>
      <c r="H2774" s="25">
        <f>IF(E2774="","",(E2774*4+3+cfgDeslocamento)/48)</f>
        <v>0</v>
      </c>
    </row>
    <row r="2775" spans="1:8">
      <c r="A2775" s="24"/>
      <c r="B2775" s="19"/>
      <c r="C2775" s="25">
        <f>IF(D2775="","",D2775/48)</f>
        <v>0</v>
      </c>
      <c r="D2775" s="26">
        <f>IF(A2775="","",ROUND((A2775-cfgDefasagem/1440)*48,0))</f>
        <v>0</v>
      </c>
      <c r="E2775" s="26">
        <f>IF(D2775="","",INT((D2775-cfgDeslocamento)/4))</f>
        <v>0</v>
      </c>
      <c r="F2775" s="26">
        <f>IF(D2775="","",MOD(D2775-cfgDeslocamento,4)+1)</f>
        <v>0</v>
      </c>
      <c r="G2775" s="26">
        <f>IF(A2775="","",IF(AND(ISNUMBER(B2775),B2775&lt;&gt;0),1,0))</f>
        <v>0</v>
      </c>
      <c r="H2775" s="25">
        <f>IF(E2775="","",(E2775*4+3+cfgDeslocamento)/48)</f>
        <v>0</v>
      </c>
    </row>
    <row r="2776" spans="1:8">
      <c r="A2776" s="24"/>
      <c r="B2776" s="19"/>
      <c r="C2776" s="25">
        <f>IF(D2776="","",D2776/48)</f>
        <v>0</v>
      </c>
      <c r="D2776" s="26">
        <f>IF(A2776="","",ROUND((A2776-cfgDefasagem/1440)*48,0))</f>
        <v>0</v>
      </c>
      <c r="E2776" s="26">
        <f>IF(D2776="","",INT((D2776-cfgDeslocamento)/4))</f>
        <v>0</v>
      </c>
      <c r="F2776" s="26">
        <f>IF(D2776="","",MOD(D2776-cfgDeslocamento,4)+1)</f>
        <v>0</v>
      </c>
      <c r="G2776" s="26">
        <f>IF(A2776="","",IF(AND(ISNUMBER(B2776),B2776&lt;&gt;0),1,0))</f>
        <v>0</v>
      </c>
      <c r="H2776" s="25">
        <f>IF(E2776="","",(E2776*4+3+cfgDeslocamento)/48)</f>
        <v>0</v>
      </c>
    </row>
    <row r="2777" spans="1:8">
      <c r="A2777" s="24"/>
      <c r="B2777" s="19"/>
      <c r="C2777" s="25">
        <f>IF(D2777="","",D2777/48)</f>
        <v>0</v>
      </c>
      <c r="D2777" s="26">
        <f>IF(A2777="","",ROUND((A2777-cfgDefasagem/1440)*48,0))</f>
        <v>0</v>
      </c>
      <c r="E2777" s="26">
        <f>IF(D2777="","",INT((D2777-cfgDeslocamento)/4))</f>
        <v>0</v>
      </c>
      <c r="F2777" s="26">
        <f>IF(D2777="","",MOD(D2777-cfgDeslocamento,4)+1)</f>
        <v>0</v>
      </c>
      <c r="G2777" s="26">
        <f>IF(A2777="","",IF(AND(ISNUMBER(B2777),B2777&lt;&gt;0),1,0))</f>
        <v>0</v>
      </c>
      <c r="H2777" s="25">
        <f>IF(E2777="","",(E2777*4+3+cfgDeslocamento)/48)</f>
        <v>0</v>
      </c>
    </row>
    <row r="2778" spans="1:8">
      <c r="A2778" s="24"/>
      <c r="B2778" s="19"/>
      <c r="C2778" s="25">
        <f>IF(D2778="","",D2778/48)</f>
        <v>0</v>
      </c>
      <c r="D2778" s="26">
        <f>IF(A2778="","",ROUND((A2778-cfgDefasagem/1440)*48,0))</f>
        <v>0</v>
      </c>
      <c r="E2778" s="26">
        <f>IF(D2778="","",INT((D2778-cfgDeslocamento)/4))</f>
        <v>0</v>
      </c>
      <c r="F2778" s="26">
        <f>IF(D2778="","",MOD(D2778-cfgDeslocamento,4)+1)</f>
        <v>0</v>
      </c>
      <c r="G2778" s="26">
        <f>IF(A2778="","",IF(AND(ISNUMBER(B2778),B2778&lt;&gt;0),1,0))</f>
        <v>0</v>
      </c>
      <c r="H2778" s="25">
        <f>IF(E2778="","",(E2778*4+3+cfgDeslocamento)/48)</f>
        <v>0</v>
      </c>
    </row>
    <row r="2779" spans="1:8">
      <c r="A2779" s="24"/>
      <c r="B2779" s="19"/>
      <c r="C2779" s="25">
        <f>IF(D2779="","",D2779/48)</f>
        <v>0</v>
      </c>
      <c r="D2779" s="26">
        <f>IF(A2779="","",ROUND((A2779-cfgDefasagem/1440)*48,0))</f>
        <v>0</v>
      </c>
      <c r="E2779" s="26">
        <f>IF(D2779="","",INT((D2779-cfgDeslocamento)/4))</f>
        <v>0</v>
      </c>
      <c r="F2779" s="26">
        <f>IF(D2779="","",MOD(D2779-cfgDeslocamento,4)+1)</f>
        <v>0</v>
      </c>
      <c r="G2779" s="26">
        <f>IF(A2779="","",IF(AND(ISNUMBER(B2779),B2779&lt;&gt;0),1,0))</f>
        <v>0</v>
      </c>
      <c r="H2779" s="25">
        <f>IF(E2779="","",(E2779*4+3+cfgDeslocamento)/48)</f>
        <v>0</v>
      </c>
    </row>
    <row r="2780" spans="1:8">
      <c r="A2780" s="24"/>
      <c r="B2780" s="19"/>
      <c r="C2780" s="25">
        <f>IF(D2780="","",D2780/48)</f>
        <v>0</v>
      </c>
      <c r="D2780" s="26">
        <f>IF(A2780="","",ROUND((A2780-cfgDefasagem/1440)*48,0))</f>
        <v>0</v>
      </c>
      <c r="E2780" s="26">
        <f>IF(D2780="","",INT((D2780-cfgDeslocamento)/4))</f>
        <v>0</v>
      </c>
      <c r="F2780" s="26">
        <f>IF(D2780="","",MOD(D2780-cfgDeslocamento,4)+1)</f>
        <v>0</v>
      </c>
      <c r="G2780" s="26">
        <f>IF(A2780="","",IF(AND(ISNUMBER(B2780),B2780&lt;&gt;0),1,0))</f>
        <v>0</v>
      </c>
      <c r="H2780" s="25">
        <f>IF(E2780="","",(E2780*4+3+cfgDeslocamento)/48)</f>
        <v>0</v>
      </c>
    </row>
    <row r="2781" spans="1:8">
      <c r="A2781" s="24"/>
      <c r="B2781" s="19"/>
      <c r="C2781" s="25">
        <f>IF(D2781="","",D2781/48)</f>
        <v>0</v>
      </c>
      <c r="D2781" s="26">
        <f>IF(A2781="","",ROUND((A2781-cfgDefasagem/1440)*48,0))</f>
        <v>0</v>
      </c>
      <c r="E2781" s="26">
        <f>IF(D2781="","",INT((D2781-cfgDeslocamento)/4))</f>
        <v>0</v>
      </c>
      <c r="F2781" s="26">
        <f>IF(D2781="","",MOD(D2781-cfgDeslocamento,4)+1)</f>
        <v>0</v>
      </c>
      <c r="G2781" s="26">
        <f>IF(A2781="","",IF(AND(ISNUMBER(B2781),B2781&lt;&gt;0),1,0))</f>
        <v>0</v>
      </c>
      <c r="H2781" s="25">
        <f>IF(E2781="","",(E2781*4+3+cfgDeslocamento)/48)</f>
        <v>0</v>
      </c>
    </row>
    <row r="2782" spans="1:8">
      <c r="A2782" s="24"/>
      <c r="B2782" s="19"/>
      <c r="C2782" s="25">
        <f>IF(D2782="","",D2782/48)</f>
        <v>0</v>
      </c>
      <c r="D2782" s="26">
        <f>IF(A2782="","",ROUND((A2782-cfgDefasagem/1440)*48,0))</f>
        <v>0</v>
      </c>
      <c r="E2782" s="26">
        <f>IF(D2782="","",INT((D2782-cfgDeslocamento)/4))</f>
        <v>0</v>
      </c>
      <c r="F2782" s="26">
        <f>IF(D2782="","",MOD(D2782-cfgDeslocamento,4)+1)</f>
        <v>0</v>
      </c>
      <c r="G2782" s="26">
        <f>IF(A2782="","",IF(AND(ISNUMBER(B2782),B2782&lt;&gt;0),1,0))</f>
        <v>0</v>
      </c>
      <c r="H2782" s="25">
        <f>IF(E2782="","",(E2782*4+3+cfgDeslocamento)/48)</f>
        <v>0</v>
      </c>
    </row>
    <row r="2783" spans="1:8">
      <c r="A2783" s="24"/>
      <c r="B2783" s="19"/>
      <c r="C2783" s="25">
        <f>IF(D2783="","",D2783/48)</f>
        <v>0</v>
      </c>
      <c r="D2783" s="26">
        <f>IF(A2783="","",ROUND((A2783-cfgDefasagem/1440)*48,0))</f>
        <v>0</v>
      </c>
      <c r="E2783" s="26">
        <f>IF(D2783="","",INT((D2783-cfgDeslocamento)/4))</f>
        <v>0</v>
      </c>
      <c r="F2783" s="26">
        <f>IF(D2783="","",MOD(D2783-cfgDeslocamento,4)+1)</f>
        <v>0</v>
      </c>
      <c r="G2783" s="26">
        <f>IF(A2783="","",IF(AND(ISNUMBER(B2783),B2783&lt;&gt;0),1,0))</f>
        <v>0</v>
      </c>
      <c r="H2783" s="25">
        <f>IF(E2783="","",(E2783*4+3+cfgDeslocamento)/48)</f>
        <v>0</v>
      </c>
    </row>
    <row r="2784" spans="1:8">
      <c r="A2784" s="24"/>
      <c r="B2784" s="19"/>
      <c r="C2784" s="25">
        <f>IF(D2784="","",D2784/48)</f>
        <v>0</v>
      </c>
      <c r="D2784" s="26">
        <f>IF(A2784="","",ROUND((A2784-cfgDefasagem/1440)*48,0))</f>
        <v>0</v>
      </c>
      <c r="E2784" s="26">
        <f>IF(D2784="","",INT((D2784-cfgDeslocamento)/4))</f>
        <v>0</v>
      </c>
      <c r="F2784" s="26">
        <f>IF(D2784="","",MOD(D2784-cfgDeslocamento,4)+1)</f>
        <v>0</v>
      </c>
      <c r="G2784" s="26">
        <f>IF(A2784="","",IF(AND(ISNUMBER(B2784),B2784&lt;&gt;0),1,0))</f>
        <v>0</v>
      </c>
      <c r="H2784" s="25">
        <f>IF(E2784="","",(E2784*4+3+cfgDeslocamento)/48)</f>
        <v>0</v>
      </c>
    </row>
    <row r="2785" spans="1:8">
      <c r="A2785" s="24"/>
      <c r="B2785" s="19"/>
      <c r="C2785" s="25">
        <f>IF(D2785="","",D2785/48)</f>
        <v>0</v>
      </c>
      <c r="D2785" s="26">
        <f>IF(A2785="","",ROUND((A2785-cfgDefasagem/1440)*48,0))</f>
        <v>0</v>
      </c>
      <c r="E2785" s="26">
        <f>IF(D2785="","",INT((D2785-cfgDeslocamento)/4))</f>
        <v>0</v>
      </c>
      <c r="F2785" s="26">
        <f>IF(D2785="","",MOD(D2785-cfgDeslocamento,4)+1)</f>
        <v>0</v>
      </c>
      <c r="G2785" s="26">
        <f>IF(A2785="","",IF(AND(ISNUMBER(B2785),B2785&lt;&gt;0),1,0))</f>
        <v>0</v>
      </c>
      <c r="H2785" s="25">
        <f>IF(E2785="","",(E2785*4+3+cfgDeslocamento)/48)</f>
        <v>0</v>
      </c>
    </row>
    <row r="2786" spans="1:8">
      <c r="A2786" s="24"/>
      <c r="B2786" s="19"/>
      <c r="C2786" s="25">
        <f>IF(D2786="","",D2786/48)</f>
        <v>0</v>
      </c>
      <c r="D2786" s="26">
        <f>IF(A2786="","",ROUND((A2786-cfgDefasagem/1440)*48,0))</f>
        <v>0</v>
      </c>
      <c r="E2786" s="26">
        <f>IF(D2786="","",INT((D2786-cfgDeslocamento)/4))</f>
        <v>0</v>
      </c>
      <c r="F2786" s="26">
        <f>IF(D2786="","",MOD(D2786-cfgDeslocamento,4)+1)</f>
        <v>0</v>
      </c>
      <c r="G2786" s="26">
        <f>IF(A2786="","",IF(AND(ISNUMBER(B2786),B2786&lt;&gt;0),1,0))</f>
        <v>0</v>
      </c>
      <c r="H2786" s="25">
        <f>IF(E2786="","",(E2786*4+3+cfgDeslocamento)/48)</f>
        <v>0</v>
      </c>
    </row>
    <row r="2787" spans="1:8">
      <c r="A2787" s="24"/>
      <c r="B2787" s="19"/>
      <c r="C2787" s="25">
        <f>IF(D2787="","",D2787/48)</f>
        <v>0</v>
      </c>
      <c r="D2787" s="26">
        <f>IF(A2787="","",ROUND((A2787-cfgDefasagem/1440)*48,0))</f>
        <v>0</v>
      </c>
      <c r="E2787" s="26">
        <f>IF(D2787="","",INT((D2787-cfgDeslocamento)/4))</f>
        <v>0</v>
      </c>
      <c r="F2787" s="26">
        <f>IF(D2787="","",MOD(D2787-cfgDeslocamento,4)+1)</f>
        <v>0</v>
      </c>
      <c r="G2787" s="26">
        <f>IF(A2787="","",IF(AND(ISNUMBER(B2787),B2787&lt;&gt;0),1,0))</f>
        <v>0</v>
      </c>
      <c r="H2787" s="25">
        <f>IF(E2787="","",(E2787*4+3+cfgDeslocamento)/48)</f>
        <v>0</v>
      </c>
    </row>
    <row r="2788" spans="1:8">
      <c r="A2788" s="24"/>
      <c r="B2788" s="19"/>
      <c r="C2788" s="25">
        <f>IF(D2788="","",D2788/48)</f>
        <v>0</v>
      </c>
      <c r="D2788" s="26">
        <f>IF(A2788="","",ROUND((A2788-cfgDefasagem/1440)*48,0))</f>
        <v>0</v>
      </c>
      <c r="E2788" s="26">
        <f>IF(D2788="","",INT((D2788-cfgDeslocamento)/4))</f>
        <v>0</v>
      </c>
      <c r="F2788" s="26">
        <f>IF(D2788="","",MOD(D2788-cfgDeslocamento,4)+1)</f>
        <v>0</v>
      </c>
      <c r="G2788" s="26">
        <f>IF(A2788="","",IF(AND(ISNUMBER(B2788),B2788&lt;&gt;0),1,0))</f>
        <v>0</v>
      </c>
      <c r="H2788" s="25">
        <f>IF(E2788="","",(E2788*4+3+cfgDeslocamento)/48)</f>
        <v>0</v>
      </c>
    </row>
    <row r="2789" spans="1:8">
      <c r="A2789" s="24"/>
      <c r="B2789" s="19"/>
      <c r="C2789" s="25">
        <f>IF(D2789="","",D2789/48)</f>
        <v>0</v>
      </c>
      <c r="D2789" s="26">
        <f>IF(A2789="","",ROUND((A2789-cfgDefasagem/1440)*48,0))</f>
        <v>0</v>
      </c>
      <c r="E2789" s="26">
        <f>IF(D2789="","",INT((D2789-cfgDeslocamento)/4))</f>
        <v>0</v>
      </c>
      <c r="F2789" s="26">
        <f>IF(D2789="","",MOD(D2789-cfgDeslocamento,4)+1)</f>
        <v>0</v>
      </c>
      <c r="G2789" s="26">
        <f>IF(A2789="","",IF(AND(ISNUMBER(B2789),B2789&lt;&gt;0),1,0))</f>
        <v>0</v>
      </c>
      <c r="H2789" s="25">
        <f>IF(E2789="","",(E2789*4+3+cfgDeslocamento)/48)</f>
        <v>0</v>
      </c>
    </row>
    <row r="2790" spans="1:8">
      <c r="A2790" s="24"/>
      <c r="B2790" s="19"/>
      <c r="C2790" s="25">
        <f>IF(D2790="","",D2790/48)</f>
        <v>0</v>
      </c>
      <c r="D2790" s="26">
        <f>IF(A2790="","",ROUND((A2790-cfgDefasagem/1440)*48,0))</f>
        <v>0</v>
      </c>
      <c r="E2790" s="26">
        <f>IF(D2790="","",INT((D2790-cfgDeslocamento)/4))</f>
        <v>0</v>
      </c>
      <c r="F2790" s="26">
        <f>IF(D2790="","",MOD(D2790-cfgDeslocamento,4)+1)</f>
        <v>0</v>
      </c>
      <c r="G2790" s="26">
        <f>IF(A2790="","",IF(AND(ISNUMBER(B2790),B2790&lt;&gt;0),1,0))</f>
        <v>0</v>
      </c>
      <c r="H2790" s="25">
        <f>IF(E2790="","",(E2790*4+3+cfgDeslocamento)/48)</f>
        <v>0</v>
      </c>
    </row>
    <row r="2791" spans="1:8">
      <c r="A2791" s="24"/>
      <c r="B2791" s="19"/>
      <c r="C2791" s="25">
        <f>IF(D2791="","",D2791/48)</f>
        <v>0</v>
      </c>
      <c r="D2791" s="26">
        <f>IF(A2791="","",ROUND((A2791-cfgDefasagem/1440)*48,0))</f>
        <v>0</v>
      </c>
      <c r="E2791" s="26">
        <f>IF(D2791="","",INT((D2791-cfgDeslocamento)/4))</f>
        <v>0</v>
      </c>
      <c r="F2791" s="26">
        <f>IF(D2791="","",MOD(D2791-cfgDeslocamento,4)+1)</f>
        <v>0</v>
      </c>
      <c r="G2791" s="26">
        <f>IF(A2791="","",IF(AND(ISNUMBER(B2791),B2791&lt;&gt;0),1,0))</f>
        <v>0</v>
      </c>
      <c r="H2791" s="25">
        <f>IF(E2791="","",(E2791*4+3+cfgDeslocamento)/48)</f>
        <v>0</v>
      </c>
    </row>
    <row r="2792" spans="1:8">
      <c r="A2792" s="24"/>
      <c r="B2792" s="19"/>
      <c r="C2792" s="25">
        <f>IF(D2792="","",D2792/48)</f>
        <v>0</v>
      </c>
      <c r="D2792" s="26">
        <f>IF(A2792="","",ROUND((A2792-cfgDefasagem/1440)*48,0))</f>
        <v>0</v>
      </c>
      <c r="E2792" s="26">
        <f>IF(D2792="","",INT((D2792-cfgDeslocamento)/4))</f>
        <v>0</v>
      </c>
      <c r="F2792" s="26">
        <f>IF(D2792="","",MOD(D2792-cfgDeslocamento,4)+1)</f>
        <v>0</v>
      </c>
      <c r="G2792" s="26">
        <f>IF(A2792="","",IF(AND(ISNUMBER(B2792),B2792&lt;&gt;0),1,0))</f>
        <v>0</v>
      </c>
      <c r="H2792" s="25">
        <f>IF(E2792="","",(E2792*4+3+cfgDeslocamento)/48)</f>
        <v>0</v>
      </c>
    </row>
    <row r="2793" spans="1:8">
      <c r="A2793" s="24"/>
      <c r="B2793" s="19"/>
      <c r="C2793" s="25">
        <f>IF(D2793="","",D2793/48)</f>
        <v>0</v>
      </c>
      <c r="D2793" s="26">
        <f>IF(A2793="","",ROUND((A2793-cfgDefasagem/1440)*48,0))</f>
        <v>0</v>
      </c>
      <c r="E2793" s="26">
        <f>IF(D2793="","",INT((D2793-cfgDeslocamento)/4))</f>
        <v>0</v>
      </c>
      <c r="F2793" s="26">
        <f>IF(D2793="","",MOD(D2793-cfgDeslocamento,4)+1)</f>
        <v>0</v>
      </c>
      <c r="G2793" s="26">
        <f>IF(A2793="","",IF(AND(ISNUMBER(B2793),B2793&lt;&gt;0),1,0))</f>
        <v>0</v>
      </c>
      <c r="H2793" s="25">
        <f>IF(E2793="","",(E2793*4+3+cfgDeslocamento)/48)</f>
        <v>0</v>
      </c>
    </row>
    <row r="2794" spans="1:8">
      <c r="A2794" s="24"/>
      <c r="B2794" s="19"/>
      <c r="C2794" s="25">
        <f>IF(D2794="","",D2794/48)</f>
        <v>0</v>
      </c>
      <c r="D2794" s="26">
        <f>IF(A2794="","",ROUND((A2794-cfgDefasagem/1440)*48,0))</f>
        <v>0</v>
      </c>
      <c r="E2794" s="26">
        <f>IF(D2794="","",INT((D2794-cfgDeslocamento)/4))</f>
        <v>0</v>
      </c>
      <c r="F2794" s="26">
        <f>IF(D2794="","",MOD(D2794-cfgDeslocamento,4)+1)</f>
        <v>0</v>
      </c>
      <c r="G2794" s="26">
        <f>IF(A2794="","",IF(AND(ISNUMBER(B2794),B2794&lt;&gt;0),1,0))</f>
        <v>0</v>
      </c>
      <c r="H2794" s="25">
        <f>IF(E2794="","",(E2794*4+3+cfgDeslocamento)/48)</f>
        <v>0</v>
      </c>
    </row>
    <row r="2795" spans="1:8">
      <c r="A2795" s="24"/>
      <c r="B2795" s="19"/>
      <c r="C2795" s="25">
        <f>IF(D2795="","",D2795/48)</f>
        <v>0</v>
      </c>
      <c r="D2795" s="26">
        <f>IF(A2795="","",ROUND((A2795-cfgDefasagem/1440)*48,0))</f>
        <v>0</v>
      </c>
      <c r="E2795" s="26">
        <f>IF(D2795="","",INT((D2795-cfgDeslocamento)/4))</f>
        <v>0</v>
      </c>
      <c r="F2795" s="26">
        <f>IF(D2795="","",MOD(D2795-cfgDeslocamento,4)+1)</f>
        <v>0</v>
      </c>
      <c r="G2795" s="26">
        <f>IF(A2795="","",IF(AND(ISNUMBER(B2795),B2795&lt;&gt;0),1,0))</f>
        <v>0</v>
      </c>
      <c r="H2795" s="25">
        <f>IF(E2795="","",(E2795*4+3+cfgDeslocamento)/48)</f>
        <v>0</v>
      </c>
    </row>
    <row r="2796" spans="1:8">
      <c r="A2796" s="24"/>
      <c r="B2796" s="19"/>
      <c r="C2796" s="25">
        <f>IF(D2796="","",D2796/48)</f>
        <v>0</v>
      </c>
      <c r="D2796" s="26">
        <f>IF(A2796="","",ROUND((A2796-cfgDefasagem/1440)*48,0))</f>
        <v>0</v>
      </c>
      <c r="E2796" s="26">
        <f>IF(D2796="","",INT((D2796-cfgDeslocamento)/4))</f>
        <v>0</v>
      </c>
      <c r="F2796" s="26">
        <f>IF(D2796="","",MOD(D2796-cfgDeslocamento,4)+1)</f>
        <v>0</v>
      </c>
      <c r="G2796" s="26">
        <f>IF(A2796="","",IF(AND(ISNUMBER(B2796),B2796&lt;&gt;0),1,0))</f>
        <v>0</v>
      </c>
      <c r="H2796" s="25">
        <f>IF(E2796="","",(E2796*4+3+cfgDeslocamento)/48)</f>
        <v>0</v>
      </c>
    </row>
    <row r="2797" spans="1:8">
      <c r="A2797" s="24"/>
      <c r="B2797" s="19"/>
      <c r="C2797" s="25">
        <f>IF(D2797="","",D2797/48)</f>
        <v>0</v>
      </c>
      <c r="D2797" s="26">
        <f>IF(A2797="","",ROUND((A2797-cfgDefasagem/1440)*48,0))</f>
        <v>0</v>
      </c>
      <c r="E2797" s="26">
        <f>IF(D2797="","",INT((D2797-cfgDeslocamento)/4))</f>
        <v>0</v>
      </c>
      <c r="F2797" s="26">
        <f>IF(D2797="","",MOD(D2797-cfgDeslocamento,4)+1)</f>
        <v>0</v>
      </c>
      <c r="G2797" s="26">
        <f>IF(A2797="","",IF(AND(ISNUMBER(B2797),B2797&lt;&gt;0),1,0))</f>
        <v>0</v>
      </c>
      <c r="H2797" s="25">
        <f>IF(E2797="","",(E2797*4+3+cfgDeslocamento)/48)</f>
        <v>0</v>
      </c>
    </row>
    <row r="2798" spans="1:8">
      <c r="A2798" s="24"/>
      <c r="B2798" s="19"/>
      <c r="C2798" s="25">
        <f>IF(D2798="","",D2798/48)</f>
        <v>0</v>
      </c>
      <c r="D2798" s="26">
        <f>IF(A2798="","",ROUND((A2798-cfgDefasagem/1440)*48,0))</f>
        <v>0</v>
      </c>
      <c r="E2798" s="26">
        <f>IF(D2798="","",INT((D2798-cfgDeslocamento)/4))</f>
        <v>0</v>
      </c>
      <c r="F2798" s="26">
        <f>IF(D2798="","",MOD(D2798-cfgDeslocamento,4)+1)</f>
        <v>0</v>
      </c>
      <c r="G2798" s="26">
        <f>IF(A2798="","",IF(AND(ISNUMBER(B2798),B2798&lt;&gt;0),1,0))</f>
        <v>0</v>
      </c>
      <c r="H2798" s="25">
        <f>IF(E2798="","",(E2798*4+3+cfgDeslocamento)/48)</f>
        <v>0</v>
      </c>
    </row>
    <row r="2799" spans="1:8">
      <c r="A2799" s="24"/>
      <c r="B2799" s="19"/>
      <c r="C2799" s="25">
        <f>IF(D2799="","",D2799/48)</f>
        <v>0</v>
      </c>
      <c r="D2799" s="26">
        <f>IF(A2799="","",ROUND((A2799-cfgDefasagem/1440)*48,0))</f>
        <v>0</v>
      </c>
      <c r="E2799" s="26">
        <f>IF(D2799="","",INT((D2799-cfgDeslocamento)/4))</f>
        <v>0</v>
      </c>
      <c r="F2799" s="26">
        <f>IF(D2799="","",MOD(D2799-cfgDeslocamento,4)+1)</f>
        <v>0</v>
      </c>
      <c r="G2799" s="26">
        <f>IF(A2799="","",IF(AND(ISNUMBER(B2799),B2799&lt;&gt;0),1,0))</f>
        <v>0</v>
      </c>
      <c r="H2799" s="25">
        <f>IF(E2799="","",(E2799*4+3+cfgDeslocamento)/48)</f>
        <v>0</v>
      </c>
    </row>
    <row r="2800" spans="1:8">
      <c r="A2800" s="24"/>
      <c r="B2800" s="19"/>
      <c r="C2800" s="25">
        <f>IF(D2800="","",D2800/48)</f>
        <v>0</v>
      </c>
      <c r="D2800" s="26">
        <f>IF(A2800="","",ROUND((A2800-cfgDefasagem/1440)*48,0))</f>
        <v>0</v>
      </c>
      <c r="E2800" s="26">
        <f>IF(D2800="","",INT((D2800-cfgDeslocamento)/4))</f>
        <v>0</v>
      </c>
      <c r="F2800" s="26">
        <f>IF(D2800="","",MOD(D2800-cfgDeslocamento,4)+1)</f>
        <v>0</v>
      </c>
      <c r="G2800" s="26">
        <f>IF(A2800="","",IF(AND(ISNUMBER(B2800),B2800&lt;&gt;0),1,0))</f>
        <v>0</v>
      </c>
      <c r="H2800" s="25">
        <f>IF(E2800="","",(E2800*4+3+cfgDeslocamento)/48)</f>
        <v>0</v>
      </c>
    </row>
    <row r="2801" spans="1:8">
      <c r="A2801" s="24"/>
      <c r="B2801" s="19"/>
      <c r="C2801" s="25">
        <f>IF(D2801="","",D2801/48)</f>
        <v>0</v>
      </c>
      <c r="D2801" s="26">
        <f>IF(A2801="","",ROUND((A2801-cfgDefasagem/1440)*48,0))</f>
        <v>0</v>
      </c>
      <c r="E2801" s="26">
        <f>IF(D2801="","",INT((D2801-cfgDeslocamento)/4))</f>
        <v>0</v>
      </c>
      <c r="F2801" s="26">
        <f>IF(D2801="","",MOD(D2801-cfgDeslocamento,4)+1)</f>
        <v>0</v>
      </c>
      <c r="G2801" s="26">
        <f>IF(A2801="","",IF(AND(ISNUMBER(B2801),B2801&lt;&gt;0),1,0))</f>
        <v>0</v>
      </c>
      <c r="H2801" s="25">
        <f>IF(E2801="","",(E2801*4+3+cfgDeslocamento)/48)</f>
        <v>0</v>
      </c>
    </row>
    <row r="2802" spans="1:8">
      <c r="A2802" s="24"/>
      <c r="B2802" s="19"/>
      <c r="C2802" s="25">
        <f>IF(D2802="","",D2802/48)</f>
        <v>0</v>
      </c>
      <c r="D2802" s="26">
        <f>IF(A2802="","",ROUND((A2802-cfgDefasagem/1440)*48,0))</f>
        <v>0</v>
      </c>
      <c r="E2802" s="26">
        <f>IF(D2802="","",INT((D2802-cfgDeslocamento)/4))</f>
        <v>0</v>
      </c>
      <c r="F2802" s="26">
        <f>IF(D2802="","",MOD(D2802-cfgDeslocamento,4)+1)</f>
        <v>0</v>
      </c>
      <c r="G2802" s="26">
        <f>IF(A2802="","",IF(AND(ISNUMBER(B2802),B2802&lt;&gt;0),1,0))</f>
        <v>0</v>
      </c>
      <c r="H2802" s="25">
        <f>IF(E2802="","",(E2802*4+3+cfgDeslocamento)/48)</f>
        <v>0</v>
      </c>
    </row>
    <row r="2803" spans="1:8">
      <c r="A2803" s="24"/>
      <c r="B2803" s="19"/>
      <c r="C2803" s="25">
        <f>IF(D2803="","",D2803/48)</f>
        <v>0</v>
      </c>
      <c r="D2803" s="26">
        <f>IF(A2803="","",ROUND((A2803-cfgDefasagem/1440)*48,0))</f>
        <v>0</v>
      </c>
      <c r="E2803" s="26">
        <f>IF(D2803="","",INT((D2803-cfgDeslocamento)/4))</f>
        <v>0</v>
      </c>
      <c r="F2803" s="26">
        <f>IF(D2803="","",MOD(D2803-cfgDeslocamento,4)+1)</f>
        <v>0</v>
      </c>
      <c r="G2803" s="26">
        <f>IF(A2803="","",IF(AND(ISNUMBER(B2803),B2803&lt;&gt;0),1,0))</f>
        <v>0</v>
      </c>
      <c r="H2803" s="25">
        <f>IF(E2803="","",(E2803*4+3+cfgDeslocamento)/48)</f>
        <v>0</v>
      </c>
    </row>
    <row r="2804" spans="1:8">
      <c r="A2804" s="24"/>
      <c r="B2804" s="19"/>
      <c r="C2804" s="25">
        <f>IF(D2804="","",D2804/48)</f>
        <v>0</v>
      </c>
      <c r="D2804" s="26">
        <f>IF(A2804="","",ROUND((A2804-cfgDefasagem/1440)*48,0))</f>
        <v>0</v>
      </c>
      <c r="E2804" s="26">
        <f>IF(D2804="","",INT((D2804-cfgDeslocamento)/4))</f>
        <v>0</v>
      </c>
      <c r="F2804" s="26">
        <f>IF(D2804="","",MOD(D2804-cfgDeslocamento,4)+1)</f>
        <v>0</v>
      </c>
      <c r="G2804" s="26">
        <f>IF(A2804="","",IF(AND(ISNUMBER(B2804),B2804&lt;&gt;0),1,0))</f>
        <v>0</v>
      </c>
      <c r="H2804" s="25">
        <f>IF(E2804="","",(E2804*4+3+cfgDeslocamento)/48)</f>
        <v>0</v>
      </c>
    </row>
    <row r="2805" spans="1:8">
      <c r="A2805" s="24"/>
      <c r="B2805" s="19"/>
      <c r="C2805" s="25">
        <f>IF(D2805="","",D2805/48)</f>
        <v>0</v>
      </c>
      <c r="D2805" s="26">
        <f>IF(A2805="","",ROUND((A2805-cfgDefasagem/1440)*48,0))</f>
        <v>0</v>
      </c>
      <c r="E2805" s="26">
        <f>IF(D2805="","",INT((D2805-cfgDeslocamento)/4))</f>
        <v>0</v>
      </c>
      <c r="F2805" s="26">
        <f>IF(D2805="","",MOD(D2805-cfgDeslocamento,4)+1)</f>
        <v>0</v>
      </c>
      <c r="G2805" s="26">
        <f>IF(A2805="","",IF(AND(ISNUMBER(B2805),B2805&lt;&gt;0),1,0))</f>
        <v>0</v>
      </c>
      <c r="H2805" s="25">
        <f>IF(E2805="","",(E2805*4+3+cfgDeslocamento)/48)</f>
        <v>0</v>
      </c>
    </row>
    <row r="2806" spans="1:8">
      <c r="A2806" s="24"/>
      <c r="B2806" s="19"/>
      <c r="C2806" s="25">
        <f>IF(D2806="","",D2806/48)</f>
        <v>0</v>
      </c>
      <c r="D2806" s="26">
        <f>IF(A2806="","",ROUND((A2806-cfgDefasagem/1440)*48,0))</f>
        <v>0</v>
      </c>
      <c r="E2806" s="26">
        <f>IF(D2806="","",INT((D2806-cfgDeslocamento)/4))</f>
        <v>0</v>
      </c>
      <c r="F2806" s="26">
        <f>IF(D2806="","",MOD(D2806-cfgDeslocamento,4)+1)</f>
        <v>0</v>
      </c>
      <c r="G2806" s="26">
        <f>IF(A2806="","",IF(AND(ISNUMBER(B2806),B2806&lt;&gt;0),1,0))</f>
        <v>0</v>
      </c>
      <c r="H2806" s="25">
        <f>IF(E2806="","",(E2806*4+3+cfgDeslocamento)/48)</f>
        <v>0</v>
      </c>
    </row>
    <row r="2807" spans="1:8">
      <c r="A2807" s="24"/>
      <c r="B2807" s="19"/>
      <c r="C2807" s="25">
        <f>IF(D2807="","",D2807/48)</f>
        <v>0</v>
      </c>
      <c r="D2807" s="26">
        <f>IF(A2807="","",ROUND((A2807-cfgDefasagem/1440)*48,0))</f>
        <v>0</v>
      </c>
      <c r="E2807" s="26">
        <f>IF(D2807="","",INT((D2807-cfgDeslocamento)/4))</f>
        <v>0</v>
      </c>
      <c r="F2807" s="26">
        <f>IF(D2807="","",MOD(D2807-cfgDeslocamento,4)+1)</f>
        <v>0</v>
      </c>
      <c r="G2807" s="26">
        <f>IF(A2807="","",IF(AND(ISNUMBER(B2807),B2807&lt;&gt;0),1,0))</f>
        <v>0</v>
      </c>
      <c r="H2807" s="25">
        <f>IF(E2807="","",(E2807*4+3+cfgDeslocamento)/48)</f>
        <v>0</v>
      </c>
    </row>
    <row r="2808" spans="1:8">
      <c r="A2808" s="24"/>
      <c r="B2808" s="19"/>
      <c r="C2808" s="25">
        <f>IF(D2808="","",D2808/48)</f>
        <v>0</v>
      </c>
      <c r="D2808" s="26">
        <f>IF(A2808="","",ROUND((A2808-cfgDefasagem/1440)*48,0))</f>
        <v>0</v>
      </c>
      <c r="E2808" s="26">
        <f>IF(D2808="","",INT((D2808-cfgDeslocamento)/4))</f>
        <v>0</v>
      </c>
      <c r="F2808" s="26">
        <f>IF(D2808="","",MOD(D2808-cfgDeslocamento,4)+1)</f>
        <v>0</v>
      </c>
      <c r="G2808" s="26">
        <f>IF(A2808="","",IF(AND(ISNUMBER(B2808),B2808&lt;&gt;0),1,0))</f>
        <v>0</v>
      </c>
      <c r="H2808" s="25">
        <f>IF(E2808="","",(E2808*4+3+cfgDeslocamento)/48)</f>
        <v>0</v>
      </c>
    </row>
    <row r="2809" spans="1:8">
      <c r="A2809" s="24"/>
      <c r="B2809" s="19"/>
      <c r="C2809" s="25">
        <f>IF(D2809="","",D2809/48)</f>
        <v>0</v>
      </c>
      <c r="D2809" s="26">
        <f>IF(A2809="","",ROUND((A2809-cfgDefasagem/1440)*48,0))</f>
        <v>0</v>
      </c>
      <c r="E2809" s="26">
        <f>IF(D2809="","",INT((D2809-cfgDeslocamento)/4))</f>
        <v>0</v>
      </c>
      <c r="F2809" s="26">
        <f>IF(D2809="","",MOD(D2809-cfgDeslocamento,4)+1)</f>
        <v>0</v>
      </c>
      <c r="G2809" s="26">
        <f>IF(A2809="","",IF(AND(ISNUMBER(B2809),B2809&lt;&gt;0),1,0))</f>
        <v>0</v>
      </c>
      <c r="H2809" s="25">
        <f>IF(E2809="","",(E2809*4+3+cfgDeslocamento)/48)</f>
        <v>0</v>
      </c>
    </row>
    <row r="2810" spans="1:8">
      <c r="A2810" s="24"/>
      <c r="B2810" s="19"/>
      <c r="C2810" s="25">
        <f>IF(D2810="","",D2810/48)</f>
        <v>0</v>
      </c>
      <c r="D2810" s="26">
        <f>IF(A2810="","",ROUND((A2810-cfgDefasagem/1440)*48,0))</f>
        <v>0</v>
      </c>
      <c r="E2810" s="26">
        <f>IF(D2810="","",INT((D2810-cfgDeslocamento)/4))</f>
        <v>0</v>
      </c>
      <c r="F2810" s="26">
        <f>IF(D2810="","",MOD(D2810-cfgDeslocamento,4)+1)</f>
        <v>0</v>
      </c>
      <c r="G2810" s="26">
        <f>IF(A2810="","",IF(AND(ISNUMBER(B2810),B2810&lt;&gt;0),1,0))</f>
        <v>0</v>
      </c>
      <c r="H2810" s="25">
        <f>IF(E2810="","",(E2810*4+3+cfgDeslocamento)/48)</f>
        <v>0</v>
      </c>
    </row>
    <row r="2811" spans="1:8">
      <c r="A2811" s="24"/>
      <c r="B2811" s="19"/>
      <c r="C2811" s="25">
        <f>IF(D2811="","",D2811/48)</f>
        <v>0</v>
      </c>
      <c r="D2811" s="26">
        <f>IF(A2811="","",ROUND((A2811-cfgDefasagem/1440)*48,0))</f>
        <v>0</v>
      </c>
      <c r="E2811" s="26">
        <f>IF(D2811="","",INT((D2811-cfgDeslocamento)/4))</f>
        <v>0</v>
      </c>
      <c r="F2811" s="26">
        <f>IF(D2811="","",MOD(D2811-cfgDeslocamento,4)+1)</f>
        <v>0</v>
      </c>
      <c r="G2811" s="26">
        <f>IF(A2811="","",IF(AND(ISNUMBER(B2811),B2811&lt;&gt;0),1,0))</f>
        <v>0</v>
      </c>
      <c r="H2811" s="25">
        <f>IF(E2811="","",(E2811*4+3+cfgDeslocamento)/48)</f>
        <v>0</v>
      </c>
    </row>
    <row r="2812" spans="1:8">
      <c r="A2812" s="24"/>
      <c r="B2812" s="19"/>
      <c r="C2812" s="25">
        <f>IF(D2812="","",D2812/48)</f>
        <v>0</v>
      </c>
      <c r="D2812" s="26">
        <f>IF(A2812="","",ROUND((A2812-cfgDefasagem/1440)*48,0))</f>
        <v>0</v>
      </c>
      <c r="E2812" s="26">
        <f>IF(D2812="","",INT((D2812-cfgDeslocamento)/4))</f>
        <v>0</v>
      </c>
      <c r="F2812" s="26">
        <f>IF(D2812="","",MOD(D2812-cfgDeslocamento,4)+1)</f>
        <v>0</v>
      </c>
      <c r="G2812" s="26">
        <f>IF(A2812="","",IF(AND(ISNUMBER(B2812),B2812&lt;&gt;0),1,0))</f>
        <v>0</v>
      </c>
      <c r="H2812" s="25">
        <f>IF(E2812="","",(E2812*4+3+cfgDeslocamento)/48)</f>
        <v>0</v>
      </c>
    </row>
    <row r="2813" spans="1:8">
      <c r="A2813" s="24"/>
      <c r="B2813" s="19"/>
      <c r="C2813" s="25">
        <f>IF(D2813="","",D2813/48)</f>
        <v>0</v>
      </c>
      <c r="D2813" s="26">
        <f>IF(A2813="","",ROUND((A2813-cfgDefasagem/1440)*48,0))</f>
        <v>0</v>
      </c>
      <c r="E2813" s="26">
        <f>IF(D2813="","",INT((D2813-cfgDeslocamento)/4))</f>
        <v>0</v>
      </c>
      <c r="F2813" s="26">
        <f>IF(D2813="","",MOD(D2813-cfgDeslocamento,4)+1)</f>
        <v>0</v>
      </c>
      <c r="G2813" s="26">
        <f>IF(A2813="","",IF(AND(ISNUMBER(B2813),B2813&lt;&gt;0),1,0))</f>
        <v>0</v>
      </c>
      <c r="H2813" s="25">
        <f>IF(E2813="","",(E2813*4+3+cfgDeslocamento)/48)</f>
        <v>0</v>
      </c>
    </row>
    <row r="2814" spans="1:8">
      <c r="A2814" s="24"/>
      <c r="B2814" s="19"/>
      <c r="C2814" s="25">
        <f>IF(D2814="","",D2814/48)</f>
        <v>0</v>
      </c>
      <c r="D2814" s="26">
        <f>IF(A2814="","",ROUND((A2814-cfgDefasagem/1440)*48,0))</f>
        <v>0</v>
      </c>
      <c r="E2814" s="26">
        <f>IF(D2814="","",INT((D2814-cfgDeslocamento)/4))</f>
        <v>0</v>
      </c>
      <c r="F2814" s="26">
        <f>IF(D2814="","",MOD(D2814-cfgDeslocamento,4)+1)</f>
        <v>0</v>
      </c>
      <c r="G2814" s="26">
        <f>IF(A2814="","",IF(AND(ISNUMBER(B2814),B2814&lt;&gt;0),1,0))</f>
        <v>0</v>
      </c>
      <c r="H2814" s="25">
        <f>IF(E2814="","",(E2814*4+3+cfgDeslocamento)/48)</f>
        <v>0</v>
      </c>
    </row>
    <row r="2815" spans="1:8">
      <c r="A2815" s="24"/>
      <c r="B2815" s="19"/>
      <c r="C2815" s="25">
        <f>IF(D2815="","",D2815/48)</f>
        <v>0</v>
      </c>
      <c r="D2815" s="26">
        <f>IF(A2815="","",ROUND((A2815-cfgDefasagem/1440)*48,0))</f>
        <v>0</v>
      </c>
      <c r="E2815" s="26">
        <f>IF(D2815="","",INT((D2815-cfgDeslocamento)/4))</f>
        <v>0</v>
      </c>
      <c r="F2815" s="26">
        <f>IF(D2815="","",MOD(D2815-cfgDeslocamento,4)+1)</f>
        <v>0</v>
      </c>
      <c r="G2815" s="26">
        <f>IF(A2815="","",IF(AND(ISNUMBER(B2815),B2815&lt;&gt;0),1,0))</f>
        <v>0</v>
      </c>
      <c r="H2815" s="25">
        <f>IF(E2815="","",(E2815*4+3+cfgDeslocamento)/48)</f>
        <v>0</v>
      </c>
    </row>
    <row r="2816" spans="1:8">
      <c r="A2816" s="24"/>
      <c r="B2816" s="19"/>
      <c r="C2816" s="25">
        <f>IF(D2816="","",D2816/48)</f>
        <v>0</v>
      </c>
      <c r="D2816" s="26">
        <f>IF(A2816="","",ROUND((A2816-cfgDefasagem/1440)*48,0))</f>
        <v>0</v>
      </c>
      <c r="E2816" s="26">
        <f>IF(D2816="","",INT((D2816-cfgDeslocamento)/4))</f>
        <v>0</v>
      </c>
      <c r="F2816" s="26">
        <f>IF(D2816="","",MOD(D2816-cfgDeslocamento,4)+1)</f>
        <v>0</v>
      </c>
      <c r="G2816" s="26">
        <f>IF(A2816="","",IF(AND(ISNUMBER(B2816),B2816&lt;&gt;0),1,0))</f>
        <v>0</v>
      </c>
      <c r="H2816" s="25">
        <f>IF(E2816="","",(E2816*4+3+cfgDeslocamento)/48)</f>
        <v>0</v>
      </c>
    </row>
    <row r="2817" spans="1:8">
      <c r="A2817" s="24"/>
      <c r="B2817" s="19"/>
      <c r="C2817" s="25">
        <f>IF(D2817="","",D2817/48)</f>
        <v>0</v>
      </c>
      <c r="D2817" s="26">
        <f>IF(A2817="","",ROUND((A2817-cfgDefasagem/1440)*48,0))</f>
        <v>0</v>
      </c>
      <c r="E2817" s="26">
        <f>IF(D2817="","",INT((D2817-cfgDeslocamento)/4))</f>
        <v>0</v>
      </c>
      <c r="F2817" s="26">
        <f>IF(D2817="","",MOD(D2817-cfgDeslocamento,4)+1)</f>
        <v>0</v>
      </c>
      <c r="G2817" s="26">
        <f>IF(A2817="","",IF(AND(ISNUMBER(B2817),B2817&lt;&gt;0),1,0))</f>
        <v>0</v>
      </c>
      <c r="H2817" s="25">
        <f>IF(E2817="","",(E2817*4+3+cfgDeslocamento)/48)</f>
        <v>0</v>
      </c>
    </row>
    <row r="2818" spans="1:8">
      <c r="A2818" s="24"/>
      <c r="B2818" s="19"/>
      <c r="C2818" s="25">
        <f>IF(D2818="","",D2818/48)</f>
        <v>0</v>
      </c>
      <c r="D2818" s="26">
        <f>IF(A2818="","",ROUND((A2818-cfgDefasagem/1440)*48,0))</f>
        <v>0</v>
      </c>
      <c r="E2818" s="26">
        <f>IF(D2818="","",INT((D2818-cfgDeslocamento)/4))</f>
        <v>0</v>
      </c>
      <c r="F2818" s="26">
        <f>IF(D2818="","",MOD(D2818-cfgDeslocamento,4)+1)</f>
        <v>0</v>
      </c>
      <c r="G2818" s="26">
        <f>IF(A2818="","",IF(AND(ISNUMBER(B2818),B2818&lt;&gt;0),1,0))</f>
        <v>0</v>
      </c>
      <c r="H2818" s="25">
        <f>IF(E2818="","",(E2818*4+3+cfgDeslocamento)/48)</f>
        <v>0</v>
      </c>
    </row>
    <row r="2819" spans="1:8">
      <c r="A2819" s="24"/>
      <c r="B2819" s="19"/>
      <c r="C2819" s="25">
        <f>IF(D2819="","",D2819/48)</f>
        <v>0</v>
      </c>
      <c r="D2819" s="26">
        <f>IF(A2819="","",ROUND((A2819-cfgDefasagem/1440)*48,0))</f>
        <v>0</v>
      </c>
      <c r="E2819" s="26">
        <f>IF(D2819="","",INT((D2819-cfgDeslocamento)/4))</f>
        <v>0</v>
      </c>
      <c r="F2819" s="26">
        <f>IF(D2819="","",MOD(D2819-cfgDeslocamento,4)+1)</f>
        <v>0</v>
      </c>
      <c r="G2819" s="26">
        <f>IF(A2819="","",IF(AND(ISNUMBER(B2819),B2819&lt;&gt;0),1,0))</f>
        <v>0</v>
      </c>
      <c r="H2819" s="25">
        <f>IF(E2819="","",(E2819*4+3+cfgDeslocamento)/48)</f>
        <v>0</v>
      </c>
    </row>
    <row r="2820" spans="1:8">
      <c r="A2820" s="24"/>
      <c r="B2820" s="19"/>
      <c r="C2820" s="25">
        <f>IF(D2820="","",D2820/48)</f>
        <v>0</v>
      </c>
      <c r="D2820" s="26">
        <f>IF(A2820="","",ROUND((A2820-cfgDefasagem/1440)*48,0))</f>
        <v>0</v>
      </c>
      <c r="E2820" s="26">
        <f>IF(D2820="","",INT((D2820-cfgDeslocamento)/4))</f>
        <v>0</v>
      </c>
      <c r="F2820" s="26">
        <f>IF(D2820="","",MOD(D2820-cfgDeslocamento,4)+1)</f>
        <v>0</v>
      </c>
      <c r="G2820" s="26">
        <f>IF(A2820="","",IF(AND(ISNUMBER(B2820),B2820&lt;&gt;0),1,0))</f>
        <v>0</v>
      </c>
      <c r="H2820" s="25">
        <f>IF(E2820="","",(E2820*4+3+cfgDeslocamento)/48)</f>
        <v>0</v>
      </c>
    </row>
    <row r="2821" spans="1:8">
      <c r="A2821" s="24"/>
      <c r="B2821" s="19"/>
      <c r="C2821" s="25">
        <f>IF(D2821="","",D2821/48)</f>
        <v>0</v>
      </c>
      <c r="D2821" s="26">
        <f>IF(A2821="","",ROUND((A2821-cfgDefasagem/1440)*48,0))</f>
        <v>0</v>
      </c>
      <c r="E2821" s="26">
        <f>IF(D2821="","",INT((D2821-cfgDeslocamento)/4))</f>
        <v>0</v>
      </c>
      <c r="F2821" s="26">
        <f>IF(D2821="","",MOD(D2821-cfgDeslocamento,4)+1)</f>
        <v>0</v>
      </c>
      <c r="G2821" s="26">
        <f>IF(A2821="","",IF(AND(ISNUMBER(B2821),B2821&lt;&gt;0),1,0))</f>
        <v>0</v>
      </c>
      <c r="H2821" s="25">
        <f>IF(E2821="","",(E2821*4+3+cfgDeslocamento)/48)</f>
        <v>0</v>
      </c>
    </row>
    <row r="2822" spans="1:8">
      <c r="A2822" s="24"/>
      <c r="B2822" s="19"/>
      <c r="C2822" s="25">
        <f>IF(D2822="","",D2822/48)</f>
        <v>0</v>
      </c>
      <c r="D2822" s="26">
        <f>IF(A2822="","",ROUND((A2822-cfgDefasagem/1440)*48,0))</f>
        <v>0</v>
      </c>
      <c r="E2822" s="26">
        <f>IF(D2822="","",INT((D2822-cfgDeslocamento)/4))</f>
        <v>0</v>
      </c>
      <c r="F2822" s="26">
        <f>IF(D2822="","",MOD(D2822-cfgDeslocamento,4)+1)</f>
        <v>0</v>
      </c>
      <c r="G2822" s="26">
        <f>IF(A2822="","",IF(AND(ISNUMBER(B2822),B2822&lt;&gt;0),1,0))</f>
        <v>0</v>
      </c>
      <c r="H2822" s="25">
        <f>IF(E2822="","",(E2822*4+3+cfgDeslocamento)/48)</f>
        <v>0</v>
      </c>
    </row>
    <row r="2823" spans="1:8">
      <c r="A2823" s="24"/>
      <c r="B2823" s="19"/>
      <c r="C2823" s="25">
        <f>IF(D2823="","",D2823/48)</f>
        <v>0</v>
      </c>
      <c r="D2823" s="26">
        <f>IF(A2823="","",ROUND((A2823-cfgDefasagem/1440)*48,0))</f>
        <v>0</v>
      </c>
      <c r="E2823" s="26">
        <f>IF(D2823="","",INT((D2823-cfgDeslocamento)/4))</f>
        <v>0</v>
      </c>
      <c r="F2823" s="26">
        <f>IF(D2823="","",MOD(D2823-cfgDeslocamento,4)+1)</f>
        <v>0</v>
      </c>
      <c r="G2823" s="26">
        <f>IF(A2823="","",IF(AND(ISNUMBER(B2823),B2823&lt;&gt;0),1,0))</f>
        <v>0</v>
      </c>
      <c r="H2823" s="25">
        <f>IF(E2823="","",(E2823*4+3+cfgDeslocamento)/48)</f>
        <v>0</v>
      </c>
    </row>
    <row r="2824" spans="1:8">
      <c r="A2824" s="24"/>
      <c r="B2824" s="19"/>
      <c r="C2824" s="25">
        <f>IF(D2824="","",D2824/48)</f>
        <v>0</v>
      </c>
      <c r="D2824" s="26">
        <f>IF(A2824="","",ROUND((A2824-cfgDefasagem/1440)*48,0))</f>
        <v>0</v>
      </c>
      <c r="E2824" s="26">
        <f>IF(D2824="","",INT((D2824-cfgDeslocamento)/4))</f>
        <v>0</v>
      </c>
      <c r="F2824" s="26">
        <f>IF(D2824="","",MOD(D2824-cfgDeslocamento,4)+1)</f>
        <v>0</v>
      </c>
      <c r="G2824" s="26">
        <f>IF(A2824="","",IF(AND(ISNUMBER(B2824),B2824&lt;&gt;0),1,0))</f>
        <v>0</v>
      </c>
      <c r="H2824" s="25">
        <f>IF(E2824="","",(E2824*4+3+cfgDeslocamento)/48)</f>
        <v>0</v>
      </c>
    </row>
    <row r="2825" spans="1:8">
      <c r="A2825" s="24"/>
      <c r="B2825" s="19"/>
      <c r="C2825" s="25">
        <f>IF(D2825="","",D2825/48)</f>
        <v>0</v>
      </c>
      <c r="D2825" s="26">
        <f>IF(A2825="","",ROUND((A2825-cfgDefasagem/1440)*48,0))</f>
        <v>0</v>
      </c>
      <c r="E2825" s="26">
        <f>IF(D2825="","",INT((D2825-cfgDeslocamento)/4))</f>
        <v>0</v>
      </c>
      <c r="F2825" s="26">
        <f>IF(D2825="","",MOD(D2825-cfgDeslocamento,4)+1)</f>
        <v>0</v>
      </c>
      <c r="G2825" s="26">
        <f>IF(A2825="","",IF(AND(ISNUMBER(B2825),B2825&lt;&gt;0),1,0))</f>
        <v>0</v>
      </c>
      <c r="H2825" s="25">
        <f>IF(E2825="","",(E2825*4+3+cfgDeslocamento)/48)</f>
        <v>0</v>
      </c>
    </row>
    <row r="2826" spans="1:8">
      <c r="A2826" s="24"/>
      <c r="B2826" s="19"/>
      <c r="C2826" s="25">
        <f>IF(D2826="","",D2826/48)</f>
        <v>0</v>
      </c>
      <c r="D2826" s="26">
        <f>IF(A2826="","",ROUND((A2826-cfgDefasagem/1440)*48,0))</f>
        <v>0</v>
      </c>
      <c r="E2826" s="26">
        <f>IF(D2826="","",INT((D2826-cfgDeslocamento)/4))</f>
        <v>0</v>
      </c>
      <c r="F2826" s="26">
        <f>IF(D2826="","",MOD(D2826-cfgDeslocamento,4)+1)</f>
        <v>0</v>
      </c>
      <c r="G2826" s="26">
        <f>IF(A2826="","",IF(AND(ISNUMBER(B2826),B2826&lt;&gt;0),1,0))</f>
        <v>0</v>
      </c>
      <c r="H2826" s="25">
        <f>IF(E2826="","",(E2826*4+3+cfgDeslocamento)/48)</f>
        <v>0</v>
      </c>
    </row>
    <row r="2827" spans="1:8">
      <c r="A2827" s="24"/>
      <c r="B2827" s="19"/>
      <c r="C2827" s="25">
        <f>IF(D2827="","",D2827/48)</f>
        <v>0</v>
      </c>
      <c r="D2827" s="26">
        <f>IF(A2827="","",ROUND((A2827-cfgDefasagem/1440)*48,0))</f>
        <v>0</v>
      </c>
      <c r="E2827" s="26">
        <f>IF(D2827="","",INT((D2827-cfgDeslocamento)/4))</f>
        <v>0</v>
      </c>
      <c r="F2827" s="26">
        <f>IF(D2827="","",MOD(D2827-cfgDeslocamento,4)+1)</f>
        <v>0</v>
      </c>
      <c r="G2827" s="26">
        <f>IF(A2827="","",IF(AND(ISNUMBER(B2827),B2827&lt;&gt;0),1,0))</f>
        <v>0</v>
      </c>
      <c r="H2827" s="25">
        <f>IF(E2827="","",(E2827*4+3+cfgDeslocamento)/48)</f>
        <v>0</v>
      </c>
    </row>
    <row r="2828" spans="1:8">
      <c r="A2828" s="24"/>
      <c r="B2828" s="19"/>
      <c r="C2828" s="25">
        <f>IF(D2828="","",D2828/48)</f>
        <v>0</v>
      </c>
      <c r="D2828" s="26">
        <f>IF(A2828="","",ROUND((A2828-cfgDefasagem/1440)*48,0))</f>
        <v>0</v>
      </c>
      <c r="E2828" s="26">
        <f>IF(D2828="","",INT((D2828-cfgDeslocamento)/4))</f>
        <v>0</v>
      </c>
      <c r="F2828" s="26">
        <f>IF(D2828="","",MOD(D2828-cfgDeslocamento,4)+1)</f>
        <v>0</v>
      </c>
      <c r="G2828" s="26">
        <f>IF(A2828="","",IF(AND(ISNUMBER(B2828),B2828&lt;&gt;0),1,0))</f>
        <v>0</v>
      </c>
      <c r="H2828" s="25">
        <f>IF(E2828="","",(E2828*4+3+cfgDeslocamento)/48)</f>
        <v>0</v>
      </c>
    </row>
    <row r="2829" spans="1:8">
      <c r="A2829" s="24"/>
      <c r="B2829" s="19"/>
      <c r="C2829" s="25">
        <f>IF(D2829="","",D2829/48)</f>
        <v>0</v>
      </c>
      <c r="D2829" s="26">
        <f>IF(A2829="","",ROUND((A2829-cfgDefasagem/1440)*48,0))</f>
        <v>0</v>
      </c>
      <c r="E2829" s="26">
        <f>IF(D2829="","",INT((D2829-cfgDeslocamento)/4))</f>
        <v>0</v>
      </c>
      <c r="F2829" s="26">
        <f>IF(D2829="","",MOD(D2829-cfgDeslocamento,4)+1)</f>
        <v>0</v>
      </c>
      <c r="G2829" s="26">
        <f>IF(A2829="","",IF(AND(ISNUMBER(B2829),B2829&lt;&gt;0),1,0))</f>
        <v>0</v>
      </c>
      <c r="H2829" s="25">
        <f>IF(E2829="","",(E2829*4+3+cfgDeslocamento)/48)</f>
        <v>0</v>
      </c>
    </row>
    <row r="2830" spans="1:8">
      <c r="A2830" s="24"/>
      <c r="B2830" s="19"/>
      <c r="C2830" s="25">
        <f>IF(D2830="","",D2830/48)</f>
        <v>0</v>
      </c>
      <c r="D2830" s="26">
        <f>IF(A2830="","",ROUND((A2830-cfgDefasagem/1440)*48,0))</f>
        <v>0</v>
      </c>
      <c r="E2830" s="26">
        <f>IF(D2830="","",INT((D2830-cfgDeslocamento)/4))</f>
        <v>0</v>
      </c>
      <c r="F2830" s="26">
        <f>IF(D2830="","",MOD(D2830-cfgDeslocamento,4)+1)</f>
        <v>0</v>
      </c>
      <c r="G2830" s="26">
        <f>IF(A2830="","",IF(AND(ISNUMBER(B2830),B2830&lt;&gt;0),1,0))</f>
        <v>0</v>
      </c>
      <c r="H2830" s="25">
        <f>IF(E2830="","",(E2830*4+3+cfgDeslocamento)/48)</f>
        <v>0</v>
      </c>
    </row>
    <row r="2831" spans="1:8">
      <c r="A2831" s="24"/>
      <c r="B2831" s="19"/>
      <c r="C2831" s="25">
        <f>IF(D2831="","",D2831/48)</f>
        <v>0</v>
      </c>
      <c r="D2831" s="26">
        <f>IF(A2831="","",ROUND((A2831-cfgDefasagem/1440)*48,0))</f>
        <v>0</v>
      </c>
      <c r="E2831" s="26">
        <f>IF(D2831="","",INT((D2831-cfgDeslocamento)/4))</f>
        <v>0</v>
      </c>
      <c r="F2831" s="26">
        <f>IF(D2831="","",MOD(D2831-cfgDeslocamento,4)+1)</f>
        <v>0</v>
      </c>
      <c r="G2831" s="26">
        <f>IF(A2831="","",IF(AND(ISNUMBER(B2831),B2831&lt;&gt;0),1,0))</f>
        <v>0</v>
      </c>
      <c r="H2831" s="25">
        <f>IF(E2831="","",(E2831*4+3+cfgDeslocamento)/48)</f>
        <v>0</v>
      </c>
    </row>
    <row r="2832" spans="1:8">
      <c r="A2832" s="24"/>
      <c r="B2832" s="19"/>
      <c r="C2832" s="25">
        <f>IF(D2832="","",D2832/48)</f>
        <v>0</v>
      </c>
      <c r="D2832" s="26">
        <f>IF(A2832="","",ROUND((A2832-cfgDefasagem/1440)*48,0))</f>
        <v>0</v>
      </c>
      <c r="E2832" s="26">
        <f>IF(D2832="","",INT((D2832-cfgDeslocamento)/4))</f>
        <v>0</v>
      </c>
      <c r="F2832" s="26">
        <f>IF(D2832="","",MOD(D2832-cfgDeslocamento,4)+1)</f>
        <v>0</v>
      </c>
      <c r="G2832" s="26">
        <f>IF(A2832="","",IF(AND(ISNUMBER(B2832),B2832&lt;&gt;0),1,0))</f>
        <v>0</v>
      </c>
      <c r="H2832" s="25">
        <f>IF(E2832="","",(E2832*4+3+cfgDeslocamento)/48)</f>
        <v>0</v>
      </c>
    </row>
    <row r="2833" spans="1:8">
      <c r="A2833" s="24"/>
      <c r="B2833" s="19"/>
      <c r="C2833" s="25">
        <f>IF(D2833="","",D2833/48)</f>
        <v>0</v>
      </c>
      <c r="D2833" s="26">
        <f>IF(A2833="","",ROUND((A2833-cfgDefasagem/1440)*48,0))</f>
        <v>0</v>
      </c>
      <c r="E2833" s="26">
        <f>IF(D2833="","",INT((D2833-cfgDeslocamento)/4))</f>
        <v>0</v>
      </c>
      <c r="F2833" s="26">
        <f>IF(D2833="","",MOD(D2833-cfgDeslocamento,4)+1)</f>
        <v>0</v>
      </c>
      <c r="G2833" s="26">
        <f>IF(A2833="","",IF(AND(ISNUMBER(B2833),B2833&lt;&gt;0),1,0))</f>
        <v>0</v>
      </c>
      <c r="H2833" s="25">
        <f>IF(E2833="","",(E2833*4+3+cfgDeslocamento)/48)</f>
        <v>0</v>
      </c>
    </row>
    <row r="2834" spans="1:8">
      <c r="A2834" s="24"/>
      <c r="B2834" s="19"/>
      <c r="C2834" s="25">
        <f>IF(D2834="","",D2834/48)</f>
        <v>0</v>
      </c>
      <c r="D2834" s="26">
        <f>IF(A2834="","",ROUND((A2834-cfgDefasagem/1440)*48,0))</f>
        <v>0</v>
      </c>
      <c r="E2834" s="26">
        <f>IF(D2834="","",INT((D2834-cfgDeslocamento)/4))</f>
        <v>0</v>
      </c>
      <c r="F2834" s="26">
        <f>IF(D2834="","",MOD(D2834-cfgDeslocamento,4)+1)</f>
        <v>0</v>
      </c>
      <c r="G2834" s="26">
        <f>IF(A2834="","",IF(AND(ISNUMBER(B2834),B2834&lt;&gt;0),1,0))</f>
        <v>0</v>
      </c>
      <c r="H2834" s="25">
        <f>IF(E2834="","",(E2834*4+3+cfgDeslocamento)/48)</f>
        <v>0</v>
      </c>
    </row>
    <row r="2835" spans="1:8">
      <c r="A2835" s="24"/>
      <c r="B2835" s="19"/>
      <c r="C2835" s="25">
        <f>IF(D2835="","",D2835/48)</f>
        <v>0</v>
      </c>
      <c r="D2835" s="26">
        <f>IF(A2835="","",ROUND((A2835-cfgDefasagem/1440)*48,0))</f>
        <v>0</v>
      </c>
      <c r="E2835" s="26">
        <f>IF(D2835="","",INT((D2835-cfgDeslocamento)/4))</f>
        <v>0</v>
      </c>
      <c r="F2835" s="26">
        <f>IF(D2835="","",MOD(D2835-cfgDeslocamento,4)+1)</f>
        <v>0</v>
      </c>
      <c r="G2835" s="26">
        <f>IF(A2835="","",IF(AND(ISNUMBER(B2835),B2835&lt;&gt;0),1,0))</f>
        <v>0</v>
      </c>
      <c r="H2835" s="25">
        <f>IF(E2835="","",(E2835*4+3+cfgDeslocamento)/48)</f>
        <v>0</v>
      </c>
    </row>
    <row r="2836" spans="1:8">
      <c r="A2836" s="24"/>
      <c r="B2836" s="19"/>
      <c r="C2836" s="25">
        <f>IF(D2836="","",D2836/48)</f>
        <v>0</v>
      </c>
      <c r="D2836" s="26">
        <f>IF(A2836="","",ROUND((A2836-cfgDefasagem/1440)*48,0))</f>
        <v>0</v>
      </c>
      <c r="E2836" s="26">
        <f>IF(D2836="","",INT((D2836-cfgDeslocamento)/4))</f>
        <v>0</v>
      </c>
      <c r="F2836" s="26">
        <f>IF(D2836="","",MOD(D2836-cfgDeslocamento,4)+1)</f>
        <v>0</v>
      </c>
      <c r="G2836" s="26">
        <f>IF(A2836="","",IF(AND(ISNUMBER(B2836),B2836&lt;&gt;0),1,0))</f>
        <v>0</v>
      </c>
      <c r="H2836" s="25">
        <f>IF(E2836="","",(E2836*4+3+cfgDeslocamento)/48)</f>
        <v>0</v>
      </c>
    </row>
    <row r="2837" spans="1:8">
      <c r="A2837" s="24"/>
      <c r="B2837" s="19"/>
      <c r="C2837" s="25">
        <f>IF(D2837="","",D2837/48)</f>
        <v>0</v>
      </c>
      <c r="D2837" s="26">
        <f>IF(A2837="","",ROUND((A2837-cfgDefasagem/1440)*48,0))</f>
        <v>0</v>
      </c>
      <c r="E2837" s="26">
        <f>IF(D2837="","",INT((D2837-cfgDeslocamento)/4))</f>
        <v>0</v>
      </c>
      <c r="F2837" s="26">
        <f>IF(D2837="","",MOD(D2837-cfgDeslocamento,4)+1)</f>
        <v>0</v>
      </c>
      <c r="G2837" s="26">
        <f>IF(A2837="","",IF(AND(ISNUMBER(B2837),B2837&lt;&gt;0),1,0))</f>
        <v>0</v>
      </c>
      <c r="H2837" s="25">
        <f>IF(E2837="","",(E2837*4+3+cfgDeslocamento)/48)</f>
        <v>0</v>
      </c>
    </row>
    <row r="2838" spans="1:8">
      <c r="A2838" s="24"/>
      <c r="B2838" s="19"/>
      <c r="C2838" s="25">
        <f>IF(D2838="","",D2838/48)</f>
        <v>0</v>
      </c>
      <c r="D2838" s="26">
        <f>IF(A2838="","",ROUND((A2838-cfgDefasagem/1440)*48,0))</f>
        <v>0</v>
      </c>
      <c r="E2838" s="26">
        <f>IF(D2838="","",INT((D2838-cfgDeslocamento)/4))</f>
        <v>0</v>
      </c>
      <c r="F2838" s="26">
        <f>IF(D2838="","",MOD(D2838-cfgDeslocamento,4)+1)</f>
        <v>0</v>
      </c>
      <c r="G2838" s="26">
        <f>IF(A2838="","",IF(AND(ISNUMBER(B2838),B2838&lt;&gt;0),1,0))</f>
        <v>0</v>
      </c>
      <c r="H2838" s="25">
        <f>IF(E2838="","",(E2838*4+3+cfgDeslocamento)/48)</f>
        <v>0</v>
      </c>
    </row>
    <row r="2839" spans="1:8">
      <c r="A2839" s="24"/>
      <c r="B2839" s="19"/>
      <c r="C2839" s="25">
        <f>IF(D2839="","",D2839/48)</f>
        <v>0</v>
      </c>
      <c r="D2839" s="26">
        <f>IF(A2839="","",ROUND((A2839-cfgDefasagem/1440)*48,0))</f>
        <v>0</v>
      </c>
      <c r="E2839" s="26">
        <f>IF(D2839="","",INT((D2839-cfgDeslocamento)/4))</f>
        <v>0</v>
      </c>
      <c r="F2839" s="26">
        <f>IF(D2839="","",MOD(D2839-cfgDeslocamento,4)+1)</f>
        <v>0</v>
      </c>
      <c r="G2839" s="26">
        <f>IF(A2839="","",IF(AND(ISNUMBER(B2839),B2839&lt;&gt;0),1,0))</f>
        <v>0</v>
      </c>
      <c r="H2839" s="25">
        <f>IF(E2839="","",(E2839*4+3+cfgDeslocamento)/48)</f>
        <v>0</v>
      </c>
    </row>
    <row r="2840" spans="1:8">
      <c r="A2840" s="24"/>
      <c r="B2840" s="19"/>
      <c r="C2840" s="25">
        <f>IF(D2840="","",D2840/48)</f>
        <v>0</v>
      </c>
      <c r="D2840" s="26">
        <f>IF(A2840="","",ROUND((A2840-cfgDefasagem/1440)*48,0))</f>
        <v>0</v>
      </c>
      <c r="E2840" s="26">
        <f>IF(D2840="","",INT((D2840-cfgDeslocamento)/4))</f>
        <v>0</v>
      </c>
      <c r="F2840" s="26">
        <f>IF(D2840="","",MOD(D2840-cfgDeslocamento,4)+1)</f>
        <v>0</v>
      </c>
      <c r="G2840" s="26">
        <f>IF(A2840="","",IF(AND(ISNUMBER(B2840),B2840&lt;&gt;0),1,0))</f>
        <v>0</v>
      </c>
      <c r="H2840" s="25">
        <f>IF(E2840="","",(E2840*4+3+cfgDeslocamento)/48)</f>
        <v>0</v>
      </c>
    </row>
    <row r="2841" spans="1:8">
      <c r="A2841" s="24"/>
      <c r="B2841" s="19"/>
      <c r="C2841" s="25">
        <f>IF(D2841="","",D2841/48)</f>
        <v>0</v>
      </c>
      <c r="D2841" s="26">
        <f>IF(A2841="","",ROUND((A2841-cfgDefasagem/1440)*48,0))</f>
        <v>0</v>
      </c>
      <c r="E2841" s="26">
        <f>IF(D2841="","",INT((D2841-cfgDeslocamento)/4))</f>
        <v>0</v>
      </c>
      <c r="F2841" s="26">
        <f>IF(D2841="","",MOD(D2841-cfgDeslocamento,4)+1)</f>
        <v>0</v>
      </c>
      <c r="G2841" s="26">
        <f>IF(A2841="","",IF(AND(ISNUMBER(B2841),B2841&lt;&gt;0),1,0))</f>
        <v>0</v>
      </c>
      <c r="H2841" s="25">
        <f>IF(E2841="","",(E2841*4+3+cfgDeslocamento)/48)</f>
        <v>0</v>
      </c>
    </row>
    <row r="2842" spans="1:8">
      <c r="A2842" s="24"/>
      <c r="B2842" s="19"/>
      <c r="C2842" s="25">
        <f>IF(D2842="","",D2842/48)</f>
        <v>0</v>
      </c>
      <c r="D2842" s="26">
        <f>IF(A2842="","",ROUND((A2842-cfgDefasagem/1440)*48,0))</f>
        <v>0</v>
      </c>
      <c r="E2842" s="26">
        <f>IF(D2842="","",INT((D2842-cfgDeslocamento)/4))</f>
        <v>0</v>
      </c>
      <c r="F2842" s="26">
        <f>IF(D2842="","",MOD(D2842-cfgDeslocamento,4)+1)</f>
        <v>0</v>
      </c>
      <c r="G2842" s="26">
        <f>IF(A2842="","",IF(AND(ISNUMBER(B2842),B2842&lt;&gt;0),1,0))</f>
        <v>0</v>
      </c>
      <c r="H2842" s="25">
        <f>IF(E2842="","",(E2842*4+3+cfgDeslocamento)/48)</f>
        <v>0</v>
      </c>
    </row>
    <row r="2843" spans="1:8">
      <c r="A2843" s="24"/>
      <c r="B2843" s="19"/>
      <c r="C2843" s="25">
        <f>IF(D2843="","",D2843/48)</f>
        <v>0</v>
      </c>
      <c r="D2843" s="26">
        <f>IF(A2843="","",ROUND((A2843-cfgDefasagem/1440)*48,0))</f>
        <v>0</v>
      </c>
      <c r="E2843" s="26">
        <f>IF(D2843="","",INT((D2843-cfgDeslocamento)/4))</f>
        <v>0</v>
      </c>
      <c r="F2843" s="26">
        <f>IF(D2843="","",MOD(D2843-cfgDeslocamento,4)+1)</f>
        <v>0</v>
      </c>
      <c r="G2843" s="26">
        <f>IF(A2843="","",IF(AND(ISNUMBER(B2843),B2843&lt;&gt;0),1,0))</f>
        <v>0</v>
      </c>
      <c r="H2843" s="25">
        <f>IF(E2843="","",(E2843*4+3+cfgDeslocamento)/48)</f>
        <v>0</v>
      </c>
    </row>
    <row r="2844" spans="1:8">
      <c r="A2844" s="24"/>
      <c r="B2844" s="19"/>
      <c r="C2844" s="25">
        <f>IF(D2844="","",D2844/48)</f>
        <v>0</v>
      </c>
      <c r="D2844" s="26">
        <f>IF(A2844="","",ROUND((A2844-cfgDefasagem/1440)*48,0))</f>
        <v>0</v>
      </c>
      <c r="E2844" s="26">
        <f>IF(D2844="","",INT((D2844-cfgDeslocamento)/4))</f>
        <v>0</v>
      </c>
      <c r="F2844" s="26">
        <f>IF(D2844="","",MOD(D2844-cfgDeslocamento,4)+1)</f>
        <v>0</v>
      </c>
      <c r="G2844" s="26">
        <f>IF(A2844="","",IF(AND(ISNUMBER(B2844),B2844&lt;&gt;0),1,0))</f>
        <v>0</v>
      </c>
      <c r="H2844" s="25">
        <f>IF(E2844="","",(E2844*4+3+cfgDeslocamento)/48)</f>
        <v>0</v>
      </c>
    </row>
    <row r="2845" spans="1:8">
      <c r="A2845" s="24"/>
      <c r="B2845" s="19"/>
      <c r="C2845" s="25">
        <f>IF(D2845="","",D2845/48)</f>
        <v>0</v>
      </c>
      <c r="D2845" s="26">
        <f>IF(A2845="","",ROUND((A2845-cfgDefasagem/1440)*48,0))</f>
        <v>0</v>
      </c>
      <c r="E2845" s="26">
        <f>IF(D2845="","",INT((D2845-cfgDeslocamento)/4))</f>
        <v>0</v>
      </c>
      <c r="F2845" s="26">
        <f>IF(D2845="","",MOD(D2845-cfgDeslocamento,4)+1)</f>
        <v>0</v>
      </c>
      <c r="G2845" s="26">
        <f>IF(A2845="","",IF(AND(ISNUMBER(B2845),B2845&lt;&gt;0),1,0))</f>
        <v>0</v>
      </c>
      <c r="H2845" s="25">
        <f>IF(E2845="","",(E2845*4+3+cfgDeslocamento)/48)</f>
        <v>0</v>
      </c>
    </row>
    <row r="2846" spans="1:8">
      <c r="A2846" s="24"/>
      <c r="B2846" s="19"/>
      <c r="C2846" s="25">
        <f>IF(D2846="","",D2846/48)</f>
        <v>0</v>
      </c>
      <c r="D2846" s="26">
        <f>IF(A2846="","",ROUND((A2846-cfgDefasagem/1440)*48,0))</f>
        <v>0</v>
      </c>
      <c r="E2846" s="26">
        <f>IF(D2846="","",INT((D2846-cfgDeslocamento)/4))</f>
        <v>0</v>
      </c>
      <c r="F2846" s="26">
        <f>IF(D2846="","",MOD(D2846-cfgDeslocamento,4)+1)</f>
        <v>0</v>
      </c>
      <c r="G2846" s="26">
        <f>IF(A2846="","",IF(AND(ISNUMBER(B2846),B2846&lt;&gt;0),1,0))</f>
        <v>0</v>
      </c>
      <c r="H2846" s="25">
        <f>IF(E2846="","",(E2846*4+3+cfgDeslocamento)/48)</f>
        <v>0</v>
      </c>
    </row>
    <row r="2847" spans="1:8">
      <c r="A2847" s="24"/>
      <c r="B2847" s="19"/>
      <c r="C2847" s="25">
        <f>IF(D2847="","",D2847/48)</f>
        <v>0</v>
      </c>
      <c r="D2847" s="26">
        <f>IF(A2847="","",ROUND((A2847-cfgDefasagem/1440)*48,0))</f>
        <v>0</v>
      </c>
      <c r="E2847" s="26">
        <f>IF(D2847="","",INT((D2847-cfgDeslocamento)/4))</f>
        <v>0</v>
      </c>
      <c r="F2847" s="26">
        <f>IF(D2847="","",MOD(D2847-cfgDeslocamento,4)+1)</f>
        <v>0</v>
      </c>
      <c r="G2847" s="26">
        <f>IF(A2847="","",IF(AND(ISNUMBER(B2847),B2847&lt;&gt;0),1,0))</f>
        <v>0</v>
      </c>
      <c r="H2847" s="25">
        <f>IF(E2847="","",(E2847*4+3+cfgDeslocamento)/48)</f>
        <v>0</v>
      </c>
    </row>
    <row r="2848" spans="1:8">
      <c r="A2848" s="24"/>
      <c r="B2848" s="19"/>
      <c r="C2848" s="25">
        <f>IF(D2848="","",D2848/48)</f>
        <v>0</v>
      </c>
      <c r="D2848" s="26">
        <f>IF(A2848="","",ROUND((A2848-cfgDefasagem/1440)*48,0))</f>
        <v>0</v>
      </c>
      <c r="E2848" s="26">
        <f>IF(D2848="","",INT((D2848-cfgDeslocamento)/4))</f>
        <v>0</v>
      </c>
      <c r="F2848" s="26">
        <f>IF(D2848="","",MOD(D2848-cfgDeslocamento,4)+1)</f>
        <v>0</v>
      </c>
      <c r="G2848" s="26">
        <f>IF(A2848="","",IF(AND(ISNUMBER(B2848),B2848&lt;&gt;0),1,0))</f>
        <v>0</v>
      </c>
      <c r="H2848" s="25">
        <f>IF(E2848="","",(E2848*4+3+cfgDeslocamento)/48)</f>
        <v>0</v>
      </c>
    </row>
    <row r="2849" spans="1:8">
      <c r="A2849" s="24"/>
      <c r="B2849" s="19"/>
      <c r="C2849" s="25">
        <f>IF(D2849="","",D2849/48)</f>
        <v>0</v>
      </c>
      <c r="D2849" s="26">
        <f>IF(A2849="","",ROUND((A2849-cfgDefasagem/1440)*48,0))</f>
        <v>0</v>
      </c>
      <c r="E2849" s="26">
        <f>IF(D2849="","",INT((D2849-cfgDeslocamento)/4))</f>
        <v>0</v>
      </c>
      <c r="F2849" s="26">
        <f>IF(D2849="","",MOD(D2849-cfgDeslocamento,4)+1)</f>
        <v>0</v>
      </c>
      <c r="G2849" s="26">
        <f>IF(A2849="","",IF(AND(ISNUMBER(B2849),B2849&lt;&gt;0),1,0))</f>
        <v>0</v>
      </c>
      <c r="H2849" s="25">
        <f>IF(E2849="","",(E2849*4+3+cfgDeslocamento)/48)</f>
        <v>0</v>
      </c>
    </row>
    <row r="2850" spans="1:8">
      <c r="A2850" s="24"/>
      <c r="B2850" s="19"/>
      <c r="C2850" s="25">
        <f>IF(D2850="","",D2850/48)</f>
        <v>0</v>
      </c>
      <c r="D2850" s="26">
        <f>IF(A2850="","",ROUND((A2850-cfgDefasagem/1440)*48,0))</f>
        <v>0</v>
      </c>
      <c r="E2850" s="26">
        <f>IF(D2850="","",INT((D2850-cfgDeslocamento)/4))</f>
        <v>0</v>
      </c>
      <c r="F2850" s="26">
        <f>IF(D2850="","",MOD(D2850-cfgDeslocamento,4)+1)</f>
        <v>0</v>
      </c>
      <c r="G2850" s="26">
        <f>IF(A2850="","",IF(AND(ISNUMBER(B2850),B2850&lt;&gt;0),1,0))</f>
        <v>0</v>
      </c>
      <c r="H2850" s="25">
        <f>IF(E2850="","",(E2850*4+3+cfgDeslocamento)/48)</f>
        <v>0</v>
      </c>
    </row>
    <row r="2851" spans="1:8">
      <c r="A2851" s="24"/>
      <c r="B2851" s="19"/>
      <c r="C2851" s="25">
        <f>IF(D2851="","",D2851/48)</f>
        <v>0</v>
      </c>
      <c r="D2851" s="26">
        <f>IF(A2851="","",ROUND((A2851-cfgDefasagem/1440)*48,0))</f>
        <v>0</v>
      </c>
      <c r="E2851" s="26">
        <f>IF(D2851="","",INT((D2851-cfgDeslocamento)/4))</f>
        <v>0</v>
      </c>
      <c r="F2851" s="26">
        <f>IF(D2851="","",MOD(D2851-cfgDeslocamento,4)+1)</f>
        <v>0</v>
      </c>
      <c r="G2851" s="26">
        <f>IF(A2851="","",IF(AND(ISNUMBER(B2851),B2851&lt;&gt;0),1,0))</f>
        <v>0</v>
      </c>
      <c r="H2851" s="25">
        <f>IF(E2851="","",(E2851*4+3+cfgDeslocamento)/48)</f>
        <v>0</v>
      </c>
    </row>
    <row r="2852" spans="1:8">
      <c r="A2852" s="24"/>
      <c r="B2852" s="19"/>
      <c r="C2852" s="25">
        <f>IF(D2852="","",D2852/48)</f>
        <v>0</v>
      </c>
      <c r="D2852" s="26">
        <f>IF(A2852="","",ROUND((A2852-cfgDefasagem/1440)*48,0))</f>
        <v>0</v>
      </c>
      <c r="E2852" s="26">
        <f>IF(D2852="","",INT((D2852-cfgDeslocamento)/4))</f>
        <v>0</v>
      </c>
      <c r="F2852" s="26">
        <f>IF(D2852="","",MOD(D2852-cfgDeslocamento,4)+1)</f>
        <v>0</v>
      </c>
      <c r="G2852" s="26">
        <f>IF(A2852="","",IF(AND(ISNUMBER(B2852),B2852&lt;&gt;0),1,0))</f>
        <v>0</v>
      </c>
      <c r="H2852" s="25">
        <f>IF(E2852="","",(E2852*4+3+cfgDeslocamento)/48)</f>
        <v>0</v>
      </c>
    </row>
    <row r="2853" spans="1:8">
      <c r="A2853" s="24"/>
      <c r="B2853" s="19"/>
      <c r="C2853" s="25">
        <f>IF(D2853="","",D2853/48)</f>
        <v>0</v>
      </c>
      <c r="D2853" s="26">
        <f>IF(A2853="","",ROUND((A2853-cfgDefasagem/1440)*48,0))</f>
        <v>0</v>
      </c>
      <c r="E2853" s="26">
        <f>IF(D2853="","",INT((D2853-cfgDeslocamento)/4))</f>
        <v>0</v>
      </c>
      <c r="F2853" s="26">
        <f>IF(D2853="","",MOD(D2853-cfgDeslocamento,4)+1)</f>
        <v>0</v>
      </c>
      <c r="G2853" s="26">
        <f>IF(A2853="","",IF(AND(ISNUMBER(B2853),B2853&lt;&gt;0),1,0))</f>
        <v>0</v>
      </c>
      <c r="H2853" s="25">
        <f>IF(E2853="","",(E2853*4+3+cfgDeslocamento)/48)</f>
        <v>0</v>
      </c>
    </row>
    <row r="2854" spans="1:8">
      <c r="A2854" s="24"/>
      <c r="B2854" s="19"/>
      <c r="C2854" s="25">
        <f>IF(D2854="","",D2854/48)</f>
        <v>0</v>
      </c>
      <c r="D2854" s="26">
        <f>IF(A2854="","",ROUND((A2854-cfgDefasagem/1440)*48,0))</f>
        <v>0</v>
      </c>
      <c r="E2854" s="26">
        <f>IF(D2854="","",INT((D2854-cfgDeslocamento)/4))</f>
        <v>0</v>
      </c>
      <c r="F2854" s="26">
        <f>IF(D2854="","",MOD(D2854-cfgDeslocamento,4)+1)</f>
        <v>0</v>
      </c>
      <c r="G2854" s="26">
        <f>IF(A2854="","",IF(AND(ISNUMBER(B2854),B2854&lt;&gt;0),1,0))</f>
        <v>0</v>
      </c>
      <c r="H2854" s="25">
        <f>IF(E2854="","",(E2854*4+3+cfgDeslocamento)/48)</f>
        <v>0</v>
      </c>
    </row>
    <row r="2855" spans="1:8">
      <c r="A2855" s="24"/>
      <c r="B2855" s="19"/>
      <c r="C2855" s="25">
        <f>IF(D2855="","",D2855/48)</f>
        <v>0</v>
      </c>
      <c r="D2855" s="26">
        <f>IF(A2855="","",ROUND((A2855-cfgDefasagem/1440)*48,0))</f>
        <v>0</v>
      </c>
      <c r="E2855" s="26">
        <f>IF(D2855="","",INT((D2855-cfgDeslocamento)/4))</f>
        <v>0</v>
      </c>
      <c r="F2855" s="26">
        <f>IF(D2855="","",MOD(D2855-cfgDeslocamento,4)+1)</f>
        <v>0</v>
      </c>
      <c r="G2855" s="26">
        <f>IF(A2855="","",IF(AND(ISNUMBER(B2855),B2855&lt;&gt;0),1,0))</f>
        <v>0</v>
      </c>
      <c r="H2855" s="25">
        <f>IF(E2855="","",(E2855*4+3+cfgDeslocamento)/48)</f>
        <v>0</v>
      </c>
    </row>
    <row r="2856" spans="1:8">
      <c r="A2856" s="24"/>
      <c r="B2856" s="19"/>
      <c r="C2856" s="25">
        <f>IF(D2856="","",D2856/48)</f>
        <v>0</v>
      </c>
      <c r="D2856" s="26">
        <f>IF(A2856="","",ROUND((A2856-cfgDefasagem/1440)*48,0))</f>
        <v>0</v>
      </c>
      <c r="E2856" s="26">
        <f>IF(D2856="","",INT((D2856-cfgDeslocamento)/4))</f>
        <v>0</v>
      </c>
      <c r="F2856" s="26">
        <f>IF(D2856="","",MOD(D2856-cfgDeslocamento,4)+1)</f>
        <v>0</v>
      </c>
      <c r="G2856" s="26">
        <f>IF(A2856="","",IF(AND(ISNUMBER(B2856),B2856&lt;&gt;0),1,0))</f>
        <v>0</v>
      </c>
      <c r="H2856" s="25">
        <f>IF(E2856="","",(E2856*4+3+cfgDeslocamento)/48)</f>
        <v>0</v>
      </c>
    </row>
    <row r="2857" spans="1:8">
      <c r="A2857" s="24"/>
      <c r="B2857" s="19"/>
      <c r="C2857" s="25">
        <f>IF(D2857="","",D2857/48)</f>
        <v>0</v>
      </c>
      <c r="D2857" s="26">
        <f>IF(A2857="","",ROUND((A2857-cfgDefasagem/1440)*48,0))</f>
        <v>0</v>
      </c>
      <c r="E2857" s="26">
        <f>IF(D2857="","",INT((D2857-cfgDeslocamento)/4))</f>
        <v>0</v>
      </c>
      <c r="F2857" s="26">
        <f>IF(D2857="","",MOD(D2857-cfgDeslocamento,4)+1)</f>
        <v>0</v>
      </c>
      <c r="G2857" s="26">
        <f>IF(A2857="","",IF(AND(ISNUMBER(B2857),B2857&lt;&gt;0),1,0))</f>
        <v>0</v>
      </c>
      <c r="H2857" s="25">
        <f>IF(E2857="","",(E2857*4+3+cfgDeslocamento)/48)</f>
        <v>0</v>
      </c>
    </row>
    <row r="2858" spans="1:8">
      <c r="A2858" s="24"/>
      <c r="B2858" s="19"/>
      <c r="C2858" s="25">
        <f>IF(D2858="","",D2858/48)</f>
        <v>0</v>
      </c>
      <c r="D2858" s="26">
        <f>IF(A2858="","",ROUND((A2858-cfgDefasagem/1440)*48,0))</f>
        <v>0</v>
      </c>
      <c r="E2858" s="26">
        <f>IF(D2858="","",INT((D2858-cfgDeslocamento)/4))</f>
        <v>0</v>
      </c>
      <c r="F2858" s="26">
        <f>IF(D2858="","",MOD(D2858-cfgDeslocamento,4)+1)</f>
        <v>0</v>
      </c>
      <c r="G2858" s="26">
        <f>IF(A2858="","",IF(AND(ISNUMBER(B2858),B2858&lt;&gt;0),1,0))</f>
        <v>0</v>
      </c>
      <c r="H2858" s="25">
        <f>IF(E2858="","",(E2858*4+3+cfgDeslocamento)/48)</f>
        <v>0</v>
      </c>
    </row>
    <row r="2859" spans="1:8">
      <c r="A2859" s="24"/>
      <c r="B2859" s="19"/>
      <c r="C2859" s="25">
        <f>IF(D2859="","",D2859/48)</f>
        <v>0</v>
      </c>
      <c r="D2859" s="26">
        <f>IF(A2859="","",ROUND((A2859-cfgDefasagem/1440)*48,0))</f>
        <v>0</v>
      </c>
      <c r="E2859" s="26">
        <f>IF(D2859="","",INT((D2859-cfgDeslocamento)/4))</f>
        <v>0</v>
      </c>
      <c r="F2859" s="26">
        <f>IF(D2859="","",MOD(D2859-cfgDeslocamento,4)+1)</f>
        <v>0</v>
      </c>
      <c r="G2859" s="26">
        <f>IF(A2859="","",IF(AND(ISNUMBER(B2859),B2859&lt;&gt;0),1,0))</f>
        <v>0</v>
      </c>
      <c r="H2859" s="25">
        <f>IF(E2859="","",(E2859*4+3+cfgDeslocamento)/48)</f>
        <v>0</v>
      </c>
    </row>
    <row r="2860" spans="1:8">
      <c r="A2860" s="24"/>
      <c r="B2860" s="19"/>
      <c r="C2860" s="25">
        <f>IF(D2860="","",D2860/48)</f>
        <v>0</v>
      </c>
      <c r="D2860" s="26">
        <f>IF(A2860="","",ROUND((A2860-cfgDefasagem/1440)*48,0))</f>
        <v>0</v>
      </c>
      <c r="E2860" s="26">
        <f>IF(D2860="","",INT((D2860-cfgDeslocamento)/4))</f>
        <v>0</v>
      </c>
      <c r="F2860" s="26">
        <f>IF(D2860="","",MOD(D2860-cfgDeslocamento,4)+1)</f>
        <v>0</v>
      </c>
      <c r="G2860" s="26">
        <f>IF(A2860="","",IF(AND(ISNUMBER(B2860),B2860&lt;&gt;0),1,0))</f>
        <v>0</v>
      </c>
      <c r="H2860" s="25">
        <f>IF(E2860="","",(E2860*4+3+cfgDeslocamento)/48)</f>
        <v>0</v>
      </c>
    </row>
    <row r="2861" spans="1:8">
      <c r="A2861" s="24"/>
      <c r="B2861" s="19"/>
      <c r="C2861" s="25">
        <f>IF(D2861="","",D2861/48)</f>
        <v>0</v>
      </c>
      <c r="D2861" s="26">
        <f>IF(A2861="","",ROUND((A2861-cfgDefasagem/1440)*48,0))</f>
        <v>0</v>
      </c>
      <c r="E2861" s="26">
        <f>IF(D2861="","",INT((D2861-cfgDeslocamento)/4))</f>
        <v>0</v>
      </c>
      <c r="F2861" s="26">
        <f>IF(D2861="","",MOD(D2861-cfgDeslocamento,4)+1)</f>
        <v>0</v>
      </c>
      <c r="G2861" s="26">
        <f>IF(A2861="","",IF(AND(ISNUMBER(B2861),B2861&lt;&gt;0),1,0))</f>
        <v>0</v>
      </c>
      <c r="H2861" s="25">
        <f>IF(E2861="","",(E2861*4+3+cfgDeslocamento)/48)</f>
        <v>0</v>
      </c>
    </row>
    <row r="2862" spans="1:8">
      <c r="A2862" s="24"/>
      <c r="B2862" s="19"/>
      <c r="C2862" s="25">
        <f>IF(D2862="","",D2862/48)</f>
        <v>0</v>
      </c>
      <c r="D2862" s="26">
        <f>IF(A2862="","",ROUND((A2862-cfgDefasagem/1440)*48,0))</f>
        <v>0</v>
      </c>
      <c r="E2862" s="26">
        <f>IF(D2862="","",INT((D2862-cfgDeslocamento)/4))</f>
        <v>0</v>
      </c>
      <c r="F2862" s="26">
        <f>IF(D2862="","",MOD(D2862-cfgDeslocamento,4)+1)</f>
        <v>0</v>
      </c>
      <c r="G2862" s="26">
        <f>IF(A2862="","",IF(AND(ISNUMBER(B2862),B2862&lt;&gt;0),1,0))</f>
        <v>0</v>
      </c>
      <c r="H2862" s="25">
        <f>IF(E2862="","",(E2862*4+3+cfgDeslocamento)/48)</f>
        <v>0</v>
      </c>
    </row>
    <row r="2863" spans="1:8">
      <c r="A2863" s="24"/>
      <c r="B2863" s="19"/>
      <c r="C2863" s="25">
        <f>IF(D2863="","",D2863/48)</f>
        <v>0</v>
      </c>
      <c r="D2863" s="26">
        <f>IF(A2863="","",ROUND((A2863-cfgDefasagem/1440)*48,0))</f>
        <v>0</v>
      </c>
      <c r="E2863" s="26">
        <f>IF(D2863="","",INT((D2863-cfgDeslocamento)/4))</f>
        <v>0</v>
      </c>
      <c r="F2863" s="26">
        <f>IF(D2863="","",MOD(D2863-cfgDeslocamento,4)+1)</f>
        <v>0</v>
      </c>
      <c r="G2863" s="26">
        <f>IF(A2863="","",IF(AND(ISNUMBER(B2863),B2863&lt;&gt;0),1,0))</f>
        <v>0</v>
      </c>
      <c r="H2863" s="25">
        <f>IF(E2863="","",(E2863*4+3+cfgDeslocamento)/48)</f>
        <v>0</v>
      </c>
    </row>
    <row r="2864" spans="1:8">
      <c r="A2864" s="24"/>
      <c r="B2864" s="19"/>
      <c r="C2864" s="25">
        <f>IF(D2864="","",D2864/48)</f>
        <v>0</v>
      </c>
      <c r="D2864" s="26">
        <f>IF(A2864="","",ROUND((A2864-cfgDefasagem/1440)*48,0))</f>
        <v>0</v>
      </c>
      <c r="E2864" s="26">
        <f>IF(D2864="","",INT((D2864-cfgDeslocamento)/4))</f>
        <v>0</v>
      </c>
      <c r="F2864" s="26">
        <f>IF(D2864="","",MOD(D2864-cfgDeslocamento,4)+1)</f>
        <v>0</v>
      </c>
      <c r="G2864" s="26">
        <f>IF(A2864="","",IF(AND(ISNUMBER(B2864),B2864&lt;&gt;0),1,0))</f>
        <v>0</v>
      </c>
      <c r="H2864" s="25">
        <f>IF(E2864="","",(E2864*4+3+cfgDeslocamento)/48)</f>
        <v>0</v>
      </c>
    </row>
    <row r="2865" spans="1:8">
      <c r="A2865" s="24"/>
      <c r="B2865" s="19"/>
      <c r="C2865" s="25">
        <f>IF(D2865="","",D2865/48)</f>
        <v>0</v>
      </c>
      <c r="D2865" s="26">
        <f>IF(A2865="","",ROUND((A2865-cfgDefasagem/1440)*48,0))</f>
        <v>0</v>
      </c>
      <c r="E2865" s="26">
        <f>IF(D2865="","",INT((D2865-cfgDeslocamento)/4))</f>
        <v>0</v>
      </c>
      <c r="F2865" s="26">
        <f>IF(D2865="","",MOD(D2865-cfgDeslocamento,4)+1)</f>
        <v>0</v>
      </c>
      <c r="G2865" s="26">
        <f>IF(A2865="","",IF(AND(ISNUMBER(B2865),B2865&lt;&gt;0),1,0))</f>
        <v>0</v>
      </c>
      <c r="H2865" s="25">
        <f>IF(E2865="","",(E2865*4+3+cfgDeslocamento)/48)</f>
        <v>0</v>
      </c>
    </row>
    <row r="2866" spans="1:8">
      <c r="A2866" s="24"/>
      <c r="B2866" s="19"/>
      <c r="C2866" s="25">
        <f>IF(D2866="","",D2866/48)</f>
        <v>0</v>
      </c>
      <c r="D2866" s="26">
        <f>IF(A2866="","",ROUND((A2866-cfgDefasagem/1440)*48,0))</f>
        <v>0</v>
      </c>
      <c r="E2866" s="26">
        <f>IF(D2866="","",INT((D2866-cfgDeslocamento)/4))</f>
        <v>0</v>
      </c>
      <c r="F2866" s="26">
        <f>IF(D2866="","",MOD(D2866-cfgDeslocamento,4)+1)</f>
        <v>0</v>
      </c>
      <c r="G2866" s="26">
        <f>IF(A2866="","",IF(AND(ISNUMBER(B2866),B2866&lt;&gt;0),1,0))</f>
        <v>0</v>
      </c>
      <c r="H2866" s="25">
        <f>IF(E2866="","",(E2866*4+3+cfgDeslocamento)/48)</f>
        <v>0</v>
      </c>
    </row>
    <row r="2867" spans="1:8">
      <c r="A2867" s="24"/>
      <c r="B2867" s="19"/>
      <c r="C2867" s="25">
        <f>IF(D2867="","",D2867/48)</f>
        <v>0</v>
      </c>
      <c r="D2867" s="26">
        <f>IF(A2867="","",ROUND((A2867-cfgDefasagem/1440)*48,0))</f>
        <v>0</v>
      </c>
      <c r="E2867" s="26">
        <f>IF(D2867="","",INT((D2867-cfgDeslocamento)/4))</f>
        <v>0</v>
      </c>
      <c r="F2867" s="26">
        <f>IF(D2867="","",MOD(D2867-cfgDeslocamento,4)+1)</f>
        <v>0</v>
      </c>
      <c r="G2867" s="26">
        <f>IF(A2867="","",IF(AND(ISNUMBER(B2867),B2867&lt;&gt;0),1,0))</f>
        <v>0</v>
      </c>
      <c r="H2867" s="25">
        <f>IF(E2867="","",(E2867*4+3+cfgDeslocamento)/48)</f>
        <v>0</v>
      </c>
    </row>
    <row r="2868" spans="1:8">
      <c r="A2868" s="24"/>
      <c r="B2868" s="19"/>
      <c r="C2868" s="25">
        <f>IF(D2868="","",D2868/48)</f>
        <v>0</v>
      </c>
      <c r="D2868" s="26">
        <f>IF(A2868="","",ROUND((A2868-cfgDefasagem/1440)*48,0))</f>
        <v>0</v>
      </c>
      <c r="E2868" s="26">
        <f>IF(D2868="","",INT((D2868-cfgDeslocamento)/4))</f>
        <v>0</v>
      </c>
      <c r="F2868" s="26">
        <f>IF(D2868="","",MOD(D2868-cfgDeslocamento,4)+1)</f>
        <v>0</v>
      </c>
      <c r="G2868" s="26">
        <f>IF(A2868="","",IF(AND(ISNUMBER(B2868),B2868&lt;&gt;0),1,0))</f>
        <v>0</v>
      </c>
      <c r="H2868" s="25">
        <f>IF(E2868="","",(E2868*4+3+cfgDeslocamento)/48)</f>
        <v>0</v>
      </c>
    </row>
    <row r="2869" spans="1:8">
      <c r="A2869" s="24"/>
      <c r="B2869" s="19"/>
      <c r="C2869" s="25">
        <f>IF(D2869="","",D2869/48)</f>
        <v>0</v>
      </c>
      <c r="D2869" s="26">
        <f>IF(A2869="","",ROUND((A2869-cfgDefasagem/1440)*48,0))</f>
        <v>0</v>
      </c>
      <c r="E2869" s="26">
        <f>IF(D2869="","",INT((D2869-cfgDeslocamento)/4))</f>
        <v>0</v>
      </c>
      <c r="F2869" s="26">
        <f>IF(D2869="","",MOD(D2869-cfgDeslocamento,4)+1)</f>
        <v>0</v>
      </c>
      <c r="G2869" s="26">
        <f>IF(A2869="","",IF(AND(ISNUMBER(B2869),B2869&lt;&gt;0),1,0))</f>
        <v>0</v>
      </c>
      <c r="H2869" s="25">
        <f>IF(E2869="","",(E2869*4+3+cfgDeslocamento)/48)</f>
        <v>0</v>
      </c>
    </row>
    <row r="2870" spans="1:8">
      <c r="A2870" s="24"/>
      <c r="B2870" s="19"/>
      <c r="C2870" s="25">
        <f>IF(D2870="","",D2870/48)</f>
        <v>0</v>
      </c>
      <c r="D2870" s="26">
        <f>IF(A2870="","",ROUND((A2870-cfgDefasagem/1440)*48,0))</f>
        <v>0</v>
      </c>
      <c r="E2870" s="26">
        <f>IF(D2870="","",INT((D2870-cfgDeslocamento)/4))</f>
        <v>0</v>
      </c>
      <c r="F2870" s="26">
        <f>IF(D2870="","",MOD(D2870-cfgDeslocamento,4)+1)</f>
        <v>0</v>
      </c>
      <c r="G2870" s="26">
        <f>IF(A2870="","",IF(AND(ISNUMBER(B2870),B2870&lt;&gt;0),1,0))</f>
        <v>0</v>
      </c>
      <c r="H2870" s="25">
        <f>IF(E2870="","",(E2870*4+3+cfgDeslocamento)/48)</f>
        <v>0</v>
      </c>
    </row>
    <row r="2871" spans="1:8">
      <c r="A2871" s="24"/>
      <c r="B2871" s="19"/>
      <c r="C2871" s="25">
        <f>IF(D2871="","",D2871/48)</f>
        <v>0</v>
      </c>
      <c r="D2871" s="26">
        <f>IF(A2871="","",ROUND((A2871-cfgDefasagem/1440)*48,0))</f>
        <v>0</v>
      </c>
      <c r="E2871" s="26">
        <f>IF(D2871="","",INT((D2871-cfgDeslocamento)/4))</f>
        <v>0</v>
      </c>
      <c r="F2871" s="26">
        <f>IF(D2871="","",MOD(D2871-cfgDeslocamento,4)+1)</f>
        <v>0</v>
      </c>
      <c r="G2871" s="26">
        <f>IF(A2871="","",IF(AND(ISNUMBER(B2871),B2871&lt;&gt;0),1,0))</f>
        <v>0</v>
      </c>
      <c r="H2871" s="25">
        <f>IF(E2871="","",(E2871*4+3+cfgDeslocamento)/48)</f>
        <v>0</v>
      </c>
    </row>
    <row r="2872" spans="1:8">
      <c r="A2872" s="24"/>
      <c r="B2872" s="19"/>
      <c r="C2872" s="25">
        <f>IF(D2872="","",D2872/48)</f>
        <v>0</v>
      </c>
      <c r="D2872" s="26">
        <f>IF(A2872="","",ROUND((A2872-cfgDefasagem/1440)*48,0))</f>
        <v>0</v>
      </c>
      <c r="E2872" s="26">
        <f>IF(D2872="","",INT((D2872-cfgDeslocamento)/4))</f>
        <v>0</v>
      </c>
      <c r="F2872" s="26">
        <f>IF(D2872="","",MOD(D2872-cfgDeslocamento,4)+1)</f>
        <v>0</v>
      </c>
      <c r="G2872" s="26">
        <f>IF(A2872="","",IF(AND(ISNUMBER(B2872),B2872&lt;&gt;0),1,0))</f>
        <v>0</v>
      </c>
      <c r="H2872" s="25">
        <f>IF(E2872="","",(E2872*4+3+cfgDeslocamento)/48)</f>
        <v>0</v>
      </c>
    </row>
    <row r="2873" spans="1:8">
      <c r="A2873" s="24"/>
      <c r="B2873" s="19"/>
      <c r="C2873" s="25">
        <f>IF(D2873="","",D2873/48)</f>
        <v>0</v>
      </c>
      <c r="D2873" s="26">
        <f>IF(A2873="","",ROUND((A2873-cfgDefasagem/1440)*48,0))</f>
        <v>0</v>
      </c>
      <c r="E2873" s="26">
        <f>IF(D2873="","",INT((D2873-cfgDeslocamento)/4))</f>
        <v>0</v>
      </c>
      <c r="F2873" s="26">
        <f>IF(D2873="","",MOD(D2873-cfgDeslocamento,4)+1)</f>
        <v>0</v>
      </c>
      <c r="G2873" s="26">
        <f>IF(A2873="","",IF(AND(ISNUMBER(B2873),B2873&lt;&gt;0),1,0))</f>
        <v>0</v>
      </c>
      <c r="H2873" s="25">
        <f>IF(E2873="","",(E2873*4+3+cfgDeslocamento)/48)</f>
        <v>0</v>
      </c>
    </row>
    <row r="2874" spans="1:8">
      <c r="A2874" s="24"/>
      <c r="B2874" s="19"/>
      <c r="C2874" s="25">
        <f>IF(D2874="","",D2874/48)</f>
        <v>0</v>
      </c>
      <c r="D2874" s="26">
        <f>IF(A2874="","",ROUND((A2874-cfgDefasagem/1440)*48,0))</f>
        <v>0</v>
      </c>
      <c r="E2874" s="26">
        <f>IF(D2874="","",INT((D2874-cfgDeslocamento)/4))</f>
        <v>0</v>
      </c>
      <c r="F2874" s="26">
        <f>IF(D2874="","",MOD(D2874-cfgDeslocamento,4)+1)</f>
        <v>0</v>
      </c>
      <c r="G2874" s="26">
        <f>IF(A2874="","",IF(AND(ISNUMBER(B2874),B2874&lt;&gt;0),1,0))</f>
        <v>0</v>
      </c>
      <c r="H2874" s="25">
        <f>IF(E2874="","",(E2874*4+3+cfgDeslocamento)/48)</f>
        <v>0</v>
      </c>
    </row>
    <row r="2875" spans="1:8">
      <c r="A2875" s="24"/>
      <c r="B2875" s="19"/>
      <c r="C2875" s="25">
        <f>IF(D2875="","",D2875/48)</f>
        <v>0</v>
      </c>
      <c r="D2875" s="26">
        <f>IF(A2875="","",ROUND((A2875-cfgDefasagem/1440)*48,0))</f>
        <v>0</v>
      </c>
      <c r="E2875" s="26">
        <f>IF(D2875="","",INT((D2875-cfgDeslocamento)/4))</f>
        <v>0</v>
      </c>
      <c r="F2875" s="26">
        <f>IF(D2875="","",MOD(D2875-cfgDeslocamento,4)+1)</f>
        <v>0</v>
      </c>
      <c r="G2875" s="26">
        <f>IF(A2875="","",IF(AND(ISNUMBER(B2875),B2875&lt;&gt;0),1,0))</f>
        <v>0</v>
      </c>
      <c r="H2875" s="25">
        <f>IF(E2875="","",(E2875*4+3+cfgDeslocamento)/48)</f>
        <v>0</v>
      </c>
    </row>
    <row r="2876" spans="1:8">
      <c r="A2876" s="24"/>
      <c r="B2876" s="19"/>
      <c r="C2876" s="25">
        <f>IF(D2876="","",D2876/48)</f>
        <v>0</v>
      </c>
      <c r="D2876" s="26">
        <f>IF(A2876="","",ROUND((A2876-cfgDefasagem/1440)*48,0))</f>
        <v>0</v>
      </c>
      <c r="E2876" s="26">
        <f>IF(D2876="","",INT((D2876-cfgDeslocamento)/4))</f>
        <v>0</v>
      </c>
      <c r="F2876" s="26">
        <f>IF(D2876="","",MOD(D2876-cfgDeslocamento,4)+1)</f>
        <v>0</v>
      </c>
      <c r="G2876" s="26">
        <f>IF(A2876="","",IF(AND(ISNUMBER(B2876),B2876&lt;&gt;0),1,0))</f>
        <v>0</v>
      </c>
      <c r="H2876" s="25">
        <f>IF(E2876="","",(E2876*4+3+cfgDeslocamento)/48)</f>
        <v>0</v>
      </c>
    </row>
    <row r="2877" spans="1:8">
      <c r="A2877" s="24"/>
      <c r="B2877" s="19"/>
      <c r="C2877" s="25">
        <f>IF(D2877="","",D2877/48)</f>
        <v>0</v>
      </c>
      <c r="D2877" s="26">
        <f>IF(A2877="","",ROUND((A2877-cfgDefasagem/1440)*48,0))</f>
        <v>0</v>
      </c>
      <c r="E2877" s="26">
        <f>IF(D2877="","",INT((D2877-cfgDeslocamento)/4))</f>
        <v>0</v>
      </c>
      <c r="F2877" s="26">
        <f>IF(D2877="","",MOD(D2877-cfgDeslocamento,4)+1)</f>
        <v>0</v>
      </c>
      <c r="G2877" s="26">
        <f>IF(A2877="","",IF(AND(ISNUMBER(B2877),B2877&lt;&gt;0),1,0))</f>
        <v>0</v>
      </c>
      <c r="H2877" s="25">
        <f>IF(E2877="","",(E2877*4+3+cfgDeslocamento)/48)</f>
        <v>0</v>
      </c>
    </row>
    <row r="2878" spans="1:8">
      <c r="A2878" s="24"/>
      <c r="B2878" s="19"/>
      <c r="C2878" s="25">
        <f>IF(D2878="","",D2878/48)</f>
        <v>0</v>
      </c>
      <c r="D2878" s="26">
        <f>IF(A2878="","",ROUND((A2878-cfgDefasagem/1440)*48,0))</f>
        <v>0</v>
      </c>
      <c r="E2878" s="26">
        <f>IF(D2878="","",INT((D2878-cfgDeslocamento)/4))</f>
        <v>0</v>
      </c>
      <c r="F2878" s="26">
        <f>IF(D2878="","",MOD(D2878-cfgDeslocamento,4)+1)</f>
        <v>0</v>
      </c>
      <c r="G2878" s="26">
        <f>IF(A2878="","",IF(AND(ISNUMBER(B2878),B2878&lt;&gt;0),1,0))</f>
        <v>0</v>
      </c>
      <c r="H2878" s="25">
        <f>IF(E2878="","",(E2878*4+3+cfgDeslocamento)/48)</f>
        <v>0</v>
      </c>
    </row>
    <row r="2879" spans="1:8">
      <c r="A2879" s="24"/>
      <c r="B2879" s="19"/>
      <c r="C2879" s="25">
        <f>IF(D2879="","",D2879/48)</f>
        <v>0</v>
      </c>
      <c r="D2879" s="26">
        <f>IF(A2879="","",ROUND((A2879-cfgDefasagem/1440)*48,0))</f>
        <v>0</v>
      </c>
      <c r="E2879" s="26">
        <f>IF(D2879="","",INT((D2879-cfgDeslocamento)/4))</f>
        <v>0</v>
      </c>
      <c r="F2879" s="26">
        <f>IF(D2879="","",MOD(D2879-cfgDeslocamento,4)+1)</f>
        <v>0</v>
      </c>
      <c r="G2879" s="26">
        <f>IF(A2879="","",IF(AND(ISNUMBER(B2879),B2879&lt;&gt;0),1,0))</f>
        <v>0</v>
      </c>
      <c r="H2879" s="25">
        <f>IF(E2879="","",(E2879*4+3+cfgDeslocamento)/48)</f>
        <v>0</v>
      </c>
    </row>
    <row r="2880" spans="1:8">
      <c r="A2880" s="24"/>
      <c r="B2880" s="19"/>
      <c r="C2880" s="25">
        <f>IF(D2880="","",D2880/48)</f>
        <v>0</v>
      </c>
      <c r="D2880" s="26">
        <f>IF(A2880="","",ROUND((A2880-cfgDefasagem/1440)*48,0))</f>
        <v>0</v>
      </c>
      <c r="E2880" s="26">
        <f>IF(D2880="","",INT((D2880-cfgDeslocamento)/4))</f>
        <v>0</v>
      </c>
      <c r="F2880" s="26">
        <f>IF(D2880="","",MOD(D2880-cfgDeslocamento,4)+1)</f>
        <v>0</v>
      </c>
      <c r="G2880" s="26">
        <f>IF(A2880="","",IF(AND(ISNUMBER(B2880),B2880&lt;&gt;0),1,0))</f>
        <v>0</v>
      </c>
      <c r="H2880" s="25">
        <f>IF(E2880="","",(E2880*4+3+cfgDeslocamento)/48)</f>
        <v>0</v>
      </c>
    </row>
    <row r="2881" spans="1:8">
      <c r="A2881" s="24"/>
      <c r="B2881" s="19"/>
      <c r="C2881" s="25">
        <f>IF(D2881="","",D2881/48)</f>
        <v>0</v>
      </c>
      <c r="D2881" s="26">
        <f>IF(A2881="","",ROUND((A2881-cfgDefasagem/1440)*48,0))</f>
        <v>0</v>
      </c>
      <c r="E2881" s="26">
        <f>IF(D2881="","",INT((D2881-cfgDeslocamento)/4))</f>
        <v>0</v>
      </c>
      <c r="F2881" s="26">
        <f>IF(D2881="","",MOD(D2881-cfgDeslocamento,4)+1)</f>
        <v>0</v>
      </c>
      <c r="G2881" s="26">
        <f>IF(A2881="","",IF(AND(ISNUMBER(B2881),B2881&lt;&gt;0),1,0))</f>
        <v>0</v>
      </c>
      <c r="H2881" s="25">
        <f>IF(E2881="","",(E2881*4+3+cfgDeslocamento)/48)</f>
        <v>0</v>
      </c>
    </row>
    <row r="2882" spans="1:8">
      <c r="A2882" s="24"/>
      <c r="B2882" s="19"/>
      <c r="C2882" s="25">
        <f>IF(D2882="","",D2882/48)</f>
        <v>0</v>
      </c>
      <c r="D2882" s="26">
        <f>IF(A2882="","",ROUND((A2882-cfgDefasagem/1440)*48,0))</f>
        <v>0</v>
      </c>
      <c r="E2882" s="26">
        <f>IF(D2882="","",INT((D2882-cfgDeslocamento)/4))</f>
        <v>0</v>
      </c>
      <c r="F2882" s="26">
        <f>IF(D2882="","",MOD(D2882-cfgDeslocamento,4)+1)</f>
        <v>0</v>
      </c>
      <c r="G2882" s="26">
        <f>IF(A2882="","",IF(AND(ISNUMBER(B2882),B2882&lt;&gt;0),1,0))</f>
        <v>0</v>
      </c>
      <c r="H2882" s="25">
        <f>IF(E2882="","",(E2882*4+3+cfgDeslocamento)/48)</f>
        <v>0</v>
      </c>
    </row>
    <row r="2883" spans="1:8">
      <c r="A2883" s="24"/>
      <c r="B2883" s="19"/>
      <c r="C2883" s="25">
        <f>IF(D2883="","",D2883/48)</f>
        <v>0</v>
      </c>
      <c r="D2883" s="26">
        <f>IF(A2883="","",ROUND((A2883-cfgDefasagem/1440)*48,0))</f>
        <v>0</v>
      </c>
      <c r="E2883" s="26">
        <f>IF(D2883="","",INT((D2883-cfgDeslocamento)/4))</f>
        <v>0</v>
      </c>
      <c r="F2883" s="26">
        <f>IF(D2883="","",MOD(D2883-cfgDeslocamento,4)+1)</f>
        <v>0</v>
      </c>
      <c r="G2883" s="26">
        <f>IF(A2883="","",IF(AND(ISNUMBER(B2883),B2883&lt;&gt;0),1,0))</f>
        <v>0</v>
      </c>
      <c r="H2883" s="25">
        <f>IF(E2883="","",(E2883*4+3+cfgDeslocamento)/48)</f>
        <v>0</v>
      </c>
    </row>
    <row r="2884" spans="1:8">
      <c r="A2884" s="24"/>
      <c r="B2884" s="19"/>
      <c r="C2884" s="25">
        <f>IF(D2884="","",D2884/48)</f>
        <v>0</v>
      </c>
      <c r="D2884" s="26">
        <f>IF(A2884="","",ROUND((A2884-cfgDefasagem/1440)*48,0))</f>
        <v>0</v>
      </c>
      <c r="E2884" s="26">
        <f>IF(D2884="","",INT((D2884-cfgDeslocamento)/4))</f>
        <v>0</v>
      </c>
      <c r="F2884" s="26">
        <f>IF(D2884="","",MOD(D2884-cfgDeslocamento,4)+1)</f>
        <v>0</v>
      </c>
      <c r="G2884" s="26">
        <f>IF(A2884="","",IF(AND(ISNUMBER(B2884),B2884&lt;&gt;0),1,0))</f>
        <v>0</v>
      </c>
      <c r="H2884" s="25">
        <f>IF(E2884="","",(E2884*4+3+cfgDeslocamento)/48)</f>
        <v>0</v>
      </c>
    </row>
    <row r="2885" spans="1:8">
      <c r="A2885" s="24"/>
      <c r="B2885" s="19"/>
      <c r="C2885" s="25">
        <f>IF(D2885="","",D2885/48)</f>
        <v>0</v>
      </c>
      <c r="D2885" s="26">
        <f>IF(A2885="","",ROUND((A2885-cfgDefasagem/1440)*48,0))</f>
        <v>0</v>
      </c>
      <c r="E2885" s="26">
        <f>IF(D2885="","",INT((D2885-cfgDeslocamento)/4))</f>
        <v>0</v>
      </c>
      <c r="F2885" s="26">
        <f>IF(D2885="","",MOD(D2885-cfgDeslocamento,4)+1)</f>
        <v>0</v>
      </c>
      <c r="G2885" s="26">
        <f>IF(A2885="","",IF(AND(ISNUMBER(B2885),B2885&lt;&gt;0),1,0))</f>
        <v>0</v>
      </c>
      <c r="H2885" s="25">
        <f>IF(E2885="","",(E2885*4+3+cfgDeslocamento)/48)</f>
        <v>0</v>
      </c>
    </row>
    <row r="2886" spans="1:8">
      <c r="A2886" s="24"/>
      <c r="B2886" s="19"/>
      <c r="C2886" s="25">
        <f>IF(D2886="","",D2886/48)</f>
        <v>0</v>
      </c>
      <c r="D2886" s="26">
        <f>IF(A2886="","",ROUND((A2886-cfgDefasagem/1440)*48,0))</f>
        <v>0</v>
      </c>
      <c r="E2886" s="26">
        <f>IF(D2886="","",INT((D2886-cfgDeslocamento)/4))</f>
        <v>0</v>
      </c>
      <c r="F2886" s="26">
        <f>IF(D2886="","",MOD(D2886-cfgDeslocamento,4)+1)</f>
        <v>0</v>
      </c>
      <c r="G2886" s="26">
        <f>IF(A2886="","",IF(AND(ISNUMBER(B2886),B2886&lt;&gt;0),1,0))</f>
        <v>0</v>
      </c>
      <c r="H2886" s="25">
        <f>IF(E2886="","",(E2886*4+3+cfgDeslocamento)/48)</f>
        <v>0</v>
      </c>
    </row>
    <row r="2887" spans="1:8">
      <c r="A2887" s="24"/>
      <c r="B2887" s="19"/>
      <c r="C2887" s="25">
        <f>IF(D2887="","",D2887/48)</f>
        <v>0</v>
      </c>
      <c r="D2887" s="26">
        <f>IF(A2887="","",ROUND((A2887-cfgDefasagem/1440)*48,0))</f>
        <v>0</v>
      </c>
      <c r="E2887" s="26">
        <f>IF(D2887="","",INT((D2887-cfgDeslocamento)/4))</f>
        <v>0</v>
      </c>
      <c r="F2887" s="26">
        <f>IF(D2887="","",MOD(D2887-cfgDeslocamento,4)+1)</f>
        <v>0</v>
      </c>
      <c r="G2887" s="26">
        <f>IF(A2887="","",IF(AND(ISNUMBER(B2887),B2887&lt;&gt;0),1,0))</f>
        <v>0</v>
      </c>
      <c r="H2887" s="25">
        <f>IF(E2887="","",(E2887*4+3+cfgDeslocamento)/48)</f>
        <v>0</v>
      </c>
    </row>
    <row r="2888" spans="1:8">
      <c r="A2888" s="24"/>
      <c r="B2888" s="19"/>
      <c r="C2888" s="25">
        <f>IF(D2888="","",D2888/48)</f>
        <v>0</v>
      </c>
      <c r="D2888" s="26">
        <f>IF(A2888="","",ROUND((A2888-cfgDefasagem/1440)*48,0))</f>
        <v>0</v>
      </c>
      <c r="E2888" s="26">
        <f>IF(D2888="","",INT((D2888-cfgDeslocamento)/4))</f>
        <v>0</v>
      </c>
      <c r="F2888" s="26">
        <f>IF(D2888="","",MOD(D2888-cfgDeslocamento,4)+1)</f>
        <v>0</v>
      </c>
      <c r="G2888" s="26">
        <f>IF(A2888="","",IF(AND(ISNUMBER(B2888),B2888&lt;&gt;0),1,0))</f>
        <v>0</v>
      </c>
      <c r="H2888" s="25">
        <f>IF(E2888="","",(E2888*4+3+cfgDeslocamento)/48)</f>
        <v>0</v>
      </c>
    </row>
    <row r="2889" spans="1:8">
      <c r="A2889" s="24"/>
      <c r="B2889" s="19"/>
      <c r="C2889" s="25">
        <f>IF(D2889="","",D2889/48)</f>
        <v>0</v>
      </c>
      <c r="D2889" s="26">
        <f>IF(A2889="","",ROUND((A2889-cfgDefasagem/1440)*48,0))</f>
        <v>0</v>
      </c>
      <c r="E2889" s="26">
        <f>IF(D2889="","",INT((D2889-cfgDeslocamento)/4))</f>
        <v>0</v>
      </c>
      <c r="F2889" s="26">
        <f>IF(D2889="","",MOD(D2889-cfgDeslocamento,4)+1)</f>
        <v>0</v>
      </c>
      <c r="G2889" s="26">
        <f>IF(A2889="","",IF(AND(ISNUMBER(B2889),B2889&lt;&gt;0),1,0))</f>
        <v>0</v>
      </c>
      <c r="H2889" s="25">
        <f>IF(E2889="","",(E2889*4+3+cfgDeslocamento)/48)</f>
        <v>0</v>
      </c>
    </row>
    <row r="2890" spans="1:8">
      <c r="A2890" s="24"/>
      <c r="B2890" s="19"/>
      <c r="C2890" s="25">
        <f>IF(D2890="","",D2890/48)</f>
        <v>0</v>
      </c>
      <c r="D2890" s="26">
        <f>IF(A2890="","",ROUND((A2890-cfgDefasagem/1440)*48,0))</f>
        <v>0</v>
      </c>
      <c r="E2890" s="26">
        <f>IF(D2890="","",INT((D2890-cfgDeslocamento)/4))</f>
        <v>0</v>
      </c>
      <c r="F2890" s="26">
        <f>IF(D2890="","",MOD(D2890-cfgDeslocamento,4)+1)</f>
        <v>0</v>
      </c>
      <c r="G2890" s="26">
        <f>IF(A2890="","",IF(AND(ISNUMBER(B2890),B2890&lt;&gt;0),1,0))</f>
        <v>0</v>
      </c>
      <c r="H2890" s="25">
        <f>IF(E2890="","",(E2890*4+3+cfgDeslocamento)/48)</f>
        <v>0</v>
      </c>
    </row>
    <row r="2891" spans="1:8">
      <c r="A2891" s="24"/>
      <c r="B2891" s="19"/>
      <c r="C2891" s="25">
        <f>IF(D2891="","",D2891/48)</f>
        <v>0</v>
      </c>
      <c r="D2891" s="26">
        <f>IF(A2891="","",ROUND((A2891-cfgDefasagem/1440)*48,0))</f>
        <v>0</v>
      </c>
      <c r="E2891" s="26">
        <f>IF(D2891="","",INT((D2891-cfgDeslocamento)/4))</f>
        <v>0</v>
      </c>
      <c r="F2891" s="26">
        <f>IF(D2891="","",MOD(D2891-cfgDeslocamento,4)+1)</f>
        <v>0</v>
      </c>
      <c r="G2891" s="26">
        <f>IF(A2891="","",IF(AND(ISNUMBER(B2891),B2891&lt;&gt;0),1,0))</f>
        <v>0</v>
      </c>
      <c r="H2891" s="25">
        <f>IF(E2891="","",(E2891*4+3+cfgDeslocamento)/48)</f>
        <v>0</v>
      </c>
    </row>
    <row r="2892" spans="1:8">
      <c r="A2892" s="24"/>
      <c r="B2892" s="19"/>
      <c r="C2892" s="25">
        <f>IF(D2892="","",D2892/48)</f>
        <v>0</v>
      </c>
      <c r="D2892" s="26">
        <f>IF(A2892="","",ROUND((A2892-cfgDefasagem/1440)*48,0))</f>
        <v>0</v>
      </c>
      <c r="E2892" s="26">
        <f>IF(D2892="","",INT((D2892-cfgDeslocamento)/4))</f>
        <v>0</v>
      </c>
      <c r="F2892" s="26">
        <f>IF(D2892="","",MOD(D2892-cfgDeslocamento,4)+1)</f>
        <v>0</v>
      </c>
      <c r="G2892" s="26">
        <f>IF(A2892="","",IF(AND(ISNUMBER(B2892),B2892&lt;&gt;0),1,0))</f>
        <v>0</v>
      </c>
      <c r="H2892" s="25">
        <f>IF(E2892="","",(E2892*4+3+cfgDeslocamento)/48)</f>
        <v>0</v>
      </c>
    </row>
    <row r="2893" spans="1:8">
      <c r="A2893" s="24"/>
      <c r="B2893" s="19"/>
      <c r="C2893" s="25">
        <f>IF(D2893="","",D2893/48)</f>
        <v>0</v>
      </c>
      <c r="D2893" s="26">
        <f>IF(A2893="","",ROUND((A2893-cfgDefasagem/1440)*48,0))</f>
        <v>0</v>
      </c>
      <c r="E2893" s="26">
        <f>IF(D2893="","",INT((D2893-cfgDeslocamento)/4))</f>
        <v>0</v>
      </c>
      <c r="F2893" s="26">
        <f>IF(D2893="","",MOD(D2893-cfgDeslocamento,4)+1)</f>
        <v>0</v>
      </c>
      <c r="G2893" s="26">
        <f>IF(A2893="","",IF(AND(ISNUMBER(B2893),B2893&lt;&gt;0),1,0))</f>
        <v>0</v>
      </c>
      <c r="H2893" s="25">
        <f>IF(E2893="","",(E2893*4+3+cfgDeslocamento)/48)</f>
        <v>0</v>
      </c>
    </row>
    <row r="2894" spans="1:8">
      <c r="A2894" s="24"/>
      <c r="B2894" s="19"/>
      <c r="C2894" s="25">
        <f>IF(D2894="","",D2894/48)</f>
        <v>0</v>
      </c>
      <c r="D2894" s="26">
        <f>IF(A2894="","",ROUND((A2894-cfgDefasagem/1440)*48,0))</f>
        <v>0</v>
      </c>
      <c r="E2894" s="26">
        <f>IF(D2894="","",INT((D2894-cfgDeslocamento)/4))</f>
        <v>0</v>
      </c>
      <c r="F2894" s="26">
        <f>IF(D2894="","",MOD(D2894-cfgDeslocamento,4)+1)</f>
        <v>0</v>
      </c>
      <c r="G2894" s="26">
        <f>IF(A2894="","",IF(AND(ISNUMBER(B2894),B2894&lt;&gt;0),1,0))</f>
        <v>0</v>
      </c>
      <c r="H2894" s="25">
        <f>IF(E2894="","",(E2894*4+3+cfgDeslocamento)/48)</f>
        <v>0</v>
      </c>
    </row>
    <row r="2895" spans="1:8">
      <c r="A2895" s="24"/>
      <c r="B2895" s="19"/>
      <c r="C2895" s="25">
        <f>IF(D2895="","",D2895/48)</f>
        <v>0</v>
      </c>
      <c r="D2895" s="26">
        <f>IF(A2895="","",ROUND((A2895-cfgDefasagem/1440)*48,0))</f>
        <v>0</v>
      </c>
      <c r="E2895" s="26">
        <f>IF(D2895="","",INT((D2895-cfgDeslocamento)/4))</f>
        <v>0</v>
      </c>
      <c r="F2895" s="26">
        <f>IF(D2895="","",MOD(D2895-cfgDeslocamento,4)+1)</f>
        <v>0</v>
      </c>
      <c r="G2895" s="26">
        <f>IF(A2895="","",IF(AND(ISNUMBER(B2895),B2895&lt;&gt;0),1,0))</f>
        <v>0</v>
      </c>
      <c r="H2895" s="25">
        <f>IF(E2895="","",(E2895*4+3+cfgDeslocamento)/48)</f>
        <v>0</v>
      </c>
    </row>
    <row r="2896" spans="1:8">
      <c r="A2896" s="24"/>
      <c r="B2896" s="19"/>
      <c r="C2896" s="25">
        <f>IF(D2896="","",D2896/48)</f>
        <v>0</v>
      </c>
      <c r="D2896" s="26">
        <f>IF(A2896="","",ROUND((A2896-cfgDefasagem/1440)*48,0))</f>
        <v>0</v>
      </c>
      <c r="E2896" s="26">
        <f>IF(D2896="","",INT((D2896-cfgDeslocamento)/4))</f>
        <v>0</v>
      </c>
      <c r="F2896" s="26">
        <f>IF(D2896="","",MOD(D2896-cfgDeslocamento,4)+1)</f>
        <v>0</v>
      </c>
      <c r="G2896" s="26">
        <f>IF(A2896="","",IF(AND(ISNUMBER(B2896),B2896&lt;&gt;0),1,0))</f>
        <v>0</v>
      </c>
      <c r="H2896" s="25">
        <f>IF(E2896="","",(E2896*4+3+cfgDeslocamento)/48)</f>
        <v>0</v>
      </c>
    </row>
    <row r="2897" spans="1:8">
      <c r="A2897" s="24"/>
      <c r="B2897" s="19"/>
      <c r="C2897" s="25">
        <f>IF(D2897="","",D2897/48)</f>
        <v>0</v>
      </c>
      <c r="D2897" s="26">
        <f>IF(A2897="","",ROUND((A2897-cfgDefasagem/1440)*48,0))</f>
        <v>0</v>
      </c>
      <c r="E2897" s="26">
        <f>IF(D2897="","",INT((D2897-cfgDeslocamento)/4))</f>
        <v>0</v>
      </c>
      <c r="F2897" s="26">
        <f>IF(D2897="","",MOD(D2897-cfgDeslocamento,4)+1)</f>
        <v>0</v>
      </c>
      <c r="G2897" s="26">
        <f>IF(A2897="","",IF(AND(ISNUMBER(B2897),B2897&lt;&gt;0),1,0))</f>
        <v>0</v>
      </c>
      <c r="H2897" s="25">
        <f>IF(E2897="","",(E2897*4+3+cfgDeslocamento)/48)</f>
        <v>0</v>
      </c>
    </row>
    <row r="2898" spans="1:8">
      <c r="A2898" s="24"/>
      <c r="B2898" s="19"/>
      <c r="C2898" s="25">
        <f>IF(D2898="","",D2898/48)</f>
        <v>0</v>
      </c>
      <c r="D2898" s="26">
        <f>IF(A2898="","",ROUND((A2898-cfgDefasagem/1440)*48,0))</f>
        <v>0</v>
      </c>
      <c r="E2898" s="26">
        <f>IF(D2898="","",INT((D2898-cfgDeslocamento)/4))</f>
        <v>0</v>
      </c>
      <c r="F2898" s="26">
        <f>IF(D2898="","",MOD(D2898-cfgDeslocamento,4)+1)</f>
        <v>0</v>
      </c>
      <c r="G2898" s="26">
        <f>IF(A2898="","",IF(AND(ISNUMBER(B2898),B2898&lt;&gt;0),1,0))</f>
        <v>0</v>
      </c>
      <c r="H2898" s="25">
        <f>IF(E2898="","",(E2898*4+3+cfgDeslocamento)/48)</f>
        <v>0</v>
      </c>
    </row>
    <row r="2899" spans="1:8">
      <c r="A2899" s="24"/>
      <c r="B2899" s="19"/>
      <c r="C2899" s="25">
        <f>IF(D2899="","",D2899/48)</f>
        <v>0</v>
      </c>
      <c r="D2899" s="26">
        <f>IF(A2899="","",ROUND((A2899-cfgDefasagem/1440)*48,0))</f>
        <v>0</v>
      </c>
      <c r="E2899" s="26">
        <f>IF(D2899="","",INT((D2899-cfgDeslocamento)/4))</f>
        <v>0</v>
      </c>
      <c r="F2899" s="26">
        <f>IF(D2899="","",MOD(D2899-cfgDeslocamento,4)+1)</f>
        <v>0</v>
      </c>
      <c r="G2899" s="26">
        <f>IF(A2899="","",IF(AND(ISNUMBER(B2899),B2899&lt;&gt;0),1,0))</f>
        <v>0</v>
      </c>
      <c r="H2899" s="25">
        <f>IF(E2899="","",(E2899*4+3+cfgDeslocamento)/48)</f>
        <v>0</v>
      </c>
    </row>
    <row r="2900" spans="1:8">
      <c r="A2900" s="24"/>
      <c r="B2900" s="19"/>
      <c r="C2900" s="25">
        <f>IF(D2900="","",D2900/48)</f>
        <v>0</v>
      </c>
      <c r="D2900" s="26">
        <f>IF(A2900="","",ROUND((A2900-cfgDefasagem/1440)*48,0))</f>
        <v>0</v>
      </c>
      <c r="E2900" s="26">
        <f>IF(D2900="","",INT((D2900-cfgDeslocamento)/4))</f>
        <v>0</v>
      </c>
      <c r="F2900" s="26">
        <f>IF(D2900="","",MOD(D2900-cfgDeslocamento,4)+1)</f>
        <v>0</v>
      </c>
      <c r="G2900" s="26">
        <f>IF(A2900="","",IF(AND(ISNUMBER(B2900),B2900&lt;&gt;0),1,0))</f>
        <v>0</v>
      </c>
      <c r="H2900" s="25">
        <f>IF(E2900="","",(E2900*4+3+cfgDeslocamento)/48)</f>
        <v>0</v>
      </c>
    </row>
    <row r="2901" spans="1:8">
      <c r="A2901" s="24"/>
      <c r="B2901" s="19"/>
      <c r="C2901" s="25">
        <f>IF(D2901="","",D2901/48)</f>
        <v>0</v>
      </c>
      <c r="D2901" s="26">
        <f>IF(A2901="","",ROUND((A2901-cfgDefasagem/1440)*48,0))</f>
        <v>0</v>
      </c>
      <c r="E2901" s="26">
        <f>IF(D2901="","",INT((D2901-cfgDeslocamento)/4))</f>
        <v>0</v>
      </c>
      <c r="F2901" s="26">
        <f>IF(D2901="","",MOD(D2901-cfgDeslocamento,4)+1)</f>
        <v>0</v>
      </c>
      <c r="G2901" s="26">
        <f>IF(A2901="","",IF(AND(ISNUMBER(B2901),B2901&lt;&gt;0),1,0))</f>
        <v>0</v>
      </c>
      <c r="H2901" s="25">
        <f>IF(E2901="","",(E2901*4+3+cfgDeslocamento)/48)</f>
        <v>0</v>
      </c>
    </row>
    <row r="2902" spans="1:8">
      <c r="A2902" s="24"/>
      <c r="B2902" s="19"/>
      <c r="C2902" s="25">
        <f>IF(D2902="","",D2902/48)</f>
        <v>0</v>
      </c>
      <c r="D2902" s="26">
        <f>IF(A2902="","",ROUND((A2902-cfgDefasagem/1440)*48,0))</f>
        <v>0</v>
      </c>
      <c r="E2902" s="26">
        <f>IF(D2902="","",INT((D2902-cfgDeslocamento)/4))</f>
        <v>0</v>
      </c>
      <c r="F2902" s="26">
        <f>IF(D2902="","",MOD(D2902-cfgDeslocamento,4)+1)</f>
        <v>0</v>
      </c>
      <c r="G2902" s="26">
        <f>IF(A2902="","",IF(AND(ISNUMBER(B2902),B2902&lt;&gt;0),1,0))</f>
        <v>0</v>
      </c>
      <c r="H2902" s="25">
        <f>IF(E2902="","",(E2902*4+3+cfgDeslocamento)/48)</f>
        <v>0</v>
      </c>
    </row>
    <row r="2903" spans="1:8">
      <c r="A2903" s="24"/>
      <c r="B2903" s="19"/>
      <c r="C2903" s="25">
        <f>IF(D2903="","",D2903/48)</f>
        <v>0</v>
      </c>
      <c r="D2903" s="26">
        <f>IF(A2903="","",ROUND((A2903-cfgDefasagem/1440)*48,0))</f>
        <v>0</v>
      </c>
      <c r="E2903" s="26">
        <f>IF(D2903="","",INT((D2903-cfgDeslocamento)/4))</f>
        <v>0</v>
      </c>
      <c r="F2903" s="26">
        <f>IF(D2903="","",MOD(D2903-cfgDeslocamento,4)+1)</f>
        <v>0</v>
      </c>
      <c r="G2903" s="26">
        <f>IF(A2903="","",IF(AND(ISNUMBER(B2903),B2903&lt;&gt;0),1,0))</f>
        <v>0</v>
      </c>
      <c r="H2903" s="25">
        <f>IF(E2903="","",(E2903*4+3+cfgDeslocamento)/48)</f>
        <v>0</v>
      </c>
    </row>
    <row r="2904" spans="1:8">
      <c r="A2904" s="24"/>
      <c r="B2904" s="19"/>
      <c r="C2904" s="25">
        <f>IF(D2904="","",D2904/48)</f>
        <v>0</v>
      </c>
      <c r="D2904" s="26">
        <f>IF(A2904="","",ROUND((A2904-cfgDefasagem/1440)*48,0))</f>
        <v>0</v>
      </c>
      <c r="E2904" s="26">
        <f>IF(D2904="","",INT((D2904-cfgDeslocamento)/4))</f>
        <v>0</v>
      </c>
      <c r="F2904" s="26">
        <f>IF(D2904="","",MOD(D2904-cfgDeslocamento,4)+1)</f>
        <v>0</v>
      </c>
      <c r="G2904" s="26">
        <f>IF(A2904="","",IF(AND(ISNUMBER(B2904),B2904&lt;&gt;0),1,0))</f>
        <v>0</v>
      </c>
      <c r="H2904" s="25">
        <f>IF(E2904="","",(E2904*4+3+cfgDeslocamento)/48)</f>
        <v>0</v>
      </c>
    </row>
    <row r="2905" spans="1:8">
      <c r="A2905" s="24"/>
      <c r="B2905" s="19"/>
      <c r="C2905" s="25">
        <f>IF(D2905="","",D2905/48)</f>
        <v>0</v>
      </c>
      <c r="D2905" s="26">
        <f>IF(A2905="","",ROUND((A2905-cfgDefasagem/1440)*48,0))</f>
        <v>0</v>
      </c>
      <c r="E2905" s="26">
        <f>IF(D2905="","",INT((D2905-cfgDeslocamento)/4))</f>
        <v>0</v>
      </c>
      <c r="F2905" s="26">
        <f>IF(D2905="","",MOD(D2905-cfgDeslocamento,4)+1)</f>
        <v>0</v>
      </c>
      <c r="G2905" s="26">
        <f>IF(A2905="","",IF(AND(ISNUMBER(B2905),B2905&lt;&gt;0),1,0))</f>
        <v>0</v>
      </c>
      <c r="H2905" s="25">
        <f>IF(E2905="","",(E2905*4+3+cfgDeslocamento)/48)</f>
        <v>0</v>
      </c>
    </row>
    <row r="2906" spans="1:8">
      <c r="A2906" s="24"/>
      <c r="B2906" s="19"/>
      <c r="C2906" s="25">
        <f>IF(D2906="","",D2906/48)</f>
        <v>0</v>
      </c>
      <c r="D2906" s="26">
        <f>IF(A2906="","",ROUND((A2906-cfgDefasagem/1440)*48,0))</f>
        <v>0</v>
      </c>
      <c r="E2906" s="26">
        <f>IF(D2906="","",INT((D2906-cfgDeslocamento)/4))</f>
        <v>0</v>
      </c>
      <c r="F2906" s="26">
        <f>IF(D2906="","",MOD(D2906-cfgDeslocamento,4)+1)</f>
        <v>0</v>
      </c>
      <c r="G2906" s="26">
        <f>IF(A2906="","",IF(AND(ISNUMBER(B2906),B2906&lt;&gt;0),1,0))</f>
        <v>0</v>
      </c>
      <c r="H2906" s="25">
        <f>IF(E2906="","",(E2906*4+3+cfgDeslocamento)/48)</f>
        <v>0</v>
      </c>
    </row>
    <row r="2907" spans="1:8">
      <c r="A2907" s="24"/>
      <c r="B2907" s="19"/>
      <c r="C2907" s="25">
        <f>IF(D2907="","",D2907/48)</f>
        <v>0</v>
      </c>
      <c r="D2907" s="26">
        <f>IF(A2907="","",ROUND((A2907-cfgDefasagem/1440)*48,0))</f>
        <v>0</v>
      </c>
      <c r="E2907" s="26">
        <f>IF(D2907="","",INT((D2907-cfgDeslocamento)/4))</f>
        <v>0</v>
      </c>
      <c r="F2907" s="26">
        <f>IF(D2907="","",MOD(D2907-cfgDeslocamento,4)+1)</f>
        <v>0</v>
      </c>
      <c r="G2907" s="26">
        <f>IF(A2907="","",IF(AND(ISNUMBER(B2907),B2907&lt;&gt;0),1,0))</f>
        <v>0</v>
      </c>
      <c r="H2907" s="25">
        <f>IF(E2907="","",(E2907*4+3+cfgDeslocamento)/48)</f>
        <v>0</v>
      </c>
    </row>
    <row r="2908" spans="1:8">
      <c r="A2908" s="24"/>
      <c r="B2908" s="19"/>
      <c r="C2908" s="25">
        <f>IF(D2908="","",D2908/48)</f>
        <v>0</v>
      </c>
      <c r="D2908" s="26">
        <f>IF(A2908="","",ROUND((A2908-cfgDefasagem/1440)*48,0))</f>
        <v>0</v>
      </c>
      <c r="E2908" s="26">
        <f>IF(D2908="","",INT((D2908-cfgDeslocamento)/4))</f>
        <v>0</v>
      </c>
      <c r="F2908" s="26">
        <f>IF(D2908="","",MOD(D2908-cfgDeslocamento,4)+1)</f>
        <v>0</v>
      </c>
      <c r="G2908" s="26">
        <f>IF(A2908="","",IF(AND(ISNUMBER(B2908),B2908&lt;&gt;0),1,0))</f>
        <v>0</v>
      </c>
      <c r="H2908" s="25">
        <f>IF(E2908="","",(E2908*4+3+cfgDeslocamento)/48)</f>
        <v>0</v>
      </c>
    </row>
    <row r="2909" spans="1:8">
      <c r="A2909" s="24"/>
      <c r="B2909" s="19"/>
      <c r="C2909" s="25">
        <f>IF(D2909="","",D2909/48)</f>
        <v>0</v>
      </c>
      <c r="D2909" s="26">
        <f>IF(A2909="","",ROUND((A2909-cfgDefasagem/1440)*48,0))</f>
        <v>0</v>
      </c>
      <c r="E2909" s="26">
        <f>IF(D2909="","",INT((D2909-cfgDeslocamento)/4))</f>
        <v>0</v>
      </c>
      <c r="F2909" s="26">
        <f>IF(D2909="","",MOD(D2909-cfgDeslocamento,4)+1)</f>
        <v>0</v>
      </c>
      <c r="G2909" s="26">
        <f>IF(A2909="","",IF(AND(ISNUMBER(B2909),B2909&lt;&gt;0),1,0))</f>
        <v>0</v>
      </c>
      <c r="H2909" s="25">
        <f>IF(E2909="","",(E2909*4+3+cfgDeslocamento)/48)</f>
        <v>0</v>
      </c>
    </row>
    <row r="2910" spans="1:8">
      <c r="A2910" s="24"/>
      <c r="B2910" s="19"/>
      <c r="C2910" s="25">
        <f>IF(D2910="","",D2910/48)</f>
        <v>0</v>
      </c>
      <c r="D2910" s="26">
        <f>IF(A2910="","",ROUND((A2910-cfgDefasagem/1440)*48,0))</f>
        <v>0</v>
      </c>
      <c r="E2910" s="26">
        <f>IF(D2910="","",INT((D2910-cfgDeslocamento)/4))</f>
        <v>0</v>
      </c>
      <c r="F2910" s="26">
        <f>IF(D2910="","",MOD(D2910-cfgDeslocamento,4)+1)</f>
        <v>0</v>
      </c>
      <c r="G2910" s="26">
        <f>IF(A2910="","",IF(AND(ISNUMBER(B2910),B2910&lt;&gt;0),1,0))</f>
        <v>0</v>
      </c>
      <c r="H2910" s="25">
        <f>IF(E2910="","",(E2910*4+3+cfgDeslocamento)/48)</f>
        <v>0</v>
      </c>
    </row>
    <row r="2911" spans="1:8">
      <c r="A2911" s="24"/>
      <c r="B2911" s="19"/>
      <c r="C2911" s="25">
        <f>IF(D2911="","",D2911/48)</f>
        <v>0</v>
      </c>
      <c r="D2911" s="26">
        <f>IF(A2911="","",ROUND((A2911-cfgDefasagem/1440)*48,0))</f>
        <v>0</v>
      </c>
      <c r="E2911" s="26">
        <f>IF(D2911="","",INT((D2911-cfgDeslocamento)/4))</f>
        <v>0</v>
      </c>
      <c r="F2911" s="26">
        <f>IF(D2911="","",MOD(D2911-cfgDeslocamento,4)+1)</f>
        <v>0</v>
      </c>
      <c r="G2911" s="26">
        <f>IF(A2911="","",IF(AND(ISNUMBER(B2911),B2911&lt;&gt;0),1,0))</f>
        <v>0</v>
      </c>
      <c r="H2911" s="25">
        <f>IF(E2911="","",(E2911*4+3+cfgDeslocamento)/48)</f>
        <v>0</v>
      </c>
    </row>
    <row r="2912" spans="1:8">
      <c r="A2912" s="24"/>
      <c r="B2912" s="19"/>
      <c r="C2912" s="25">
        <f>IF(D2912="","",D2912/48)</f>
        <v>0</v>
      </c>
      <c r="D2912" s="26">
        <f>IF(A2912="","",ROUND((A2912-cfgDefasagem/1440)*48,0))</f>
        <v>0</v>
      </c>
      <c r="E2912" s="26">
        <f>IF(D2912="","",INT((D2912-cfgDeslocamento)/4))</f>
        <v>0</v>
      </c>
      <c r="F2912" s="26">
        <f>IF(D2912="","",MOD(D2912-cfgDeslocamento,4)+1)</f>
        <v>0</v>
      </c>
      <c r="G2912" s="26">
        <f>IF(A2912="","",IF(AND(ISNUMBER(B2912),B2912&lt;&gt;0),1,0))</f>
        <v>0</v>
      </c>
      <c r="H2912" s="25">
        <f>IF(E2912="","",(E2912*4+3+cfgDeslocamento)/48)</f>
        <v>0</v>
      </c>
    </row>
    <row r="2913" spans="1:8">
      <c r="A2913" s="24"/>
      <c r="B2913" s="19"/>
      <c r="C2913" s="25">
        <f>IF(D2913="","",D2913/48)</f>
        <v>0</v>
      </c>
      <c r="D2913" s="26">
        <f>IF(A2913="","",ROUND((A2913-cfgDefasagem/1440)*48,0))</f>
        <v>0</v>
      </c>
      <c r="E2913" s="26">
        <f>IF(D2913="","",INT((D2913-cfgDeslocamento)/4))</f>
        <v>0</v>
      </c>
      <c r="F2913" s="26">
        <f>IF(D2913="","",MOD(D2913-cfgDeslocamento,4)+1)</f>
        <v>0</v>
      </c>
      <c r="G2913" s="26">
        <f>IF(A2913="","",IF(AND(ISNUMBER(B2913),B2913&lt;&gt;0),1,0))</f>
        <v>0</v>
      </c>
      <c r="H2913" s="25">
        <f>IF(E2913="","",(E2913*4+3+cfgDeslocamento)/48)</f>
        <v>0</v>
      </c>
    </row>
    <row r="2914" spans="1:8">
      <c r="A2914" s="24"/>
      <c r="B2914" s="19"/>
      <c r="C2914" s="25">
        <f>IF(D2914="","",D2914/48)</f>
        <v>0</v>
      </c>
      <c r="D2914" s="26">
        <f>IF(A2914="","",ROUND((A2914-cfgDefasagem/1440)*48,0))</f>
        <v>0</v>
      </c>
      <c r="E2914" s="26">
        <f>IF(D2914="","",INT((D2914-cfgDeslocamento)/4))</f>
        <v>0</v>
      </c>
      <c r="F2914" s="26">
        <f>IF(D2914="","",MOD(D2914-cfgDeslocamento,4)+1)</f>
        <v>0</v>
      </c>
      <c r="G2914" s="26">
        <f>IF(A2914="","",IF(AND(ISNUMBER(B2914),B2914&lt;&gt;0),1,0))</f>
        <v>0</v>
      </c>
      <c r="H2914" s="25">
        <f>IF(E2914="","",(E2914*4+3+cfgDeslocamento)/48)</f>
        <v>0</v>
      </c>
    </row>
    <row r="2915" spans="1:8">
      <c r="A2915" s="24"/>
      <c r="B2915" s="19"/>
      <c r="C2915" s="25">
        <f>IF(D2915="","",D2915/48)</f>
        <v>0</v>
      </c>
      <c r="D2915" s="26">
        <f>IF(A2915="","",ROUND((A2915-cfgDefasagem/1440)*48,0))</f>
        <v>0</v>
      </c>
      <c r="E2915" s="26">
        <f>IF(D2915="","",INT((D2915-cfgDeslocamento)/4))</f>
        <v>0</v>
      </c>
      <c r="F2915" s="26">
        <f>IF(D2915="","",MOD(D2915-cfgDeslocamento,4)+1)</f>
        <v>0</v>
      </c>
      <c r="G2915" s="26">
        <f>IF(A2915="","",IF(AND(ISNUMBER(B2915),B2915&lt;&gt;0),1,0))</f>
        <v>0</v>
      </c>
      <c r="H2915" s="25">
        <f>IF(E2915="","",(E2915*4+3+cfgDeslocamento)/48)</f>
        <v>0</v>
      </c>
    </row>
    <row r="2916" spans="1:8">
      <c r="A2916" s="24"/>
      <c r="B2916" s="19"/>
      <c r="C2916" s="25">
        <f>IF(D2916="","",D2916/48)</f>
        <v>0</v>
      </c>
      <c r="D2916" s="26">
        <f>IF(A2916="","",ROUND((A2916-cfgDefasagem/1440)*48,0))</f>
        <v>0</v>
      </c>
      <c r="E2916" s="26">
        <f>IF(D2916="","",INT((D2916-cfgDeslocamento)/4))</f>
        <v>0</v>
      </c>
      <c r="F2916" s="26">
        <f>IF(D2916="","",MOD(D2916-cfgDeslocamento,4)+1)</f>
        <v>0</v>
      </c>
      <c r="G2916" s="26">
        <f>IF(A2916="","",IF(AND(ISNUMBER(B2916),B2916&lt;&gt;0),1,0))</f>
        <v>0</v>
      </c>
      <c r="H2916" s="25">
        <f>IF(E2916="","",(E2916*4+3+cfgDeslocamento)/48)</f>
        <v>0</v>
      </c>
    </row>
    <row r="2917" spans="1:8">
      <c r="A2917" s="24"/>
      <c r="B2917" s="19"/>
      <c r="C2917" s="25">
        <f>IF(D2917="","",D2917/48)</f>
        <v>0</v>
      </c>
      <c r="D2917" s="26">
        <f>IF(A2917="","",ROUND((A2917-cfgDefasagem/1440)*48,0))</f>
        <v>0</v>
      </c>
      <c r="E2917" s="26">
        <f>IF(D2917="","",INT((D2917-cfgDeslocamento)/4))</f>
        <v>0</v>
      </c>
      <c r="F2917" s="26">
        <f>IF(D2917="","",MOD(D2917-cfgDeslocamento,4)+1)</f>
        <v>0</v>
      </c>
      <c r="G2917" s="26">
        <f>IF(A2917="","",IF(AND(ISNUMBER(B2917),B2917&lt;&gt;0),1,0))</f>
        <v>0</v>
      </c>
      <c r="H2917" s="25">
        <f>IF(E2917="","",(E2917*4+3+cfgDeslocamento)/48)</f>
        <v>0</v>
      </c>
    </row>
    <row r="2918" spans="1:8">
      <c r="A2918" s="24"/>
      <c r="B2918" s="19"/>
      <c r="C2918" s="25">
        <f>IF(D2918="","",D2918/48)</f>
        <v>0</v>
      </c>
      <c r="D2918" s="26">
        <f>IF(A2918="","",ROUND((A2918-cfgDefasagem/1440)*48,0))</f>
        <v>0</v>
      </c>
      <c r="E2918" s="26">
        <f>IF(D2918="","",INT((D2918-cfgDeslocamento)/4))</f>
        <v>0</v>
      </c>
      <c r="F2918" s="26">
        <f>IF(D2918="","",MOD(D2918-cfgDeslocamento,4)+1)</f>
        <v>0</v>
      </c>
      <c r="G2918" s="26">
        <f>IF(A2918="","",IF(AND(ISNUMBER(B2918),B2918&lt;&gt;0),1,0))</f>
        <v>0</v>
      </c>
      <c r="H2918" s="25">
        <f>IF(E2918="","",(E2918*4+3+cfgDeslocamento)/48)</f>
        <v>0</v>
      </c>
    </row>
    <row r="2919" spans="1:8">
      <c r="A2919" s="24"/>
      <c r="B2919" s="19"/>
      <c r="C2919" s="25">
        <f>IF(D2919="","",D2919/48)</f>
        <v>0</v>
      </c>
      <c r="D2919" s="26">
        <f>IF(A2919="","",ROUND((A2919-cfgDefasagem/1440)*48,0))</f>
        <v>0</v>
      </c>
      <c r="E2919" s="26">
        <f>IF(D2919="","",INT((D2919-cfgDeslocamento)/4))</f>
        <v>0</v>
      </c>
      <c r="F2919" s="26">
        <f>IF(D2919="","",MOD(D2919-cfgDeslocamento,4)+1)</f>
        <v>0</v>
      </c>
      <c r="G2919" s="26">
        <f>IF(A2919="","",IF(AND(ISNUMBER(B2919),B2919&lt;&gt;0),1,0))</f>
        <v>0</v>
      </c>
      <c r="H2919" s="25">
        <f>IF(E2919="","",(E2919*4+3+cfgDeslocamento)/48)</f>
        <v>0</v>
      </c>
    </row>
    <row r="2920" spans="1:8">
      <c r="A2920" s="24"/>
      <c r="B2920" s="19"/>
      <c r="C2920" s="25">
        <f>IF(D2920="","",D2920/48)</f>
        <v>0</v>
      </c>
      <c r="D2920" s="26">
        <f>IF(A2920="","",ROUND((A2920-cfgDefasagem/1440)*48,0))</f>
        <v>0</v>
      </c>
      <c r="E2920" s="26">
        <f>IF(D2920="","",INT((D2920-cfgDeslocamento)/4))</f>
        <v>0</v>
      </c>
      <c r="F2920" s="26">
        <f>IF(D2920="","",MOD(D2920-cfgDeslocamento,4)+1)</f>
        <v>0</v>
      </c>
      <c r="G2920" s="26">
        <f>IF(A2920="","",IF(AND(ISNUMBER(B2920),B2920&lt;&gt;0),1,0))</f>
        <v>0</v>
      </c>
      <c r="H2920" s="25">
        <f>IF(E2920="","",(E2920*4+3+cfgDeslocamento)/48)</f>
        <v>0</v>
      </c>
    </row>
    <row r="2921" spans="1:8">
      <c r="A2921" s="24"/>
      <c r="B2921" s="19"/>
      <c r="C2921" s="25">
        <f>IF(D2921="","",D2921/48)</f>
        <v>0</v>
      </c>
      <c r="D2921" s="26">
        <f>IF(A2921="","",ROUND((A2921-cfgDefasagem/1440)*48,0))</f>
        <v>0</v>
      </c>
      <c r="E2921" s="26">
        <f>IF(D2921="","",INT((D2921-cfgDeslocamento)/4))</f>
        <v>0</v>
      </c>
      <c r="F2921" s="26">
        <f>IF(D2921="","",MOD(D2921-cfgDeslocamento,4)+1)</f>
        <v>0</v>
      </c>
      <c r="G2921" s="26">
        <f>IF(A2921="","",IF(AND(ISNUMBER(B2921),B2921&lt;&gt;0),1,0))</f>
        <v>0</v>
      </c>
      <c r="H2921" s="25">
        <f>IF(E2921="","",(E2921*4+3+cfgDeslocamento)/48)</f>
        <v>0</v>
      </c>
    </row>
    <row r="2922" spans="1:8">
      <c r="A2922" s="24"/>
      <c r="B2922" s="19"/>
      <c r="C2922" s="25">
        <f>IF(D2922="","",D2922/48)</f>
        <v>0</v>
      </c>
      <c r="D2922" s="26">
        <f>IF(A2922="","",ROUND((A2922-cfgDefasagem/1440)*48,0))</f>
        <v>0</v>
      </c>
      <c r="E2922" s="26">
        <f>IF(D2922="","",INT((D2922-cfgDeslocamento)/4))</f>
        <v>0</v>
      </c>
      <c r="F2922" s="26">
        <f>IF(D2922="","",MOD(D2922-cfgDeslocamento,4)+1)</f>
        <v>0</v>
      </c>
      <c r="G2922" s="26">
        <f>IF(A2922="","",IF(AND(ISNUMBER(B2922),B2922&lt;&gt;0),1,0))</f>
        <v>0</v>
      </c>
      <c r="H2922" s="25">
        <f>IF(E2922="","",(E2922*4+3+cfgDeslocamento)/48)</f>
        <v>0</v>
      </c>
    </row>
    <row r="2923" spans="1:8">
      <c r="A2923" s="24"/>
      <c r="B2923" s="19"/>
      <c r="C2923" s="25">
        <f>IF(D2923="","",D2923/48)</f>
        <v>0</v>
      </c>
      <c r="D2923" s="26">
        <f>IF(A2923="","",ROUND((A2923-cfgDefasagem/1440)*48,0))</f>
        <v>0</v>
      </c>
      <c r="E2923" s="26">
        <f>IF(D2923="","",INT((D2923-cfgDeslocamento)/4))</f>
        <v>0</v>
      </c>
      <c r="F2923" s="26">
        <f>IF(D2923="","",MOD(D2923-cfgDeslocamento,4)+1)</f>
        <v>0</v>
      </c>
      <c r="G2923" s="26">
        <f>IF(A2923="","",IF(AND(ISNUMBER(B2923),B2923&lt;&gt;0),1,0))</f>
        <v>0</v>
      </c>
      <c r="H2923" s="25">
        <f>IF(E2923="","",(E2923*4+3+cfgDeslocamento)/48)</f>
        <v>0</v>
      </c>
    </row>
    <row r="2924" spans="1:8">
      <c r="A2924" s="24"/>
      <c r="B2924" s="19"/>
      <c r="C2924" s="25">
        <f>IF(D2924="","",D2924/48)</f>
        <v>0</v>
      </c>
      <c r="D2924" s="26">
        <f>IF(A2924="","",ROUND((A2924-cfgDefasagem/1440)*48,0))</f>
        <v>0</v>
      </c>
      <c r="E2924" s="26">
        <f>IF(D2924="","",INT((D2924-cfgDeslocamento)/4))</f>
        <v>0</v>
      </c>
      <c r="F2924" s="26">
        <f>IF(D2924="","",MOD(D2924-cfgDeslocamento,4)+1)</f>
        <v>0</v>
      </c>
      <c r="G2924" s="26">
        <f>IF(A2924="","",IF(AND(ISNUMBER(B2924),B2924&lt;&gt;0),1,0))</f>
        <v>0</v>
      </c>
      <c r="H2924" s="25">
        <f>IF(E2924="","",(E2924*4+3+cfgDeslocamento)/48)</f>
        <v>0</v>
      </c>
    </row>
    <row r="2925" spans="1:8">
      <c r="A2925" s="24"/>
      <c r="B2925" s="19"/>
      <c r="C2925" s="25">
        <f>IF(D2925="","",D2925/48)</f>
        <v>0</v>
      </c>
      <c r="D2925" s="26">
        <f>IF(A2925="","",ROUND((A2925-cfgDefasagem/1440)*48,0))</f>
        <v>0</v>
      </c>
      <c r="E2925" s="26">
        <f>IF(D2925="","",INT((D2925-cfgDeslocamento)/4))</f>
        <v>0</v>
      </c>
      <c r="F2925" s="26">
        <f>IF(D2925="","",MOD(D2925-cfgDeslocamento,4)+1)</f>
        <v>0</v>
      </c>
      <c r="G2925" s="26">
        <f>IF(A2925="","",IF(AND(ISNUMBER(B2925),B2925&lt;&gt;0),1,0))</f>
        <v>0</v>
      </c>
      <c r="H2925" s="25">
        <f>IF(E2925="","",(E2925*4+3+cfgDeslocamento)/48)</f>
        <v>0</v>
      </c>
    </row>
    <row r="2926" spans="1:8">
      <c r="A2926" s="24"/>
      <c r="B2926" s="19"/>
      <c r="C2926" s="25">
        <f>IF(D2926="","",D2926/48)</f>
        <v>0</v>
      </c>
      <c r="D2926" s="26">
        <f>IF(A2926="","",ROUND((A2926-cfgDefasagem/1440)*48,0))</f>
        <v>0</v>
      </c>
      <c r="E2926" s="26">
        <f>IF(D2926="","",INT((D2926-cfgDeslocamento)/4))</f>
        <v>0</v>
      </c>
      <c r="F2926" s="26">
        <f>IF(D2926="","",MOD(D2926-cfgDeslocamento,4)+1)</f>
        <v>0</v>
      </c>
      <c r="G2926" s="26">
        <f>IF(A2926="","",IF(AND(ISNUMBER(B2926),B2926&lt;&gt;0),1,0))</f>
        <v>0</v>
      </c>
      <c r="H2926" s="25">
        <f>IF(E2926="","",(E2926*4+3+cfgDeslocamento)/48)</f>
        <v>0</v>
      </c>
    </row>
    <row r="2927" spans="1:8">
      <c r="A2927" s="24"/>
      <c r="B2927" s="19"/>
      <c r="C2927" s="25">
        <f>IF(D2927="","",D2927/48)</f>
        <v>0</v>
      </c>
      <c r="D2927" s="26">
        <f>IF(A2927="","",ROUND((A2927-cfgDefasagem/1440)*48,0))</f>
        <v>0</v>
      </c>
      <c r="E2927" s="26">
        <f>IF(D2927="","",INT((D2927-cfgDeslocamento)/4))</f>
        <v>0</v>
      </c>
      <c r="F2927" s="26">
        <f>IF(D2927="","",MOD(D2927-cfgDeslocamento,4)+1)</f>
        <v>0</v>
      </c>
      <c r="G2927" s="26">
        <f>IF(A2927="","",IF(AND(ISNUMBER(B2927),B2927&lt;&gt;0),1,0))</f>
        <v>0</v>
      </c>
      <c r="H2927" s="25">
        <f>IF(E2927="","",(E2927*4+3+cfgDeslocamento)/48)</f>
        <v>0</v>
      </c>
    </row>
    <row r="2928" spans="1:8">
      <c r="A2928" s="24"/>
      <c r="B2928" s="19"/>
      <c r="C2928" s="25">
        <f>IF(D2928="","",D2928/48)</f>
        <v>0</v>
      </c>
      <c r="D2928" s="26">
        <f>IF(A2928="","",ROUND((A2928-cfgDefasagem/1440)*48,0))</f>
        <v>0</v>
      </c>
      <c r="E2928" s="26">
        <f>IF(D2928="","",INT((D2928-cfgDeslocamento)/4))</f>
        <v>0</v>
      </c>
      <c r="F2928" s="26">
        <f>IF(D2928="","",MOD(D2928-cfgDeslocamento,4)+1)</f>
        <v>0</v>
      </c>
      <c r="G2928" s="26">
        <f>IF(A2928="","",IF(AND(ISNUMBER(B2928),B2928&lt;&gt;0),1,0))</f>
        <v>0</v>
      </c>
      <c r="H2928" s="25">
        <f>IF(E2928="","",(E2928*4+3+cfgDeslocamento)/48)</f>
        <v>0</v>
      </c>
    </row>
    <row r="2929" spans="1:8">
      <c r="A2929" s="24"/>
      <c r="B2929" s="19"/>
      <c r="C2929" s="25">
        <f>IF(D2929="","",D2929/48)</f>
        <v>0</v>
      </c>
      <c r="D2929" s="26">
        <f>IF(A2929="","",ROUND((A2929-cfgDefasagem/1440)*48,0))</f>
        <v>0</v>
      </c>
      <c r="E2929" s="26">
        <f>IF(D2929="","",INT((D2929-cfgDeslocamento)/4))</f>
        <v>0</v>
      </c>
      <c r="F2929" s="26">
        <f>IF(D2929="","",MOD(D2929-cfgDeslocamento,4)+1)</f>
        <v>0</v>
      </c>
      <c r="G2929" s="26">
        <f>IF(A2929="","",IF(AND(ISNUMBER(B2929),B2929&lt;&gt;0),1,0))</f>
        <v>0</v>
      </c>
      <c r="H2929" s="25">
        <f>IF(E2929="","",(E2929*4+3+cfgDeslocamento)/48)</f>
        <v>0</v>
      </c>
    </row>
    <row r="2930" spans="1:8">
      <c r="A2930" s="24"/>
      <c r="B2930" s="19"/>
      <c r="C2930" s="25">
        <f>IF(D2930="","",D2930/48)</f>
        <v>0</v>
      </c>
      <c r="D2930" s="26">
        <f>IF(A2930="","",ROUND((A2930-cfgDefasagem/1440)*48,0))</f>
        <v>0</v>
      </c>
      <c r="E2930" s="26">
        <f>IF(D2930="","",INT((D2930-cfgDeslocamento)/4))</f>
        <v>0</v>
      </c>
      <c r="F2930" s="26">
        <f>IF(D2930="","",MOD(D2930-cfgDeslocamento,4)+1)</f>
        <v>0</v>
      </c>
      <c r="G2930" s="26">
        <f>IF(A2930="","",IF(AND(ISNUMBER(B2930),B2930&lt;&gt;0),1,0))</f>
        <v>0</v>
      </c>
      <c r="H2930" s="25">
        <f>IF(E2930="","",(E2930*4+3+cfgDeslocamento)/48)</f>
        <v>0</v>
      </c>
    </row>
    <row r="2931" spans="1:8">
      <c r="A2931" s="24"/>
      <c r="B2931" s="19"/>
      <c r="C2931" s="25">
        <f>IF(D2931="","",D2931/48)</f>
        <v>0</v>
      </c>
      <c r="D2931" s="26">
        <f>IF(A2931="","",ROUND((A2931-cfgDefasagem/1440)*48,0))</f>
        <v>0</v>
      </c>
      <c r="E2931" s="26">
        <f>IF(D2931="","",INT((D2931-cfgDeslocamento)/4))</f>
        <v>0</v>
      </c>
      <c r="F2931" s="26">
        <f>IF(D2931="","",MOD(D2931-cfgDeslocamento,4)+1)</f>
        <v>0</v>
      </c>
      <c r="G2931" s="26">
        <f>IF(A2931="","",IF(AND(ISNUMBER(B2931),B2931&lt;&gt;0),1,0))</f>
        <v>0</v>
      </c>
      <c r="H2931" s="25">
        <f>IF(E2931="","",(E2931*4+3+cfgDeslocamento)/48)</f>
        <v>0</v>
      </c>
    </row>
    <row r="2932" spans="1:8">
      <c r="A2932" s="24"/>
      <c r="B2932" s="19"/>
      <c r="C2932" s="25">
        <f>IF(D2932="","",D2932/48)</f>
        <v>0</v>
      </c>
      <c r="D2932" s="26">
        <f>IF(A2932="","",ROUND((A2932-cfgDefasagem/1440)*48,0))</f>
        <v>0</v>
      </c>
      <c r="E2932" s="26">
        <f>IF(D2932="","",INT((D2932-cfgDeslocamento)/4))</f>
        <v>0</v>
      </c>
      <c r="F2932" s="26">
        <f>IF(D2932="","",MOD(D2932-cfgDeslocamento,4)+1)</f>
        <v>0</v>
      </c>
      <c r="G2932" s="26">
        <f>IF(A2932="","",IF(AND(ISNUMBER(B2932),B2932&lt;&gt;0),1,0))</f>
        <v>0</v>
      </c>
      <c r="H2932" s="25">
        <f>IF(E2932="","",(E2932*4+3+cfgDeslocamento)/48)</f>
        <v>0</v>
      </c>
    </row>
    <row r="2933" spans="1:8">
      <c r="A2933" s="24"/>
      <c r="B2933" s="19"/>
      <c r="C2933" s="25">
        <f>IF(D2933="","",D2933/48)</f>
        <v>0</v>
      </c>
      <c r="D2933" s="26">
        <f>IF(A2933="","",ROUND((A2933-cfgDefasagem/1440)*48,0))</f>
        <v>0</v>
      </c>
      <c r="E2933" s="26">
        <f>IF(D2933="","",INT((D2933-cfgDeslocamento)/4))</f>
        <v>0</v>
      </c>
      <c r="F2933" s="26">
        <f>IF(D2933="","",MOD(D2933-cfgDeslocamento,4)+1)</f>
        <v>0</v>
      </c>
      <c r="G2933" s="26">
        <f>IF(A2933="","",IF(AND(ISNUMBER(B2933),B2933&lt;&gt;0),1,0))</f>
        <v>0</v>
      </c>
      <c r="H2933" s="25">
        <f>IF(E2933="","",(E2933*4+3+cfgDeslocamento)/48)</f>
        <v>0</v>
      </c>
    </row>
    <row r="2934" spans="1:8">
      <c r="A2934" s="24"/>
      <c r="B2934" s="19"/>
      <c r="C2934" s="25">
        <f>IF(D2934="","",D2934/48)</f>
        <v>0</v>
      </c>
      <c r="D2934" s="26">
        <f>IF(A2934="","",ROUND((A2934-cfgDefasagem/1440)*48,0))</f>
        <v>0</v>
      </c>
      <c r="E2934" s="26">
        <f>IF(D2934="","",INT((D2934-cfgDeslocamento)/4))</f>
        <v>0</v>
      </c>
      <c r="F2934" s="26">
        <f>IF(D2934="","",MOD(D2934-cfgDeslocamento,4)+1)</f>
        <v>0</v>
      </c>
      <c r="G2934" s="26">
        <f>IF(A2934="","",IF(AND(ISNUMBER(B2934),B2934&lt;&gt;0),1,0))</f>
        <v>0</v>
      </c>
      <c r="H2934" s="25">
        <f>IF(E2934="","",(E2934*4+3+cfgDeslocamento)/48)</f>
        <v>0</v>
      </c>
    </row>
    <row r="2935" spans="1:8">
      <c r="A2935" s="24"/>
      <c r="B2935" s="19"/>
      <c r="C2935" s="25">
        <f>IF(D2935="","",D2935/48)</f>
        <v>0</v>
      </c>
      <c r="D2935" s="26">
        <f>IF(A2935="","",ROUND((A2935-cfgDefasagem/1440)*48,0))</f>
        <v>0</v>
      </c>
      <c r="E2935" s="26">
        <f>IF(D2935="","",INT((D2935-cfgDeslocamento)/4))</f>
        <v>0</v>
      </c>
      <c r="F2935" s="26">
        <f>IF(D2935="","",MOD(D2935-cfgDeslocamento,4)+1)</f>
        <v>0</v>
      </c>
      <c r="G2935" s="26">
        <f>IF(A2935="","",IF(AND(ISNUMBER(B2935),B2935&lt;&gt;0),1,0))</f>
        <v>0</v>
      </c>
      <c r="H2935" s="25">
        <f>IF(E2935="","",(E2935*4+3+cfgDeslocamento)/48)</f>
        <v>0</v>
      </c>
    </row>
    <row r="2936" spans="1:8">
      <c r="A2936" s="24"/>
      <c r="B2936" s="19"/>
      <c r="C2936" s="25">
        <f>IF(D2936="","",D2936/48)</f>
        <v>0</v>
      </c>
      <c r="D2936" s="26">
        <f>IF(A2936="","",ROUND((A2936-cfgDefasagem/1440)*48,0))</f>
        <v>0</v>
      </c>
      <c r="E2936" s="26">
        <f>IF(D2936="","",INT((D2936-cfgDeslocamento)/4))</f>
        <v>0</v>
      </c>
      <c r="F2936" s="26">
        <f>IF(D2936="","",MOD(D2936-cfgDeslocamento,4)+1)</f>
        <v>0</v>
      </c>
      <c r="G2936" s="26">
        <f>IF(A2936="","",IF(AND(ISNUMBER(B2936),B2936&lt;&gt;0),1,0))</f>
        <v>0</v>
      </c>
      <c r="H2936" s="25">
        <f>IF(E2936="","",(E2936*4+3+cfgDeslocamento)/48)</f>
        <v>0</v>
      </c>
    </row>
    <row r="2937" spans="1:8">
      <c r="A2937" s="24"/>
      <c r="B2937" s="19"/>
      <c r="C2937" s="25">
        <f>IF(D2937="","",D2937/48)</f>
        <v>0</v>
      </c>
      <c r="D2937" s="26">
        <f>IF(A2937="","",ROUND((A2937-cfgDefasagem/1440)*48,0))</f>
        <v>0</v>
      </c>
      <c r="E2937" s="26">
        <f>IF(D2937="","",INT((D2937-cfgDeslocamento)/4))</f>
        <v>0</v>
      </c>
      <c r="F2937" s="26">
        <f>IF(D2937="","",MOD(D2937-cfgDeslocamento,4)+1)</f>
        <v>0</v>
      </c>
      <c r="G2937" s="26">
        <f>IF(A2937="","",IF(AND(ISNUMBER(B2937),B2937&lt;&gt;0),1,0))</f>
        <v>0</v>
      </c>
      <c r="H2937" s="25">
        <f>IF(E2937="","",(E2937*4+3+cfgDeslocamento)/48)</f>
        <v>0</v>
      </c>
    </row>
    <row r="2938" spans="1:8">
      <c r="A2938" s="24"/>
      <c r="B2938" s="19"/>
      <c r="C2938" s="25">
        <f>IF(D2938="","",D2938/48)</f>
        <v>0</v>
      </c>
      <c r="D2938" s="26">
        <f>IF(A2938="","",ROUND((A2938-cfgDefasagem/1440)*48,0))</f>
        <v>0</v>
      </c>
      <c r="E2938" s="26">
        <f>IF(D2938="","",INT((D2938-cfgDeslocamento)/4))</f>
        <v>0</v>
      </c>
      <c r="F2938" s="26">
        <f>IF(D2938="","",MOD(D2938-cfgDeslocamento,4)+1)</f>
        <v>0</v>
      </c>
      <c r="G2938" s="26">
        <f>IF(A2938="","",IF(AND(ISNUMBER(B2938),B2938&lt;&gt;0),1,0))</f>
        <v>0</v>
      </c>
      <c r="H2938" s="25">
        <f>IF(E2938="","",(E2938*4+3+cfgDeslocamento)/48)</f>
        <v>0</v>
      </c>
    </row>
    <row r="2939" spans="1:8">
      <c r="A2939" s="24"/>
      <c r="B2939" s="19"/>
      <c r="C2939" s="25">
        <f>IF(D2939="","",D2939/48)</f>
        <v>0</v>
      </c>
      <c r="D2939" s="26">
        <f>IF(A2939="","",ROUND((A2939-cfgDefasagem/1440)*48,0))</f>
        <v>0</v>
      </c>
      <c r="E2939" s="26">
        <f>IF(D2939="","",INT((D2939-cfgDeslocamento)/4))</f>
        <v>0</v>
      </c>
      <c r="F2939" s="26">
        <f>IF(D2939="","",MOD(D2939-cfgDeslocamento,4)+1)</f>
        <v>0</v>
      </c>
      <c r="G2939" s="26">
        <f>IF(A2939="","",IF(AND(ISNUMBER(B2939),B2939&lt;&gt;0),1,0))</f>
        <v>0</v>
      </c>
      <c r="H2939" s="25">
        <f>IF(E2939="","",(E2939*4+3+cfgDeslocamento)/48)</f>
        <v>0</v>
      </c>
    </row>
    <row r="2940" spans="1:8">
      <c r="A2940" s="24"/>
      <c r="B2940" s="19"/>
      <c r="C2940" s="25">
        <f>IF(D2940="","",D2940/48)</f>
        <v>0</v>
      </c>
      <c r="D2940" s="26">
        <f>IF(A2940="","",ROUND((A2940-cfgDefasagem/1440)*48,0))</f>
        <v>0</v>
      </c>
      <c r="E2940" s="26">
        <f>IF(D2940="","",INT((D2940-cfgDeslocamento)/4))</f>
        <v>0</v>
      </c>
      <c r="F2940" s="26">
        <f>IF(D2940="","",MOD(D2940-cfgDeslocamento,4)+1)</f>
        <v>0</v>
      </c>
      <c r="G2940" s="26">
        <f>IF(A2940="","",IF(AND(ISNUMBER(B2940),B2940&lt;&gt;0),1,0))</f>
        <v>0</v>
      </c>
      <c r="H2940" s="25">
        <f>IF(E2940="","",(E2940*4+3+cfgDeslocamento)/48)</f>
        <v>0</v>
      </c>
    </row>
    <row r="2941" spans="1:8">
      <c r="A2941" s="24"/>
      <c r="B2941" s="19"/>
      <c r="C2941" s="25">
        <f>IF(D2941="","",D2941/48)</f>
        <v>0</v>
      </c>
      <c r="D2941" s="26">
        <f>IF(A2941="","",ROUND((A2941-cfgDefasagem/1440)*48,0))</f>
        <v>0</v>
      </c>
      <c r="E2941" s="26">
        <f>IF(D2941="","",INT((D2941-cfgDeslocamento)/4))</f>
        <v>0</v>
      </c>
      <c r="F2941" s="26">
        <f>IF(D2941="","",MOD(D2941-cfgDeslocamento,4)+1)</f>
        <v>0</v>
      </c>
      <c r="G2941" s="26">
        <f>IF(A2941="","",IF(AND(ISNUMBER(B2941),B2941&lt;&gt;0),1,0))</f>
        <v>0</v>
      </c>
      <c r="H2941" s="25">
        <f>IF(E2941="","",(E2941*4+3+cfgDeslocamento)/48)</f>
        <v>0</v>
      </c>
    </row>
    <row r="2942" spans="1:8">
      <c r="A2942" s="24"/>
      <c r="B2942" s="19"/>
      <c r="C2942" s="25">
        <f>IF(D2942="","",D2942/48)</f>
        <v>0</v>
      </c>
      <c r="D2942" s="26">
        <f>IF(A2942="","",ROUND((A2942-cfgDefasagem/1440)*48,0))</f>
        <v>0</v>
      </c>
      <c r="E2942" s="26">
        <f>IF(D2942="","",INT((D2942-cfgDeslocamento)/4))</f>
        <v>0</v>
      </c>
      <c r="F2942" s="26">
        <f>IF(D2942="","",MOD(D2942-cfgDeslocamento,4)+1)</f>
        <v>0</v>
      </c>
      <c r="G2942" s="26">
        <f>IF(A2942="","",IF(AND(ISNUMBER(B2942),B2942&lt;&gt;0),1,0))</f>
        <v>0</v>
      </c>
      <c r="H2942" s="25">
        <f>IF(E2942="","",(E2942*4+3+cfgDeslocamento)/48)</f>
        <v>0</v>
      </c>
    </row>
    <row r="2943" spans="1:8">
      <c r="A2943" s="24"/>
      <c r="B2943" s="19"/>
      <c r="C2943" s="25">
        <f>IF(D2943="","",D2943/48)</f>
        <v>0</v>
      </c>
      <c r="D2943" s="26">
        <f>IF(A2943="","",ROUND((A2943-cfgDefasagem/1440)*48,0))</f>
        <v>0</v>
      </c>
      <c r="E2943" s="26">
        <f>IF(D2943="","",INT((D2943-cfgDeslocamento)/4))</f>
        <v>0</v>
      </c>
      <c r="F2943" s="26">
        <f>IF(D2943="","",MOD(D2943-cfgDeslocamento,4)+1)</f>
        <v>0</v>
      </c>
      <c r="G2943" s="26">
        <f>IF(A2943="","",IF(AND(ISNUMBER(B2943),B2943&lt;&gt;0),1,0))</f>
        <v>0</v>
      </c>
      <c r="H2943" s="25">
        <f>IF(E2943="","",(E2943*4+3+cfgDeslocamento)/48)</f>
        <v>0</v>
      </c>
    </row>
    <row r="2944" spans="1:8">
      <c r="A2944" s="24"/>
      <c r="B2944" s="19"/>
      <c r="C2944" s="25">
        <f>IF(D2944="","",D2944/48)</f>
        <v>0</v>
      </c>
      <c r="D2944" s="26">
        <f>IF(A2944="","",ROUND((A2944-cfgDefasagem/1440)*48,0))</f>
        <v>0</v>
      </c>
      <c r="E2944" s="26">
        <f>IF(D2944="","",INT((D2944-cfgDeslocamento)/4))</f>
        <v>0</v>
      </c>
      <c r="F2944" s="26">
        <f>IF(D2944="","",MOD(D2944-cfgDeslocamento,4)+1)</f>
        <v>0</v>
      </c>
      <c r="G2944" s="26">
        <f>IF(A2944="","",IF(AND(ISNUMBER(B2944),B2944&lt;&gt;0),1,0))</f>
        <v>0</v>
      </c>
      <c r="H2944" s="25">
        <f>IF(E2944="","",(E2944*4+3+cfgDeslocamento)/48)</f>
        <v>0</v>
      </c>
    </row>
    <row r="2945" spans="1:8">
      <c r="A2945" s="24"/>
      <c r="B2945" s="19"/>
      <c r="C2945" s="25">
        <f>IF(D2945="","",D2945/48)</f>
        <v>0</v>
      </c>
      <c r="D2945" s="26">
        <f>IF(A2945="","",ROUND((A2945-cfgDefasagem/1440)*48,0))</f>
        <v>0</v>
      </c>
      <c r="E2945" s="26">
        <f>IF(D2945="","",INT((D2945-cfgDeslocamento)/4))</f>
        <v>0</v>
      </c>
      <c r="F2945" s="26">
        <f>IF(D2945="","",MOD(D2945-cfgDeslocamento,4)+1)</f>
        <v>0</v>
      </c>
      <c r="G2945" s="26">
        <f>IF(A2945="","",IF(AND(ISNUMBER(B2945),B2945&lt;&gt;0),1,0))</f>
        <v>0</v>
      </c>
      <c r="H2945" s="25">
        <f>IF(E2945="","",(E2945*4+3+cfgDeslocamento)/48)</f>
        <v>0</v>
      </c>
    </row>
    <row r="2946" spans="1:8">
      <c r="A2946" s="24"/>
      <c r="B2946" s="19"/>
      <c r="C2946" s="25">
        <f>IF(D2946="","",D2946/48)</f>
        <v>0</v>
      </c>
      <c r="D2946" s="26">
        <f>IF(A2946="","",ROUND((A2946-cfgDefasagem/1440)*48,0))</f>
        <v>0</v>
      </c>
      <c r="E2946" s="26">
        <f>IF(D2946="","",INT((D2946-cfgDeslocamento)/4))</f>
        <v>0</v>
      </c>
      <c r="F2946" s="26">
        <f>IF(D2946="","",MOD(D2946-cfgDeslocamento,4)+1)</f>
        <v>0</v>
      </c>
      <c r="G2946" s="26">
        <f>IF(A2946="","",IF(AND(ISNUMBER(B2946),B2946&lt;&gt;0),1,0))</f>
        <v>0</v>
      </c>
      <c r="H2946" s="25">
        <f>IF(E2946="","",(E2946*4+3+cfgDeslocamento)/48)</f>
        <v>0</v>
      </c>
    </row>
    <row r="2947" spans="1:8">
      <c r="A2947" s="24"/>
      <c r="B2947" s="19"/>
      <c r="C2947" s="25">
        <f>IF(D2947="","",D2947/48)</f>
        <v>0</v>
      </c>
      <c r="D2947" s="26">
        <f>IF(A2947="","",ROUND((A2947-cfgDefasagem/1440)*48,0))</f>
        <v>0</v>
      </c>
      <c r="E2947" s="26">
        <f>IF(D2947="","",INT((D2947-cfgDeslocamento)/4))</f>
        <v>0</v>
      </c>
      <c r="F2947" s="26">
        <f>IF(D2947="","",MOD(D2947-cfgDeslocamento,4)+1)</f>
        <v>0</v>
      </c>
      <c r="G2947" s="26">
        <f>IF(A2947="","",IF(AND(ISNUMBER(B2947),B2947&lt;&gt;0),1,0))</f>
        <v>0</v>
      </c>
      <c r="H2947" s="25">
        <f>IF(E2947="","",(E2947*4+3+cfgDeslocamento)/48)</f>
        <v>0</v>
      </c>
    </row>
    <row r="2948" spans="1:8">
      <c r="A2948" s="24"/>
      <c r="B2948" s="19"/>
      <c r="C2948" s="25">
        <f>IF(D2948="","",D2948/48)</f>
        <v>0</v>
      </c>
      <c r="D2948" s="26">
        <f>IF(A2948="","",ROUND((A2948-cfgDefasagem/1440)*48,0))</f>
        <v>0</v>
      </c>
      <c r="E2948" s="26">
        <f>IF(D2948="","",INT((D2948-cfgDeslocamento)/4))</f>
        <v>0</v>
      </c>
      <c r="F2948" s="26">
        <f>IF(D2948="","",MOD(D2948-cfgDeslocamento,4)+1)</f>
        <v>0</v>
      </c>
      <c r="G2948" s="26">
        <f>IF(A2948="","",IF(AND(ISNUMBER(B2948),B2948&lt;&gt;0),1,0))</f>
        <v>0</v>
      </c>
      <c r="H2948" s="25">
        <f>IF(E2948="","",(E2948*4+3+cfgDeslocamento)/48)</f>
        <v>0</v>
      </c>
    </row>
    <row r="2949" spans="1:8">
      <c r="A2949" s="24"/>
      <c r="B2949" s="19"/>
      <c r="C2949" s="25">
        <f>IF(D2949="","",D2949/48)</f>
        <v>0</v>
      </c>
      <c r="D2949" s="26">
        <f>IF(A2949="","",ROUND((A2949-cfgDefasagem/1440)*48,0))</f>
        <v>0</v>
      </c>
      <c r="E2949" s="26">
        <f>IF(D2949="","",INT((D2949-cfgDeslocamento)/4))</f>
        <v>0</v>
      </c>
      <c r="F2949" s="26">
        <f>IF(D2949="","",MOD(D2949-cfgDeslocamento,4)+1)</f>
        <v>0</v>
      </c>
      <c r="G2949" s="26">
        <f>IF(A2949="","",IF(AND(ISNUMBER(B2949),B2949&lt;&gt;0),1,0))</f>
        <v>0</v>
      </c>
      <c r="H2949" s="25">
        <f>IF(E2949="","",(E2949*4+3+cfgDeslocamento)/48)</f>
        <v>0</v>
      </c>
    </row>
    <row r="2950" spans="1:8">
      <c r="A2950" s="24"/>
      <c r="B2950" s="19"/>
      <c r="C2950" s="25">
        <f>IF(D2950="","",D2950/48)</f>
        <v>0</v>
      </c>
      <c r="D2950" s="26">
        <f>IF(A2950="","",ROUND((A2950-cfgDefasagem/1440)*48,0))</f>
        <v>0</v>
      </c>
      <c r="E2950" s="26">
        <f>IF(D2950="","",INT((D2950-cfgDeslocamento)/4))</f>
        <v>0</v>
      </c>
      <c r="F2950" s="26">
        <f>IF(D2950="","",MOD(D2950-cfgDeslocamento,4)+1)</f>
        <v>0</v>
      </c>
      <c r="G2950" s="26">
        <f>IF(A2950="","",IF(AND(ISNUMBER(B2950),B2950&lt;&gt;0),1,0))</f>
        <v>0</v>
      </c>
      <c r="H2950" s="25">
        <f>IF(E2950="","",(E2950*4+3+cfgDeslocamento)/48)</f>
        <v>0</v>
      </c>
    </row>
    <row r="2951" spans="1:8">
      <c r="A2951" s="24"/>
      <c r="B2951" s="19"/>
      <c r="C2951" s="25">
        <f>IF(D2951="","",D2951/48)</f>
        <v>0</v>
      </c>
      <c r="D2951" s="26">
        <f>IF(A2951="","",ROUND((A2951-cfgDefasagem/1440)*48,0))</f>
        <v>0</v>
      </c>
      <c r="E2951" s="26">
        <f>IF(D2951="","",INT((D2951-cfgDeslocamento)/4))</f>
        <v>0</v>
      </c>
      <c r="F2951" s="26">
        <f>IF(D2951="","",MOD(D2951-cfgDeslocamento,4)+1)</f>
        <v>0</v>
      </c>
      <c r="G2951" s="26">
        <f>IF(A2951="","",IF(AND(ISNUMBER(B2951),B2951&lt;&gt;0),1,0))</f>
        <v>0</v>
      </c>
      <c r="H2951" s="25">
        <f>IF(E2951="","",(E2951*4+3+cfgDeslocamento)/48)</f>
        <v>0</v>
      </c>
    </row>
    <row r="2952" spans="1:8">
      <c r="A2952" s="24"/>
      <c r="B2952" s="19"/>
      <c r="C2952" s="25">
        <f>IF(D2952="","",D2952/48)</f>
        <v>0</v>
      </c>
      <c r="D2952" s="26">
        <f>IF(A2952="","",ROUND((A2952-cfgDefasagem/1440)*48,0))</f>
        <v>0</v>
      </c>
      <c r="E2952" s="26">
        <f>IF(D2952="","",INT((D2952-cfgDeslocamento)/4))</f>
        <v>0</v>
      </c>
      <c r="F2952" s="26">
        <f>IF(D2952="","",MOD(D2952-cfgDeslocamento,4)+1)</f>
        <v>0</v>
      </c>
      <c r="G2952" s="26">
        <f>IF(A2952="","",IF(AND(ISNUMBER(B2952),B2952&lt;&gt;0),1,0))</f>
        <v>0</v>
      </c>
      <c r="H2952" s="25">
        <f>IF(E2952="","",(E2952*4+3+cfgDeslocamento)/48)</f>
        <v>0</v>
      </c>
    </row>
    <row r="2953" spans="1:8">
      <c r="A2953" s="24"/>
      <c r="B2953" s="19"/>
      <c r="C2953" s="25">
        <f>IF(D2953="","",D2953/48)</f>
        <v>0</v>
      </c>
      <c r="D2953" s="26">
        <f>IF(A2953="","",ROUND((A2953-cfgDefasagem/1440)*48,0))</f>
        <v>0</v>
      </c>
      <c r="E2953" s="26">
        <f>IF(D2953="","",INT((D2953-cfgDeslocamento)/4))</f>
        <v>0</v>
      </c>
      <c r="F2953" s="26">
        <f>IF(D2953="","",MOD(D2953-cfgDeslocamento,4)+1)</f>
        <v>0</v>
      </c>
      <c r="G2953" s="26">
        <f>IF(A2953="","",IF(AND(ISNUMBER(B2953),B2953&lt;&gt;0),1,0))</f>
        <v>0</v>
      </c>
      <c r="H2953" s="25">
        <f>IF(E2953="","",(E2953*4+3+cfgDeslocamento)/48)</f>
        <v>0</v>
      </c>
    </row>
    <row r="2954" spans="1:8">
      <c r="A2954" s="24"/>
      <c r="B2954" s="19"/>
      <c r="C2954" s="25">
        <f>IF(D2954="","",D2954/48)</f>
        <v>0</v>
      </c>
      <c r="D2954" s="26">
        <f>IF(A2954="","",ROUND((A2954-cfgDefasagem/1440)*48,0))</f>
        <v>0</v>
      </c>
      <c r="E2954" s="26">
        <f>IF(D2954="","",INT((D2954-cfgDeslocamento)/4))</f>
        <v>0</v>
      </c>
      <c r="F2954" s="26">
        <f>IF(D2954="","",MOD(D2954-cfgDeslocamento,4)+1)</f>
        <v>0</v>
      </c>
      <c r="G2954" s="26">
        <f>IF(A2954="","",IF(AND(ISNUMBER(B2954),B2954&lt;&gt;0),1,0))</f>
        <v>0</v>
      </c>
      <c r="H2954" s="25">
        <f>IF(E2954="","",(E2954*4+3+cfgDeslocamento)/48)</f>
        <v>0</v>
      </c>
    </row>
    <row r="2955" spans="1:8">
      <c r="A2955" s="24"/>
      <c r="B2955" s="19"/>
      <c r="C2955" s="25">
        <f>IF(D2955="","",D2955/48)</f>
        <v>0</v>
      </c>
      <c r="D2955" s="26">
        <f>IF(A2955="","",ROUND((A2955-cfgDefasagem/1440)*48,0))</f>
        <v>0</v>
      </c>
      <c r="E2955" s="26">
        <f>IF(D2955="","",INT((D2955-cfgDeslocamento)/4))</f>
        <v>0</v>
      </c>
      <c r="F2955" s="26">
        <f>IF(D2955="","",MOD(D2955-cfgDeslocamento,4)+1)</f>
        <v>0</v>
      </c>
      <c r="G2955" s="26">
        <f>IF(A2955="","",IF(AND(ISNUMBER(B2955),B2955&lt;&gt;0),1,0))</f>
        <v>0</v>
      </c>
      <c r="H2955" s="25">
        <f>IF(E2955="","",(E2955*4+3+cfgDeslocamento)/48)</f>
        <v>0</v>
      </c>
    </row>
    <row r="2956" spans="1:8">
      <c r="A2956" s="24"/>
      <c r="B2956" s="19"/>
      <c r="C2956" s="25">
        <f>IF(D2956="","",D2956/48)</f>
        <v>0</v>
      </c>
      <c r="D2956" s="26">
        <f>IF(A2956="","",ROUND((A2956-cfgDefasagem/1440)*48,0))</f>
        <v>0</v>
      </c>
      <c r="E2956" s="26">
        <f>IF(D2956="","",INT((D2956-cfgDeslocamento)/4))</f>
        <v>0</v>
      </c>
      <c r="F2956" s="26">
        <f>IF(D2956="","",MOD(D2956-cfgDeslocamento,4)+1)</f>
        <v>0</v>
      </c>
      <c r="G2956" s="26">
        <f>IF(A2956="","",IF(AND(ISNUMBER(B2956),B2956&lt;&gt;0),1,0))</f>
        <v>0</v>
      </c>
      <c r="H2956" s="25">
        <f>IF(E2956="","",(E2956*4+3+cfgDeslocamento)/48)</f>
        <v>0</v>
      </c>
    </row>
    <row r="2957" spans="1:8">
      <c r="A2957" s="24"/>
      <c r="B2957" s="19"/>
      <c r="C2957" s="25">
        <f>IF(D2957="","",D2957/48)</f>
        <v>0</v>
      </c>
      <c r="D2957" s="26">
        <f>IF(A2957="","",ROUND((A2957-cfgDefasagem/1440)*48,0))</f>
        <v>0</v>
      </c>
      <c r="E2957" s="26">
        <f>IF(D2957="","",INT((D2957-cfgDeslocamento)/4))</f>
        <v>0</v>
      </c>
      <c r="F2957" s="26">
        <f>IF(D2957="","",MOD(D2957-cfgDeslocamento,4)+1)</f>
        <v>0</v>
      </c>
      <c r="G2957" s="26">
        <f>IF(A2957="","",IF(AND(ISNUMBER(B2957),B2957&lt;&gt;0),1,0))</f>
        <v>0</v>
      </c>
      <c r="H2957" s="25">
        <f>IF(E2957="","",(E2957*4+3+cfgDeslocamento)/48)</f>
        <v>0</v>
      </c>
    </row>
    <row r="2958" spans="1:8">
      <c r="A2958" s="24"/>
      <c r="B2958" s="19"/>
      <c r="C2958" s="25">
        <f>IF(D2958="","",D2958/48)</f>
        <v>0</v>
      </c>
      <c r="D2958" s="26">
        <f>IF(A2958="","",ROUND((A2958-cfgDefasagem/1440)*48,0))</f>
        <v>0</v>
      </c>
      <c r="E2958" s="26">
        <f>IF(D2958="","",INT((D2958-cfgDeslocamento)/4))</f>
        <v>0</v>
      </c>
      <c r="F2958" s="26">
        <f>IF(D2958="","",MOD(D2958-cfgDeslocamento,4)+1)</f>
        <v>0</v>
      </c>
      <c r="G2958" s="26">
        <f>IF(A2958="","",IF(AND(ISNUMBER(B2958),B2958&lt;&gt;0),1,0))</f>
        <v>0</v>
      </c>
      <c r="H2958" s="25">
        <f>IF(E2958="","",(E2958*4+3+cfgDeslocamento)/48)</f>
        <v>0</v>
      </c>
    </row>
    <row r="2959" spans="1:8">
      <c r="A2959" s="24"/>
      <c r="B2959" s="19"/>
      <c r="C2959" s="25">
        <f>IF(D2959="","",D2959/48)</f>
        <v>0</v>
      </c>
      <c r="D2959" s="26">
        <f>IF(A2959="","",ROUND((A2959-cfgDefasagem/1440)*48,0))</f>
        <v>0</v>
      </c>
      <c r="E2959" s="26">
        <f>IF(D2959="","",INT((D2959-cfgDeslocamento)/4))</f>
        <v>0</v>
      </c>
      <c r="F2959" s="26">
        <f>IF(D2959="","",MOD(D2959-cfgDeslocamento,4)+1)</f>
        <v>0</v>
      </c>
      <c r="G2959" s="26">
        <f>IF(A2959="","",IF(AND(ISNUMBER(B2959),B2959&lt;&gt;0),1,0))</f>
        <v>0</v>
      </c>
      <c r="H2959" s="25">
        <f>IF(E2959="","",(E2959*4+3+cfgDeslocamento)/48)</f>
        <v>0</v>
      </c>
    </row>
    <row r="2960" spans="1:8">
      <c r="A2960" s="24"/>
      <c r="B2960" s="19"/>
      <c r="C2960" s="25">
        <f>IF(D2960="","",D2960/48)</f>
        <v>0</v>
      </c>
      <c r="D2960" s="26">
        <f>IF(A2960="","",ROUND((A2960-cfgDefasagem/1440)*48,0))</f>
        <v>0</v>
      </c>
      <c r="E2960" s="26">
        <f>IF(D2960="","",INT((D2960-cfgDeslocamento)/4))</f>
        <v>0</v>
      </c>
      <c r="F2960" s="26">
        <f>IF(D2960="","",MOD(D2960-cfgDeslocamento,4)+1)</f>
        <v>0</v>
      </c>
      <c r="G2960" s="26">
        <f>IF(A2960="","",IF(AND(ISNUMBER(B2960),B2960&lt;&gt;0),1,0))</f>
        <v>0</v>
      </c>
      <c r="H2960" s="25">
        <f>IF(E2960="","",(E2960*4+3+cfgDeslocamento)/48)</f>
        <v>0</v>
      </c>
    </row>
    <row r="2961" spans="1:8">
      <c r="A2961" s="24"/>
      <c r="B2961" s="19"/>
      <c r="C2961" s="25">
        <f>IF(D2961="","",D2961/48)</f>
        <v>0</v>
      </c>
      <c r="D2961" s="26">
        <f>IF(A2961="","",ROUND((A2961-cfgDefasagem/1440)*48,0))</f>
        <v>0</v>
      </c>
      <c r="E2961" s="26">
        <f>IF(D2961="","",INT((D2961-cfgDeslocamento)/4))</f>
        <v>0</v>
      </c>
      <c r="F2961" s="26">
        <f>IF(D2961="","",MOD(D2961-cfgDeslocamento,4)+1)</f>
        <v>0</v>
      </c>
      <c r="G2961" s="26">
        <f>IF(A2961="","",IF(AND(ISNUMBER(B2961),B2961&lt;&gt;0),1,0))</f>
        <v>0</v>
      </c>
      <c r="H2961" s="25">
        <f>IF(E2961="","",(E2961*4+3+cfgDeslocamento)/48)</f>
        <v>0</v>
      </c>
    </row>
    <row r="2962" spans="1:8">
      <c r="A2962" s="24"/>
      <c r="B2962" s="19"/>
      <c r="C2962" s="25">
        <f>IF(D2962="","",D2962/48)</f>
        <v>0</v>
      </c>
      <c r="D2962" s="26">
        <f>IF(A2962="","",ROUND((A2962-cfgDefasagem/1440)*48,0))</f>
        <v>0</v>
      </c>
      <c r="E2962" s="26">
        <f>IF(D2962="","",INT((D2962-cfgDeslocamento)/4))</f>
        <v>0</v>
      </c>
      <c r="F2962" s="26">
        <f>IF(D2962="","",MOD(D2962-cfgDeslocamento,4)+1)</f>
        <v>0</v>
      </c>
      <c r="G2962" s="26">
        <f>IF(A2962="","",IF(AND(ISNUMBER(B2962),B2962&lt;&gt;0),1,0))</f>
        <v>0</v>
      </c>
      <c r="H2962" s="25">
        <f>IF(E2962="","",(E2962*4+3+cfgDeslocamento)/48)</f>
        <v>0</v>
      </c>
    </row>
    <row r="2963" spans="1:8">
      <c r="A2963" s="24"/>
      <c r="B2963" s="19"/>
      <c r="C2963" s="25">
        <f>IF(D2963="","",D2963/48)</f>
        <v>0</v>
      </c>
      <c r="D2963" s="26">
        <f>IF(A2963="","",ROUND((A2963-cfgDefasagem/1440)*48,0))</f>
        <v>0</v>
      </c>
      <c r="E2963" s="26">
        <f>IF(D2963="","",INT((D2963-cfgDeslocamento)/4))</f>
        <v>0</v>
      </c>
      <c r="F2963" s="26">
        <f>IF(D2963="","",MOD(D2963-cfgDeslocamento,4)+1)</f>
        <v>0</v>
      </c>
      <c r="G2963" s="26">
        <f>IF(A2963="","",IF(AND(ISNUMBER(B2963),B2963&lt;&gt;0),1,0))</f>
        <v>0</v>
      </c>
      <c r="H2963" s="25">
        <f>IF(E2963="","",(E2963*4+3+cfgDeslocamento)/48)</f>
        <v>0</v>
      </c>
    </row>
    <row r="2964" spans="1:8">
      <c r="A2964" s="24"/>
      <c r="B2964" s="19"/>
      <c r="C2964" s="25">
        <f>IF(D2964="","",D2964/48)</f>
        <v>0</v>
      </c>
      <c r="D2964" s="26">
        <f>IF(A2964="","",ROUND((A2964-cfgDefasagem/1440)*48,0))</f>
        <v>0</v>
      </c>
      <c r="E2964" s="26">
        <f>IF(D2964="","",INT((D2964-cfgDeslocamento)/4))</f>
        <v>0</v>
      </c>
      <c r="F2964" s="26">
        <f>IF(D2964="","",MOD(D2964-cfgDeslocamento,4)+1)</f>
        <v>0</v>
      </c>
      <c r="G2964" s="26">
        <f>IF(A2964="","",IF(AND(ISNUMBER(B2964),B2964&lt;&gt;0),1,0))</f>
        <v>0</v>
      </c>
      <c r="H2964" s="25">
        <f>IF(E2964="","",(E2964*4+3+cfgDeslocamento)/48)</f>
        <v>0</v>
      </c>
    </row>
    <row r="2965" spans="1:8">
      <c r="A2965" s="24"/>
      <c r="B2965" s="19"/>
      <c r="C2965" s="25">
        <f>IF(D2965="","",D2965/48)</f>
        <v>0</v>
      </c>
      <c r="D2965" s="26">
        <f>IF(A2965="","",ROUND((A2965-cfgDefasagem/1440)*48,0))</f>
        <v>0</v>
      </c>
      <c r="E2965" s="26">
        <f>IF(D2965="","",INT((D2965-cfgDeslocamento)/4))</f>
        <v>0</v>
      </c>
      <c r="F2965" s="26">
        <f>IF(D2965="","",MOD(D2965-cfgDeslocamento,4)+1)</f>
        <v>0</v>
      </c>
      <c r="G2965" s="26">
        <f>IF(A2965="","",IF(AND(ISNUMBER(B2965),B2965&lt;&gt;0),1,0))</f>
        <v>0</v>
      </c>
      <c r="H2965" s="25">
        <f>IF(E2965="","",(E2965*4+3+cfgDeslocamento)/48)</f>
        <v>0</v>
      </c>
    </row>
    <row r="2966" spans="1:8">
      <c r="A2966" s="24"/>
      <c r="B2966" s="19"/>
      <c r="C2966" s="25">
        <f>IF(D2966="","",D2966/48)</f>
        <v>0</v>
      </c>
      <c r="D2966" s="26">
        <f>IF(A2966="","",ROUND((A2966-cfgDefasagem/1440)*48,0))</f>
        <v>0</v>
      </c>
      <c r="E2966" s="26">
        <f>IF(D2966="","",INT((D2966-cfgDeslocamento)/4))</f>
        <v>0</v>
      </c>
      <c r="F2966" s="26">
        <f>IF(D2966="","",MOD(D2966-cfgDeslocamento,4)+1)</f>
        <v>0</v>
      </c>
      <c r="G2966" s="26">
        <f>IF(A2966="","",IF(AND(ISNUMBER(B2966),B2966&lt;&gt;0),1,0))</f>
        <v>0</v>
      </c>
      <c r="H2966" s="25">
        <f>IF(E2966="","",(E2966*4+3+cfgDeslocamento)/48)</f>
        <v>0</v>
      </c>
    </row>
    <row r="2967" spans="1:8">
      <c r="A2967" s="24"/>
      <c r="B2967" s="19"/>
      <c r="C2967" s="25">
        <f>IF(D2967="","",D2967/48)</f>
        <v>0</v>
      </c>
      <c r="D2967" s="26">
        <f>IF(A2967="","",ROUND((A2967-cfgDefasagem/1440)*48,0))</f>
        <v>0</v>
      </c>
      <c r="E2967" s="26">
        <f>IF(D2967="","",INT((D2967-cfgDeslocamento)/4))</f>
        <v>0</v>
      </c>
      <c r="F2967" s="26">
        <f>IF(D2967="","",MOD(D2967-cfgDeslocamento,4)+1)</f>
        <v>0</v>
      </c>
      <c r="G2967" s="26">
        <f>IF(A2967="","",IF(AND(ISNUMBER(B2967),B2967&lt;&gt;0),1,0))</f>
        <v>0</v>
      </c>
      <c r="H2967" s="25">
        <f>IF(E2967="","",(E2967*4+3+cfgDeslocamento)/48)</f>
        <v>0</v>
      </c>
    </row>
    <row r="2968" spans="1:8">
      <c r="A2968" s="24"/>
      <c r="B2968" s="19"/>
      <c r="C2968" s="25">
        <f>IF(D2968="","",D2968/48)</f>
        <v>0</v>
      </c>
      <c r="D2968" s="26">
        <f>IF(A2968="","",ROUND((A2968-cfgDefasagem/1440)*48,0))</f>
        <v>0</v>
      </c>
      <c r="E2968" s="26">
        <f>IF(D2968="","",INT((D2968-cfgDeslocamento)/4))</f>
        <v>0</v>
      </c>
      <c r="F2968" s="26">
        <f>IF(D2968="","",MOD(D2968-cfgDeslocamento,4)+1)</f>
        <v>0</v>
      </c>
      <c r="G2968" s="26">
        <f>IF(A2968="","",IF(AND(ISNUMBER(B2968),B2968&lt;&gt;0),1,0))</f>
        <v>0</v>
      </c>
      <c r="H2968" s="25">
        <f>IF(E2968="","",(E2968*4+3+cfgDeslocamento)/48)</f>
        <v>0</v>
      </c>
    </row>
    <row r="2969" spans="1:8">
      <c r="A2969" s="24"/>
      <c r="B2969" s="19"/>
      <c r="C2969" s="25">
        <f>IF(D2969="","",D2969/48)</f>
        <v>0</v>
      </c>
      <c r="D2969" s="26">
        <f>IF(A2969="","",ROUND((A2969-cfgDefasagem/1440)*48,0))</f>
        <v>0</v>
      </c>
      <c r="E2969" s="26">
        <f>IF(D2969="","",INT((D2969-cfgDeslocamento)/4))</f>
        <v>0</v>
      </c>
      <c r="F2969" s="26">
        <f>IF(D2969="","",MOD(D2969-cfgDeslocamento,4)+1)</f>
        <v>0</v>
      </c>
      <c r="G2969" s="26">
        <f>IF(A2969="","",IF(AND(ISNUMBER(B2969),B2969&lt;&gt;0),1,0))</f>
        <v>0</v>
      </c>
      <c r="H2969" s="25">
        <f>IF(E2969="","",(E2969*4+3+cfgDeslocamento)/48)</f>
        <v>0</v>
      </c>
    </row>
    <row r="2970" spans="1:8">
      <c r="A2970" s="24"/>
      <c r="B2970" s="19"/>
      <c r="C2970" s="25">
        <f>IF(D2970="","",D2970/48)</f>
        <v>0</v>
      </c>
      <c r="D2970" s="26">
        <f>IF(A2970="","",ROUND((A2970-cfgDefasagem/1440)*48,0))</f>
        <v>0</v>
      </c>
      <c r="E2970" s="26">
        <f>IF(D2970="","",INT((D2970-cfgDeslocamento)/4))</f>
        <v>0</v>
      </c>
      <c r="F2970" s="26">
        <f>IF(D2970="","",MOD(D2970-cfgDeslocamento,4)+1)</f>
        <v>0</v>
      </c>
      <c r="G2970" s="26">
        <f>IF(A2970="","",IF(AND(ISNUMBER(B2970),B2970&lt;&gt;0),1,0))</f>
        <v>0</v>
      </c>
      <c r="H2970" s="25">
        <f>IF(E2970="","",(E2970*4+3+cfgDeslocamento)/48)</f>
        <v>0</v>
      </c>
    </row>
    <row r="2971" spans="1:8">
      <c r="A2971" s="24"/>
      <c r="B2971" s="19"/>
      <c r="C2971" s="25">
        <f>IF(D2971="","",D2971/48)</f>
        <v>0</v>
      </c>
      <c r="D2971" s="26">
        <f>IF(A2971="","",ROUND((A2971-cfgDefasagem/1440)*48,0))</f>
        <v>0</v>
      </c>
      <c r="E2971" s="26">
        <f>IF(D2971="","",INT((D2971-cfgDeslocamento)/4))</f>
        <v>0</v>
      </c>
      <c r="F2971" s="26">
        <f>IF(D2971="","",MOD(D2971-cfgDeslocamento,4)+1)</f>
        <v>0</v>
      </c>
      <c r="G2971" s="26">
        <f>IF(A2971="","",IF(AND(ISNUMBER(B2971),B2971&lt;&gt;0),1,0))</f>
        <v>0</v>
      </c>
      <c r="H2971" s="25">
        <f>IF(E2971="","",(E2971*4+3+cfgDeslocamento)/48)</f>
        <v>0</v>
      </c>
    </row>
    <row r="2972" spans="1:8">
      <c r="A2972" s="24"/>
      <c r="B2972" s="19"/>
      <c r="C2972" s="25">
        <f>IF(D2972="","",D2972/48)</f>
        <v>0</v>
      </c>
      <c r="D2972" s="26">
        <f>IF(A2972="","",ROUND((A2972-cfgDefasagem/1440)*48,0))</f>
        <v>0</v>
      </c>
      <c r="E2972" s="26">
        <f>IF(D2972="","",INT((D2972-cfgDeslocamento)/4))</f>
        <v>0</v>
      </c>
      <c r="F2972" s="26">
        <f>IF(D2972="","",MOD(D2972-cfgDeslocamento,4)+1)</f>
        <v>0</v>
      </c>
      <c r="G2972" s="26">
        <f>IF(A2972="","",IF(AND(ISNUMBER(B2972),B2972&lt;&gt;0),1,0))</f>
        <v>0</v>
      </c>
      <c r="H2972" s="25">
        <f>IF(E2972="","",(E2972*4+3+cfgDeslocamento)/48)</f>
        <v>0</v>
      </c>
    </row>
    <row r="2973" spans="1:8">
      <c r="A2973" s="24"/>
      <c r="B2973" s="19"/>
      <c r="C2973" s="25">
        <f>IF(D2973="","",D2973/48)</f>
        <v>0</v>
      </c>
      <c r="D2973" s="26">
        <f>IF(A2973="","",ROUND((A2973-cfgDefasagem/1440)*48,0))</f>
        <v>0</v>
      </c>
      <c r="E2973" s="26">
        <f>IF(D2973="","",INT((D2973-cfgDeslocamento)/4))</f>
        <v>0</v>
      </c>
      <c r="F2973" s="26">
        <f>IF(D2973="","",MOD(D2973-cfgDeslocamento,4)+1)</f>
        <v>0</v>
      </c>
      <c r="G2973" s="26">
        <f>IF(A2973="","",IF(AND(ISNUMBER(B2973),B2973&lt;&gt;0),1,0))</f>
        <v>0</v>
      </c>
      <c r="H2973" s="25">
        <f>IF(E2973="","",(E2973*4+3+cfgDeslocamento)/48)</f>
        <v>0</v>
      </c>
    </row>
    <row r="2974" spans="1:8">
      <c r="A2974" s="24"/>
      <c r="B2974" s="19"/>
      <c r="C2974" s="25">
        <f>IF(D2974="","",D2974/48)</f>
        <v>0</v>
      </c>
      <c r="D2974" s="26">
        <f>IF(A2974="","",ROUND((A2974-cfgDefasagem/1440)*48,0))</f>
        <v>0</v>
      </c>
      <c r="E2974" s="26">
        <f>IF(D2974="","",INT((D2974-cfgDeslocamento)/4))</f>
        <v>0</v>
      </c>
      <c r="F2974" s="26">
        <f>IF(D2974="","",MOD(D2974-cfgDeslocamento,4)+1)</f>
        <v>0</v>
      </c>
      <c r="G2974" s="26">
        <f>IF(A2974="","",IF(AND(ISNUMBER(B2974),B2974&lt;&gt;0),1,0))</f>
        <v>0</v>
      </c>
      <c r="H2974" s="25">
        <f>IF(E2974="","",(E2974*4+3+cfgDeslocamento)/48)</f>
        <v>0</v>
      </c>
    </row>
    <row r="2975" spans="1:8">
      <c r="A2975" s="24"/>
      <c r="B2975" s="19"/>
      <c r="C2975" s="25">
        <f>IF(D2975="","",D2975/48)</f>
        <v>0</v>
      </c>
      <c r="D2975" s="26">
        <f>IF(A2975="","",ROUND((A2975-cfgDefasagem/1440)*48,0))</f>
        <v>0</v>
      </c>
      <c r="E2975" s="26">
        <f>IF(D2975="","",INT((D2975-cfgDeslocamento)/4))</f>
        <v>0</v>
      </c>
      <c r="F2975" s="26">
        <f>IF(D2975="","",MOD(D2975-cfgDeslocamento,4)+1)</f>
        <v>0</v>
      </c>
      <c r="G2975" s="26">
        <f>IF(A2975="","",IF(AND(ISNUMBER(B2975),B2975&lt;&gt;0),1,0))</f>
        <v>0</v>
      </c>
      <c r="H2975" s="25">
        <f>IF(E2975="","",(E2975*4+3+cfgDeslocamento)/48)</f>
        <v>0</v>
      </c>
    </row>
    <row r="2976" spans="1:8">
      <c r="A2976" s="24"/>
      <c r="B2976" s="19"/>
      <c r="C2976" s="25">
        <f>IF(D2976="","",D2976/48)</f>
        <v>0</v>
      </c>
      <c r="D2976" s="26">
        <f>IF(A2976="","",ROUND((A2976-cfgDefasagem/1440)*48,0))</f>
        <v>0</v>
      </c>
      <c r="E2976" s="26">
        <f>IF(D2976="","",INT((D2976-cfgDeslocamento)/4))</f>
        <v>0</v>
      </c>
      <c r="F2976" s="26">
        <f>IF(D2976="","",MOD(D2976-cfgDeslocamento,4)+1)</f>
        <v>0</v>
      </c>
      <c r="G2976" s="26">
        <f>IF(A2976="","",IF(AND(ISNUMBER(B2976),B2976&lt;&gt;0),1,0))</f>
        <v>0</v>
      </c>
      <c r="H2976" s="25">
        <f>IF(E2976="","",(E2976*4+3+cfgDeslocamento)/48)</f>
        <v>0</v>
      </c>
    </row>
    <row r="2977" spans="1:8">
      <c r="A2977" s="24"/>
      <c r="B2977" s="19"/>
      <c r="C2977" s="25">
        <f>IF(D2977="","",D2977/48)</f>
        <v>0</v>
      </c>
      <c r="D2977" s="26">
        <f>IF(A2977="","",ROUND((A2977-cfgDefasagem/1440)*48,0))</f>
        <v>0</v>
      </c>
      <c r="E2977" s="26">
        <f>IF(D2977="","",INT((D2977-cfgDeslocamento)/4))</f>
        <v>0</v>
      </c>
      <c r="F2977" s="26">
        <f>IF(D2977="","",MOD(D2977-cfgDeslocamento,4)+1)</f>
        <v>0</v>
      </c>
      <c r="G2977" s="26">
        <f>IF(A2977="","",IF(AND(ISNUMBER(B2977),B2977&lt;&gt;0),1,0))</f>
        <v>0</v>
      </c>
      <c r="H2977" s="25">
        <f>IF(E2977="","",(E2977*4+3+cfgDeslocamento)/48)</f>
        <v>0</v>
      </c>
    </row>
    <row r="2978" spans="1:8">
      <c r="A2978" s="24"/>
      <c r="B2978" s="19"/>
      <c r="C2978" s="25">
        <f>IF(D2978="","",D2978/48)</f>
        <v>0</v>
      </c>
      <c r="D2978" s="26">
        <f>IF(A2978="","",ROUND((A2978-cfgDefasagem/1440)*48,0))</f>
        <v>0</v>
      </c>
      <c r="E2978" s="26">
        <f>IF(D2978="","",INT((D2978-cfgDeslocamento)/4))</f>
        <v>0</v>
      </c>
      <c r="F2978" s="26">
        <f>IF(D2978="","",MOD(D2978-cfgDeslocamento,4)+1)</f>
        <v>0</v>
      </c>
      <c r="G2978" s="26">
        <f>IF(A2978="","",IF(AND(ISNUMBER(B2978),B2978&lt;&gt;0),1,0))</f>
        <v>0</v>
      </c>
      <c r="H2978" s="25">
        <f>IF(E2978="","",(E2978*4+3+cfgDeslocamento)/48)</f>
        <v>0</v>
      </c>
    </row>
    <row r="2979" spans="1:8">
      <c r="A2979" s="24"/>
      <c r="B2979" s="19"/>
      <c r="C2979" s="25">
        <f>IF(D2979="","",D2979/48)</f>
        <v>0</v>
      </c>
      <c r="D2979" s="26">
        <f>IF(A2979="","",ROUND((A2979-cfgDefasagem/1440)*48,0))</f>
        <v>0</v>
      </c>
      <c r="E2979" s="26">
        <f>IF(D2979="","",INT((D2979-cfgDeslocamento)/4))</f>
        <v>0</v>
      </c>
      <c r="F2979" s="26">
        <f>IF(D2979="","",MOD(D2979-cfgDeslocamento,4)+1)</f>
        <v>0</v>
      </c>
      <c r="G2979" s="26">
        <f>IF(A2979="","",IF(AND(ISNUMBER(B2979),B2979&lt;&gt;0),1,0))</f>
        <v>0</v>
      </c>
      <c r="H2979" s="25">
        <f>IF(E2979="","",(E2979*4+3+cfgDeslocamento)/48)</f>
        <v>0</v>
      </c>
    </row>
    <row r="2980" spans="1:8">
      <c r="A2980" s="24"/>
      <c r="B2980" s="19"/>
      <c r="C2980" s="25">
        <f>IF(D2980="","",D2980/48)</f>
        <v>0</v>
      </c>
      <c r="D2980" s="26">
        <f>IF(A2980="","",ROUND((A2980-cfgDefasagem/1440)*48,0))</f>
        <v>0</v>
      </c>
      <c r="E2980" s="26">
        <f>IF(D2980="","",INT((D2980-cfgDeslocamento)/4))</f>
        <v>0</v>
      </c>
      <c r="F2980" s="26">
        <f>IF(D2980="","",MOD(D2980-cfgDeslocamento,4)+1)</f>
        <v>0</v>
      </c>
      <c r="G2980" s="26">
        <f>IF(A2980="","",IF(AND(ISNUMBER(B2980),B2980&lt;&gt;0),1,0))</f>
        <v>0</v>
      </c>
      <c r="H2980" s="25">
        <f>IF(E2980="","",(E2980*4+3+cfgDeslocamento)/48)</f>
        <v>0</v>
      </c>
    </row>
    <row r="2981" spans="1:8">
      <c r="A2981" s="24"/>
      <c r="B2981" s="19"/>
      <c r="C2981" s="25">
        <f>IF(D2981="","",D2981/48)</f>
        <v>0</v>
      </c>
      <c r="D2981" s="26">
        <f>IF(A2981="","",ROUND((A2981-cfgDefasagem/1440)*48,0))</f>
        <v>0</v>
      </c>
      <c r="E2981" s="26">
        <f>IF(D2981="","",INT((D2981-cfgDeslocamento)/4))</f>
        <v>0</v>
      </c>
      <c r="F2981" s="26">
        <f>IF(D2981="","",MOD(D2981-cfgDeslocamento,4)+1)</f>
        <v>0</v>
      </c>
      <c r="G2981" s="26">
        <f>IF(A2981="","",IF(AND(ISNUMBER(B2981),B2981&lt;&gt;0),1,0))</f>
        <v>0</v>
      </c>
      <c r="H2981" s="25">
        <f>IF(E2981="","",(E2981*4+3+cfgDeslocamento)/48)</f>
        <v>0</v>
      </c>
    </row>
    <row r="2982" spans="1:8">
      <c r="A2982" s="24"/>
      <c r="B2982" s="19"/>
      <c r="C2982" s="25">
        <f>IF(D2982="","",D2982/48)</f>
        <v>0</v>
      </c>
      <c r="D2982" s="26">
        <f>IF(A2982="","",ROUND((A2982-cfgDefasagem/1440)*48,0))</f>
        <v>0</v>
      </c>
      <c r="E2982" s="26">
        <f>IF(D2982="","",INT((D2982-cfgDeslocamento)/4))</f>
        <v>0</v>
      </c>
      <c r="F2982" s="26">
        <f>IF(D2982="","",MOD(D2982-cfgDeslocamento,4)+1)</f>
        <v>0</v>
      </c>
      <c r="G2982" s="26">
        <f>IF(A2982="","",IF(AND(ISNUMBER(B2982),B2982&lt;&gt;0),1,0))</f>
        <v>0</v>
      </c>
      <c r="H2982" s="25">
        <f>IF(E2982="","",(E2982*4+3+cfgDeslocamento)/48)</f>
        <v>0</v>
      </c>
    </row>
    <row r="2983" spans="1:8">
      <c r="A2983" s="24"/>
      <c r="B2983" s="19"/>
      <c r="C2983" s="25">
        <f>IF(D2983="","",D2983/48)</f>
        <v>0</v>
      </c>
      <c r="D2983" s="26">
        <f>IF(A2983="","",ROUND((A2983-cfgDefasagem/1440)*48,0))</f>
        <v>0</v>
      </c>
      <c r="E2983" s="26">
        <f>IF(D2983="","",INT((D2983-cfgDeslocamento)/4))</f>
        <v>0</v>
      </c>
      <c r="F2983" s="26">
        <f>IF(D2983="","",MOD(D2983-cfgDeslocamento,4)+1)</f>
        <v>0</v>
      </c>
      <c r="G2983" s="26">
        <f>IF(A2983="","",IF(AND(ISNUMBER(B2983),B2983&lt;&gt;0),1,0))</f>
        <v>0</v>
      </c>
      <c r="H2983" s="25">
        <f>IF(E2983="","",(E2983*4+3+cfgDeslocamento)/48)</f>
        <v>0</v>
      </c>
    </row>
    <row r="2984" spans="1:8">
      <c r="A2984" s="24"/>
      <c r="B2984" s="19"/>
      <c r="C2984" s="25">
        <f>IF(D2984="","",D2984/48)</f>
        <v>0</v>
      </c>
      <c r="D2984" s="26">
        <f>IF(A2984="","",ROUND((A2984-cfgDefasagem/1440)*48,0))</f>
        <v>0</v>
      </c>
      <c r="E2984" s="26">
        <f>IF(D2984="","",INT((D2984-cfgDeslocamento)/4))</f>
        <v>0</v>
      </c>
      <c r="F2984" s="26">
        <f>IF(D2984="","",MOD(D2984-cfgDeslocamento,4)+1)</f>
        <v>0</v>
      </c>
      <c r="G2984" s="26">
        <f>IF(A2984="","",IF(AND(ISNUMBER(B2984),B2984&lt;&gt;0),1,0))</f>
        <v>0</v>
      </c>
      <c r="H2984" s="25">
        <f>IF(E2984="","",(E2984*4+3+cfgDeslocamento)/48)</f>
        <v>0</v>
      </c>
    </row>
    <row r="2985" spans="1:8">
      <c r="A2985" s="24"/>
      <c r="B2985" s="19"/>
      <c r="C2985" s="25">
        <f>IF(D2985="","",D2985/48)</f>
        <v>0</v>
      </c>
      <c r="D2985" s="26">
        <f>IF(A2985="","",ROUND((A2985-cfgDefasagem/1440)*48,0))</f>
        <v>0</v>
      </c>
      <c r="E2985" s="26">
        <f>IF(D2985="","",INT((D2985-cfgDeslocamento)/4))</f>
        <v>0</v>
      </c>
      <c r="F2985" s="26">
        <f>IF(D2985="","",MOD(D2985-cfgDeslocamento,4)+1)</f>
        <v>0</v>
      </c>
      <c r="G2985" s="26">
        <f>IF(A2985="","",IF(AND(ISNUMBER(B2985),B2985&lt;&gt;0),1,0))</f>
        <v>0</v>
      </c>
      <c r="H2985" s="25">
        <f>IF(E2985="","",(E2985*4+3+cfgDeslocamento)/48)</f>
        <v>0</v>
      </c>
    </row>
    <row r="2986" spans="1:8">
      <c r="A2986" s="24"/>
      <c r="B2986" s="19"/>
      <c r="C2986" s="25">
        <f>IF(D2986="","",D2986/48)</f>
        <v>0</v>
      </c>
      <c r="D2986" s="26">
        <f>IF(A2986="","",ROUND((A2986-cfgDefasagem/1440)*48,0))</f>
        <v>0</v>
      </c>
      <c r="E2986" s="26">
        <f>IF(D2986="","",INT((D2986-cfgDeslocamento)/4))</f>
        <v>0</v>
      </c>
      <c r="F2986" s="26">
        <f>IF(D2986="","",MOD(D2986-cfgDeslocamento,4)+1)</f>
        <v>0</v>
      </c>
      <c r="G2986" s="26">
        <f>IF(A2986="","",IF(AND(ISNUMBER(B2986),B2986&lt;&gt;0),1,0))</f>
        <v>0</v>
      </c>
      <c r="H2986" s="25">
        <f>IF(E2986="","",(E2986*4+3+cfgDeslocamento)/48)</f>
        <v>0</v>
      </c>
    </row>
    <row r="2987" spans="1:8">
      <c r="A2987" s="24"/>
      <c r="B2987" s="19"/>
      <c r="C2987" s="25">
        <f>IF(D2987="","",D2987/48)</f>
        <v>0</v>
      </c>
      <c r="D2987" s="26">
        <f>IF(A2987="","",ROUND((A2987-cfgDefasagem/1440)*48,0))</f>
        <v>0</v>
      </c>
      <c r="E2987" s="26">
        <f>IF(D2987="","",INT((D2987-cfgDeslocamento)/4))</f>
        <v>0</v>
      </c>
      <c r="F2987" s="26">
        <f>IF(D2987="","",MOD(D2987-cfgDeslocamento,4)+1)</f>
        <v>0</v>
      </c>
      <c r="G2987" s="26">
        <f>IF(A2987="","",IF(AND(ISNUMBER(B2987),B2987&lt;&gt;0),1,0))</f>
        <v>0</v>
      </c>
      <c r="H2987" s="25">
        <f>IF(E2987="","",(E2987*4+3+cfgDeslocamento)/48)</f>
        <v>0</v>
      </c>
    </row>
    <row r="2988" spans="1:8">
      <c r="A2988" s="24"/>
      <c r="B2988" s="19"/>
      <c r="C2988" s="25">
        <f>IF(D2988="","",D2988/48)</f>
        <v>0</v>
      </c>
      <c r="D2988" s="26">
        <f>IF(A2988="","",ROUND((A2988-cfgDefasagem/1440)*48,0))</f>
        <v>0</v>
      </c>
      <c r="E2988" s="26">
        <f>IF(D2988="","",INT((D2988-cfgDeslocamento)/4))</f>
        <v>0</v>
      </c>
      <c r="F2988" s="26">
        <f>IF(D2988="","",MOD(D2988-cfgDeslocamento,4)+1)</f>
        <v>0</v>
      </c>
      <c r="G2988" s="26">
        <f>IF(A2988="","",IF(AND(ISNUMBER(B2988),B2988&lt;&gt;0),1,0))</f>
        <v>0</v>
      </c>
      <c r="H2988" s="25">
        <f>IF(E2988="","",(E2988*4+3+cfgDeslocamento)/48)</f>
        <v>0</v>
      </c>
    </row>
    <row r="2989" spans="1:8">
      <c r="A2989" s="24"/>
      <c r="B2989" s="19"/>
      <c r="C2989" s="25">
        <f>IF(D2989="","",D2989/48)</f>
        <v>0</v>
      </c>
      <c r="D2989" s="26">
        <f>IF(A2989="","",ROUND((A2989-cfgDefasagem/1440)*48,0))</f>
        <v>0</v>
      </c>
      <c r="E2989" s="26">
        <f>IF(D2989="","",INT((D2989-cfgDeslocamento)/4))</f>
        <v>0</v>
      </c>
      <c r="F2989" s="26">
        <f>IF(D2989="","",MOD(D2989-cfgDeslocamento,4)+1)</f>
        <v>0</v>
      </c>
      <c r="G2989" s="26">
        <f>IF(A2989="","",IF(AND(ISNUMBER(B2989),B2989&lt;&gt;0),1,0))</f>
        <v>0</v>
      </c>
      <c r="H2989" s="25">
        <f>IF(E2989="","",(E2989*4+3+cfgDeslocamento)/48)</f>
        <v>0</v>
      </c>
    </row>
    <row r="2990" spans="1:8">
      <c r="A2990" s="24"/>
      <c r="B2990" s="19"/>
      <c r="C2990" s="25">
        <f>IF(D2990="","",D2990/48)</f>
        <v>0</v>
      </c>
      <c r="D2990" s="26">
        <f>IF(A2990="","",ROUND((A2990-cfgDefasagem/1440)*48,0))</f>
        <v>0</v>
      </c>
      <c r="E2990" s="26">
        <f>IF(D2990="","",INT((D2990-cfgDeslocamento)/4))</f>
        <v>0</v>
      </c>
      <c r="F2990" s="26">
        <f>IF(D2990="","",MOD(D2990-cfgDeslocamento,4)+1)</f>
        <v>0</v>
      </c>
      <c r="G2990" s="26">
        <f>IF(A2990="","",IF(AND(ISNUMBER(B2990),B2990&lt;&gt;0),1,0))</f>
        <v>0</v>
      </c>
      <c r="H2990" s="25">
        <f>IF(E2990="","",(E2990*4+3+cfgDeslocamento)/48)</f>
        <v>0</v>
      </c>
    </row>
    <row r="2991" spans="1:8">
      <c r="A2991" s="24"/>
      <c r="B2991" s="19"/>
      <c r="C2991" s="25">
        <f>IF(D2991="","",D2991/48)</f>
        <v>0</v>
      </c>
      <c r="D2991" s="26">
        <f>IF(A2991="","",ROUND((A2991-cfgDefasagem/1440)*48,0))</f>
        <v>0</v>
      </c>
      <c r="E2991" s="26">
        <f>IF(D2991="","",INT((D2991-cfgDeslocamento)/4))</f>
        <v>0</v>
      </c>
      <c r="F2991" s="26">
        <f>IF(D2991="","",MOD(D2991-cfgDeslocamento,4)+1)</f>
        <v>0</v>
      </c>
      <c r="G2991" s="26">
        <f>IF(A2991="","",IF(AND(ISNUMBER(B2991),B2991&lt;&gt;0),1,0))</f>
        <v>0</v>
      </c>
      <c r="H2991" s="25">
        <f>IF(E2991="","",(E2991*4+3+cfgDeslocamento)/48)</f>
        <v>0</v>
      </c>
    </row>
    <row r="2992" spans="1:8">
      <c r="A2992" s="24"/>
      <c r="B2992" s="19"/>
      <c r="C2992" s="25">
        <f>IF(D2992="","",D2992/48)</f>
        <v>0</v>
      </c>
      <c r="D2992" s="26">
        <f>IF(A2992="","",ROUND((A2992-cfgDefasagem/1440)*48,0))</f>
        <v>0</v>
      </c>
      <c r="E2992" s="26">
        <f>IF(D2992="","",INT((D2992-cfgDeslocamento)/4))</f>
        <v>0</v>
      </c>
      <c r="F2992" s="26">
        <f>IF(D2992="","",MOD(D2992-cfgDeslocamento,4)+1)</f>
        <v>0</v>
      </c>
      <c r="G2992" s="26">
        <f>IF(A2992="","",IF(AND(ISNUMBER(B2992),B2992&lt;&gt;0),1,0))</f>
        <v>0</v>
      </c>
      <c r="H2992" s="25">
        <f>IF(E2992="","",(E2992*4+3+cfgDeslocamento)/48)</f>
        <v>0</v>
      </c>
    </row>
    <row r="2993" spans="1:8">
      <c r="A2993" s="24"/>
      <c r="B2993" s="19"/>
      <c r="C2993" s="25">
        <f>IF(D2993="","",D2993/48)</f>
        <v>0</v>
      </c>
      <c r="D2993" s="26">
        <f>IF(A2993="","",ROUND((A2993-cfgDefasagem/1440)*48,0))</f>
        <v>0</v>
      </c>
      <c r="E2993" s="26">
        <f>IF(D2993="","",INT((D2993-cfgDeslocamento)/4))</f>
        <v>0</v>
      </c>
      <c r="F2993" s="26">
        <f>IF(D2993="","",MOD(D2993-cfgDeslocamento,4)+1)</f>
        <v>0</v>
      </c>
      <c r="G2993" s="26">
        <f>IF(A2993="","",IF(AND(ISNUMBER(B2993),B2993&lt;&gt;0),1,0))</f>
        <v>0</v>
      </c>
      <c r="H2993" s="25">
        <f>IF(E2993="","",(E2993*4+3+cfgDeslocamento)/48)</f>
        <v>0</v>
      </c>
    </row>
    <row r="2994" spans="1:8">
      <c r="A2994" s="24"/>
      <c r="B2994" s="19"/>
      <c r="C2994" s="25">
        <f>IF(D2994="","",D2994/48)</f>
        <v>0</v>
      </c>
      <c r="D2994" s="26">
        <f>IF(A2994="","",ROUND((A2994-cfgDefasagem/1440)*48,0))</f>
        <v>0</v>
      </c>
      <c r="E2994" s="26">
        <f>IF(D2994="","",INT((D2994-cfgDeslocamento)/4))</f>
        <v>0</v>
      </c>
      <c r="F2994" s="26">
        <f>IF(D2994="","",MOD(D2994-cfgDeslocamento,4)+1)</f>
        <v>0</v>
      </c>
      <c r="G2994" s="26">
        <f>IF(A2994="","",IF(AND(ISNUMBER(B2994),B2994&lt;&gt;0),1,0))</f>
        <v>0</v>
      </c>
      <c r="H2994" s="25">
        <f>IF(E2994="","",(E2994*4+3+cfgDeslocamento)/48)</f>
        <v>0</v>
      </c>
    </row>
    <row r="2995" spans="1:8">
      <c r="A2995" s="24"/>
      <c r="B2995" s="19"/>
      <c r="C2995" s="25">
        <f>IF(D2995="","",D2995/48)</f>
        <v>0</v>
      </c>
      <c r="D2995" s="26">
        <f>IF(A2995="","",ROUND((A2995-cfgDefasagem/1440)*48,0))</f>
        <v>0</v>
      </c>
      <c r="E2995" s="26">
        <f>IF(D2995="","",INT((D2995-cfgDeslocamento)/4))</f>
        <v>0</v>
      </c>
      <c r="F2995" s="26">
        <f>IF(D2995="","",MOD(D2995-cfgDeslocamento,4)+1)</f>
        <v>0</v>
      </c>
      <c r="G2995" s="26">
        <f>IF(A2995="","",IF(AND(ISNUMBER(B2995),B2995&lt;&gt;0),1,0))</f>
        <v>0</v>
      </c>
      <c r="H2995" s="25">
        <f>IF(E2995="","",(E2995*4+3+cfgDeslocamento)/48)</f>
        <v>0</v>
      </c>
    </row>
    <row r="2996" spans="1:8">
      <c r="A2996" s="24"/>
      <c r="B2996" s="19"/>
      <c r="C2996" s="25">
        <f>IF(D2996="","",D2996/48)</f>
        <v>0</v>
      </c>
      <c r="D2996" s="26">
        <f>IF(A2996="","",ROUND((A2996-cfgDefasagem/1440)*48,0))</f>
        <v>0</v>
      </c>
      <c r="E2996" s="26">
        <f>IF(D2996="","",INT((D2996-cfgDeslocamento)/4))</f>
        <v>0</v>
      </c>
      <c r="F2996" s="26">
        <f>IF(D2996="","",MOD(D2996-cfgDeslocamento,4)+1)</f>
        <v>0</v>
      </c>
      <c r="G2996" s="26">
        <f>IF(A2996="","",IF(AND(ISNUMBER(B2996),B2996&lt;&gt;0),1,0))</f>
        <v>0</v>
      </c>
      <c r="H2996" s="25">
        <f>IF(E2996="","",(E2996*4+3+cfgDeslocamento)/48)</f>
        <v>0</v>
      </c>
    </row>
    <row r="2997" spans="1:8">
      <c r="A2997" s="24"/>
      <c r="B2997" s="19"/>
      <c r="C2997" s="25">
        <f>IF(D2997="","",D2997/48)</f>
        <v>0</v>
      </c>
      <c r="D2997" s="26">
        <f>IF(A2997="","",ROUND((A2997-cfgDefasagem/1440)*48,0))</f>
        <v>0</v>
      </c>
      <c r="E2997" s="26">
        <f>IF(D2997="","",INT((D2997-cfgDeslocamento)/4))</f>
        <v>0</v>
      </c>
      <c r="F2997" s="26">
        <f>IF(D2997="","",MOD(D2997-cfgDeslocamento,4)+1)</f>
        <v>0</v>
      </c>
      <c r="G2997" s="26">
        <f>IF(A2997="","",IF(AND(ISNUMBER(B2997),B2997&lt;&gt;0),1,0))</f>
        <v>0</v>
      </c>
      <c r="H2997" s="25">
        <f>IF(E2997="","",(E2997*4+3+cfgDeslocamento)/48)</f>
        <v>0</v>
      </c>
    </row>
    <row r="2998" spans="1:8">
      <c r="A2998" s="24"/>
      <c r="B2998" s="19"/>
      <c r="C2998" s="25">
        <f>IF(D2998="","",D2998/48)</f>
        <v>0</v>
      </c>
      <c r="D2998" s="26">
        <f>IF(A2998="","",ROUND((A2998-cfgDefasagem/1440)*48,0))</f>
        <v>0</v>
      </c>
      <c r="E2998" s="26">
        <f>IF(D2998="","",INT((D2998-cfgDeslocamento)/4))</f>
        <v>0</v>
      </c>
      <c r="F2998" s="26">
        <f>IF(D2998="","",MOD(D2998-cfgDeslocamento,4)+1)</f>
        <v>0</v>
      </c>
      <c r="G2998" s="26">
        <f>IF(A2998="","",IF(AND(ISNUMBER(B2998),B2998&lt;&gt;0),1,0))</f>
        <v>0</v>
      </c>
      <c r="H2998" s="25">
        <f>IF(E2998="","",(E2998*4+3+cfgDeslocamento)/48)</f>
        <v>0</v>
      </c>
    </row>
    <row r="2999" spans="1:8">
      <c r="A2999" s="24"/>
      <c r="B2999" s="19"/>
      <c r="C2999" s="25">
        <f>IF(D2999="","",D2999/48)</f>
        <v>0</v>
      </c>
      <c r="D2999" s="26">
        <f>IF(A2999="","",ROUND((A2999-cfgDefasagem/1440)*48,0))</f>
        <v>0</v>
      </c>
      <c r="E2999" s="26">
        <f>IF(D2999="","",INT((D2999-cfgDeslocamento)/4))</f>
        <v>0</v>
      </c>
      <c r="F2999" s="26">
        <f>IF(D2999="","",MOD(D2999-cfgDeslocamento,4)+1)</f>
        <v>0</v>
      </c>
      <c r="G2999" s="26">
        <f>IF(A2999="","",IF(AND(ISNUMBER(B2999),B2999&lt;&gt;0),1,0))</f>
        <v>0</v>
      </c>
      <c r="H2999" s="25">
        <f>IF(E2999="","",(E2999*4+3+cfgDeslocamento)/48)</f>
        <v>0</v>
      </c>
    </row>
    <row r="3000" spans="1:8">
      <c r="A3000" s="24"/>
      <c r="B3000" s="19"/>
      <c r="C3000" s="25">
        <f>IF(D3000="","",D3000/48)</f>
        <v>0</v>
      </c>
      <c r="D3000" s="26">
        <f>IF(A3000="","",ROUND((A3000-cfgDefasagem/1440)*48,0))</f>
        <v>0</v>
      </c>
      <c r="E3000" s="26">
        <f>IF(D3000="","",INT((D3000-cfgDeslocamento)/4))</f>
        <v>0</v>
      </c>
      <c r="F3000" s="26">
        <f>IF(D3000="","",MOD(D3000-cfgDeslocamento,4)+1)</f>
        <v>0</v>
      </c>
      <c r="G3000" s="26">
        <f>IF(A3000="","",IF(AND(ISNUMBER(B3000),B3000&lt;&gt;0),1,0))</f>
        <v>0</v>
      </c>
      <c r="H3000" s="25">
        <f>IF(E3000="","",(E3000*4+3+cfgDeslocamento)/48)</f>
        <v>0</v>
      </c>
    </row>
    <row r="3001" spans="1:8">
      <c r="A3001" s="24"/>
      <c r="B3001" s="19"/>
      <c r="C3001" s="25">
        <f>IF(D3001="","",D3001/48)</f>
        <v>0</v>
      </c>
      <c r="D3001" s="26">
        <f>IF(A3001="","",ROUND((A3001-cfgDefasagem/1440)*48,0))</f>
        <v>0</v>
      </c>
      <c r="E3001" s="26">
        <f>IF(D3001="","",INT((D3001-cfgDeslocamento)/4))</f>
        <v>0</v>
      </c>
      <c r="F3001" s="26">
        <f>IF(D3001="","",MOD(D3001-cfgDeslocamento,4)+1)</f>
        <v>0</v>
      </c>
      <c r="G3001" s="26">
        <f>IF(A3001="","",IF(AND(ISNUMBER(B3001),B3001&lt;&gt;0),1,0))</f>
        <v>0</v>
      </c>
      <c r="H3001" s="25">
        <f>IF(E3001="","",(E3001*4+3+cfgDeslocamento)/48)</f>
        <v>0</v>
      </c>
    </row>
    <row r="3002" spans="1:8">
      <c r="A3002" s="24"/>
      <c r="B3002" s="19"/>
      <c r="C3002" s="25">
        <f>IF(D3002="","",D3002/48)</f>
        <v>0</v>
      </c>
      <c r="D3002" s="26">
        <f>IF(A3002="","",ROUND((A3002-cfgDefasagem/1440)*48,0))</f>
        <v>0</v>
      </c>
      <c r="E3002" s="26">
        <f>IF(D3002="","",INT((D3002-cfgDeslocamento)/4))</f>
        <v>0</v>
      </c>
      <c r="F3002" s="26">
        <f>IF(D3002="","",MOD(D3002-cfgDeslocamento,4)+1)</f>
        <v>0</v>
      </c>
      <c r="G3002" s="26">
        <f>IF(A3002="","",IF(AND(ISNUMBER(B3002),B3002&lt;&gt;0),1,0))</f>
        <v>0</v>
      </c>
      <c r="H3002" s="25">
        <f>IF(E3002="","",(E3002*4+3+cfgDeslocamento)/48)</f>
        <v>0</v>
      </c>
    </row>
    <row r="3003" spans="1:8">
      <c r="A3003" s="24"/>
      <c r="B3003" s="19"/>
      <c r="C3003" s="25">
        <f>IF(D3003="","",D3003/48)</f>
        <v>0</v>
      </c>
      <c r="D3003" s="26">
        <f>IF(A3003="","",ROUND((A3003-cfgDefasagem/1440)*48,0))</f>
        <v>0</v>
      </c>
      <c r="E3003" s="26">
        <f>IF(D3003="","",INT((D3003-cfgDeslocamento)/4))</f>
        <v>0</v>
      </c>
      <c r="F3003" s="26">
        <f>IF(D3003="","",MOD(D3003-cfgDeslocamento,4)+1)</f>
        <v>0</v>
      </c>
      <c r="G3003" s="26">
        <f>IF(A3003="","",IF(AND(ISNUMBER(B3003),B3003&lt;&gt;0),1,0))</f>
        <v>0</v>
      </c>
      <c r="H3003" s="25">
        <f>IF(E3003="","",(E3003*4+3+cfgDeslocamento)/48)</f>
        <v>0</v>
      </c>
    </row>
    <row r="3004" spans="1:8">
      <c r="A3004" s="24"/>
      <c r="B3004" s="19"/>
      <c r="C3004" s="25">
        <f>IF(D3004="","",D3004/48)</f>
        <v>0</v>
      </c>
      <c r="D3004" s="26">
        <f>IF(A3004="","",ROUND((A3004-cfgDefasagem/1440)*48,0))</f>
        <v>0</v>
      </c>
      <c r="E3004" s="26">
        <f>IF(D3004="","",INT((D3004-cfgDeslocamento)/4))</f>
        <v>0</v>
      </c>
      <c r="F3004" s="26">
        <f>IF(D3004="","",MOD(D3004-cfgDeslocamento,4)+1)</f>
        <v>0</v>
      </c>
      <c r="G3004" s="26">
        <f>IF(A3004="","",IF(AND(ISNUMBER(B3004),B3004&lt;&gt;0),1,0))</f>
        <v>0</v>
      </c>
      <c r="H3004" s="25">
        <f>IF(E3004="","",(E3004*4+3+cfgDeslocamento)/48)</f>
        <v>0</v>
      </c>
    </row>
    <row r="3005" spans="1:8">
      <c r="A3005" s="24"/>
      <c r="B3005" s="19"/>
      <c r="C3005" s="25">
        <f>IF(D3005="","",D3005/48)</f>
        <v>0</v>
      </c>
      <c r="D3005" s="26">
        <f>IF(A3005="","",ROUND((A3005-cfgDefasagem/1440)*48,0))</f>
        <v>0</v>
      </c>
      <c r="E3005" s="26">
        <f>IF(D3005="","",INT((D3005-cfgDeslocamento)/4))</f>
        <v>0</v>
      </c>
      <c r="F3005" s="26">
        <f>IF(D3005="","",MOD(D3005-cfgDeslocamento,4)+1)</f>
        <v>0</v>
      </c>
      <c r="G3005" s="26">
        <f>IF(A3005="","",IF(AND(ISNUMBER(B3005),B3005&lt;&gt;0),1,0))</f>
        <v>0</v>
      </c>
      <c r="H3005" s="25">
        <f>IF(E3005="","",(E3005*4+3+cfgDeslocamento)/48)</f>
        <v>0</v>
      </c>
    </row>
    <row r="3006" spans="1:8">
      <c r="A3006" s="24"/>
      <c r="B3006" s="19"/>
      <c r="C3006" s="25">
        <f>IF(D3006="","",D3006/48)</f>
        <v>0</v>
      </c>
      <c r="D3006" s="26">
        <f>IF(A3006="","",ROUND((A3006-cfgDefasagem/1440)*48,0))</f>
        <v>0</v>
      </c>
      <c r="E3006" s="26">
        <f>IF(D3006="","",INT((D3006-cfgDeslocamento)/4))</f>
        <v>0</v>
      </c>
      <c r="F3006" s="26">
        <f>IF(D3006="","",MOD(D3006-cfgDeslocamento,4)+1)</f>
        <v>0</v>
      </c>
      <c r="G3006" s="26">
        <f>IF(A3006="","",IF(AND(ISNUMBER(B3006),B3006&lt;&gt;0),1,0))</f>
        <v>0</v>
      </c>
      <c r="H3006" s="25">
        <f>IF(E3006="","",(E3006*4+3+cfgDeslocamento)/48)</f>
        <v>0</v>
      </c>
    </row>
    <row r="3007" spans="1:8">
      <c r="A3007" s="24"/>
      <c r="B3007" s="19"/>
      <c r="C3007" s="25">
        <f>IF(D3007="","",D3007/48)</f>
        <v>0</v>
      </c>
      <c r="D3007" s="26">
        <f>IF(A3007="","",ROUND((A3007-cfgDefasagem/1440)*48,0))</f>
        <v>0</v>
      </c>
      <c r="E3007" s="26">
        <f>IF(D3007="","",INT((D3007-cfgDeslocamento)/4))</f>
        <v>0</v>
      </c>
      <c r="F3007" s="26">
        <f>IF(D3007="","",MOD(D3007-cfgDeslocamento,4)+1)</f>
        <v>0</v>
      </c>
      <c r="G3007" s="26">
        <f>IF(A3007="","",IF(AND(ISNUMBER(B3007),B3007&lt;&gt;0),1,0))</f>
        <v>0</v>
      </c>
      <c r="H3007" s="25">
        <f>IF(E3007="","",(E3007*4+3+cfgDeslocamento)/48)</f>
        <v>0</v>
      </c>
    </row>
    <row r="3008" spans="1:8">
      <c r="A3008" s="24"/>
      <c r="B3008" s="19"/>
      <c r="C3008" s="25">
        <f>IF(D3008="","",D3008/48)</f>
        <v>0</v>
      </c>
      <c r="D3008" s="26">
        <f>IF(A3008="","",ROUND((A3008-cfgDefasagem/1440)*48,0))</f>
        <v>0</v>
      </c>
      <c r="E3008" s="26">
        <f>IF(D3008="","",INT((D3008-cfgDeslocamento)/4))</f>
        <v>0</v>
      </c>
      <c r="F3008" s="26">
        <f>IF(D3008="","",MOD(D3008-cfgDeslocamento,4)+1)</f>
        <v>0</v>
      </c>
      <c r="G3008" s="26">
        <f>IF(A3008="","",IF(AND(ISNUMBER(B3008),B3008&lt;&gt;0),1,0))</f>
        <v>0</v>
      </c>
      <c r="H3008" s="25">
        <f>IF(E3008="","",(E3008*4+3+cfgDeslocamento)/48)</f>
        <v>0</v>
      </c>
    </row>
    <row r="3009" spans="1:8">
      <c r="A3009" s="24"/>
      <c r="B3009" s="19"/>
      <c r="C3009" s="25">
        <f>IF(D3009="","",D3009/48)</f>
        <v>0</v>
      </c>
      <c r="D3009" s="26">
        <f>IF(A3009="","",ROUND((A3009-cfgDefasagem/1440)*48,0))</f>
        <v>0</v>
      </c>
      <c r="E3009" s="26">
        <f>IF(D3009="","",INT((D3009-cfgDeslocamento)/4))</f>
        <v>0</v>
      </c>
      <c r="F3009" s="26">
        <f>IF(D3009="","",MOD(D3009-cfgDeslocamento,4)+1)</f>
        <v>0</v>
      </c>
      <c r="G3009" s="26">
        <f>IF(A3009="","",IF(AND(ISNUMBER(B3009),B3009&lt;&gt;0),1,0))</f>
        <v>0</v>
      </c>
      <c r="H3009" s="25">
        <f>IF(E3009="","",(E3009*4+3+cfgDeslocamento)/48)</f>
        <v>0</v>
      </c>
    </row>
    <row r="3010" spans="1:8">
      <c r="A3010" s="24"/>
      <c r="B3010" s="19"/>
      <c r="C3010" s="25">
        <f>IF(D3010="","",D3010/48)</f>
        <v>0</v>
      </c>
      <c r="D3010" s="26">
        <f>IF(A3010="","",ROUND((A3010-cfgDefasagem/1440)*48,0))</f>
        <v>0</v>
      </c>
      <c r="E3010" s="26">
        <f>IF(D3010="","",INT((D3010-cfgDeslocamento)/4))</f>
        <v>0</v>
      </c>
      <c r="F3010" s="26">
        <f>IF(D3010="","",MOD(D3010-cfgDeslocamento,4)+1)</f>
        <v>0</v>
      </c>
      <c r="G3010" s="26">
        <f>IF(A3010="","",IF(AND(ISNUMBER(B3010),B3010&lt;&gt;0),1,0))</f>
        <v>0</v>
      </c>
      <c r="H3010" s="25">
        <f>IF(E3010="","",(E3010*4+3+cfgDeslocamento)/48)</f>
        <v>0</v>
      </c>
    </row>
    <row r="3011" spans="1:8">
      <c r="A3011" s="24"/>
      <c r="B3011" s="19"/>
      <c r="C3011" s="25">
        <f>IF(D3011="","",D3011/48)</f>
        <v>0</v>
      </c>
      <c r="D3011" s="26">
        <f>IF(A3011="","",ROUND((A3011-cfgDefasagem/1440)*48,0))</f>
        <v>0</v>
      </c>
      <c r="E3011" s="26">
        <f>IF(D3011="","",INT((D3011-cfgDeslocamento)/4))</f>
        <v>0</v>
      </c>
      <c r="F3011" s="26">
        <f>IF(D3011="","",MOD(D3011-cfgDeslocamento,4)+1)</f>
        <v>0</v>
      </c>
      <c r="G3011" s="26">
        <f>IF(A3011="","",IF(AND(ISNUMBER(B3011),B3011&lt;&gt;0),1,0))</f>
        <v>0</v>
      </c>
      <c r="H3011" s="25">
        <f>IF(E3011="","",(E3011*4+3+cfgDeslocamento)/48)</f>
        <v>0</v>
      </c>
    </row>
    <row r="3012" spans="1:8">
      <c r="A3012" s="24"/>
      <c r="B3012" s="19"/>
      <c r="C3012" s="25">
        <f>IF(D3012="","",D3012/48)</f>
        <v>0</v>
      </c>
      <c r="D3012" s="26">
        <f>IF(A3012="","",ROUND((A3012-cfgDefasagem/1440)*48,0))</f>
        <v>0</v>
      </c>
      <c r="E3012" s="26">
        <f>IF(D3012="","",INT((D3012-cfgDeslocamento)/4))</f>
        <v>0</v>
      </c>
      <c r="F3012" s="26">
        <f>IF(D3012="","",MOD(D3012-cfgDeslocamento,4)+1)</f>
        <v>0</v>
      </c>
      <c r="G3012" s="26">
        <f>IF(A3012="","",IF(AND(ISNUMBER(B3012),B3012&lt;&gt;0),1,0))</f>
        <v>0</v>
      </c>
      <c r="H3012" s="25">
        <f>IF(E3012="","",(E3012*4+3+cfgDeslocamento)/48)</f>
        <v>0</v>
      </c>
    </row>
    <row r="3013" spans="1:8">
      <c r="A3013" s="24"/>
      <c r="B3013" s="19"/>
      <c r="C3013" s="25">
        <f>IF(D3013="","",D3013/48)</f>
        <v>0</v>
      </c>
      <c r="D3013" s="26">
        <f>IF(A3013="","",ROUND((A3013-cfgDefasagem/1440)*48,0))</f>
        <v>0</v>
      </c>
      <c r="E3013" s="26">
        <f>IF(D3013="","",INT((D3013-cfgDeslocamento)/4))</f>
        <v>0</v>
      </c>
      <c r="F3013" s="26">
        <f>IF(D3013="","",MOD(D3013-cfgDeslocamento,4)+1)</f>
        <v>0</v>
      </c>
      <c r="G3013" s="26">
        <f>IF(A3013="","",IF(AND(ISNUMBER(B3013),B3013&lt;&gt;0),1,0))</f>
        <v>0</v>
      </c>
      <c r="H3013" s="25">
        <f>IF(E3013="","",(E3013*4+3+cfgDeslocamento)/48)</f>
        <v>0</v>
      </c>
    </row>
    <row r="3014" spans="1:8">
      <c r="A3014" s="24"/>
      <c r="B3014" s="19"/>
      <c r="C3014" s="25">
        <f>IF(D3014="","",D3014/48)</f>
        <v>0</v>
      </c>
      <c r="D3014" s="26">
        <f>IF(A3014="","",ROUND((A3014-cfgDefasagem/1440)*48,0))</f>
        <v>0</v>
      </c>
      <c r="E3014" s="26">
        <f>IF(D3014="","",INT((D3014-cfgDeslocamento)/4))</f>
        <v>0</v>
      </c>
      <c r="F3014" s="26">
        <f>IF(D3014="","",MOD(D3014-cfgDeslocamento,4)+1)</f>
        <v>0</v>
      </c>
      <c r="G3014" s="26">
        <f>IF(A3014="","",IF(AND(ISNUMBER(B3014),B3014&lt;&gt;0),1,0))</f>
        <v>0</v>
      </c>
      <c r="H3014" s="25">
        <f>IF(E3014="","",(E3014*4+3+cfgDeslocamento)/48)</f>
        <v>0</v>
      </c>
    </row>
    <row r="3015" spans="1:8">
      <c r="A3015" s="24"/>
      <c r="B3015" s="19"/>
      <c r="C3015" s="25">
        <f>IF(D3015="","",D3015/48)</f>
        <v>0</v>
      </c>
      <c r="D3015" s="26">
        <f>IF(A3015="","",ROUND((A3015-cfgDefasagem/1440)*48,0))</f>
        <v>0</v>
      </c>
      <c r="E3015" s="26">
        <f>IF(D3015="","",INT((D3015-cfgDeslocamento)/4))</f>
        <v>0</v>
      </c>
      <c r="F3015" s="26">
        <f>IF(D3015="","",MOD(D3015-cfgDeslocamento,4)+1)</f>
        <v>0</v>
      </c>
      <c r="G3015" s="26">
        <f>IF(A3015="","",IF(AND(ISNUMBER(B3015),B3015&lt;&gt;0),1,0))</f>
        <v>0</v>
      </c>
      <c r="H3015" s="25">
        <f>IF(E3015="","",(E3015*4+3+cfgDeslocamento)/48)</f>
        <v>0</v>
      </c>
    </row>
    <row r="3016" spans="1:8">
      <c r="A3016" s="24"/>
      <c r="B3016" s="19"/>
      <c r="C3016" s="25">
        <f>IF(D3016="","",D3016/48)</f>
        <v>0</v>
      </c>
      <c r="D3016" s="26">
        <f>IF(A3016="","",ROUND((A3016-cfgDefasagem/1440)*48,0))</f>
        <v>0</v>
      </c>
      <c r="E3016" s="26">
        <f>IF(D3016="","",INT((D3016-cfgDeslocamento)/4))</f>
        <v>0</v>
      </c>
      <c r="F3016" s="26">
        <f>IF(D3016="","",MOD(D3016-cfgDeslocamento,4)+1)</f>
        <v>0</v>
      </c>
      <c r="G3016" s="26">
        <f>IF(A3016="","",IF(AND(ISNUMBER(B3016),B3016&lt;&gt;0),1,0))</f>
        <v>0</v>
      </c>
      <c r="H3016" s="25">
        <f>IF(E3016="","",(E3016*4+3+cfgDeslocamento)/48)</f>
        <v>0</v>
      </c>
    </row>
    <row r="3017" spans="1:8">
      <c r="A3017" s="24"/>
      <c r="B3017" s="19"/>
      <c r="C3017" s="25">
        <f>IF(D3017="","",D3017/48)</f>
        <v>0</v>
      </c>
      <c r="D3017" s="26">
        <f>IF(A3017="","",ROUND((A3017-cfgDefasagem/1440)*48,0))</f>
        <v>0</v>
      </c>
      <c r="E3017" s="26">
        <f>IF(D3017="","",INT((D3017-cfgDeslocamento)/4))</f>
        <v>0</v>
      </c>
      <c r="F3017" s="26">
        <f>IF(D3017="","",MOD(D3017-cfgDeslocamento,4)+1)</f>
        <v>0</v>
      </c>
      <c r="G3017" s="26">
        <f>IF(A3017="","",IF(AND(ISNUMBER(B3017),B3017&lt;&gt;0),1,0))</f>
        <v>0</v>
      </c>
      <c r="H3017" s="25">
        <f>IF(E3017="","",(E3017*4+3+cfgDeslocamento)/48)</f>
        <v>0</v>
      </c>
    </row>
    <row r="3018" spans="1:8">
      <c r="A3018" s="24"/>
      <c r="B3018" s="19"/>
      <c r="C3018" s="25">
        <f>IF(D3018="","",D3018/48)</f>
        <v>0</v>
      </c>
      <c r="D3018" s="26">
        <f>IF(A3018="","",ROUND((A3018-cfgDefasagem/1440)*48,0))</f>
        <v>0</v>
      </c>
      <c r="E3018" s="26">
        <f>IF(D3018="","",INT((D3018-cfgDeslocamento)/4))</f>
        <v>0</v>
      </c>
      <c r="F3018" s="26">
        <f>IF(D3018="","",MOD(D3018-cfgDeslocamento,4)+1)</f>
        <v>0</v>
      </c>
      <c r="G3018" s="26">
        <f>IF(A3018="","",IF(AND(ISNUMBER(B3018),B3018&lt;&gt;0),1,0))</f>
        <v>0</v>
      </c>
      <c r="H3018" s="25">
        <f>IF(E3018="","",(E3018*4+3+cfgDeslocamento)/48)</f>
        <v>0</v>
      </c>
    </row>
    <row r="3019" spans="1:8">
      <c r="A3019" s="24"/>
      <c r="B3019" s="19"/>
      <c r="C3019" s="25">
        <f>IF(D3019="","",D3019/48)</f>
        <v>0</v>
      </c>
      <c r="D3019" s="26">
        <f>IF(A3019="","",ROUND((A3019-cfgDefasagem/1440)*48,0))</f>
        <v>0</v>
      </c>
      <c r="E3019" s="26">
        <f>IF(D3019="","",INT((D3019-cfgDeslocamento)/4))</f>
        <v>0</v>
      </c>
      <c r="F3019" s="26">
        <f>IF(D3019="","",MOD(D3019-cfgDeslocamento,4)+1)</f>
        <v>0</v>
      </c>
      <c r="G3019" s="26">
        <f>IF(A3019="","",IF(AND(ISNUMBER(B3019),B3019&lt;&gt;0),1,0))</f>
        <v>0</v>
      </c>
      <c r="H3019" s="25">
        <f>IF(E3019="","",(E3019*4+3+cfgDeslocamento)/48)</f>
        <v>0</v>
      </c>
    </row>
    <row r="3020" spans="1:8">
      <c r="A3020" s="24"/>
      <c r="B3020" s="19"/>
      <c r="C3020" s="25">
        <f>IF(D3020="","",D3020/48)</f>
        <v>0</v>
      </c>
      <c r="D3020" s="26">
        <f>IF(A3020="","",ROUND((A3020-cfgDefasagem/1440)*48,0))</f>
        <v>0</v>
      </c>
      <c r="E3020" s="26">
        <f>IF(D3020="","",INT((D3020-cfgDeslocamento)/4))</f>
        <v>0</v>
      </c>
      <c r="F3020" s="26">
        <f>IF(D3020="","",MOD(D3020-cfgDeslocamento,4)+1)</f>
        <v>0</v>
      </c>
      <c r="G3020" s="26">
        <f>IF(A3020="","",IF(AND(ISNUMBER(B3020),B3020&lt;&gt;0),1,0))</f>
        <v>0</v>
      </c>
      <c r="H3020" s="25">
        <f>IF(E3020="","",(E3020*4+3+cfgDeslocamento)/48)</f>
        <v>0</v>
      </c>
    </row>
    <row r="3021" spans="1:8">
      <c r="A3021" s="24"/>
      <c r="B3021" s="19"/>
      <c r="C3021" s="25">
        <f>IF(D3021="","",D3021/48)</f>
        <v>0</v>
      </c>
      <c r="D3021" s="26">
        <f>IF(A3021="","",ROUND((A3021-cfgDefasagem/1440)*48,0))</f>
        <v>0</v>
      </c>
      <c r="E3021" s="26">
        <f>IF(D3021="","",INT((D3021-cfgDeslocamento)/4))</f>
        <v>0</v>
      </c>
      <c r="F3021" s="26">
        <f>IF(D3021="","",MOD(D3021-cfgDeslocamento,4)+1)</f>
        <v>0</v>
      </c>
      <c r="G3021" s="26">
        <f>IF(A3021="","",IF(AND(ISNUMBER(B3021),B3021&lt;&gt;0),1,0))</f>
        <v>0</v>
      </c>
      <c r="H3021" s="25">
        <f>IF(E3021="","",(E3021*4+3+cfgDeslocamento)/48)</f>
        <v>0</v>
      </c>
    </row>
    <row r="3022" spans="1:8">
      <c r="A3022" s="24"/>
      <c r="B3022" s="19"/>
      <c r="C3022" s="25">
        <f>IF(D3022="","",D3022/48)</f>
        <v>0</v>
      </c>
      <c r="D3022" s="26">
        <f>IF(A3022="","",ROUND((A3022-cfgDefasagem/1440)*48,0))</f>
        <v>0</v>
      </c>
      <c r="E3022" s="26">
        <f>IF(D3022="","",INT((D3022-cfgDeslocamento)/4))</f>
        <v>0</v>
      </c>
      <c r="F3022" s="26">
        <f>IF(D3022="","",MOD(D3022-cfgDeslocamento,4)+1)</f>
        <v>0</v>
      </c>
      <c r="G3022" s="26">
        <f>IF(A3022="","",IF(AND(ISNUMBER(B3022),B3022&lt;&gt;0),1,0))</f>
        <v>0</v>
      </c>
      <c r="H3022" s="25">
        <f>IF(E3022="","",(E3022*4+3+cfgDeslocamento)/48)</f>
        <v>0</v>
      </c>
    </row>
    <row r="3023" spans="1:8">
      <c r="A3023" s="24"/>
      <c r="B3023" s="19"/>
      <c r="C3023" s="25">
        <f>IF(D3023="","",D3023/48)</f>
        <v>0</v>
      </c>
      <c r="D3023" s="26">
        <f>IF(A3023="","",ROUND((A3023-cfgDefasagem/1440)*48,0))</f>
        <v>0</v>
      </c>
      <c r="E3023" s="26">
        <f>IF(D3023="","",INT((D3023-cfgDeslocamento)/4))</f>
        <v>0</v>
      </c>
      <c r="F3023" s="26">
        <f>IF(D3023="","",MOD(D3023-cfgDeslocamento,4)+1)</f>
        <v>0</v>
      </c>
      <c r="G3023" s="26">
        <f>IF(A3023="","",IF(AND(ISNUMBER(B3023),B3023&lt;&gt;0),1,0))</f>
        <v>0</v>
      </c>
      <c r="H3023" s="25">
        <f>IF(E3023="","",(E3023*4+3+cfgDeslocamento)/48)</f>
        <v>0</v>
      </c>
    </row>
    <row r="3024" spans="1:8">
      <c r="A3024" s="24"/>
      <c r="B3024" s="19"/>
      <c r="C3024" s="25">
        <f>IF(D3024="","",D3024/48)</f>
        <v>0</v>
      </c>
      <c r="D3024" s="26">
        <f>IF(A3024="","",ROUND((A3024-cfgDefasagem/1440)*48,0))</f>
        <v>0</v>
      </c>
      <c r="E3024" s="26">
        <f>IF(D3024="","",INT((D3024-cfgDeslocamento)/4))</f>
        <v>0</v>
      </c>
      <c r="F3024" s="26">
        <f>IF(D3024="","",MOD(D3024-cfgDeslocamento,4)+1)</f>
        <v>0</v>
      </c>
      <c r="G3024" s="26">
        <f>IF(A3024="","",IF(AND(ISNUMBER(B3024),B3024&lt;&gt;0),1,0))</f>
        <v>0</v>
      </c>
      <c r="H3024" s="25">
        <f>IF(E3024="","",(E3024*4+3+cfgDeslocamento)/48)</f>
        <v>0</v>
      </c>
    </row>
    <row r="3025" spans="1:8">
      <c r="A3025" s="24"/>
      <c r="B3025" s="19"/>
      <c r="C3025" s="25">
        <f>IF(D3025="","",D3025/48)</f>
        <v>0</v>
      </c>
      <c r="D3025" s="26">
        <f>IF(A3025="","",ROUND((A3025-cfgDefasagem/1440)*48,0))</f>
        <v>0</v>
      </c>
      <c r="E3025" s="26">
        <f>IF(D3025="","",INT((D3025-cfgDeslocamento)/4))</f>
        <v>0</v>
      </c>
      <c r="F3025" s="26">
        <f>IF(D3025="","",MOD(D3025-cfgDeslocamento,4)+1)</f>
        <v>0</v>
      </c>
      <c r="G3025" s="26">
        <f>IF(A3025="","",IF(AND(ISNUMBER(B3025),B3025&lt;&gt;0),1,0))</f>
        <v>0</v>
      </c>
      <c r="H3025" s="25">
        <f>IF(E3025="","",(E3025*4+3+cfgDeslocamento)/48)</f>
        <v>0</v>
      </c>
    </row>
    <row r="3026" spans="1:8">
      <c r="A3026" s="24"/>
      <c r="B3026" s="19"/>
      <c r="C3026" s="25">
        <f>IF(D3026="","",D3026/48)</f>
        <v>0</v>
      </c>
      <c r="D3026" s="26">
        <f>IF(A3026="","",ROUND((A3026-cfgDefasagem/1440)*48,0))</f>
        <v>0</v>
      </c>
      <c r="E3026" s="26">
        <f>IF(D3026="","",INT((D3026-cfgDeslocamento)/4))</f>
        <v>0</v>
      </c>
      <c r="F3026" s="26">
        <f>IF(D3026="","",MOD(D3026-cfgDeslocamento,4)+1)</f>
        <v>0</v>
      </c>
      <c r="G3026" s="26">
        <f>IF(A3026="","",IF(AND(ISNUMBER(B3026),B3026&lt;&gt;0),1,0))</f>
        <v>0</v>
      </c>
      <c r="H3026" s="25">
        <f>IF(E3026="","",(E3026*4+3+cfgDeslocamento)/48)</f>
        <v>0</v>
      </c>
    </row>
    <row r="3027" spans="1:8">
      <c r="A3027" s="24"/>
      <c r="B3027" s="19"/>
      <c r="C3027" s="25">
        <f>IF(D3027="","",D3027/48)</f>
        <v>0</v>
      </c>
      <c r="D3027" s="26">
        <f>IF(A3027="","",ROUND((A3027-cfgDefasagem/1440)*48,0))</f>
        <v>0</v>
      </c>
      <c r="E3027" s="26">
        <f>IF(D3027="","",INT((D3027-cfgDeslocamento)/4))</f>
        <v>0</v>
      </c>
      <c r="F3027" s="26">
        <f>IF(D3027="","",MOD(D3027-cfgDeslocamento,4)+1)</f>
        <v>0</v>
      </c>
      <c r="G3027" s="26">
        <f>IF(A3027="","",IF(AND(ISNUMBER(B3027),B3027&lt;&gt;0),1,0))</f>
        <v>0</v>
      </c>
      <c r="H3027" s="25">
        <f>IF(E3027="","",(E3027*4+3+cfgDeslocamento)/48)</f>
        <v>0</v>
      </c>
    </row>
    <row r="3028" spans="1:8">
      <c r="A3028" s="24"/>
      <c r="B3028" s="19"/>
      <c r="C3028" s="25">
        <f>IF(D3028="","",D3028/48)</f>
        <v>0</v>
      </c>
      <c r="D3028" s="26">
        <f>IF(A3028="","",ROUND((A3028-cfgDefasagem/1440)*48,0))</f>
        <v>0</v>
      </c>
      <c r="E3028" s="26">
        <f>IF(D3028="","",INT((D3028-cfgDeslocamento)/4))</f>
        <v>0</v>
      </c>
      <c r="F3028" s="26">
        <f>IF(D3028="","",MOD(D3028-cfgDeslocamento,4)+1)</f>
        <v>0</v>
      </c>
      <c r="G3028" s="26">
        <f>IF(A3028="","",IF(AND(ISNUMBER(B3028),B3028&lt;&gt;0),1,0))</f>
        <v>0</v>
      </c>
      <c r="H3028" s="25">
        <f>IF(E3028="","",(E3028*4+3+cfgDeslocamento)/48)</f>
        <v>0</v>
      </c>
    </row>
    <row r="3029" spans="1:8">
      <c r="A3029" s="24"/>
      <c r="B3029" s="19"/>
      <c r="C3029" s="25">
        <f>IF(D3029="","",D3029/48)</f>
        <v>0</v>
      </c>
      <c r="D3029" s="26">
        <f>IF(A3029="","",ROUND((A3029-cfgDefasagem/1440)*48,0))</f>
        <v>0</v>
      </c>
      <c r="E3029" s="26">
        <f>IF(D3029="","",INT((D3029-cfgDeslocamento)/4))</f>
        <v>0</v>
      </c>
      <c r="F3029" s="26">
        <f>IF(D3029="","",MOD(D3029-cfgDeslocamento,4)+1)</f>
        <v>0</v>
      </c>
      <c r="G3029" s="26">
        <f>IF(A3029="","",IF(AND(ISNUMBER(B3029),B3029&lt;&gt;0),1,0))</f>
        <v>0</v>
      </c>
      <c r="H3029" s="25">
        <f>IF(E3029="","",(E3029*4+3+cfgDeslocamento)/48)</f>
        <v>0</v>
      </c>
    </row>
    <row r="3030" spans="1:8">
      <c r="A3030" s="24"/>
      <c r="B3030" s="19"/>
      <c r="C3030" s="25">
        <f>IF(D3030="","",D3030/48)</f>
        <v>0</v>
      </c>
      <c r="D3030" s="26">
        <f>IF(A3030="","",ROUND((A3030-cfgDefasagem/1440)*48,0))</f>
        <v>0</v>
      </c>
      <c r="E3030" s="26">
        <f>IF(D3030="","",INT((D3030-cfgDeslocamento)/4))</f>
        <v>0</v>
      </c>
      <c r="F3030" s="26">
        <f>IF(D3030="","",MOD(D3030-cfgDeslocamento,4)+1)</f>
        <v>0</v>
      </c>
      <c r="G3030" s="26">
        <f>IF(A3030="","",IF(AND(ISNUMBER(B3030),B3030&lt;&gt;0),1,0))</f>
        <v>0</v>
      </c>
      <c r="H3030" s="25">
        <f>IF(E3030="","",(E3030*4+3+cfgDeslocamento)/48)</f>
        <v>0</v>
      </c>
    </row>
    <row r="3031" spans="1:8">
      <c r="A3031" s="24"/>
      <c r="B3031" s="19"/>
      <c r="C3031" s="25">
        <f>IF(D3031="","",D3031/48)</f>
        <v>0</v>
      </c>
      <c r="D3031" s="26">
        <f>IF(A3031="","",ROUND((A3031-cfgDefasagem/1440)*48,0))</f>
        <v>0</v>
      </c>
      <c r="E3031" s="26">
        <f>IF(D3031="","",INT((D3031-cfgDeslocamento)/4))</f>
        <v>0</v>
      </c>
      <c r="F3031" s="26">
        <f>IF(D3031="","",MOD(D3031-cfgDeslocamento,4)+1)</f>
        <v>0</v>
      </c>
      <c r="G3031" s="26">
        <f>IF(A3031="","",IF(AND(ISNUMBER(B3031),B3031&lt;&gt;0),1,0))</f>
        <v>0</v>
      </c>
      <c r="H3031" s="25">
        <f>IF(E3031="","",(E3031*4+3+cfgDeslocamento)/48)</f>
        <v>0</v>
      </c>
    </row>
    <row r="3032" spans="1:8">
      <c r="A3032" s="24"/>
      <c r="B3032" s="19"/>
      <c r="C3032" s="25">
        <f>IF(D3032="","",D3032/48)</f>
        <v>0</v>
      </c>
      <c r="D3032" s="26">
        <f>IF(A3032="","",ROUND((A3032-cfgDefasagem/1440)*48,0))</f>
        <v>0</v>
      </c>
      <c r="E3032" s="26">
        <f>IF(D3032="","",INT((D3032-cfgDeslocamento)/4))</f>
        <v>0</v>
      </c>
      <c r="F3032" s="26">
        <f>IF(D3032="","",MOD(D3032-cfgDeslocamento,4)+1)</f>
        <v>0</v>
      </c>
      <c r="G3032" s="26">
        <f>IF(A3032="","",IF(AND(ISNUMBER(B3032),B3032&lt;&gt;0),1,0))</f>
        <v>0</v>
      </c>
      <c r="H3032" s="25">
        <f>IF(E3032="","",(E3032*4+3+cfgDeslocamento)/48)</f>
        <v>0</v>
      </c>
    </row>
    <row r="3033" spans="1:8">
      <c r="A3033" s="24"/>
      <c r="B3033" s="19"/>
      <c r="C3033" s="25">
        <f>IF(D3033="","",D3033/48)</f>
        <v>0</v>
      </c>
      <c r="D3033" s="26">
        <f>IF(A3033="","",ROUND((A3033-cfgDefasagem/1440)*48,0))</f>
        <v>0</v>
      </c>
      <c r="E3033" s="26">
        <f>IF(D3033="","",INT((D3033-cfgDeslocamento)/4))</f>
        <v>0</v>
      </c>
      <c r="F3033" s="26">
        <f>IF(D3033="","",MOD(D3033-cfgDeslocamento,4)+1)</f>
        <v>0</v>
      </c>
      <c r="G3033" s="26">
        <f>IF(A3033="","",IF(AND(ISNUMBER(B3033),B3033&lt;&gt;0),1,0))</f>
        <v>0</v>
      </c>
      <c r="H3033" s="25">
        <f>IF(E3033="","",(E3033*4+3+cfgDeslocamento)/48)</f>
        <v>0</v>
      </c>
    </row>
    <row r="3034" spans="1:8">
      <c r="A3034" s="24"/>
      <c r="B3034" s="19"/>
      <c r="C3034" s="25">
        <f>IF(D3034="","",D3034/48)</f>
        <v>0</v>
      </c>
      <c r="D3034" s="26">
        <f>IF(A3034="","",ROUND((A3034-cfgDefasagem/1440)*48,0))</f>
        <v>0</v>
      </c>
      <c r="E3034" s="26">
        <f>IF(D3034="","",INT((D3034-cfgDeslocamento)/4))</f>
        <v>0</v>
      </c>
      <c r="F3034" s="26">
        <f>IF(D3034="","",MOD(D3034-cfgDeslocamento,4)+1)</f>
        <v>0</v>
      </c>
      <c r="G3034" s="26">
        <f>IF(A3034="","",IF(AND(ISNUMBER(B3034),B3034&lt;&gt;0),1,0))</f>
        <v>0</v>
      </c>
      <c r="H3034" s="25">
        <f>IF(E3034="","",(E3034*4+3+cfgDeslocamento)/48)</f>
        <v>0</v>
      </c>
    </row>
    <row r="3035" spans="1:8">
      <c r="A3035" s="24"/>
      <c r="B3035" s="19"/>
      <c r="C3035" s="25">
        <f>IF(D3035="","",D3035/48)</f>
        <v>0</v>
      </c>
      <c r="D3035" s="26">
        <f>IF(A3035="","",ROUND((A3035-cfgDefasagem/1440)*48,0))</f>
        <v>0</v>
      </c>
      <c r="E3035" s="26">
        <f>IF(D3035="","",INT((D3035-cfgDeslocamento)/4))</f>
        <v>0</v>
      </c>
      <c r="F3035" s="26">
        <f>IF(D3035="","",MOD(D3035-cfgDeslocamento,4)+1)</f>
        <v>0</v>
      </c>
      <c r="G3035" s="26">
        <f>IF(A3035="","",IF(AND(ISNUMBER(B3035),B3035&lt;&gt;0),1,0))</f>
        <v>0</v>
      </c>
      <c r="H3035" s="25">
        <f>IF(E3035="","",(E3035*4+3+cfgDeslocamento)/48)</f>
        <v>0</v>
      </c>
    </row>
    <row r="3036" spans="1:8">
      <c r="A3036" s="24"/>
      <c r="B3036" s="19"/>
      <c r="C3036" s="25">
        <f>IF(D3036="","",D3036/48)</f>
        <v>0</v>
      </c>
      <c r="D3036" s="26">
        <f>IF(A3036="","",ROUND((A3036-cfgDefasagem/1440)*48,0))</f>
        <v>0</v>
      </c>
      <c r="E3036" s="26">
        <f>IF(D3036="","",INT((D3036-cfgDeslocamento)/4))</f>
        <v>0</v>
      </c>
      <c r="F3036" s="26">
        <f>IF(D3036="","",MOD(D3036-cfgDeslocamento,4)+1)</f>
        <v>0</v>
      </c>
      <c r="G3036" s="26">
        <f>IF(A3036="","",IF(AND(ISNUMBER(B3036),B3036&lt;&gt;0),1,0))</f>
        <v>0</v>
      </c>
      <c r="H3036" s="25">
        <f>IF(E3036="","",(E3036*4+3+cfgDeslocamento)/48)</f>
        <v>0</v>
      </c>
    </row>
    <row r="3037" spans="1:8">
      <c r="A3037" s="24"/>
      <c r="B3037" s="19"/>
      <c r="C3037" s="25">
        <f>IF(D3037="","",D3037/48)</f>
        <v>0</v>
      </c>
      <c r="D3037" s="26">
        <f>IF(A3037="","",ROUND((A3037-cfgDefasagem/1440)*48,0))</f>
        <v>0</v>
      </c>
      <c r="E3037" s="26">
        <f>IF(D3037="","",INT((D3037-cfgDeslocamento)/4))</f>
        <v>0</v>
      </c>
      <c r="F3037" s="26">
        <f>IF(D3037="","",MOD(D3037-cfgDeslocamento,4)+1)</f>
        <v>0</v>
      </c>
      <c r="G3037" s="26">
        <f>IF(A3037="","",IF(AND(ISNUMBER(B3037),B3037&lt;&gt;0),1,0))</f>
        <v>0</v>
      </c>
      <c r="H3037" s="25">
        <f>IF(E3037="","",(E3037*4+3+cfgDeslocamento)/48)</f>
        <v>0</v>
      </c>
    </row>
    <row r="3038" spans="1:8">
      <c r="A3038" s="24"/>
      <c r="B3038" s="19"/>
      <c r="C3038" s="25">
        <f>IF(D3038="","",D3038/48)</f>
        <v>0</v>
      </c>
      <c r="D3038" s="26">
        <f>IF(A3038="","",ROUND((A3038-cfgDefasagem/1440)*48,0))</f>
        <v>0</v>
      </c>
      <c r="E3038" s="26">
        <f>IF(D3038="","",INT((D3038-cfgDeslocamento)/4))</f>
        <v>0</v>
      </c>
      <c r="F3038" s="26">
        <f>IF(D3038="","",MOD(D3038-cfgDeslocamento,4)+1)</f>
        <v>0</v>
      </c>
      <c r="G3038" s="26">
        <f>IF(A3038="","",IF(AND(ISNUMBER(B3038),B3038&lt;&gt;0),1,0))</f>
        <v>0</v>
      </c>
      <c r="H3038" s="25">
        <f>IF(E3038="","",(E3038*4+3+cfgDeslocamento)/48)</f>
        <v>0</v>
      </c>
    </row>
    <row r="3039" spans="1:8">
      <c r="A3039" s="24"/>
      <c r="B3039" s="19"/>
      <c r="C3039" s="25">
        <f>IF(D3039="","",D3039/48)</f>
        <v>0</v>
      </c>
      <c r="D3039" s="26">
        <f>IF(A3039="","",ROUND((A3039-cfgDefasagem/1440)*48,0))</f>
        <v>0</v>
      </c>
      <c r="E3039" s="26">
        <f>IF(D3039="","",INT((D3039-cfgDeslocamento)/4))</f>
        <v>0</v>
      </c>
      <c r="F3039" s="26">
        <f>IF(D3039="","",MOD(D3039-cfgDeslocamento,4)+1)</f>
        <v>0</v>
      </c>
      <c r="G3039" s="26">
        <f>IF(A3039="","",IF(AND(ISNUMBER(B3039),B3039&lt;&gt;0),1,0))</f>
        <v>0</v>
      </c>
      <c r="H3039" s="25">
        <f>IF(E3039="","",(E3039*4+3+cfgDeslocamento)/48)</f>
        <v>0</v>
      </c>
    </row>
    <row r="3040" spans="1:8">
      <c r="A3040" s="24"/>
      <c r="B3040" s="19"/>
      <c r="C3040" s="25">
        <f>IF(D3040="","",D3040/48)</f>
        <v>0</v>
      </c>
      <c r="D3040" s="26">
        <f>IF(A3040="","",ROUND((A3040-cfgDefasagem/1440)*48,0))</f>
        <v>0</v>
      </c>
      <c r="E3040" s="26">
        <f>IF(D3040="","",INT((D3040-cfgDeslocamento)/4))</f>
        <v>0</v>
      </c>
      <c r="F3040" s="26">
        <f>IF(D3040="","",MOD(D3040-cfgDeslocamento,4)+1)</f>
        <v>0</v>
      </c>
      <c r="G3040" s="26">
        <f>IF(A3040="","",IF(AND(ISNUMBER(B3040),B3040&lt;&gt;0),1,0))</f>
        <v>0</v>
      </c>
      <c r="H3040" s="25">
        <f>IF(E3040="","",(E3040*4+3+cfgDeslocamento)/48)</f>
        <v>0</v>
      </c>
    </row>
    <row r="3041" spans="1:8">
      <c r="A3041" s="24"/>
      <c r="B3041" s="19"/>
      <c r="C3041" s="25">
        <f>IF(D3041="","",D3041/48)</f>
        <v>0</v>
      </c>
      <c r="D3041" s="26">
        <f>IF(A3041="","",ROUND((A3041-cfgDefasagem/1440)*48,0))</f>
        <v>0</v>
      </c>
      <c r="E3041" s="26">
        <f>IF(D3041="","",INT((D3041-cfgDeslocamento)/4))</f>
        <v>0</v>
      </c>
      <c r="F3041" s="26">
        <f>IF(D3041="","",MOD(D3041-cfgDeslocamento,4)+1)</f>
        <v>0</v>
      </c>
      <c r="G3041" s="26">
        <f>IF(A3041="","",IF(AND(ISNUMBER(B3041),B3041&lt;&gt;0),1,0))</f>
        <v>0</v>
      </c>
      <c r="H3041" s="25">
        <f>IF(E3041="","",(E3041*4+3+cfgDeslocamento)/48)</f>
        <v>0</v>
      </c>
    </row>
    <row r="3042" spans="1:8">
      <c r="A3042" s="24"/>
      <c r="B3042" s="19"/>
      <c r="C3042" s="25">
        <f>IF(D3042="","",D3042/48)</f>
        <v>0</v>
      </c>
      <c r="D3042" s="26">
        <f>IF(A3042="","",ROUND((A3042-cfgDefasagem/1440)*48,0))</f>
        <v>0</v>
      </c>
      <c r="E3042" s="26">
        <f>IF(D3042="","",INT((D3042-cfgDeslocamento)/4))</f>
        <v>0</v>
      </c>
      <c r="F3042" s="26">
        <f>IF(D3042="","",MOD(D3042-cfgDeslocamento,4)+1)</f>
        <v>0</v>
      </c>
      <c r="G3042" s="26">
        <f>IF(A3042="","",IF(AND(ISNUMBER(B3042),B3042&lt;&gt;0),1,0))</f>
        <v>0</v>
      </c>
      <c r="H3042" s="25">
        <f>IF(E3042="","",(E3042*4+3+cfgDeslocamento)/48)</f>
        <v>0</v>
      </c>
    </row>
    <row r="3043" spans="1:8">
      <c r="A3043" s="24"/>
      <c r="B3043" s="19"/>
      <c r="C3043" s="25">
        <f>IF(D3043="","",D3043/48)</f>
        <v>0</v>
      </c>
      <c r="D3043" s="26">
        <f>IF(A3043="","",ROUND((A3043-cfgDefasagem/1440)*48,0))</f>
        <v>0</v>
      </c>
      <c r="E3043" s="26">
        <f>IF(D3043="","",INT((D3043-cfgDeslocamento)/4))</f>
        <v>0</v>
      </c>
      <c r="F3043" s="26">
        <f>IF(D3043="","",MOD(D3043-cfgDeslocamento,4)+1)</f>
        <v>0</v>
      </c>
      <c r="G3043" s="26">
        <f>IF(A3043="","",IF(AND(ISNUMBER(B3043),B3043&lt;&gt;0),1,0))</f>
        <v>0</v>
      </c>
      <c r="H3043" s="25">
        <f>IF(E3043="","",(E3043*4+3+cfgDeslocamento)/48)</f>
        <v>0</v>
      </c>
    </row>
    <row r="3044" spans="1:8">
      <c r="A3044" s="24"/>
      <c r="B3044" s="19"/>
      <c r="C3044" s="25">
        <f>IF(D3044="","",D3044/48)</f>
        <v>0</v>
      </c>
      <c r="D3044" s="26">
        <f>IF(A3044="","",ROUND((A3044-cfgDefasagem/1440)*48,0))</f>
        <v>0</v>
      </c>
      <c r="E3044" s="26">
        <f>IF(D3044="","",INT((D3044-cfgDeslocamento)/4))</f>
        <v>0</v>
      </c>
      <c r="F3044" s="26">
        <f>IF(D3044="","",MOD(D3044-cfgDeslocamento,4)+1)</f>
        <v>0</v>
      </c>
      <c r="G3044" s="26">
        <f>IF(A3044="","",IF(AND(ISNUMBER(B3044),B3044&lt;&gt;0),1,0))</f>
        <v>0</v>
      </c>
      <c r="H3044" s="25">
        <f>IF(E3044="","",(E3044*4+3+cfgDeslocamento)/48)</f>
        <v>0</v>
      </c>
    </row>
    <row r="3045" spans="1:8">
      <c r="A3045" s="24"/>
      <c r="B3045" s="19"/>
      <c r="C3045" s="25">
        <f>IF(D3045="","",D3045/48)</f>
        <v>0</v>
      </c>
      <c r="D3045" s="26">
        <f>IF(A3045="","",ROUND((A3045-cfgDefasagem/1440)*48,0))</f>
        <v>0</v>
      </c>
      <c r="E3045" s="26">
        <f>IF(D3045="","",INT((D3045-cfgDeslocamento)/4))</f>
        <v>0</v>
      </c>
      <c r="F3045" s="26">
        <f>IF(D3045="","",MOD(D3045-cfgDeslocamento,4)+1)</f>
        <v>0</v>
      </c>
      <c r="G3045" s="26">
        <f>IF(A3045="","",IF(AND(ISNUMBER(B3045),B3045&lt;&gt;0),1,0))</f>
        <v>0</v>
      </c>
      <c r="H3045" s="25">
        <f>IF(E3045="","",(E3045*4+3+cfgDeslocamento)/48)</f>
        <v>0</v>
      </c>
    </row>
    <row r="3046" spans="1:8">
      <c r="A3046" s="24"/>
      <c r="B3046" s="19"/>
      <c r="C3046" s="25">
        <f>IF(D3046="","",D3046/48)</f>
        <v>0</v>
      </c>
      <c r="D3046" s="26">
        <f>IF(A3046="","",ROUND((A3046-cfgDefasagem/1440)*48,0))</f>
        <v>0</v>
      </c>
      <c r="E3046" s="26">
        <f>IF(D3046="","",INT((D3046-cfgDeslocamento)/4))</f>
        <v>0</v>
      </c>
      <c r="F3046" s="26">
        <f>IF(D3046="","",MOD(D3046-cfgDeslocamento,4)+1)</f>
        <v>0</v>
      </c>
      <c r="G3046" s="26">
        <f>IF(A3046="","",IF(AND(ISNUMBER(B3046),B3046&lt;&gt;0),1,0))</f>
        <v>0</v>
      </c>
      <c r="H3046" s="25">
        <f>IF(E3046="","",(E3046*4+3+cfgDeslocamento)/48)</f>
        <v>0</v>
      </c>
    </row>
    <row r="3047" spans="1:8">
      <c r="A3047" s="24"/>
      <c r="B3047" s="19"/>
      <c r="C3047" s="25">
        <f>IF(D3047="","",D3047/48)</f>
        <v>0</v>
      </c>
      <c r="D3047" s="26">
        <f>IF(A3047="","",ROUND((A3047-cfgDefasagem/1440)*48,0))</f>
        <v>0</v>
      </c>
      <c r="E3047" s="26">
        <f>IF(D3047="","",INT((D3047-cfgDeslocamento)/4))</f>
        <v>0</v>
      </c>
      <c r="F3047" s="26">
        <f>IF(D3047="","",MOD(D3047-cfgDeslocamento,4)+1)</f>
        <v>0</v>
      </c>
      <c r="G3047" s="26">
        <f>IF(A3047="","",IF(AND(ISNUMBER(B3047),B3047&lt;&gt;0),1,0))</f>
        <v>0</v>
      </c>
      <c r="H3047" s="25">
        <f>IF(E3047="","",(E3047*4+3+cfgDeslocamento)/48)</f>
        <v>0</v>
      </c>
    </row>
    <row r="3048" spans="1:8">
      <c r="A3048" s="24"/>
      <c r="B3048" s="19"/>
      <c r="C3048" s="25">
        <f>IF(D3048="","",D3048/48)</f>
        <v>0</v>
      </c>
      <c r="D3048" s="26">
        <f>IF(A3048="","",ROUND((A3048-cfgDefasagem/1440)*48,0))</f>
        <v>0</v>
      </c>
      <c r="E3048" s="26">
        <f>IF(D3048="","",INT((D3048-cfgDeslocamento)/4))</f>
        <v>0</v>
      </c>
      <c r="F3048" s="26">
        <f>IF(D3048="","",MOD(D3048-cfgDeslocamento,4)+1)</f>
        <v>0</v>
      </c>
      <c r="G3048" s="26">
        <f>IF(A3048="","",IF(AND(ISNUMBER(B3048),B3048&lt;&gt;0),1,0))</f>
        <v>0</v>
      </c>
      <c r="H3048" s="25">
        <f>IF(E3048="","",(E3048*4+3+cfgDeslocamento)/48)</f>
        <v>0</v>
      </c>
    </row>
    <row r="3049" spans="1:8">
      <c r="A3049" s="24"/>
      <c r="B3049" s="19"/>
      <c r="C3049" s="25">
        <f>IF(D3049="","",D3049/48)</f>
        <v>0</v>
      </c>
      <c r="D3049" s="26">
        <f>IF(A3049="","",ROUND((A3049-cfgDefasagem/1440)*48,0))</f>
        <v>0</v>
      </c>
      <c r="E3049" s="26">
        <f>IF(D3049="","",INT((D3049-cfgDeslocamento)/4))</f>
        <v>0</v>
      </c>
      <c r="F3049" s="26">
        <f>IF(D3049="","",MOD(D3049-cfgDeslocamento,4)+1)</f>
        <v>0</v>
      </c>
      <c r="G3049" s="26">
        <f>IF(A3049="","",IF(AND(ISNUMBER(B3049),B3049&lt;&gt;0),1,0))</f>
        <v>0</v>
      </c>
      <c r="H3049" s="25">
        <f>IF(E3049="","",(E3049*4+3+cfgDeslocamento)/48)</f>
        <v>0</v>
      </c>
    </row>
    <row r="3050" spans="1:8">
      <c r="A3050" s="24"/>
      <c r="B3050" s="19"/>
      <c r="C3050" s="25">
        <f>IF(D3050="","",D3050/48)</f>
        <v>0</v>
      </c>
      <c r="D3050" s="26">
        <f>IF(A3050="","",ROUND((A3050-cfgDefasagem/1440)*48,0))</f>
        <v>0</v>
      </c>
      <c r="E3050" s="26">
        <f>IF(D3050="","",INT((D3050-cfgDeslocamento)/4))</f>
        <v>0</v>
      </c>
      <c r="F3050" s="26">
        <f>IF(D3050="","",MOD(D3050-cfgDeslocamento,4)+1)</f>
        <v>0</v>
      </c>
      <c r="G3050" s="26">
        <f>IF(A3050="","",IF(AND(ISNUMBER(B3050),B3050&lt;&gt;0),1,0))</f>
        <v>0</v>
      </c>
      <c r="H3050" s="25">
        <f>IF(E3050="","",(E3050*4+3+cfgDeslocamento)/48)</f>
        <v>0</v>
      </c>
    </row>
    <row r="3051" spans="1:8">
      <c r="A3051" s="24"/>
      <c r="B3051" s="19"/>
      <c r="C3051" s="25">
        <f>IF(D3051="","",D3051/48)</f>
        <v>0</v>
      </c>
      <c r="D3051" s="26">
        <f>IF(A3051="","",ROUND((A3051-cfgDefasagem/1440)*48,0))</f>
        <v>0</v>
      </c>
      <c r="E3051" s="26">
        <f>IF(D3051="","",INT((D3051-cfgDeslocamento)/4))</f>
        <v>0</v>
      </c>
      <c r="F3051" s="26">
        <f>IF(D3051="","",MOD(D3051-cfgDeslocamento,4)+1)</f>
        <v>0</v>
      </c>
      <c r="G3051" s="26">
        <f>IF(A3051="","",IF(AND(ISNUMBER(B3051),B3051&lt;&gt;0),1,0))</f>
        <v>0</v>
      </c>
      <c r="H3051" s="25">
        <f>IF(E3051="","",(E3051*4+3+cfgDeslocamento)/48)</f>
        <v>0</v>
      </c>
    </row>
    <row r="3052" spans="1:8">
      <c r="A3052" s="24"/>
      <c r="B3052" s="19"/>
      <c r="C3052" s="25">
        <f>IF(D3052="","",D3052/48)</f>
        <v>0</v>
      </c>
      <c r="D3052" s="26">
        <f>IF(A3052="","",ROUND((A3052-cfgDefasagem/1440)*48,0))</f>
        <v>0</v>
      </c>
      <c r="E3052" s="26">
        <f>IF(D3052="","",INT((D3052-cfgDeslocamento)/4))</f>
        <v>0</v>
      </c>
      <c r="F3052" s="26">
        <f>IF(D3052="","",MOD(D3052-cfgDeslocamento,4)+1)</f>
        <v>0</v>
      </c>
      <c r="G3052" s="26">
        <f>IF(A3052="","",IF(AND(ISNUMBER(B3052),B3052&lt;&gt;0),1,0))</f>
        <v>0</v>
      </c>
      <c r="H3052" s="25">
        <f>IF(E3052="","",(E3052*4+3+cfgDeslocamento)/48)</f>
        <v>0</v>
      </c>
    </row>
    <row r="3053" spans="1:8">
      <c r="A3053" s="24"/>
      <c r="B3053" s="19"/>
      <c r="C3053" s="25">
        <f>IF(D3053="","",D3053/48)</f>
        <v>0</v>
      </c>
      <c r="D3053" s="26">
        <f>IF(A3053="","",ROUND((A3053-cfgDefasagem/1440)*48,0))</f>
        <v>0</v>
      </c>
      <c r="E3053" s="26">
        <f>IF(D3053="","",INT((D3053-cfgDeslocamento)/4))</f>
        <v>0</v>
      </c>
      <c r="F3053" s="26">
        <f>IF(D3053="","",MOD(D3053-cfgDeslocamento,4)+1)</f>
        <v>0</v>
      </c>
      <c r="G3053" s="26">
        <f>IF(A3053="","",IF(AND(ISNUMBER(B3053),B3053&lt;&gt;0),1,0))</f>
        <v>0</v>
      </c>
      <c r="H3053" s="25">
        <f>IF(E3053="","",(E3053*4+3+cfgDeslocamento)/48)</f>
        <v>0</v>
      </c>
    </row>
    <row r="3054" spans="1:8">
      <c r="A3054" s="24"/>
      <c r="B3054" s="19"/>
      <c r="C3054" s="25">
        <f>IF(D3054="","",D3054/48)</f>
        <v>0</v>
      </c>
      <c r="D3054" s="26">
        <f>IF(A3054="","",ROUND((A3054-cfgDefasagem/1440)*48,0))</f>
        <v>0</v>
      </c>
      <c r="E3054" s="26">
        <f>IF(D3054="","",INT((D3054-cfgDeslocamento)/4))</f>
        <v>0</v>
      </c>
      <c r="F3054" s="26">
        <f>IF(D3054="","",MOD(D3054-cfgDeslocamento,4)+1)</f>
        <v>0</v>
      </c>
      <c r="G3054" s="26">
        <f>IF(A3054="","",IF(AND(ISNUMBER(B3054),B3054&lt;&gt;0),1,0))</f>
        <v>0</v>
      </c>
      <c r="H3054" s="25">
        <f>IF(E3054="","",(E3054*4+3+cfgDeslocamento)/48)</f>
        <v>0</v>
      </c>
    </row>
    <row r="3055" spans="1:8">
      <c r="A3055" s="24"/>
      <c r="B3055" s="19"/>
      <c r="C3055" s="25">
        <f>IF(D3055="","",D3055/48)</f>
        <v>0</v>
      </c>
      <c r="D3055" s="26">
        <f>IF(A3055="","",ROUND((A3055-cfgDefasagem/1440)*48,0))</f>
        <v>0</v>
      </c>
      <c r="E3055" s="26">
        <f>IF(D3055="","",INT((D3055-cfgDeslocamento)/4))</f>
        <v>0</v>
      </c>
      <c r="F3055" s="26">
        <f>IF(D3055="","",MOD(D3055-cfgDeslocamento,4)+1)</f>
        <v>0</v>
      </c>
      <c r="G3055" s="26">
        <f>IF(A3055="","",IF(AND(ISNUMBER(B3055),B3055&lt;&gt;0),1,0))</f>
        <v>0</v>
      </c>
      <c r="H3055" s="25">
        <f>IF(E3055="","",(E3055*4+3+cfgDeslocamento)/48)</f>
        <v>0</v>
      </c>
    </row>
    <row r="3056" spans="1:8">
      <c r="A3056" s="24"/>
      <c r="B3056" s="19"/>
      <c r="C3056" s="25">
        <f>IF(D3056="","",D3056/48)</f>
        <v>0</v>
      </c>
      <c r="D3056" s="26">
        <f>IF(A3056="","",ROUND((A3056-cfgDefasagem/1440)*48,0))</f>
        <v>0</v>
      </c>
      <c r="E3056" s="26">
        <f>IF(D3056="","",INT((D3056-cfgDeslocamento)/4))</f>
        <v>0</v>
      </c>
      <c r="F3056" s="26">
        <f>IF(D3056="","",MOD(D3056-cfgDeslocamento,4)+1)</f>
        <v>0</v>
      </c>
      <c r="G3056" s="26">
        <f>IF(A3056="","",IF(AND(ISNUMBER(B3056),B3056&lt;&gt;0),1,0))</f>
        <v>0</v>
      </c>
      <c r="H3056" s="25">
        <f>IF(E3056="","",(E3056*4+3+cfgDeslocamento)/48)</f>
        <v>0</v>
      </c>
    </row>
    <row r="3057" spans="1:8">
      <c r="A3057" s="24"/>
      <c r="B3057" s="19"/>
      <c r="C3057" s="25">
        <f>IF(D3057="","",D3057/48)</f>
        <v>0</v>
      </c>
      <c r="D3057" s="26">
        <f>IF(A3057="","",ROUND((A3057-cfgDefasagem/1440)*48,0))</f>
        <v>0</v>
      </c>
      <c r="E3057" s="26">
        <f>IF(D3057="","",INT((D3057-cfgDeslocamento)/4))</f>
        <v>0</v>
      </c>
      <c r="F3057" s="26">
        <f>IF(D3057="","",MOD(D3057-cfgDeslocamento,4)+1)</f>
        <v>0</v>
      </c>
      <c r="G3057" s="26">
        <f>IF(A3057="","",IF(AND(ISNUMBER(B3057),B3057&lt;&gt;0),1,0))</f>
        <v>0</v>
      </c>
      <c r="H3057" s="25">
        <f>IF(E3057="","",(E3057*4+3+cfgDeslocamento)/48)</f>
        <v>0</v>
      </c>
    </row>
    <row r="3058" spans="1:8">
      <c r="A3058" s="24"/>
      <c r="B3058" s="19"/>
      <c r="C3058" s="25">
        <f>IF(D3058="","",D3058/48)</f>
        <v>0</v>
      </c>
      <c r="D3058" s="26">
        <f>IF(A3058="","",ROUND((A3058-cfgDefasagem/1440)*48,0))</f>
        <v>0</v>
      </c>
      <c r="E3058" s="26">
        <f>IF(D3058="","",INT((D3058-cfgDeslocamento)/4))</f>
        <v>0</v>
      </c>
      <c r="F3058" s="26">
        <f>IF(D3058="","",MOD(D3058-cfgDeslocamento,4)+1)</f>
        <v>0</v>
      </c>
      <c r="G3058" s="26">
        <f>IF(A3058="","",IF(AND(ISNUMBER(B3058),B3058&lt;&gt;0),1,0))</f>
        <v>0</v>
      </c>
      <c r="H3058" s="25">
        <f>IF(E3058="","",(E3058*4+3+cfgDeslocamento)/48)</f>
        <v>0</v>
      </c>
    </row>
    <row r="3059" spans="1:8">
      <c r="A3059" s="24"/>
      <c r="B3059" s="19"/>
      <c r="C3059" s="25">
        <f>IF(D3059="","",D3059/48)</f>
        <v>0</v>
      </c>
      <c r="D3059" s="26">
        <f>IF(A3059="","",ROUND((A3059-cfgDefasagem/1440)*48,0))</f>
        <v>0</v>
      </c>
      <c r="E3059" s="26">
        <f>IF(D3059="","",INT((D3059-cfgDeslocamento)/4))</f>
        <v>0</v>
      </c>
      <c r="F3059" s="26">
        <f>IF(D3059="","",MOD(D3059-cfgDeslocamento,4)+1)</f>
        <v>0</v>
      </c>
      <c r="G3059" s="26">
        <f>IF(A3059="","",IF(AND(ISNUMBER(B3059),B3059&lt;&gt;0),1,0))</f>
        <v>0</v>
      </c>
      <c r="H3059" s="25">
        <f>IF(E3059="","",(E3059*4+3+cfgDeslocamento)/48)</f>
        <v>0</v>
      </c>
    </row>
    <row r="3060" spans="1:8">
      <c r="A3060" s="24"/>
      <c r="B3060" s="19"/>
      <c r="C3060" s="25">
        <f>IF(D3060="","",D3060/48)</f>
        <v>0</v>
      </c>
      <c r="D3060" s="26">
        <f>IF(A3060="","",ROUND((A3060-cfgDefasagem/1440)*48,0))</f>
        <v>0</v>
      </c>
      <c r="E3060" s="26">
        <f>IF(D3060="","",INT((D3060-cfgDeslocamento)/4))</f>
        <v>0</v>
      </c>
      <c r="F3060" s="26">
        <f>IF(D3060="","",MOD(D3060-cfgDeslocamento,4)+1)</f>
        <v>0</v>
      </c>
      <c r="G3060" s="26">
        <f>IF(A3060="","",IF(AND(ISNUMBER(B3060),B3060&lt;&gt;0),1,0))</f>
        <v>0</v>
      </c>
      <c r="H3060" s="25">
        <f>IF(E3060="","",(E3060*4+3+cfgDeslocamento)/48)</f>
        <v>0</v>
      </c>
    </row>
    <row r="3061" spans="1:8">
      <c r="A3061" s="24"/>
      <c r="B3061" s="19"/>
      <c r="C3061" s="25">
        <f>IF(D3061="","",D3061/48)</f>
        <v>0</v>
      </c>
      <c r="D3061" s="26">
        <f>IF(A3061="","",ROUND((A3061-cfgDefasagem/1440)*48,0))</f>
        <v>0</v>
      </c>
      <c r="E3061" s="26">
        <f>IF(D3061="","",INT((D3061-cfgDeslocamento)/4))</f>
        <v>0</v>
      </c>
      <c r="F3061" s="26">
        <f>IF(D3061="","",MOD(D3061-cfgDeslocamento,4)+1)</f>
        <v>0</v>
      </c>
      <c r="G3061" s="26">
        <f>IF(A3061="","",IF(AND(ISNUMBER(B3061),B3061&lt;&gt;0),1,0))</f>
        <v>0</v>
      </c>
      <c r="H3061" s="25">
        <f>IF(E3061="","",(E3061*4+3+cfgDeslocamento)/48)</f>
        <v>0</v>
      </c>
    </row>
    <row r="3062" spans="1:8">
      <c r="A3062" s="24"/>
      <c r="B3062" s="19"/>
      <c r="C3062" s="25">
        <f>IF(D3062="","",D3062/48)</f>
        <v>0</v>
      </c>
      <c r="D3062" s="26">
        <f>IF(A3062="","",ROUND((A3062-cfgDefasagem/1440)*48,0))</f>
        <v>0</v>
      </c>
      <c r="E3062" s="26">
        <f>IF(D3062="","",INT((D3062-cfgDeslocamento)/4))</f>
        <v>0</v>
      </c>
      <c r="F3062" s="26">
        <f>IF(D3062="","",MOD(D3062-cfgDeslocamento,4)+1)</f>
        <v>0</v>
      </c>
      <c r="G3062" s="26">
        <f>IF(A3062="","",IF(AND(ISNUMBER(B3062),B3062&lt;&gt;0),1,0))</f>
        <v>0</v>
      </c>
      <c r="H3062" s="25">
        <f>IF(E3062="","",(E3062*4+3+cfgDeslocamento)/48)</f>
        <v>0</v>
      </c>
    </row>
    <row r="3063" spans="1:8">
      <c r="A3063" s="24"/>
      <c r="B3063" s="19"/>
      <c r="C3063" s="25">
        <f>IF(D3063="","",D3063/48)</f>
        <v>0</v>
      </c>
      <c r="D3063" s="26">
        <f>IF(A3063="","",ROUND((A3063-cfgDefasagem/1440)*48,0))</f>
        <v>0</v>
      </c>
      <c r="E3063" s="26">
        <f>IF(D3063="","",INT((D3063-cfgDeslocamento)/4))</f>
        <v>0</v>
      </c>
      <c r="F3063" s="26">
        <f>IF(D3063="","",MOD(D3063-cfgDeslocamento,4)+1)</f>
        <v>0</v>
      </c>
      <c r="G3063" s="26">
        <f>IF(A3063="","",IF(AND(ISNUMBER(B3063),B3063&lt;&gt;0),1,0))</f>
        <v>0</v>
      </c>
      <c r="H3063" s="25">
        <f>IF(E3063="","",(E3063*4+3+cfgDeslocamento)/48)</f>
        <v>0</v>
      </c>
    </row>
    <row r="3064" spans="1:8">
      <c r="A3064" s="24"/>
      <c r="B3064" s="19"/>
      <c r="C3064" s="25">
        <f>IF(D3064="","",D3064/48)</f>
        <v>0</v>
      </c>
      <c r="D3064" s="26">
        <f>IF(A3064="","",ROUND((A3064-cfgDefasagem/1440)*48,0))</f>
        <v>0</v>
      </c>
      <c r="E3064" s="26">
        <f>IF(D3064="","",INT((D3064-cfgDeslocamento)/4))</f>
        <v>0</v>
      </c>
      <c r="F3064" s="26">
        <f>IF(D3064="","",MOD(D3064-cfgDeslocamento,4)+1)</f>
        <v>0</v>
      </c>
      <c r="G3064" s="26">
        <f>IF(A3064="","",IF(AND(ISNUMBER(B3064),B3064&lt;&gt;0),1,0))</f>
        <v>0</v>
      </c>
      <c r="H3064" s="25">
        <f>IF(E3064="","",(E3064*4+3+cfgDeslocamento)/48)</f>
        <v>0</v>
      </c>
    </row>
    <row r="3065" spans="1:8">
      <c r="A3065" s="24"/>
      <c r="B3065" s="19"/>
      <c r="C3065" s="25">
        <f>IF(D3065="","",D3065/48)</f>
        <v>0</v>
      </c>
      <c r="D3065" s="26">
        <f>IF(A3065="","",ROUND((A3065-cfgDefasagem/1440)*48,0))</f>
        <v>0</v>
      </c>
      <c r="E3065" s="26">
        <f>IF(D3065="","",INT((D3065-cfgDeslocamento)/4))</f>
        <v>0</v>
      </c>
      <c r="F3065" s="26">
        <f>IF(D3065="","",MOD(D3065-cfgDeslocamento,4)+1)</f>
        <v>0</v>
      </c>
      <c r="G3065" s="26">
        <f>IF(A3065="","",IF(AND(ISNUMBER(B3065),B3065&lt;&gt;0),1,0))</f>
        <v>0</v>
      </c>
      <c r="H3065" s="25">
        <f>IF(E3065="","",(E3065*4+3+cfgDeslocamento)/48)</f>
        <v>0</v>
      </c>
    </row>
    <row r="3066" spans="1:8">
      <c r="A3066" s="24"/>
      <c r="B3066" s="19"/>
      <c r="C3066" s="25">
        <f>IF(D3066="","",D3066/48)</f>
        <v>0</v>
      </c>
      <c r="D3066" s="26">
        <f>IF(A3066="","",ROUND((A3066-cfgDefasagem/1440)*48,0))</f>
        <v>0</v>
      </c>
      <c r="E3066" s="26">
        <f>IF(D3066="","",INT((D3066-cfgDeslocamento)/4))</f>
        <v>0</v>
      </c>
      <c r="F3066" s="26">
        <f>IF(D3066="","",MOD(D3066-cfgDeslocamento,4)+1)</f>
        <v>0</v>
      </c>
      <c r="G3066" s="26">
        <f>IF(A3066="","",IF(AND(ISNUMBER(B3066),B3066&lt;&gt;0),1,0))</f>
        <v>0</v>
      </c>
      <c r="H3066" s="25">
        <f>IF(E3066="","",(E3066*4+3+cfgDeslocamento)/48)</f>
        <v>0</v>
      </c>
    </row>
    <row r="3067" spans="1:8">
      <c r="A3067" s="24"/>
      <c r="B3067" s="19"/>
      <c r="C3067" s="25">
        <f>IF(D3067="","",D3067/48)</f>
        <v>0</v>
      </c>
      <c r="D3067" s="26">
        <f>IF(A3067="","",ROUND((A3067-cfgDefasagem/1440)*48,0))</f>
        <v>0</v>
      </c>
      <c r="E3067" s="26">
        <f>IF(D3067="","",INT((D3067-cfgDeslocamento)/4))</f>
        <v>0</v>
      </c>
      <c r="F3067" s="26">
        <f>IF(D3067="","",MOD(D3067-cfgDeslocamento,4)+1)</f>
        <v>0</v>
      </c>
      <c r="G3067" s="26">
        <f>IF(A3067="","",IF(AND(ISNUMBER(B3067),B3067&lt;&gt;0),1,0))</f>
        <v>0</v>
      </c>
      <c r="H3067" s="25">
        <f>IF(E3067="","",(E3067*4+3+cfgDeslocamento)/48)</f>
        <v>0</v>
      </c>
    </row>
    <row r="3068" spans="1:8">
      <c r="A3068" s="24"/>
      <c r="B3068" s="19"/>
      <c r="C3068" s="25">
        <f>IF(D3068="","",D3068/48)</f>
        <v>0</v>
      </c>
      <c r="D3068" s="26">
        <f>IF(A3068="","",ROUND((A3068-cfgDefasagem/1440)*48,0))</f>
        <v>0</v>
      </c>
      <c r="E3068" s="26">
        <f>IF(D3068="","",INT((D3068-cfgDeslocamento)/4))</f>
        <v>0</v>
      </c>
      <c r="F3068" s="26">
        <f>IF(D3068="","",MOD(D3068-cfgDeslocamento,4)+1)</f>
        <v>0</v>
      </c>
      <c r="G3068" s="26">
        <f>IF(A3068="","",IF(AND(ISNUMBER(B3068),B3068&lt;&gt;0),1,0))</f>
        <v>0</v>
      </c>
      <c r="H3068" s="25">
        <f>IF(E3068="","",(E3068*4+3+cfgDeslocamento)/48)</f>
        <v>0</v>
      </c>
    </row>
    <row r="3069" spans="1:8">
      <c r="A3069" s="24"/>
      <c r="B3069" s="19"/>
      <c r="C3069" s="25">
        <f>IF(D3069="","",D3069/48)</f>
        <v>0</v>
      </c>
      <c r="D3069" s="26">
        <f>IF(A3069="","",ROUND((A3069-cfgDefasagem/1440)*48,0))</f>
        <v>0</v>
      </c>
      <c r="E3069" s="26">
        <f>IF(D3069="","",INT((D3069-cfgDeslocamento)/4))</f>
        <v>0</v>
      </c>
      <c r="F3069" s="26">
        <f>IF(D3069="","",MOD(D3069-cfgDeslocamento,4)+1)</f>
        <v>0</v>
      </c>
      <c r="G3069" s="26">
        <f>IF(A3069="","",IF(AND(ISNUMBER(B3069),B3069&lt;&gt;0),1,0))</f>
        <v>0</v>
      </c>
      <c r="H3069" s="25">
        <f>IF(E3069="","",(E3069*4+3+cfgDeslocamento)/48)</f>
        <v>0</v>
      </c>
    </row>
    <row r="3070" spans="1:8">
      <c r="A3070" s="24"/>
      <c r="B3070" s="19"/>
      <c r="C3070" s="25">
        <f>IF(D3070="","",D3070/48)</f>
        <v>0</v>
      </c>
      <c r="D3070" s="26">
        <f>IF(A3070="","",ROUND((A3070-cfgDefasagem/1440)*48,0))</f>
        <v>0</v>
      </c>
      <c r="E3070" s="26">
        <f>IF(D3070="","",INT((D3070-cfgDeslocamento)/4))</f>
        <v>0</v>
      </c>
      <c r="F3070" s="26">
        <f>IF(D3070="","",MOD(D3070-cfgDeslocamento,4)+1)</f>
        <v>0</v>
      </c>
      <c r="G3070" s="26">
        <f>IF(A3070="","",IF(AND(ISNUMBER(B3070),B3070&lt;&gt;0),1,0))</f>
        <v>0</v>
      </c>
      <c r="H3070" s="25">
        <f>IF(E3070="","",(E3070*4+3+cfgDeslocamento)/48)</f>
        <v>0</v>
      </c>
    </row>
    <row r="3071" spans="1:8">
      <c r="A3071" s="24"/>
      <c r="B3071" s="19"/>
      <c r="C3071" s="25">
        <f>IF(D3071="","",D3071/48)</f>
        <v>0</v>
      </c>
      <c r="D3071" s="26">
        <f>IF(A3071="","",ROUND((A3071-cfgDefasagem/1440)*48,0))</f>
        <v>0</v>
      </c>
      <c r="E3071" s="26">
        <f>IF(D3071="","",INT((D3071-cfgDeslocamento)/4))</f>
        <v>0</v>
      </c>
      <c r="F3071" s="26">
        <f>IF(D3071="","",MOD(D3071-cfgDeslocamento,4)+1)</f>
        <v>0</v>
      </c>
      <c r="G3071" s="26">
        <f>IF(A3071="","",IF(AND(ISNUMBER(B3071),B3071&lt;&gt;0),1,0))</f>
        <v>0</v>
      </c>
      <c r="H3071" s="25">
        <f>IF(E3071="","",(E3071*4+3+cfgDeslocamento)/48)</f>
        <v>0</v>
      </c>
    </row>
    <row r="3072" spans="1:8">
      <c r="A3072" s="24"/>
      <c r="B3072" s="19"/>
      <c r="C3072" s="25">
        <f>IF(D3072="","",D3072/48)</f>
        <v>0</v>
      </c>
      <c r="D3072" s="26">
        <f>IF(A3072="","",ROUND((A3072-cfgDefasagem/1440)*48,0))</f>
        <v>0</v>
      </c>
      <c r="E3072" s="26">
        <f>IF(D3072="","",INT((D3072-cfgDeslocamento)/4))</f>
        <v>0</v>
      </c>
      <c r="F3072" s="26">
        <f>IF(D3072="","",MOD(D3072-cfgDeslocamento,4)+1)</f>
        <v>0</v>
      </c>
      <c r="G3072" s="26">
        <f>IF(A3072="","",IF(AND(ISNUMBER(B3072),B3072&lt;&gt;0),1,0))</f>
        <v>0</v>
      </c>
      <c r="H3072" s="25">
        <f>IF(E3072="","",(E3072*4+3+cfgDeslocamento)/48)</f>
        <v>0</v>
      </c>
    </row>
    <row r="3073" spans="1:8">
      <c r="A3073" s="24"/>
      <c r="B3073" s="19"/>
      <c r="C3073" s="25">
        <f>IF(D3073="","",D3073/48)</f>
        <v>0</v>
      </c>
      <c r="D3073" s="26">
        <f>IF(A3073="","",ROUND((A3073-cfgDefasagem/1440)*48,0))</f>
        <v>0</v>
      </c>
      <c r="E3073" s="26">
        <f>IF(D3073="","",INT((D3073-cfgDeslocamento)/4))</f>
        <v>0</v>
      </c>
      <c r="F3073" s="26">
        <f>IF(D3073="","",MOD(D3073-cfgDeslocamento,4)+1)</f>
        <v>0</v>
      </c>
      <c r="G3073" s="26">
        <f>IF(A3073="","",IF(AND(ISNUMBER(B3073),B3073&lt;&gt;0),1,0))</f>
        <v>0</v>
      </c>
      <c r="H3073" s="25">
        <f>IF(E3073="","",(E3073*4+3+cfgDeslocamento)/48)</f>
        <v>0</v>
      </c>
    </row>
    <row r="3074" spans="1:8">
      <c r="A3074" s="24"/>
      <c r="B3074" s="19"/>
      <c r="C3074" s="25">
        <f>IF(D3074="","",D3074/48)</f>
        <v>0</v>
      </c>
      <c r="D3074" s="26">
        <f>IF(A3074="","",ROUND((A3074-cfgDefasagem/1440)*48,0))</f>
        <v>0</v>
      </c>
      <c r="E3074" s="26">
        <f>IF(D3074="","",INT((D3074-cfgDeslocamento)/4))</f>
        <v>0</v>
      </c>
      <c r="F3074" s="26">
        <f>IF(D3074="","",MOD(D3074-cfgDeslocamento,4)+1)</f>
        <v>0</v>
      </c>
      <c r="G3074" s="26">
        <f>IF(A3074="","",IF(AND(ISNUMBER(B3074),B3074&lt;&gt;0),1,0))</f>
        <v>0</v>
      </c>
      <c r="H3074" s="25">
        <f>IF(E3074="","",(E3074*4+3+cfgDeslocamento)/48)</f>
        <v>0</v>
      </c>
    </row>
    <row r="3075" spans="1:8">
      <c r="A3075" s="24"/>
      <c r="B3075" s="19"/>
      <c r="C3075" s="25">
        <f>IF(D3075="","",D3075/48)</f>
        <v>0</v>
      </c>
      <c r="D3075" s="26">
        <f>IF(A3075="","",ROUND((A3075-cfgDefasagem/1440)*48,0))</f>
        <v>0</v>
      </c>
      <c r="E3075" s="26">
        <f>IF(D3075="","",INT((D3075-cfgDeslocamento)/4))</f>
        <v>0</v>
      </c>
      <c r="F3075" s="26">
        <f>IF(D3075="","",MOD(D3075-cfgDeslocamento,4)+1)</f>
        <v>0</v>
      </c>
      <c r="G3075" s="26">
        <f>IF(A3075="","",IF(AND(ISNUMBER(B3075),B3075&lt;&gt;0),1,0))</f>
        <v>0</v>
      </c>
      <c r="H3075" s="25">
        <f>IF(E3075="","",(E3075*4+3+cfgDeslocamento)/48)</f>
        <v>0</v>
      </c>
    </row>
    <row r="3076" spans="1:8">
      <c r="A3076" s="24"/>
      <c r="B3076" s="19"/>
      <c r="C3076" s="25">
        <f>IF(D3076="","",D3076/48)</f>
        <v>0</v>
      </c>
      <c r="D3076" s="26">
        <f>IF(A3076="","",ROUND((A3076-cfgDefasagem/1440)*48,0))</f>
        <v>0</v>
      </c>
      <c r="E3076" s="26">
        <f>IF(D3076="","",INT((D3076-cfgDeslocamento)/4))</f>
        <v>0</v>
      </c>
      <c r="F3076" s="26">
        <f>IF(D3076="","",MOD(D3076-cfgDeslocamento,4)+1)</f>
        <v>0</v>
      </c>
      <c r="G3076" s="26">
        <f>IF(A3076="","",IF(AND(ISNUMBER(B3076),B3076&lt;&gt;0),1,0))</f>
        <v>0</v>
      </c>
      <c r="H3076" s="25">
        <f>IF(E3076="","",(E3076*4+3+cfgDeslocamento)/48)</f>
        <v>0</v>
      </c>
    </row>
    <row r="3077" spans="1:8">
      <c r="A3077" s="24"/>
      <c r="B3077" s="19"/>
      <c r="C3077" s="25">
        <f>IF(D3077="","",D3077/48)</f>
        <v>0</v>
      </c>
      <c r="D3077" s="26">
        <f>IF(A3077="","",ROUND((A3077-cfgDefasagem/1440)*48,0))</f>
        <v>0</v>
      </c>
      <c r="E3077" s="26">
        <f>IF(D3077="","",INT((D3077-cfgDeslocamento)/4))</f>
        <v>0</v>
      </c>
      <c r="F3077" s="26">
        <f>IF(D3077="","",MOD(D3077-cfgDeslocamento,4)+1)</f>
        <v>0</v>
      </c>
      <c r="G3077" s="26">
        <f>IF(A3077="","",IF(AND(ISNUMBER(B3077),B3077&lt;&gt;0),1,0))</f>
        <v>0</v>
      </c>
      <c r="H3077" s="25">
        <f>IF(E3077="","",(E3077*4+3+cfgDeslocamento)/48)</f>
        <v>0</v>
      </c>
    </row>
    <row r="3078" spans="1:8">
      <c r="A3078" s="24"/>
      <c r="B3078" s="19"/>
      <c r="C3078" s="25">
        <f>IF(D3078="","",D3078/48)</f>
        <v>0</v>
      </c>
      <c r="D3078" s="26">
        <f>IF(A3078="","",ROUND((A3078-cfgDefasagem/1440)*48,0))</f>
        <v>0</v>
      </c>
      <c r="E3078" s="26">
        <f>IF(D3078="","",INT((D3078-cfgDeslocamento)/4))</f>
        <v>0</v>
      </c>
      <c r="F3078" s="26">
        <f>IF(D3078="","",MOD(D3078-cfgDeslocamento,4)+1)</f>
        <v>0</v>
      </c>
      <c r="G3078" s="26">
        <f>IF(A3078="","",IF(AND(ISNUMBER(B3078),B3078&lt;&gt;0),1,0))</f>
        <v>0</v>
      </c>
      <c r="H3078" s="25">
        <f>IF(E3078="","",(E3078*4+3+cfgDeslocamento)/48)</f>
        <v>0</v>
      </c>
    </row>
    <row r="3079" spans="1:8">
      <c r="A3079" s="24"/>
      <c r="B3079" s="19"/>
      <c r="C3079" s="25">
        <f>IF(D3079="","",D3079/48)</f>
        <v>0</v>
      </c>
      <c r="D3079" s="26">
        <f>IF(A3079="","",ROUND((A3079-cfgDefasagem/1440)*48,0))</f>
        <v>0</v>
      </c>
      <c r="E3079" s="26">
        <f>IF(D3079="","",INT((D3079-cfgDeslocamento)/4))</f>
        <v>0</v>
      </c>
      <c r="F3079" s="26">
        <f>IF(D3079="","",MOD(D3079-cfgDeslocamento,4)+1)</f>
        <v>0</v>
      </c>
      <c r="G3079" s="26">
        <f>IF(A3079="","",IF(AND(ISNUMBER(B3079),B3079&lt;&gt;0),1,0))</f>
        <v>0</v>
      </c>
      <c r="H3079" s="25">
        <f>IF(E3079="","",(E3079*4+3+cfgDeslocamento)/48)</f>
        <v>0</v>
      </c>
    </row>
    <row r="3080" spans="1:8">
      <c r="A3080" s="24"/>
      <c r="B3080" s="19"/>
      <c r="C3080" s="25">
        <f>IF(D3080="","",D3080/48)</f>
        <v>0</v>
      </c>
      <c r="D3080" s="26">
        <f>IF(A3080="","",ROUND((A3080-cfgDefasagem/1440)*48,0))</f>
        <v>0</v>
      </c>
      <c r="E3080" s="26">
        <f>IF(D3080="","",INT((D3080-cfgDeslocamento)/4))</f>
        <v>0</v>
      </c>
      <c r="F3080" s="26">
        <f>IF(D3080="","",MOD(D3080-cfgDeslocamento,4)+1)</f>
        <v>0</v>
      </c>
      <c r="G3080" s="26">
        <f>IF(A3080="","",IF(AND(ISNUMBER(B3080),B3080&lt;&gt;0),1,0))</f>
        <v>0</v>
      </c>
      <c r="H3080" s="25">
        <f>IF(E3080="","",(E3080*4+3+cfgDeslocamento)/48)</f>
        <v>0</v>
      </c>
    </row>
    <row r="3081" spans="1:8">
      <c r="A3081" s="24"/>
      <c r="B3081" s="19"/>
      <c r="C3081" s="25">
        <f>IF(D3081="","",D3081/48)</f>
        <v>0</v>
      </c>
      <c r="D3081" s="26">
        <f>IF(A3081="","",ROUND((A3081-cfgDefasagem/1440)*48,0))</f>
        <v>0</v>
      </c>
      <c r="E3081" s="26">
        <f>IF(D3081="","",INT((D3081-cfgDeslocamento)/4))</f>
        <v>0</v>
      </c>
      <c r="F3081" s="26">
        <f>IF(D3081="","",MOD(D3081-cfgDeslocamento,4)+1)</f>
        <v>0</v>
      </c>
      <c r="G3081" s="26">
        <f>IF(A3081="","",IF(AND(ISNUMBER(B3081),B3081&lt;&gt;0),1,0))</f>
        <v>0</v>
      </c>
      <c r="H3081" s="25">
        <f>IF(E3081="","",(E3081*4+3+cfgDeslocamento)/48)</f>
        <v>0</v>
      </c>
    </row>
    <row r="3082" spans="1:8">
      <c r="A3082" s="24"/>
      <c r="B3082" s="19"/>
      <c r="C3082" s="25">
        <f>IF(D3082="","",D3082/48)</f>
        <v>0</v>
      </c>
      <c r="D3082" s="26">
        <f>IF(A3082="","",ROUND((A3082-cfgDefasagem/1440)*48,0))</f>
        <v>0</v>
      </c>
      <c r="E3082" s="26">
        <f>IF(D3082="","",INT((D3082-cfgDeslocamento)/4))</f>
        <v>0</v>
      </c>
      <c r="F3082" s="26">
        <f>IF(D3082="","",MOD(D3082-cfgDeslocamento,4)+1)</f>
        <v>0</v>
      </c>
      <c r="G3082" s="26">
        <f>IF(A3082="","",IF(AND(ISNUMBER(B3082),B3082&lt;&gt;0),1,0))</f>
        <v>0</v>
      </c>
      <c r="H3082" s="25">
        <f>IF(E3082="","",(E3082*4+3+cfgDeslocamento)/48)</f>
        <v>0</v>
      </c>
    </row>
    <row r="3083" spans="1:8">
      <c r="A3083" s="24"/>
      <c r="B3083" s="19"/>
      <c r="C3083" s="25">
        <f>IF(D3083="","",D3083/48)</f>
        <v>0</v>
      </c>
      <c r="D3083" s="26">
        <f>IF(A3083="","",ROUND((A3083-cfgDefasagem/1440)*48,0))</f>
        <v>0</v>
      </c>
      <c r="E3083" s="26">
        <f>IF(D3083="","",INT((D3083-cfgDeslocamento)/4))</f>
        <v>0</v>
      </c>
      <c r="F3083" s="26">
        <f>IF(D3083="","",MOD(D3083-cfgDeslocamento,4)+1)</f>
        <v>0</v>
      </c>
      <c r="G3083" s="26">
        <f>IF(A3083="","",IF(AND(ISNUMBER(B3083),B3083&lt;&gt;0),1,0))</f>
        <v>0</v>
      </c>
      <c r="H3083" s="25">
        <f>IF(E3083="","",(E3083*4+3+cfgDeslocamento)/48)</f>
        <v>0</v>
      </c>
    </row>
    <row r="3084" spans="1:8">
      <c r="A3084" s="24"/>
      <c r="B3084" s="19"/>
      <c r="C3084" s="25">
        <f>IF(D3084="","",D3084/48)</f>
        <v>0</v>
      </c>
      <c r="D3084" s="26">
        <f>IF(A3084="","",ROUND((A3084-cfgDefasagem/1440)*48,0))</f>
        <v>0</v>
      </c>
      <c r="E3084" s="26">
        <f>IF(D3084="","",INT((D3084-cfgDeslocamento)/4))</f>
        <v>0</v>
      </c>
      <c r="F3084" s="26">
        <f>IF(D3084="","",MOD(D3084-cfgDeslocamento,4)+1)</f>
        <v>0</v>
      </c>
      <c r="G3084" s="26">
        <f>IF(A3084="","",IF(AND(ISNUMBER(B3084),B3084&lt;&gt;0),1,0))</f>
        <v>0</v>
      </c>
      <c r="H3084" s="25">
        <f>IF(E3084="","",(E3084*4+3+cfgDeslocamento)/48)</f>
        <v>0</v>
      </c>
    </row>
    <row r="3085" spans="1:8">
      <c r="A3085" s="24"/>
      <c r="B3085" s="19"/>
      <c r="C3085" s="25">
        <f>IF(D3085="","",D3085/48)</f>
        <v>0</v>
      </c>
      <c r="D3085" s="26">
        <f>IF(A3085="","",ROUND((A3085-cfgDefasagem/1440)*48,0))</f>
        <v>0</v>
      </c>
      <c r="E3085" s="26">
        <f>IF(D3085="","",INT((D3085-cfgDeslocamento)/4))</f>
        <v>0</v>
      </c>
      <c r="F3085" s="26">
        <f>IF(D3085="","",MOD(D3085-cfgDeslocamento,4)+1)</f>
        <v>0</v>
      </c>
      <c r="G3085" s="26">
        <f>IF(A3085="","",IF(AND(ISNUMBER(B3085),B3085&lt;&gt;0),1,0))</f>
        <v>0</v>
      </c>
      <c r="H3085" s="25">
        <f>IF(E3085="","",(E3085*4+3+cfgDeslocamento)/48)</f>
        <v>0</v>
      </c>
    </row>
    <row r="3086" spans="1:8">
      <c r="A3086" s="24"/>
      <c r="B3086" s="19"/>
      <c r="C3086" s="25">
        <f>IF(D3086="","",D3086/48)</f>
        <v>0</v>
      </c>
      <c r="D3086" s="26">
        <f>IF(A3086="","",ROUND((A3086-cfgDefasagem/1440)*48,0))</f>
        <v>0</v>
      </c>
      <c r="E3086" s="26">
        <f>IF(D3086="","",INT((D3086-cfgDeslocamento)/4))</f>
        <v>0</v>
      </c>
      <c r="F3086" s="26">
        <f>IF(D3086="","",MOD(D3086-cfgDeslocamento,4)+1)</f>
        <v>0</v>
      </c>
      <c r="G3086" s="26">
        <f>IF(A3086="","",IF(AND(ISNUMBER(B3086),B3086&lt;&gt;0),1,0))</f>
        <v>0</v>
      </c>
      <c r="H3086" s="25">
        <f>IF(E3086="","",(E3086*4+3+cfgDeslocamento)/48)</f>
        <v>0</v>
      </c>
    </row>
    <row r="3087" spans="1:8">
      <c r="A3087" s="24"/>
      <c r="B3087" s="19"/>
      <c r="C3087" s="25">
        <f>IF(D3087="","",D3087/48)</f>
        <v>0</v>
      </c>
      <c r="D3087" s="26">
        <f>IF(A3087="","",ROUND((A3087-cfgDefasagem/1440)*48,0))</f>
        <v>0</v>
      </c>
      <c r="E3087" s="26">
        <f>IF(D3087="","",INT((D3087-cfgDeslocamento)/4))</f>
        <v>0</v>
      </c>
      <c r="F3087" s="26">
        <f>IF(D3087="","",MOD(D3087-cfgDeslocamento,4)+1)</f>
        <v>0</v>
      </c>
      <c r="G3087" s="26">
        <f>IF(A3087="","",IF(AND(ISNUMBER(B3087),B3087&lt;&gt;0),1,0))</f>
        <v>0</v>
      </c>
      <c r="H3087" s="25">
        <f>IF(E3087="","",(E3087*4+3+cfgDeslocamento)/48)</f>
        <v>0</v>
      </c>
    </row>
    <row r="3088" spans="1:8">
      <c r="A3088" s="24"/>
      <c r="B3088" s="19"/>
      <c r="C3088" s="25">
        <f>IF(D3088="","",D3088/48)</f>
        <v>0</v>
      </c>
      <c r="D3088" s="26">
        <f>IF(A3088="","",ROUND((A3088-cfgDefasagem/1440)*48,0))</f>
        <v>0</v>
      </c>
      <c r="E3088" s="26">
        <f>IF(D3088="","",INT((D3088-cfgDeslocamento)/4))</f>
        <v>0</v>
      </c>
      <c r="F3088" s="26">
        <f>IF(D3088="","",MOD(D3088-cfgDeslocamento,4)+1)</f>
        <v>0</v>
      </c>
      <c r="G3088" s="26">
        <f>IF(A3088="","",IF(AND(ISNUMBER(B3088),B3088&lt;&gt;0),1,0))</f>
        <v>0</v>
      </c>
      <c r="H3088" s="25">
        <f>IF(E3088="","",(E3088*4+3+cfgDeslocamento)/48)</f>
        <v>0</v>
      </c>
    </row>
    <row r="3089" spans="1:8">
      <c r="A3089" s="24"/>
      <c r="B3089" s="19"/>
      <c r="C3089" s="25">
        <f>IF(D3089="","",D3089/48)</f>
        <v>0</v>
      </c>
      <c r="D3089" s="26">
        <f>IF(A3089="","",ROUND((A3089-cfgDefasagem/1440)*48,0))</f>
        <v>0</v>
      </c>
      <c r="E3089" s="26">
        <f>IF(D3089="","",INT((D3089-cfgDeslocamento)/4))</f>
        <v>0</v>
      </c>
      <c r="F3089" s="26">
        <f>IF(D3089="","",MOD(D3089-cfgDeslocamento,4)+1)</f>
        <v>0</v>
      </c>
      <c r="G3089" s="26">
        <f>IF(A3089="","",IF(AND(ISNUMBER(B3089),B3089&lt;&gt;0),1,0))</f>
        <v>0</v>
      </c>
      <c r="H3089" s="25">
        <f>IF(E3089="","",(E3089*4+3+cfgDeslocamento)/48)</f>
        <v>0</v>
      </c>
    </row>
    <row r="3090" spans="1:8">
      <c r="A3090" s="24"/>
      <c r="B3090" s="19"/>
      <c r="C3090" s="25">
        <f>IF(D3090="","",D3090/48)</f>
        <v>0</v>
      </c>
      <c r="D3090" s="26">
        <f>IF(A3090="","",ROUND((A3090-cfgDefasagem/1440)*48,0))</f>
        <v>0</v>
      </c>
      <c r="E3090" s="26">
        <f>IF(D3090="","",INT((D3090-cfgDeslocamento)/4))</f>
        <v>0</v>
      </c>
      <c r="F3090" s="26">
        <f>IF(D3090="","",MOD(D3090-cfgDeslocamento,4)+1)</f>
        <v>0</v>
      </c>
      <c r="G3090" s="26">
        <f>IF(A3090="","",IF(AND(ISNUMBER(B3090),B3090&lt;&gt;0),1,0))</f>
        <v>0</v>
      </c>
      <c r="H3090" s="25">
        <f>IF(E3090="","",(E3090*4+3+cfgDeslocamento)/48)</f>
        <v>0</v>
      </c>
    </row>
    <row r="3091" spans="1:8">
      <c r="A3091" s="24"/>
      <c r="B3091" s="19"/>
      <c r="C3091" s="25">
        <f>IF(D3091="","",D3091/48)</f>
        <v>0</v>
      </c>
      <c r="D3091" s="26">
        <f>IF(A3091="","",ROUND((A3091-cfgDefasagem/1440)*48,0))</f>
        <v>0</v>
      </c>
      <c r="E3091" s="26">
        <f>IF(D3091="","",INT((D3091-cfgDeslocamento)/4))</f>
        <v>0</v>
      </c>
      <c r="F3091" s="26">
        <f>IF(D3091="","",MOD(D3091-cfgDeslocamento,4)+1)</f>
        <v>0</v>
      </c>
      <c r="G3091" s="26">
        <f>IF(A3091="","",IF(AND(ISNUMBER(B3091),B3091&lt;&gt;0),1,0))</f>
        <v>0</v>
      </c>
      <c r="H3091" s="25">
        <f>IF(E3091="","",(E3091*4+3+cfgDeslocamento)/48)</f>
        <v>0</v>
      </c>
    </row>
    <row r="3092" spans="1:8">
      <c r="A3092" s="24"/>
      <c r="B3092" s="19"/>
      <c r="C3092" s="25">
        <f>IF(D3092="","",D3092/48)</f>
        <v>0</v>
      </c>
      <c r="D3092" s="26">
        <f>IF(A3092="","",ROUND((A3092-cfgDefasagem/1440)*48,0))</f>
        <v>0</v>
      </c>
      <c r="E3092" s="26">
        <f>IF(D3092="","",INT((D3092-cfgDeslocamento)/4))</f>
        <v>0</v>
      </c>
      <c r="F3092" s="26">
        <f>IF(D3092="","",MOD(D3092-cfgDeslocamento,4)+1)</f>
        <v>0</v>
      </c>
      <c r="G3092" s="26">
        <f>IF(A3092="","",IF(AND(ISNUMBER(B3092),B3092&lt;&gt;0),1,0))</f>
        <v>0</v>
      </c>
      <c r="H3092" s="25">
        <f>IF(E3092="","",(E3092*4+3+cfgDeslocamento)/48)</f>
        <v>0</v>
      </c>
    </row>
    <row r="3093" spans="1:8">
      <c r="A3093" s="24"/>
      <c r="B3093" s="19"/>
      <c r="C3093" s="25">
        <f>IF(D3093="","",D3093/48)</f>
        <v>0</v>
      </c>
      <c r="D3093" s="26">
        <f>IF(A3093="","",ROUND((A3093-cfgDefasagem/1440)*48,0))</f>
        <v>0</v>
      </c>
      <c r="E3093" s="26">
        <f>IF(D3093="","",INT((D3093-cfgDeslocamento)/4))</f>
        <v>0</v>
      </c>
      <c r="F3093" s="26">
        <f>IF(D3093="","",MOD(D3093-cfgDeslocamento,4)+1)</f>
        <v>0</v>
      </c>
      <c r="G3093" s="26">
        <f>IF(A3093="","",IF(AND(ISNUMBER(B3093),B3093&lt;&gt;0),1,0))</f>
        <v>0</v>
      </c>
      <c r="H3093" s="25">
        <f>IF(E3093="","",(E3093*4+3+cfgDeslocamento)/48)</f>
        <v>0</v>
      </c>
    </row>
    <row r="3094" spans="1:8">
      <c r="A3094" s="24"/>
      <c r="B3094" s="19"/>
      <c r="C3094" s="25">
        <f>IF(D3094="","",D3094/48)</f>
        <v>0</v>
      </c>
      <c r="D3094" s="26">
        <f>IF(A3094="","",ROUND((A3094-cfgDefasagem/1440)*48,0))</f>
        <v>0</v>
      </c>
      <c r="E3094" s="26">
        <f>IF(D3094="","",INT((D3094-cfgDeslocamento)/4))</f>
        <v>0</v>
      </c>
      <c r="F3094" s="26">
        <f>IF(D3094="","",MOD(D3094-cfgDeslocamento,4)+1)</f>
        <v>0</v>
      </c>
      <c r="G3094" s="26">
        <f>IF(A3094="","",IF(AND(ISNUMBER(B3094),B3094&lt;&gt;0),1,0))</f>
        <v>0</v>
      </c>
      <c r="H3094" s="25">
        <f>IF(E3094="","",(E3094*4+3+cfgDeslocamento)/48)</f>
        <v>0</v>
      </c>
    </row>
    <row r="3095" spans="1:8">
      <c r="A3095" s="24"/>
      <c r="B3095" s="19"/>
      <c r="C3095" s="25">
        <f>IF(D3095="","",D3095/48)</f>
        <v>0</v>
      </c>
      <c r="D3095" s="26">
        <f>IF(A3095="","",ROUND((A3095-cfgDefasagem/1440)*48,0))</f>
        <v>0</v>
      </c>
      <c r="E3095" s="26">
        <f>IF(D3095="","",INT((D3095-cfgDeslocamento)/4))</f>
        <v>0</v>
      </c>
      <c r="F3095" s="26">
        <f>IF(D3095="","",MOD(D3095-cfgDeslocamento,4)+1)</f>
        <v>0</v>
      </c>
      <c r="G3095" s="26">
        <f>IF(A3095="","",IF(AND(ISNUMBER(B3095),B3095&lt;&gt;0),1,0))</f>
        <v>0</v>
      </c>
      <c r="H3095" s="25">
        <f>IF(E3095="","",(E3095*4+3+cfgDeslocamento)/48)</f>
        <v>0</v>
      </c>
    </row>
    <row r="3096" spans="1:8">
      <c r="A3096" s="24"/>
      <c r="B3096" s="19"/>
      <c r="C3096" s="25">
        <f>IF(D3096="","",D3096/48)</f>
        <v>0</v>
      </c>
      <c r="D3096" s="26">
        <f>IF(A3096="","",ROUND((A3096-cfgDefasagem/1440)*48,0))</f>
        <v>0</v>
      </c>
      <c r="E3096" s="26">
        <f>IF(D3096="","",INT((D3096-cfgDeslocamento)/4))</f>
        <v>0</v>
      </c>
      <c r="F3096" s="26">
        <f>IF(D3096="","",MOD(D3096-cfgDeslocamento,4)+1)</f>
        <v>0</v>
      </c>
      <c r="G3096" s="26">
        <f>IF(A3096="","",IF(AND(ISNUMBER(B3096),B3096&lt;&gt;0),1,0))</f>
        <v>0</v>
      </c>
      <c r="H3096" s="25">
        <f>IF(E3096="","",(E3096*4+3+cfgDeslocamento)/48)</f>
        <v>0</v>
      </c>
    </row>
    <row r="3097" spans="1:8">
      <c r="A3097" s="24"/>
      <c r="B3097" s="19"/>
      <c r="C3097" s="25">
        <f>IF(D3097="","",D3097/48)</f>
        <v>0</v>
      </c>
      <c r="D3097" s="26">
        <f>IF(A3097="","",ROUND((A3097-cfgDefasagem/1440)*48,0))</f>
        <v>0</v>
      </c>
      <c r="E3097" s="26">
        <f>IF(D3097="","",INT((D3097-cfgDeslocamento)/4))</f>
        <v>0</v>
      </c>
      <c r="F3097" s="26">
        <f>IF(D3097="","",MOD(D3097-cfgDeslocamento,4)+1)</f>
        <v>0</v>
      </c>
      <c r="G3097" s="26">
        <f>IF(A3097="","",IF(AND(ISNUMBER(B3097),B3097&lt;&gt;0),1,0))</f>
        <v>0</v>
      </c>
      <c r="H3097" s="25">
        <f>IF(E3097="","",(E3097*4+3+cfgDeslocamento)/48)</f>
        <v>0</v>
      </c>
    </row>
    <row r="3098" spans="1:8">
      <c r="A3098" s="24"/>
      <c r="B3098" s="19"/>
      <c r="C3098" s="25">
        <f>IF(D3098="","",D3098/48)</f>
        <v>0</v>
      </c>
      <c r="D3098" s="26">
        <f>IF(A3098="","",ROUND((A3098-cfgDefasagem/1440)*48,0))</f>
        <v>0</v>
      </c>
      <c r="E3098" s="26">
        <f>IF(D3098="","",INT((D3098-cfgDeslocamento)/4))</f>
        <v>0</v>
      </c>
      <c r="F3098" s="26">
        <f>IF(D3098="","",MOD(D3098-cfgDeslocamento,4)+1)</f>
        <v>0</v>
      </c>
      <c r="G3098" s="26">
        <f>IF(A3098="","",IF(AND(ISNUMBER(B3098),B3098&lt;&gt;0),1,0))</f>
        <v>0</v>
      </c>
      <c r="H3098" s="25">
        <f>IF(E3098="","",(E3098*4+3+cfgDeslocamento)/48)</f>
        <v>0</v>
      </c>
    </row>
    <row r="3099" spans="1:8">
      <c r="A3099" s="24"/>
      <c r="B3099" s="19"/>
      <c r="C3099" s="25">
        <f>IF(D3099="","",D3099/48)</f>
        <v>0</v>
      </c>
      <c r="D3099" s="26">
        <f>IF(A3099="","",ROUND((A3099-cfgDefasagem/1440)*48,0))</f>
        <v>0</v>
      </c>
      <c r="E3099" s="26">
        <f>IF(D3099="","",INT((D3099-cfgDeslocamento)/4))</f>
        <v>0</v>
      </c>
      <c r="F3099" s="26">
        <f>IF(D3099="","",MOD(D3099-cfgDeslocamento,4)+1)</f>
        <v>0</v>
      </c>
      <c r="G3099" s="26">
        <f>IF(A3099="","",IF(AND(ISNUMBER(B3099),B3099&lt;&gt;0),1,0))</f>
        <v>0</v>
      </c>
      <c r="H3099" s="25">
        <f>IF(E3099="","",(E3099*4+3+cfgDeslocamento)/48)</f>
        <v>0</v>
      </c>
    </row>
    <row r="3100" spans="1:8">
      <c r="A3100" s="24"/>
      <c r="B3100" s="19"/>
      <c r="C3100" s="25">
        <f>IF(D3100="","",D3100/48)</f>
        <v>0</v>
      </c>
      <c r="D3100" s="26">
        <f>IF(A3100="","",ROUND((A3100-cfgDefasagem/1440)*48,0))</f>
        <v>0</v>
      </c>
      <c r="E3100" s="26">
        <f>IF(D3100="","",INT((D3100-cfgDeslocamento)/4))</f>
        <v>0</v>
      </c>
      <c r="F3100" s="26">
        <f>IF(D3100="","",MOD(D3100-cfgDeslocamento,4)+1)</f>
        <v>0</v>
      </c>
      <c r="G3100" s="26">
        <f>IF(A3100="","",IF(AND(ISNUMBER(B3100),B3100&lt;&gt;0),1,0))</f>
        <v>0</v>
      </c>
      <c r="H3100" s="25">
        <f>IF(E3100="","",(E3100*4+3+cfgDeslocamento)/48)</f>
        <v>0</v>
      </c>
    </row>
    <row r="3101" spans="1:8">
      <c r="A3101" s="24"/>
      <c r="B3101" s="19"/>
      <c r="C3101" s="25">
        <f>IF(D3101="","",D3101/48)</f>
        <v>0</v>
      </c>
      <c r="D3101" s="26">
        <f>IF(A3101="","",ROUND((A3101-cfgDefasagem/1440)*48,0))</f>
        <v>0</v>
      </c>
      <c r="E3101" s="26">
        <f>IF(D3101="","",INT((D3101-cfgDeslocamento)/4))</f>
        <v>0</v>
      </c>
      <c r="F3101" s="26">
        <f>IF(D3101="","",MOD(D3101-cfgDeslocamento,4)+1)</f>
        <v>0</v>
      </c>
      <c r="G3101" s="26">
        <f>IF(A3101="","",IF(AND(ISNUMBER(B3101),B3101&lt;&gt;0),1,0))</f>
        <v>0</v>
      </c>
      <c r="H3101" s="25">
        <f>IF(E3101="","",(E3101*4+3+cfgDeslocamento)/48)</f>
        <v>0</v>
      </c>
    </row>
    <row r="3102" spans="1:8">
      <c r="A3102" s="24"/>
      <c r="B3102" s="19"/>
      <c r="C3102" s="25">
        <f>IF(D3102="","",D3102/48)</f>
        <v>0</v>
      </c>
      <c r="D3102" s="26">
        <f>IF(A3102="","",ROUND((A3102-cfgDefasagem/1440)*48,0))</f>
        <v>0</v>
      </c>
      <c r="E3102" s="26">
        <f>IF(D3102="","",INT((D3102-cfgDeslocamento)/4))</f>
        <v>0</v>
      </c>
      <c r="F3102" s="26">
        <f>IF(D3102="","",MOD(D3102-cfgDeslocamento,4)+1)</f>
        <v>0</v>
      </c>
      <c r="G3102" s="26">
        <f>IF(A3102="","",IF(AND(ISNUMBER(B3102),B3102&lt;&gt;0),1,0))</f>
        <v>0</v>
      </c>
      <c r="H3102" s="25">
        <f>IF(E3102="","",(E3102*4+3+cfgDeslocamento)/48)</f>
        <v>0</v>
      </c>
    </row>
    <row r="3103" spans="1:8">
      <c r="A3103" s="24"/>
      <c r="B3103" s="19"/>
      <c r="C3103" s="25">
        <f>IF(D3103="","",D3103/48)</f>
        <v>0</v>
      </c>
      <c r="D3103" s="26">
        <f>IF(A3103="","",ROUND((A3103-cfgDefasagem/1440)*48,0))</f>
        <v>0</v>
      </c>
      <c r="E3103" s="26">
        <f>IF(D3103="","",INT((D3103-cfgDeslocamento)/4))</f>
        <v>0</v>
      </c>
      <c r="F3103" s="26">
        <f>IF(D3103="","",MOD(D3103-cfgDeslocamento,4)+1)</f>
        <v>0</v>
      </c>
      <c r="G3103" s="26">
        <f>IF(A3103="","",IF(AND(ISNUMBER(B3103),B3103&lt;&gt;0),1,0))</f>
        <v>0</v>
      </c>
      <c r="H3103" s="25">
        <f>IF(E3103="","",(E3103*4+3+cfgDeslocamento)/48)</f>
        <v>0</v>
      </c>
    </row>
    <row r="3104" spans="1:8">
      <c r="A3104" s="24"/>
      <c r="B3104" s="19"/>
      <c r="C3104" s="25">
        <f>IF(D3104="","",D3104/48)</f>
        <v>0</v>
      </c>
      <c r="D3104" s="26">
        <f>IF(A3104="","",ROUND((A3104-cfgDefasagem/1440)*48,0))</f>
        <v>0</v>
      </c>
      <c r="E3104" s="26">
        <f>IF(D3104="","",INT((D3104-cfgDeslocamento)/4))</f>
        <v>0</v>
      </c>
      <c r="F3104" s="26">
        <f>IF(D3104="","",MOD(D3104-cfgDeslocamento,4)+1)</f>
        <v>0</v>
      </c>
      <c r="G3104" s="26">
        <f>IF(A3104="","",IF(AND(ISNUMBER(B3104),B3104&lt;&gt;0),1,0))</f>
        <v>0</v>
      </c>
      <c r="H3104" s="25">
        <f>IF(E3104="","",(E3104*4+3+cfgDeslocamento)/48)</f>
        <v>0</v>
      </c>
    </row>
    <row r="3105" spans="1:8">
      <c r="A3105" s="24"/>
      <c r="B3105" s="19"/>
      <c r="C3105" s="25">
        <f>IF(D3105="","",D3105/48)</f>
        <v>0</v>
      </c>
      <c r="D3105" s="26">
        <f>IF(A3105="","",ROUND((A3105-cfgDefasagem/1440)*48,0))</f>
        <v>0</v>
      </c>
      <c r="E3105" s="26">
        <f>IF(D3105="","",INT((D3105-cfgDeslocamento)/4))</f>
        <v>0</v>
      </c>
      <c r="F3105" s="26">
        <f>IF(D3105="","",MOD(D3105-cfgDeslocamento,4)+1)</f>
        <v>0</v>
      </c>
      <c r="G3105" s="26">
        <f>IF(A3105="","",IF(AND(ISNUMBER(B3105),B3105&lt;&gt;0),1,0))</f>
        <v>0</v>
      </c>
      <c r="H3105" s="25">
        <f>IF(E3105="","",(E3105*4+3+cfgDeslocamento)/48)</f>
        <v>0</v>
      </c>
    </row>
    <row r="3106" spans="1:8">
      <c r="A3106" s="24"/>
      <c r="B3106" s="19"/>
      <c r="C3106" s="25">
        <f>IF(D3106="","",D3106/48)</f>
        <v>0</v>
      </c>
      <c r="D3106" s="26">
        <f>IF(A3106="","",ROUND((A3106-cfgDefasagem/1440)*48,0))</f>
        <v>0</v>
      </c>
      <c r="E3106" s="26">
        <f>IF(D3106="","",INT((D3106-cfgDeslocamento)/4))</f>
        <v>0</v>
      </c>
      <c r="F3106" s="26">
        <f>IF(D3106="","",MOD(D3106-cfgDeslocamento,4)+1)</f>
        <v>0</v>
      </c>
      <c r="G3106" s="26">
        <f>IF(A3106="","",IF(AND(ISNUMBER(B3106),B3106&lt;&gt;0),1,0))</f>
        <v>0</v>
      </c>
      <c r="H3106" s="25">
        <f>IF(E3106="","",(E3106*4+3+cfgDeslocamento)/48)</f>
        <v>0</v>
      </c>
    </row>
    <row r="3107" spans="1:8">
      <c r="A3107" s="24"/>
      <c r="B3107" s="19"/>
      <c r="C3107" s="25">
        <f>IF(D3107="","",D3107/48)</f>
        <v>0</v>
      </c>
      <c r="D3107" s="26">
        <f>IF(A3107="","",ROUND((A3107-cfgDefasagem/1440)*48,0))</f>
        <v>0</v>
      </c>
      <c r="E3107" s="26">
        <f>IF(D3107="","",INT((D3107-cfgDeslocamento)/4))</f>
        <v>0</v>
      </c>
      <c r="F3107" s="26">
        <f>IF(D3107="","",MOD(D3107-cfgDeslocamento,4)+1)</f>
        <v>0</v>
      </c>
      <c r="G3107" s="26">
        <f>IF(A3107="","",IF(AND(ISNUMBER(B3107),B3107&lt;&gt;0),1,0))</f>
        <v>0</v>
      </c>
      <c r="H3107" s="25">
        <f>IF(E3107="","",(E3107*4+3+cfgDeslocamento)/48)</f>
        <v>0</v>
      </c>
    </row>
    <row r="3108" spans="1:8">
      <c r="A3108" s="24"/>
      <c r="B3108" s="19"/>
      <c r="C3108" s="25">
        <f>IF(D3108="","",D3108/48)</f>
        <v>0</v>
      </c>
      <c r="D3108" s="26">
        <f>IF(A3108="","",ROUND((A3108-cfgDefasagem/1440)*48,0))</f>
        <v>0</v>
      </c>
      <c r="E3108" s="26">
        <f>IF(D3108="","",INT((D3108-cfgDeslocamento)/4))</f>
        <v>0</v>
      </c>
      <c r="F3108" s="26">
        <f>IF(D3108="","",MOD(D3108-cfgDeslocamento,4)+1)</f>
        <v>0</v>
      </c>
      <c r="G3108" s="26">
        <f>IF(A3108="","",IF(AND(ISNUMBER(B3108),B3108&lt;&gt;0),1,0))</f>
        <v>0</v>
      </c>
      <c r="H3108" s="25">
        <f>IF(E3108="","",(E3108*4+3+cfgDeslocamento)/48)</f>
        <v>0</v>
      </c>
    </row>
    <row r="3109" spans="1:8">
      <c r="A3109" s="24"/>
      <c r="B3109" s="19"/>
      <c r="C3109" s="25">
        <f>IF(D3109="","",D3109/48)</f>
        <v>0</v>
      </c>
      <c r="D3109" s="26">
        <f>IF(A3109="","",ROUND((A3109-cfgDefasagem/1440)*48,0))</f>
        <v>0</v>
      </c>
      <c r="E3109" s="26">
        <f>IF(D3109="","",INT((D3109-cfgDeslocamento)/4))</f>
        <v>0</v>
      </c>
      <c r="F3109" s="26">
        <f>IF(D3109="","",MOD(D3109-cfgDeslocamento,4)+1)</f>
        <v>0</v>
      </c>
      <c r="G3109" s="26">
        <f>IF(A3109="","",IF(AND(ISNUMBER(B3109),B3109&lt;&gt;0),1,0))</f>
        <v>0</v>
      </c>
      <c r="H3109" s="25">
        <f>IF(E3109="","",(E3109*4+3+cfgDeslocamento)/48)</f>
        <v>0</v>
      </c>
    </row>
    <row r="3110" spans="1:8">
      <c r="A3110" s="24"/>
      <c r="B3110" s="19"/>
      <c r="C3110" s="25">
        <f>IF(D3110="","",D3110/48)</f>
        <v>0</v>
      </c>
      <c r="D3110" s="26">
        <f>IF(A3110="","",ROUND((A3110-cfgDefasagem/1440)*48,0))</f>
        <v>0</v>
      </c>
      <c r="E3110" s="26">
        <f>IF(D3110="","",INT((D3110-cfgDeslocamento)/4))</f>
        <v>0</v>
      </c>
      <c r="F3110" s="26">
        <f>IF(D3110="","",MOD(D3110-cfgDeslocamento,4)+1)</f>
        <v>0</v>
      </c>
      <c r="G3110" s="26">
        <f>IF(A3110="","",IF(AND(ISNUMBER(B3110),B3110&lt;&gt;0),1,0))</f>
        <v>0</v>
      </c>
      <c r="H3110" s="25">
        <f>IF(E3110="","",(E3110*4+3+cfgDeslocamento)/48)</f>
        <v>0</v>
      </c>
    </row>
    <row r="3111" spans="1:8">
      <c r="A3111" s="24"/>
      <c r="B3111" s="19"/>
      <c r="C3111" s="25">
        <f>IF(D3111="","",D3111/48)</f>
        <v>0</v>
      </c>
      <c r="D3111" s="26">
        <f>IF(A3111="","",ROUND((A3111-cfgDefasagem/1440)*48,0))</f>
        <v>0</v>
      </c>
      <c r="E3111" s="26">
        <f>IF(D3111="","",INT((D3111-cfgDeslocamento)/4))</f>
        <v>0</v>
      </c>
      <c r="F3111" s="26">
        <f>IF(D3111="","",MOD(D3111-cfgDeslocamento,4)+1)</f>
        <v>0</v>
      </c>
      <c r="G3111" s="26">
        <f>IF(A3111="","",IF(AND(ISNUMBER(B3111),B3111&lt;&gt;0),1,0))</f>
        <v>0</v>
      </c>
      <c r="H3111" s="25">
        <f>IF(E3111="","",(E3111*4+3+cfgDeslocamento)/48)</f>
        <v>0</v>
      </c>
    </row>
    <row r="3112" spans="1:8">
      <c r="A3112" s="24"/>
      <c r="B3112" s="19"/>
      <c r="C3112" s="25">
        <f>IF(D3112="","",D3112/48)</f>
        <v>0</v>
      </c>
      <c r="D3112" s="26">
        <f>IF(A3112="","",ROUND((A3112-cfgDefasagem/1440)*48,0))</f>
        <v>0</v>
      </c>
      <c r="E3112" s="26">
        <f>IF(D3112="","",INT((D3112-cfgDeslocamento)/4))</f>
        <v>0</v>
      </c>
      <c r="F3112" s="26">
        <f>IF(D3112="","",MOD(D3112-cfgDeslocamento,4)+1)</f>
        <v>0</v>
      </c>
      <c r="G3112" s="26">
        <f>IF(A3112="","",IF(AND(ISNUMBER(B3112),B3112&lt;&gt;0),1,0))</f>
        <v>0</v>
      </c>
      <c r="H3112" s="25">
        <f>IF(E3112="","",(E3112*4+3+cfgDeslocamento)/48)</f>
        <v>0</v>
      </c>
    </row>
    <row r="3113" spans="1:8">
      <c r="A3113" s="24"/>
      <c r="B3113" s="19"/>
      <c r="C3113" s="25">
        <f>IF(D3113="","",D3113/48)</f>
        <v>0</v>
      </c>
      <c r="D3113" s="26">
        <f>IF(A3113="","",ROUND((A3113-cfgDefasagem/1440)*48,0))</f>
        <v>0</v>
      </c>
      <c r="E3113" s="26">
        <f>IF(D3113="","",INT((D3113-cfgDeslocamento)/4))</f>
        <v>0</v>
      </c>
      <c r="F3113" s="26">
        <f>IF(D3113="","",MOD(D3113-cfgDeslocamento,4)+1)</f>
        <v>0</v>
      </c>
      <c r="G3113" s="26">
        <f>IF(A3113="","",IF(AND(ISNUMBER(B3113),B3113&lt;&gt;0),1,0))</f>
        <v>0</v>
      </c>
      <c r="H3113" s="25">
        <f>IF(E3113="","",(E3113*4+3+cfgDeslocamento)/48)</f>
        <v>0</v>
      </c>
    </row>
    <row r="3114" spans="1:8">
      <c r="A3114" s="24"/>
      <c r="B3114" s="19"/>
      <c r="C3114" s="25">
        <f>IF(D3114="","",D3114/48)</f>
        <v>0</v>
      </c>
      <c r="D3114" s="26">
        <f>IF(A3114="","",ROUND((A3114-cfgDefasagem/1440)*48,0))</f>
        <v>0</v>
      </c>
      <c r="E3114" s="26">
        <f>IF(D3114="","",INT((D3114-cfgDeslocamento)/4))</f>
        <v>0</v>
      </c>
      <c r="F3114" s="26">
        <f>IF(D3114="","",MOD(D3114-cfgDeslocamento,4)+1)</f>
        <v>0</v>
      </c>
      <c r="G3114" s="26">
        <f>IF(A3114="","",IF(AND(ISNUMBER(B3114),B3114&lt;&gt;0),1,0))</f>
        <v>0</v>
      </c>
      <c r="H3114" s="25">
        <f>IF(E3114="","",(E3114*4+3+cfgDeslocamento)/48)</f>
        <v>0</v>
      </c>
    </row>
    <row r="3115" spans="1:8">
      <c r="A3115" s="24"/>
      <c r="B3115" s="19"/>
      <c r="C3115" s="25">
        <f>IF(D3115="","",D3115/48)</f>
        <v>0</v>
      </c>
      <c r="D3115" s="26">
        <f>IF(A3115="","",ROUND((A3115-cfgDefasagem/1440)*48,0))</f>
        <v>0</v>
      </c>
      <c r="E3115" s="26">
        <f>IF(D3115="","",INT((D3115-cfgDeslocamento)/4))</f>
        <v>0</v>
      </c>
      <c r="F3115" s="26">
        <f>IF(D3115="","",MOD(D3115-cfgDeslocamento,4)+1)</f>
        <v>0</v>
      </c>
      <c r="G3115" s="26">
        <f>IF(A3115="","",IF(AND(ISNUMBER(B3115),B3115&lt;&gt;0),1,0))</f>
        <v>0</v>
      </c>
      <c r="H3115" s="25">
        <f>IF(E3115="","",(E3115*4+3+cfgDeslocamento)/48)</f>
        <v>0</v>
      </c>
    </row>
    <row r="3116" spans="1:8">
      <c r="A3116" s="24"/>
      <c r="B3116" s="19"/>
      <c r="C3116" s="25">
        <f>IF(D3116="","",D3116/48)</f>
        <v>0</v>
      </c>
      <c r="D3116" s="26">
        <f>IF(A3116="","",ROUND((A3116-cfgDefasagem/1440)*48,0))</f>
        <v>0</v>
      </c>
      <c r="E3116" s="26">
        <f>IF(D3116="","",INT((D3116-cfgDeslocamento)/4))</f>
        <v>0</v>
      </c>
      <c r="F3116" s="26">
        <f>IF(D3116="","",MOD(D3116-cfgDeslocamento,4)+1)</f>
        <v>0</v>
      </c>
      <c r="G3116" s="26">
        <f>IF(A3116="","",IF(AND(ISNUMBER(B3116),B3116&lt;&gt;0),1,0))</f>
        <v>0</v>
      </c>
      <c r="H3116" s="25">
        <f>IF(E3116="","",(E3116*4+3+cfgDeslocamento)/48)</f>
        <v>0</v>
      </c>
    </row>
    <row r="3117" spans="1:8">
      <c r="A3117" s="24"/>
      <c r="B3117" s="19"/>
      <c r="C3117" s="25">
        <f>IF(D3117="","",D3117/48)</f>
        <v>0</v>
      </c>
      <c r="D3117" s="26">
        <f>IF(A3117="","",ROUND((A3117-cfgDefasagem/1440)*48,0))</f>
        <v>0</v>
      </c>
      <c r="E3117" s="26">
        <f>IF(D3117="","",INT((D3117-cfgDeslocamento)/4))</f>
        <v>0</v>
      </c>
      <c r="F3117" s="26">
        <f>IF(D3117="","",MOD(D3117-cfgDeslocamento,4)+1)</f>
        <v>0</v>
      </c>
      <c r="G3117" s="26">
        <f>IF(A3117="","",IF(AND(ISNUMBER(B3117),B3117&lt;&gt;0),1,0))</f>
        <v>0</v>
      </c>
      <c r="H3117" s="25">
        <f>IF(E3117="","",(E3117*4+3+cfgDeslocamento)/48)</f>
        <v>0</v>
      </c>
    </row>
    <row r="3118" spans="1:8">
      <c r="A3118" s="24"/>
      <c r="B3118" s="19"/>
      <c r="C3118" s="25">
        <f>IF(D3118="","",D3118/48)</f>
        <v>0</v>
      </c>
      <c r="D3118" s="26">
        <f>IF(A3118="","",ROUND((A3118-cfgDefasagem/1440)*48,0))</f>
        <v>0</v>
      </c>
      <c r="E3118" s="26">
        <f>IF(D3118="","",INT((D3118-cfgDeslocamento)/4))</f>
        <v>0</v>
      </c>
      <c r="F3118" s="26">
        <f>IF(D3118="","",MOD(D3118-cfgDeslocamento,4)+1)</f>
        <v>0</v>
      </c>
      <c r="G3118" s="26">
        <f>IF(A3118="","",IF(AND(ISNUMBER(B3118),B3118&lt;&gt;0),1,0))</f>
        <v>0</v>
      </c>
      <c r="H3118" s="25">
        <f>IF(E3118="","",(E3118*4+3+cfgDeslocamento)/48)</f>
        <v>0</v>
      </c>
    </row>
    <row r="3119" spans="1:8">
      <c r="A3119" s="24"/>
      <c r="B3119" s="19"/>
      <c r="C3119" s="25">
        <f>IF(D3119="","",D3119/48)</f>
        <v>0</v>
      </c>
      <c r="D3119" s="26">
        <f>IF(A3119="","",ROUND((A3119-cfgDefasagem/1440)*48,0))</f>
        <v>0</v>
      </c>
      <c r="E3119" s="26">
        <f>IF(D3119="","",INT((D3119-cfgDeslocamento)/4))</f>
        <v>0</v>
      </c>
      <c r="F3119" s="26">
        <f>IF(D3119="","",MOD(D3119-cfgDeslocamento,4)+1)</f>
        <v>0</v>
      </c>
      <c r="G3119" s="26">
        <f>IF(A3119="","",IF(AND(ISNUMBER(B3119),B3119&lt;&gt;0),1,0))</f>
        <v>0</v>
      </c>
      <c r="H3119" s="25">
        <f>IF(E3119="","",(E3119*4+3+cfgDeslocamento)/48)</f>
        <v>0</v>
      </c>
    </row>
    <row r="3120" spans="1:8">
      <c r="A3120" s="24"/>
      <c r="B3120" s="19"/>
      <c r="C3120" s="25">
        <f>IF(D3120="","",D3120/48)</f>
        <v>0</v>
      </c>
      <c r="D3120" s="26">
        <f>IF(A3120="","",ROUND((A3120-cfgDefasagem/1440)*48,0))</f>
        <v>0</v>
      </c>
      <c r="E3120" s="26">
        <f>IF(D3120="","",INT((D3120-cfgDeslocamento)/4))</f>
        <v>0</v>
      </c>
      <c r="F3120" s="26">
        <f>IF(D3120="","",MOD(D3120-cfgDeslocamento,4)+1)</f>
        <v>0</v>
      </c>
      <c r="G3120" s="26">
        <f>IF(A3120="","",IF(AND(ISNUMBER(B3120),B3120&lt;&gt;0),1,0))</f>
        <v>0</v>
      </c>
      <c r="H3120" s="25">
        <f>IF(E3120="","",(E3120*4+3+cfgDeslocamento)/48)</f>
        <v>0</v>
      </c>
    </row>
    <row r="3121" spans="1:8">
      <c r="A3121" s="24"/>
      <c r="B3121" s="19"/>
      <c r="C3121" s="25">
        <f>IF(D3121="","",D3121/48)</f>
        <v>0</v>
      </c>
      <c r="D3121" s="26">
        <f>IF(A3121="","",ROUND((A3121-cfgDefasagem/1440)*48,0))</f>
        <v>0</v>
      </c>
      <c r="E3121" s="26">
        <f>IF(D3121="","",INT((D3121-cfgDeslocamento)/4))</f>
        <v>0</v>
      </c>
      <c r="F3121" s="26">
        <f>IF(D3121="","",MOD(D3121-cfgDeslocamento,4)+1)</f>
        <v>0</v>
      </c>
      <c r="G3121" s="26">
        <f>IF(A3121="","",IF(AND(ISNUMBER(B3121),B3121&lt;&gt;0),1,0))</f>
        <v>0</v>
      </c>
      <c r="H3121" s="25">
        <f>IF(E3121="","",(E3121*4+3+cfgDeslocamento)/48)</f>
        <v>0</v>
      </c>
    </row>
    <row r="3122" spans="1:8">
      <c r="A3122" s="24"/>
      <c r="B3122" s="19"/>
      <c r="C3122" s="25">
        <f>IF(D3122="","",D3122/48)</f>
        <v>0</v>
      </c>
      <c r="D3122" s="26">
        <f>IF(A3122="","",ROUND((A3122-cfgDefasagem/1440)*48,0))</f>
        <v>0</v>
      </c>
      <c r="E3122" s="26">
        <f>IF(D3122="","",INT((D3122-cfgDeslocamento)/4))</f>
        <v>0</v>
      </c>
      <c r="F3122" s="26">
        <f>IF(D3122="","",MOD(D3122-cfgDeslocamento,4)+1)</f>
        <v>0</v>
      </c>
      <c r="G3122" s="26">
        <f>IF(A3122="","",IF(AND(ISNUMBER(B3122),B3122&lt;&gt;0),1,0))</f>
        <v>0</v>
      </c>
      <c r="H3122" s="25">
        <f>IF(E3122="","",(E3122*4+3+cfgDeslocamento)/48)</f>
        <v>0</v>
      </c>
    </row>
    <row r="3123" spans="1:8">
      <c r="A3123" s="24"/>
      <c r="B3123" s="19"/>
      <c r="C3123" s="25">
        <f>IF(D3123="","",D3123/48)</f>
        <v>0</v>
      </c>
      <c r="D3123" s="26">
        <f>IF(A3123="","",ROUND((A3123-cfgDefasagem/1440)*48,0))</f>
        <v>0</v>
      </c>
      <c r="E3123" s="26">
        <f>IF(D3123="","",INT((D3123-cfgDeslocamento)/4))</f>
        <v>0</v>
      </c>
      <c r="F3123" s="26">
        <f>IF(D3123="","",MOD(D3123-cfgDeslocamento,4)+1)</f>
        <v>0</v>
      </c>
      <c r="G3123" s="26">
        <f>IF(A3123="","",IF(AND(ISNUMBER(B3123),B3123&lt;&gt;0),1,0))</f>
        <v>0</v>
      </c>
      <c r="H3123" s="25">
        <f>IF(E3123="","",(E3123*4+3+cfgDeslocamento)/48)</f>
        <v>0</v>
      </c>
    </row>
    <row r="3124" spans="1:8">
      <c r="A3124" s="24"/>
      <c r="B3124" s="19"/>
      <c r="C3124" s="25">
        <f>IF(D3124="","",D3124/48)</f>
        <v>0</v>
      </c>
      <c r="D3124" s="26">
        <f>IF(A3124="","",ROUND((A3124-cfgDefasagem/1440)*48,0))</f>
        <v>0</v>
      </c>
      <c r="E3124" s="26">
        <f>IF(D3124="","",INT((D3124-cfgDeslocamento)/4))</f>
        <v>0</v>
      </c>
      <c r="F3124" s="26">
        <f>IF(D3124="","",MOD(D3124-cfgDeslocamento,4)+1)</f>
        <v>0</v>
      </c>
      <c r="G3124" s="26">
        <f>IF(A3124="","",IF(AND(ISNUMBER(B3124),B3124&lt;&gt;0),1,0))</f>
        <v>0</v>
      </c>
      <c r="H3124" s="25">
        <f>IF(E3124="","",(E3124*4+3+cfgDeslocamento)/48)</f>
        <v>0</v>
      </c>
    </row>
    <row r="3125" spans="1:8">
      <c r="A3125" s="24"/>
      <c r="B3125" s="19"/>
      <c r="C3125" s="25">
        <f>IF(D3125="","",D3125/48)</f>
        <v>0</v>
      </c>
      <c r="D3125" s="26">
        <f>IF(A3125="","",ROUND((A3125-cfgDefasagem/1440)*48,0))</f>
        <v>0</v>
      </c>
      <c r="E3125" s="26">
        <f>IF(D3125="","",INT((D3125-cfgDeslocamento)/4))</f>
        <v>0</v>
      </c>
      <c r="F3125" s="26">
        <f>IF(D3125="","",MOD(D3125-cfgDeslocamento,4)+1)</f>
        <v>0</v>
      </c>
      <c r="G3125" s="26">
        <f>IF(A3125="","",IF(AND(ISNUMBER(B3125),B3125&lt;&gt;0),1,0))</f>
        <v>0</v>
      </c>
      <c r="H3125" s="25">
        <f>IF(E3125="","",(E3125*4+3+cfgDeslocamento)/48)</f>
        <v>0</v>
      </c>
    </row>
    <row r="3126" spans="1:8">
      <c r="A3126" s="24"/>
      <c r="B3126" s="19"/>
      <c r="C3126" s="25">
        <f>IF(D3126="","",D3126/48)</f>
        <v>0</v>
      </c>
      <c r="D3126" s="26">
        <f>IF(A3126="","",ROUND((A3126-cfgDefasagem/1440)*48,0))</f>
        <v>0</v>
      </c>
      <c r="E3126" s="26">
        <f>IF(D3126="","",INT((D3126-cfgDeslocamento)/4))</f>
        <v>0</v>
      </c>
      <c r="F3126" s="26">
        <f>IF(D3126="","",MOD(D3126-cfgDeslocamento,4)+1)</f>
        <v>0</v>
      </c>
      <c r="G3126" s="26">
        <f>IF(A3126="","",IF(AND(ISNUMBER(B3126),B3126&lt;&gt;0),1,0))</f>
        <v>0</v>
      </c>
      <c r="H3126" s="25">
        <f>IF(E3126="","",(E3126*4+3+cfgDeslocamento)/48)</f>
        <v>0</v>
      </c>
    </row>
    <row r="3127" spans="1:8">
      <c r="A3127" s="24"/>
      <c r="B3127" s="19"/>
      <c r="C3127" s="25">
        <f>IF(D3127="","",D3127/48)</f>
        <v>0</v>
      </c>
      <c r="D3127" s="26">
        <f>IF(A3127="","",ROUND((A3127-cfgDefasagem/1440)*48,0))</f>
        <v>0</v>
      </c>
      <c r="E3127" s="26">
        <f>IF(D3127="","",INT((D3127-cfgDeslocamento)/4))</f>
        <v>0</v>
      </c>
      <c r="F3127" s="26">
        <f>IF(D3127="","",MOD(D3127-cfgDeslocamento,4)+1)</f>
        <v>0</v>
      </c>
      <c r="G3127" s="26">
        <f>IF(A3127="","",IF(AND(ISNUMBER(B3127),B3127&lt;&gt;0),1,0))</f>
        <v>0</v>
      </c>
      <c r="H3127" s="25">
        <f>IF(E3127="","",(E3127*4+3+cfgDeslocamento)/48)</f>
        <v>0</v>
      </c>
    </row>
    <row r="3128" spans="1:8">
      <c r="A3128" s="24"/>
      <c r="B3128" s="19"/>
      <c r="C3128" s="25">
        <f>IF(D3128="","",D3128/48)</f>
        <v>0</v>
      </c>
      <c r="D3128" s="26">
        <f>IF(A3128="","",ROUND((A3128-cfgDefasagem/1440)*48,0))</f>
        <v>0</v>
      </c>
      <c r="E3128" s="26">
        <f>IF(D3128="","",INT((D3128-cfgDeslocamento)/4))</f>
        <v>0</v>
      </c>
      <c r="F3128" s="26">
        <f>IF(D3128="","",MOD(D3128-cfgDeslocamento,4)+1)</f>
        <v>0</v>
      </c>
      <c r="G3128" s="26">
        <f>IF(A3128="","",IF(AND(ISNUMBER(B3128),B3128&lt;&gt;0),1,0))</f>
        <v>0</v>
      </c>
      <c r="H3128" s="25">
        <f>IF(E3128="","",(E3128*4+3+cfgDeslocamento)/48)</f>
        <v>0</v>
      </c>
    </row>
    <row r="3129" spans="1:8">
      <c r="A3129" s="24"/>
      <c r="B3129" s="19"/>
      <c r="C3129" s="25">
        <f>IF(D3129="","",D3129/48)</f>
        <v>0</v>
      </c>
      <c r="D3129" s="26">
        <f>IF(A3129="","",ROUND((A3129-cfgDefasagem/1440)*48,0))</f>
        <v>0</v>
      </c>
      <c r="E3129" s="26">
        <f>IF(D3129="","",INT((D3129-cfgDeslocamento)/4))</f>
        <v>0</v>
      </c>
      <c r="F3129" s="26">
        <f>IF(D3129="","",MOD(D3129-cfgDeslocamento,4)+1)</f>
        <v>0</v>
      </c>
      <c r="G3129" s="26">
        <f>IF(A3129="","",IF(AND(ISNUMBER(B3129),B3129&lt;&gt;0),1,0))</f>
        <v>0</v>
      </c>
      <c r="H3129" s="25">
        <f>IF(E3129="","",(E3129*4+3+cfgDeslocamento)/48)</f>
        <v>0</v>
      </c>
    </row>
    <row r="3130" spans="1:8">
      <c r="A3130" s="24"/>
      <c r="B3130" s="19"/>
      <c r="C3130" s="25">
        <f>IF(D3130="","",D3130/48)</f>
        <v>0</v>
      </c>
      <c r="D3130" s="26">
        <f>IF(A3130="","",ROUND((A3130-cfgDefasagem/1440)*48,0))</f>
        <v>0</v>
      </c>
      <c r="E3130" s="26">
        <f>IF(D3130="","",INT((D3130-cfgDeslocamento)/4))</f>
        <v>0</v>
      </c>
      <c r="F3130" s="26">
        <f>IF(D3130="","",MOD(D3130-cfgDeslocamento,4)+1)</f>
        <v>0</v>
      </c>
      <c r="G3130" s="26">
        <f>IF(A3130="","",IF(AND(ISNUMBER(B3130),B3130&lt;&gt;0),1,0))</f>
        <v>0</v>
      </c>
      <c r="H3130" s="25">
        <f>IF(E3130="","",(E3130*4+3+cfgDeslocamento)/48)</f>
        <v>0</v>
      </c>
    </row>
    <row r="3131" spans="1:8">
      <c r="A3131" s="24"/>
      <c r="B3131" s="19"/>
      <c r="C3131" s="25">
        <f>IF(D3131="","",D3131/48)</f>
        <v>0</v>
      </c>
      <c r="D3131" s="26">
        <f>IF(A3131="","",ROUND((A3131-cfgDefasagem/1440)*48,0))</f>
        <v>0</v>
      </c>
      <c r="E3131" s="26">
        <f>IF(D3131="","",INT((D3131-cfgDeslocamento)/4))</f>
        <v>0</v>
      </c>
      <c r="F3131" s="26">
        <f>IF(D3131="","",MOD(D3131-cfgDeslocamento,4)+1)</f>
        <v>0</v>
      </c>
      <c r="G3131" s="26">
        <f>IF(A3131="","",IF(AND(ISNUMBER(B3131),B3131&lt;&gt;0),1,0))</f>
        <v>0</v>
      </c>
      <c r="H3131" s="25">
        <f>IF(E3131="","",(E3131*4+3+cfgDeslocamento)/48)</f>
        <v>0</v>
      </c>
    </row>
    <row r="3132" spans="1:8">
      <c r="A3132" s="24"/>
      <c r="B3132" s="19"/>
      <c r="C3132" s="25">
        <f>IF(D3132="","",D3132/48)</f>
        <v>0</v>
      </c>
      <c r="D3132" s="26">
        <f>IF(A3132="","",ROUND((A3132-cfgDefasagem/1440)*48,0))</f>
        <v>0</v>
      </c>
      <c r="E3132" s="26">
        <f>IF(D3132="","",INT((D3132-cfgDeslocamento)/4))</f>
        <v>0</v>
      </c>
      <c r="F3132" s="26">
        <f>IF(D3132="","",MOD(D3132-cfgDeslocamento,4)+1)</f>
        <v>0</v>
      </c>
      <c r="G3132" s="26">
        <f>IF(A3132="","",IF(AND(ISNUMBER(B3132),B3132&lt;&gt;0),1,0))</f>
        <v>0</v>
      </c>
      <c r="H3132" s="25">
        <f>IF(E3132="","",(E3132*4+3+cfgDeslocamento)/48)</f>
        <v>0</v>
      </c>
    </row>
    <row r="3133" spans="1:8">
      <c r="A3133" s="24"/>
      <c r="B3133" s="19"/>
      <c r="C3133" s="25">
        <f>IF(D3133="","",D3133/48)</f>
        <v>0</v>
      </c>
      <c r="D3133" s="26">
        <f>IF(A3133="","",ROUND((A3133-cfgDefasagem/1440)*48,0))</f>
        <v>0</v>
      </c>
      <c r="E3133" s="26">
        <f>IF(D3133="","",INT((D3133-cfgDeslocamento)/4))</f>
        <v>0</v>
      </c>
      <c r="F3133" s="26">
        <f>IF(D3133="","",MOD(D3133-cfgDeslocamento,4)+1)</f>
        <v>0</v>
      </c>
      <c r="G3133" s="26">
        <f>IF(A3133="","",IF(AND(ISNUMBER(B3133),B3133&lt;&gt;0),1,0))</f>
        <v>0</v>
      </c>
      <c r="H3133" s="25">
        <f>IF(E3133="","",(E3133*4+3+cfgDeslocamento)/48)</f>
        <v>0</v>
      </c>
    </row>
    <row r="3134" spans="1:8">
      <c r="A3134" s="24"/>
      <c r="B3134" s="19"/>
      <c r="C3134" s="25">
        <f>IF(D3134="","",D3134/48)</f>
        <v>0</v>
      </c>
      <c r="D3134" s="26">
        <f>IF(A3134="","",ROUND((A3134-cfgDefasagem/1440)*48,0))</f>
        <v>0</v>
      </c>
      <c r="E3134" s="26">
        <f>IF(D3134="","",INT((D3134-cfgDeslocamento)/4))</f>
        <v>0</v>
      </c>
      <c r="F3134" s="26">
        <f>IF(D3134="","",MOD(D3134-cfgDeslocamento,4)+1)</f>
        <v>0</v>
      </c>
      <c r="G3134" s="26">
        <f>IF(A3134="","",IF(AND(ISNUMBER(B3134),B3134&lt;&gt;0),1,0))</f>
        <v>0</v>
      </c>
      <c r="H3134" s="25">
        <f>IF(E3134="","",(E3134*4+3+cfgDeslocamento)/48)</f>
        <v>0</v>
      </c>
    </row>
    <row r="3135" spans="1:8">
      <c r="A3135" s="24"/>
      <c r="B3135" s="19"/>
      <c r="C3135" s="25">
        <f>IF(D3135="","",D3135/48)</f>
        <v>0</v>
      </c>
      <c r="D3135" s="26">
        <f>IF(A3135="","",ROUND((A3135-cfgDefasagem/1440)*48,0))</f>
        <v>0</v>
      </c>
      <c r="E3135" s="26">
        <f>IF(D3135="","",INT((D3135-cfgDeslocamento)/4))</f>
        <v>0</v>
      </c>
      <c r="F3135" s="26">
        <f>IF(D3135="","",MOD(D3135-cfgDeslocamento,4)+1)</f>
        <v>0</v>
      </c>
      <c r="G3135" s="26">
        <f>IF(A3135="","",IF(AND(ISNUMBER(B3135),B3135&lt;&gt;0),1,0))</f>
        <v>0</v>
      </c>
      <c r="H3135" s="25">
        <f>IF(E3135="","",(E3135*4+3+cfgDeslocamento)/48)</f>
        <v>0</v>
      </c>
    </row>
    <row r="3136" spans="1:8">
      <c r="A3136" s="24"/>
      <c r="B3136" s="19"/>
      <c r="C3136" s="25">
        <f>IF(D3136="","",D3136/48)</f>
        <v>0</v>
      </c>
      <c r="D3136" s="26">
        <f>IF(A3136="","",ROUND((A3136-cfgDefasagem/1440)*48,0))</f>
        <v>0</v>
      </c>
      <c r="E3136" s="26">
        <f>IF(D3136="","",INT((D3136-cfgDeslocamento)/4))</f>
        <v>0</v>
      </c>
      <c r="F3136" s="26">
        <f>IF(D3136="","",MOD(D3136-cfgDeslocamento,4)+1)</f>
        <v>0</v>
      </c>
      <c r="G3136" s="26">
        <f>IF(A3136="","",IF(AND(ISNUMBER(B3136),B3136&lt;&gt;0),1,0))</f>
        <v>0</v>
      </c>
      <c r="H3136" s="25">
        <f>IF(E3136="","",(E3136*4+3+cfgDeslocamento)/48)</f>
        <v>0</v>
      </c>
    </row>
    <row r="3137" spans="1:8">
      <c r="A3137" s="24"/>
      <c r="B3137" s="19"/>
      <c r="C3137" s="25">
        <f>IF(D3137="","",D3137/48)</f>
        <v>0</v>
      </c>
      <c r="D3137" s="26">
        <f>IF(A3137="","",ROUND((A3137-cfgDefasagem/1440)*48,0))</f>
        <v>0</v>
      </c>
      <c r="E3137" s="26">
        <f>IF(D3137="","",INT((D3137-cfgDeslocamento)/4))</f>
        <v>0</v>
      </c>
      <c r="F3137" s="26">
        <f>IF(D3137="","",MOD(D3137-cfgDeslocamento,4)+1)</f>
        <v>0</v>
      </c>
      <c r="G3137" s="26">
        <f>IF(A3137="","",IF(AND(ISNUMBER(B3137),B3137&lt;&gt;0),1,0))</f>
        <v>0</v>
      </c>
      <c r="H3137" s="25">
        <f>IF(E3137="","",(E3137*4+3+cfgDeslocamento)/48)</f>
        <v>0</v>
      </c>
    </row>
    <row r="3138" spans="1:8">
      <c r="A3138" s="24"/>
      <c r="B3138" s="19"/>
      <c r="C3138" s="25">
        <f>IF(D3138="","",D3138/48)</f>
        <v>0</v>
      </c>
      <c r="D3138" s="26">
        <f>IF(A3138="","",ROUND((A3138-cfgDefasagem/1440)*48,0))</f>
        <v>0</v>
      </c>
      <c r="E3138" s="26">
        <f>IF(D3138="","",INT((D3138-cfgDeslocamento)/4))</f>
        <v>0</v>
      </c>
      <c r="F3138" s="26">
        <f>IF(D3138="","",MOD(D3138-cfgDeslocamento,4)+1)</f>
        <v>0</v>
      </c>
      <c r="G3138" s="26">
        <f>IF(A3138="","",IF(AND(ISNUMBER(B3138),B3138&lt;&gt;0),1,0))</f>
        <v>0</v>
      </c>
      <c r="H3138" s="25">
        <f>IF(E3138="","",(E3138*4+3+cfgDeslocamento)/48)</f>
        <v>0</v>
      </c>
    </row>
    <row r="3139" spans="1:8">
      <c r="A3139" s="24"/>
      <c r="B3139" s="19"/>
      <c r="C3139" s="25">
        <f>IF(D3139="","",D3139/48)</f>
        <v>0</v>
      </c>
      <c r="D3139" s="26">
        <f>IF(A3139="","",ROUND((A3139-cfgDefasagem/1440)*48,0))</f>
        <v>0</v>
      </c>
      <c r="E3139" s="26">
        <f>IF(D3139="","",INT((D3139-cfgDeslocamento)/4))</f>
        <v>0</v>
      </c>
      <c r="F3139" s="26">
        <f>IF(D3139="","",MOD(D3139-cfgDeslocamento,4)+1)</f>
        <v>0</v>
      </c>
      <c r="G3139" s="26">
        <f>IF(A3139="","",IF(AND(ISNUMBER(B3139),B3139&lt;&gt;0),1,0))</f>
        <v>0</v>
      </c>
      <c r="H3139" s="25">
        <f>IF(E3139="","",(E3139*4+3+cfgDeslocamento)/48)</f>
        <v>0</v>
      </c>
    </row>
    <row r="3140" spans="1:8">
      <c r="A3140" s="24"/>
      <c r="B3140" s="19"/>
      <c r="C3140" s="25">
        <f>IF(D3140="","",D3140/48)</f>
        <v>0</v>
      </c>
      <c r="D3140" s="26">
        <f>IF(A3140="","",ROUND((A3140-cfgDefasagem/1440)*48,0))</f>
        <v>0</v>
      </c>
      <c r="E3140" s="26">
        <f>IF(D3140="","",INT((D3140-cfgDeslocamento)/4))</f>
        <v>0</v>
      </c>
      <c r="F3140" s="26">
        <f>IF(D3140="","",MOD(D3140-cfgDeslocamento,4)+1)</f>
        <v>0</v>
      </c>
      <c r="G3140" s="26">
        <f>IF(A3140="","",IF(AND(ISNUMBER(B3140),B3140&lt;&gt;0),1,0))</f>
        <v>0</v>
      </c>
      <c r="H3140" s="25">
        <f>IF(E3140="","",(E3140*4+3+cfgDeslocamento)/48)</f>
        <v>0</v>
      </c>
    </row>
    <row r="3141" spans="1:8">
      <c r="A3141" s="24"/>
      <c r="B3141" s="19"/>
      <c r="C3141" s="25">
        <f>IF(D3141="","",D3141/48)</f>
        <v>0</v>
      </c>
      <c r="D3141" s="26">
        <f>IF(A3141="","",ROUND((A3141-cfgDefasagem/1440)*48,0))</f>
        <v>0</v>
      </c>
      <c r="E3141" s="26">
        <f>IF(D3141="","",INT((D3141-cfgDeslocamento)/4))</f>
        <v>0</v>
      </c>
      <c r="F3141" s="26">
        <f>IF(D3141="","",MOD(D3141-cfgDeslocamento,4)+1)</f>
        <v>0</v>
      </c>
      <c r="G3141" s="26">
        <f>IF(A3141="","",IF(AND(ISNUMBER(B3141),B3141&lt;&gt;0),1,0))</f>
        <v>0</v>
      </c>
      <c r="H3141" s="25">
        <f>IF(E3141="","",(E3141*4+3+cfgDeslocamento)/48)</f>
        <v>0</v>
      </c>
    </row>
    <row r="3142" spans="1:8">
      <c r="A3142" s="24"/>
      <c r="B3142" s="19"/>
      <c r="C3142" s="25">
        <f>IF(D3142="","",D3142/48)</f>
        <v>0</v>
      </c>
      <c r="D3142" s="26">
        <f>IF(A3142="","",ROUND((A3142-cfgDefasagem/1440)*48,0))</f>
        <v>0</v>
      </c>
      <c r="E3142" s="26">
        <f>IF(D3142="","",INT((D3142-cfgDeslocamento)/4))</f>
        <v>0</v>
      </c>
      <c r="F3142" s="26">
        <f>IF(D3142="","",MOD(D3142-cfgDeslocamento,4)+1)</f>
        <v>0</v>
      </c>
      <c r="G3142" s="26">
        <f>IF(A3142="","",IF(AND(ISNUMBER(B3142),B3142&lt;&gt;0),1,0))</f>
        <v>0</v>
      </c>
      <c r="H3142" s="25">
        <f>IF(E3142="","",(E3142*4+3+cfgDeslocamento)/48)</f>
        <v>0</v>
      </c>
    </row>
    <row r="3143" spans="1:8">
      <c r="A3143" s="24"/>
      <c r="B3143" s="19"/>
      <c r="C3143" s="25">
        <f>IF(D3143="","",D3143/48)</f>
        <v>0</v>
      </c>
      <c r="D3143" s="26">
        <f>IF(A3143="","",ROUND((A3143-cfgDefasagem/1440)*48,0))</f>
        <v>0</v>
      </c>
      <c r="E3143" s="26">
        <f>IF(D3143="","",INT((D3143-cfgDeslocamento)/4))</f>
        <v>0</v>
      </c>
      <c r="F3143" s="26">
        <f>IF(D3143="","",MOD(D3143-cfgDeslocamento,4)+1)</f>
        <v>0</v>
      </c>
      <c r="G3143" s="26">
        <f>IF(A3143="","",IF(AND(ISNUMBER(B3143),B3143&lt;&gt;0),1,0))</f>
        <v>0</v>
      </c>
      <c r="H3143" s="25">
        <f>IF(E3143="","",(E3143*4+3+cfgDeslocamento)/48)</f>
        <v>0</v>
      </c>
    </row>
    <row r="3144" spans="1:8">
      <c r="A3144" s="24"/>
      <c r="B3144" s="19"/>
      <c r="C3144" s="25">
        <f>IF(D3144="","",D3144/48)</f>
        <v>0</v>
      </c>
      <c r="D3144" s="26">
        <f>IF(A3144="","",ROUND((A3144-cfgDefasagem/1440)*48,0))</f>
        <v>0</v>
      </c>
      <c r="E3144" s="26">
        <f>IF(D3144="","",INT((D3144-cfgDeslocamento)/4))</f>
        <v>0</v>
      </c>
      <c r="F3144" s="26">
        <f>IF(D3144="","",MOD(D3144-cfgDeslocamento,4)+1)</f>
        <v>0</v>
      </c>
      <c r="G3144" s="26">
        <f>IF(A3144="","",IF(AND(ISNUMBER(B3144),B3144&lt;&gt;0),1,0))</f>
        <v>0</v>
      </c>
      <c r="H3144" s="25">
        <f>IF(E3144="","",(E3144*4+3+cfgDeslocamento)/48)</f>
        <v>0</v>
      </c>
    </row>
    <row r="3145" spans="1:8">
      <c r="A3145" s="24"/>
      <c r="B3145" s="19"/>
      <c r="C3145" s="25">
        <f>IF(D3145="","",D3145/48)</f>
        <v>0</v>
      </c>
      <c r="D3145" s="26">
        <f>IF(A3145="","",ROUND((A3145-cfgDefasagem/1440)*48,0))</f>
        <v>0</v>
      </c>
      <c r="E3145" s="26">
        <f>IF(D3145="","",INT((D3145-cfgDeslocamento)/4))</f>
        <v>0</v>
      </c>
      <c r="F3145" s="26">
        <f>IF(D3145="","",MOD(D3145-cfgDeslocamento,4)+1)</f>
        <v>0</v>
      </c>
      <c r="G3145" s="26">
        <f>IF(A3145="","",IF(AND(ISNUMBER(B3145),B3145&lt;&gt;0),1,0))</f>
        <v>0</v>
      </c>
      <c r="H3145" s="25">
        <f>IF(E3145="","",(E3145*4+3+cfgDeslocamento)/48)</f>
        <v>0</v>
      </c>
    </row>
    <row r="3146" spans="1:8">
      <c r="A3146" s="24"/>
      <c r="B3146" s="19"/>
      <c r="C3146" s="25">
        <f>IF(D3146="","",D3146/48)</f>
        <v>0</v>
      </c>
      <c r="D3146" s="26">
        <f>IF(A3146="","",ROUND((A3146-cfgDefasagem/1440)*48,0))</f>
        <v>0</v>
      </c>
      <c r="E3146" s="26">
        <f>IF(D3146="","",INT((D3146-cfgDeslocamento)/4))</f>
        <v>0</v>
      </c>
      <c r="F3146" s="26">
        <f>IF(D3146="","",MOD(D3146-cfgDeslocamento,4)+1)</f>
        <v>0</v>
      </c>
      <c r="G3146" s="26">
        <f>IF(A3146="","",IF(AND(ISNUMBER(B3146),B3146&lt;&gt;0),1,0))</f>
        <v>0</v>
      </c>
      <c r="H3146" s="25">
        <f>IF(E3146="","",(E3146*4+3+cfgDeslocamento)/48)</f>
        <v>0</v>
      </c>
    </row>
    <row r="3147" spans="1:8">
      <c r="A3147" s="24"/>
      <c r="B3147" s="19"/>
      <c r="C3147" s="25">
        <f>IF(D3147="","",D3147/48)</f>
        <v>0</v>
      </c>
      <c r="D3147" s="26">
        <f>IF(A3147="","",ROUND((A3147-cfgDefasagem/1440)*48,0))</f>
        <v>0</v>
      </c>
      <c r="E3147" s="26">
        <f>IF(D3147="","",INT((D3147-cfgDeslocamento)/4))</f>
        <v>0</v>
      </c>
      <c r="F3147" s="26">
        <f>IF(D3147="","",MOD(D3147-cfgDeslocamento,4)+1)</f>
        <v>0</v>
      </c>
      <c r="G3147" s="26">
        <f>IF(A3147="","",IF(AND(ISNUMBER(B3147),B3147&lt;&gt;0),1,0))</f>
        <v>0</v>
      </c>
      <c r="H3147" s="25">
        <f>IF(E3147="","",(E3147*4+3+cfgDeslocamento)/48)</f>
        <v>0</v>
      </c>
    </row>
    <row r="3148" spans="1:8">
      <c r="A3148" s="24"/>
      <c r="B3148" s="19"/>
      <c r="C3148" s="25">
        <f>IF(D3148="","",D3148/48)</f>
        <v>0</v>
      </c>
      <c r="D3148" s="26">
        <f>IF(A3148="","",ROUND((A3148-cfgDefasagem/1440)*48,0))</f>
        <v>0</v>
      </c>
      <c r="E3148" s="26">
        <f>IF(D3148="","",INT((D3148-cfgDeslocamento)/4))</f>
        <v>0</v>
      </c>
      <c r="F3148" s="26">
        <f>IF(D3148="","",MOD(D3148-cfgDeslocamento,4)+1)</f>
        <v>0</v>
      </c>
      <c r="G3148" s="26">
        <f>IF(A3148="","",IF(AND(ISNUMBER(B3148),B3148&lt;&gt;0),1,0))</f>
        <v>0</v>
      </c>
      <c r="H3148" s="25">
        <f>IF(E3148="","",(E3148*4+3+cfgDeslocamento)/48)</f>
        <v>0</v>
      </c>
    </row>
    <row r="3149" spans="1:8">
      <c r="A3149" s="24"/>
      <c r="B3149" s="19"/>
      <c r="C3149" s="25">
        <f>IF(D3149="","",D3149/48)</f>
        <v>0</v>
      </c>
      <c r="D3149" s="26">
        <f>IF(A3149="","",ROUND((A3149-cfgDefasagem/1440)*48,0))</f>
        <v>0</v>
      </c>
      <c r="E3149" s="26">
        <f>IF(D3149="","",INT((D3149-cfgDeslocamento)/4))</f>
        <v>0</v>
      </c>
      <c r="F3149" s="26">
        <f>IF(D3149="","",MOD(D3149-cfgDeslocamento,4)+1)</f>
        <v>0</v>
      </c>
      <c r="G3149" s="26">
        <f>IF(A3149="","",IF(AND(ISNUMBER(B3149),B3149&lt;&gt;0),1,0))</f>
        <v>0</v>
      </c>
      <c r="H3149" s="25">
        <f>IF(E3149="","",(E3149*4+3+cfgDeslocamento)/48)</f>
        <v>0</v>
      </c>
    </row>
    <row r="3150" spans="1:8">
      <c r="A3150" s="24"/>
      <c r="B3150" s="19"/>
      <c r="C3150" s="25">
        <f>IF(D3150="","",D3150/48)</f>
        <v>0</v>
      </c>
      <c r="D3150" s="26">
        <f>IF(A3150="","",ROUND((A3150-cfgDefasagem/1440)*48,0))</f>
        <v>0</v>
      </c>
      <c r="E3150" s="26">
        <f>IF(D3150="","",INT((D3150-cfgDeslocamento)/4))</f>
        <v>0</v>
      </c>
      <c r="F3150" s="26">
        <f>IF(D3150="","",MOD(D3150-cfgDeslocamento,4)+1)</f>
        <v>0</v>
      </c>
      <c r="G3150" s="26">
        <f>IF(A3150="","",IF(AND(ISNUMBER(B3150),B3150&lt;&gt;0),1,0))</f>
        <v>0</v>
      </c>
      <c r="H3150" s="25">
        <f>IF(E3150="","",(E3150*4+3+cfgDeslocamento)/48)</f>
        <v>0</v>
      </c>
    </row>
    <row r="3151" spans="1:8">
      <c r="A3151" s="24"/>
      <c r="B3151" s="19"/>
      <c r="C3151" s="25">
        <f>IF(D3151="","",D3151/48)</f>
        <v>0</v>
      </c>
      <c r="D3151" s="26">
        <f>IF(A3151="","",ROUND((A3151-cfgDefasagem/1440)*48,0))</f>
        <v>0</v>
      </c>
      <c r="E3151" s="26">
        <f>IF(D3151="","",INT((D3151-cfgDeslocamento)/4))</f>
        <v>0</v>
      </c>
      <c r="F3151" s="26">
        <f>IF(D3151="","",MOD(D3151-cfgDeslocamento,4)+1)</f>
        <v>0</v>
      </c>
      <c r="G3151" s="26">
        <f>IF(A3151="","",IF(AND(ISNUMBER(B3151),B3151&lt;&gt;0),1,0))</f>
        <v>0</v>
      </c>
      <c r="H3151" s="25">
        <f>IF(E3151="","",(E3151*4+3+cfgDeslocamento)/48)</f>
        <v>0</v>
      </c>
    </row>
    <row r="3152" spans="1:8">
      <c r="A3152" s="24"/>
      <c r="B3152" s="19"/>
      <c r="C3152" s="25">
        <f>IF(D3152="","",D3152/48)</f>
        <v>0</v>
      </c>
      <c r="D3152" s="26">
        <f>IF(A3152="","",ROUND((A3152-cfgDefasagem/1440)*48,0))</f>
        <v>0</v>
      </c>
      <c r="E3152" s="26">
        <f>IF(D3152="","",INT((D3152-cfgDeslocamento)/4))</f>
        <v>0</v>
      </c>
      <c r="F3152" s="26">
        <f>IF(D3152="","",MOD(D3152-cfgDeslocamento,4)+1)</f>
        <v>0</v>
      </c>
      <c r="G3152" s="26">
        <f>IF(A3152="","",IF(AND(ISNUMBER(B3152),B3152&lt;&gt;0),1,0))</f>
        <v>0</v>
      </c>
      <c r="H3152" s="25">
        <f>IF(E3152="","",(E3152*4+3+cfgDeslocamento)/48)</f>
        <v>0</v>
      </c>
    </row>
    <row r="3153" spans="1:8">
      <c r="A3153" s="24"/>
      <c r="B3153" s="19"/>
      <c r="C3153" s="25">
        <f>IF(D3153="","",D3153/48)</f>
        <v>0</v>
      </c>
      <c r="D3153" s="26">
        <f>IF(A3153="","",ROUND((A3153-cfgDefasagem/1440)*48,0))</f>
        <v>0</v>
      </c>
      <c r="E3153" s="26">
        <f>IF(D3153="","",INT((D3153-cfgDeslocamento)/4))</f>
        <v>0</v>
      </c>
      <c r="F3153" s="26">
        <f>IF(D3153="","",MOD(D3153-cfgDeslocamento,4)+1)</f>
        <v>0</v>
      </c>
      <c r="G3153" s="26">
        <f>IF(A3153="","",IF(AND(ISNUMBER(B3153),B3153&lt;&gt;0),1,0))</f>
        <v>0</v>
      </c>
      <c r="H3153" s="25">
        <f>IF(E3153="","",(E3153*4+3+cfgDeslocamento)/48)</f>
        <v>0</v>
      </c>
    </row>
    <row r="3154" spans="1:8">
      <c r="A3154" s="24"/>
      <c r="B3154" s="19"/>
      <c r="C3154" s="25">
        <f>IF(D3154="","",D3154/48)</f>
        <v>0</v>
      </c>
      <c r="D3154" s="26">
        <f>IF(A3154="","",ROUND((A3154-cfgDefasagem/1440)*48,0))</f>
        <v>0</v>
      </c>
      <c r="E3154" s="26">
        <f>IF(D3154="","",INT((D3154-cfgDeslocamento)/4))</f>
        <v>0</v>
      </c>
      <c r="F3154" s="26">
        <f>IF(D3154="","",MOD(D3154-cfgDeslocamento,4)+1)</f>
        <v>0</v>
      </c>
      <c r="G3154" s="26">
        <f>IF(A3154="","",IF(AND(ISNUMBER(B3154),B3154&lt;&gt;0),1,0))</f>
        <v>0</v>
      </c>
      <c r="H3154" s="25">
        <f>IF(E3154="","",(E3154*4+3+cfgDeslocamento)/48)</f>
        <v>0</v>
      </c>
    </row>
    <row r="3155" spans="1:8">
      <c r="A3155" s="24"/>
      <c r="B3155" s="19"/>
      <c r="C3155" s="25">
        <f>IF(D3155="","",D3155/48)</f>
        <v>0</v>
      </c>
      <c r="D3155" s="26">
        <f>IF(A3155="","",ROUND((A3155-cfgDefasagem/1440)*48,0))</f>
        <v>0</v>
      </c>
      <c r="E3155" s="26">
        <f>IF(D3155="","",INT((D3155-cfgDeslocamento)/4))</f>
        <v>0</v>
      </c>
      <c r="F3155" s="26">
        <f>IF(D3155="","",MOD(D3155-cfgDeslocamento,4)+1)</f>
        <v>0</v>
      </c>
      <c r="G3155" s="26">
        <f>IF(A3155="","",IF(AND(ISNUMBER(B3155),B3155&lt;&gt;0),1,0))</f>
        <v>0</v>
      </c>
      <c r="H3155" s="25">
        <f>IF(E3155="","",(E3155*4+3+cfgDeslocamento)/48)</f>
        <v>0</v>
      </c>
    </row>
    <row r="3156" spans="1:8">
      <c r="A3156" s="24"/>
      <c r="B3156" s="19"/>
      <c r="C3156" s="25">
        <f>IF(D3156="","",D3156/48)</f>
        <v>0</v>
      </c>
      <c r="D3156" s="26">
        <f>IF(A3156="","",ROUND((A3156-cfgDefasagem/1440)*48,0))</f>
        <v>0</v>
      </c>
      <c r="E3156" s="26">
        <f>IF(D3156="","",INT((D3156-cfgDeslocamento)/4))</f>
        <v>0</v>
      </c>
      <c r="F3156" s="26">
        <f>IF(D3156="","",MOD(D3156-cfgDeslocamento,4)+1)</f>
        <v>0</v>
      </c>
      <c r="G3156" s="26">
        <f>IF(A3156="","",IF(AND(ISNUMBER(B3156),B3156&lt;&gt;0),1,0))</f>
        <v>0</v>
      </c>
      <c r="H3156" s="25">
        <f>IF(E3156="","",(E3156*4+3+cfgDeslocamento)/48)</f>
        <v>0</v>
      </c>
    </row>
    <row r="3157" spans="1:8">
      <c r="A3157" s="24"/>
      <c r="B3157" s="19"/>
      <c r="C3157" s="25">
        <f>IF(D3157="","",D3157/48)</f>
        <v>0</v>
      </c>
      <c r="D3157" s="26">
        <f>IF(A3157="","",ROUND((A3157-cfgDefasagem/1440)*48,0))</f>
        <v>0</v>
      </c>
      <c r="E3157" s="26">
        <f>IF(D3157="","",INT((D3157-cfgDeslocamento)/4))</f>
        <v>0</v>
      </c>
      <c r="F3157" s="26">
        <f>IF(D3157="","",MOD(D3157-cfgDeslocamento,4)+1)</f>
        <v>0</v>
      </c>
      <c r="G3157" s="26">
        <f>IF(A3157="","",IF(AND(ISNUMBER(B3157),B3157&lt;&gt;0),1,0))</f>
        <v>0</v>
      </c>
      <c r="H3157" s="25">
        <f>IF(E3157="","",(E3157*4+3+cfgDeslocamento)/48)</f>
        <v>0</v>
      </c>
    </row>
    <row r="3158" spans="1:8">
      <c r="A3158" s="24"/>
      <c r="B3158" s="19"/>
      <c r="C3158" s="25">
        <f>IF(D3158="","",D3158/48)</f>
        <v>0</v>
      </c>
      <c r="D3158" s="26">
        <f>IF(A3158="","",ROUND((A3158-cfgDefasagem/1440)*48,0))</f>
        <v>0</v>
      </c>
      <c r="E3158" s="26">
        <f>IF(D3158="","",INT((D3158-cfgDeslocamento)/4))</f>
        <v>0</v>
      </c>
      <c r="F3158" s="26">
        <f>IF(D3158="","",MOD(D3158-cfgDeslocamento,4)+1)</f>
        <v>0</v>
      </c>
      <c r="G3158" s="26">
        <f>IF(A3158="","",IF(AND(ISNUMBER(B3158),B3158&lt;&gt;0),1,0))</f>
        <v>0</v>
      </c>
      <c r="H3158" s="25">
        <f>IF(E3158="","",(E3158*4+3+cfgDeslocamento)/48)</f>
        <v>0</v>
      </c>
    </row>
    <row r="3159" spans="1:8">
      <c r="A3159" s="24"/>
      <c r="B3159" s="19"/>
      <c r="C3159" s="25">
        <f>IF(D3159="","",D3159/48)</f>
        <v>0</v>
      </c>
      <c r="D3159" s="26">
        <f>IF(A3159="","",ROUND((A3159-cfgDefasagem/1440)*48,0))</f>
        <v>0</v>
      </c>
      <c r="E3159" s="26">
        <f>IF(D3159="","",INT((D3159-cfgDeslocamento)/4))</f>
        <v>0</v>
      </c>
      <c r="F3159" s="26">
        <f>IF(D3159="","",MOD(D3159-cfgDeslocamento,4)+1)</f>
        <v>0</v>
      </c>
      <c r="G3159" s="26">
        <f>IF(A3159="","",IF(AND(ISNUMBER(B3159),B3159&lt;&gt;0),1,0))</f>
        <v>0</v>
      </c>
      <c r="H3159" s="25">
        <f>IF(E3159="","",(E3159*4+3+cfgDeslocamento)/48)</f>
        <v>0</v>
      </c>
    </row>
    <row r="3160" spans="1:8">
      <c r="A3160" s="24"/>
      <c r="B3160" s="19"/>
      <c r="C3160" s="25">
        <f>IF(D3160="","",D3160/48)</f>
        <v>0</v>
      </c>
      <c r="D3160" s="26">
        <f>IF(A3160="","",ROUND((A3160-cfgDefasagem/1440)*48,0))</f>
        <v>0</v>
      </c>
      <c r="E3160" s="26">
        <f>IF(D3160="","",INT((D3160-cfgDeslocamento)/4))</f>
        <v>0</v>
      </c>
      <c r="F3160" s="26">
        <f>IF(D3160="","",MOD(D3160-cfgDeslocamento,4)+1)</f>
        <v>0</v>
      </c>
      <c r="G3160" s="26">
        <f>IF(A3160="","",IF(AND(ISNUMBER(B3160),B3160&lt;&gt;0),1,0))</f>
        <v>0</v>
      </c>
      <c r="H3160" s="25">
        <f>IF(E3160="","",(E3160*4+3+cfgDeslocamento)/48)</f>
        <v>0</v>
      </c>
    </row>
    <row r="3161" spans="1:8">
      <c r="A3161" s="24"/>
      <c r="B3161" s="19"/>
      <c r="C3161" s="25">
        <f>IF(D3161="","",D3161/48)</f>
        <v>0</v>
      </c>
      <c r="D3161" s="26">
        <f>IF(A3161="","",ROUND((A3161-cfgDefasagem/1440)*48,0))</f>
        <v>0</v>
      </c>
      <c r="E3161" s="26">
        <f>IF(D3161="","",INT((D3161-cfgDeslocamento)/4))</f>
        <v>0</v>
      </c>
      <c r="F3161" s="26">
        <f>IF(D3161="","",MOD(D3161-cfgDeslocamento,4)+1)</f>
        <v>0</v>
      </c>
      <c r="G3161" s="26">
        <f>IF(A3161="","",IF(AND(ISNUMBER(B3161),B3161&lt;&gt;0),1,0))</f>
        <v>0</v>
      </c>
      <c r="H3161" s="25">
        <f>IF(E3161="","",(E3161*4+3+cfgDeslocamento)/48)</f>
        <v>0</v>
      </c>
    </row>
    <row r="3162" spans="1:8">
      <c r="A3162" s="24"/>
      <c r="B3162" s="19"/>
      <c r="C3162" s="25">
        <f>IF(D3162="","",D3162/48)</f>
        <v>0</v>
      </c>
      <c r="D3162" s="26">
        <f>IF(A3162="","",ROUND((A3162-cfgDefasagem/1440)*48,0))</f>
        <v>0</v>
      </c>
      <c r="E3162" s="26">
        <f>IF(D3162="","",INT((D3162-cfgDeslocamento)/4))</f>
        <v>0</v>
      </c>
      <c r="F3162" s="26">
        <f>IF(D3162="","",MOD(D3162-cfgDeslocamento,4)+1)</f>
        <v>0</v>
      </c>
      <c r="G3162" s="26">
        <f>IF(A3162="","",IF(AND(ISNUMBER(B3162),B3162&lt;&gt;0),1,0))</f>
        <v>0</v>
      </c>
      <c r="H3162" s="25">
        <f>IF(E3162="","",(E3162*4+3+cfgDeslocamento)/48)</f>
        <v>0</v>
      </c>
    </row>
    <row r="3163" spans="1:8">
      <c r="A3163" s="24"/>
      <c r="B3163" s="19"/>
      <c r="C3163" s="25">
        <f>IF(D3163="","",D3163/48)</f>
        <v>0</v>
      </c>
      <c r="D3163" s="26">
        <f>IF(A3163="","",ROUND((A3163-cfgDefasagem/1440)*48,0))</f>
        <v>0</v>
      </c>
      <c r="E3163" s="26">
        <f>IF(D3163="","",INT((D3163-cfgDeslocamento)/4))</f>
        <v>0</v>
      </c>
      <c r="F3163" s="26">
        <f>IF(D3163="","",MOD(D3163-cfgDeslocamento,4)+1)</f>
        <v>0</v>
      </c>
      <c r="G3163" s="26">
        <f>IF(A3163="","",IF(AND(ISNUMBER(B3163),B3163&lt;&gt;0),1,0))</f>
        <v>0</v>
      </c>
      <c r="H3163" s="25">
        <f>IF(E3163="","",(E3163*4+3+cfgDeslocamento)/48)</f>
        <v>0</v>
      </c>
    </row>
    <row r="3164" spans="1:8">
      <c r="A3164" s="24"/>
      <c r="B3164" s="19"/>
      <c r="C3164" s="25">
        <f>IF(D3164="","",D3164/48)</f>
        <v>0</v>
      </c>
      <c r="D3164" s="26">
        <f>IF(A3164="","",ROUND((A3164-cfgDefasagem/1440)*48,0))</f>
        <v>0</v>
      </c>
      <c r="E3164" s="26">
        <f>IF(D3164="","",INT((D3164-cfgDeslocamento)/4))</f>
        <v>0</v>
      </c>
      <c r="F3164" s="26">
        <f>IF(D3164="","",MOD(D3164-cfgDeslocamento,4)+1)</f>
        <v>0</v>
      </c>
      <c r="G3164" s="26">
        <f>IF(A3164="","",IF(AND(ISNUMBER(B3164),B3164&lt;&gt;0),1,0))</f>
        <v>0</v>
      </c>
      <c r="H3164" s="25">
        <f>IF(E3164="","",(E3164*4+3+cfgDeslocamento)/48)</f>
        <v>0</v>
      </c>
    </row>
    <row r="3165" spans="1:8">
      <c r="A3165" s="24"/>
      <c r="B3165" s="19"/>
      <c r="C3165" s="25">
        <f>IF(D3165="","",D3165/48)</f>
        <v>0</v>
      </c>
      <c r="D3165" s="26">
        <f>IF(A3165="","",ROUND((A3165-cfgDefasagem/1440)*48,0))</f>
        <v>0</v>
      </c>
      <c r="E3165" s="26">
        <f>IF(D3165="","",INT((D3165-cfgDeslocamento)/4))</f>
        <v>0</v>
      </c>
      <c r="F3165" s="26">
        <f>IF(D3165="","",MOD(D3165-cfgDeslocamento,4)+1)</f>
        <v>0</v>
      </c>
      <c r="G3165" s="26">
        <f>IF(A3165="","",IF(AND(ISNUMBER(B3165),B3165&lt;&gt;0),1,0))</f>
        <v>0</v>
      </c>
      <c r="H3165" s="25">
        <f>IF(E3165="","",(E3165*4+3+cfgDeslocamento)/48)</f>
        <v>0</v>
      </c>
    </row>
    <row r="3166" spans="1:8">
      <c r="A3166" s="24"/>
      <c r="B3166" s="19"/>
      <c r="C3166" s="25">
        <f>IF(D3166="","",D3166/48)</f>
        <v>0</v>
      </c>
      <c r="D3166" s="26">
        <f>IF(A3166="","",ROUND((A3166-cfgDefasagem/1440)*48,0))</f>
        <v>0</v>
      </c>
      <c r="E3166" s="26">
        <f>IF(D3166="","",INT((D3166-cfgDeslocamento)/4))</f>
        <v>0</v>
      </c>
      <c r="F3166" s="26">
        <f>IF(D3166="","",MOD(D3166-cfgDeslocamento,4)+1)</f>
        <v>0</v>
      </c>
      <c r="G3166" s="26">
        <f>IF(A3166="","",IF(AND(ISNUMBER(B3166),B3166&lt;&gt;0),1,0))</f>
        <v>0</v>
      </c>
      <c r="H3166" s="25">
        <f>IF(E3166="","",(E3166*4+3+cfgDeslocamento)/48)</f>
        <v>0</v>
      </c>
    </row>
    <row r="3167" spans="1:8">
      <c r="A3167" s="24"/>
      <c r="B3167" s="19"/>
      <c r="C3167" s="25">
        <f>IF(D3167="","",D3167/48)</f>
        <v>0</v>
      </c>
      <c r="D3167" s="26">
        <f>IF(A3167="","",ROUND((A3167-cfgDefasagem/1440)*48,0))</f>
        <v>0</v>
      </c>
      <c r="E3167" s="26">
        <f>IF(D3167="","",INT((D3167-cfgDeslocamento)/4))</f>
        <v>0</v>
      </c>
      <c r="F3167" s="26">
        <f>IF(D3167="","",MOD(D3167-cfgDeslocamento,4)+1)</f>
        <v>0</v>
      </c>
      <c r="G3167" s="26">
        <f>IF(A3167="","",IF(AND(ISNUMBER(B3167),B3167&lt;&gt;0),1,0))</f>
        <v>0</v>
      </c>
      <c r="H3167" s="25">
        <f>IF(E3167="","",(E3167*4+3+cfgDeslocamento)/48)</f>
        <v>0</v>
      </c>
    </row>
    <row r="3168" spans="1:8">
      <c r="A3168" s="24"/>
      <c r="B3168" s="19"/>
      <c r="C3168" s="25">
        <f>IF(D3168="","",D3168/48)</f>
        <v>0</v>
      </c>
      <c r="D3168" s="26">
        <f>IF(A3168="","",ROUND((A3168-cfgDefasagem/1440)*48,0))</f>
        <v>0</v>
      </c>
      <c r="E3168" s="26">
        <f>IF(D3168="","",INT((D3168-cfgDeslocamento)/4))</f>
        <v>0</v>
      </c>
      <c r="F3168" s="26">
        <f>IF(D3168="","",MOD(D3168-cfgDeslocamento,4)+1)</f>
        <v>0</v>
      </c>
      <c r="G3168" s="26">
        <f>IF(A3168="","",IF(AND(ISNUMBER(B3168),B3168&lt;&gt;0),1,0))</f>
        <v>0</v>
      </c>
      <c r="H3168" s="25">
        <f>IF(E3168="","",(E3168*4+3+cfgDeslocamento)/48)</f>
        <v>0</v>
      </c>
    </row>
    <row r="3169" spans="1:8">
      <c r="A3169" s="24"/>
      <c r="B3169" s="19"/>
      <c r="C3169" s="25">
        <f>IF(D3169="","",D3169/48)</f>
        <v>0</v>
      </c>
      <c r="D3169" s="26">
        <f>IF(A3169="","",ROUND((A3169-cfgDefasagem/1440)*48,0))</f>
        <v>0</v>
      </c>
      <c r="E3169" s="26">
        <f>IF(D3169="","",INT((D3169-cfgDeslocamento)/4))</f>
        <v>0</v>
      </c>
      <c r="F3169" s="26">
        <f>IF(D3169="","",MOD(D3169-cfgDeslocamento,4)+1)</f>
        <v>0</v>
      </c>
      <c r="G3169" s="26">
        <f>IF(A3169="","",IF(AND(ISNUMBER(B3169),B3169&lt;&gt;0),1,0))</f>
        <v>0</v>
      </c>
      <c r="H3169" s="25">
        <f>IF(E3169="","",(E3169*4+3+cfgDeslocamento)/48)</f>
        <v>0</v>
      </c>
    </row>
    <row r="3170" spans="1:8">
      <c r="A3170" s="24"/>
      <c r="B3170" s="19"/>
      <c r="C3170" s="25">
        <f>IF(D3170="","",D3170/48)</f>
        <v>0</v>
      </c>
      <c r="D3170" s="26">
        <f>IF(A3170="","",ROUND((A3170-cfgDefasagem/1440)*48,0))</f>
        <v>0</v>
      </c>
      <c r="E3170" s="26">
        <f>IF(D3170="","",INT((D3170-cfgDeslocamento)/4))</f>
        <v>0</v>
      </c>
      <c r="F3170" s="26">
        <f>IF(D3170="","",MOD(D3170-cfgDeslocamento,4)+1)</f>
        <v>0</v>
      </c>
      <c r="G3170" s="26">
        <f>IF(A3170="","",IF(AND(ISNUMBER(B3170),B3170&lt;&gt;0),1,0))</f>
        <v>0</v>
      </c>
      <c r="H3170" s="25">
        <f>IF(E3170="","",(E3170*4+3+cfgDeslocamento)/48)</f>
        <v>0</v>
      </c>
    </row>
    <row r="3171" spans="1:8">
      <c r="A3171" s="24"/>
      <c r="B3171" s="19"/>
      <c r="C3171" s="25">
        <f>IF(D3171="","",D3171/48)</f>
        <v>0</v>
      </c>
      <c r="D3171" s="26">
        <f>IF(A3171="","",ROUND((A3171-cfgDefasagem/1440)*48,0))</f>
        <v>0</v>
      </c>
      <c r="E3171" s="26">
        <f>IF(D3171="","",INT((D3171-cfgDeslocamento)/4))</f>
        <v>0</v>
      </c>
      <c r="F3171" s="26">
        <f>IF(D3171="","",MOD(D3171-cfgDeslocamento,4)+1)</f>
        <v>0</v>
      </c>
      <c r="G3171" s="26">
        <f>IF(A3171="","",IF(AND(ISNUMBER(B3171),B3171&lt;&gt;0),1,0))</f>
        <v>0</v>
      </c>
      <c r="H3171" s="25">
        <f>IF(E3171="","",(E3171*4+3+cfgDeslocamento)/48)</f>
        <v>0</v>
      </c>
    </row>
    <row r="3172" spans="1:8">
      <c r="A3172" s="24"/>
      <c r="B3172" s="19"/>
      <c r="C3172" s="25">
        <f>IF(D3172="","",D3172/48)</f>
        <v>0</v>
      </c>
      <c r="D3172" s="26">
        <f>IF(A3172="","",ROUND((A3172-cfgDefasagem/1440)*48,0))</f>
        <v>0</v>
      </c>
      <c r="E3172" s="26">
        <f>IF(D3172="","",INT((D3172-cfgDeslocamento)/4))</f>
        <v>0</v>
      </c>
      <c r="F3172" s="26">
        <f>IF(D3172="","",MOD(D3172-cfgDeslocamento,4)+1)</f>
        <v>0</v>
      </c>
      <c r="G3172" s="26">
        <f>IF(A3172="","",IF(AND(ISNUMBER(B3172),B3172&lt;&gt;0),1,0))</f>
        <v>0</v>
      </c>
      <c r="H3172" s="25">
        <f>IF(E3172="","",(E3172*4+3+cfgDeslocamento)/48)</f>
        <v>0</v>
      </c>
    </row>
    <row r="3173" spans="1:8">
      <c r="A3173" s="24"/>
      <c r="B3173" s="19"/>
      <c r="C3173" s="25">
        <f>IF(D3173="","",D3173/48)</f>
        <v>0</v>
      </c>
      <c r="D3173" s="26">
        <f>IF(A3173="","",ROUND((A3173-cfgDefasagem/1440)*48,0))</f>
        <v>0</v>
      </c>
      <c r="E3173" s="26">
        <f>IF(D3173="","",INT((D3173-cfgDeslocamento)/4))</f>
        <v>0</v>
      </c>
      <c r="F3173" s="26">
        <f>IF(D3173="","",MOD(D3173-cfgDeslocamento,4)+1)</f>
        <v>0</v>
      </c>
      <c r="G3173" s="26">
        <f>IF(A3173="","",IF(AND(ISNUMBER(B3173),B3173&lt;&gt;0),1,0))</f>
        <v>0</v>
      </c>
      <c r="H3173" s="25">
        <f>IF(E3173="","",(E3173*4+3+cfgDeslocamento)/48)</f>
        <v>0</v>
      </c>
    </row>
    <row r="3174" spans="1:8">
      <c r="A3174" s="24"/>
      <c r="B3174" s="19"/>
      <c r="C3174" s="25">
        <f>IF(D3174="","",D3174/48)</f>
        <v>0</v>
      </c>
      <c r="D3174" s="26">
        <f>IF(A3174="","",ROUND((A3174-cfgDefasagem/1440)*48,0))</f>
        <v>0</v>
      </c>
      <c r="E3174" s="26">
        <f>IF(D3174="","",INT((D3174-cfgDeslocamento)/4))</f>
        <v>0</v>
      </c>
      <c r="F3174" s="26">
        <f>IF(D3174="","",MOD(D3174-cfgDeslocamento,4)+1)</f>
        <v>0</v>
      </c>
      <c r="G3174" s="26">
        <f>IF(A3174="","",IF(AND(ISNUMBER(B3174),B3174&lt;&gt;0),1,0))</f>
        <v>0</v>
      </c>
      <c r="H3174" s="25">
        <f>IF(E3174="","",(E3174*4+3+cfgDeslocamento)/48)</f>
        <v>0</v>
      </c>
    </row>
    <row r="3175" spans="1:8">
      <c r="A3175" s="24"/>
      <c r="B3175" s="19"/>
      <c r="C3175" s="25">
        <f>IF(D3175="","",D3175/48)</f>
        <v>0</v>
      </c>
      <c r="D3175" s="26">
        <f>IF(A3175="","",ROUND((A3175-cfgDefasagem/1440)*48,0))</f>
        <v>0</v>
      </c>
      <c r="E3175" s="26">
        <f>IF(D3175="","",INT((D3175-cfgDeslocamento)/4))</f>
        <v>0</v>
      </c>
      <c r="F3175" s="26">
        <f>IF(D3175="","",MOD(D3175-cfgDeslocamento,4)+1)</f>
        <v>0</v>
      </c>
      <c r="G3175" s="26">
        <f>IF(A3175="","",IF(AND(ISNUMBER(B3175),B3175&lt;&gt;0),1,0))</f>
        <v>0</v>
      </c>
      <c r="H3175" s="25">
        <f>IF(E3175="","",(E3175*4+3+cfgDeslocamento)/48)</f>
        <v>0</v>
      </c>
    </row>
    <row r="3176" spans="1:8">
      <c r="A3176" s="24"/>
      <c r="B3176" s="19"/>
      <c r="C3176" s="25">
        <f>IF(D3176="","",D3176/48)</f>
        <v>0</v>
      </c>
      <c r="D3176" s="26">
        <f>IF(A3176="","",ROUND((A3176-cfgDefasagem/1440)*48,0))</f>
        <v>0</v>
      </c>
      <c r="E3176" s="26">
        <f>IF(D3176="","",INT((D3176-cfgDeslocamento)/4))</f>
        <v>0</v>
      </c>
      <c r="F3176" s="26">
        <f>IF(D3176="","",MOD(D3176-cfgDeslocamento,4)+1)</f>
        <v>0</v>
      </c>
      <c r="G3176" s="26">
        <f>IF(A3176="","",IF(AND(ISNUMBER(B3176),B3176&lt;&gt;0),1,0))</f>
        <v>0</v>
      </c>
      <c r="H3176" s="25">
        <f>IF(E3176="","",(E3176*4+3+cfgDeslocamento)/48)</f>
        <v>0</v>
      </c>
    </row>
    <row r="3177" spans="1:8">
      <c r="A3177" s="24"/>
      <c r="B3177" s="19"/>
      <c r="C3177" s="25">
        <f>IF(D3177="","",D3177/48)</f>
        <v>0</v>
      </c>
      <c r="D3177" s="26">
        <f>IF(A3177="","",ROUND((A3177-cfgDefasagem/1440)*48,0))</f>
        <v>0</v>
      </c>
      <c r="E3177" s="26">
        <f>IF(D3177="","",INT((D3177-cfgDeslocamento)/4))</f>
        <v>0</v>
      </c>
      <c r="F3177" s="26">
        <f>IF(D3177="","",MOD(D3177-cfgDeslocamento,4)+1)</f>
        <v>0</v>
      </c>
      <c r="G3177" s="26">
        <f>IF(A3177="","",IF(AND(ISNUMBER(B3177),B3177&lt;&gt;0),1,0))</f>
        <v>0</v>
      </c>
      <c r="H3177" s="25">
        <f>IF(E3177="","",(E3177*4+3+cfgDeslocamento)/48)</f>
        <v>0</v>
      </c>
    </row>
    <row r="3178" spans="1:8">
      <c r="A3178" s="24"/>
      <c r="B3178" s="19"/>
      <c r="C3178" s="25">
        <f>IF(D3178="","",D3178/48)</f>
        <v>0</v>
      </c>
      <c r="D3178" s="26">
        <f>IF(A3178="","",ROUND((A3178-cfgDefasagem/1440)*48,0))</f>
        <v>0</v>
      </c>
      <c r="E3178" s="26">
        <f>IF(D3178="","",INT((D3178-cfgDeslocamento)/4))</f>
        <v>0</v>
      </c>
      <c r="F3178" s="26">
        <f>IF(D3178="","",MOD(D3178-cfgDeslocamento,4)+1)</f>
        <v>0</v>
      </c>
      <c r="G3178" s="26">
        <f>IF(A3178="","",IF(AND(ISNUMBER(B3178),B3178&lt;&gt;0),1,0))</f>
        <v>0</v>
      </c>
      <c r="H3178" s="25">
        <f>IF(E3178="","",(E3178*4+3+cfgDeslocamento)/48)</f>
        <v>0</v>
      </c>
    </row>
    <row r="3179" spans="1:8">
      <c r="A3179" s="24"/>
      <c r="B3179" s="19"/>
      <c r="C3179" s="25">
        <f>IF(D3179="","",D3179/48)</f>
        <v>0</v>
      </c>
      <c r="D3179" s="26">
        <f>IF(A3179="","",ROUND((A3179-cfgDefasagem/1440)*48,0))</f>
        <v>0</v>
      </c>
      <c r="E3179" s="26">
        <f>IF(D3179="","",INT((D3179-cfgDeslocamento)/4))</f>
        <v>0</v>
      </c>
      <c r="F3179" s="26">
        <f>IF(D3179="","",MOD(D3179-cfgDeslocamento,4)+1)</f>
        <v>0</v>
      </c>
      <c r="G3179" s="26">
        <f>IF(A3179="","",IF(AND(ISNUMBER(B3179),B3179&lt;&gt;0),1,0))</f>
        <v>0</v>
      </c>
      <c r="H3179" s="25">
        <f>IF(E3179="","",(E3179*4+3+cfgDeslocamento)/48)</f>
        <v>0</v>
      </c>
    </row>
    <row r="3180" spans="1:8">
      <c r="A3180" s="24"/>
      <c r="B3180" s="19"/>
      <c r="C3180" s="25">
        <f>IF(D3180="","",D3180/48)</f>
        <v>0</v>
      </c>
      <c r="D3180" s="26">
        <f>IF(A3180="","",ROUND((A3180-cfgDefasagem/1440)*48,0))</f>
        <v>0</v>
      </c>
      <c r="E3180" s="26">
        <f>IF(D3180="","",INT((D3180-cfgDeslocamento)/4))</f>
        <v>0</v>
      </c>
      <c r="F3180" s="26">
        <f>IF(D3180="","",MOD(D3180-cfgDeslocamento,4)+1)</f>
        <v>0</v>
      </c>
      <c r="G3180" s="26">
        <f>IF(A3180="","",IF(AND(ISNUMBER(B3180),B3180&lt;&gt;0),1,0))</f>
        <v>0</v>
      </c>
      <c r="H3180" s="25">
        <f>IF(E3180="","",(E3180*4+3+cfgDeslocamento)/48)</f>
        <v>0</v>
      </c>
    </row>
    <row r="3181" spans="1:8">
      <c r="A3181" s="24"/>
      <c r="B3181" s="19"/>
      <c r="C3181" s="25">
        <f>IF(D3181="","",D3181/48)</f>
        <v>0</v>
      </c>
      <c r="D3181" s="26">
        <f>IF(A3181="","",ROUND((A3181-cfgDefasagem/1440)*48,0))</f>
        <v>0</v>
      </c>
      <c r="E3181" s="26">
        <f>IF(D3181="","",INT((D3181-cfgDeslocamento)/4))</f>
        <v>0</v>
      </c>
      <c r="F3181" s="26">
        <f>IF(D3181="","",MOD(D3181-cfgDeslocamento,4)+1)</f>
        <v>0</v>
      </c>
      <c r="G3181" s="26">
        <f>IF(A3181="","",IF(AND(ISNUMBER(B3181),B3181&lt;&gt;0),1,0))</f>
        <v>0</v>
      </c>
      <c r="H3181" s="25">
        <f>IF(E3181="","",(E3181*4+3+cfgDeslocamento)/48)</f>
        <v>0</v>
      </c>
    </row>
    <row r="3182" spans="1:8">
      <c r="A3182" s="24"/>
      <c r="B3182" s="19"/>
      <c r="C3182" s="25">
        <f>IF(D3182="","",D3182/48)</f>
        <v>0</v>
      </c>
      <c r="D3182" s="26">
        <f>IF(A3182="","",ROUND((A3182-cfgDefasagem/1440)*48,0))</f>
        <v>0</v>
      </c>
      <c r="E3182" s="26">
        <f>IF(D3182="","",INT((D3182-cfgDeslocamento)/4))</f>
        <v>0</v>
      </c>
      <c r="F3182" s="26">
        <f>IF(D3182="","",MOD(D3182-cfgDeslocamento,4)+1)</f>
        <v>0</v>
      </c>
      <c r="G3182" s="26">
        <f>IF(A3182="","",IF(AND(ISNUMBER(B3182),B3182&lt;&gt;0),1,0))</f>
        <v>0</v>
      </c>
      <c r="H3182" s="25">
        <f>IF(E3182="","",(E3182*4+3+cfgDeslocamento)/48)</f>
        <v>0</v>
      </c>
    </row>
    <row r="3183" spans="1:8">
      <c r="A3183" s="24"/>
      <c r="B3183" s="19"/>
      <c r="C3183" s="25">
        <f>IF(D3183="","",D3183/48)</f>
        <v>0</v>
      </c>
      <c r="D3183" s="26">
        <f>IF(A3183="","",ROUND((A3183-cfgDefasagem/1440)*48,0))</f>
        <v>0</v>
      </c>
      <c r="E3183" s="26">
        <f>IF(D3183="","",INT((D3183-cfgDeslocamento)/4))</f>
        <v>0</v>
      </c>
      <c r="F3183" s="26">
        <f>IF(D3183="","",MOD(D3183-cfgDeslocamento,4)+1)</f>
        <v>0</v>
      </c>
      <c r="G3183" s="26">
        <f>IF(A3183="","",IF(AND(ISNUMBER(B3183),B3183&lt;&gt;0),1,0))</f>
        <v>0</v>
      </c>
      <c r="H3183" s="25">
        <f>IF(E3183="","",(E3183*4+3+cfgDeslocamento)/48)</f>
        <v>0</v>
      </c>
    </row>
    <row r="3184" spans="1:8">
      <c r="A3184" s="24"/>
      <c r="B3184" s="19"/>
      <c r="C3184" s="25">
        <f>IF(D3184="","",D3184/48)</f>
        <v>0</v>
      </c>
      <c r="D3184" s="26">
        <f>IF(A3184="","",ROUND((A3184-cfgDefasagem/1440)*48,0))</f>
        <v>0</v>
      </c>
      <c r="E3184" s="26">
        <f>IF(D3184="","",INT((D3184-cfgDeslocamento)/4))</f>
        <v>0</v>
      </c>
      <c r="F3184" s="26">
        <f>IF(D3184="","",MOD(D3184-cfgDeslocamento,4)+1)</f>
        <v>0</v>
      </c>
      <c r="G3184" s="26">
        <f>IF(A3184="","",IF(AND(ISNUMBER(B3184),B3184&lt;&gt;0),1,0))</f>
        <v>0</v>
      </c>
      <c r="H3184" s="25">
        <f>IF(E3184="","",(E3184*4+3+cfgDeslocamento)/48)</f>
        <v>0</v>
      </c>
    </row>
    <row r="3185" spans="1:8">
      <c r="A3185" s="24"/>
      <c r="B3185" s="19"/>
      <c r="C3185" s="25">
        <f>IF(D3185="","",D3185/48)</f>
        <v>0</v>
      </c>
      <c r="D3185" s="26">
        <f>IF(A3185="","",ROUND((A3185-cfgDefasagem/1440)*48,0))</f>
        <v>0</v>
      </c>
      <c r="E3185" s="26">
        <f>IF(D3185="","",INT((D3185-cfgDeslocamento)/4))</f>
        <v>0</v>
      </c>
      <c r="F3185" s="26">
        <f>IF(D3185="","",MOD(D3185-cfgDeslocamento,4)+1)</f>
        <v>0</v>
      </c>
      <c r="G3185" s="26">
        <f>IF(A3185="","",IF(AND(ISNUMBER(B3185),B3185&lt;&gt;0),1,0))</f>
        <v>0</v>
      </c>
      <c r="H3185" s="25">
        <f>IF(E3185="","",(E3185*4+3+cfgDeslocamento)/48)</f>
        <v>0</v>
      </c>
    </row>
    <row r="3186" spans="1:8">
      <c r="A3186" s="24"/>
      <c r="B3186" s="19"/>
      <c r="C3186" s="25">
        <f>IF(D3186="","",D3186/48)</f>
        <v>0</v>
      </c>
      <c r="D3186" s="26">
        <f>IF(A3186="","",ROUND((A3186-cfgDefasagem/1440)*48,0))</f>
        <v>0</v>
      </c>
      <c r="E3186" s="26">
        <f>IF(D3186="","",INT((D3186-cfgDeslocamento)/4))</f>
        <v>0</v>
      </c>
      <c r="F3186" s="26">
        <f>IF(D3186="","",MOD(D3186-cfgDeslocamento,4)+1)</f>
        <v>0</v>
      </c>
      <c r="G3186" s="26">
        <f>IF(A3186="","",IF(AND(ISNUMBER(B3186),B3186&lt;&gt;0),1,0))</f>
        <v>0</v>
      </c>
      <c r="H3186" s="25">
        <f>IF(E3186="","",(E3186*4+3+cfgDeslocamento)/48)</f>
        <v>0</v>
      </c>
    </row>
    <row r="3187" spans="1:8">
      <c r="A3187" s="24"/>
      <c r="B3187" s="19"/>
      <c r="C3187" s="25">
        <f>IF(D3187="","",D3187/48)</f>
        <v>0</v>
      </c>
      <c r="D3187" s="26">
        <f>IF(A3187="","",ROUND((A3187-cfgDefasagem/1440)*48,0))</f>
        <v>0</v>
      </c>
      <c r="E3187" s="26">
        <f>IF(D3187="","",INT((D3187-cfgDeslocamento)/4))</f>
        <v>0</v>
      </c>
      <c r="F3187" s="26">
        <f>IF(D3187="","",MOD(D3187-cfgDeslocamento,4)+1)</f>
        <v>0</v>
      </c>
      <c r="G3187" s="26">
        <f>IF(A3187="","",IF(AND(ISNUMBER(B3187),B3187&lt;&gt;0),1,0))</f>
        <v>0</v>
      </c>
      <c r="H3187" s="25">
        <f>IF(E3187="","",(E3187*4+3+cfgDeslocamento)/48)</f>
        <v>0</v>
      </c>
    </row>
    <row r="3188" spans="1:8">
      <c r="A3188" s="24"/>
      <c r="B3188" s="19"/>
      <c r="C3188" s="25">
        <f>IF(D3188="","",D3188/48)</f>
        <v>0</v>
      </c>
      <c r="D3188" s="26">
        <f>IF(A3188="","",ROUND((A3188-cfgDefasagem/1440)*48,0))</f>
        <v>0</v>
      </c>
      <c r="E3188" s="26">
        <f>IF(D3188="","",INT((D3188-cfgDeslocamento)/4))</f>
        <v>0</v>
      </c>
      <c r="F3188" s="26">
        <f>IF(D3188="","",MOD(D3188-cfgDeslocamento,4)+1)</f>
        <v>0</v>
      </c>
      <c r="G3188" s="26">
        <f>IF(A3188="","",IF(AND(ISNUMBER(B3188),B3188&lt;&gt;0),1,0))</f>
        <v>0</v>
      </c>
      <c r="H3188" s="25">
        <f>IF(E3188="","",(E3188*4+3+cfgDeslocamento)/48)</f>
        <v>0</v>
      </c>
    </row>
    <row r="3189" spans="1:8">
      <c r="A3189" s="24"/>
      <c r="B3189" s="19"/>
      <c r="C3189" s="25">
        <f>IF(D3189="","",D3189/48)</f>
        <v>0</v>
      </c>
      <c r="D3189" s="26">
        <f>IF(A3189="","",ROUND((A3189-cfgDefasagem/1440)*48,0))</f>
        <v>0</v>
      </c>
      <c r="E3189" s="26">
        <f>IF(D3189="","",INT((D3189-cfgDeslocamento)/4))</f>
        <v>0</v>
      </c>
      <c r="F3189" s="26">
        <f>IF(D3189="","",MOD(D3189-cfgDeslocamento,4)+1)</f>
        <v>0</v>
      </c>
      <c r="G3189" s="26">
        <f>IF(A3189="","",IF(AND(ISNUMBER(B3189),B3189&lt;&gt;0),1,0))</f>
        <v>0</v>
      </c>
      <c r="H3189" s="25">
        <f>IF(E3189="","",(E3189*4+3+cfgDeslocamento)/48)</f>
        <v>0</v>
      </c>
    </row>
    <row r="3190" spans="1:8">
      <c r="A3190" s="24"/>
      <c r="B3190" s="19"/>
      <c r="C3190" s="25">
        <f>IF(D3190="","",D3190/48)</f>
        <v>0</v>
      </c>
      <c r="D3190" s="26">
        <f>IF(A3190="","",ROUND((A3190-cfgDefasagem/1440)*48,0))</f>
        <v>0</v>
      </c>
      <c r="E3190" s="26">
        <f>IF(D3190="","",INT((D3190-cfgDeslocamento)/4))</f>
        <v>0</v>
      </c>
      <c r="F3190" s="26">
        <f>IF(D3190="","",MOD(D3190-cfgDeslocamento,4)+1)</f>
        <v>0</v>
      </c>
      <c r="G3190" s="26">
        <f>IF(A3190="","",IF(AND(ISNUMBER(B3190),B3190&lt;&gt;0),1,0))</f>
        <v>0</v>
      </c>
      <c r="H3190" s="25">
        <f>IF(E3190="","",(E3190*4+3+cfgDeslocamento)/48)</f>
        <v>0</v>
      </c>
    </row>
    <row r="3191" spans="1:8">
      <c r="A3191" s="24"/>
      <c r="B3191" s="19"/>
      <c r="C3191" s="25">
        <f>IF(D3191="","",D3191/48)</f>
        <v>0</v>
      </c>
      <c r="D3191" s="26">
        <f>IF(A3191="","",ROUND((A3191-cfgDefasagem/1440)*48,0))</f>
        <v>0</v>
      </c>
      <c r="E3191" s="26">
        <f>IF(D3191="","",INT((D3191-cfgDeslocamento)/4))</f>
        <v>0</v>
      </c>
      <c r="F3191" s="26">
        <f>IF(D3191="","",MOD(D3191-cfgDeslocamento,4)+1)</f>
        <v>0</v>
      </c>
      <c r="G3191" s="26">
        <f>IF(A3191="","",IF(AND(ISNUMBER(B3191),B3191&lt;&gt;0),1,0))</f>
        <v>0</v>
      </c>
      <c r="H3191" s="25">
        <f>IF(E3191="","",(E3191*4+3+cfgDeslocamento)/48)</f>
        <v>0</v>
      </c>
    </row>
    <row r="3192" spans="1:8">
      <c r="A3192" s="24"/>
      <c r="B3192" s="19"/>
      <c r="C3192" s="25">
        <f>IF(D3192="","",D3192/48)</f>
        <v>0</v>
      </c>
      <c r="D3192" s="26">
        <f>IF(A3192="","",ROUND((A3192-cfgDefasagem/1440)*48,0))</f>
        <v>0</v>
      </c>
      <c r="E3192" s="26">
        <f>IF(D3192="","",INT((D3192-cfgDeslocamento)/4))</f>
        <v>0</v>
      </c>
      <c r="F3192" s="26">
        <f>IF(D3192="","",MOD(D3192-cfgDeslocamento,4)+1)</f>
        <v>0</v>
      </c>
      <c r="G3192" s="26">
        <f>IF(A3192="","",IF(AND(ISNUMBER(B3192),B3192&lt;&gt;0),1,0))</f>
        <v>0</v>
      </c>
      <c r="H3192" s="25">
        <f>IF(E3192="","",(E3192*4+3+cfgDeslocamento)/48)</f>
        <v>0</v>
      </c>
    </row>
    <row r="3193" spans="1:8">
      <c r="A3193" s="24"/>
      <c r="B3193" s="19"/>
      <c r="C3193" s="25">
        <f>IF(D3193="","",D3193/48)</f>
        <v>0</v>
      </c>
      <c r="D3193" s="26">
        <f>IF(A3193="","",ROUND((A3193-cfgDefasagem/1440)*48,0))</f>
        <v>0</v>
      </c>
      <c r="E3193" s="26">
        <f>IF(D3193="","",INT((D3193-cfgDeslocamento)/4))</f>
        <v>0</v>
      </c>
      <c r="F3193" s="26">
        <f>IF(D3193="","",MOD(D3193-cfgDeslocamento,4)+1)</f>
        <v>0</v>
      </c>
      <c r="G3193" s="26">
        <f>IF(A3193="","",IF(AND(ISNUMBER(B3193),B3193&lt;&gt;0),1,0))</f>
        <v>0</v>
      </c>
      <c r="H3193" s="25">
        <f>IF(E3193="","",(E3193*4+3+cfgDeslocamento)/48)</f>
        <v>0</v>
      </c>
    </row>
    <row r="3194" spans="1:8">
      <c r="A3194" s="24"/>
      <c r="B3194" s="19"/>
      <c r="C3194" s="25">
        <f>IF(D3194="","",D3194/48)</f>
        <v>0</v>
      </c>
      <c r="D3194" s="26">
        <f>IF(A3194="","",ROUND((A3194-cfgDefasagem/1440)*48,0))</f>
        <v>0</v>
      </c>
      <c r="E3194" s="26">
        <f>IF(D3194="","",INT((D3194-cfgDeslocamento)/4))</f>
        <v>0</v>
      </c>
      <c r="F3194" s="26">
        <f>IF(D3194="","",MOD(D3194-cfgDeslocamento,4)+1)</f>
        <v>0</v>
      </c>
      <c r="G3194" s="26">
        <f>IF(A3194="","",IF(AND(ISNUMBER(B3194),B3194&lt;&gt;0),1,0))</f>
        <v>0</v>
      </c>
      <c r="H3194" s="25">
        <f>IF(E3194="","",(E3194*4+3+cfgDeslocamento)/48)</f>
        <v>0</v>
      </c>
    </row>
    <row r="3195" spans="1:8">
      <c r="A3195" s="24"/>
      <c r="B3195" s="19"/>
      <c r="C3195" s="25">
        <f>IF(D3195="","",D3195/48)</f>
        <v>0</v>
      </c>
      <c r="D3195" s="26">
        <f>IF(A3195="","",ROUND((A3195-cfgDefasagem/1440)*48,0))</f>
        <v>0</v>
      </c>
      <c r="E3195" s="26">
        <f>IF(D3195="","",INT((D3195-cfgDeslocamento)/4))</f>
        <v>0</v>
      </c>
      <c r="F3195" s="26">
        <f>IF(D3195="","",MOD(D3195-cfgDeslocamento,4)+1)</f>
        <v>0</v>
      </c>
      <c r="G3195" s="26">
        <f>IF(A3195="","",IF(AND(ISNUMBER(B3195),B3195&lt;&gt;0),1,0))</f>
        <v>0</v>
      </c>
      <c r="H3195" s="25">
        <f>IF(E3195="","",(E3195*4+3+cfgDeslocamento)/48)</f>
        <v>0</v>
      </c>
    </row>
    <row r="3196" spans="1:8">
      <c r="A3196" s="24"/>
      <c r="B3196" s="19"/>
      <c r="C3196" s="25">
        <f>IF(D3196="","",D3196/48)</f>
        <v>0</v>
      </c>
      <c r="D3196" s="26">
        <f>IF(A3196="","",ROUND((A3196-cfgDefasagem/1440)*48,0))</f>
        <v>0</v>
      </c>
      <c r="E3196" s="26">
        <f>IF(D3196="","",INT((D3196-cfgDeslocamento)/4))</f>
        <v>0</v>
      </c>
      <c r="F3196" s="26">
        <f>IF(D3196="","",MOD(D3196-cfgDeslocamento,4)+1)</f>
        <v>0</v>
      </c>
      <c r="G3196" s="26">
        <f>IF(A3196="","",IF(AND(ISNUMBER(B3196),B3196&lt;&gt;0),1,0))</f>
        <v>0</v>
      </c>
      <c r="H3196" s="25">
        <f>IF(E3196="","",(E3196*4+3+cfgDeslocamento)/48)</f>
        <v>0</v>
      </c>
    </row>
    <row r="3197" spans="1:8">
      <c r="A3197" s="24"/>
      <c r="B3197" s="19"/>
      <c r="C3197" s="25">
        <f>IF(D3197="","",D3197/48)</f>
        <v>0</v>
      </c>
      <c r="D3197" s="26">
        <f>IF(A3197="","",ROUND((A3197-cfgDefasagem/1440)*48,0))</f>
        <v>0</v>
      </c>
      <c r="E3197" s="26">
        <f>IF(D3197="","",INT((D3197-cfgDeslocamento)/4))</f>
        <v>0</v>
      </c>
      <c r="F3197" s="26">
        <f>IF(D3197="","",MOD(D3197-cfgDeslocamento,4)+1)</f>
        <v>0</v>
      </c>
      <c r="G3197" s="26">
        <f>IF(A3197="","",IF(AND(ISNUMBER(B3197),B3197&lt;&gt;0),1,0))</f>
        <v>0</v>
      </c>
      <c r="H3197" s="25">
        <f>IF(E3197="","",(E3197*4+3+cfgDeslocamento)/48)</f>
        <v>0</v>
      </c>
    </row>
    <row r="3198" spans="1:8">
      <c r="A3198" s="24"/>
      <c r="B3198" s="19"/>
      <c r="C3198" s="25">
        <f>IF(D3198="","",D3198/48)</f>
        <v>0</v>
      </c>
      <c r="D3198" s="26">
        <f>IF(A3198="","",ROUND((A3198-cfgDefasagem/1440)*48,0))</f>
        <v>0</v>
      </c>
      <c r="E3198" s="26">
        <f>IF(D3198="","",INT((D3198-cfgDeslocamento)/4))</f>
        <v>0</v>
      </c>
      <c r="F3198" s="26">
        <f>IF(D3198="","",MOD(D3198-cfgDeslocamento,4)+1)</f>
        <v>0</v>
      </c>
      <c r="G3198" s="26">
        <f>IF(A3198="","",IF(AND(ISNUMBER(B3198),B3198&lt;&gt;0),1,0))</f>
        <v>0</v>
      </c>
      <c r="H3198" s="25">
        <f>IF(E3198="","",(E3198*4+3+cfgDeslocamento)/48)</f>
        <v>0</v>
      </c>
    </row>
    <row r="3199" spans="1:8">
      <c r="A3199" s="24"/>
      <c r="B3199" s="19"/>
      <c r="C3199" s="25">
        <f>IF(D3199="","",D3199/48)</f>
        <v>0</v>
      </c>
      <c r="D3199" s="26">
        <f>IF(A3199="","",ROUND((A3199-cfgDefasagem/1440)*48,0))</f>
        <v>0</v>
      </c>
      <c r="E3199" s="26">
        <f>IF(D3199="","",INT((D3199-cfgDeslocamento)/4))</f>
        <v>0</v>
      </c>
      <c r="F3199" s="26">
        <f>IF(D3199="","",MOD(D3199-cfgDeslocamento,4)+1)</f>
        <v>0</v>
      </c>
      <c r="G3199" s="26">
        <f>IF(A3199="","",IF(AND(ISNUMBER(B3199),B3199&lt;&gt;0),1,0))</f>
        <v>0</v>
      </c>
      <c r="H3199" s="25">
        <f>IF(E3199="","",(E3199*4+3+cfgDeslocamento)/48)</f>
        <v>0</v>
      </c>
    </row>
    <row r="3200" spans="1:8">
      <c r="A3200" s="24"/>
      <c r="B3200" s="19"/>
      <c r="C3200" s="25">
        <f>IF(D3200="","",D3200/48)</f>
        <v>0</v>
      </c>
      <c r="D3200" s="26">
        <f>IF(A3200="","",ROUND((A3200-cfgDefasagem/1440)*48,0))</f>
        <v>0</v>
      </c>
      <c r="E3200" s="26">
        <f>IF(D3200="","",INT((D3200-cfgDeslocamento)/4))</f>
        <v>0</v>
      </c>
      <c r="F3200" s="26">
        <f>IF(D3200="","",MOD(D3200-cfgDeslocamento,4)+1)</f>
        <v>0</v>
      </c>
      <c r="G3200" s="26">
        <f>IF(A3200="","",IF(AND(ISNUMBER(B3200),B3200&lt;&gt;0),1,0))</f>
        <v>0</v>
      </c>
      <c r="H3200" s="25">
        <f>IF(E3200="","",(E3200*4+3+cfgDeslocamento)/48)</f>
        <v>0</v>
      </c>
    </row>
    <row r="3201" spans="1:8">
      <c r="A3201" s="24"/>
      <c r="B3201" s="19"/>
      <c r="C3201" s="25">
        <f>IF(D3201="","",D3201/48)</f>
        <v>0</v>
      </c>
      <c r="D3201" s="26">
        <f>IF(A3201="","",ROUND((A3201-cfgDefasagem/1440)*48,0))</f>
        <v>0</v>
      </c>
      <c r="E3201" s="26">
        <f>IF(D3201="","",INT((D3201-cfgDeslocamento)/4))</f>
        <v>0</v>
      </c>
      <c r="F3201" s="26">
        <f>IF(D3201="","",MOD(D3201-cfgDeslocamento,4)+1)</f>
        <v>0</v>
      </c>
      <c r="G3201" s="26">
        <f>IF(A3201="","",IF(AND(ISNUMBER(B3201),B3201&lt;&gt;0),1,0))</f>
        <v>0</v>
      </c>
      <c r="H3201" s="25">
        <f>IF(E3201="","",(E3201*4+3+cfgDeslocamento)/48)</f>
        <v>0</v>
      </c>
    </row>
    <row r="3202" spans="1:8">
      <c r="A3202" s="24"/>
      <c r="B3202" s="19"/>
      <c r="C3202" s="25">
        <f>IF(D3202="","",D3202/48)</f>
        <v>0</v>
      </c>
      <c r="D3202" s="26">
        <f>IF(A3202="","",ROUND((A3202-cfgDefasagem/1440)*48,0))</f>
        <v>0</v>
      </c>
      <c r="E3202" s="26">
        <f>IF(D3202="","",INT((D3202-cfgDeslocamento)/4))</f>
        <v>0</v>
      </c>
      <c r="F3202" s="26">
        <f>IF(D3202="","",MOD(D3202-cfgDeslocamento,4)+1)</f>
        <v>0</v>
      </c>
      <c r="G3202" s="26">
        <f>IF(A3202="","",IF(AND(ISNUMBER(B3202),B3202&lt;&gt;0),1,0))</f>
        <v>0</v>
      </c>
      <c r="H3202" s="25">
        <f>IF(E3202="","",(E3202*4+3+cfgDeslocamento)/48)</f>
        <v>0</v>
      </c>
    </row>
    <row r="3203" spans="1:8">
      <c r="A3203" s="24"/>
      <c r="B3203" s="19"/>
      <c r="C3203" s="25">
        <f>IF(D3203="","",D3203/48)</f>
        <v>0</v>
      </c>
      <c r="D3203" s="26">
        <f>IF(A3203="","",ROUND((A3203-cfgDefasagem/1440)*48,0))</f>
        <v>0</v>
      </c>
      <c r="E3203" s="26">
        <f>IF(D3203="","",INT((D3203-cfgDeslocamento)/4))</f>
        <v>0</v>
      </c>
      <c r="F3203" s="26">
        <f>IF(D3203="","",MOD(D3203-cfgDeslocamento,4)+1)</f>
        <v>0</v>
      </c>
      <c r="G3203" s="26">
        <f>IF(A3203="","",IF(AND(ISNUMBER(B3203),B3203&lt;&gt;0),1,0))</f>
        <v>0</v>
      </c>
      <c r="H3203" s="25">
        <f>IF(E3203="","",(E3203*4+3+cfgDeslocamento)/48)</f>
        <v>0</v>
      </c>
    </row>
    <row r="3204" spans="1:8">
      <c r="A3204" s="24"/>
      <c r="B3204" s="19"/>
      <c r="C3204" s="25">
        <f>IF(D3204="","",D3204/48)</f>
        <v>0</v>
      </c>
      <c r="D3204" s="26">
        <f>IF(A3204="","",ROUND((A3204-cfgDefasagem/1440)*48,0))</f>
        <v>0</v>
      </c>
      <c r="E3204" s="26">
        <f>IF(D3204="","",INT((D3204-cfgDeslocamento)/4))</f>
        <v>0</v>
      </c>
      <c r="F3204" s="26">
        <f>IF(D3204="","",MOD(D3204-cfgDeslocamento,4)+1)</f>
        <v>0</v>
      </c>
      <c r="G3204" s="26">
        <f>IF(A3204="","",IF(AND(ISNUMBER(B3204),B3204&lt;&gt;0),1,0))</f>
        <v>0</v>
      </c>
      <c r="H3204" s="25">
        <f>IF(E3204="","",(E3204*4+3+cfgDeslocamento)/48)</f>
        <v>0</v>
      </c>
    </row>
    <row r="3205" spans="1:8">
      <c r="A3205" s="24"/>
      <c r="B3205" s="19"/>
      <c r="C3205" s="25">
        <f>IF(D3205="","",D3205/48)</f>
        <v>0</v>
      </c>
      <c r="D3205" s="26">
        <f>IF(A3205="","",ROUND((A3205-cfgDefasagem/1440)*48,0))</f>
        <v>0</v>
      </c>
      <c r="E3205" s="26">
        <f>IF(D3205="","",INT((D3205-cfgDeslocamento)/4))</f>
        <v>0</v>
      </c>
      <c r="F3205" s="26">
        <f>IF(D3205="","",MOD(D3205-cfgDeslocamento,4)+1)</f>
        <v>0</v>
      </c>
      <c r="G3205" s="26">
        <f>IF(A3205="","",IF(AND(ISNUMBER(B3205),B3205&lt;&gt;0),1,0))</f>
        <v>0</v>
      </c>
      <c r="H3205" s="25">
        <f>IF(E3205="","",(E3205*4+3+cfgDeslocamento)/48)</f>
        <v>0</v>
      </c>
    </row>
    <row r="3206" spans="1:8">
      <c r="A3206" s="24"/>
      <c r="B3206" s="19"/>
      <c r="C3206" s="25">
        <f>IF(D3206="","",D3206/48)</f>
        <v>0</v>
      </c>
      <c r="D3206" s="26">
        <f>IF(A3206="","",ROUND((A3206-cfgDefasagem/1440)*48,0))</f>
        <v>0</v>
      </c>
      <c r="E3206" s="26">
        <f>IF(D3206="","",INT((D3206-cfgDeslocamento)/4))</f>
        <v>0</v>
      </c>
      <c r="F3206" s="26">
        <f>IF(D3206="","",MOD(D3206-cfgDeslocamento,4)+1)</f>
        <v>0</v>
      </c>
      <c r="G3206" s="26">
        <f>IF(A3206="","",IF(AND(ISNUMBER(B3206),B3206&lt;&gt;0),1,0))</f>
        <v>0</v>
      </c>
      <c r="H3206" s="25">
        <f>IF(E3206="","",(E3206*4+3+cfgDeslocamento)/48)</f>
        <v>0</v>
      </c>
    </row>
    <row r="3207" spans="1:8">
      <c r="A3207" s="24"/>
      <c r="B3207" s="19"/>
      <c r="C3207" s="25">
        <f>IF(D3207="","",D3207/48)</f>
        <v>0</v>
      </c>
      <c r="D3207" s="26">
        <f>IF(A3207="","",ROUND((A3207-cfgDefasagem/1440)*48,0))</f>
        <v>0</v>
      </c>
      <c r="E3207" s="26">
        <f>IF(D3207="","",INT((D3207-cfgDeslocamento)/4))</f>
        <v>0</v>
      </c>
      <c r="F3207" s="26">
        <f>IF(D3207="","",MOD(D3207-cfgDeslocamento,4)+1)</f>
        <v>0</v>
      </c>
      <c r="G3207" s="26">
        <f>IF(A3207="","",IF(AND(ISNUMBER(B3207),B3207&lt;&gt;0),1,0))</f>
        <v>0</v>
      </c>
      <c r="H3207" s="25">
        <f>IF(E3207="","",(E3207*4+3+cfgDeslocamento)/48)</f>
        <v>0</v>
      </c>
    </row>
    <row r="3208" spans="1:8">
      <c r="A3208" s="24"/>
      <c r="B3208" s="19"/>
      <c r="C3208" s="25">
        <f>IF(D3208="","",D3208/48)</f>
        <v>0</v>
      </c>
      <c r="D3208" s="26">
        <f>IF(A3208="","",ROUND((A3208-cfgDefasagem/1440)*48,0))</f>
        <v>0</v>
      </c>
      <c r="E3208" s="26">
        <f>IF(D3208="","",INT((D3208-cfgDeslocamento)/4))</f>
        <v>0</v>
      </c>
      <c r="F3208" s="26">
        <f>IF(D3208="","",MOD(D3208-cfgDeslocamento,4)+1)</f>
        <v>0</v>
      </c>
      <c r="G3208" s="26">
        <f>IF(A3208="","",IF(AND(ISNUMBER(B3208),B3208&lt;&gt;0),1,0))</f>
        <v>0</v>
      </c>
      <c r="H3208" s="25">
        <f>IF(E3208="","",(E3208*4+3+cfgDeslocamento)/48)</f>
        <v>0</v>
      </c>
    </row>
    <row r="3209" spans="1:8">
      <c r="A3209" s="24"/>
      <c r="B3209" s="19"/>
      <c r="C3209" s="25">
        <f>IF(D3209="","",D3209/48)</f>
        <v>0</v>
      </c>
      <c r="D3209" s="26">
        <f>IF(A3209="","",ROUND((A3209-cfgDefasagem/1440)*48,0))</f>
        <v>0</v>
      </c>
      <c r="E3209" s="26">
        <f>IF(D3209="","",INT((D3209-cfgDeslocamento)/4))</f>
        <v>0</v>
      </c>
      <c r="F3209" s="26">
        <f>IF(D3209="","",MOD(D3209-cfgDeslocamento,4)+1)</f>
        <v>0</v>
      </c>
      <c r="G3209" s="26">
        <f>IF(A3209="","",IF(AND(ISNUMBER(B3209),B3209&lt;&gt;0),1,0))</f>
        <v>0</v>
      </c>
      <c r="H3209" s="25">
        <f>IF(E3209="","",(E3209*4+3+cfgDeslocamento)/48)</f>
        <v>0</v>
      </c>
    </row>
    <row r="3210" spans="1:8">
      <c r="A3210" s="24"/>
      <c r="B3210" s="19"/>
      <c r="C3210" s="25">
        <f>IF(D3210="","",D3210/48)</f>
        <v>0</v>
      </c>
      <c r="D3210" s="26">
        <f>IF(A3210="","",ROUND((A3210-cfgDefasagem/1440)*48,0))</f>
        <v>0</v>
      </c>
      <c r="E3210" s="26">
        <f>IF(D3210="","",INT((D3210-cfgDeslocamento)/4))</f>
        <v>0</v>
      </c>
      <c r="F3210" s="26">
        <f>IF(D3210="","",MOD(D3210-cfgDeslocamento,4)+1)</f>
        <v>0</v>
      </c>
      <c r="G3210" s="26">
        <f>IF(A3210="","",IF(AND(ISNUMBER(B3210),B3210&lt;&gt;0),1,0))</f>
        <v>0</v>
      </c>
      <c r="H3210" s="25">
        <f>IF(E3210="","",(E3210*4+3+cfgDeslocamento)/48)</f>
        <v>0</v>
      </c>
    </row>
    <row r="3211" spans="1:8">
      <c r="A3211" s="24"/>
      <c r="B3211" s="19"/>
      <c r="C3211" s="25">
        <f>IF(D3211="","",D3211/48)</f>
        <v>0</v>
      </c>
      <c r="D3211" s="26">
        <f>IF(A3211="","",ROUND((A3211-cfgDefasagem/1440)*48,0))</f>
        <v>0</v>
      </c>
      <c r="E3211" s="26">
        <f>IF(D3211="","",INT((D3211-cfgDeslocamento)/4))</f>
        <v>0</v>
      </c>
      <c r="F3211" s="26">
        <f>IF(D3211="","",MOD(D3211-cfgDeslocamento,4)+1)</f>
        <v>0</v>
      </c>
      <c r="G3211" s="26">
        <f>IF(A3211="","",IF(AND(ISNUMBER(B3211),B3211&lt;&gt;0),1,0))</f>
        <v>0</v>
      </c>
      <c r="H3211" s="25">
        <f>IF(E3211="","",(E3211*4+3+cfgDeslocamento)/48)</f>
        <v>0</v>
      </c>
    </row>
    <row r="3212" spans="1:8">
      <c r="A3212" s="24"/>
      <c r="B3212" s="19"/>
      <c r="C3212" s="25">
        <f>IF(D3212="","",D3212/48)</f>
        <v>0</v>
      </c>
      <c r="D3212" s="26">
        <f>IF(A3212="","",ROUND((A3212-cfgDefasagem/1440)*48,0))</f>
        <v>0</v>
      </c>
      <c r="E3212" s="26">
        <f>IF(D3212="","",INT((D3212-cfgDeslocamento)/4))</f>
        <v>0</v>
      </c>
      <c r="F3212" s="26">
        <f>IF(D3212="","",MOD(D3212-cfgDeslocamento,4)+1)</f>
        <v>0</v>
      </c>
      <c r="G3212" s="26">
        <f>IF(A3212="","",IF(AND(ISNUMBER(B3212),B3212&lt;&gt;0),1,0))</f>
        <v>0</v>
      </c>
      <c r="H3212" s="25">
        <f>IF(E3212="","",(E3212*4+3+cfgDeslocamento)/48)</f>
        <v>0</v>
      </c>
    </row>
    <row r="3213" spans="1:8">
      <c r="A3213" s="24"/>
      <c r="B3213" s="19"/>
      <c r="C3213" s="25">
        <f>IF(D3213="","",D3213/48)</f>
        <v>0</v>
      </c>
      <c r="D3213" s="26">
        <f>IF(A3213="","",ROUND((A3213-cfgDefasagem/1440)*48,0))</f>
        <v>0</v>
      </c>
      <c r="E3213" s="26">
        <f>IF(D3213="","",INT((D3213-cfgDeslocamento)/4))</f>
        <v>0</v>
      </c>
      <c r="F3213" s="26">
        <f>IF(D3213="","",MOD(D3213-cfgDeslocamento,4)+1)</f>
        <v>0</v>
      </c>
      <c r="G3213" s="26">
        <f>IF(A3213="","",IF(AND(ISNUMBER(B3213),B3213&lt;&gt;0),1,0))</f>
        <v>0</v>
      </c>
      <c r="H3213" s="25">
        <f>IF(E3213="","",(E3213*4+3+cfgDeslocamento)/48)</f>
        <v>0</v>
      </c>
    </row>
    <row r="3214" spans="1:8">
      <c r="A3214" s="24"/>
      <c r="B3214" s="19"/>
      <c r="C3214" s="25">
        <f>IF(D3214="","",D3214/48)</f>
        <v>0</v>
      </c>
      <c r="D3214" s="26">
        <f>IF(A3214="","",ROUND((A3214-cfgDefasagem/1440)*48,0))</f>
        <v>0</v>
      </c>
      <c r="E3214" s="26">
        <f>IF(D3214="","",INT((D3214-cfgDeslocamento)/4))</f>
        <v>0</v>
      </c>
      <c r="F3214" s="26">
        <f>IF(D3214="","",MOD(D3214-cfgDeslocamento,4)+1)</f>
        <v>0</v>
      </c>
      <c r="G3214" s="26">
        <f>IF(A3214="","",IF(AND(ISNUMBER(B3214),B3214&lt;&gt;0),1,0))</f>
        <v>0</v>
      </c>
      <c r="H3214" s="25">
        <f>IF(E3214="","",(E3214*4+3+cfgDeslocamento)/48)</f>
        <v>0</v>
      </c>
    </row>
    <row r="3215" spans="1:8">
      <c r="A3215" s="24"/>
      <c r="B3215" s="19"/>
      <c r="C3215" s="25">
        <f>IF(D3215="","",D3215/48)</f>
        <v>0</v>
      </c>
      <c r="D3215" s="26">
        <f>IF(A3215="","",ROUND((A3215-cfgDefasagem/1440)*48,0))</f>
        <v>0</v>
      </c>
      <c r="E3215" s="26">
        <f>IF(D3215="","",INT((D3215-cfgDeslocamento)/4))</f>
        <v>0</v>
      </c>
      <c r="F3215" s="26">
        <f>IF(D3215="","",MOD(D3215-cfgDeslocamento,4)+1)</f>
        <v>0</v>
      </c>
      <c r="G3215" s="26">
        <f>IF(A3215="","",IF(AND(ISNUMBER(B3215),B3215&lt;&gt;0),1,0))</f>
        <v>0</v>
      </c>
      <c r="H3215" s="25">
        <f>IF(E3215="","",(E3215*4+3+cfgDeslocamento)/48)</f>
        <v>0</v>
      </c>
    </row>
    <row r="3216" spans="1:8">
      <c r="A3216" s="24"/>
      <c r="B3216" s="19"/>
      <c r="C3216" s="25">
        <f>IF(D3216="","",D3216/48)</f>
        <v>0</v>
      </c>
      <c r="D3216" s="26">
        <f>IF(A3216="","",ROUND((A3216-cfgDefasagem/1440)*48,0))</f>
        <v>0</v>
      </c>
      <c r="E3216" s="26">
        <f>IF(D3216="","",INT((D3216-cfgDeslocamento)/4))</f>
        <v>0</v>
      </c>
      <c r="F3216" s="26">
        <f>IF(D3216="","",MOD(D3216-cfgDeslocamento,4)+1)</f>
        <v>0</v>
      </c>
      <c r="G3216" s="26">
        <f>IF(A3216="","",IF(AND(ISNUMBER(B3216),B3216&lt;&gt;0),1,0))</f>
        <v>0</v>
      </c>
      <c r="H3216" s="25">
        <f>IF(E3216="","",(E3216*4+3+cfgDeslocamento)/48)</f>
        <v>0</v>
      </c>
    </row>
    <row r="3217" spans="1:8">
      <c r="A3217" s="24"/>
      <c r="B3217" s="19"/>
      <c r="C3217" s="25">
        <f>IF(D3217="","",D3217/48)</f>
        <v>0</v>
      </c>
      <c r="D3217" s="26">
        <f>IF(A3217="","",ROUND((A3217-cfgDefasagem/1440)*48,0))</f>
        <v>0</v>
      </c>
      <c r="E3217" s="26">
        <f>IF(D3217="","",INT((D3217-cfgDeslocamento)/4))</f>
        <v>0</v>
      </c>
      <c r="F3217" s="26">
        <f>IF(D3217="","",MOD(D3217-cfgDeslocamento,4)+1)</f>
        <v>0</v>
      </c>
      <c r="G3217" s="26">
        <f>IF(A3217="","",IF(AND(ISNUMBER(B3217),B3217&lt;&gt;0),1,0))</f>
        <v>0</v>
      </c>
      <c r="H3217" s="25">
        <f>IF(E3217="","",(E3217*4+3+cfgDeslocamento)/48)</f>
        <v>0</v>
      </c>
    </row>
    <row r="3218" spans="1:8">
      <c r="A3218" s="24"/>
      <c r="B3218" s="19"/>
      <c r="C3218" s="25">
        <f>IF(D3218="","",D3218/48)</f>
        <v>0</v>
      </c>
      <c r="D3218" s="26">
        <f>IF(A3218="","",ROUND((A3218-cfgDefasagem/1440)*48,0))</f>
        <v>0</v>
      </c>
      <c r="E3218" s="26">
        <f>IF(D3218="","",INT((D3218-cfgDeslocamento)/4))</f>
        <v>0</v>
      </c>
      <c r="F3218" s="26">
        <f>IF(D3218="","",MOD(D3218-cfgDeslocamento,4)+1)</f>
        <v>0</v>
      </c>
      <c r="G3218" s="26">
        <f>IF(A3218="","",IF(AND(ISNUMBER(B3218),B3218&lt;&gt;0),1,0))</f>
        <v>0</v>
      </c>
      <c r="H3218" s="25">
        <f>IF(E3218="","",(E3218*4+3+cfgDeslocamento)/48)</f>
        <v>0</v>
      </c>
    </row>
    <row r="3219" spans="1:8">
      <c r="A3219" s="24"/>
      <c r="B3219" s="19"/>
      <c r="C3219" s="25">
        <f>IF(D3219="","",D3219/48)</f>
        <v>0</v>
      </c>
      <c r="D3219" s="26">
        <f>IF(A3219="","",ROUND((A3219-cfgDefasagem/1440)*48,0))</f>
        <v>0</v>
      </c>
      <c r="E3219" s="26">
        <f>IF(D3219="","",INT((D3219-cfgDeslocamento)/4))</f>
        <v>0</v>
      </c>
      <c r="F3219" s="26">
        <f>IF(D3219="","",MOD(D3219-cfgDeslocamento,4)+1)</f>
        <v>0</v>
      </c>
      <c r="G3219" s="26">
        <f>IF(A3219="","",IF(AND(ISNUMBER(B3219),B3219&lt;&gt;0),1,0))</f>
        <v>0</v>
      </c>
      <c r="H3219" s="25">
        <f>IF(E3219="","",(E3219*4+3+cfgDeslocamento)/48)</f>
        <v>0</v>
      </c>
    </row>
    <row r="3220" spans="1:8">
      <c r="A3220" s="24"/>
      <c r="B3220" s="19"/>
      <c r="C3220" s="25">
        <f>IF(D3220="","",D3220/48)</f>
        <v>0</v>
      </c>
      <c r="D3220" s="26">
        <f>IF(A3220="","",ROUND((A3220-cfgDefasagem/1440)*48,0))</f>
        <v>0</v>
      </c>
      <c r="E3220" s="26">
        <f>IF(D3220="","",INT((D3220-cfgDeslocamento)/4))</f>
        <v>0</v>
      </c>
      <c r="F3220" s="26">
        <f>IF(D3220="","",MOD(D3220-cfgDeslocamento,4)+1)</f>
        <v>0</v>
      </c>
      <c r="G3220" s="26">
        <f>IF(A3220="","",IF(AND(ISNUMBER(B3220),B3220&lt;&gt;0),1,0))</f>
        <v>0</v>
      </c>
      <c r="H3220" s="25">
        <f>IF(E3220="","",(E3220*4+3+cfgDeslocamento)/48)</f>
        <v>0</v>
      </c>
    </row>
    <row r="3221" spans="1:8">
      <c r="A3221" s="24"/>
      <c r="B3221" s="19"/>
      <c r="C3221" s="25">
        <f>IF(D3221="","",D3221/48)</f>
        <v>0</v>
      </c>
      <c r="D3221" s="26">
        <f>IF(A3221="","",ROUND((A3221-cfgDefasagem/1440)*48,0))</f>
        <v>0</v>
      </c>
      <c r="E3221" s="26">
        <f>IF(D3221="","",INT((D3221-cfgDeslocamento)/4))</f>
        <v>0</v>
      </c>
      <c r="F3221" s="26">
        <f>IF(D3221="","",MOD(D3221-cfgDeslocamento,4)+1)</f>
        <v>0</v>
      </c>
      <c r="G3221" s="26">
        <f>IF(A3221="","",IF(AND(ISNUMBER(B3221),B3221&lt;&gt;0),1,0))</f>
        <v>0</v>
      </c>
      <c r="H3221" s="25">
        <f>IF(E3221="","",(E3221*4+3+cfgDeslocamento)/48)</f>
        <v>0</v>
      </c>
    </row>
    <row r="3222" spans="1:8">
      <c r="A3222" s="24"/>
      <c r="B3222" s="19"/>
      <c r="C3222" s="25">
        <f>IF(D3222="","",D3222/48)</f>
        <v>0</v>
      </c>
      <c r="D3222" s="26">
        <f>IF(A3222="","",ROUND((A3222-cfgDefasagem/1440)*48,0))</f>
        <v>0</v>
      </c>
      <c r="E3222" s="26">
        <f>IF(D3222="","",INT((D3222-cfgDeslocamento)/4))</f>
        <v>0</v>
      </c>
      <c r="F3222" s="26">
        <f>IF(D3222="","",MOD(D3222-cfgDeslocamento,4)+1)</f>
        <v>0</v>
      </c>
      <c r="G3222" s="26">
        <f>IF(A3222="","",IF(AND(ISNUMBER(B3222),B3222&lt;&gt;0),1,0))</f>
        <v>0</v>
      </c>
      <c r="H3222" s="25">
        <f>IF(E3222="","",(E3222*4+3+cfgDeslocamento)/48)</f>
        <v>0</v>
      </c>
    </row>
    <row r="3223" spans="1:8">
      <c r="A3223" s="24"/>
      <c r="B3223" s="19"/>
      <c r="C3223" s="25">
        <f>IF(D3223="","",D3223/48)</f>
        <v>0</v>
      </c>
      <c r="D3223" s="26">
        <f>IF(A3223="","",ROUND((A3223-cfgDefasagem/1440)*48,0))</f>
        <v>0</v>
      </c>
      <c r="E3223" s="26">
        <f>IF(D3223="","",INT((D3223-cfgDeslocamento)/4))</f>
        <v>0</v>
      </c>
      <c r="F3223" s="26">
        <f>IF(D3223="","",MOD(D3223-cfgDeslocamento,4)+1)</f>
        <v>0</v>
      </c>
      <c r="G3223" s="26">
        <f>IF(A3223="","",IF(AND(ISNUMBER(B3223),B3223&lt;&gt;0),1,0))</f>
        <v>0</v>
      </c>
      <c r="H3223" s="25">
        <f>IF(E3223="","",(E3223*4+3+cfgDeslocamento)/48)</f>
        <v>0</v>
      </c>
    </row>
    <row r="3224" spans="1:8">
      <c r="A3224" s="24"/>
      <c r="B3224" s="19"/>
      <c r="C3224" s="25">
        <f>IF(D3224="","",D3224/48)</f>
        <v>0</v>
      </c>
      <c r="D3224" s="26">
        <f>IF(A3224="","",ROUND((A3224-cfgDefasagem/1440)*48,0))</f>
        <v>0</v>
      </c>
      <c r="E3224" s="26">
        <f>IF(D3224="","",INT((D3224-cfgDeslocamento)/4))</f>
        <v>0</v>
      </c>
      <c r="F3224" s="26">
        <f>IF(D3224="","",MOD(D3224-cfgDeslocamento,4)+1)</f>
        <v>0</v>
      </c>
      <c r="G3224" s="26">
        <f>IF(A3224="","",IF(AND(ISNUMBER(B3224),B3224&lt;&gt;0),1,0))</f>
        <v>0</v>
      </c>
      <c r="H3224" s="25">
        <f>IF(E3224="","",(E3224*4+3+cfgDeslocamento)/48)</f>
        <v>0</v>
      </c>
    </row>
    <row r="3225" spans="1:8">
      <c r="A3225" s="24"/>
      <c r="B3225" s="19"/>
      <c r="C3225" s="25">
        <f>IF(D3225="","",D3225/48)</f>
        <v>0</v>
      </c>
      <c r="D3225" s="26">
        <f>IF(A3225="","",ROUND((A3225-cfgDefasagem/1440)*48,0))</f>
        <v>0</v>
      </c>
      <c r="E3225" s="26">
        <f>IF(D3225="","",INT((D3225-cfgDeslocamento)/4))</f>
        <v>0</v>
      </c>
      <c r="F3225" s="26">
        <f>IF(D3225="","",MOD(D3225-cfgDeslocamento,4)+1)</f>
        <v>0</v>
      </c>
      <c r="G3225" s="26">
        <f>IF(A3225="","",IF(AND(ISNUMBER(B3225),B3225&lt;&gt;0),1,0))</f>
        <v>0</v>
      </c>
      <c r="H3225" s="25">
        <f>IF(E3225="","",(E3225*4+3+cfgDeslocamento)/48)</f>
        <v>0</v>
      </c>
    </row>
    <row r="3226" spans="1:8">
      <c r="A3226" s="24"/>
      <c r="B3226" s="19"/>
      <c r="C3226" s="25">
        <f>IF(D3226="","",D3226/48)</f>
        <v>0</v>
      </c>
      <c r="D3226" s="26">
        <f>IF(A3226="","",ROUND((A3226-cfgDefasagem/1440)*48,0))</f>
        <v>0</v>
      </c>
      <c r="E3226" s="26">
        <f>IF(D3226="","",INT((D3226-cfgDeslocamento)/4))</f>
        <v>0</v>
      </c>
      <c r="F3226" s="26">
        <f>IF(D3226="","",MOD(D3226-cfgDeslocamento,4)+1)</f>
        <v>0</v>
      </c>
      <c r="G3226" s="26">
        <f>IF(A3226="","",IF(AND(ISNUMBER(B3226),B3226&lt;&gt;0),1,0))</f>
        <v>0</v>
      </c>
      <c r="H3226" s="25">
        <f>IF(E3226="","",(E3226*4+3+cfgDeslocamento)/48)</f>
        <v>0</v>
      </c>
    </row>
    <row r="3227" spans="1:8">
      <c r="A3227" s="24"/>
      <c r="B3227" s="19"/>
      <c r="C3227" s="25">
        <f>IF(D3227="","",D3227/48)</f>
        <v>0</v>
      </c>
      <c r="D3227" s="26">
        <f>IF(A3227="","",ROUND((A3227-cfgDefasagem/1440)*48,0))</f>
        <v>0</v>
      </c>
      <c r="E3227" s="26">
        <f>IF(D3227="","",INT((D3227-cfgDeslocamento)/4))</f>
        <v>0</v>
      </c>
      <c r="F3227" s="26">
        <f>IF(D3227="","",MOD(D3227-cfgDeslocamento,4)+1)</f>
        <v>0</v>
      </c>
      <c r="G3227" s="26">
        <f>IF(A3227="","",IF(AND(ISNUMBER(B3227),B3227&lt;&gt;0),1,0))</f>
        <v>0</v>
      </c>
      <c r="H3227" s="25">
        <f>IF(E3227="","",(E3227*4+3+cfgDeslocamento)/48)</f>
        <v>0</v>
      </c>
    </row>
    <row r="3228" spans="1:8">
      <c r="A3228" s="24"/>
      <c r="B3228" s="19"/>
      <c r="C3228" s="25">
        <f>IF(D3228="","",D3228/48)</f>
        <v>0</v>
      </c>
      <c r="D3228" s="26">
        <f>IF(A3228="","",ROUND((A3228-cfgDefasagem/1440)*48,0))</f>
        <v>0</v>
      </c>
      <c r="E3228" s="26">
        <f>IF(D3228="","",INT((D3228-cfgDeslocamento)/4))</f>
        <v>0</v>
      </c>
      <c r="F3228" s="26">
        <f>IF(D3228="","",MOD(D3228-cfgDeslocamento,4)+1)</f>
        <v>0</v>
      </c>
      <c r="G3228" s="26">
        <f>IF(A3228="","",IF(AND(ISNUMBER(B3228),B3228&lt;&gt;0),1,0))</f>
        <v>0</v>
      </c>
      <c r="H3228" s="25">
        <f>IF(E3228="","",(E3228*4+3+cfgDeslocamento)/48)</f>
        <v>0</v>
      </c>
    </row>
    <row r="3229" spans="1:8">
      <c r="A3229" s="24"/>
      <c r="B3229" s="19"/>
      <c r="C3229" s="25">
        <f>IF(D3229="","",D3229/48)</f>
        <v>0</v>
      </c>
      <c r="D3229" s="26">
        <f>IF(A3229="","",ROUND((A3229-cfgDefasagem/1440)*48,0))</f>
        <v>0</v>
      </c>
      <c r="E3229" s="26">
        <f>IF(D3229="","",INT((D3229-cfgDeslocamento)/4))</f>
        <v>0</v>
      </c>
      <c r="F3229" s="26">
        <f>IF(D3229="","",MOD(D3229-cfgDeslocamento,4)+1)</f>
        <v>0</v>
      </c>
      <c r="G3229" s="26">
        <f>IF(A3229="","",IF(AND(ISNUMBER(B3229),B3229&lt;&gt;0),1,0))</f>
        <v>0</v>
      </c>
      <c r="H3229" s="25">
        <f>IF(E3229="","",(E3229*4+3+cfgDeslocamento)/48)</f>
        <v>0</v>
      </c>
    </row>
    <row r="3230" spans="1:8">
      <c r="A3230" s="24"/>
      <c r="B3230" s="19"/>
      <c r="C3230" s="25">
        <f>IF(D3230="","",D3230/48)</f>
        <v>0</v>
      </c>
      <c r="D3230" s="26">
        <f>IF(A3230="","",ROUND((A3230-cfgDefasagem/1440)*48,0))</f>
        <v>0</v>
      </c>
      <c r="E3230" s="26">
        <f>IF(D3230="","",INT((D3230-cfgDeslocamento)/4))</f>
        <v>0</v>
      </c>
      <c r="F3230" s="26">
        <f>IF(D3230="","",MOD(D3230-cfgDeslocamento,4)+1)</f>
        <v>0</v>
      </c>
      <c r="G3230" s="26">
        <f>IF(A3230="","",IF(AND(ISNUMBER(B3230),B3230&lt;&gt;0),1,0))</f>
        <v>0</v>
      </c>
      <c r="H3230" s="25">
        <f>IF(E3230="","",(E3230*4+3+cfgDeslocamento)/48)</f>
        <v>0</v>
      </c>
    </row>
    <row r="3231" spans="1:8">
      <c r="A3231" s="24"/>
      <c r="B3231" s="19"/>
      <c r="C3231" s="25">
        <f>IF(D3231="","",D3231/48)</f>
        <v>0</v>
      </c>
      <c r="D3231" s="26">
        <f>IF(A3231="","",ROUND((A3231-cfgDefasagem/1440)*48,0))</f>
        <v>0</v>
      </c>
      <c r="E3231" s="26">
        <f>IF(D3231="","",INT((D3231-cfgDeslocamento)/4))</f>
        <v>0</v>
      </c>
      <c r="F3231" s="26">
        <f>IF(D3231="","",MOD(D3231-cfgDeslocamento,4)+1)</f>
        <v>0</v>
      </c>
      <c r="G3231" s="26">
        <f>IF(A3231="","",IF(AND(ISNUMBER(B3231),B3231&lt;&gt;0),1,0))</f>
        <v>0</v>
      </c>
      <c r="H3231" s="25">
        <f>IF(E3231="","",(E3231*4+3+cfgDeslocamento)/48)</f>
        <v>0</v>
      </c>
    </row>
    <row r="3232" spans="1:8">
      <c r="A3232" s="24"/>
      <c r="B3232" s="19"/>
      <c r="C3232" s="25">
        <f>IF(D3232="","",D3232/48)</f>
        <v>0</v>
      </c>
      <c r="D3232" s="26">
        <f>IF(A3232="","",ROUND((A3232-cfgDefasagem/1440)*48,0))</f>
        <v>0</v>
      </c>
      <c r="E3232" s="26">
        <f>IF(D3232="","",INT((D3232-cfgDeslocamento)/4))</f>
        <v>0</v>
      </c>
      <c r="F3232" s="26">
        <f>IF(D3232="","",MOD(D3232-cfgDeslocamento,4)+1)</f>
        <v>0</v>
      </c>
      <c r="G3232" s="26">
        <f>IF(A3232="","",IF(AND(ISNUMBER(B3232),B3232&lt;&gt;0),1,0))</f>
        <v>0</v>
      </c>
      <c r="H3232" s="25">
        <f>IF(E3232="","",(E3232*4+3+cfgDeslocamento)/48)</f>
        <v>0</v>
      </c>
    </row>
    <row r="3233" spans="1:8">
      <c r="A3233" s="24"/>
      <c r="B3233" s="19"/>
      <c r="C3233" s="25">
        <f>IF(D3233="","",D3233/48)</f>
        <v>0</v>
      </c>
      <c r="D3233" s="26">
        <f>IF(A3233="","",ROUND((A3233-cfgDefasagem/1440)*48,0))</f>
        <v>0</v>
      </c>
      <c r="E3233" s="26">
        <f>IF(D3233="","",INT((D3233-cfgDeslocamento)/4))</f>
        <v>0</v>
      </c>
      <c r="F3233" s="26">
        <f>IF(D3233="","",MOD(D3233-cfgDeslocamento,4)+1)</f>
        <v>0</v>
      </c>
      <c r="G3233" s="26">
        <f>IF(A3233="","",IF(AND(ISNUMBER(B3233),B3233&lt;&gt;0),1,0))</f>
        <v>0</v>
      </c>
      <c r="H3233" s="25">
        <f>IF(E3233="","",(E3233*4+3+cfgDeslocamento)/48)</f>
        <v>0</v>
      </c>
    </row>
    <row r="3234" spans="1:8">
      <c r="A3234" s="24"/>
      <c r="B3234" s="19"/>
      <c r="C3234" s="25">
        <f>IF(D3234="","",D3234/48)</f>
        <v>0</v>
      </c>
      <c r="D3234" s="26">
        <f>IF(A3234="","",ROUND((A3234-cfgDefasagem/1440)*48,0))</f>
        <v>0</v>
      </c>
      <c r="E3234" s="26">
        <f>IF(D3234="","",INT((D3234-cfgDeslocamento)/4))</f>
        <v>0</v>
      </c>
      <c r="F3234" s="26">
        <f>IF(D3234="","",MOD(D3234-cfgDeslocamento,4)+1)</f>
        <v>0</v>
      </c>
      <c r="G3234" s="26">
        <f>IF(A3234="","",IF(AND(ISNUMBER(B3234),B3234&lt;&gt;0),1,0))</f>
        <v>0</v>
      </c>
      <c r="H3234" s="25">
        <f>IF(E3234="","",(E3234*4+3+cfgDeslocamento)/48)</f>
        <v>0</v>
      </c>
    </row>
    <row r="3235" spans="1:8">
      <c r="A3235" s="24"/>
      <c r="B3235" s="19"/>
      <c r="C3235" s="25">
        <f>IF(D3235="","",D3235/48)</f>
        <v>0</v>
      </c>
      <c r="D3235" s="26">
        <f>IF(A3235="","",ROUND((A3235-cfgDefasagem/1440)*48,0))</f>
        <v>0</v>
      </c>
      <c r="E3235" s="26">
        <f>IF(D3235="","",INT((D3235-cfgDeslocamento)/4))</f>
        <v>0</v>
      </c>
      <c r="F3235" s="26">
        <f>IF(D3235="","",MOD(D3235-cfgDeslocamento,4)+1)</f>
        <v>0</v>
      </c>
      <c r="G3235" s="26">
        <f>IF(A3235="","",IF(AND(ISNUMBER(B3235),B3235&lt;&gt;0),1,0))</f>
        <v>0</v>
      </c>
      <c r="H3235" s="25">
        <f>IF(E3235="","",(E3235*4+3+cfgDeslocamento)/48)</f>
        <v>0</v>
      </c>
    </row>
    <row r="3236" spans="1:8">
      <c r="A3236" s="24"/>
      <c r="B3236" s="19"/>
      <c r="C3236" s="25">
        <f>IF(D3236="","",D3236/48)</f>
        <v>0</v>
      </c>
      <c r="D3236" s="26">
        <f>IF(A3236="","",ROUND((A3236-cfgDefasagem/1440)*48,0))</f>
        <v>0</v>
      </c>
      <c r="E3236" s="26">
        <f>IF(D3236="","",INT((D3236-cfgDeslocamento)/4))</f>
        <v>0</v>
      </c>
      <c r="F3236" s="26">
        <f>IF(D3236="","",MOD(D3236-cfgDeslocamento,4)+1)</f>
        <v>0</v>
      </c>
      <c r="G3236" s="26">
        <f>IF(A3236="","",IF(AND(ISNUMBER(B3236),B3236&lt;&gt;0),1,0))</f>
        <v>0</v>
      </c>
      <c r="H3236" s="25">
        <f>IF(E3236="","",(E3236*4+3+cfgDeslocamento)/48)</f>
        <v>0</v>
      </c>
    </row>
    <row r="3237" spans="1:8">
      <c r="A3237" s="24"/>
      <c r="B3237" s="19"/>
      <c r="C3237" s="25">
        <f>IF(D3237="","",D3237/48)</f>
        <v>0</v>
      </c>
      <c r="D3237" s="26">
        <f>IF(A3237="","",ROUND((A3237-cfgDefasagem/1440)*48,0))</f>
        <v>0</v>
      </c>
      <c r="E3237" s="26">
        <f>IF(D3237="","",INT((D3237-cfgDeslocamento)/4))</f>
        <v>0</v>
      </c>
      <c r="F3237" s="26">
        <f>IF(D3237="","",MOD(D3237-cfgDeslocamento,4)+1)</f>
        <v>0</v>
      </c>
      <c r="G3237" s="26">
        <f>IF(A3237="","",IF(AND(ISNUMBER(B3237),B3237&lt;&gt;0),1,0))</f>
        <v>0</v>
      </c>
      <c r="H3237" s="25">
        <f>IF(E3237="","",(E3237*4+3+cfgDeslocamento)/48)</f>
        <v>0</v>
      </c>
    </row>
    <row r="3238" spans="1:8">
      <c r="A3238" s="24"/>
      <c r="B3238" s="19"/>
      <c r="C3238" s="25">
        <f>IF(D3238="","",D3238/48)</f>
        <v>0</v>
      </c>
      <c r="D3238" s="26">
        <f>IF(A3238="","",ROUND((A3238-cfgDefasagem/1440)*48,0))</f>
        <v>0</v>
      </c>
      <c r="E3238" s="26">
        <f>IF(D3238="","",INT((D3238-cfgDeslocamento)/4))</f>
        <v>0</v>
      </c>
      <c r="F3238" s="26">
        <f>IF(D3238="","",MOD(D3238-cfgDeslocamento,4)+1)</f>
        <v>0</v>
      </c>
      <c r="G3238" s="26">
        <f>IF(A3238="","",IF(AND(ISNUMBER(B3238),B3238&lt;&gt;0),1,0))</f>
        <v>0</v>
      </c>
      <c r="H3238" s="25">
        <f>IF(E3238="","",(E3238*4+3+cfgDeslocamento)/48)</f>
        <v>0</v>
      </c>
    </row>
    <row r="3239" spans="1:8">
      <c r="A3239" s="24"/>
      <c r="B3239" s="19"/>
      <c r="C3239" s="25">
        <f>IF(D3239="","",D3239/48)</f>
        <v>0</v>
      </c>
      <c r="D3239" s="26">
        <f>IF(A3239="","",ROUND((A3239-cfgDefasagem/1440)*48,0))</f>
        <v>0</v>
      </c>
      <c r="E3239" s="26">
        <f>IF(D3239="","",INT((D3239-cfgDeslocamento)/4))</f>
        <v>0</v>
      </c>
      <c r="F3239" s="26">
        <f>IF(D3239="","",MOD(D3239-cfgDeslocamento,4)+1)</f>
        <v>0</v>
      </c>
      <c r="G3239" s="26">
        <f>IF(A3239="","",IF(AND(ISNUMBER(B3239),B3239&lt;&gt;0),1,0))</f>
        <v>0</v>
      </c>
      <c r="H3239" s="25">
        <f>IF(E3239="","",(E3239*4+3+cfgDeslocamento)/48)</f>
        <v>0</v>
      </c>
    </row>
    <row r="3240" spans="1:8">
      <c r="A3240" s="24"/>
      <c r="B3240" s="19"/>
      <c r="C3240" s="25">
        <f>IF(D3240="","",D3240/48)</f>
        <v>0</v>
      </c>
      <c r="D3240" s="26">
        <f>IF(A3240="","",ROUND((A3240-cfgDefasagem/1440)*48,0))</f>
        <v>0</v>
      </c>
      <c r="E3240" s="26">
        <f>IF(D3240="","",INT((D3240-cfgDeslocamento)/4))</f>
        <v>0</v>
      </c>
      <c r="F3240" s="26">
        <f>IF(D3240="","",MOD(D3240-cfgDeslocamento,4)+1)</f>
        <v>0</v>
      </c>
      <c r="G3240" s="26">
        <f>IF(A3240="","",IF(AND(ISNUMBER(B3240),B3240&lt;&gt;0),1,0))</f>
        <v>0</v>
      </c>
      <c r="H3240" s="25">
        <f>IF(E3240="","",(E3240*4+3+cfgDeslocamento)/48)</f>
        <v>0</v>
      </c>
    </row>
    <row r="3241" spans="1:8">
      <c r="A3241" s="24"/>
      <c r="B3241" s="19"/>
      <c r="C3241" s="25">
        <f>IF(D3241="","",D3241/48)</f>
        <v>0</v>
      </c>
      <c r="D3241" s="26">
        <f>IF(A3241="","",ROUND((A3241-cfgDefasagem/1440)*48,0))</f>
        <v>0</v>
      </c>
      <c r="E3241" s="26">
        <f>IF(D3241="","",INT((D3241-cfgDeslocamento)/4))</f>
        <v>0</v>
      </c>
      <c r="F3241" s="26">
        <f>IF(D3241="","",MOD(D3241-cfgDeslocamento,4)+1)</f>
        <v>0</v>
      </c>
      <c r="G3241" s="26">
        <f>IF(A3241="","",IF(AND(ISNUMBER(B3241),B3241&lt;&gt;0),1,0))</f>
        <v>0</v>
      </c>
      <c r="H3241" s="25">
        <f>IF(E3241="","",(E3241*4+3+cfgDeslocamento)/48)</f>
        <v>0</v>
      </c>
    </row>
    <row r="3242" spans="1:8">
      <c r="A3242" s="24"/>
      <c r="B3242" s="19"/>
      <c r="C3242" s="25">
        <f>IF(D3242="","",D3242/48)</f>
        <v>0</v>
      </c>
      <c r="D3242" s="26">
        <f>IF(A3242="","",ROUND((A3242-cfgDefasagem/1440)*48,0))</f>
        <v>0</v>
      </c>
      <c r="E3242" s="26">
        <f>IF(D3242="","",INT((D3242-cfgDeslocamento)/4))</f>
        <v>0</v>
      </c>
      <c r="F3242" s="26">
        <f>IF(D3242="","",MOD(D3242-cfgDeslocamento,4)+1)</f>
        <v>0</v>
      </c>
      <c r="G3242" s="26">
        <f>IF(A3242="","",IF(AND(ISNUMBER(B3242),B3242&lt;&gt;0),1,0))</f>
        <v>0</v>
      </c>
      <c r="H3242" s="25">
        <f>IF(E3242="","",(E3242*4+3+cfgDeslocamento)/48)</f>
        <v>0</v>
      </c>
    </row>
    <row r="3243" spans="1:8">
      <c r="A3243" s="24"/>
      <c r="B3243" s="19"/>
      <c r="C3243" s="25">
        <f>IF(D3243="","",D3243/48)</f>
        <v>0</v>
      </c>
      <c r="D3243" s="26">
        <f>IF(A3243="","",ROUND((A3243-cfgDefasagem/1440)*48,0))</f>
        <v>0</v>
      </c>
      <c r="E3243" s="26">
        <f>IF(D3243="","",INT((D3243-cfgDeslocamento)/4))</f>
        <v>0</v>
      </c>
      <c r="F3243" s="26">
        <f>IF(D3243="","",MOD(D3243-cfgDeslocamento,4)+1)</f>
        <v>0</v>
      </c>
      <c r="G3243" s="26">
        <f>IF(A3243="","",IF(AND(ISNUMBER(B3243),B3243&lt;&gt;0),1,0))</f>
        <v>0</v>
      </c>
      <c r="H3243" s="25">
        <f>IF(E3243="","",(E3243*4+3+cfgDeslocamento)/48)</f>
        <v>0</v>
      </c>
    </row>
    <row r="3244" spans="1:8">
      <c r="A3244" s="24"/>
      <c r="B3244" s="19"/>
      <c r="C3244" s="25">
        <f>IF(D3244="","",D3244/48)</f>
        <v>0</v>
      </c>
      <c r="D3244" s="26">
        <f>IF(A3244="","",ROUND((A3244-cfgDefasagem/1440)*48,0))</f>
        <v>0</v>
      </c>
      <c r="E3244" s="26">
        <f>IF(D3244="","",INT((D3244-cfgDeslocamento)/4))</f>
        <v>0</v>
      </c>
      <c r="F3244" s="26">
        <f>IF(D3244="","",MOD(D3244-cfgDeslocamento,4)+1)</f>
        <v>0</v>
      </c>
      <c r="G3244" s="26">
        <f>IF(A3244="","",IF(AND(ISNUMBER(B3244),B3244&lt;&gt;0),1,0))</f>
        <v>0</v>
      </c>
      <c r="H3244" s="25">
        <f>IF(E3244="","",(E3244*4+3+cfgDeslocamento)/48)</f>
        <v>0</v>
      </c>
    </row>
    <row r="3245" spans="1:8">
      <c r="A3245" s="24"/>
      <c r="B3245" s="19"/>
      <c r="C3245" s="25">
        <f>IF(D3245="","",D3245/48)</f>
        <v>0</v>
      </c>
      <c r="D3245" s="26">
        <f>IF(A3245="","",ROUND((A3245-cfgDefasagem/1440)*48,0))</f>
        <v>0</v>
      </c>
      <c r="E3245" s="26">
        <f>IF(D3245="","",INT((D3245-cfgDeslocamento)/4))</f>
        <v>0</v>
      </c>
      <c r="F3245" s="26">
        <f>IF(D3245="","",MOD(D3245-cfgDeslocamento,4)+1)</f>
        <v>0</v>
      </c>
      <c r="G3245" s="26">
        <f>IF(A3245="","",IF(AND(ISNUMBER(B3245),B3245&lt;&gt;0),1,0))</f>
        <v>0</v>
      </c>
      <c r="H3245" s="25">
        <f>IF(E3245="","",(E3245*4+3+cfgDeslocamento)/48)</f>
        <v>0</v>
      </c>
    </row>
    <row r="3246" spans="1:8">
      <c r="A3246" s="24"/>
      <c r="B3246" s="19"/>
      <c r="C3246" s="25">
        <f>IF(D3246="","",D3246/48)</f>
        <v>0</v>
      </c>
      <c r="D3246" s="26">
        <f>IF(A3246="","",ROUND((A3246-cfgDefasagem/1440)*48,0))</f>
        <v>0</v>
      </c>
      <c r="E3246" s="26">
        <f>IF(D3246="","",INT((D3246-cfgDeslocamento)/4))</f>
        <v>0</v>
      </c>
      <c r="F3246" s="26">
        <f>IF(D3246="","",MOD(D3246-cfgDeslocamento,4)+1)</f>
        <v>0</v>
      </c>
      <c r="G3246" s="26">
        <f>IF(A3246="","",IF(AND(ISNUMBER(B3246),B3246&lt;&gt;0),1,0))</f>
        <v>0</v>
      </c>
      <c r="H3246" s="25">
        <f>IF(E3246="","",(E3246*4+3+cfgDeslocamento)/48)</f>
        <v>0</v>
      </c>
    </row>
    <row r="3247" spans="1:8">
      <c r="A3247" s="24"/>
      <c r="B3247" s="19"/>
      <c r="C3247" s="25">
        <f>IF(D3247="","",D3247/48)</f>
        <v>0</v>
      </c>
      <c r="D3247" s="26">
        <f>IF(A3247="","",ROUND((A3247-cfgDefasagem/1440)*48,0))</f>
        <v>0</v>
      </c>
      <c r="E3247" s="26">
        <f>IF(D3247="","",INT((D3247-cfgDeslocamento)/4))</f>
        <v>0</v>
      </c>
      <c r="F3247" s="26">
        <f>IF(D3247="","",MOD(D3247-cfgDeslocamento,4)+1)</f>
        <v>0</v>
      </c>
      <c r="G3247" s="26">
        <f>IF(A3247="","",IF(AND(ISNUMBER(B3247),B3247&lt;&gt;0),1,0))</f>
        <v>0</v>
      </c>
      <c r="H3247" s="25">
        <f>IF(E3247="","",(E3247*4+3+cfgDeslocamento)/48)</f>
        <v>0</v>
      </c>
    </row>
    <row r="3248" spans="1:8">
      <c r="A3248" s="24"/>
      <c r="B3248" s="19"/>
      <c r="C3248" s="25">
        <f>IF(D3248="","",D3248/48)</f>
        <v>0</v>
      </c>
      <c r="D3248" s="26">
        <f>IF(A3248="","",ROUND((A3248-cfgDefasagem/1440)*48,0))</f>
        <v>0</v>
      </c>
      <c r="E3248" s="26">
        <f>IF(D3248="","",INT((D3248-cfgDeslocamento)/4))</f>
        <v>0</v>
      </c>
      <c r="F3248" s="26">
        <f>IF(D3248="","",MOD(D3248-cfgDeslocamento,4)+1)</f>
        <v>0</v>
      </c>
      <c r="G3248" s="26">
        <f>IF(A3248="","",IF(AND(ISNUMBER(B3248),B3248&lt;&gt;0),1,0))</f>
        <v>0</v>
      </c>
      <c r="H3248" s="25">
        <f>IF(E3248="","",(E3248*4+3+cfgDeslocamento)/48)</f>
        <v>0</v>
      </c>
    </row>
    <row r="3249" spans="1:8">
      <c r="A3249" s="24"/>
      <c r="B3249" s="19"/>
      <c r="C3249" s="25">
        <f>IF(D3249="","",D3249/48)</f>
        <v>0</v>
      </c>
      <c r="D3249" s="26">
        <f>IF(A3249="","",ROUND((A3249-cfgDefasagem/1440)*48,0))</f>
        <v>0</v>
      </c>
      <c r="E3249" s="26">
        <f>IF(D3249="","",INT((D3249-cfgDeslocamento)/4))</f>
        <v>0</v>
      </c>
      <c r="F3249" s="26">
        <f>IF(D3249="","",MOD(D3249-cfgDeslocamento,4)+1)</f>
        <v>0</v>
      </c>
      <c r="G3249" s="26">
        <f>IF(A3249="","",IF(AND(ISNUMBER(B3249),B3249&lt;&gt;0),1,0))</f>
        <v>0</v>
      </c>
      <c r="H3249" s="25">
        <f>IF(E3249="","",(E3249*4+3+cfgDeslocamento)/48)</f>
        <v>0</v>
      </c>
    </row>
    <row r="3250" spans="1:8">
      <c r="A3250" s="24"/>
      <c r="B3250" s="19"/>
      <c r="C3250" s="25">
        <f>IF(D3250="","",D3250/48)</f>
        <v>0</v>
      </c>
      <c r="D3250" s="26">
        <f>IF(A3250="","",ROUND((A3250-cfgDefasagem/1440)*48,0))</f>
        <v>0</v>
      </c>
      <c r="E3250" s="26">
        <f>IF(D3250="","",INT((D3250-cfgDeslocamento)/4))</f>
        <v>0</v>
      </c>
      <c r="F3250" s="26">
        <f>IF(D3250="","",MOD(D3250-cfgDeslocamento,4)+1)</f>
        <v>0</v>
      </c>
      <c r="G3250" s="26">
        <f>IF(A3250="","",IF(AND(ISNUMBER(B3250),B3250&lt;&gt;0),1,0))</f>
        <v>0</v>
      </c>
      <c r="H3250" s="25">
        <f>IF(E3250="","",(E3250*4+3+cfgDeslocamento)/48)</f>
        <v>0</v>
      </c>
    </row>
    <row r="3251" spans="1:8">
      <c r="A3251" s="24"/>
      <c r="B3251" s="19"/>
      <c r="C3251" s="25">
        <f>IF(D3251="","",D3251/48)</f>
        <v>0</v>
      </c>
      <c r="D3251" s="26">
        <f>IF(A3251="","",ROUND((A3251-cfgDefasagem/1440)*48,0))</f>
        <v>0</v>
      </c>
      <c r="E3251" s="26">
        <f>IF(D3251="","",INT((D3251-cfgDeslocamento)/4))</f>
        <v>0</v>
      </c>
      <c r="F3251" s="26">
        <f>IF(D3251="","",MOD(D3251-cfgDeslocamento,4)+1)</f>
        <v>0</v>
      </c>
      <c r="G3251" s="26">
        <f>IF(A3251="","",IF(AND(ISNUMBER(B3251),B3251&lt;&gt;0),1,0))</f>
        <v>0</v>
      </c>
      <c r="H3251" s="25">
        <f>IF(E3251="","",(E3251*4+3+cfgDeslocamento)/48)</f>
        <v>0</v>
      </c>
    </row>
    <row r="3252" spans="1:8">
      <c r="A3252" s="24"/>
      <c r="B3252" s="19"/>
      <c r="C3252" s="25">
        <f>IF(D3252="","",D3252/48)</f>
        <v>0</v>
      </c>
      <c r="D3252" s="26">
        <f>IF(A3252="","",ROUND((A3252-cfgDefasagem/1440)*48,0))</f>
        <v>0</v>
      </c>
      <c r="E3252" s="26">
        <f>IF(D3252="","",INT((D3252-cfgDeslocamento)/4))</f>
        <v>0</v>
      </c>
      <c r="F3252" s="26">
        <f>IF(D3252="","",MOD(D3252-cfgDeslocamento,4)+1)</f>
        <v>0</v>
      </c>
      <c r="G3252" s="26">
        <f>IF(A3252="","",IF(AND(ISNUMBER(B3252),B3252&lt;&gt;0),1,0))</f>
        <v>0</v>
      </c>
      <c r="H3252" s="25">
        <f>IF(E3252="","",(E3252*4+3+cfgDeslocamento)/48)</f>
        <v>0</v>
      </c>
    </row>
    <row r="3253" spans="1:8">
      <c r="A3253" s="24"/>
      <c r="B3253" s="19"/>
      <c r="C3253" s="25">
        <f>IF(D3253="","",D3253/48)</f>
        <v>0</v>
      </c>
      <c r="D3253" s="26">
        <f>IF(A3253="","",ROUND((A3253-cfgDefasagem/1440)*48,0))</f>
        <v>0</v>
      </c>
      <c r="E3253" s="26">
        <f>IF(D3253="","",INT((D3253-cfgDeslocamento)/4))</f>
        <v>0</v>
      </c>
      <c r="F3253" s="26">
        <f>IF(D3253="","",MOD(D3253-cfgDeslocamento,4)+1)</f>
        <v>0</v>
      </c>
      <c r="G3253" s="26">
        <f>IF(A3253="","",IF(AND(ISNUMBER(B3253),B3253&lt;&gt;0),1,0))</f>
        <v>0</v>
      </c>
      <c r="H3253" s="25">
        <f>IF(E3253="","",(E3253*4+3+cfgDeslocamento)/48)</f>
        <v>0</v>
      </c>
    </row>
    <row r="3254" spans="1:8">
      <c r="A3254" s="24"/>
      <c r="B3254" s="19"/>
      <c r="C3254" s="25">
        <f>IF(D3254="","",D3254/48)</f>
        <v>0</v>
      </c>
      <c r="D3254" s="26">
        <f>IF(A3254="","",ROUND((A3254-cfgDefasagem/1440)*48,0))</f>
        <v>0</v>
      </c>
      <c r="E3254" s="26">
        <f>IF(D3254="","",INT((D3254-cfgDeslocamento)/4))</f>
        <v>0</v>
      </c>
      <c r="F3254" s="26">
        <f>IF(D3254="","",MOD(D3254-cfgDeslocamento,4)+1)</f>
        <v>0</v>
      </c>
      <c r="G3254" s="26">
        <f>IF(A3254="","",IF(AND(ISNUMBER(B3254),B3254&lt;&gt;0),1,0))</f>
        <v>0</v>
      </c>
      <c r="H3254" s="25">
        <f>IF(E3254="","",(E3254*4+3+cfgDeslocamento)/48)</f>
        <v>0</v>
      </c>
    </row>
    <row r="3255" spans="1:8">
      <c r="A3255" s="24"/>
      <c r="B3255" s="19"/>
      <c r="C3255" s="25">
        <f>IF(D3255="","",D3255/48)</f>
        <v>0</v>
      </c>
      <c r="D3255" s="26">
        <f>IF(A3255="","",ROUND((A3255-cfgDefasagem/1440)*48,0))</f>
        <v>0</v>
      </c>
      <c r="E3255" s="26">
        <f>IF(D3255="","",INT((D3255-cfgDeslocamento)/4))</f>
        <v>0</v>
      </c>
      <c r="F3255" s="26">
        <f>IF(D3255="","",MOD(D3255-cfgDeslocamento,4)+1)</f>
        <v>0</v>
      </c>
      <c r="G3255" s="26">
        <f>IF(A3255="","",IF(AND(ISNUMBER(B3255),B3255&lt;&gt;0),1,0))</f>
        <v>0</v>
      </c>
      <c r="H3255" s="25">
        <f>IF(E3255="","",(E3255*4+3+cfgDeslocamento)/48)</f>
        <v>0</v>
      </c>
    </row>
    <row r="3256" spans="1:8">
      <c r="A3256" s="24"/>
      <c r="B3256" s="19"/>
      <c r="C3256" s="25">
        <f>IF(D3256="","",D3256/48)</f>
        <v>0</v>
      </c>
      <c r="D3256" s="26">
        <f>IF(A3256="","",ROUND((A3256-cfgDefasagem/1440)*48,0))</f>
        <v>0</v>
      </c>
      <c r="E3256" s="26">
        <f>IF(D3256="","",INT((D3256-cfgDeslocamento)/4))</f>
        <v>0</v>
      </c>
      <c r="F3256" s="26">
        <f>IF(D3256="","",MOD(D3256-cfgDeslocamento,4)+1)</f>
        <v>0</v>
      </c>
      <c r="G3256" s="26">
        <f>IF(A3256="","",IF(AND(ISNUMBER(B3256),B3256&lt;&gt;0),1,0))</f>
        <v>0</v>
      </c>
      <c r="H3256" s="25">
        <f>IF(E3256="","",(E3256*4+3+cfgDeslocamento)/48)</f>
        <v>0</v>
      </c>
    </row>
    <row r="3257" spans="1:8">
      <c r="A3257" s="24"/>
      <c r="B3257" s="19"/>
      <c r="C3257" s="25">
        <f>IF(D3257="","",D3257/48)</f>
        <v>0</v>
      </c>
      <c r="D3257" s="26">
        <f>IF(A3257="","",ROUND((A3257-cfgDefasagem/1440)*48,0))</f>
        <v>0</v>
      </c>
      <c r="E3257" s="26">
        <f>IF(D3257="","",INT((D3257-cfgDeslocamento)/4))</f>
        <v>0</v>
      </c>
      <c r="F3257" s="26">
        <f>IF(D3257="","",MOD(D3257-cfgDeslocamento,4)+1)</f>
        <v>0</v>
      </c>
      <c r="G3257" s="26">
        <f>IF(A3257="","",IF(AND(ISNUMBER(B3257),B3257&lt;&gt;0),1,0))</f>
        <v>0</v>
      </c>
      <c r="H3257" s="25">
        <f>IF(E3257="","",(E3257*4+3+cfgDeslocamento)/48)</f>
        <v>0</v>
      </c>
    </row>
    <row r="3258" spans="1:8">
      <c r="A3258" s="24"/>
      <c r="B3258" s="19"/>
      <c r="C3258" s="25">
        <f>IF(D3258="","",D3258/48)</f>
        <v>0</v>
      </c>
      <c r="D3258" s="26">
        <f>IF(A3258="","",ROUND((A3258-cfgDefasagem/1440)*48,0))</f>
        <v>0</v>
      </c>
      <c r="E3258" s="26">
        <f>IF(D3258="","",INT((D3258-cfgDeslocamento)/4))</f>
        <v>0</v>
      </c>
      <c r="F3258" s="26">
        <f>IF(D3258="","",MOD(D3258-cfgDeslocamento,4)+1)</f>
        <v>0</v>
      </c>
      <c r="G3258" s="26">
        <f>IF(A3258="","",IF(AND(ISNUMBER(B3258),B3258&lt;&gt;0),1,0))</f>
        <v>0</v>
      </c>
      <c r="H3258" s="25">
        <f>IF(E3258="","",(E3258*4+3+cfgDeslocamento)/48)</f>
        <v>0</v>
      </c>
    </row>
    <row r="3259" spans="1:8">
      <c r="A3259" s="24"/>
      <c r="B3259" s="19"/>
      <c r="C3259" s="25">
        <f>IF(D3259="","",D3259/48)</f>
        <v>0</v>
      </c>
      <c r="D3259" s="26">
        <f>IF(A3259="","",ROUND((A3259-cfgDefasagem/1440)*48,0))</f>
        <v>0</v>
      </c>
      <c r="E3259" s="26">
        <f>IF(D3259="","",INT((D3259-cfgDeslocamento)/4))</f>
        <v>0</v>
      </c>
      <c r="F3259" s="26">
        <f>IF(D3259="","",MOD(D3259-cfgDeslocamento,4)+1)</f>
        <v>0</v>
      </c>
      <c r="G3259" s="26">
        <f>IF(A3259="","",IF(AND(ISNUMBER(B3259),B3259&lt;&gt;0),1,0))</f>
        <v>0</v>
      </c>
      <c r="H3259" s="25">
        <f>IF(E3259="","",(E3259*4+3+cfgDeslocamento)/48)</f>
        <v>0</v>
      </c>
    </row>
    <row r="3260" spans="1:8">
      <c r="A3260" s="24"/>
      <c r="B3260" s="19"/>
      <c r="C3260" s="25">
        <f>IF(D3260="","",D3260/48)</f>
        <v>0</v>
      </c>
      <c r="D3260" s="26">
        <f>IF(A3260="","",ROUND((A3260-cfgDefasagem/1440)*48,0))</f>
        <v>0</v>
      </c>
      <c r="E3260" s="26">
        <f>IF(D3260="","",INT((D3260-cfgDeslocamento)/4))</f>
        <v>0</v>
      </c>
      <c r="F3260" s="26">
        <f>IF(D3260="","",MOD(D3260-cfgDeslocamento,4)+1)</f>
        <v>0</v>
      </c>
      <c r="G3260" s="26">
        <f>IF(A3260="","",IF(AND(ISNUMBER(B3260),B3260&lt;&gt;0),1,0))</f>
        <v>0</v>
      </c>
      <c r="H3260" s="25">
        <f>IF(E3260="","",(E3260*4+3+cfgDeslocamento)/48)</f>
        <v>0</v>
      </c>
    </row>
    <row r="3261" spans="1:8">
      <c r="A3261" s="24"/>
      <c r="B3261" s="19"/>
      <c r="C3261" s="25">
        <f>IF(D3261="","",D3261/48)</f>
        <v>0</v>
      </c>
      <c r="D3261" s="26">
        <f>IF(A3261="","",ROUND((A3261-cfgDefasagem/1440)*48,0))</f>
        <v>0</v>
      </c>
      <c r="E3261" s="26">
        <f>IF(D3261="","",INT((D3261-cfgDeslocamento)/4))</f>
        <v>0</v>
      </c>
      <c r="F3261" s="26">
        <f>IF(D3261="","",MOD(D3261-cfgDeslocamento,4)+1)</f>
        <v>0</v>
      </c>
      <c r="G3261" s="26">
        <f>IF(A3261="","",IF(AND(ISNUMBER(B3261),B3261&lt;&gt;0),1,0))</f>
        <v>0</v>
      </c>
      <c r="H3261" s="25">
        <f>IF(E3261="","",(E3261*4+3+cfgDeslocamento)/48)</f>
        <v>0</v>
      </c>
    </row>
    <row r="3262" spans="1:8">
      <c r="A3262" s="24"/>
      <c r="B3262" s="19"/>
      <c r="C3262" s="25">
        <f>IF(D3262="","",D3262/48)</f>
        <v>0</v>
      </c>
      <c r="D3262" s="26">
        <f>IF(A3262="","",ROUND((A3262-cfgDefasagem/1440)*48,0))</f>
        <v>0</v>
      </c>
      <c r="E3262" s="26">
        <f>IF(D3262="","",INT((D3262-cfgDeslocamento)/4))</f>
        <v>0</v>
      </c>
      <c r="F3262" s="26">
        <f>IF(D3262="","",MOD(D3262-cfgDeslocamento,4)+1)</f>
        <v>0</v>
      </c>
      <c r="G3262" s="26">
        <f>IF(A3262="","",IF(AND(ISNUMBER(B3262),B3262&lt;&gt;0),1,0))</f>
        <v>0</v>
      </c>
      <c r="H3262" s="25">
        <f>IF(E3262="","",(E3262*4+3+cfgDeslocamento)/48)</f>
        <v>0</v>
      </c>
    </row>
    <row r="3263" spans="1:8">
      <c r="A3263" s="24"/>
      <c r="B3263" s="19"/>
      <c r="C3263" s="25">
        <f>IF(D3263="","",D3263/48)</f>
        <v>0</v>
      </c>
      <c r="D3263" s="26">
        <f>IF(A3263="","",ROUND((A3263-cfgDefasagem/1440)*48,0))</f>
        <v>0</v>
      </c>
      <c r="E3263" s="26">
        <f>IF(D3263="","",INT((D3263-cfgDeslocamento)/4))</f>
        <v>0</v>
      </c>
      <c r="F3263" s="26">
        <f>IF(D3263="","",MOD(D3263-cfgDeslocamento,4)+1)</f>
        <v>0</v>
      </c>
      <c r="G3263" s="26">
        <f>IF(A3263="","",IF(AND(ISNUMBER(B3263),B3263&lt;&gt;0),1,0))</f>
        <v>0</v>
      </c>
      <c r="H3263" s="25">
        <f>IF(E3263="","",(E3263*4+3+cfgDeslocamento)/48)</f>
        <v>0</v>
      </c>
    </row>
    <row r="3264" spans="1:8">
      <c r="A3264" s="24"/>
      <c r="B3264" s="19"/>
      <c r="C3264" s="25">
        <f>IF(D3264="","",D3264/48)</f>
        <v>0</v>
      </c>
      <c r="D3264" s="26">
        <f>IF(A3264="","",ROUND((A3264-cfgDefasagem/1440)*48,0))</f>
        <v>0</v>
      </c>
      <c r="E3264" s="26">
        <f>IF(D3264="","",INT((D3264-cfgDeslocamento)/4))</f>
        <v>0</v>
      </c>
      <c r="F3264" s="26">
        <f>IF(D3264="","",MOD(D3264-cfgDeslocamento,4)+1)</f>
        <v>0</v>
      </c>
      <c r="G3264" s="26">
        <f>IF(A3264="","",IF(AND(ISNUMBER(B3264),B3264&lt;&gt;0),1,0))</f>
        <v>0</v>
      </c>
      <c r="H3264" s="25">
        <f>IF(E3264="","",(E3264*4+3+cfgDeslocamento)/48)</f>
        <v>0</v>
      </c>
    </row>
    <row r="3265" spans="1:8">
      <c r="A3265" s="24"/>
      <c r="B3265" s="19"/>
      <c r="C3265" s="25">
        <f>IF(D3265="","",D3265/48)</f>
        <v>0</v>
      </c>
      <c r="D3265" s="26">
        <f>IF(A3265="","",ROUND((A3265-cfgDefasagem/1440)*48,0))</f>
        <v>0</v>
      </c>
      <c r="E3265" s="26">
        <f>IF(D3265="","",INT((D3265-cfgDeslocamento)/4))</f>
        <v>0</v>
      </c>
      <c r="F3265" s="26">
        <f>IF(D3265="","",MOD(D3265-cfgDeslocamento,4)+1)</f>
        <v>0</v>
      </c>
      <c r="G3265" s="26">
        <f>IF(A3265="","",IF(AND(ISNUMBER(B3265),B3265&lt;&gt;0),1,0))</f>
        <v>0</v>
      </c>
      <c r="H3265" s="25">
        <f>IF(E3265="","",(E3265*4+3+cfgDeslocamento)/48)</f>
        <v>0</v>
      </c>
    </row>
    <row r="3266" spans="1:8">
      <c r="A3266" s="24"/>
      <c r="B3266" s="19"/>
      <c r="C3266" s="25">
        <f>IF(D3266="","",D3266/48)</f>
        <v>0</v>
      </c>
      <c r="D3266" s="26">
        <f>IF(A3266="","",ROUND((A3266-cfgDefasagem/1440)*48,0))</f>
        <v>0</v>
      </c>
      <c r="E3266" s="26">
        <f>IF(D3266="","",INT((D3266-cfgDeslocamento)/4))</f>
        <v>0</v>
      </c>
      <c r="F3266" s="26">
        <f>IF(D3266="","",MOD(D3266-cfgDeslocamento,4)+1)</f>
        <v>0</v>
      </c>
      <c r="G3266" s="26">
        <f>IF(A3266="","",IF(AND(ISNUMBER(B3266),B3266&lt;&gt;0),1,0))</f>
        <v>0</v>
      </c>
      <c r="H3266" s="25">
        <f>IF(E3266="","",(E3266*4+3+cfgDeslocamento)/48)</f>
        <v>0</v>
      </c>
    </row>
    <row r="3267" spans="1:8">
      <c r="A3267" s="24"/>
      <c r="B3267" s="19"/>
      <c r="C3267" s="25">
        <f>IF(D3267="","",D3267/48)</f>
        <v>0</v>
      </c>
      <c r="D3267" s="26">
        <f>IF(A3267="","",ROUND((A3267-cfgDefasagem/1440)*48,0))</f>
        <v>0</v>
      </c>
      <c r="E3267" s="26">
        <f>IF(D3267="","",INT((D3267-cfgDeslocamento)/4))</f>
        <v>0</v>
      </c>
      <c r="F3267" s="26">
        <f>IF(D3267="","",MOD(D3267-cfgDeslocamento,4)+1)</f>
        <v>0</v>
      </c>
      <c r="G3267" s="26">
        <f>IF(A3267="","",IF(AND(ISNUMBER(B3267),B3267&lt;&gt;0),1,0))</f>
        <v>0</v>
      </c>
      <c r="H3267" s="25">
        <f>IF(E3267="","",(E3267*4+3+cfgDeslocamento)/48)</f>
        <v>0</v>
      </c>
    </row>
    <row r="3268" spans="1:8">
      <c r="A3268" s="24"/>
      <c r="B3268" s="19"/>
      <c r="C3268" s="25">
        <f>IF(D3268="","",D3268/48)</f>
        <v>0</v>
      </c>
      <c r="D3268" s="26">
        <f>IF(A3268="","",ROUND((A3268-cfgDefasagem/1440)*48,0))</f>
        <v>0</v>
      </c>
      <c r="E3268" s="26">
        <f>IF(D3268="","",INT((D3268-cfgDeslocamento)/4))</f>
        <v>0</v>
      </c>
      <c r="F3268" s="26">
        <f>IF(D3268="","",MOD(D3268-cfgDeslocamento,4)+1)</f>
        <v>0</v>
      </c>
      <c r="G3268" s="26">
        <f>IF(A3268="","",IF(AND(ISNUMBER(B3268),B3268&lt;&gt;0),1,0))</f>
        <v>0</v>
      </c>
      <c r="H3268" s="25">
        <f>IF(E3268="","",(E3268*4+3+cfgDeslocamento)/48)</f>
        <v>0</v>
      </c>
    </row>
    <row r="3269" spans="1:8">
      <c r="A3269" s="24"/>
      <c r="B3269" s="19"/>
      <c r="C3269" s="25">
        <f>IF(D3269="","",D3269/48)</f>
        <v>0</v>
      </c>
      <c r="D3269" s="26">
        <f>IF(A3269="","",ROUND((A3269-cfgDefasagem/1440)*48,0))</f>
        <v>0</v>
      </c>
      <c r="E3269" s="26">
        <f>IF(D3269="","",INT((D3269-cfgDeslocamento)/4))</f>
        <v>0</v>
      </c>
      <c r="F3269" s="26">
        <f>IF(D3269="","",MOD(D3269-cfgDeslocamento,4)+1)</f>
        <v>0</v>
      </c>
      <c r="G3269" s="26">
        <f>IF(A3269="","",IF(AND(ISNUMBER(B3269),B3269&lt;&gt;0),1,0))</f>
        <v>0</v>
      </c>
      <c r="H3269" s="25">
        <f>IF(E3269="","",(E3269*4+3+cfgDeslocamento)/48)</f>
        <v>0</v>
      </c>
    </row>
    <row r="3270" spans="1:8">
      <c r="A3270" s="24"/>
      <c r="B3270" s="19"/>
      <c r="C3270" s="25">
        <f>IF(D3270="","",D3270/48)</f>
        <v>0</v>
      </c>
      <c r="D3270" s="26">
        <f>IF(A3270="","",ROUND((A3270-cfgDefasagem/1440)*48,0))</f>
        <v>0</v>
      </c>
      <c r="E3270" s="26">
        <f>IF(D3270="","",INT((D3270-cfgDeslocamento)/4))</f>
        <v>0</v>
      </c>
      <c r="F3270" s="26">
        <f>IF(D3270="","",MOD(D3270-cfgDeslocamento,4)+1)</f>
        <v>0</v>
      </c>
      <c r="G3270" s="26">
        <f>IF(A3270="","",IF(AND(ISNUMBER(B3270),B3270&lt;&gt;0),1,0))</f>
        <v>0</v>
      </c>
      <c r="H3270" s="25">
        <f>IF(E3270="","",(E3270*4+3+cfgDeslocamento)/48)</f>
        <v>0</v>
      </c>
    </row>
    <row r="3271" spans="1:8">
      <c r="A3271" s="24"/>
      <c r="B3271" s="19"/>
      <c r="C3271" s="25">
        <f>IF(D3271="","",D3271/48)</f>
        <v>0</v>
      </c>
      <c r="D3271" s="26">
        <f>IF(A3271="","",ROUND((A3271-cfgDefasagem/1440)*48,0))</f>
        <v>0</v>
      </c>
      <c r="E3271" s="26">
        <f>IF(D3271="","",INT((D3271-cfgDeslocamento)/4))</f>
        <v>0</v>
      </c>
      <c r="F3271" s="26">
        <f>IF(D3271="","",MOD(D3271-cfgDeslocamento,4)+1)</f>
        <v>0</v>
      </c>
      <c r="G3271" s="26">
        <f>IF(A3271="","",IF(AND(ISNUMBER(B3271),B3271&lt;&gt;0),1,0))</f>
        <v>0</v>
      </c>
      <c r="H3271" s="25">
        <f>IF(E3271="","",(E3271*4+3+cfgDeslocamento)/48)</f>
        <v>0</v>
      </c>
    </row>
    <row r="3272" spans="1:8">
      <c r="A3272" s="24"/>
      <c r="B3272" s="19"/>
      <c r="C3272" s="25">
        <f>IF(D3272="","",D3272/48)</f>
        <v>0</v>
      </c>
      <c r="D3272" s="26">
        <f>IF(A3272="","",ROUND((A3272-cfgDefasagem/1440)*48,0))</f>
        <v>0</v>
      </c>
      <c r="E3272" s="26">
        <f>IF(D3272="","",INT((D3272-cfgDeslocamento)/4))</f>
        <v>0</v>
      </c>
      <c r="F3272" s="26">
        <f>IF(D3272="","",MOD(D3272-cfgDeslocamento,4)+1)</f>
        <v>0</v>
      </c>
      <c r="G3272" s="26">
        <f>IF(A3272="","",IF(AND(ISNUMBER(B3272),B3272&lt;&gt;0),1,0))</f>
        <v>0</v>
      </c>
      <c r="H3272" s="25">
        <f>IF(E3272="","",(E3272*4+3+cfgDeslocamento)/48)</f>
        <v>0</v>
      </c>
    </row>
    <row r="3273" spans="1:8">
      <c r="A3273" s="24"/>
      <c r="B3273" s="19"/>
      <c r="C3273" s="25">
        <f>IF(D3273="","",D3273/48)</f>
        <v>0</v>
      </c>
      <c r="D3273" s="26">
        <f>IF(A3273="","",ROUND((A3273-cfgDefasagem/1440)*48,0))</f>
        <v>0</v>
      </c>
      <c r="E3273" s="26">
        <f>IF(D3273="","",INT((D3273-cfgDeslocamento)/4))</f>
        <v>0</v>
      </c>
      <c r="F3273" s="26">
        <f>IF(D3273="","",MOD(D3273-cfgDeslocamento,4)+1)</f>
        <v>0</v>
      </c>
      <c r="G3273" s="26">
        <f>IF(A3273="","",IF(AND(ISNUMBER(B3273),B3273&lt;&gt;0),1,0))</f>
        <v>0</v>
      </c>
      <c r="H3273" s="25">
        <f>IF(E3273="","",(E3273*4+3+cfgDeslocamento)/48)</f>
        <v>0</v>
      </c>
    </row>
    <row r="3274" spans="1:8">
      <c r="A3274" s="24"/>
      <c r="B3274" s="19"/>
      <c r="C3274" s="25">
        <f>IF(D3274="","",D3274/48)</f>
        <v>0</v>
      </c>
      <c r="D3274" s="26">
        <f>IF(A3274="","",ROUND((A3274-cfgDefasagem/1440)*48,0))</f>
        <v>0</v>
      </c>
      <c r="E3274" s="26">
        <f>IF(D3274="","",INT((D3274-cfgDeslocamento)/4))</f>
        <v>0</v>
      </c>
      <c r="F3274" s="26">
        <f>IF(D3274="","",MOD(D3274-cfgDeslocamento,4)+1)</f>
        <v>0</v>
      </c>
      <c r="G3274" s="26">
        <f>IF(A3274="","",IF(AND(ISNUMBER(B3274),B3274&lt;&gt;0),1,0))</f>
        <v>0</v>
      </c>
      <c r="H3274" s="25">
        <f>IF(E3274="","",(E3274*4+3+cfgDeslocamento)/48)</f>
        <v>0</v>
      </c>
    </row>
    <row r="3275" spans="1:8">
      <c r="A3275" s="24"/>
      <c r="B3275" s="19"/>
      <c r="C3275" s="25">
        <f>IF(D3275="","",D3275/48)</f>
        <v>0</v>
      </c>
      <c r="D3275" s="26">
        <f>IF(A3275="","",ROUND((A3275-cfgDefasagem/1440)*48,0))</f>
        <v>0</v>
      </c>
      <c r="E3275" s="26">
        <f>IF(D3275="","",INT((D3275-cfgDeslocamento)/4))</f>
        <v>0</v>
      </c>
      <c r="F3275" s="26">
        <f>IF(D3275="","",MOD(D3275-cfgDeslocamento,4)+1)</f>
        <v>0</v>
      </c>
      <c r="G3275" s="26">
        <f>IF(A3275="","",IF(AND(ISNUMBER(B3275),B3275&lt;&gt;0),1,0))</f>
        <v>0</v>
      </c>
      <c r="H3275" s="25">
        <f>IF(E3275="","",(E3275*4+3+cfgDeslocamento)/48)</f>
        <v>0</v>
      </c>
    </row>
    <row r="3276" spans="1:8">
      <c r="A3276" s="24"/>
      <c r="B3276" s="19"/>
      <c r="C3276" s="25">
        <f>IF(D3276="","",D3276/48)</f>
        <v>0</v>
      </c>
      <c r="D3276" s="26">
        <f>IF(A3276="","",ROUND((A3276-cfgDefasagem/1440)*48,0))</f>
        <v>0</v>
      </c>
      <c r="E3276" s="26">
        <f>IF(D3276="","",INT((D3276-cfgDeslocamento)/4))</f>
        <v>0</v>
      </c>
      <c r="F3276" s="26">
        <f>IF(D3276="","",MOD(D3276-cfgDeslocamento,4)+1)</f>
        <v>0</v>
      </c>
      <c r="G3276" s="26">
        <f>IF(A3276="","",IF(AND(ISNUMBER(B3276),B3276&lt;&gt;0),1,0))</f>
        <v>0</v>
      </c>
      <c r="H3276" s="25">
        <f>IF(E3276="","",(E3276*4+3+cfgDeslocamento)/48)</f>
        <v>0</v>
      </c>
    </row>
    <row r="3277" spans="1:8">
      <c r="A3277" s="24"/>
      <c r="B3277" s="19"/>
      <c r="C3277" s="25">
        <f>IF(D3277="","",D3277/48)</f>
        <v>0</v>
      </c>
      <c r="D3277" s="26">
        <f>IF(A3277="","",ROUND((A3277-cfgDefasagem/1440)*48,0))</f>
        <v>0</v>
      </c>
      <c r="E3277" s="26">
        <f>IF(D3277="","",INT((D3277-cfgDeslocamento)/4))</f>
        <v>0</v>
      </c>
      <c r="F3277" s="26">
        <f>IF(D3277="","",MOD(D3277-cfgDeslocamento,4)+1)</f>
        <v>0</v>
      </c>
      <c r="G3277" s="26">
        <f>IF(A3277="","",IF(AND(ISNUMBER(B3277),B3277&lt;&gt;0),1,0))</f>
        <v>0</v>
      </c>
      <c r="H3277" s="25">
        <f>IF(E3277="","",(E3277*4+3+cfgDeslocamento)/48)</f>
        <v>0</v>
      </c>
    </row>
    <row r="3278" spans="1:8">
      <c r="A3278" s="24"/>
      <c r="B3278" s="19"/>
      <c r="C3278" s="25">
        <f>IF(D3278="","",D3278/48)</f>
        <v>0</v>
      </c>
      <c r="D3278" s="26">
        <f>IF(A3278="","",ROUND((A3278-cfgDefasagem/1440)*48,0))</f>
        <v>0</v>
      </c>
      <c r="E3278" s="26">
        <f>IF(D3278="","",INT((D3278-cfgDeslocamento)/4))</f>
        <v>0</v>
      </c>
      <c r="F3278" s="26">
        <f>IF(D3278="","",MOD(D3278-cfgDeslocamento,4)+1)</f>
        <v>0</v>
      </c>
      <c r="G3278" s="26">
        <f>IF(A3278="","",IF(AND(ISNUMBER(B3278),B3278&lt;&gt;0),1,0))</f>
        <v>0</v>
      </c>
      <c r="H3278" s="25">
        <f>IF(E3278="","",(E3278*4+3+cfgDeslocamento)/48)</f>
        <v>0</v>
      </c>
    </row>
    <row r="3279" spans="1:8">
      <c r="A3279" s="24"/>
      <c r="B3279" s="19"/>
      <c r="C3279" s="25">
        <f>IF(D3279="","",D3279/48)</f>
        <v>0</v>
      </c>
      <c r="D3279" s="26">
        <f>IF(A3279="","",ROUND((A3279-cfgDefasagem/1440)*48,0))</f>
        <v>0</v>
      </c>
      <c r="E3279" s="26">
        <f>IF(D3279="","",INT((D3279-cfgDeslocamento)/4))</f>
        <v>0</v>
      </c>
      <c r="F3279" s="26">
        <f>IF(D3279="","",MOD(D3279-cfgDeslocamento,4)+1)</f>
        <v>0</v>
      </c>
      <c r="G3279" s="26">
        <f>IF(A3279="","",IF(AND(ISNUMBER(B3279),B3279&lt;&gt;0),1,0))</f>
        <v>0</v>
      </c>
      <c r="H3279" s="25">
        <f>IF(E3279="","",(E3279*4+3+cfgDeslocamento)/48)</f>
        <v>0</v>
      </c>
    </row>
    <row r="3280" spans="1:8">
      <c r="A3280" s="24"/>
      <c r="B3280" s="19"/>
      <c r="C3280" s="25">
        <f>IF(D3280="","",D3280/48)</f>
        <v>0</v>
      </c>
      <c r="D3280" s="26">
        <f>IF(A3280="","",ROUND((A3280-cfgDefasagem/1440)*48,0))</f>
        <v>0</v>
      </c>
      <c r="E3280" s="26">
        <f>IF(D3280="","",INT((D3280-cfgDeslocamento)/4))</f>
        <v>0</v>
      </c>
      <c r="F3280" s="26">
        <f>IF(D3280="","",MOD(D3280-cfgDeslocamento,4)+1)</f>
        <v>0</v>
      </c>
      <c r="G3280" s="26">
        <f>IF(A3280="","",IF(AND(ISNUMBER(B3280),B3280&lt;&gt;0),1,0))</f>
        <v>0</v>
      </c>
      <c r="H3280" s="25">
        <f>IF(E3280="","",(E3280*4+3+cfgDeslocamento)/48)</f>
        <v>0</v>
      </c>
    </row>
    <row r="3281" spans="1:8">
      <c r="A3281" s="24"/>
      <c r="B3281" s="19"/>
      <c r="C3281" s="25">
        <f>IF(D3281="","",D3281/48)</f>
        <v>0</v>
      </c>
      <c r="D3281" s="26">
        <f>IF(A3281="","",ROUND((A3281-cfgDefasagem/1440)*48,0))</f>
        <v>0</v>
      </c>
      <c r="E3281" s="26">
        <f>IF(D3281="","",INT((D3281-cfgDeslocamento)/4))</f>
        <v>0</v>
      </c>
      <c r="F3281" s="26">
        <f>IF(D3281="","",MOD(D3281-cfgDeslocamento,4)+1)</f>
        <v>0</v>
      </c>
      <c r="G3281" s="26">
        <f>IF(A3281="","",IF(AND(ISNUMBER(B3281),B3281&lt;&gt;0),1,0))</f>
        <v>0</v>
      </c>
      <c r="H3281" s="25">
        <f>IF(E3281="","",(E3281*4+3+cfgDeslocamento)/48)</f>
        <v>0</v>
      </c>
    </row>
    <row r="3282" spans="1:8">
      <c r="A3282" s="24"/>
      <c r="B3282" s="19"/>
      <c r="C3282" s="25">
        <f>IF(D3282="","",D3282/48)</f>
        <v>0</v>
      </c>
      <c r="D3282" s="26">
        <f>IF(A3282="","",ROUND((A3282-cfgDefasagem/1440)*48,0))</f>
        <v>0</v>
      </c>
      <c r="E3282" s="26">
        <f>IF(D3282="","",INT((D3282-cfgDeslocamento)/4))</f>
        <v>0</v>
      </c>
      <c r="F3282" s="26">
        <f>IF(D3282="","",MOD(D3282-cfgDeslocamento,4)+1)</f>
        <v>0</v>
      </c>
      <c r="G3282" s="26">
        <f>IF(A3282="","",IF(AND(ISNUMBER(B3282),B3282&lt;&gt;0),1,0))</f>
        <v>0</v>
      </c>
      <c r="H3282" s="25">
        <f>IF(E3282="","",(E3282*4+3+cfgDeslocamento)/48)</f>
        <v>0</v>
      </c>
    </row>
    <row r="3283" spans="1:8">
      <c r="A3283" s="24"/>
      <c r="B3283" s="19"/>
      <c r="C3283" s="25">
        <f>IF(D3283="","",D3283/48)</f>
        <v>0</v>
      </c>
      <c r="D3283" s="26">
        <f>IF(A3283="","",ROUND((A3283-cfgDefasagem/1440)*48,0))</f>
        <v>0</v>
      </c>
      <c r="E3283" s="26">
        <f>IF(D3283="","",INT((D3283-cfgDeslocamento)/4))</f>
        <v>0</v>
      </c>
      <c r="F3283" s="26">
        <f>IF(D3283="","",MOD(D3283-cfgDeslocamento,4)+1)</f>
        <v>0</v>
      </c>
      <c r="G3283" s="26">
        <f>IF(A3283="","",IF(AND(ISNUMBER(B3283),B3283&lt;&gt;0),1,0))</f>
        <v>0</v>
      </c>
      <c r="H3283" s="25">
        <f>IF(E3283="","",(E3283*4+3+cfgDeslocamento)/48)</f>
        <v>0</v>
      </c>
    </row>
    <row r="3284" spans="1:8">
      <c r="A3284" s="24"/>
      <c r="B3284" s="19"/>
      <c r="C3284" s="25">
        <f>IF(D3284="","",D3284/48)</f>
        <v>0</v>
      </c>
      <c r="D3284" s="26">
        <f>IF(A3284="","",ROUND((A3284-cfgDefasagem/1440)*48,0))</f>
        <v>0</v>
      </c>
      <c r="E3284" s="26">
        <f>IF(D3284="","",INT((D3284-cfgDeslocamento)/4))</f>
        <v>0</v>
      </c>
      <c r="F3284" s="26">
        <f>IF(D3284="","",MOD(D3284-cfgDeslocamento,4)+1)</f>
        <v>0</v>
      </c>
      <c r="G3284" s="26">
        <f>IF(A3284="","",IF(AND(ISNUMBER(B3284),B3284&lt;&gt;0),1,0))</f>
        <v>0</v>
      </c>
      <c r="H3284" s="25">
        <f>IF(E3284="","",(E3284*4+3+cfgDeslocamento)/48)</f>
        <v>0</v>
      </c>
    </row>
    <row r="3285" spans="1:8">
      <c r="A3285" s="24"/>
      <c r="B3285" s="19"/>
      <c r="C3285" s="25">
        <f>IF(D3285="","",D3285/48)</f>
        <v>0</v>
      </c>
      <c r="D3285" s="26">
        <f>IF(A3285="","",ROUND((A3285-cfgDefasagem/1440)*48,0))</f>
        <v>0</v>
      </c>
      <c r="E3285" s="26">
        <f>IF(D3285="","",INT((D3285-cfgDeslocamento)/4))</f>
        <v>0</v>
      </c>
      <c r="F3285" s="26">
        <f>IF(D3285="","",MOD(D3285-cfgDeslocamento,4)+1)</f>
        <v>0</v>
      </c>
      <c r="G3285" s="26">
        <f>IF(A3285="","",IF(AND(ISNUMBER(B3285),B3285&lt;&gt;0),1,0))</f>
        <v>0</v>
      </c>
      <c r="H3285" s="25">
        <f>IF(E3285="","",(E3285*4+3+cfgDeslocamento)/48)</f>
        <v>0</v>
      </c>
    </row>
    <row r="3286" spans="1:8">
      <c r="A3286" s="24"/>
      <c r="B3286" s="19"/>
      <c r="C3286" s="25">
        <f>IF(D3286="","",D3286/48)</f>
        <v>0</v>
      </c>
      <c r="D3286" s="26">
        <f>IF(A3286="","",ROUND((A3286-cfgDefasagem/1440)*48,0))</f>
        <v>0</v>
      </c>
      <c r="E3286" s="26">
        <f>IF(D3286="","",INT((D3286-cfgDeslocamento)/4))</f>
        <v>0</v>
      </c>
      <c r="F3286" s="26">
        <f>IF(D3286="","",MOD(D3286-cfgDeslocamento,4)+1)</f>
        <v>0</v>
      </c>
      <c r="G3286" s="26">
        <f>IF(A3286="","",IF(AND(ISNUMBER(B3286),B3286&lt;&gt;0),1,0))</f>
        <v>0</v>
      </c>
      <c r="H3286" s="25">
        <f>IF(E3286="","",(E3286*4+3+cfgDeslocamento)/48)</f>
        <v>0</v>
      </c>
    </row>
    <row r="3287" spans="1:8">
      <c r="A3287" s="24"/>
      <c r="B3287" s="19"/>
      <c r="C3287" s="25">
        <f>IF(D3287="","",D3287/48)</f>
        <v>0</v>
      </c>
      <c r="D3287" s="26">
        <f>IF(A3287="","",ROUND((A3287-cfgDefasagem/1440)*48,0))</f>
        <v>0</v>
      </c>
      <c r="E3287" s="26">
        <f>IF(D3287="","",INT((D3287-cfgDeslocamento)/4))</f>
        <v>0</v>
      </c>
      <c r="F3287" s="26">
        <f>IF(D3287="","",MOD(D3287-cfgDeslocamento,4)+1)</f>
        <v>0</v>
      </c>
      <c r="G3287" s="26">
        <f>IF(A3287="","",IF(AND(ISNUMBER(B3287),B3287&lt;&gt;0),1,0))</f>
        <v>0</v>
      </c>
      <c r="H3287" s="25">
        <f>IF(E3287="","",(E3287*4+3+cfgDeslocamento)/48)</f>
        <v>0</v>
      </c>
    </row>
    <row r="3288" spans="1:8">
      <c r="A3288" s="24"/>
      <c r="B3288" s="19"/>
      <c r="C3288" s="25">
        <f>IF(D3288="","",D3288/48)</f>
        <v>0</v>
      </c>
      <c r="D3288" s="26">
        <f>IF(A3288="","",ROUND((A3288-cfgDefasagem/1440)*48,0))</f>
        <v>0</v>
      </c>
      <c r="E3288" s="26">
        <f>IF(D3288="","",INT((D3288-cfgDeslocamento)/4))</f>
        <v>0</v>
      </c>
      <c r="F3288" s="26">
        <f>IF(D3288="","",MOD(D3288-cfgDeslocamento,4)+1)</f>
        <v>0</v>
      </c>
      <c r="G3288" s="26">
        <f>IF(A3288="","",IF(AND(ISNUMBER(B3288),B3288&lt;&gt;0),1,0))</f>
        <v>0</v>
      </c>
      <c r="H3288" s="25">
        <f>IF(E3288="","",(E3288*4+3+cfgDeslocamento)/48)</f>
        <v>0</v>
      </c>
    </row>
    <row r="3289" spans="1:8">
      <c r="A3289" s="24"/>
      <c r="B3289" s="19"/>
      <c r="C3289" s="25">
        <f>IF(D3289="","",D3289/48)</f>
        <v>0</v>
      </c>
      <c r="D3289" s="26">
        <f>IF(A3289="","",ROUND((A3289-cfgDefasagem/1440)*48,0))</f>
        <v>0</v>
      </c>
      <c r="E3289" s="26">
        <f>IF(D3289="","",INT((D3289-cfgDeslocamento)/4))</f>
        <v>0</v>
      </c>
      <c r="F3289" s="26">
        <f>IF(D3289="","",MOD(D3289-cfgDeslocamento,4)+1)</f>
        <v>0</v>
      </c>
      <c r="G3289" s="26">
        <f>IF(A3289="","",IF(AND(ISNUMBER(B3289),B3289&lt;&gt;0),1,0))</f>
        <v>0</v>
      </c>
      <c r="H3289" s="25">
        <f>IF(E3289="","",(E3289*4+3+cfgDeslocamento)/48)</f>
        <v>0</v>
      </c>
    </row>
    <row r="3290" spans="1:8">
      <c r="A3290" s="24"/>
      <c r="B3290" s="19"/>
      <c r="C3290" s="25">
        <f>IF(D3290="","",D3290/48)</f>
        <v>0</v>
      </c>
      <c r="D3290" s="26">
        <f>IF(A3290="","",ROUND((A3290-cfgDefasagem/1440)*48,0))</f>
        <v>0</v>
      </c>
      <c r="E3290" s="26">
        <f>IF(D3290="","",INT((D3290-cfgDeslocamento)/4))</f>
        <v>0</v>
      </c>
      <c r="F3290" s="26">
        <f>IF(D3290="","",MOD(D3290-cfgDeslocamento,4)+1)</f>
        <v>0</v>
      </c>
      <c r="G3290" s="26">
        <f>IF(A3290="","",IF(AND(ISNUMBER(B3290),B3290&lt;&gt;0),1,0))</f>
        <v>0</v>
      </c>
      <c r="H3290" s="25">
        <f>IF(E3290="","",(E3290*4+3+cfgDeslocamento)/48)</f>
        <v>0</v>
      </c>
    </row>
    <row r="3291" spans="1:8">
      <c r="A3291" s="24"/>
      <c r="B3291" s="19"/>
      <c r="C3291" s="25">
        <f>IF(D3291="","",D3291/48)</f>
        <v>0</v>
      </c>
      <c r="D3291" s="26">
        <f>IF(A3291="","",ROUND((A3291-cfgDefasagem/1440)*48,0))</f>
        <v>0</v>
      </c>
      <c r="E3291" s="26">
        <f>IF(D3291="","",INT((D3291-cfgDeslocamento)/4))</f>
        <v>0</v>
      </c>
      <c r="F3291" s="26">
        <f>IF(D3291="","",MOD(D3291-cfgDeslocamento,4)+1)</f>
        <v>0</v>
      </c>
      <c r="G3291" s="26">
        <f>IF(A3291="","",IF(AND(ISNUMBER(B3291),B3291&lt;&gt;0),1,0))</f>
        <v>0</v>
      </c>
      <c r="H3291" s="25">
        <f>IF(E3291="","",(E3291*4+3+cfgDeslocamento)/48)</f>
        <v>0</v>
      </c>
    </row>
    <row r="3292" spans="1:8">
      <c r="A3292" s="24"/>
      <c r="B3292" s="19"/>
      <c r="C3292" s="25">
        <f>IF(D3292="","",D3292/48)</f>
        <v>0</v>
      </c>
      <c r="D3292" s="26">
        <f>IF(A3292="","",ROUND((A3292-cfgDefasagem/1440)*48,0))</f>
        <v>0</v>
      </c>
      <c r="E3292" s="26">
        <f>IF(D3292="","",INT((D3292-cfgDeslocamento)/4))</f>
        <v>0</v>
      </c>
      <c r="F3292" s="26">
        <f>IF(D3292="","",MOD(D3292-cfgDeslocamento,4)+1)</f>
        <v>0</v>
      </c>
      <c r="G3292" s="26">
        <f>IF(A3292="","",IF(AND(ISNUMBER(B3292),B3292&lt;&gt;0),1,0))</f>
        <v>0</v>
      </c>
      <c r="H3292" s="25">
        <f>IF(E3292="","",(E3292*4+3+cfgDeslocamento)/48)</f>
        <v>0</v>
      </c>
    </row>
    <row r="3293" spans="1:8">
      <c r="A3293" s="24"/>
      <c r="B3293" s="19"/>
      <c r="C3293" s="25">
        <f>IF(D3293="","",D3293/48)</f>
        <v>0</v>
      </c>
      <c r="D3293" s="26">
        <f>IF(A3293="","",ROUND((A3293-cfgDefasagem/1440)*48,0))</f>
        <v>0</v>
      </c>
      <c r="E3293" s="26">
        <f>IF(D3293="","",INT((D3293-cfgDeslocamento)/4))</f>
        <v>0</v>
      </c>
      <c r="F3293" s="26">
        <f>IF(D3293="","",MOD(D3293-cfgDeslocamento,4)+1)</f>
        <v>0</v>
      </c>
      <c r="G3293" s="26">
        <f>IF(A3293="","",IF(AND(ISNUMBER(B3293),B3293&lt;&gt;0),1,0))</f>
        <v>0</v>
      </c>
      <c r="H3293" s="25">
        <f>IF(E3293="","",(E3293*4+3+cfgDeslocamento)/48)</f>
        <v>0</v>
      </c>
    </row>
    <row r="3294" spans="1:8">
      <c r="A3294" s="24"/>
      <c r="B3294" s="19"/>
      <c r="C3294" s="25">
        <f>IF(D3294="","",D3294/48)</f>
        <v>0</v>
      </c>
      <c r="D3294" s="26">
        <f>IF(A3294="","",ROUND((A3294-cfgDefasagem/1440)*48,0))</f>
        <v>0</v>
      </c>
      <c r="E3294" s="26">
        <f>IF(D3294="","",INT((D3294-cfgDeslocamento)/4))</f>
        <v>0</v>
      </c>
      <c r="F3294" s="26">
        <f>IF(D3294="","",MOD(D3294-cfgDeslocamento,4)+1)</f>
        <v>0</v>
      </c>
      <c r="G3294" s="26">
        <f>IF(A3294="","",IF(AND(ISNUMBER(B3294),B3294&lt;&gt;0),1,0))</f>
        <v>0</v>
      </c>
      <c r="H3294" s="25">
        <f>IF(E3294="","",(E3294*4+3+cfgDeslocamento)/48)</f>
        <v>0</v>
      </c>
    </row>
    <row r="3295" spans="1:8">
      <c r="A3295" s="24"/>
      <c r="B3295" s="19"/>
      <c r="C3295" s="25">
        <f>IF(D3295="","",D3295/48)</f>
        <v>0</v>
      </c>
      <c r="D3295" s="26">
        <f>IF(A3295="","",ROUND((A3295-cfgDefasagem/1440)*48,0))</f>
        <v>0</v>
      </c>
      <c r="E3295" s="26">
        <f>IF(D3295="","",INT((D3295-cfgDeslocamento)/4))</f>
        <v>0</v>
      </c>
      <c r="F3295" s="26">
        <f>IF(D3295="","",MOD(D3295-cfgDeslocamento,4)+1)</f>
        <v>0</v>
      </c>
      <c r="G3295" s="26">
        <f>IF(A3295="","",IF(AND(ISNUMBER(B3295),B3295&lt;&gt;0),1,0))</f>
        <v>0</v>
      </c>
      <c r="H3295" s="25">
        <f>IF(E3295="","",(E3295*4+3+cfgDeslocamento)/48)</f>
        <v>0</v>
      </c>
    </row>
    <row r="3296" spans="1:8">
      <c r="A3296" s="24"/>
      <c r="B3296" s="19"/>
      <c r="C3296" s="25">
        <f>IF(D3296="","",D3296/48)</f>
        <v>0</v>
      </c>
      <c r="D3296" s="26">
        <f>IF(A3296="","",ROUND((A3296-cfgDefasagem/1440)*48,0))</f>
        <v>0</v>
      </c>
      <c r="E3296" s="26">
        <f>IF(D3296="","",INT((D3296-cfgDeslocamento)/4))</f>
        <v>0</v>
      </c>
      <c r="F3296" s="26">
        <f>IF(D3296="","",MOD(D3296-cfgDeslocamento,4)+1)</f>
        <v>0</v>
      </c>
      <c r="G3296" s="26">
        <f>IF(A3296="","",IF(AND(ISNUMBER(B3296),B3296&lt;&gt;0),1,0))</f>
        <v>0</v>
      </c>
      <c r="H3296" s="25">
        <f>IF(E3296="","",(E3296*4+3+cfgDeslocamento)/48)</f>
        <v>0</v>
      </c>
    </row>
    <row r="3297" spans="1:8">
      <c r="A3297" s="24"/>
      <c r="B3297" s="19"/>
      <c r="C3297" s="25">
        <f>IF(D3297="","",D3297/48)</f>
        <v>0</v>
      </c>
      <c r="D3297" s="26">
        <f>IF(A3297="","",ROUND((A3297-cfgDefasagem/1440)*48,0))</f>
        <v>0</v>
      </c>
      <c r="E3297" s="26">
        <f>IF(D3297="","",INT((D3297-cfgDeslocamento)/4))</f>
        <v>0</v>
      </c>
      <c r="F3297" s="26">
        <f>IF(D3297="","",MOD(D3297-cfgDeslocamento,4)+1)</f>
        <v>0</v>
      </c>
      <c r="G3297" s="26">
        <f>IF(A3297="","",IF(AND(ISNUMBER(B3297),B3297&lt;&gt;0),1,0))</f>
        <v>0</v>
      </c>
      <c r="H3297" s="25">
        <f>IF(E3297="","",(E3297*4+3+cfgDeslocamento)/48)</f>
        <v>0</v>
      </c>
    </row>
    <row r="3298" spans="1:8">
      <c r="A3298" s="24"/>
      <c r="B3298" s="19"/>
      <c r="C3298" s="25">
        <f>IF(D3298="","",D3298/48)</f>
        <v>0</v>
      </c>
      <c r="D3298" s="26">
        <f>IF(A3298="","",ROUND((A3298-cfgDefasagem/1440)*48,0))</f>
        <v>0</v>
      </c>
      <c r="E3298" s="26">
        <f>IF(D3298="","",INT((D3298-cfgDeslocamento)/4))</f>
        <v>0</v>
      </c>
      <c r="F3298" s="26">
        <f>IF(D3298="","",MOD(D3298-cfgDeslocamento,4)+1)</f>
        <v>0</v>
      </c>
      <c r="G3298" s="26">
        <f>IF(A3298="","",IF(AND(ISNUMBER(B3298),B3298&lt;&gt;0),1,0))</f>
        <v>0</v>
      </c>
      <c r="H3298" s="25">
        <f>IF(E3298="","",(E3298*4+3+cfgDeslocamento)/48)</f>
        <v>0</v>
      </c>
    </row>
    <row r="3299" spans="1:8">
      <c r="A3299" s="24"/>
      <c r="B3299" s="19"/>
      <c r="C3299" s="25">
        <f>IF(D3299="","",D3299/48)</f>
        <v>0</v>
      </c>
      <c r="D3299" s="26">
        <f>IF(A3299="","",ROUND((A3299-cfgDefasagem/1440)*48,0))</f>
        <v>0</v>
      </c>
      <c r="E3299" s="26">
        <f>IF(D3299="","",INT((D3299-cfgDeslocamento)/4))</f>
        <v>0</v>
      </c>
      <c r="F3299" s="26">
        <f>IF(D3299="","",MOD(D3299-cfgDeslocamento,4)+1)</f>
        <v>0</v>
      </c>
      <c r="G3299" s="26">
        <f>IF(A3299="","",IF(AND(ISNUMBER(B3299),B3299&lt;&gt;0),1,0))</f>
        <v>0</v>
      </c>
      <c r="H3299" s="25">
        <f>IF(E3299="","",(E3299*4+3+cfgDeslocamento)/48)</f>
        <v>0</v>
      </c>
    </row>
    <row r="3300" spans="1:8">
      <c r="A3300" s="24"/>
      <c r="B3300" s="19"/>
      <c r="C3300" s="25">
        <f>IF(D3300="","",D3300/48)</f>
        <v>0</v>
      </c>
      <c r="D3300" s="26">
        <f>IF(A3300="","",ROUND((A3300-cfgDefasagem/1440)*48,0))</f>
        <v>0</v>
      </c>
      <c r="E3300" s="26">
        <f>IF(D3300="","",INT((D3300-cfgDeslocamento)/4))</f>
        <v>0</v>
      </c>
      <c r="F3300" s="26">
        <f>IF(D3300="","",MOD(D3300-cfgDeslocamento,4)+1)</f>
        <v>0</v>
      </c>
      <c r="G3300" s="26">
        <f>IF(A3300="","",IF(AND(ISNUMBER(B3300),B3300&lt;&gt;0),1,0))</f>
        <v>0</v>
      </c>
      <c r="H3300" s="25">
        <f>IF(E3300="","",(E3300*4+3+cfgDeslocamento)/48)</f>
        <v>0</v>
      </c>
    </row>
    <row r="3301" spans="1:8">
      <c r="A3301" s="24"/>
      <c r="B3301" s="19"/>
      <c r="C3301" s="25">
        <f>IF(D3301="","",D3301/48)</f>
        <v>0</v>
      </c>
      <c r="D3301" s="26">
        <f>IF(A3301="","",ROUND((A3301-cfgDefasagem/1440)*48,0))</f>
        <v>0</v>
      </c>
      <c r="E3301" s="26">
        <f>IF(D3301="","",INT((D3301-cfgDeslocamento)/4))</f>
        <v>0</v>
      </c>
      <c r="F3301" s="26">
        <f>IF(D3301="","",MOD(D3301-cfgDeslocamento,4)+1)</f>
        <v>0</v>
      </c>
      <c r="G3301" s="26">
        <f>IF(A3301="","",IF(AND(ISNUMBER(B3301),B3301&lt;&gt;0),1,0))</f>
        <v>0</v>
      </c>
      <c r="H3301" s="25">
        <f>IF(E3301="","",(E3301*4+3+cfgDeslocamento)/48)</f>
        <v>0</v>
      </c>
    </row>
    <row r="3302" spans="1:8">
      <c r="A3302" s="24"/>
      <c r="B3302" s="19"/>
      <c r="C3302" s="25">
        <f>IF(D3302="","",D3302/48)</f>
        <v>0</v>
      </c>
      <c r="D3302" s="26">
        <f>IF(A3302="","",ROUND((A3302-cfgDefasagem/1440)*48,0))</f>
        <v>0</v>
      </c>
      <c r="E3302" s="26">
        <f>IF(D3302="","",INT((D3302-cfgDeslocamento)/4))</f>
        <v>0</v>
      </c>
      <c r="F3302" s="26">
        <f>IF(D3302="","",MOD(D3302-cfgDeslocamento,4)+1)</f>
        <v>0</v>
      </c>
      <c r="G3302" s="26">
        <f>IF(A3302="","",IF(AND(ISNUMBER(B3302),B3302&lt;&gt;0),1,0))</f>
        <v>0</v>
      </c>
      <c r="H3302" s="25">
        <f>IF(E3302="","",(E3302*4+3+cfgDeslocamento)/48)</f>
        <v>0</v>
      </c>
    </row>
    <row r="3303" spans="1:8">
      <c r="A3303" s="24"/>
      <c r="B3303" s="19"/>
      <c r="C3303" s="25">
        <f>IF(D3303="","",D3303/48)</f>
        <v>0</v>
      </c>
      <c r="D3303" s="26">
        <f>IF(A3303="","",ROUND((A3303-cfgDefasagem/1440)*48,0))</f>
        <v>0</v>
      </c>
      <c r="E3303" s="26">
        <f>IF(D3303="","",INT((D3303-cfgDeslocamento)/4))</f>
        <v>0</v>
      </c>
      <c r="F3303" s="26">
        <f>IF(D3303="","",MOD(D3303-cfgDeslocamento,4)+1)</f>
        <v>0</v>
      </c>
      <c r="G3303" s="26">
        <f>IF(A3303="","",IF(AND(ISNUMBER(B3303),B3303&lt;&gt;0),1,0))</f>
        <v>0</v>
      </c>
      <c r="H3303" s="25">
        <f>IF(E3303="","",(E3303*4+3+cfgDeslocamento)/48)</f>
        <v>0</v>
      </c>
    </row>
    <row r="3304" spans="1:8">
      <c r="A3304" s="24"/>
      <c r="B3304" s="19"/>
      <c r="C3304" s="25">
        <f>IF(D3304="","",D3304/48)</f>
        <v>0</v>
      </c>
      <c r="D3304" s="26">
        <f>IF(A3304="","",ROUND((A3304-cfgDefasagem/1440)*48,0))</f>
        <v>0</v>
      </c>
      <c r="E3304" s="26">
        <f>IF(D3304="","",INT((D3304-cfgDeslocamento)/4))</f>
        <v>0</v>
      </c>
      <c r="F3304" s="26">
        <f>IF(D3304="","",MOD(D3304-cfgDeslocamento,4)+1)</f>
        <v>0</v>
      </c>
      <c r="G3304" s="26">
        <f>IF(A3304="","",IF(AND(ISNUMBER(B3304),B3304&lt;&gt;0),1,0))</f>
        <v>0</v>
      </c>
      <c r="H3304" s="25">
        <f>IF(E3304="","",(E3304*4+3+cfgDeslocamento)/48)</f>
        <v>0</v>
      </c>
    </row>
    <row r="3305" spans="1:8">
      <c r="A3305" s="24"/>
      <c r="B3305" s="19"/>
      <c r="C3305" s="25">
        <f>IF(D3305="","",D3305/48)</f>
        <v>0</v>
      </c>
      <c r="D3305" s="26">
        <f>IF(A3305="","",ROUND((A3305-cfgDefasagem/1440)*48,0))</f>
        <v>0</v>
      </c>
      <c r="E3305" s="26">
        <f>IF(D3305="","",INT((D3305-cfgDeslocamento)/4))</f>
        <v>0</v>
      </c>
      <c r="F3305" s="26">
        <f>IF(D3305="","",MOD(D3305-cfgDeslocamento,4)+1)</f>
        <v>0</v>
      </c>
      <c r="G3305" s="26">
        <f>IF(A3305="","",IF(AND(ISNUMBER(B3305),B3305&lt;&gt;0),1,0))</f>
        <v>0</v>
      </c>
      <c r="H3305" s="25">
        <f>IF(E3305="","",(E3305*4+3+cfgDeslocamento)/48)</f>
        <v>0</v>
      </c>
    </row>
    <row r="3306" spans="1:8">
      <c r="A3306" s="24"/>
      <c r="B3306" s="19"/>
      <c r="C3306" s="25">
        <f>IF(D3306="","",D3306/48)</f>
        <v>0</v>
      </c>
      <c r="D3306" s="26">
        <f>IF(A3306="","",ROUND((A3306-cfgDefasagem/1440)*48,0))</f>
        <v>0</v>
      </c>
      <c r="E3306" s="26">
        <f>IF(D3306="","",INT((D3306-cfgDeslocamento)/4))</f>
        <v>0</v>
      </c>
      <c r="F3306" s="26">
        <f>IF(D3306="","",MOD(D3306-cfgDeslocamento,4)+1)</f>
        <v>0</v>
      </c>
      <c r="G3306" s="26">
        <f>IF(A3306="","",IF(AND(ISNUMBER(B3306),B3306&lt;&gt;0),1,0))</f>
        <v>0</v>
      </c>
      <c r="H3306" s="25">
        <f>IF(E3306="","",(E3306*4+3+cfgDeslocamento)/48)</f>
        <v>0</v>
      </c>
    </row>
    <row r="3307" spans="1:8">
      <c r="A3307" s="24"/>
      <c r="B3307" s="19"/>
      <c r="C3307" s="25">
        <f>IF(D3307="","",D3307/48)</f>
        <v>0</v>
      </c>
      <c r="D3307" s="26">
        <f>IF(A3307="","",ROUND((A3307-cfgDefasagem/1440)*48,0))</f>
        <v>0</v>
      </c>
      <c r="E3307" s="26">
        <f>IF(D3307="","",INT((D3307-cfgDeslocamento)/4))</f>
        <v>0</v>
      </c>
      <c r="F3307" s="26">
        <f>IF(D3307="","",MOD(D3307-cfgDeslocamento,4)+1)</f>
        <v>0</v>
      </c>
      <c r="G3307" s="26">
        <f>IF(A3307="","",IF(AND(ISNUMBER(B3307),B3307&lt;&gt;0),1,0))</f>
        <v>0</v>
      </c>
      <c r="H3307" s="25">
        <f>IF(E3307="","",(E3307*4+3+cfgDeslocamento)/48)</f>
        <v>0</v>
      </c>
    </row>
    <row r="3308" spans="1:8">
      <c r="A3308" s="24"/>
      <c r="B3308" s="19"/>
      <c r="C3308" s="25">
        <f>IF(D3308="","",D3308/48)</f>
        <v>0</v>
      </c>
      <c r="D3308" s="26">
        <f>IF(A3308="","",ROUND((A3308-cfgDefasagem/1440)*48,0))</f>
        <v>0</v>
      </c>
      <c r="E3308" s="26">
        <f>IF(D3308="","",INT((D3308-cfgDeslocamento)/4))</f>
        <v>0</v>
      </c>
      <c r="F3308" s="26">
        <f>IF(D3308="","",MOD(D3308-cfgDeslocamento,4)+1)</f>
        <v>0</v>
      </c>
      <c r="G3308" s="26">
        <f>IF(A3308="","",IF(AND(ISNUMBER(B3308),B3308&lt;&gt;0),1,0))</f>
        <v>0</v>
      </c>
      <c r="H3308" s="25">
        <f>IF(E3308="","",(E3308*4+3+cfgDeslocamento)/48)</f>
        <v>0</v>
      </c>
    </row>
    <row r="3309" spans="1:8">
      <c r="A3309" s="24"/>
      <c r="B3309" s="19"/>
      <c r="C3309" s="25">
        <f>IF(D3309="","",D3309/48)</f>
        <v>0</v>
      </c>
      <c r="D3309" s="26">
        <f>IF(A3309="","",ROUND((A3309-cfgDefasagem/1440)*48,0))</f>
        <v>0</v>
      </c>
      <c r="E3309" s="26">
        <f>IF(D3309="","",INT((D3309-cfgDeslocamento)/4))</f>
        <v>0</v>
      </c>
      <c r="F3309" s="26">
        <f>IF(D3309="","",MOD(D3309-cfgDeslocamento,4)+1)</f>
        <v>0</v>
      </c>
      <c r="G3309" s="26">
        <f>IF(A3309="","",IF(AND(ISNUMBER(B3309),B3309&lt;&gt;0),1,0))</f>
        <v>0</v>
      </c>
      <c r="H3309" s="25">
        <f>IF(E3309="","",(E3309*4+3+cfgDeslocamento)/48)</f>
        <v>0</v>
      </c>
    </row>
    <row r="3310" spans="1:8">
      <c r="A3310" s="24"/>
      <c r="B3310" s="19"/>
      <c r="C3310" s="25">
        <f>IF(D3310="","",D3310/48)</f>
        <v>0</v>
      </c>
      <c r="D3310" s="26">
        <f>IF(A3310="","",ROUND((A3310-cfgDefasagem/1440)*48,0))</f>
        <v>0</v>
      </c>
      <c r="E3310" s="26">
        <f>IF(D3310="","",INT((D3310-cfgDeslocamento)/4))</f>
        <v>0</v>
      </c>
      <c r="F3310" s="26">
        <f>IF(D3310="","",MOD(D3310-cfgDeslocamento,4)+1)</f>
        <v>0</v>
      </c>
      <c r="G3310" s="26">
        <f>IF(A3310="","",IF(AND(ISNUMBER(B3310),B3310&lt;&gt;0),1,0))</f>
        <v>0</v>
      </c>
      <c r="H3310" s="25">
        <f>IF(E3310="","",(E3310*4+3+cfgDeslocamento)/48)</f>
        <v>0</v>
      </c>
    </row>
    <row r="3311" spans="1:8">
      <c r="A3311" s="24"/>
      <c r="B3311" s="19"/>
      <c r="C3311" s="25">
        <f>IF(D3311="","",D3311/48)</f>
        <v>0</v>
      </c>
      <c r="D3311" s="26">
        <f>IF(A3311="","",ROUND((A3311-cfgDefasagem/1440)*48,0))</f>
        <v>0</v>
      </c>
      <c r="E3311" s="26">
        <f>IF(D3311="","",INT((D3311-cfgDeslocamento)/4))</f>
        <v>0</v>
      </c>
      <c r="F3311" s="26">
        <f>IF(D3311="","",MOD(D3311-cfgDeslocamento,4)+1)</f>
        <v>0</v>
      </c>
      <c r="G3311" s="26">
        <f>IF(A3311="","",IF(AND(ISNUMBER(B3311),B3311&lt;&gt;0),1,0))</f>
        <v>0</v>
      </c>
      <c r="H3311" s="25">
        <f>IF(E3311="","",(E3311*4+3+cfgDeslocamento)/48)</f>
        <v>0</v>
      </c>
    </row>
    <row r="3312" spans="1:8">
      <c r="A3312" s="24"/>
      <c r="B3312" s="19"/>
      <c r="C3312" s="25">
        <f>IF(D3312="","",D3312/48)</f>
        <v>0</v>
      </c>
      <c r="D3312" s="26">
        <f>IF(A3312="","",ROUND((A3312-cfgDefasagem/1440)*48,0))</f>
        <v>0</v>
      </c>
      <c r="E3312" s="26">
        <f>IF(D3312="","",INT((D3312-cfgDeslocamento)/4))</f>
        <v>0</v>
      </c>
      <c r="F3312" s="26">
        <f>IF(D3312="","",MOD(D3312-cfgDeslocamento,4)+1)</f>
        <v>0</v>
      </c>
      <c r="G3312" s="26">
        <f>IF(A3312="","",IF(AND(ISNUMBER(B3312),B3312&lt;&gt;0),1,0))</f>
        <v>0</v>
      </c>
      <c r="H3312" s="25">
        <f>IF(E3312="","",(E3312*4+3+cfgDeslocamento)/48)</f>
        <v>0</v>
      </c>
    </row>
    <row r="3313" spans="1:8">
      <c r="A3313" s="24"/>
      <c r="B3313" s="19"/>
      <c r="C3313" s="25">
        <f>IF(D3313="","",D3313/48)</f>
        <v>0</v>
      </c>
      <c r="D3313" s="26">
        <f>IF(A3313="","",ROUND((A3313-cfgDefasagem/1440)*48,0))</f>
        <v>0</v>
      </c>
      <c r="E3313" s="26">
        <f>IF(D3313="","",INT((D3313-cfgDeslocamento)/4))</f>
        <v>0</v>
      </c>
      <c r="F3313" s="26">
        <f>IF(D3313="","",MOD(D3313-cfgDeslocamento,4)+1)</f>
        <v>0</v>
      </c>
      <c r="G3313" s="26">
        <f>IF(A3313="","",IF(AND(ISNUMBER(B3313),B3313&lt;&gt;0),1,0))</f>
        <v>0</v>
      </c>
      <c r="H3313" s="25">
        <f>IF(E3313="","",(E3313*4+3+cfgDeslocamento)/48)</f>
        <v>0</v>
      </c>
    </row>
    <row r="3314" spans="1:8">
      <c r="A3314" s="24"/>
      <c r="B3314" s="19"/>
      <c r="C3314" s="25">
        <f>IF(D3314="","",D3314/48)</f>
        <v>0</v>
      </c>
      <c r="D3314" s="26">
        <f>IF(A3314="","",ROUND((A3314-cfgDefasagem/1440)*48,0))</f>
        <v>0</v>
      </c>
      <c r="E3314" s="26">
        <f>IF(D3314="","",INT((D3314-cfgDeslocamento)/4))</f>
        <v>0</v>
      </c>
      <c r="F3314" s="26">
        <f>IF(D3314="","",MOD(D3314-cfgDeslocamento,4)+1)</f>
        <v>0</v>
      </c>
      <c r="G3314" s="26">
        <f>IF(A3314="","",IF(AND(ISNUMBER(B3314),B3314&lt;&gt;0),1,0))</f>
        <v>0</v>
      </c>
      <c r="H3314" s="25">
        <f>IF(E3314="","",(E3314*4+3+cfgDeslocamento)/48)</f>
        <v>0</v>
      </c>
    </row>
    <row r="3315" spans="1:8">
      <c r="A3315" s="24"/>
      <c r="B3315" s="19"/>
      <c r="C3315" s="25">
        <f>IF(D3315="","",D3315/48)</f>
        <v>0</v>
      </c>
      <c r="D3315" s="26">
        <f>IF(A3315="","",ROUND((A3315-cfgDefasagem/1440)*48,0))</f>
        <v>0</v>
      </c>
      <c r="E3315" s="26">
        <f>IF(D3315="","",INT((D3315-cfgDeslocamento)/4))</f>
        <v>0</v>
      </c>
      <c r="F3315" s="26">
        <f>IF(D3315="","",MOD(D3315-cfgDeslocamento,4)+1)</f>
        <v>0</v>
      </c>
      <c r="G3315" s="26">
        <f>IF(A3315="","",IF(AND(ISNUMBER(B3315),B3315&lt;&gt;0),1,0))</f>
        <v>0</v>
      </c>
      <c r="H3315" s="25">
        <f>IF(E3315="","",(E3315*4+3+cfgDeslocamento)/48)</f>
        <v>0</v>
      </c>
    </row>
    <row r="3316" spans="1:8">
      <c r="A3316" s="24"/>
      <c r="B3316" s="19"/>
      <c r="C3316" s="25">
        <f>IF(D3316="","",D3316/48)</f>
        <v>0</v>
      </c>
      <c r="D3316" s="26">
        <f>IF(A3316="","",ROUND((A3316-cfgDefasagem/1440)*48,0))</f>
        <v>0</v>
      </c>
      <c r="E3316" s="26">
        <f>IF(D3316="","",INT((D3316-cfgDeslocamento)/4))</f>
        <v>0</v>
      </c>
      <c r="F3316" s="26">
        <f>IF(D3316="","",MOD(D3316-cfgDeslocamento,4)+1)</f>
        <v>0</v>
      </c>
      <c r="G3316" s="26">
        <f>IF(A3316="","",IF(AND(ISNUMBER(B3316),B3316&lt;&gt;0),1,0))</f>
        <v>0</v>
      </c>
      <c r="H3316" s="25">
        <f>IF(E3316="","",(E3316*4+3+cfgDeslocamento)/48)</f>
        <v>0</v>
      </c>
    </row>
    <row r="3317" spans="1:8">
      <c r="A3317" s="24"/>
      <c r="B3317" s="19"/>
      <c r="C3317" s="25">
        <f>IF(D3317="","",D3317/48)</f>
        <v>0</v>
      </c>
      <c r="D3317" s="26">
        <f>IF(A3317="","",ROUND((A3317-cfgDefasagem/1440)*48,0))</f>
        <v>0</v>
      </c>
      <c r="E3317" s="26">
        <f>IF(D3317="","",INT((D3317-cfgDeslocamento)/4))</f>
        <v>0</v>
      </c>
      <c r="F3317" s="26">
        <f>IF(D3317="","",MOD(D3317-cfgDeslocamento,4)+1)</f>
        <v>0</v>
      </c>
      <c r="G3317" s="26">
        <f>IF(A3317="","",IF(AND(ISNUMBER(B3317),B3317&lt;&gt;0),1,0))</f>
        <v>0</v>
      </c>
      <c r="H3317" s="25">
        <f>IF(E3317="","",(E3317*4+3+cfgDeslocamento)/48)</f>
        <v>0</v>
      </c>
    </row>
    <row r="3318" spans="1:8">
      <c r="A3318" s="24"/>
      <c r="B3318" s="19"/>
      <c r="C3318" s="25">
        <f>IF(D3318="","",D3318/48)</f>
        <v>0</v>
      </c>
      <c r="D3318" s="26">
        <f>IF(A3318="","",ROUND((A3318-cfgDefasagem/1440)*48,0))</f>
        <v>0</v>
      </c>
      <c r="E3318" s="26">
        <f>IF(D3318="","",INT((D3318-cfgDeslocamento)/4))</f>
        <v>0</v>
      </c>
      <c r="F3318" s="26">
        <f>IF(D3318="","",MOD(D3318-cfgDeslocamento,4)+1)</f>
        <v>0</v>
      </c>
      <c r="G3318" s="26">
        <f>IF(A3318="","",IF(AND(ISNUMBER(B3318),B3318&lt;&gt;0),1,0))</f>
        <v>0</v>
      </c>
      <c r="H3318" s="25">
        <f>IF(E3318="","",(E3318*4+3+cfgDeslocamento)/48)</f>
        <v>0</v>
      </c>
    </row>
    <row r="3319" spans="1:8">
      <c r="A3319" s="24"/>
      <c r="B3319" s="19"/>
      <c r="C3319" s="25">
        <f>IF(D3319="","",D3319/48)</f>
        <v>0</v>
      </c>
      <c r="D3319" s="26">
        <f>IF(A3319="","",ROUND((A3319-cfgDefasagem/1440)*48,0))</f>
        <v>0</v>
      </c>
      <c r="E3319" s="26">
        <f>IF(D3319="","",INT((D3319-cfgDeslocamento)/4))</f>
        <v>0</v>
      </c>
      <c r="F3319" s="26">
        <f>IF(D3319="","",MOD(D3319-cfgDeslocamento,4)+1)</f>
        <v>0</v>
      </c>
      <c r="G3319" s="26">
        <f>IF(A3319="","",IF(AND(ISNUMBER(B3319),B3319&lt;&gt;0),1,0))</f>
        <v>0</v>
      </c>
      <c r="H3319" s="25">
        <f>IF(E3319="","",(E3319*4+3+cfgDeslocamento)/48)</f>
        <v>0</v>
      </c>
    </row>
    <row r="3320" spans="1:8">
      <c r="A3320" s="24"/>
      <c r="B3320" s="19"/>
      <c r="C3320" s="25">
        <f>IF(D3320="","",D3320/48)</f>
        <v>0</v>
      </c>
      <c r="D3320" s="26">
        <f>IF(A3320="","",ROUND((A3320-cfgDefasagem/1440)*48,0))</f>
        <v>0</v>
      </c>
      <c r="E3320" s="26">
        <f>IF(D3320="","",INT((D3320-cfgDeslocamento)/4))</f>
        <v>0</v>
      </c>
      <c r="F3320" s="26">
        <f>IF(D3320="","",MOD(D3320-cfgDeslocamento,4)+1)</f>
        <v>0</v>
      </c>
      <c r="G3320" s="26">
        <f>IF(A3320="","",IF(AND(ISNUMBER(B3320),B3320&lt;&gt;0),1,0))</f>
        <v>0</v>
      </c>
      <c r="H3320" s="25">
        <f>IF(E3320="","",(E3320*4+3+cfgDeslocamento)/48)</f>
        <v>0</v>
      </c>
    </row>
    <row r="3321" spans="1:8">
      <c r="A3321" s="24"/>
      <c r="B3321" s="19"/>
      <c r="C3321" s="25">
        <f>IF(D3321="","",D3321/48)</f>
        <v>0</v>
      </c>
      <c r="D3321" s="26">
        <f>IF(A3321="","",ROUND((A3321-cfgDefasagem/1440)*48,0))</f>
        <v>0</v>
      </c>
      <c r="E3321" s="26">
        <f>IF(D3321="","",INT((D3321-cfgDeslocamento)/4))</f>
        <v>0</v>
      </c>
      <c r="F3321" s="26">
        <f>IF(D3321="","",MOD(D3321-cfgDeslocamento,4)+1)</f>
        <v>0</v>
      </c>
      <c r="G3321" s="26">
        <f>IF(A3321="","",IF(AND(ISNUMBER(B3321),B3321&lt;&gt;0),1,0))</f>
        <v>0</v>
      </c>
      <c r="H3321" s="25">
        <f>IF(E3321="","",(E3321*4+3+cfgDeslocamento)/48)</f>
        <v>0</v>
      </c>
    </row>
    <row r="3322" spans="1:8">
      <c r="A3322" s="24"/>
      <c r="B3322" s="19"/>
      <c r="C3322" s="25">
        <f>IF(D3322="","",D3322/48)</f>
        <v>0</v>
      </c>
      <c r="D3322" s="26">
        <f>IF(A3322="","",ROUND((A3322-cfgDefasagem/1440)*48,0))</f>
        <v>0</v>
      </c>
      <c r="E3322" s="26">
        <f>IF(D3322="","",INT((D3322-cfgDeslocamento)/4))</f>
        <v>0</v>
      </c>
      <c r="F3322" s="26">
        <f>IF(D3322="","",MOD(D3322-cfgDeslocamento,4)+1)</f>
        <v>0</v>
      </c>
      <c r="G3322" s="26">
        <f>IF(A3322="","",IF(AND(ISNUMBER(B3322),B3322&lt;&gt;0),1,0))</f>
        <v>0</v>
      </c>
      <c r="H3322" s="25">
        <f>IF(E3322="","",(E3322*4+3+cfgDeslocamento)/48)</f>
        <v>0</v>
      </c>
    </row>
    <row r="3323" spans="1:8">
      <c r="A3323" s="24"/>
      <c r="B3323" s="19"/>
      <c r="C3323" s="25">
        <f>IF(D3323="","",D3323/48)</f>
        <v>0</v>
      </c>
      <c r="D3323" s="26">
        <f>IF(A3323="","",ROUND((A3323-cfgDefasagem/1440)*48,0))</f>
        <v>0</v>
      </c>
      <c r="E3323" s="26">
        <f>IF(D3323="","",INT((D3323-cfgDeslocamento)/4))</f>
        <v>0</v>
      </c>
      <c r="F3323" s="26">
        <f>IF(D3323="","",MOD(D3323-cfgDeslocamento,4)+1)</f>
        <v>0</v>
      </c>
      <c r="G3323" s="26">
        <f>IF(A3323="","",IF(AND(ISNUMBER(B3323),B3323&lt;&gt;0),1,0))</f>
        <v>0</v>
      </c>
      <c r="H3323" s="25">
        <f>IF(E3323="","",(E3323*4+3+cfgDeslocamento)/48)</f>
        <v>0</v>
      </c>
    </row>
    <row r="3324" spans="1:8">
      <c r="A3324" s="24"/>
      <c r="B3324" s="19"/>
      <c r="C3324" s="25">
        <f>IF(D3324="","",D3324/48)</f>
        <v>0</v>
      </c>
      <c r="D3324" s="26">
        <f>IF(A3324="","",ROUND((A3324-cfgDefasagem/1440)*48,0))</f>
        <v>0</v>
      </c>
      <c r="E3324" s="26">
        <f>IF(D3324="","",INT((D3324-cfgDeslocamento)/4))</f>
        <v>0</v>
      </c>
      <c r="F3324" s="26">
        <f>IF(D3324="","",MOD(D3324-cfgDeslocamento,4)+1)</f>
        <v>0</v>
      </c>
      <c r="G3324" s="26">
        <f>IF(A3324="","",IF(AND(ISNUMBER(B3324),B3324&lt;&gt;0),1,0))</f>
        <v>0</v>
      </c>
      <c r="H3324" s="25">
        <f>IF(E3324="","",(E3324*4+3+cfgDeslocamento)/48)</f>
        <v>0</v>
      </c>
    </row>
    <row r="3325" spans="1:8">
      <c r="A3325" s="24"/>
      <c r="B3325" s="19"/>
      <c r="C3325" s="25">
        <f>IF(D3325="","",D3325/48)</f>
        <v>0</v>
      </c>
      <c r="D3325" s="26">
        <f>IF(A3325="","",ROUND((A3325-cfgDefasagem/1440)*48,0))</f>
        <v>0</v>
      </c>
      <c r="E3325" s="26">
        <f>IF(D3325="","",INT((D3325-cfgDeslocamento)/4))</f>
        <v>0</v>
      </c>
      <c r="F3325" s="26">
        <f>IF(D3325="","",MOD(D3325-cfgDeslocamento,4)+1)</f>
        <v>0</v>
      </c>
      <c r="G3325" s="26">
        <f>IF(A3325="","",IF(AND(ISNUMBER(B3325),B3325&lt;&gt;0),1,0))</f>
        <v>0</v>
      </c>
      <c r="H3325" s="25">
        <f>IF(E3325="","",(E3325*4+3+cfgDeslocamento)/48)</f>
        <v>0</v>
      </c>
    </row>
    <row r="3326" spans="1:8">
      <c r="A3326" s="24"/>
      <c r="B3326" s="19"/>
      <c r="C3326" s="25">
        <f>IF(D3326="","",D3326/48)</f>
        <v>0</v>
      </c>
      <c r="D3326" s="26">
        <f>IF(A3326="","",ROUND((A3326-cfgDefasagem/1440)*48,0))</f>
        <v>0</v>
      </c>
      <c r="E3326" s="26">
        <f>IF(D3326="","",INT((D3326-cfgDeslocamento)/4))</f>
        <v>0</v>
      </c>
      <c r="F3326" s="26">
        <f>IF(D3326="","",MOD(D3326-cfgDeslocamento,4)+1)</f>
        <v>0</v>
      </c>
      <c r="G3326" s="26">
        <f>IF(A3326="","",IF(AND(ISNUMBER(B3326),B3326&lt;&gt;0),1,0))</f>
        <v>0</v>
      </c>
      <c r="H3326" s="25">
        <f>IF(E3326="","",(E3326*4+3+cfgDeslocamento)/48)</f>
        <v>0</v>
      </c>
    </row>
    <row r="3327" spans="1:8">
      <c r="A3327" s="24"/>
      <c r="B3327" s="19"/>
      <c r="C3327" s="25">
        <f>IF(D3327="","",D3327/48)</f>
        <v>0</v>
      </c>
      <c r="D3327" s="26">
        <f>IF(A3327="","",ROUND((A3327-cfgDefasagem/1440)*48,0))</f>
        <v>0</v>
      </c>
      <c r="E3327" s="26">
        <f>IF(D3327="","",INT((D3327-cfgDeslocamento)/4))</f>
        <v>0</v>
      </c>
      <c r="F3327" s="26">
        <f>IF(D3327="","",MOD(D3327-cfgDeslocamento,4)+1)</f>
        <v>0</v>
      </c>
      <c r="G3327" s="26">
        <f>IF(A3327="","",IF(AND(ISNUMBER(B3327),B3327&lt;&gt;0),1,0))</f>
        <v>0</v>
      </c>
      <c r="H3327" s="25">
        <f>IF(E3327="","",(E3327*4+3+cfgDeslocamento)/48)</f>
        <v>0</v>
      </c>
    </row>
    <row r="3328" spans="1:8">
      <c r="A3328" s="24"/>
      <c r="B3328" s="19"/>
      <c r="C3328" s="25">
        <f>IF(D3328="","",D3328/48)</f>
        <v>0</v>
      </c>
      <c r="D3328" s="26">
        <f>IF(A3328="","",ROUND((A3328-cfgDefasagem/1440)*48,0))</f>
        <v>0</v>
      </c>
      <c r="E3328" s="26">
        <f>IF(D3328="","",INT((D3328-cfgDeslocamento)/4))</f>
        <v>0</v>
      </c>
      <c r="F3328" s="26">
        <f>IF(D3328="","",MOD(D3328-cfgDeslocamento,4)+1)</f>
        <v>0</v>
      </c>
      <c r="G3328" s="26">
        <f>IF(A3328="","",IF(AND(ISNUMBER(B3328),B3328&lt;&gt;0),1,0))</f>
        <v>0</v>
      </c>
      <c r="H3328" s="25">
        <f>IF(E3328="","",(E3328*4+3+cfgDeslocamento)/48)</f>
        <v>0</v>
      </c>
    </row>
    <row r="3329" spans="1:8">
      <c r="A3329" s="24"/>
      <c r="B3329" s="19"/>
      <c r="C3329" s="25">
        <f>IF(D3329="","",D3329/48)</f>
        <v>0</v>
      </c>
      <c r="D3329" s="26">
        <f>IF(A3329="","",ROUND((A3329-cfgDefasagem/1440)*48,0))</f>
        <v>0</v>
      </c>
      <c r="E3329" s="26">
        <f>IF(D3329="","",INT((D3329-cfgDeslocamento)/4))</f>
        <v>0</v>
      </c>
      <c r="F3329" s="26">
        <f>IF(D3329="","",MOD(D3329-cfgDeslocamento,4)+1)</f>
        <v>0</v>
      </c>
      <c r="G3329" s="26">
        <f>IF(A3329="","",IF(AND(ISNUMBER(B3329),B3329&lt;&gt;0),1,0))</f>
        <v>0</v>
      </c>
      <c r="H3329" s="25">
        <f>IF(E3329="","",(E3329*4+3+cfgDeslocamento)/48)</f>
        <v>0</v>
      </c>
    </row>
    <row r="3330" spans="1:8">
      <c r="A3330" s="24"/>
      <c r="B3330" s="19"/>
      <c r="C3330" s="25">
        <f>IF(D3330="","",D3330/48)</f>
        <v>0</v>
      </c>
      <c r="D3330" s="26">
        <f>IF(A3330="","",ROUND((A3330-cfgDefasagem/1440)*48,0))</f>
        <v>0</v>
      </c>
      <c r="E3330" s="26">
        <f>IF(D3330="","",INT((D3330-cfgDeslocamento)/4))</f>
        <v>0</v>
      </c>
      <c r="F3330" s="26">
        <f>IF(D3330="","",MOD(D3330-cfgDeslocamento,4)+1)</f>
        <v>0</v>
      </c>
      <c r="G3330" s="26">
        <f>IF(A3330="","",IF(AND(ISNUMBER(B3330),B3330&lt;&gt;0),1,0))</f>
        <v>0</v>
      </c>
      <c r="H3330" s="25">
        <f>IF(E3330="","",(E3330*4+3+cfgDeslocamento)/48)</f>
        <v>0</v>
      </c>
    </row>
    <row r="3331" spans="1:8">
      <c r="A3331" s="24"/>
      <c r="B3331" s="19"/>
      <c r="C3331" s="25">
        <f>IF(D3331="","",D3331/48)</f>
        <v>0</v>
      </c>
      <c r="D3331" s="26">
        <f>IF(A3331="","",ROUND((A3331-cfgDefasagem/1440)*48,0))</f>
        <v>0</v>
      </c>
      <c r="E3331" s="26">
        <f>IF(D3331="","",INT((D3331-cfgDeslocamento)/4))</f>
        <v>0</v>
      </c>
      <c r="F3331" s="26">
        <f>IF(D3331="","",MOD(D3331-cfgDeslocamento,4)+1)</f>
        <v>0</v>
      </c>
      <c r="G3331" s="26">
        <f>IF(A3331="","",IF(AND(ISNUMBER(B3331),B3331&lt;&gt;0),1,0))</f>
        <v>0</v>
      </c>
      <c r="H3331" s="25">
        <f>IF(E3331="","",(E3331*4+3+cfgDeslocamento)/48)</f>
        <v>0</v>
      </c>
    </row>
    <row r="3332" spans="1:8">
      <c r="A3332" s="24"/>
      <c r="B3332" s="19"/>
      <c r="C3332" s="25">
        <f>IF(D3332="","",D3332/48)</f>
        <v>0</v>
      </c>
      <c r="D3332" s="26">
        <f>IF(A3332="","",ROUND((A3332-cfgDefasagem/1440)*48,0))</f>
        <v>0</v>
      </c>
      <c r="E3332" s="26">
        <f>IF(D3332="","",INT((D3332-cfgDeslocamento)/4))</f>
        <v>0</v>
      </c>
      <c r="F3332" s="26">
        <f>IF(D3332="","",MOD(D3332-cfgDeslocamento,4)+1)</f>
        <v>0</v>
      </c>
      <c r="G3332" s="26">
        <f>IF(A3332="","",IF(AND(ISNUMBER(B3332),B3332&lt;&gt;0),1,0))</f>
        <v>0</v>
      </c>
      <c r="H3332" s="25">
        <f>IF(E3332="","",(E3332*4+3+cfgDeslocamento)/48)</f>
        <v>0</v>
      </c>
    </row>
    <row r="3333" spans="1:8">
      <c r="A3333" s="24"/>
      <c r="B3333" s="19"/>
      <c r="C3333" s="25">
        <f>IF(D3333="","",D3333/48)</f>
        <v>0</v>
      </c>
      <c r="D3333" s="26">
        <f>IF(A3333="","",ROUND((A3333-cfgDefasagem/1440)*48,0))</f>
        <v>0</v>
      </c>
      <c r="E3333" s="26">
        <f>IF(D3333="","",INT((D3333-cfgDeslocamento)/4))</f>
        <v>0</v>
      </c>
      <c r="F3333" s="26">
        <f>IF(D3333="","",MOD(D3333-cfgDeslocamento,4)+1)</f>
        <v>0</v>
      </c>
      <c r="G3333" s="26">
        <f>IF(A3333="","",IF(AND(ISNUMBER(B3333),B3333&lt;&gt;0),1,0))</f>
        <v>0</v>
      </c>
      <c r="H3333" s="25">
        <f>IF(E3333="","",(E3333*4+3+cfgDeslocamento)/48)</f>
        <v>0</v>
      </c>
    </row>
    <row r="3334" spans="1:8">
      <c r="A3334" s="24"/>
      <c r="B3334" s="19"/>
      <c r="C3334" s="25">
        <f>IF(D3334="","",D3334/48)</f>
        <v>0</v>
      </c>
      <c r="D3334" s="26">
        <f>IF(A3334="","",ROUND((A3334-cfgDefasagem/1440)*48,0))</f>
        <v>0</v>
      </c>
      <c r="E3334" s="26">
        <f>IF(D3334="","",INT((D3334-cfgDeslocamento)/4))</f>
        <v>0</v>
      </c>
      <c r="F3334" s="26">
        <f>IF(D3334="","",MOD(D3334-cfgDeslocamento,4)+1)</f>
        <v>0</v>
      </c>
      <c r="G3334" s="26">
        <f>IF(A3334="","",IF(AND(ISNUMBER(B3334),B3334&lt;&gt;0),1,0))</f>
        <v>0</v>
      </c>
      <c r="H3334" s="25">
        <f>IF(E3334="","",(E3334*4+3+cfgDeslocamento)/48)</f>
        <v>0</v>
      </c>
    </row>
    <row r="3335" spans="1:8">
      <c r="A3335" s="24"/>
      <c r="B3335" s="19"/>
      <c r="C3335" s="25">
        <f>IF(D3335="","",D3335/48)</f>
        <v>0</v>
      </c>
      <c r="D3335" s="26">
        <f>IF(A3335="","",ROUND((A3335-cfgDefasagem/1440)*48,0))</f>
        <v>0</v>
      </c>
      <c r="E3335" s="26">
        <f>IF(D3335="","",INT((D3335-cfgDeslocamento)/4))</f>
        <v>0</v>
      </c>
      <c r="F3335" s="26">
        <f>IF(D3335="","",MOD(D3335-cfgDeslocamento,4)+1)</f>
        <v>0</v>
      </c>
      <c r="G3335" s="26">
        <f>IF(A3335="","",IF(AND(ISNUMBER(B3335),B3335&lt;&gt;0),1,0))</f>
        <v>0</v>
      </c>
      <c r="H3335" s="25">
        <f>IF(E3335="","",(E3335*4+3+cfgDeslocamento)/48)</f>
        <v>0</v>
      </c>
    </row>
    <row r="3336" spans="1:8">
      <c r="A3336" s="24"/>
      <c r="B3336" s="19"/>
      <c r="C3336" s="25">
        <f>IF(D3336="","",D3336/48)</f>
        <v>0</v>
      </c>
      <c r="D3336" s="26">
        <f>IF(A3336="","",ROUND((A3336-cfgDefasagem/1440)*48,0))</f>
        <v>0</v>
      </c>
      <c r="E3336" s="26">
        <f>IF(D3336="","",INT((D3336-cfgDeslocamento)/4))</f>
        <v>0</v>
      </c>
      <c r="F3336" s="26">
        <f>IF(D3336="","",MOD(D3336-cfgDeslocamento,4)+1)</f>
        <v>0</v>
      </c>
      <c r="G3336" s="26">
        <f>IF(A3336="","",IF(AND(ISNUMBER(B3336),B3336&lt;&gt;0),1,0))</f>
        <v>0</v>
      </c>
      <c r="H3336" s="25">
        <f>IF(E3336="","",(E3336*4+3+cfgDeslocamento)/48)</f>
        <v>0</v>
      </c>
    </row>
    <row r="3337" spans="1:8">
      <c r="A3337" s="24"/>
      <c r="B3337" s="19"/>
      <c r="C3337" s="25">
        <f>IF(D3337="","",D3337/48)</f>
        <v>0</v>
      </c>
      <c r="D3337" s="26">
        <f>IF(A3337="","",ROUND((A3337-cfgDefasagem/1440)*48,0))</f>
        <v>0</v>
      </c>
      <c r="E3337" s="26">
        <f>IF(D3337="","",INT((D3337-cfgDeslocamento)/4))</f>
        <v>0</v>
      </c>
      <c r="F3337" s="26">
        <f>IF(D3337="","",MOD(D3337-cfgDeslocamento,4)+1)</f>
        <v>0</v>
      </c>
      <c r="G3337" s="26">
        <f>IF(A3337="","",IF(AND(ISNUMBER(B3337),B3337&lt;&gt;0),1,0))</f>
        <v>0</v>
      </c>
      <c r="H3337" s="25">
        <f>IF(E3337="","",(E3337*4+3+cfgDeslocamento)/48)</f>
        <v>0</v>
      </c>
    </row>
    <row r="3338" spans="1:8">
      <c r="A3338" s="24"/>
      <c r="B3338" s="19"/>
      <c r="C3338" s="25">
        <f>IF(D3338="","",D3338/48)</f>
        <v>0</v>
      </c>
      <c r="D3338" s="26">
        <f>IF(A3338="","",ROUND((A3338-cfgDefasagem/1440)*48,0))</f>
        <v>0</v>
      </c>
      <c r="E3338" s="26">
        <f>IF(D3338="","",INT((D3338-cfgDeslocamento)/4))</f>
        <v>0</v>
      </c>
      <c r="F3338" s="26">
        <f>IF(D3338="","",MOD(D3338-cfgDeslocamento,4)+1)</f>
        <v>0</v>
      </c>
      <c r="G3338" s="26">
        <f>IF(A3338="","",IF(AND(ISNUMBER(B3338),B3338&lt;&gt;0),1,0))</f>
        <v>0</v>
      </c>
      <c r="H3338" s="25">
        <f>IF(E3338="","",(E3338*4+3+cfgDeslocamento)/48)</f>
        <v>0</v>
      </c>
    </row>
    <row r="3339" spans="1:8">
      <c r="A3339" s="24"/>
      <c r="B3339" s="19"/>
      <c r="C3339" s="25">
        <f>IF(D3339="","",D3339/48)</f>
        <v>0</v>
      </c>
      <c r="D3339" s="26">
        <f>IF(A3339="","",ROUND((A3339-cfgDefasagem/1440)*48,0))</f>
        <v>0</v>
      </c>
      <c r="E3339" s="26">
        <f>IF(D3339="","",INT((D3339-cfgDeslocamento)/4))</f>
        <v>0</v>
      </c>
      <c r="F3339" s="26">
        <f>IF(D3339="","",MOD(D3339-cfgDeslocamento,4)+1)</f>
        <v>0</v>
      </c>
      <c r="G3339" s="26">
        <f>IF(A3339="","",IF(AND(ISNUMBER(B3339),B3339&lt;&gt;0),1,0))</f>
        <v>0</v>
      </c>
      <c r="H3339" s="25">
        <f>IF(E3339="","",(E3339*4+3+cfgDeslocamento)/48)</f>
        <v>0</v>
      </c>
    </row>
    <row r="3340" spans="1:8">
      <c r="A3340" s="24"/>
      <c r="B3340" s="19"/>
      <c r="C3340" s="25">
        <f>IF(D3340="","",D3340/48)</f>
        <v>0</v>
      </c>
      <c r="D3340" s="26">
        <f>IF(A3340="","",ROUND((A3340-cfgDefasagem/1440)*48,0))</f>
        <v>0</v>
      </c>
      <c r="E3340" s="26">
        <f>IF(D3340="","",INT((D3340-cfgDeslocamento)/4))</f>
        <v>0</v>
      </c>
      <c r="F3340" s="26">
        <f>IF(D3340="","",MOD(D3340-cfgDeslocamento,4)+1)</f>
        <v>0</v>
      </c>
      <c r="G3340" s="26">
        <f>IF(A3340="","",IF(AND(ISNUMBER(B3340),B3340&lt;&gt;0),1,0))</f>
        <v>0</v>
      </c>
      <c r="H3340" s="25">
        <f>IF(E3340="","",(E3340*4+3+cfgDeslocamento)/48)</f>
        <v>0</v>
      </c>
    </row>
    <row r="3341" spans="1:8">
      <c r="A3341" s="24"/>
      <c r="B3341" s="19"/>
      <c r="C3341" s="25">
        <f>IF(D3341="","",D3341/48)</f>
        <v>0</v>
      </c>
      <c r="D3341" s="26">
        <f>IF(A3341="","",ROUND((A3341-cfgDefasagem/1440)*48,0))</f>
        <v>0</v>
      </c>
      <c r="E3341" s="26">
        <f>IF(D3341="","",INT((D3341-cfgDeslocamento)/4))</f>
        <v>0</v>
      </c>
      <c r="F3341" s="26">
        <f>IF(D3341="","",MOD(D3341-cfgDeslocamento,4)+1)</f>
        <v>0</v>
      </c>
      <c r="G3341" s="26">
        <f>IF(A3341="","",IF(AND(ISNUMBER(B3341),B3341&lt;&gt;0),1,0))</f>
        <v>0</v>
      </c>
      <c r="H3341" s="25">
        <f>IF(E3341="","",(E3341*4+3+cfgDeslocamento)/48)</f>
        <v>0</v>
      </c>
    </row>
    <row r="3342" spans="1:8">
      <c r="A3342" s="24"/>
      <c r="B3342" s="19"/>
      <c r="C3342" s="25">
        <f>IF(D3342="","",D3342/48)</f>
        <v>0</v>
      </c>
      <c r="D3342" s="26">
        <f>IF(A3342="","",ROUND((A3342-cfgDefasagem/1440)*48,0))</f>
        <v>0</v>
      </c>
      <c r="E3342" s="26">
        <f>IF(D3342="","",INT((D3342-cfgDeslocamento)/4))</f>
        <v>0</v>
      </c>
      <c r="F3342" s="26">
        <f>IF(D3342="","",MOD(D3342-cfgDeslocamento,4)+1)</f>
        <v>0</v>
      </c>
      <c r="G3342" s="26">
        <f>IF(A3342="","",IF(AND(ISNUMBER(B3342),B3342&lt;&gt;0),1,0))</f>
        <v>0</v>
      </c>
      <c r="H3342" s="25">
        <f>IF(E3342="","",(E3342*4+3+cfgDeslocamento)/48)</f>
        <v>0</v>
      </c>
    </row>
    <row r="3343" spans="1:8">
      <c r="A3343" s="24"/>
      <c r="B3343" s="19"/>
      <c r="C3343" s="25">
        <f>IF(D3343="","",D3343/48)</f>
        <v>0</v>
      </c>
      <c r="D3343" s="26">
        <f>IF(A3343="","",ROUND((A3343-cfgDefasagem/1440)*48,0))</f>
        <v>0</v>
      </c>
      <c r="E3343" s="26">
        <f>IF(D3343="","",INT((D3343-cfgDeslocamento)/4))</f>
        <v>0</v>
      </c>
      <c r="F3343" s="26">
        <f>IF(D3343="","",MOD(D3343-cfgDeslocamento,4)+1)</f>
        <v>0</v>
      </c>
      <c r="G3343" s="26">
        <f>IF(A3343="","",IF(AND(ISNUMBER(B3343),B3343&lt;&gt;0),1,0))</f>
        <v>0</v>
      </c>
      <c r="H3343" s="25">
        <f>IF(E3343="","",(E3343*4+3+cfgDeslocamento)/48)</f>
        <v>0</v>
      </c>
    </row>
    <row r="3344" spans="1:8">
      <c r="A3344" s="24"/>
      <c r="B3344" s="19"/>
      <c r="C3344" s="25">
        <f>IF(D3344="","",D3344/48)</f>
        <v>0</v>
      </c>
      <c r="D3344" s="26">
        <f>IF(A3344="","",ROUND((A3344-cfgDefasagem/1440)*48,0))</f>
        <v>0</v>
      </c>
      <c r="E3344" s="26">
        <f>IF(D3344="","",INT((D3344-cfgDeslocamento)/4))</f>
        <v>0</v>
      </c>
      <c r="F3344" s="26">
        <f>IF(D3344="","",MOD(D3344-cfgDeslocamento,4)+1)</f>
        <v>0</v>
      </c>
      <c r="G3344" s="26">
        <f>IF(A3344="","",IF(AND(ISNUMBER(B3344),B3344&lt;&gt;0),1,0))</f>
        <v>0</v>
      </c>
      <c r="H3344" s="25">
        <f>IF(E3344="","",(E3344*4+3+cfgDeslocamento)/48)</f>
        <v>0</v>
      </c>
    </row>
    <row r="3345" spans="1:8">
      <c r="A3345" s="24"/>
      <c r="B3345" s="19"/>
      <c r="C3345" s="25">
        <f>IF(D3345="","",D3345/48)</f>
        <v>0</v>
      </c>
      <c r="D3345" s="26">
        <f>IF(A3345="","",ROUND((A3345-cfgDefasagem/1440)*48,0))</f>
        <v>0</v>
      </c>
      <c r="E3345" s="26">
        <f>IF(D3345="","",INT((D3345-cfgDeslocamento)/4))</f>
        <v>0</v>
      </c>
      <c r="F3345" s="26">
        <f>IF(D3345="","",MOD(D3345-cfgDeslocamento,4)+1)</f>
        <v>0</v>
      </c>
      <c r="G3345" s="26">
        <f>IF(A3345="","",IF(AND(ISNUMBER(B3345),B3345&lt;&gt;0),1,0))</f>
        <v>0</v>
      </c>
      <c r="H3345" s="25">
        <f>IF(E3345="","",(E3345*4+3+cfgDeslocamento)/48)</f>
        <v>0</v>
      </c>
    </row>
    <row r="3346" spans="1:8">
      <c r="A3346" s="24"/>
      <c r="B3346" s="19"/>
      <c r="C3346" s="25">
        <f>IF(D3346="","",D3346/48)</f>
        <v>0</v>
      </c>
      <c r="D3346" s="26">
        <f>IF(A3346="","",ROUND((A3346-cfgDefasagem/1440)*48,0))</f>
        <v>0</v>
      </c>
      <c r="E3346" s="26">
        <f>IF(D3346="","",INT((D3346-cfgDeslocamento)/4))</f>
        <v>0</v>
      </c>
      <c r="F3346" s="26">
        <f>IF(D3346="","",MOD(D3346-cfgDeslocamento,4)+1)</f>
        <v>0</v>
      </c>
      <c r="G3346" s="26">
        <f>IF(A3346="","",IF(AND(ISNUMBER(B3346),B3346&lt;&gt;0),1,0))</f>
        <v>0</v>
      </c>
      <c r="H3346" s="25">
        <f>IF(E3346="","",(E3346*4+3+cfgDeslocamento)/48)</f>
        <v>0</v>
      </c>
    </row>
    <row r="3347" spans="1:8">
      <c r="A3347" s="24"/>
      <c r="B3347" s="19"/>
      <c r="C3347" s="25">
        <f>IF(D3347="","",D3347/48)</f>
        <v>0</v>
      </c>
      <c r="D3347" s="26">
        <f>IF(A3347="","",ROUND((A3347-cfgDefasagem/1440)*48,0))</f>
        <v>0</v>
      </c>
      <c r="E3347" s="26">
        <f>IF(D3347="","",INT((D3347-cfgDeslocamento)/4))</f>
        <v>0</v>
      </c>
      <c r="F3347" s="26">
        <f>IF(D3347="","",MOD(D3347-cfgDeslocamento,4)+1)</f>
        <v>0</v>
      </c>
      <c r="G3347" s="26">
        <f>IF(A3347="","",IF(AND(ISNUMBER(B3347),B3347&lt;&gt;0),1,0))</f>
        <v>0</v>
      </c>
      <c r="H3347" s="25">
        <f>IF(E3347="","",(E3347*4+3+cfgDeslocamento)/48)</f>
        <v>0</v>
      </c>
    </row>
    <row r="3348" spans="1:8">
      <c r="A3348" s="24"/>
      <c r="B3348" s="19"/>
      <c r="C3348" s="25">
        <f>IF(D3348="","",D3348/48)</f>
        <v>0</v>
      </c>
      <c r="D3348" s="26">
        <f>IF(A3348="","",ROUND((A3348-cfgDefasagem/1440)*48,0))</f>
        <v>0</v>
      </c>
      <c r="E3348" s="26">
        <f>IF(D3348="","",INT((D3348-cfgDeslocamento)/4))</f>
        <v>0</v>
      </c>
      <c r="F3348" s="26">
        <f>IF(D3348="","",MOD(D3348-cfgDeslocamento,4)+1)</f>
        <v>0</v>
      </c>
      <c r="G3348" s="26">
        <f>IF(A3348="","",IF(AND(ISNUMBER(B3348),B3348&lt;&gt;0),1,0))</f>
        <v>0</v>
      </c>
      <c r="H3348" s="25">
        <f>IF(E3348="","",(E3348*4+3+cfgDeslocamento)/48)</f>
        <v>0</v>
      </c>
    </row>
    <row r="3349" spans="1:8">
      <c r="A3349" s="24"/>
      <c r="B3349" s="19"/>
      <c r="C3349" s="25">
        <f>IF(D3349="","",D3349/48)</f>
        <v>0</v>
      </c>
      <c r="D3349" s="26">
        <f>IF(A3349="","",ROUND((A3349-cfgDefasagem/1440)*48,0))</f>
        <v>0</v>
      </c>
      <c r="E3349" s="26">
        <f>IF(D3349="","",INT((D3349-cfgDeslocamento)/4))</f>
        <v>0</v>
      </c>
      <c r="F3349" s="26">
        <f>IF(D3349="","",MOD(D3349-cfgDeslocamento,4)+1)</f>
        <v>0</v>
      </c>
      <c r="G3349" s="26">
        <f>IF(A3349="","",IF(AND(ISNUMBER(B3349),B3349&lt;&gt;0),1,0))</f>
        <v>0</v>
      </c>
      <c r="H3349" s="25">
        <f>IF(E3349="","",(E3349*4+3+cfgDeslocamento)/48)</f>
        <v>0</v>
      </c>
    </row>
    <row r="3350" spans="1:8">
      <c r="A3350" s="24"/>
      <c r="B3350" s="19"/>
      <c r="C3350" s="25">
        <f>IF(D3350="","",D3350/48)</f>
        <v>0</v>
      </c>
      <c r="D3350" s="26">
        <f>IF(A3350="","",ROUND((A3350-cfgDefasagem/1440)*48,0))</f>
        <v>0</v>
      </c>
      <c r="E3350" s="26">
        <f>IF(D3350="","",INT((D3350-cfgDeslocamento)/4))</f>
        <v>0</v>
      </c>
      <c r="F3350" s="26">
        <f>IF(D3350="","",MOD(D3350-cfgDeslocamento,4)+1)</f>
        <v>0</v>
      </c>
      <c r="G3350" s="26">
        <f>IF(A3350="","",IF(AND(ISNUMBER(B3350),B3350&lt;&gt;0),1,0))</f>
        <v>0</v>
      </c>
      <c r="H3350" s="25">
        <f>IF(E3350="","",(E3350*4+3+cfgDeslocamento)/48)</f>
        <v>0</v>
      </c>
    </row>
    <row r="3351" spans="1:8">
      <c r="A3351" s="24"/>
      <c r="B3351" s="19"/>
      <c r="C3351" s="25">
        <f>IF(D3351="","",D3351/48)</f>
        <v>0</v>
      </c>
      <c r="D3351" s="26">
        <f>IF(A3351="","",ROUND((A3351-cfgDefasagem/1440)*48,0))</f>
        <v>0</v>
      </c>
      <c r="E3351" s="26">
        <f>IF(D3351="","",INT((D3351-cfgDeslocamento)/4))</f>
        <v>0</v>
      </c>
      <c r="F3351" s="26">
        <f>IF(D3351="","",MOD(D3351-cfgDeslocamento,4)+1)</f>
        <v>0</v>
      </c>
      <c r="G3351" s="26">
        <f>IF(A3351="","",IF(AND(ISNUMBER(B3351),B3351&lt;&gt;0),1,0))</f>
        <v>0</v>
      </c>
      <c r="H3351" s="25">
        <f>IF(E3351="","",(E3351*4+3+cfgDeslocamento)/48)</f>
        <v>0</v>
      </c>
    </row>
    <row r="3352" spans="1:8">
      <c r="A3352" s="24"/>
      <c r="B3352" s="19"/>
      <c r="C3352" s="25">
        <f>IF(D3352="","",D3352/48)</f>
        <v>0</v>
      </c>
      <c r="D3352" s="26">
        <f>IF(A3352="","",ROUND((A3352-cfgDefasagem/1440)*48,0))</f>
        <v>0</v>
      </c>
      <c r="E3352" s="26">
        <f>IF(D3352="","",INT((D3352-cfgDeslocamento)/4))</f>
        <v>0</v>
      </c>
      <c r="F3352" s="26">
        <f>IF(D3352="","",MOD(D3352-cfgDeslocamento,4)+1)</f>
        <v>0</v>
      </c>
      <c r="G3352" s="26">
        <f>IF(A3352="","",IF(AND(ISNUMBER(B3352),B3352&lt;&gt;0),1,0))</f>
        <v>0</v>
      </c>
      <c r="H3352" s="25">
        <f>IF(E3352="","",(E3352*4+3+cfgDeslocamento)/48)</f>
        <v>0</v>
      </c>
    </row>
    <row r="3353" spans="1:8">
      <c r="A3353" s="24"/>
      <c r="B3353" s="19"/>
      <c r="C3353" s="25">
        <f>IF(D3353="","",D3353/48)</f>
        <v>0</v>
      </c>
      <c r="D3353" s="26">
        <f>IF(A3353="","",ROUND((A3353-cfgDefasagem/1440)*48,0))</f>
        <v>0</v>
      </c>
      <c r="E3353" s="26">
        <f>IF(D3353="","",INT((D3353-cfgDeslocamento)/4))</f>
        <v>0</v>
      </c>
      <c r="F3353" s="26">
        <f>IF(D3353="","",MOD(D3353-cfgDeslocamento,4)+1)</f>
        <v>0</v>
      </c>
      <c r="G3353" s="26">
        <f>IF(A3353="","",IF(AND(ISNUMBER(B3353),B3353&lt;&gt;0),1,0))</f>
        <v>0</v>
      </c>
      <c r="H3353" s="25">
        <f>IF(E3353="","",(E3353*4+3+cfgDeslocamento)/48)</f>
        <v>0</v>
      </c>
    </row>
    <row r="3354" spans="1:8">
      <c r="A3354" s="24"/>
      <c r="B3354" s="19"/>
      <c r="C3354" s="25">
        <f>IF(D3354="","",D3354/48)</f>
        <v>0</v>
      </c>
      <c r="D3354" s="26">
        <f>IF(A3354="","",ROUND((A3354-cfgDefasagem/1440)*48,0))</f>
        <v>0</v>
      </c>
      <c r="E3354" s="26">
        <f>IF(D3354="","",INT((D3354-cfgDeslocamento)/4))</f>
        <v>0</v>
      </c>
      <c r="F3354" s="26">
        <f>IF(D3354="","",MOD(D3354-cfgDeslocamento,4)+1)</f>
        <v>0</v>
      </c>
      <c r="G3354" s="26">
        <f>IF(A3354="","",IF(AND(ISNUMBER(B3354),B3354&lt;&gt;0),1,0))</f>
        <v>0</v>
      </c>
      <c r="H3354" s="25">
        <f>IF(E3354="","",(E3354*4+3+cfgDeslocamento)/48)</f>
        <v>0</v>
      </c>
    </row>
    <row r="3355" spans="1:8">
      <c r="A3355" s="24"/>
      <c r="B3355" s="19"/>
      <c r="C3355" s="25">
        <f>IF(D3355="","",D3355/48)</f>
        <v>0</v>
      </c>
      <c r="D3355" s="26">
        <f>IF(A3355="","",ROUND((A3355-cfgDefasagem/1440)*48,0))</f>
        <v>0</v>
      </c>
      <c r="E3355" s="26">
        <f>IF(D3355="","",INT((D3355-cfgDeslocamento)/4))</f>
        <v>0</v>
      </c>
      <c r="F3355" s="26">
        <f>IF(D3355="","",MOD(D3355-cfgDeslocamento,4)+1)</f>
        <v>0</v>
      </c>
      <c r="G3355" s="26">
        <f>IF(A3355="","",IF(AND(ISNUMBER(B3355),B3355&lt;&gt;0),1,0))</f>
        <v>0</v>
      </c>
      <c r="H3355" s="25">
        <f>IF(E3355="","",(E3355*4+3+cfgDeslocamento)/48)</f>
        <v>0</v>
      </c>
    </row>
    <row r="3356" spans="1:8">
      <c r="A3356" s="24"/>
      <c r="B3356" s="19"/>
      <c r="C3356" s="25">
        <f>IF(D3356="","",D3356/48)</f>
        <v>0</v>
      </c>
      <c r="D3356" s="26">
        <f>IF(A3356="","",ROUND((A3356-cfgDefasagem/1440)*48,0))</f>
        <v>0</v>
      </c>
      <c r="E3356" s="26">
        <f>IF(D3356="","",INT((D3356-cfgDeslocamento)/4))</f>
        <v>0</v>
      </c>
      <c r="F3356" s="26">
        <f>IF(D3356="","",MOD(D3356-cfgDeslocamento,4)+1)</f>
        <v>0</v>
      </c>
      <c r="G3356" s="26">
        <f>IF(A3356="","",IF(AND(ISNUMBER(B3356),B3356&lt;&gt;0),1,0))</f>
        <v>0</v>
      </c>
      <c r="H3356" s="25">
        <f>IF(E3356="","",(E3356*4+3+cfgDeslocamento)/48)</f>
        <v>0</v>
      </c>
    </row>
    <row r="3357" spans="1:8">
      <c r="A3357" s="24"/>
      <c r="B3357" s="19"/>
      <c r="C3357" s="25">
        <f>IF(D3357="","",D3357/48)</f>
        <v>0</v>
      </c>
      <c r="D3357" s="26">
        <f>IF(A3357="","",ROUND((A3357-cfgDefasagem/1440)*48,0))</f>
        <v>0</v>
      </c>
      <c r="E3357" s="26">
        <f>IF(D3357="","",INT((D3357-cfgDeslocamento)/4))</f>
        <v>0</v>
      </c>
      <c r="F3357" s="26">
        <f>IF(D3357="","",MOD(D3357-cfgDeslocamento,4)+1)</f>
        <v>0</v>
      </c>
      <c r="G3357" s="26">
        <f>IF(A3357="","",IF(AND(ISNUMBER(B3357),B3357&lt;&gt;0),1,0))</f>
        <v>0</v>
      </c>
      <c r="H3357" s="25">
        <f>IF(E3357="","",(E3357*4+3+cfgDeslocamento)/48)</f>
        <v>0</v>
      </c>
    </row>
    <row r="3358" spans="1:8">
      <c r="A3358" s="24"/>
      <c r="B3358" s="19"/>
      <c r="C3358" s="25">
        <f>IF(D3358="","",D3358/48)</f>
        <v>0</v>
      </c>
      <c r="D3358" s="26">
        <f>IF(A3358="","",ROUND((A3358-cfgDefasagem/1440)*48,0))</f>
        <v>0</v>
      </c>
      <c r="E3358" s="26">
        <f>IF(D3358="","",INT((D3358-cfgDeslocamento)/4))</f>
        <v>0</v>
      </c>
      <c r="F3358" s="26">
        <f>IF(D3358="","",MOD(D3358-cfgDeslocamento,4)+1)</f>
        <v>0</v>
      </c>
      <c r="G3358" s="26">
        <f>IF(A3358="","",IF(AND(ISNUMBER(B3358),B3358&lt;&gt;0),1,0))</f>
        <v>0</v>
      </c>
      <c r="H3358" s="25">
        <f>IF(E3358="","",(E3358*4+3+cfgDeslocamento)/48)</f>
        <v>0</v>
      </c>
    </row>
    <row r="3359" spans="1:8">
      <c r="A3359" s="24"/>
      <c r="B3359" s="19"/>
      <c r="C3359" s="25">
        <f>IF(D3359="","",D3359/48)</f>
        <v>0</v>
      </c>
      <c r="D3359" s="26">
        <f>IF(A3359="","",ROUND((A3359-cfgDefasagem/1440)*48,0))</f>
        <v>0</v>
      </c>
      <c r="E3359" s="26">
        <f>IF(D3359="","",INT((D3359-cfgDeslocamento)/4))</f>
        <v>0</v>
      </c>
      <c r="F3359" s="26">
        <f>IF(D3359="","",MOD(D3359-cfgDeslocamento,4)+1)</f>
        <v>0</v>
      </c>
      <c r="G3359" s="26">
        <f>IF(A3359="","",IF(AND(ISNUMBER(B3359),B3359&lt;&gt;0),1,0))</f>
        <v>0</v>
      </c>
      <c r="H3359" s="25">
        <f>IF(E3359="","",(E3359*4+3+cfgDeslocamento)/48)</f>
        <v>0</v>
      </c>
    </row>
    <row r="3360" spans="1:8">
      <c r="A3360" s="24"/>
      <c r="B3360" s="19"/>
      <c r="C3360" s="25">
        <f>IF(D3360="","",D3360/48)</f>
        <v>0</v>
      </c>
      <c r="D3360" s="26">
        <f>IF(A3360="","",ROUND((A3360-cfgDefasagem/1440)*48,0))</f>
        <v>0</v>
      </c>
      <c r="E3360" s="26">
        <f>IF(D3360="","",INT((D3360-cfgDeslocamento)/4))</f>
        <v>0</v>
      </c>
      <c r="F3360" s="26">
        <f>IF(D3360="","",MOD(D3360-cfgDeslocamento,4)+1)</f>
        <v>0</v>
      </c>
      <c r="G3360" s="26">
        <f>IF(A3360="","",IF(AND(ISNUMBER(B3360),B3360&lt;&gt;0),1,0))</f>
        <v>0</v>
      </c>
      <c r="H3360" s="25">
        <f>IF(E3360="","",(E3360*4+3+cfgDeslocamento)/48)</f>
        <v>0</v>
      </c>
    </row>
    <row r="3361" spans="1:8">
      <c r="A3361" s="24"/>
      <c r="B3361" s="19"/>
      <c r="C3361" s="25">
        <f>IF(D3361="","",D3361/48)</f>
        <v>0</v>
      </c>
      <c r="D3361" s="26">
        <f>IF(A3361="","",ROUND((A3361-cfgDefasagem/1440)*48,0))</f>
        <v>0</v>
      </c>
      <c r="E3361" s="26">
        <f>IF(D3361="","",INT((D3361-cfgDeslocamento)/4))</f>
        <v>0</v>
      </c>
      <c r="F3361" s="26">
        <f>IF(D3361="","",MOD(D3361-cfgDeslocamento,4)+1)</f>
        <v>0</v>
      </c>
      <c r="G3361" s="26">
        <f>IF(A3361="","",IF(AND(ISNUMBER(B3361),B3361&lt;&gt;0),1,0))</f>
        <v>0</v>
      </c>
      <c r="H3361" s="25">
        <f>IF(E3361="","",(E3361*4+3+cfgDeslocamento)/48)</f>
        <v>0</v>
      </c>
    </row>
    <row r="3362" spans="1:8">
      <c r="A3362" s="24"/>
      <c r="B3362" s="19"/>
      <c r="C3362" s="25">
        <f>IF(D3362="","",D3362/48)</f>
        <v>0</v>
      </c>
      <c r="D3362" s="26">
        <f>IF(A3362="","",ROUND((A3362-cfgDefasagem/1440)*48,0))</f>
        <v>0</v>
      </c>
      <c r="E3362" s="26">
        <f>IF(D3362="","",INT((D3362-cfgDeslocamento)/4))</f>
        <v>0</v>
      </c>
      <c r="F3362" s="26">
        <f>IF(D3362="","",MOD(D3362-cfgDeslocamento,4)+1)</f>
        <v>0</v>
      </c>
      <c r="G3362" s="26">
        <f>IF(A3362="","",IF(AND(ISNUMBER(B3362),B3362&lt;&gt;0),1,0))</f>
        <v>0</v>
      </c>
      <c r="H3362" s="25">
        <f>IF(E3362="","",(E3362*4+3+cfgDeslocamento)/48)</f>
        <v>0</v>
      </c>
    </row>
    <row r="3363" spans="1:8">
      <c r="A3363" s="24"/>
      <c r="B3363" s="19"/>
      <c r="C3363" s="25">
        <f>IF(D3363="","",D3363/48)</f>
        <v>0</v>
      </c>
      <c r="D3363" s="26">
        <f>IF(A3363="","",ROUND((A3363-cfgDefasagem/1440)*48,0))</f>
        <v>0</v>
      </c>
      <c r="E3363" s="26">
        <f>IF(D3363="","",INT((D3363-cfgDeslocamento)/4))</f>
        <v>0</v>
      </c>
      <c r="F3363" s="26">
        <f>IF(D3363="","",MOD(D3363-cfgDeslocamento,4)+1)</f>
        <v>0</v>
      </c>
      <c r="G3363" s="26">
        <f>IF(A3363="","",IF(AND(ISNUMBER(B3363),B3363&lt;&gt;0),1,0))</f>
        <v>0</v>
      </c>
      <c r="H3363" s="25">
        <f>IF(E3363="","",(E3363*4+3+cfgDeslocamento)/48)</f>
        <v>0</v>
      </c>
    </row>
    <row r="3364" spans="1:8">
      <c r="A3364" s="24"/>
      <c r="B3364" s="19"/>
      <c r="C3364" s="25">
        <f>IF(D3364="","",D3364/48)</f>
        <v>0</v>
      </c>
      <c r="D3364" s="26">
        <f>IF(A3364="","",ROUND((A3364-cfgDefasagem/1440)*48,0))</f>
        <v>0</v>
      </c>
      <c r="E3364" s="26">
        <f>IF(D3364="","",INT((D3364-cfgDeslocamento)/4))</f>
        <v>0</v>
      </c>
      <c r="F3364" s="26">
        <f>IF(D3364="","",MOD(D3364-cfgDeslocamento,4)+1)</f>
        <v>0</v>
      </c>
      <c r="G3364" s="26">
        <f>IF(A3364="","",IF(AND(ISNUMBER(B3364),B3364&lt;&gt;0),1,0))</f>
        <v>0</v>
      </c>
      <c r="H3364" s="25">
        <f>IF(E3364="","",(E3364*4+3+cfgDeslocamento)/48)</f>
        <v>0</v>
      </c>
    </row>
    <row r="3365" spans="1:8">
      <c r="A3365" s="24"/>
      <c r="B3365" s="19"/>
      <c r="C3365" s="25">
        <f>IF(D3365="","",D3365/48)</f>
        <v>0</v>
      </c>
      <c r="D3365" s="26">
        <f>IF(A3365="","",ROUND((A3365-cfgDefasagem/1440)*48,0))</f>
        <v>0</v>
      </c>
      <c r="E3365" s="26">
        <f>IF(D3365="","",INT((D3365-cfgDeslocamento)/4))</f>
        <v>0</v>
      </c>
      <c r="F3365" s="26">
        <f>IF(D3365="","",MOD(D3365-cfgDeslocamento,4)+1)</f>
        <v>0</v>
      </c>
      <c r="G3365" s="26">
        <f>IF(A3365="","",IF(AND(ISNUMBER(B3365),B3365&lt;&gt;0),1,0))</f>
        <v>0</v>
      </c>
      <c r="H3365" s="25">
        <f>IF(E3365="","",(E3365*4+3+cfgDeslocamento)/48)</f>
        <v>0</v>
      </c>
    </row>
    <row r="3366" spans="1:8">
      <c r="A3366" s="24"/>
      <c r="B3366" s="19"/>
      <c r="C3366" s="25">
        <f>IF(D3366="","",D3366/48)</f>
        <v>0</v>
      </c>
      <c r="D3366" s="26">
        <f>IF(A3366="","",ROUND((A3366-cfgDefasagem/1440)*48,0))</f>
        <v>0</v>
      </c>
      <c r="E3366" s="26">
        <f>IF(D3366="","",INT((D3366-cfgDeslocamento)/4))</f>
        <v>0</v>
      </c>
      <c r="F3366" s="26">
        <f>IF(D3366="","",MOD(D3366-cfgDeslocamento,4)+1)</f>
        <v>0</v>
      </c>
      <c r="G3366" s="26">
        <f>IF(A3366="","",IF(AND(ISNUMBER(B3366),B3366&lt;&gt;0),1,0))</f>
        <v>0</v>
      </c>
      <c r="H3366" s="25">
        <f>IF(E3366="","",(E3366*4+3+cfgDeslocamento)/48)</f>
        <v>0</v>
      </c>
    </row>
    <row r="3367" spans="1:8">
      <c r="A3367" s="24"/>
      <c r="B3367" s="19"/>
      <c r="C3367" s="25">
        <f>IF(D3367="","",D3367/48)</f>
        <v>0</v>
      </c>
      <c r="D3367" s="26">
        <f>IF(A3367="","",ROUND((A3367-cfgDefasagem/1440)*48,0))</f>
        <v>0</v>
      </c>
      <c r="E3367" s="26">
        <f>IF(D3367="","",INT((D3367-cfgDeslocamento)/4))</f>
        <v>0</v>
      </c>
      <c r="F3367" s="26">
        <f>IF(D3367="","",MOD(D3367-cfgDeslocamento,4)+1)</f>
        <v>0</v>
      </c>
      <c r="G3367" s="26">
        <f>IF(A3367="","",IF(AND(ISNUMBER(B3367),B3367&lt;&gt;0),1,0))</f>
        <v>0</v>
      </c>
      <c r="H3367" s="25">
        <f>IF(E3367="","",(E3367*4+3+cfgDeslocamento)/48)</f>
        <v>0</v>
      </c>
    </row>
    <row r="3368" spans="1:8">
      <c r="A3368" s="24"/>
      <c r="B3368" s="19"/>
      <c r="C3368" s="25">
        <f>IF(D3368="","",D3368/48)</f>
        <v>0</v>
      </c>
      <c r="D3368" s="26">
        <f>IF(A3368="","",ROUND((A3368-cfgDefasagem/1440)*48,0))</f>
        <v>0</v>
      </c>
      <c r="E3368" s="26">
        <f>IF(D3368="","",INT((D3368-cfgDeslocamento)/4))</f>
        <v>0</v>
      </c>
      <c r="F3368" s="26">
        <f>IF(D3368="","",MOD(D3368-cfgDeslocamento,4)+1)</f>
        <v>0</v>
      </c>
      <c r="G3368" s="26">
        <f>IF(A3368="","",IF(AND(ISNUMBER(B3368),B3368&lt;&gt;0),1,0))</f>
        <v>0</v>
      </c>
      <c r="H3368" s="25">
        <f>IF(E3368="","",(E3368*4+3+cfgDeslocamento)/48)</f>
        <v>0</v>
      </c>
    </row>
    <row r="3369" spans="1:8">
      <c r="A3369" s="24"/>
      <c r="B3369" s="19"/>
      <c r="C3369" s="25">
        <f>IF(D3369="","",D3369/48)</f>
        <v>0</v>
      </c>
      <c r="D3369" s="26">
        <f>IF(A3369="","",ROUND((A3369-cfgDefasagem/1440)*48,0))</f>
        <v>0</v>
      </c>
      <c r="E3369" s="26">
        <f>IF(D3369="","",INT((D3369-cfgDeslocamento)/4))</f>
        <v>0</v>
      </c>
      <c r="F3369" s="26">
        <f>IF(D3369="","",MOD(D3369-cfgDeslocamento,4)+1)</f>
        <v>0</v>
      </c>
      <c r="G3369" s="26">
        <f>IF(A3369="","",IF(AND(ISNUMBER(B3369),B3369&lt;&gt;0),1,0))</f>
        <v>0</v>
      </c>
      <c r="H3369" s="25">
        <f>IF(E3369="","",(E3369*4+3+cfgDeslocamento)/48)</f>
        <v>0</v>
      </c>
    </row>
    <row r="3370" spans="1:8">
      <c r="A3370" s="24"/>
      <c r="B3370" s="19"/>
      <c r="C3370" s="25">
        <f>IF(D3370="","",D3370/48)</f>
        <v>0</v>
      </c>
      <c r="D3370" s="26">
        <f>IF(A3370="","",ROUND((A3370-cfgDefasagem/1440)*48,0))</f>
        <v>0</v>
      </c>
      <c r="E3370" s="26">
        <f>IF(D3370="","",INT((D3370-cfgDeslocamento)/4))</f>
        <v>0</v>
      </c>
      <c r="F3370" s="26">
        <f>IF(D3370="","",MOD(D3370-cfgDeslocamento,4)+1)</f>
        <v>0</v>
      </c>
      <c r="G3370" s="26">
        <f>IF(A3370="","",IF(AND(ISNUMBER(B3370),B3370&lt;&gt;0),1,0))</f>
        <v>0</v>
      </c>
      <c r="H3370" s="25">
        <f>IF(E3370="","",(E3370*4+3+cfgDeslocamento)/48)</f>
        <v>0</v>
      </c>
    </row>
    <row r="3371" spans="1:8">
      <c r="A3371" s="24"/>
      <c r="B3371" s="19"/>
      <c r="C3371" s="25">
        <f>IF(D3371="","",D3371/48)</f>
        <v>0</v>
      </c>
      <c r="D3371" s="26">
        <f>IF(A3371="","",ROUND((A3371-cfgDefasagem/1440)*48,0))</f>
        <v>0</v>
      </c>
      <c r="E3371" s="26">
        <f>IF(D3371="","",INT((D3371-cfgDeslocamento)/4))</f>
        <v>0</v>
      </c>
      <c r="F3371" s="26">
        <f>IF(D3371="","",MOD(D3371-cfgDeslocamento,4)+1)</f>
        <v>0</v>
      </c>
      <c r="G3371" s="26">
        <f>IF(A3371="","",IF(AND(ISNUMBER(B3371),B3371&lt;&gt;0),1,0))</f>
        <v>0</v>
      </c>
      <c r="H3371" s="25">
        <f>IF(E3371="","",(E3371*4+3+cfgDeslocamento)/48)</f>
        <v>0</v>
      </c>
    </row>
    <row r="3372" spans="1:8">
      <c r="A3372" s="24"/>
      <c r="B3372" s="19"/>
      <c r="C3372" s="25">
        <f>IF(D3372="","",D3372/48)</f>
        <v>0</v>
      </c>
      <c r="D3372" s="26">
        <f>IF(A3372="","",ROUND((A3372-cfgDefasagem/1440)*48,0))</f>
        <v>0</v>
      </c>
      <c r="E3372" s="26">
        <f>IF(D3372="","",INT((D3372-cfgDeslocamento)/4))</f>
        <v>0</v>
      </c>
      <c r="F3372" s="26">
        <f>IF(D3372="","",MOD(D3372-cfgDeslocamento,4)+1)</f>
        <v>0</v>
      </c>
      <c r="G3372" s="26">
        <f>IF(A3372="","",IF(AND(ISNUMBER(B3372),B3372&lt;&gt;0),1,0))</f>
        <v>0</v>
      </c>
      <c r="H3372" s="25">
        <f>IF(E3372="","",(E3372*4+3+cfgDeslocamento)/48)</f>
        <v>0</v>
      </c>
    </row>
    <row r="3373" spans="1:8">
      <c r="A3373" s="24"/>
      <c r="B3373" s="19"/>
      <c r="C3373" s="25">
        <f>IF(D3373="","",D3373/48)</f>
        <v>0</v>
      </c>
      <c r="D3373" s="26">
        <f>IF(A3373="","",ROUND((A3373-cfgDefasagem/1440)*48,0))</f>
        <v>0</v>
      </c>
      <c r="E3373" s="26">
        <f>IF(D3373="","",INT((D3373-cfgDeslocamento)/4))</f>
        <v>0</v>
      </c>
      <c r="F3373" s="26">
        <f>IF(D3373="","",MOD(D3373-cfgDeslocamento,4)+1)</f>
        <v>0</v>
      </c>
      <c r="G3373" s="26">
        <f>IF(A3373="","",IF(AND(ISNUMBER(B3373),B3373&lt;&gt;0),1,0))</f>
        <v>0</v>
      </c>
      <c r="H3373" s="25">
        <f>IF(E3373="","",(E3373*4+3+cfgDeslocamento)/48)</f>
        <v>0</v>
      </c>
    </row>
    <row r="3374" spans="1:8">
      <c r="A3374" s="24"/>
      <c r="B3374" s="19"/>
      <c r="C3374" s="25">
        <f>IF(D3374="","",D3374/48)</f>
        <v>0</v>
      </c>
      <c r="D3374" s="26">
        <f>IF(A3374="","",ROUND((A3374-cfgDefasagem/1440)*48,0))</f>
        <v>0</v>
      </c>
      <c r="E3374" s="26">
        <f>IF(D3374="","",INT((D3374-cfgDeslocamento)/4))</f>
        <v>0</v>
      </c>
      <c r="F3374" s="26">
        <f>IF(D3374="","",MOD(D3374-cfgDeslocamento,4)+1)</f>
        <v>0</v>
      </c>
      <c r="G3374" s="26">
        <f>IF(A3374="","",IF(AND(ISNUMBER(B3374),B3374&lt;&gt;0),1,0))</f>
        <v>0</v>
      </c>
      <c r="H3374" s="25">
        <f>IF(E3374="","",(E3374*4+3+cfgDeslocamento)/48)</f>
        <v>0</v>
      </c>
    </row>
    <row r="3375" spans="1:8">
      <c r="A3375" s="24"/>
      <c r="B3375" s="19"/>
      <c r="C3375" s="25">
        <f>IF(D3375="","",D3375/48)</f>
        <v>0</v>
      </c>
      <c r="D3375" s="26">
        <f>IF(A3375="","",ROUND((A3375-cfgDefasagem/1440)*48,0))</f>
        <v>0</v>
      </c>
      <c r="E3375" s="26">
        <f>IF(D3375="","",INT((D3375-cfgDeslocamento)/4))</f>
        <v>0</v>
      </c>
      <c r="F3375" s="26">
        <f>IF(D3375="","",MOD(D3375-cfgDeslocamento,4)+1)</f>
        <v>0</v>
      </c>
      <c r="G3375" s="26">
        <f>IF(A3375="","",IF(AND(ISNUMBER(B3375),B3375&lt;&gt;0),1,0))</f>
        <v>0</v>
      </c>
      <c r="H3375" s="25">
        <f>IF(E3375="","",(E3375*4+3+cfgDeslocamento)/48)</f>
        <v>0</v>
      </c>
    </row>
    <row r="3376" spans="1:8">
      <c r="A3376" s="24"/>
      <c r="B3376" s="19"/>
      <c r="C3376" s="25">
        <f>IF(D3376="","",D3376/48)</f>
        <v>0</v>
      </c>
      <c r="D3376" s="26">
        <f>IF(A3376="","",ROUND((A3376-cfgDefasagem/1440)*48,0))</f>
        <v>0</v>
      </c>
      <c r="E3376" s="26">
        <f>IF(D3376="","",INT((D3376-cfgDeslocamento)/4))</f>
        <v>0</v>
      </c>
      <c r="F3376" s="26">
        <f>IF(D3376="","",MOD(D3376-cfgDeslocamento,4)+1)</f>
        <v>0</v>
      </c>
      <c r="G3376" s="26">
        <f>IF(A3376="","",IF(AND(ISNUMBER(B3376),B3376&lt;&gt;0),1,0))</f>
        <v>0</v>
      </c>
      <c r="H3376" s="25">
        <f>IF(E3376="","",(E3376*4+3+cfgDeslocamento)/48)</f>
        <v>0</v>
      </c>
    </row>
    <row r="3377" spans="1:8">
      <c r="A3377" s="24"/>
      <c r="B3377" s="19"/>
      <c r="C3377" s="25">
        <f>IF(D3377="","",D3377/48)</f>
        <v>0</v>
      </c>
      <c r="D3377" s="26">
        <f>IF(A3377="","",ROUND((A3377-cfgDefasagem/1440)*48,0))</f>
        <v>0</v>
      </c>
      <c r="E3377" s="26">
        <f>IF(D3377="","",INT((D3377-cfgDeslocamento)/4))</f>
        <v>0</v>
      </c>
      <c r="F3377" s="26">
        <f>IF(D3377="","",MOD(D3377-cfgDeslocamento,4)+1)</f>
        <v>0</v>
      </c>
      <c r="G3377" s="26">
        <f>IF(A3377="","",IF(AND(ISNUMBER(B3377),B3377&lt;&gt;0),1,0))</f>
        <v>0</v>
      </c>
      <c r="H3377" s="25">
        <f>IF(E3377="","",(E3377*4+3+cfgDeslocamento)/48)</f>
        <v>0</v>
      </c>
    </row>
    <row r="3378" spans="1:8">
      <c r="A3378" s="24"/>
      <c r="B3378" s="19"/>
      <c r="C3378" s="25">
        <f>IF(D3378="","",D3378/48)</f>
        <v>0</v>
      </c>
      <c r="D3378" s="26">
        <f>IF(A3378="","",ROUND((A3378-cfgDefasagem/1440)*48,0))</f>
        <v>0</v>
      </c>
      <c r="E3378" s="26">
        <f>IF(D3378="","",INT((D3378-cfgDeslocamento)/4))</f>
        <v>0</v>
      </c>
      <c r="F3378" s="26">
        <f>IF(D3378="","",MOD(D3378-cfgDeslocamento,4)+1)</f>
        <v>0</v>
      </c>
      <c r="G3378" s="26">
        <f>IF(A3378="","",IF(AND(ISNUMBER(B3378),B3378&lt;&gt;0),1,0))</f>
        <v>0</v>
      </c>
      <c r="H3378" s="25">
        <f>IF(E3378="","",(E3378*4+3+cfgDeslocamento)/48)</f>
        <v>0</v>
      </c>
    </row>
    <row r="3379" spans="1:8">
      <c r="A3379" s="24"/>
      <c r="B3379" s="19"/>
      <c r="C3379" s="25">
        <f>IF(D3379="","",D3379/48)</f>
        <v>0</v>
      </c>
      <c r="D3379" s="26">
        <f>IF(A3379="","",ROUND((A3379-cfgDefasagem/1440)*48,0))</f>
        <v>0</v>
      </c>
      <c r="E3379" s="26">
        <f>IF(D3379="","",INT((D3379-cfgDeslocamento)/4))</f>
        <v>0</v>
      </c>
      <c r="F3379" s="26">
        <f>IF(D3379="","",MOD(D3379-cfgDeslocamento,4)+1)</f>
        <v>0</v>
      </c>
      <c r="G3379" s="26">
        <f>IF(A3379="","",IF(AND(ISNUMBER(B3379),B3379&lt;&gt;0),1,0))</f>
        <v>0</v>
      </c>
      <c r="H3379" s="25">
        <f>IF(E3379="","",(E3379*4+3+cfgDeslocamento)/48)</f>
        <v>0</v>
      </c>
    </row>
    <row r="3380" spans="1:8">
      <c r="A3380" s="24"/>
      <c r="B3380" s="19"/>
      <c r="C3380" s="25">
        <f>IF(D3380="","",D3380/48)</f>
        <v>0</v>
      </c>
      <c r="D3380" s="26">
        <f>IF(A3380="","",ROUND((A3380-cfgDefasagem/1440)*48,0))</f>
        <v>0</v>
      </c>
      <c r="E3380" s="26">
        <f>IF(D3380="","",INT((D3380-cfgDeslocamento)/4))</f>
        <v>0</v>
      </c>
      <c r="F3380" s="26">
        <f>IF(D3380="","",MOD(D3380-cfgDeslocamento,4)+1)</f>
        <v>0</v>
      </c>
      <c r="G3380" s="26">
        <f>IF(A3380="","",IF(AND(ISNUMBER(B3380),B3380&lt;&gt;0),1,0))</f>
        <v>0</v>
      </c>
      <c r="H3380" s="25">
        <f>IF(E3380="","",(E3380*4+3+cfgDeslocamento)/48)</f>
        <v>0</v>
      </c>
    </row>
    <row r="3381" spans="1:8">
      <c r="A3381" s="24"/>
      <c r="B3381" s="19"/>
      <c r="C3381" s="25">
        <f>IF(D3381="","",D3381/48)</f>
        <v>0</v>
      </c>
      <c r="D3381" s="26">
        <f>IF(A3381="","",ROUND((A3381-cfgDefasagem/1440)*48,0))</f>
        <v>0</v>
      </c>
      <c r="E3381" s="26">
        <f>IF(D3381="","",INT((D3381-cfgDeslocamento)/4))</f>
        <v>0</v>
      </c>
      <c r="F3381" s="26">
        <f>IF(D3381="","",MOD(D3381-cfgDeslocamento,4)+1)</f>
        <v>0</v>
      </c>
      <c r="G3381" s="26">
        <f>IF(A3381="","",IF(AND(ISNUMBER(B3381),B3381&lt;&gt;0),1,0))</f>
        <v>0</v>
      </c>
      <c r="H3381" s="25">
        <f>IF(E3381="","",(E3381*4+3+cfgDeslocamento)/48)</f>
        <v>0</v>
      </c>
    </row>
    <row r="3382" spans="1:8">
      <c r="A3382" s="24"/>
      <c r="B3382" s="19"/>
      <c r="C3382" s="25">
        <f>IF(D3382="","",D3382/48)</f>
        <v>0</v>
      </c>
      <c r="D3382" s="26">
        <f>IF(A3382="","",ROUND((A3382-cfgDefasagem/1440)*48,0))</f>
        <v>0</v>
      </c>
      <c r="E3382" s="26">
        <f>IF(D3382="","",INT((D3382-cfgDeslocamento)/4))</f>
        <v>0</v>
      </c>
      <c r="F3382" s="26">
        <f>IF(D3382="","",MOD(D3382-cfgDeslocamento,4)+1)</f>
        <v>0</v>
      </c>
      <c r="G3382" s="26">
        <f>IF(A3382="","",IF(AND(ISNUMBER(B3382),B3382&lt;&gt;0),1,0))</f>
        <v>0</v>
      </c>
      <c r="H3382" s="25">
        <f>IF(E3382="","",(E3382*4+3+cfgDeslocamento)/48)</f>
        <v>0</v>
      </c>
    </row>
    <row r="3383" spans="1:8">
      <c r="A3383" s="24"/>
      <c r="B3383" s="19"/>
      <c r="C3383" s="25">
        <f>IF(D3383="","",D3383/48)</f>
        <v>0</v>
      </c>
      <c r="D3383" s="26">
        <f>IF(A3383="","",ROUND((A3383-cfgDefasagem/1440)*48,0))</f>
        <v>0</v>
      </c>
      <c r="E3383" s="26">
        <f>IF(D3383="","",INT((D3383-cfgDeslocamento)/4))</f>
        <v>0</v>
      </c>
      <c r="F3383" s="26">
        <f>IF(D3383="","",MOD(D3383-cfgDeslocamento,4)+1)</f>
        <v>0</v>
      </c>
      <c r="G3383" s="26">
        <f>IF(A3383="","",IF(AND(ISNUMBER(B3383),B3383&lt;&gt;0),1,0))</f>
        <v>0</v>
      </c>
      <c r="H3383" s="25">
        <f>IF(E3383="","",(E3383*4+3+cfgDeslocamento)/48)</f>
        <v>0</v>
      </c>
    </row>
    <row r="3384" spans="1:8">
      <c r="A3384" s="24"/>
      <c r="B3384" s="19"/>
      <c r="C3384" s="25">
        <f>IF(D3384="","",D3384/48)</f>
        <v>0</v>
      </c>
      <c r="D3384" s="26">
        <f>IF(A3384="","",ROUND((A3384-cfgDefasagem/1440)*48,0))</f>
        <v>0</v>
      </c>
      <c r="E3384" s="26">
        <f>IF(D3384="","",INT((D3384-cfgDeslocamento)/4))</f>
        <v>0</v>
      </c>
      <c r="F3384" s="26">
        <f>IF(D3384="","",MOD(D3384-cfgDeslocamento,4)+1)</f>
        <v>0</v>
      </c>
      <c r="G3384" s="26">
        <f>IF(A3384="","",IF(AND(ISNUMBER(B3384),B3384&lt;&gt;0),1,0))</f>
        <v>0</v>
      </c>
      <c r="H3384" s="25">
        <f>IF(E3384="","",(E3384*4+3+cfgDeslocamento)/48)</f>
        <v>0</v>
      </c>
    </row>
    <row r="3385" spans="1:8">
      <c r="A3385" s="24"/>
      <c r="B3385" s="19"/>
      <c r="C3385" s="25">
        <f>IF(D3385="","",D3385/48)</f>
        <v>0</v>
      </c>
      <c r="D3385" s="26">
        <f>IF(A3385="","",ROUND((A3385-cfgDefasagem/1440)*48,0))</f>
        <v>0</v>
      </c>
      <c r="E3385" s="26">
        <f>IF(D3385="","",INT((D3385-cfgDeslocamento)/4))</f>
        <v>0</v>
      </c>
      <c r="F3385" s="26">
        <f>IF(D3385="","",MOD(D3385-cfgDeslocamento,4)+1)</f>
        <v>0</v>
      </c>
      <c r="G3385" s="26">
        <f>IF(A3385="","",IF(AND(ISNUMBER(B3385),B3385&lt;&gt;0),1,0))</f>
        <v>0</v>
      </c>
      <c r="H3385" s="25">
        <f>IF(E3385="","",(E3385*4+3+cfgDeslocamento)/48)</f>
        <v>0</v>
      </c>
    </row>
    <row r="3386" spans="1:8">
      <c r="A3386" s="24"/>
      <c r="B3386" s="19"/>
      <c r="C3386" s="25">
        <f>IF(D3386="","",D3386/48)</f>
        <v>0</v>
      </c>
      <c r="D3386" s="26">
        <f>IF(A3386="","",ROUND((A3386-cfgDefasagem/1440)*48,0))</f>
        <v>0</v>
      </c>
      <c r="E3386" s="26">
        <f>IF(D3386="","",INT((D3386-cfgDeslocamento)/4))</f>
        <v>0</v>
      </c>
      <c r="F3386" s="26">
        <f>IF(D3386="","",MOD(D3386-cfgDeslocamento,4)+1)</f>
        <v>0</v>
      </c>
      <c r="G3386" s="26">
        <f>IF(A3386="","",IF(AND(ISNUMBER(B3386),B3386&lt;&gt;0),1,0))</f>
        <v>0</v>
      </c>
      <c r="H3386" s="25">
        <f>IF(E3386="","",(E3386*4+3+cfgDeslocamento)/48)</f>
        <v>0</v>
      </c>
    </row>
    <row r="3387" spans="1:8">
      <c r="A3387" s="24"/>
      <c r="B3387" s="19"/>
      <c r="C3387" s="25">
        <f>IF(D3387="","",D3387/48)</f>
        <v>0</v>
      </c>
      <c r="D3387" s="26">
        <f>IF(A3387="","",ROUND((A3387-cfgDefasagem/1440)*48,0))</f>
        <v>0</v>
      </c>
      <c r="E3387" s="26">
        <f>IF(D3387="","",INT((D3387-cfgDeslocamento)/4))</f>
        <v>0</v>
      </c>
      <c r="F3387" s="26">
        <f>IF(D3387="","",MOD(D3387-cfgDeslocamento,4)+1)</f>
        <v>0</v>
      </c>
      <c r="G3387" s="26">
        <f>IF(A3387="","",IF(AND(ISNUMBER(B3387),B3387&lt;&gt;0),1,0))</f>
        <v>0</v>
      </c>
      <c r="H3387" s="25">
        <f>IF(E3387="","",(E3387*4+3+cfgDeslocamento)/48)</f>
        <v>0</v>
      </c>
    </row>
    <row r="3388" spans="1:8">
      <c r="A3388" s="24"/>
      <c r="B3388" s="19"/>
      <c r="C3388" s="25">
        <f>IF(D3388="","",D3388/48)</f>
        <v>0</v>
      </c>
      <c r="D3388" s="26">
        <f>IF(A3388="","",ROUND((A3388-cfgDefasagem/1440)*48,0))</f>
        <v>0</v>
      </c>
      <c r="E3388" s="26">
        <f>IF(D3388="","",INT((D3388-cfgDeslocamento)/4))</f>
        <v>0</v>
      </c>
      <c r="F3388" s="26">
        <f>IF(D3388="","",MOD(D3388-cfgDeslocamento,4)+1)</f>
        <v>0</v>
      </c>
      <c r="G3388" s="26">
        <f>IF(A3388="","",IF(AND(ISNUMBER(B3388),B3388&lt;&gt;0),1,0))</f>
        <v>0</v>
      </c>
      <c r="H3388" s="25">
        <f>IF(E3388="","",(E3388*4+3+cfgDeslocamento)/48)</f>
        <v>0</v>
      </c>
    </row>
    <row r="3389" spans="1:8">
      <c r="A3389" s="24"/>
      <c r="B3389" s="19"/>
      <c r="C3389" s="25">
        <f>IF(D3389="","",D3389/48)</f>
        <v>0</v>
      </c>
      <c r="D3389" s="26">
        <f>IF(A3389="","",ROUND((A3389-cfgDefasagem/1440)*48,0))</f>
        <v>0</v>
      </c>
      <c r="E3389" s="26">
        <f>IF(D3389="","",INT((D3389-cfgDeslocamento)/4))</f>
        <v>0</v>
      </c>
      <c r="F3389" s="26">
        <f>IF(D3389="","",MOD(D3389-cfgDeslocamento,4)+1)</f>
        <v>0</v>
      </c>
      <c r="G3389" s="26">
        <f>IF(A3389="","",IF(AND(ISNUMBER(B3389),B3389&lt;&gt;0),1,0))</f>
        <v>0</v>
      </c>
      <c r="H3389" s="25">
        <f>IF(E3389="","",(E3389*4+3+cfgDeslocamento)/48)</f>
        <v>0</v>
      </c>
    </row>
    <row r="3390" spans="1:8">
      <c r="A3390" s="24"/>
      <c r="B3390" s="19"/>
      <c r="C3390" s="25">
        <f>IF(D3390="","",D3390/48)</f>
        <v>0</v>
      </c>
      <c r="D3390" s="26">
        <f>IF(A3390="","",ROUND((A3390-cfgDefasagem/1440)*48,0))</f>
        <v>0</v>
      </c>
      <c r="E3390" s="26">
        <f>IF(D3390="","",INT((D3390-cfgDeslocamento)/4))</f>
        <v>0</v>
      </c>
      <c r="F3390" s="26">
        <f>IF(D3390="","",MOD(D3390-cfgDeslocamento,4)+1)</f>
        <v>0</v>
      </c>
      <c r="G3390" s="26">
        <f>IF(A3390="","",IF(AND(ISNUMBER(B3390),B3390&lt;&gt;0),1,0))</f>
        <v>0</v>
      </c>
      <c r="H3390" s="25">
        <f>IF(E3390="","",(E3390*4+3+cfgDeslocamento)/48)</f>
        <v>0</v>
      </c>
    </row>
    <row r="3391" spans="1:8">
      <c r="A3391" s="24"/>
      <c r="B3391" s="19"/>
      <c r="C3391" s="25">
        <f>IF(D3391="","",D3391/48)</f>
        <v>0</v>
      </c>
      <c r="D3391" s="26">
        <f>IF(A3391="","",ROUND((A3391-cfgDefasagem/1440)*48,0))</f>
        <v>0</v>
      </c>
      <c r="E3391" s="26">
        <f>IF(D3391="","",INT((D3391-cfgDeslocamento)/4))</f>
        <v>0</v>
      </c>
      <c r="F3391" s="26">
        <f>IF(D3391="","",MOD(D3391-cfgDeslocamento,4)+1)</f>
        <v>0</v>
      </c>
      <c r="G3391" s="26">
        <f>IF(A3391="","",IF(AND(ISNUMBER(B3391),B3391&lt;&gt;0),1,0))</f>
        <v>0</v>
      </c>
      <c r="H3391" s="25">
        <f>IF(E3391="","",(E3391*4+3+cfgDeslocamento)/48)</f>
        <v>0</v>
      </c>
    </row>
    <row r="3392" spans="1:8">
      <c r="A3392" s="24"/>
      <c r="B3392" s="19"/>
      <c r="C3392" s="25">
        <f>IF(D3392="","",D3392/48)</f>
        <v>0</v>
      </c>
      <c r="D3392" s="26">
        <f>IF(A3392="","",ROUND((A3392-cfgDefasagem/1440)*48,0))</f>
        <v>0</v>
      </c>
      <c r="E3392" s="26">
        <f>IF(D3392="","",INT((D3392-cfgDeslocamento)/4))</f>
        <v>0</v>
      </c>
      <c r="F3392" s="26">
        <f>IF(D3392="","",MOD(D3392-cfgDeslocamento,4)+1)</f>
        <v>0</v>
      </c>
      <c r="G3392" s="26">
        <f>IF(A3392="","",IF(AND(ISNUMBER(B3392),B3392&lt;&gt;0),1,0))</f>
        <v>0</v>
      </c>
      <c r="H3392" s="25">
        <f>IF(E3392="","",(E3392*4+3+cfgDeslocamento)/48)</f>
        <v>0</v>
      </c>
    </row>
    <row r="3393" spans="1:8">
      <c r="A3393" s="24"/>
      <c r="B3393" s="19"/>
      <c r="C3393" s="25">
        <f>IF(D3393="","",D3393/48)</f>
        <v>0</v>
      </c>
      <c r="D3393" s="26">
        <f>IF(A3393="","",ROUND((A3393-cfgDefasagem/1440)*48,0))</f>
        <v>0</v>
      </c>
      <c r="E3393" s="26">
        <f>IF(D3393="","",INT((D3393-cfgDeslocamento)/4))</f>
        <v>0</v>
      </c>
      <c r="F3393" s="26">
        <f>IF(D3393="","",MOD(D3393-cfgDeslocamento,4)+1)</f>
        <v>0</v>
      </c>
      <c r="G3393" s="26">
        <f>IF(A3393="","",IF(AND(ISNUMBER(B3393),B3393&lt;&gt;0),1,0))</f>
        <v>0</v>
      </c>
      <c r="H3393" s="25">
        <f>IF(E3393="","",(E3393*4+3+cfgDeslocamento)/48)</f>
        <v>0</v>
      </c>
    </row>
    <row r="3394" spans="1:8">
      <c r="A3394" s="24"/>
      <c r="B3394" s="19"/>
      <c r="C3394" s="25">
        <f>IF(D3394="","",D3394/48)</f>
        <v>0</v>
      </c>
      <c r="D3394" s="26">
        <f>IF(A3394="","",ROUND((A3394-cfgDefasagem/1440)*48,0))</f>
        <v>0</v>
      </c>
      <c r="E3394" s="26">
        <f>IF(D3394="","",INT((D3394-cfgDeslocamento)/4))</f>
        <v>0</v>
      </c>
      <c r="F3394" s="26">
        <f>IF(D3394="","",MOD(D3394-cfgDeslocamento,4)+1)</f>
        <v>0</v>
      </c>
      <c r="G3394" s="26">
        <f>IF(A3394="","",IF(AND(ISNUMBER(B3394),B3394&lt;&gt;0),1,0))</f>
        <v>0</v>
      </c>
      <c r="H3394" s="25">
        <f>IF(E3394="","",(E3394*4+3+cfgDeslocamento)/48)</f>
        <v>0</v>
      </c>
    </row>
    <row r="3395" spans="1:8">
      <c r="A3395" s="24"/>
      <c r="B3395" s="19"/>
      <c r="C3395" s="25">
        <f>IF(D3395="","",D3395/48)</f>
        <v>0</v>
      </c>
      <c r="D3395" s="26">
        <f>IF(A3395="","",ROUND((A3395-cfgDefasagem/1440)*48,0))</f>
        <v>0</v>
      </c>
      <c r="E3395" s="26">
        <f>IF(D3395="","",INT((D3395-cfgDeslocamento)/4))</f>
        <v>0</v>
      </c>
      <c r="F3395" s="26">
        <f>IF(D3395="","",MOD(D3395-cfgDeslocamento,4)+1)</f>
        <v>0</v>
      </c>
      <c r="G3395" s="26">
        <f>IF(A3395="","",IF(AND(ISNUMBER(B3395),B3395&lt;&gt;0),1,0))</f>
        <v>0</v>
      </c>
      <c r="H3395" s="25">
        <f>IF(E3395="","",(E3395*4+3+cfgDeslocamento)/48)</f>
        <v>0</v>
      </c>
    </row>
    <row r="3396" spans="1:8">
      <c r="A3396" s="24"/>
      <c r="B3396" s="19"/>
      <c r="C3396" s="25">
        <f>IF(D3396="","",D3396/48)</f>
        <v>0</v>
      </c>
      <c r="D3396" s="26">
        <f>IF(A3396="","",ROUND((A3396-cfgDefasagem/1440)*48,0))</f>
        <v>0</v>
      </c>
      <c r="E3396" s="26">
        <f>IF(D3396="","",INT((D3396-cfgDeslocamento)/4))</f>
        <v>0</v>
      </c>
      <c r="F3396" s="26">
        <f>IF(D3396="","",MOD(D3396-cfgDeslocamento,4)+1)</f>
        <v>0</v>
      </c>
      <c r="G3396" s="26">
        <f>IF(A3396="","",IF(AND(ISNUMBER(B3396),B3396&lt;&gt;0),1,0))</f>
        <v>0</v>
      </c>
      <c r="H3396" s="25">
        <f>IF(E3396="","",(E3396*4+3+cfgDeslocamento)/48)</f>
        <v>0</v>
      </c>
    </row>
    <row r="3397" spans="1:8">
      <c r="A3397" s="24"/>
      <c r="B3397" s="19"/>
      <c r="C3397" s="25">
        <f>IF(D3397="","",D3397/48)</f>
        <v>0</v>
      </c>
      <c r="D3397" s="26">
        <f>IF(A3397="","",ROUND((A3397-cfgDefasagem/1440)*48,0))</f>
        <v>0</v>
      </c>
      <c r="E3397" s="26">
        <f>IF(D3397="","",INT((D3397-cfgDeslocamento)/4))</f>
        <v>0</v>
      </c>
      <c r="F3397" s="26">
        <f>IF(D3397="","",MOD(D3397-cfgDeslocamento,4)+1)</f>
        <v>0</v>
      </c>
      <c r="G3397" s="26">
        <f>IF(A3397="","",IF(AND(ISNUMBER(B3397),B3397&lt;&gt;0),1,0))</f>
        <v>0</v>
      </c>
      <c r="H3397" s="25">
        <f>IF(E3397="","",(E3397*4+3+cfgDeslocamento)/48)</f>
        <v>0</v>
      </c>
    </row>
    <row r="3398" spans="1:8">
      <c r="A3398" s="24"/>
      <c r="B3398" s="19"/>
      <c r="C3398" s="25">
        <f>IF(D3398="","",D3398/48)</f>
        <v>0</v>
      </c>
      <c r="D3398" s="26">
        <f>IF(A3398="","",ROUND((A3398-cfgDefasagem/1440)*48,0))</f>
        <v>0</v>
      </c>
      <c r="E3398" s="26">
        <f>IF(D3398="","",INT((D3398-cfgDeslocamento)/4))</f>
        <v>0</v>
      </c>
      <c r="F3398" s="26">
        <f>IF(D3398="","",MOD(D3398-cfgDeslocamento,4)+1)</f>
        <v>0</v>
      </c>
      <c r="G3398" s="26">
        <f>IF(A3398="","",IF(AND(ISNUMBER(B3398),B3398&lt;&gt;0),1,0))</f>
        <v>0</v>
      </c>
      <c r="H3398" s="25">
        <f>IF(E3398="","",(E3398*4+3+cfgDeslocamento)/48)</f>
        <v>0</v>
      </c>
    </row>
    <row r="3399" spans="1:8">
      <c r="A3399" s="24"/>
      <c r="B3399" s="19"/>
      <c r="C3399" s="25">
        <f>IF(D3399="","",D3399/48)</f>
        <v>0</v>
      </c>
      <c r="D3399" s="26">
        <f>IF(A3399="","",ROUND((A3399-cfgDefasagem/1440)*48,0))</f>
        <v>0</v>
      </c>
      <c r="E3399" s="26">
        <f>IF(D3399="","",INT((D3399-cfgDeslocamento)/4))</f>
        <v>0</v>
      </c>
      <c r="F3399" s="26">
        <f>IF(D3399="","",MOD(D3399-cfgDeslocamento,4)+1)</f>
        <v>0</v>
      </c>
      <c r="G3399" s="26">
        <f>IF(A3399="","",IF(AND(ISNUMBER(B3399),B3399&lt;&gt;0),1,0))</f>
        <v>0</v>
      </c>
      <c r="H3399" s="25">
        <f>IF(E3399="","",(E3399*4+3+cfgDeslocamento)/48)</f>
        <v>0</v>
      </c>
    </row>
    <row r="3400" spans="1:8">
      <c r="A3400" s="24"/>
      <c r="B3400" s="19"/>
      <c r="C3400" s="25">
        <f>IF(D3400="","",D3400/48)</f>
        <v>0</v>
      </c>
      <c r="D3400" s="26">
        <f>IF(A3400="","",ROUND((A3400-cfgDefasagem/1440)*48,0))</f>
        <v>0</v>
      </c>
      <c r="E3400" s="26">
        <f>IF(D3400="","",INT((D3400-cfgDeslocamento)/4))</f>
        <v>0</v>
      </c>
      <c r="F3400" s="26">
        <f>IF(D3400="","",MOD(D3400-cfgDeslocamento,4)+1)</f>
        <v>0</v>
      </c>
      <c r="G3400" s="26">
        <f>IF(A3400="","",IF(AND(ISNUMBER(B3400),B3400&lt;&gt;0),1,0))</f>
        <v>0</v>
      </c>
      <c r="H3400" s="25">
        <f>IF(E3400="","",(E3400*4+3+cfgDeslocamento)/48)</f>
        <v>0</v>
      </c>
    </row>
    <row r="3401" spans="1:8">
      <c r="A3401" s="24"/>
      <c r="B3401" s="19"/>
      <c r="C3401" s="25">
        <f>IF(D3401="","",D3401/48)</f>
        <v>0</v>
      </c>
      <c r="D3401" s="26">
        <f>IF(A3401="","",ROUND((A3401-cfgDefasagem/1440)*48,0))</f>
        <v>0</v>
      </c>
      <c r="E3401" s="26">
        <f>IF(D3401="","",INT((D3401-cfgDeslocamento)/4))</f>
        <v>0</v>
      </c>
      <c r="F3401" s="26">
        <f>IF(D3401="","",MOD(D3401-cfgDeslocamento,4)+1)</f>
        <v>0</v>
      </c>
      <c r="G3401" s="26">
        <f>IF(A3401="","",IF(AND(ISNUMBER(B3401),B3401&lt;&gt;0),1,0))</f>
        <v>0</v>
      </c>
      <c r="H3401" s="25">
        <f>IF(E3401="","",(E3401*4+3+cfgDeslocamento)/48)</f>
        <v>0</v>
      </c>
    </row>
    <row r="3402" spans="1:8">
      <c r="A3402" s="24"/>
      <c r="B3402" s="19"/>
      <c r="C3402" s="25">
        <f>IF(D3402="","",D3402/48)</f>
        <v>0</v>
      </c>
      <c r="D3402" s="26">
        <f>IF(A3402="","",ROUND((A3402-cfgDefasagem/1440)*48,0))</f>
        <v>0</v>
      </c>
      <c r="E3402" s="26">
        <f>IF(D3402="","",INT((D3402-cfgDeslocamento)/4))</f>
        <v>0</v>
      </c>
      <c r="F3402" s="26">
        <f>IF(D3402="","",MOD(D3402-cfgDeslocamento,4)+1)</f>
        <v>0</v>
      </c>
      <c r="G3402" s="26">
        <f>IF(A3402="","",IF(AND(ISNUMBER(B3402),B3402&lt;&gt;0),1,0))</f>
        <v>0</v>
      </c>
      <c r="H3402" s="25">
        <f>IF(E3402="","",(E3402*4+3+cfgDeslocamento)/48)</f>
        <v>0</v>
      </c>
    </row>
    <row r="3403" spans="1:8">
      <c r="A3403" s="24"/>
      <c r="B3403" s="19"/>
      <c r="C3403" s="25">
        <f>IF(D3403="","",D3403/48)</f>
        <v>0</v>
      </c>
      <c r="D3403" s="26">
        <f>IF(A3403="","",ROUND((A3403-cfgDefasagem/1440)*48,0))</f>
        <v>0</v>
      </c>
      <c r="E3403" s="26">
        <f>IF(D3403="","",INT((D3403-cfgDeslocamento)/4))</f>
        <v>0</v>
      </c>
      <c r="F3403" s="26">
        <f>IF(D3403="","",MOD(D3403-cfgDeslocamento,4)+1)</f>
        <v>0</v>
      </c>
      <c r="G3403" s="26">
        <f>IF(A3403="","",IF(AND(ISNUMBER(B3403),B3403&lt;&gt;0),1,0))</f>
        <v>0</v>
      </c>
      <c r="H3403" s="25">
        <f>IF(E3403="","",(E3403*4+3+cfgDeslocamento)/48)</f>
        <v>0</v>
      </c>
    </row>
    <row r="3404" spans="1:8">
      <c r="A3404" s="24"/>
      <c r="B3404" s="19"/>
      <c r="C3404" s="25">
        <f>IF(D3404="","",D3404/48)</f>
        <v>0</v>
      </c>
      <c r="D3404" s="26">
        <f>IF(A3404="","",ROUND((A3404-cfgDefasagem/1440)*48,0))</f>
        <v>0</v>
      </c>
      <c r="E3404" s="26">
        <f>IF(D3404="","",INT((D3404-cfgDeslocamento)/4))</f>
        <v>0</v>
      </c>
      <c r="F3404" s="26">
        <f>IF(D3404="","",MOD(D3404-cfgDeslocamento,4)+1)</f>
        <v>0</v>
      </c>
      <c r="G3404" s="26">
        <f>IF(A3404="","",IF(AND(ISNUMBER(B3404),B3404&lt;&gt;0),1,0))</f>
        <v>0</v>
      </c>
      <c r="H3404" s="25">
        <f>IF(E3404="","",(E3404*4+3+cfgDeslocamento)/48)</f>
        <v>0</v>
      </c>
    </row>
    <row r="3405" spans="1:8">
      <c r="A3405" s="24"/>
      <c r="B3405" s="19"/>
      <c r="C3405" s="25">
        <f>IF(D3405="","",D3405/48)</f>
        <v>0</v>
      </c>
      <c r="D3405" s="26">
        <f>IF(A3405="","",ROUND((A3405-cfgDefasagem/1440)*48,0))</f>
        <v>0</v>
      </c>
      <c r="E3405" s="26">
        <f>IF(D3405="","",INT((D3405-cfgDeslocamento)/4))</f>
        <v>0</v>
      </c>
      <c r="F3405" s="26">
        <f>IF(D3405="","",MOD(D3405-cfgDeslocamento,4)+1)</f>
        <v>0</v>
      </c>
      <c r="G3405" s="26">
        <f>IF(A3405="","",IF(AND(ISNUMBER(B3405),B3405&lt;&gt;0),1,0))</f>
        <v>0</v>
      </c>
      <c r="H3405" s="25">
        <f>IF(E3405="","",(E3405*4+3+cfgDeslocamento)/48)</f>
        <v>0</v>
      </c>
    </row>
    <row r="3406" spans="1:8">
      <c r="A3406" s="24"/>
      <c r="B3406" s="19"/>
      <c r="C3406" s="25">
        <f>IF(D3406="","",D3406/48)</f>
        <v>0</v>
      </c>
      <c r="D3406" s="26">
        <f>IF(A3406="","",ROUND((A3406-cfgDefasagem/1440)*48,0))</f>
        <v>0</v>
      </c>
      <c r="E3406" s="26">
        <f>IF(D3406="","",INT((D3406-cfgDeslocamento)/4))</f>
        <v>0</v>
      </c>
      <c r="F3406" s="26">
        <f>IF(D3406="","",MOD(D3406-cfgDeslocamento,4)+1)</f>
        <v>0</v>
      </c>
      <c r="G3406" s="26">
        <f>IF(A3406="","",IF(AND(ISNUMBER(B3406),B3406&lt;&gt;0),1,0))</f>
        <v>0</v>
      </c>
      <c r="H3406" s="25">
        <f>IF(E3406="","",(E3406*4+3+cfgDeslocamento)/48)</f>
        <v>0</v>
      </c>
    </row>
    <row r="3407" spans="1:8">
      <c r="A3407" s="24"/>
      <c r="B3407" s="19"/>
      <c r="C3407" s="25">
        <f>IF(D3407="","",D3407/48)</f>
        <v>0</v>
      </c>
      <c r="D3407" s="26">
        <f>IF(A3407="","",ROUND((A3407-cfgDefasagem/1440)*48,0))</f>
        <v>0</v>
      </c>
      <c r="E3407" s="26">
        <f>IF(D3407="","",INT((D3407-cfgDeslocamento)/4))</f>
        <v>0</v>
      </c>
      <c r="F3407" s="26">
        <f>IF(D3407="","",MOD(D3407-cfgDeslocamento,4)+1)</f>
        <v>0</v>
      </c>
      <c r="G3407" s="26">
        <f>IF(A3407="","",IF(AND(ISNUMBER(B3407),B3407&lt;&gt;0),1,0))</f>
        <v>0</v>
      </c>
      <c r="H3407" s="25">
        <f>IF(E3407="","",(E3407*4+3+cfgDeslocamento)/48)</f>
        <v>0</v>
      </c>
    </row>
    <row r="3408" spans="1:8">
      <c r="A3408" s="24"/>
      <c r="B3408" s="19"/>
      <c r="C3408" s="25">
        <f>IF(D3408="","",D3408/48)</f>
        <v>0</v>
      </c>
      <c r="D3408" s="26">
        <f>IF(A3408="","",ROUND((A3408-cfgDefasagem/1440)*48,0))</f>
        <v>0</v>
      </c>
      <c r="E3408" s="26">
        <f>IF(D3408="","",INT((D3408-cfgDeslocamento)/4))</f>
        <v>0</v>
      </c>
      <c r="F3408" s="26">
        <f>IF(D3408="","",MOD(D3408-cfgDeslocamento,4)+1)</f>
        <v>0</v>
      </c>
      <c r="G3408" s="26">
        <f>IF(A3408="","",IF(AND(ISNUMBER(B3408),B3408&lt;&gt;0),1,0))</f>
        <v>0</v>
      </c>
      <c r="H3408" s="25">
        <f>IF(E3408="","",(E3408*4+3+cfgDeslocamento)/48)</f>
        <v>0</v>
      </c>
    </row>
    <row r="3409" spans="1:8">
      <c r="A3409" s="24"/>
      <c r="B3409" s="19"/>
      <c r="C3409" s="25">
        <f>IF(D3409="","",D3409/48)</f>
        <v>0</v>
      </c>
      <c r="D3409" s="26">
        <f>IF(A3409="","",ROUND((A3409-cfgDefasagem/1440)*48,0))</f>
        <v>0</v>
      </c>
      <c r="E3409" s="26">
        <f>IF(D3409="","",INT((D3409-cfgDeslocamento)/4))</f>
        <v>0</v>
      </c>
      <c r="F3409" s="26">
        <f>IF(D3409="","",MOD(D3409-cfgDeslocamento,4)+1)</f>
        <v>0</v>
      </c>
      <c r="G3409" s="26">
        <f>IF(A3409="","",IF(AND(ISNUMBER(B3409),B3409&lt;&gt;0),1,0))</f>
        <v>0</v>
      </c>
      <c r="H3409" s="25">
        <f>IF(E3409="","",(E3409*4+3+cfgDeslocamento)/48)</f>
        <v>0</v>
      </c>
    </row>
    <row r="3410" spans="1:8">
      <c r="A3410" s="24"/>
      <c r="B3410" s="19"/>
      <c r="C3410" s="25">
        <f>IF(D3410="","",D3410/48)</f>
        <v>0</v>
      </c>
      <c r="D3410" s="26">
        <f>IF(A3410="","",ROUND((A3410-cfgDefasagem/1440)*48,0))</f>
        <v>0</v>
      </c>
      <c r="E3410" s="26">
        <f>IF(D3410="","",INT((D3410-cfgDeslocamento)/4))</f>
        <v>0</v>
      </c>
      <c r="F3410" s="26">
        <f>IF(D3410="","",MOD(D3410-cfgDeslocamento,4)+1)</f>
        <v>0</v>
      </c>
      <c r="G3410" s="26">
        <f>IF(A3410="","",IF(AND(ISNUMBER(B3410),B3410&lt;&gt;0),1,0))</f>
        <v>0</v>
      </c>
      <c r="H3410" s="25">
        <f>IF(E3410="","",(E3410*4+3+cfgDeslocamento)/48)</f>
        <v>0</v>
      </c>
    </row>
    <row r="3411" spans="1:8">
      <c r="A3411" s="24"/>
      <c r="B3411" s="19"/>
      <c r="C3411" s="25">
        <f>IF(D3411="","",D3411/48)</f>
        <v>0</v>
      </c>
      <c r="D3411" s="26">
        <f>IF(A3411="","",ROUND((A3411-cfgDefasagem/1440)*48,0))</f>
        <v>0</v>
      </c>
      <c r="E3411" s="26">
        <f>IF(D3411="","",INT((D3411-cfgDeslocamento)/4))</f>
        <v>0</v>
      </c>
      <c r="F3411" s="26">
        <f>IF(D3411="","",MOD(D3411-cfgDeslocamento,4)+1)</f>
        <v>0</v>
      </c>
      <c r="G3411" s="26">
        <f>IF(A3411="","",IF(AND(ISNUMBER(B3411),B3411&lt;&gt;0),1,0))</f>
        <v>0</v>
      </c>
      <c r="H3411" s="25">
        <f>IF(E3411="","",(E3411*4+3+cfgDeslocamento)/48)</f>
        <v>0</v>
      </c>
    </row>
    <row r="3412" spans="1:8">
      <c r="A3412" s="24"/>
      <c r="B3412" s="19"/>
      <c r="C3412" s="25">
        <f>IF(D3412="","",D3412/48)</f>
        <v>0</v>
      </c>
      <c r="D3412" s="26">
        <f>IF(A3412="","",ROUND((A3412-cfgDefasagem/1440)*48,0))</f>
        <v>0</v>
      </c>
      <c r="E3412" s="26">
        <f>IF(D3412="","",INT((D3412-cfgDeslocamento)/4))</f>
        <v>0</v>
      </c>
      <c r="F3412" s="26">
        <f>IF(D3412="","",MOD(D3412-cfgDeslocamento,4)+1)</f>
        <v>0</v>
      </c>
      <c r="G3412" s="26">
        <f>IF(A3412="","",IF(AND(ISNUMBER(B3412),B3412&lt;&gt;0),1,0))</f>
        <v>0</v>
      </c>
      <c r="H3412" s="25">
        <f>IF(E3412="","",(E3412*4+3+cfgDeslocamento)/48)</f>
        <v>0</v>
      </c>
    </row>
    <row r="3413" spans="1:8">
      <c r="A3413" s="24"/>
      <c r="B3413" s="19"/>
      <c r="C3413" s="25">
        <f>IF(D3413="","",D3413/48)</f>
        <v>0</v>
      </c>
      <c r="D3413" s="26">
        <f>IF(A3413="","",ROUND((A3413-cfgDefasagem/1440)*48,0))</f>
        <v>0</v>
      </c>
      <c r="E3413" s="26">
        <f>IF(D3413="","",INT((D3413-cfgDeslocamento)/4))</f>
        <v>0</v>
      </c>
      <c r="F3413" s="26">
        <f>IF(D3413="","",MOD(D3413-cfgDeslocamento,4)+1)</f>
        <v>0</v>
      </c>
      <c r="G3413" s="26">
        <f>IF(A3413="","",IF(AND(ISNUMBER(B3413),B3413&lt;&gt;0),1,0))</f>
        <v>0</v>
      </c>
      <c r="H3413" s="25">
        <f>IF(E3413="","",(E3413*4+3+cfgDeslocamento)/48)</f>
        <v>0</v>
      </c>
    </row>
    <row r="3414" spans="1:8">
      <c r="A3414" s="24"/>
      <c r="B3414" s="19"/>
      <c r="C3414" s="25">
        <f>IF(D3414="","",D3414/48)</f>
        <v>0</v>
      </c>
      <c r="D3414" s="26">
        <f>IF(A3414="","",ROUND((A3414-cfgDefasagem/1440)*48,0))</f>
        <v>0</v>
      </c>
      <c r="E3414" s="26">
        <f>IF(D3414="","",INT((D3414-cfgDeslocamento)/4))</f>
        <v>0</v>
      </c>
      <c r="F3414" s="26">
        <f>IF(D3414="","",MOD(D3414-cfgDeslocamento,4)+1)</f>
        <v>0</v>
      </c>
      <c r="G3414" s="26">
        <f>IF(A3414="","",IF(AND(ISNUMBER(B3414),B3414&lt;&gt;0),1,0))</f>
        <v>0</v>
      </c>
      <c r="H3414" s="25">
        <f>IF(E3414="","",(E3414*4+3+cfgDeslocamento)/48)</f>
        <v>0</v>
      </c>
    </row>
    <row r="3415" spans="1:8">
      <c r="A3415" s="24"/>
      <c r="B3415" s="19"/>
      <c r="C3415" s="25">
        <f>IF(D3415="","",D3415/48)</f>
        <v>0</v>
      </c>
      <c r="D3415" s="26">
        <f>IF(A3415="","",ROUND((A3415-cfgDefasagem/1440)*48,0))</f>
        <v>0</v>
      </c>
      <c r="E3415" s="26">
        <f>IF(D3415="","",INT((D3415-cfgDeslocamento)/4))</f>
        <v>0</v>
      </c>
      <c r="F3415" s="26">
        <f>IF(D3415="","",MOD(D3415-cfgDeslocamento,4)+1)</f>
        <v>0</v>
      </c>
      <c r="G3415" s="26">
        <f>IF(A3415="","",IF(AND(ISNUMBER(B3415),B3415&lt;&gt;0),1,0))</f>
        <v>0</v>
      </c>
      <c r="H3415" s="25">
        <f>IF(E3415="","",(E3415*4+3+cfgDeslocamento)/48)</f>
        <v>0</v>
      </c>
    </row>
    <row r="3416" spans="1:8">
      <c r="A3416" s="24"/>
      <c r="B3416" s="19"/>
      <c r="C3416" s="25">
        <f>IF(D3416="","",D3416/48)</f>
        <v>0</v>
      </c>
      <c r="D3416" s="26">
        <f>IF(A3416="","",ROUND((A3416-cfgDefasagem/1440)*48,0))</f>
        <v>0</v>
      </c>
      <c r="E3416" s="26">
        <f>IF(D3416="","",INT((D3416-cfgDeslocamento)/4))</f>
        <v>0</v>
      </c>
      <c r="F3416" s="26">
        <f>IF(D3416="","",MOD(D3416-cfgDeslocamento,4)+1)</f>
        <v>0</v>
      </c>
      <c r="G3416" s="26">
        <f>IF(A3416="","",IF(AND(ISNUMBER(B3416),B3416&lt;&gt;0),1,0))</f>
        <v>0</v>
      </c>
      <c r="H3416" s="25">
        <f>IF(E3416="","",(E3416*4+3+cfgDeslocamento)/48)</f>
        <v>0</v>
      </c>
    </row>
    <row r="3417" spans="1:8">
      <c r="A3417" s="24"/>
      <c r="B3417" s="19"/>
      <c r="C3417" s="25">
        <f>IF(D3417="","",D3417/48)</f>
        <v>0</v>
      </c>
      <c r="D3417" s="26">
        <f>IF(A3417="","",ROUND((A3417-cfgDefasagem/1440)*48,0))</f>
        <v>0</v>
      </c>
      <c r="E3417" s="26">
        <f>IF(D3417="","",INT((D3417-cfgDeslocamento)/4))</f>
        <v>0</v>
      </c>
      <c r="F3417" s="26">
        <f>IF(D3417="","",MOD(D3417-cfgDeslocamento,4)+1)</f>
        <v>0</v>
      </c>
      <c r="G3417" s="26">
        <f>IF(A3417="","",IF(AND(ISNUMBER(B3417),B3417&lt;&gt;0),1,0))</f>
        <v>0</v>
      </c>
      <c r="H3417" s="25">
        <f>IF(E3417="","",(E3417*4+3+cfgDeslocamento)/48)</f>
        <v>0</v>
      </c>
    </row>
    <row r="3418" spans="1:8">
      <c r="A3418" s="24"/>
      <c r="B3418" s="19"/>
      <c r="C3418" s="25">
        <f>IF(D3418="","",D3418/48)</f>
        <v>0</v>
      </c>
      <c r="D3418" s="26">
        <f>IF(A3418="","",ROUND((A3418-cfgDefasagem/1440)*48,0))</f>
        <v>0</v>
      </c>
      <c r="E3418" s="26">
        <f>IF(D3418="","",INT((D3418-cfgDeslocamento)/4))</f>
        <v>0</v>
      </c>
      <c r="F3418" s="26">
        <f>IF(D3418="","",MOD(D3418-cfgDeslocamento,4)+1)</f>
        <v>0</v>
      </c>
      <c r="G3418" s="26">
        <f>IF(A3418="","",IF(AND(ISNUMBER(B3418),B3418&lt;&gt;0),1,0))</f>
        <v>0</v>
      </c>
      <c r="H3418" s="25">
        <f>IF(E3418="","",(E3418*4+3+cfgDeslocamento)/48)</f>
        <v>0</v>
      </c>
    </row>
    <row r="3419" spans="1:8">
      <c r="A3419" s="24"/>
      <c r="B3419" s="19"/>
      <c r="C3419" s="25">
        <f>IF(D3419="","",D3419/48)</f>
        <v>0</v>
      </c>
      <c r="D3419" s="26">
        <f>IF(A3419="","",ROUND((A3419-cfgDefasagem/1440)*48,0))</f>
        <v>0</v>
      </c>
      <c r="E3419" s="26">
        <f>IF(D3419="","",INT((D3419-cfgDeslocamento)/4))</f>
        <v>0</v>
      </c>
      <c r="F3419" s="26">
        <f>IF(D3419="","",MOD(D3419-cfgDeslocamento,4)+1)</f>
        <v>0</v>
      </c>
      <c r="G3419" s="26">
        <f>IF(A3419="","",IF(AND(ISNUMBER(B3419),B3419&lt;&gt;0),1,0))</f>
        <v>0</v>
      </c>
      <c r="H3419" s="25">
        <f>IF(E3419="","",(E3419*4+3+cfgDeslocamento)/48)</f>
        <v>0</v>
      </c>
    </row>
    <row r="3420" spans="1:8">
      <c r="A3420" s="24"/>
      <c r="B3420" s="19"/>
      <c r="C3420" s="25">
        <f>IF(D3420="","",D3420/48)</f>
        <v>0</v>
      </c>
      <c r="D3420" s="26">
        <f>IF(A3420="","",ROUND((A3420-cfgDefasagem/1440)*48,0))</f>
        <v>0</v>
      </c>
      <c r="E3420" s="26">
        <f>IF(D3420="","",INT((D3420-cfgDeslocamento)/4))</f>
        <v>0</v>
      </c>
      <c r="F3420" s="26">
        <f>IF(D3420="","",MOD(D3420-cfgDeslocamento,4)+1)</f>
        <v>0</v>
      </c>
      <c r="G3420" s="26">
        <f>IF(A3420="","",IF(AND(ISNUMBER(B3420),B3420&lt;&gt;0),1,0))</f>
        <v>0</v>
      </c>
      <c r="H3420" s="25">
        <f>IF(E3420="","",(E3420*4+3+cfgDeslocamento)/48)</f>
        <v>0</v>
      </c>
    </row>
    <row r="3421" spans="1:8">
      <c r="A3421" s="24"/>
      <c r="B3421" s="19"/>
      <c r="C3421" s="25">
        <f>IF(D3421="","",D3421/48)</f>
        <v>0</v>
      </c>
      <c r="D3421" s="26">
        <f>IF(A3421="","",ROUND((A3421-cfgDefasagem/1440)*48,0))</f>
        <v>0</v>
      </c>
      <c r="E3421" s="26">
        <f>IF(D3421="","",INT((D3421-cfgDeslocamento)/4))</f>
        <v>0</v>
      </c>
      <c r="F3421" s="26">
        <f>IF(D3421="","",MOD(D3421-cfgDeslocamento,4)+1)</f>
        <v>0</v>
      </c>
      <c r="G3421" s="26">
        <f>IF(A3421="","",IF(AND(ISNUMBER(B3421),B3421&lt;&gt;0),1,0))</f>
        <v>0</v>
      </c>
      <c r="H3421" s="25">
        <f>IF(E3421="","",(E3421*4+3+cfgDeslocamento)/48)</f>
        <v>0</v>
      </c>
    </row>
    <row r="3422" spans="1:8">
      <c r="A3422" s="24"/>
      <c r="B3422" s="19"/>
      <c r="C3422" s="25">
        <f>IF(D3422="","",D3422/48)</f>
        <v>0</v>
      </c>
      <c r="D3422" s="26">
        <f>IF(A3422="","",ROUND((A3422-cfgDefasagem/1440)*48,0))</f>
        <v>0</v>
      </c>
      <c r="E3422" s="26">
        <f>IF(D3422="","",INT((D3422-cfgDeslocamento)/4))</f>
        <v>0</v>
      </c>
      <c r="F3422" s="26">
        <f>IF(D3422="","",MOD(D3422-cfgDeslocamento,4)+1)</f>
        <v>0</v>
      </c>
      <c r="G3422" s="26">
        <f>IF(A3422="","",IF(AND(ISNUMBER(B3422),B3422&lt;&gt;0),1,0))</f>
        <v>0</v>
      </c>
      <c r="H3422" s="25">
        <f>IF(E3422="","",(E3422*4+3+cfgDeslocamento)/48)</f>
        <v>0</v>
      </c>
    </row>
    <row r="3423" spans="1:8">
      <c r="A3423" s="24"/>
      <c r="B3423" s="19"/>
      <c r="C3423" s="25">
        <f>IF(D3423="","",D3423/48)</f>
        <v>0</v>
      </c>
      <c r="D3423" s="26">
        <f>IF(A3423="","",ROUND((A3423-cfgDefasagem/1440)*48,0))</f>
        <v>0</v>
      </c>
      <c r="E3423" s="26">
        <f>IF(D3423="","",INT((D3423-cfgDeslocamento)/4))</f>
        <v>0</v>
      </c>
      <c r="F3423" s="26">
        <f>IF(D3423="","",MOD(D3423-cfgDeslocamento,4)+1)</f>
        <v>0</v>
      </c>
      <c r="G3423" s="26">
        <f>IF(A3423="","",IF(AND(ISNUMBER(B3423),B3423&lt;&gt;0),1,0))</f>
        <v>0</v>
      </c>
      <c r="H3423" s="25">
        <f>IF(E3423="","",(E3423*4+3+cfgDeslocamento)/48)</f>
        <v>0</v>
      </c>
    </row>
    <row r="3424" spans="1:8">
      <c r="A3424" s="24"/>
      <c r="B3424" s="19"/>
      <c r="C3424" s="25">
        <f>IF(D3424="","",D3424/48)</f>
        <v>0</v>
      </c>
      <c r="D3424" s="26">
        <f>IF(A3424="","",ROUND((A3424-cfgDefasagem/1440)*48,0))</f>
        <v>0</v>
      </c>
      <c r="E3424" s="26">
        <f>IF(D3424="","",INT((D3424-cfgDeslocamento)/4))</f>
        <v>0</v>
      </c>
      <c r="F3424" s="26">
        <f>IF(D3424="","",MOD(D3424-cfgDeslocamento,4)+1)</f>
        <v>0</v>
      </c>
      <c r="G3424" s="26">
        <f>IF(A3424="","",IF(AND(ISNUMBER(B3424),B3424&lt;&gt;0),1,0))</f>
        <v>0</v>
      </c>
      <c r="H3424" s="25">
        <f>IF(E3424="","",(E3424*4+3+cfgDeslocamento)/48)</f>
        <v>0</v>
      </c>
    </row>
    <row r="3425" spans="1:8">
      <c r="A3425" s="24"/>
      <c r="B3425" s="19"/>
      <c r="C3425" s="25">
        <f>IF(D3425="","",D3425/48)</f>
        <v>0</v>
      </c>
      <c r="D3425" s="26">
        <f>IF(A3425="","",ROUND((A3425-cfgDefasagem/1440)*48,0))</f>
        <v>0</v>
      </c>
      <c r="E3425" s="26">
        <f>IF(D3425="","",INT((D3425-cfgDeslocamento)/4))</f>
        <v>0</v>
      </c>
      <c r="F3425" s="26">
        <f>IF(D3425="","",MOD(D3425-cfgDeslocamento,4)+1)</f>
        <v>0</v>
      </c>
      <c r="G3425" s="26">
        <f>IF(A3425="","",IF(AND(ISNUMBER(B3425),B3425&lt;&gt;0),1,0))</f>
        <v>0</v>
      </c>
      <c r="H3425" s="25">
        <f>IF(E3425="","",(E3425*4+3+cfgDeslocamento)/48)</f>
        <v>0</v>
      </c>
    </row>
    <row r="3426" spans="1:8">
      <c r="A3426" s="24"/>
      <c r="B3426" s="19"/>
      <c r="C3426" s="25">
        <f>IF(D3426="","",D3426/48)</f>
        <v>0</v>
      </c>
      <c r="D3426" s="26">
        <f>IF(A3426="","",ROUND((A3426-cfgDefasagem/1440)*48,0))</f>
        <v>0</v>
      </c>
      <c r="E3426" s="26">
        <f>IF(D3426="","",INT((D3426-cfgDeslocamento)/4))</f>
        <v>0</v>
      </c>
      <c r="F3426" s="26">
        <f>IF(D3426="","",MOD(D3426-cfgDeslocamento,4)+1)</f>
        <v>0</v>
      </c>
      <c r="G3426" s="26">
        <f>IF(A3426="","",IF(AND(ISNUMBER(B3426),B3426&lt;&gt;0),1,0))</f>
        <v>0</v>
      </c>
      <c r="H3426" s="25">
        <f>IF(E3426="","",(E3426*4+3+cfgDeslocamento)/48)</f>
        <v>0</v>
      </c>
    </row>
    <row r="3427" spans="1:8">
      <c r="A3427" s="24"/>
      <c r="B3427" s="19"/>
      <c r="C3427" s="25">
        <f>IF(D3427="","",D3427/48)</f>
        <v>0</v>
      </c>
      <c r="D3427" s="26">
        <f>IF(A3427="","",ROUND((A3427-cfgDefasagem/1440)*48,0))</f>
        <v>0</v>
      </c>
      <c r="E3427" s="26">
        <f>IF(D3427="","",INT((D3427-cfgDeslocamento)/4))</f>
        <v>0</v>
      </c>
      <c r="F3427" s="26">
        <f>IF(D3427="","",MOD(D3427-cfgDeslocamento,4)+1)</f>
        <v>0</v>
      </c>
      <c r="G3427" s="26">
        <f>IF(A3427="","",IF(AND(ISNUMBER(B3427),B3427&lt;&gt;0),1,0))</f>
        <v>0</v>
      </c>
      <c r="H3427" s="25">
        <f>IF(E3427="","",(E3427*4+3+cfgDeslocamento)/48)</f>
        <v>0</v>
      </c>
    </row>
    <row r="3428" spans="1:8">
      <c r="A3428" s="24"/>
      <c r="B3428" s="19"/>
      <c r="C3428" s="25">
        <f>IF(D3428="","",D3428/48)</f>
        <v>0</v>
      </c>
      <c r="D3428" s="26">
        <f>IF(A3428="","",ROUND((A3428-cfgDefasagem/1440)*48,0))</f>
        <v>0</v>
      </c>
      <c r="E3428" s="26">
        <f>IF(D3428="","",INT((D3428-cfgDeslocamento)/4))</f>
        <v>0</v>
      </c>
      <c r="F3428" s="26">
        <f>IF(D3428="","",MOD(D3428-cfgDeslocamento,4)+1)</f>
        <v>0</v>
      </c>
      <c r="G3428" s="26">
        <f>IF(A3428="","",IF(AND(ISNUMBER(B3428),B3428&lt;&gt;0),1,0))</f>
        <v>0</v>
      </c>
      <c r="H3428" s="25">
        <f>IF(E3428="","",(E3428*4+3+cfgDeslocamento)/48)</f>
        <v>0</v>
      </c>
    </row>
    <row r="3429" spans="1:8">
      <c r="A3429" s="24"/>
      <c r="B3429" s="19"/>
      <c r="C3429" s="25">
        <f>IF(D3429="","",D3429/48)</f>
        <v>0</v>
      </c>
      <c r="D3429" s="26">
        <f>IF(A3429="","",ROUND((A3429-cfgDefasagem/1440)*48,0))</f>
        <v>0</v>
      </c>
      <c r="E3429" s="26">
        <f>IF(D3429="","",INT((D3429-cfgDeslocamento)/4))</f>
        <v>0</v>
      </c>
      <c r="F3429" s="26">
        <f>IF(D3429="","",MOD(D3429-cfgDeslocamento,4)+1)</f>
        <v>0</v>
      </c>
      <c r="G3429" s="26">
        <f>IF(A3429="","",IF(AND(ISNUMBER(B3429),B3429&lt;&gt;0),1,0))</f>
        <v>0</v>
      </c>
      <c r="H3429" s="25">
        <f>IF(E3429="","",(E3429*4+3+cfgDeslocamento)/48)</f>
        <v>0</v>
      </c>
    </row>
    <row r="3430" spans="1:8">
      <c r="A3430" s="24"/>
      <c r="B3430" s="19"/>
      <c r="C3430" s="25">
        <f>IF(D3430="","",D3430/48)</f>
        <v>0</v>
      </c>
      <c r="D3430" s="26">
        <f>IF(A3430="","",ROUND((A3430-cfgDefasagem/1440)*48,0))</f>
        <v>0</v>
      </c>
      <c r="E3430" s="26">
        <f>IF(D3430="","",INT((D3430-cfgDeslocamento)/4))</f>
        <v>0</v>
      </c>
      <c r="F3430" s="26">
        <f>IF(D3430="","",MOD(D3430-cfgDeslocamento,4)+1)</f>
        <v>0</v>
      </c>
      <c r="G3430" s="26">
        <f>IF(A3430="","",IF(AND(ISNUMBER(B3430),B3430&lt;&gt;0),1,0))</f>
        <v>0</v>
      </c>
      <c r="H3430" s="25">
        <f>IF(E3430="","",(E3430*4+3+cfgDeslocamento)/48)</f>
        <v>0</v>
      </c>
    </row>
    <row r="3431" spans="1:8">
      <c r="A3431" s="24"/>
      <c r="B3431" s="19"/>
      <c r="C3431" s="25">
        <f>IF(D3431="","",D3431/48)</f>
        <v>0</v>
      </c>
      <c r="D3431" s="26">
        <f>IF(A3431="","",ROUND((A3431-cfgDefasagem/1440)*48,0))</f>
        <v>0</v>
      </c>
      <c r="E3431" s="26">
        <f>IF(D3431="","",INT((D3431-cfgDeslocamento)/4))</f>
        <v>0</v>
      </c>
      <c r="F3431" s="26">
        <f>IF(D3431="","",MOD(D3431-cfgDeslocamento,4)+1)</f>
        <v>0</v>
      </c>
      <c r="G3431" s="26">
        <f>IF(A3431="","",IF(AND(ISNUMBER(B3431),B3431&lt;&gt;0),1,0))</f>
        <v>0</v>
      </c>
      <c r="H3431" s="25">
        <f>IF(E3431="","",(E3431*4+3+cfgDeslocamento)/48)</f>
        <v>0</v>
      </c>
    </row>
    <row r="3432" spans="1:8">
      <c r="A3432" s="24"/>
      <c r="B3432" s="19"/>
      <c r="C3432" s="25">
        <f>IF(D3432="","",D3432/48)</f>
        <v>0</v>
      </c>
      <c r="D3432" s="26">
        <f>IF(A3432="","",ROUND((A3432-cfgDefasagem/1440)*48,0))</f>
        <v>0</v>
      </c>
      <c r="E3432" s="26">
        <f>IF(D3432="","",INT((D3432-cfgDeslocamento)/4))</f>
        <v>0</v>
      </c>
      <c r="F3432" s="26">
        <f>IF(D3432="","",MOD(D3432-cfgDeslocamento,4)+1)</f>
        <v>0</v>
      </c>
      <c r="G3432" s="26">
        <f>IF(A3432="","",IF(AND(ISNUMBER(B3432),B3432&lt;&gt;0),1,0))</f>
        <v>0</v>
      </c>
      <c r="H3432" s="25">
        <f>IF(E3432="","",(E3432*4+3+cfgDeslocamento)/48)</f>
        <v>0</v>
      </c>
    </row>
    <row r="3433" spans="1:8">
      <c r="A3433" s="24"/>
      <c r="B3433" s="19"/>
      <c r="C3433" s="25">
        <f>IF(D3433="","",D3433/48)</f>
        <v>0</v>
      </c>
      <c r="D3433" s="26">
        <f>IF(A3433="","",ROUND((A3433-cfgDefasagem/1440)*48,0))</f>
        <v>0</v>
      </c>
      <c r="E3433" s="26">
        <f>IF(D3433="","",INT((D3433-cfgDeslocamento)/4))</f>
        <v>0</v>
      </c>
      <c r="F3433" s="26">
        <f>IF(D3433="","",MOD(D3433-cfgDeslocamento,4)+1)</f>
        <v>0</v>
      </c>
      <c r="G3433" s="26">
        <f>IF(A3433="","",IF(AND(ISNUMBER(B3433),B3433&lt;&gt;0),1,0))</f>
        <v>0</v>
      </c>
      <c r="H3433" s="25">
        <f>IF(E3433="","",(E3433*4+3+cfgDeslocamento)/48)</f>
        <v>0</v>
      </c>
    </row>
    <row r="3434" spans="1:8">
      <c r="A3434" s="24"/>
      <c r="B3434" s="19"/>
      <c r="C3434" s="25">
        <f>IF(D3434="","",D3434/48)</f>
        <v>0</v>
      </c>
      <c r="D3434" s="26">
        <f>IF(A3434="","",ROUND((A3434-cfgDefasagem/1440)*48,0))</f>
        <v>0</v>
      </c>
      <c r="E3434" s="26">
        <f>IF(D3434="","",INT((D3434-cfgDeslocamento)/4))</f>
        <v>0</v>
      </c>
      <c r="F3434" s="26">
        <f>IF(D3434="","",MOD(D3434-cfgDeslocamento,4)+1)</f>
        <v>0</v>
      </c>
      <c r="G3434" s="26">
        <f>IF(A3434="","",IF(AND(ISNUMBER(B3434),B3434&lt;&gt;0),1,0))</f>
        <v>0</v>
      </c>
      <c r="H3434" s="25">
        <f>IF(E3434="","",(E3434*4+3+cfgDeslocamento)/48)</f>
        <v>0</v>
      </c>
    </row>
    <row r="3435" spans="1:8">
      <c r="A3435" s="24"/>
      <c r="B3435" s="19"/>
      <c r="C3435" s="25">
        <f>IF(D3435="","",D3435/48)</f>
        <v>0</v>
      </c>
      <c r="D3435" s="26">
        <f>IF(A3435="","",ROUND((A3435-cfgDefasagem/1440)*48,0))</f>
        <v>0</v>
      </c>
      <c r="E3435" s="26">
        <f>IF(D3435="","",INT((D3435-cfgDeslocamento)/4))</f>
        <v>0</v>
      </c>
      <c r="F3435" s="26">
        <f>IF(D3435="","",MOD(D3435-cfgDeslocamento,4)+1)</f>
        <v>0</v>
      </c>
      <c r="G3435" s="26">
        <f>IF(A3435="","",IF(AND(ISNUMBER(B3435),B3435&lt;&gt;0),1,0))</f>
        <v>0</v>
      </c>
      <c r="H3435" s="25">
        <f>IF(E3435="","",(E3435*4+3+cfgDeslocamento)/48)</f>
        <v>0</v>
      </c>
    </row>
    <row r="3436" spans="1:8">
      <c r="A3436" s="24"/>
      <c r="B3436" s="19"/>
      <c r="C3436" s="25">
        <f>IF(D3436="","",D3436/48)</f>
        <v>0</v>
      </c>
      <c r="D3436" s="26">
        <f>IF(A3436="","",ROUND((A3436-cfgDefasagem/1440)*48,0))</f>
        <v>0</v>
      </c>
      <c r="E3436" s="26">
        <f>IF(D3436="","",INT((D3436-cfgDeslocamento)/4))</f>
        <v>0</v>
      </c>
      <c r="F3436" s="26">
        <f>IF(D3436="","",MOD(D3436-cfgDeslocamento,4)+1)</f>
        <v>0</v>
      </c>
      <c r="G3436" s="26">
        <f>IF(A3436="","",IF(AND(ISNUMBER(B3436),B3436&lt;&gt;0),1,0))</f>
        <v>0</v>
      </c>
      <c r="H3436" s="25">
        <f>IF(E3436="","",(E3436*4+3+cfgDeslocamento)/48)</f>
        <v>0</v>
      </c>
    </row>
    <row r="3437" spans="1:8">
      <c r="A3437" s="24"/>
      <c r="B3437" s="19"/>
      <c r="C3437" s="25">
        <f>IF(D3437="","",D3437/48)</f>
        <v>0</v>
      </c>
      <c r="D3437" s="26">
        <f>IF(A3437="","",ROUND((A3437-cfgDefasagem/1440)*48,0))</f>
        <v>0</v>
      </c>
      <c r="E3437" s="26">
        <f>IF(D3437="","",INT((D3437-cfgDeslocamento)/4))</f>
        <v>0</v>
      </c>
      <c r="F3437" s="26">
        <f>IF(D3437="","",MOD(D3437-cfgDeslocamento,4)+1)</f>
        <v>0</v>
      </c>
      <c r="G3437" s="26">
        <f>IF(A3437="","",IF(AND(ISNUMBER(B3437),B3437&lt;&gt;0),1,0))</f>
        <v>0</v>
      </c>
      <c r="H3437" s="25">
        <f>IF(E3437="","",(E3437*4+3+cfgDeslocamento)/48)</f>
        <v>0</v>
      </c>
    </row>
    <row r="3438" spans="1:8">
      <c r="A3438" s="24"/>
      <c r="B3438" s="19"/>
      <c r="C3438" s="25">
        <f>IF(D3438="","",D3438/48)</f>
        <v>0</v>
      </c>
      <c r="D3438" s="26">
        <f>IF(A3438="","",ROUND((A3438-cfgDefasagem/1440)*48,0))</f>
        <v>0</v>
      </c>
      <c r="E3438" s="26">
        <f>IF(D3438="","",INT((D3438-cfgDeslocamento)/4))</f>
        <v>0</v>
      </c>
      <c r="F3438" s="26">
        <f>IF(D3438="","",MOD(D3438-cfgDeslocamento,4)+1)</f>
        <v>0</v>
      </c>
      <c r="G3438" s="26">
        <f>IF(A3438="","",IF(AND(ISNUMBER(B3438),B3438&lt;&gt;0),1,0))</f>
        <v>0</v>
      </c>
      <c r="H3438" s="25">
        <f>IF(E3438="","",(E3438*4+3+cfgDeslocamento)/48)</f>
        <v>0</v>
      </c>
    </row>
    <row r="3439" spans="1:8">
      <c r="A3439" s="24"/>
      <c r="B3439" s="19"/>
      <c r="C3439" s="25">
        <f>IF(D3439="","",D3439/48)</f>
        <v>0</v>
      </c>
      <c r="D3439" s="26">
        <f>IF(A3439="","",ROUND((A3439-cfgDefasagem/1440)*48,0))</f>
        <v>0</v>
      </c>
      <c r="E3439" s="26">
        <f>IF(D3439="","",INT((D3439-cfgDeslocamento)/4))</f>
        <v>0</v>
      </c>
      <c r="F3439" s="26">
        <f>IF(D3439="","",MOD(D3439-cfgDeslocamento,4)+1)</f>
        <v>0</v>
      </c>
      <c r="G3439" s="26">
        <f>IF(A3439="","",IF(AND(ISNUMBER(B3439),B3439&lt;&gt;0),1,0))</f>
        <v>0</v>
      </c>
      <c r="H3439" s="25">
        <f>IF(E3439="","",(E3439*4+3+cfgDeslocamento)/48)</f>
        <v>0</v>
      </c>
    </row>
    <row r="3440" spans="1:8">
      <c r="A3440" s="24"/>
      <c r="B3440" s="19"/>
      <c r="C3440" s="25">
        <f>IF(D3440="","",D3440/48)</f>
        <v>0</v>
      </c>
      <c r="D3440" s="26">
        <f>IF(A3440="","",ROUND((A3440-cfgDefasagem/1440)*48,0))</f>
        <v>0</v>
      </c>
      <c r="E3440" s="26">
        <f>IF(D3440="","",INT((D3440-cfgDeslocamento)/4))</f>
        <v>0</v>
      </c>
      <c r="F3440" s="26">
        <f>IF(D3440="","",MOD(D3440-cfgDeslocamento,4)+1)</f>
        <v>0</v>
      </c>
      <c r="G3440" s="26">
        <f>IF(A3440="","",IF(AND(ISNUMBER(B3440),B3440&lt;&gt;0),1,0))</f>
        <v>0</v>
      </c>
      <c r="H3440" s="25">
        <f>IF(E3440="","",(E3440*4+3+cfgDeslocamento)/48)</f>
        <v>0</v>
      </c>
    </row>
    <row r="3441" spans="1:8">
      <c r="A3441" s="24"/>
      <c r="B3441" s="19"/>
      <c r="C3441" s="25">
        <f>IF(D3441="","",D3441/48)</f>
        <v>0</v>
      </c>
      <c r="D3441" s="26">
        <f>IF(A3441="","",ROUND((A3441-cfgDefasagem/1440)*48,0))</f>
        <v>0</v>
      </c>
      <c r="E3441" s="26">
        <f>IF(D3441="","",INT((D3441-cfgDeslocamento)/4))</f>
        <v>0</v>
      </c>
      <c r="F3441" s="26">
        <f>IF(D3441="","",MOD(D3441-cfgDeslocamento,4)+1)</f>
        <v>0</v>
      </c>
      <c r="G3441" s="26">
        <f>IF(A3441="","",IF(AND(ISNUMBER(B3441),B3441&lt;&gt;0),1,0))</f>
        <v>0</v>
      </c>
      <c r="H3441" s="25">
        <f>IF(E3441="","",(E3441*4+3+cfgDeslocamento)/48)</f>
        <v>0</v>
      </c>
    </row>
    <row r="3442" spans="1:8">
      <c r="A3442" s="24"/>
      <c r="B3442" s="19"/>
      <c r="C3442" s="25">
        <f>IF(D3442="","",D3442/48)</f>
        <v>0</v>
      </c>
      <c r="D3442" s="26">
        <f>IF(A3442="","",ROUND((A3442-cfgDefasagem/1440)*48,0))</f>
        <v>0</v>
      </c>
      <c r="E3442" s="26">
        <f>IF(D3442="","",INT((D3442-cfgDeslocamento)/4))</f>
        <v>0</v>
      </c>
      <c r="F3442" s="26">
        <f>IF(D3442="","",MOD(D3442-cfgDeslocamento,4)+1)</f>
        <v>0</v>
      </c>
      <c r="G3442" s="26">
        <f>IF(A3442="","",IF(AND(ISNUMBER(B3442),B3442&lt;&gt;0),1,0))</f>
        <v>0</v>
      </c>
      <c r="H3442" s="25">
        <f>IF(E3442="","",(E3442*4+3+cfgDeslocamento)/48)</f>
        <v>0</v>
      </c>
    </row>
    <row r="3443" spans="1:8">
      <c r="A3443" s="24"/>
      <c r="B3443" s="19"/>
      <c r="C3443" s="25">
        <f>IF(D3443="","",D3443/48)</f>
        <v>0</v>
      </c>
      <c r="D3443" s="26">
        <f>IF(A3443="","",ROUND((A3443-cfgDefasagem/1440)*48,0))</f>
        <v>0</v>
      </c>
      <c r="E3443" s="26">
        <f>IF(D3443="","",INT((D3443-cfgDeslocamento)/4))</f>
        <v>0</v>
      </c>
      <c r="F3443" s="26">
        <f>IF(D3443="","",MOD(D3443-cfgDeslocamento,4)+1)</f>
        <v>0</v>
      </c>
      <c r="G3443" s="26">
        <f>IF(A3443="","",IF(AND(ISNUMBER(B3443),B3443&lt;&gt;0),1,0))</f>
        <v>0</v>
      </c>
      <c r="H3443" s="25">
        <f>IF(E3443="","",(E3443*4+3+cfgDeslocamento)/48)</f>
        <v>0</v>
      </c>
    </row>
    <row r="3444" spans="1:8">
      <c r="A3444" s="24"/>
      <c r="B3444" s="19"/>
      <c r="C3444" s="25">
        <f>IF(D3444="","",D3444/48)</f>
        <v>0</v>
      </c>
      <c r="D3444" s="26">
        <f>IF(A3444="","",ROUND((A3444-cfgDefasagem/1440)*48,0))</f>
        <v>0</v>
      </c>
      <c r="E3444" s="26">
        <f>IF(D3444="","",INT((D3444-cfgDeslocamento)/4))</f>
        <v>0</v>
      </c>
      <c r="F3444" s="26">
        <f>IF(D3444="","",MOD(D3444-cfgDeslocamento,4)+1)</f>
        <v>0</v>
      </c>
      <c r="G3444" s="26">
        <f>IF(A3444="","",IF(AND(ISNUMBER(B3444),B3444&lt;&gt;0),1,0))</f>
        <v>0</v>
      </c>
      <c r="H3444" s="25">
        <f>IF(E3444="","",(E3444*4+3+cfgDeslocamento)/48)</f>
        <v>0</v>
      </c>
    </row>
    <row r="3445" spans="1:8">
      <c r="A3445" s="24"/>
      <c r="B3445" s="19"/>
      <c r="C3445" s="25">
        <f>IF(D3445="","",D3445/48)</f>
        <v>0</v>
      </c>
      <c r="D3445" s="26">
        <f>IF(A3445="","",ROUND((A3445-cfgDefasagem/1440)*48,0))</f>
        <v>0</v>
      </c>
      <c r="E3445" s="26">
        <f>IF(D3445="","",INT((D3445-cfgDeslocamento)/4))</f>
        <v>0</v>
      </c>
      <c r="F3445" s="26">
        <f>IF(D3445="","",MOD(D3445-cfgDeslocamento,4)+1)</f>
        <v>0</v>
      </c>
      <c r="G3445" s="26">
        <f>IF(A3445="","",IF(AND(ISNUMBER(B3445),B3445&lt;&gt;0),1,0))</f>
        <v>0</v>
      </c>
      <c r="H3445" s="25">
        <f>IF(E3445="","",(E3445*4+3+cfgDeslocamento)/48)</f>
        <v>0</v>
      </c>
    </row>
    <row r="3446" spans="1:8">
      <c r="A3446" s="24"/>
      <c r="B3446" s="19"/>
      <c r="C3446" s="25">
        <f>IF(D3446="","",D3446/48)</f>
        <v>0</v>
      </c>
      <c r="D3446" s="26">
        <f>IF(A3446="","",ROUND((A3446-cfgDefasagem/1440)*48,0))</f>
        <v>0</v>
      </c>
      <c r="E3446" s="26">
        <f>IF(D3446="","",INT((D3446-cfgDeslocamento)/4))</f>
        <v>0</v>
      </c>
      <c r="F3446" s="26">
        <f>IF(D3446="","",MOD(D3446-cfgDeslocamento,4)+1)</f>
        <v>0</v>
      </c>
      <c r="G3446" s="26">
        <f>IF(A3446="","",IF(AND(ISNUMBER(B3446),B3446&lt;&gt;0),1,0))</f>
        <v>0</v>
      </c>
      <c r="H3446" s="25">
        <f>IF(E3446="","",(E3446*4+3+cfgDeslocamento)/48)</f>
        <v>0</v>
      </c>
    </row>
    <row r="3447" spans="1:8">
      <c r="A3447" s="24"/>
      <c r="B3447" s="19"/>
      <c r="C3447" s="25">
        <f>IF(D3447="","",D3447/48)</f>
        <v>0</v>
      </c>
      <c r="D3447" s="26">
        <f>IF(A3447="","",ROUND((A3447-cfgDefasagem/1440)*48,0))</f>
        <v>0</v>
      </c>
      <c r="E3447" s="26">
        <f>IF(D3447="","",INT((D3447-cfgDeslocamento)/4))</f>
        <v>0</v>
      </c>
      <c r="F3447" s="26">
        <f>IF(D3447="","",MOD(D3447-cfgDeslocamento,4)+1)</f>
        <v>0</v>
      </c>
      <c r="G3447" s="26">
        <f>IF(A3447="","",IF(AND(ISNUMBER(B3447),B3447&lt;&gt;0),1,0))</f>
        <v>0</v>
      </c>
      <c r="H3447" s="25">
        <f>IF(E3447="","",(E3447*4+3+cfgDeslocamento)/48)</f>
        <v>0</v>
      </c>
    </row>
    <row r="3448" spans="1:8">
      <c r="A3448" s="24"/>
      <c r="B3448" s="19"/>
      <c r="C3448" s="25">
        <f>IF(D3448="","",D3448/48)</f>
        <v>0</v>
      </c>
      <c r="D3448" s="26">
        <f>IF(A3448="","",ROUND((A3448-cfgDefasagem/1440)*48,0))</f>
        <v>0</v>
      </c>
      <c r="E3448" s="26">
        <f>IF(D3448="","",INT((D3448-cfgDeslocamento)/4))</f>
        <v>0</v>
      </c>
      <c r="F3448" s="26">
        <f>IF(D3448="","",MOD(D3448-cfgDeslocamento,4)+1)</f>
        <v>0</v>
      </c>
      <c r="G3448" s="26">
        <f>IF(A3448="","",IF(AND(ISNUMBER(B3448),B3448&lt;&gt;0),1,0))</f>
        <v>0</v>
      </c>
      <c r="H3448" s="25">
        <f>IF(E3448="","",(E3448*4+3+cfgDeslocamento)/48)</f>
        <v>0</v>
      </c>
    </row>
    <row r="3449" spans="1:8">
      <c r="A3449" s="24"/>
      <c r="B3449" s="19"/>
      <c r="C3449" s="25">
        <f>IF(D3449="","",D3449/48)</f>
        <v>0</v>
      </c>
      <c r="D3449" s="26">
        <f>IF(A3449="","",ROUND((A3449-cfgDefasagem/1440)*48,0))</f>
        <v>0</v>
      </c>
      <c r="E3449" s="26">
        <f>IF(D3449="","",INT((D3449-cfgDeslocamento)/4))</f>
        <v>0</v>
      </c>
      <c r="F3449" s="26">
        <f>IF(D3449="","",MOD(D3449-cfgDeslocamento,4)+1)</f>
        <v>0</v>
      </c>
      <c r="G3449" s="26">
        <f>IF(A3449="","",IF(AND(ISNUMBER(B3449),B3449&lt;&gt;0),1,0))</f>
        <v>0</v>
      </c>
      <c r="H3449" s="25">
        <f>IF(E3449="","",(E3449*4+3+cfgDeslocamento)/48)</f>
        <v>0</v>
      </c>
    </row>
    <row r="3450" spans="1:8">
      <c r="A3450" s="24"/>
      <c r="B3450" s="19"/>
      <c r="C3450" s="25">
        <f>IF(D3450="","",D3450/48)</f>
        <v>0</v>
      </c>
      <c r="D3450" s="26">
        <f>IF(A3450="","",ROUND((A3450-cfgDefasagem/1440)*48,0))</f>
        <v>0</v>
      </c>
      <c r="E3450" s="26">
        <f>IF(D3450="","",INT((D3450-cfgDeslocamento)/4))</f>
        <v>0</v>
      </c>
      <c r="F3450" s="26">
        <f>IF(D3450="","",MOD(D3450-cfgDeslocamento,4)+1)</f>
        <v>0</v>
      </c>
      <c r="G3450" s="26">
        <f>IF(A3450="","",IF(AND(ISNUMBER(B3450),B3450&lt;&gt;0),1,0))</f>
        <v>0</v>
      </c>
      <c r="H3450" s="25">
        <f>IF(E3450="","",(E3450*4+3+cfgDeslocamento)/48)</f>
        <v>0</v>
      </c>
    </row>
    <row r="3451" spans="1:8">
      <c r="A3451" s="24"/>
      <c r="B3451" s="19"/>
      <c r="C3451" s="25">
        <f>IF(D3451="","",D3451/48)</f>
        <v>0</v>
      </c>
      <c r="D3451" s="26">
        <f>IF(A3451="","",ROUND((A3451-cfgDefasagem/1440)*48,0))</f>
        <v>0</v>
      </c>
      <c r="E3451" s="26">
        <f>IF(D3451="","",INT((D3451-cfgDeslocamento)/4))</f>
        <v>0</v>
      </c>
      <c r="F3451" s="26">
        <f>IF(D3451="","",MOD(D3451-cfgDeslocamento,4)+1)</f>
        <v>0</v>
      </c>
      <c r="G3451" s="26">
        <f>IF(A3451="","",IF(AND(ISNUMBER(B3451),B3451&lt;&gt;0),1,0))</f>
        <v>0</v>
      </c>
      <c r="H3451" s="25">
        <f>IF(E3451="","",(E3451*4+3+cfgDeslocamento)/48)</f>
        <v>0</v>
      </c>
    </row>
    <row r="3452" spans="1:8">
      <c r="A3452" s="24"/>
      <c r="B3452" s="19"/>
      <c r="C3452" s="25">
        <f>IF(D3452="","",D3452/48)</f>
        <v>0</v>
      </c>
      <c r="D3452" s="26">
        <f>IF(A3452="","",ROUND((A3452-cfgDefasagem/1440)*48,0))</f>
        <v>0</v>
      </c>
      <c r="E3452" s="26">
        <f>IF(D3452="","",INT((D3452-cfgDeslocamento)/4))</f>
        <v>0</v>
      </c>
      <c r="F3452" s="26">
        <f>IF(D3452="","",MOD(D3452-cfgDeslocamento,4)+1)</f>
        <v>0</v>
      </c>
      <c r="G3452" s="26">
        <f>IF(A3452="","",IF(AND(ISNUMBER(B3452),B3452&lt;&gt;0),1,0))</f>
        <v>0</v>
      </c>
      <c r="H3452" s="25">
        <f>IF(E3452="","",(E3452*4+3+cfgDeslocamento)/48)</f>
        <v>0</v>
      </c>
    </row>
    <row r="3453" spans="1:8">
      <c r="A3453" s="24"/>
      <c r="B3453" s="19"/>
      <c r="C3453" s="25">
        <f>IF(D3453="","",D3453/48)</f>
        <v>0</v>
      </c>
      <c r="D3453" s="26">
        <f>IF(A3453="","",ROUND((A3453-cfgDefasagem/1440)*48,0))</f>
        <v>0</v>
      </c>
      <c r="E3453" s="26">
        <f>IF(D3453="","",INT((D3453-cfgDeslocamento)/4))</f>
        <v>0</v>
      </c>
      <c r="F3453" s="26">
        <f>IF(D3453="","",MOD(D3453-cfgDeslocamento,4)+1)</f>
        <v>0</v>
      </c>
      <c r="G3453" s="26">
        <f>IF(A3453="","",IF(AND(ISNUMBER(B3453),B3453&lt;&gt;0),1,0))</f>
        <v>0</v>
      </c>
      <c r="H3453" s="25">
        <f>IF(E3453="","",(E3453*4+3+cfgDeslocamento)/48)</f>
        <v>0</v>
      </c>
    </row>
    <row r="3454" spans="1:8">
      <c r="A3454" s="24"/>
      <c r="B3454" s="19"/>
      <c r="C3454" s="25">
        <f>IF(D3454="","",D3454/48)</f>
        <v>0</v>
      </c>
      <c r="D3454" s="26">
        <f>IF(A3454="","",ROUND((A3454-cfgDefasagem/1440)*48,0))</f>
        <v>0</v>
      </c>
      <c r="E3454" s="26">
        <f>IF(D3454="","",INT((D3454-cfgDeslocamento)/4))</f>
        <v>0</v>
      </c>
      <c r="F3454" s="26">
        <f>IF(D3454="","",MOD(D3454-cfgDeslocamento,4)+1)</f>
        <v>0</v>
      </c>
      <c r="G3454" s="26">
        <f>IF(A3454="","",IF(AND(ISNUMBER(B3454),B3454&lt;&gt;0),1,0))</f>
        <v>0</v>
      </c>
      <c r="H3454" s="25">
        <f>IF(E3454="","",(E3454*4+3+cfgDeslocamento)/48)</f>
        <v>0</v>
      </c>
    </row>
    <row r="3455" spans="1:8">
      <c r="A3455" s="24"/>
      <c r="B3455" s="19"/>
      <c r="C3455" s="25">
        <f>IF(D3455="","",D3455/48)</f>
        <v>0</v>
      </c>
      <c r="D3455" s="26">
        <f>IF(A3455="","",ROUND((A3455-cfgDefasagem/1440)*48,0))</f>
        <v>0</v>
      </c>
      <c r="E3455" s="26">
        <f>IF(D3455="","",INT((D3455-cfgDeslocamento)/4))</f>
        <v>0</v>
      </c>
      <c r="F3455" s="26">
        <f>IF(D3455="","",MOD(D3455-cfgDeslocamento,4)+1)</f>
        <v>0</v>
      </c>
      <c r="G3455" s="26">
        <f>IF(A3455="","",IF(AND(ISNUMBER(B3455),B3455&lt;&gt;0),1,0))</f>
        <v>0</v>
      </c>
      <c r="H3455" s="25">
        <f>IF(E3455="","",(E3455*4+3+cfgDeslocamento)/48)</f>
        <v>0</v>
      </c>
    </row>
    <row r="3456" spans="1:8">
      <c r="A3456" s="24"/>
      <c r="B3456" s="19"/>
      <c r="C3456" s="25">
        <f>IF(D3456="","",D3456/48)</f>
        <v>0</v>
      </c>
      <c r="D3456" s="26">
        <f>IF(A3456="","",ROUND((A3456-cfgDefasagem/1440)*48,0))</f>
        <v>0</v>
      </c>
      <c r="E3456" s="26">
        <f>IF(D3456="","",INT((D3456-cfgDeslocamento)/4))</f>
        <v>0</v>
      </c>
      <c r="F3456" s="26">
        <f>IF(D3456="","",MOD(D3456-cfgDeslocamento,4)+1)</f>
        <v>0</v>
      </c>
      <c r="G3456" s="26">
        <f>IF(A3456="","",IF(AND(ISNUMBER(B3456),B3456&lt;&gt;0),1,0))</f>
        <v>0</v>
      </c>
      <c r="H3456" s="25">
        <f>IF(E3456="","",(E3456*4+3+cfgDeslocamento)/48)</f>
        <v>0</v>
      </c>
    </row>
    <row r="3457" spans="1:8">
      <c r="A3457" s="24"/>
      <c r="B3457" s="19"/>
      <c r="C3457" s="25">
        <f>IF(D3457="","",D3457/48)</f>
        <v>0</v>
      </c>
      <c r="D3457" s="26">
        <f>IF(A3457="","",ROUND((A3457-cfgDefasagem/1440)*48,0))</f>
        <v>0</v>
      </c>
      <c r="E3457" s="26">
        <f>IF(D3457="","",INT((D3457-cfgDeslocamento)/4))</f>
        <v>0</v>
      </c>
      <c r="F3457" s="26">
        <f>IF(D3457="","",MOD(D3457-cfgDeslocamento,4)+1)</f>
        <v>0</v>
      </c>
      <c r="G3457" s="26">
        <f>IF(A3457="","",IF(AND(ISNUMBER(B3457),B3457&lt;&gt;0),1,0))</f>
        <v>0</v>
      </c>
      <c r="H3457" s="25">
        <f>IF(E3457="","",(E3457*4+3+cfgDeslocamento)/48)</f>
        <v>0</v>
      </c>
    </row>
    <row r="3458" spans="1:8">
      <c r="A3458" s="24"/>
      <c r="B3458" s="19"/>
      <c r="C3458" s="25">
        <f>IF(D3458="","",D3458/48)</f>
        <v>0</v>
      </c>
      <c r="D3458" s="26">
        <f>IF(A3458="","",ROUND((A3458-cfgDefasagem/1440)*48,0))</f>
        <v>0</v>
      </c>
      <c r="E3458" s="26">
        <f>IF(D3458="","",INT((D3458-cfgDeslocamento)/4))</f>
        <v>0</v>
      </c>
      <c r="F3458" s="26">
        <f>IF(D3458="","",MOD(D3458-cfgDeslocamento,4)+1)</f>
        <v>0</v>
      </c>
      <c r="G3458" s="26">
        <f>IF(A3458="","",IF(AND(ISNUMBER(B3458),B3458&lt;&gt;0),1,0))</f>
        <v>0</v>
      </c>
      <c r="H3458" s="25">
        <f>IF(E3458="","",(E3458*4+3+cfgDeslocamento)/48)</f>
        <v>0</v>
      </c>
    </row>
    <row r="3459" spans="1:8">
      <c r="A3459" s="24"/>
      <c r="B3459" s="19"/>
      <c r="C3459" s="25">
        <f>IF(D3459="","",D3459/48)</f>
        <v>0</v>
      </c>
      <c r="D3459" s="26">
        <f>IF(A3459="","",ROUND((A3459-cfgDefasagem/1440)*48,0))</f>
        <v>0</v>
      </c>
      <c r="E3459" s="26">
        <f>IF(D3459="","",INT((D3459-cfgDeslocamento)/4))</f>
        <v>0</v>
      </c>
      <c r="F3459" s="26">
        <f>IF(D3459="","",MOD(D3459-cfgDeslocamento,4)+1)</f>
        <v>0</v>
      </c>
      <c r="G3459" s="26">
        <f>IF(A3459="","",IF(AND(ISNUMBER(B3459),B3459&lt;&gt;0),1,0))</f>
        <v>0</v>
      </c>
      <c r="H3459" s="25">
        <f>IF(E3459="","",(E3459*4+3+cfgDeslocamento)/48)</f>
        <v>0</v>
      </c>
    </row>
    <row r="3460" spans="1:8">
      <c r="A3460" s="24"/>
      <c r="B3460" s="19"/>
      <c r="C3460" s="25">
        <f>IF(D3460="","",D3460/48)</f>
        <v>0</v>
      </c>
      <c r="D3460" s="26">
        <f>IF(A3460="","",ROUND((A3460-cfgDefasagem/1440)*48,0))</f>
        <v>0</v>
      </c>
      <c r="E3460" s="26">
        <f>IF(D3460="","",INT((D3460-cfgDeslocamento)/4))</f>
        <v>0</v>
      </c>
      <c r="F3460" s="26">
        <f>IF(D3460="","",MOD(D3460-cfgDeslocamento,4)+1)</f>
        <v>0</v>
      </c>
      <c r="G3460" s="26">
        <f>IF(A3460="","",IF(AND(ISNUMBER(B3460),B3460&lt;&gt;0),1,0))</f>
        <v>0</v>
      </c>
      <c r="H3460" s="25">
        <f>IF(E3460="","",(E3460*4+3+cfgDeslocamento)/48)</f>
        <v>0</v>
      </c>
    </row>
    <row r="3461" spans="1:8">
      <c r="A3461" s="24"/>
      <c r="B3461" s="19"/>
      <c r="C3461" s="25">
        <f>IF(D3461="","",D3461/48)</f>
        <v>0</v>
      </c>
      <c r="D3461" s="26">
        <f>IF(A3461="","",ROUND((A3461-cfgDefasagem/1440)*48,0))</f>
        <v>0</v>
      </c>
      <c r="E3461" s="26">
        <f>IF(D3461="","",INT((D3461-cfgDeslocamento)/4))</f>
        <v>0</v>
      </c>
      <c r="F3461" s="26">
        <f>IF(D3461="","",MOD(D3461-cfgDeslocamento,4)+1)</f>
        <v>0</v>
      </c>
      <c r="G3461" s="26">
        <f>IF(A3461="","",IF(AND(ISNUMBER(B3461),B3461&lt;&gt;0),1,0))</f>
        <v>0</v>
      </c>
      <c r="H3461" s="25">
        <f>IF(E3461="","",(E3461*4+3+cfgDeslocamento)/48)</f>
        <v>0</v>
      </c>
    </row>
    <row r="3462" spans="1:8">
      <c r="A3462" s="24"/>
      <c r="B3462" s="19"/>
      <c r="C3462" s="25">
        <f>IF(D3462="","",D3462/48)</f>
        <v>0</v>
      </c>
      <c r="D3462" s="26">
        <f>IF(A3462="","",ROUND((A3462-cfgDefasagem/1440)*48,0))</f>
        <v>0</v>
      </c>
      <c r="E3462" s="26">
        <f>IF(D3462="","",INT((D3462-cfgDeslocamento)/4))</f>
        <v>0</v>
      </c>
      <c r="F3462" s="26">
        <f>IF(D3462="","",MOD(D3462-cfgDeslocamento,4)+1)</f>
        <v>0</v>
      </c>
      <c r="G3462" s="26">
        <f>IF(A3462="","",IF(AND(ISNUMBER(B3462),B3462&lt;&gt;0),1,0))</f>
        <v>0</v>
      </c>
      <c r="H3462" s="25">
        <f>IF(E3462="","",(E3462*4+3+cfgDeslocamento)/48)</f>
        <v>0</v>
      </c>
    </row>
    <row r="3463" spans="1:8">
      <c r="A3463" s="24"/>
      <c r="B3463" s="19"/>
      <c r="C3463" s="25">
        <f>IF(D3463="","",D3463/48)</f>
        <v>0</v>
      </c>
      <c r="D3463" s="26">
        <f>IF(A3463="","",ROUND((A3463-cfgDefasagem/1440)*48,0))</f>
        <v>0</v>
      </c>
      <c r="E3463" s="26">
        <f>IF(D3463="","",INT((D3463-cfgDeslocamento)/4))</f>
        <v>0</v>
      </c>
      <c r="F3463" s="26">
        <f>IF(D3463="","",MOD(D3463-cfgDeslocamento,4)+1)</f>
        <v>0</v>
      </c>
      <c r="G3463" s="26">
        <f>IF(A3463="","",IF(AND(ISNUMBER(B3463),B3463&lt;&gt;0),1,0))</f>
        <v>0</v>
      </c>
      <c r="H3463" s="25">
        <f>IF(E3463="","",(E3463*4+3+cfgDeslocamento)/48)</f>
        <v>0</v>
      </c>
    </row>
    <row r="3464" spans="1:8">
      <c r="A3464" s="24"/>
      <c r="B3464" s="19"/>
      <c r="C3464" s="25">
        <f>IF(D3464="","",D3464/48)</f>
        <v>0</v>
      </c>
      <c r="D3464" s="26">
        <f>IF(A3464="","",ROUND((A3464-cfgDefasagem/1440)*48,0))</f>
        <v>0</v>
      </c>
      <c r="E3464" s="26">
        <f>IF(D3464="","",INT((D3464-cfgDeslocamento)/4))</f>
        <v>0</v>
      </c>
      <c r="F3464" s="26">
        <f>IF(D3464="","",MOD(D3464-cfgDeslocamento,4)+1)</f>
        <v>0</v>
      </c>
      <c r="G3464" s="26">
        <f>IF(A3464="","",IF(AND(ISNUMBER(B3464),B3464&lt;&gt;0),1,0))</f>
        <v>0</v>
      </c>
      <c r="H3464" s="25">
        <f>IF(E3464="","",(E3464*4+3+cfgDeslocamento)/48)</f>
        <v>0</v>
      </c>
    </row>
    <row r="3465" spans="1:8">
      <c r="A3465" s="24"/>
      <c r="B3465" s="19"/>
      <c r="C3465" s="25">
        <f>IF(D3465="","",D3465/48)</f>
        <v>0</v>
      </c>
      <c r="D3465" s="26">
        <f>IF(A3465="","",ROUND((A3465-cfgDefasagem/1440)*48,0))</f>
        <v>0</v>
      </c>
      <c r="E3465" s="26">
        <f>IF(D3465="","",INT((D3465-cfgDeslocamento)/4))</f>
        <v>0</v>
      </c>
      <c r="F3465" s="26">
        <f>IF(D3465="","",MOD(D3465-cfgDeslocamento,4)+1)</f>
        <v>0</v>
      </c>
      <c r="G3465" s="26">
        <f>IF(A3465="","",IF(AND(ISNUMBER(B3465),B3465&lt;&gt;0),1,0))</f>
        <v>0</v>
      </c>
      <c r="H3465" s="25">
        <f>IF(E3465="","",(E3465*4+3+cfgDeslocamento)/48)</f>
        <v>0</v>
      </c>
    </row>
    <row r="3466" spans="1:8">
      <c r="A3466" s="24"/>
      <c r="B3466" s="19"/>
      <c r="C3466" s="25">
        <f>IF(D3466="","",D3466/48)</f>
        <v>0</v>
      </c>
      <c r="D3466" s="26">
        <f>IF(A3466="","",ROUND((A3466-cfgDefasagem/1440)*48,0))</f>
        <v>0</v>
      </c>
      <c r="E3466" s="26">
        <f>IF(D3466="","",INT((D3466-cfgDeslocamento)/4))</f>
        <v>0</v>
      </c>
      <c r="F3466" s="26">
        <f>IF(D3466="","",MOD(D3466-cfgDeslocamento,4)+1)</f>
        <v>0</v>
      </c>
      <c r="G3466" s="26">
        <f>IF(A3466="","",IF(AND(ISNUMBER(B3466),B3466&lt;&gt;0),1,0))</f>
        <v>0</v>
      </c>
      <c r="H3466" s="25">
        <f>IF(E3466="","",(E3466*4+3+cfgDeslocamento)/48)</f>
        <v>0</v>
      </c>
    </row>
    <row r="3467" spans="1:8">
      <c r="A3467" s="24"/>
      <c r="B3467" s="19"/>
      <c r="C3467" s="25">
        <f>IF(D3467="","",D3467/48)</f>
        <v>0</v>
      </c>
      <c r="D3467" s="26">
        <f>IF(A3467="","",ROUND((A3467-cfgDefasagem/1440)*48,0))</f>
        <v>0</v>
      </c>
      <c r="E3467" s="26">
        <f>IF(D3467="","",INT((D3467-cfgDeslocamento)/4))</f>
        <v>0</v>
      </c>
      <c r="F3467" s="26">
        <f>IF(D3467="","",MOD(D3467-cfgDeslocamento,4)+1)</f>
        <v>0</v>
      </c>
      <c r="G3467" s="26">
        <f>IF(A3467="","",IF(AND(ISNUMBER(B3467),B3467&lt;&gt;0),1,0))</f>
        <v>0</v>
      </c>
      <c r="H3467" s="25">
        <f>IF(E3467="","",(E3467*4+3+cfgDeslocamento)/48)</f>
        <v>0</v>
      </c>
    </row>
    <row r="3468" spans="1:8">
      <c r="A3468" s="24"/>
      <c r="B3468" s="19"/>
      <c r="C3468" s="25">
        <f>IF(D3468="","",D3468/48)</f>
        <v>0</v>
      </c>
      <c r="D3468" s="26">
        <f>IF(A3468="","",ROUND((A3468-cfgDefasagem/1440)*48,0))</f>
        <v>0</v>
      </c>
      <c r="E3468" s="26">
        <f>IF(D3468="","",INT((D3468-cfgDeslocamento)/4))</f>
        <v>0</v>
      </c>
      <c r="F3468" s="26">
        <f>IF(D3468="","",MOD(D3468-cfgDeslocamento,4)+1)</f>
        <v>0</v>
      </c>
      <c r="G3468" s="26">
        <f>IF(A3468="","",IF(AND(ISNUMBER(B3468),B3468&lt;&gt;0),1,0))</f>
        <v>0</v>
      </c>
      <c r="H3468" s="25">
        <f>IF(E3468="","",(E3468*4+3+cfgDeslocamento)/48)</f>
        <v>0</v>
      </c>
    </row>
    <row r="3469" spans="1:8">
      <c r="A3469" s="24"/>
      <c r="B3469" s="19"/>
      <c r="C3469" s="25">
        <f>IF(D3469="","",D3469/48)</f>
        <v>0</v>
      </c>
      <c r="D3469" s="26">
        <f>IF(A3469="","",ROUND((A3469-cfgDefasagem/1440)*48,0))</f>
        <v>0</v>
      </c>
      <c r="E3469" s="26">
        <f>IF(D3469="","",INT((D3469-cfgDeslocamento)/4))</f>
        <v>0</v>
      </c>
      <c r="F3469" s="26">
        <f>IF(D3469="","",MOD(D3469-cfgDeslocamento,4)+1)</f>
        <v>0</v>
      </c>
      <c r="G3469" s="26">
        <f>IF(A3469="","",IF(AND(ISNUMBER(B3469),B3469&lt;&gt;0),1,0))</f>
        <v>0</v>
      </c>
      <c r="H3469" s="25">
        <f>IF(E3469="","",(E3469*4+3+cfgDeslocamento)/48)</f>
        <v>0</v>
      </c>
    </row>
    <row r="3470" spans="1:8">
      <c r="A3470" s="24"/>
      <c r="B3470" s="19"/>
      <c r="C3470" s="25">
        <f>IF(D3470="","",D3470/48)</f>
        <v>0</v>
      </c>
      <c r="D3470" s="26">
        <f>IF(A3470="","",ROUND((A3470-cfgDefasagem/1440)*48,0))</f>
        <v>0</v>
      </c>
      <c r="E3470" s="26">
        <f>IF(D3470="","",INT((D3470-cfgDeslocamento)/4))</f>
        <v>0</v>
      </c>
      <c r="F3470" s="26">
        <f>IF(D3470="","",MOD(D3470-cfgDeslocamento,4)+1)</f>
        <v>0</v>
      </c>
      <c r="G3470" s="26">
        <f>IF(A3470="","",IF(AND(ISNUMBER(B3470),B3470&lt;&gt;0),1,0))</f>
        <v>0</v>
      </c>
      <c r="H3470" s="25">
        <f>IF(E3470="","",(E3470*4+3+cfgDeslocamento)/48)</f>
        <v>0</v>
      </c>
    </row>
    <row r="3471" spans="1:8">
      <c r="A3471" s="24"/>
      <c r="B3471" s="19"/>
      <c r="C3471" s="25">
        <f>IF(D3471="","",D3471/48)</f>
        <v>0</v>
      </c>
      <c r="D3471" s="26">
        <f>IF(A3471="","",ROUND((A3471-cfgDefasagem/1440)*48,0))</f>
        <v>0</v>
      </c>
      <c r="E3471" s="26">
        <f>IF(D3471="","",INT((D3471-cfgDeslocamento)/4))</f>
        <v>0</v>
      </c>
      <c r="F3471" s="26">
        <f>IF(D3471="","",MOD(D3471-cfgDeslocamento,4)+1)</f>
        <v>0</v>
      </c>
      <c r="G3471" s="26">
        <f>IF(A3471="","",IF(AND(ISNUMBER(B3471),B3471&lt;&gt;0),1,0))</f>
        <v>0</v>
      </c>
      <c r="H3471" s="25">
        <f>IF(E3471="","",(E3471*4+3+cfgDeslocamento)/48)</f>
        <v>0</v>
      </c>
    </row>
    <row r="3472" spans="1:8">
      <c r="A3472" s="24"/>
      <c r="B3472" s="19"/>
      <c r="C3472" s="25">
        <f>IF(D3472="","",D3472/48)</f>
        <v>0</v>
      </c>
      <c r="D3472" s="26">
        <f>IF(A3472="","",ROUND((A3472-cfgDefasagem/1440)*48,0))</f>
        <v>0</v>
      </c>
      <c r="E3472" s="26">
        <f>IF(D3472="","",INT((D3472-cfgDeslocamento)/4))</f>
        <v>0</v>
      </c>
      <c r="F3472" s="26">
        <f>IF(D3472="","",MOD(D3472-cfgDeslocamento,4)+1)</f>
        <v>0</v>
      </c>
      <c r="G3472" s="26">
        <f>IF(A3472="","",IF(AND(ISNUMBER(B3472),B3472&lt;&gt;0),1,0))</f>
        <v>0</v>
      </c>
      <c r="H3472" s="25">
        <f>IF(E3472="","",(E3472*4+3+cfgDeslocamento)/48)</f>
        <v>0</v>
      </c>
    </row>
    <row r="3473" spans="1:8">
      <c r="A3473" s="24"/>
      <c r="B3473" s="19"/>
      <c r="C3473" s="25">
        <f>IF(D3473="","",D3473/48)</f>
        <v>0</v>
      </c>
      <c r="D3473" s="26">
        <f>IF(A3473="","",ROUND((A3473-cfgDefasagem/1440)*48,0))</f>
        <v>0</v>
      </c>
      <c r="E3473" s="26">
        <f>IF(D3473="","",INT((D3473-cfgDeslocamento)/4))</f>
        <v>0</v>
      </c>
      <c r="F3473" s="26">
        <f>IF(D3473="","",MOD(D3473-cfgDeslocamento,4)+1)</f>
        <v>0</v>
      </c>
      <c r="G3473" s="26">
        <f>IF(A3473="","",IF(AND(ISNUMBER(B3473),B3473&lt;&gt;0),1,0))</f>
        <v>0</v>
      </c>
      <c r="H3473" s="25">
        <f>IF(E3473="","",(E3473*4+3+cfgDeslocamento)/48)</f>
        <v>0</v>
      </c>
    </row>
    <row r="3474" spans="1:8">
      <c r="A3474" s="24"/>
      <c r="B3474" s="19"/>
      <c r="C3474" s="25">
        <f>IF(D3474="","",D3474/48)</f>
        <v>0</v>
      </c>
      <c r="D3474" s="26">
        <f>IF(A3474="","",ROUND((A3474-cfgDefasagem/1440)*48,0))</f>
        <v>0</v>
      </c>
      <c r="E3474" s="26">
        <f>IF(D3474="","",INT((D3474-cfgDeslocamento)/4))</f>
        <v>0</v>
      </c>
      <c r="F3474" s="26">
        <f>IF(D3474="","",MOD(D3474-cfgDeslocamento,4)+1)</f>
        <v>0</v>
      </c>
      <c r="G3474" s="26">
        <f>IF(A3474="","",IF(AND(ISNUMBER(B3474),B3474&lt;&gt;0),1,0))</f>
        <v>0</v>
      </c>
      <c r="H3474" s="25">
        <f>IF(E3474="","",(E3474*4+3+cfgDeslocamento)/48)</f>
        <v>0</v>
      </c>
    </row>
    <row r="3475" spans="1:8">
      <c r="A3475" s="24"/>
      <c r="B3475" s="19"/>
      <c r="C3475" s="25">
        <f>IF(D3475="","",D3475/48)</f>
        <v>0</v>
      </c>
      <c r="D3475" s="26">
        <f>IF(A3475="","",ROUND((A3475-cfgDefasagem/1440)*48,0))</f>
        <v>0</v>
      </c>
      <c r="E3475" s="26">
        <f>IF(D3475="","",INT((D3475-cfgDeslocamento)/4))</f>
        <v>0</v>
      </c>
      <c r="F3475" s="26">
        <f>IF(D3475="","",MOD(D3475-cfgDeslocamento,4)+1)</f>
        <v>0</v>
      </c>
      <c r="G3475" s="26">
        <f>IF(A3475="","",IF(AND(ISNUMBER(B3475),B3475&lt;&gt;0),1,0))</f>
        <v>0</v>
      </c>
      <c r="H3475" s="25">
        <f>IF(E3475="","",(E3475*4+3+cfgDeslocamento)/48)</f>
        <v>0</v>
      </c>
    </row>
    <row r="3476" spans="1:8">
      <c r="A3476" s="24"/>
      <c r="B3476" s="19"/>
      <c r="C3476" s="25">
        <f>IF(D3476="","",D3476/48)</f>
        <v>0</v>
      </c>
      <c r="D3476" s="26">
        <f>IF(A3476="","",ROUND((A3476-cfgDefasagem/1440)*48,0))</f>
        <v>0</v>
      </c>
      <c r="E3476" s="26">
        <f>IF(D3476="","",INT((D3476-cfgDeslocamento)/4))</f>
        <v>0</v>
      </c>
      <c r="F3476" s="26">
        <f>IF(D3476="","",MOD(D3476-cfgDeslocamento,4)+1)</f>
        <v>0</v>
      </c>
      <c r="G3476" s="26">
        <f>IF(A3476="","",IF(AND(ISNUMBER(B3476),B3476&lt;&gt;0),1,0))</f>
        <v>0</v>
      </c>
      <c r="H3476" s="25">
        <f>IF(E3476="","",(E3476*4+3+cfgDeslocamento)/48)</f>
        <v>0</v>
      </c>
    </row>
    <row r="3477" spans="1:8">
      <c r="A3477" s="24"/>
      <c r="B3477" s="19"/>
      <c r="C3477" s="25">
        <f>IF(D3477="","",D3477/48)</f>
        <v>0</v>
      </c>
      <c r="D3477" s="26">
        <f>IF(A3477="","",ROUND((A3477-cfgDefasagem/1440)*48,0))</f>
        <v>0</v>
      </c>
      <c r="E3477" s="26">
        <f>IF(D3477="","",INT((D3477-cfgDeslocamento)/4))</f>
        <v>0</v>
      </c>
      <c r="F3477" s="26">
        <f>IF(D3477="","",MOD(D3477-cfgDeslocamento,4)+1)</f>
        <v>0</v>
      </c>
      <c r="G3477" s="26">
        <f>IF(A3477="","",IF(AND(ISNUMBER(B3477),B3477&lt;&gt;0),1,0))</f>
        <v>0</v>
      </c>
      <c r="H3477" s="25">
        <f>IF(E3477="","",(E3477*4+3+cfgDeslocamento)/48)</f>
        <v>0</v>
      </c>
    </row>
    <row r="3478" spans="1:8">
      <c r="A3478" s="24"/>
      <c r="B3478" s="19"/>
      <c r="C3478" s="25">
        <f>IF(D3478="","",D3478/48)</f>
        <v>0</v>
      </c>
      <c r="D3478" s="26">
        <f>IF(A3478="","",ROUND((A3478-cfgDefasagem/1440)*48,0))</f>
        <v>0</v>
      </c>
      <c r="E3478" s="26">
        <f>IF(D3478="","",INT((D3478-cfgDeslocamento)/4))</f>
        <v>0</v>
      </c>
      <c r="F3478" s="26">
        <f>IF(D3478="","",MOD(D3478-cfgDeslocamento,4)+1)</f>
        <v>0</v>
      </c>
      <c r="G3478" s="26">
        <f>IF(A3478="","",IF(AND(ISNUMBER(B3478),B3478&lt;&gt;0),1,0))</f>
        <v>0</v>
      </c>
      <c r="H3478" s="25">
        <f>IF(E3478="","",(E3478*4+3+cfgDeslocamento)/48)</f>
        <v>0</v>
      </c>
    </row>
    <row r="3479" spans="1:8">
      <c r="A3479" s="24"/>
      <c r="B3479" s="19"/>
      <c r="C3479" s="25">
        <f>IF(D3479="","",D3479/48)</f>
        <v>0</v>
      </c>
      <c r="D3479" s="26">
        <f>IF(A3479="","",ROUND((A3479-cfgDefasagem/1440)*48,0))</f>
        <v>0</v>
      </c>
      <c r="E3479" s="26">
        <f>IF(D3479="","",INT((D3479-cfgDeslocamento)/4))</f>
        <v>0</v>
      </c>
      <c r="F3479" s="26">
        <f>IF(D3479="","",MOD(D3479-cfgDeslocamento,4)+1)</f>
        <v>0</v>
      </c>
      <c r="G3479" s="26">
        <f>IF(A3479="","",IF(AND(ISNUMBER(B3479),B3479&lt;&gt;0),1,0))</f>
        <v>0</v>
      </c>
      <c r="H3479" s="25">
        <f>IF(E3479="","",(E3479*4+3+cfgDeslocamento)/48)</f>
        <v>0</v>
      </c>
    </row>
    <row r="3480" spans="1:8">
      <c r="A3480" s="24"/>
      <c r="B3480" s="19"/>
      <c r="C3480" s="25">
        <f>IF(D3480="","",D3480/48)</f>
        <v>0</v>
      </c>
      <c r="D3480" s="26">
        <f>IF(A3480="","",ROUND((A3480-cfgDefasagem/1440)*48,0))</f>
        <v>0</v>
      </c>
      <c r="E3480" s="26">
        <f>IF(D3480="","",INT((D3480-cfgDeslocamento)/4))</f>
        <v>0</v>
      </c>
      <c r="F3480" s="26">
        <f>IF(D3480="","",MOD(D3480-cfgDeslocamento,4)+1)</f>
        <v>0</v>
      </c>
      <c r="G3480" s="26">
        <f>IF(A3480="","",IF(AND(ISNUMBER(B3480),B3480&lt;&gt;0),1,0))</f>
        <v>0</v>
      </c>
      <c r="H3480" s="25">
        <f>IF(E3480="","",(E3480*4+3+cfgDeslocamento)/48)</f>
        <v>0</v>
      </c>
    </row>
    <row r="3481" spans="1:8">
      <c r="A3481" s="24"/>
      <c r="B3481" s="19"/>
      <c r="C3481" s="25">
        <f>IF(D3481="","",D3481/48)</f>
        <v>0</v>
      </c>
      <c r="D3481" s="26">
        <f>IF(A3481="","",ROUND((A3481-cfgDefasagem/1440)*48,0))</f>
        <v>0</v>
      </c>
      <c r="E3481" s="26">
        <f>IF(D3481="","",INT((D3481-cfgDeslocamento)/4))</f>
        <v>0</v>
      </c>
      <c r="F3481" s="26">
        <f>IF(D3481="","",MOD(D3481-cfgDeslocamento,4)+1)</f>
        <v>0</v>
      </c>
      <c r="G3481" s="26">
        <f>IF(A3481="","",IF(AND(ISNUMBER(B3481),B3481&lt;&gt;0),1,0))</f>
        <v>0</v>
      </c>
      <c r="H3481" s="25">
        <f>IF(E3481="","",(E3481*4+3+cfgDeslocamento)/48)</f>
        <v>0</v>
      </c>
    </row>
    <row r="3482" spans="1:8">
      <c r="A3482" s="24"/>
      <c r="B3482" s="19"/>
      <c r="C3482" s="25">
        <f>IF(D3482="","",D3482/48)</f>
        <v>0</v>
      </c>
      <c r="D3482" s="26">
        <f>IF(A3482="","",ROUND((A3482-cfgDefasagem/1440)*48,0))</f>
        <v>0</v>
      </c>
      <c r="E3482" s="26">
        <f>IF(D3482="","",INT((D3482-cfgDeslocamento)/4))</f>
        <v>0</v>
      </c>
      <c r="F3482" s="26">
        <f>IF(D3482="","",MOD(D3482-cfgDeslocamento,4)+1)</f>
        <v>0</v>
      </c>
      <c r="G3482" s="26">
        <f>IF(A3482="","",IF(AND(ISNUMBER(B3482),B3482&lt;&gt;0),1,0))</f>
        <v>0</v>
      </c>
      <c r="H3482" s="25">
        <f>IF(E3482="","",(E3482*4+3+cfgDeslocamento)/48)</f>
        <v>0</v>
      </c>
    </row>
    <row r="3483" spans="1:8">
      <c r="A3483" s="24"/>
      <c r="B3483" s="19"/>
      <c r="C3483" s="25">
        <f>IF(D3483="","",D3483/48)</f>
        <v>0</v>
      </c>
      <c r="D3483" s="26">
        <f>IF(A3483="","",ROUND((A3483-cfgDefasagem/1440)*48,0))</f>
        <v>0</v>
      </c>
      <c r="E3483" s="26">
        <f>IF(D3483="","",INT((D3483-cfgDeslocamento)/4))</f>
        <v>0</v>
      </c>
      <c r="F3483" s="26">
        <f>IF(D3483="","",MOD(D3483-cfgDeslocamento,4)+1)</f>
        <v>0</v>
      </c>
      <c r="G3483" s="26">
        <f>IF(A3483="","",IF(AND(ISNUMBER(B3483),B3483&lt;&gt;0),1,0))</f>
        <v>0</v>
      </c>
      <c r="H3483" s="25">
        <f>IF(E3483="","",(E3483*4+3+cfgDeslocamento)/48)</f>
        <v>0</v>
      </c>
    </row>
    <row r="3484" spans="1:8">
      <c r="A3484" s="24"/>
      <c r="B3484" s="19"/>
      <c r="C3484" s="25">
        <f>IF(D3484="","",D3484/48)</f>
        <v>0</v>
      </c>
      <c r="D3484" s="26">
        <f>IF(A3484="","",ROUND((A3484-cfgDefasagem/1440)*48,0))</f>
        <v>0</v>
      </c>
      <c r="E3484" s="26">
        <f>IF(D3484="","",INT((D3484-cfgDeslocamento)/4))</f>
        <v>0</v>
      </c>
      <c r="F3484" s="26">
        <f>IF(D3484="","",MOD(D3484-cfgDeslocamento,4)+1)</f>
        <v>0</v>
      </c>
      <c r="G3484" s="26">
        <f>IF(A3484="","",IF(AND(ISNUMBER(B3484),B3484&lt;&gt;0),1,0))</f>
        <v>0</v>
      </c>
      <c r="H3484" s="25">
        <f>IF(E3484="","",(E3484*4+3+cfgDeslocamento)/48)</f>
        <v>0</v>
      </c>
    </row>
    <row r="3485" spans="1:8">
      <c r="A3485" s="24"/>
      <c r="B3485" s="19"/>
      <c r="C3485" s="25">
        <f>IF(D3485="","",D3485/48)</f>
        <v>0</v>
      </c>
      <c r="D3485" s="26">
        <f>IF(A3485="","",ROUND((A3485-cfgDefasagem/1440)*48,0))</f>
        <v>0</v>
      </c>
      <c r="E3485" s="26">
        <f>IF(D3485="","",INT((D3485-cfgDeslocamento)/4))</f>
        <v>0</v>
      </c>
      <c r="F3485" s="26">
        <f>IF(D3485="","",MOD(D3485-cfgDeslocamento,4)+1)</f>
        <v>0</v>
      </c>
      <c r="G3485" s="26">
        <f>IF(A3485="","",IF(AND(ISNUMBER(B3485),B3485&lt;&gt;0),1,0))</f>
        <v>0</v>
      </c>
      <c r="H3485" s="25">
        <f>IF(E3485="","",(E3485*4+3+cfgDeslocamento)/48)</f>
        <v>0</v>
      </c>
    </row>
    <row r="3486" spans="1:8">
      <c r="A3486" s="24"/>
      <c r="B3486" s="19"/>
      <c r="C3486" s="25">
        <f>IF(D3486="","",D3486/48)</f>
        <v>0</v>
      </c>
      <c r="D3486" s="26">
        <f>IF(A3486="","",ROUND((A3486-cfgDefasagem/1440)*48,0))</f>
        <v>0</v>
      </c>
      <c r="E3486" s="26">
        <f>IF(D3486="","",INT((D3486-cfgDeslocamento)/4))</f>
        <v>0</v>
      </c>
      <c r="F3486" s="26">
        <f>IF(D3486="","",MOD(D3486-cfgDeslocamento,4)+1)</f>
        <v>0</v>
      </c>
      <c r="G3486" s="26">
        <f>IF(A3486="","",IF(AND(ISNUMBER(B3486),B3486&lt;&gt;0),1,0))</f>
        <v>0</v>
      </c>
      <c r="H3486" s="25">
        <f>IF(E3486="","",(E3486*4+3+cfgDeslocamento)/48)</f>
        <v>0</v>
      </c>
    </row>
    <row r="3487" spans="1:8">
      <c r="A3487" s="24"/>
      <c r="B3487" s="19"/>
      <c r="C3487" s="25">
        <f>IF(D3487="","",D3487/48)</f>
        <v>0</v>
      </c>
      <c r="D3487" s="26">
        <f>IF(A3487="","",ROUND((A3487-cfgDefasagem/1440)*48,0))</f>
        <v>0</v>
      </c>
      <c r="E3487" s="26">
        <f>IF(D3487="","",INT((D3487-cfgDeslocamento)/4))</f>
        <v>0</v>
      </c>
      <c r="F3487" s="26">
        <f>IF(D3487="","",MOD(D3487-cfgDeslocamento,4)+1)</f>
        <v>0</v>
      </c>
      <c r="G3487" s="26">
        <f>IF(A3487="","",IF(AND(ISNUMBER(B3487),B3487&lt;&gt;0),1,0))</f>
        <v>0</v>
      </c>
      <c r="H3487" s="25">
        <f>IF(E3487="","",(E3487*4+3+cfgDeslocamento)/48)</f>
        <v>0</v>
      </c>
    </row>
    <row r="3488" spans="1:8">
      <c r="A3488" s="24"/>
      <c r="B3488" s="19"/>
      <c r="C3488" s="25">
        <f>IF(D3488="","",D3488/48)</f>
        <v>0</v>
      </c>
      <c r="D3488" s="26">
        <f>IF(A3488="","",ROUND((A3488-cfgDefasagem/1440)*48,0))</f>
        <v>0</v>
      </c>
      <c r="E3488" s="26">
        <f>IF(D3488="","",INT((D3488-cfgDeslocamento)/4))</f>
        <v>0</v>
      </c>
      <c r="F3488" s="26">
        <f>IF(D3488="","",MOD(D3488-cfgDeslocamento,4)+1)</f>
        <v>0</v>
      </c>
      <c r="G3488" s="26">
        <f>IF(A3488="","",IF(AND(ISNUMBER(B3488),B3488&lt;&gt;0),1,0))</f>
        <v>0</v>
      </c>
      <c r="H3488" s="25">
        <f>IF(E3488="","",(E3488*4+3+cfgDeslocamento)/48)</f>
        <v>0</v>
      </c>
    </row>
    <row r="3489" spans="1:8">
      <c r="A3489" s="24"/>
      <c r="B3489" s="19"/>
      <c r="C3489" s="25">
        <f>IF(D3489="","",D3489/48)</f>
        <v>0</v>
      </c>
      <c r="D3489" s="26">
        <f>IF(A3489="","",ROUND((A3489-cfgDefasagem/1440)*48,0))</f>
        <v>0</v>
      </c>
      <c r="E3489" s="26">
        <f>IF(D3489="","",INT((D3489-cfgDeslocamento)/4))</f>
        <v>0</v>
      </c>
      <c r="F3489" s="26">
        <f>IF(D3489="","",MOD(D3489-cfgDeslocamento,4)+1)</f>
        <v>0</v>
      </c>
      <c r="G3489" s="26">
        <f>IF(A3489="","",IF(AND(ISNUMBER(B3489),B3489&lt;&gt;0),1,0))</f>
        <v>0</v>
      </c>
      <c r="H3489" s="25">
        <f>IF(E3489="","",(E3489*4+3+cfgDeslocamento)/48)</f>
        <v>0</v>
      </c>
    </row>
    <row r="3490" spans="1:8">
      <c r="A3490" s="24"/>
      <c r="B3490" s="19"/>
      <c r="C3490" s="25">
        <f>IF(D3490="","",D3490/48)</f>
        <v>0</v>
      </c>
      <c r="D3490" s="26">
        <f>IF(A3490="","",ROUND((A3490-cfgDefasagem/1440)*48,0))</f>
        <v>0</v>
      </c>
      <c r="E3490" s="26">
        <f>IF(D3490="","",INT((D3490-cfgDeslocamento)/4))</f>
        <v>0</v>
      </c>
      <c r="F3490" s="26">
        <f>IF(D3490="","",MOD(D3490-cfgDeslocamento,4)+1)</f>
        <v>0</v>
      </c>
      <c r="G3490" s="26">
        <f>IF(A3490="","",IF(AND(ISNUMBER(B3490),B3490&lt;&gt;0),1,0))</f>
        <v>0</v>
      </c>
      <c r="H3490" s="25">
        <f>IF(E3490="","",(E3490*4+3+cfgDeslocamento)/48)</f>
        <v>0</v>
      </c>
    </row>
    <row r="3491" spans="1:8">
      <c r="A3491" s="24"/>
      <c r="B3491" s="19"/>
      <c r="C3491" s="25">
        <f>IF(D3491="","",D3491/48)</f>
        <v>0</v>
      </c>
      <c r="D3491" s="26">
        <f>IF(A3491="","",ROUND((A3491-cfgDefasagem/1440)*48,0))</f>
        <v>0</v>
      </c>
      <c r="E3491" s="26">
        <f>IF(D3491="","",INT((D3491-cfgDeslocamento)/4))</f>
        <v>0</v>
      </c>
      <c r="F3491" s="26">
        <f>IF(D3491="","",MOD(D3491-cfgDeslocamento,4)+1)</f>
        <v>0</v>
      </c>
      <c r="G3491" s="26">
        <f>IF(A3491="","",IF(AND(ISNUMBER(B3491),B3491&lt;&gt;0),1,0))</f>
        <v>0</v>
      </c>
      <c r="H3491" s="25">
        <f>IF(E3491="","",(E3491*4+3+cfgDeslocamento)/48)</f>
        <v>0</v>
      </c>
    </row>
    <row r="3492" spans="1:8">
      <c r="A3492" s="24"/>
      <c r="B3492" s="19"/>
      <c r="C3492" s="25">
        <f>IF(D3492="","",D3492/48)</f>
        <v>0</v>
      </c>
      <c r="D3492" s="26">
        <f>IF(A3492="","",ROUND((A3492-cfgDefasagem/1440)*48,0))</f>
        <v>0</v>
      </c>
      <c r="E3492" s="26">
        <f>IF(D3492="","",INT((D3492-cfgDeslocamento)/4))</f>
        <v>0</v>
      </c>
      <c r="F3492" s="26">
        <f>IF(D3492="","",MOD(D3492-cfgDeslocamento,4)+1)</f>
        <v>0</v>
      </c>
      <c r="G3492" s="26">
        <f>IF(A3492="","",IF(AND(ISNUMBER(B3492),B3492&lt;&gt;0),1,0))</f>
        <v>0</v>
      </c>
      <c r="H3492" s="25">
        <f>IF(E3492="","",(E3492*4+3+cfgDeslocamento)/48)</f>
        <v>0</v>
      </c>
    </row>
    <row r="3493" spans="1:8">
      <c r="A3493" s="24"/>
      <c r="B3493" s="19"/>
      <c r="C3493" s="25">
        <f>IF(D3493="","",D3493/48)</f>
        <v>0</v>
      </c>
      <c r="D3493" s="26">
        <f>IF(A3493="","",ROUND((A3493-cfgDefasagem/1440)*48,0))</f>
        <v>0</v>
      </c>
      <c r="E3493" s="26">
        <f>IF(D3493="","",INT((D3493-cfgDeslocamento)/4))</f>
        <v>0</v>
      </c>
      <c r="F3493" s="26">
        <f>IF(D3493="","",MOD(D3493-cfgDeslocamento,4)+1)</f>
        <v>0</v>
      </c>
      <c r="G3493" s="26">
        <f>IF(A3493="","",IF(AND(ISNUMBER(B3493),B3493&lt;&gt;0),1,0))</f>
        <v>0</v>
      </c>
      <c r="H3493" s="25">
        <f>IF(E3493="","",(E3493*4+3+cfgDeslocamento)/48)</f>
        <v>0</v>
      </c>
    </row>
    <row r="3494" spans="1:8">
      <c r="A3494" s="24"/>
      <c r="B3494" s="19"/>
      <c r="C3494" s="25">
        <f>IF(D3494="","",D3494/48)</f>
        <v>0</v>
      </c>
      <c r="D3494" s="26">
        <f>IF(A3494="","",ROUND((A3494-cfgDefasagem/1440)*48,0))</f>
        <v>0</v>
      </c>
      <c r="E3494" s="26">
        <f>IF(D3494="","",INT((D3494-cfgDeslocamento)/4))</f>
        <v>0</v>
      </c>
      <c r="F3494" s="26">
        <f>IF(D3494="","",MOD(D3494-cfgDeslocamento,4)+1)</f>
        <v>0</v>
      </c>
      <c r="G3494" s="26">
        <f>IF(A3494="","",IF(AND(ISNUMBER(B3494),B3494&lt;&gt;0),1,0))</f>
        <v>0</v>
      </c>
      <c r="H3494" s="25">
        <f>IF(E3494="","",(E3494*4+3+cfgDeslocamento)/48)</f>
        <v>0</v>
      </c>
    </row>
    <row r="3495" spans="1:8">
      <c r="A3495" s="24"/>
      <c r="B3495" s="19"/>
      <c r="C3495" s="25">
        <f>IF(D3495="","",D3495/48)</f>
        <v>0</v>
      </c>
      <c r="D3495" s="26">
        <f>IF(A3495="","",ROUND((A3495-cfgDefasagem/1440)*48,0))</f>
        <v>0</v>
      </c>
      <c r="E3495" s="26">
        <f>IF(D3495="","",INT((D3495-cfgDeslocamento)/4))</f>
        <v>0</v>
      </c>
      <c r="F3495" s="26">
        <f>IF(D3495="","",MOD(D3495-cfgDeslocamento,4)+1)</f>
        <v>0</v>
      </c>
      <c r="G3495" s="26">
        <f>IF(A3495="","",IF(AND(ISNUMBER(B3495),B3495&lt;&gt;0),1,0))</f>
        <v>0</v>
      </c>
      <c r="H3495" s="25">
        <f>IF(E3495="","",(E3495*4+3+cfgDeslocamento)/48)</f>
        <v>0</v>
      </c>
    </row>
    <row r="3496" spans="1:8">
      <c r="A3496" s="24"/>
      <c r="B3496" s="19"/>
      <c r="C3496" s="25">
        <f>IF(D3496="","",D3496/48)</f>
        <v>0</v>
      </c>
      <c r="D3496" s="26">
        <f>IF(A3496="","",ROUND((A3496-cfgDefasagem/1440)*48,0))</f>
        <v>0</v>
      </c>
      <c r="E3496" s="26">
        <f>IF(D3496="","",INT((D3496-cfgDeslocamento)/4))</f>
        <v>0</v>
      </c>
      <c r="F3496" s="26">
        <f>IF(D3496="","",MOD(D3496-cfgDeslocamento,4)+1)</f>
        <v>0</v>
      </c>
      <c r="G3496" s="26">
        <f>IF(A3496="","",IF(AND(ISNUMBER(B3496),B3496&lt;&gt;0),1,0))</f>
        <v>0</v>
      </c>
      <c r="H3496" s="25">
        <f>IF(E3496="","",(E3496*4+3+cfgDeslocamento)/48)</f>
        <v>0</v>
      </c>
    </row>
    <row r="3497" spans="1:8">
      <c r="A3497" s="24"/>
      <c r="B3497" s="19"/>
      <c r="C3497" s="25">
        <f>IF(D3497="","",D3497/48)</f>
        <v>0</v>
      </c>
      <c r="D3497" s="26">
        <f>IF(A3497="","",ROUND((A3497-cfgDefasagem/1440)*48,0))</f>
        <v>0</v>
      </c>
      <c r="E3497" s="26">
        <f>IF(D3497="","",INT((D3497-cfgDeslocamento)/4))</f>
        <v>0</v>
      </c>
      <c r="F3497" s="26">
        <f>IF(D3497="","",MOD(D3497-cfgDeslocamento,4)+1)</f>
        <v>0</v>
      </c>
      <c r="G3497" s="26">
        <f>IF(A3497="","",IF(AND(ISNUMBER(B3497),B3497&lt;&gt;0),1,0))</f>
        <v>0</v>
      </c>
      <c r="H3497" s="25">
        <f>IF(E3497="","",(E3497*4+3+cfgDeslocamento)/48)</f>
        <v>0</v>
      </c>
    </row>
    <row r="3498" spans="1:8">
      <c r="A3498" s="24"/>
      <c r="B3498" s="19"/>
      <c r="C3498" s="25">
        <f>IF(D3498="","",D3498/48)</f>
        <v>0</v>
      </c>
      <c r="D3498" s="26">
        <f>IF(A3498="","",ROUND((A3498-cfgDefasagem/1440)*48,0))</f>
        <v>0</v>
      </c>
      <c r="E3498" s="26">
        <f>IF(D3498="","",INT((D3498-cfgDeslocamento)/4))</f>
        <v>0</v>
      </c>
      <c r="F3498" s="26">
        <f>IF(D3498="","",MOD(D3498-cfgDeslocamento,4)+1)</f>
        <v>0</v>
      </c>
      <c r="G3498" s="26">
        <f>IF(A3498="","",IF(AND(ISNUMBER(B3498),B3498&lt;&gt;0),1,0))</f>
        <v>0</v>
      </c>
      <c r="H3498" s="25">
        <f>IF(E3498="","",(E3498*4+3+cfgDeslocamento)/48)</f>
        <v>0</v>
      </c>
    </row>
    <row r="3499" spans="1:8">
      <c r="A3499" s="24"/>
      <c r="B3499" s="19"/>
      <c r="C3499" s="25">
        <f>IF(D3499="","",D3499/48)</f>
        <v>0</v>
      </c>
      <c r="D3499" s="26">
        <f>IF(A3499="","",ROUND((A3499-cfgDefasagem/1440)*48,0))</f>
        <v>0</v>
      </c>
      <c r="E3499" s="26">
        <f>IF(D3499="","",INT((D3499-cfgDeslocamento)/4))</f>
        <v>0</v>
      </c>
      <c r="F3499" s="26">
        <f>IF(D3499="","",MOD(D3499-cfgDeslocamento,4)+1)</f>
        <v>0</v>
      </c>
      <c r="G3499" s="26">
        <f>IF(A3499="","",IF(AND(ISNUMBER(B3499),B3499&lt;&gt;0),1,0))</f>
        <v>0</v>
      </c>
      <c r="H3499" s="25">
        <f>IF(E3499="","",(E3499*4+3+cfgDeslocamento)/48)</f>
        <v>0</v>
      </c>
    </row>
    <row r="3500" spans="1:8">
      <c r="A3500" s="24"/>
      <c r="B3500" s="19"/>
      <c r="C3500" s="25">
        <f>IF(D3500="","",D3500/48)</f>
        <v>0</v>
      </c>
      <c r="D3500" s="26">
        <f>IF(A3500="","",ROUND((A3500-cfgDefasagem/1440)*48,0))</f>
        <v>0</v>
      </c>
      <c r="E3500" s="26">
        <f>IF(D3500="","",INT((D3500-cfgDeslocamento)/4))</f>
        <v>0</v>
      </c>
      <c r="F3500" s="26">
        <f>IF(D3500="","",MOD(D3500-cfgDeslocamento,4)+1)</f>
        <v>0</v>
      </c>
      <c r="G3500" s="26">
        <f>IF(A3500="","",IF(AND(ISNUMBER(B3500),B3500&lt;&gt;0),1,0))</f>
        <v>0</v>
      </c>
      <c r="H3500" s="25">
        <f>IF(E3500="","",(E3500*4+3+cfgDeslocamento)/48)</f>
        <v>0</v>
      </c>
    </row>
    <row r="3501" spans="1:8">
      <c r="A3501" s="24"/>
      <c r="B3501" s="19"/>
      <c r="C3501" s="25">
        <f>IF(D3501="","",D3501/48)</f>
        <v>0</v>
      </c>
      <c r="D3501" s="26">
        <f>IF(A3501="","",ROUND((A3501-cfgDefasagem/1440)*48,0))</f>
        <v>0</v>
      </c>
      <c r="E3501" s="26">
        <f>IF(D3501="","",INT((D3501-cfgDeslocamento)/4))</f>
        <v>0</v>
      </c>
      <c r="F3501" s="26">
        <f>IF(D3501="","",MOD(D3501-cfgDeslocamento,4)+1)</f>
        <v>0</v>
      </c>
      <c r="G3501" s="26">
        <f>IF(A3501="","",IF(AND(ISNUMBER(B3501),B3501&lt;&gt;0),1,0))</f>
        <v>0</v>
      </c>
      <c r="H3501" s="25">
        <f>IF(E3501="","",(E3501*4+3+cfgDeslocamento)/48)</f>
        <v>0</v>
      </c>
    </row>
    <row r="3502" spans="1:8">
      <c r="A3502" s="24"/>
      <c r="B3502" s="19"/>
      <c r="C3502" s="25">
        <f>IF(D3502="","",D3502/48)</f>
        <v>0</v>
      </c>
      <c r="D3502" s="26">
        <f>IF(A3502="","",ROUND((A3502-cfgDefasagem/1440)*48,0))</f>
        <v>0</v>
      </c>
      <c r="E3502" s="26">
        <f>IF(D3502="","",INT((D3502-cfgDeslocamento)/4))</f>
        <v>0</v>
      </c>
      <c r="F3502" s="26">
        <f>IF(D3502="","",MOD(D3502-cfgDeslocamento,4)+1)</f>
        <v>0</v>
      </c>
      <c r="G3502" s="26">
        <f>IF(A3502="","",IF(AND(ISNUMBER(B3502),B3502&lt;&gt;0),1,0))</f>
        <v>0</v>
      </c>
      <c r="H3502" s="25">
        <f>IF(E3502="","",(E3502*4+3+cfgDeslocamento)/48)</f>
        <v>0</v>
      </c>
    </row>
    <row r="3503" spans="1:8">
      <c r="A3503" s="24"/>
      <c r="B3503" s="19"/>
      <c r="C3503" s="25">
        <f>IF(D3503="","",D3503/48)</f>
        <v>0</v>
      </c>
      <c r="D3503" s="26">
        <f>IF(A3503="","",ROUND((A3503-cfgDefasagem/1440)*48,0))</f>
        <v>0</v>
      </c>
      <c r="E3503" s="26">
        <f>IF(D3503="","",INT((D3503-cfgDeslocamento)/4))</f>
        <v>0</v>
      </c>
      <c r="F3503" s="26">
        <f>IF(D3503="","",MOD(D3503-cfgDeslocamento,4)+1)</f>
        <v>0</v>
      </c>
      <c r="G3503" s="26">
        <f>IF(A3503="","",IF(AND(ISNUMBER(B3503),B3503&lt;&gt;0),1,0))</f>
        <v>0</v>
      </c>
      <c r="H3503" s="25">
        <f>IF(E3503="","",(E3503*4+3+cfgDeslocamento)/48)</f>
        <v>0</v>
      </c>
    </row>
    <row r="3504" spans="1:8">
      <c r="A3504" s="24"/>
      <c r="B3504" s="19"/>
      <c r="C3504" s="25">
        <f>IF(D3504="","",D3504/48)</f>
        <v>0</v>
      </c>
      <c r="D3504" s="26">
        <f>IF(A3504="","",ROUND((A3504-cfgDefasagem/1440)*48,0))</f>
        <v>0</v>
      </c>
      <c r="E3504" s="26">
        <f>IF(D3504="","",INT((D3504-cfgDeslocamento)/4))</f>
        <v>0</v>
      </c>
      <c r="F3504" s="26">
        <f>IF(D3504="","",MOD(D3504-cfgDeslocamento,4)+1)</f>
        <v>0</v>
      </c>
      <c r="G3504" s="26">
        <f>IF(A3504="","",IF(AND(ISNUMBER(B3504),B3504&lt;&gt;0),1,0))</f>
        <v>0</v>
      </c>
      <c r="H3504" s="25">
        <f>IF(E3504="","",(E3504*4+3+cfgDeslocamento)/48)</f>
        <v>0</v>
      </c>
    </row>
    <row r="3505" spans="1:8">
      <c r="A3505" s="24"/>
      <c r="B3505" s="19"/>
      <c r="C3505" s="25">
        <f>IF(D3505="","",D3505/48)</f>
        <v>0</v>
      </c>
      <c r="D3505" s="26">
        <f>IF(A3505="","",ROUND((A3505-cfgDefasagem/1440)*48,0))</f>
        <v>0</v>
      </c>
      <c r="E3505" s="26">
        <f>IF(D3505="","",INT((D3505-cfgDeslocamento)/4))</f>
        <v>0</v>
      </c>
      <c r="F3505" s="26">
        <f>IF(D3505="","",MOD(D3505-cfgDeslocamento,4)+1)</f>
        <v>0</v>
      </c>
      <c r="G3505" s="26">
        <f>IF(A3505="","",IF(AND(ISNUMBER(B3505),B3505&lt;&gt;0),1,0))</f>
        <v>0</v>
      </c>
      <c r="H3505" s="25">
        <f>IF(E3505="","",(E3505*4+3+cfgDeslocamento)/48)</f>
        <v>0</v>
      </c>
    </row>
    <row r="3506" spans="1:8">
      <c r="A3506" s="24"/>
      <c r="B3506" s="19"/>
      <c r="C3506" s="25">
        <f>IF(D3506="","",D3506/48)</f>
        <v>0</v>
      </c>
      <c r="D3506" s="26">
        <f>IF(A3506="","",ROUND((A3506-cfgDefasagem/1440)*48,0))</f>
        <v>0</v>
      </c>
      <c r="E3506" s="26">
        <f>IF(D3506="","",INT((D3506-cfgDeslocamento)/4))</f>
        <v>0</v>
      </c>
      <c r="F3506" s="26">
        <f>IF(D3506="","",MOD(D3506-cfgDeslocamento,4)+1)</f>
        <v>0</v>
      </c>
      <c r="G3506" s="26">
        <f>IF(A3506="","",IF(AND(ISNUMBER(B3506),B3506&lt;&gt;0),1,0))</f>
        <v>0</v>
      </c>
      <c r="H3506" s="25">
        <f>IF(E3506="","",(E3506*4+3+cfgDeslocamento)/48)</f>
        <v>0</v>
      </c>
    </row>
    <row r="3507" spans="1:8">
      <c r="A3507" s="24"/>
      <c r="B3507" s="19"/>
      <c r="C3507" s="25">
        <f>IF(D3507="","",D3507/48)</f>
        <v>0</v>
      </c>
      <c r="D3507" s="26">
        <f>IF(A3507="","",ROUND((A3507-cfgDefasagem/1440)*48,0))</f>
        <v>0</v>
      </c>
      <c r="E3507" s="26">
        <f>IF(D3507="","",INT((D3507-cfgDeslocamento)/4))</f>
        <v>0</v>
      </c>
      <c r="F3507" s="26">
        <f>IF(D3507="","",MOD(D3507-cfgDeslocamento,4)+1)</f>
        <v>0</v>
      </c>
      <c r="G3507" s="26">
        <f>IF(A3507="","",IF(AND(ISNUMBER(B3507),B3507&lt;&gt;0),1,0))</f>
        <v>0</v>
      </c>
      <c r="H3507" s="25">
        <f>IF(E3507="","",(E3507*4+3+cfgDeslocamento)/48)</f>
        <v>0</v>
      </c>
    </row>
    <row r="3508" spans="1:8">
      <c r="A3508" s="24"/>
      <c r="B3508" s="19"/>
      <c r="C3508" s="25">
        <f>IF(D3508="","",D3508/48)</f>
        <v>0</v>
      </c>
      <c r="D3508" s="26">
        <f>IF(A3508="","",ROUND((A3508-cfgDefasagem/1440)*48,0))</f>
        <v>0</v>
      </c>
      <c r="E3508" s="26">
        <f>IF(D3508="","",INT((D3508-cfgDeslocamento)/4))</f>
        <v>0</v>
      </c>
      <c r="F3508" s="26">
        <f>IF(D3508="","",MOD(D3508-cfgDeslocamento,4)+1)</f>
        <v>0</v>
      </c>
      <c r="G3508" s="26">
        <f>IF(A3508="","",IF(AND(ISNUMBER(B3508),B3508&lt;&gt;0),1,0))</f>
        <v>0</v>
      </c>
      <c r="H3508" s="25">
        <f>IF(E3508="","",(E3508*4+3+cfgDeslocamento)/48)</f>
        <v>0</v>
      </c>
    </row>
    <row r="3509" spans="1:8">
      <c r="A3509" s="24"/>
      <c r="B3509" s="19"/>
      <c r="C3509" s="25">
        <f>IF(D3509="","",D3509/48)</f>
        <v>0</v>
      </c>
      <c r="D3509" s="26">
        <f>IF(A3509="","",ROUND((A3509-cfgDefasagem/1440)*48,0))</f>
        <v>0</v>
      </c>
      <c r="E3509" s="26">
        <f>IF(D3509="","",INT((D3509-cfgDeslocamento)/4))</f>
        <v>0</v>
      </c>
      <c r="F3509" s="26">
        <f>IF(D3509="","",MOD(D3509-cfgDeslocamento,4)+1)</f>
        <v>0</v>
      </c>
      <c r="G3509" s="26">
        <f>IF(A3509="","",IF(AND(ISNUMBER(B3509),B3509&lt;&gt;0),1,0))</f>
        <v>0</v>
      </c>
      <c r="H3509" s="25">
        <f>IF(E3509="","",(E3509*4+3+cfgDeslocamento)/48)</f>
        <v>0</v>
      </c>
    </row>
    <row r="3510" spans="1:8">
      <c r="A3510" s="24"/>
      <c r="B3510" s="19"/>
      <c r="C3510" s="25">
        <f>IF(D3510="","",D3510/48)</f>
        <v>0</v>
      </c>
      <c r="D3510" s="26">
        <f>IF(A3510="","",ROUND((A3510-cfgDefasagem/1440)*48,0))</f>
        <v>0</v>
      </c>
      <c r="E3510" s="26">
        <f>IF(D3510="","",INT((D3510-cfgDeslocamento)/4))</f>
        <v>0</v>
      </c>
      <c r="F3510" s="26">
        <f>IF(D3510="","",MOD(D3510-cfgDeslocamento,4)+1)</f>
        <v>0</v>
      </c>
      <c r="G3510" s="26">
        <f>IF(A3510="","",IF(AND(ISNUMBER(B3510),B3510&lt;&gt;0),1,0))</f>
        <v>0</v>
      </c>
      <c r="H3510" s="25">
        <f>IF(E3510="","",(E3510*4+3+cfgDeslocamento)/48)</f>
        <v>0</v>
      </c>
    </row>
    <row r="3511" spans="1:8">
      <c r="A3511" s="24"/>
      <c r="B3511" s="19"/>
      <c r="C3511" s="25">
        <f>IF(D3511="","",D3511/48)</f>
        <v>0</v>
      </c>
      <c r="D3511" s="26">
        <f>IF(A3511="","",ROUND((A3511-cfgDefasagem/1440)*48,0))</f>
        <v>0</v>
      </c>
      <c r="E3511" s="26">
        <f>IF(D3511="","",INT((D3511-cfgDeslocamento)/4))</f>
        <v>0</v>
      </c>
      <c r="F3511" s="26">
        <f>IF(D3511="","",MOD(D3511-cfgDeslocamento,4)+1)</f>
        <v>0</v>
      </c>
      <c r="G3511" s="26">
        <f>IF(A3511="","",IF(AND(ISNUMBER(B3511),B3511&lt;&gt;0),1,0))</f>
        <v>0</v>
      </c>
      <c r="H3511" s="25">
        <f>IF(E3511="","",(E3511*4+3+cfgDeslocamento)/48)</f>
        <v>0</v>
      </c>
    </row>
    <row r="3512" spans="1:8">
      <c r="A3512" s="24"/>
      <c r="B3512" s="19"/>
      <c r="C3512" s="25">
        <f>IF(D3512="","",D3512/48)</f>
        <v>0</v>
      </c>
      <c r="D3512" s="26">
        <f>IF(A3512="","",ROUND((A3512-cfgDefasagem/1440)*48,0))</f>
        <v>0</v>
      </c>
      <c r="E3512" s="26">
        <f>IF(D3512="","",INT((D3512-cfgDeslocamento)/4))</f>
        <v>0</v>
      </c>
      <c r="F3512" s="26">
        <f>IF(D3512="","",MOD(D3512-cfgDeslocamento,4)+1)</f>
        <v>0</v>
      </c>
      <c r="G3512" s="26">
        <f>IF(A3512="","",IF(AND(ISNUMBER(B3512),B3512&lt;&gt;0),1,0))</f>
        <v>0</v>
      </c>
      <c r="H3512" s="25">
        <f>IF(E3512="","",(E3512*4+3+cfgDeslocamento)/48)</f>
        <v>0</v>
      </c>
    </row>
    <row r="3513" spans="1:8">
      <c r="A3513" s="24"/>
      <c r="B3513" s="19"/>
      <c r="C3513" s="25">
        <f>IF(D3513="","",D3513/48)</f>
        <v>0</v>
      </c>
      <c r="D3513" s="26">
        <f>IF(A3513="","",ROUND((A3513-cfgDefasagem/1440)*48,0))</f>
        <v>0</v>
      </c>
      <c r="E3513" s="26">
        <f>IF(D3513="","",INT((D3513-cfgDeslocamento)/4))</f>
        <v>0</v>
      </c>
      <c r="F3513" s="26">
        <f>IF(D3513="","",MOD(D3513-cfgDeslocamento,4)+1)</f>
        <v>0</v>
      </c>
      <c r="G3513" s="26">
        <f>IF(A3513="","",IF(AND(ISNUMBER(B3513),B3513&lt;&gt;0),1,0))</f>
        <v>0</v>
      </c>
      <c r="H3513" s="25">
        <f>IF(E3513="","",(E3513*4+3+cfgDeslocamento)/48)</f>
        <v>0</v>
      </c>
    </row>
    <row r="3514" spans="1:8">
      <c r="A3514" s="24"/>
      <c r="B3514" s="19"/>
      <c r="C3514" s="25">
        <f>IF(D3514="","",D3514/48)</f>
        <v>0</v>
      </c>
      <c r="D3514" s="26">
        <f>IF(A3514="","",ROUND((A3514-cfgDefasagem/1440)*48,0))</f>
        <v>0</v>
      </c>
      <c r="E3514" s="26">
        <f>IF(D3514="","",INT((D3514-cfgDeslocamento)/4))</f>
        <v>0</v>
      </c>
      <c r="F3514" s="26">
        <f>IF(D3514="","",MOD(D3514-cfgDeslocamento,4)+1)</f>
        <v>0</v>
      </c>
      <c r="G3514" s="26">
        <f>IF(A3514="","",IF(AND(ISNUMBER(B3514),B3514&lt;&gt;0),1,0))</f>
        <v>0</v>
      </c>
      <c r="H3514" s="25">
        <f>IF(E3514="","",(E3514*4+3+cfgDeslocamento)/48)</f>
        <v>0</v>
      </c>
    </row>
    <row r="3515" spans="1:8">
      <c r="A3515" s="24"/>
      <c r="B3515" s="19"/>
      <c r="C3515" s="25">
        <f>IF(D3515="","",D3515/48)</f>
        <v>0</v>
      </c>
      <c r="D3515" s="26">
        <f>IF(A3515="","",ROUND((A3515-cfgDefasagem/1440)*48,0))</f>
        <v>0</v>
      </c>
      <c r="E3515" s="26">
        <f>IF(D3515="","",INT((D3515-cfgDeslocamento)/4))</f>
        <v>0</v>
      </c>
      <c r="F3515" s="26">
        <f>IF(D3515="","",MOD(D3515-cfgDeslocamento,4)+1)</f>
        <v>0</v>
      </c>
      <c r="G3515" s="26">
        <f>IF(A3515="","",IF(AND(ISNUMBER(B3515),B3515&lt;&gt;0),1,0))</f>
        <v>0</v>
      </c>
      <c r="H3515" s="25">
        <f>IF(E3515="","",(E3515*4+3+cfgDeslocamento)/48)</f>
        <v>0</v>
      </c>
    </row>
    <row r="3516" spans="1:8">
      <c r="A3516" s="24"/>
      <c r="B3516" s="19"/>
      <c r="C3516" s="25">
        <f>IF(D3516="","",D3516/48)</f>
        <v>0</v>
      </c>
      <c r="D3516" s="26">
        <f>IF(A3516="","",ROUND((A3516-cfgDefasagem/1440)*48,0))</f>
        <v>0</v>
      </c>
      <c r="E3516" s="26">
        <f>IF(D3516="","",INT((D3516-cfgDeslocamento)/4))</f>
        <v>0</v>
      </c>
      <c r="F3516" s="26">
        <f>IF(D3516="","",MOD(D3516-cfgDeslocamento,4)+1)</f>
        <v>0</v>
      </c>
      <c r="G3516" s="26">
        <f>IF(A3516="","",IF(AND(ISNUMBER(B3516),B3516&lt;&gt;0),1,0))</f>
        <v>0</v>
      </c>
      <c r="H3516" s="25">
        <f>IF(E3516="","",(E3516*4+3+cfgDeslocamento)/48)</f>
        <v>0</v>
      </c>
    </row>
    <row r="3517" spans="1:8">
      <c r="A3517" s="24"/>
      <c r="B3517" s="19"/>
      <c r="C3517" s="25">
        <f>IF(D3517="","",D3517/48)</f>
        <v>0</v>
      </c>
      <c r="D3517" s="26">
        <f>IF(A3517="","",ROUND((A3517-cfgDefasagem/1440)*48,0))</f>
        <v>0</v>
      </c>
      <c r="E3517" s="26">
        <f>IF(D3517="","",INT((D3517-cfgDeslocamento)/4))</f>
        <v>0</v>
      </c>
      <c r="F3517" s="26">
        <f>IF(D3517="","",MOD(D3517-cfgDeslocamento,4)+1)</f>
        <v>0</v>
      </c>
      <c r="G3517" s="26">
        <f>IF(A3517="","",IF(AND(ISNUMBER(B3517),B3517&lt;&gt;0),1,0))</f>
        <v>0</v>
      </c>
      <c r="H3517" s="25">
        <f>IF(E3517="","",(E3517*4+3+cfgDeslocamento)/48)</f>
        <v>0</v>
      </c>
    </row>
    <row r="3518" spans="1:8">
      <c r="A3518" s="24"/>
      <c r="B3518" s="19"/>
      <c r="C3518" s="25">
        <f>IF(D3518="","",D3518/48)</f>
        <v>0</v>
      </c>
      <c r="D3518" s="26">
        <f>IF(A3518="","",ROUND((A3518-cfgDefasagem/1440)*48,0))</f>
        <v>0</v>
      </c>
      <c r="E3518" s="26">
        <f>IF(D3518="","",INT((D3518-cfgDeslocamento)/4))</f>
        <v>0</v>
      </c>
      <c r="F3518" s="26">
        <f>IF(D3518="","",MOD(D3518-cfgDeslocamento,4)+1)</f>
        <v>0</v>
      </c>
      <c r="G3518" s="26">
        <f>IF(A3518="","",IF(AND(ISNUMBER(B3518),B3518&lt;&gt;0),1,0))</f>
        <v>0</v>
      </c>
      <c r="H3518" s="25">
        <f>IF(E3518="","",(E3518*4+3+cfgDeslocamento)/48)</f>
        <v>0</v>
      </c>
    </row>
    <row r="3519" spans="1:8">
      <c r="A3519" s="24"/>
      <c r="B3519" s="19"/>
      <c r="C3519" s="25">
        <f>IF(D3519="","",D3519/48)</f>
        <v>0</v>
      </c>
      <c r="D3519" s="26">
        <f>IF(A3519="","",ROUND((A3519-cfgDefasagem/1440)*48,0))</f>
        <v>0</v>
      </c>
      <c r="E3519" s="26">
        <f>IF(D3519="","",INT((D3519-cfgDeslocamento)/4))</f>
        <v>0</v>
      </c>
      <c r="F3519" s="26">
        <f>IF(D3519="","",MOD(D3519-cfgDeslocamento,4)+1)</f>
        <v>0</v>
      </c>
      <c r="G3519" s="26">
        <f>IF(A3519="","",IF(AND(ISNUMBER(B3519),B3519&lt;&gt;0),1,0))</f>
        <v>0</v>
      </c>
      <c r="H3519" s="25">
        <f>IF(E3519="","",(E3519*4+3+cfgDeslocamento)/48)</f>
        <v>0</v>
      </c>
    </row>
    <row r="3520" spans="1:8">
      <c r="A3520" s="24"/>
      <c r="B3520" s="19"/>
      <c r="C3520" s="25">
        <f>IF(D3520="","",D3520/48)</f>
        <v>0</v>
      </c>
      <c r="D3520" s="26">
        <f>IF(A3520="","",ROUND((A3520-cfgDefasagem/1440)*48,0))</f>
        <v>0</v>
      </c>
      <c r="E3520" s="26">
        <f>IF(D3520="","",INT((D3520-cfgDeslocamento)/4))</f>
        <v>0</v>
      </c>
      <c r="F3520" s="26">
        <f>IF(D3520="","",MOD(D3520-cfgDeslocamento,4)+1)</f>
        <v>0</v>
      </c>
      <c r="G3520" s="26">
        <f>IF(A3520="","",IF(AND(ISNUMBER(B3520),B3520&lt;&gt;0),1,0))</f>
        <v>0</v>
      </c>
      <c r="H3520" s="25">
        <f>IF(E3520="","",(E3520*4+3+cfgDeslocamento)/48)</f>
        <v>0</v>
      </c>
    </row>
    <row r="3521" spans="1:8">
      <c r="A3521" s="24"/>
      <c r="B3521" s="19"/>
      <c r="C3521" s="25">
        <f>IF(D3521="","",D3521/48)</f>
        <v>0</v>
      </c>
      <c r="D3521" s="26">
        <f>IF(A3521="","",ROUND((A3521-cfgDefasagem/1440)*48,0))</f>
        <v>0</v>
      </c>
      <c r="E3521" s="26">
        <f>IF(D3521="","",INT((D3521-cfgDeslocamento)/4))</f>
        <v>0</v>
      </c>
      <c r="F3521" s="26">
        <f>IF(D3521="","",MOD(D3521-cfgDeslocamento,4)+1)</f>
        <v>0</v>
      </c>
      <c r="G3521" s="26">
        <f>IF(A3521="","",IF(AND(ISNUMBER(B3521),B3521&lt;&gt;0),1,0))</f>
        <v>0</v>
      </c>
      <c r="H3521" s="25">
        <f>IF(E3521="","",(E3521*4+3+cfgDeslocamento)/48)</f>
        <v>0</v>
      </c>
    </row>
    <row r="3522" spans="1:8">
      <c r="A3522" s="24"/>
      <c r="B3522" s="19"/>
      <c r="C3522" s="25">
        <f>IF(D3522="","",D3522/48)</f>
        <v>0</v>
      </c>
      <c r="D3522" s="26">
        <f>IF(A3522="","",ROUND((A3522-cfgDefasagem/1440)*48,0))</f>
        <v>0</v>
      </c>
      <c r="E3522" s="26">
        <f>IF(D3522="","",INT((D3522-cfgDeslocamento)/4))</f>
        <v>0</v>
      </c>
      <c r="F3522" s="26">
        <f>IF(D3522="","",MOD(D3522-cfgDeslocamento,4)+1)</f>
        <v>0</v>
      </c>
      <c r="G3522" s="26">
        <f>IF(A3522="","",IF(AND(ISNUMBER(B3522),B3522&lt;&gt;0),1,0))</f>
        <v>0</v>
      </c>
      <c r="H3522" s="25">
        <f>IF(E3522="","",(E3522*4+3+cfgDeslocamento)/48)</f>
        <v>0</v>
      </c>
    </row>
    <row r="3523" spans="1:8">
      <c r="A3523" s="24"/>
      <c r="B3523" s="19"/>
      <c r="C3523" s="25">
        <f>IF(D3523="","",D3523/48)</f>
        <v>0</v>
      </c>
      <c r="D3523" s="26">
        <f>IF(A3523="","",ROUND((A3523-cfgDefasagem/1440)*48,0))</f>
        <v>0</v>
      </c>
      <c r="E3523" s="26">
        <f>IF(D3523="","",INT((D3523-cfgDeslocamento)/4))</f>
        <v>0</v>
      </c>
      <c r="F3523" s="26">
        <f>IF(D3523="","",MOD(D3523-cfgDeslocamento,4)+1)</f>
        <v>0</v>
      </c>
      <c r="G3523" s="26">
        <f>IF(A3523="","",IF(AND(ISNUMBER(B3523),B3523&lt;&gt;0),1,0))</f>
        <v>0</v>
      </c>
      <c r="H3523" s="25">
        <f>IF(E3523="","",(E3523*4+3+cfgDeslocamento)/48)</f>
        <v>0</v>
      </c>
    </row>
    <row r="3524" spans="1:8">
      <c r="A3524" s="24"/>
      <c r="B3524" s="19"/>
      <c r="C3524" s="25">
        <f>IF(D3524="","",D3524/48)</f>
        <v>0</v>
      </c>
      <c r="D3524" s="26">
        <f>IF(A3524="","",ROUND((A3524-cfgDefasagem/1440)*48,0))</f>
        <v>0</v>
      </c>
      <c r="E3524" s="26">
        <f>IF(D3524="","",INT((D3524-cfgDeslocamento)/4))</f>
        <v>0</v>
      </c>
      <c r="F3524" s="26">
        <f>IF(D3524="","",MOD(D3524-cfgDeslocamento,4)+1)</f>
        <v>0</v>
      </c>
      <c r="G3524" s="26">
        <f>IF(A3524="","",IF(AND(ISNUMBER(B3524),B3524&lt;&gt;0),1,0))</f>
        <v>0</v>
      </c>
      <c r="H3524" s="25">
        <f>IF(E3524="","",(E3524*4+3+cfgDeslocamento)/48)</f>
        <v>0</v>
      </c>
    </row>
    <row r="3525" spans="1:8">
      <c r="A3525" s="24"/>
      <c r="B3525" s="19"/>
      <c r="C3525" s="25">
        <f>IF(D3525="","",D3525/48)</f>
        <v>0</v>
      </c>
      <c r="D3525" s="26">
        <f>IF(A3525="","",ROUND((A3525-cfgDefasagem/1440)*48,0))</f>
        <v>0</v>
      </c>
      <c r="E3525" s="26">
        <f>IF(D3525="","",INT((D3525-cfgDeslocamento)/4))</f>
        <v>0</v>
      </c>
      <c r="F3525" s="26">
        <f>IF(D3525="","",MOD(D3525-cfgDeslocamento,4)+1)</f>
        <v>0</v>
      </c>
      <c r="G3525" s="26">
        <f>IF(A3525="","",IF(AND(ISNUMBER(B3525),B3525&lt;&gt;0),1,0))</f>
        <v>0</v>
      </c>
      <c r="H3525" s="25">
        <f>IF(E3525="","",(E3525*4+3+cfgDeslocamento)/48)</f>
        <v>0</v>
      </c>
    </row>
    <row r="3526" spans="1:8">
      <c r="A3526" s="24"/>
      <c r="B3526" s="19"/>
      <c r="C3526" s="25">
        <f>IF(D3526="","",D3526/48)</f>
        <v>0</v>
      </c>
      <c r="D3526" s="26">
        <f>IF(A3526="","",ROUND((A3526-cfgDefasagem/1440)*48,0))</f>
        <v>0</v>
      </c>
      <c r="E3526" s="26">
        <f>IF(D3526="","",INT((D3526-cfgDeslocamento)/4))</f>
        <v>0</v>
      </c>
      <c r="F3526" s="26">
        <f>IF(D3526="","",MOD(D3526-cfgDeslocamento,4)+1)</f>
        <v>0</v>
      </c>
      <c r="G3526" s="26">
        <f>IF(A3526="","",IF(AND(ISNUMBER(B3526),B3526&lt;&gt;0),1,0))</f>
        <v>0</v>
      </c>
      <c r="H3526" s="25">
        <f>IF(E3526="","",(E3526*4+3+cfgDeslocamento)/48)</f>
        <v>0</v>
      </c>
    </row>
    <row r="3527" spans="1:8">
      <c r="A3527" s="24"/>
      <c r="B3527" s="19"/>
      <c r="C3527" s="25">
        <f>IF(D3527="","",D3527/48)</f>
        <v>0</v>
      </c>
      <c r="D3527" s="26">
        <f>IF(A3527="","",ROUND((A3527-cfgDefasagem/1440)*48,0))</f>
        <v>0</v>
      </c>
      <c r="E3527" s="26">
        <f>IF(D3527="","",INT((D3527-cfgDeslocamento)/4))</f>
        <v>0</v>
      </c>
      <c r="F3527" s="26">
        <f>IF(D3527="","",MOD(D3527-cfgDeslocamento,4)+1)</f>
        <v>0</v>
      </c>
      <c r="G3527" s="26">
        <f>IF(A3527="","",IF(AND(ISNUMBER(B3527),B3527&lt;&gt;0),1,0))</f>
        <v>0</v>
      </c>
      <c r="H3527" s="25">
        <f>IF(E3527="","",(E3527*4+3+cfgDeslocamento)/48)</f>
        <v>0</v>
      </c>
    </row>
    <row r="3528" spans="1:8">
      <c r="A3528" s="24"/>
      <c r="B3528" s="19"/>
      <c r="C3528" s="25">
        <f>IF(D3528="","",D3528/48)</f>
        <v>0</v>
      </c>
      <c r="D3528" s="26">
        <f>IF(A3528="","",ROUND((A3528-cfgDefasagem/1440)*48,0))</f>
        <v>0</v>
      </c>
      <c r="E3528" s="26">
        <f>IF(D3528="","",INT((D3528-cfgDeslocamento)/4))</f>
        <v>0</v>
      </c>
      <c r="F3528" s="26">
        <f>IF(D3528="","",MOD(D3528-cfgDeslocamento,4)+1)</f>
        <v>0</v>
      </c>
      <c r="G3528" s="26">
        <f>IF(A3528="","",IF(AND(ISNUMBER(B3528),B3528&lt;&gt;0),1,0))</f>
        <v>0</v>
      </c>
      <c r="H3528" s="25">
        <f>IF(E3528="","",(E3528*4+3+cfgDeslocamento)/48)</f>
        <v>0</v>
      </c>
    </row>
    <row r="3529" spans="1:8">
      <c r="A3529" s="24"/>
      <c r="B3529" s="19"/>
      <c r="C3529" s="25">
        <f>IF(D3529="","",D3529/48)</f>
        <v>0</v>
      </c>
      <c r="D3529" s="26">
        <f>IF(A3529="","",ROUND((A3529-cfgDefasagem/1440)*48,0))</f>
        <v>0</v>
      </c>
      <c r="E3529" s="26">
        <f>IF(D3529="","",INT((D3529-cfgDeslocamento)/4))</f>
        <v>0</v>
      </c>
      <c r="F3529" s="26">
        <f>IF(D3529="","",MOD(D3529-cfgDeslocamento,4)+1)</f>
        <v>0</v>
      </c>
      <c r="G3529" s="26">
        <f>IF(A3529="","",IF(AND(ISNUMBER(B3529),B3529&lt;&gt;0),1,0))</f>
        <v>0</v>
      </c>
      <c r="H3529" s="25">
        <f>IF(E3529="","",(E3529*4+3+cfgDeslocamento)/48)</f>
        <v>0</v>
      </c>
    </row>
    <row r="3530" spans="1:8">
      <c r="A3530" s="24"/>
      <c r="B3530" s="19"/>
      <c r="C3530" s="25">
        <f>IF(D3530="","",D3530/48)</f>
        <v>0</v>
      </c>
      <c r="D3530" s="26">
        <f>IF(A3530="","",ROUND((A3530-cfgDefasagem/1440)*48,0))</f>
        <v>0</v>
      </c>
      <c r="E3530" s="26">
        <f>IF(D3530="","",INT((D3530-cfgDeslocamento)/4))</f>
        <v>0</v>
      </c>
      <c r="F3530" s="26">
        <f>IF(D3530="","",MOD(D3530-cfgDeslocamento,4)+1)</f>
        <v>0</v>
      </c>
      <c r="G3530" s="26">
        <f>IF(A3530="","",IF(AND(ISNUMBER(B3530),B3530&lt;&gt;0),1,0))</f>
        <v>0</v>
      </c>
      <c r="H3530" s="25">
        <f>IF(E3530="","",(E3530*4+3+cfgDeslocamento)/48)</f>
        <v>0</v>
      </c>
    </row>
    <row r="3531" spans="1:8">
      <c r="A3531" s="24"/>
      <c r="B3531" s="19"/>
      <c r="C3531" s="25">
        <f>IF(D3531="","",D3531/48)</f>
        <v>0</v>
      </c>
      <c r="D3531" s="26">
        <f>IF(A3531="","",ROUND((A3531-cfgDefasagem/1440)*48,0))</f>
        <v>0</v>
      </c>
      <c r="E3531" s="26">
        <f>IF(D3531="","",INT((D3531-cfgDeslocamento)/4))</f>
        <v>0</v>
      </c>
      <c r="F3531" s="26">
        <f>IF(D3531="","",MOD(D3531-cfgDeslocamento,4)+1)</f>
        <v>0</v>
      </c>
      <c r="G3531" s="26">
        <f>IF(A3531="","",IF(AND(ISNUMBER(B3531),B3531&lt;&gt;0),1,0))</f>
        <v>0</v>
      </c>
      <c r="H3531" s="25">
        <f>IF(E3531="","",(E3531*4+3+cfgDeslocamento)/48)</f>
        <v>0</v>
      </c>
    </row>
    <row r="3532" spans="1:8">
      <c r="A3532" s="24"/>
      <c r="B3532" s="19"/>
      <c r="C3532" s="25">
        <f>IF(D3532="","",D3532/48)</f>
        <v>0</v>
      </c>
      <c r="D3532" s="26">
        <f>IF(A3532="","",ROUND((A3532-cfgDefasagem/1440)*48,0))</f>
        <v>0</v>
      </c>
      <c r="E3532" s="26">
        <f>IF(D3532="","",INT((D3532-cfgDeslocamento)/4))</f>
        <v>0</v>
      </c>
      <c r="F3532" s="26">
        <f>IF(D3532="","",MOD(D3532-cfgDeslocamento,4)+1)</f>
        <v>0</v>
      </c>
      <c r="G3532" s="26">
        <f>IF(A3532="","",IF(AND(ISNUMBER(B3532),B3532&lt;&gt;0),1,0))</f>
        <v>0</v>
      </c>
      <c r="H3532" s="25">
        <f>IF(E3532="","",(E3532*4+3+cfgDeslocamento)/48)</f>
        <v>0</v>
      </c>
    </row>
    <row r="3533" spans="1:8">
      <c r="A3533" s="24"/>
      <c r="B3533" s="19"/>
      <c r="C3533" s="25">
        <f>IF(D3533="","",D3533/48)</f>
        <v>0</v>
      </c>
      <c r="D3533" s="26">
        <f>IF(A3533="","",ROUND((A3533-cfgDefasagem/1440)*48,0))</f>
        <v>0</v>
      </c>
      <c r="E3533" s="26">
        <f>IF(D3533="","",INT((D3533-cfgDeslocamento)/4))</f>
        <v>0</v>
      </c>
      <c r="F3533" s="26">
        <f>IF(D3533="","",MOD(D3533-cfgDeslocamento,4)+1)</f>
        <v>0</v>
      </c>
      <c r="G3533" s="26">
        <f>IF(A3533="","",IF(AND(ISNUMBER(B3533),B3533&lt;&gt;0),1,0))</f>
        <v>0</v>
      </c>
      <c r="H3533" s="25">
        <f>IF(E3533="","",(E3533*4+3+cfgDeslocamento)/48)</f>
        <v>0</v>
      </c>
    </row>
    <row r="3534" spans="1:8">
      <c r="A3534" s="24"/>
      <c r="B3534" s="19"/>
      <c r="C3534" s="25">
        <f>IF(D3534="","",D3534/48)</f>
        <v>0</v>
      </c>
      <c r="D3534" s="26">
        <f>IF(A3534="","",ROUND((A3534-cfgDefasagem/1440)*48,0))</f>
        <v>0</v>
      </c>
      <c r="E3534" s="26">
        <f>IF(D3534="","",INT((D3534-cfgDeslocamento)/4))</f>
        <v>0</v>
      </c>
      <c r="F3534" s="26">
        <f>IF(D3534="","",MOD(D3534-cfgDeslocamento,4)+1)</f>
        <v>0</v>
      </c>
      <c r="G3534" s="26">
        <f>IF(A3534="","",IF(AND(ISNUMBER(B3534),B3534&lt;&gt;0),1,0))</f>
        <v>0</v>
      </c>
      <c r="H3534" s="25">
        <f>IF(E3534="","",(E3534*4+3+cfgDeslocamento)/48)</f>
        <v>0</v>
      </c>
    </row>
    <row r="3535" spans="1:8">
      <c r="A3535" s="24"/>
      <c r="B3535" s="19"/>
      <c r="C3535" s="25">
        <f>IF(D3535="","",D3535/48)</f>
        <v>0</v>
      </c>
      <c r="D3535" s="26">
        <f>IF(A3535="","",ROUND((A3535-cfgDefasagem/1440)*48,0))</f>
        <v>0</v>
      </c>
      <c r="E3535" s="26">
        <f>IF(D3535="","",INT((D3535-cfgDeslocamento)/4))</f>
        <v>0</v>
      </c>
      <c r="F3535" s="26">
        <f>IF(D3535="","",MOD(D3535-cfgDeslocamento,4)+1)</f>
        <v>0</v>
      </c>
      <c r="G3535" s="26">
        <f>IF(A3535="","",IF(AND(ISNUMBER(B3535),B3535&lt;&gt;0),1,0))</f>
        <v>0</v>
      </c>
      <c r="H3535" s="25">
        <f>IF(E3535="","",(E3535*4+3+cfgDeslocamento)/48)</f>
        <v>0</v>
      </c>
    </row>
    <row r="3536" spans="1:8">
      <c r="A3536" s="24"/>
      <c r="B3536" s="19"/>
      <c r="C3536" s="25">
        <f>IF(D3536="","",D3536/48)</f>
        <v>0</v>
      </c>
      <c r="D3536" s="26">
        <f>IF(A3536="","",ROUND((A3536-cfgDefasagem/1440)*48,0))</f>
        <v>0</v>
      </c>
      <c r="E3536" s="26">
        <f>IF(D3536="","",INT((D3536-cfgDeslocamento)/4))</f>
        <v>0</v>
      </c>
      <c r="F3536" s="26">
        <f>IF(D3536="","",MOD(D3536-cfgDeslocamento,4)+1)</f>
        <v>0</v>
      </c>
      <c r="G3536" s="26">
        <f>IF(A3536="","",IF(AND(ISNUMBER(B3536),B3536&lt;&gt;0),1,0))</f>
        <v>0</v>
      </c>
      <c r="H3536" s="25">
        <f>IF(E3536="","",(E3536*4+3+cfgDeslocamento)/48)</f>
        <v>0</v>
      </c>
    </row>
    <row r="3537" spans="1:8">
      <c r="A3537" s="24"/>
      <c r="B3537" s="19"/>
      <c r="C3537" s="25">
        <f>IF(D3537="","",D3537/48)</f>
        <v>0</v>
      </c>
      <c r="D3537" s="26">
        <f>IF(A3537="","",ROUND((A3537-cfgDefasagem/1440)*48,0))</f>
        <v>0</v>
      </c>
      <c r="E3537" s="26">
        <f>IF(D3537="","",INT((D3537-cfgDeslocamento)/4))</f>
        <v>0</v>
      </c>
      <c r="F3537" s="26">
        <f>IF(D3537="","",MOD(D3537-cfgDeslocamento,4)+1)</f>
        <v>0</v>
      </c>
      <c r="G3537" s="26">
        <f>IF(A3537="","",IF(AND(ISNUMBER(B3537),B3537&lt;&gt;0),1,0))</f>
        <v>0</v>
      </c>
      <c r="H3537" s="25">
        <f>IF(E3537="","",(E3537*4+3+cfgDeslocamento)/48)</f>
        <v>0</v>
      </c>
    </row>
    <row r="3538" spans="1:8">
      <c r="A3538" s="24"/>
      <c r="B3538" s="19"/>
      <c r="C3538" s="25">
        <f>IF(D3538="","",D3538/48)</f>
        <v>0</v>
      </c>
      <c r="D3538" s="26">
        <f>IF(A3538="","",ROUND((A3538-cfgDefasagem/1440)*48,0))</f>
        <v>0</v>
      </c>
      <c r="E3538" s="26">
        <f>IF(D3538="","",INT((D3538-cfgDeslocamento)/4))</f>
        <v>0</v>
      </c>
      <c r="F3538" s="26">
        <f>IF(D3538="","",MOD(D3538-cfgDeslocamento,4)+1)</f>
        <v>0</v>
      </c>
      <c r="G3538" s="26">
        <f>IF(A3538="","",IF(AND(ISNUMBER(B3538),B3538&lt;&gt;0),1,0))</f>
        <v>0</v>
      </c>
      <c r="H3538" s="25">
        <f>IF(E3538="","",(E3538*4+3+cfgDeslocamento)/48)</f>
        <v>0</v>
      </c>
    </row>
    <row r="3539" spans="1:8">
      <c r="A3539" s="24"/>
      <c r="B3539" s="19"/>
      <c r="C3539" s="25">
        <f>IF(D3539="","",D3539/48)</f>
        <v>0</v>
      </c>
      <c r="D3539" s="26">
        <f>IF(A3539="","",ROUND((A3539-cfgDefasagem/1440)*48,0))</f>
        <v>0</v>
      </c>
      <c r="E3539" s="26">
        <f>IF(D3539="","",INT((D3539-cfgDeslocamento)/4))</f>
        <v>0</v>
      </c>
      <c r="F3539" s="26">
        <f>IF(D3539="","",MOD(D3539-cfgDeslocamento,4)+1)</f>
        <v>0</v>
      </c>
      <c r="G3539" s="26">
        <f>IF(A3539="","",IF(AND(ISNUMBER(B3539),B3539&lt;&gt;0),1,0))</f>
        <v>0</v>
      </c>
      <c r="H3539" s="25">
        <f>IF(E3539="","",(E3539*4+3+cfgDeslocamento)/48)</f>
        <v>0</v>
      </c>
    </row>
    <row r="3540" spans="1:8">
      <c r="A3540" s="24"/>
      <c r="B3540" s="19"/>
      <c r="C3540" s="25">
        <f>IF(D3540="","",D3540/48)</f>
        <v>0</v>
      </c>
      <c r="D3540" s="26">
        <f>IF(A3540="","",ROUND((A3540-cfgDefasagem/1440)*48,0))</f>
        <v>0</v>
      </c>
      <c r="E3540" s="26">
        <f>IF(D3540="","",INT((D3540-cfgDeslocamento)/4))</f>
        <v>0</v>
      </c>
      <c r="F3540" s="26">
        <f>IF(D3540="","",MOD(D3540-cfgDeslocamento,4)+1)</f>
        <v>0</v>
      </c>
      <c r="G3540" s="26">
        <f>IF(A3540="","",IF(AND(ISNUMBER(B3540),B3540&lt;&gt;0),1,0))</f>
        <v>0</v>
      </c>
      <c r="H3540" s="25">
        <f>IF(E3540="","",(E3540*4+3+cfgDeslocamento)/48)</f>
        <v>0</v>
      </c>
    </row>
    <row r="3541" spans="1:8">
      <c r="A3541" s="24"/>
      <c r="B3541" s="19"/>
      <c r="C3541" s="25">
        <f>IF(D3541="","",D3541/48)</f>
        <v>0</v>
      </c>
      <c r="D3541" s="26">
        <f>IF(A3541="","",ROUND((A3541-cfgDefasagem/1440)*48,0))</f>
        <v>0</v>
      </c>
      <c r="E3541" s="26">
        <f>IF(D3541="","",INT((D3541-cfgDeslocamento)/4))</f>
        <v>0</v>
      </c>
      <c r="F3541" s="26">
        <f>IF(D3541="","",MOD(D3541-cfgDeslocamento,4)+1)</f>
        <v>0</v>
      </c>
      <c r="G3541" s="26">
        <f>IF(A3541="","",IF(AND(ISNUMBER(B3541),B3541&lt;&gt;0),1,0))</f>
        <v>0</v>
      </c>
      <c r="H3541" s="25">
        <f>IF(E3541="","",(E3541*4+3+cfgDeslocamento)/48)</f>
        <v>0</v>
      </c>
    </row>
    <row r="3542" spans="1:8">
      <c r="A3542" s="24"/>
      <c r="B3542" s="19"/>
      <c r="C3542" s="25">
        <f>IF(D3542="","",D3542/48)</f>
        <v>0</v>
      </c>
      <c r="D3542" s="26">
        <f>IF(A3542="","",ROUND((A3542-cfgDefasagem/1440)*48,0))</f>
        <v>0</v>
      </c>
      <c r="E3542" s="26">
        <f>IF(D3542="","",INT((D3542-cfgDeslocamento)/4))</f>
        <v>0</v>
      </c>
      <c r="F3542" s="26">
        <f>IF(D3542="","",MOD(D3542-cfgDeslocamento,4)+1)</f>
        <v>0</v>
      </c>
      <c r="G3542" s="26">
        <f>IF(A3542="","",IF(AND(ISNUMBER(B3542),B3542&lt;&gt;0),1,0))</f>
        <v>0</v>
      </c>
      <c r="H3542" s="25">
        <f>IF(E3542="","",(E3542*4+3+cfgDeslocamento)/48)</f>
        <v>0</v>
      </c>
    </row>
    <row r="3543" spans="1:8">
      <c r="A3543" s="24"/>
      <c r="B3543" s="19"/>
      <c r="C3543" s="25">
        <f>IF(D3543="","",D3543/48)</f>
        <v>0</v>
      </c>
      <c r="D3543" s="26">
        <f>IF(A3543="","",ROUND((A3543-cfgDefasagem/1440)*48,0))</f>
        <v>0</v>
      </c>
      <c r="E3543" s="26">
        <f>IF(D3543="","",INT((D3543-cfgDeslocamento)/4))</f>
        <v>0</v>
      </c>
      <c r="F3543" s="26">
        <f>IF(D3543="","",MOD(D3543-cfgDeslocamento,4)+1)</f>
        <v>0</v>
      </c>
      <c r="G3543" s="26">
        <f>IF(A3543="","",IF(AND(ISNUMBER(B3543),B3543&lt;&gt;0),1,0))</f>
        <v>0</v>
      </c>
      <c r="H3543" s="25">
        <f>IF(E3543="","",(E3543*4+3+cfgDeslocamento)/48)</f>
        <v>0</v>
      </c>
    </row>
    <row r="3544" spans="1:8">
      <c r="A3544" s="24"/>
      <c r="B3544" s="19"/>
      <c r="C3544" s="25">
        <f>IF(D3544="","",D3544/48)</f>
        <v>0</v>
      </c>
      <c r="D3544" s="26">
        <f>IF(A3544="","",ROUND((A3544-cfgDefasagem/1440)*48,0))</f>
        <v>0</v>
      </c>
      <c r="E3544" s="26">
        <f>IF(D3544="","",INT((D3544-cfgDeslocamento)/4))</f>
        <v>0</v>
      </c>
      <c r="F3544" s="26">
        <f>IF(D3544="","",MOD(D3544-cfgDeslocamento,4)+1)</f>
        <v>0</v>
      </c>
      <c r="G3544" s="26">
        <f>IF(A3544="","",IF(AND(ISNUMBER(B3544),B3544&lt;&gt;0),1,0))</f>
        <v>0</v>
      </c>
      <c r="H3544" s="25">
        <f>IF(E3544="","",(E3544*4+3+cfgDeslocamento)/48)</f>
        <v>0</v>
      </c>
    </row>
    <row r="3545" spans="1:8">
      <c r="A3545" s="24"/>
      <c r="B3545" s="19"/>
      <c r="C3545" s="25">
        <f>IF(D3545="","",D3545/48)</f>
        <v>0</v>
      </c>
      <c r="D3545" s="26">
        <f>IF(A3545="","",ROUND((A3545-cfgDefasagem/1440)*48,0))</f>
        <v>0</v>
      </c>
      <c r="E3545" s="26">
        <f>IF(D3545="","",INT((D3545-cfgDeslocamento)/4))</f>
        <v>0</v>
      </c>
      <c r="F3545" s="26">
        <f>IF(D3545="","",MOD(D3545-cfgDeslocamento,4)+1)</f>
        <v>0</v>
      </c>
      <c r="G3545" s="26">
        <f>IF(A3545="","",IF(AND(ISNUMBER(B3545),B3545&lt;&gt;0),1,0))</f>
        <v>0</v>
      </c>
      <c r="H3545" s="25">
        <f>IF(E3545="","",(E3545*4+3+cfgDeslocamento)/48)</f>
        <v>0</v>
      </c>
    </row>
    <row r="3546" spans="1:8">
      <c r="A3546" s="24"/>
      <c r="B3546" s="19"/>
      <c r="C3546" s="25">
        <f>IF(D3546="","",D3546/48)</f>
        <v>0</v>
      </c>
      <c r="D3546" s="26">
        <f>IF(A3546="","",ROUND((A3546-cfgDefasagem/1440)*48,0))</f>
        <v>0</v>
      </c>
      <c r="E3546" s="26">
        <f>IF(D3546="","",INT((D3546-cfgDeslocamento)/4))</f>
        <v>0</v>
      </c>
      <c r="F3546" s="26">
        <f>IF(D3546="","",MOD(D3546-cfgDeslocamento,4)+1)</f>
        <v>0</v>
      </c>
      <c r="G3546" s="26">
        <f>IF(A3546="","",IF(AND(ISNUMBER(B3546),B3546&lt;&gt;0),1,0))</f>
        <v>0</v>
      </c>
      <c r="H3546" s="25">
        <f>IF(E3546="","",(E3546*4+3+cfgDeslocamento)/48)</f>
        <v>0</v>
      </c>
    </row>
    <row r="3547" spans="1:8">
      <c r="A3547" s="24"/>
      <c r="B3547" s="19"/>
      <c r="C3547" s="25">
        <f>IF(D3547="","",D3547/48)</f>
        <v>0</v>
      </c>
      <c r="D3547" s="26">
        <f>IF(A3547="","",ROUND((A3547-cfgDefasagem/1440)*48,0))</f>
        <v>0</v>
      </c>
      <c r="E3547" s="26">
        <f>IF(D3547="","",INT((D3547-cfgDeslocamento)/4))</f>
        <v>0</v>
      </c>
      <c r="F3547" s="26">
        <f>IF(D3547="","",MOD(D3547-cfgDeslocamento,4)+1)</f>
        <v>0</v>
      </c>
      <c r="G3547" s="26">
        <f>IF(A3547="","",IF(AND(ISNUMBER(B3547),B3547&lt;&gt;0),1,0))</f>
        <v>0</v>
      </c>
      <c r="H3547" s="25">
        <f>IF(E3547="","",(E3547*4+3+cfgDeslocamento)/48)</f>
        <v>0</v>
      </c>
    </row>
    <row r="3548" spans="1:8">
      <c r="A3548" s="24"/>
      <c r="B3548" s="19"/>
      <c r="C3548" s="25">
        <f>IF(D3548="","",D3548/48)</f>
        <v>0</v>
      </c>
      <c r="D3548" s="26">
        <f>IF(A3548="","",ROUND((A3548-cfgDefasagem/1440)*48,0))</f>
        <v>0</v>
      </c>
      <c r="E3548" s="26">
        <f>IF(D3548="","",INT((D3548-cfgDeslocamento)/4))</f>
        <v>0</v>
      </c>
      <c r="F3548" s="26">
        <f>IF(D3548="","",MOD(D3548-cfgDeslocamento,4)+1)</f>
        <v>0</v>
      </c>
      <c r="G3548" s="26">
        <f>IF(A3548="","",IF(AND(ISNUMBER(B3548),B3548&lt;&gt;0),1,0))</f>
        <v>0</v>
      </c>
      <c r="H3548" s="25">
        <f>IF(E3548="","",(E3548*4+3+cfgDeslocamento)/48)</f>
        <v>0</v>
      </c>
    </row>
    <row r="3549" spans="1:8">
      <c r="A3549" s="24"/>
      <c r="B3549" s="19"/>
      <c r="C3549" s="25">
        <f>IF(D3549="","",D3549/48)</f>
        <v>0</v>
      </c>
      <c r="D3549" s="26">
        <f>IF(A3549="","",ROUND((A3549-cfgDefasagem/1440)*48,0))</f>
        <v>0</v>
      </c>
      <c r="E3549" s="26">
        <f>IF(D3549="","",INT((D3549-cfgDeslocamento)/4))</f>
        <v>0</v>
      </c>
      <c r="F3549" s="26">
        <f>IF(D3549="","",MOD(D3549-cfgDeslocamento,4)+1)</f>
        <v>0</v>
      </c>
      <c r="G3549" s="26">
        <f>IF(A3549="","",IF(AND(ISNUMBER(B3549),B3549&lt;&gt;0),1,0))</f>
        <v>0</v>
      </c>
      <c r="H3549" s="25">
        <f>IF(E3549="","",(E3549*4+3+cfgDeslocamento)/48)</f>
        <v>0</v>
      </c>
    </row>
    <row r="3550" spans="1:8">
      <c r="A3550" s="24"/>
      <c r="B3550" s="19"/>
      <c r="C3550" s="25">
        <f>IF(D3550="","",D3550/48)</f>
        <v>0</v>
      </c>
      <c r="D3550" s="26">
        <f>IF(A3550="","",ROUND((A3550-cfgDefasagem/1440)*48,0))</f>
        <v>0</v>
      </c>
      <c r="E3550" s="26">
        <f>IF(D3550="","",INT((D3550-cfgDeslocamento)/4))</f>
        <v>0</v>
      </c>
      <c r="F3550" s="26">
        <f>IF(D3550="","",MOD(D3550-cfgDeslocamento,4)+1)</f>
        <v>0</v>
      </c>
      <c r="G3550" s="26">
        <f>IF(A3550="","",IF(AND(ISNUMBER(B3550),B3550&lt;&gt;0),1,0))</f>
        <v>0</v>
      </c>
      <c r="H3550" s="25">
        <f>IF(E3550="","",(E3550*4+3+cfgDeslocamento)/48)</f>
        <v>0</v>
      </c>
    </row>
    <row r="3551" spans="1:8">
      <c r="A3551" s="24"/>
      <c r="B3551" s="19"/>
      <c r="C3551" s="25">
        <f>IF(D3551="","",D3551/48)</f>
        <v>0</v>
      </c>
      <c r="D3551" s="26">
        <f>IF(A3551="","",ROUND((A3551-cfgDefasagem/1440)*48,0))</f>
        <v>0</v>
      </c>
      <c r="E3551" s="26">
        <f>IF(D3551="","",INT((D3551-cfgDeslocamento)/4))</f>
        <v>0</v>
      </c>
      <c r="F3551" s="26">
        <f>IF(D3551="","",MOD(D3551-cfgDeslocamento,4)+1)</f>
        <v>0</v>
      </c>
      <c r="G3551" s="26">
        <f>IF(A3551="","",IF(AND(ISNUMBER(B3551),B3551&lt;&gt;0),1,0))</f>
        <v>0</v>
      </c>
      <c r="H3551" s="25">
        <f>IF(E3551="","",(E3551*4+3+cfgDeslocamento)/48)</f>
        <v>0</v>
      </c>
    </row>
    <row r="3552" spans="1:8">
      <c r="A3552" s="24"/>
      <c r="B3552" s="19"/>
      <c r="C3552" s="25">
        <f>IF(D3552="","",D3552/48)</f>
        <v>0</v>
      </c>
      <c r="D3552" s="26">
        <f>IF(A3552="","",ROUND((A3552-cfgDefasagem/1440)*48,0))</f>
        <v>0</v>
      </c>
      <c r="E3552" s="26">
        <f>IF(D3552="","",INT((D3552-cfgDeslocamento)/4))</f>
        <v>0</v>
      </c>
      <c r="F3552" s="26">
        <f>IF(D3552="","",MOD(D3552-cfgDeslocamento,4)+1)</f>
        <v>0</v>
      </c>
      <c r="G3552" s="26">
        <f>IF(A3552="","",IF(AND(ISNUMBER(B3552),B3552&lt;&gt;0),1,0))</f>
        <v>0</v>
      </c>
      <c r="H3552" s="25">
        <f>IF(E3552="","",(E3552*4+3+cfgDeslocamento)/48)</f>
        <v>0</v>
      </c>
    </row>
    <row r="3553" spans="1:8">
      <c r="A3553" s="24"/>
      <c r="B3553" s="19"/>
      <c r="C3553" s="25">
        <f>IF(D3553="","",D3553/48)</f>
        <v>0</v>
      </c>
      <c r="D3553" s="26">
        <f>IF(A3553="","",ROUND((A3553-cfgDefasagem/1440)*48,0))</f>
        <v>0</v>
      </c>
      <c r="E3553" s="26">
        <f>IF(D3553="","",INT((D3553-cfgDeslocamento)/4))</f>
        <v>0</v>
      </c>
      <c r="F3553" s="26">
        <f>IF(D3553="","",MOD(D3553-cfgDeslocamento,4)+1)</f>
        <v>0</v>
      </c>
      <c r="G3553" s="26">
        <f>IF(A3553="","",IF(AND(ISNUMBER(B3553),B3553&lt;&gt;0),1,0))</f>
        <v>0</v>
      </c>
      <c r="H3553" s="25">
        <f>IF(E3553="","",(E3553*4+3+cfgDeslocamento)/48)</f>
        <v>0</v>
      </c>
    </row>
    <row r="3554" spans="1:8">
      <c r="A3554" s="24"/>
      <c r="B3554" s="19"/>
      <c r="C3554" s="25">
        <f>IF(D3554="","",D3554/48)</f>
        <v>0</v>
      </c>
      <c r="D3554" s="26">
        <f>IF(A3554="","",ROUND((A3554-cfgDefasagem/1440)*48,0))</f>
        <v>0</v>
      </c>
      <c r="E3554" s="26">
        <f>IF(D3554="","",INT((D3554-cfgDeslocamento)/4))</f>
        <v>0</v>
      </c>
      <c r="F3554" s="26">
        <f>IF(D3554="","",MOD(D3554-cfgDeslocamento,4)+1)</f>
        <v>0</v>
      </c>
      <c r="G3554" s="26">
        <f>IF(A3554="","",IF(AND(ISNUMBER(B3554),B3554&lt;&gt;0),1,0))</f>
        <v>0</v>
      </c>
      <c r="H3554" s="25">
        <f>IF(E3554="","",(E3554*4+3+cfgDeslocamento)/48)</f>
        <v>0</v>
      </c>
    </row>
    <row r="3555" spans="1:8">
      <c r="A3555" s="24"/>
      <c r="B3555" s="19"/>
      <c r="C3555" s="25">
        <f>IF(D3555="","",D3555/48)</f>
        <v>0</v>
      </c>
      <c r="D3555" s="26">
        <f>IF(A3555="","",ROUND((A3555-cfgDefasagem/1440)*48,0))</f>
        <v>0</v>
      </c>
      <c r="E3555" s="26">
        <f>IF(D3555="","",INT((D3555-cfgDeslocamento)/4))</f>
        <v>0</v>
      </c>
      <c r="F3555" s="26">
        <f>IF(D3555="","",MOD(D3555-cfgDeslocamento,4)+1)</f>
        <v>0</v>
      </c>
      <c r="G3555" s="26">
        <f>IF(A3555="","",IF(AND(ISNUMBER(B3555),B3555&lt;&gt;0),1,0))</f>
        <v>0</v>
      </c>
      <c r="H3555" s="25">
        <f>IF(E3555="","",(E3555*4+3+cfgDeslocamento)/48)</f>
        <v>0</v>
      </c>
    </row>
    <row r="3556" spans="1:8">
      <c r="A3556" s="24"/>
      <c r="B3556" s="19"/>
      <c r="C3556" s="25">
        <f>IF(D3556="","",D3556/48)</f>
        <v>0</v>
      </c>
      <c r="D3556" s="26">
        <f>IF(A3556="","",ROUND((A3556-cfgDefasagem/1440)*48,0))</f>
        <v>0</v>
      </c>
      <c r="E3556" s="26">
        <f>IF(D3556="","",INT((D3556-cfgDeslocamento)/4))</f>
        <v>0</v>
      </c>
      <c r="F3556" s="26">
        <f>IF(D3556="","",MOD(D3556-cfgDeslocamento,4)+1)</f>
        <v>0</v>
      </c>
      <c r="G3556" s="26">
        <f>IF(A3556="","",IF(AND(ISNUMBER(B3556),B3556&lt;&gt;0),1,0))</f>
        <v>0</v>
      </c>
      <c r="H3556" s="25">
        <f>IF(E3556="","",(E3556*4+3+cfgDeslocamento)/48)</f>
        <v>0</v>
      </c>
    </row>
    <row r="3557" spans="1:8">
      <c r="A3557" s="24"/>
      <c r="B3557" s="19"/>
      <c r="C3557" s="25">
        <f>IF(D3557="","",D3557/48)</f>
        <v>0</v>
      </c>
      <c r="D3557" s="26">
        <f>IF(A3557="","",ROUND((A3557-cfgDefasagem/1440)*48,0))</f>
        <v>0</v>
      </c>
      <c r="E3557" s="26">
        <f>IF(D3557="","",INT((D3557-cfgDeslocamento)/4))</f>
        <v>0</v>
      </c>
      <c r="F3557" s="26">
        <f>IF(D3557="","",MOD(D3557-cfgDeslocamento,4)+1)</f>
        <v>0</v>
      </c>
      <c r="G3557" s="26">
        <f>IF(A3557="","",IF(AND(ISNUMBER(B3557),B3557&lt;&gt;0),1,0))</f>
        <v>0</v>
      </c>
      <c r="H3557" s="25">
        <f>IF(E3557="","",(E3557*4+3+cfgDeslocamento)/48)</f>
        <v>0</v>
      </c>
    </row>
    <row r="3558" spans="1:8">
      <c r="A3558" s="24"/>
      <c r="B3558" s="19"/>
      <c r="C3558" s="25">
        <f>IF(D3558="","",D3558/48)</f>
        <v>0</v>
      </c>
      <c r="D3558" s="26">
        <f>IF(A3558="","",ROUND((A3558-cfgDefasagem/1440)*48,0))</f>
        <v>0</v>
      </c>
      <c r="E3558" s="26">
        <f>IF(D3558="","",INT((D3558-cfgDeslocamento)/4))</f>
        <v>0</v>
      </c>
      <c r="F3558" s="26">
        <f>IF(D3558="","",MOD(D3558-cfgDeslocamento,4)+1)</f>
        <v>0</v>
      </c>
      <c r="G3558" s="26">
        <f>IF(A3558="","",IF(AND(ISNUMBER(B3558),B3558&lt;&gt;0),1,0))</f>
        <v>0</v>
      </c>
      <c r="H3558" s="25">
        <f>IF(E3558="","",(E3558*4+3+cfgDeslocamento)/48)</f>
        <v>0</v>
      </c>
    </row>
    <row r="3559" spans="1:8">
      <c r="A3559" s="24"/>
      <c r="B3559" s="19"/>
      <c r="C3559" s="25">
        <f>IF(D3559="","",D3559/48)</f>
        <v>0</v>
      </c>
      <c r="D3559" s="26">
        <f>IF(A3559="","",ROUND((A3559-cfgDefasagem/1440)*48,0))</f>
        <v>0</v>
      </c>
      <c r="E3559" s="26">
        <f>IF(D3559="","",INT((D3559-cfgDeslocamento)/4))</f>
        <v>0</v>
      </c>
      <c r="F3559" s="26">
        <f>IF(D3559="","",MOD(D3559-cfgDeslocamento,4)+1)</f>
        <v>0</v>
      </c>
      <c r="G3559" s="26">
        <f>IF(A3559="","",IF(AND(ISNUMBER(B3559),B3559&lt;&gt;0),1,0))</f>
        <v>0</v>
      </c>
      <c r="H3559" s="25">
        <f>IF(E3559="","",(E3559*4+3+cfgDeslocamento)/48)</f>
        <v>0</v>
      </c>
    </row>
    <row r="3560" spans="1:8">
      <c r="A3560" s="24"/>
      <c r="B3560" s="19"/>
      <c r="C3560" s="25">
        <f>IF(D3560="","",D3560/48)</f>
        <v>0</v>
      </c>
      <c r="D3560" s="26">
        <f>IF(A3560="","",ROUND((A3560-cfgDefasagem/1440)*48,0))</f>
        <v>0</v>
      </c>
      <c r="E3560" s="26">
        <f>IF(D3560="","",INT((D3560-cfgDeslocamento)/4))</f>
        <v>0</v>
      </c>
      <c r="F3560" s="26">
        <f>IF(D3560="","",MOD(D3560-cfgDeslocamento,4)+1)</f>
        <v>0</v>
      </c>
      <c r="G3560" s="26">
        <f>IF(A3560="","",IF(AND(ISNUMBER(B3560),B3560&lt;&gt;0),1,0))</f>
        <v>0</v>
      </c>
      <c r="H3560" s="25">
        <f>IF(E3560="","",(E3560*4+3+cfgDeslocamento)/48)</f>
        <v>0</v>
      </c>
    </row>
    <row r="3561" spans="1:8">
      <c r="A3561" s="24"/>
      <c r="B3561" s="19"/>
      <c r="C3561" s="25">
        <f>IF(D3561="","",D3561/48)</f>
        <v>0</v>
      </c>
      <c r="D3561" s="26">
        <f>IF(A3561="","",ROUND((A3561-cfgDefasagem/1440)*48,0))</f>
        <v>0</v>
      </c>
      <c r="E3561" s="26">
        <f>IF(D3561="","",INT((D3561-cfgDeslocamento)/4))</f>
        <v>0</v>
      </c>
      <c r="F3561" s="26">
        <f>IF(D3561="","",MOD(D3561-cfgDeslocamento,4)+1)</f>
        <v>0</v>
      </c>
      <c r="G3561" s="26">
        <f>IF(A3561="","",IF(AND(ISNUMBER(B3561),B3561&lt;&gt;0),1,0))</f>
        <v>0</v>
      </c>
      <c r="H3561" s="25">
        <f>IF(E3561="","",(E3561*4+3+cfgDeslocamento)/48)</f>
        <v>0</v>
      </c>
    </row>
    <row r="3562" spans="1:8">
      <c r="A3562" s="24"/>
      <c r="B3562" s="19"/>
      <c r="C3562" s="25">
        <f>IF(D3562="","",D3562/48)</f>
        <v>0</v>
      </c>
      <c r="D3562" s="26">
        <f>IF(A3562="","",ROUND((A3562-cfgDefasagem/1440)*48,0))</f>
        <v>0</v>
      </c>
      <c r="E3562" s="26">
        <f>IF(D3562="","",INT((D3562-cfgDeslocamento)/4))</f>
        <v>0</v>
      </c>
      <c r="F3562" s="26">
        <f>IF(D3562="","",MOD(D3562-cfgDeslocamento,4)+1)</f>
        <v>0</v>
      </c>
      <c r="G3562" s="26">
        <f>IF(A3562="","",IF(AND(ISNUMBER(B3562),B3562&lt;&gt;0),1,0))</f>
        <v>0</v>
      </c>
      <c r="H3562" s="25">
        <f>IF(E3562="","",(E3562*4+3+cfgDeslocamento)/48)</f>
        <v>0</v>
      </c>
    </row>
    <row r="3563" spans="1:8">
      <c r="A3563" s="24"/>
      <c r="B3563" s="19"/>
      <c r="C3563" s="25">
        <f>IF(D3563="","",D3563/48)</f>
        <v>0</v>
      </c>
      <c r="D3563" s="26">
        <f>IF(A3563="","",ROUND((A3563-cfgDefasagem/1440)*48,0))</f>
        <v>0</v>
      </c>
      <c r="E3563" s="26">
        <f>IF(D3563="","",INT((D3563-cfgDeslocamento)/4))</f>
        <v>0</v>
      </c>
      <c r="F3563" s="26">
        <f>IF(D3563="","",MOD(D3563-cfgDeslocamento,4)+1)</f>
        <v>0</v>
      </c>
      <c r="G3563" s="26">
        <f>IF(A3563="","",IF(AND(ISNUMBER(B3563),B3563&lt;&gt;0),1,0))</f>
        <v>0</v>
      </c>
      <c r="H3563" s="25">
        <f>IF(E3563="","",(E3563*4+3+cfgDeslocamento)/48)</f>
        <v>0</v>
      </c>
    </row>
    <row r="3564" spans="1:8">
      <c r="A3564" s="24"/>
      <c r="B3564" s="19"/>
      <c r="C3564" s="25">
        <f>IF(D3564="","",D3564/48)</f>
        <v>0</v>
      </c>
      <c r="D3564" s="26">
        <f>IF(A3564="","",ROUND((A3564-cfgDefasagem/1440)*48,0))</f>
        <v>0</v>
      </c>
      <c r="E3564" s="26">
        <f>IF(D3564="","",INT((D3564-cfgDeslocamento)/4))</f>
        <v>0</v>
      </c>
      <c r="F3564" s="26">
        <f>IF(D3564="","",MOD(D3564-cfgDeslocamento,4)+1)</f>
        <v>0</v>
      </c>
      <c r="G3564" s="26">
        <f>IF(A3564="","",IF(AND(ISNUMBER(B3564),B3564&lt;&gt;0),1,0))</f>
        <v>0</v>
      </c>
      <c r="H3564" s="25">
        <f>IF(E3564="","",(E3564*4+3+cfgDeslocamento)/48)</f>
        <v>0</v>
      </c>
    </row>
    <row r="3565" spans="1:8">
      <c r="A3565" s="24"/>
      <c r="B3565" s="19"/>
      <c r="C3565" s="25">
        <f>IF(D3565="","",D3565/48)</f>
        <v>0</v>
      </c>
      <c r="D3565" s="26">
        <f>IF(A3565="","",ROUND((A3565-cfgDefasagem/1440)*48,0))</f>
        <v>0</v>
      </c>
      <c r="E3565" s="26">
        <f>IF(D3565="","",INT((D3565-cfgDeslocamento)/4))</f>
        <v>0</v>
      </c>
      <c r="F3565" s="26">
        <f>IF(D3565="","",MOD(D3565-cfgDeslocamento,4)+1)</f>
        <v>0</v>
      </c>
      <c r="G3565" s="26">
        <f>IF(A3565="","",IF(AND(ISNUMBER(B3565),B3565&lt;&gt;0),1,0))</f>
        <v>0</v>
      </c>
      <c r="H3565" s="25">
        <f>IF(E3565="","",(E3565*4+3+cfgDeslocamento)/48)</f>
        <v>0</v>
      </c>
    </row>
    <row r="3566" spans="1:8">
      <c r="A3566" s="24"/>
      <c r="B3566" s="19"/>
      <c r="C3566" s="25">
        <f>IF(D3566="","",D3566/48)</f>
        <v>0</v>
      </c>
      <c r="D3566" s="26">
        <f>IF(A3566="","",ROUND((A3566-cfgDefasagem/1440)*48,0))</f>
        <v>0</v>
      </c>
      <c r="E3566" s="26">
        <f>IF(D3566="","",INT((D3566-cfgDeslocamento)/4))</f>
        <v>0</v>
      </c>
      <c r="F3566" s="26">
        <f>IF(D3566="","",MOD(D3566-cfgDeslocamento,4)+1)</f>
        <v>0</v>
      </c>
      <c r="G3566" s="26">
        <f>IF(A3566="","",IF(AND(ISNUMBER(B3566),B3566&lt;&gt;0),1,0))</f>
        <v>0</v>
      </c>
      <c r="H3566" s="25">
        <f>IF(E3566="","",(E3566*4+3+cfgDeslocamento)/48)</f>
        <v>0</v>
      </c>
    </row>
    <row r="3567" spans="1:8">
      <c r="A3567" s="24"/>
      <c r="B3567" s="19"/>
      <c r="C3567" s="25">
        <f>IF(D3567="","",D3567/48)</f>
        <v>0</v>
      </c>
      <c r="D3567" s="26">
        <f>IF(A3567="","",ROUND((A3567-cfgDefasagem/1440)*48,0))</f>
        <v>0</v>
      </c>
      <c r="E3567" s="26">
        <f>IF(D3567="","",INT((D3567-cfgDeslocamento)/4))</f>
        <v>0</v>
      </c>
      <c r="F3567" s="26">
        <f>IF(D3567="","",MOD(D3567-cfgDeslocamento,4)+1)</f>
        <v>0</v>
      </c>
      <c r="G3567" s="26">
        <f>IF(A3567="","",IF(AND(ISNUMBER(B3567),B3567&lt;&gt;0),1,0))</f>
        <v>0</v>
      </c>
      <c r="H3567" s="25">
        <f>IF(E3567="","",(E3567*4+3+cfgDeslocamento)/48)</f>
        <v>0</v>
      </c>
    </row>
    <row r="3568" spans="1:8">
      <c r="A3568" s="24"/>
      <c r="B3568" s="19"/>
      <c r="C3568" s="25">
        <f>IF(D3568="","",D3568/48)</f>
        <v>0</v>
      </c>
      <c r="D3568" s="26">
        <f>IF(A3568="","",ROUND((A3568-cfgDefasagem/1440)*48,0))</f>
        <v>0</v>
      </c>
      <c r="E3568" s="26">
        <f>IF(D3568="","",INT((D3568-cfgDeslocamento)/4))</f>
        <v>0</v>
      </c>
      <c r="F3568" s="26">
        <f>IF(D3568="","",MOD(D3568-cfgDeslocamento,4)+1)</f>
        <v>0</v>
      </c>
      <c r="G3568" s="26">
        <f>IF(A3568="","",IF(AND(ISNUMBER(B3568),B3568&lt;&gt;0),1,0))</f>
        <v>0</v>
      </c>
      <c r="H3568" s="25">
        <f>IF(E3568="","",(E3568*4+3+cfgDeslocamento)/48)</f>
        <v>0</v>
      </c>
    </row>
    <row r="3569" spans="1:8">
      <c r="A3569" s="24"/>
      <c r="B3569" s="19"/>
      <c r="C3569" s="25">
        <f>IF(D3569="","",D3569/48)</f>
        <v>0</v>
      </c>
      <c r="D3569" s="26">
        <f>IF(A3569="","",ROUND((A3569-cfgDefasagem/1440)*48,0))</f>
        <v>0</v>
      </c>
      <c r="E3569" s="26">
        <f>IF(D3569="","",INT((D3569-cfgDeslocamento)/4))</f>
        <v>0</v>
      </c>
      <c r="F3569" s="26">
        <f>IF(D3569="","",MOD(D3569-cfgDeslocamento,4)+1)</f>
        <v>0</v>
      </c>
      <c r="G3569" s="26">
        <f>IF(A3569="","",IF(AND(ISNUMBER(B3569),B3569&lt;&gt;0),1,0))</f>
        <v>0</v>
      </c>
      <c r="H3569" s="25">
        <f>IF(E3569="","",(E3569*4+3+cfgDeslocamento)/48)</f>
        <v>0</v>
      </c>
    </row>
    <row r="3570" spans="1:8">
      <c r="A3570" s="24"/>
      <c r="B3570" s="19"/>
      <c r="C3570" s="25">
        <f>IF(D3570="","",D3570/48)</f>
        <v>0</v>
      </c>
      <c r="D3570" s="26">
        <f>IF(A3570="","",ROUND((A3570-cfgDefasagem/1440)*48,0))</f>
        <v>0</v>
      </c>
      <c r="E3570" s="26">
        <f>IF(D3570="","",INT((D3570-cfgDeslocamento)/4))</f>
        <v>0</v>
      </c>
      <c r="F3570" s="26">
        <f>IF(D3570="","",MOD(D3570-cfgDeslocamento,4)+1)</f>
        <v>0</v>
      </c>
      <c r="G3570" s="26">
        <f>IF(A3570="","",IF(AND(ISNUMBER(B3570),B3570&lt;&gt;0),1,0))</f>
        <v>0</v>
      </c>
      <c r="H3570" s="25">
        <f>IF(E3570="","",(E3570*4+3+cfgDeslocamento)/48)</f>
        <v>0</v>
      </c>
    </row>
    <row r="3571" spans="1:8">
      <c r="A3571" s="24"/>
      <c r="B3571" s="19"/>
      <c r="C3571" s="25">
        <f>IF(D3571="","",D3571/48)</f>
        <v>0</v>
      </c>
      <c r="D3571" s="26">
        <f>IF(A3571="","",ROUND((A3571-cfgDefasagem/1440)*48,0))</f>
        <v>0</v>
      </c>
      <c r="E3571" s="26">
        <f>IF(D3571="","",INT((D3571-cfgDeslocamento)/4))</f>
        <v>0</v>
      </c>
      <c r="F3571" s="26">
        <f>IF(D3571="","",MOD(D3571-cfgDeslocamento,4)+1)</f>
        <v>0</v>
      </c>
      <c r="G3571" s="26">
        <f>IF(A3571="","",IF(AND(ISNUMBER(B3571),B3571&lt;&gt;0),1,0))</f>
        <v>0</v>
      </c>
      <c r="H3571" s="25">
        <f>IF(E3571="","",(E3571*4+3+cfgDeslocamento)/48)</f>
        <v>0</v>
      </c>
    </row>
    <row r="3572" spans="1:8">
      <c r="A3572" s="24"/>
      <c r="B3572" s="19"/>
      <c r="C3572" s="25">
        <f>IF(D3572="","",D3572/48)</f>
        <v>0</v>
      </c>
      <c r="D3572" s="26">
        <f>IF(A3572="","",ROUND((A3572-cfgDefasagem/1440)*48,0))</f>
        <v>0</v>
      </c>
      <c r="E3572" s="26">
        <f>IF(D3572="","",INT((D3572-cfgDeslocamento)/4))</f>
        <v>0</v>
      </c>
      <c r="F3572" s="26">
        <f>IF(D3572="","",MOD(D3572-cfgDeslocamento,4)+1)</f>
        <v>0</v>
      </c>
      <c r="G3572" s="26">
        <f>IF(A3572="","",IF(AND(ISNUMBER(B3572),B3572&lt;&gt;0),1,0))</f>
        <v>0</v>
      </c>
      <c r="H3572" s="25">
        <f>IF(E3572="","",(E3572*4+3+cfgDeslocamento)/48)</f>
        <v>0</v>
      </c>
    </row>
    <row r="3573" spans="1:8">
      <c r="A3573" s="24"/>
      <c r="B3573" s="19"/>
      <c r="C3573" s="25">
        <f>IF(D3573="","",D3573/48)</f>
        <v>0</v>
      </c>
      <c r="D3573" s="26">
        <f>IF(A3573="","",ROUND((A3573-cfgDefasagem/1440)*48,0))</f>
        <v>0</v>
      </c>
      <c r="E3573" s="26">
        <f>IF(D3573="","",INT((D3573-cfgDeslocamento)/4))</f>
        <v>0</v>
      </c>
      <c r="F3573" s="26">
        <f>IF(D3573="","",MOD(D3573-cfgDeslocamento,4)+1)</f>
        <v>0</v>
      </c>
      <c r="G3573" s="26">
        <f>IF(A3573="","",IF(AND(ISNUMBER(B3573),B3573&lt;&gt;0),1,0))</f>
        <v>0</v>
      </c>
      <c r="H3573" s="25">
        <f>IF(E3573="","",(E3573*4+3+cfgDeslocamento)/48)</f>
        <v>0</v>
      </c>
    </row>
    <row r="3574" spans="1:8">
      <c r="A3574" s="24"/>
      <c r="B3574" s="19"/>
      <c r="C3574" s="25">
        <f>IF(D3574="","",D3574/48)</f>
        <v>0</v>
      </c>
      <c r="D3574" s="26">
        <f>IF(A3574="","",ROUND((A3574-cfgDefasagem/1440)*48,0))</f>
        <v>0</v>
      </c>
      <c r="E3574" s="26">
        <f>IF(D3574="","",INT((D3574-cfgDeslocamento)/4))</f>
        <v>0</v>
      </c>
      <c r="F3574" s="26">
        <f>IF(D3574="","",MOD(D3574-cfgDeslocamento,4)+1)</f>
        <v>0</v>
      </c>
      <c r="G3574" s="26">
        <f>IF(A3574="","",IF(AND(ISNUMBER(B3574),B3574&lt;&gt;0),1,0))</f>
        <v>0</v>
      </c>
      <c r="H3574" s="25">
        <f>IF(E3574="","",(E3574*4+3+cfgDeslocamento)/48)</f>
        <v>0</v>
      </c>
    </row>
    <row r="3575" spans="1:8">
      <c r="A3575" s="24"/>
      <c r="B3575" s="19"/>
      <c r="C3575" s="25">
        <f>IF(D3575="","",D3575/48)</f>
        <v>0</v>
      </c>
      <c r="D3575" s="26">
        <f>IF(A3575="","",ROUND((A3575-cfgDefasagem/1440)*48,0))</f>
        <v>0</v>
      </c>
      <c r="E3575" s="26">
        <f>IF(D3575="","",INT((D3575-cfgDeslocamento)/4))</f>
        <v>0</v>
      </c>
      <c r="F3575" s="26">
        <f>IF(D3575="","",MOD(D3575-cfgDeslocamento,4)+1)</f>
        <v>0</v>
      </c>
      <c r="G3575" s="26">
        <f>IF(A3575="","",IF(AND(ISNUMBER(B3575),B3575&lt;&gt;0),1,0))</f>
        <v>0</v>
      </c>
      <c r="H3575" s="25">
        <f>IF(E3575="","",(E3575*4+3+cfgDeslocamento)/48)</f>
        <v>0</v>
      </c>
    </row>
    <row r="3576" spans="1:8">
      <c r="A3576" s="24"/>
      <c r="B3576" s="19"/>
      <c r="C3576" s="25">
        <f>IF(D3576="","",D3576/48)</f>
        <v>0</v>
      </c>
      <c r="D3576" s="26">
        <f>IF(A3576="","",ROUND((A3576-cfgDefasagem/1440)*48,0))</f>
        <v>0</v>
      </c>
      <c r="E3576" s="26">
        <f>IF(D3576="","",INT((D3576-cfgDeslocamento)/4))</f>
        <v>0</v>
      </c>
      <c r="F3576" s="26">
        <f>IF(D3576="","",MOD(D3576-cfgDeslocamento,4)+1)</f>
        <v>0</v>
      </c>
      <c r="G3576" s="26">
        <f>IF(A3576="","",IF(AND(ISNUMBER(B3576),B3576&lt;&gt;0),1,0))</f>
        <v>0</v>
      </c>
      <c r="H3576" s="25">
        <f>IF(E3576="","",(E3576*4+3+cfgDeslocamento)/48)</f>
        <v>0</v>
      </c>
    </row>
    <row r="3577" spans="1:8">
      <c r="A3577" s="24"/>
      <c r="B3577" s="19"/>
      <c r="C3577" s="25">
        <f>IF(D3577="","",D3577/48)</f>
        <v>0</v>
      </c>
      <c r="D3577" s="26">
        <f>IF(A3577="","",ROUND((A3577-cfgDefasagem/1440)*48,0))</f>
        <v>0</v>
      </c>
      <c r="E3577" s="26">
        <f>IF(D3577="","",INT((D3577-cfgDeslocamento)/4))</f>
        <v>0</v>
      </c>
      <c r="F3577" s="26">
        <f>IF(D3577="","",MOD(D3577-cfgDeslocamento,4)+1)</f>
        <v>0</v>
      </c>
      <c r="G3577" s="26">
        <f>IF(A3577="","",IF(AND(ISNUMBER(B3577),B3577&lt;&gt;0),1,0))</f>
        <v>0</v>
      </c>
      <c r="H3577" s="25">
        <f>IF(E3577="","",(E3577*4+3+cfgDeslocamento)/48)</f>
        <v>0</v>
      </c>
    </row>
    <row r="3578" spans="1:8">
      <c r="A3578" s="24"/>
      <c r="B3578" s="19"/>
      <c r="C3578" s="25">
        <f>IF(D3578="","",D3578/48)</f>
        <v>0</v>
      </c>
      <c r="D3578" s="26">
        <f>IF(A3578="","",ROUND((A3578-cfgDefasagem/1440)*48,0))</f>
        <v>0</v>
      </c>
      <c r="E3578" s="26">
        <f>IF(D3578="","",INT((D3578-cfgDeslocamento)/4))</f>
        <v>0</v>
      </c>
      <c r="F3578" s="26">
        <f>IF(D3578="","",MOD(D3578-cfgDeslocamento,4)+1)</f>
        <v>0</v>
      </c>
      <c r="G3578" s="26">
        <f>IF(A3578="","",IF(AND(ISNUMBER(B3578),B3578&lt;&gt;0),1,0))</f>
        <v>0</v>
      </c>
      <c r="H3578" s="25">
        <f>IF(E3578="","",(E3578*4+3+cfgDeslocamento)/48)</f>
        <v>0</v>
      </c>
    </row>
    <row r="3579" spans="1:8">
      <c r="A3579" s="24"/>
      <c r="B3579" s="19"/>
      <c r="C3579" s="25">
        <f>IF(D3579="","",D3579/48)</f>
        <v>0</v>
      </c>
      <c r="D3579" s="26">
        <f>IF(A3579="","",ROUND((A3579-cfgDefasagem/1440)*48,0))</f>
        <v>0</v>
      </c>
      <c r="E3579" s="26">
        <f>IF(D3579="","",INT((D3579-cfgDeslocamento)/4))</f>
        <v>0</v>
      </c>
      <c r="F3579" s="26">
        <f>IF(D3579="","",MOD(D3579-cfgDeslocamento,4)+1)</f>
        <v>0</v>
      </c>
      <c r="G3579" s="26">
        <f>IF(A3579="","",IF(AND(ISNUMBER(B3579),B3579&lt;&gt;0),1,0))</f>
        <v>0</v>
      </c>
      <c r="H3579" s="25">
        <f>IF(E3579="","",(E3579*4+3+cfgDeslocamento)/48)</f>
        <v>0</v>
      </c>
    </row>
    <row r="3580" spans="1:8">
      <c r="A3580" s="24"/>
      <c r="B3580" s="19"/>
      <c r="C3580" s="25">
        <f>IF(D3580="","",D3580/48)</f>
        <v>0</v>
      </c>
      <c r="D3580" s="26">
        <f>IF(A3580="","",ROUND((A3580-cfgDefasagem/1440)*48,0))</f>
        <v>0</v>
      </c>
      <c r="E3580" s="26">
        <f>IF(D3580="","",INT((D3580-cfgDeslocamento)/4))</f>
        <v>0</v>
      </c>
      <c r="F3580" s="26">
        <f>IF(D3580="","",MOD(D3580-cfgDeslocamento,4)+1)</f>
        <v>0</v>
      </c>
      <c r="G3580" s="26">
        <f>IF(A3580="","",IF(AND(ISNUMBER(B3580),B3580&lt;&gt;0),1,0))</f>
        <v>0</v>
      </c>
      <c r="H3580" s="25">
        <f>IF(E3580="","",(E3580*4+3+cfgDeslocamento)/48)</f>
        <v>0</v>
      </c>
    </row>
    <row r="3581" spans="1:8">
      <c r="A3581" s="24"/>
      <c r="B3581" s="19"/>
      <c r="C3581" s="25">
        <f>IF(D3581="","",D3581/48)</f>
        <v>0</v>
      </c>
      <c r="D3581" s="26">
        <f>IF(A3581="","",ROUND((A3581-cfgDefasagem/1440)*48,0))</f>
        <v>0</v>
      </c>
      <c r="E3581" s="26">
        <f>IF(D3581="","",INT((D3581-cfgDeslocamento)/4))</f>
        <v>0</v>
      </c>
      <c r="F3581" s="26">
        <f>IF(D3581="","",MOD(D3581-cfgDeslocamento,4)+1)</f>
        <v>0</v>
      </c>
      <c r="G3581" s="26">
        <f>IF(A3581="","",IF(AND(ISNUMBER(B3581),B3581&lt;&gt;0),1,0))</f>
        <v>0</v>
      </c>
      <c r="H3581" s="25">
        <f>IF(E3581="","",(E3581*4+3+cfgDeslocamento)/48)</f>
        <v>0</v>
      </c>
    </row>
    <row r="3582" spans="1:8">
      <c r="A3582" s="24"/>
      <c r="B3582" s="19"/>
      <c r="C3582" s="25">
        <f>IF(D3582="","",D3582/48)</f>
        <v>0</v>
      </c>
      <c r="D3582" s="26">
        <f>IF(A3582="","",ROUND((A3582-cfgDefasagem/1440)*48,0))</f>
        <v>0</v>
      </c>
      <c r="E3582" s="26">
        <f>IF(D3582="","",INT((D3582-cfgDeslocamento)/4))</f>
        <v>0</v>
      </c>
      <c r="F3582" s="26">
        <f>IF(D3582="","",MOD(D3582-cfgDeslocamento,4)+1)</f>
        <v>0</v>
      </c>
      <c r="G3582" s="26">
        <f>IF(A3582="","",IF(AND(ISNUMBER(B3582),B3582&lt;&gt;0),1,0))</f>
        <v>0</v>
      </c>
      <c r="H3582" s="25">
        <f>IF(E3582="","",(E3582*4+3+cfgDeslocamento)/48)</f>
        <v>0</v>
      </c>
    </row>
    <row r="3583" spans="1:8">
      <c r="A3583" s="24"/>
      <c r="B3583" s="19"/>
      <c r="C3583" s="25">
        <f>IF(D3583="","",D3583/48)</f>
        <v>0</v>
      </c>
      <c r="D3583" s="26">
        <f>IF(A3583="","",ROUND((A3583-cfgDefasagem/1440)*48,0))</f>
        <v>0</v>
      </c>
      <c r="E3583" s="26">
        <f>IF(D3583="","",INT((D3583-cfgDeslocamento)/4))</f>
        <v>0</v>
      </c>
      <c r="F3583" s="26">
        <f>IF(D3583="","",MOD(D3583-cfgDeslocamento,4)+1)</f>
        <v>0</v>
      </c>
      <c r="G3583" s="26">
        <f>IF(A3583="","",IF(AND(ISNUMBER(B3583),B3583&lt;&gt;0),1,0))</f>
        <v>0</v>
      </c>
      <c r="H3583" s="25">
        <f>IF(E3583="","",(E3583*4+3+cfgDeslocamento)/48)</f>
        <v>0</v>
      </c>
    </row>
    <row r="3584" spans="1:8">
      <c r="A3584" s="24"/>
      <c r="B3584" s="19"/>
      <c r="C3584" s="25">
        <f>IF(D3584="","",D3584/48)</f>
        <v>0</v>
      </c>
      <c r="D3584" s="26">
        <f>IF(A3584="","",ROUND((A3584-cfgDefasagem/1440)*48,0))</f>
        <v>0</v>
      </c>
      <c r="E3584" s="26">
        <f>IF(D3584="","",INT((D3584-cfgDeslocamento)/4))</f>
        <v>0</v>
      </c>
      <c r="F3584" s="26">
        <f>IF(D3584="","",MOD(D3584-cfgDeslocamento,4)+1)</f>
        <v>0</v>
      </c>
      <c r="G3584" s="26">
        <f>IF(A3584="","",IF(AND(ISNUMBER(B3584),B3584&lt;&gt;0),1,0))</f>
        <v>0</v>
      </c>
      <c r="H3584" s="25">
        <f>IF(E3584="","",(E3584*4+3+cfgDeslocamento)/48)</f>
        <v>0</v>
      </c>
    </row>
    <row r="3585" spans="1:8">
      <c r="A3585" s="24"/>
      <c r="B3585" s="19"/>
      <c r="C3585" s="25">
        <f>IF(D3585="","",D3585/48)</f>
        <v>0</v>
      </c>
      <c r="D3585" s="26">
        <f>IF(A3585="","",ROUND((A3585-cfgDefasagem/1440)*48,0))</f>
        <v>0</v>
      </c>
      <c r="E3585" s="26">
        <f>IF(D3585="","",INT((D3585-cfgDeslocamento)/4))</f>
        <v>0</v>
      </c>
      <c r="F3585" s="26">
        <f>IF(D3585="","",MOD(D3585-cfgDeslocamento,4)+1)</f>
        <v>0</v>
      </c>
      <c r="G3585" s="26">
        <f>IF(A3585="","",IF(AND(ISNUMBER(B3585),B3585&lt;&gt;0),1,0))</f>
        <v>0</v>
      </c>
      <c r="H3585" s="25">
        <f>IF(E3585="","",(E3585*4+3+cfgDeslocamento)/48)</f>
        <v>0</v>
      </c>
    </row>
    <row r="3586" spans="1:8">
      <c r="A3586" s="24"/>
      <c r="B3586" s="19"/>
      <c r="C3586" s="25">
        <f>IF(D3586="","",D3586/48)</f>
        <v>0</v>
      </c>
      <c r="D3586" s="26">
        <f>IF(A3586="","",ROUND((A3586-cfgDefasagem/1440)*48,0))</f>
        <v>0</v>
      </c>
      <c r="E3586" s="26">
        <f>IF(D3586="","",INT((D3586-cfgDeslocamento)/4))</f>
        <v>0</v>
      </c>
      <c r="F3586" s="26">
        <f>IF(D3586="","",MOD(D3586-cfgDeslocamento,4)+1)</f>
        <v>0</v>
      </c>
      <c r="G3586" s="26">
        <f>IF(A3586="","",IF(AND(ISNUMBER(B3586),B3586&lt;&gt;0),1,0))</f>
        <v>0</v>
      </c>
      <c r="H3586" s="25">
        <f>IF(E3586="","",(E3586*4+3+cfgDeslocamento)/48)</f>
        <v>0</v>
      </c>
    </row>
    <row r="3587" spans="1:8">
      <c r="A3587" s="24"/>
      <c r="B3587" s="19"/>
      <c r="C3587" s="25">
        <f>IF(D3587="","",D3587/48)</f>
        <v>0</v>
      </c>
      <c r="D3587" s="26">
        <f>IF(A3587="","",ROUND((A3587-cfgDefasagem/1440)*48,0))</f>
        <v>0</v>
      </c>
      <c r="E3587" s="26">
        <f>IF(D3587="","",INT((D3587-cfgDeslocamento)/4))</f>
        <v>0</v>
      </c>
      <c r="F3587" s="26">
        <f>IF(D3587="","",MOD(D3587-cfgDeslocamento,4)+1)</f>
        <v>0</v>
      </c>
      <c r="G3587" s="26">
        <f>IF(A3587="","",IF(AND(ISNUMBER(B3587),B3587&lt;&gt;0),1,0))</f>
        <v>0</v>
      </c>
      <c r="H3587" s="25">
        <f>IF(E3587="","",(E3587*4+3+cfgDeslocamento)/48)</f>
        <v>0</v>
      </c>
    </row>
    <row r="3588" spans="1:8">
      <c r="A3588" s="24"/>
      <c r="B3588" s="19"/>
      <c r="C3588" s="25">
        <f>IF(D3588="","",D3588/48)</f>
        <v>0</v>
      </c>
      <c r="D3588" s="26">
        <f>IF(A3588="","",ROUND((A3588-cfgDefasagem/1440)*48,0))</f>
        <v>0</v>
      </c>
      <c r="E3588" s="26">
        <f>IF(D3588="","",INT((D3588-cfgDeslocamento)/4))</f>
        <v>0</v>
      </c>
      <c r="F3588" s="26">
        <f>IF(D3588="","",MOD(D3588-cfgDeslocamento,4)+1)</f>
        <v>0</v>
      </c>
      <c r="G3588" s="26">
        <f>IF(A3588="","",IF(AND(ISNUMBER(B3588),B3588&lt;&gt;0),1,0))</f>
        <v>0</v>
      </c>
      <c r="H3588" s="25">
        <f>IF(E3588="","",(E3588*4+3+cfgDeslocamento)/48)</f>
        <v>0</v>
      </c>
    </row>
    <row r="3589" spans="1:8">
      <c r="A3589" s="24"/>
      <c r="B3589" s="19"/>
      <c r="C3589" s="25">
        <f>IF(D3589="","",D3589/48)</f>
        <v>0</v>
      </c>
      <c r="D3589" s="26">
        <f>IF(A3589="","",ROUND((A3589-cfgDefasagem/1440)*48,0))</f>
        <v>0</v>
      </c>
      <c r="E3589" s="26">
        <f>IF(D3589="","",INT((D3589-cfgDeslocamento)/4))</f>
        <v>0</v>
      </c>
      <c r="F3589" s="26">
        <f>IF(D3589="","",MOD(D3589-cfgDeslocamento,4)+1)</f>
        <v>0</v>
      </c>
      <c r="G3589" s="26">
        <f>IF(A3589="","",IF(AND(ISNUMBER(B3589),B3589&lt;&gt;0),1,0))</f>
        <v>0</v>
      </c>
      <c r="H3589" s="25">
        <f>IF(E3589="","",(E3589*4+3+cfgDeslocamento)/48)</f>
        <v>0</v>
      </c>
    </row>
    <row r="3590" spans="1:8">
      <c r="A3590" s="24"/>
      <c r="B3590" s="19"/>
      <c r="C3590" s="25">
        <f>IF(D3590="","",D3590/48)</f>
        <v>0</v>
      </c>
      <c r="D3590" s="26">
        <f>IF(A3590="","",ROUND((A3590-cfgDefasagem/1440)*48,0))</f>
        <v>0</v>
      </c>
      <c r="E3590" s="26">
        <f>IF(D3590="","",INT((D3590-cfgDeslocamento)/4))</f>
        <v>0</v>
      </c>
      <c r="F3590" s="26">
        <f>IF(D3590="","",MOD(D3590-cfgDeslocamento,4)+1)</f>
        <v>0</v>
      </c>
      <c r="G3590" s="26">
        <f>IF(A3590="","",IF(AND(ISNUMBER(B3590),B3590&lt;&gt;0),1,0))</f>
        <v>0</v>
      </c>
      <c r="H3590" s="25">
        <f>IF(E3590="","",(E3590*4+3+cfgDeslocamento)/48)</f>
        <v>0</v>
      </c>
    </row>
    <row r="3591" spans="1:8">
      <c r="A3591" s="24"/>
      <c r="B3591" s="19"/>
      <c r="C3591" s="25">
        <f>IF(D3591="","",D3591/48)</f>
        <v>0</v>
      </c>
      <c r="D3591" s="26">
        <f>IF(A3591="","",ROUND((A3591-cfgDefasagem/1440)*48,0))</f>
        <v>0</v>
      </c>
      <c r="E3591" s="26">
        <f>IF(D3591="","",INT((D3591-cfgDeslocamento)/4))</f>
        <v>0</v>
      </c>
      <c r="F3591" s="26">
        <f>IF(D3591="","",MOD(D3591-cfgDeslocamento,4)+1)</f>
        <v>0</v>
      </c>
      <c r="G3591" s="26">
        <f>IF(A3591="","",IF(AND(ISNUMBER(B3591),B3591&lt;&gt;0),1,0))</f>
        <v>0</v>
      </c>
      <c r="H3591" s="25">
        <f>IF(E3591="","",(E3591*4+3+cfgDeslocamento)/48)</f>
        <v>0</v>
      </c>
    </row>
    <row r="3592" spans="1:8">
      <c r="A3592" s="24"/>
      <c r="B3592" s="19"/>
      <c r="C3592" s="25">
        <f>IF(D3592="","",D3592/48)</f>
        <v>0</v>
      </c>
      <c r="D3592" s="26">
        <f>IF(A3592="","",ROUND((A3592-cfgDefasagem/1440)*48,0))</f>
        <v>0</v>
      </c>
      <c r="E3592" s="26">
        <f>IF(D3592="","",INT((D3592-cfgDeslocamento)/4))</f>
        <v>0</v>
      </c>
      <c r="F3592" s="26">
        <f>IF(D3592="","",MOD(D3592-cfgDeslocamento,4)+1)</f>
        <v>0</v>
      </c>
      <c r="G3592" s="26">
        <f>IF(A3592="","",IF(AND(ISNUMBER(B3592),B3592&lt;&gt;0),1,0))</f>
        <v>0</v>
      </c>
      <c r="H3592" s="25">
        <f>IF(E3592="","",(E3592*4+3+cfgDeslocamento)/48)</f>
        <v>0</v>
      </c>
    </row>
    <row r="3593" spans="1:8">
      <c r="A3593" s="24"/>
      <c r="B3593" s="19"/>
      <c r="C3593" s="25">
        <f>IF(D3593="","",D3593/48)</f>
        <v>0</v>
      </c>
      <c r="D3593" s="26">
        <f>IF(A3593="","",ROUND((A3593-cfgDefasagem/1440)*48,0))</f>
        <v>0</v>
      </c>
      <c r="E3593" s="26">
        <f>IF(D3593="","",INT((D3593-cfgDeslocamento)/4))</f>
        <v>0</v>
      </c>
      <c r="F3593" s="26">
        <f>IF(D3593="","",MOD(D3593-cfgDeslocamento,4)+1)</f>
        <v>0</v>
      </c>
      <c r="G3593" s="26">
        <f>IF(A3593="","",IF(AND(ISNUMBER(B3593),B3593&lt;&gt;0),1,0))</f>
        <v>0</v>
      </c>
      <c r="H3593" s="25">
        <f>IF(E3593="","",(E3593*4+3+cfgDeslocamento)/48)</f>
        <v>0</v>
      </c>
    </row>
    <row r="3594" spans="1:8">
      <c r="A3594" s="24"/>
      <c r="B3594" s="19"/>
      <c r="C3594" s="25">
        <f>IF(D3594="","",D3594/48)</f>
        <v>0</v>
      </c>
      <c r="D3594" s="26">
        <f>IF(A3594="","",ROUND((A3594-cfgDefasagem/1440)*48,0))</f>
        <v>0</v>
      </c>
      <c r="E3594" s="26">
        <f>IF(D3594="","",INT((D3594-cfgDeslocamento)/4))</f>
        <v>0</v>
      </c>
      <c r="F3594" s="26">
        <f>IF(D3594="","",MOD(D3594-cfgDeslocamento,4)+1)</f>
        <v>0</v>
      </c>
      <c r="G3594" s="26">
        <f>IF(A3594="","",IF(AND(ISNUMBER(B3594),B3594&lt;&gt;0),1,0))</f>
        <v>0</v>
      </c>
      <c r="H3594" s="25">
        <f>IF(E3594="","",(E3594*4+3+cfgDeslocamento)/48)</f>
        <v>0</v>
      </c>
    </row>
    <row r="3595" spans="1:8">
      <c r="A3595" s="24"/>
      <c r="B3595" s="19"/>
      <c r="C3595" s="25">
        <f>IF(D3595="","",D3595/48)</f>
        <v>0</v>
      </c>
      <c r="D3595" s="26">
        <f>IF(A3595="","",ROUND((A3595-cfgDefasagem/1440)*48,0))</f>
        <v>0</v>
      </c>
      <c r="E3595" s="26">
        <f>IF(D3595="","",INT((D3595-cfgDeslocamento)/4))</f>
        <v>0</v>
      </c>
      <c r="F3595" s="26">
        <f>IF(D3595="","",MOD(D3595-cfgDeslocamento,4)+1)</f>
        <v>0</v>
      </c>
      <c r="G3595" s="26">
        <f>IF(A3595="","",IF(AND(ISNUMBER(B3595),B3595&lt;&gt;0),1,0))</f>
        <v>0</v>
      </c>
      <c r="H3595" s="25">
        <f>IF(E3595="","",(E3595*4+3+cfgDeslocamento)/48)</f>
        <v>0</v>
      </c>
    </row>
    <row r="3596" spans="1:8">
      <c r="A3596" s="24"/>
      <c r="B3596" s="19"/>
      <c r="C3596" s="25">
        <f>IF(D3596="","",D3596/48)</f>
        <v>0</v>
      </c>
      <c r="D3596" s="26">
        <f>IF(A3596="","",ROUND((A3596-cfgDefasagem/1440)*48,0))</f>
        <v>0</v>
      </c>
      <c r="E3596" s="26">
        <f>IF(D3596="","",INT((D3596-cfgDeslocamento)/4))</f>
        <v>0</v>
      </c>
      <c r="F3596" s="26">
        <f>IF(D3596="","",MOD(D3596-cfgDeslocamento,4)+1)</f>
        <v>0</v>
      </c>
      <c r="G3596" s="26">
        <f>IF(A3596="","",IF(AND(ISNUMBER(B3596),B3596&lt;&gt;0),1,0))</f>
        <v>0</v>
      </c>
      <c r="H3596" s="25">
        <f>IF(E3596="","",(E3596*4+3+cfgDeslocamento)/48)</f>
        <v>0</v>
      </c>
    </row>
    <row r="3597" spans="1:8">
      <c r="A3597" s="24"/>
      <c r="B3597" s="19"/>
      <c r="C3597" s="25">
        <f>IF(D3597="","",D3597/48)</f>
        <v>0</v>
      </c>
      <c r="D3597" s="26">
        <f>IF(A3597="","",ROUND((A3597-cfgDefasagem/1440)*48,0))</f>
        <v>0</v>
      </c>
      <c r="E3597" s="26">
        <f>IF(D3597="","",INT((D3597-cfgDeslocamento)/4))</f>
        <v>0</v>
      </c>
      <c r="F3597" s="26">
        <f>IF(D3597="","",MOD(D3597-cfgDeslocamento,4)+1)</f>
        <v>0</v>
      </c>
      <c r="G3597" s="26">
        <f>IF(A3597="","",IF(AND(ISNUMBER(B3597),B3597&lt;&gt;0),1,0))</f>
        <v>0</v>
      </c>
      <c r="H3597" s="25">
        <f>IF(E3597="","",(E3597*4+3+cfgDeslocamento)/48)</f>
        <v>0</v>
      </c>
    </row>
    <row r="3598" spans="1:8">
      <c r="A3598" s="24"/>
      <c r="B3598" s="19"/>
      <c r="C3598" s="25">
        <f>IF(D3598="","",D3598/48)</f>
        <v>0</v>
      </c>
      <c r="D3598" s="26">
        <f>IF(A3598="","",ROUND((A3598-cfgDefasagem/1440)*48,0))</f>
        <v>0</v>
      </c>
      <c r="E3598" s="26">
        <f>IF(D3598="","",INT((D3598-cfgDeslocamento)/4))</f>
        <v>0</v>
      </c>
      <c r="F3598" s="26">
        <f>IF(D3598="","",MOD(D3598-cfgDeslocamento,4)+1)</f>
        <v>0</v>
      </c>
      <c r="G3598" s="26">
        <f>IF(A3598="","",IF(AND(ISNUMBER(B3598),B3598&lt;&gt;0),1,0))</f>
        <v>0</v>
      </c>
      <c r="H3598" s="25">
        <f>IF(E3598="","",(E3598*4+3+cfgDeslocamento)/48)</f>
        <v>0</v>
      </c>
    </row>
    <row r="3599" spans="1:8">
      <c r="A3599" s="24"/>
      <c r="B3599" s="19"/>
      <c r="C3599" s="25">
        <f>IF(D3599="","",D3599/48)</f>
        <v>0</v>
      </c>
      <c r="D3599" s="26">
        <f>IF(A3599="","",ROUND((A3599-cfgDefasagem/1440)*48,0))</f>
        <v>0</v>
      </c>
      <c r="E3599" s="26">
        <f>IF(D3599="","",INT((D3599-cfgDeslocamento)/4))</f>
        <v>0</v>
      </c>
      <c r="F3599" s="26">
        <f>IF(D3599="","",MOD(D3599-cfgDeslocamento,4)+1)</f>
        <v>0</v>
      </c>
      <c r="G3599" s="26">
        <f>IF(A3599="","",IF(AND(ISNUMBER(B3599),B3599&lt;&gt;0),1,0))</f>
        <v>0</v>
      </c>
      <c r="H3599" s="25">
        <f>IF(E3599="","",(E3599*4+3+cfgDeslocamento)/48)</f>
        <v>0</v>
      </c>
    </row>
    <row r="3600" spans="1:8">
      <c r="A3600" s="24"/>
      <c r="B3600" s="19"/>
      <c r="C3600" s="25">
        <f>IF(D3600="","",D3600/48)</f>
        <v>0</v>
      </c>
      <c r="D3600" s="26">
        <f>IF(A3600="","",ROUND((A3600-cfgDefasagem/1440)*48,0))</f>
        <v>0</v>
      </c>
      <c r="E3600" s="26">
        <f>IF(D3600="","",INT((D3600-cfgDeslocamento)/4))</f>
        <v>0</v>
      </c>
      <c r="F3600" s="26">
        <f>IF(D3600="","",MOD(D3600-cfgDeslocamento,4)+1)</f>
        <v>0</v>
      </c>
      <c r="G3600" s="26">
        <f>IF(A3600="","",IF(AND(ISNUMBER(B3600),B3600&lt;&gt;0),1,0))</f>
        <v>0</v>
      </c>
      <c r="H3600" s="25">
        <f>IF(E3600="","",(E3600*4+3+cfgDeslocamento)/48)</f>
        <v>0</v>
      </c>
    </row>
    <row r="3601" spans="1:8">
      <c r="A3601" s="24"/>
      <c r="B3601" s="19"/>
      <c r="C3601" s="25">
        <f>IF(D3601="","",D3601/48)</f>
        <v>0</v>
      </c>
      <c r="D3601" s="26">
        <f>IF(A3601="","",ROUND((A3601-cfgDefasagem/1440)*48,0))</f>
        <v>0</v>
      </c>
      <c r="E3601" s="26">
        <f>IF(D3601="","",INT((D3601-cfgDeslocamento)/4))</f>
        <v>0</v>
      </c>
      <c r="F3601" s="26">
        <f>IF(D3601="","",MOD(D3601-cfgDeslocamento,4)+1)</f>
        <v>0</v>
      </c>
      <c r="G3601" s="26">
        <f>IF(A3601="","",IF(AND(ISNUMBER(B3601),B3601&lt;&gt;0),1,0))</f>
        <v>0</v>
      </c>
      <c r="H3601" s="25">
        <f>IF(E3601="","",(E3601*4+3+cfgDeslocamento)/48)</f>
        <v>0</v>
      </c>
    </row>
    <row r="3602" spans="1:8">
      <c r="A3602" s="24"/>
      <c r="B3602" s="19"/>
      <c r="C3602" s="25">
        <f>IF(D3602="","",D3602/48)</f>
        <v>0</v>
      </c>
      <c r="D3602" s="26">
        <f>IF(A3602="","",ROUND((A3602-cfgDefasagem/1440)*48,0))</f>
        <v>0</v>
      </c>
      <c r="E3602" s="26">
        <f>IF(D3602="","",INT((D3602-cfgDeslocamento)/4))</f>
        <v>0</v>
      </c>
      <c r="F3602" s="26">
        <f>IF(D3602="","",MOD(D3602-cfgDeslocamento,4)+1)</f>
        <v>0</v>
      </c>
      <c r="G3602" s="26">
        <f>IF(A3602="","",IF(AND(ISNUMBER(B3602),B3602&lt;&gt;0),1,0))</f>
        <v>0</v>
      </c>
      <c r="H3602" s="25">
        <f>IF(E3602="","",(E3602*4+3+cfgDeslocamento)/48)</f>
        <v>0</v>
      </c>
    </row>
    <row r="3603" spans="1:8">
      <c r="A3603" s="24"/>
      <c r="B3603" s="19"/>
      <c r="C3603" s="25">
        <f>IF(D3603="","",D3603/48)</f>
        <v>0</v>
      </c>
      <c r="D3603" s="26">
        <f>IF(A3603="","",ROUND((A3603-cfgDefasagem/1440)*48,0))</f>
        <v>0</v>
      </c>
      <c r="E3603" s="26">
        <f>IF(D3603="","",INT((D3603-cfgDeslocamento)/4))</f>
        <v>0</v>
      </c>
      <c r="F3603" s="26">
        <f>IF(D3603="","",MOD(D3603-cfgDeslocamento,4)+1)</f>
        <v>0</v>
      </c>
      <c r="G3603" s="26">
        <f>IF(A3603="","",IF(AND(ISNUMBER(B3603),B3603&lt;&gt;0),1,0))</f>
        <v>0</v>
      </c>
      <c r="H3603" s="25">
        <f>IF(E3603="","",(E3603*4+3+cfgDeslocamento)/48)</f>
        <v>0</v>
      </c>
    </row>
    <row r="3604" spans="1:8">
      <c r="A3604" s="24"/>
      <c r="B3604" s="19"/>
      <c r="C3604" s="25">
        <f>IF(D3604="","",D3604/48)</f>
        <v>0</v>
      </c>
      <c r="D3604" s="26">
        <f>IF(A3604="","",ROUND((A3604-cfgDefasagem/1440)*48,0))</f>
        <v>0</v>
      </c>
      <c r="E3604" s="26">
        <f>IF(D3604="","",INT((D3604-cfgDeslocamento)/4))</f>
        <v>0</v>
      </c>
      <c r="F3604" s="26">
        <f>IF(D3604="","",MOD(D3604-cfgDeslocamento,4)+1)</f>
        <v>0</v>
      </c>
      <c r="G3604" s="26">
        <f>IF(A3604="","",IF(AND(ISNUMBER(B3604),B3604&lt;&gt;0),1,0))</f>
        <v>0</v>
      </c>
      <c r="H3604" s="25">
        <f>IF(E3604="","",(E3604*4+3+cfgDeslocamento)/48)</f>
        <v>0</v>
      </c>
    </row>
    <row r="3605" spans="1:8">
      <c r="A3605" s="24"/>
      <c r="B3605" s="19"/>
      <c r="C3605" s="25">
        <f>IF(D3605="","",D3605/48)</f>
        <v>0</v>
      </c>
      <c r="D3605" s="26">
        <f>IF(A3605="","",ROUND((A3605-cfgDefasagem/1440)*48,0))</f>
        <v>0</v>
      </c>
      <c r="E3605" s="26">
        <f>IF(D3605="","",INT((D3605-cfgDeslocamento)/4))</f>
        <v>0</v>
      </c>
      <c r="F3605" s="26">
        <f>IF(D3605="","",MOD(D3605-cfgDeslocamento,4)+1)</f>
        <v>0</v>
      </c>
      <c r="G3605" s="26">
        <f>IF(A3605="","",IF(AND(ISNUMBER(B3605),B3605&lt;&gt;0),1,0))</f>
        <v>0</v>
      </c>
      <c r="H3605" s="25">
        <f>IF(E3605="","",(E3605*4+3+cfgDeslocamento)/48)</f>
        <v>0</v>
      </c>
    </row>
    <row r="3606" spans="1:8">
      <c r="A3606" s="24"/>
      <c r="B3606" s="19"/>
      <c r="C3606" s="25">
        <f>IF(D3606="","",D3606/48)</f>
        <v>0</v>
      </c>
      <c r="D3606" s="26">
        <f>IF(A3606="","",ROUND((A3606-cfgDefasagem/1440)*48,0))</f>
        <v>0</v>
      </c>
      <c r="E3606" s="26">
        <f>IF(D3606="","",INT((D3606-cfgDeslocamento)/4))</f>
        <v>0</v>
      </c>
      <c r="F3606" s="26">
        <f>IF(D3606="","",MOD(D3606-cfgDeslocamento,4)+1)</f>
        <v>0</v>
      </c>
      <c r="G3606" s="26">
        <f>IF(A3606="","",IF(AND(ISNUMBER(B3606),B3606&lt;&gt;0),1,0))</f>
        <v>0</v>
      </c>
      <c r="H3606" s="25">
        <f>IF(E3606="","",(E3606*4+3+cfgDeslocamento)/48)</f>
        <v>0</v>
      </c>
    </row>
    <row r="3607" spans="1:8">
      <c r="A3607" s="24"/>
      <c r="B3607" s="19"/>
      <c r="C3607" s="25">
        <f>IF(D3607="","",D3607/48)</f>
        <v>0</v>
      </c>
      <c r="D3607" s="26">
        <f>IF(A3607="","",ROUND((A3607-cfgDefasagem/1440)*48,0))</f>
        <v>0</v>
      </c>
      <c r="E3607" s="26">
        <f>IF(D3607="","",INT((D3607-cfgDeslocamento)/4))</f>
        <v>0</v>
      </c>
      <c r="F3607" s="26">
        <f>IF(D3607="","",MOD(D3607-cfgDeslocamento,4)+1)</f>
        <v>0</v>
      </c>
      <c r="G3607" s="26">
        <f>IF(A3607="","",IF(AND(ISNUMBER(B3607),B3607&lt;&gt;0),1,0))</f>
        <v>0</v>
      </c>
      <c r="H3607" s="25">
        <f>IF(E3607="","",(E3607*4+3+cfgDeslocamento)/48)</f>
        <v>0</v>
      </c>
    </row>
    <row r="3608" spans="1:8">
      <c r="A3608" s="24"/>
      <c r="B3608" s="19"/>
      <c r="C3608" s="25">
        <f>IF(D3608="","",D3608/48)</f>
        <v>0</v>
      </c>
      <c r="D3608" s="26">
        <f>IF(A3608="","",ROUND((A3608-cfgDefasagem/1440)*48,0))</f>
        <v>0</v>
      </c>
      <c r="E3608" s="26">
        <f>IF(D3608="","",INT((D3608-cfgDeslocamento)/4))</f>
        <v>0</v>
      </c>
      <c r="F3608" s="26">
        <f>IF(D3608="","",MOD(D3608-cfgDeslocamento,4)+1)</f>
        <v>0</v>
      </c>
      <c r="G3608" s="26">
        <f>IF(A3608="","",IF(AND(ISNUMBER(B3608),B3608&lt;&gt;0),1,0))</f>
        <v>0</v>
      </c>
      <c r="H3608" s="25">
        <f>IF(E3608="","",(E3608*4+3+cfgDeslocamento)/48)</f>
        <v>0</v>
      </c>
    </row>
    <row r="3609" spans="1:8">
      <c r="A3609" s="24"/>
      <c r="B3609" s="19"/>
      <c r="C3609" s="25">
        <f>IF(D3609="","",D3609/48)</f>
        <v>0</v>
      </c>
      <c r="D3609" s="26">
        <f>IF(A3609="","",ROUND((A3609-cfgDefasagem/1440)*48,0))</f>
        <v>0</v>
      </c>
      <c r="E3609" s="26">
        <f>IF(D3609="","",INT((D3609-cfgDeslocamento)/4))</f>
        <v>0</v>
      </c>
      <c r="F3609" s="26">
        <f>IF(D3609="","",MOD(D3609-cfgDeslocamento,4)+1)</f>
        <v>0</v>
      </c>
      <c r="G3609" s="26">
        <f>IF(A3609="","",IF(AND(ISNUMBER(B3609),B3609&lt;&gt;0),1,0))</f>
        <v>0</v>
      </c>
      <c r="H3609" s="25">
        <f>IF(E3609="","",(E3609*4+3+cfgDeslocamento)/48)</f>
        <v>0</v>
      </c>
    </row>
    <row r="3610" spans="1:8">
      <c r="A3610" s="24"/>
      <c r="B3610" s="19"/>
      <c r="C3610" s="25">
        <f>IF(D3610="","",D3610/48)</f>
        <v>0</v>
      </c>
      <c r="D3610" s="26">
        <f>IF(A3610="","",ROUND((A3610-cfgDefasagem/1440)*48,0))</f>
        <v>0</v>
      </c>
      <c r="E3610" s="26">
        <f>IF(D3610="","",INT((D3610-cfgDeslocamento)/4))</f>
        <v>0</v>
      </c>
      <c r="F3610" s="26">
        <f>IF(D3610="","",MOD(D3610-cfgDeslocamento,4)+1)</f>
        <v>0</v>
      </c>
      <c r="G3610" s="26">
        <f>IF(A3610="","",IF(AND(ISNUMBER(B3610),B3610&lt;&gt;0),1,0))</f>
        <v>0</v>
      </c>
      <c r="H3610" s="25">
        <f>IF(E3610="","",(E3610*4+3+cfgDeslocamento)/48)</f>
        <v>0</v>
      </c>
    </row>
    <row r="3611" spans="1:8">
      <c r="A3611" s="24"/>
      <c r="B3611" s="19"/>
      <c r="C3611" s="25">
        <f>IF(D3611="","",D3611/48)</f>
        <v>0</v>
      </c>
      <c r="D3611" s="26">
        <f>IF(A3611="","",ROUND((A3611-cfgDefasagem/1440)*48,0))</f>
        <v>0</v>
      </c>
      <c r="E3611" s="26">
        <f>IF(D3611="","",INT((D3611-cfgDeslocamento)/4))</f>
        <v>0</v>
      </c>
      <c r="F3611" s="26">
        <f>IF(D3611="","",MOD(D3611-cfgDeslocamento,4)+1)</f>
        <v>0</v>
      </c>
      <c r="G3611" s="26">
        <f>IF(A3611="","",IF(AND(ISNUMBER(B3611),B3611&lt;&gt;0),1,0))</f>
        <v>0</v>
      </c>
      <c r="H3611" s="25">
        <f>IF(E3611="","",(E3611*4+3+cfgDeslocamento)/48)</f>
        <v>0</v>
      </c>
    </row>
    <row r="3612" spans="1:8">
      <c r="A3612" s="24"/>
      <c r="B3612" s="19"/>
      <c r="C3612" s="25">
        <f>IF(D3612="","",D3612/48)</f>
        <v>0</v>
      </c>
      <c r="D3612" s="26">
        <f>IF(A3612="","",ROUND((A3612-cfgDefasagem/1440)*48,0))</f>
        <v>0</v>
      </c>
      <c r="E3612" s="26">
        <f>IF(D3612="","",INT((D3612-cfgDeslocamento)/4))</f>
        <v>0</v>
      </c>
      <c r="F3612" s="26">
        <f>IF(D3612="","",MOD(D3612-cfgDeslocamento,4)+1)</f>
        <v>0</v>
      </c>
      <c r="G3612" s="26">
        <f>IF(A3612="","",IF(AND(ISNUMBER(B3612),B3612&lt;&gt;0),1,0))</f>
        <v>0</v>
      </c>
      <c r="H3612" s="25">
        <f>IF(E3612="","",(E3612*4+3+cfgDeslocamento)/48)</f>
        <v>0</v>
      </c>
    </row>
    <row r="3613" spans="1:8">
      <c r="A3613" s="24"/>
      <c r="B3613" s="19"/>
      <c r="C3613" s="25">
        <f>IF(D3613="","",D3613/48)</f>
        <v>0</v>
      </c>
      <c r="D3613" s="26">
        <f>IF(A3613="","",ROUND((A3613-cfgDefasagem/1440)*48,0))</f>
        <v>0</v>
      </c>
      <c r="E3613" s="26">
        <f>IF(D3613="","",INT((D3613-cfgDeslocamento)/4))</f>
        <v>0</v>
      </c>
      <c r="F3613" s="26">
        <f>IF(D3613="","",MOD(D3613-cfgDeslocamento,4)+1)</f>
        <v>0</v>
      </c>
      <c r="G3613" s="26">
        <f>IF(A3613="","",IF(AND(ISNUMBER(B3613),B3613&lt;&gt;0),1,0))</f>
        <v>0</v>
      </c>
      <c r="H3613" s="25">
        <f>IF(E3613="","",(E3613*4+3+cfgDeslocamento)/48)</f>
        <v>0</v>
      </c>
    </row>
    <row r="3614" spans="1:8">
      <c r="A3614" s="24"/>
      <c r="B3614" s="19"/>
      <c r="C3614" s="25">
        <f>IF(D3614="","",D3614/48)</f>
        <v>0</v>
      </c>
      <c r="D3614" s="26">
        <f>IF(A3614="","",ROUND((A3614-cfgDefasagem/1440)*48,0))</f>
        <v>0</v>
      </c>
      <c r="E3614" s="26">
        <f>IF(D3614="","",INT((D3614-cfgDeslocamento)/4))</f>
        <v>0</v>
      </c>
      <c r="F3614" s="26">
        <f>IF(D3614="","",MOD(D3614-cfgDeslocamento,4)+1)</f>
        <v>0</v>
      </c>
      <c r="G3614" s="26">
        <f>IF(A3614="","",IF(AND(ISNUMBER(B3614),B3614&lt;&gt;0),1,0))</f>
        <v>0</v>
      </c>
      <c r="H3614" s="25">
        <f>IF(E3614="","",(E3614*4+3+cfgDeslocamento)/48)</f>
        <v>0</v>
      </c>
    </row>
    <row r="3615" spans="1:8">
      <c r="A3615" s="24"/>
      <c r="B3615" s="19"/>
      <c r="C3615" s="25">
        <f>IF(D3615="","",D3615/48)</f>
        <v>0</v>
      </c>
      <c r="D3615" s="26">
        <f>IF(A3615="","",ROUND((A3615-cfgDefasagem/1440)*48,0))</f>
        <v>0</v>
      </c>
      <c r="E3615" s="26">
        <f>IF(D3615="","",INT((D3615-cfgDeslocamento)/4))</f>
        <v>0</v>
      </c>
      <c r="F3615" s="26">
        <f>IF(D3615="","",MOD(D3615-cfgDeslocamento,4)+1)</f>
        <v>0</v>
      </c>
      <c r="G3615" s="26">
        <f>IF(A3615="","",IF(AND(ISNUMBER(B3615),B3615&lt;&gt;0),1,0))</f>
        <v>0</v>
      </c>
      <c r="H3615" s="25">
        <f>IF(E3615="","",(E3615*4+3+cfgDeslocamento)/48)</f>
        <v>0</v>
      </c>
    </row>
    <row r="3616" spans="1:8">
      <c r="A3616" s="24"/>
      <c r="B3616" s="19"/>
      <c r="C3616" s="25">
        <f>IF(D3616="","",D3616/48)</f>
        <v>0</v>
      </c>
      <c r="D3616" s="26">
        <f>IF(A3616="","",ROUND((A3616-cfgDefasagem/1440)*48,0))</f>
        <v>0</v>
      </c>
      <c r="E3616" s="26">
        <f>IF(D3616="","",INT((D3616-cfgDeslocamento)/4))</f>
        <v>0</v>
      </c>
      <c r="F3616" s="26">
        <f>IF(D3616="","",MOD(D3616-cfgDeslocamento,4)+1)</f>
        <v>0</v>
      </c>
      <c r="G3616" s="26">
        <f>IF(A3616="","",IF(AND(ISNUMBER(B3616),B3616&lt;&gt;0),1,0))</f>
        <v>0</v>
      </c>
      <c r="H3616" s="25">
        <f>IF(E3616="","",(E3616*4+3+cfgDeslocamento)/48)</f>
        <v>0</v>
      </c>
    </row>
    <row r="3617" spans="1:8">
      <c r="A3617" s="24"/>
      <c r="B3617" s="19"/>
      <c r="C3617" s="25">
        <f>IF(D3617="","",D3617/48)</f>
        <v>0</v>
      </c>
      <c r="D3617" s="26">
        <f>IF(A3617="","",ROUND((A3617-cfgDefasagem/1440)*48,0))</f>
        <v>0</v>
      </c>
      <c r="E3617" s="26">
        <f>IF(D3617="","",INT((D3617-cfgDeslocamento)/4))</f>
        <v>0</v>
      </c>
      <c r="F3617" s="26">
        <f>IF(D3617="","",MOD(D3617-cfgDeslocamento,4)+1)</f>
        <v>0</v>
      </c>
      <c r="G3617" s="26">
        <f>IF(A3617="","",IF(AND(ISNUMBER(B3617),B3617&lt;&gt;0),1,0))</f>
        <v>0</v>
      </c>
      <c r="H3617" s="25">
        <f>IF(E3617="","",(E3617*4+3+cfgDeslocamento)/48)</f>
        <v>0</v>
      </c>
    </row>
    <row r="3618" spans="1:8">
      <c r="A3618" s="24"/>
      <c r="B3618" s="19"/>
      <c r="C3618" s="25">
        <f>IF(D3618="","",D3618/48)</f>
        <v>0</v>
      </c>
      <c r="D3618" s="26">
        <f>IF(A3618="","",ROUND((A3618-cfgDefasagem/1440)*48,0))</f>
        <v>0</v>
      </c>
      <c r="E3618" s="26">
        <f>IF(D3618="","",INT((D3618-cfgDeslocamento)/4))</f>
        <v>0</v>
      </c>
      <c r="F3618" s="26">
        <f>IF(D3618="","",MOD(D3618-cfgDeslocamento,4)+1)</f>
        <v>0</v>
      </c>
      <c r="G3618" s="26">
        <f>IF(A3618="","",IF(AND(ISNUMBER(B3618),B3618&lt;&gt;0),1,0))</f>
        <v>0</v>
      </c>
      <c r="H3618" s="25">
        <f>IF(E3618="","",(E3618*4+3+cfgDeslocamento)/48)</f>
        <v>0</v>
      </c>
    </row>
    <row r="3619" spans="1:8">
      <c r="A3619" s="24"/>
      <c r="B3619" s="19"/>
      <c r="C3619" s="25">
        <f>IF(D3619="","",D3619/48)</f>
        <v>0</v>
      </c>
      <c r="D3619" s="26">
        <f>IF(A3619="","",ROUND((A3619-cfgDefasagem/1440)*48,0))</f>
        <v>0</v>
      </c>
      <c r="E3619" s="26">
        <f>IF(D3619="","",INT((D3619-cfgDeslocamento)/4))</f>
        <v>0</v>
      </c>
      <c r="F3619" s="26">
        <f>IF(D3619="","",MOD(D3619-cfgDeslocamento,4)+1)</f>
        <v>0</v>
      </c>
      <c r="G3619" s="26">
        <f>IF(A3619="","",IF(AND(ISNUMBER(B3619),B3619&lt;&gt;0),1,0))</f>
        <v>0</v>
      </c>
      <c r="H3619" s="25">
        <f>IF(E3619="","",(E3619*4+3+cfgDeslocamento)/48)</f>
        <v>0</v>
      </c>
    </row>
    <row r="3620" spans="1:8">
      <c r="A3620" s="24"/>
      <c r="B3620" s="19"/>
      <c r="C3620" s="25">
        <f>IF(D3620="","",D3620/48)</f>
        <v>0</v>
      </c>
      <c r="D3620" s="26">
        <f>IF(A3620="","",ROUND((A3620-cfgDefasagem/1440)*48,0))</f>
        <v>0</v>
      </c>
      <c r="E3620" s="26">
        <f>IF(D3620="","",INT((D3620-cfgDeslocamento)/4))</f>
        <v>0</v>
      </c>
      <c r="F3620" s="26">
        <f>IF(D3620="","",MOD(D3620-cfgDeslocamento,4)+1)</f>
        <v>0</v>
      </c>
      <c r="G3620" s="26">
        <f>IF(A3620="","",IF(AND(ISNUMBER(B3620),B3620&lt;&gt;0),1,0))</f>
        <v>0</v>
      </c>
      <c r="H3620" s="25">
        <f>IF(E3620="","",(E3620*4+3+cfgDeslocamento)/48)</f>
        <v>0</v>
      </c>
    </row>
    <row r="3621" spans="1:8">
      <c r="A3621" s="24"/>
      <c r="B3621" s="19"/>
      <c r="C3621" s="25">
        <f>IF(D3621="","",D3621/48)</f>
        <v>0</v>
      </c>
      <c r="D3621" s="26">
        <f>IF(A3621="","",ROUND((A3621-cfgDefasagem/1440)*48,0))</f>
        <v>0</v>
      </c>
      <c r="E3621" s="26">
        <f>IF(D3621="","",INT((D3621-cfgDeslocamento)/4))</f>
        <v>0</v>
      </c>
      <c r="F3621" s="26">
        <f>IF(D3621="","",MOD(D3621-cfgDeslocamento,4)+1)</f>
        <v>0</v>
      </c>
      <c r="G3621" s="26">
        <f>IF(A3621="","",IF(AND(ISNUMBER(B3621),B3621&lt;&gt;0),1,0))</f>
        <v>0</v>
      </c>
      <c r="H3621" s="25">
        <f>IF(E3621="","",(E3621*4+3+cfgDeslocamento)/48)</f>
        <v>0</v>
      </c>
    </row>
    <row r="3622" spans="1:8">
      <c r="A3622" s="24"/>
      <c r="B3622" s="19"/>
      <c r="C3622" s="25">
        <f>IF(D3622="","",D3622/48)</f>
        <v>0</v>
      </c>
      <c r="D3622" s="26">
        <f>IF(A3622="","",ROUND((A3622-cfgDefasagem/1440)*48,0))</f>
        <v>0</v>
      </c>
      <c r="E3622" s="26">
        <f>IF(D3622="","",INT((D3622-cfgDeslocamento)/4))</f>
        <v>0</v>
      </c>
      <c r="F3622" s="26">
        <f>IF(D3622="","",MOD(D3622-cfgDeslocamento,4)+1)</f>
        <v>0</v>
      </c>
      <c r="G3622" s="26">
        <f>IF(A3622="","",IF(AND(ISNUMBER(B3622),B3622&lt;&gt;0),1,0))</f>
        <v>0</v>
      </c>
      <c r="H3622" s="25">
        <f>IF(E3622="","",(E3622*4+3+cfgDeslocamento)/48)</f>
        <v>0</v>
      </c>
    </row>
    <row r="3623" spans="1:8">
      <c r="A3623" s="24"/>
      <c r="B3623" s="19"/>
      <c r="C3623" s="25">
        <f>IF(D3623="","",D3623/48)</f>
        <v>0</v>
      </c>
      <c r="D3623" s="26">
        <f>IF(A3623="","",ROUND((A3623-cfgDefasagem/1440)*48,0))</f>
        <v>0</v>
      </c>
      <c r="E3623" s="26">
        <f>IF(D3623="","",INT((D3623-cfgDeslocamento)/4))</f>
        <v>0</v>
      </c>
      <c r="F3623" s="26">
        <f>IF(D3623="","",MOD(D3623-cfgDeslocamento,4)+1)</f>
        <v>0</v>
      </c>
      <c r="G3623" s="26">
        <f>IF(A3623="","",IF(AND(ISNUMBER(B3623),B3623&lt;&gt;0),1,0))</f>
        <v>0</v>
      </c>
      <c r="H3623" s="25">
        <f>IF(E3623="","",(E3623*4+3+cfgDeslocamento)/48)</f>
        <v>0</v>
      </c>
    </row>
    <row r="3624" spans="1:8">
      <c r="A3624" s="24"/>
      <c r="B3624" s="19"/>
      <c r="C3624" s="25">
        <f>IF(D3624="","",D3624/48)</f>
        <v>0</v>
      </c>
      <c r="D3624" s="26">
        <f>IF(A3624="","",ROUND((A3624-cfgDefasagem/1440)*48,0))</f>
        <v>0</v>
      </c>
      <c r="E3624" s="26">
        <f>IF(D3624="","",INT((D3624-cfgDeslocamento)/4))</f>
        <v>0</v>
      </c>
      <c r="F3624" s="26">
        <f>IF(D3624="","",MOD(D3624-cfgDeslocamento,4)+1)</f>
        <v>0</v>
      </c>
      <c r="G3624" s="26">
        <f>IF(A3624="","",IF(AND(ISNUMBER(B3624),B3624&lt;&gt;0),1,0))</f>
        <v>0</v>
      </c>
      <c r="H3624" s="25">
        <f>IF(E3624="","",(E3624*4+3+cfgDeslocamento)/48)</f>
        <v>0</v>
      </c>
    </row>
    <row r="3625" spans="1:8">
      <c r="A3625" s="24"/>
      <c r="B3625" s="19"/>
      <c r="C3625" s="25">
        <f>IF(D3625="","",D3625/48)</f>
        <v>0</v>
      </c>
      <c r="D3625" s="26">
        <f>IF(A3625="","",ROUND((A3625-cfgDefasagem/1440)*48,0))</f>
        <v>0</v>
      </c>
      <c r="E3625" s="26">
        <f>IF(D3625="","",INT((D3625-cfgDeslocamento)/4))</f>
        <v>0</v>
      </c>
      <c r="F3625" s="26">
        <f>IF(D3625="","",MOD(D3625-cfgDeslocamento,4)+1)</f>
        <v>0</v>
      </c>
      <c r="G3625" s="26">
        <f>IF(A3625="","",IF(AND(ISNUMBER(B3625),B3625&lt;&gt;0),1,0))</f>
        <v>0</v>
      </c>
      <c r="H3625" s="25">
        <f>IF(E3625="","",(E3625*4+3+cfgDeslocamento)/48)</f>
        <v>0</v>
      </c>
    </row>
    <row r="3626" spans="1:8">
      <c r="A3626" s="24"/>
      <c r="B3626" s="19"/>
      <c r="C3626" s="25">
        <f>IF(D3626="","",D3626/48)</f>
        <v>0</v>
      </c>
      <c r="D3626" s="26">
        <f>IF(A3626="","",ROUND((A3626-cfgDefasagem/1440)*48,0))</f>
        <v>0</v>
      </c>
      <c r="E3626" s="26">
        <f>IF(D3626="","",INT((D3626-cfgDeslocamento)/4))</f>
        <v>0</v>
      </c>
      <c r="F3626" s="26">
        <f>IF(D3626="","",MOD(D3626-cfgDeslocamento,4)+1)</f>
        <v>0</v>
      </c>
      <c r="G3626" s="26">
        <f>IF(A3626="","",IF(AND(ISNUMBER(B3626),B3626&lt;&gt;0),1,0))</f>
        <v>0</v>
      </c>
      <c r="H3626" s="25">
        <f>IF(E3626="","",(E3626*4+3+cfgDeslocamento)/48)</f>
        <v>0</v>
      </c>
    </row>
    <row r="3627" spans="1:8">
      <c r="A3627" s="24"/>
      <c r="B3627" s="19"/>
      <c r="C3627" s="25">
        <f>IF(D3627="","",D3627/48)</f>
        <v>0</v>
      </c>
      <c r="D3627" s="26">
        <f>IF(A3627="","",ROUND((A3627-cfgDefasagem/1440)*48,0))</f>
        <v>0</v>
      </c>
      <c r="E3627" s="26">
        <f>IF(D3627="","",INT((D3627-cfgDeslocamento)/4))</f>
        <v>0</v>
      </c>
      <c r="F3627" s="26">
        <f>IF(D3627="","",MOD(D3627-cfgDeslocamento,4)+1)</f>
        <v>0</v>
      </c>
      <c r="G3627" s="26">
        <f>IF(A3627="","",IF(AND(ISNUMBER(B3627),B3627&lt;&gt;0),1,0))</f>
        <v>0</v>
      </c>
      <c r="H3627" s="25">
        <f>IF(E3627="","",(E3627*4+3+cfgDeslocamento)/48)</f>
        <v>0</v>
      </c>
    </row>
    <row r="3628" spans="1:8">
      <c r="A3628" s="24"/>
      <c r="B3628" s="19"/>
      <c r="C3628" s="25">
        <f>IF(D3628="","",D3628/48)</f>
        <v>0</v>
      </c>
      <c r="D3628" s="26">
        <f>IF(A3628="","",ROUND((A3628-cfgDefasagem/1440)*48,0))</f>
        <v>0</v>
      </c>
      <c r="E3628" s="26">
        <f>IF(D3628="","",INT((D3628-cfgDeslocamento)/4))</f>
        <v>0</v>
      </c>
      <c r="F3628" s="26">
        <f>IF(D3628="","",MOD(D3628-cfgDeslocamento,4)+1)</f>
        <v>0</v>
      </c>
      <c r="G3628" s="26">
        <f>IF(A3628="","",IF(AND(ISNUMBER(B3628),B3628&lt;&gt;0),1,0))</f>
        <v>0</v>
      </c>
      <c r="H3628" s="25">
        <f>IF(E3628="","",(E3628*4+3+cfgDeslocamento)/48)</f>
        <v>0</v>
      </c>
    </row>
    <row r="3629" spans="1:8">
      <c r="A3629" s="24"/>
      <c r="B3629" s="19"/>
      <c r="C3629" s="25">
        <f>IF(D3629="","",D3629/48)</f>
        <v>0</v>
      </c>
      <c r="D3629" s="26">
        <f>IF(A3629="","",ROUND((A3629-cfgDefasagem/1440)*48,0))</f>
        <v>0</v>
      </c>
      <c r="E3629" s="26">
        <f>IF(D3629="","",INT((D3629-cfgDeslocamento)/4))</f>
        <v>0</v>
      </c>
      <c r="F3629" s="26">
        <f>IF(D3629="","",MOD(D3629-cfgDeslocamento,4)+1)</f>
        <v>0</v>
      </c>
      <c r="G3629" s="26">
        <f>IF(A3629="","",IF(AND(ISNUMBER(B3629),B3629&lt;&gt;0),1,0))</f>
        <v>0</v>
      </c>
      <c r="H3629" s="25">
        <f>IF(E3629="","",(E3629*4+3+cfgDeslocamento)/48)</f>
        <v>0</v>
      </c>
    </row>
    <row r="3630" spans="1:8">
      <c r="A3630" s="24"/>
      <c r="B3630" s="19"/>
      <c r="C3630" s="25">
        <f>IF(D3630="","",D3630/48)</f>
        <v>0</v>
      </c>
      <c r="D3630" s="26">
        <f>IF(A3630="","",ROUND((A3630-cfgDefasagem/1440)*48,0))</f>
        <v>0</v>
      </c>
      <c r="E3630" s="26">
        <f>IF(D3630="","",INT((D3630-cfgDeslocamento)/4))</f>
        <v>0</v>
      </c>
      <c r="F3630" s="26">
        <f>IF(D3630="","",MOD(D3630-cfgDeslocamento,4)+1)</f>
        <v>0</v>
      </c>
      <c r="G3630" s="26">
        <f>IF(A3630="","",IF(AND(ISNUMBER(B3630),B3630&lt;&gt;0),1,0))</f>
        <v>0</v>
      </c>
      <c r="H3630" s="25">
        <f>IF(E3630="","",(E3630*4+3+cfgDeslocamento)/48)</f>
        <v>0</v>
      </c>
    </row>
    <row r="3631" spans="1:8">
      <c r="A3631" s="24"/>
      <c r="B3631" s="19"/>
      <c r="C3631" s="25">
        <f>IF(D3631="","",D3631/48)</f>
        <v>0</v>
      </c>
      <c r="D3631" s="26">
        <f>IF(A3631="","",ROUND((A3631-cfgDefasagem/1440)*48,0))</f>
        <v>0</v>
      </c>
      <c r="E3631" s="26">
        <f>IF(D3631="","",INT((D3631-cfgDeslocamento)/4))</f>
        <v>0</v>
      </c>
      <c r="F3631" s="26">
        <f>IF(D3631="","",MOD(D3631-cfgDeslocamento,4)+1)</f>
        <v>0</v>
      </c>
      <c r="G3631" s="26">
        <f>IF(A3631="","",IF(AND(ISNUMBER(B3631),B3631&lt;&gt;0),1,0))</f>
        <v>0</v>
      </c>
      <c r="H3631" s="25">
        <f>IF(E3631="","",(E3631*4+3+cfgDeslocamento)/48)</f>
        <v>0</v>
      </c>
    </row>
    <row r="3632" spans="1:8">
      <c r="A3632" s="24"/>
      <c r="B3632" s="19"/>
      <c r="C3632" s="25">
        <f>IF(D3632="","",D3632/48)</f>
        <v>0</v>
      </c>
      <c r="D3632" s="26">
        <f>IF(A3632="","",ROUND((A3632-cfgDefasagem/1440)*48,0))</f>
        <v>0</v>
      </c>
      <c r="E3632" s="26">
        <f>IF(D3632="","",INT((D3632-cfgDeslocamento)/4))</f>
        <v>0</v>
      </c>
      <c r="F3632" s="26">
        <f>IF(D3632="","",MOD(D3632-cfgDeslocamento,4)+1)</f>
        <v>0</v>
      </c>
      <c r="G3632" s="26">
        <f>IF(A3632="","",IF(AND(ISNUMBER(B3632),B3632&lt;&gt;0),1,0))</f>
        <v>0</v>
      </c>
      <c r="H3632" s="25">
        <f>IF(E3632="","",(E3632*4+3+cfgDeslocamento)/48)</f>
        <v>0</v>
      </c>
    </row>
    <row r="3633" spans="1:8">
      <c r="A3633" s="24"/>
      <c r="B3633" s="19"/>
      <c r="C3633" s="25">
        <f>IF(D3633="","",D3633/48)</f>
        <v>0</v>
      </c>
      <c r="D3633" s="26">
        <f>IF(A3633="","",ROUND((A3633-cfgDefasagem/1440)*48,0))</f>
        <v>0</v>
      </c>
      <c r="E3633" s="26">
        <f>IF(D3633="","",INT((D3633-cfgDeslocamento)/4))</f>
        <v>0</v>
      </c>
      <c r="F3633" s="26">
        <f>IF(D3633="","",MOD(D3633-cfgDeslocamento,4)+1)</f>
        <v>0</v>
      </c>
      <c r="G3633" s="26">
        <f>IF(A3633="","",IF(AND(ISNUMBER(B3633),B3633&lt;&gt;0),1,0))</f>
        <v>0</v>
      </c>
      <c r="H3633" s="25">
        <f>IF(E3633="","",(E3633*4+3+cfgDeslocamento)/48)</f>
        <v>0</v>
      </c>
    </row>
    <row r="3634" spans="1:8">
      <c r="A3634" s="24"/>
      <c r="B3634" s="19"/>
      <c r="C3634" s="25">
        <f>IF(D3634="","",D3634/48)</f>
        <v>0</v>
      </c>
      <c r="D3634" s="26">
        <f>IF(A3634="","",ROUND((A3634-cfgDefasagem/1440)*48,0))</f>
        <v>0</v>
      </c>
      <c r="E3634" s="26">
        <f>IF(D3634="","",INT((D3634-cfgDeslocamento)/4))</f>
        <v>0</v>
      </c>
      <c r="F3634" s="26">
        <f>IF(D3634="","",MOD(D3634-cfgDeslocamento,4)+1)</f>
        <v>0</v>
      </c>
      <c r="G3634" s="26">
        <f>IF(A3634="","",IF(AND(ISNUMBER(B3634),B3634&lt;&gt;0),1,0))</f>
        <v>0</v>
      </c>
      <c r="H3634" s="25">
        <f>IF(E3634="","",(E3634*4+3+cfgDeslocamento)/48)</f>
        <v>0</v>
      </c>
    </row>
    <row r="3635" spans="1:8">
      <c r="A3635" s="24"/>
      <c r="B3635" s="19"/>
      <c r="C3635" s="25">
        <f>IF(D3635="","",D3635/48)</f>
        <v>0</v>
      </c>
      <c r="D3635" s="26">
        <f>IF(A3635="","",ROUND((A3635-cfgDefasagem/1440)*48,0))</f>
        <v>0</v>
      </c>
      <c r="E3635" s="26">
        <f>IF(D3635="","",INT((D3635-cfgDeslocamento)/4))</f>
        <v>0</v>
      </c>
      <c r="F3635" s="26">
        <f>IF(D3635="","",MOD(D3635-cfgDeslocamento,4)+1)</f>
        <v>0</v>
      </c>
      <c r="G3635" s="26">
        <f>IF(A3635="","",IF(AND(ISNUMBER(B3635),B3635&lt;&gt;0),1,0))</f>
        <v>0</v>
      </c>
      <c r="H3635" s="25">
        <f>IF(E3635="","",(E3635*4+3+cfgDeslocamento)/48)</f>
        <v>0</v>
      </c>
    </row>
    <row r="3636" spans="1:8">
      <c r="A3636" s="24"/>
      <c r="B3636" s="19"/>
      <c r="C3636" s="25">
        <f>IF(D3636="","",D3636/48)</f>
        <v>0</v>
      </c>
      <c r="D3636" s="26">
        <f>IF(A3636="","",ROUND((A3636-cfgDefasagem/1440)*48,0))</f>
        <v>0</v>
      </c>
      <c r="E3636" s="26">
        <f>IF(D3636="","",INT((D3636-cfgDeslocamento)/4))</f>
        <v>0</v>
      </c>
      <c r="F3636" s="26">
        <f>IF(D3636="","",MOD(D3636-cfgDeslocamento,4)+1)</f>
        <v>0</v>
      </c>
      <c r="G3636" s="26">
        <f>IF(A3636="","",IF(AND(ISNUMBER(B3636),B3636&lt;&gt;0),1,0))</f>
        <v>0</v>
      </c>
      <c r="H3636" s="25">
        <f>IF(E3636="","",(E3636*4+3+cfgDeslocamento)/48)</f>
        <v>0</v>
      </c>
    </row>
    <row r="3637" spans="1:8">
      <c r="A3637" s="24"/>
      <c r="B3637" s="19"/>
      <c r="C3637" s="25">
        <f>IF(D3637="","",D3637/48)</f>
        <v>0</v>
      </c>
      <c r="D3637" s="26">
        <f>IF(A3637="","",ROUND((A3637-cfgDefasagem/1440)*48,0))</f>
        <v>0</v>
      </c>
      <c r="E3637" s="26">
        <f>IF(D3637="","",INT((D3637-cfgDeslocamento)/4))</f>
        <v>0</v>
      </c>
      <c r="F3637" s="26">
        <f>IF(D3637="","",MOD(D3637-cfgDeslocamento,4)+1)</f>
        <v>0</v>
      </c>
      <c r="G3637" s="26">
        <f>IF(A3637="","",IF(AND(ISNUMBER(B3637),B3637&lt;&gt;0),1,0))</f>
        <v>0</v>
      </c>
      <c r="H3637" s="25">
        <f>IF(E3637="","",(E3637*4+3+cfgDeslocamento)/48)</f>
        <v>0</v>
      </c>
    </row>
    <row r="3638" spans="1:8">
      <c r="A3638" s="24"/>
      <c r="B3638" s="19"/>
      <c r="C3638" s="25">
        <f>IF(D3638="","",D3638/48)</f>
        <v>0</v>
      </c>
      <c r="D3638" s="26">
        <f>IF(A3638="","",ROUND((A3638-cfgDefasagem/1440)*48,0))</f>
        <v>0</v>
      </c>
      <c r="E3638" s="26">
        <f>IF(D3638="","",INT((D3638-cfgDeslocamento)/4))</f>
        <v>0</v>
      </c>
      <c r="F3638" s="26">
        <f>IF(D3638="","",MOD(D3638-cfgDeslocamento,4)+1)</f>
        <v>0</v>
      </c>
      <c r="G3638" s="26">
        <f>IF(A3638="","",IF(AND(ISNUMBER(B3638),B3638&lt;&gt;0),1,0))</f>
        <v>0</v>
      </c>
      <c r="H3638" s="25">
        <f>IF(E3638="","",(E3638*4+3+cfgDeslocamento)/48)</f>
        <v>0</v>
      </c>
    </row>
    <row r="3639" spans="1:8">
      <c r="A3639" s="24"/>
      <c r="B3639" s="19"/>
      <c r="C3639" s="25">
        <f>IF(D3639="","",D3639/48)</f>
        <v>0</v>
      </c>
      <c r="D3639" s="26">
        <f>IF(A3639="","",ROUND((A3639-cfgDefasagem/1440)*48,0))</f>
        <v>0</v>
      </c>
      <c r="E3639" s="26">
        <f>IF(D3639="","",INT((D3639-cfgDeslocamento)/4))</f>
        <v>0</v>
      </c>
      <c r="F3639" s="26">
        <f>IF(D3639="","",MOD(D3639-cfgDeslocamento,4)+1)</f>
        <v>0</v>
      </c>
      <c r="G3639" s="26">
        <f>IF(A3639="","",IF(AND(ISNUMBER(B3639),B3639&lt;&gt;0),1,0))</f>
        <v>0</v>
      </c>
      <c r="H3639" s="25">
        <f>IF(E3639="","",(E3639*4+3+cfgDeslocamento)/48)</f>
        <v>0</v>
      </c>
    </row>
    <row r="3640" spans="1:8">
      <c r="A3640" s="24"/>
      <c r="B3640" s="19"/>
      <c r="C3640" s="25">
        <f>IF(D3640="","",D3640/48)</f>
        <v>0</v>
      </c>
      <c r="D3640" s="26">
        <f>IF(A3640="","",ROUND((A3640-cfgDefasagem/1440)*48,0))</f>
        <v>0</v>
      </c>
      <c r="E3640" s="26">
        <f>IF(D3640="","",INT((D3640-cfgDeslocamento)/4))</f>
        <v>0</v>
      </c>
      <c r="F3640" s="26">
        <f>IF(D3640="","",MOD(D3640-cfgDeslocamento,4)+1)</f>
        <v>0</v>
      </c>
      <c r="G3640" s="26">
        <f>IF(A3640="","",IF(AND(ISNUMBER(B3640),B3640&lt;&gt;0),1,0))</f>
        <v>0</v>
      </c>
      <c r="H3640" s="25">
        <f>IF(E3640="","",(E3640*4+3+cfgDeslocamento)/48)</f>
        <v>0</v>
      </c>
    </row>
    <row r="3641" spans="1:8">
      <c r="A3641" s="24"/>
      <c r="B3641" s="19"/>
      <c r="C3641" s="25">
        <f>IF(D3641="","",D3641/48)</f>
        <v>0</v>
      </c>
      <c r="D3641" s="26">
        <f>IF(A3641="","",ROUND((A3641-cfgDefasagem/1440)*48,0))</f>
        <v>0</v>
      </c>
      <c r="E3641" s="26">
        <f>IF(D3641="","",INT((D3641-cfgDeslocamento)/4))</f>
        <v>0</v>
      </c>
      <c r="F3641" s="26">
        <f>IF(D3641="","",MOD(D3641-cfgDeslocamento,4)+1)</f>
        <v>0</v>
      </c>
      <c r="G3641" s="26">
        <f>IF(A3641="","",IF(AND(ISNUMBER(B3641),B3641&lt;&gt;0),1,0))</f>
        <v>0</v>
      </c>
      <c r="H3641" s="25">
        <f>IF(E3641="","",(E3641*4+3+cfgDeslocamento)/48)</f>
        <v>0</v>
      </c>
    </row>
    <row r="3642" spans="1:8">
      <c r="A3642" s="24"/>
      <c r="B3642" s="19"/>
      <c r="C3642" s="25">
        <f>IF(D3642="","",D3642/48)</f>
        <v>0</v>
      </c>
      <c r="D3642" s="26">
        <f>IF(A3642="","",ROUND((A3642-cfgDefasagem/1440)*48,0))</f>
        <v>0</v>
      </c>
      <c r="E3642" s="26">
        <f>IF(D3642="","",INT((D3642-cfgDeslocamento)/4))</f>
        <v>0</v>
      </c>
      <c r="F3642" s="26">
        <f>IF(D3642="","",MOD(D3642-cfgDeslocamento,4)+1)</f>
        <v>0</v>
      </c>
      <c r="G3642" s="26">
        <f>IF(A3642="","",IF(AND(ISNUMBER(B3642),B3642&lt;&gt;0),1,0))</f>
        <v>0</v>
      </c>
      <c r="H3642" s="25">
        <f>IF(E3642="","",(E3642*4+3+cfgDeslocamento)/48)</f>
        <v>0</v>
      </c>
    </row>
    <row r="3643" spans="1:8">
      <c r="A3643" s="24"/>
      <c r="B3643" s="19"/>
      <c r="C3643" s="25">
        <f>IF(D3643="","",D3643/48)</f>
        <v>0</v>
      </c>
      <c r="D3643" s="26">
        <f>IF(A3643="","",ROUND((A3643-cfgDefasagem/1440)*48,0))</f>
        <v>0</v>
      </c>
      <c r="E3643" s="26">
        <f>IF(D3643="","",INT((D3643-cfgDeslocamento)/4))</f>
        <v>0</v>
      </c>
      <c r="F3643" s="26">
        <f>IF(D3643="","",MOD(D3643-cfgDeslocamento,4)+1)</f>
        <v>0</v>
      </c>
      <c r="G3643" s="26">
        <f>IF(A3643="","",IF(AND(ISNUMBER(B3643),B3643&lt;&gt;0),1,0))</f>
        <v>0</v>
      </c>
      <c r="H3643" s="25">
        <f>IF(E3643="","",(E3643*4+3+cfgDeslocamento)/48)</f>
        <v>0</v>
      </c>
    </row>
    <row r="3644" spans="1:8">
      <c r="A3644" s="24"/>
      <c r="B3644" s="19"/>
      <c r="C3644" s="25">
        <f>IF(D3644="","",D3644/48)</f>
        <v>0</v>
      </c>
      <c r="D3644" s="26">
        <f>IF(A3644="","",ROUND((A3644-cfgDefasagem/1440)*48,0))</f>
        <v>0</v>
      </c>
      <c r="E3644" s="26">
        <f>IF(D3644="","",INT((D3644-cfgDeslocamento)/4))</f>
        <v>0</v>
      </c>
      <c r="F3644" s="26">
        <f>IF(D3644="","",MOD(D3644-cfgDeslocamento,4)+1)</f>
        <v>0</v>
      </c>
      <c r="G3644" s="26">
        <f>IF(A3644="","",IF(AND(ISNUMBER(B3644),B3644&lt;&gt;0),1,0))</f>
        <v>0</v>
      </c>
      <c r="H3644" s="25">
        <f>IF(E3644="","",(E3644*4+3+cfgDeslocamento)/48)</f>
        <v>0</v>
      </c>
    </row>
    <row r="3645" spans="1:8">
      <c r="A3645" s="24"/>
      <c r="B3645" s="19"/>
      <c r="C3645" s="25">
        <f>IF(D3645="","",D3645/48)</f>
        <v>0</v>
      </c>
      <c r="D3645" s="26">
        <f>IF(A3645="","",ROUND((A3645-cfgDefasagem/1440)*48,0))</f>
        <v>0</v>
      </c>
      <c r="E3645" s="26">
        <f>IF(D3645="","",INT((D3645-cfgDeslocamento)/4))</f>
        <v>0</v>
      </c>
      <c r="F3645" s="26">
        <f>IF(D3645="","",MOD(D3645-cfgDeslocamento,4)+1)</f>
        <v>0</v>
      </c>
      <c r="G3645" s="26">
        <f>IF(A3645="","",IF(AND(ISNUMBER(B3645),B3645&lt;&gt;0),1,0))</f>
        <v>0</v>
      </c>
      <c r="H3645" s="25">
        <f>IF(E3645="","",(E3645*4+3+cfgDeslocamento)/48)</f>
        <v>0</v>
      </c>
    </row>
    <row r="3646" spans="1:8">
      <c r="A3646" s="24"/>
      <c r="B3646" s="19"/>
      <c r="C3646" s="25">
        <f>IF(D3646="","",D3646/48)</f>
        <v>0</v>
      </c>
      <c r="D3646" s="26">
        <f>IF(A3646="","",ROUND((A3646-cfgDefasagem/1440)*48,0))</f>
        <v>0</v>
      </c>
      <c r="E3646" s="26">
        <f>IF(D3646="","",INT((D3646-cfgDeslocamento)/4))</f>
        <v>0</v>
      </c>
      <c r="F3646" s="26">
        <f>IF(D3646="","",MOD(D3646-cfgDeslocamento,4)+1)</f>
        <v>0</v>
      </c>
      <c r="G3646" s="26">
        <f>IF(A3646="","",IF(AND(ISNUMBER(B3646),B3646&lt;&gt;0),1,0))</f>
        <v>0</v>
      </c>
      <c r="H3646" s="25">
        <f>IF(E3646="","",(E3646*4+3+cfgDeslocamento)/48)</f>
        <v>0</v>
      </c>
    </row>
    <row r="3647" spans="1:8">
      <c r="A3647" s="24"/>
      <c r="B3647" s="19"/>
      <c r="C3647" s="25">
        <f>IF(D3647="","",D3647/48)</f>
        <v>0</v>
      </c>
      <c r="D3647" s="26">
        <f>IF(A3647="","",ROUND((A3647-cfgDefasagem/1440)*48,0))</f>
        <v>0</v>
      </c>
      <c r="E3647" s="26">
        <f>IF(D3647="","",INT((D3647-cfgDeslocamento)/4))</f>
        <v>0</v>
      </c>
      <c r="F3647" s="26">
        <f>IF(D3647="","",MOD(D3647-cfgDeslocamento,4)+1)</f>
        <v>0</v>
      </c>
      <c r="G3647" s="26">
        <f>IF(A3647="","",IF(AND(ISNUMBER(B3647),B3647&lt;&gt;0),1,0))</f>
        <v>0</v>
      </c>
      <c r="H3647" s="25">
        <f>IF(E3647="","",(E3647*4+3+cfgDeslocamento)/48)</f>
        <v>0</v>
      </c>
    </row>
    <row r="3648" spans="1:8">
      <c r="A3648" s="24"/>
      <c r="B3648" s="19"/>
      <c r="C3648" s="25">
        <f>IF(D3648="","",D3648/48)</f>
        <v>0</v>
      </c>
      <c r="D3648" s="26">
        <f>IF(A3648="","",ROUND((A3648-cfgDefasagem/1440)*48,0))</f>
        <v>0</v>
      </c>
      <c r="E3648" s="26">
        <f>IF(D3648="","",INT((D3648-cfgDeslocamento)/4))</f>
        <v>0</v>
      </c>
      <c r="F3648" s="26">
        <f>IF(D3648="","",MOD(D3648-cfgDeslocamento,4)+1)</f>
        <v>0</v>
      </c>
      <c r="G3648" s="26">
        <f>IF(A3648="","",IF(AND(ISNUMBER(B3648),B3648&lt;&gt;0),1,0))</f>
        <v>0</v>
      </c>
      <c r="H3648" s="25">
        <f>IF(E3648="","",(E3648*4+3+cfgDeslocamento)/48)</f>
        <v>0</v>
      </c>
    </row>
    <row r="3649" spans="1:8">
      <c r="A3649" s="24"/>
      <c r="B3649" s="19"/>
      <c r="C3649" s="25">
        <f>IF(D3649="","",D3649/48)</f>
        <v>0</v>
      </c>
      <c r="D3649" s="26">
        <f>IF(A3649="","",ROUND((A3649-cfgDefasagem/1440)*48,0))</f>
        <v>0</v>
      </c>
      <c r="E3649" s="26">
        <f>IF(D3649="","",INT((D3649-cfgDeslocamento)/4))</f>
        <v>0</v>
      </c>
      <c r="F3649" s="26">
        <f>IF(D3649="","",MOD(D3649-cfgDeslocamento,4)+1)</f>
        <v>0</v>
      </c>
      <c r="G3649" s="26">
        <f>IF(A3649="","",IF(AND(ISNUMBER(B3649),B3649&lt;&gt;0),1,0))</f>
        <v>0</v>
      </c>
      <c r="H3649" s="25">
        <f>IF(E3649="","",(E3649*4+3+cfgDeslocamento)/48)</f>
        <v>0</v>
      </c>
    </row>
    <row r="3650" spans="1:8">
      <c r="A3650" s="24"/>
      <c r="B3650" s="19"/>
      <c r="C3650" s="25">
        <f>IF(D3650="","",D3650/48)</f>
        <v>0</v>
      </c>
      <c r="D3650" s="26">
        <f>IF(A3650="","",ROUND((A3650-cfgDefasagem/1440)*48,0))</f>
        <v>0</v>
      </c>
      <c r="E3650" s="26">
        <f>IF(D3650="","",INT((D3650-cfgDeslocamento)/4))</f>
        <v>0</v>
      </c>
      <c r="F3650" s="26">
        <f>IF(D3650="","",MOD(D3650-cfgDeslocamento,4)+1)</f>
        <v>0</v>
      </c>
      <c r="G3650" s="26">
        <f>IF(A3650="","",IF(AND(ISNUMBER(B3650),B3650&lt;&gt;0),1,0))</f>
        <v>0</v>
      </c>
      <c r="H3650" s="25">
        <f>IF(E3650="","",(E3650*4+3+cfgDeslocamento)/48)</f>
        <v>0</v>
      </c>
    </row>
    <row r="3651" spans="1:8">
      <c r="A3651" s="24"/>
      <c r="B3651" s="19"/>
      <c r="C3651" s="25">
        <f>IF(D3651="","",D3651/48)</f>
        <v>0</v>
      </c>
      <c r="D3651" s="26">
        <f>IF(A3651="","",ROUND((A3651-cfgDefasagem/1440)*48,0))</f>
        <v>0</v>
      </c>
      <c r="E3651" s="26">
        <f>IF(D3651="","",INT((D3651-cfgDeslocamento)/4))</f>
        <v>0</v>
      </c>
      <c r="F3651" s="26">
        <f>IF(D3651="","",MOD(D3651-cfgDeslocamento,4)+1)</f>
        <v>0</v>
      </c>
      <c r="G3651" s="26">
        <f>IF(A3651="","",IF(AND(ISNUMBER(B3651),B3651&lt;&gt;0),1,0))</f>
        <v>0</v>
      </c>
      <c r="H3651" s="25">
        <f>IF(E3651="","",(E3651*4+3+cfgDeslocamento)/48)</f>
        <v>0</v>
      </c>
    </row>
    <row r="3652" spans="1:8">
      <c r="A3652" s="24"/>
      <c r="B3652" s="19"/>
      <c r="C3652" s="25">
        <f>IF(D3652="","",D3652/48)</f>
        <v>0</v>
      </c>
      <c r="D3652" s="26">
        <f>IF(A3652="","",ROUND((A3652-cfgDefasagem/1440)*48,0))</f>
        <v>0</v>
      </c>
      <c r="E3652" s="26">
        <f>IF(D3652="","",INT((D3652-cfgDeslocamento)/4))</f>
        <v>0</v>
      </c>
      <c r="F3652" s="26">
        <f>IF(D3652="","",MOD(D3652-cfgDeslocamento,4)+1)</f>
        <v>0</v>
      </c>
      <c r="G3652" s="26">
        <f>IF(A3652="","",IF(AND(ISNUMBER(B3652),B3652&lt;&gt;0),1,0))</f>
        <v>0</v>
      </c>
      <c r="H3652" s="25">
        <f>IF(E3652="","",(E3652*4+3+cfgDeslocamento)/48)</f>
        <v>0</v>
      </c>
    </row>
    <row r="3653" spans="1:8">
      <c r="A3653" s="24"/>
      <c r="B3653" s="19"/>
      <c r="C3653" s="25">
        <f>IF(D3653="","",D3653/48)</f>
        <v>0</v>
      </c>
      <c r="D3653" s="26">
        <f>IF(A3653="","",ROUND((A3653-cfgDefasagem/1440)*48,0))</f>
        <v>0</v>
      </c>
      <c r="E3653" s="26">
        <f>IF(D3653="","",INT((D3653-cfgDeslocamento)/4))</f>
        <v>0</v>
      </c>
      <c r="F3653" s="26">
        <f>IF(D3653="","",MOD(D3653-cfgDeslocamento,4)+1)</f>
        <v>0</v>
      </c>
      <c r="G3653" s="26">
        <f>IF(A3653="","",IF(AND(ISNUMBER(B3653),B3653&lt;&gt;0),1,0))</f>
        <v>0</v>
      </c>
      <c r="H3653" s="25">
        <f>IF(E3653="","",(E3653*4+3+cfgDeslocamento)/48)</f>
        <v>0</v>
      </c>
    </row>
    <row r="3654" spans="1:8">
      <c r="A3654" s="24"/>
      <c r="B3654" s="19"/>
      <c r="C3654" s="25">
        <f>IF(D3654="","",D3654/48)</f>
        <v>0</v>
      </c>
      <c r="D3654" s="26">
        <f>IF(A3654="","",ROUND((A3654-cfgDefasagem/1440)*48,0))</f>
        <v>0</v>
      </c>
      <c r="E3654" s="26">
        <f>IF(D3654="","",INT((D3654-cfgDeslocamento)/4))</f>
        <v>0</v>
      </c>
      <c r="F3654" s="26">
        <f>IF(D3654="","",MOD(D3654-cfgDeslocamento,4)+1)</f>
        <v>0</v>
      </c>
      <c r="G3654" s="26">
        <f>IF(A3654="","",IF(AND(ISNUMBER(B3654),B3654&lt;&gt;0),1,0))</f>
        <v>0</v>
      </c>
      <c r="H3654" s="25">
        <f>IF(E3654="","",(E3654*4+3+cfgDeslocamento)/48)</f>
        <v>0</v>
      </c>
    </row>
    <row r="3655" spans="1:8">
      <c r="A3655" s="24"/>
      <c r="B3655" s="19"/>
      <c r="C3655" s="25">
        <f>IF(D3655="","",D3655/48)</f>
        <v>0</v>
      </c>
      <c r="D3655" s="26">
        <f>IF(A3655="","",ROUND((A3655-cfgDefasagem/1440)*48,0))</f>
        <v>0</v>
      </c>
      <c r="E3655" s="26">
        <f>IF(D3655="","",INT((D3655-cfgDeslocamento)/4))</f>
        <v>0</v>
      </c>
      <c r="F3655" s="26">
        <f>IF(D3655="","",MOD(D3655-cfgDeslocamento,4)+1)</f>
        <v>0</v>
      </c>
      <c r="G3655" s="26">
        <f>IF(A3655="","",IF(AND(ISNUMBER(B3655),B3655&lt;&gt;0),1,0))</f>
        <v>0</v>
      </c>
      <c r="H3655" s="25">
        <f>IF(E3655="","",(E3655*4+3+cfgDeslocamento)/48)</f>
        <v>0</v>
      </c>
    </row>
    <row r="3656" spans="1:8">
      <c r="A3656" s="24"/>
      <c r="B3656" s="19"/>
      <c r="C3656" s="25">
        <f>IF(D3656="","",D3656/48)</f>
        <v>0</v>
      </c>
      <c r="D3656" s="26">
        <f>IF(A3656="","",ROUND((A3656-cfgDefasagem/1440)*48,0))</f>
        <v>0</v>
      </c>
      <c r="E3656" s="26">
        <f>IF(D3656="","",INT((D3656-cfgDeslocamento)/4))</f>
        <v>0</v>
      </c>
      <c r="F3656" s="26">
        <f>IF(D3656="","",MOD(D3656-cfgDeslocamento,4)+1)</f>
        <v>0</v>
      </c>
      <c r="G3656" s="26">
        <f>IF(A3656="","",IF(AND(ISNUMBER(B3656),B3656&lt;&gt;0),1,0))</f>
        <v>0</v>
      </c>
      <c r="H3656" s="25">
        <f>IF(E3656="","",(E3656*4+3+cfgDeslocamento)/48)</f>
        <v>0</v>
      </c>
    </row>
    <row r="3657" spans="1:8">
      <c r="A3657" s="24"/>
      <c r="B3657" s="19"/>
      <c r="C3657" s="25">
        <f>IF(D3657="","",D3657/48)</f>
        <v>0</v>
      </c>
      <c r="D3657" s="26">
        <f>IF(A3657="","",ROUND((A3657-cfgDefasagem/1440)*48,0))</f>
        <v>0</v>
      </c>
      <c r="E3657" s="26">
        <f>IF(D3657="","",INT((D3657-cfgDeslocamento)/4))</f>
        <v>0</v>
      </c>
      <c r="F3657" s="26">
        <f>IF(D3657="","",MOD(D3657-cfgDeslocamento,4)+1)</f>
        <v>0</v>
      </c>
      <c r="G3657" s="26">
        <f>IF(A3657="","",IF(AND(ISNUMBER(B3657),B3657&lt;&gt;0),1,0))</f>
        <v>0</v>
      </c>
      <c r="H3657" s="25">
        <f>IF(E3657="","",(E3657*4+3+cfgDeslocamento)/48)</f>
        <v>0</v>
      </c>
    </row>
    <row r="3658" spans="1:8">
      <c r="A3658" s="24"/>
      <c r="B3658" s="19"/>
      <c r="C3658" s="25">
        <f>IF(D3658="","",D3658/48)</f>
        <v>0</v>
      </c>
      <c r="D3658" s="26">
        <f>IF(A3658="","",ROUND((A3658-cfgDefasagem/1440)*48,0))</f>
        <v>0</v>
      </c>
      <c r="E3658" s="26">
        <f>IF(D3658="","",INT((D3658-cfgDeslocamento)/4))</f>
        <v>0</v>
      </c>
      <c r="F3658" s="26">
        <f>IF(D3658="","",MOD(D3658-cfgDeslocamento,4)+1)</f>
        <v>0</v>
      </c>
      <c r="G3658" s="26">
        <f>IF(A3658="","",IF(AND(ISNUMBER(B3658),B3658&lt;&gt;0),1,0))</f>
        <v>0</v>
      </c>
      <c r="H3658" s="25">
        <f>IF(E3658="","",(E3658*4+3+cfgDeslocamento)/48)</f>
        <v>0</v>
      </c>
    </row>
    <row r="3659" spans="1:8">
      <c r="A3659" s="24"/>
      <c r="B3659" s="19"/>
      <c r="C3659" s="25">
        <f>IF(D3659="","",D3659/48)</f>
        <v>0</v>
      </c>
      <c r="D3659" s="26">
        <f>IF(A3659="","",ROUND((A3659-cfgDefasagem/1440)*48,0))</f>
        <v>0</v>
      </c>
      <c r="E3659" s="26">
        <f>IF(D3659="","",INT((D3659-cfgDeslocamento)/4))</f>
        <v>0</v>
      </c>
      <c r="F3659" s="26">
        <f>IF(D3659="","",MOD(D3659-cfgDeslocamento,4)+1)</f>
        <v>0</v>
      </c>
      <c r="G3659" s="26">
        <f>IF(A3659="","",IF(AND(ISNUMBER(B3659),B3659&lt;&gt;0),1,0))</f>
        <v>0</v>
      </c>
      <c r="H3659" s="25">
        <f>IF(E3659="","",(E3659*4+3+cfgDeslocamento)/48)</f>
        <v>0</v>
      </c>
    </row>
    <row r="3660" spans="1:8">
      <c r="A3660" s="24"/>
      <c r="B3660" s="19"/>
      <c r="C3660" s="25">
        <f>IF(D3660="","",D3660/48)</f>
        <v>0</v>
      </c>
      <c r="D3660" s="26">
        <f>IF(A3660="","",ROUND((A3660-cfgDefasagem/1440)*48,0))</f>
        <v>0</v>
      </c>
      <c r="E3660" s="26">
        <f>IF(D3660="","",INT((D3660-cfgDeslocamento)/4))</f>
        <v>0</v>
      </c>
      <c r="F3660" s="26">
        <f>IF(D3660="","",MOD(D3660-cfgDeslocamento,4)+1)</f>
        <v>0</v>
      </c>
      <c r="G3660" s="26">
        <f>IF(A3660="","",IF(AND(ISNUMBER(B3660),B3660&lt;&gt;0),1,0))</f>
        <v>0</v>
      </c>
      <c r="H3660" s="25">
        <f>IF(E3660="","",(E3660*4+3+cfgDeslocamento)/48)</f>
        <v>0</v>
      </c>
    </row>
    <row r="3661" spans="1:8">
      <c r="A3661" s="24"/>
      <c r="B3661" s="19"/>
      <c r="C3661" s="25">
        <f>IF(D3661="","",D3661/48)</f>
        <v>0</v>
      </c>
      <c r="D3661" s="26">
        <f>IF(A3661="","",ROUND((A3661-cfgDefasagem/1440)*48,0))</f>
        <v>0</v>
      </c>
      <c r="E3661" s="26">
        <f>IF(D3661="","",INT((D3661-cfgDeslocamento)/4))</f>
        <v>0</v>
      </c>
      <c r="F3661" s="26">
        <f>IF(D3661="","",MOD(D3661-cfgDeslocamento,4)+1)</f>
        <v>0</v>
      </c>
      <c r="G3661" s="26">
        <f>IF(A3661="","",IF(AND(ISNUMBER(B3661),B3661&lt;&gt;0),1,0))</f>
        <v>0</v>
      </c>
      <c r="H3661" s="25">
        <f>IF(E3661="","",(E3661*4+3+cfgDeslocamento)/48)</f>
        <v>0</v>
      </c>
    </row>
    <row r="3662" spans="1:8">
      <c r="A3662" s="24"/>
      <c r="B3662" s="19"/>
      <c r="C3662" s="25">
        <f>IF(D3662="","",D3662/48)</f>
        <v>0</v>
      </c>
      <c r="D3662" s="26">
        <f>IF(A3662="","",ROUND((A3662-cfgDefasagem/1440)*48,0))</f>
        <v>0</v>
      </c>
      <c r="E3662" s="26">
        <f>IF(D3662="","",INT((D3662-cfgDeslocamento)/4))</f>
        <v>0</v>
      </c>
      <c r="F3662" s="26">
        <f>IF(D3662="","",MOD(D3662-cfgDeslocamento,4)+1)</f>
        <v>0</v>
      </c>
      <c r="G3662" s="26">
        <f>IF(A3662="","",IF(AND(ISNUMBER(B3662),B3662&lt;&gt;0),1,0))</f>
        <v>0</v>
      </c>
      <c r="H3662" s="25">
        <f>IF(E3662="","",(E3662*4+3+cfgDeslocamento)/48)</f>
        <v>0</v>
      </c>
    </row>
    <row r="3663" spans="1:8">
      <c r="A3663" s="24"/>
      <c r="B3663" s="19"/>
      <c r="C3663" s="25">
        <f>IF(D3663="","",D3663/48)</f>
        <v>0</v>
      </c>
      <c r="D3663" s="26">
        <f>IF(A3663="","",ROUND((A3663-cfgDefasagem/1440)*48,0))</f>
        <v>0</v>
      </c>
      <c r="E3663" s="26">
        <f>IF(D3663="","",INT((D3663-cfgDeslocamento)/4))</f>
        <v>0</v>
      </c>
      <c r="F3663" s="26">
        <f>IF(D3663="","",MOD(D3663-cfgDeslocamento,4)+1)</f>
        <v>0</v>
      </c>
      <c r="G3663" s="26">
        <f>IF(A3663="","",IF(AND(ISNUMBER(B3663),B3663&lt;&gt;0),1,0))</f>
        <v>0</v>
      </c>
      <c r="H3663" s="25">
        <f>IF(E3663="","",(E3663*4+3+cfgDeslocamento)/48)</f>
        <v>0</v>
      </c>
    </row>
    <row r="3664" spans="1:8">
      <c r="A3664" s="24"/>
      <c r="B3664" s="19"/>
      <c r="C3664" s="25">
        <f>IF(D3664="","",D3664/48)</f>
        <v>0</v>
      </c>
      <c r="D3664" s="26">
        <f>IF(A3664="","",ROUND((A3664-cfgDefasagem/1440)*48,0))</f>
        <v>0</v>
      </c>
      <c r="E3664" s="26">
        <f>IF(D3664="","",INT((D3664-cfgDeslocamento)/4))</f>
        <v>0</v>
      </c>
      <c r="F3664" s="26">
        <f>IF(D3664="","",MOD(D3664-cfgDeslocamento,4)+1)</f>
        <v>0</v>
      </c>
      <c r="G3664" s="26">
        <f>IF(A3664="","",IF(AND(ISNUMBER(B3664),B3664&lt;&gt;0),1,0))</f>
        <v>0</v>
      </c>
      <c r="H3664" s="25">
        <f>IF(E3664="","",(E3664*4+3+cfgDeslocamento)/48)</f>
        <v>0</v>
      </c>
    </row>
    <row r="3665" spans="1:8">
      <c r="A3665" s="24"/>
      <c r="B3665" s="19"/>
      <c r="C3665" s="25">
        <f>IF(D3665="","",D3665/48)</f>
        <v>0</v>
      </c>
      <c r="D3665" s="26">
        <f>IF(A3665="","",ROUND((A3665-cfgDefasagem/1440)*48,0))</f>
        <v>0</v>
      </c>
      <c r="E3665" s="26">
        <f>IF(D3665="","",INT((D3665-cfgDeslocamento)/4))</f>
        <v>0</v>
      </c>
      <c r="F3665" s="26">
        <f>IF(D3665="","",MOD(D3665-cfgDeslocamento,4)+1)</f>
        <v>0</v>
      </c>
      <c r="G3665" s="26">
        <f>IF(A3665="","",IF(AND(ISNUMBER(B3665),B3665&lt;&gt;0),1,0))</f>
        <v>0</v>
      </c>
      <c r="H3665" s="25">
        <f>IF(E3665="","",(E3665*4+3+cfgDeslocamento)/48)</f>
        <v>0</v>
      </c>
    </row>
    <row r="3666" spans="1:8">
      <c r="A3666" s="24"/>
      <c r="B3666" s="19"/>
      <c r="C3666" s="25">
        <f>IF(D3666="","",D3666/48)</f>
        <v>0</v>
      </c>
      <c r="D3666" s="26">
        <f>IF(A3666="","",ROUND((A3666-cfgDefasagem/1440)*48,0))</f>
        <v>0</v>
      </c>
      <c r="E3666" s="26">
        <f>IF(D3666="","",INT((D3666-cfgDeslocamento)/4))</f>
        <v>0</v>
      </c>
      <c r="F3666" s="26">
        <f>IF(D3666="","",MOD(D3666-cfgDeslocamento,4)+1)</f>
        <v>0</v>
      </c>
      <c r="G3666" s="26">
        <f>IF(A3666="","",IF(AND(ISNUMBER(B3666),B3666&lt;&gt;0),1,0))</f>
        <v>0</v>
      </c>
      <c r="H3666" s="25">
        <f>IF(E3666="","",(E3666*4+3+cfgDeslocamento)/48)</f>
        <v>0</v>
      </c>
    </row>
    <row r="3667" spans="1:8">
      <c r="A3667" s="24"/>
      <c r="B3667" s="19"/>
      <c r="C3667" s="25">
        <f>IF(D3667="","",D3667/48)</f>
        <v>0</v>
      </c>
      <c r="D3667" s="26">
        <f>IF(A3667="","",ROUND((A3667-cfgDefasagem/1440)*48,0))</f>
        <v>0</v>
      </c>
      <c r="E3667" s="26">
        <f>IF(D3667="","",INT((D3667-cfgDeslocamento)/4))</f>
        <v>0</v>
      </c>
      <c r="F3667" s="26">
        <f>IF(D3667="","",MOD(D3667-cfgDeslocamento,4)+1)</f>
        <v>0</v>
      </c>
      <c r="G3667" s="26">
        <f>IF(A3667="","",IF(AND(ISNUMBER(B3667),B3667&lt;&gt;0),1,0))</f>
        <v>0</v>
      </c>
      <c r="H3667" s="25">
        <f>IF(E3667="","",(E3667*4+3+cfgDeslocamento)/48)</f>
        <v>0</v>
      </c>
    </row>
    <row r="3668" spans="1:8">
      <c r="A3668" s="24"/>
      <c r="B3668" s="19"/>
      <c r="C3668" s="25">
        <f>IF(D3668="","",D3668/48)</f>
        <v>0</v>
      </c>
      <c r="D3668" s="26">
        <f>IF(A3668="","",ROUND((A3668-cfgDefasagem/1440)*48,0))</f>
        <v>0</v>
      </c>
      <c r="E3668" s="26">
        <f>IF(D3668="","",INT((D3668-cfgDeslocamento)/4))</f>
        <v>0</v>
      </c>
      <c r="F3668" s="26">
        <f>IF(D3668="","",MOD(D3668-cfgDeslocamento,4)+1)</f>
        <v>0</v>
      </c>
      <c r="G3668" s="26">
        <f>IF(A3668="","",IF(AND(ISNUMBER(B3668),B3668&lt;&gt;0),1,0))</f>
        <v>0</v>
      </c>
      <c r="H3668" s="25">
        <f>IF(E3668="","",(E3668*4+3+cfgDeslocamento)/48)</f>
        <v>0</v>
      </c>
    </row>
    <row r="3669" spans="1:8">
      <c r="A3669" s="24"/>
      <c r="B3669" s="19"/>
      <c r="C3669" s="25">
        <f>IF(D3669="","",D3669/48)</f>
        <v>0</v>
      </c>
      <c r="D3669" s="26">
        <f>IF(A3669="","",ROUND((A3669-cfgDefasagem/1440)*48,0))</f>
        <v>0</v>
      </c>
      <c r="E3669" s="26">
        <f>IF(D3669="","",INT((D3669-cfgDeslocamento)/4))</f>
        <v>0</v>
      </c>
      <c r="F3669" s="26">
        <f>IF(D3669="","",MOD(D3669-cfgDeslocamento,4)+1)</f>
        <v>0</v>
      </c>
      <c r="G3669" s="26">
        <f>IF(A3669="","",IF(AND(ISNUMBER(B3669),B3669&lt;&gt;0),1,0))</f>
        <v>0</v>
      </c>
      <c r="H3669" s="25">
        <f>IF(E3669="","",(E3669*4+3+cfgDeslocamento)/48)</f>
        <v>0</v>
      </c>
    </row>
    <row r="3670" spans="1:8">
      <c r="A3670" s="24"/>
      <c r="B3670" s="19"/>
      <c r="C3670" s="25">
        <f>IF(D3670="","",D3670/48)</f>
        <v>0</v>
      </c>
      <c r="D3670" s="26">
        <f>IF(A3670="","",ROUND((A3670-cfgDefasagem/1440)*48,0))</f>
        <v>0</v>
      </c>
      <c r="E3670" s="26">
        <f>IF(D3670="","",INT((D3670-cfgDeslocamento)/4))</f>
        <v>0</v>
      </c>
      <c r="F3670" s="26">
        <f>IF(D3670="","",MOD(D3670-cfgDeslocamento,4)+1)</f>
        <v>0</v>
      </c>
      <c r="G3670" s="26">
        <f>IF(A3670="","",IF(AND(ISNUMBER(B3670),B3670&lt;&gt;0),1,0))</f>
        <v>0</v>
      </c>
      <c r="H3670" s="25">
        <f>IF(E3670="","",(E3670*4+3+cfgDeslocamento)/48)</f>
        <v>0</v>
      </c>
    </row>
    <row r="3671" spans="1:8">
      <c r="A3671" s="24"/>
      <c r="B3671" s="19"/>
      <c r="C3671" s="25">
        <f>IF(D3671="","",D3671/48)</f>
        <v>0</v>
      </c>
      <c r="D3671" s="26">
        <f>IF(A3671="","",ROUND((A3671-cfgDefasagem/1440)*48,0))</f>
        <v>0</v>
      </c>
      <c r="E3671" s="26">
        <f>IF(D3671="","",INT((D3671-cfgDeslocamento)/4))</f>
        <v>0</v>
      </c>
      <c r="F3671" s="26">
        <f>IF(D3671="","",MOD(D3671-cfgDeslocamento,4)+1)</f>
        <v>0</v>
      </c>
      <c r="G3671" s="26">
        <f>IF(A3671="","",IF(AND(ISNUMBER(B3671),B3671&lt;&gt;0),1,0))</f>
        <v>0</v>
      </c>
      <c r="H3671" s="25">
        <f>IF(E3671="","",(E3671*4+3+cfgDeslocamento)/48)</f>
        <v>0</v>
      </c>
    </row>
    <row r="3672" spans="1:8">
      <c r="A3672" s="24"/>
      <c r="B3672" s="19"/>
      <c r="C3672" s="25">
        <f>IF(D3672="","",D3672/48)</f>
        <v>0</v>
      </c>
      <c r="D3672" s="26">
        <f>IF(A3672="","",ROUND((A3672-cfgDefasagem/1440)*48,0))</f>
        <v>0</v>
      </c>
      <c r="E3672" s="26">
        <f>IF(D3672="","",INT((D3672-cfgDeslocamento)/4))</f>
        <v>0</v>
      </c>
      <c r="F3672" s="26">
        <f>IF(D3672="","",MOD(D3672-cfgDeslocamento,4)+1)</f>
        <v>0</v>
      </c>
      <c r="G3672" s="26">
        <f>IF(A3672="","",IF(AND(ISNUMBER(B3672),B3672&lt;&gt;0),1,0))</f>
        <v>0</v>
      </c>
      <c r="H3672" s="25">
        <f>IF(E3672="","",(E3672*4+3+cfgDeslocamento)/48)</f>
        <v>0</v>
      </c>
    </row>
    <row r="3673" spans="1:8">
      <c r="A3673" s="24"/>
      <c r="B3673" s="19"/>
      <c r="C3673" s="25">
        <f>IF(D3673="","",D3673/48)</f>
        <v>0</v>
      </c>
      <c r="D3673" s="26">
        <f>IF(A3673="","",ROUND((A3673-cfgDefasagem/1440)*48,0))</f>
        <v>0</v>
      </c>
      <c r="E3673" s="26">
        <f>IF(D3673="","",INT((D3673-cfgDeslocamento)/4))</f>
        <v>0</v>
      </c>
      <c r="F3673" s="26">
        <f>IF(D3673="","",MOD(D3673-cfgDeslocamento,4)+1)</f>
        <v>0</v>
      </c>
      <c r="G3673" s="26">
        <f>IF(A3673="","",IF(AND(ISNUMBER(B3673),B3673&lt;&gt;0),1,0))</f>
        <v>0</v>
      </c>
      <c r="H3673" s="25">
        <f>IF(E3673="","",(E3673*4+3+cfgDeslocamento)/48)</f>
        <v>0</v>
      </c>
    </row>
    <row r="3674" spans="1:8">
      <c r="A3674" s="24"/>
      <c r="B3674" s="19"/>
      <c r="C3674" s="25">
        <f>IF(D3674="","",D3674/48)</f>
        <v>0</v>
      </c>
      <c r="D3674" s="26">
        <f>IF(A3674="","",ROUND((A3674-cfgDefasagem/1440)*48,0))</f>
        <v>0</v>
      </c>
      <c r="E3674" s="26">
        <f>IF(D3674="","",INT((D3674-cfgDeslocamento)/4))</f>
        <v>0</v>
      </c>
      <c r="F3674" s="26">
        <f>IF(D3674="","",MOD(D3674-cfgDeslocamento,4)+1)</f>
        <v>0</v>
      </c>
      <c r="G3674" s="26">
        <f>IF(A3674="","",IF(AND(ISNUMBER(B3674),B3674&lt;&gt;0),1,0))</f>
        <v>0</v>
      </c>
      <c r="H3674" s="25">
        <f>IF(E3674="","",(E3674*4+3+cfgDeslocamento)/48)</f>
        <v>0</v>
      </c>
    </row>
    <row r="3675" spans="1:8">
      <c r="A3675" s="24"/>
      <c r="B3675" s="19"/>
      <c r="C3675" s="25">
        <f>IF(D3675="","",D3675/48)</f>
        <v>0</v>
      </c>
      <c r="D3675" s="26">
        <f>IF(A3675="","",ROUND((A3675-cfgDefasagem/1440)*48,0))</f>
        <v>0</v>
      </c>
      <c r="E3675" s="26">
        <f>IF(D3675="","",INT((D3675-cfgDeslocamento)/4))</f>
        <v>0</v>
      </c>
      <c r="F3675" s="26">
        <f>IF(D3675="","",MOD(D3675-cfgDeslocamento,4)+1)</f>
        <v>0</v>
      </c>
      <c r="G3675" s="26">
        <f>IF(A3675="","",IF(AND(ISNUMBER(B3675),B3675&lt;&gt;0),1,0))</f>
        <v>0</v>
      </c>
      <c r="H3675" s="25">
        <f>IF(E3675="","",(E3675*4+3+cfgDeslocamento)/48)</f>
        <v>0</v>
      </c>
    </row>
    <row r="3676" spans="1:8">
      <c r="A3676" s="24"/>
      <c r="B3676" s="19"/>
      <c r="C3676" s="25">
        <f>IF(D3676="","",D3676/48)</f>
        <v>0</v>
      </c>
      <c r="D3676" s="26">
        <f>IF(A3676="","",ROUND((A3676-cfgDefasagem/1440)*48,0))</f>
        <v>0</v>
      </c>
      <c r="E3676" s="26">
        <f>IF(D3676="","",INT((D3676-cfgDeslocamento)/4))</f>
        <v>0</v>
      </c>
      <c r="F3676" s="26">
        <f>IF(D3676="","",MOD(D3676-cfgDeslocamento,4)+1)</f>
        <v>0</v>
      </c>
      <c r="G3676" s="26">
        <f>IF(A3676="","",IF(AND(ISNUMBER(B3676),B3676&lt;&gt;0),1,0))</f>
        <v>0</v>
      </c>
      <c r="H3676" s="25">
        <f>IF(E3676="","",(E3676*4+3+cfgDeslocamento)/48)</f>
        <v>0</v>
      </c>
    </row>
    <row r="3677" spans="1:8">
      <c r="A3677" s="24"/>
      <c r="B3677" s="19"/>
      <c r="C3677" s="25">
        <f>IF(D3677="","",D3677/48)</f>
        <v>0</v>
      </c>
      <c r="D3677" s="26">
        <f>IF(A3677="","",ROUND((A3677-cfgDefasagem/1440)*48,0))</f>
        <v>0</v>
      </c>
      <c r="E3677" s="26">
        <f>IF(D3677="","",INT((D3677-cfgDeslocamento)/4))</f>
        <v>0</v>
      </c>
      <c r="F3677" s="26">
        <f>IF(D3677="","",MOD(D3677-cfgDeslocamento,4)+1)</f>
        <v>0</v>
      </c>
      <c r="G3677" s="26">
        <f>IF(A3677="","",IF(AND(ISNUMBER(B3677),B3677&lt;&gt;0),1,0))</f>
        <v>0</v>
      </c>
      <c r="H3677" s="25">
        <f>IF(E3677="","",(E3677*4+3+cfgDeslocamento)/48)</f>
        <v>0</v>
      </c>
    </row>
    <row r="3678" spans="1:8">
      <c r="A3678" s="24"/>
      <c r="B3678" s="19"/>
      <c r="C3678" s="25">
        <f>IF(D3678="","",D3678/48)</f>
        <v>0</v>
      </c>
      <c r="D3678" s="26">
        <f>IF(A3678="","",ROUND((A3678-cfgDefasagem/1440)*48,0))</f>
        <v>0</v>
      </c>
      <c r="E3678" s="26">
        <f>IF(D3678="","",INT((D3678-cfgDeslocamento)/4))</f>
        <v>0</v>
      </c>
      <c r="F3678" s="26">
        <f>IF(D3678="","",MOD(D3678-cfgDeslocamento,4)+1)</f>
        <v>0</v>
      </c>
      <c r="G3678" s="26">
        <f>IF(A3678="","",IF(AND(ISNUMBER(B3678),B3678&lt;&gt;0),1,0))</f>
        <v>0</v>
      </c>
      <c r="H3678" s="25">
        <f>IF(E3678="","",(E3678*4+3+cfgDeslocamento)/48)</f>
        <v>0</v>
      </c>
    </row>
    <row r="3679" spans="1:8">
      <c r="A3679" s="24"/>
      <c r="B3679" s="19"/>
      <c r="C3679" s="25">
        <f>IF(D3679="","",D3679/48)</f>
        <v>0</v>
      </c>
      <c r="D3679" s="26">
        <f>IF(A3679="","",ROUND((A3679-cfgDefasagem/1440)*48,0))</f>
        <v>0</v>
      </c>
      <c r="E3679" s="26">
        <f>IF(D3679="","",INT((D3679-cfgDeslocamento)/4))</f>
        <v>0</v>
      </c>
      <c r="F3679" s="26">
        <f>IF(D3679="","",MOD(D3679-cfgDeslocamento,4)+1)</f>
        <v>0</v>
      </c>
      <c r="G3679" s="26">
        <f>IF(A3679="","",IF(AND(ISNUMBER(B3679),B3679&lt;&gt;0),1,0))</f>
        <v>0</v>
      </c>
      <c r="H3679" s="25">
        <f>IF(E3679="","",(E3679*4+3+cfgDeslocamento)/48)</f>
        <v>0</v>
      </c>
    </row>
    <row r="3680" spans="1:8">
      <c r="A3680" s="24"/>
      <c r="B3680" s="19"/>
      <c r="C3680" s="25">
        <f>IF(D3680="","",D3680/48)</f>
        <v>0</v>
      </c>
      <c r="D3680" s="26">
        <f>IF(A3680="","",ROUND((A3680-cfgDefasagem/1440)*48,0))</f>
        <v>0</v>
      </c>
      <c r="E3680" s="26">
        <f>IF(D3680="","",INT((D3680-cfgDeslocamento)/4))</f>
        <v>0</v>
      </c>
      <c r="F3680" s="26">
        <f>IF(D3680="","",MOD(D3680-cfgDeslocamento,4)+1)</f>
        <v>0</v>
      </c>
      <c r="G3680" s="26">
        <f>IF(A3680="","",IF(AND(ISNUMBER(B3680),B3680&lt;&gt;0),1,0))</f>
        <v>0</v>
      </c>
      <c r="H3680" s="25">
        <f>IF(E3680="","",(E3680*4+3+cfgDeslocamento)/48)</f>
        <v>0</v>
      </c>
    </row>
    <row r="3681" spans="1:8">
      <c r="A3681" s="24"/>
      <c r="B3681" s="19"/>
      <c r="C3681" s="25">
        <f>IF(D3681="","",D3681/48)</f>
        <v>0</v>
      </c>
      <c r="D3681" s="26">
        <f>IF(A3681="","",ROUND((A3681-cfgDefasagem/1440)*48,0))</f>
        <v>0</v>
      </c>
      <c r="E3681" s="26">
        <f>IF(D3681="","",INT((D3681-cfgDeslocamento)/4))</f>
        <v>0</v>
      </c>
      <c r="F3681" s="26">
        <f>IF(D3681="","",MOD(D3681-cfgDeslocamento,4)+1)</f>
        <v>0</v>
      </c>
      <c r="G3681" s="26">
        <f>IF(A3681="","",IF(AND(ISNUMBER(B3681),B3681&lt;&gt;0),1,0))</f>
        <v>0</v>
      </c>
      <c r="H3681" s="25">
        <f>IF(E3681="","",(E3681*4+3+cfgDeslocamento)/48)</f>
        <v>0</v>
      </c>
    </row>
    <row r="3682" spans="1:8">
      <c r="A3682" s="24"/>
      <c r="B3682" s="19"/>
      <c r="C3682" s="25">
        <f>IF(D3682="","",D3682/48)</f>
        <v>0</v>
      </c>
      <c r="D3682" s="26">
        <f>IF(A3682="","",ROUND((A3682-cfgDefasagem/1440)*48,0))</f>
        <v>0</v>
      </c>
      <c r="E3682" s="26">
        <f>IF(D3682="","",INT((D3682-cfgDeslocamento)/4))</f>
        <v>0</v>
      </c>
      <c r="F3682" s="26">
        <f>IF(D3682="","",MOD(D3682-cfgDeslocamento,4)+1)</f>
        <v>0</v>
      </c>
      <c r="G3682" s="26">
        <f>IF(A3682="","",IF(AND(ISNUMBER(B3682),B3682&lt;&gt;0),1,0))</f>
        <v>0</v>
      </c>
      <c r="H3682" s="25">
        <f>IF(E3682="","",(E3682*4+3+cfgDeslocamento)/48)</f>
        <v>0</v>
      </c>
    </row>
    <row r="3683" spans="1:8">
      <c r="A3683" s="24"/>
      <c r="B3683" s="19"/>
      <c r="C3683" s="25">
        <f>IF(D3683="","",D3683/48)</f>
        <v>0</v>
      </c>
      <c r="D3683" s="26">
        <f>IF(A3683="","",ROUND((A3683-cfgDefasagem/1440)*48,0))</f>
        <v>0</v>
      </c>
      <c r="E3683" s="26">
        <f>IF(D3683="","",INT((D3683-cfgDeslocamento)/4))</f>
        <v>0</v>
      </c>
      <c r="F3683" s="26">
        <f>IF(D3683="","",MOD(D3683-cfgDeslocamento,4)+1)</f>
        <v>0</v>
      </c>
      <c r="G3683" s="26">
        <f>IF(A3683="","",IF(AND(ISNUMBER(B3683),B3683&lt;&gt;0),1,0))</f>
        <v>0</v>
      </c>
      <c r="H3683" s="25">
        <f>IF(E3683="","",(E3683*4+3+cfgDeslocamento)/48)</f>
        <v>0</v>
      </c>
    </row>
    <row r="3684" spans="1:8">
      <c r="A3684" s="24"/>
      <c r="B3684" s="19"/>
      <c r="C3684" s="25">
        <f>IF(D3684="","",D3684/48)</f>
        <v>0</v>
      </c>
      <c r="D3684" s="26">
        <f>IF(A3684="","",ROUND((A3684-cfgDefasagem/1440)*48,0))</f>
        <v>0</v>
      </c>
      <c r="E3684" s="26">
        <f>IF(D3684="","",INT((D3684-cfgDeslocamento)/4))</f>
        <v>0</v>
      </c>
      <c r="F3684" s="26">
        <f>IF(D3684="","",MOD(D3684-cfgDeslocamento,4)+1)</f>
        <v>0</v>
      </c>
      <c r="G3684" s="26">
        <f>IF(A3684="","",IF(AND(ISNUMBER(B3684),B3684&lt;&gt;0),1,0))</f>
        <v>0</v>
      </c>
      <c r="H3684" s="25">
        <f>IF(E3684="","",(E3684*4+3+cfgDeslocamento)/48)</f>
        <v>0</v>
      </c>
    </row>
    <row r="3685" spans="1:8">
      <c r="A3685" s="24"/>
      <c r="B3685" s="19"/>
      <c r="C3685" s="25">
        <f>IF(D3685="","",D3685/48)</f>
        <v>0</v>
      </c>
      <c r="D3685" s="26">
        <f>IF(A3685="","",ROUND((A3685-cfgDefasagem/1440)*48,0))</f>
        <v>0</v>
      </c>
      <c r="E3685" s="26">
        <f>IF(D3685="","",INT((D3685-cfgDeslocamento)/4))</f>
        <v>0</v>
      </c>
      <c r="F3685" s="26">
        <f>IF(D3685="","",MOD(D3685-cfgDeslocamento,4)+1)</f>
        <v>0</v>
      </c>
      <c r="G3685" s="26">
        <f>IF(A3685="","",IF(AND(ISNUMBER(B3685),B3685&lt;&gt;0),1,0))</f>
        <v>0</v>
      </c>
      <c r="H3685" s="25">
        <f>IF(E3685="","",(E3685*4+3+cfgDeslocamento)/48)</f>
        <v>0</v>
      </c>
    </row>
    <row r="3686" spans="1:8">
      <c r="A3686" s="24"/>
      <c r="B3686" s="19"/>
      <c r="C3686" s="25">
        <f>IF(D3686="","",D3686/48)</f>
        <v>0</v>
      </c>
      <c r="D3686" s="26">
        <f>IF(A3686="","",ROUND((A3686-cfgDefasagem/1440)*48,0))</f>
        <v>0</v>
      </c>
      <c r="E3686" s="26">
        <f>IF(D3686="","",INT((D3686-cfgDeslocamento)/4))</f>
        <v>0</v>
      </c>
      <c r="F3686" s="26">
        <f>IF(D3686="","",MOD(D3686-cfgDeslocamento,4)+1)</f>
        <v>0</v>
      </c>
      <c r="G3686" s="26">
        <f>IF(A3686="","",IF(AND(ISNUMBER(B3686),B3686&lt;&gt;0),1,0))</f>
        <v>0</v>
      </c>
      <c r="H3686" s="25">
        <f>IF(E3686="","",(E3686*4+3+cfgDeslocamento)/48)</f>
        <v>0</v>
      </c>
    </row>
    <row r="3687" spans="1:8">
      <c r="A3687" s="24"/>
      <c r="B3687" s="19"/>
      <c r="C3687" s="25">
        <f>IF(D3687="","",D3687/48)</f>
        <v>0</v>
      </c>
      <c r="D3687" s="26">
        <f>IF(A3687="","",ROUND((A3687-cfgDefasagem/1440)*48,0))</f>
        <v>0</v>
      </c>
      <c r="E3687" s="26">
        <f>IF(D3687="","",INT((D3687-cfgDeslocamento)/4))</f>
        <v>0</v>
      </c>
      <c r="F3687" s="26">
        <f>IF(D3687="","",MOD(D3687-cfgDeslocamento,4)+1)</f>
        <v>0</v>
      </c>
      <c r="G3687" s="26">
        <f>IF(A3687="","",IF(AND(ISNUMBER(B3687),B3687&lt;&gt;0),1,0))</f>
        <v>0</v>
      </c>
      <c r="H3687" s="25">
        <f>IF(E3687="","",(E3687*4+3+cfgDeslocamento)/48)</f>
        <v>0</v>
      </c>
    </row>
    <row r="3688" spans="1:8">
      <c r="A3688" s="24"/>
      <c r="B3688" s="19"/>
      <c r="C3688" s="25">
        <f>IF(D3688="","",D3688/48)</f>
        <v>0</v>
      </c>
      <c r="D3688" s="26">
        <f>IF(A3688="","",ROUND((A3688-cfgDefasagem/1440)*48,0))</f>
        <v>0</v>
      </c>
      <c r="E3688" s="26">
        <f>IF(D3688="","",INT((D3688-cfgDeslocamento)/4))</f>
        <v>0</v>
      </c>
      <c r="F3688" s="26">
        <f>IF(D3688="","",MOD(D3688-cfgDeslocamento,4)+1)</f>
        <v>0</v>
      </c>
      <c r="G3688" s="26">
        <f>IF(A3688="","",IF(AND(ISNUMBER(B3688),B3688&lt;&gt;0),1,0))</f>
        <v>0</v>
      </c>
      <c r="H3688" s="25">
        <f>IF(E3688="","",(E3688*4+3+cfgDeslocamento)/48)</f>
        <v>0</v>
      </c>
    </row>
    <row r="3689" spans="1:8">
      <c r="A3689" s="24"/>
      <c r="B3689" s="19"/>
      <c r="C3689" s="25">
        <f>IF(D3689="","",D3689/48)</f>
        <v>0</v>
      </c>
      <c r="D3689" s="26">
        <f>IF(A3689="","",ROUND((A3689-cfgDefasagem/1440)*48,0))</f>
        <v>0</v>
      </c>
      <c r="E3689" s="26">
        <f>IF(D3689="","",INT((D3689-cfgDeslocamento)/4))</f>
        <v>0</v>
      </c>
      <c r="F3689" s="26">
        <f>IF(D3689="","",MOD(D3689-cfgDeslocamento,4)+1)</f>
        <v>0</v>
      </c>
      <c r="G3689" s="26">
        <f>IF(A3689="","",IF(AND(ISNUMBER(B3689),B3689&lt;&gt;0),1,0))</f>
        <v>0</v>
      </c>
      <c r="H3689" s="25">
        <f>IF(E3689="","",(E3689*4+3+cfgDeslocamento)/48)</f>
        <v>0</v>
      </c>
    </row>
    <row r="3690" spans="1:8">
      <c r="A3690" s="24"/>
      <c r="B3690" s="19"/>
      <c r="C3690" s="25">
        <f>IF(D3690="","",D3690/48)</f>
        <v>0</v>
      </c>
      <c r="D3690" s="26">
        <f>IF(A3690="","",ROUND((A3690-cfgDefasagem/1440)*48,0))</f>
        <v>0</v>
      </c>
      <c r="E3690" s="26">
        <f>IF(D3690="","",INT((D3690-cfgDeslocamento)/4))</f>
        <v>0</v>
      </c>
      <c r="F3690" s="26">
        <f>IF(D3690="","",MOD(D3690-cfgDeslocamento,4)+1)</f>
        <v>0</v>
      </c>
      <c r="G3690" s="26">
        <f>IF(A3690="","",IF(AND(ISNUMBER(B3690),B3690&lt;&gt;0),1,0))</f>
        <v>0</v>
      </c>
      <c r="H3690" s="25">
        <f>IF(E3690="","",(E3690*4+3+cfgDeslocamento)/48)</f>
        <v>0</v>
      </c>
    </row>
    <row r="3691" spans="1:8">
      <c r="A3691" s="24"/>
      <c r="B3691" s="19"/>
      <c r="C3691" s="25">
        <f>IF(D3691="","",D3691/48)</f>
        <v>0</v>
      </c>
      <c r="D3691" s="26">
        <f>IF(A3691="","",ROUND((A3691-cfgDefasagem/1440)*48,0))</f>
        <v>0</v>
      </c>
      <c r="E3691" s="26">
        <f>IF(D3691="","",INT((D3691-cfgDeslocamento)/4))</f>
        <v>0</v>
      </c>
      <c r="F3691" s="26">
        <f>IF(D3691="","",MOD(D3691-cfgDeslocamento,4)+1)</f>
        <v>0</v>
      </c>
      <c r="G3691" s="26">
        <f>IF(A3691="","",IF(AND(ISNUMBER(B3691),B3691&lt;&gt;0),1,0))</f>
        <v>0</v>
      </c>
      <c r="H3691" s="25">
        <f>IF(E3691="","",(E3691*4+3+cfgDeslocamento)/48)</f>
        <v>0</v>
      </c>
    </row>
    <row r="3692" spans="1:8">
      <c r="A3692" s="24"/>
      <c r="B3692" s="19"/>
      <c r="C3692" s="25">
        <f>IF(D3692="","",D3692/48)</f>
        <v>0</v>
      </c>
      <c r="D3692" s="26">
        <f>IF(A3692="","",ROUND((A3692-cfgDefasagem/1440)*48,0))</f>
        <v>0</v>
      </c>
      <c r="E3692" s="26">
        <f>IF(D3692="","",INT((D3692-cfgDeslocamento)/4))</f>
        <v>0</v>
      </c>
      <c r="F3692" s="26">
        <f>IF(D3692="","",MOD(D3692-cfgDeslocamento,4)+1)</f>
        <v>0</v>
      </c>
      <c r="G3692" s="26">
        <f>IF(A3692="","",IF(AND(ISNUMBER(B3692),B3692&lt;&gt;0),1,0))</f>
        <v>0</v>
      </c>
      <c r="H3692" s="25">
        <f>IF(E3692="","",(E3692*4+3+cfgDeslocamento)/48)</f>
        <v>0</v>
      </c>
    </row>
    <row r="3693" spans="1:8">
      <c r="A3693" s="24"/>
      <c r="B3693" s="19"/>
      <c r="C3693" s="25">
        <f>IF(D3693="","",D3693/48)</f>
        <v>0</v>
      </c>
      <c r="D3693" s="26">
        <f>IF(A3693="","",ROUND((A3693-cfgDefasagem/1440)*48,0))</f>
        <v>0</v>
      </c>
      <c r="E3693" s="26">
        <f>IF(D3693="","",INT((D3693-cfgDeslocamento)/4))</f>
        <v>0</v>
      </c>
      <c r="F3693" s="26">
        <f>IF(D3693="","",MOD(D3693-cfgDeslocamento,4)+1)</f>
        <v>0</v>
      </c>
      <c r="G3693" s="26">
        <f>IF(A3693="","",IF(AND(ISNUMBER(B3693),B3693&lt;&gt;0),1,0))</f>
        <v>0</v>
      </c>
      <c r="H3693" s="25">
        <f>IF(E3693="","",(E3693*4+3+cfgDeslocamento)/48)</f>
        <v>0</v>
      </c>
    </row>
    <row r="3694" spans="1:8">
      <c r="A3694" s="24"/>
      <c r="B3694" s="19"/>
      <c r="C3694" s="25">
        <f>IF(D3694="","",D3694/48)</f>
        <v>0</v>
      </c>
      <c r="D3694" s="26">
        <f>IF(A3694="","",ROUND((A3694-cfgDefasagem/1440)*48,0))</f>
        <v>0</v>
      </c>
      <c r="E3694" s="26">
        <f>IF(D3694="","",INT((D3694-cfgDeslocamento)/4))</f>
        <v>0</v>
      </c>
      <c r="F3694" s="26">
        <f>IF(D3694="","",MOD(D3694-cfgDeslocamento,4)+1)</f>
        <v>0</v>
      </c>
      <c r="G3694" s="26">
        <f>IF(A3694="","",IF(AND(ISNUMBER(B3694),B3694&lt;&gt;0),1,0))</f>
        <v>0</v>
      </c>
      <c r="H3694" s="25">
        <f>IF(E3694="","",(E3694*4+3+cfgDeslocamento)/48)</f>
        <v>0</v>
      </c>
    </row>
    <row r="3695" spans="1:8">
      <c r="A3695" s="24"/>
      <c r="B3695" s="19"/>
      <c r="C3695" s="25">
        <f>IF(D3695="","",D3695/48)</f>
        <v>0</v>
      </c>
      <c r="D3695" s="26">
        <f>IF(A3695="","",ROUND((A3695-cfgDefasagem/1440)*48,0))</f>
        <v>0</v>
      </c>
      <c r="E3695" s="26">
        <f>IF(D3695="","",INT((D3695-cfgDeslocamento)/4))</f>
        <v>0</v>
      </c>
      <c r="F3695" s="26">
        <f>IF(D3695="","",MOD(D3695-cfgDeslocamento,4)+1)</f>
        <v>0</v>
      </c>
      <c r="G3695" s="26">
        <f>IF(A3695="","",IF(AND(ISNUMBER(B3695),B3695&lt;&gt;0),1,0))</f>
        <v>0</v>
      </c>
      <c r="H3695" s="25">
        <f>IF(E3695="","",(E3695*4+3+cfgDeslocamento)/48)</f>
        <v>0</v>
      </c>
    </row>
    <row r="3696" spans="1:8">
      <c r="A3696" s="24"/>
      <c r="B3696" s="19"/>
      <c r="C3696" s="25">
        <f>IF(D3696="","",D3696/48)</f>
        <v>0</v>
      </c>
      <c r="D3696" s="26">
        <f>IF(A3696="","",ROUND((A3696-cfgDefasagem/1440)*48,0))</f>
        <v>0</v>
      </c>
      <c r="E3696" s="26">
        <f>IF(D3696="","",INT((D3696-cfgDeslocamento)/4))</f>
        <v>0</v>
      </c>
      <c r="F3696" s="26">
        <f>IF(D3696="","",MOD(D3696-cfgDeslocamento,4)+1)</f>
        <v>0</v>
      </c>
      <c r="G3696" s="26">
        <f>IF(A3696="","",IF(AND(ISNUMBER(B3696),B3696&lt;&gt;0),1,0))</f>
        <v>0</v>
      </c>
      <c r="H3696" s="25">
        <f>IF(E3696="","",(E3696*4+3+cfgDeslocamento)/48)</f>
        <v>0</v>
      </c>
    </row>
    <row r="3697" spans="1:8">
      <c r="A3697" s="24"/>
      <c r="B3697" s="19"/>
      <c r="C3697" s="25">
        <f>IF(D3697="","",D3697/48)</f>
        <v>0</v>
      </c>
      <c r="D3697" s="26">
        <f>IF(A3697="","",ROUND((A3697-cfgDefasagem/1440)*48,0))</f>
        <v>0</v>
      </c>
      <c r="E3697" s="26">
        <f>IF(D3697="","",INT((D3697-cfgDeslocamento)/4))</f>
        <v>0</v>
      </c>
      <c r="F3697" s="26">
        <f>IF(D3697="","",MOD(D3697-cfgDeslocamento,4)+1)</f>
        <v>0</v>
      </c>
      <c r="G3697" s="26">
        <f>IF(A3697="","",IF(AND(ISNUMBER(B3697),B3697&lt;&gt;0),1,0))</f>
        <v>0</v>
      </c>
      <c r="H3697" s="25">
        <f>IF(E3697="","",(E3697*4+3+cfgDeslocamento)/48)</f>
        <v>0</v>
      </c>
    </row>
    <row r="3698" spans="1:8">
      <c r="A3698" s="24"/>
      <c r="B3698" s="19"/>
      <c r="C3698" s="25">
        <f>IF(D3698="","",D3698/48)</f>
        <v>0</v>
      </c>
      <c r="D3698" s="26">
        <f>IF(A3698="","",ROUND((A3698-cfgDefasagem/1440)*48,0))</f>
        <v>0</v>
      </c>
      <c r="E3698" s="26">
        <f>IF(D3698="","",INT((D3698-cfgDeslocamento)/4))</f>
        <v>0</v>
      </c>
      <c r="F3698" s="26">
        <f>IF(D3698="","",MOD(D3698-cfgDeslocamento,4)+1)</f>
        <v>0</v>
      </c>
      <c r="G3698" s="26">
        <f>IF(A3698="","",IF(AND(ISNUMBER(B3698),B3698&lt;&gt;0),1,0))</f>
        <v>0</v>
      </c>
      <c r="H3698" s="25">
        <f>IF(E3698="","",(E3698*4+3+cfgDeslocamento)/48)</f>
        <v>0</v>
      </c>
    </row>
    <row r="3699" spans="1:8">
      <c r="A3699" s="24"/>
      <c r="B3699" s="19"/>
      <c r="C3699" s="25">
        <f>IF(D3699="","",D3699/48)</f>
        <v>0</v>
      </c>
      <c r="D3699" s="26">
        <f>IF(A3699="","",ROUND((A3699-cfgDefasagem/1440)*48,0))</f>
        <v>0</v>
      </c>
      <c r="E3699" s="26">
        <f>IF(D3699="","",INT((D3699-cfgDeslocamento)/4))</f>
        <v>0</v>
      </c>
      <c r="F3699" s="26">
        <f>IF(D3699="","",MOD(D3699-cfgDeslocamento,4)+1)</f>
        <v>0</v>
      </c>
      <c r="G3699" s="26">
        <f>IF(A3699="","",IF(AND(ISNUMBER(B3699),B3699&lt;&gt;0),1,0))</f>
        <v>0</v>
      </c>
      <c r="H3699" s="25">
        <f>IF(E3699="","",(E3699*4+3+cfgDeslocamento)/48)</f>
        <v>0</v>
      </c>
    </row>
    <row r="3700" spans="1:8">
      <c r="A3700" s="24"/>
      <c r="B3700" s="19"/>
      <c r="C3700" s="25">
        <f>IF(D3700="","",D3700/48)</f>
        <v>0</v>
      </c>
      <c r="D3700" s="26">
        <f>IF(A3700="","",ROUND((A3700-cfgDefasagem/1440)*48,0))</f>
        <v>0</v>
      </c>
      <c r="E3700" s="26">
        <f>IF(D3700="","",INT((D3700-cfgDeslocamento)/4))</f>
        <v>0</v>
      </c>
      <c r="F3700" s="26">
        <f>IF(D3700="","",MOD(D3700-cfgDeslocamento,4)+1)</f>
        <v>0</v>
      </c>
      <c r="G3700" s="26">
        <f>IF(A3700="","",IF(AND(ISNUMBER(B3700),B3700&lt;&gt;0),1,0))</f>
        <v>0</v>
      </c>
      <c r="H3700" s="25">
        <f>IF(E3700="","",(E3700*4+3+cfgDeslocamento)/48)</f>
        <v>0</v>
      </c>
    </row>
    <row r="3701" spans="1:8">
      <c r="A3701" s="24"/>
      <c r="B3701" s="19"/>
      <c r="C3701" s="25">
        <f>IF(D3701="","",D3701/48)</f>
        <v>0</v>
      </c>
      <c r="D3701" s="26">
        <f>IF(A3701="","",ROUND((A3701-cfgDefasagem/1440)*48,0))</f>
        <v>0</v>
      </c>
      <c r="E3701" s="26">
        <f>IF(D3701="","",INT((D3701-cfgDeslocamento)/4))</f>
        <v>0</v>
      </c>
      <c r="F3701" s="26">
        <f>IF(D3701="","",MOD(D3701-cfgDeslocamento,4)+1)</f>
        <v>0</v>
      </c>
      <c r="G3701" s="26">
        <f>IF(A3701="","",IF(AND(ISNUMBER(B3701),B3701&lt;&gt;0),1,0))</f>
        <v>0</v>
      </c>
      <c r="H3701" s="25">
        <f>IF(E3701="","",(E3701*4+3+cfgDeslocamento)/48)</f>
        <v>0</v>
      </c>
    </row>
    <row r="3702" spans="1:8">
      <c r="A3702" s="24"/>
      <c r="B3702" s="19"/>
      <c r="C3702" s="25">
        <f>IF(D3702="","",D3702/48)</f>
        <v>0</v>
      </c>
      <c r="D3702" s="26">
        <f>IF(A3702="","",ROUND((A3702-cfgDefasagem/1440)*48,0))</f>
        <v>0</v>
      </c>
      <c r="E3702" s="26">
        <f>IF(D3702="","",INT((D3702-cfgDeslocamento)/4))</f>
        <v>0</v>
      </c>
      <c r="F3702" s="26">
        <f>IF(D3702="","",MOD(D3702-cfgDeslocamento,4)+1)</f>
        <v>0</v>
      </c>
      <c r="G3702" s="26">
        <f>IF(A3702="","",IF(AND(ISNUMBER(B3702),B3702&lt;&gt;0),1,0))</f>
        <v>0</v>
      </c>
      <c r="H3702" s="25">
        <f>IF(E3702="","",(E3702*4+3+cfgDeslocamento)/48)</f>
        <v>0</v>
      </c>
    </row>
    <row r="3703" spans="1:8">
      <c r="A3703" s="24"/>
      <c r="B3703" s="19"/>
      <c r="C3703" s="25">
        <f>IF(D3703="","",D3703/48)</f>
        <v>0</v>
      </c>
      <c r="D3703" s="26">
        <f>IF(A3703="","",ROUND((A3703-cfgDefasagem/1440)*48,0))</f>
        <v>0</v>
      </c>
      <c r="E3703" s="26">
        <f>IF(D3703="","",INT((D3703-cfgDeslocamento)/4))</f>
        <v>0</v>
      </c>
      <c r="F3703" s="26">
        <f>IF(D3703="","",MOD(D3703-cfgDeslocamento,4)+1)</f>
        <v>0</v>
      </c>
      <c r="G3703" s="26">
        <f>IF(A3703="","",IF(AND(ISNUMBER(B3703),B3703&lt;&gt;0),1,0))</f>
        <v>0</v>
      </c>
      <c r="H3703" s="25">
        <f>IF(E3703="","",(E3703*4+3+cfgDeslocamento)/48)</f>
        <v>0</v>
      </c>
    </row>
    <row r="3704" spans="1:8">
      <c r="A3704" s="24"/>
      <c r="B3704" s="19"/>
      <c r="C3704" s="25">
        <f>IF(D3704="","",D3704/48)</f>
        <v>0</v>
      </c>
      <c r="D3704" s="26">
        <f>IF(A3704="","",ROUND((A3704-cfgDefasagem/1440)*48,0))</f>
        <v>0</v>
      </c>
      <c r="E3704" s="26">
        <f>IF(D3704="","",INT((D3704-cfgDeslocamento)/4))</f>
        <v>0</v>
      </c>
      <c r="F3704" s="26">
        <f>IF(D3704="","",MOD(D3704-cfgDeslocamento,4)+1)</f>
        <v>0</v>
      </c>
      <c r="G3704" s="26">
        <f>IF(A3704="","",IF(AND(ISNUMBER(B3704),B3704&lt;&gt;0),1,0))</f>
        <v>0</v>
      </c>
      <c r="H3704" s="25">
        <f>IF(E3704="","",(E3704*4+3+cfgDeslocamento)/48)</f>
        <v>0</v>
      </c>
    </row>
    <row r="3705" spans="1:8">
      <c r="A3705" s="24"/>
      <c r="B3705" s="19"/>
      <c r="C3705" s="25">
        <f>IF(D3705="","",D3705/48)</f>
        <v>0</v>
      </c>
      <c r="D3705" s="26">
        <f>IF(A3705="","",ROUND((A3705-cfgDefasagem/1440)*48,0))</f>
        <v>0</v>
      </c>
      <c r="E3705" s="26">
        <f>IF(D3705="","",INT((D3705-cfgDeslocamento)/4))</f>
        <v>0</v>
      </c>
      <c r="F3705" s="26">
        <f>IF(D3705="","",MOD(D3705-cfgDeslocamento,4)+1)</f>
        <v>0</v>
      </c>
      <c r="G3705" s="26">
        <f>IF(A3705="","",IF(AND(ISNUMBER(B3705),B3705&lt;&gt;0),1,0))</f>
        <v>0</v>
      </c>
      <c r="H3705" s="25">
        <f>IF(E3705="","",(E3705*4+3+cfgDeslocamento)/48)</f>
        <v>0</v>
      </c>
    </row>
    <row r="3706" spans="1:8">
      <c r="A3706" s="24"/>
      <c r="B3706" s="19"/>
      <c r="C3706" s="25">
        <f>IF(D3706="","",D3706/48)</f>
        <v>0</v>
      </c>
      <c r="D3706" s="26">
        <f>IF(A3706="","",ROUND((A3706-cfgDefasagem/1440)*48,0))</f>
        <v>0</v>
      </c>
      <c r="E3706" s="26">
        <f>IF(D3706="","",INT((D3706-cfgDeslocamento)/4))</f>
        <v>0</v>
      </c>
      <c r="F3706" s="26">
        <f>IF(D3706="","",MOD(D3706-cfgDeslocamento,4)+1)</f>
        <v>0</v>
      </c>
      <c r="G3706" s="26">
        <f>IF(A3706="","",IF(AND(ISNUMBER(B3706),B3706&lt;&gt;0),1,0))</f>
        <v>0</v>
      </c>
      <c r="H3706" s="25">
        <f>IF(E3706="","",(E3706*4+3+cfgDeslocamento)/48)</f>
        <v>0</v>
      </c>
    </row>
    <row r="3707" spans="1:8">
      <c r="A3707" s="24"/>
      <c r="B3707" s="19"/>
      <c r="C3707" s="25">
        <f>IF(D3707="","",D3707/48)</f>
        <v>0</v>
      </c>
      <c r="D3707" s="26">
        <f>IF(A3707="","",ROUND((A3707-cfgDefasagem/1440)*48,0))</f>
        <v>0</v>
      </c>
      <c r="E3707" s="26">
        <f>IF(D3707="","",INT((D3707-cfgDeslocamento)/4))</f>
        <v>0</v>
      </c>
      <c r="F3707" s="26">
        <f>IF(D3707="","",MOD(D3707-cfgDeslocamento,4)+1)</f>
        <v>0</v>
      </c>
      <c r="G3707" s="26">
        <f>IF(A3707="","",IF(AND(ISNUMBER(B3707),B3707&lt;&gt;0),1,0))</f>
        <v>0</v>
      </c>
      <c r="H3707" s="25">
        <f>IF(E3707="","",(E3707*4+3+cfgDeslocamento)/48)</f>
        <v>0</v>
      </c>
    </row>
    <row r="3708" spans="1:8">
      <c r="A3708" s="24"/>
      <c r="B3708" s="19"/>
      <c r="C3708" s="25">
        <f>IF(D3708="","",D3708/48)</f>
        <v>0</v>
      </c>
      <c r="D3708" s="26">
        <f>IF(A3708="","",ROUND((A3708-cfgDefasagem/1440)*48,0))</f>
        <v>0</v>
      </c>
      <c r="E3708" s="26">
        <f>IF(D3708="","",INT((D3708-cfgDeslocamento)/4))</f>
        <v>0</v>
      </c>
      <c r="F3708" s="26">
        <f>IF(D3708="","",MOD(D3708-cfgDeslocamento,4)+1)</f>
        <v>0</v>
      </c>
      <c r="G3708" s="26">
        <f>IF(A3708="","",IF(AND(ISNUMBER(B3708),B3708&lt;&gt;0),1,0))</f>
        <v>0</v>
      </c>
      <c r="H3708" s="25">
        <f>IF(E3708="","",(E3708*4+3+cfgDeslocamento)/48)</f>
        <v>0</v>
      </c>
    </row>
    <row r="3709" spans="1:8">
      <c r="A3709" s="24"/>
      <c r="B3709" s="19"/>
      <c r="C3709" s="25">
        <f>IF(D3709="","",D3709/48)</f>
        <v>0</v>
      </c>
      <c r="D3709" s="26">
        <f>IF(A3709="","",ROUND((A3709-cfgDefasagem/1440)*48,0))</f>
        <v>0</v>
      </c>
      <c r="E3709" s="26">
        <f>IF(D3709="","",INT((D3709-cfgDeslocamento)/4))</f>
        <v>0</v>
      </c>
      <c r="F3709" s="26">
        <f>IF(D3709="","",MOD(D3709-cfgDeslocamento,4)+1)</f>
        <v>0</v>
      </c>
      <c r="G3709" s="26">
        <f>IF(A3709="","",IF(AND(ISNUMBER(B3709),B3709&lt;&gt;0),1,0))</f>
        <v>0</v>
      </c>
      <c r="H3709" s="25">
        <f>IF(E3709="","",(E3709*4+3+cfgDeslocamento)/48)</f>
        <v>0</v>
      </c>
    </row>
    <row r="3710" spans="1:8">
      <c r="A3710" s="24"/>
      <c r="B3710" s="19"/>
      <c r="C3710" s="25">
        <f>IF(D3710="","",D3710/48)</f>
        <v>0</v>
      </c>
      <c r="D3710" s="26">
        <f>IF(A3710="","",ROUND((A3710-cfgDefasagem/1440)*48,0))</f>
        <v>0</v>
      </c>
      <c r="E3710" s="26">
        <f>IF(D3710="","",INT((D3710-cfgDeslocamento)/4))</f>
        <v>0</v>
      </c>
      <c r="F3710" s="26">
        <f>IF(D3710="","",MOD(D3710-cfgDeslocamento,4)+1)</f>
        <v>0</v>
      </c>
      <c r="G3710" s="26">
        <f>IF(A3710="","",IF(AND(ISNUMBER(B3710),B3710&lt;&gt;0),1,0))</f>
        <v>0</v>
      </c>
      <c r="H3710" s="25">
        <f>IF(E3710="","",(E3710*4+3+cfgDeslocamento)/48)</f>
        <v>0</v>
      </c>
    </row>
    <row r="3711" spans="1:8">
      <c r="A3711" s="24"/>
      <c r="B3711" s="19"/>
      <c r="C3711" s="25">
        <f>IF(D3711="","",D3711/48)</f>
        <v>0</v>
      </c>
      <c r="D3711" s="26">
        <f>IF(A3711="","",ROUND((A3711-cfgDefasagem/1440)*48,0))</f>
        <v>0</v>
      </c>
      <c r="E3711" s="26">
        <f>IF(D3711="","",INT((D3711-cfgDeslocamento)/4))</f>
        <v>0</v>
      </c>
      <c r="F3711" s="26">
        <f>IF(D3711="","",MOD(D3711-cfgDeslocamento,4)+1)</f>
        <v>0</v>
      </c>
      <c r="G3711" s="26">
        <f>IF(A3711="","",IF(AND(ISNUMBER(B3711),B3711&lt;&gt;0),1,0))</f>
        <v>0</v>
      </c>
      <c r="H3711" s="25">
        <f>IF(E3711="","",(E3711*4+3+cfgDeslocamento)/48)</f>
        <v>0</v>
      </c>
    </row>
    <row r="3712" spans="1:8">
      <c r="A3712" s="24"/>
      <c r="B3712" s="19"/>
      <c r="C3712" s="25">
        <f>IF(D3712="","",D3712/48)</f>
        <v>0</v>
      </c>
      <c r="D3712" s="26">
        <f>IF(A3712="","",ROUND((A3712-cfgDefasagem/1440)*48,0))</f>
        <v>0</v>
      </c>
      <c r="E3712" s="26">
        <f>IF(D3712="","",INT((D3712-cfgDeslocamento)/4))</f>
        <v>0</v>
      </c>
      <c r="F3712" s="26">
        <f>IF(D3712="","",MOD(D3712-cfgDeslocamento,4)+1)</f>
        <v>0</v>
      </c>
      <c r="G3712" s="26">
        <f>IF(A3712="","",IF(AND(ISNUMBER(B3712),B3712&lt;&gt;0),1,0))</f>
        <v>0</v>
      </c>
      <c r="H3712" s="25">
        <f>IF(E3712="","",(E3712*4+3+cfgDeslocamento)/48)</f>
        <v>0</v>
      </c>
    </row>
    <row r="3713" spans="1:8">
      <c r="A3713" s="24"/>
      <c r="B3713" s="19"/>
      <c r="C3713" s="25">
        <f>IF(D3713="","",D3713/48)</f>
        <v>0</v>
      </c>
      <c r="D3713" s="26">
        <f>IF(A3713="","",ROUND((A3713-cfgDefasagem/1440)*48,0))</f>
        <v>0</v>
      </c>
      <c r="E3713" s="26">
        <f>IF(D3713="","",INT((D3713-cfgDeslocamento)/4))</f>
        <v>0</v>
      </c>
      <c r="F3713" s="26">
        <f>IF(D3713="","",MOD(D3713-cfgDeslocamento,4)+1)</f>
        <v>0</v>
      </c>
      <c r="G3713" s="26">
        <f>IF(A3713="","",IF(AND(ISNUMBER(B3713),B3713&lt;&gt;0),1,0))</f>
        <v>0</v>
      </c>
      <c r="H3713" s="25">
        <f>IF(E3713="","",(E3713*4+3+cfgDeslocamento)/48)</f>
        <v>0</v>
      </c>
    </row>
    <row r="3714" spans="1:8">
      <c r="A3714" s="24"/>
      <c r="B3714" s="19"/>
      <c r="C3714" s="25">
        <f>IF(D3714="","",D3714/48)</f>
        <v>0</v>
      </c>
      <c r="D3714" s="26">
        <f>IF(A3714="","",ROUND((A3714-cfgDefasagem/1440)*48,0))</f>
        <v>0</v>
      </c>
      <c r="E3714" s="26">
        <f>IF(D3714="","",INT((D3714-cfgDeslocamento)/4))</f>
        <v>0</v>
      </c>
      <c r="F3714" s="26">
        <f>IF(D3714="","",MOD(D3714-cfgDeslocamento,4)+1)</f>
        <v>0</v>
      </c>
      <c r="G3714" s="26">
        <f>IF(A3714="","",IF(AND(ISNUMBER(B3714),B3714&lt;&gt;0),1,0))</f>
        <v>0</v>
      </c>
      <c r="H3714" s="25">
        <f>IF(E3714="","",(E3714*4+3+cfgDeslocamento)/48)</f>
        <v>0</v>
      </c>
    </row>
    <row r="3715" spans="1:8">
      <c r="A3715" s="24"/>
      <c r="B3715" s="19"/>
      <c r="C3715" s="25">
        <f>IF(D3715="","",D3715/48)</f>
        <v>0</v>
      </c>
      <c r="D3715" s="26">
        <f>IF(A3715="","",ROUND((A3715-cfgDefasagem/1440)*48,0))</f>
        <v>0</v>
      </c>
      <c r="E3715" s="26">
        <f>IF(D3715="","",INT((D3715-cfgDeslocamento)/4))</f>
        <v>0</v>
      </c>
      <c r="F3715" s="26">
        <f>IF(D3715="","",MOD(D3715-cfgDeslocamento,4)+1)</f>
        <v>0</v>
      </c>
      <c r="G3715" s="26">
        <f>IF(A3715="","",IF(AND(ISNUMBER(B3715),B3715&lt;&gt;0),1,0))</f>
        <v>0</v>
      </c>
      <c r="H3715" s="25">
        <f>IF(E3715="","",(E3715*4+3+cfgDeslocamento)/48)</f>
        <v>0</v>
      </c>
    </row>
    <row r="3716" spans="1:8">
      <c r="A3716" s="24"/>
      <c r="B3716" s="19"/>
      <c r="C3716" s="25">
        <f>IF(D3716="","",D3716/48)</f>
        <v>0</v>
      </c>
      <c r="D3716" s="26">
        <f>IF(A3716="","",ROUND((A3716-cfgDefasagem/1440)*48,0))</f>
        <v>0</v>
      </c>
      <c r="E3716" s="26">
        <f>IF(D3716="","",INT((D3716-cfgDeslocamento)/4))</f>
        <v>0</v>
      </c>
      <c r="F3716" s="26">
        <f>IF(D3716="","",MOD(D3716-cfgDeslocamento,4)+1)</f>
        <v>0</v>
      </c>
      <c r="G3716" s="26">
        <f>IF(A3716="","",IF(AND(ISNUMBER(B3716),B3716&lt;&gt;0),1,0))</f>
        <v>0</v>
      </c>
      <c r="H3716" s="25">
        <f>IF(E3716="","",(E3716*4+3+cfgDeslocamento)/48)</f>
        <v>0</v>
      </c>
    </row>
    <row r="3717" spans="1:8">
      <c r="A3717" s="24"/>
      <c r="B3717" s="19"/>
      <c r="C3717" s="25">
        <f>IF(D3717="","",D3717/48)</f>
        <v>0</v>
      </c>
      <c r="D3717" s="26">
        <f>IF(A3717="","",ROUND((A3717-cfgDefasagem/1440)*48,0))</f>
        <v>0</v>
      </c>
      <c r="E3717" s="26">
        <f>IF(D3717="","",INT((D3717-cfgDeslocamento)/4))</f>
        <v>0</v>
      </c>
      <c r="F3717" s="26">
        <f>IF(D3717="","",MOD(D3717-cfgDeslocamento,4)+1)</f>
        <v>0</v>
      </c>
      <c r="G3717" s="26">
        <f>IF(A3717="","",IF(AND(ISNUMBER(B3717),B3717&lt;&gt;0),1,0))</f>
        <v>0</v>
      </c>
      <c r="H3717" s="25">
        <f>IF(E3717="","",(E3717*4+3+cfgDeslocamento)/48)</f>
        <v>0</v>
      </c>
    </row>
    <row r="3718" spans="1:8">
      <c r="A3718" s="24"/>
      <c r="B3718" s="19"/>
      <c r="C3718" s="25">
        <f>IF(D3718="","",D3718/48)</f>
        <v>0</v>
      </c>
      <c r="D3718" s="26">
        <f>IF(A3718="","",ROUND((A3718-cfgDefasagem/1440)*48,0))</f>
        <v>0</v>
      </c>
      <c r="E3718" s="26">
        <f>IF(D3718="","",INT((D3718-cfgDeslocamento)/4))</f>
        <v>0</v>
      </c>
      <c r="F3718" s="26">
        <f>IF(D3718="","",MOD(D3718-cfgDeslocamento,4)+1)</f>
        <v>0</v>
      </c>
      <c r="G3718" s="26">
        <f>IF(A3718="","",IF(AND(ISNUMBER(B3718),B3718&lt;&gt;0),1,0))</f>
        <v>0</v>
      </c>
      <c r="H3718" s="25">
        <f>IF(E3718="","",(E3718*4+3+cfgDeslocamento)/48)</f>
        <v>0</v>
      </c>
    </row>
    <row r="3719" spans="1:8">
      <c r="A3719" s="24"/>
      <c r="B3719" s="19"/>
      <c r="C3719" s="25">
        <f>IF(D3719="","",D3719/48)</f>
        <v>0</v>
      </c>
      <c r="D3719" s="26">
        <f>IF(A3719="","",ROUND((A3719-cfgDefasagem/1440)*48,0))</f>
        <v>0</v>
      </c>
      <c r="E3719" s="26">
        <f>IF(D3719="","",INT((D3719-cfgDeslocamento)/4))</f>
        <v>0</v>
      </c>
      <c r="F3719" s="26">
        <f>IF(D3719="","",MOD(D3719-cfgDeslocamento,4)+1)</f>
        <v>0</v>
      </c>
      <c r="G3719" s="26">
        <f>IF(A3719="","",IF(AND(ISNUMBER(B3719),B3719&lt;&gt;0),1,0))</f>
        <v>0</v>
      </c>
      <c r="H3719" s="25">
        <f>IF(E3719="","",(E3719*4+3+cfgDeslocamento)/48)</f>
        <v>0</v>
      </c>
    </row>
    <row r="3720" spans="1:8">
      <c r="A3720" s="24"/>
      <c r="B3720" s="19"/>
      <c r="C3720" s="25">
        <f>IF(D3720="","",D3720/48)</f>
        <v>0</v>
      </c>
      <c r="D3720" s="26">
        <f>IF(A3720="","",ROUND((A3720-cfgDefasagem/1440)*48,0))</f>
        <v>0</v>
      </c>
      <c r="E3720" s="26">
        <f>IF(D3720="","",INT((D3720-cfgDeslocamento)/4))</f>
        <v>0</v>
      </c>
      <c r="F3720" s="26">
        <f>IF(D3720="","",MOD(D3720-cfgDeslocamento,4)+1)</f>
        <v>0</v>
      </c>
      <c r="G3720" s="26">
        <f>IF(A3720="","",IF(AND(ISNUMBER(B3720),B3720&lt;&gt;0),1,0))</f>
        <v>0</v>
      </c>
      <c r="H3720" s="25">
        <f>IF(E3720="","",(E3720*4+3+cfgDeslocamento)/48)</f>
        <v>0</v>
      </c>
    </row>
    <row r="3721" spans="1:8">
      <c r="A3721" s="24"/>
      <c r="B3721" s="19"/>
      <c r="C3721" s="25">
        <f>IF(D3721="","",D3721/48)</f>
        <v>0</v>
      </c>
      <c r="D3721" s="26">
        <f>IF(A3721="","",ROUND((A3721-cfgDefasagem/1440)*48,0))</f>
        <v>0</v>
      </c>
      <c r="E3721" s="26">
        <f>IF(D3721="","",INT((D3721-cfgDeslocamento)/4))</f>
        <v>0</v>
      </c>
      <c r="F3721" s="26">
        <f>IF(D3721="","",MOD(D3721-cfgDeslocamento,4)+1)</f>
        <v>0</v>
      </c>
      <c r="G3721" s="26">
        <f>IF(A3721="","",IF(AND(ISNUMBER(B3721),B3721&lt;&gt;0),1,0))</f>
        <v>0</v>
      </c>
      <c r="H3721" s="25">
        <f>IF(E3721="","",(E3721*4+3+cfgDeslocamento)/48)</f>
        <v>0</v>
      </c>
    </row>
    <row r="3722" spans="1:8">
      <c r="A3722" s="24"/>
      <c r="B3722" s="19"/>
      <c r="C3722" s="25">
        <f>IF(D3722="","",D3722/48)</f>
        <v>0</v>
      </c>
      <c r="D3722" s="26">
        <f>IF(A3722="","",ROUND((A3722-cfgDefasagem/1440)*48,0))</f>
        <v>0</v>
      </c>
      <c r="E3722" s="26">
        <f>IF(D3722="","",INT((D3722-cfgDeslocamento)/4))</f>
        <v>0</v>
      </c>
      <c r="F3722" s="26">
        <f>IF(D3722="","",MOD(D3722-cfgDeslocamento,4)+1)</f>
        <v>0</v>
      </c>
      <c r="G3722" s="26">
        <f>IF(A3722="","",IF(AND(ISNUMBER(B3722),B3722&lt;&gt;0),1,0))</f>
        <v>0</v>
      </c>
      <c r="H3722" s="25">
        <f>IF(E3722="","",(E3722*4+3+cfgDeslocamento)/48)</f>
        <v>0</v>
      </c>
    </row>
    <row r="3723" spans="1:8">
      <c r="A3723" s="24"/>
      <c r="B3723" s="19"/>
      <c r="C3723" s="25">
        <f>IF(D3723="","",D3723/48)</f>
        <v>0</v>
      </c>
      <c r="D3723" s="26">
        <f>IF(A3723="","",ROUND((A3723-cfgDefasagem/1440)*48,0))</f>
        <v>0</v>
      </c>
      <c r="E3723" s="26">
        <f>IF(D3723="","",INT((D3723-cfgDeslocamento)/4))</f>
        <v>0</v>
      </c>
      <c r="F3723" s="26">
        <f>IF(D3723="","",MOD(D3723-cfgDeslocamento,4)+1)</f>
        <v>0</v>
      </c>
      <c r="G3723" s="26">
        <f>IF(A3723="","",IF(AND(ISNUMBER(B3723),B3723&lt;&gt;0),1,0))</f>
        <v>0</v>
      </c>
      <c r="H3723" s="25">
        <f>IF(E3723="","",(E3723*4+3+cfgDeslocamento)/48)</f>
        <v>0</v>
      </c>
    </row>
    <row r="3724" spans="1:8">
      <c r="A3724" s="24"/>
      <c r="B3724" s="19"/>
      <c r="C3724" s="25">
        <f>IF(D3724="","",D3724/48)</f>
        <v>0</v>
      </c>
      <c r="D3724" s="26">
        <f>IF(A3724="","",ROUND((A3724-cfgDefasagem/1440)*48,0))</f>
        <v>0</v>
      </c>
      <c r="E3724" s="26">
        <f>IF(D3724="","",INT((D3724-cfgDeslocamento)/4))</f>
        <v>0</v>
      </c>
      <c r="F3724" s="26">
        <f>IF(D3724="","",MOD(D3724-cfgDeslocamento,4)+1)</f>
        <v>0</v>
      </c>
      <c r="G3724" s="26">
        <f>IF(A3724="","",IF(AND(ISNUMBER(B3724),B3724&lt;&gt;0),1,0))</f>
        <v>0</v>
      </c>
      <c r="H3724" s="25">
        <f>IF(E3724="","",(E3724*4+3+cfgDeslocamento)/48)</f>
        <v>0</v>
      </c>
    </row>
    <row r="3725" spans="1:8">
      <c r="A3725" s="24"/>
      <c r="B3725" s="19"/>
      <c r="C3725" s="25">
        <f>IF(D3725="","",D3725/48)</f>
        <v>0</v>
      </c>
      <c r="D3725" s="26">
        <f>IF(A3725="","",ROUND((A3725-cfgDefasagem/1440)*48,0))</f>
        <v>0</v>
      </c>
      <c r="E3725" s="26">
        <f>IF(D3725="","",INT((D3725-cfgDeslocamento)/4))</f>
        <v>0</v>
      </c>
      <c r="F3725" s="26">
        <f>IF(D3725="","",MOD(D3725-cfgDeslocamento,4)+1)</f>
        <v>0</v>
      </c>
      <c r="G3725" s="26">
        <f>IF(A3725="","",IF(AND(ISNUMBER(B3725),B3725&lt;&gt;0),1,0))</f>
        <v>0</v>
      </c>
      <c r="H3725" s="25">
        <f>IF(E3725="","",(E3725*4+3+cfgDeslocamento)/48)</f>
        <v>0</v>
      </c>
    </row>
    <row r="3726" spans="1:8">
      <c r="A3726" s="24"/>
      <c r="B3726" s="19"/>
      <c r="C3726" s="25">
        <f>IF(D3726="","",D3726/48)</f>
        <v>0</v>
      </c>
      <c r="D3726" s="26">
        <f>IF(A3726="","",ROUND((A3726-cfgDefasagem/1440)*48,0))</f>
        <v>0</v>
      </c>
      <c r="E3726" s="26">
        <f>IF(D3726="","",INT((D3726-cfgDeslocamento)/4))</f>
        <v>0</v>
      </c>
      <c r="F3726" s="26">
        <f>IF(D3726="","",MOD(D3726-cfgDeslocamento,4)+1)</f>
        <v>0</v>
      </c>
      <c r="G3726" s="26">
        <f>IF(A3726="","",IF(AND(ISNUMBER(B3726),B3726&lt;&gt;0),1,0))</f>
        <v>0</v>
      </c>
      <c r="H3726" s="25">
        <f>IF(E3726="","",(E3726*4+3+cfgDeslocamento)/48)</f>
        <v>0</v>
      </c>
    </row>
    <row r="3727" spans="1:8">
      <c r="A3727" s="24"/>
      <c r="B3727" s="19"/>
      <c r="C3727" s="25">
        <f>IF(D3727="","",D3727/48)</f>
        <v>0</v>
      </c>
      <c r="D3727" s="26">
        <f>IF(A3727="","",ROUND((A3727-cfgDefasagem/1440)*48,0))</f>
        <v>0</v>
      </c>
      <c r="E3727" s="26">
        <f>IF(D3727="","",INT((D3727-cfgDeslocamento)/4))</f>
        <v>0</v>
      </c>
      <c r="F3727" s="26">
        <f>IF(D3727="","",MOD(D3727-cfgDeslocamento,4)+1)</f>
        <v>0</v>
      </c>
      <c r="G3727" s="26">
        <f>IF(A3727="","",IF(AND(ISNUMBER(B3727),B3727&lt;&gt;0),1,0))</f>
        <v>0</v>
      </c>
      <c r="H3727" s="25">
        <f>IF(E3727="","",(E3727*4+3+cfgDeslocamento)/48)</f>
        <v>0</v>
      </c>
    </row>
    <row r="3728" spans="1:8">
      <c r="A3728" s="24"/>
      <c r="B3728" s="19"/>
      <c r="C3728" s="25">
        <f>IF(D3728="","",D3728/48)</f>
        <v>0</v>
      </c>
      <c r="D3728" s="26">
        <f>IF(A3728="","",ROUND((A3728-cfgDefasagem/1440)*48,0))</f>
        <v>0</v>
      </c>
      <c r="E3728" s="26">
        <f>IF(D3728="","",INT((D3728-cfgDeslocamento)/4))</f>
        <v>0</v>
      </c>
      <c r="F3728" s="26">
        <f>IF(D3728="","",MOD(D3728-cfgDeslocamento,4)+1)</f>
        <v>0</v>
      </c>
      <c r="G3728" s="26">
        <f>IF(A3728="","",IF(AND(ISNUMBER(B3728),B3728&lt;&gt;0),1,0))</f>
        <v>0</v>
      </c>
      <c r="H3728" s="25">
        <f>IF(E3728="","",(E3728*4+3+cfgDeslocamento)/48)</f>
        <v>0</v>
      </c>
    </row>
    <row r="3729" spans="1:8">
      <c r="A3729" s="24"/>
      <c r="B3729" s="19"/>
      <c r="C3729" s="25">
        <f>IF(D3729="","",D3729/48)</f>
        <v>0</v>
      </c>
      <c r="D3729" s="26">
        <f>IF(A3729="","",ROUND((A3729-cfgDefasagem/1440)*48,0))</f>
        <v>0</v>
      </c>
      <c r="E3729" s="26">
        <f>IF(D3729="","",INT((D3729-cfgDeslocamento)/4))</f>
        <v>0</v>
      </c>
      <c r="F3729" s="26">
        <f>IF(D3729="","",MOD(D3729-cfgDeslocamento,4)+1)</f>
        <v>0</v>
      </c>
      <c r="G3729" s="26">
        <f>IF(A3729="","",IF(AND(ISNUMBER(B3729),B3729&lt;&gt;0),1,0))</f>
        <v>0</v>
      </c>
      <c r="H3729" s="25">
        <f>IF(E3729="","",(E3729*4+3+cfgDeslocamento)/48)</f>
        <v>0</v>
      </c>
    </row>
    <row r="3730" spans="1:8">
      <c r="A3730" s="24"/>
      <c r="B3730" s="19"/>
      <c r="C3730" s="25">
        <f>IF(D3730="","",D3730/48)</f>
        <v>0</v>
      </c>
      <c r="D3730" s="26">
        <f>IF(A3730="","",ROUND((A3730-cfgDefasagem/1440)*48,0))</f>
        <v>0</v>
      </c>
      <c r="E3730" s="26">
        <f>IF(D3730="","",INT((D3730-cfgDeslocamento)/4))</f>
        <v>0</v>
      </c>
      <c r="F3730" s="26">
        <f>IF(D3730="","",MOD(D3730-cfgDeslocamento,4)+1)</f>
        <v>0</v>
      </c>
      <c r="G3730" s="26">
        <f>IF(A3730="","",IF(AND(ISNUMBER(B3730),B3730&lt;&gt;0),1,0))</f>
        <v>0</v>
      </c>
      <c r="H3730" s="25">
        <f>IF(E3730="","",(E3730*4+3+cfgDeslocamento)/48)</f>
        <v>0</v>
      </c>
    </row>
    <row r="3731" spans="1:8">
      <c r="A3731" s="24"/>
      <c r="B3731" s="19"/>
      <c r="C3731" s="25">
        <f>IF(D3731="","",D3731/48)</f>
        <v>0</v>
      </c>
      <c r="D3731" s="26">
        <f>IF(A3731="","",ROUND((A3731-cfgDefasagem/1440)*48,0))</f>
        <v>0</v>
      </c>
      <c r="E3731" s="26">
        <f>IF(D3731="","",INT((D3731-cfgDeslocamento)/4))</f>
        <v>0</v>
      </c>
      <c r="F3731" s="26">
        <f>IF(D3731="","",MOD(D3731-cfgDeslocamento,4)+1)</f>
        <v>0</v>
      </c>
      <c r="G3731" s="26">
        <f>IF(A3731="","",IF(AND(ISNUMBER(B3731),B3731&lt;&gt;0),1,0))</f>
        <v>0</v>
      </c>
      <c r="H3731" s="25">
        <f>IF(E3731="","",(E3731*4+3+cfgDeslocamento)/48)</f>
        <v>0</v>
      </c>
    </row>
    <row r="3732" spans="1:8">
      <c r="A3732" s="24"/>
      <c r="B3732" s="19"/>
      <c r="C3732" s="25">
        <f>IF(D3732="","",D3732/48)</f>
        <v>0</v>
      </c>
      <c r="D3732" s="26">
        <f>IF(A3732="","",ROUND((A3732-cfgDefasagem/1440)*48,0))</f>
        <v>0</v>
      </c>
      <c r="E3732" s="26">
        <f>IF(D3732="","",INT((D3732-cfgDeslocamento)/4))</f>
        <v>0</v>
      </c>
      <c r="F3732" s="26">
        <f>IF(D3732="","",MOD(D3732-cfgDeslocamento,4)+1)</f>
        <v>0</v>
      </c>
      <c r="G3732" s="26">
        <f>IF(A3732="","",IF(AND(ISNUMBER(B3732),B3732&lt;&gt;0),1,0))</f>
        <v>0</v>
      </c>
      <c r="H3732" s="25">
        <f>IF(E3732="","",(E3732*4+3+cfgDeslocamento)/48)</f>
        <v>0</v>
      </c>
    </row>
    <row r="3733" spans="1:8">
      <c r="A3733" s="24"/>
      <c r="B3733" s="19"/>
      <c r="C3733" s="25">
        <f>IF(D3733="","",D3733/48)</f>
        <v>0</v>
      </c>
      <c r="D3733" s="26">
        <f>IF(A3733="","",ROUND((A3733-cfgDefasagem/1440)*48,0))</f>
        <v>0</v>
      </c>
      <c r="E3733" s="26">
        <f>IF(D3733="","",INT((D3733-cfgDeslocamento)/4))</f>
        <v>0</v>
      </c>
      <c r="F3733" s="26">
        <f>IF(D3733="","",MOD(D3733-cfgDeslocamento,4)+1)</f>
        <v>0</v>
      </c>
      <c r="G3733" s="26">
        <f>IF(A3733="","",IF(AND(ISNUMBER(B3733),B3733&lt;&gt;0),1,0))</f>
        <v>0</v>
      </c>
      <c r="H3733" s="25">
        <f>IF(E3733="","",(E3733*4+3+cfgDeslocamento)/48)</f>
        <v>0</v>
      </c>
    </row>
    <row r="3734" spans="1:8">
      <c r="A3734" s="24"/>
      <c r="B3734" s="19"/>
      <c r="C3734" s="25">
        <f>IF(D3734="","",D3734/48)</f>
        <v>0</v>
      </c>
      <c r="D3734" s="26">
        <f>IF(A3734="","",ROUND((A3734-cfgDefasagem/1440)*48,0))</f>
        <v>0</v>
      </c>
      <c r="E3734" s="26">
        <f>IF(D3734="","",INT((D3734-cfgDeslocamento)/4))</f>
        <v>0</v>
      </c>
      <c r="F3734" s="26">
        <f>IF(D3734="","",MOD(D3734-cfgDeslocamento,4)+1)</f>
        <v>0</v>
      </c>
      <c r="G3734" s="26">
        <f>IF(A3734="","",IF(AND(ISNUMBER(B3734),B3734&lt;&gt;0),1,0))</f>
        <v>0</v>
      </c>
      <c r="H3734" s="25">
        <f>IF(E3734="","",(E3734*4+3+cfgDeslocamento)/48)</f>
        <v>0</v>
      </c>
    </row>
    <row r="3735" spans="1:8">
      <c r="A3735" s="24"/>
      <c r="B3735" s="19"/>
      <c r="C3735" s="25">
        <f>IF(D3735="","",D3735/48)</f>
        <v>0</v>
      </c>
      <c r="D3735" s="26">
        <f>IF(A3735="","",ROUND((A3735-cfgDefasagem/1440)*48,0))</f>
        <v>0</v>
      </c>
      <c r="E3735" s="26">
        <f>IF(D3735="","",INT((D3735-cfgDeslocamento)/4))</f>
        <v>0</v>
      </c>
      <c r="F3735" s="26">
        <f>IF(D3735="","",MOD(D3735-cfgDeslocamento,4)+1)</f>
        <v>0</v>
      </c>
      <c r="G3735" s="26">
        <f>IF(A3735="","",IF(AND(ISNUMBER(B3735),B3735&lt;&gt;0),1,0))</f>
        <v>0</v>
      </c>
      <c r="H3735" s="25">
        <f>IF(E3735="","",(E3735*4+3+cfgDeslocamento)/48)</f>
        <v>0</v>
      </c>
    </row>
    <row r="3736" spans="1:8">
      <c r="A3736" s="24"/>
      <c r="B3736" s="19"/>
      <c r="C3736" s="25">
        <f>IF(D3736="","",D3736/48)</f>
        <v>0</v>
      </c>
      <c r="D3736" s="26">
        <f>IF(A3736="","",ROUND((A3736-cfgDefasagem/1440)*48,0))</f>
        <v>0</v>
      </c>
      <c r="E3736" s="26">
        <f>IF(D3736="","",INT((D3736-cfgDeslocamento)/4))</f>
        <v>0</v>
      </c>
      <c r="F3736" s="26">
        <f>IF(D3736="","",MOD(D3736-cfgDeslocamento,4)+1)</f>
        <v>0</v>
      </c>
      <c r="G3736" s="26">
        <f>IF(A3736="","",IF(AND(ISNUMBER(B3736),B3736&lt;&gt;0),1,0))</f>
        <v>0</v>
      </c>
      <c r="H3736" s="25">
        <f>IF(E3736="","",(E3736*4+3+cfgDeslocamento)/48)</f>
        <v>0</v>
      </c>
    </row>
    <row r="3737" spans="1:8">
      <c r="A3737" s="24"/>
      <c r="B3737" s="19"/>
      <c r="C3737" s="25">
        <f>IF(D3737="","",D3737/48)</f>
        <v>0</v>
      </c>
      <c r="D3737" s="26">
        <f>IF(A3737="","",ROUND((A3737-cfgDefasagem/1440)*48,0))</f>
        <v>0</v>
      </c>
      <c r="E3737" s="26">
        <f>IF(D3737="","",INT((D3737-cfgDeslocamento)/4))</f>
        <v>0</v>
      </c>
      <c r="F3737" s="26">
        <f>IF(D3737="","",MOD(D3737-cfgDeslocamento,4)+1)</f>
        <v>0</v>
      </c>
      <c r="G3737" s="26">
        <f>IF(A3737="","",IF(AND(ISNUMBER(B3737),B3737&lt;&gt;0),1,0))</f>
        <v>0</v>
      </c>
      <c r="H3737" s="25">
        <f>IF(E3737="","",(E3737*4+3+cfgDeslocamento)/48)</f>
        <v>0</v>
      </c>
    </row>
    <row r="3738" spans="1:8">
      <c r="A3738" s="24"/>
      <c r="B3738" s="19"/>
      <c r="C3738" s="25">
        <f>IF(D3738="","",D3738/48)</f>
        <v>0</v>
      </c>
      <c r="D3738" s="26">
        <f>IF(A3738="","",ROUND((A3738-cfgDefasagem/1440)*48,0))</f>
        <v>0</v>
      </c>
      <c r="E3738" s="26">
        <f>IF(D3738="","",INT((D3738-cfgDeslocamento)/4))</f>
        <v>0</v>
      </c>
      <c r="F3738" s="26">
        <f>IF(D3738="","",MOD(D3738-cfgDeslocamento,4)+1)</f>
        <v>0</v>
      </c>
      <c r="G3738" s="26">
        <f>IF(A3738="","",IF(AND(ISNUMBER(B3738),B3738&lt;&gt;0),1,0))</f>
        <v>0</v>
      </c>
      <c r="H3738" s="25">
        <f>IF(E3738="","",(E3738*4+3+cfgDeslocamento)/48)</f>
        <v>0</v>
      </c>
    </row>
    <row r="3739" spans="1:8">
      <c r="A3739" s="24"/>
      <c r="B3739" s="19"/>
      <c r="C3739" s="25">
        <f>IF(D3739="","",D3739/48)</f>
        <v>0</v>
      </c>
      <c r="D3739" s="26">
        <f>IF(A3739="","",ROUND((A3739-cfgDefasagem/1440)*48,0))</f>
        <v>0</v>
      </c>
      <c r="E3739" s="26">
        <f>IF(D3739="","",INT((D3739-cfgDeslocamento)/4))</f>
        <v>0</v>
      </c>
      <c r="F3739" s="26">
        <f>IF(D3739="","",MOD(D3739-cfgDeslocamento,4)+1)</f>
        <v>0</v>
      </c>
      <c r="G3739" s="26">
        <f>IF(A3739="","",IF(AND(ISNUMBER(B3739),B3739&lt;&gt;0),1,0))</f>
        <v>0</v>
      </c>
      <c r="H3739" s="25">
        <f>IF(E3739="","",(E3739*4+3+cfgDeslocamento)/48)</f>
        <v>0</v>
      </c>
    </row>
    <row r="3740" spans="1:8">
      <c r="A3740" s="24"/>
      <c r="B3740" s="19"/>
      <c r="C3740" s="25">
        <f>IF(D3740="","",D3740/48)</f>
        <v>0</v>
      </c>
      <c r="D3740" s="26">
        <f>IF(A3740="","",ROUND((A3740-cfgDefasagem/1440)*48,0))</f>
        <v>0</v>
      </c>
      <c r="E3740" s="26">
        <f>IF(D3740="","",INT((D3740-cfgDeslocamento)/4))</f>
        <v>0</v>
      </c>
      <c r="F3740" s="26">
        <f>IF(D3740="","",MOD(D3740-cfgDeslocamento,4)+1)</f>
        <v>0</v>
      </c>
      <c r="G3740" s="26">
        <f>IF(A3740="","",IF(AND(ISNUMBER(B3740),B3740&lt;&gt;0),1,0))</f>
        <v>0</v>
      </c>
      <c r="H3740" s="25">
        <f>IF(E3740="","",(E3740*4+3+cfgDeslocamento)/48)</f>
        <v>0</v>
      </c>
    </row>
    <row r="3741" spans="1:8">
      <c r="A3741" s="24"/>
      <c r="B3741" s="19"/>
      <c r="C3741" s="25">
        <f>IF(D3741="","",D3741/48)</f>
        <v>0</v>
      </c>
      <c r="D3741" s="26">
        <f>IF(A3741="","",ROUND((A3741-cfgDefasagem/1440)*48,0))</f>
        <v>0</v>
      </c>
      <c r="E3741" s="26">
        <f>IF(D3741="","",INT((D3741-cfgDeslocamento)/4))</f>
        <v>0</v>
      </c>
      <c r="F3741" s="26">
        <f>IF(D3741="","",MOD(D3741-cfgDeslocamento,4)+1)</f>
        <v>0</v>
      </c>
      <c r="G3741" s="26">
        <f>IF(A3741="","",IF(AND(ISNUMBER(B3741),B3741&lt;&gt;0),1,0))</f>
        <v>0</v>
      </c>
      <c r="H3741" s="25">
        <f>IF(E3741="","",(E3741*4+3+cfgDeslocamento)/48)</f>
        <v>0</v>
      </c>
    </row>
    <row r="3742" spans="1:8">
      <c r="A3742" s="24"/>
      <c r="B3742" s="19"/>
      <c r="C3742" s="25">
        <f>IF(D3742="","",D3742/48)</f>
        <v>0</v>
      </c>
      <c r="D3742" s="26">
        <f>IF(A3742="","",ROUND((A3742-cfgDefasagem/1440)*48,0))</f>
        <v>0</v>
      </c>
      <c r="E3742" s="26">
        <f>IF(D3742="","",INT((D3742-cfgDeslocamento)/4))</f>
        <v>0</v>
      </c>
      <c r="F3742" s="26">
        <f>IF(D3742="","",MOD(D3742-cfgDeslocamento,4)+1)</f>
        <v>0</v>
      </c>
      <c r="G3742" s="26">
        <f>IF(A3742="","",IF(AND(ISNUMBER(B3742),B3742&lt;&gt;0),1,0))</f>
        <v>0</v>
      </c>
      <c r="H3742" s="25">
        <f>IF(E3742="","",(E3742*4+3+cfgDeslocamento)/48)</f>
        <v>0</v>
      </c>
    </row>
    <row r="3743" spans="1:8">
      <c r="A3743" s="24"/>
      <c r="B3743" s="19"/>
      <c r="C3743" s="25">
        <f>IF(D3743="","",D3743/48)</f>
        <v>0</v>
      </c>
      <c r="D3743" s="26">
        <f>IF(A3743="","",ROUND((A3743-cfgDefasagem/1440)*48,0))</f>
        <v>0</v>
      </c>
      <c r="E3743" s="26">
        <f>IF(D3743="","",INT((D3743-cfgDeslocamento)/4))</f>
        <v>0</v>
      </c>
      <c r="F3743" s="26">
        <f>IF(D3743="","",MOD(D3743-cfgDeslocamento,4)+1)</f>
        <v>0</v>
      </c>
      <c r="G3743" s="26">
        <f>IF(A3743="","",IF(AND(ISNUMBER(B3743),B3743&lt;&gt;0),1,0))</f>
        <v>0</v>
      </c>
      <c r="H3743" s="25">
        <f>IF(E3743="","",(E3743*4+3+cfgDeslocamento)/48)</f>
        <v>0</v>
      </c>
    </row>
    <row r="3744" spans="1:8">
      <c r="A3744" s="24"/>
      <c r="B3744" s="19"/>
      <c r="C3744" s="25">
        <f>IF(D3744="","",D3744/48)</f>
        <v>0</v>
      </c>
      <c r="D3744" s="26">
        <f>IF(A3744="","",ROUND((A3744-cfgDefasagem/1440)*48,0))</f>
        <v>0</v>
      </c>
      <c r="E3744" s="26">
        <f>IF(D3744="","",INT((D3744-cfgDeslocamento)/4))</f>
        <v>0</v>
      </c>
      <c r="F3744" s="26">
        <f>IF(D3744="","",MOD(D3744-cfgDeslocamento,4)+1)</f>
        <v>0</v>
      </c>
      <c r="G3744" s="26">
        <f>IF(A3744="","",IF(AND(ISNUMBER(B3744),B3744&lt;&gt;0),1,0))</f>
        <v>0</v>
      </c>
      <c r="H3744" s="25">
        <f>IF(E3744="","",(E3744*4+3+cfgDeslocamento)/48)</f>
        <v>0</v>
      </c>
    </row>
    <row r="3745" spans="1:8">
      <c r="A3745" s="24"/>
      <c r="B3745" s="19"/>
      <c r="C3745" s="25">
        <f>IF(D3745="","",D3745/48)</f>
        <v>0</v>
      </c>
      <c r="D3745" s="26">
        <f>IF(A3745="","",ROUND((A3745-cfgDefasagem/1440)*48,0))</f>
        <v>0</v>
      </c>
      <c r="E3745" s="26">
        <f>IF(D3745="","",INT((D3745-cfgDeslocamento)/4))</f>
        <v>0</v>
      </c>
      <c r="F3745" s="26">
        <f>IF(D3745="","",MOD(D3745-cfgDeslocamento,4)+1)</f>
        <v>0</v>
      </c>
      <c r="G3745" s="26">
        <f>IF(A3745="","",IF(AND(ISNUMBER(B3745),B3745&lt;&gt;0),1,0))</f>
        <v>0</v>
      </c>
      <c r="H3745" s="25">
        <f>IF(E3745="","",(E3745*4+3+cfgDeslocamento)/48)</f>
        <v>0</v>
      </c>
    </row>
    <row r="3746" spans="1:8">
      <c r="A3746" s="24"/>
      <c r="B3746" s="19"/>
      <c r="C3746" s="25">
        <f>IF(D3746="","",D3746/48)</f>
        <v>0</v>
      </c>
      <c r="D3746" s="26">
        <f>IF(A3746="","",ROUND((A3746-cfgDefasagem/1440)*48,0))</f>
        <v>0</v>
      </c>
      <c r="E3746" s="26">
        <f>IF(D3746="","",INT((D3746-cfgDeslocamento)/4))</f>
        <v>0</v>
      </c>
      <c r="F3746" s="26">
        <f>IF(D3746="","",MOD(D3746-cfgDeslocamento,4)+1)</f>
        <v>0</v>
      </c>
      <c r="G3746" s="26">
        <f>IF(A3746="","",IF(AND(ISNUMBER(B3746),B3746&lt;&gt;0),1,0))</f>
        <v>0</v>
      </c>
      <c r="H3746" s="25">
        <f>IF(E3746="","",(E3746*4+3+cfgDeslocamento)/48)</f>
        <v>0</v>
      </c>
    </row>
    <row r="3747" spans="1:8">
      <c r="A3747" s="24"/>
      <c r="B3747" s="19"/>
      <c r="C3747" s="25">
        <f>IF(D3747="","",D3747/48)</f>
        <v>0</v>
      </c>
      <c r="D3747" s="26">
        <f>IF(A3747="","",ROUND((A3747-cfgDefasagem/1440)*48,0))</f>
        <v>0</v>
      </c>
      <c r="E3747" s="26">
        <f>IF(D3747="","",INT((D3747-cfgDeslocamento)/4))</f>
        <v>0</v>
      </c>
      <c r="F3747" s="26">
        <f>IF(D3747="","",MOD(D3747-cfgDeslocamento,4)+1)</f>
        <v>0</v>
      </c>
      <c r="G3747" s="26">
        <f>IF(A3747="","",IF(AND(ISNUMBER(B3747),B3747&lt;&gt;0),1,0))</f>
        <v>0</v>
      </c>
      <c r="H3747" s="25">
        <f>IF(E3747="","",(E3747*4+3+cfgDeslocamento)/48)</f>
        <v>0</v>
      </c>
    </row>
    <row r="3748" spans="1:8">
      <c r="A3748" s="24"/>
      <c r="B3748" s="19"/>
      <c r="C3748" s="25">
        <f>IF(D3748="","",D3748/48)</f>
        <v>0</v>
      </c>
      <c r="D3748" s="26">
        <f>IF(A3748="","",ROUND((A3748-cfgDefasagem/1440)*48,0))</f>
        <v>0</v>
      </c>
      <c r="E3748" s="26">
        <f>IF(D3748="","",INT((D3748-cfgDeslocamento)/4))</f>
        <v>0</v>
      </c>
      <c r="F3748" s="26">
        <f>IF(D3748="","",MOD(D3748-cfgDeslocamento,4)+1)</f>
        <v>0</v>
      </c>
      <c r="G3748" s="26">
        <f>IF(A3748="","",IF(AND(ISNUMBER(B3748),B3748&lt;&gt;0),1,0))</f>
        <v>0</v>
      </c>
      <c r="H3748" s="25">
        <f>IF(E3748="","",(E3748*4+3+cfgDeslocamento)/48)</f>
        <v>0</v>
      </c>
    </row>
    <row r="3749" spans="1:8">
      <c r="A3749" s="24"/>
      <c r="B3749" s="19"/>
      <c r="C3749" s="25">
        <f>IF(D3749="","",D3749/48)</f>
        <v>0</v>
      </c>
      <c r="D3749" s="26">
        <f>IF(A3749="","",ROUND((A3749-cfgDefasagem/1440)*48,0))</f>
        <v>0</v>
      </c>
      <c r="E3749" s="26">
        <f>IF(D3749="","",INT((D3749-cfgDeslocamento)/4))</f>
        <v>0</v>
      </c>
      <c r="F3749" s="26">
        <f>IF(D3749="","",MOD(D3749-cfgDeslocamento,4)+1)</f>
        <v>0</v>
      </c>
      <c r="G3749" s="26">
        <f>IF(A3749="","",IF(AND(ISNUMBER(B3749),B3749&lt;&gt;0),1,0))</f>
        <v>0</v>
      </c>
      <c r="H3749" s="25">
        <f>IF(E3749="","",(E3749*4+3+cfgDeslocamento)/48)</f>
        <v>0</v>
      </c>
    </row>
    <row r="3750" spans="1:8">
      <c r="A3750" s="24"/>
      <c r="B3750" s="19"/>
      <c r="C3750" s="25">
        <f>IF(D3750="","",D3750/48)</f>
        <v>0</v>
      </c>
      <c r="D3750" s="26">
        <f>IF(A3750="","",ROUND((A3750-cfgDefasagem/1440)*48,0))</f>
        <v>0</v>
      </c>
      <c r="E3750" s="26">
        <f>IF(D3750="","",INT((D3750-cfgDeslocamento)/4))</f>
        <v>0</v>
      </c>
      <c r="F3750" s="26">
        <f>IF(D3750="","",MOD(D3750-cfgDeslocamento,4)+1)</f>
        <v>0</v>
      </c>
      <c r="G3750" s="26">
        <f>IF(A3750="","",IF(AND(ISNUMBER(B3750),B3750&lt;&gt;0),1,0))</f>
        <v>0</v>
      </c>
      <c r="H3750" s="25">
        <f>IF(E3750="","",(E3750*4+3+cfgDeslocamento)/48)</f>
        <v>0</v>
      </c>
    </row>
    <row r="3751" spans="1:8">
      <c r="A3751" s="24"/>
      <c r="B3751" s="19"/>
      <c r="C3751" s="25">
        <f>IF(D3751="","",D3751/48)</f>
        <v>0</v>
      </c>
      <c r="D3751" s="26">
        <f>IF(A3751="","",ROUND((A3751-cfgDefasagem/1440)*48,0))</f>
        <v>0</v>
      </c>
      <c r="E3751" s="26">
        <f>IF(D3751="","",INT((D3751-cfgDeslocamento)/4))</f>
        <v>0</v>
      </c>
      <c r="F3751" s="26">
        <f>IF(D3751="","",MOD(D3751-cfgDeslocamento,4)+1)</f>
        <v>0</v>
      </c>
      <c r="G3751" s="26">
        <f>IF(A3751="","",IF(AND(ISNUMBER(B3751),B3751&lt;&gt;0),1,0))</f>
        <v>0</v>
      </c>
      <c r="H3751" s="25">
        <f>IF(E3751="","",(E3751*4+3+cfgDeslocamento)/48)</f>
        <v>0</v>
      </c>
    </row>
    <row r="3752" spans="1:8">
      <c r="A3752" s="24"/>
      <c r="B3752" s="19"/>
      <c r="C3752" s="25">
        <f>IF(D3752="","",D3752/48)</f>
        <v>0</v>
      </c>
      <c r="D3752" s="26">
        <f>IF(A3752="","",ROUND((A3752-cfgDefasagem/1440)*48,0))</f>
        <v>0</v>
      </c>
      <c r="E3752" s="26">
        <f>IF(D3752="","",INT((D3752-cfgDeslocamento)/4))</f>
        <v>0</v>
      </c>
      <c r="F3752" s="26">
        <f>IF(D3752="","",MOD(D3752-cfgDeslocamento,4)+1)</f>
        <v>0</v>
      </c>
      <c r="G3752" s="26">
        <f>IF(A3752="","",IF(AND(ISNUMBER(B3752),B3752&lt;&gt;0),1,0))</f>
        <v>0</v>
      </c>
      <c r="H3752" s="25">
        <f>IF(E3752="","",(E3752*4+3+cfgDeslocamento)/48)</f>
        <v>0</v>
      </c>
    </row>
    <row r="3753" spans="1:8">
      <c r="A3753" s="24"/>
      <c r="B3753" s="19"/>
      <c r="C3753" s="25">
        <f>IF(D3753="","",D3753/48)</f>
        <v>0</v>
      </c>
      <c r="D3753" s="26">
        <f>IF(A3753="","",ROUND((A3753-cfgDefasagem/1440)*48,0))</f>
        <v>0</v>
      </c>
      <c r="E3753" s="26">
        <f>IF(D3753="","",INT((D3753-cfgDeslocamento)/4))</f>
        <v>0</v>
      </c>
      <c r="F3753" s="26">
        <f>IF(D3753="","",MOD(D3753-cfgDeslocamento,4)+1)</f>
        <v>0</v>
      </c>
      <c r="G3753" s="26">
        <f>IF(A3753="","",IF(AND(ISNUMBER(B3753),B3753&lt;&gt;0),1,0))</f>
        <v>0</v>
      </c>
      <c r="H3753" s="25">
        <f>IF(E3753="","",(E3753*4+3+cfgDeslocamento)/48)</f>
        <v>0</v>
      </c>
    </row>
    <row r="3754" spans="1:8">
      <c r="A3754" s="24"/>
      <c r="B3754" s="19"/>
      <c r="C3754" s="25">
        <f>IF(D3754="","",D3754/48)</f>
        <v>0</v>
      </c>
      <c r="D3754" s="26">
        <f>IF(A3754="","",ROUND((A3754-cfgDefasagem/1440)*48,0))</f>
        <v>0</v>
      </c>
      <c r="E3754" s="26">
        <f>IF(D3754="","",INT((D3754-cfgDeslocamento)/4))</f>
        <v>0</v>
      </c>
      <c r="F3754" s="26">
        <f>IF(D3754="","",MOD(D3754-cfgDeslocamento,4)+1)</f>
        <v>0</v>
      </c>
      <c r="G3754" s="26">
        <f>IF(A3754="","",IF(AND(ISNUMBER(B3754),B3754&lt;&gt;0),1,0))</f>
        <v>0</v>
      </c>
      <c r="H3754" s="25">
        <f>IF(E3754="","",(E3754*4+3+cfgDeslocamento)/48)</f>
        <v>0</v>
      </c>
    </row>
    <row r="3755" spans="1:8">
      <c r="A3755" s="24"/>
      <c r="B3755" s="19"/>
      <c r="C3755" s="25">
        <f>IF(D3755="","",D3755/48)</f>
        <v>0</v>
      </c>
      <c r="D3755" s="26">
        <f>IF(A3755="","",ROUND((A3755-cfgDefasagem/1440)*48,0))</f>
        <v>0</v>
      </c>
      <c r="E3755" s="26">
        <f>IF(D3755="","",INT((D3755-cfgDeslocamento)/4))</f>
        <v>0</v>
      </c>
      <c r="F3755" s="26">
        <f>IF(D3755="","",MOD(D3755-cfgDeslocamento,4)+1)</f>
        <v>0</v>
      </c>
      <c r="G3755" s="26">
        <f>IF(A3755="","",IF(AND(ISNUMBER(B3755),B3755&lt;&gt;0),1,0))</f>
        <v>0</v>
      </c>
      <c r="H3755" s="25">
        <f>IF(E3755="","",(E3755*4+3+cfgDeslocamento)/48)</f>
        <v>0</v>
      </c>
    </row>
    <row r="3756" spans="1:8">
      <c r="A3756" s="24"/>
      <c r="B3756" s="19"/>
      <c r="C3756" s="25">
        <f>IF(D3756="","",D3756/48)</f>
        <v>0</v>
      </c>
      <c r="D3756" s="26">
        <f>IF(A3756="","",ROUND((A3756-cfgDefasagem/1440)*48,0))</f>
        <v>0</v>
      </c>
      <c r="E3756" s="26">
        <f>IF(D3756="","",INT((D3756-cfgDeslocamento)/4))</f>
        <v>0</v>
      </c>
      <c r="F3756" s="26">
        <f>IF(D3756="","",MOD(D3756-cfgDeslocamento,4)+1)</f>
        <v>0</v>
      </c>
      <c r="G3756" s="26">
        <f>IF(A3756="","",IF(AND(ISNUMBER(B3756),B3756&lt;&gt;0),1,0))</f>
        <v>0</v>
      </c>
      <c r="H3756" s="25">
        <f>IF(E3756="","",(E3756*4+3+cfgDeslocamento)/48)</f>
        <v>0</v>
      </c>
    </row>
    <row r="3757" spans="1:8">
      <c r="A3757" s="24"/>
      <c r="B3757" s="19"/>
      <c r="C3757" s="25">
        <f>IF(D3757="","",D3757/48)</f>
        <v>0</v>
      </c>
      <c r="D3757" s="26">
        <f>IF(A3757="","",ROUND((A3757-cfgDefasagem/1440)*48,0))</f>
        <v>0</v>
      </c>
      <c r="E3757" s="26">
        <f>IF(D3757="","",INT((D3757-cfgDeslocamento)/4))</f>
        <v>0</v>
      </c>
      <c r="F3757" s="26">
        <f>IF(D3757="","",MOD(D3757-cfgDeslocamento,4)+1)</f>
        <v>0</v>
      </c>
      <c r="G3757" s="26">
        <f>IF(A3757="","",IF(AND(ISNUMBER(B3757),B3757&lt;&gt;0),1,0))</f>
        <v>0</v>
      </c>
      <c r="H3757" s="25">
        <f>IF(E3757="","",(E3757*4+3+cfgDeslocamento)/48)</f>
        <v>0</v>
      </c>
    </row>
    <row r="3758" spans="1:8">
      <c r="A3758" s="24"/>
      <c r="B3758" s="19"/>
      <c r="C3758" s="25">
        <f>IF(D3758="","",D3758/48)</f>
        <v>0</v>
      </c>
      <c r="D3758" s="26">
        <f>IF(A3758="","",ROUND((A3758-cfgDefasagem/1440)*48,0))</f>
        <v>0</v>
      </c>
      <c r="E3758" s="26">
        <f>IF(D3758="","",INT((D3758-cfgDeslocamento)/4))</f>
        <v>0</v>
      </c>
      <c r="F3758" s="26">
        <f>IF(D3758="","",MOD(D3758-cfgDeslocamento,4)+1)</f>
        <v>0</v>
      </c>
      <c r="G3758" s="26">
        <f>IF(A3758="","",IF(AND(ISNUMBER(B3758),B3758&lt;&gt;0),1,0))</f>
        <v>0</v>
      </c>
      <c r="H3758" s="25">
        <f>IF(E3758="","",(E3758*4+3+cfgDeslocamento)/48)</f>
        <v>0</v>
      </c>
    </row>
    <row r="3759" spans="1:8">
      <c r="A3759" s="24"/>
      <c r="B3759" s="19"/>
      <c r="C3759" s="25">
        <f>IF(D3759="","",D3759/48)</f>
        <v>0</v>
      </c>
      <c r="D3759" s="26">
        <f>IF(A3759="","",ROUND((A3759-cfgDefasagem/1440)*48,0))</f>
        <v>0</v>
      </c>
      <c r="E3759" s="26">
        <f>IF(D3759="","",INT((D3759-cfgDeslocamento)/4))</f>
        <v>0</v>
      </c>
      <c r="F3759" s="26">
        <f>IF(D3759="","",MOD(D3759-cfgDeslocamento,4)+1)</f>
        <v>0</v>
      </c>
      <c r="G3759" s="26">
        <f>IF(A3759="","",IF(AND(ISNUMBER(B3759),B3759&lt;&gt;0),1,0))</f>
        <v>0</v>
      </c>
      <c r="H3759" s="25">
        <f>IF(E3759="","",(E3759*4+3+cfgDeslocamento)/48)</f>
        <v>0</v>
      </c>
    </row>
    <row r="3760" spans="1:8">
      <c r="A3760" s="24"/>
      <c r="B3760" s="19"/>
      <c r="C3760" s="25">
        <f>IF(D3760="","",D3760/48)</f>
        <v>0</v>
      </c>
      <c r="D3760" s="26">
        <f>IF(A3760="","",ROUND((A3760-cfgDefasagem/1440)*48,0))</f>
        <v>0</v>
      </c>
      <c r="E3760" s="26">
        <f>IF(D3760="","",INT((D3760-cfgDeslocamento)/4))</f>
        <v>0</v>
      </c>
      <c r="F3760" s="26">
        <f>IF(D3760="","",MOD(D3760-cfgDeslocamento,4)+1)</f>
        <v>0</v>
      </c>
      <c r="G3760" s="26">
        <f>IF(A3760="","",IF(AND(ISNUMBER(B3760),B3760&lt;&gt;0),1,0))</f>
        <v>0</v>
      </c>
      <c r="H3760" s="25">
        <f>IF(E3760="","",(E3760*4+3+cfgDeslocamento)/48)</f>
        <v>0</v>
      </c>
    </row>
    <row r="3761" spans="1:8">
      <c r="A3761" s="24"/>
      <c r="B3761" s="19"/>
      <c r="C3761" s="25">
        <f>IF(D3761="","",D3761/48)</f>
        <v>0</v>
      </c>
      <c r="D3761" s="26">
        <f>IF(A3761="","",ROUND((A3761-cfgDefasagem/1440)*48,0))</f>
        <v>0</v>
      </c>
      <c r="E3761" s="26">
        <f>IF(D3761="","",INT((D3761-cfgDeslocamento)/4))</f>
        <v>0</v>
      </c>
      <c r="F3761" s="26">
        <f>IF(D3761="","",MOD(D3761-cfgDeslocamento,4)+1)</f>
        <v>0</v>
      </c>
      <c r="G3761" s="26">
        <f>IF(A3761="","",IF(AND(ISNUMBER(B3761),B3761&lt;&gt;0),1,0))</f>
        <v>0</v>
      </c>
      <c r="H3761" s="25">
        <f>IF(E3761="","",(E3761*4+3+cfgDeslocamento)/48)</f>
        <v>0</v>
      </c>
    </row>
    <row r="3762" spans="1:8">
      <c r="A3762" s="24"/>
      <c r="B3762" s="19"/>
      <c r="C3762" s="25">
        <f>IF(D3762="","",D3762/48)</f>
        <v>0</v>
      </c>
      <c r="D3762" s="26">
        <f>IF(A3762="","",ROUND((A3762-cfgDefasagem/1440)*48,0))</f>
        <v>0</v>
      </c>
      <c r="E3762" s="26">
        <f>IF(D3762="","",INT((D3762-cfgDeslocamento)/4))</f>
        <v>0</v>
      </c>
      <c r="F3762" s="26">
        <f>IF(D3762="","",MOD(D3762-cfgDeslocamento,4)+1)</f>
        <v>0</v>
      </c>
      <c r="G3762" s="26">
        <f>IF(A3762="","",IF(AND(ISNUMBER(B3762),B3762&lt;&gt;0),1,0))</f>
        <v>0</v>
      </c>
      <c r="H3762" s="25">
        <f>IF(E3762="","",(E3762*4+3+cfgDeslocamento)/48)</f>
        <v>0</v>
      </c>
    </row>
    <row r="3763" spans="1:8">
      <c r="A3763" s="24"/>
      <c r="B3763" s="19"/>
      <c r="C3763" s="25">
        <f>IF(D3763="","",D3763/48)</f>
        <v>0</v>
      </c>
      <c r="D3763" s="26">
        <f>IF(A3763="","",ROUND((A3763-cfgDefasagem/1440)*48,0))</f>
        <v>0</v>
      </c>
      <c r="E3763" s="26">
        <f>IF(D3763="","",INT((D3763-cfgDeslocamento)/4))</f>
        <v>0</v>
      </c>
      <c r="F3763" s="26">
        <f>IF(D3763="","",MOD(D3763-cfgDeslocamento,4)+1)</f>
        <v>0</v>
      </c>
      <c r="G3763" s="26">
        <f>IF(A3763="","",IF(AND(ISNUMBER(B3763),B3763&lt;&gt;0),1,0))</f>
        <v>0</v>
      </c>
      <c r="H3763" s="25">
        <f>IF(E3763="","",(E3763*4+3+cfgDeslocamento)/48)</f>
        <v>0</v>
      </c>
    </row>
    <row r="3764" spans="1:8">
      <c r="A3764" s="24"/>
      <c r="B3764" s="19"/>
      <c r="C3764" s="25">
        <f>IF(D3764="","",D3764/48)</f>
        <v>0</v>
      </c>
      <c r="D3764" s="26">
        <f>IF(A3764="","",ROUND((A3764-cfgDefasagem/1440)*48,0))</f>
        <v>0</v>
      </c>
      <c r="E3764" s="26">
        <f>IF(D3764="","",INT((D3764-cfgDeslocamento)/4))</f>
        <v>0</v>
      </c>
      <c r="F3764" s="26">
        <f>IF(D3764="","",MOD(D3764-cfgDeslocamento,4)+1)</f>
        <v>0</v>
      </c>
      <c r="G3764" s="26">
        <f>IF(A3764="","",IF(AND(ISNUMBER(B3764),B3764&lt;&gt;0),1,0))</f>
        <v>0</v>
      </c>
      <c r="H3764" s="25">
        <f>IF(E3764="","",(E3764*4+3+cfgDeslocamento)/48)</f>
        <v>0</v>
      </c>
    </row>
    <row r="3765" spans="1:8">
      <c r="A3765" s="24"/>
      <c r="B3765" s="19"/>
      <c r="C3765" s="25">
        <f>IF(D3765="","",D3765/48)</f>
        <v>0</v>
      </c>
      <c r="D3765" s="26">
        <f>IF(A3765="","",ROUND((A3765-cfgDefasagem/1440)*48,0))</f>
        <v>0</v>
      </c>
      <c r="E3765" s="26">
        <f>IF(D3765="","",INT((D3765-cfgDeslocamento)/4))</f>
        <v>0</v>
      </c>
      <c r="F3765" s="26">
        <f>IF(D3765="","",MOD(D3765-cfgDeslocamento,4)+1)</f>
        <v>0</v>
      </c>
      <c r="G3765" s="26">
        <f>IF(A3765="","",IF(AND(ISNUMBER(B3765),B3765&lt;&gt;0),1,0))</f>
        <v>0</v>
      </c>
      <c r="H3765" s="25">
        <f>IF(E3765="","",(E3765*4+3+cfgDeslocamento)/48)</f>
        <v>0</v>
      </c>
    </row>
    <row r="3766" spans="1:8">
      <c r="A3766" s="24"/>
      <c r="B3766" s="19"/>
      <c r="C3766" s="25">
        <f>IF(D3766="","",D3766/48)</f>
        <v>0</v>
      </c>
      <c r="D3766" s="26">
        <f>IF(A3766="","",ROUND((A3766-cfgDefasagem/1440)*48,0))</f>
        <v>0</v>
      </c>
      <c r="E3766" s="26">
        <f>IF(D3766="","",INT((D3766-cfgDeslocamento)/4))</f>
        <v>0</v>
      </c>
      <c r="F3766" s="26">
        <f>IF(D3766="","",MOD(D3766-cfgDeslocamento,4)+1)</f>
        <v>0</v>
      </c>
      <c r="G3766" s="26">
        <f>IF(A3766="","",IF(AND(ISNUMBER(B3766),B3766&lt;&gt;0),1,0))</f>
        <v>0</v>
      </c>
      <c r="H3766" s="25">
        <f>IF(E3766="","",(E3766*4+3+cfgDeslocamento)/48)</f>
        <v>0</v>
      </c>
    </row>
    <row r="3767" spans="1:8">
      <c r="A3767" s="24"/>
      <c r="B3767" s="19"/>
      <c r="C3767" s="25">
        <f>IF(D3767="","",D3767/48)</f>
        <v>0</v>
      </c>
      <c r="D3767" s="26">
        <f>IF(A3767="","",ROUND((A3767-cfgDefasagem/1440)*48,0))</f>
        <v>0</v>
      </c>
      <c r="E3767" s="26">
        <f>IF(D3767="","",INT((D3767-cfgDeslocamento)/4))</f>
        <v>0</v>
      </c>
      <c r="F3767" s="26">
        <f>IF(D3767="","",MOD(D3767-cfgDeslocamento,4)+1)</f>
        <v>0</v>
      </c>
      <c r="G3767" s="26">
        <f>IF(A3767="","",IF(AND(ISNUMBER(B3767),B3767&lt;&gt;0),1,0))</f>
        <v>0</v>
      </c>
      <c r="H3767" s="25">
        <f>IF(E3767="","",(E3767*4+3+cfgDeslocamento)/48)</f>
        <v>0</v>
      </c>
    </row>
    <row r="3768" spans="1:8">
      <c r="A3768" s="24"/>
      <c r="B3768" s="19"/>
      <c r="C3768" s="25">
        <f>IF(D3768="","",D3768/48)</f>
        <v>0</v>
      </c>
      <c r="D3768" s="26">
        <f>IF(A3768="","",ROUND((A3768-cfgDefasagem/1440)*48,0))</f>
        <v>0</v>
      </c>
      <c r="E3768" s="26">
        <f>IF(D3768="","",INT((D3768-cfgDeslocamento)/4))</f>
        <v>0</v>
      </c>
      <c r="F3768" s="26">
        <f>IF(D3768="","",MOD(D3768-cfgDeslocamento,4)+1)</f>
        <v>0</v>
      </c>
      <c r="G3768" s="26">
        <f>IF(A3768="","",IF(AND(ISNUMBER(B3768),B3768&lt;&gt;0),1,0))</f>
        <v>0</v>
      </c>
      <c r="H3768" s="25">
        <f>IF(E3768="","",(E3768*4+3+cfgDeslocamento)/48)</f>
        <v>0</v>
      </c>
    </row>
    <row r="3769" spans="1:8">
      <c r="A3769" s="24"/>
      <c r="B3769" s="19"/>
      <c r="C3769" s="25">
        <f>IF(D3769="","",D3769/48)</f>
        <v>0</v>
      </c>
      <c r="D3769" s="26">
        <f>IF(A3769="","",ROUND((A3769-cfgDefasagem/1440)*48,0))</f>
        <v>0</v>
      </c>
      <c r="E3769" s="26">
        <f>IF(D3769="","",INT((D3769-cfgDeslocamento)/4))</f>
        <v>0</v>
      </c>
      <c r="F3769" s="26">
        <f>IF(D3769="","",MOD(D3769-cfgDeslocamento,4)+1)</f>
        <v>0</v>
      </c>
      <c r="G3769" s="26">
        <f>IF(A3769="","",IF(AND(ISNUMBER(B3769),B3769&lt;&gt;0),1,0))</f>
        <v>0</v>
      </c>
      <c r="H3769" s="25">
        <f>IF(E3769="","",(E3769*4+3+cfgDeslocamento)/48)</f>
        <v>0</v>
      </c>
    </row>
    <row r="3770" spans="1:8">
      <c r="A3770" s="24"/>
      <c r="B3770" s="19"/>
      <c r="C3770" s="25">
        <f>IF(D3770="","",D3770/48)</f>
        <v>0</v>
      </c>
      <c r="D3770" s="26">
        <f>IF(A3770="","",ROUND((A3770-cfgDefasagem/1440)*48,0))</f>
        <v>0</v>
      </c>
      <c r="E3770" s="26">
        <f>IF(D3770="","",INT((D3770-cfgDeslocamento)/4))</f>
        <v>0</v>
      </c>
      <c r="F3770" s="26">
        <f>IF(D3770="","",MOD(D3770-cfgDeslocamento,4)+1)</f>
        <v>0</v>
      </c>
      <c r="G3770" s="26">
        <f>IF(A3770="","",IF(AND(ISNUMBER(B3770),B3770&lt;&gt;0),1,0))</f>
        <v>0</v>
      </c>
      <c r="H3770" s="25">
        <f>IF(E3770="","",(E3770*4+3+cfgDeslocamento)/48)</f>
        <v>0</v>
      </c>
    </row>
    <row r="3771" spans="1:8">
      <c r="A3771" s="24"/>
      <c r="B3771" s="19"/>
      <c r="C3771" s="25">
        <f>IF(D3771="","",D3771/48)</f>
        <v>0</v>
      </c>
      <c r="D3771" s="26">
        <f>IF(A3771="","",ROUND((A3771-cfgDefasagem/1440)*48,0))</f>
        <v>0</v>
      </c>
      <c r="E3771" s="26">
        <f>IF(D3771="","",INT((D3771-cfgDeslocamento)/4))</f>
        <v>0</v>
      </c>
      <c r="F3771" s="26">
        <f>IF(D3771="","",MOD(D3771-cfgDeslocamento,4)+1)</f>
        <v>0</v>
      </c>
      <c r="G3771" s="26">
        <f>IF(A3771="","",IF(AND(ISNUMBER(B3771),B3771&lt;&gt;0),1,0))</f>
        <v>0</v>
      </c>
      <c r="H3771" s="25">
        <f>IF(E3771="","",(E3771*4+3+cfgDeslocamento)/48)</f>
        <v>0</v>
      </c>
    </row>
    <row r="3772" spans="1:8">
      <c r="A3772" s="24"/>
      <c r="B3772" s="19"/>
      <c r="C3772" s="25">
        <f>IF(D3772="","",D3772/48)</f>
        <v>0</v>
      </c>
      <c r="D3772" s="26">
        <f>IF(A3772="","",ROUND((A3772-cfgDefasagem/1440)*48,0))</f>
        <v>0</v>
      </c>
      <c r="E3772" s="26">
        <f>IF(D3772="","",INT((D3772-cfgDeslocamento)/4))</f>
        <v>0</v>
      </c>
      <c r="F3772" s="26">
        <f>IF(D3772="","",MOD(D3772-cfgDeslocamento,4)+1)</f>
        <v>0</v>
      </c>
      <c r="G3772" s="26">
        <f>IF(A3772="","",IF(AND(ISNUMBER(B3772),B3772&lt;&gt;0),1,0))</f>
        <v>0</v>
      </c>
      <c r="H3772" s="25">
        <f>IF(E3772="","",(E3772*4+3+cfgDeslocamento)/48)</f>
        <v>0</v>
      </c>
    </row>
    <row r="3773" spans="1:8">
      <c r="A3773" s="24"/>
      <c r="B3773" s="19"/>
      <c r="C3773" s="25">
        <f>IF(D3773="","",D3773/48)</f>
        <v>0</v>
      </c>
      <c r="D3773" s="26">
        <f>IF(A3773="","",ROUND((A3773-cfgDefasagem/1440)*48,0))</f>
        <v>0</v>
      </c>
      <c r="E3773" s="26">
        <f>IF(D3773="","",INT((D3773-cfgDeslocamento)/4))</f>
        <v>0</v>
      </c>
      <c r="F3773" s="26">
        <f>IF(D3773="","",MOD(D3773-cfgDeslocamento,4)+1)</f>
        <v>0</v>
      </c>
      <c r="G3773" s="26">
        <f>IF(A3773="","",IF(AND(ISNUMBER(B3773),B3773&lt;&gt;0),1,0))</f>
        <v>0</v>
      </c>
      <c r="H3773" s="25">
        <f>IF(E3773="","",(E3773*4+3+cfgDeslocamento)/48)</f>
        <v>0</v>
      </c>
    </row>
    <row r="3774" spans="1:8">
      <c r="A3774" s="24"/>
      <c r="B3774" s="19"/>
      <c r="C3774" s="25">
        <f>IF(D3774="","",D3774/48)</f>
        <v>0</v>
      </c>
      <c r="D3774" s="26">
        <f>IF(A3774="","",ROUND((A3774-cfgDefasagem/1440)*48,0))</f>
        <v>0</v>
      </c>
      <c r="E3774" s="26">
        <f>IF(D3774="","",INT((D3774-cfgDeslocamento)/4))</f>
        <v>0</v>
      </c>
      <c r="F3774" s="26">
        <f>IF(D3774="","",MOD(D3774-cfgDeslocamento,4)+1)</f>
        <v>0</v>
      </c>
      <c r="G3774" s="26">
        <f>IF(A3774="","",IF(AND(ISNUMBER(B3774),B3774&lt;&gt;0),1,0))</f>
        <v>0</v>
      </c>
      <c r="H3774" s="25">
        <f>IF(E3774="","",(E3774*4+3+cfgDeslocamento)/48)</f>
        <v>0</v>
      </c>
    </row>
    <row r="3775" spans="1:8">
      <c r="A3775" s="24"/>
      <c r="B3775" s="19"/>
      <c r="C3775" s="25">
        <f>IF(D3775="","",D3775/48)</f>
        <v>0</v>
      </c>
      <c r="D3775" s="26">
        <f>IF(A3775="","",ROUND((A3775-cfgDefasagem/1440)*48,0))</f>
        <v>0</v>
      </c>
      <c r="E3775" s="26">
        <f>IF(D3775="","",INT((D3775-cfgDeslocamento)/4))</f>
        <v>0</v>
      </c>
      <c r="F3775" s="26">
        <f>IF(D3775="","",MOD(D3775-cfgDeslocamento,4)+1)</f>
        <v>0</v>
      </c>
      <c r="G3775" s="26">
        <f>IF(A3775="","",IF(AND(ISNUMBER(B3775),B3775&lt;&gt;0),1,0))</f>
        <v>0</v>
      </c>
      <c r="H3775" s="25">
        <f>IF(E3775="","",(E3775*4+3+cfgDeslocamento)/48)</f>
        <v>0</v>
      </c>
    </row>
    <row r="3776" spans="1:8">
      <c r="A3776" s="24"/>
      <c r="B3776" s="19"/>
      <c r="C3776" s="25">
        <f>IF(D3776="","",D3776/48)</f>
        <v>0</v>
      </c>
      <c r="D3776" s="26">
        <f>IF(A3776="","",ROUND((A3776-cfgDefasagem/1440)*48,0))</f>
        <v>0</v>
      </c>
      <c r="E3776" s="26">
        <f>IF(D3776="","",INT((D3776-cfgDeslocamento)/4))</f>
        <v>0</v>
      </c>
      <c r="F3776" s="26">
        <f>IF(D3776="","",MOD(D3776-cfgDeslocamento,4)+1)</f>
        <v>0</v>
      </c>
      <c r="G3776" s="26">
        <f>IF(A3776="","",IF(AND(ISNUMBER(B3776),B3776&lt;&gt;0),1,0))</f>
        <v>0</v>
      </c>
      <c r="H3776" s="25">
        <f>IF(E3776="","",(E3776*4+3+cfgDeslocamento)/48)</f>
        <v>0</v>
      </c>
    </row>
    <row r="3777" spans="1:8">
      <c r="A3777" s="24"/>
      <c r="B3777" s="19"/>
      <c r="C3777" s="25">
        <f>IF(D3777="","",D3777/48)</f>
        <v>0</v>
      </c>
      <c r="D3777" s="26">
        <f>IF(A3777="","",ROUND((A3777-cfgDefasagem/1440)*48,0))</f>
        <v>0</v>
      </c>
      <c r="E3777" s="26">
        <f>IF(D3777="","",INT((D3777-cfgDeslocamento)/4))</f>
        <v>0</v>
      </c>
      <c r="F3777" s="26">
        <f>IF(D3777="","",MOD(D3777-cfgDeslocamento,4)+1)</f>
        <v>0</v>
      </c>
      <c r="G3777" s="26">
        <f>IF(A3777="","",IF(AND(ISNUMBER(B3777),B3777&lt;&gt;0),1,0))</f>
        <v>0</v>
      </c>
      <c r="H3777" s="25">
        <f>IF(E3777="","",(E3777*4+3+cfgDeslocamento)/48)</f>
        <v>0</v>
      </c>
    </row>
    <row r="3778" spans="1:8">
      <c r="A3778" s="24"/>
      <c r="B3778" s="19"/>
      <c r="C3778" s="25">
        <f>IF(D3778="","",D3778/48)</f>
        <v>0</v>
      </c>
      <c r="D3778" s="26">
        <f>IF(A3778="","",ROUND((A3778-cfgDefasagem/1440)*48,0))</f>
        <v>0</v>
      </c>
      <c r="E3778" s="26">
        <f>IF(D3778="","",INT((D3778-cfgDeslocamento)/4))</f>
        <v>0</v>
      </c>
      <c r="F3778" s="26">
        <f>IF(D3778="","",MOD(D3778-cfgDeslocamento,4)+1)</f>
        <v>0</v>
      </c>
      <c r="G3778" s="26">
        <f>IF(A3778="","",IF(AND(ISNUMBER(B3778),B3778&lt;&gt;0),1,0))</f>
        <v>0</v>
      </c>
      <c r="H3778" s="25">
        <f>IF(E3778="","",(E3778*4+3+cfgDeslocamento)/48)</f>
        <v>0</v>
      </c>
    </row>
    <row r="3779" spans="1:8">
      <c r="A3779" s="24"/>
      <c r="B3779" s="19"/>
      <c r="C3779" s="25">
        <f>IF(D3779="","",D3779/48)</f>
        <v>0</v>
      </c>
      <c r="D3779" s="26">
        <f>IF(A3779="","",ROUND((A3779-cfgDefasagem/1440)*48,0))</f>
        <v>0</v>
      </c>
      <c r="E3779" s="26">
        <f>IF(D3779="","",INT((D3779-cfgDeslocamento)/4))</f>
        <v>0</v>
      </c>
      <c r="F3779" s="26">
        <f>IF(D3779="","",MOD(D3779-cfgDeslocamento,4)+1)</f>
        <v>0</v>
      </c>
      <c r="G3779" s="26">
        <f>IF(A3779="","",IF(AND(ISNUMBER(B3779),B3779&lt;&gt;0),1,0))</f>
        <v>0</v>
      </c>
      <c r="H3779" s="25">
        <f>IF(E3779="","",(E3779*4+3+cfgDeslocamento)/48)</f>
        <v>0</v>
      </c>
    </row>
    <row r="3780" spans="1:8">
      <c r="A3780" s="24"/>
      <c r="B3780" s="19"/>
      <c r="C3780" s="25">
        <f>IF(D3780="","",D3780/48)</f>
        <v>0</v>
      </c>
      <c r="D3780" s="26">
        <f>IF(A3780="","",ROUND((A3780-cfgDefasagem/1440)*48,0))</f>
        <v>0</v>
      </c>
      <c r="E3780" s="26">
        <f>IF(D3780="","",INT((D3780-cfgDeslocamento)/4))</f>
        <v>0</v>
      </c>
      <c r="F3780" s="26">
        <f>IF(D3780="","",MOD(D3780-cfgDeslocamento,4)+1)</f>
        <v>0</v>
      </c>
      <c r="G3780" s="26">
        <f>IF(A3780="","",IF(AND(ISNUMBER(B3780),B3780&lt;&gt;0),1,0))</f>
        <v>0</v>
      </c>
      <c r="H3780" s="25">
        <f>IF(E3780="","",(E3780*4+3+cfgDeslocamento)/48)</f>
        <v>0</v>
      </c>
    </row>
    <row r="3781" spans="1:8">
      <c r="A3781" s="24"/>
      <c r="B3781" s="19"/>
      <c r="C3781" s="25">
        <f>IF(D3781="","",D3781/48)</f>
        <v>0</v>
      </c>
      <c r="D3781" s="26">
        <f>IF(A3781="","",ROUND((A3781-cfgDefasagem/1440)*48,0))</f>
        <v>0</v>
      </c>
      <c r="E3781" s="26">
        <f>IF(D3781="","",INT((D3781-cfgDeslocamento)/4))</f>
        <v>0</v>
      </c>
      <c r="F3781" s="26">
        <f>IF(D3781="","",MOD(D3781-cfgDeslocamento,4)+1)</f>
        <v>0</v>
      </c>
      <c r="G3781" s="26">
        <f>IF(A3781="","",IF(AND(ISNUMBER(B3781),B3781&lt;&gt;0),1,0))</f>
        <v>0</v>
      </c>
      <c r="H3781" s="25">
        <f>IF(E3781="","",(E3781*4+3+cfgDeslocamento)/48)</f>
        <v>0</v>
      </c>
    </row>
    <row r="3782" spans="1:8">
      <c r="A3782" s="24"/>
      <c r="B3782" s="19"/>
      <c r="C3782" s="25">
        <f>IF(D3782="","",D3782/48)</f>
        <v>0</v>
      </c>
      <c r="D3782" s="26">
        <f>IF(A3782="","",ROUND((A3782-cfgDefasagem/1440)*48,0))</f>
        <v>0</v>
      </c>
      <c r="E3782" s="26">
        <f>IF(D3782="","",INT((D3782-cfgDeslocamento)/4))</f>
        <v>0</v>
      </c>
      <c r="F3782" s="26">
        <f>IF(D3782="","",MOD(D3782-cfgDeslocamento,4)+1)</f>
        <v>0</v>
      </c>
      <c r="G3782" s="26">
        <f>IF(A3782="","",IF(AND(ISNUMBER(B3782),B3782&lt;&gt;0),1,0))</f>
        <v>0</v>
      </c>
      <c r="H3782" s="25">
        <f>IF(E3782="","",(E3782*4+3+cfgDeslocamento)/48)</f>
        <v>0</v>
      </c>
    </row>
    <row r="3783" spans="1:8">
      <c r="A3783" s="24"/>
      <c r="B3783" s="19"/>
      <c r="C3783" s="25">
        <f>IF(D3783="","",D3783/48)</f>
        <v>0</v>
      </c>
      <c r="D3783" s="26">
        <f>IF(A3783="","",ROUND((A3783-cfgDefasagem/1440)*48,0))</f>
        <v>0</v>
      </c>
      <c r="E3783" s="26">
        <f>IF(D3783="","",INT((D3783-cfgDeslocamento)/4))</f>
        <v>0</v>
      </c>
      <c r="F3783" s="26">
        <f>IF(D3783="","",MOD(D3783-cfgDeslocamento,4)+1)</f>
        <v>0</v>
      </c>
      <c r="G3783" s="26">
        <f>IF(A3783="","",IF(AND(ISNUMBER(B3783),B3783&lt;&gt;0),1,0))</f>
        <v>0</v>
      </c>
      <c r="H3783" s="25">
        <f>IF(E3783="","",(E3783*4+3+cfgDeslocamento)/48)</f>
        <v>0</v>
      </c>
    </row>
    <row r="3784" spans="1:8">
      <c r="A3784" s="24"/>
      <c r="B3784" s="19"/>
      <c r="C3784" s="25">
        <f>IF(D3784="","",D3784/48)</f>
        <v>0</v>
      </c>
      <c r="D3784" s="26">
        <f>IF(A3784="","",ROUND((A3784-cfgDefasagem/1440)*48,0))</f>
        <v>0</v>
      </c>
      <c r="E3784" s="26">
        <f>IF(D3784="","",INT((D3784-cfgDeslocamento)/4))</f>
        <v>0</v>
      </c>
      <c r="F3784" s="26">
        <f>IF(D3784="","",MOD(D3784-cfgDeslocamento,4)+1)</f>
        <v>0</v>
      </c>
      <c r="G3784" s="26">
        <f>IF(A3784="","",IF(AND(ISNUMBER(B3784),B3784&lt;&gt;0),1,0))</f>
        <v>0</v>
      </c>
      <c r="H3784" s="25">
        <f>IF(E3784="","",(E3784*4+3+cfgDeslocamento)/48)</f>
        <v>0</v>
      </c>
    </row>
    <row r="3785" spans="1:8">
      <c r="A3785" s="24"/>
      <c r="B3785" s="19"/>
      <c r="C3785" s="25">
        <f>IF(D3785="","",D3785/48)</f>
        <v>0</v>
      </c>
      <c r="D3785" s="26">
        <f>IF(A3785="","",ROUND((A3785-cfgDefasagem/1440)*48,0))</f>
        <v>0</v>
      </c>
      <c r="E3785" s="26">
        <f>IF(D3785="","",INT((D3785-cfgDeslocamento)/4))</f>
        <v>0</v>
      </c>
      <c r="F3785" s="26">
        <f>IF(D3785="","",MOD(D3785-cfgDeslocamento,4)+1)</f>
        <v>0</v>
      </c>
      <c r="G3785" s="26">
        <f>IF(A3785="","",IF(AND(ISNUMBER(B3785),B3785&lt;&gt;0),1,0))</f>
        <v>0</v>
      </c>
      <c r="H3785" s="25">
        <f>IF(E3785="","",(E3785*4+3+cfgDeslocamento)/48)</f>
        <v>0</v>
      </c>
    </row>
    <row r="3786" spans="1:8">
      <c r="A3786" s="24"/>
      <c r="B3786" s="19"/>
      <c r="C3786" s="25">
        <f>IF(D3786="","",D3786/48)</f>
        <v>0</v>
      </c>
      <c r="D3786" s="26">
        <f>IF(A3786="","",ROUND((A3786-cfgDefasagem/1440)*48,0))</f>
        <v>0</v>
      </c>
      <c r="E3786" s="26">
        <f>IF(D3786="","",INT((D3786-cfgDeslocamento)/4))</f>
        <v>0</v>
      </c>
      <c r="F3786" s="26">
        <f>IF(D3786="","",MOD(D3786-cfgDeslocamento,4)+1)</f>
        <v>0</v>
      </c>
      <c r="G3786" s="26">
        <f>IF(A3786="","",IF(AND(ISNUMBER(B3786),B3786&lt;&gt;0),1,0))</f>
        <v>0</v>
      </c>
      <c r="H3786" s="25">
        <f>IF(E3786="","",(E3786*4+3+cfgDeslocamento)/48)</f>
        <v>0</v>
      </c>
    </row>
    <row r="3787" spans="1:8">
      <c r="A3787" s="24"/>
      <c r="B3787" s="19"/>
      <c r="C3787" s="25">
        <f>IF(D3787="","",D3787/48)</f>
        <v>0</v>
      </c>
      <c r="D3787" s="26">
        <f>IF(A3787="","",ROUND((A3787-cfgDefasagem/1440)*48,0))</f>
        <v>0</v>
      </c>
      <c r="E3787" s="26">
        <f>IF(D3787="","",INT((D3787-cfgDeslocamento)/4))</f>
        <v>0</v>
      </c>
      <c r="F3787" s="26">
        <f>IF(D3787="","",MOD(D3787-cfgDeslocamento,4)+1)</f>
        <v>0</v>
      </c>
      <c r="G3787" s="26">
        <f>IF(A3787="","",IF(AND(ISNUMBER(B3787),B3787&lt;&gt;0),1,0))</f>
        <v>0</v>
      </c>
      <c r="H3787" s="25">
        <f>IF(E3787="","",(E3787*4+3+cfgDeslocamento)/48)</f>
        <v>0</v>
      </c>
    </row>
    <row r="3788" spans="1:8">
      <c r="A3788" s="24"/>
      <c r="B3788" s="19"/>
      <c r="C3788" s="25">
        <f>IF(D3788="","",D3788/48)</f>
        <v>0</v>
      </c>
      <c r="D3788" s="26">
        <f>IF(A3788="","",ROUND((A3788-cfgDefasagem/1440)*48,0))</f>
        <v>0</v>
      </c>
      <c r="E3788" s="26">
        <f>IF(D3788="","",INT((D3788-cfgDeslocamento)/4))</f>
        <v>0</v>
      </c>
      <c r="F3788" s="26">
        <f>IF(D3788="","",MOD(D3788-cfgDeslocamento,4)+1)</f>
        <v>0</v>
      </c>
      <c r="G3788" s="26">
        <f>IF(A3788="","",IF(AND(ISNUMBER(B3788),B3788&lt;&gt;0),1,0))</f>
        <v>0</v>
      </c>
      <c r="H3788" s="25">
        <f>IF(E3788="","",(E3788*4+3+cfgDeslocamento)/48)</f>
        <v>0</v>
      </c>
    </row>
    <row r="3789" spans="1:8">
      <c r="A3789" s="24"/>
      <c r="B3789" s="19"/>
      <c r="C3789" s="25">
        <f>IF(D3789="","",D3789/48)</f>
        <v>0</v>
      </c>
      <c r="D3789" s="26">
        <f>IF(A3789="","",ROUND((A3789-cfgDefasagem/1440)*48,0))</f>
        <v>0</v>
      </c>
      <c r="E3789" s="26">
        <f>IF(D3789="","",INT((D3789-cfgDeslocamento)/4))</f>
        <v>0</v>
      </c>
      <c r="F3789" s="26">
        <f>IF(D3789="","",MOD(D3789-cfgDeslocamento,4)+1)</f>
        <v>0</v>
      </c>
      <c r="G3789" s="26">
        <f>IF(A3789="","",IF(AND(ISNUMBER(B3789),B3789&lt;&gt;0),1,0))</f>
        <v>0</v>
      </c>
      <c r="H3789" s="25">
        <f>IF(E3789="","",(E3789*4+3+cfgDeslocamento)/48)</f>
        <v>0</v>
      </c>
    </row>
    <row r="3790" spans="1:8">
      <c r="A3790" s="24"/>
      <c r="B3790" s="19"/>
      <c r="C3790" s="25">
        <f>IF(D3790="","",D3790/48)</f>
        <v>0</v>
      </c>
      <c r="D3790" s="26">
        <f>IF(A3790="","",ROUND((A3790-cfgDefasagem/1440)*48,0))</f>
        <v>0</v>
      </c>
      <c r="E3790" s="26">
        <f>IF(D3790="","",INT((D3790-cfgDeslocamento)/4))</f>
        <v>0</v>
      </c>
      <c r="F3790" s="26">
        <f>IF(D3790="","",MOD(D3790-cfgDeslocamento,4)+1)</f>
        <v>0</v>
      </c>
      <c r="G3790" s="26">
        <f>IF(A3790="","",IF(AND(ISNUMBER(B3790),B3790&lt;&gt;0),1,0))</f>
        <v>0</v>
      </c>
      <c r="H3790" s="25">
        <f>IF(E3790="","",(E3790*4+3+cfgDeslocamento)/48)</f>
        <v>0</v>
      </c>
    </row>
    <row r="3791" spans="1:8">
      <c r="A3791" s="24"/>
      <c r="B3791" s="19"/>
      <c r="C3791" s="25">
        <f>IF(D3791="","",D3791/48)</f>
        <v>0</v>
      </c>
      <c r="D3791" s="26">
        <f>IF(A3791="","",ROUND((A3791-cfgDefasagem/1440)*48,0))</f>
        <v>0</v>
      </c>
      <c r="E3791" s="26">
        <f>IF(D3791="","",INT((D3791-cfgDeslocamento)/4))</f>
        <v>0</v>
      </c>
      <c r="F3791" s="26">
        <f>IF(D3791="","",MOD(D3791-cfgDeslocamento,4)+1)</f>
        <v>0</v>
      </c>
      <c r="G3791" s="26">
        <f>IF(A3791="","",IF(AND(ISNUMBER(B3791),B3791&lt;&gt;0),1,0))</f>
        <v>0</v>
      </c>
      <c r="H3791" s="25">
        <f>IF(E3791="","",(E3791*4+3+cfgDeslocamento)/48)</f>
        <v>0</v>
      </c>
    </row>
    <row r="3792" spans="1:8">
      <c r="A3792" s="24"/>
      <c r="B3792" s="19"/>
      <c r="C3792" s="25">
        <f>IF(D3792="","",D3792/48)</f>
        <v>0</v>
      </c>
      <c r="D3792" s="26">
        <f>IF(A3792="","",ROUND((A3792-cfgDefasagem/1440)*48,0))</f>
        <v>0</v>
      </c>
      <c r="E3792" s="26">
        <f>IF(D3792="","",INT((D3792-cfgDeslocamento)/4))</f>
        <v>0</v>
      </c>
      <c r="F3792" s="26">
        <f>IF(D3792="","",MOD(D3792-cfgDeslocamento,4)+1)</f>
        <v>0</v>
      </c>
      <c r="G3792" s="26">
        <f>IF(A3792="","",IF(AND(ISNUMBER(B3792),B3792&lt;&gt;0),1,0))</f>
        <v>0</v>
      </c>
      <c r="H3792" s="25">
        <f>IF(E3792="","",(E3792*4+3+cfgDeslocamento)/48)</f>
        <v>0</v>
      </c>
    </row>
    <row r="3793" spans="1:8">
      <c r="A3793" s="24"/>
      <c r="B3793" s="19"/>
      <c r="C3793" s="25">
        <f>IF(D3793="","",D3793/48)</f>
        <v>0</v>
      </c>
      <c r="D3793" s="26">
        <f>IF(A3793="","",ROUND((A3793-cfgDefasagem/1440)*48,0))</f>
        <v>0</v>
      </c>
      <c r="E3793" s="26">
        <f>IF(D3793="","",INT((D3793-cfgDeslocamento)/4))</f>
        <v>0</v>
      </c>
      <c r="F3793" s="26">
        <f>IF(D3793="","",MOD(D3793-cfgDeslocamento,4)+1)</f>
        <v>0</v>
      </c>
      <c r="G3793" s="26">
        <f>IF(A3793="","",IF(AND(ISNUMBER(B3793),B3793&lt;&gt;0),1,0))</f>
        <v>0</v>
      </c>
      <c r="H3793" s="25">
        <f>IF(E3793="","",(E3793*4+3+cfgDeslocamento)/48)</f>
        <v>0</v>
      </c>
    </row>
    <row r="3794" spans="1:8">
      <c r="A3794" s="24"/>
      <c r="B3794" s="19"/>
      <c r="C3794" s="25">
        <f>IF(D3794="","",D3794/48)</f>
        <v>0</v>
      </c>
      <c r="D3794" s="26">
        <f>IF(A3794="","",ROUND((A3794-cfgDefasagem/1440)*48,0))</f>
        <v>0</v>
      </c>
      <c r="E3794" s="26">
        <f>IF(D3794="","",INT((D3794-cfgDeslocamento)/4))</f>
        <v>0</v>
      </c>
      <c r="F3794" s="26">
        <f>IF(D3794="","",MOD(D3794-cfgDeslocamento,4)+1)</f>
        <v>0</v>
      </c>
      <c r="G3794" s="26">
        <f>IF(A3794="","",IF(AND(ISNUMBER(B3794),B3794&lt;&gt;0),1,0))</f>
        <v>0</v>
      </c>
      <c r="H3794" s="25">
        <f>IF(E3794="","",(E3794*4+3+cfgDeslocamento)/48)</f>
        <v>0</v>
      </c>
    </row>
    <row r="3795" spans="1:8">
      <c r="A3795" s="24"/>
      <c r="B3795" s="19"/>
      <c r="C3795" s="25">
        <f>IF(D3795="","",D3795/48)</f>
        <v>0</v>
      </c>
      <c r="D3795" s="26">
        <f>IF(A3795="","",ROUND((A3795-cfgDefasagem/1440)*48,0))</f>
        <v>0</v>
      </c>
      <c r="E3795" s="26">
        <f>IF(D3795="","",INT((D3795-cfgDeslocamento)/4))</f>
        <v>0</v>
      </c>
      <c r="F3795" s="26">
        <f>IF(D3795="","",MOD(D3795-cfgDeslocamento,4)+1)</f>
        <v>0</v>
      </c>
      <c r="G3795" s="26">
        <f>IF(A3795="","",IF(AND(ISNUMBER(B3795),B3795&lt;&gt;0),1,0))</f>
        <v>0</v>
      </c>
      <c r="H3795" s="25">
        <f>IF(E3795="","",(E3795*4+3+cfgDeslocamento)/48)</f>
        <v>0</v>
      </c>
    </row>
    <row r="3796" spans="1:8">
      <c r="A3796" s="24"/>
      <c r="B3796" s="19"/>
      <c r="C3796" s="25">
        <f>IF(D3796="","",D3796/48)</f>
        <v>0</v>
      </c>
      <c r="D3796" s="26">
        <f>IF(A3796="","",ROUND((A3796-cfgDefasagem/1440)*48,0))</f>
        <v>0</v>
      </c>
      <c r="E3796" s="26">
        <f>IF(D3796="","",INT((D3796-cfgDeslocamento)/4))</f>
        <v>0</v>
      </c>
      <c r="F3796" s="26">
        <f>IF(D3796="","",MOD(D3796-cfgDeslocamento,4)+1)</f>
        <v>0</v>
      </c>
      <c r="G3796" s="26">
        <f>IF(A3796="","",IF(AND(ISNUMBER(B3796),B3796&lt;&gt;0),1,0))</f>
        <v>0</v>
      </c>
      <c r="H3796" s="25">
        <f>IF(E3796="","",(E3796*4+3+cfgDeslocamento)/48)</f>
        <v>0</v>
      </c>
    </row>
    <row r="3797" spans="1:8">
      <c r="A3797" s="24"/>
      <c r="B3797" s="19"/>
      <c r="C3797" s="25">
        <f>IF(D3797="","",D3797/48)</f>
        <v>0</v>
      </c>
      <c r="D3797" s="26">
        <f>IF(A3797="","",ROUND((A3797-cfgDefasagem/1440)*48,0))</f>
        <v>0</v>
      </c>
      <c r="E3797" s="26">
        <f>IF(D3797="","",INT((D3797-cfgDeslocamento)/4))</f>
        <v>0</v>
      </c>
      <c r="F3797" s="26">
        <f>IF(D3797="","",MOD(D3797-cfgDeslocamento,4)+1)</f>
        <v>0</v>
      </c>
      <c r="G3797" s="26">
        <f>IF(A3797="","",IF(AND(ISNUMBER(B3797),B3797&lt;&gt;0),1,0))</f>
        <v>0</v>
      </c>
      <c r="H3797" s="25">
        <f>IF(E3797="","",(E3797*4+3+cfgDeslocamento)/48)</f>
        <v>0</v>
      </c>
    </row>
    <row r="3798" spans="1:8">
      <c r="A3798" s="24"/>
      <c r="B3798" s="19"/>
      <c r="C3798" s="25">
        <f>IF(D3798="","",D3798/48)</f>
        <v>0</v>
      </c>
      <c r="D3798" s="26">
        <f>IF(A3798="","",ROUND((A3798-cfgDefasagem/1440)*48,0))</f>
        <v>0</v>
      </c>
      <c r="E3798" s="26">
        <f>IF(D3798="","",INT((D3798-cfgDeslocamento)/4))</f>
        <v>0</v>
      </c>
      <c r="F3798" s="26">
        <f>IF(D3798="","",MOD(D3798-cfgDeslocamento,4)+1)</f>
        <v>0</v>
      </c>
      <c r="G3798" s="26">
        <f>IF(A3798="","",IF(AND(ISNUMBER(B3798),B3798&lt;&gt;0),1,0))</f>
        <v>0</v>
      </c>
      <c r="H3798" s="25">
        <f>IF(E3798="","",(E3798*4+3+cfgDeslocamento)/48)</f>
        <v>0</v>
      </c>
    </row>
    <row r="3799" spans="1:8">
      <c r="A3799" s="24"/>
      <c r="B3799" s="19"/>
      <c r="C3799" s="25">
        <f>IF(D3799="","",D3799/48)</f>
        <v>0</v>
      </c>
      <c r="D3799" s="26">
        <f>IF(A3799="","",ROUND((A3799-cfgDefasagem/1440)*48,0))</f>
        <v>0</v>
      </c>
      <c r="E3799" s="26">
        <f>IF(D3799="","",INT((D3799-cfgDeslocamento)/4))</f>
        <v>0</v>
      </c>
      <c r="F3799" s="26">
        <f>IF(D3799="","",MOD(D3799-cfgDeslocamento,4)+1)</f>
        <v>0</v>
      </c>
      <c r="G3799" s="26">
        <f>IF(A3799="","",IF(AND(ISNUMBER(B3799),B3799&lt;&gt;0),1,0))</f>
        <v>0</v>
      </c>
      <c r="H3799" s="25">
        <f>IF(E3799="","",(E3799*4+3+cfgDeslocamento)/48)</f>
        <v>0</v>
      </c>
    </row>
    <row r="3800" spans="1:8">
      <c r="A3800" s="24"/>
      <c r="B3800" s="19"/>
      <c r="C3800" s="25">
        <f>IF(D3800="","",D3800/48)</f>
        <v>0</v>
      </c>
      <c r="D3800" s="26">
        <f>IF(A3800="","",ROUND((A3800-cfgDefasagem/1440)*48,0))</f>
        <v>0</v>
      </c>
      <c r="E3800" s="26">
        <f>IF(D3800="","",INT((D3800-cfgDeslocamento)/4))</f>
        <v>0</v>
      </c>
      <c r="F3800" s="26">
        <f>IF(D3800="","",MOD(D3800-cfgDeslocamento,4)+1)</f>
        <v>0</v>
      </c>
      <c r="G3800" s="26">
        <f>IF(A3800="","",IF(AND(ISNUMBER(B3800),B3800&lt;&gt;0),1,0))</f>
        <v>0</v>
      </c>
      <c r="H3800" s="25">
        <f>IF(E3800="","",(E3800*4+3+cfgDeslocamento)/48)</f>
        <v>0</v>
      </c>
    </row>
    <row r="3801" spans="1:8">
      <c r="A3801" s="24"/>
      <c r="B3801" s="19"/>
      <c r="C3801" s="25">
        <f>IF(D3801="","",D3801/48)</f>
        <v>0</v>
      </c>
      <c r="D3801" s="26">
        <f>IF(A3801="","",ROUND((A3801-cfgDefasagem/1440)*48,0))</f>
        <v>0</v>
      </c>
      <c r="E3801" s="26">
        <f>IF(D3801="","",INT((D3801-cfgDeslocamento)/4))</f>
        <v>0</v>
      </c>
      <c r="F3801" s="26">
        <f>IF(D3801="","",MOD(D3801-cfgDeslocamento,4)+1)</f>
        <v>0</v>
      </c>
      <c r="G3801" s="26">
        <f>IF(A3801="","",IF(AND(ISNUMBER(B3801),B3801&lt;&gt;0),1,0))</f>
        <v>0</v>
      </c>
      <c r="H3801" s="25">
        <f>IF(E3801="","",(E3801*4+3+cfgDeslocamento)/48)</f>
        <v>0</v>
      </c>
    </row>
    <row r="3802" spans="1:8">
      <c r="A3802" s="24"/>
      <c r="B3802" s="19"/>
      <c r="C3802" s="25">
        <f>IF(D3802="","",D3802/48)</f>
        <v>0</v>
      </c>
      <c r="D3802" s="26">
        <f>IF(A3802="","",ROUND((A3802-cfgDefasagem/1440)*48,0))</f>
        <v>0</v>
      </c>
      <c r="E3802" s="26">
        <f>IF(D3802="","",INT((D3802-cfgDeslocamento)/4))</f>
        <v>0</v>
      </c>
      <c r="F3802" s="26">
        <f>IF(D3802="","",MOD(D3802-cfgDeslocamento,4)+1)</f>
        <v>0</v>
      </c>
      <c r="G3802" s="26">
        <f>IF(A3802="","",IF(AND(ISNUMBER(B3802),B3802&lt;&gt;0),1,0))</f>
        <v>0</v>
      </c>
      <c r="H3802" s="25">
        <f>IF(E3802="","",(E3802*4+3+cfgDeslocamento)/48)</f>
        <v>0</v>
      </c>
    </row>
    <row r="3803" spans="1:8">
      <c r="A3803" s="24"/>
      <c r="B3803" s="19"/>
      <c r="C3803" s="25">
        <f>IF(D3803="","",D3803/48)</f>
        <v>0</v>
      </c>
      <c r="D3803" s="26">
        <f>IF(A3803="","",ROUND((A3803-cfgDefasagem/1440)*48,0))</f>
        <v>0</v>
      </c>
      <c r="E3803" s="26">
        <f>IF(D3803="","",INT((D3803-cfgDeslocamento)/4))</f>
        <v>0</v>
      </c>
      <c r="F3803" s="26">
        <f>IF(D3803="","",MOD(D3803-cfgDeslocamento,4)+1)</f>
        <v>0</v>
      </c>
      <c r="G3803" s="26">
        <f>IF(A3803="","",IF(AND(ISNUMBER(B3803),B3803&lt;&gt;0),1,0))</f>
        <v>0</v>
      </c>
      <c r="H3803" s="25">
        <f>IF(E3803="","",(E3803*4+3+cfgDeslocamento)/48)</f>
        <v>0</v>
      </c>
    </row>
    <row r="3804" spans="1:8">
      <c r="A3804" s="24"/>
      <c r="B3804" s="19"/>
      <c r="C3804" s="25">
        <f>IF(D3804="","",D3804/48)</f>
        <v>0</v>
      </c>
      <c r="D3804" s="26">
        <f>IF(A3804="","",ROUND((A3804-cfgDefasagem/1440)*48,0))</f>
        <v>0</v>
      </c>
      <c r="E3804" s="26">
        <f>IF(D3804="","",INT((D3804-cfgDeslocamento)/4))</f>
        <v>0</v>
      </c>
      <c r="F3804" s="26">
        <f>IF(D3804="","",MOD(D3804-cfgDeslocamento,4)+1)</f>
        <v>0</v>
      </c>
      <c r="G3804" s="26">
        <f>IF(A3804="","",IF(AND(ISNUMBER(B3804),B3804&lt;&gt;0),1,0))</f>
        <v>0</v>
      </c>
      <c r="H3804" s="25">
        <f>IF(E3804="","",(E3804*4+3+cfgDeslocamento)/48)</f>
        <v>0</v>
      </c>
    </row>
    <row r="3805" spans="1:8">
      <c r="A3805" s="24"/>
      <c r="B3805" s="19"/>
      <c r="C3805" s="25">
        <f>IF(D3805="","",D3805/48)</f>
        <v>0</v>
      </c>
      <c r="D3805" s="26">
        <f>IF(A3805="","",ROUND((A3805-cfgDefasagem/1440)*48,0))</f>
        <v>0</v>
      </c>
      <c r="E3805" s="26">
        <f>IF(D3805="","",INT((D3805-cfgDeslocamento)/4))</f>
        <v>0</v>
      </c>
      <c r="F3805" s="26">
        <f>IF(D3805="","",MOD(D3805-cfgDeslocamento,4)+1)</f>
        <v>0</v>
      </c>
      <c r="G3805" s="26">
        <f>IF(A3805="","",IF(AND(ISNUMBER(B3805),B3805&lt;&gt;0),1,0))</f>
        <v>0</v>
      </c>
      <c r="H3805" s="25">
        <f>IF(E3805="","",(E3805*4+3+cfgDeslocamento)/48)</f>
        <v>0</v>
      </c>
    </row>
    <row r="3806" spans="1:8">
      <c r="A3806" s="24"/>
      <c r="B3806" s="19"/>
      <c r="C3806" s="25">
        <f>IF(D3806="","",D3806/48)</f>
        <v>0</v>
      </c>
      <c r="D3806" s="26">
        <f>IF(A3806="","",ROUND((A3806-cfgDefasagem/1440)*48,0))</f>
        <v>0</v>
      </c>
      <c r="E3806" s="26">
        <f>IF(D3806="","",INT((D3806-cfgDeslocamento)/4))</f>
        <v>0</v>
      </c>
      <c r="F3806" s="26">
        <f>IF(D3806="","",MOD(D3806-cfgDeslocamento,4)+1)</f>
        <v>0</v>
      </c>
      <c r="G3806" s="26">
        <f>IF(A3806="","",IF(AND(ISNUMBER(B3806),B3806&lt;&gt;0),1,0))</f>
        <v>0</v>
      </c>
      <c r="H3806" s="25">
        <f>IF(E3806="","",(E3806*4+3+cfgDeslocamento)/48)</f>
        <v>0</v>
      </c>
    </row>
    <row r="3807" spans="1:8">
      <c r="A3807" s="24"/>
      <c r="B3807" s="19"/>
      <c r="C3807" s="25">
        <f>IF(D3807="","",D3807/48)</f>
        <v>0</v>
      </c>
      <c r="D3807" s="26">
        <f>IF(A3807="","",ROUND((A3807-cfgDefasagem/1440)*48,0))</f>
        <v>0</v>
      </c>
      <c r="E3807" s="26">
        <f>IF(D3807="","",INT((D3807-cfgDeslocamento)/4))</f>
        <v>0</v>
      </c>
      <c r="F3807" s="26">
        <f>IF(D3807="","",MOD(D3807-cfgDeslocamento,4)+1)</f>
        <v>0</v>
      </c>
      <c r="G3807" s="26">
        <f>IF(A3807="","",IF(AND(ISNUMBER(B3807),B3807&lt;&gt;0),1,0))</f>
        <v>0</v>
      </c>
      <c r="H3807" s="25">
        <f>IF(E3807="","",(E3807*4+3+cfgDeslocamento)/48)</f>
        <v>0</v>
      </c>
    </row>
    <row r="3808" spans="1:8">
      <c r="A3808" s="24"/>
      <c r="B3808" s="19"/>
      <c r="C3808" s="25">
        <f>IF(D3808="","",D3808/48)</f>
        <v>0</v>
      </c>
      <c r="D3808" s="26">
        <f>IF(A3808="","",ROUND((A3808-cfgDefasagem/1440)*48,0))</f>
        <v>0</v>
      </c>
      <c r="E3808" s="26">
        <f>IF(D3808="","",INT((D3808-cfgDeslocamento)/4))</f>
        <v>0</v>
      </c>
      <c r="F3808" s="26">
        <f>IF(D3808="","",MOD(D3808-cfgDeslocamento,4)+1)</f>
        <v>0</v>
      </c>
      <c r="G3808" s="26">
        <f>IF(A3808="","",IF(AND(ISNUMBER(B3808),B3808&lt;&gt;0),1,0))</f>
        <v>0</v>
      </c>
      <c r="H3808" s="25">
        <f>IF(E3808="","",(E3808*4+3+cfgDeslocamento)/48)</f>
        <v>0</v>
      </c>
    </row>
    <row r="3809" spans="1:8">
      <c r="A3809" s="24"/>
      <c r="B3809" s="19"/>
      <c r="C3809" s="25">
        <f>IF(D3809="","",D3809/48)</f>
        <v>0</v>
      </c>
      <c r="D3809" s="26">
        <f>IF(A3809="","",ROUND((A3809-cfgDefasagem/1440)*48,0))</f>
        <v>0</v>
      </c>
      <c r="E3809" s="26">
        <f>IF(D3809="","",INT((D3809-cfgDeslocamento)/4))</f>
        <v>0</v>
      </c>
      <c r="F3809" s="26">
        <f>IF(D3809="","",MOD(D3809-cfgDeslocamento,4)+1)</f>
        <v>0</v>
      </c>
      <c r="G3809" s="26">
        <f>IF(A3809="","",IF(AND(ISNUMBER(B3809),B3809&lt;&gt;0),1,0))</f>
        <v>0</v>
      </c>
      <c r="H3809" s="25">
        <f>IF(E3809="","",(E3809*4+3+cfgDeslocamento)/48)</f>
        <v>0</v>
      </c>
    </row>
    <row r="3810" spans="1:8">
      <c r="A3810" s="24"/>
      <c r="B3810" s="19"/>
      <c r="C3810" s="25">
        <f>IF(D3810="","",D3810/48)</f>
        <v>0</v>
      </c>
      <c r="D3810" s="26">
        <f>IF(A3810="","",ROUND((A3810-cfgDefasagem/1440)*48,0))</f>
        <v>0</v>
      </c>
      <c r="E3810" s="26">
        <f>IF(D3810="","",INT((D3810-cfgDeslocamento)/4))</f>
        <v>0</v>
      </c>
      <c r="F3810" s="26">
        <f>IF(D3810="","",MOD(D3810-cfgDeslocamento,4)+1)</f>
        <v>0</v>
      </c>
      <c r="G3810" s="26">
        <f>IF(A3810="","",IF(AND(ISNUMBER(B3810),B3810&lt;&gt;0),1,0))</f>
        <v>0</v>
      </c>
      <c r="H3810" s="25">
        <f>IF(E3810="","",(E3810*4+3+cfgDeslocamento)/48)</f>
        <v>0</v>
      </c>
    </row>
    <row r="3811" spans="1:8">
      <c r="A3811" s="24"/>
      <c r="B3811" s="19"/>
      <c r="C3811" s="25">
        <f>IF(D3811="","",D3811/48)</f>
        <v>0</v>
      </c>
      <c r="D3811" s="26">
        <f>IF(A3811="","",ROUND((A3811-cfgDefasagem/1440)*48,0))</f>
        <v>0</v>
      </c>
      <c r="E3811" s="26">
        <f>IF(D3811="","",INT((D3811-cfgDeslocamento)/4))</f>
        <v>0</v>
      </c>
      <c r="F3811" s="26">
        <f>IF(D3811="","",MOD(D3811-cfgDeslocamento,4)+1)</f>
        <v>0</v>
      </c>
      <c r="G3811" s="26">
        <f>IF(A3811="","",IF(AND(ISNUMBER(B3811),B3811&lt;&gt;0),1,0))</f>
        <v>0</v>
      </c>
      <c r="H3811" s="25">
        <f>IF(E3811="","",(E3811*4+3+cfgDeslocamento)/48)</f>
        <v>0</v>
      </c>
    </row>
    <row r="3812" spans="1:8">
      <c r="A3812" s="24"/>
      <c r="B3812" s="19"/>
      <c r="C3812" s="25">
        <f>IF(D3812="","",D3812/48)</f>
        <v>0</v>
      </c>
      <c r="D3812" s="26">
        <f>IF(A3812="","",ROUND((A3812-cfgDefasagem/1440)*48,0))</f>
        <v>0</v>
      </c>
      <c r="E3812" s="26">
        <f>IF(D3812="","",INT((D3812-cfgDeslocamento)/4))</f>
        <v>0</v>
      </c>
      <c r="F3812" s="26">
        <f>IF(D3812="","",MOD(D3812-cfgDeslocamento,4)+1)</f>
        <v>0</v>
      </c>
      <c r="G3812" s="26">
        <f>IF(A3812="","",IF(AND(ISNUMBER(B3812),B3812&lt;&gt;0),1,0))</f>
        <v>0</v>
      </c>
      <c r="H3812" s="25">
        <f>IF(E3812="","",(E3812*4+3+cfgDeslocamento)/48)</f>
        <v>0</v>
      </c>
    </row>
    <row r="3813" spans="1:8">
      <c r="A3813" s="24"/>
      <c r="B3813" s="19"/>
      <c r="C3813" s="25">
        <f>IF(D3813="","",D3813/48)</f>
        <v>0</v>
      </c>
      <c r="D3813" s="26">
        <f>IF(A3813="","",ROUND((A3813-cfgDefasagem/1440)*48,0))</f>
        <v>0</v>
      </c>
      <c r="E3813" s="26">
        <f>IF(D3813="","",INT((D3813-cfgDeslocamento)/4))</f>
        <v>0</v>
      </c>
      <c r="F3813" s="26">
        <f>IF(D3813="","",MOD(D3813-cfgDeslocamento,4)+1)</f>
        <v>0</v>
      </c>
      <c r="G3813" s="26">
        <f>IF(A3813="","",IF(AND(ISNUMBER(B3813),B3813&lt;&gt;0),1,0))</f>
        <v>0</v>
      </c>
      <c r="H3813" s="25">
        <f>IF(E3813="","",(E3813*4+3+cfgDeslocamento)/48)</f>
        <v>0</v>
      </c>
    </row>
    <row r="3814" spans="1:8">
      <c r="A3814" s="24"/>
      <c r="B3814" s="19"/>
      <c r="C3814" s="25">
        <f>IF(D3814="","",D3814/48)</f>
        <v>0</v>
      </c>
      <c r="D3814" s="26">
        <f>IF(A3814="","",ROUND((A3814-cfgDefasagem/1440)*48,0))</f>
        <v>0</v>
      </c>
      <c r="E3814" s="26">
        <f>IF(D3814="","",INT((D3814-cfgDeslocamento)/4))</f>
        <v>0</v>
      </c>
      <c r="F3814" s="26">
        <f>IF(D3814="","",MOD(D3814-cfgDeslocamento,4)+1)</f>
        <v>0</v>
      </c>
      <c r="G3814" s="26">
        <f>IF(A3814="","",IF(AND(ISNUMBER(B3814),B3814&lt;&gt;0),1,0))</f>
        <v>0</v>
      </c>
      <c r="H3814" s="25">
        <f>IF(E3814="","",(E3814*4+3+cfgDeslocamento)/48)</f>
        <v>0</v>
      </c>
    </row>
    <row r="3815" spans="1:8">
      <c r="A3815" s="24"/>
      <c r="B3815" s="19"/>
      <c r="C3815" s="25">
        <f>IF(D3815="","",D3815/48)</f>
        <v>0</v>
      </c>
      <c r="D3815" s="26">
        <f>IF(A3815="","",ROUND((A3815-cfgDefasagem/1440)*48,0))</f>
        <v>0</v>
      </c>
      <c r="E3815" s="26">
        <f>IF(D3815="","",INT((D3815-cfgDeslocamento)/4))</f>
        <v>0</v>
      </c>
      <c r="F3815" s="26">
        <f>IF(D3815="","",MOD(D3815-cfgDeslocamento,4)+1)</f>
        <v>0</v>
      </c>
      <c r="G3815" s="26">
        <f>IF(A3815="","",IF(AND(ISNUMBER(B3815),B3815&lt;&gt;0),1,0))</f>
        <v>0</v>
      </c>
      <c r="H3815" s="25">
        <f>IF(E3815="","",(E3815*4+3+cfgDeslocamento)/48)</f>
        <v>0</v>
      </c>
    </row>
    <row r="3816" spans="1:8">
      <c r="A3816" s="24"/>
      <c r="B3816" s="19"/>
      <c r="C3816" s="25">
        <f>IF(D3816="","",D3816/48)</f>
        <v>0</v>
      </c>
      <c r="D3816" s="26">
        <f>IF(A3816="","",ROUND((A3816-cfgDefasagem/1440)*48,0))</f>
        <v>0</v>
      </c>
      <c r="E3816" s="26">
        <f>IF(D3816="","",INT((D3816-cfgDeslocamento)/4))</f>
        <v>0</v>
      </c>
      <c r="F3816" s="26">
        <f>IF(D3816="","",MOD(D3816-cfgDeslocamento,4)+1)</f>
        <v>0</v>
      </c>
      <c r="G3816" s="26">
        <f>IF(A3816="","",IF(AND(ISNUMBER(B3816),B3816&lt;&gt;0),1,0))</f>
        <v>0</v>
      </c>
      <c r="H3816" s="25">
        <f>IF(E3816="","",(E3816*4+3+cfgDeslocamento)/48)</f>
        <v>0</v>
      </c>
    </row>
    <row r="3817" spans="1:8">
      <c r="A3817" s="24"/>
      <c r="B3817" s="19"/>
      <c r="C3817" s="25">
        <f>IF(D3817="","",D3817/48)</f>
        <v>0</v>
      </c>
      <c r="D3817" s="26">
        <f>IF(A3817="","",ROUND((A3817-cfgDefasagem/1440)*48,0))</f>
        <v>0</v>
      </c>
      <c r="E3817" s="26">
        <f>IF(D3817="","",INT((D3817-cfgDeslocamento)/4))</f>
        <v>0</v>
      </c>
      <c r="F3817" s="26">
        <f>IF(D3817="","",MOD(D3817-cfgDeslocamento,4)+1)</f>
        <v>0</v>
      </c>
      <c r="G3817" s="26">
        <f>IF(A3817="","",IF(AND(ISNUMBER(B3817),B3817&lt;&gt;0),1,0))</f>
        <v>0</v>
      </c>
      <c r="H3817" s="25">
        <f>IF(E3817="","",(E3817*4+3+cfgDeslocamento)/48)</f>
        <v>0</v>
      </c>
    </row>
    <row r="3818" spans="1:8">
      <c r="A3818" s="24"/>
      <c r="B3818" s="19"/>
      <c r="C3818" s="25">
        <f>IF(D3818="","",D3818/48)</f>
        <v>0</v>
      </c>
      <c r="D3818" s="26">
        <f>IF(A3818="","",ROUND((A3818-cfgDefasagem/1440)*48,0))</f>
        <v>0</v>
      </c>
      <c r="E3818" s="26">
        <f>IF(D3818="","",INT((D3818-cfgDeslocamento)/4))</f>
        <v>0</v>
      </c>
      <c r="F3818" s="26">
        <f>IF(D3818="","",MOD(D3818-cfgDeslocamento,4)+1)</f>
        <v>0</v>
      </c>
      <c r="G3818" s="26">
        <f>IF(A3818="","",IF(AND(ISNUMBER(B3818),B3818&lt;&gt;0),1,0))</f>
        <v>0</v>
      </c>
      <c r="H3818" s="25">
        <f>IF(E3818="","",(E3818*4+3+cfgDeslocamento)/48)</f>
        <v>0</v>
      </c>
    </row>
    <row r="3819" spans="1:8">
      <c r="A3819" s="24"/>
      <c r="B3819" s="19"/>
      <c r="C3819" s="25">
        <f>IF(D3819="","",D3819/48)</f>
        <v>0</v>
      </c>
      <c r="D3819" s="26">
        <f>IF(A3819="","",ROUND((A3819-cfgDefasagem/1440)*48,0))</f>
        <v>0</v>
      </c>
      <c r="E3819" s="26">
        <f>IF(D3819="","",INT((D3819-cfgDeslocamento)/4))</f>
        <v>0</v>
      </c>
      <c r="F3819" s="26">
        <f>IF(D3819="","",MOD(D3819-cfgDeslocamento,4)+1)</f>
        <v>0</v>
      </c>
      <c r="G3819" s="26">
        <f>IF(A3819="","",IF(AND(ISNUMBER(B3819),B3819&lt;&gt;0),1,0))</f>
        <v>0</v>
      </c>
      <c r="H3819" s="25">
        <f>IF(E3819="","",(E3819*4+3+cfgDeslocamento)/48)</f>
        <v>0</v>
      </c>
    </row>
    <row r="3820" spans="1:8">
      <c r="A3820" s="24"/>
      <c r="B3820" s="19"/>
      <c r="C3820" s="25">
        <f>IF(D3820="","",D3820/48)</f>
        <v>0</v>
      </c>
      <c r="D3820" s="26">
        <f>IF(A3820="","",ROUND((A3820-cfgDefasagem/1440)*48,0))</f>
        <v>0</v>
      </c>
      <c r="E3820" s="26">
        <f>IF(D3820="","",INT((D3820-cfgDeslocamento)/4))</f>
        <v>0</v>
      </c>
      <c r="F3820" s="26">
        <f>IF(D3820="","",MOD(D3820-cfgDeslocamento,4)+1)</f>
        <v>0</v>
      </c>
      <c r="G3820" s="26">
        <f>IF(A3820="","",IF(AND(ISNUMBER(B3820),B3820&lt;&gt;0),1,0))</f>
        <v>0</v>
      </c>
      <c r="H3820" s="25">
        <f>IF(E3820="","",(E3820*4+3+cfgDeslocamento)/48)</f>
        <v>0</v>
      </c>
    </row>
    <row r="3821" spans="1:8">
      <c r="A3821" s="24"/>
      <c r="B3821" s="19"/>
      <c r="C3821" s="25">
        <f>IF(D3821="","",D3821/48)</f>
        <v>0</v>
      </c>
      <c r="D3821" s="26">
        <f>IF(A3821="","",ROUND((A3821-cfgDefasagem/1440)*48,0))</f>
        <v>0</v>
      </c>
      <c r="E3821" s="26">
        <f>IF(D3821="","",INT((D3821-cfgDeslocamento)/4))</f>
        <v>0</v>
      </c>
      <c r="F3821" s="26">
        <f>IF(D3821="","",MOD(D3821-cfgDeslocamento,4)+1)</f>
        <v>0</v>
      </c>
      <c r="G3821" s="26">
        <f>IF(A3821="","",IF(AND(ISNUMBER(B3821),B3821&lt;&gt;0),1,0))</f>
        <v>0</v>
      </c>
      <c r="H3821" s="25">
        <f>IF(E3821="","",(E3821*4+3+cfgDeslocamento)/48)</f>
        <v>0</v>
      </c>
    </row>
    <row r="3822" spans="1:8">
      <c r="A3822" s="24"/>
      <c r="B3822" s="19"/>
      <c r="C3822" s="25">
        <f>IF(D3822="","",D3822/48)</f>
        <v>0</v>
      </c>
      <c r="D3822" s="26">
        <f>IF(A3822="","",ROUND((A3822-cfgDefasagem/1440)*48,0))</f>
        <v>0</v>
      </c>
      <c r="E3822" s="26">
        <f>IF(D3822="","",INT((D3822-cfgDeslocamento)/4))</f>
        <v>0</v>
      </c>
      <c r="F3822" s="26">
        <f>IF(D3822="","",MOD(D3822-cfgDeslocamento,4)+1)</f>
        <v>0</v>
      </c>
      <c r="G3822" s="26">
        <f>IF(A3822="","",IF(AND(ISNUMBER(B3822),B3822&lt;&gt;0),1,0))</f>
        <v>0</v>
      </c>
      <c r="H3822" s="25">
        <f>IF(E3822="","",(E3822*4+3+cfgDeslocamento)/48)</f>
        <v>0</v>
      </c>
    </row>
    <row r="3823" spans="1:8">
      <c r="A3823" s="24"/>
      <c r="B3823" s="19"/>
      <c r="C3823" s="25">
        <f>IF(D3823="","",D3823/48)</f>
        <v>0</v>
      </c>
      <c r="D3823" s="26">
        <f>IF(A3823="","",ROUND((A3823-cfgDefasagem/1440)*48,0))</f>
        <v>0</v>
      </c>
      <c r="E3823" s="26">
        <f>IF(D3823="","",INT((D3823-cfgDeslocamento)/4))</f>
        <v>0</v>
      </c>
      <c r="F3823" s="26">
        <f>IF(D3823="","",MOD(D3823-cfgDeslocamento,4)+1)</f>
        <v>0</v>
      </c>
      <c r="G3823" s="26">
        <f>IF(A3823="","",IF(AND(ISNUMBER(B3823),B3823&lt;&gt;0),1,0))</f>
        <v>0</v>
      </c>
      <c r="H3823" s="25">
        <f>IF(E3823="","",(E3823*4+3+cfgDeslocamento)/48)</f>
        <v>0</v>
      </c>
    </row>
    <row r="3824" spans="1:8">
      <c r="A3824" s="24"/>
      <c r="B3824" s="19"/>
      <c r="C3824" s="25">
        <f>IF(D3824="","",D3824/48)</f>
        <v>0</v>
      </c>
      <c r="D3824" s="26">
        <f>IF(A3824="","",ROUND((A3824-cfgDefasagem/1440)*48,0))</f>
        <v>0</v>
      </c>
      <c r="E3824" s="26">
        <f>IF(D3824="","",INT((D3824-cfgDeslocamento)/4))</f>
        <v>0</v>
      </c>
      <c r="F3824" s="26">
        <f>IF(D3824="","",MOD(D3824-cfgDeslocamento,4)+1)</f>
        <v>0</v>
      </c>
      <c r="G3824" s="26">
        <f>IF(A3824="","",IF(AND(ISNUMBER(B3824),B3824&lt;&gt;0),1,0))</f>
        <v>0</v>
      </c>
      <c r="H3824" s="25">
        <f>IF(E3824="","",(E3824*4+3+cfgDeslocamento)/48)</f>
        <v>0</v>
      </c>
    </row>
    <row r="3825" spans="1:8">
      <c r="A3825" s="24"/>
      <c r="B3825" s="19"/>
      <c r="C3825" s="25">
        <f>IF(D3825="","",D3825/48)</f>
        <v>0</v>
      </c>
      <c r="D3825" s="26">
        <f>IF(A3825="","",ROUND((A3825-cfgDefasagem/1440)*48,0))</f>
        <v>0</v>
      </c>
      <c r="E3825" s="26">
        <f>IF(D3825="","",INT((D3825-cfgDeslocamento)/4))</f>
        <v>0</v>
      </c>
      <c r="F3825" s="26">
        <f>IF(D3825="","",MOD(D3825-cfgDeslocamento,4)+1)</f>
        <v>0</v>
      </c>
      <c r="G3825" s="26">
        <f>IF(A3825="","",IF(AND(ISNUMBER(B3825),B3825&lt;&gt;0),1,0))</f>
        <v>0</v>
      </c>
      <c r="H3825" s="25">
        <f>IF(E3825="","",(E3825*4+3+cfgDeslocamento)/48)</f>
        <v>0</v>
      </c>
    </row>
    <row r="3826" spans="1:8">
      <c r="A3826" s="24"/>
      <c r="B3826" s="19"/>
      <c r="C3826" s="25">
        <f>IF(D3826="","",D3826/48)</f>
        <v>0</v>
      </c>
      <c r="D3826" s="26">
        <f>IF(A3826="","",ROUND((A3826-cfgDefasagem/1440)*48,0))</f>
        <v>0</v>
      </c>
      <c r="E3826" s="26">
        <f>IF(D3826="","",INT((D3826-cfgDeslocamento)/4))</f>
        <v>0</v>
      </c>
      <c r="F3826" s="26">
        <f>IF(D3826="","",MOD(D3826-cfgDeslocamento,4)+1)</f>
        <v>0</v>
      </c>
      <c r="G3826" s="26">
        <f>IF(A3826="","",IF(AND(ISNUMBER(B3826),B3826&lt;&gt;0),1,0))</f>
        <v>0</v>
      </c>
      <c r="H3826" s="25">
        <f>IF(E3826="","",(E3826*4+3+cfgDeslocamento)/48)</f>
        <v>0</v>
      </c>
    </row>
    <row r="3827" spans="1:8">
      <c r="A3827" s="24"/>
      <c r="B3827" s="19"/>
      <c r="C3827" s="25">
        <f>IF(D3827="","",D3827/48)</f>
        <v>0</v>
      </c>
      <c r="D3827" s="26">
        <f>IF(A3827="","",ROUND((A3827-cfgDefasagem/1440)*48,0))</f>
        <v>0</v>
      </c>
      <c r="E3827" s="26">
        <f>IF(D3827="","",INT((D3827-cfgDeslocamento)/4))</f>
        <v>0</v>
      </c>
      <c r="F3827" s="26">
        <f>IF(D3827="","",MOD(D3827-cfgDeslocamento,4)+1)</f>
        <v>0</v>
      </c>
      <c r="G3827" s="26">
        <f>IF(A3827="","",IF(AND(ISNUMBER(B3827),B3827&lt;&gt;0),1,0))</f>
        <v>0</v>
      </c>
      <c r="H3827" s="25">
        <f>IF(E3827="","",(E3827*4+3+cfgDeslocamento)/48)</f>
        <v>0</v>
      </c>
    </row>
    <row r="3828" spans="1:8">
      <c r="A3828" s="24"/>
      <c r="B3828" s="19"/>
      <c r="C3828" s="25">
        <f>IF(D3828="","",D3828/48)</f>
        <v>0</v>
      </c>
      <c r="D3828" s="26">
        <f>IF(A3828="","",ROUND((A3828-cfgDefasagem/1440)*48,0))</f>
        <v>0</v>
      </c>
      <c r="E3828" s="26">
        <f>IF(D3828="","",INT((D3828-cfgDeslocamento)/4))</f>
        <v>0</v>
      </c>
      <c r="F3828" s="26">
        <f>IF(D3828="","",MOD(D3828-cfgDeslocamento,4)+1)</f>
        <v>0</v>
      </c>
      <c r="G3828" s="26">
        <f>IF(A3828="","",IF(AND(ISNUMBER(B3828),B3828&lt;&gt;0),1,0))</f>
        <v>0</v>
      </c>
      <c r="H3828" s="25">
        <f>IF(E3828="","",(E3828*4+3+cfgDeslocamento)/48)</f>
        <v>0</v>
      </c>
    </row>
    <row r="3829" spans="1:8">
      <c r="A3829" s="24"/>
      <c r="B3829" s="19"/>
      <c r="C3829" s="25">
        <f>IF(D3829="","",D3829/48)</f>
        <v>0</v>
      </c>
      <c r="D3829" s="26">
        <f>IF(A3829="","",ROUND((A3829-cfgDefasagem/1440)*48,0))</f>
        <v>0</v>
      </c>
      <c r="E3829" s="26">
        <f>IF(D3829="","",INT((D3829-cfgDeslocamento)/4))</f>
        <v>0</v>
      </c>
      <c r="F3829" s="26">
        <f>IF(D3829="","",MOD(D3829-cfgDeslocamento,4)+1)</f>
        <v>0</v>
      </c>
      <c r="G3829" s="26">
        <f>IF(A3829="","",IF(AND(ISNUMBER(B3829),B3829&lt;&gt;0),1,0))</f>
        <v>0</v>
      </c>
      <c r="H3829" s="25">
        <f>IF(E3829="","",(E3829*4+3+cfgDeslocamento)/48)</f>
        <v>0</v>
      </c>
    </row>
    <row r="3830" spans="1:8">
      <c r="A3830" s="24"/>
      <c r="B3830" s="19"/>
      <c r="C3830" s="25">
        <f>IF(D3830="","",D3830/48)</f>
        <v>0</v>
      </c>
      <c r="D3830" s="26">
        <f>IF(A3830="","",ROUND((A3830-cfgDefasagem/1440)*48,0))</f>
        <v>0</v>
      </c>
      <c r="E3830" s="26">
        <f>IF(D3830="","",INT((D3830-cfgDeslocamento)/4))</f>
        <v>0</v>
      </c>
      <c r="F3830" s="26">
        <f>IF(D3830="","",MOD(D3830-cfgDeslocamento,4)+1)</f>
        <v>0</v>
      </c>
      <c r="G3830" s="26">
        <f>IF(A3830="","",IF(AND(ISNUMBER(B3830),B3830&lt;&gt;0),1,0))</f>
        <v>0</v>
      </c>
      <c r="H3830" s="25">
        <f>IF(E3830="","",(E3830*4+3+cfgDeslocamento)/48)</f>
        <v>0</v>
      </c>
    </row>
    <row r="3831" spans="1:8">
      <c r="A3831" s="24"/>
      <c r="B3831" s="19"/>
      <c r="C3831" s="25">
        <f>IF(D3831="","",D3831/48)</f>
        <v>0</v>
      </c>
      <c r="D3831" s="26">
        <f>IF(A3831="","",ROUND((A3831-cfgDefasagem/1440)*48,0))</f>
        <v>0</v>
      </c>
      <c r="E3831" s="26">
        <f>IF(D3831="","",INT((D3831-cfgDeslocamento)/4))</f>
        <v>0</v>
      </c>
      <c r="F3831" s="26">
        <f>IF(D3831="","",MOD(D3831-cfgDeslocamento,4)+1)</f>
        <v>0</v>
      </c>
      <c r="G3831" s="26">
        <f>IF(A3831="","",IF(AND(ISNUMBER(B3831),B3831&lt;&gt;0),1,0))</f>
        <v>0</v>
      </c>
      <c r="H3831" s="25">
        <f>IF(E3831="","",(E3831*4+3+cfgDeslocamento)/48)</f>
        <v>0</v>
      </c>
    </row>
    <row r="3832" spans="1:8">
      <c r="A3832" s="24"/>
      <c r="B3832" s="19"/>
      <c r="C3832" s="25">
        <f>IF(D3832="","",D3832/48)</f>
        <v>0</v>
      </c>
      <c r="D3832" s="26">
        <f>IF(A3832="","",ROUND((A3832-cfgDefasagem/1440)*48,0))</f>
        <v>0</v>
      </c>
      <c r="E3832" s="26">
        <f>IF(D3832="","",INT((D3832-cfgDeslocamento)/4))</f>
        <v>0</v>
      </c>
      <c r="F3832" s="26">
        <f>IF(D3832="","",MOD(D3832-cfgDeslocamento,4)+1)</f>
        <v>0</v>
      </c>
      <c r="G3832" s="26">
        <f>IF(A3832="","",IF(AND(ISNUMBER(B3832),B3832&lt;&gt;0),1,0))</f>
        <v>0</v>
      </c>
      <c r="H3832" s="25">
        <f>IF(E3832="","",(E3832*4+3+cfgDeslocamento)/48)</f>
        <v>0</v>
      </c>
    </row>
    <row r="3833" spans="1:8">
      <c r="A3833" s="24"/>
      <c r="B3833" s="19"/>
      <c r="C3833" s="25">
        <f>IF(D3833="","",D3833/48)</f>
        <v>0</v>
      </c>
      <c r="D3833" s="26">
        <f>IF(A3833="","",ROUND((A3833-cfgDefasagem/1440)*48,0))</f>
        <v>0</v>
      </c>
      <c r="E3833" s="26">
        <f>IF(D3833="","",INT((D3833-cfgDeslocamento)/4))</f>
        <v>0</v>
      </c>
      <c r="F3833" s="26">
        <f>IF(D3833="","",MOD(D3833-cfgDeslocamento,4)+1)</f>
        <v>0</v>
      </c>
      <c r="G3833" s="26">
        <f>IF(A3833="","",IF(AND(ISNUMBER(B3833),B3833&lt;&gt;0),1,0))</f>
        <v>0</v>
      </c>
      <c r="H3833" s="25">
        <f>IF(E3833="","",(E3833*4+3+cfgDeslocamento)/48)</f>
        <v>0</v>
      </c>
    </row>
    <row r="3834" spans="1:8">
      <c r="A3834" s="24"/>
      <c r="B3834" s="19"/>
      <c r="C3834" s="25">
        <f>IF(D3834="","",D3834/48)</f>
        <v>0</v>
      </c>
      <c r="D3834" s="26">
        <f>IF(A3834="","",ROUND((A3834-cfgDefasagem/1440)*48,0))</f>
        <v>0</v>
      </c>
      <c r="E3834" s="26">
        <f>IF(D3834="","",INT((D3834-cfgDeslocamento)/4))</f>
        <v>0</v>
      </c>
      <c r="F3834" s="26">
        <f>IF(D3834="","",MOD(D3834-cfgDeslocamento,4)+1)</f>
        <v>0</v>
      </c>
      <c r="G3834" s="26">
        <f>IF(A3834="","",IF(AND(ISNUMBER(B3834),B3834&lt;&gt;0),1,0))</f>
        <v>0</v>
      </c>
      <c r="H3834" s="25">
        <f>IF(E3834="","",(E3834*4+3+cfgDeslocamento)/48)</f>
        <v>0</v>
      </c>
    </row>
    <row r="3835" spans="1:8">
      <c r="A3835" s="24"/>
      <c r="B3835" s="19"/>
      <c r="C3835" s="25">
        <f>IF(D3835="","",D3835/48)</f>
        <v>0</v>
      </c>
      <c r="D3835" s="26">
        <f>IF(A3835="","",ROUND((A3835-cfgDefasagem/1440)*48,0))</f>
        <v>0</v>
      </c>
      <c r="E3835" s="26">
        <f>IF(D3835="","",INT((D3835-cfgDeslocamento)/4))</f>
        <v>0</v>
      </c>
      <c r="F3835" s="26">
        <f>IF(D3835="","",MOD(D3835-cfgDeslocamento,4)+1)</f>
        <v>0</v>
      </c>
      <c r="G3835" s="26">
        <f>IF(A3835="","",IF(AND(ISNUMBER(B3835),B3835&lt;&gt;0),1,0))</f>
        <v>0</v>
      </c>
      <c r="H3835" s="25">
        <f>IF(E3835="","",(E3835*4+3+cfgDeslocamento)/48)</f>
        <v>0</v>
      </c>
    </row>
    <row r="3836" spans="1:8">
      <c r="A3836" s="24"/>
      <c r="B3836" s="19"/>
      <c r="C3836" s="25">
        <f>IF(D3836="","",D3836/48)</f>
        <v>0</v>
      </c>
      <c r="D3836" s="26">
        <f>IF(A3836="","",ROUND((A3836-cfgDefasagem/1440)*48,0))</f>
        <v>0</v>
      </c>
      <c r="E3836" s="26">
        <f>IF(D3836="","",INT((D3836-cfgDeslocamento)/4))</f>
        <v>0</v>
      </c>
      <c r="F3836" s="26">
        <f>IF(D3836="","",MOD(D3836-cfgDeslocamento,4)+1)</f>
        <v>0</v>
      </c>
      <c r="G3836" s="26">
        <f>IF(A3836="","",IF(AND(ISNUMBER(B3836),B3836&lt;&gt;0),1,0))</f>
        <v>0</v>
      </c>
      <c r="H3836" s="25">
        <f>IF(E3836="","",(E3836*4+3+cfgDeslocamento)/48)</f>
        <v>0</v>
      </c>
    </row>
    <row r="3837" spans="1:8">
      <c r="A3837" s="24"/>
      <c r="B3837" s="19"/>
      <c r="C3837" s="25">
        <f>IF(D3837="","",D3837/48)</f>
        <v>0</v>
      </c>
      <c r="D3837" s="26">
        <f>IF(A3837="","",ROUND((A3837-cfgDefasagem/1440)*48,0))</f>
        <v>0</v>
      </c>
      <c r="E3837" s="26">
        <f>IF(D3837="","",INT((D3837-cfgDeslocamento)/4))</f>
        <v>0</v>
      </c>
      <c r="F3837" s="26">
        <f>IF(D3837="","",MOD(D3837-cfgDeslocamento,4)+1)</f>
        <v>0</v>
      </c>
      <c r="G3837" s="26">
        <f>IF(A3837="","",IF(AND(ISNUMBER(B3837),B3837&lt;&gt;0),1,0))</f>
        <v>0</v>
      </c>
      <c r="H3837" s="25">
        <f>IF(E3837="","",(E3837*4+3+cfgDeslocamento)/48)</f>
        <v>0</v>
      </c>
    </row>
    <row r="3838" spans="1:8">
      <c r="A3838" s="24"/>
      <c r="B3838" s="19"/>
      <c r="C3838" s="25">
        <f>IF(D3838="","",D3838/48)</f>
        <v>0</v>
      </c>
      <c r="D3838" s="26">
        <f>IF(A3838="","",ROUND((A3838-cfgDefasagem/1440)*48,0))</f>
        <v>0</v>
      </c>
      <c r="E3838" s="26">
        <f>IF(D3838="","",INT((D3838-cfgDeslocamento)/4))</f>
        <v>0</v>
      </c>
      <c r="F3838" s="26">
        <f>IF(D3838="","",MOD(D3838-cfgDeslocamento,4)+1)</f>
        <v>0</v>
      </c>
      <c r="G3838" s="26">
        <f>IF(A3838="","",IF(AND(ISNUMBER(B3838),B3838&lt;&gt;0),1,0))</f>
        <v>0</v>
      </c>
      <c r="H3838" s="25">
        <f>IF(E3838="","",(E3838*4+3+cfgDeslocamento)/48)</f>
        <v>0</v>
      </c>
    </row>
    <row r="3839" spans="1:8">
      <c r="A3839" s="24"/>
      <c r="B3839" s="19"/>
      <c r="C3839" s="25">
        <f>IF(D3839="","",D3839/48)</f>
        <v>0</v>
      </c>
      <c r="D3839" s="26">
        <f>IF(A3839="","",ROUND((A3839-cfgDefasagem/1440)*48,0))</f>
        <v>0</v>
      </c>
      <c r="E3839" s="26">
        <f>IF(D3839="","",INT((D3839-cfgDeslocamento)/4))</f>
        <v>0</v>
      </c>
      <c r="F3839" s="26">
        <f>IF(D3839="","",MOD(D3839-cfgDeslocamento,4)+1)</f>
        <v>0</v>
      </c>
      <c r="G3839" s="26">
        <f>IF(A3839="","",IF(AND(ISNUMBER(B3839),B3839&lt;&gt;0),1,0))</f>
        <v>0</v>
      </c>
      <c r="H3839" s="25">
        <f>IF(E3839="","",(E3839*4+3+cfgDeslocamento)/48)</f>
        <v>0</v>
      </c>
    </row>
    <row r="3840" spans="1:8">
      <c r="A3840" s="24"/>
      <c r="B3840" s="19"/>
      <c r="C3840" s="25">
        <f>IF(D3840="","",D3840/48)</f>
        <v>0</v>
      </c>
      <c r="D3840" s="26">
        <f>IF(A3840="","",ROUND((A3840-cfgDefasagem/1440)*48,0))</f>
        <v>0</v>
      </c>
      <c r="E3840" s="26">
        <f>IF(D3840="","",INT((D3840-cfgDeslocamento)/4))</f>
        <v>0</v>
      </c>
      <c r="F3840" s="26">
        <f>IF(D3840="","",MOD(D3840-cfgDeslocamento,4)+1)</f>
        <v>0</v>
      </c>
      <c r="G3840" s="26">
        <f>IF(A3840="","",IF(AND(ISNUMBER(B3840),B3840&lt;&gt;0),1,0))</f>
        <v>0</v>
      </c>
      <c r="H3840" s="25">
        <f>IF(E3840="","",(E3840*4+3+cfgDeslocamento)/48)</f>
        <v>0</v>
      </c>
    </row>
    <row r="3841" spans="1:8">
      <c r="A3841" s="24"/>
      <c r="B3841" s="19"/>
      <c r="C3841" s="25">
        <f>IF(D3841="","",D3841/48)</f>
        <v>0</v>
      </c>
      <c r="D3841" s="26">
        <f>IF(A3841="","",ROUND((A3841-cfgDefasagem/1440)*48,0))</f>
        <v>0</v>
      </c>
      <c r="E3841" s="26">
        <f>IF(D3841="","",INT((D3841-cfgDeslocamento)/4))</f>
        <v>0</v>
      </c>
      <c r="F3841" s="26">
        <f>IF(D3841="","",MOD(D3841-cfgDeslocamento,4)+1)</f>
        <v>0</v>
      </c>
      <c r="G3841" s="26">
        <f>IF(A3841="","",IF(AND(ISNUMBER(B3841),B3841&lt;&gt;0),1,0))</f>
        <v>0</v>
      </c>
      <c r="H3841" s="25">
        <f>IF(E3841="","",(E3841*4+3+cfgDeslocamento)/48)</f>
        <v>0</v>
      </c>
    </row>
    <row r="3842" spans="1:8">
      <c r="A3842" s="24"/>
      <c r="B3842" s="19"/>
      <c r="C3842" s="25">
        <f>IF(D3842="","",D3842/48)</f>
        <v>0</v>
      </c>
      <c r="D3842" s="26">
        <f>IF(A3842="","",ROUND((A3842-cfgDefasagem/1440)*48,0))</f>
        <v>0</v>
      </c>
      <c r="E3842" s="26">
        <f>IF(D3842="","",INT((D3842-cfgDeslocamento)/4))</f>
        <v>0</v>
      </c>
      <c r="F3842" s="26">
        <f>IF(D3842="","",MOD(D3842-cfgDeslocamento,4)+1)</f>
        <v>0</v>
      </c>
      <c r="G3842" s="26">
        <f>IF(A3842="","",IF(AND(ISNUMBER(B3842),B3842&lt;&gt;0),1,0))</f>
        <v>0</v>
      </c>
      <c r="H3842" s="25">
        <f>IF(E3842="","",(E3842*4+3+cfgDeslocamento)/48)</f>
        <v>0</v>
      </c>
    </row>
    <row r="3843" spans="1:8">
      <c r="A3843" s="24"/>
      <c r="B3843" s="19"/>
      <c r="C3843" s="25">
        <f>IF(D3843="","",D3843/48)</f>
        <v>0</v>
      </c>
      <c r="D3843" s="26">
        <f>IF(A3843="","",ROUND((A3843-cfgDefasagem/1440)*48,0))</f>
        <v>0</v>
      </c>
      <c r="E3843" s="26">
        <f>IF(D3843="","",INT((D3843-cfgDeslocamento)/4))</f>
        <v>0</v>
      </c>
      <c r="F3843" s="26">
        <f>IF(D3843="","",MOD(D3843-cfgDeslocamento,4)+1)</f>
        <v>0</v>
      </c>
      <c r="G3843" s="26">
        <f>IF(A3843="","",IF(AND(ISNUMBER(B3843),B3843&lt;&gt;0),1,0))</f>
        <v>0</v>
      </c>
      <c r="H3843" s="25">
        <f>IF(E3843="","",(E3843*4+3+cfgDeslocamento)/48)</f>
        <v>0</v>
      </c>
    </row>
    <row r="3844" spans="1:8">
      <c r="A3844" s="24"/>
      <c r="B3844" s="19"/>
      <c r="C3844" s="25">
        <f>IF(D3844="","",D3844/48)</f>
        <v>0</v>
      </c>
      <c r="D3844" s="26">
        <f>IF(A3844="","",ROUND((A3844-cfgDefasagem/1440)*48,0))</f>
        <v>0</v>
      </c>
      <c r="E3844" s="26">
        <f>IF(D3844="","",INT((D3844-cfgDeslocamento)/4))</f>
        <v>0</v>
      </c>
      <c r="F3844" s="26">
        <f>IF(D3844="","",MOD(D3844-cfgDeslocamento,4)+1)</f>
        <v>0</v>
      </c>
      <c r="G3844" s="26">
        <f>IF(A3844="","",IF(AND(ISNUMBER(B3844),B3844&lt;&gt;0),1,0))</f>
        <v>0</v>
      </c>
      <c r="H3844" s="25">
        <f>IF(E3844="","",(E3844*4+3+cfgDeslocamento)/48)</f>
        <v>0</v>
      </c>
    </row>
    <row r="3845" spans="1:8">
      <c r="A3845" s="24"/>
      <c r="B3845" s="19"/>
      <c r="C3845" s="25">
        <f>IF(D3845="","",D3845/48)</f>
        <v>0</v>
      </c>
      <c r="D3845" s="26">
        <f>IF(A3845="","",ROUND((A3845-cfgDefasagem/1440)*48,0))</f>
        <v>0</v>
      </c>
      <c r="E3845" s="26">
        <f>IF(D3845="","",INT((D3845-cfgDeslocamento)/4))</f>
        <v>0</v>
      </c>
      <c r="F3845" s="26">
        <f>IF(D3845="","",MOD(D3845-cfgDeslocamento,4)+1)</f>
        <v>0</v>
      </c>
      <c r="G3845" s="26">
        <f>IF(A3845="","",IF(AND(ISNUMBER(B3845),B3845&lt;&gt;0),1,0))</f>
        <v>0</v>
      </c>
      <c r="H3845" s="25">
        <f>IF(E3845="","",(E3845*4+3+cfgDeslocamento)/48)</f>
        <v>0</v>
      </c>
    </row>
    <row r="3846" spans="1:8">
      <c r="A3846" s="24"/>
      <c r="B3846" s="19"/>
      <c r="C3846" s="25">
        <f>IF(D3846="","",D3846/48)</f>
        <v>0</v>
      </c>
      <c r="D3846" s="26">
        <f>IF(A3846="","",ROUND((A3846-cfgDefasagem/1440)*48,0))</f>
        <v>0</v>
      </c>
      <c r="E3846" s="26">
        <f>IF(D3846="","",INT((D3846-cfgDeslocamento)/4))</f>
        <v>0</v>
      </c>
      <c r="F3846" s="26">
        <f>IF(D3846="","",MOD(D3846-cfgDeslocamento,4)+1)</f>
        <v>0</v>
      </c>
      <c r="G3846" s="26">
        <f>IF(A3846="","",IF(AND(ISNUMBER(B3846),B3846&lt;&gt;0),1,0))</f>
        <v>0</v>
      </c>
      <c r="H3846" s="25">
        <f>IF(E3846="","",(E3846*4+3+cfgDeslocamento)/48)</f>
        <v>0</v>
      </c>
    </row>
    <row r="3847" spans="1:8">
      <c r="A3847" s="24"/>
      <c r="B3847" s="19"/>
      <c r="C3847" s="25">
        <f>IF(D3847="","",D3847/48)</f>
        <v>0</v>
      </c>
      <c r="D3847" s="26">
        <f>IF(A3847="","",ROUND((A3847-cfgDefasagem/1440)*48,0))</f>
        <v>0</v>
      </c>
      <c r="E3847" s="26">
        <f>IF(D3847="","",INT((D3847-cfgDeslocamento)/4))</f>
        <v>0</v>
      </c>
      <c r="F3847" s="26">
        <f>IF(D3847="","",MOD(D3847-cfgDeslocamento,4)+1)</f>
        <v>0</v>
      </c>
      <c r="G3847" s="26">
        <f>IF(A3847="","",IF(AND(ISNUMBER(B3847),B3847&lt;&gt;0),1,0))</f>
        <v>0</v>
      </c>
      <c r="H3847" s="25">
        <f>IF(E3847="","",(E3847*4+3+cfgDeslocamento)/48)</f>
        <v>0</v>
      </c>
    </row>
    <row r="3848" spans="1:8">
      <c r="A3848" s="24"/>
      <c r="B3848" s="19"/>
      <c r="C3848" s="25">
        <f>IF(D3848="","",D3848/48)</f>
        <v>0</v>
      </c>
      <c r="D3848" s="26">
        <f>IF(A3848="","",ROUND((A3848-cfgDefasagem/1440)*48,0))</f>
        <v>0</v>
      </c>
      <c r="E3848" s="26">
        <f>IF(D3848="","",INT((D3848-cfgDeslocamento)/4))</f>
        <v>0</v>
      </c>
      <c r="F3848" s="26">
        <f>IF(D3848="","",MOD(D3848-cfgDeslocamento,4)+1)</f>
        <v>0</v>
      </c>
      <c r="G3848" s="26">
        <f>IF(A3848="","",IF(AND(ISNUMBER(B3848),B3848&lt;&gt;0),1,0))</f>
        <v>0</v>
      </c>
      <c r="H3848" s="25">
        <f>IF(E3848="","",(E3848*4+3+cfgDeslocamento)/48)</f>
        <v>0</v>
      </c>
    </row>
    <row r="3849" spans="1:8">
      <c r="A3849" s="24"/>
      <c r="B3849" s="19"/>
      <c r="C3849" s="25">
        <f>IF(D3849="","",D3849/48)</f>
        <v>0</v>
      </c>
      <c r="D3849" s="26">
        <f>IF(A3849="","",ROUND((A3849-cfgDefasagem/1440)*48,0))</f>
        <v>0</v>
      </c>
      <c r="E3849" s="26">
        <f>IF(D3849="","",INT((D3849-cfgDeslocamento)/4))</f>
        <v>0</v>
      </c>
      <c r="F3849" s="26">
        <f>IF(D3849="","",MOD(D3849-cfgDeslocamento,4)+1)</f>
        <v>0</v>
      </c>
      <c r="G3849" s="26">
        <f>IF(A3849="","",IF(AND(ISNUMBER(B3849),B3849&lt;&gt;0),1,0))</f>
        <v>0</v>
      </c>
      <c r="H3849" s="25">
        <f>IF(E3849="","",(E3849*4+3+cfgDeslocamento)/48)</f>
        <v>0</v>
      </c>
    </row>
    <row r="3850" spans="1:8">
      <c r="A3850" s="24"/>
      <c r="B3850" s="19"/>
      <c r="C3850" s="25">
        <f>IF(D3850="","",D3850/48)</f>
        <v>0</v>
      </c>
      <c r="D3850" s="26">
        <f>IF(A3850="","",ROUND((A3850-cfgDefasagem/1440)*48,0))</f>
        <v>0</v>
      </c>
      <c r="E3850" s="26">
        <f>IF(D3850="","",INT((D3850-cfgDeslocamento)/4))</f>
        <v>0</v>
      </c>
      <c r="F3850" s="26">
        <f>IF(D3850="","",MOD(D3850-cfgDeslocamento,4)+1)</f>
        <v>0</v>
      </c>
      <c r="G3850" s="26">
        <f>IF(A3850="","",IF(AND(ISNUMBER(B3850),B3850&lt;&gt;0),1,0))</f>
        <v>0</v>
      </c>
      <c r="H3850" s="25">
        <f>IF(E3850="","",(E3850*4+3+cfgDeslocamento)/48)</f>
        <v>0</v>
      </c>
    </row>
    <row r="3851" spans="1:8">
      <c r="A3851" s="24"/>
      <c r="B3851" s="19"/>
      <c r="C3851" s="25">
        <f>IF(D3851="","",D3851/48)</f>
        <v>0</v>
      </c>
      <c r="D3851" s="26">
        <f>IF(A3851="","",ROUND((A3851-cfgDefasagem/1440)*48,0))</f>
        <v>0</v>
      </c>
      <c r="E3851" s="26">
        <f>IF(D3851="","",INT((D3851-cfgDeslocamento)/4))</f>
        <v>0</v>
      </c>
      <c r="F3851" s="26">
        <f>IF(D3851="","",MOD(D3851-cfgDeslocamento,4)+1)</f>
        <v>0</v>
      </c>
      <c r="G3851" s="26">
        <f>IF(A3851="","",IF(AND(ISNUMBER(B3851),B3851&lt;&gt;0),1,0))</f>
        <v>0</v>
      </c>
      <c r="H3851" s="25">
        <f>IF(E3851="","",(E3851*4+3+cfgDeslocamento)/48)</f>
        <v>0</v>
      </c>
    </row>
    <row r="3852" spans="1:8">
      <c r="A3852" s="24"/>
      <c r="B3852" s="19"/>
      <c r="C3852" s="25">
        <f>IF(D3852="","",D3852/48)</f>
        <v>0</v>
      </c>
      <c r="D3852" s="26">
        <f>IF(A3852="","",ROUND((A3852-cfgDefasagem/1440)*48,0))</f>
        <v>0</v>
      </c>
      <c r="E3852" s="26">
        <f>IF(D3852="","",INT((D3852-cfgDeslocamento)/4))</f>
        <v>0</v>
      </c>
      <c r="F3852" s="26">
        <f>IF(D3852="","",MOD(D3852-cfgDeslocamento,4)+1)</f>
        <v>0</v>
      </c>
      <c r="G3852" s="26">
        <f>IF(A3852="","",IF(AND(ISNUMBER(B3852),B3852&lt;&gt;0),1,0))</f>
        <v>0</v>
      </c>
      <c r="H3852" s="25">
        <f>IF(E3852="","",(E3852*4+3+cfgDeslocamento)/48)</f>
        <v>0</v>
      </c>
    </row>
    <row r="3853" spans="1:8">
      <c r="A3853" s="24"/>
      <c r="B3853" s="19"/>
      <c r="C3853" s="25">
        <f>IF(D3853="","",D3853/48)</f>
        <v>0</v>
      </c>
      <c r="D3853" s="26">
        <f>IF(A3853="","",ROUND((A3853-cfgDefasagem/1440)*48,0))</f>
        <v>0</v>
      </c>
      <c r="E3853" s="26">
        <f>IF(D3853="","",INT((D3853-cfgDeslocamento)/4))</f>
        <v>0</v>
      </c>
      <c r="F3853" s="26">
        <f>IF(D3853="","",MOD(D3853-cfgDeslocamento,4)+1)</f>
        <v>0</v>
      </c>
      <c r="G3853" s="26">
        <f>IF(A3853="","",IF(AND(ISNUMBER(B3853),B3853&lt;&gt;0),1,0))</f>
        <v>0</v>
      </c>
      <c r="H3853" s="25">
        <f>IF(E3853="","",(E3853*4+3+cfgDeslocamento)/48)</f>
        <v>0</v>
      </c>
    </row>
    <row r="3854" spans="1:8">
      <c r="A3854" s="24"/>
      <c r="B3854" s="19"/>
      <c r="C3854" s="25">
        <f>IF(D3854="","",D3854/48)</f>
        <v>0</v>
      </c>
      <c r="D3854" s="26">
        <f>IF(A3854="","",ROUND((A3854-cfgDefasagem/1440)*48,0))</f>
        <v>0</v>
      </c>
      <c r="E3854" s="26">
        <f>IF(D3854="","",INT((D3854-cfgDeslocamento)/4))</f>
        <v>0</v>
      </c>
      <c r="F3854" s="26">
        <f>IF(D3854="","",MOD(D3854-cfgDeslocamento,4)+1)</f>
        <v>0</v>
      </c>
      <c r="G3854" s="26">
        <f>IF(A3854="","",IF(AND(ISNUMBER(B3854),B3854&lt;&gt;0),1,0))</f>
        <v>0</v>
      </c>
      <c r="H3854" s="25">
        <f>IF(E3854="","",(E3854*4+3+cfgDeslocamento)/48)</f>
        <v>0</v>
      </c>
    </row>
    <row r="3855" spans="1:8">
      <c r="A3855" s="24"/>
      <c r="B3855" s="19"/>
      <c r="C3855" s="25">
        <f>IF(D3855="","",D3855/48)</f>
        <v>0</v>
      </c>
      <c r="D3855" s="26">
        <f>IF(A3855="","",ROUND((A3855-cfgDefasagem/1440)*48,0))</f>
        <v>0</v>
      </c>
      <c r="E3855" s="26">
        <f>IF(D3855="","",INT((D3855-cfgDeslocamento)/4))</f>
        <v>0</v>
      </c>
      <c r="F3855" s="26">
        <f>IF(D3855="","",MOD(D3855-cfgDeslocamento,4)+1)</f>
        <v>0</v>
      </c>
      <c r="G3855" s="26">
        <f>IF(A3855="","",IF(AND(ISNUMBER(B3855),B3855&lt;&gt;0),1,0))</f>
        <v>0</v>
      </c>
      <c r="H3855" s="25">
        <f>IF(E3855="","",(E3855*4+3+cfgDeslocamento)/48)</f>
        <v>0</v>
      </c>
    </row>
    <row r="3856" spans="1:8">
      <c r="A3856" s="24"/>
      <c r="B3856" s="19"/>
      <c r="C3856" s="25">
        <f>IF(D3856="","",D3856/48)</f>
        <v>0</v>
      </c>
      <c r="D3856" s="26">
        <f>IF(A3856="","",ROUND((A3856-cfgDefasagem/1440)*48,0))</f>
        <v>0</v>
      </c>
      <c r="E3856" s="26">
        <f>IF(D3856="","",INT((D3856-cfgDeslocamento)/4))</f>
        <v>0</v>
      </c>
      <c r="F3856" s="26">
        <f>IF(D3856="","",MOD(D3856-cfgDeslocamento,4)+1)</f>
        <v>0</v>
      </c>
      <c r="G3856" s="26">
        <f>IF(A3856="","",IF(AND(ISNUMBER(B3856),B3856&lt;&gt;0),1,0))</f>
        <v>0</v>
      </c>
      <c r="H3856" s="25">
        <f>IF(E3856="","",(E3856*4+3+cfgDeslocamento)/48)</f>
        <v>0</v>
      </c>
    </row>
    <row r="3857" spans="1:8">
      <c r="A3857" s="24"/>
      <c r="B3857" s="19"/>
      <c r="C3857" s="25">
        <f>IF(D3857="","",D3857/48)</f>
        <v>0</v>
      </c>
      <c r="D3857" s="26">
        <f>IF(A3857="","",ROUND((A3857-cfgDefasagem/1440)*48,0))</f>
        <v>0</v>
      </c>
      <c r="E3857" s="26">
        <f>IF(D3857="","",INT((D3857-cfgDeslocamento)/4))</f>
        <v>0</v>
      </c>
      <c r="F3857" s="26">
        <f>IF(D3857="","",MOD(D3857-cfgDeslocamento,4)+1)</f>
        <v>0</v>
      </c>
      <c r="G3857" s="26">
        <f>IF(A3857="","",IF(AND(ISNUMBER(B3857),B3857&lt;&gt;0),1,0))</f>
        <v>0</v>
      </c>
      <c r="H3857" s="25">
        <f>IF(E3857="","",(E3857*4+3+cfgDeslocamento)/48)</f>
        <v>0</v>
      </c>
    </row>
    <row r="3858" spans="1:8">
      <c r="A3858" s="24"/>
      <c r="B3858" s="19"/>
      <c r="C3858" s="25">
        <f>IF(D3858="","",D3858/48)</f>
        <v>0</v>
      </c>
      <c r="D3858" s="26">
        <f>IF(A3858="","",ROUND((A3858-cfgDefasagem/1440)*48,0))</f>
        <v>0</v>
      </c>
      <c r="E3858" s="26">
        <f>IF(D3858="","",INT((D3858-cfgDeslocamento)/4))</f>
        <v>0</v>
      </c>
      <c r="F3858" s="26">
        <f>IF(D3858="","",MOD(D3858-cfgDeslocamento,4)+1)</f>
        <v>0</v>
      </c>
      <c r="G3858" s="26">
        <f>IF(A3858="","",IF(AND(ISNUMBER(B3858),B3858&lt;&gt;0),1,0))</f>
        <v>0</v>
      </c>
      <c r="H3858" s="25">
        <f>IF(E3858="","",(E3858*4+3+cfgDeslocamento)/48)</f>
        <v>0</v>
      </c>
    </row>
    <row r="3859" spans="1:8">
      <c r="A3859" s="24"/>
      <c r="B3859" s="19"/>
      <c r="C3859" s="25">
        <f>IF(D3859="","",D3859/48)</f>
        <v>0</v>
      </c>
      <c r="D3859" s="26">
        <f>IF(A3859="","",ROUND((A3859-cfgDefasagem/1440)*48,0))</f>
        <v>0</v>
      </c>
      <c r="E3859" s="26">
        <f>IF(D3859="","",INT((D3859-cfgDeslocamento)/4))</f>
        <v>0</v>
      </c>
      <c r="F3859" s="26">
        <f>IF(D3859="","",MOD(D3859-cfgDeslocamento,4)+1)</f>
        <v>0</v>
      </c>
      <c r="G3859" s="26">
        <f>IF(A3859="","",IF(AND(ISNUMBER(B3859),B3859&lt;&gt;0),1,0))</f>
        <v>0</v>
      </c>
      <c r="H3859" s="25">
        <f>IF(E3859="","",(E3859*4+3+cfgDeslocamento)/48)</f>
        <v>0</v>
      </c>
    </row>
    <row r="3860" spans="1:8">
      <c r="A3860" s="24"/>
      <c r="B3860" s="19"/>
      <c r="C3860" s="25">
        <f>IF(D3860="","",D3860/48)</f>
        <v>0</v>
      </c>
      <c r="D3860" s="26">
        <f>IF(A3860="","",ROUND((A3860-cfgDefasagem/1440)*48,0))</f>
        <v>0</v>
      </c>
      <c r="E3860" s="26">
        <f>IF(D3860="","",INT((D3860-cfgDeslocamento)/4))</f>
        <v>0</v>
      </c>
      <c r="F3860" s="26">
        <f>IF(D3860="","",MOD(D3860-cfgDeslocamento,4)+1)</f>
        <v>0</v>
      </c>
      <c r="G3860" s="26">
        <f>IF(A3860="","",IF(AND(ISNUMBER(B3860),B3860&lt;&gt;0),1,0))</f>
        <v>0</v>
      </c>
      <c r="H3860" s="25">
        <f>IF(E3860="","",(E3860*4+3+cfgDeslocamento)/48)</f>
        <v>0</v>
      </c>
    </row>
    <row r="3861" spans="1:8">
      <c r="A3861" s="24"/>
      <c r="B3861" s="19"/>
      <c r="C3861" s="25">
        <f>IF(D3861="","",D3861/48)</f>
        <v>0</v>
      </c>
      <c r="D3861" s="26">
        <f>IF(A3861="","",ROUND((A3861-cfgDefasagem/1440)*48,0))</f>
        <v>0</v>
      </c>
      <c r="E3861" s="26">
        <f>IF(D3861="","",INT((D3861-cfgDeslocamento)/4))</f>
        <v>0</v>
      </c>
      <c r="F3861" s="26">
        <f>IF(D3861="","",MOD(D3861-cfgDeslocamento,4)+1)</f>
        <v>0</v>
      </c>
      <c r="G3861" s="26">
        <f>IF(A3861="","",IF(AND(ISNUMBER(B3861),B3861&lt;&gt;0),1,0))</f>
        <v>0</v>
      </c>
      <c r="H3861" s="25">
        <f>IF(E3861="","",(E3861*4+3+cfgDeslocamento)/48)</f>
        <v>0</v>
      </c>
    </row>
    <row r="3862" spans="1:8">
      <c r="A3862" s="24"/>
      <c r="B3862" s="19"/>
      <c r="C3862" s="25">
        <f>IF(D3862="","",D3862/48)</f>
        <v>0</v>
      </c>
      <c r="D3862" s="26">
        <f>IF(A3862="","",ROUND((A3862-cfgDefasagem/1440)*48,0))</f>
        <v>0</v>
      </c>
      <c r="E3862" s="26">
        <f>IF(D3862="","",INT((D3862-cfgDeslocamento)/4))</f>
        <v>0</v>
      </c>
      <c r="F3862" s="26">
        <f>IF(D3862="","",MOD(D3862-cfgDeslocamento,4)+1)</f>
        <v>0</v>
      </c>
      <c r="G3862" s="26">
        <f>IF(A3862="","",IF(AND(ISNUMBER(B3862),B3862&lt;&gt;0),1,0))</f>
        <v>0</v>
      </c>
      <c r="H3862" s="25">
        <f>IF(E3862="","",(E3862*4+3+cfgDeslocamento)/48)</f>
        <v>0</v>
      </c>
    </row>
    <row r="3863" spans="1:8">
      <c r="A3863" s="24"/>
      <c r="B3863" s="19"/>
      <c r="C3863" s="25">
        <f>IF(D3863="","",D3863/48)</f>
        <v>0</v>
      </c>
      <c r="D3863" s="26">
        <f>IF(A3863="","",ROUND((A3863-cfgDefasagem/1440)*48,0))</f>
        <v>0</v>
      </c>
      <c r="E3863" s="26">
        <f>IF(D3863="","",INT((D3863-cfgDeslocamento)/4))</f>
        <v>0</v>
      </c>
      <c r="F3863" s="26">
        <f>IF(D3863="","",MOD(D3863-cfgDeslocamento,4)+1)</f>
        <v>0</v>
      </c>
      <c r="G3863" s="26">
        <f>IF(A3863="","",IF(AND(ISNUMBER(B3863),B3863&lt;&gt;0),1,0))</f>
        <v>0</v>
      </c>
      <c r="H3863" s="25">
        <f>IF(E3863="","",(E3863*4+3+cfgDeslocamento)/48)</f>
        <v>0</v>
      </c>
    </row>
    <row r="3864" spans="1:8">
      <c r="A3864" s="24"/>
      <c r="B3864" s="19"/>
      <c r="C3864" s="25">
        <f>IF(D3864="","",D3864/48)</f>
        <v>0</v>
      </c>
      <c r="D3864" s="26">
        <f>IF(A3864="","",ROUND((A3864-cfgDefasagem/1440)*48,0))</f>
        <v>0</v>
      </c>
      <c r="E3864" s="26">
        <f>IF(D3864="","",INT((D3864-cfgDeslocamento)/4))</f>
        <v>0</v>
      </c>
      <c r="F3864" s="26">
        <f>IF(D3864="","",MOD(D3864-cfgDeslocamento,4)+1)</f>
        <v>0</v>
      </c>
      <c r="G3864" s="26">
        <f>IF(A3864="","",IF(AND(ISNUMBER(B3864),B3864&lt;&gt;0),1,0))</f>
        <v>0</v>
      </c>
      <c r="H3864" s="25">
        <f>IF(E3864="","",(E3864*4+3+cfgDeslocamento)/48)</f>
        <v>0</v>
      </c>
    </row>
    <row r="3865" spans="1:8">
      <c r="A3865" s="24"/>
      <c r="B3865" s="19"/>
      <c r="C3865" s="25">
        <f>IF(D3865="","",D3865/48)</f>
        <v>0</v>
      </c>
      <c r="D3865" s="26">
        <f>IF(A3865="","",ROUND((A3865-cfgDefasagem/1440)*48,0))</f>
        <v>0</v>
      </c>
      <c r="E3865" s="26">
        <f>IF(D3865="","",INT((D3865-cfgDeslocamento)/4))</f>
        <v>0</v>
      </c>
      <c r="F3865" s="26">
        <f>IF(D3865="","",MOD(D3865-cfgDeslocamento,4)+1)</f>
        <v>0</v>
      </c>
      <c r="G3865" s="26">
        <f>IF(A3865="","",IF(AND(ISNUMBER(B3865),B3865&lt;&gt;0),1,0))</f>
        <v>0</v>
      </c>
      <c r="H3865" s="25">
        <f>IF(E3865="","",(E3865*4+3+cfgDeslocamento)/48)</f>
        <v>0</v>
      </c>
    </row>
    <row r="3866" spans="1:8">
      <c r="A3866" s="24"/>
      <c r="B3866" s="19"/>
      <c r="C3866" s="25">
        <f>IF(D3866="","",D3866/48)</f>
        <v>0</v>
      </c>
      <c r="D3866" s="26">
        <f>IF(A3866="","",ROUND((A3866-cfgDefasagem/1440)*48,0))</f>
        <v>0</v>
      </c>
      <c r="E3866" s="26">
        <f>IF(D3866="","",INT((D3866-cfgDeslocamento)/4))</f>
        <v>0</v>
      </c>
      <c r="F3866" s="26">
        <f>IF(D3866="","",MOD(D3866-cfgDeslocamento,4)+1)</f>
        <v>0</v>
      </c>
      <c r="G3866" s="26">
        <f>IF(A3866="","",IF(AND(ISNUMBER(B3866),B3866&lt;&gt;0),1,0))</f>
        <v>0</v>
      </c>
      <c r="H3866" s="25">
        <f>IF(E3866="","",(E3866*4+3+cfgDeslocamento)/48)</f>
        <v>0</v>
      </c>
    </row>
    <row r="3867" spans="1:8">
      <c r="A3867" s="24"/>
      <c r="B3867" s="19"/>
      <c r="C3867" s="25">
        <f>IF(D3867="","",D3867/48)</f>
        <v>0</v>
      </c>
      <c r="D3867" s="26">
        <f>IF(A3867="","",ROUND((A3867-cfgDefasagem/1440)*48,0))</f>
        <v>0</v>
      </c>
      <c r="E3867" s="26">
        <f>IF(D3867="","",INT((D3867-cfgDeslocamento)/4))</f>
        <v>0</v>
      </c>
      <c r="F3867" s="26">
        <f>IF(D3867="","",MOD(D3867-cfgDeslocamento,4)+1)</f>
        <v>0</v>
      </c>
      <c r="G3867" s="26">
        <f>IF(A3867="","",IF(AND(ISNUMBER(B3867),B3867&lt;&gt;0),1,0))</f>
        <v>0</v>
      </c>
      <c r="H3867" s="25">
        <f>IF(E3867="","",(E3867*4+3+cfgDeslocamento)/48)</f>
        <v>0</v>
      </c>
    </row>
    <row r="3868" spans="1:8">
      <c r="A3868" s="24"/>
      <c r="B3868" s="19"/>
      <c r="C3868" s="25">
        <f>IF(D3868="","",D3868/48)</f>
        <v>0</v>
      </c>
      <c r="D3868" s="26">
        <f>IF(A3868="","",ROUND((A3868-cfgDefasagem/1440)*48,0))</f>
        <v>0</v>
      </c>
      <c r="E3868" s="26">
        <f>IF(D3868="","",INT((D3868-cfgDeslocamento)/4))</f>
        <v>0</v>
      </c>
      <c r="F3868" s="26">
        <f>IF(D3868="","",MOD(D3868-cfgDeslocamento,4)+1)</f>
        <v>0</v>
      </c>
      <c r="G3868" s="26">
        <f>IF(A3868="","",IF(AND(ISNUMBER(B3868),B3868&lt;&gt;0),1,0))</f>
        <v>0</v>
      </c>
      <c r="H3868" s="25">
        <f>IF(E3868="","",(E3868*4+3+cfgDeslocamento)/48)</f>
        <v>0</v>
      </c>
    </row>
    <row r="3869" spans="1:8">
      <c r="A3869" s="24"/>
      <c r="B3869" s="19"/>
      <c r="C3869" s="25">
        <f>IF(D3869="","",D3869/48)</f>
        <v>0</v>
      </c>
      <c r="D3869" s="26">
        <f>IF(A3869="","",ROUND((A3869-cfgDefasagem/1440)*48,0))</f>
        <v>0</v>
      </c>
      <c r="E3869" s="26">
        <f>IF(D3869="","",INT((D3869-cfgDeslocamento)/4))</f>
        <v>0</v>
      </c>
      <c r="F3869" s="26">
        <f>IF(D3869="","",MOD(D3869-cfgDeslocamento,4)+1)</f>
        <v>0</v>
      </c>
      <c r="G3869" s="26">
        <f>IF(A3869="","",IF(AND(ISNUMBER(B3869),B3869&lt;&gt;0),1,0))</f>
        <v>0</v>
      </c>
      <c r="H3869" s="25">
        <f>IF(E3869="","",(E3869*4+3+cfgDeslocamento)/48)</f>
        <v>0</v>
      </c>
    </row>
    <row r="3870" spans="1:8">
      <c r="A3870" s="24"/>
      <c r="B3870" s="19"/>
      <c r="C3870" s="25">
        <f>IF(D3870="","",D3870/48)</f>
        <v>0</v>
      </c>
      <c r="D3870" s="26">
        <f>IF(A3870="","",ROUND((A3870-cfgDefasagem/1440)*48,0))</f>
        <v>0</v>
      </c>
      <c r="E3870" s="26">
        <f>IF(D3870="","",INT((D3870-cfgDeslocamento)/4))</f>
        <v>0</v>
      </c>
      <c r="F3870" s="26">
        <f>IF(D3870="","",MOD(D3870-cfgDeslocamento,4)+1)</f>
        <v>0</v>
      </c>
      <c r="G3870" s="26">
        <f>IF(A3870="","",IF(AND(ISNUMBER(B3870),B3870&lt;&gt;0),1,0))</f>
        <v>0</v>
      </c>
      <c r="H3870" s="25">
        <f>IF(E3870="","",(E3870*4+3+cfgDeslocamento)/48)</f>
        <v>0</v>
      </c>
    </row>
    <row r="3871" spans="1:8">
      <c r="A3871" s="24"/>
      <c r="B3871" s="19"/>
      <c r="C3871" s="25">
        <f>IF(D3871="","",D3871/48)</f>
        <v>0</v>
      </c>
      <c r="D3871" s="26">
        <f>IF(A3871="","",ROUND((A3871-cfgDefasagem/1440)*48,0))</f>
        <v>0</v>
      </c>
      <c r="E3871" s="26">
        <f>IF(D3871="","",INT((D3871-cfgDeslocamento)/4))</f>
        <v>0</v>
      </c>
      <c r="F3871" s="26">
        <f>IF(D3871="","",MOD(D3871-cfgDeslocamento,4)+1)</f>
        <v>0</v>
      </c>
      <c r="G3871" s="26">
        <f>IF(A3871="","",IF(AND(ISNUMBER(B3871),B3871&lt;&gt;0),1,0))</f>
        <v>0</v>
      </c>
      <c r="H3871" s="25">
        <f>IF(E3871="","",(E3871*4+3+cfgDeslocamento)/48)</f>
        <v>0</v>
      </c>
    </row>
    <row r="3872" spans="1:8">
      <c r="A3872" s="24"/>
      <c r="B3872" s="19"/>
      <c r="C3872" s="25">
        <f>IF(D3872="","",D3872/48)</f>
        <v>0</v>
      </c>
      <c r="D3872" s="26">
        <f>IF(A3872="","",ROUND((A3872-cfgDefasagem/1440)*48,0))</f>
        <v>0</v>
      </c>
      <c r="E3872" s="26">
        <f>IF(D3872="","",INT((D3872-cfgDeslocamento)/4))</f>
        <v>0</v>
      </c>
      <c r="F3872" s="26">
        <f>IF(D3872="","",MOD(D3872-cfgDeslocamento,4)+1)</f>
        <v>0</v>
      </c>
      <c r="G3872" s="26">
        <f>IF(A3872="","",IF(AND(ISNUMBER(B3872),B3872&lt;&gt;0),1,0))</f>
        <v>0</v>
      </c>
      <c r="H3872" s="25">
        <f>IF(E3872="","",(E3872*4+3+cfgDeslocamento)/48)</f>
        <v>0</v>
      </c>
    </row>
    <row r="3873" spans="1:8">
      <c r="A3873" s="24"/>
      <c r="B3873" s="19"/>
      <c r="C3873" s="25">
        <f>IF(D3873="","",D3873/48)</f>
        <v>0</v>
      </c>
      <c r="D3873" s="26">
        <f>IF(A3873="","",ROUND((A3873-cfgDefasagem/1440)*48,0))</f>
        <v>0</v>
      </c>
      <c r="E3873" s="26">
        <f>IF(D3873="","",INT((D3873-cfgDeslocamento)/4))</f>
        <v>0</v>
      </c>
      <c r="F3873" s="26">
        <f>IF(D3873="","",MOD(D3873-cfgDeslocamento,4)+1)</f>
        <v>0</v>
      </c>
      <c r="G3873" s="26">
        <f>IF(A3873="","",IF(AND(ISNUMBER(B3873),B3873&lt;&gt;0),1,0))</f>
        <v>0</v>
      </c>
      <c r="H3873" s="25">
        <f>IF(E3873="","",(E3873*4+3+cfgDeslocamento)/48)</f>
        <v>0</v>
      </c>
    </row>
    <row r="3874" spans="1:8">
      <c r="A3874" s="24"/>
      <c r="B3874" s="19"/>
      <c r="C3874" s="25">
        <f>IF(D3874="","",D3874/48)</f>
        <v>0</v>
      </c>
      <c r="D3874" s="26">
        <f>IF(A3874="","",ROUND((A3874-cfgDefasagem/1440)*48,0))</f>
        <v>0</v>
      </c>
      <c r="E3874" s="26">
        <f>IF(D3874="","",INT((D3874-cfgDeslocamento)/4))</f>
        <v>0</v>
      </c>
      <c r="F3874" s="26">
        <f>IF(D3874="","",MOD(D3874-cfgDeslocamento,4)+1)</f>
        <v>0</v>
      </c>
      <c r="G3874" s="26">
        <f>IF(A3874="","",IF(AND(ISNUMBER(B3874),B3874&lt;&gt;0),1,0))</f>
        <v>0</v>
      </c>
      <c r="H3874" s="25">
        <f>IF(E3874="","",(E3874*4+3+cfgDeslocamento)/48)</f>
        <v>0</v>
      </c>
    </row>
    <row r="3875" spans="1:8">
      <c r="A3875" s="24"/>
      <c r="B3875" s="19"/>
      <c r="C3875" s="25">
        <f>IF(D3875="","",D3875/48)</f>
        <v>0</v>
      </c>
      <c r="D3875" s="26">
        <f>IF(A3875="","",ROUND((A3875-cfgDefasagem/1440)*48,0))</f>
        <v>0</v>
      </c>
      <c r="E3875" s="26">
        <f>IF(D3875="","",INT((D3875-cfgDeslocamento)/4))</f>
        <v>0</v>
      </c>
      <c r="F3875" s="26">
        <f>IF(D3875="","",MOD(D3875-cfgDeslocamento,4)+1)</f>
        <v>0</v>
      </c>
      <c r="G3875" s="26">
        <f>IF(A3875="","",IF(AND(ISNUMBER(B3875),B3875&lt;&gt;0),1,0))</f>
        <v>0</v>
      </c>
      <c r="H3875" s="25">
        <f>IF(E3875="","",(E3875*4+3+cfgDeslocamento)/48)</f>
        <v>0</v>
      </c>
    </row>
    <row r="3876" spans="1:8">
      <c r="A3876" s="24"/>
      <c r="B3876" s="19"/>
      <c r="C3876" s="25">
        <f>IF(D3876="","",D3876/48)</f>
        <v>0</v>
      </c>
      <c r="D3876" s="26">
        <f>IF(A3876="","",ROUND((A3876-cfgDefasagem/1440)*48,0))</f>
        <v>0</v>
      </c>
      <c r="E3876" s="26">
        <f>IF(D3876="","",INT((D3876-cfgDeslocamento)/4))</f>
        <v>0</v>
      </c>
      <c r="F3876" s="26">
        <f>IF(D3876="","",MOD(D3876-cfgDeslocamento,4)+1)</f>
        <v>0</v>
      </c>
      <c r="G3876" s="26">
        <f>IF(A3876="","",IF(AND(ISNUMBER(B3876),B3876&lt;&gt;0),1,0))</f>
        <v>0</v>
      </c>
      <c r="H3876" s="25">
        <f>IF(E3876="","",(E3876*4+3+cfgDeslocamento)/48)</f>
        <v>0</v>
      </c>
    </row>
    <row r="3877" spans="1:8">
      <c r="A3877" s="24"/>
      <c r="B3877" s="19"/>
      <c r="C3877" s="25">
        <f>IF(D3877="","",D3877/48)</f>
        <v>0</v>
      </c>
      <c r="D3877" s="26">
        <f>IF(A3877="","",ROUND((A3877-cfgDefasagem/1440)*48,0))</f>
        <v>0</v>
      </c>
      <c r="E3877" s="26">
        <f>IF(D3877="","",INT((D3877-cfgDeslocamento)/4))</f>
        <v>0</v>
      </c>
      <c r="F3877" s="26">
        <f>IF(D3877="","",MOD(D3877-cfgDeslocamento,4)+1)</f>
        <v>0</v>
      </c>
      <c r="G3877" s="26">
        <f>IF(A3877="","",IF(AND(ISNUMBER(B3877),B3877&lt;&gt;0),1,0))</f>
        <v>0</v>
      </c>
      <c r="H3877" s="25">
        <f>IF(E3877="","",(E3877*4+3+cfgDeslocamento)/48)</f>
        <v>0</v>
      </c>
    </row>
    <row r="3878" spans="1:8">
      <c r="A3878" s="24"/>
      <c r="B3878" s="19"/>
      <c r="C3878" s="25">
        <f>IF(D3878="","",D3878/48)</f>
        <v>0</v>
      </c>
      <c r="D3878" s="26">
        <f>IF(A3878="","",ROUND((A3878-cfgDefasagem/1440)*48,0))</f>
        <v>0</v>
      </c>
      <c r="E3878" s="26">
        <f>IF(D3878="","",INT((D3878-cfgDeslocamento)/4))</f>
        <v>0</v>
      </c>
      <c r="F3878" s="26">
        <f>IF(D3878="","",MOD(D3878-cfgDeslocamento,4)+1)</f>
        <v>0</v>
      </c>
      <c r="G3878" s="26">
        <f>IF(A3878="","",IF(AND(ISNUMBER(B3878),B3878&lt;&gt;0),1,0))</f>
        <v>0</v>
      </c>
      <c r="H3878" s="25">
        <f>IF(E3878="","",(E3878*4+3+cfgDeslocamento)/48)</f>
        <v>0</v>
      </c>
    </row>
    <row r="3879" spans="1:8">
      <c r="A3879" s="24"/>
      <c r="B3879" s="19"/>
      <c r="C3879" s="25">
        <f>IF(D3879="","",D3879/48)</f>
        <v>0</v>
      </c>
      <c r="D3879" s="26">
        <f>IF(A3879="","",ROUND((A3879-cfgDefasagem/1440)*48,0))</f>
        <v>0</v>
      </c>
      <c r="E3879" s="26">
        <f>IF(D3879="","",INT((D3879-cfgDeslocamento)/4))</f>
        <v>0</v>
      </c>
      <c r="F3879" s="26">
        <f>IF(D3879="","",MOD(D3879-cfgDeslocamento,4)+1)</f>
        <v>0</v>
      </c>
      <c r="G3879" s="26">
        <f>IF(A3879="","",IF(AND(ISNUMBER(B3879),B3879&lt;&gt;0),1,0))</f>
        <v>0</v>
      </c>
      <c r="H3879" s="25">
        <f>IF(E3879="","",(E3879*4+3+cfgDeslocamento)/48)</f>
        <v>0</v>
      </c>
    </row>
    <row r="3880" spans="1:8">
      <c r="A3880" s="24"/>
      <c r="B3880" s="19"/>
      <c r="C3880" s="25">
        <f>IF(D3880="","",D3880/48)</f>
        <v>0</v>
      </c>
      <c r="D3880" s="26">
        <f>IF(A3880="","",ROUND((A3880-cfgDefasagem/1440)*48,0))</f>
        <v>0</v>
      </c>
      <c r="E3880" s="26">
        <f>IF(D3880="","",INT((D3880-cfgDeslocamento)/4))</f>
        <v>0</v>
      </c>
      <c r="F3880" s="26">
        <f>IF(D3880="","",MOD(D3880-cfgDeslocamento,4)+1)</f>
        <v>0</v>
      </c>
      <c r="G3880" s="26">
        <f>IF(A3880="","",IF(AND(ISNUMBER(B3880),B3880&lt;&gt;0),1,0))</f>
        <v>0</v>
      </c>
      <c r="H3880" s="25">
        <f>IF(E3880="","",(E3880*4+3+cfgDeslocamento)/48)</f>
        <v>0</v>
      </c>
    </row>
    <row r="3881" spans="1:8">
      <c r="A3881" s="24"/>
      <c r="B3881" s="19"/>
      <c r="C3881" s="25">
        <f>IF(D3881="","",D3881/48)</f>
        <v>0</v>
      </c>
      <c r="D3881" s="26">
        <f>IF(A3881="","",ROUND((A3881-cfgDefasagem/1440)*48,0))</f>
        <v>0</v>
      </c>
      <c r="E3881" s="26">
        <f>IF(D3881="","",INT((D3881-cfgDeslocamento)/4))</f>
        <v>0</v>
      </c>
      <c r="F3881" s="26">
        <f>IF(D3881="","",MOD(D3881-cfgDeslocamento,4)+1)</f>
        <v>0</v>
      </c>
      <c r="G3881" s="26">
        <f>IF(A3881="","",IF(AND(ISNUMBER(B3881),B3881&lt;&gt;0),1,0))</f>
        <v>0</v>
      </c>
      <c r="H3881" s="25">
        <f>IF(E3881="","",(E3881*4+3+cfgDeslocamento)/48)</f>
        <v>0</v>
      </c>
    </row>
    <row r="3882" spans="1:8">
      <c r="A3882" s="24"/>
      <c r="B3882" s="19"/>
      <c r="C3882" s="25">
        <f>IF(D3882="","",D3882/48)</f>
        <v>0</v>
      </c>
      <c r="D3882" s="26">
        <f>IF(A3882="","",ROUND((A3882-cfgDefasagem/1440)*48,0))</f>
        <v>0</v>
      </c>
      <c r="E3882" s="26">
        <f>IF(D3882="","",INT((D3882-cfgDeslocamento)/4))</f>
        <v>0</v>
      </c>
      <c r="F3882" s="26">
        <f>IF(D3882="","",MOD(D3882-cfgDeslocamento,4)+1)</f>
        <v>0</v>
      </c>
      <c r="G3882" s="26">
        <f>IF(A3882="","",IF(AND(ISNUMBER(B3882),B3882&lt;&gt;0),1,0))</f>
        <v>0</v>
      </c>
      <c r="H3882" s="25">
        <f>IF(E3882="","",(E3882*4+3+cfgDeslocamento)/48)</f>
        <v>0</v>
      </c>
    </row>
    <row r="3883" spans="1:8">
      <c r="A3883" s="24"/>
      <c r="B3883" s="19"/>
      <c r="C3883" s="25">
        <f>IF(D3883="","",D3883/48)</f>
        <v>0</v>
      </c>
      <c r="D3883" s="26">
        <f>IF(A3883="","",ROUND((A3883-cfgDefasagem/1440)*48,0))</f>
        <v>0</v>
      </c>
      <c r="E3883" s="26">
        <f>IF(D3883="","",INT((D3883-cfgDeslocamento)/4))</f>
        <v>0</v>
      </c>
      <c r="F3883" s="26">
        <f>IF(D3883="","",MOD(D3883-cfgDeslocamento,4)+1)</f>
        <v>0</v>
      </c>
      <c r="G3883" s="26">
        <f>IF(A3883="","",IF(AND(ISNUMBER(B3883),B3883&lt;&gt;0),1,0))</f>
        <v>0</v>
      </c>
      <c r="H3883" s="25">
        <f>IF(E3883="","",(E3883*4+3+cfgDeslocamento)/48)</f>
        <v>0</v>
      </c>
    </row>
    <row r="3884" spans="1:8">
      <c r="A3884" s="24"/>
      <c r="B3884" s="19"/>
      <c r="C3884" s="25">
        <f>IF(D3884="","",D3884/48)</f>
        <v>0</v>
      </c>
      <c r="D3884" s="26">
        <f>IF(A3884="","",ROUND((A3884-cfgDefasagem/1440)*48,0))</f>
        <v>0</v>
      </c>
      <c r="E3884" s="26">
        <f>IF(D3884="","",INT((D3884-cfgDeslocamento)/4))</f>
        <v>0</v>
      </c>
      <c r="F3884" s="26">
        <f>IF(D3884="","",MOD(D3884-cfgDeslocamento,4)+1)</f>
        <v>0</v>
      </c>
      <c r="G3884" s="26">
        <f>IF(A3884="","",IF(AND(ISNUMBER(B3884),B3884&lt;&gt;0),1,0))</f>
        <v>0</v>
      </c>
      <c r="H3884" s="25">
        <f>IF(E3884="","",(E3884*4+3+cfgDeslocamento)/48)</f>
        <v>0</v>
      </c>
    </row>
    <row r="3885" spans="1:8">
      <c r="A3885" s="24"/>
      <c r="B3885" s="19"/>
      <c r="C3885" s="25">
        <f>IF(D3885="","",D3885/48)</f>
        <v>0</v>
      </c>
      <c r="D3885" s="26">
        <f>IF(A3885="","",ROUND((A3885-cfgDefasagem/1440)*48,0))</f>
        <v>0</v>
      </c>
      <c r="E3885" s="26">
        <f>IF(D3885="","",INT((D3885-cfgDeslocamento)/4))</f>
        <v>0</v>
      </c>
      <c r="F3885" s="26">
        <f>IF(D3885="","",MOD(D3885-cfgDeslocamento,4)+1)</f>
        <v>0</v>
      </c>
      <c r="G3885" s="26">
        <f>IF(A3885="","",IF(AND(ISNUMBER(B3885),B3885&lt;&gt;0),1,0))</f>
        <v>0</v>
      </c>
      <c r="H3885" s="25">
        <f>IF(E3885="","",(E3885*4+3+cfgDeslocamento)/48)</f>
        <v>0</v>
      </c>
    </row>
    <row r="3886" spans="1:8">
      <c r="A3886" s="24"/>
      <c r="B3886" s="19"/>
      <c r="C3886" s="25">
        <f>IF(D3886="","",D3886/48)</f>
        <v>0</v>
      </c>
      <c r="D3886" s="26">
        <f>IF(A3886="","",ROUND((A3886-cfgDefasagem/1440)*48,0))</f>
        <v>0</v>
      </c>
      <c r="E3886" s="26">
        <f>IF(D3886="","",INT((D3886-cfgDeslocamento)/4))</f>
        <v>0</v>
      </c>
      <c r="F3886" s="26">
        <f>IF(D3886="","",MOD(D3886-cfgDeslocamento,4)+1)</f>
        <v>0</v>
      </c>
      <c r="G3886" s="26">
        <f>IF(A3886="","",IF(AND(ISNUMBER(B3886),B3886&lt;&gt;0),1,0))</f>
        <v>0</v>
      </c>
      <c r="H3886" s="25">
        <f>IF(E3886="","",(E3886*4+3+cfgDeslocamento)/48)</f>
        <v>0</v>
      </c>
    </row>
    <row r="3887" spans="1:8">
      <c r="A3887" s="24"/>
      <c r="B3887" s="19"/>
      <c r="C3887" s="25">
        <f>IF(D3887="","",D3887/48)</f>
        <v>0</v>
      </c>
      <c r="D3887" s="26">
        <f>IF(A3887="","",ROUND((A3887-cfgDefasagem/1440)*48,0))</f>
        <v>0</v>
      </c>
      <c r="E3887" s="26">
        <f>IF(D3887="","",INT((D3887-cfgDeslocamento)/4))</f>
        <v>0</v>
      </c>
      <c r="F3887" s="26">
        <f>IF(D3887="","",MOD(D3887-cfgDeslocamento,4)+1)</f>
        <v>0</v>
      </c>
      <c r="G3887" s="26">
        <f>IF(A3887="","",IF(AND(ISNUMBER(B3887),B3887&lt;&gt;0),1,0))</f>
        <v>0</v>
      </c>
      <c r="H3887" s="25">
        <f>IF(E3887="","",(E3887*4+3+cfgDeslocamento)/48)</f>
        <v>0</v>
      </c>
    </row>
    <row r="3888" spans="1:8">
      <c r="A3888" s="24"/>
      <c r="B3888" s="19"/>
      <c r="C3888" s="25">
        <f>IF(D3888="","",D3888/48)</f>
        <v>0</v>
      </c>
      <c r="D3888" s="26">
        <f>IF(A3888="","",ROUND((A3888-cfgDefasagem/1440)*48,0))</f>
        <v>0</v>
      </c>
      <c r="E3888" s="26">
        <f>IF(D3888="","",INT((D3888-cfgDeslocamento)/4))</f>
        <v>0</v>
      </c>
      <c r="F3888" s="26">
        <f>IF(D3888="","",MOD(D3888-cfgDeslocamento,4)+1)</f>
        <v>0</v>
      </c>
      <c r="G3888" s="26">
        <f>IF(A3888="","",IF(AND(ISNUMBER(B3888),B3888&lt;&gt;0),1,0))</f>
        <v>0</v>
      </c>
      <c r="H3888" s="25">
        <f>IF(E3888="","",(E3888*4+3+cfgDeslocamento)/48)</f>
        <v>0</v>
      </c>
    </row>
    <row r="3889" spans="1:8">
      <c r="A3889" s="24"/>
      <c r="B3889" s="19"/>
      <c r="C3889" s="25">
        <f>IF(D3889="","",D3889/48)</f>
        <v>0</v>
      </c>
      <c r="D3889" s="26">
        <f>IF(A3889="","",ROUND((A3889-cfgDefasagem/1440)*48,0))</f>
        <v>0</v>
      </c>
      <c r="E3889" s="26">
        <f>IF(D3889="","",INT((D3889-cfgDeslocamento)/4))</f>
        <v>0</v>
      </c>
      <c r="F3889" s="26">
        <f>IF(D3889="","",MOD(D3889-cfgDeslocamento,4)+1)</f>
        <v>0</v>
      </c>
      <c r="G3889" s="26">
        <f>IF(A3889="","",IF(AND(ISNUMBER(B3889),B3889&lt;&gt;0),1,0))</f>
        <v>0</v>
      </c>
      <c r="H3889" s="25">
        <f>IF(E3889="","",(E3889*4+3+cfgDeslocamento)/48)</f>
        <v>0</v>
      </c>
    </row>
    <row r="3890" spans="1:8">
      <c r="A3890" s="24"/>
      <c r="B3890" s="19"/>
      <c r="C3890" s="25">
        <f>IF(D3890="","",D3890/48)</f>
        <v>0</v>
      </c>
      <c r="D3890" s="26">
        <f>IF(A3890="","",ROUND((A3890-cfgDefasagem/1440)*48,0))</f>
        <v>0</v>
      </c>
      <c r="E3890" s="26">
        <f>IF(D3890="","",INT((D3890-cfgDeslocamento)/4))</f>
        <v>0</v>
      </c>
      <c r="F3890" s="26">
        <f>IF(D3890="","",MOD(D3890-cfgDeslocamento,4)+1)</f>
        <v>0</v>
      </c>
      <c r="G3890" s="26">
        <f>IF(A3890="","",IF(AND(ISNUMBER(B3890),B3890&lt;&gt;0),1,0))</f>
        <v>0</v>
      </c>
      <c r="H3890" s="25">
        <f>IF(E3890="","",(E3890*4+3+cfgDeslocamento)/48)</f>
        <v>0</v>
      </c>
    </row>
    <row r="3891" spans="1:8">
      <c r="A3891" s="24"/>
      <c r="B3891" s="19"/>
      <c r="C3891" s="25">
        <f>IF(D3891="","",D3891/48)</f>
        <v>0</v>
      </c>
      <c r="D3891" s="26">
        <f>IF(A3891="","",ROUND((A3891-cfgDefasagem/1440)*48,0))</f>
        <v>0</v>
      </c>
      <c r="E3891" s="26">
        <f>IF(D3891="","",INT((D3891-cfgDeslocamento)/4))</f>
        <v>0</v>
      </c>
      <c r="F3891" s="26">
        <f>IF(D3891="","",MOD(D3891-cfgDeslocamento,4)+1)</f>
        <v>0</v>
      </c>
      <c r="G3891" s="26">
        <f>IF(A3891="","",IF(AND(ISNUMBER(B3891),B3891&lt;&gt;0),1,0))</f>
        <v>0</v>
      </c>
      <c r="H3891" s="25">
        <f>IF(E3891="","",(E3891*4+3+cfgDeslocamento)/48)</f>
        <v>0</v>
      </c>
    </row>
    <row r="3892" spans="1:8">
      <c r="A3892" s="24"/>
      <c r="B3892" s="19"/>
      <c r="C3892" s="25">
        <f>IF(D3892="","",D3892/48)</f>
        <v>0</v>
      </c>
      <c r="D3892" s="26">
        <f>IF(A3892="","",ROUND((A3892-cfgDefasagem/1440)*48,0))</f>
        <v>0</v>
      </c>
      <c r="E3892" s="26">
        <f>IF(D3892="","",INT((D3892-cfgDeslocamento)/4))</f>
        <v>0</v>
      </c>
      <c r="F3892" s="26">
        <f>IF(D3892="","",MOD(D3892-cfgDeslocamento,4)+1)</f>
        <v>0</v>
      </c>
      <c r="G3892" s="26">
        <f>IF(A3892="","",IF(AND(ISNUMBER(B3892),B3892&lt;&gt;0),1,0))</f>
        <v>0</v>
      </c>
      <c r="H3892" s="25">
        <f>IF(E3892="","",(E3892*4+3+cfgDeslocamento)/48)</f>
        <v>0</v>
      </c>
    </row>
    <row r="3893" spans="1:8">
      <c r="A3893" s="24"/>
      <c r="B3893" s="19"/>
      <c r="C3893" s="25">
        <f>IF(D3893="","",D3893/48)</f>
        <v>0</v>
      </c>
      <c r="D3893" s="26">
        <f>IF(A3893="","",ROUND((A3893-cfgDefasagem/1440)*48,0))</f>
        <v>0</v>
      </c>
      <c r="E3893" s="26">
        <f>IF(D3893="","",INT((D3893-cfgDeslocamento)/4))</f>
        <v>0</v>
      </c>
      <c r="F3893" s="26">
        <f>IF(D3893="","",MOD(D3893-cfgDeslocamento,4)+1)</f>
        <v>0</v>
      </c>
      <c r="G3893" s="26">
        <f>IF(A3893="","",IF(AND(ISNUMBER(B3893),B3893&lt;&gt;0),1,0))</f>
        <v>0</v>
      </c>
      <c r="H3893" s="25">
        <f>IF(E3893="","",(E3893*4+3+cfgDeslocamento)/48)</f>
        <v>0</v>
      </c>
    </row>
    <row r="3894" spans="1:8">
      <c r="A3894" s="24"/>
      <c r="B3894" s="19"/>
      <c r="C3894" s="25">
        <f>IF(D3894="","",D3894/48)</f>
        <v>0</v>
      </c>
      <c r="D3894" s="26">
        <f>IF(A3894="","",ROUND((A3894-cfgDefasagem/1440)*48,0))</f>
        <v>0</v>
      </c>
      <c r="E3894" s="26">
        <f>IF(D3894="","",INT((D3894-cfgDeslocamento)/4))</f>
        <v>0</v>
      </c>
      <c r="F3894" s="26">
        <f>IF(D3894="","",MOD(D3894-cfgDeslocamento,4)+1)</f>
        <v>0</v>
      </c>
      <c r="G3894" s="26">
        <f>IF(A3894="","",IF(AND(ISNUMBER(B3894),B3894&lt;&gt;0),1,0))</f>
        <v>0</v>
      </c>
      <c r="H3894" s="25">
        <f>IF(E3894="","",(E3894*4+3+cfgDeslocamento)/48)</f>
        <v>0</v>
      </c>
    </row>
    <row r="3895" spans="1:8">
      <c r="A3895" s="24"/>
      <c r="B3895" s="19"/>
      <c r="C3895" s="25">
        <f>IF(D3895="","",D3895/48)</f>
        <v>0</v>
      </c>
      <c r="D3895" s="26">
        <f>IF(A3895="","",ROUND((A3895-cfgDefasagem/1440)*48,0))</f>
        <v>0</v>
      </c>
      <c r="E3895" s="26">
        <f>IF(D3895="","",INT((D3895-cfgDeslocamento)/4))</f>
        <v>0</v>
      </c>
      <c r="F3895" s="26">
        <f>IF(D3895="","",MOD(D3895-cfgDeslocamento,4)+1)</f>
        <v>0</v>
      </c>
      <c r="G3895" s="26">
        <f>IF(A3895="","",IF(AND(ISNUMBER(B3895),B3895&lt;&gt;0),1,0))</f>
        <v>0</v>
      </c>
      <c r="H3895" s="25">
        <f>IF(E3895="","",(E3895*4+3+cfgDeslocamento)/48)</f>
        <v>0</v>
      </c>
    </row>
    <row r="3896" spans="1:8">
      <c r="A3896" s="24"/>
      <c r="B3896" s="19"/>
      <c r="C3896" s="25">
        <f>IF(D3896="","",D3896/48)</f>
        <v>0</v>
      </c>
      <c r="D3896" s="26">
        <f>IF(A3896="","",ROUND((A3896-cfgDefasagem/1440)*48,0))</f>
        <v>0</v>
      </c>
      <c r="E3896" s="26">
        <f>IF(D3896="","",INT((D3896-cfgDeslocamento)/4))</f>
        <v>0</v>
      </c>
      <c r="F3896" s="26">
        <f>IF(D3896="","",MOD(D3896-cfgDeslocamento,4)+1)</f>
        <v>0</v>
      </c>
      <c r="G3896" s="26">
        <f>IF(A3896="","",IF(AND(ISNUMBER(B3896),B3896&lt;&gt;0),1,0))</f>
        <v>0</v>
      </c>
      <c r="H3896" s="25">
        <f>IF(E3896="","",(E3896*4+3+cfgDeslocamento)/48)</f>
        <v>0</v>
      </c>
    </row>
    <row r="3897" spans="1:8">
      <c r="A3897" s="24"/>
      <c r="B3897" s="19"/>
      <c r="C3897" s="25">
        <f>IF(D3897="","",D3897/48)</f>
        <v>0</v>
      </c>
      <c r="D3897" s="26">
        <f>IF(A3897="","",ROUND((A3897-cfgDefasagem/1440)*48,0))</f>
        <v>0</v>
      </c>
      <c r="E3897" s="26">
        <f>IF(D3897="","",INT((D3897-cfgDeslocamento)/4))</f>
        <v>0</v>
      </c>
      <c r="F3897" s="26">
        <f>IF(D3897="","",MOD(D3897-cfgDeslocamento,4)+1)</f>
        <v>0</v>
      </c>
      <c r="G3897" s="26">
        <f>IF(A3897="","",IF(AND(ISNUMBER(B3897),B3897&lt;&gt;0),1,0))</f>
        <v>0</v>
      </c>
      <c r="H3897" s="25">
        <f>IF(E3897="","",(E3897*4+3+cfgDeslocamento)/48)</f>
        <v>0</v>
      </c>
    </row>
    <row r="3898" spans="1:8">
      <c r="A3898" s="24"/>
      <c r="B3898" s="19"/>
      <c r="C3898" s="25">
        <f>IF(D3898="","",D3898/48)</f>
        <v>0</v>
      </c>
      <c r="D3898" s="26">
        <f>IF(A3898="","",ROUND((A3898-cfgDefasagem/1440)*48,0))</f>
        <v>0</v>
      </c>
      <c r="E3898" s="26">
        <f>IF(D3898="","",INT((D3898-cfgDeslocamento)/4))</f>
        <v>0</v>
      </c>
      <c r="F3898" s="26">
        <f>IF(D3898="","",MOD(D3898-cfgDeslocamento,4)+1)</f>
        <v>0</v>
      </c>
      <c r="G3898" s="26">
        <f>IF(A3898="","",IF(AND(ISNUMBER(B3898),B3898&lt;&gt;0),1,0))</f>
        <v>0</v>
      </c>
      <c r="H3898" s="25">
        <f>IF(E3898="","",(E3898*4+3+cfgDeslocamento)/48)</f>
        <v>0</v>
      </c>
    </row>
    <row r="3899" spans="1:8">
      <c r="A3899" s="24"/>
      <c r="B3899" s="19"/>
      <c r="C3899" s="25">
        <f>IF(D3899="","",D3899/48)</f>
        <v>0</v>
      </c>
      <c r="D3899" s="26">
        <f>IF(A3899="","",ROUND((A3899-cfgDefasagem/1440)*48,0))</f>
        <v>0</v>
      </c>
      <c r="E3899" s="26">
        <f>IF(D3899="","",INT((D3899-cfgDeslocamento)/4))</f>
        <v>0</v>
      </c>
      <c r="F3899" s="26">
        <f>IF(D3899="","",MOD(D3899-cfgDeslocamento,4)+1)</f>
        <v>0</v>
      </c>
      <c r="G3899" s="26">
        <f>IF(A3899="","",IF(AND(ISNUMBER(B3899),B3899&lt;&gt;0),1,0))</f>
        <v>0</v>
      </c>
      <c r="H3899" s="25">
        <f>IF(E3899="","",(E3899*4+3+cfgDeslocamento)/48)</f>
        <v>0</v>
      </c>
    </row>
    <row r="3900" spans="1:8">
      <c r="A3900" s="24"/>
      <c r="B3900" s="19"/>
      <c r="C3900" s="25">
        <f>IF(D3900="","",D3900/48)</f>
        <v>0</v>
      </c>
      <c r="D3900" s="26">
        <f>IF(A3900="","",ROUND((A3900-cfgDefasagem/1440)*48,0))</f>
        <v>0</v>
      </c>
      <c r="E3900" s="26">
        <f>IF(D3900="","",INT((D3900-cfgDeslocamento)/4))</f>
        <v>0</v>
      </c>
      <c r="F3900" s="26">
        <f>IF(D3900="","",MOD(D3900-cfgDeslocamento,4)+1)</f>
        <v>0</v>
      </c>
      <c r="G3900" s="26">
        <f>IF(A3900="","",IF(AND(ISNUMBER(B3900),B3900&lt;&gt;0),1,0))</f>
        <v>0</v>
      </c>
      <c r="H3900" s="25">
        <f>IF(E3900="","",(E3900*4+3+cfgDeslocamento)/48)</f>
        <v>0</v>
      </c>
    </row>
    <row r="3901" spans="1:8">
      <c r="A3901" s="24"/>
      <c r="B3901" s="19"/>
      <c r="C3901" s="25">
        <f>IF(D3901="","",D3901/48)</f>
        <v>0</v>
      </c>
      <c r="D3901" s="26">
        <f>IF(A3901="","",ROUND((A3901-cfgDefasagem/1440)*48,0))</f>
        <v>0</v>
      </c>
      <c r="E3901" s="26">
        <f>IF(D3901="","",INT((D3901-cfgDeslocamento)/4))</f>
        <v>0</v>
      </c>
      <c r="F3901" s="26">
        <f>IF(D3901="","",MOD(D3901-cfgDeslocamento,4)+1)</f>
        <v>0</v>
      </c>
      <c r="G3901" s="26">
        <f>IF(A3901="","",IF(AND(ISNUMBER(B3901),B3901&lt;&gt;0),1,0))</f>
        <v>0</v>
      </c>
      <c r="H3901" s="25">
        <f>IF(E3901="","",(E3901*4+3+cfgDeslocamento)/48)</f>
        <v>0</v>
      </c>
    </row>
    <row r="3902" spans="1:8">
      <c r="A3902" s="24"/>
      <c r="B3902" s="19"/>
      <c r="C3902" s="25">
        <f>IF(D3902="","",D3902/48)</f>
        <v>0</v>
      </c>
      <c r="D3902" s="26">
        <f>IF(A3902="","",ROUND((A3902-cfgDefasagem/1440)*48,0))</f>
        <v>0</v>
      </c>
      <c r="E3902" s="26">
        <f>IF(D3902="","",INT((D3902-cfgDeslocamento)/4))</f>
        <v>0</v>
      </c>
      <c r="F3902" s="26">
        <f>IF(D3902="","",MOD(D3902-cfgDeslocamento,4)+1)</f>
        <v>0</v>
      </c>
      <c r="G3902" s="26">
        <f>IF(A3902="","",IF(AND(ISNUMBER(B3902),B3902&lt;&gt;0),1,0))</f>
        <v>0</v>
      </c>
      <c r="H3902" s="25">
        <f>IF(E3902="","",(E3902*4+3+cfgDeslocamento)/48)</f>
        <v>0</v>
      </c>
    </row>
    <row r="3903" spans="1:8">
      <c r="A3903" s="24"/>
      <c r="B3903" s="19"/>
      <c r="C3903" s="25">
        <f>IF(D3903="","",D3903/48)</f>
        <v>0</v>
      </c>
      <c r="D3903" s="26">
        <f>IF(A3903="","",ROUND((A3903-cfgDefasagem/1440)*48,0))</f>
        <v>0</v>
      </c>
      <c r="E3903" s="26">
        <f>IF(D3903="","",INT((D3903-cfgDeslocamento)/4))</f>
        <v>0</v>
      </c>
      <c r="F3903" s="26">
        <f>IF(D3903="","",MOD(D3903-cfgDeslocamento,4)+1)</f>
        <v>0</v>
      </c>
      <c r="G3903" s="26">
        <f>IF(A3903="","",IF(AND(ISNUMBER(B3903),B3903&lt;&gt;0),1,0))</f>
        <v>0</v>
      </c>
      <c r="H3903" s="25">
        <f>IF(E3903="","",(E3903*4+3+cfgDeslocamento)/48)</f>
        <v>0</v>
      </c>
    </row>
    <row r="3904" spans="1:8">
      <c r="A3904" s="24"/>
      <c r="B3904" s="19"/>
      <c r="C3904" s="25">
        <f>IF(D3904="","",D3904/48)</f>
        <v>0</v>
      </c>
      <c r="D3904" s="26">
        <f>IF(A3904="","",ROUND((A3904-cfgDefasagem/1440)*48,0))</f>
        <v>0</v>
      </c>
      <c r="E3904" s="26">
        <f>IF(D3904="","",INT((D3904-cfgDeslocamento)/4))</f>
        <v>0</v>
      </c>
      <c r="F3904" s="26">
        <f>IF(D3904="","",MOD(D3904-cfgDeslocamento,4)+1)</f>
        <v>0</v>
      </c>
      <c r="G3904" s="26">
        <f>IF(A3904="","",IF(AND(ISNUMBER(B3904),B3904&lt;&gt;0),1,0))</f>
        <v>0</v>
      </c>
      <c r="H3904" s="25">
        <f>IF(E3904="","",(E3904*4+3+cfgDeslocamento)/48)</f>
        <v>0</v>
      </c>
    </row>
    <row r="3905" spans="1:8">
      <c r="A3905" s="24"/>
      <c r="B3905" s="19"/>
      <c r="C3905" s="25">
        <f>IF(D3905="","",D3905/48)</f>
        <v>0</v>
      </c>
      <c r="D3905" s="26">
        <f>IF(A3905="","",ROUND((A3905-cfgDefasagem/1440)*48,0))</f>
        <v>0</v>
      </c>
      <c r="E3905" s="26">
        <f>IF(D3905="","",INT((D3905-cfgDeslocamento)/4))</f>
        <v>0</v>
      </c>
      <c r="F3905" s="26">
        <f>IF(D3905="","",MOD(D3905-cfgDeslocamento,4)+1)</f>
        <v>0</v>
      </c>
      <c r="G3905" s="26">
        <f>IF(A3905="","",IF(AND(ISNUMBER(B3905),B3905&lt;&gt;0),1,0))</f>
        <v>0</v>
      </c>
      <c r="H3905" s="25">
        <f>IF(E3905="","",(E3905*4+3+cfgDeslocamento)/48)</f>
        <v>0</v>
      </c>
    </row>
    <row r="3906" spans="1:8">
      <c r="A3906" s="24"/>
      <c r="B3906" s="19"/>
      <c r="C3906" s="25">
        <f>IF(D3906="","",D3906/48)</f>
        <v>0</v>
      </c>
      <c r="D3906" s="26">
        <f>IF(A3906="","",ROUND((A3906-cfgDefasagem/1440)*48,0))</f>
        <v>0</v>
      </c>
      <c r="E3906" s="26">
        <f>IF(D3906="","",INT((D3906-cfgDeslocamento)/4))</f>
        <v>0</v>
      </c>
      <c r="F3906" s="26">
        <f>IF(D3906="","",MOD(D3906-cfgDeslocamento,4)+1)</f>
        <v>0</v>
      </c>
      <c r="G3906" s="26">
        <f>IF(A3906="","",IF(AND(ISNUMBER(B3906),B3906&lt;&gt;0),1,0))</f>
        <v>0</v>
      </c>
      <c r="H3906" s="25">
        <f>IF(E3906="","",(E3906*4+3+cfgDeslocamento)/48)</f>
        <v>0</v>
      </c>
    </row>
    <row r="3907" spans="1:8">
      <c r="A3907" s="24"/>
      <c r="B3907" s="19"/>
      <c r="C3907" s="25">
        <f>IF(D3907="","",D3907/48)</f>
        <v>0</v>
      </c>
      <c r="D3907" s="26">
        <f>IF(A3907="","",ROUND((A3907-cfgDefasagem/1440)*48,0))</f>
        <v>0</v>
      </c>
      <c r="E3907" s="26">
        <f>IF(D3907="","",INT((D3907-cfgDeslocamento)/4))</f>
        <v>0</v>
      </c>
      <c r="F3907" s="26">
        <f>IF(D3907="","",MOD(D3907-cfgDeslocamento,4)+1)</f>
        <v>0</v>
      </c>
      <c r="G3907" s="26">
        <f>IF(A3907="","",IF(AND(ISNUMBER(B3907),B3907&lt;&gt;0),1,0))</f>
        <v>0</v>
      </c>
      <c r="H3907" s="25">
        <f>IF(E3907="","",(E3907*4+3+cfgDeslocamento)/48)</f>
        <v>0</v>
      </c>
    </row>
    <row r="3908" spans="1:8">
      <c r="A3908" s="24"/>
      <c r="B3908" s="19"/>
      <c r="C3908" s="25">
        <f>IF(D3908="","",D3908/48)</f>
        <v>0</v>
      </c>
      <c r="D3908" s="26">
        <f>IF(A3908="","",ROUND((A3908-cfgDefasagem/1440)*48,0))</f>
        <v>0</v>
      </c>
      <c r="E3908" s="26">
        <f>IF(D3908="","",INT((D3908-cfgDeslocamento)/4))</f>
        <v>0</v>
      </c>
      <c r="F3908" s="26">
        <f>IF(D3908="","",MOD(D3908-cfgDeslocamento,4)+1)</f>
        <v>0</v>
      </c>
      <c r="G3908" s="26">
        <f>IF(A3908="","",IF(AND(ISNUMBER(B3908),B3908&lt;&gt;0),1,0))</f>
        <v>0</v>
      </c>
      <c r="H3908" s="25">
        <f>IF(E3908="","",(E3908*4+3+cfgDeslocamento)/48)</f>
        <v>0</v>
      </c>
    </row>
    <row r="3909" spans="1:8">
      <c r="A3909" s="24"/>
      <c r="B3909" s="19"/>
      <c r="C3909" s="25">
        <f>IF(D3909="","",D3909/48)</f>
        <v>0</v>
      </c>
      <c r="D3909" s="26">
        <f>IF(A3909="","",ROUND((A3909-cfgDefasagem/1440)*48,0))</f>
        <v>0</v>
      </c>
      <c r="E3909" s="26">
        <f>IF(D3909="","",INT((D3909-cfgDeslocamento)/4))</f>
        <v>0</v>
      </c>
      <c r="F3909" s="26">
        <f>IF(D3909="","",MOD(D3909-cfgDeslocamento,4)+1)</f>
        <v>0</v>
      </c>
      <c r="G3909" s="26">
        <f>IF(A3909="","",IF(AND(ISNUMBER(B3909),B3909&lt;&gt;0),1,0))</f>
        <v>0</v>
      </c>
      <c r="H3909" s="25">
        <f>IF(E3909="","",(E3909*4+3+cfgDeslocamento)/48)</f>
        <v>0</v>
      </c>
    </row>
    <row r="3910" spans="1:8">
      <c r="A3910" s="24"/>
      <c r="B3910" s="19"/>
      <c r="C3910" s="25">
        <f>IF(D3910="","",D3910/48)</f>
        <v>0</v>
      </c>
      <c r="D3910" s="26">
        <f>IF(A3910="","",ROUND((A3910-cfgDefasagem/1440)*48,0))</f>
        <v>0</v>
      </c>
      <c r="E3910" s="26">
        <f>IF(D3910="","",INT((D3910-cfgDeslocamento)/4))</f>
        <v>0</v>
      </c>
      <c r="F3910" s="26">
        <f>IF(D3910="","",MOD(D3910-cfgDeslocamento,4)+1)</f>
        <v>0</v>
      </c>
      <c r="G3910" s="26">
        <f>IF(A3910="","",IF(AND(ISNUMBER(B3910),B3910&lt;&gt;0),1,0))</f>
        <v>0</v>
      </c>
      <c r="H3910" s="25">
        <f>IF(E3910="","",(E3910*4+3+cfgDeslocamento)/48)</f>
        <v>0</v>
      </c>
    </row>
    <row r="3911" spans="1:8">
      <c r="A3911" s="24"/>
      <c r="B3911" s="19"/>
      <c r="C3911" s="25">
        <f>IF(D3911="","",D3911/48)</f>
        <v>0</v>
      </c>
      <c r="D3911" s="26">
        <f>IF(A3911="","",ROUND((A3911-cfgDefasagem/1440)*48,0))</f>
        <v>0</v>
      </c>
      <c r="E3911" s="26">
        <f>IF(D3911="","",INT((D3911-cfgDeslocamento)/4))</f>
        <v>0</v>
      </c>
      <c r="F3911" s="26">
        <f>IF(D3911="","",MOD(D3911-cfgDeslocamento,4)+1)</f>
        <v>0</v>
      </c>
      <c r="G3911" s="26">
        <f>IF(A3911="","",IF(AND(ISNUMBER(B3911),B3911&lt;&gt;0),1,0))</f>
        <v>0</v>
      </c>
      <c r="H3911" s="25">
        <f>IF(E3911="","",(E3911*4+3+cfgDeslocamento)/48)</f>
        <v>0</v>
      </c>
    </row>
    <row r="3912" spans="1:8">
      <c r="A3912" s="24"/>
      <c r="B3912" s="19"/>
      <c r="C3912" s="25">
        <f>IF(D3912="","",D3912/48)</f>
        <v>0</v>
      </c>
      <c r="D3912" s="26">
        <f>IF(A3912="","",ROUND((A3912-cfgDefasagem/1440)*48,0))</f>
        <v>0</v>
      </c>
      <c r="E3912" s="26">
        <f>IF(D3912="","",INT((D3912-cfgDeslocamento)/4))</f>
        <v>0</v>
      </c>
      <c r="F3912" s="26">
        <f>IF(D3912="","",MOD(D3912-cfgDeslocamento,4)+1)</f>
        <v>0</v>
      </c>
      <c r="G3912" s="26">
        <f>IF(A3912="","",IF(AND(ISNUMBER(B3912),B3912&lt;&gt;0),1,0))</f>
        <v>0</v>
      </c>
      <c r="H3912" s="25">
        <f>IF(E3912="","",(E3912*4+3+cfgDeslocamento)/48)</f>
        <v>0</v>
      </c>
    </row>
    <row r="3913" spans="1:8">
      <c r="A3913" s="24"/>
      <c r="B3913" s="19"/>
      <c r="C3913" s="25">
        <f>IF(D3913="","",D3913/48)</f>
        <v>0</v>
      </c>
      <c r="D3913" s="26">
        <f>IF(A3913="","",ROUND((A3913-cfgDefasagem/1440)*48,0))</f>
        <v>0</v>
      </c>
      <c r="E3913" s="26">
        <f>IF(D3913="","",INT((D3913-cfgDeslocamento)/4))</f>
        <v>0</v>
      </c>
      <c r="F3913" s="26">
        <f>IF(D3913="","",MOD(D3913-cfgDeslocamento,4)+1)</f>
        <v>0</v>
      </c>
      <c r="G3913" s="26">
        <f>IF(A3913="","",IF(AND(ISNUMBER(B3913),B3913&lt;&gt;0),1,0))</f>
        <v>0</v>
      </c>
      <c r="H3913" s="25">
        <f>IF(E3913="","",(E3913*4+3+cfgDeslocamento)/48)</f>
        <v>0</v>
      </c>
    </row>
    <row r="3914" spans="1:8">
      <c r="A3914" s="24"/>
      <c r="B3914" s="19"/>
      <c r="C3914" s="25">
        <f>IF(D3914="","",D3914/48)</f>
        <v>0</v>
      </c>
      <c r="D3914" s="26">
        <f>IF(A3914="","",ROUND((A3914-cfgDefasagem/1440)*48,0))</f>
        <v>0</v>
      </c>
      <c r="E3914" s="26">
        <f>IF(D3914="","",INT((D3914-cfgDeslocamento)/4))</f>
        <v>0</v>
      </c>
      <c r="F3914" s="26">
        <f>IF(D3914="","",MOD(D3914-cfgDeslocamento,4)+1)</f>
        <v>0</v>
      </c>
      <c r="G3914" s="26">
        <f>IF(A3914="","",IF(AND(ISNUMBER(B3914),B3914&lt;&gt;0),1,0))</f>
        <v>0</v>
      </c>
      <c r="H3914" s="25">
        <f>IF(E3914="","",(E3914*4+3+cfgDeslocamento)/48)</f>
        <v>0</v>
      </c>
    </row>
    <row r="3915" spans="1:8">
      <c r="A3915" s="24"/>
      <c r="B3915" s="19"/>
      <c r="C3915" s="25">
        <f>IF(D3915="","",D3915/48)</f>
        <v>0</v>
      </c>
      <c r="D3915" s="26">
        <f>IF(A3915="","",ROUND((A3915-cfgDefasagem/1440)*48,0))</f>
        <v>0</v>
      </c>
      <c r="E3915" s="26">
        <f>IF(D3915="","",INT((D3915-cfgDeslocamento)/4))</f>
        <v>0</v>
      </c>
      <c r="F3915" s="26">
        <f>IF(D3915="","",MOD(D3915-cfgDeslocamento,4)+1)</f>
        <v>0</v>
      </c>
      <c r="G3915" s="26">
        <f>IF(A3915="","",IF(AND(ISNUMBER(B3915),B3915&lt;&gt;0),1,0))</f>
        <v>0</v>
      </c>
      <c r="H3915" s="25">
        <f>IF(E3915="","",(E3915*4+3+cfgDeslocamento)/48)</f>
        <v>0</v>
      </c>
    </row>
    <row r="3916" spans="1:8">
      <c r="A3916" s="24"/>
      <c r="B3916" s="19"/>
      <c r="C3916" s="25">
        <f>IF(D3916="","",D3916/48)</f>
        <v>0</v>
      </c>
      <c r="D3916" s="26">
        <f>IF(A3916="","",ROUND((A3916-cfgDefasagem/1440)*48,0))</f>
        <v>0</v>
      </c>
      <c r="E3916" s="26">
        <f>IF(D3916="","",INT((D3916-cfgDeslocamento)/4))</f>
        <v>0</v>
      </c>
      <c r="F3916" s="26">
        <f>IF(D3916="","",MOD(D3916-cfgDeslocamento,4)+1)</f>
        <v>0</v>
      </c>
      <c r="G3916" s="26">
        <f>IF(A3916="","",IF(AND(ISNUMBER(B3916),B3916&lt;&gt;0),1,0))</f>
        <v>0</v>
      </c>
      <c r="H3916" s="25">
        <f>IF(E3916="","",(E3916*4+3+cfgDeslocamento)/48)</f>
        <v>0</v>
      </c>
    </row>
    <row r="3917" spans="1:8">
      <c r="A3917" s="24"/>
      <c r="B3917" s="19"/>
      <c r="C3917" s="25">
        <f>IF(D3917="","",D3917/48)</f>
        <v>0</v>
      </c>
      <c r="D3917" s="26">
        <f>IF(A3917="","",ROUND((A3917-cfgDefasagem/1440)*48,0))</f>
        <v>0</v>
      </c>
      <c r="E3917" s="26">
        <f>IF(D3917="","",INT((D3917-cfgDeslocamento)/4))</f>
        <v>0</v>
      </c>
      <c r="F3917" s="26">
        <f>IF(D3917="","",MOD(D3917-cfgDeslocamento,4)+1)</f>
        <v>0</v>
      </c>
      <c r="G3917" s="26">
        <f>IF(A3917="","",IF(AND(ISNUMBER(B3917),B3917&lt;&gt;0),1,0))</f>
        <v>0</v>
      </c>
      <c r="H3917" s="25">
        <f>IF(E3917="","",(E3917*4+3+cfgDeslocamento)/48)</f>
        <v>0</v>
      </c>
    </row>
    <row r="3918" spans="1:8">
      <c r="A3918" s="24"/>
      <c r="B3918" s="19"/>
      <c r="C3918" s="25">
        <f>IF(D3918="","",D3918/48)</f>
        <v>0</v>
      </c>
      <c r="D3918" s="26">
        <f>IF(A3918="","",ROUND((A3918-cfgDefasagem/1440)*48,0))</f>
        <v>0</v>
      </c>
      <c r="E3918" s="26">
        <f>IF(D3918="","",INT((D3918-cfgDeslocamento)/4))</f>
        <v>0</v>
      </c>
      <c r="F3918" s="26">
        <f>IF(D3918="","",MOD(D3918-cfgDeslocamento,4)+1)</f>
        <v>0</v>
      </c>
      <c r="G3918" s="26">
        <f>IF(A3918="","",IF(AND(ISNUMBER(B3918),B3918&lt;&gt;0),1,0))</f>
        <v>0</v>
      </c>
      <c r="H3918" s="25">
        <f>IF(E3918="","",(E3918*4+3+cfgDeslocamento)/48)</f>
        <v>0</v>
      </c>
    </row>
    <row r="3919" spans="1:8">
      <c r="A3919" s="24"/>
      <c r="B3919" s="19"/>
      <c r="C3919" s="25">
        <f>IF(D3919="","",D3919/48)</f>
        <v>0</v>
      </c>
      <c r="D3919" s="26">
        <f>IF(A3919="","",ROUND((A3919-cfgDefasagem/1440)*48,0))</f>
        <v>0</v>
      </c>
      <c r="E3919" s="26">
        <f>IF(D3919="","",INT((D3919-cfgDeslocamento)/4))</f>
        <v>0</v>
      </c>
      <c r="F3919" s="26">
        <f>IF(D3919="","",MOD(D3919-cfgDeslocamento,4)+1)</f>
        <v>0</v>
      </c>
      <c r="G3919" s="26">
        <f>IF(A3919="","",IF(AND(ISNUMBER(B3919),B3919&lt;&gt;0),1,0))</f>
        <v>0</v>
      </c>
      <c r="H3919" s="25">
        <f>IF(E3919="","",(E3919*4+3+cfgDeslocamento)/48)</f>
        <v>0</v>
      </c>
    </row>
    <row r="3920" spans="1:8">
      <c r="A3920" s="24"/>
      <c r="B3920" s="19"/>
      <c r="C3920" s="25">
        <f>IF(D3920="","",D3920/48)</f>
        <v>0</v>
      </c>
      <c r="D3920" s="26">
        <f>IF(A3920="","",ROUND((A3920-cfgDefasagem/1440)*48,0))</f>
        <v>0</v>
      </c>
      <c r="E3920" s="26">
        <f>IF(D3920="","",INT((D3920-cfgDeslocamento)/4))</f>
        <v>0</v>
      </c>
      <c r="F3920" s="26">
        <f>IF(D3920="","",MOD(D3920-cfgDeslocamento,4)+1)</f>
        <v>0</v>
      </c>
      <c r="G3920" s="26">
        <f>IF(A3920="","",IF(AND(ISNUMBER(B3920),B3920&lt;&gt;0),1,0))</f>
        <v>0</v>
      </c>
      <c r="H3920" s="25">
        <f>IF(E3920="","",(E3920*4+3+cfgDeslocamento)/48)</f>
        <v>0</v>
      </c>
    </row>
    <row r="3921" spans="1:8">
      <c r="A3921" s="24"/>
      <c r="B3921" s="19"/>
      <c r="C3921" s="25">
        <f>IF(D3921="","",D3921/48)</f>
        <v>0</v>
      </c>
      <c r="D3921" s="26">
        <f>IF(A3921="","",ROUND((A3921-cfgDefasagem/1440)*48,0))</f>
        <v>0</v>
      </c>
      <c r="E3921" s="26">
        <f>IF(D3921="","",INT((D3921-cfgDeslocamento)/4))</f>
        <v>0</v>
      </c>
      <c r="F3921" s="26">
        <f>IF(D3921="","",MOD(D3921-cfgDeslocamento,4)+1)</f>
        <v>0</v>
      </c>
      <c r="G3921" s="26">
        <f>IF(A3921="","",IF(AND(ISNUMBER(B3921),B3921&lt;&gt;0),1,0))</f>
        <v>0</v>
      </c>
      <c r="H3921" s="25">
        <f>IF(E3921="","",(E3921*4+3+cfgDeslocamento)/48)</f>
        <v>0</v>
      </c>
    </row>
    <row r="3922" spans="1:8">
      <c r="A3922" s="24"/>
      <c r="B3922" s="19"/>
      <c r="C3922" s="25">
        <f>IF(D3922="","",D3922/48)</f>
        <v>0</v>
      </c>
      <c r="D3922" s="26">
        <f>IF(A3922="","",ROUND((A3922-cfgDefasagem/1440)*48,0))</f>
        <v>0</v>
      </c>
      <c r="E3922" s="26">
        <f>IF(D3922="","",INT((D3922-cfgDeslocamento)/4))</f>
        <v>0</v>
      </c>
      <c r="F3922" s="26">
        <f>IF(D3922="","",MOD(D3922-cfgDeslocamento,4)+1)</f>
        <v>0</v>
      </c>
      <c r="G3922" s="26">
        <f>IF(A3922="","",IF(AND(ISNUMBER(B3922),B3922&lt;&gt;0),1,0))</f>
        <v>0</v>
      </c>
      <c r="H3922" s="25">
        <f>IF(E3922="","",(E3922*4+3+cfgDeslocamento)/48)</f>
        <v>0</v>
      </c>
    </row>
    <row r="3923" spans="1:8">
      <c r="A3923" s="24"/>
      <c r="B3923" s="19"/>
      <c r="C3923" s="25">
        <f>IF(D3923="","",D3923/48)</f>
        <v>0</v>
      </c>
      <c r="D3923" s="26">
        <f>IF(A3923="","",ROUND((A3923-cfgDefasagem/1440)*48,0))</f>
        <v>0</v>
      </c>
      <c r="E3923" s="26">
        <f>IF(D3923="","",INT((D3923-cfgDeslocamento)/4))</f>
        <v>0</v>
      </c>
      <c r="F3923" s="26">
        <f>IF(D3923="","",MOD(D3923-cfgDeslocamento,4)+1)</f>
        <v>0</v>
      </c>
      <c r="G3923" s="26">
        <f>IF(A3923="","",IF(AND(ISNUMBER(B3923),B3923&lt;&gt;0),1,0))</f>
        <v>0</v>
      </c>
      <c r="H3923" s="25">
        <f>IF(E3923="","",(E3923*4+3+cfgDeslocamento)/48)</f>
        <v>0</v>
      </c>
    </row>
    <row r="3924" spans="1:8">
      <c r="A3924" s="24"/>
      <c r="B3924" s="19"/>
      <c r="C3924" s="25">
        <f>IF(D3924="","",D3924/48)</f>
        <v>0</v>
      </c>
      <c r="D3924" s="26">
        <f>IF(A3924="","",ROUND((A3924-cfgDefasagem/1440)*48,0))</f>
        <v>0</v>
      </c>
      <c r="E3924" s="26">
        <f>IF(D3924="","",INT((D3924-cfgDeslocamento)/4))</f>
        <v>0</v>
      </c>
      <c r="F3924" s="26">
        <f>IF(D3924="","",MOD(D3924-cfgDeslocamento,4)+1)</f>
        <v>0</v>
      </c>
      <c r="G3924" s="26">
        <f>IF(A3924="","",IF(AND(ISNUMBER(B3924),B3924&lt;&gt;0),1,0))</f>
        <v>0</v>
      </c>
      <c r="H3924" s="25">
        <f>IF(E3924="","",(E3924*4+3+cfgDeslocamento)/48)</f>
        <v>0</v>
      </c>
    </row>
    <row r="3925" spans="1:8">
      <c r="A3925" s="24"/>
      <c r="B3925" s="19"/>
      <c r="C3925" s="25">
        <f>IF(D3925="","",D3925/48)</f>
        <v>0</v>
      </c>
      <c r="D3925" s="26">
        <f>IF(A3925="","",ROUND((A3925-cfgDefasagem/1440)*48,0))</f>
        <v>0</v>
      </c>
      <c r="E3925" s="26">
        <f>IF(D3925="","",INT((D3925-cfgDeslocamento)/4))</f>
        <v>0</v>
      </c>
      <c r="F3925" s="26">
        <f>IF(D3925="","",MOD(D3925-cfgDeslocamento,4)+1)</f>
        <v>0</v>
      </c>
      <c r="G3925" s="26">
        <f>IF(A3925="","",IF(AND(ISNUMBER(B3925),B3925&lt;&gt;0),1,0))</f>
        <v>0</v>
      </c>
      <c r="H3925" s="25">
        <f>IF(E3925="","",(E3925*4+3+cfgDeslocamento)/48)</f>
        <v>0</v>
      </c>
    </row>
    <row r="3926" spans="1:8">
      <c r="A3926" s="24"/>
      <c r="B3926" s="19"/>
      <c r="C3926" s="25">
        <f>IF(D3926="","",D3926/48)</f>
        <v>0</v>
      </c>
      <c r="D3926" s="26">
        <f>IF(A3926="","",ROUND((A3926-cfgDefasagem/1440)*48,0))</f>
        <v>0</v>
      </c>
      <c r="E3926" s="26">
        <f>IF(D3926="","",INT((D3926-cfgDeslocamento)/4))</f>
        <v>0</v>
      </c>
      <c r="F3926" s="26">
        <f>IF(D3926="","",MOD(D3926-cfgDeslocamento,4)+1)</f>
        <v>0</v>
      </c>
      <c r="G3926" s="26">
        <f>IF(A3926="","",IF(AND(ISNUMBER(B3926),B3926&lt;&gt;0),1,0))</f>
        <v>0</v>
      </c>
      <c r="H3926" s="25">
        <f>IF(E3926="","",(E3926*4+3+cfgDeslocamento)/48)</f>
        <v>0</v>
      </c>
    </row>
    <row r="3927" spans="1:8">
      <c r="A3927" s="24"/>
      <c r="B3927" s="19"/>
      <c r="C3927" s="25">
        <f>IF(D3927="","",D3927/48)</f>
        <v>0</v>
      </c>
      <c r="D3927" s="26">
        <f>IF(A3927="","",ROUND((A3927-cfgDefasagem/1440)*48,0))</f>
        <v>0</v>
      </c>
      <c r="E3927" s="26">
        <f>IF(D3927="","",INT((D3927-cfgDeslocamento)/4))</f>
        <v>0</v>
      </c>
      <c r="F3927" s="26">
        <f>IF(D3927="","",MOD(D3927-cfgDeslocamento,4)+1)</f>
        <v>0</v>
      </c>
      <c r="G3927" s="26">
        <f>IF(A3927="","",IF(AND(ISNUMBER(B3927),B3927&lt;&gt;0),1,0))</f>
        <v>0</v>
      </c>
      <c r="H3927" s="25">
        <f>IF(E3927="","",(E3927*4+3+cfgDeslocamento)/48)</f>
        <v>0</v>
      </c>
    </row>
    <row r="3928" spans="1:8">
      <c r="A3928" s="24"/>
      <c r="B3928" s="19"/>
      <c r="C3928" s="25">
        <f>IF(D3928="","",D3928/48)</f>
        <v>0</v>
      </c>
      <c r="D3928" s="26">
        <f>IF(A3928="","",ROUND((A3928-cfgDefasagem/1440)*48,0))</f>
        <v>0</v>
      </c>
      <c r="E3928" s="26">
        <f>IF(D3928="","",INT((D3928-cfgDeslocamento)/4))</f>
        <v>0</v>
      </c>
      <c r="F3928" s="26">
        <f>IF(D3928="","",MOD(D3928-cfgDeslocamento,4)+1)</f>
        <v>0</v>
      </c>
      <c r="G3928" s="26">
        <f>IF(A3928="","",IF(AND(ISNUMBER(B3928),B3928&lt;&gt;0),1,0))</f>
        <v>0</v>
      </c>
      <c r="H3928" s="25">
        <f>IF(E3928="","",(E3928*4+3+cfgDeslocamento)/48)</f>
        <v>0</v>
      </c>
    </row>
    <row r="3929" spans="1:8">
      <c r="A3929" s="24"/>
      <c r="B3929" s="19"/>
      <c r="C3929" s="25">
        <f>IF(D3929="","",D3929/48)</f>
        <v>0</v>
      </c>
      <c r="D3929" s="26">
        <f>IF(A3929="","",ROUND((A3929-cfgDefasagem/1440)*48,0))</f>
        <v>0</v>
      </c>
      <c r="E3929" s="26">
        <f>IF(D3929="","",INT((D3929-cfgDeslocamento)/4))</f>
        <v>0</v>
      </c>
      <c r="F3929" s="26">
        <f>IF(D3929="","",MOD(D3929-cfgDeslocamento,4)+1)</f>
        <v>0</v>
      </c>
      <c r="G3929" s="26">
        <f>IF(A3929="","",IF(AND(ISNUMBER(B3929),B3929&lt;&gt;0),1,0))</f>
        <v>0</v>
      </c>
      <c r="H3929" s="25">
        <f>IF(E3929="","",(E3929*4+3+cfgDeslocamento)/48)</f>
        <v>0</v>
      </c>
    </row>
    <row r="3930" spans="1:8">
      <c r="A3930" s="24"/>
      <c r="B3930" s="19"/>
      <c r="C3930" s="25">
        <f>IF(D3930="","",D3930/48)</f>
        <v>0</v>
      </c>
      <c r="D3930" s="26">
        <f>IF(A3930="","",ROUND((A3930-cfgDefasagem/1440)*48,0))</f>
        <v>0</v>
      </c>
      <c r="E3930" s="26">
        <f>IF(D3930="","",INT((D3930-cfgDeslocamento)/4))</f>
        <v>0</v>
      </c>
      <c r="F3930" s="26">
        <f>IF(D3930="","",MOD(D3930-cfgDeslocamento,4)+1)</f>
        <v>0</v>
      </c>
      <c r="G3930" s="26">
        <f>IF(A3930="","",IF(AND(ISNUMBER(B3930),B3930&lt;&gt;0),1,0))</f>
        <v>0</v>
      </c>
      <c r="H3930" s="25">
        <f>IF(E3930="","",(E3930*4+3+cfgDeslocamento)/48)</f>
        <v>0</v>
      </c>
    </row>
    <row r="3931" spans="1:8">
      <c r="A3931" s="24"/>
      <c r="B3931" s="19"/>
      <c r="C3931" s="25">
        <f>IF(D3931="","",D3931/48)</f>
        <v>0</v>
      </c>
      <c r="D3931" s="26">
        <f>IF(A3931="","",ROUND((A3931-cfgDefasagem/1440)*48,0))</f>
        <v>0</v>
      </c>
      <c r="E3931" s="26">
        <f>IF(D3931="","",INT((D3931-cfgDeslocamento)/4))</f>
        <v>0</v>
      </c>
      <c r="F3931" s="26">
        <f>IF(D3931="","",MOD(D3931-cfgDeslocamento,4)+1)</f>
        <v>0</v>
      </c>
      <c r="G3931" s="26">
        <f>IF(A3931="","",IF(AND(ISNUMBER(B3931),B3931&lt;&gt;0),1,0))</f>
        <v>0</v>
      </c>
      <c r="H3931" s="25">
        <f>IF(E3931="","",(E3931*4+3+cfgDeslocamento)/48)</f>
        <v>0</v>
      </c>
    </row>
    <row r="3932" spans="1:8">
      <c r="A3932" s="24"/>
      <c r="B3932" s="19"/>
      <c r="C3932" s="25">
        <f>IF(D3932="","",D3932/48)</f>
        <v>0</v>
      </c>
      <c r="D3932" s="26">
        <f>IF(A3932="","",ROUND((A3932-cfgDefasagem/1440)*48,0))</f>
        <v>0</v>
      </c>
      <c r="E3932" s="26">
        <f>IF(D3932="","",INT((D3932-cfgDeslocamento)/4))</f>
        <v>0</v>
      </c>
      <c r="F3932" s="26">
        <f>IF(D3932="","",MOD(D3932-cfgDeslocamento,4)+1)</f>
        <v>0</v>
      </c>
      <c r="G3932" s="26">
        <f>IF(A3932="","",IF(AND(ISNUMBER(B3932),B3932&lt;&gt;0),1,0))</f>
        <v>0</v>
      </c>
      <c r="H3932" s="25">
        <f>IF(E3932="","",(E3932*4+3+cfgDeslocamento)/48)</f>
        <v>0</v>
      </c>
    </row>
    <row r="3933" spans="1:8">
      <c r="A3933" s="24"/>
      <c r="B3933" s="19"/>
      <c r="C3933" s="25">
        <f>IF(D3933="","",D3933/48)</f>
        <v>0</v>
      </c>
      <c r="D3933" s="26">
        <f>IF(A3933="","",ROUND((A3933-cfgDefasagem/1440)*48,0))</f>
        <v>0</v>
      </c>
      <c r="E3933" s="26">
        <f>IF(D3933="","",INT((D3933-cfgDeslocamento)/4))</f>
        <v>0</v>
      </c>
      <c r="F3933" s="26">
        <f>IF(D3933="","",MOD(D3933-cfgDeslocamento,4)+1)</f>
        <v>0</v>
      </c>
      <c r="G3933" s="26">
        <f>IF(A3933="","",IF(AND(ISNUMBER(B3933),B3933&lt;&gt;0),1,0))</f>
        <v>0</v>
      </c>
      <c r="H3933" s="25">
        <f>IF(E3933="","",(E3933*4+3+cfgDeslocamento)/48)</f>
        <v>0</v>
      </c>
    </row>
    <row r="3934" spans="1:8">
      <c r="A3934" s="24"/>
      <c r="B3934" s="19"/>
      <c r="C3934" s="25">
        <f>IF(D3934="","",D3934/48)</f>
        <v>0</v>
      </c>
      <c r="D3934" s="26">
        <f>IF(A3934="","",ROUND((A3934-cfgDefasagem/1440)*48,0))</f>
        <v>0</v>
      </c>
      <c r="E3934" s="26">
        <f>IF(D3934="","",INT((D3934-cfgDeslocamento)/4))</f>
        <v>0</v>
      </c>
      <c r="F3934" s="26">
        <f>IF(D3934="","",MOD(D3934-cfgDeslocamento,4)+1)</f>
        <v>0</v>
      </c>
      <c r="G3934" s="26">
        <f>IF(A3934="","",IF(AND(ISNUMBER(B3934),B3934&lt;&gt;0),1,0))</f>
        <v>0</v>
      </c>
      <c r="H3934" s="25">
        <f>IF(E3934="","",(E3934*4+3+cfgDeslocamento)/48)</f>
        <v>0</v>
      </c>
    </row>
    <row r="3935" spans="1:8">
      <c r="A3935" s="24"/>
      <c r="B3935" s="19"/>
      <c r="C3935" s="25">
        <f>IF(D3935="","",D3935/48)</f>
        <v>0</v>
      </c>
      <c r="D3935" s="26">
        <f>IF(A3935="","",ROUND((A3935-cfgDefasagem/1440)*48,0))</f>
        <v>0</v>
      </c>
      <c r="E3935" s="26">
        <f>IF(D3935="","",INT((D3935-cfgDeslocamento)/4))</f>
        <v>0</v>
      </c>
      <c r="F3935" s="26">
        <f>IF(D3935="","",MOD(D3935-cfgDeslocamento,4)+1)</f>
        <v>0</v>
      </c>
      <c r="G3935" s="26">
        <f>IF(A3935="","",IF(AND(ISNUMBER(B3935),B3935&lt;&gt;0),1,0))</f>
        <v>0</v>
      </c>
      <c r="H3935" s="25">
        <f>IF(E3935="","",(E3935*4+3+cfgDeslocamento)/48)</f>
        <v>0</v>
      </c>
    </row>
    <row r="3936" spans="1:8">
      <c r="A3936" s="24"/>
      <c r="B3936" s="19"/>
      <c r="C3936" s="25">
        <f>IF(D3936="","",D3936/48)</f>
        <v>0</v>
      </c>
      <c r="D3936" s="26">
        <f>IF(A3936="","",ROUND((A3936-cfgDefasagem/1440)*48,0))</f>
        <v>0</v>
      </c>
      <c r="E3936" s="26">
        <f>IF(D3936="","",INT((D3936-cfgDeslocamento)/4))</f>
        <v>0</v>
      </c>
      <c r="F3936" s="26">
        <f>IF(D3936="","",MOD(D3936-cfgDeslocamento,4)+1)</f>
        <v>0</v>
      </c>
      <c r="G3936" s="26">
        <f>IF(A3936="","",IF(AND(ISNUMBER(B3936),B3936&lt;&gt;0),1,0))</f>
        <v>0</v>
      </c>
      <c r="H3936" s="25">
        <f>IF(E3936="","",(E3936*4+3+cfgDeslocamento)/48)</f>
        <v>0</v>
      </c>
    </row>
    <row r="3937" spans="1:8">
      <c r="A3937" s="24"/>
      <c r="B3937" s="19"/>
      <c r="C3937" s="25">
        <f>IF(D3937="","",D3937/48)</f>
        <v>0</v>
      </c>
      <c r="D3937" s="26">
        <f>IF(A3937="","",ROUND((A3937-cfgDefasagem/1440)*48,0))</f>
        <v>0</v>
      </c>
      <c r="E3937" s="26">
        <f>IF(D3937="","",INT((D3937-cfgDeslocamento)/4))</f>
        <v>0</v>
      </c>
      <c r="F3937" s="26">
        <f>IF(D3937="","",MOD(D3937-cfgDeslocamento,4)+1)</f>
        <v>0</v>
      </c>
      <c r="G3937" s="26">
        <f>IF(A3937="","",IF(AND(ISNUMBER(B3937),B3937&lt;&gt;0),1,0))</f>
        <v>0</v>
      </c>
      <c r="H3937" s="25">
        <f>IF(E3937="","",(E3937*4+3+cfgDeslocamento)/48)</f>
        <v>0</v>
      </c>
    </row>
    <row r="3938" spans="1:8">
      <c r="A3938" s="24"/>
      <c r="B3938" s="19"/>
      <c r="C3938" s="25">
        <f>IF(D3938="","",D3938/48)</f>
        <v>0</v>
      </c>
      <c r="D3938" s="26">
        <f>IF(A3938="","",ROUND((A3938-cfgDefasagem/1440)*48,0))</f>
        <v>0</v>
      </c>
      <c r="E3938" s="26">
        <f>IF(D3938="","",INT((D3938-cfgDeslocamento)/4))</f>
        <v>0</v>
      </c>
      <c r="F3938" s="26">
        <f>IF(D3938="","",MOD(D3938-cfgDeslocamento,4)+1)</f>
        <v>0</v>
      </c>
      <c r="G3938" s="26">
        <f>IF(A3938="","",IF(AND(ISNUMBER(B3938),B3938&lt;&gt;0),1,0))</f>
        <v>0</v>
      </c>
      <c r="H3938" s="25">
        <f>IF(E3938="","",(E3938*4+3+cfgDeslocamento)/48)</f>
        <v>0</v>
      </c>
    </row>
    <row r="3939" spans="1:8">
      <c r="A3939" s="24"/>
      <c r="B3939" s="19"/>
      <c r="C3939" s="25">
        <f>IF(D3939="","",D3939/48)</f>
        <v>0</v>
      </c>
      <c r="D3939" s="26">
        <f>IF(A3939="","",ROUND((A3939-cfgDefasagem/1440)*48,0))</f>
        <v>0</v>
      </c>
      <c r="E3939" s="26">
        <f>IF(D3939="","",INT((D3939-cfgDeslocamento)/4))</f>
        <v>0</v>
      </c>
      <c r="F3939" s="26">
        <f>IF(D3939="","",MOD(D3939-cfgDeslocamento,4)+1)</f>
        <v>0</v>
      </c>
      <c r="G3939" s="26">
        <f>IF(A3939="","",IF(AND(ISNUMBER(B3939),B3939&lt;&gt;0),1,0))</f>
        <v>0</v>
      </c>
      <c r="H3939" s="25">
        <f>IF(E3939="","",(E3939*4+3+cfgDeslocamento)/48)</f>
        <v>0</v>
      </c>
    </row>
    <row r="3940" spans="1:8">
      <c r="A3940" s="24"/>
      <c r="B3940" s="19"/>
      <c r="C3940" s="25">
        <f>IF(D3940="","",D3940/48)</f>
        <v>0</v>
      </c>
      <c r="D3940" s="26">
        <f>IF(A3940="","",ROUND((A3940-cfgDefasagem/1440)*48,0))</f>
        <v>0</v>
      </c>
      <c r="E3940" s="26">
        <f>IF(D3940="","",INT((D3940-cfgDeslocamento)/4))</f>
        <v>0</v>
      </c>
      <c r="F3940" s="26">
        <f>IF(D3940="","",MOD(D3940-cfgDeslocamento,4)+1)</f>
        <v>0</v>
      </c>
      <c r="G3940" s="26">
        <f>IF(A3940="","",IF(AND(ISNUMBER(B3940),B3940&lt;&gt;0),1,0))</f>
        <v>0</v>
      </c>
      <c r="H3940" s="25">
        <f>IF(E3940="","",(E3940*4+3+cfgDeslocamento)/48)</f>
        <v>0</v>
      </c>
    </row>
    <row r="3941" spans="1:8">
      <c r="A3941" s="24"/>
      <c r="B3941" s="19"/>
      <c r="C3941" s="25">
        <f>IF(D3941="","",D3941/48)</f>
        <v>0</v>
      </c>
      <c r="D3941" s="26">
        <f>IF(A3941="","",ROUND((A3941-cfgDefasagem/1440)*48,0))</f>
        <v>0</v>
      </c>
      <c r="E3941" s="26">
        <f>IF(D3941="","",INT((D3941-cfgDeslocamento)/4))</f>
        <v>0</v>
      </c>
      <c r="F3941" s="26">
        <f>IF(D3941="","",MOD(D3941-cfgDeslocamento,4)+1)</f>
        <v>0</v>
      </c>
      <c r="G3941" s="26">
        <f>IF(A3941="","",IF(AND(ISNUMBER(B3941),B3941&lt;&gt;0),1,0))</f>
        <v>0</v>
      </c>
      <c r="H3941" s="25">
        <f>IF(E3941="","",(E3941*4+3+cfgDeslocamento)/48)</f>
        <v>0</v>
      </c>
    </row>
    <row r="3942" spans="1:8">
      <c r="A3942" s="24"/>
      <c r="B3942" s="19"/>
      <c r="C3942" s="25">
        <f>IF(D3942="","",D3942/48)</f>
        <v>0</v>
      </c>
      <c r="D3942" s="26">
        <f>IF(A3942="","",ROUND((A3942-cfgDefasagem/1440)*48,0))</f>
        <v>0</v>
      </c>
      <c r="E3942" s="26">
        <f>IF(D3942="","",INT((D3942-cfgDeslocamento)/4))</f>
        <v>0</v>
      </c>
      <c r="F3942" s="26">
        <f>IF(D3942="","",MOD(D3942-cfgDeslocamento,4)+1)</f>
        <v>0</v>
      </c>
      <c r="G3942" s="26">
        <f>IF(A3942="","",IF(AND(ISNUMBER(B3942),B3942&lt;&gt;0),1,0))</f>
        <v>0</v>
      </c>
      <c r="H3942" s="25">
        <f>IF(E3942="","",(E3942*4+3+cfgDeslocamento)/48)</f>
        <v>0</v>
      </c>
    </row>
    <row r="3943" spans="1:8">
      <c r="A3943" s="24"/>
      <c r="B3943" s="19"/>
      <c r="C3943" s="25">
        <f>IF(D3943="","",D3943/48)</f>
        <v>0</v>
      </c>
      <c r="D3943" s="26">
        <f>IF(A3943="","",ROUND((A3943-cfgDefasagem/1440)*48,0))</f>
        <v>0</v>
      </c>
      <c r="E3943" s="26">
        <f>IF(D3943="","",INT((D3943-cfgDeslocamento)/4))</f>
        <v>0</v>
      </c>
      <c r="F3943" s="26">
        <f>IF(D3943="","",MOD(D3943-cfgDeslocamento,4)+1)</f>
        <v>0</v>
      </c>
      <c r="G3943" s="26">
        <f>IF(A3943="","",IF(AND(ISNUMBER(B3943),B3943&lt;&gt;0),1,0))</f>
        <v>0</v>
      </c>
      <c r="H3943" s="25">
        <f>IF(E3943="","",(E3943*4+3+cfgDeslocamento)/48)</f>
        <v>0</v>
      </c>
    </row>
    <row r="3944" spans="1:8">
      <c r="A3944" s="24"/>
      <c r="B3944" s="19"/>
      <c r="C3944" s="25">
        <f>IF(D3944="","",D3944/48)</f>
        <v>0</v>
      </c>
      <c r="D3944" s="26">
        <f>IF(A3944="","",ROUND((A3944-cfgDefasagem/1440)*48,0))</f>
        <v>0</v>
      </c>
      <c r="E3944" s="26">
        <f>IF(D3944="","",INT((D3944-cfgDeslocamento)/4))</f>
        <v>0</v>
      </c>
      <c r="F3944" s="26">
        <f>IF(D3944="","",MOD(D3944-cfgDeslocamento,4)+1)</f>
        <v>0</v>
      </c>
      <c r="G3944" s="26">
        <f>IF(A3944="","",IF(AND(ISNUMBER(B3944),B3944&lt;&gt;0),1,0))</f>
        <v>0</v>
      </c>
      <c r="H3944" s="25">
        <f>IF(E3944="","",(E3944*4+3+cfgDeslocamento)/48)</f>
        <v>0</v>
      </c>
    </row>
    <row r="3945" spans="1:8">
      <c r="A3945" s="24"/>
      <c r="B3945" s="19"/>
      <c r="C3945" s="25">
        <f>IF(D3945="","",D3945/48)</f>
        <v>0</v>
      </c>
      <c r="D3945" s="26">
        <f>IF(A3945="","",ROUND((A3945-cfgDefasagem/1440)*48,0))</f>
        <v>0</v>
      </c>
      <c r="E3945" s="26">
        <f>IF(D3945="","",INT((D3945-cfgDeslocamento)/4))</f>
        <v>0</v>
      </c>
      <c r="F3945" s="26">
        <f>IF(D3945="","",MOD(D3945-cfgDeslocamento,4)+1)</f>
        <v>0</v>
      </c>
      <c r="G3945" s="26">
        <f>IF(A3945="","",IF(AND(ISNUMBER(B3945),B3945&lt;&gt;0),1,0))</f>
        <v>0</v>
      </c>
      <c r="H3945" s="25">
        <f>IF(E3945="","",(E3945*4+3+cfgDeslocamento)/48)</f>
        <v>0</v>
      </c>
    </row>
    <row r="3946" spans="1:8">
      <c r="A3946" s="24"/>
      <c r="B3946" s="19"/>
      <c r="C3946" s="25">
        <f>IF(D3946="","",D3946/48)</f>
        <v>0</v>
      </c>
      <c r="D3946" s="26">
        <f>IF(A3946="","",ROUND((A3946-cfgDefasagem/1440)*48,0))</f>
        <v>0</v>
      </c>
      <c r="E3946" s="26">
        <f>IF(D3946="","",INT((D3946-cfgDeslocamento)/4))</f>
        <v>0</v>
      </c>
      <c r="F3946" s="26">
        <f>IF(D3946="","",MOD(D3946-cfgDeslocamento,4)+1)</f>
        <v>0</v>
      </c>
      <c r="G3946" s="26">
        <f>IF(A3946="","",IF(AND(ISNUMBER(B3946),B3946&lt;&gt;0),1,0))</f>
        <v>0</v>
      </c>
      <c r="H3946" s="25">
        <f>IF(E3946="","",(E3946*4+3+cfgDeslocamento)/48)</f>
        <v>0</v>
      </c>
    </row>
    <row r="3947" spans="1:8">
      <c r="A3947" s="24"/>
      <c r="B3947" s="19"/>
      <c r="C3947" s="25">
        <f>IF(D3947="","",D3947/48)</f>
        <v>0</v>
      </c>
      <c r="D3947" s="26">
        <f>IF(A3947="","",ROUND((A3947-cfgDefasagem/1440)*48,0))</f>
        <v>0</v>
      </c>
      <c r="E3947" s="26">
        <f>IF(D3947="","",INT((D3947-cfgDeslocamento)/4))</f>
        <v>0</v>
      </c>
      <c r="F3947" s="26">
        <f>IF(D3947="","",MOD(D3947-cfgDeslocamento,4)+1)</f>
        <v>0</v>
      </c>
      <c r="G3947" s="26">
        <f>IF(A3947="","",IF(AND(ISNUMBER(B3947),B3947&lt;&gt;0),1,0))</f>
        <v>0</v>
      </c>
      <c r="H3947" s="25">
        <f>IF(E3947="","",(E3947*4+3+cfgDeslocamento)/48)</f>
        <v>0</v>
      </c>
    </row>
    <row r="3948" spans="1:8">
      <c r="A3948" s="24"/>
      <c r="B3948" s="19"/>
      <c r="C3948" s="25">
        <f>IF(D3948="","",D3948/48)</f>
        <v>0</v>
      </c>
      <c r="D3948" s="26">
        <f>IF(A3948="","",ROUND((A3948-cfgDefasagem/1440)*48,0))</f>
        <v>0</v>
      </c>
      <c r="E3948" s="26">
        <f>IF(D3948="","",INT((D3948-cfgDeslocamento)/4))</f>
        <v>0</v>
      </c>
      <c r="F3948" s="26">
        <f>IF(D3948="","",MOD(D3948-cfgDeslocamento,4)+1)</f>
        <v>0</v>
      </c>
      <c r="G3948" s="26">
        <f>IF(A3948="","",IF(AND(ISNUMBER(B3948),B3948&lt;&gt;0),1,0))</f>
        <v>0</v>
      </c>
      <c r="H3948" s="25">
        <f>IF(E3948="","",(E3948*4+3+cfgDeslocamento)/48)</f>
        <v>0</v>
      </c>
    </row>
    <row r="3949" spans="1:8">
      <c r="A3949" s="24"/>
      <c r="B3949" s="19"/>
      <c r="C3949" s="25">
        <f>IF(D3949="","",D3949/48)</f>
        <v>0</v>
      </c>
      <c r="D3949" s="26">
        <f>IF(A3949="","",ROUND((A3949-cfgDefasagem/1440)*48,0))</f>
        <v>0</v>
      </c>
      <c r="E3949" s="26">
        <f>IF(D3949="","",INT((D3949-cfgDeslocamento)/4))</f>
        <v>0</v>
      </c>
      <c r="F3949" s="26">
        <f>IF(D3949="","",MOD(D3949-cfgDeslocamento,4)+1)</f>
        <v>0</v>
      </c>
      <c r="G3949" s="26">
        <f>IF(A3949="","",IF(AND(ISNUMBER(B3949),B3949&lt;&gt;0),1,0))</f>
        <v>0</v>
      </c>
      <c r="H3949" s="25">
        <f>IF(E3949="","",(E3949*4+3+cfgDeslocamento)/48)</f>
        <v>0</v>
      </c>
    </row>
    <row r="3950" spans="1:8">
      <c r="A3950" s="24"/>
      <c r="B3950" s="19"/>
      <c r="C3950" s="25">
        <f>IF(D3950="","",D3950/48)</f>
        <v>0</v>
      </c>
      <c r="D3950" s="26">
        <f>IF(A3950="","",ROUND((A3950-cfgDefasagem/1440)*48,0))</f>
        <v>0</v>
      </c>
      <c r="E3950" s="26">
        <f>IF(D3950="","",INT((D3950-cfgDeslocamento)/4))</f>
        <v>0</v>
      </c>
      <c r="F3950" s="26">
        <f>IF(D3950="","",MOD(D3950-cfgDeslocamento,4)+1)</f>
        <v>0</v>
      </c>
      <c r="G3950" s="26">
        <f>IF(A3950="","",IF(AND(ISNUMBER(B3950),B3950&lt;&gt;0),1,0))</f>
        <v>0</v>
      </c>
      <c r="H3950" s="25">
        <f>IF(E3950="","",(E3950*4+3+cfgDeslocamento)/48)</f>
        <v>0</v>
      </c>
    </row>
    <row r="3951" spans="1:8">
      <c r="A3951" s="24"/>
      <c r="B3951" s="19"/>
      <c r="C3951" s="25">
        <f>IF(D3951="","",D3951/48)</f>
        <v>0</v>
      </c>
      <c r="D3951" s="26">
        <f>IF(A3951="","",ROUND((A3951-cfgDefasagem/1440)*48,0))</f>
        <v>0</v>
      </c>
      <c r="E3951" s="26">
        <f>IF(D3951="","",INT((D3951-cfgDeslocamento)/4))</f>
        <v>0</v>
      </c>
      <c r="F3951" s="26">
        <f>IF(D3951="","",MOD(D3951-cfgDeslocamento,4)+1)</f>
        <v>0</v>
      </c>
      <c r="G3951" s="26">
        <f>IF(A3951="","",IF(AND(ISNUMBER(B3951),B3951&lt;&gt;0),1,0))</f>
        <v>0</v>
      </c>
      <c r="H3951" s="25">
        <f>IF(E3951="","",(E3951*4+3+cfgDeslocamento)/48)</f>
        <v>0</v>
      </c>
    </row>
    <row r="3952" spans="1:8">
      <c r="A3952" s="24"/>
      <c r="B3952" s="19"/>
      <c r="C3952" s="25">
        <f>IF(D3952="","",D3952/48)</f>
        <v>0</v>
      </c>
      <c r="D3952" s="26">
        <f>IF(A3952="","",ROUND((A3952-cfgDefasagem/1440)*48,0))</f>
        <v>0</v>
      </c>
      <c r="E3952" s="26">
        <f>IF(D3952="","",INT((D3952-cfgDeslocamento)/4))</f>
        <v>0</v>
      </c>
      <c r="F3952" s="26">
        <f>IF(D3952="","",MOD(D3952-cfgDeslocamento,4)+1)</f>
        <v>0</v>
      </c>
      <c r="G3952" s="26">
        <f>IF(A3952="","",IF(AND(ISNUMBER(B3952),B3952&lt;&gt;0),1,0))</f>
        <v>0</v>
      </c>
      <c r="H3952" s="25">
        <f>IF(E3952="","",(E3952*4+3+cfgDeslocamento)/48)</f>
        <v>0</v>
      </c>
    </row>
    <row r="3953" spans="1:8">
      <c r="A3953" s="24"/>
      <c r="B3953" s="19"/>
      <c r="C3953" s="25">
        <f>IF(D3953="","",D3953/48)</f>
        <v>0</v>
      </c>
      <c r="D3953" s="26">
        <f>IF(A3953="","",ROUND((A3953-cfgDefasagem/1440)*48,0))</f>
        <v>0</v>
      </c>
      <c r="E3953" s="26">
        <f>IF(D3953="","",INT((D3953-cfgDeslocamento)/4))</f>
        <v>0</v>
      </c>
      <c r="F3953" s="26">
        <f>IF(D3953="","",MOD(D3953-cfgDeslocamento,4)+1)</f>
        <v>0</v>
      </c>
      <c r="G3953" s="26">
        <f>IF(A3953="","",IF(AND(ISNUMBER(B3953),B3953&lt;&gt;0),1,0))</f>
        <v>0</v>
      </c>
      <c r="H3953" s="25">
        <f>IF(E3953="","",(E3953*4+3+cfgDeslocamento)/48)</f>
        <v>0</v>
      </c>
    </row>
    <row r="3954" spans="1:8">
      <c r="A3954" s="24"/>
      <c r="B3954" s="19"/>
      <c r="C3954" s="25">
        <f>IF(D3954="","",D3954/48)</f>
        <v>0</v>
      </c>
      <c r="D3954" s="26">
        <f>IF(A3954="","",ROUND((A3954-cfgDefasagem/1440)*48,0))</f>
        <v>0</v>
      </c>
      <c r="E3954" s="26">
        <f>IF(D3954="","",INT((D3954-cfgDeslocamento)/4))</f>
        <v>0</v>
      </c>
      <c r="F3954" s="26">
        <f>IF(D3954="","",MOD(D3954-cfgDeslocamento,4)+1)</f>
        <v>0</v>
      </c>
      <c r="G3954" s="26">
        <f>IF(A3954="","",IF(AND(ISNUMBER(B3954),B3954&lt;&gt;0),1,0))</f>
        <v>0</v>
      </c>
      <c r="H3954" s="25">
        <f>IF(E3954="","",(E3954*4+3+cfgDeslocamento)/48)</f>
        <v>0</v>
      </c>
    </row>
    <row r="3955" spans="1:8">
      <c r="A3955" s="24"/>
      <c r="B3955" s="19"/>
      <c r="C3955" s="25">
        <f>IF(D3955="","",D3955/48)</f>
        <v>0</v>
      </c>
      <c r="D3955" s="26">
        <f>IF(A3955="","",ROUND((A3955-cfgDefasagem/1440)*48,0))</f>
        <v>0</v>
      </c>
      <c r="E3955" s="26">
        <f>IF(D3955="","",INT((D3955-cfgDeslocamento)/4))</f>
        <v>0</v>
      </c>
      <c r="F3955" s="26">
        <f>IF(D3955="","",MOD(D3955-cfgDeslocamento,4)+1)</f>
        <v>0</v>
      </c>
      <c r="G3955" s="26">
        <f>IF(A3955="","",IF(AND(ISNUMBER(B3955),B3955&lt;&gt;0),1,0))</f>
        <v>0</v>
      </c>
      <c r="H3955" s="25">
        <f>IF(E3955="","",(E3955*4+3+cfgDeslocamento)/48)</f>
        <v>0</v>
      </c>
    </row>
    <row r="3956" spans="1:8">
      <c r="A3956" s="24"/>
      <c r="B3956" s="19"/>
      <c r="C3956" s="25">
        <f>IF(D3956="","",D3956/48)</f>
        <v>0</v>
      </c>
      <c r="D3956" s="26">
        <f>IF(A3956="","",ROUND((A3956-cfgDefasagem/1440)*48,0))</f>
        <v>0</v>
      </c>
      <c r="E3956" s="26">
        <f>IF(D3956="","",INT((D3956-cfgDeslocamento)/4))</f>
        <v>0</v>
      </c>
      <c r="F3956" s="26">
        <f>IF(D3956="","",MOD(D3956-cfgDeslocamento,4)+1)</f>
        <v>0</v>
      </c>
      <c r="G3956" s="26">
        <f>IF(A3956="","",IF(AND(ISNUMBER(B3956),B3956&lt;&gt;0),1,0))</f>
        <v>0</v>
      </c>
      <c r="H3956" s="25">
        <f>IF(E3956="","",(E3956*4+3+cfgDeslocamento)/48)</f>
        <v>0</v>
      </c>
    </row>
    <row r="3957" spans="1:8">
      <c r="A3957" s="24"/>
      <c r="B3957" s="19"/>
      <c r="C3957" s="25">
        <f>IF(D3957="","",D3957/48)</f>
        <v>0</v>
      </c>
      <c r="D3957" s="26">
        <f>IF(A3957="","",ROUND((A3957-cfgDefasagem/1440)*48,0))</f>
        <v>0</v>
      </c>
      <c r="E3957" s="26">
        <f>IF(D3957="","",INT((D3957-cfgDeslocamento)/4))</f>
        <v>0</v>
      </c>
      <c r="F3957" s="26">
        <f>IF(D3957="","",MOD(D3957-cfgDeslocamento,4)+1)</f>
        <v>0</v>
      </c>
      <c r="G3957" s="26">
        <f>IF(A3957="","",IF(AND(ISNUMBER(B3957),B3957&lt;&gt;0),1,0))</f>
        <v>0</v>
      </c>
      <c r="H3957" s="25">
        <f>IF(E3957="","",(E3957*4+3+cfgDeslocamento)/48)</f>
        <v>0</v>
      </c>
    </row>
    <row r="3958" spans="1:8">
      <c r="A3958" s="24"/>
      <c r="B3958" s="19"/>
      <c r="C3958" s="25">
        <f>IF(D3958="","",D3958/48)</f>
        <v>0</v>
      </c>
      <c r="D3958" s="26">
        <f>IF(A3958="","",ROUND((A3958-cfgDefasagem/1440)*48,0))</f>
        <v>0</v>
      </c>
      <c r="E3958" s="26">
        <f>IF(D3958="","",INT((D3958-cfgDeslocamento)/4))</f>
        <v>0</v>
      </c>
      <c r="F3958" s="26">
        <f>IF(D3958="","",MOD(D3958-cfgDeslocamento,4)+1)</f>
        <v>0</v>
      </c>
      <c r="G3958" s="26">
        <f>IF(A3958="","",IF(AND(ISNUMBER(B3958),B3958&lt;&gt;0),1,0))</f>
        <v>0</v>
      </c>
      <c r="H3958" s="25">
        <f>IF(E3958="","",(E3958*4+3+cfgDeslocamento)/48)</f>
        <v>0</v>
      </c>
    </row>
    <row r="3959" spans="1:8">
      <c r="A3959" s="24"/>
      <c r="B3959" s="19"/>
      <c r="C3959" s="25">
        <f>IF(D3959="","",D3959/48)</f>
        <v>0</v>
      </c>
      <c r="D3959" s="26">
        <f>IF(A3959="","",ROUND((A3959-cfgDefasagem/1440)*48,0))</f>
        <v>0</v>
      </c>
      <c r="E3959" s="26">
        <f>IF(D3959="","",INT((D3959-cfgDeslocamento)/4))</f>
        <v>0</v>
      </c>
      <c r="F3959" s="26">
        <f>IF(D3959="","",MOD(D3959-cfgDeslocamento,4)+1)</f>
        <v>0</v>
      </c>
      <c r="G3959" s="26">
        <f>IF(A3959="","",IF(AND(ISNUMBER(B3959),B3959&lt;&gt;0),1,0))</f>
        <v>0</v>
      </c>
      <c r="H3959" s="25">
        <f>IF(E3959="","",(E3959*4+3+cfgDeslocamento)/48)</f>
        <v>0</v>
      </c>
    </row>
    <row r="3960" spans="1:8">
      <c r="A3960" s="24"/>
      <c r="B3960" s="19"/>
      <c r="C3960" s="25">
        <f>IF(D3960="","",D3960/48)</f>
        <v>0</v>
      </c>
      <c r="D3960" s="26">
        <f>IF(A3960="","",ROUND((A3960-cfgDefasagem/1440)*48,0))</f>
        <v>0</v>
      </c>
      <c r="E3960" s="26">
        <f>IF(D3960="","",INT((D3960-cfgDeslocamento)/4))</f>
        <v>0</v>
      </c>
      <c r="F3960" s="26">
        <f>IF(D3960="","",MOD(D3960-cfgDeslocamento,4)+1)</f>
        <v>0</v>
      </c>
      <c r="G3960" s="26">
        <f>IF(A3960="","",IF(AND(ISNUMBER(B3960),B3960&lt;&gt;0),1,0))</f>
        <v>0</v>
      </c>
      <c r="H3960" s="25">
        <f>IF(E3960="","",(E3960*4+3+cfgDeslocamento)/48)</f>
        <v>0</v>
      </c>
    </row>
    <row r="3961" spans="1:8">
      <c r="A3961" s="24"/>
      <c r="B3961" s="19"/>
      <c r="C3961" s="25">
        <f>IF(D3961="","",D3961/48)</f>
        <v>0</v>
      </c>
      <c r="D3961" s="26">
        <f>IF(A3961="","",ROUND((A3961-cfgDefasagem/1440)*48,0))</f>
        <v>0</v>
      </c>
      <c r="E3961" s="26">
        <f>IF(D3961="","",INT((D3961-cfgDeslocamento)/4))</f>
        <v>0</v>
      </c>
      <c r="F3961" s="26">
        <f>IF(D3961="","",MOD(D3961-cfgDeslocamento,4)+1)</f>
        <v>0</v>
      </c>
      <c r="G3961" s="26">
        <f>IF(A3961="","",IF(AND(ISNUMBER(B3961),B3961&lt;&gt;0),1,0))</f>
        <v>0</v>
      </c>
      <c r="H3961" s="25">
        <f>IF(E3961="","",(E3961*4+3+cfgDeslocamento)/48)</f>
        <v>0</v>
      </c>
    </row>
    <row r="3962" spans="1:8">
      <c r="A3962" s="24"/>
      <c r="B3962" s="19"/>
      <c r="C3962" s="25">
        <f>IF(D3962="","",D3962/48)</f>
        <v>0</v>
      </c>
      <c r="D3962" s="26">
        <f>IF(A3962="","",ROUND((A3962-cfgDefasagem/1440)*48,0))</f>
        <v>0</v>
      </c>
      <c r="E3962" s="26">
        <f>IF(D3962="","",INT((D3962-cfgDeslocamento)/4))</f>
        <v>0</v>
      </c>
      <c r="F3962" s="26">
        <f>IF(D3962="","",MOD(D3962-cfgDeslocamento,4)+1)</f>
        <v>0</v>
      </c>
      <c r="G3962" s="26">
        <f>IF(A3962="","",IF(AND(ISNUMBER(B3962),B3962&lt;&gt;0),1,0))</f>
        <v>0</v>
      </c>
      <c r="H3962" s="25">
        <f>IF(E3962="","",(E3962*4+3+cfgDeslocamento)/48)</f>
        <v>0</v>
      </c>
    </row>
    <row r="3963" spans="1:8">
      <c r="A3963" s="24"/>
      <c r="B3963" s="19"/>
      <c r="C3963" s="25">
        <f>IF(D3963="","",D3963/48)</f>
        <v>0</v>
      </c>
      <c r="D3963" s="26">
        <f>IF(A3963="","",ROUND((A3963-cfgDefasagem/1440)*48,0))</f>
        <v>0</v>
      </c>
      <c r="E3963" s="26">
        <f>IF(D3963="","",INT((D3963-cfgDeslocamento)/4))</f>
        <v>0</v>
      </c>
      <c r="F3963" s="26">
        <f>IF(D3963="","",MOD(D3963-cfgDeslocamento,4)+1)</f>
        <v>0</v>
      </c>
      <c r="G3963" s="26">
        <f>IF(A3963="","",IF(AND(ISNUMBER(B3963),B3963&lt;&gt;0),1,0))</f>
        <v>0</v>
      </c>
      <c r="H3963" s="25">
        <f>IF(E3963="","",(E3963*4+3+cfgDeslocamento)/48)</f>
        <v>0</v>
      </c>
    </row>
    <row r="3964" spans="1:8">
      <c r="A3964" s="24"/>
      <c r="B3964" s="19"/>
      <c r="C3964" s="25">
        <f>IF(D3964="","",D3964/48)</f>
        <v>0</v>
      </c>
      <c r="D3964" s="26">
        <f>IF(A3964="","",ROUND((A3964-cfgDefasagem/1440)*48,0))</f>
        <v>0</v>
      </c>
      <c r="E3964" s="26">
        <f>IF(D3964="","",INT((D3964-cfgDeslocamento)/4))</f>
        <v>0</v>
      </c>
      <c r="F3964" s="26">
        <f>IF(D3964="","",MOD(D3964-cfgDeslocamento,4)+1)</f>
        <v>0</v>
      </c>
      <c r="G3964" s="26">
        <f>IF(A3964="","",IF(AND(ISNUMBER(B3964),B3964&lt;&gt;0),1,0))</f>
        <v>0</v>
      </c>
      <c r="H3964" s="25">
        <f>IF(E3964="","",(E3964*4+3+cfgDeslocamento)/48)</f>
        <v>0</v>
      </c>
    </row>
    <row r="3965" spans="1:8">
      <c r="A3965" s="24"/>
      <c r="B3965" s="19"/>
      <c r="C3965" s="25">
        <f>IF(D3965="","",D3965/48)</f>
        <v>0</v>
      </c>
      <c r="D3965" s="26">
        <f>IF(A3965="","",ROUND((A3965-cfgDefasagem/1440)*48,0))</f>
        <v>0</v>
      </c>
      <c r="E3965" s="26">
        <f>IF(D3965="","",INT((D3965-cfgDeslocamento)/4))</f>
        <v>0</v>
      </c>
      <c r="F3965" s="26">
        <f>IF(D3965="","",MOD(D3965-cfgDeslocamento,4)+1)</f>
        <v>0</v>
      </c>
      <c r="G3965" s="26">
        <f>IF(A3965="","",IF(AND(ISNUMBER(B3965),B3965&lt;&gt;0),1,0))</f>
        <v>0</v>
      </c>
      <c r="H3965" s="25">
        <f>IF(E3965="","",(E3965*4+3+cfgDeslocamento)/48)</f>
        <v>0</v>
      </c>
    </row>
    <row r="3966" spans="1:8">
      <c r="A3966" s="24"/>
      <c r="B3966" s="19"/>
      <c r="C3966" s="25">
        <f>IF(D3966="","",D3966/48)</f>
        <v>0</v>
      </c>
      <c r="D3966" s="26">
        <f>IF(A3966="","",ROUND((A3966-cfgDefasagem/1440)*48,0))</f>
        <v>0</v>
      </c>
      <c r="E3966" s="26">
        <f>IF(D3966="","",INT((D3966-cfgDeslocamento)/4))</f>
        <v>0</v>
      </c>
      <c r="F3966" s="26">
        <f>IF(D3966="","",MOD(D3966-cfgDeslocamento,4)+1)</f>
        <v>0</v>
      </c>
      <c r="G3966" s="26">
        <f>IF(A3966="","",IF(AND(ISNUMBER(B3966),B3966&lt;&gt;0),1,0))</f>
        <v>0</v>
      </c>
      <c r="H3966" s="25">
        <f>IF(E3966="","",(E3966*4+3+cfgDeslocamento)/48)</f>
        <v>0</v>
      </c>
    </row>
    <row r="3967" spans="1:8">
      <c r="A3967" s="24"/>
      <c r="B3967" s="19"/>
      <c r="C3967" s="25">
        <f>IF(D3967="","",D3967/48)</f>
        <v>0</v>
      </c>
      <c r="D3967" s="26">
        <f>IF(A3967="","",ROUND((A3967-cfgDefasagem/1440)*48,0))</f>
        <v>0</v>
      </c>
      <c r="E3967" s="26">
        <f>IF(D3967="","",INT((D3967-cfgDeslocamento)/4))</f>
        <v>0</v>
      </c>
      <c r="F3967" s="26">
        <f>IF(D3967="","",MOD(D3967-cfgDeslocamento,4)+1)</f>
        <v>0</v>
      </c>
      <c r="G3967" s="26">
        <f>IF(A3967="","",IF(AND(ISNUMBER(B3967),B3967&lt;&gt;0),1,0))</f>
        <v>0</v>
      </c>
      <c r="H3967" s="25">
        <f>IF(E3967="","",(E3967*4+3+cfgDeslocamento)/48)</f>
        <v>0</v>
      </c>
    </row>
    <row r="3968" spans="1:8">
      <c r="A3968" s="24"/>
      <c r="B3968" s="19"/>
      <c r="C3968" s="25">
        <f>IF(D3968="","",D3968/48)</f>
        <v>0</v>
      </c>
      <c r="D3968" s="26">
        <f>IF(A3968="","",ROUND((A3968-cfgDefasagem/1440)*48,0))</f>
        <v>0</v>
      </c>
      <c r="E3968" s="26">
        <f>IF(D3968="","",INT((D3968-cfgDeslocamento)/4))</f>
        <v>0</v>
      </c>
      <c r="F3968" s="26">
        <f>IF(D3968="","",MOD(D3968-cfgDeslocamento,4)+1)</f>
        <v>0</v>
      </c>
      <c r="G3968" s="26">
        <f>IF(A3968="","",IF(AND(ISNUMBER(B3968),B3968&lt;&gt;0),1,0))</f>
        <v>0</v>
      </c>
      <c r="H3968" s="25">
        <f>IF(E3968="","",(E3968*4+3+cfgDeslocamento)/48)</f>
        <v>0</v>
      </c>
    </row>
    <row r="3969" spans="1:8">
      <c r="A3969" s="24"/>
      <c r="B3969" s="19"/>
      <c r="C3969" s="25">
        <f>IF(D3969="","",D3969/48)</f>
        <v>0</v>
      </c>
      <c r="D3969" s="26">
        <f>IF(A3969="","",ROUND((A3969-cfgDefasagem/1440)*48,0))</f>
        <v>0</v>
      </c>
      <c r="E3969" s="26">
        <f>IF(D3969="","",INT((D3969-cfgDeslocamento)/4))</f>
        <v>0</v>
      </c>
      <c r="F3969" s="26">
        <f>IF(D3969="","",MOD(D3969-cfgDeslocamento,4)+1)</f>
        <v>0</v>
      </c>
      <c r="G3969" s="26">
        <f>IF(A3969="","",IF(AND(ISNUMBER(B3969),B3969&lt;&gt;0),1,0))</f>
        <v>0</v>
      </c>
      <c r="H3969" s="25">
        <f>IF(E3969="","",(E3969*4+3+cfgDeslocamento)/48)</f>
        <v>0</v>
      </c>
    </row>
    <row r="3970" spans="1:8">
      <c r="A3970" s="24"/>
      <c r="B3970" s="19"/>
      <c r="C3970" s="25">
        <f>IF(D3970="","",D3970/48)</f>
        <v>0</v>
      </c>
      <c r="D3970" s="26">
        <f>IF(A3970="","",ROUND((A3970-cfgDefasagem/1440)*48,0))</f>
        <v>0</v>
      </c>
      <c r="E3970" s="26">
        <f>IF(D3970="","",INT((D3970-cfgDeslocamento)/4))</f>
        <v>0</v>
      </c>
      <c r="F3970" s="26">
        <f>IF(D3970="","",MOD(D3970-cfgDeslocamento,4)+1)</f>
        <v>0</v>
      </c>
      <c r="G3970" s="26">
        <f>IF(A3970="","",IF(AND(ISNUMBER(B3970),B3970&lt;&gt;0),1,0))</f>
        <v>0</v>
      </c>
      <c r="H3970" s="25">
        <f>IF(E3970="","",(E3970*4+3+cfgDeslocamento)/48)</f>
        <v>0</v>
      </c>
    </row>
    <row r="3971" spans="1:8">
      <c r="A3971" s="24"/>
      <c r="B3971" s="19"/>
      <c r="C3971" s="25">
        <f>IF(D3971="","",D3971/48)</f>
        <v>0</v>
      </c>
      <c r="D3971" s="26">
        <f>IF(A3971="","",ROUND((A3971-cfgDefasagem/1440)*48,0))</f>
        <v>0</v>
      </c>
      <c r="E3971" s="26">
        <f>IF(D3971="","",INT((D3971-cfgDeslocamento)/4))</f>
        <v>0</v>
      </c>
      <c r="F3971" s="26">
        <f>IF(D3971="","",MOD(D3971-cfgDeslocamento,4)+1)</f>
        <v>0</v>
      </c>
      <c r="G3971" s="26">
        <f>IF(A3971="","",IF(AND(ISNUMBER(B3971),B3971&lt;&gt;0),1,0))</f>
        <v>0</v>
      </c>
      <c r="H3971" s="25">
        <f>IF(E3971="","",(E3971*4+3+cfgDeslocamento)/48)</f>
        <v>0</v>
      </c>
    </row>
    <row r="3972" spans="1:8">
      <c r="A3972" s="24"/>
      <c r="B3972" s="19"/>
      <c r="C3972" s="25">
        <f>IF(D3972="","",D3972/48)</f>
        <v>0</v>
      </c>
      <c r="D3972" s="26">
        <f>IF(A3972="","",ROUND((A3972-cfgDefasagem/1440)*48,0))</f>
        <v>0</v>
      </c>
      <c r="E3972" s="26">
        <f>IF(D3972="","",INT((D3972-cfgDeslocamento)/4))</f>
        <v>0</v>
      </c>
      <c r="F3972" s="26">
        <f>IF(D3972="","",MOD(D3972-cfgDeslocamento,4)+1)</f>
        <v>0</v>
      </c>
      <c r="G3972" s="26">
        <f>IF(A3972="","",IF(AND(ISNUMBER(B3972),B3972&lt;&gt;0),1,0))</f>
        <v>0</v>
      </c>
      <c r="H3972" s="25">
        <f>IF(E3972="","",(E3972*4+3+cfgDeslocamento)/48)</f>
        <v>0</v>
      </c>
    </row>
    <row r="3973" spans="1:8">
      <c r="A3973" s="24"/>
      <c r="B3973" s="19"/>
      <c r="C3973" s="25">
        <f>IF(D3973="","",D3973/48)</f>
        <v>0</v>
      </c>
      <c r="D3973" s="26">
        <f>IF(A3973="","",ROUND((A3973-cfgDefasagem/1440)*48,0))</f>
        <v>0</v>
      </c>
      <c r="E3973" s="26">
        <f>IF(D3973="","",INT((D3973-cfgDeslocamento)/4))</f>
        <v>0</v>
      </c>
      <c r="F3973" s="26">
        <f>IF(D3973="","",MOD(D3973-cfgDeslocamento,4)+1)</f>
        <v>0</v>
      </c>
      <c r="G3973" s="26">
        <f>IF(A3973="","",IF(AND(ISNUMBER(B3973),B3973&lt;&gt;0),1,0))</f>
        <v>0</v>
      </c>
      <c r="H3973" s="25">
        <f>IF(E3973="","",(E3973*4+3+cfgDeslocamento)/48)</f>
        <v>0</v>
      </c>
    </row>
    <row r="3974" spans="1:8">
      <c r="A3974" s="24"/>
      <c r="B3974" s="19"/>
      <c r="C3974" s="25">
        <f>IF(D3974="","",D3974/48)</f>
        <v>0</v>
      </c>
      <c r="D3974" s="26">
        <f>IF(A3974="","",ROUND((A3974-cfgDefasagem/1440)*48,0))</f>
        <v>0</v>
      </c>
      <c r="E3974" s="26">
        <f>IF(D3974="","",INT((D3974-cfgDeslocamento)/4))</f>
        <v>0</v>
      </c>
      <c r="F3974" s="26">
        <f>IF(D3974="","",MOD(D3974-cfgDeslocamento,4)+1)</f>
        <v>0</v>
      </c>
      <c r="G3974" s="26">
        <f>IF(A3974="","",IF(AND(ISNUMBER(B3974),B3974&lt;&gt;0),1,0))</f>
        <v>0</v>
      </c>
      <c r="H3974" s="25">
        <f>IF(E3974="","",(E3974*4+3+cfgDeslocamento)/48)</f>
        <v>0</v>
      </c>
    </row>
    <row r="3975" spans="1:8">
      <c r="A3975" s="24"/>
      <c r="B3975" s="19"/>
      <c r="C3975" s="25">
        <f>IF(D3975="","",D3975/48)</f>
        <v>0</v>
      </c>
      <c r="D3975" s="26">
        <f>IF(A3975="","",ROUND((A3975-cfgDefasagem/1440)*48,0))</f>
        <v>0</v>
      </c>
      <c r="E3975" s="26">
        <f>IF(D3975="","",INT((D3975-cfgDeslocamento)/4))</f>
        <v>0</v>
      </c>
      <c r="F3975" s="26">
        <f>IF(D3975="","",MOD(D3975-cfgDeslocamento,4)+1)</f>
        <v>0</v>
      </c>
      <c r="G3975" s="26">
        <f>IF(A3975="","",IF(AND(ISNUMBER(B3975),B3975&lt;&gt;0),1,0))</f>
        <v>0</v>
      </c>
      <c r="H3975" s="25">
        <f>IF(E3975="","",(E3975*4+3+cfgDeslocamento)/48)</f>
        <v>0</v>
      </c>
    </row>
    <row r="3976" spans="1:8">
      <c r="A3976" s="24"/>
      <c r="B3976" s="19"/>
      <c r="C3976" s="25">
        <f>IF(D3976="","",D3976/48)</f>
        <v>0</v>
      </c>
      <c r="D3976" s="26">
        <f>IF(A3976="","",ROUND((A3976-cfgDefasagem/1440)*48,0))</f>
        <v>0</v>
      </c>
      <c r="E3976" s="26">
        <f>IF(D3976="","",INT((D3976-cfgDeslocamento)/4))</f>
        <v>0</v>
      </c>
      <c r="F3976" s="26">
        <f>IF(D3976="","",MOD(D3976-cfgDeslocamento,4)+1)</f>
        <v>0</v>
      </c>
      <c r="G3976" s="26">
        <f>IF(A3976="","",IF(AND(ISNUMBER(B3976),B3976&lt;&gt;0),1,0))</f>
        <v>0</v>
      </c>
      <c r="H3976" s="25">
        <f>IF(E3976="","",(E3976*4+3+cfgDeslocamento)/48)</f>
        <v>0</v>
      </c>
    </row>
    <row r="3977" spans="1:8">
      <c r="A3977" s="24"/>
      <c r="B3977" s="19"/>
      <c r="C3977" s="25">
        <f>IF(D3977="","",D3977/48)</f>
        <v>0</v>
      </c>
      <c r="D3977" s="26">
        <f>IF(A3977="","",ROUND((A3977-cfgDefasagem/1440)*48,0))</f>
        <v>0</v>
      </c>
      <c r="E3977" s="26">
        <f>IF(D3977="","",INT((D3977-cfgDeslocamento)/4))</f>
        <v>0</v>
      </c>
      <c r="F3977" s="26">
        <f>IF(D3977="","",MOD(D3977-cfgDeslocamento,4)+1)</f>
        <v>0</v>
      </c>
      <c r="G3977" s="26">
        <f>IF(A3977="","",IF(AND(ISNUMBER(B3977),B3977&lt;&gt;0),1,0))</f>
        <v>0</v>
      </c>
      <c r="H3977" s="25">
        <f>IF(E3977="","",(E3977*4+3+cfgDeslocamento)/48)</f>
        <v>0</v>
      </c>
    </row>
    <row r="3978" spans="1:8">
      <c r="A3978" s="24"/>
      <c r="B3978" s="19"/>
      <c r="C3978" s="25">
        <f>IF(D3978="","",D3978/48)</f>
        <v>0</v>
      </c>
      <c r="D3978" s="26">
        <f>IF(A3978="","",ROUND((A3978-cfgDefasagem/1440)*48,0))</f>
        <v>0</v>
      </c>
      <c r="E3978" s="26">
        <f>IF(D3978="","",INT((D3978-cfgDeslocamento)/4))</f>
        <v>0</v>
      </c>
      <c r="F3978" s="26">
        <f>IF(D3978="","",MOD(D3978-cfgDeslocamento,4)+1)</f>
        <v>0</v>
      </c>
      <c r="G3978" s="26">
        <f>IF(A3978="","",IF(AND(ISNUMBER(B3978),B3978&lt;&gt;0),1,0))</f>
        <v>0</v>
      </c>
      <c r="H3978" s="25">
        <f>IF(E3978="","",(E3978*4+3+cfgDeslocamento)/48)</f>
        <v>0</v>
      </c>
    </row>
    <row r="3979" spans="1:8">
      <c r="A3979" s="24"/>
      <c r="B3979" s="19"/>
      <c r="C3979" s="25">
        <f>IF(D3979="","",D3979/48)</f>
        <v>0</v>
      </c>
      <c r="D3979" s="26">
        <f>IF(A3979="","",ROUND((A3979-cfgDefasagem/1440)*48,0))</f>
        <v>0</v>
      </c>
      <c r="E3979" s="26">
        <f>IF(D3979="","",INT((D3979-cfgDeslocamento)/4))</f>
        <v>0</v>
      </c>
      <c r="F3979" s="26">
        <f>IF(D3979="","",MOD(D3979-cfgDeslocamento,4)+1)</f>
        <v>0</v>
      </c>
      <c r="G3979" s="26">
        <f>IF(A3979="","",IF(AND(ISNUMBER(B3979),B3979&lt;&gt;0),1,0))</f>
        <v>0</v>
      </c>
      <c r="H3979" s="25">
        <f>IF(E3979="","",(E3979*4+3+cfgDeslocamento)/48)</f>
        <v>0</v>
      </c>
    </row>
    <row r="3980" spans="1:8">
      <c r="A3980" s="24"/>
      <c r="B3980" s="19"/>
      <c r="C3980" s="25">
        <f>IF(D3980="","",D3980/48)</f>
        <v>0</v>
      </c>
      <c r="D3980" s="26">
        <f>IF(A3980="","",ROUND((A3980-cfgDefasagem/1440)*48,0))</f>
        <v>0</v>
      </c>
      <c r="E3980" s="26">
        <f>IF(D3980="","",INT((D3980-cfgDeslocamento)/4))</f>
        <v>0</v>
      </c>
      <c r="F3980" s="26">
        <f>IF(D3980="","",MOD(D3980-cfgDeslocamento,4)+1)</f>
        <v>0</v>
      </c>
      <c r="G3980" s="26">
        <f>IF(A3980="","",IF(AND(ISNUMBER(B3980),B3980&lt;&gt;0),1,0))</f>
        <v>0</v>
      </c>
      <c r="H3980" s="25">
        <f>IF(E3980="","",(E3980*4+3+cfgDeslocamento)/48)</f>
        <v>0</v>
      </c>
    </row>
    <row r="3981" spans="1:8">
      <c r="A3981" s="24"/>
      <c r="B3981" s="19"/>
      <c r="C3981" s="25">
        <f>IF(D3981="","",D3981/48)</f>
        <v>0</v>
      </c>
      <c r="D3981" s="26">
        <f>IF(A3981="","",ROUND((A3981-cfgDefasagem/1440)*48,0))</f>
        <v>0</v>
      </c>
      <c r="E3981" s="26">
        <f>IF(D3981="","",INT((D3981-cfgDeslocamento)/4))</f>
        <v>0</v>
      </c>
      <c r="F3981" s="26">
        <f>IF(D3981="","",MOD(D3981-cfgDeslocamento,4)+1)</f>
        <v>0</v>
      </c>
      <c r="G3981" s="26">
        <f>IF(A3981="","",IF(AND(ISNUMBER(B3981),B3981&lt;&gt;0),1,0))</f>
        <v>0</v>
      </c>
      <c r="H3981" s="25">
        <f>IF(E3981="","",(E3981*4+3+cfgDeslocamento)/48)</f>
        <v>0</v>
      </c>
    </row>
    <row r="3982" spans="1:8">
      <c r="A3982" s="24"/>
      <c r="B3982" s="19"/>
      <c r="C3982" s="25">
        <f>IF(D3982="","",D3982/48)</f>
        <v>0</v>
      </c>
      <c r="D3982" s="26">
        <f>IF(A3982="","",ROUND((A3982-cfgDefasagem/1440)*48,0))</f>
        <v>0</v>
      </c>
      <c r="E3982" s="26">
        <f>IF(D3982="","",INT((D3982-cfgDeslocamento)/4))</f>
        <v>0</v>
      </c>
      <c r="F3982" s="26">
        <f>IF(D3982="","",MOD(D3982-cfgDeslocamento,4)+1)</f>
        <v>0</v>
      </c>
      <c r="G3982" s="26">
        <f>IF(A3982="","",IF(AND(ISNUMBER(B3982),B3982&lt;&gt;0),1,0))</f>
        <v>0</v>
      </c>
      <c r="H3982" s="25">
        <f>IF(E3982="","",(E3982*4+3+cfgDeslocamento)/48)</f>
        <v>0</v>
      </c>
    </row>
    <row r="3983" spans="1:8">
      <c r="A3983" s="24"/>
      <c r="B3983" s="19"/>
      <c r="C3983" s="25">
        <f>IF(D3983="","",D3983/48)</f>
        <v>0</v>
      </c>
      <c r="D3983" s="26">
        <f>IF(A3983="","",ROUND((A3983-cfgDefasagem/1440)*48,0))</f>
        <v>0</v>
      </c>
      <c r="E3983" s="26">
        <f>IF(D3983="","",INT((D3983-cfgDeslocamento)/4))</f>
        <v>0</v>
      </c>
      <c r="F3983" s="26">
        <f>IF(D3983="","",MOD(D3983-cfgDeslocamento,4)+1)</f>
        <v>0</v>
      </c>
      <c r="G3983" s="26">
        <f>IF(A3983="","",IF(AND(ISNUMBER(B3983),B3983&lt;&gt;0),1,0))</f>
        <v>0</v>
      </c>
      <c r="H3983" s="25">
        <f>IF(E3983="","",(E3983*4+3+cfgDeslocamento)/48)</f>
        <v>0</v>
      </c>
    </row>
    <row r="3984" spans="1:8">
      <c r="A3984" s="24"/>
      <c r="B3984" s="19"/>
      <c r="C3984" s="25">
        <f>IF(D3984="","",D3984/48)</f>
        <v>0</v>
      </c>
      <c r="D3984" s="26">
        <f>IF(A3984="","",ROUND((A3984-cfgDefasagem/1440)*48,0))</f>
        <v>0</v>
      </c>
      <c r="E3984" s="26">
        <f>IF(D3984="","",INT((D3984-cfgDeslocamento)/4))</f>
        <v>0</v>
      </c>
      <c r="F3984" s="26">
        <f>IF(D3984="","",MOD(D3984-cfgDeslocamento,4)+1)</f>
        <v>0</v>
      </c>
      <c r="G3984" s="26">
        <f>IF(A3984="","",IF(AND(ISNUMBER(B3984),B3984&lt;&gt;0),1,0))</f>
        <v>0</v>
      </c>
      <c r="H3984" s="25">
        <f>IF(E3984="","",(E3984*4+3+cfgDeslocamento)/48)</f>
        <v>0</v>
      </c>
    </row>
    <row r="3985" spans="1:8">
      <c r="A3985" s="24"/>
      <c r="B3985" s="19"/>
      <c r="C3985" s="25">
        <f>IF(D3985="","",D3985/48)</f>
        <v>0</v>
      </c>
      <c r="D3985" s="26">
        <f>IF(A3985="","",ROUND((A3985-cfgDefasagem/1440)*48,0))</f>
        <v>0</v>
      </c>
      <c r="E3985" s="26">
        <f>IF(D3985="","",INT((D3985-cfgDeslocamento)/4))</f>
        <v>0</v>
      </c>
      <c r="F3985" s="26">
        <f>IF(D3985="","",MOD(D3985-cfgDeslocamento,4)+1)</f>
        <v>0</v>
      </c>
      <c r="G3985" s="26">
        <f>IF(A3985="","",IF(AND(ISNUMBER(B3985),B3985&lt;&gt;0),1,0))</f>
        <v>0</v>
      </c>
      <c r="H3985" s="25">
        <f>IF(E3985="","",(E3985*4+3+cfgDeslocamento)/48)</f>
        <v>0</v>
      </c>
    </row>
    <row r="3986" spans="1:8">
      <c r="A3986" s="24"/>
      <c r="B3986" s="19"/>
      <c r="C3986" s="25">
        <f>IF(D3986="","",D3986/48)</f>
        <v>0</v>
      </c>
      <c r="D3986" s="26">
        <f>IF(A3986="","",ROUND((A3986-cfgDefasagem/1440)*48,0))</f>
        <v>0</v>
      </c>
      <c r="E3986" s="26">
        <f>IF(D3986="","",INT((D3986-cfgDeslocamento)/4))</f>
        <v>0</v>
      </c>
      <c r="F3986" s="26">
        <f>IF(D3986="","",MOD(D3986-cfgDeslocamento,4)+1)</f>
        <v>0</v>
      </c>
      <c r="G3986" s="26">
        <f>IF(A3986="","",IF(AND(ISNUMBER(B3986),B3986&lt;&gt;0),1,0))</f>
        <v>0</v>
      </c>
      <c r="H3986" s="25">
        <f>IF(E3986="","",(E3986*4+3+cfgDeslocamento)/48)</f>
        <v>0</v>
      </c>
    </row>
    <row r="3987" spans="1:8">
      <c r="A3987" s="24"/>
      <c r="B3987" s="19"/>
      <c r="C3987" s="25">
        <f>IF(D3987="","",D3987/48)</f>
        <v>0</v>
      </c>
      <c r="D3987" s="26">
        <f>IF(A3987="","",ROUND((A3987-cfgDefasagem/1440)*48,0))</f>
        <v>0</v>
      </c>
      <c r="E3987" s="26">
        <f>IF(D3987="","",INT((D3987-cfgDeslocamento)/4))</f>
        <v>0</v>
      </c>
      <c r="F3987" s="26">
        <f>IF(D3987="","",MOD(D3987-cfgDeslocamento,4)+1)</f>
        <v>0</v>
      </c>
      <c r="G3987" s="26">
        <f>IF(A3987="","",IF(AND(ISNUMBER(B3987),B3987&lt;&gt;0),1,0))</f>
        <v>0</v>
      </c>
      <c r="H3987" s="25">
        <f>IF(E3987="","",(E3987*4+3+cfgDeslocamento)/48)</f>
        <v>0</v>
      </c>
    </row>
    <row r="3988" spans="1:8">
      <c r="A3988" s="24"/>
      <c r="B3988" s="19"/>
      <c r="C3988" s="25">
        <f>IF(D3988="","",D3988/48)</f>
        <v>0</v>
      </c>
      <c r="D3988" s="26">
        <f>IF(A3988="","",ROUND((A3988-cfgDefasagem/1440)*48,0))</f>
        <v>0</v>
      </c>
      <c r="E3988" s="26">
        <f>IF(D3988="","",INT((D3988-cfgDeslocamento)/4))</f>
        <v>0</v>
      </c>
      <c r="F3988" s="26">
        <f>IF(D3988="","",MOD(D3988-cfgDeslocamento,4)+1)</f>
        <v>0</v>
      </c>
      <c r="G3988" s="26">
        <f>IF(A3988="","",IF(AND(ISNUMBER(B3988),B3988&lt;&gt;0),1,0))</f>
        <v>0</v>
      </c>
      <c r="H3988" s="25">
        <f>IF(E3988="","",(E3988*4+3+cfgDeslocamento)/48)</f>
        <v>0</v>
      </c>
    </row>
    <row r="3989" spans="1:8">
      <c r="A3989" s="24"/>
      <c r="B3989" s="19"/>
      <c r="C3989" s="25">
        <f>IF(D3989="","",D3989/48)</f>
        <v>0</v>
      </c>
      <c r="D3989" s="26">
        <f>IF(A3989="","",ROUND((A3989-cfgDefasagem/1440)*48,0))</f>
        <v>0</v>
      </c>
      <c r="E3989" s="26">
        <f>IF(D3989="","",INT((D3989-cfgDeslocamento)/4))</f>
        <v>0</v>
      </c>
      <c r="F3989" s="26">
        <f>IF(D3989="","",MOD(D3989-cfgDeslocamento,4)+1)</f>
        <v>0</v>
      </c>
      <c r="G3989" s="26">
        <f>IF(A3989="","",IF(AND(ISNUMBER(B3989),B3989&lt;&gt;0),1,0))</f>
        <v>0</v>
      </c>
      <c r="H3989" s="25">
        <f>IF(E3989="","",(E3989*4+3+cfgDeslocamento)/48)</f>
        <v>0</v>
      </c>
    </row>
    <row r="3990" spans="1:8">
      <c r="A3990" s="24"/>
      <c r="B3990" s="19"/>
      <c r="C3990" s="25">
        <f>IF(D3990="","",D3990/48)</f>
        <v>0</v>
      </c>
      <c r="D3990" s="26">
        <f>IF(A3990="","",ROUND((A3990-cfgDefasagem/1440)*48,0))</f>
        <v>0</v>
      </c>
      <c r="E3990" s="26">
        <f>IF(D3990="","",INT((D3990-cfgDeslocamento)/4))</f>
        <v>0</v>
      </c>
      <c r="F3990" s="26">
        <f>IF(D3990="","",MOD(D3990-cfgDeslocamento,4)+1)</f>
        <v>0</v>
      </c>
      <c r="G3990" s="26">
        <f>IF(A3990="","",IF(AND(ISNUMBER(B3990),B3990&lt;&gt;0),1,0))</f>
        <v>0</v>
      </c>
      <c r="H3990" s="25">
        <f>IF(E3990="","",(E3990*4+3+cfgDeslocamento)/48)</f>
        <v>0</v>
      </c>
    </row>
    <row r="3991" spans="1:8">
      <c r="A3991" s="24"/>
      <c r="B3991" s="19"/>
      <c r="C3991" s="25">
        <f>IF(D3991="","",D3991/48)</f>
        <v>0</v>
      </c>
      <c r="D3991" s="26">
        <f>IF(A3991="","",ROUND((A3991-cfgDefasagem/1440)*48,0))</f>
        <v>0</v>
      </c>
      <c r="E3991" s="26">
        <f>IF(D3991="","",INT((D3991-cfgDeslocamento)/4))</f>
        <v>0</v>
      </c>
      <c r="F3991" s="26">
        <f>IF(D3991="","",MOD(D3991-cfgDeslocamento,4)+1)</f>
        <v>0</v>
      </c>
      <c r="G3991" s="26">
        <f>IF(A3991="","",IF(AND(ISNUMBER(B3991),B3991&lt;&gt;0),1,0))</f>
        <v>0</v>
      </c>
      <c r="H3991" s="25">
        <f>IF(E3991="","",(E3991*4+3+cfgDeslocamento)/48)</f>
        <v>0</v>
      </c>
    </row>
    <row r="3992" spans="1:8">
      <c r="A3992" s="24"/>
      <c r="B3992" s="19"/>
      <c r="C3992" s="25">
        <f>IF(D3992="","",D3992/48)</f>
        <v>0</v>
      </c>
      <c r="D3992" s="26">
        <f>IF(A3992="","",ROUND((A3992-cfgDefasagem/1440)*48,0))</f>
        <v>0</v>
      </c>
      <c r="E3992" s="26">
        <f>IF(D3992="","",INT((D3992-cfgDeslocamento)/4))</f>
        <v>0</v>
      </c>
      <c r="F3992" s="26">
        <f>IF(D3992="","",MOD(D3992-cfgDeslocamento,4)+1)</f>
        <v>0</v>
      </c>
      <c r="G3992" s="26">
        <f>IF(A3992="","",IF(AND(ISNUMBER(B3992),B3992&lt;&gt;0),1,0))</f>
        <v>0</v>
      </c>
      <c r="H3992" s="25">
        <f>IF(E3992="","",(E3992*4+3+cfgDeslocamento)/48)</f>
        <v>0</v>
      </c>
    </row>
    <row r="3993" spans="1:8">
      <c r="A3993" s="24"/>
      <c r="B3993" s="19"/>
      <c r="C3993" s="25">
        <f>IF(D3993="","",D3993/48)</f>
        <v>0</v>
      </c>
      <c r="D3993" s="26">
        <f>IF(A3993="","",ROUND((A3993-cfgDefasagem/1440)*48,0))</f>
        <v>0</v>
      </c>
      <c r="E3993" s="26">
        <f>IF(D3993="","",INT((D3993-cfgDeslocamento)/4))</f>
        <v>0</v>
      </c>
      <c r="F3993" s="26">
        <f>IF(D3993="","",MOD(D3993-cfgDeslocamento,4)+1)</f>
        <v>0</v>
      </c>
      <c r="G3993" s="26">
        <f>IF(A3993="","",IF(AND(ISNUMBER(B3993),B3993&lt;&gt;0),1,0))</f>
        <v>0</v>
      </c>
      <c r="H3993" s="25">
        <f>IF(E3993="","",(E3993*4+3+cfgDeslocamento)/48)</f>
        <v>0</v>
      </c>
    </row>
    <row r="3994" spans="1:8">
      <c r="A3994" s="24"/>
      <c r="B3994" s="19"/>
      <c r="C3994" s="25">
        <f>IF(D3994="","",D3994/48)</f>
        <v>0</v>
      </c>
      <c r="D3994" s="26">
        <f>IF(A3994="","",ROUND((A3994-cfgDefasagem/1440)*48,0))</f>
        <v>0</v>
      </c>
      <c r="E3994" s="26">
        <f>IF(D3994="","",INT((D3994-cfgDeslocamento)/4))</f>
        <v>0</v>
      </c>
      <c r="F3994" s="26">
        <f>IF(D3994="","",MOD(D3994-cfgDeslocamento,4)+1)</f>
        <v>0</v>
      </c>
      <c r="G3994" s="26">
        <f>IF(A3994="","",IF(AND(ISNUMBER(B3994),B3994&lt;&gt;0),1,0))</f>
        <v>0</v>
      </c>
      <c r="H3994" s="25">
        <f>IF(E3994="","",(E3994*4+3+cfgDeslocamento)/48)</f>
        <v>0</v>
      </c>
    </row>
    <row r="3995" spans="1:8">
      <c r="A3995" s="24"/>
      <c r="B3995" s="19"/>
      <c r="C3995" s="25">
        <f>IF(D3995="","",D3995/48)</f>
        <v>0</v>
      </c>
      <c r="D3995" s="26">
        <f>IF(A3995="","",ROUND((A3995-cfgDefasagem/1440)*48,0))</f>
        <v>0</v>
      </c>
      <c r="E3995" s="26">
        <f>IF(D3995="","",INT((D3995-cfgDeslocamento)/4))</f>
        <v>0</v>
      </c>
      <c r="F3995" s="26">
        <f>IF(D3995="","",MOD(D3995-cfgDeslocamento,4)+1)</f>
        <v>0</v>
      </c>
      <c r="G3995" s="26">
        <f>IF(A3995="","",IF(AND(ISNUMBER(B3995),B3995&lt;&gt;0),1,0))</f>
        <v>0</v>
      </c>
      <c r="H3995" s="25">
        <f>IF(E3995="","",(E3995*4+3+cfgDeslocamento)/48)</f>
        <v>0</v>
      </c>
    </row>
    <row r="3996" spans="1:8">
      <c r="A3996" s="24"/>
      <c r="B3996" s="19"/>
      <c r="C3996" s="25">
        <f>IF(D3996="","",D3996/48)</f>
        <v>0</v>
      </c>
      <c r="D3996" s="26">
        <f>IF(A3996="","",ROUND((A3996-cfgDefasagem/1440)*48,0))</f>
        <v>0</v>
      </c>
      <c r="E3996" s="26">
        <f>IF(D3996="","",INT((D3996-cfgDeslocamento)/4))</f>
        <v>0</v>
      </c>
      <c r="F3996" s="26">
        <f>IF(D3996="","",MOD(D3996-cfgDeslocamento,4)+1)</f>
        <v>0</v>
      </c>
      <c r="G3996" s="26">
        <f>IF(A3996="","",IF(AND(ISNUMBER(B3996),B3996&lt;&gt;0),1,0))</f>
        <v>0</v>
      </c>
      <c r="H3996" s="25">
        <f>IF(E3996="","",(E3996*4+3+cfgDeslocamento)/48)</f>
        <v>0</v>
      </c>
    </row>
    <row r="3997" spans="1:8">
      <c r="A3997" s="24"/>
      <c r="B3997" s="19"/>
      <c r="C3997" s="25">
        <f>IF(D3997="","",D3997/48)</f>
        <v>0</v>
      </c>
      <c r="D3997" s="26">
        <f>IF(A3997="","",ROUND((A3997-cfgDefasagem/1440)*48,0))</f>
        <v>0</v>
      </c>
      <c r="E3997" s="26">
        <f>IF(D3997="","",INT((D3997-cfgDeslocamento)/4))</f>
        <v>0</v>
      </c>
      <c r="F3997" s="26">
        <f>IF(D3997="","",MOD(D3997-cfgDeslocamento,4)+1)</f>
        <v>0</v>
      </c>
      <c r="G3997" s="26">
        <f>IF(A3997="","",IF(AND(ISNUMBER(B3997),B3997&lt;&gt;0),1,0))</f>
        <v>0</v>
      </c>
      <c r="H3997" s="25">
        <f>IF(E3997="","",(E3997*4+3+cfgDeslocamento)/48)</f>
        <v>0</v>
      </c>
    </row>
    <row r="3998" spans="1:8">
      <c r="A3998" s="24"/>
      <c r="B3998" s="19"/>
      <c r="C3998" s="25">
        <f>IF(D3998="","",D3998/48)</f>
        <v>0</v>
      </c>
      <c r="D3998" s="26">
        <f>IF(A3998="","",ROUND((A3998-cfgDefasagem/1440)*48,0))</f>
        <v>0</v>
      </c>
      <c r="E3998" s="26">
        <f>IF(D3998="","",INT((D3998-cfgDeslocamento)/4))</f>
        <v>0</v>
      </c>
      <c r="F3998" s="26">
        <f>IF(D3998="","",MOD(D3998-cfgDeslocamento,4)+1)</f>
        <v>0</v>
      </c>
      <c r="G3998" s="26">
        <f>IF(A3998="","",IF(AND(ISNUMBER(B3998),B3998&lt;&gt;0),1,0))</f>
        <v>0</v>
      </c>
      <c r="H3998" s="25">
        <f>IF(E3998="","",(E3998*4+3+cfgDeslocamento)/48)</f>
        <v>0</v>
      </c>
    </row>
    <row r="3999" spans="1:8">
      <c r="A3999" s="24"/>
      <c r="B3999" s="19"/>
      <c r="C3999" s="25">
        <f>IF(D3999="","",D3999/48)</f>
        <v>0</v>
      </c>
      <c r="D3999" s="26">
        <f>IF(A3999="","",ROUND((A3999-cfgDefasagem/1440)*48,0))</f>
        <v>0</v>
      </c>
      <c r="E3999" s="26">
        <f>IF(D3999="","",INT((D3999-cfgDeslocamento)/4))</f>
        <v>0</v>
      </c>
      <c r="F3999" s="26">
        <f>IF(D3999="","",MOD(D3999-cfgDeslocamento,4)+1)</f>
        <v>0</v>
      </c>
      <c r="G3999" s="26">
        <f>IF(A3999="","",IF(AND(ISNUMBER(B3999),B3999&lt;&gt;0),1,0))</f>
        <v>0</v>
      </c>
      <c r="H3999" s="25">
        <f>IF(E3999="","",(E3999*4+3+cfgDeslocamento)/48)</f>
        <v>0</v>
      </c>
    </row>
    <row r="4000" spans="1:8">
      <c r="A4000" s="24"/>
      <c r="B4000" s="19"/>
      <c r="C4000" s="25">
        <f>IF(D4000="","",D4000/48)</f>
        <v>0</v>
      </c>
      <c r="D4000" s="26">
        <f>IF(A4000="","",ROUND((A4000-cfgDefasagem/1440)*48,0))</f>
        <v>0</v>
      </c>
      <c r="E4000" s="26">
        <f>IF(D4000="","",INT((D4000-cfgDeslocamento)/4))</f>
        <v>0</v>
      </c>
      <c r="F4000" s="26">
        <f>IF(D4000="","",MOD(D4000-cfgDeslocamento,4)+1)</f>
        <v>0</v>
      </c>
      <c r="G4000" s="26">
        <f>IF(A4000="","",IF(AND(ISNUMBER(B4000),B4000&lt;&gt;0),1,0))</f>
        <v>0</v>
      </c>
      <c r="H4000" s="25">
        <f>IF(E4000="","",(E4000*4+3+cfgDeslocamento)/48)</f>
        <v>0</v>
      </c>
    </row>
    <row r="4001" spans="1:8">
      <c r="A4001" s="24"/>
      <c r="B4001" s="19"/>
      <c r="C4001" s="25">
        <f>IF(D4001="","",D4001/48)</f>
        <v>0</v>
      </c>
      <c r="D4001" s="26">
        <f>IF(A4001="","",ROUND((A4001-cfgDefasagem/1440)*48,0))</f>
        <v>0</v>
      </c>
      <c r="E4001" s="26">
        <f>IF(D4001="","",INT((D4001-cfgDeslocamento)/4))</f>
        <v>0</v>
      </c>
      <c r="F4001" s="26">
        <f>IF(D4001="","",MOD(D4001-cfgDeslocamento,4)+1)</f>
        <v>0</v>
      </c>
      <c r="G4001" s="26">
        <f>IF(A4001="","",IF(AND(ISNUMBER(B4001),B4001&lt;&gt;0),1,0))</f>
        <v>0</v>
      </c>
      <c r="H4001" s="25">
        <f>IF(E4001="","",(E4001*4+3+cfgDeslocamento)/48)</f>
        <v>0</v>
      </c>
    </row>
    <row r="4002" spans="1:8">
      <c r="A4002" s="24"/>
      <c r="B4002" s="19"/>
      <c r="C4002" s="25">
        <f>IF(D4002="","",D4002/48)</f>
        <v>0</v>
      </c>
      <c r="D4002" s="26">
        <f>IF(A4002="","",ROUND((A4002-cfgDefasagem/1440)*48,0))</f>
        <v>0</v>
      </c>
      <c r="E4002" s="26">
        <f>IF(D4002="","",INT((D4002-cfgDeslocamento)/4))</f>
        <v>0</v>
      </c>
      <c r="F4002" s="26">
        <f>IF(D4002="","",MOD(D4002-cfgDeslocamento,4)+1)</f>
        <v>0</v>
      </c>
      <c r="G4002" s="26">
        <f>IF(A4002="","",IF(AND(ISNUMBER(B4002),B4002&lt;&gt;0),1,0))</f>
        <v>0</v>
      </c>
      <c r="H4002" s="25">
        <f>IF(E4002="","",(E4002*4+3+cfgDeslocamento)/48)</f>
        <v>0</v>
      </c>
    </row>
    <row r="4003" spans="1:8">
      <c r="A4003" s="24"/>
      <c r="B4003" s="19"/>
      <c r="C4003" s="25">
        <f>IF(D4003="","",D4003/48)</f>
        <v>0</v>
      </c>
      <c r="D4003" s="26">
        <f>IF(A4003="","",ROUND((A4003-cfgDefasagem/1440)*48,0))</f>
        <v>0</v>
      </c>
      <c r="E4003" s="26">
        <f>IF(D4003="","",INT((D4003-cfgDeslocamento)/4))</f>
        <v>0</v>
      </c>
      <c r="F4003" s="26">
        <f>IF(D4003="","",MOD(D4003-cfgDeslocamento,4)+1)</f>
        <v>0</v>
      </c>
      <c r="G4003" s="26">
        <f>IF(A4003="","",IF(AND(ISNUMBER(B4003),B4003&lt;&gt;0),1,0))</f>
        <v>0</v>
      </c>
      <c r="H4003" s="25">
        <f>IF(E4003="","",(E4003*4+3+cfgDeslocamento)/48)</f>
        <v>0</v>
      </c>
    </row>
    <row r="4004" spans="1:8">
      <c r="A4004" s="24"/>
      <c r="B4004" s="19"/>
      <c r="C4004" s="25">
        <f>IF(D4004="","",D4004/48)</f>
        <v>0</v>
      </c>
      <c r="D4004" s="26">
        <f>IF(A4004="","",ROUND((A4004-cfgDefasagem/1440)*48,0))</f>
        <v>0</v>
      </c>
      <c r="E4004" s="26">
        <f>IF(D4004="","",INT((D4004-cfgDeslocamento)/4))</f>
        <v>0</v>
      </c>
      <c r="F4004" s="26">
        <f>IF(D4004="","",MOD(D4004-cfgDeslocamento,4)+1)</f>
        <v>0</v>
      </c>
      <c r="G4004" s="26">
        <f>IF(A4004="","",IF(AND(ISNUMBER(B4004),B4004&lt;&gt;0),1,0))</f>
        <v>0</v>
      </c>
      <c r="H4004" s="25">
        <f>IF(E4004="","",(E4004*4+3+cfgDeslocamento)/48)</f>
        <v>0</v>
      </c>
    </row>
    <row r="4005" spans="1:8">
      <c r="A4005" s="24"/>
      <c r="B4005" s="19"/>
      <c r="C4005" s="25">
        <f>IF(D4005="","",D4005/48)</f>
        <v>0</v>
      </c>
      <c r="D4005" s="26">
        <f>IF(A4005="","",ROUND((A4005-cfgDefasagem/1440)*48,0))</f>
        <v>0</v>
      </c>
      <c r="E4005" s="26">
        <f>IF(D4005="","",INT((D4005-cfgDeslocamento)/4))</f>
        <v>0</v>
      </c>
      <c r="F4005" s="26">
        <f>IF(D4005="","",MOD(D4005-cfgDeslocamento,4)+1)</f>
        <v>0</v>
      </c>
      <c r="G4005" s="26">
        <f>IF(A4005="","",IF(AND(ISNUMBER(B4005),B4005&lt;&gt;0),1,0))</f>
        <v>0</v>
      </c>
      <c r="H4005" s="25">
        <f>IF(E4005="","",(E4005*4+3+cfgDeslocamento)/48)</f>
        <v>0</v>
      </c>
    </row>
    <row r="4006" spans="1:8">
      <c r="A4006" s="24"/>
      <c r="B4006" s="19"/>
      <c r="C4006" s="25">
        <f>IF(D4006="","",D4006/48)</f>
        <v>0</v>
      </c>
      <c r="D4006" s="26">
        <f>IF(A4006="","",ROUND((A4006-cfgDefasagem/1440)*48,0))</f>
        <v>0</v>
      </c>
      <c r="E4006" s="26">
        <f>IF(D4006="","",INT((D4006-cfgDeslocamento)/4))</f>
        <v>0</v>
      </c>
      <c r="F4006" s="26">
        <f>IF(D4006="","",MOD(D4006-cfgDeslocamento,4)+1)</f>
        <v>0</v>
      </c>
      <c r="G4006" s="26">
        <f>IF(A4006="","",IF(AND(ISNUMBER(B4006),B4006&lt;&gt;0),1,0))</f>
        <v>0</v>
      </c>
      <c r="H4006" s="25">
        <f>IF(E4006="","",(E4006*4+3+cfgDeslocamento)/48)</f>
        <v>0</v>
      </c>
    </row>
    <row r="4007" spans="1:8">
      <c r="A4007" s="24"/>
      <c r="B4007" s="19"/>
      <c r="C4007" s="25">
        <f>IF(D4007="","",D4007/48)</f>
        <v>0</v>
      </c>
      <c r="D4007" s="26">
        <f>IF(A4007="","",ROUND((A4007-cfgDefasagem/1440)*48,0))</f>
        <v>0</v>
      </c>
      <c r="E4007" s="26">
        <f>IF(D4007="","",INT((D4007-cfgDeslocamento)/4))</f>
        <v>0</v>
      </c>
      <c r="F4007" s="26">
        <f>IF(D4007="","",MOD(D4007-cfgDeslocamento,4)+1)</f>
        <v>0</v>
      </c>
      <c r="G4007" s="26">
        <f>IF(A4007="","",IF(AND(ISNUMBER(B4007),B4007&lt;&gt;0),1,0))</f>
        <v>0</v>
      </c>
      <c r="H4007" s="25">
        <f>IF(E4007="","",(E4007*4+3+cfgDeslocamento)/48)</f>
        <v>0</v>
      </c>
    </row>
    <row r="4008" spans="1:8">
      <c r="A4008" s="24"/>
      <c r="B4008" s="19"/>
      <c r="C4008" s="25">
        <f>IF(D4008="","",D4008/48)</f>
        <v>0</v>
      </c>
      <c r="D4008" s="26">
        <f>IF(A4008="","",ROUND((A4008-cfgDefasagem/1440)*48,0))</f>
        <v>0</v>
      </c>
      <c r="E4008" s="26">
        <f>IF(D4008="","",INT((D4008-cfgDeslocamento)/4))</f>
        <v>0</v>
      </c>
      <c r="F4008" s="26">
        <f>IF(D4008="","",MOD(D4008-cfgDeslocamento,4)+1)</f>
        <v>0</v>
      </c>
      <c r="G4008" s="26">
        <f>IF(A4008="","",IF(AND(ISNUMBER(B4008),B4008&lt;&gt;0),1,0))</f>
        <v>0</v>
      </c>
      <c r="H4008" s="25">
        <f>IF(E4008="","",(E4008*4+3+cfgDeslocamento)/48)</f>
        <v>0</v>
      </c>
    </row>
    <row r="4009" spans="1:8">
      <c r="A4009" s="24"/>
      <c r="B4009" s="19"/>
      <c r="C4009" s="25">
        <f>IF(D4009="","",D4009/48)</f>
        <v>0</v>
      </c>
      <c r="D4009" s="26">
        <f>IF(A4009="","",ROUND((A4009-cfgDefasagem/1440)*48,0))</f>
        <v>0</v>
      </c>
      <c r="E4009" s="26">
        <f>IF(D4009="","",INT((D4009-cfgDeslocamento)/4))</f>
        <v>0</v>
      </c>
      <c r="F4009" s="26">
        <f>IF(D4009="","",MOD(D4009-cfgDeslocamento,4)+1)</f>
        <v>0</v>
      </c>
      <c r="G4009" s="26">
        <f>IF(A4009="","",IF(AND(ISNUMBER(B4009),B4009&lt;&gt;0),1,0))</f>
        <v>0</v>
      </c>
      <c r="H4009" s="25">
        <f>IF(E4009="","",(E4009*4+3+cfgDeslocamento)/48)</f>
        <v>0</v>
      </c>
    </row>
    <row r="4010" spans="1:8">
      <c r="A4010" s="24"/>
      <c r="B4010" s="19"/>
      <c r="C4010" s="25">
        <f>IF(D4010="","",D4010/48)</f>
        <v>0</v>
      </c>
      <c r="D4010" s="26">
        <f>IF(A4010="","",ROUND((A4010-cfgDefasagem/1440)*48,0))</f>
        <v>0</v>
      </c>
      <c r="E4010" s="26">
        <f>IF(D4010="","",INT((D4010-cfgDeslocamento)/4))</f>
        <v>0</v>
      </c>
      <c r="F4010" s="26">
        <f>IF(D4010="","",MOD(D4010-cfgDeslocamento,4)+1)</f>
        <v>0</v>
      </c>
      <c r="G4010" s="26">
        <f>IF(A4010="","",IF(AND(ISNUMBER(B4010),B4010&lt;&gt;0),1,0))</f>
        <v>0</v>
      </c>
      <c r="H4010" s="25">
        <f>IF(E4010="","",(E4010*4+3+cfgDeslocamento)/48)</f>
        <v>0</v>
      </c>
    </row>
    <row r="4011" spans="1:8">
      <c r="A4011" s="24"/>
      <c r="B4011" s="19"/>
      <c r="C4011" s="25">
        <f>IF(D4011="","",D4011/48)</f>
        <v>0</v>
      </c>
      <c r="D4011" s="26">
        <f>IF(A4011="","",ROUND((A4011-cfgDefasagem/1440)*48,0))</f>
        <v>0</v>
      </c>
      <c r="E4011" s="26">
        <f>IF(D4011="","",INT((D4011-cfgDeslocamento)/4))</f>
        <v>0</v>
      </c>
      <c r="F4011" s="26">
        <f>IF(D4011="","",MOD(D4011-cfgDeslocamento,4)+1)</f>
        <v>0</v>
      </c>
      <c r="G4011" s="26">
        <f>IF(A4011="","",IF(AND(ISNUMBER(B4011),B4011&lt;&gt;0),1,0))</f>
        <v>0</v>
      </c>
      <c r="H4011" s="25">
        <f>IF(E4011="","",(E4011*4+3+cfgDeslocamento)/48)</f>
        <v>0</v>
      </c>
    </row>
    <row r="4012" spans="1:8">
      <c r="A4012" s="24"/>
      <c r="B4012" s="19"/>
      <c r="C4012" s="25">
        <f>IF(D4012="","",D4012/48)</f>
        <v>0</v>
      </c>
      <c r="D4012" s="26">
        <f>IF(A4012="","",ROUND((A4012-cfgDefasagem/1440)*48,0))</f>
        <v>0</v>
      </c>
      <c r="E4012" s="26">
        <f>IF(D4012="","",INT((D4012-cfgDeslocamento)/4))</f>
        <v>0</v>
      </c>
      <c r="F4012" s="26">
        <f>IF(D4012="","",MOD(D4012-cfgDeslocamento,4)+1)</f>
        <v>0</v>
      </c>
      <c r="G4012" s="26">
        <f>IF(A4012="","",IF(AND(ISNUMBER(B4012),B4012&lt;&gt;0),1,0))</f>
        <v>0</v>
      </c>
      <c r="H4012" s="25">
        <f>IF(E4012="","",(E4012*4+3+cfgDeslocamento)/48)</f>
        <v>0</v>
      </c>
    </row>
    <row r="4013" spans="1:8">
      <c r="A4013" s="24"/>
      <c r="B4013" s="19"/>
      <c r="C4013" s="25">
        <f>IF(D4013="","",D4013/48)</f>
        <v>0</v>
      </c>
      <c r="D4013" s="26">
        <f>IF(A4013="","",ROUND((A4013-cfgDefasagem/1440)*48,0))</f>
        <v>0</v>
      </c>
      <c r="E4013" s="26">
        <f>IF(D4013="","",INT((D4013-cfgDeslocamento)/4))</f>
        <v>0</v>
      </c>
      <c r="F4013" s="26">
        <f>IF(D4013="","",MOD(D4013-cfgDeslocamento,4)+1)</f>
        <v>0</v>
      </c>
      <c r="G4013" s="26">
        <f>IF(A4013="","",IF(AND(ISNUMBER(B4013),B4013&lt;&gt;0),1,0))</f>
        <v>0</v>
      </c>
      <c r="H4013" s="25">
        <f>IF(E4013="","",(E4013*4+3+cfgDeslocamento)/48)</f>
        <v>0</v>
      </c>
    </row>
    <row r="4014" spans="1:8">
      <c r="A4014" s="24"/>
      <c r="B4014" s="19"/>
      <c r="C4014" s="25">
        <f>IF(D4014="","",D4014/48)</f>
        <v>0</v>
      </c>
      <c r="D4014" s="26">
        <f>IF(A4014="","",ROUND((A4014-cfgDefasagem/1440)*48,0))</f>
        <v>0</v>
      </c>
      <c r="E4014" s="26">
        <f>IF(D4014="","",INT((D4014-cfgDeslocamento)/4))</f>
        <v>0</v>
      </c>
      <c r="F4014" s="26">
        <f>IF(D4014="","",MOD(D4014-cfgDeslocamento,4)+1)</f>
        <v>0</v>
      </c>
      <c r="G4014" s="26">
        <f>IF(A4014="","",IF(AND(ISNUMBER(B4014),B4014&lt;&gt;0),1,0))</f>
        <v>0</v>
      </c>
      <c r="H4014" s="25">
        <f>IF(E4014="","",(E4014*4+3+cfgDeslocamento)/48)</f>
        <v>0</v>
      </c>
    </row>
    <row r="4015" spans="1:8">
      <c r="A4015" s="24"/>
      <c r="B4015" s="19"/>
      <c r="C4015" s="25">
        <f>IF(D4015="","",D4015/48)</f>
        <v>0</v>
      </c>
      <c r="D4015" s="26">
        <f>IF(A4015="","",ROUND((A4015-cfgDefasagem/1440)*48,0))</f>
        <v>0</v>
      </c>
      <c r="E4015" s="26">
        <f>IF(D4015="","",INT((D4015-cfgDeslocamento)/4))</f>
        <v>0</v>
      </c>
      <c r="F4015" s="26">
        <f>IF(D4015="","",MOD(D4015-cfgDeslocamento,4)+1)</f>
        <v>0</v>
      </c>
      <c r="G4015" s="26">
        <f>IF(A4015="","",IF(AND(ISNUMBER(B4015),B4015&lt;&gt;0),1,0))</f>
        <v>0</v>
      </c>
      <c r="H4015" s="25">
        <f>IF(E4015="","",(E4015*4+3+cfgDeslocamento)/48)</f>
        <v>0</v>
      </c>
    </row>
    <row r="4016" spans="1:8">
      <c r="A4016" s="24"/>
      <c r="B4016" s="19"/>
      <c r="C4016" s="25">
        <f>IF(D4016="","",D4016/48)</f>
        <v>0</v>
      </c>
      <c r="D4016" s="26">
        <f>IF(A4016="","",ROUND((A4016-cfgDefasagem/1440)*48,0))</f>
        <v>0</v>
      </c>
      <c r="E4016" s="26">
        <f>IF(D4016="","",INT((D4016-cfgDeslocamento)/4))</f>
        <v>0</v>
      </c>
      <c r="F4016" s="26">
        <f>IF(D4016="","",MOD(D4016-cfgDeslocamento,4)+1)</f>
        <v>0</v>
      </c>
      <c r="G4016" s="26">
        <f>IF(A4016="","",IF(AND(ISNUMBER(B4016),B4016&lt;&gt;0),1,0))</f>
        <v>0</v>
      </c>
      <c r="H4016" s="25">
        <f>IF(E4016="","",(E4016*4+3+cfgDeslocamento)/48)</f>
        <v>0</v>
      </c>
    </row>
    <row r="4017" spans="1:8">
      <c r="A4017" s="24"/>
      <c r="B4017" s="19"/>
      <c r="C4017" s="25">
        <f>IF(D4017="","",D4017/48)</f>
        <v>0</v>
      </c>
      <c r="D4017" s="26">
        <f>IF(A4017="","",ROUND((A4017-cfgDefasagem/1440)*48,0))</f>
        <v>0</v>
      </c>
      <c r="E4017" s="26">
        <f>IF(D4017="","",INT((D4017-cfgDeslocamento)/4))</f>
        <v>0</v>
      </c>
      <c r="F4017" s="26">
        <f>IF(D4017="","",MOD(D4017-cfgDeslocamento,4)+1)</f>
        <v>0</v>
      </c>
      <c r="G4017" s="26">
        <f>IF(A4017="","",IF(AND(ISNUMBER(B4017),B4017&lt;&gt;0),1,0))</f>
        <v>0</v>
      </c>
      <c r="H4017" s="25">
        <f>IF(E4017="","",(E4017*4+3+cfgDeslocamento)/48)</f>
        <v>0</v>
      </c>
    </row>
    <row r="4018" spans="1:8">
      <c r="A4018" s="24"/>
      <c r="B4018" s="19"/>
      <c r="C4018" s="25">
        <f>IF(D4018="","",D4018/48)</f>
        <v>0</v>
      </c>
      <c r="D4018" s="26">
        <f>IF(A4018="","",ROUND((A4018-cfgDefasagem/1440)*48,0))</f>
        <v>0</v>
      </c>
      <c r="E4018" s="26">
        <f>IF(D4018="","",INT((D4018-cfgDeslocamento)/4))</f>
        <v>0</v>
      </c>
      <c r="F4018" s="26">
        <f>IF(D4018="","",MOD(D4018-cfgDeslocamento,4)+1)</f>
        <v>0</v>
      </c>
      <c r="G4018" s="26">
        <f>IF(A4018="","",IF(AND(ISNUMBER(B4018),B4018&lt;&gt;0),1,0))</f>
        <v>0</v>
      </c>
      <c r="H4018" s="25">
        <f>IF(E4018="","",(E4018*4+3+cfgDeslocamento)/48)</f>
        <v>0</v>
      </c>
    </row>
    <row r="4019" spans="1:8">
      <c r="A4019" s="24"/>
      <c r="B4019" s="19"/>
      <c r="C4019" s="25">
        <f>IF(D4019="","",D4019/48)</f>
        <v>0</v>
      </c>
      <c r="D4019" s="26">
        <f>IF(A4019="","",ROUND((A4019-cfgDefasagem/1440)*48,0))</f>
        <v>0</v>
      </c>
      <c r="E4019" s="26">
        <f>IF(D4019="","",INT((D4019-cfgDeslocamento)/4))</f>
        <v>0</v>
      </c>
      <c r="F4019" s="26">
        <f>IF(D4019="","",MOD(D4019-cfgDeslocamento,4)+1)</f>
        <v>0</v>
      </c>
      <c r="G4019" s="26">
        <f>IF(A4019="","",IF(AND(ISNUMBER(B4019),B4019&lt;&gt;0),1,0))</f>
        <v>0</v>
      </c>
      <c r="H4019" s="25">
        <f>IF(E4019="","",(E4019*4+3+cfgDeslocamento)/48)</f>
        <v>0</v>
      </c>
    </row>
    <row r="4020" spans="1:8">
      <c r="A4020" s="24"/>
      <c r="B4020" s="19"/>
      <c r="C4020" s="25">
        <f>IF(D4020="","",D4020/48)</f>
        <v>0</v>
      </c>
      <c r="D4020" s="26">
        <f>IF(A4020="","",ROUND((A4020-cfgDefasagem/1440)*48,0))</f>
        <v>0</v>
      </c>
      <c r="E4020" s="26">
        <f>IF(D4020="","",INT((D4020-cfgDeslocamento)/4))</f>
        <v>0</v>
      </c>
      <c r="F4020" s="26">
        <f>IF(D4020="","",MOD(D4020-cfgDeslocamento,4)+1)</f>
        <v>0</v>
      </c>
      <c r="G4020" s="26">
        <f>IF(A4020="","",IF(AND(ISNUMBER(B4020),B4020&lt;&gt;0),1,0))</f>
        <v>0</v>
      </c>
      <c r="H4020" s="25">
        <f>IF(E4020="","",(E4020*4+3+cfgDeslocamento)/48)</f>
        <v>0</v>
      </c>
    </row>
    <row r="4021" spans="1:8">
      <c r="A4021" s="24"/>
      <c r="B4021" s="19"/>
      <c r="C4021" s="25">
        <f>IF(D4021="","",D4021/48)</f>
        <v>0</v>
      </c>
      <c r="D4021" s="26">
        <f>IF(A4021="","",ROUND((A4021-cfgDefasagem/1440)*48,0))</f>
        <v>0</v>
      </c>
      <c r="E4021" s="26">
        <f>IF(D4021="","",INT((D4021-cfgDeslocamento)/4))</f>
        <v>0</v>
      </c>
      <c r="F4021" s="26">
        <f>IF(D4021="","",MOD(D4021-cfgDeslocamento,4)+1)</f>
        <v>0</v>
      </c>
      <c r="G4021" s="26">
        <f>IF(A4021="","",IF(AND(ISNUMBER(B4021),B4021&lt;&gt;0),1,0))</f>
        <v>0</v>
      </c>
      <c r="H4021" s="25">
        <f>IF(E4021="","",(E4021*4+3+cfgDeslocamento)/48)</f>
        <v>0</v>
      </c>
    </row>
    <row r="4022" spans="1:8">
      <c r="A4022" s="24"/>
      <c r="B4022" s="19"/>
      <c r="C4022" s="25">
        <f>IF(D4022="","",D4022/48)</f>
        <v>0</v>
      </c>
      <c r="D4022" s="26">
        <f>IF(A4022="","",ROUND((A4022-cfgDefasagem/1440)*48,0))</f>
        <v>0</v>
      </c>
      <c r="E4022" s="26">
        <f>IF(D4022="","",INT((D4022-cfgDeslocamento)/4))</f>
        <v>0</v>
      </c>
      <c r="F4022" s="26">
        <f>IF(D4022="","",MOD(D4022-cfgDeslocamento,4)+1)</f>
        <v>0</v>
      </c>
      <c r="G4022" s="26">
        <f>IF(A4022="","",IF(AND(ISNUMBER(B4022),B4022&lt;&gt;0),1,0))</f>
        <v>0</v>
      </c>
      <c r="H4022" s="25">
        <f>IF(E4022="","",(E4022*4+3+cfgDeslocamento)/48)</f>
        <v>0</v>
      </c>
    </row>
    <row r="4023" spans="1:8">
      <c r="A4023" s="24"/>
      <c r="B4023" s="19"/>
      <c r="C4023" s="25">
        <f>IF(D4023="","",D4023/48)</f>
        <v>0</v>
      </c>
      <c r="D4023" s="26">
        <f>IF(A4023="","",ROUND((A4023-cfgDefasagem/1440)*48,0))</f>
        <v>0</v>
      </c>
      <c r="E4023" s="26">
        <f>IF(D4023="","",INT((D4023-cfgDeslocamento)/4))</f>
        <v>0</v>
      </c>
      <c r="F4023" s="26">
        <f>IF(D4023="","",MOD(D4023-cfgDeslocamento,4)+1)</f>
        <v>0</v>
      </c>
      <c r="G4023" s="26">
        <f>IF(A4023="","",IF(AND(ISNUMBER(B4023),B4023&lt;&gt;0),1,0))</f>
        <v>0</v>
      </c>
      <c r="H4023" s="25">
        <f>IF(E4023="","",(E4023*4+3+cfgDeslocamento)/48)</f>
        <v>0</v>
      </c>
    </row>
    <row r="4024" spans="1:8">
      <c r="A4024" s="24"/>
      <c r="B4024" s="19"/>
      <c r="C4024" s="25">
        <f>IF(D4024="","",D4024/48)</f>
        <v>0</v>
      </c>
      <c r="D4024" s="26">
        <f>IF(A4024="","",ROUND((A4024-cfgDefasagem/1440)*48,0))</f>
        <v>0</v>
      </c>
      <c r="E4024" s="26">
        <f>IF(D4024="","",INT((D4024-cfgDeslocamento)/4))</f>
        <v>0</v>
      </c>
      <c r="F4024" s="26">
        <f>IF(D4024="","",MOD(D4024-cfgDeslocamento,4)+1)</f>
        <v>0</v>
      </c>
      <c r="G4024" s="26">
        <f>IF(A4024="","",IF(AND(ISNUMBER(B4024),B4024&lt;&gt;0),1,0))</f>
        <v>0</v>
      </c>
      <c r="H4024" s="25">
        <f>IF(E4024="","",(E4024*4+3+cfgDeslocamento)/48)</f>
        <v>0</v>
      </c>
    </row>
    <row r="4025" spans="1:8">
      <c r="A4025" s="24"/>
      <c r="B4025" s="19"/>
      <c r="C4025" s="25">
        <f>IF(D4025="","",D4025/48)</f>
        <v>0</v>
      </c>
      <c r="D4025" s="26">
        <f>IF(A4025="","",ROUND((A4025-cfgDefasagem/1440)*48,0))</f>
        <v>0</v>
      </c>
      <c r="E4025" s="26">
        <f>IF(D4025="","",INT((D4025-cfgDeslocamento)/4))</f>
        <v>0</v>
      </c>
      <c r="F4025" s="26">
        <f>IF(D4025="","",MOD(D4025-cfgDeslocamento,4)+1)</f>
        <v>0</v>
      </c>
      <c r="G4025" s="26">
        <f>IF(A4025="","",IF(AND(ISNUMBER(B4025),B4025&lt;&gt;0),1,0))</f>
        <v>0</v>
      </c>
      <c r="H4025" s="25">
        <f>IF(E4025="","",(E4025*4+3+cfgDeslocamento)/48)</f>
        <v>0</v>
      </c>
    </row>
    <row r="4026" spans="1:8">
      <c r="A4026" s="24"/>
      <c r="B4026" s="19"/>
      <c r="C4026" s="25">
        <f>IF(D4026="","",D4026/48)</f>
        <v>0</v>
      </c>
      <c r="D4026" s="26">
        <f>IF(A4026="","",ROUND((A4026-cfgDefasagem/1440)*48,0))</f>
        <v>0</v>
      </c>
      <c r="E4026" s="26">
        <f>IF(D4026="","",INT((D4026-cfgDeslocamento)/4))</f>
        <v>0</v>
      </c>
      <c r="F4026" s="26">
        <f>IF(D4026="","",MOD(D4026-cfgDeslocamento,4)+1)</f>
        <v>0</v>
      </c>
      <c r="G4026" s="26">
        <f>IF(A4026="","",IF(AND(ISNUMBER(B4026),B4026&lt;&gt;0),1,0))</f>
        <v>0</v>
      </c>
      <c r="H4026" s="25">
        <f>IF(E4026="","",(E4026*4+3+cfgDeslocamento)/48)</f>
        <v>0</v>
      </c>
    </row>
    <row r="4027" spans="1:8">
      <c r="A4027" s="24"/>
      <c r="B4027" s="19"/>
      <c r="C4027" s="25">
        <f>IF(D4027="","",D4027/48)</f>
        <v>0</v>
      </c>
      <c r="D4027" s="26">
        <f>IF(A4027="","",ROUND((A4027-cfgDefasagem/1440)*48,0))</f>
        <v>0</v>
      </c>
      <c r="E4027" s="26">
        <f>IF(D4027="","",INT((D4027-cfgDeslocamento)/4))</f>
        <v>0</v>
      </c>
      <c r="F4027" s="26">
        <f>IF(D4027="","",MOD(D4027-cfgDeslocamento,4)+1)</f>
        <v>0</v>
      </c>
      <c r="G4027" s="26">
        <f>IF(A4027="","",IF(AND(ISNUMBER(B4027),B4027&lt;&gt;0),1,0))</f>
        <v>0</v>
      </c>
      <c r="H4027" s="25">
        <f>IF(E4027="","",(E4027*4+3+cfgDeslocamento)/48)</f>
        <v>0</v>
      </c>
    </row>
    <row r="4028" spans="1:8">
      <c r="A4028" s="24"/>
      <c r="B4028" s="19"/>
      <c r="C4028" s="25">
        <f>IF(D4028="","",D4028/48)</f>
        <v>0</v>
      </c>
      <c r="D4028" s="26">
        <f>IF(A4028="","",ROUND((A4028-cfgDefasagem/1440)*48,0))</f>
        <v>0</v>
      </c>
      <c r="E4028" s="26">
        <f>IF(D4028="","",INT((D4028-cfgDeslocamento)/4))</f>
        <v>0</v>
      </c>
      <c r="F4028" s="26">
        <f>IF(D4028="","",MOD(D4028-cfgDeslocamento,4)+1)</f>
        <v>0</v>
      </c>
      <c r="G4028" s="26">
        <f>IF(A4028="","",IF(AND(ISNUMBER(B4028),B4028&lt;&gt;0),1,0))</f>
        <v>0</v>
      </c>
      <c r="H4028" s="25">
        <f>IF(E4028="","",(E4028*4+3+cfgDeslocamento)/48)</f>
        <v>0</v>
      </c>
    </row>
    <row r="4029" spans="1:8">
      <c r="A4029" s="24"/>
      <c r="B4029" s="19"/>
      <c r="C4029" s="25">
        <f>IF(D4029="","",D4029/48)</f>
        <v>0</v>
      </c>
      <c r="D4029" s="26">
        <f>IF(A4029="","",ROUND((A4029-cfgDefasagem/1440)*48,0))</f>
        <v>0</v>
      </c>
      <c r="E4029" s="26">
        <f>IF(D4029="","",INT((D4029-cfgDeslocamento)/4))</f>
        <v>0</v>
      </c>
      <c r="F4029" s="26">
        <f>IF(D4029="","",MOD(D4029-cfgDeslocamento,4)+1)</f>
        <v>0</v>
      </c>
      <c r="G4029" s="26">
        <f>IF(A4029="","",IF(AND(ISNUMBER(B4029),B4029&lt;&gt;0),1,0))</f>
        <v>0</v>
      </c>
      <c r="H4029" s="25">
        <f>IF(E4029="","",(E4029*4+3+cfgDeslocamento)/48)</f>
        <v>0</v>
      </c>
    </row>
    <row r="4030" spans="1:8">
      <c r="A4030" s="24"/>
      <c r="B4030" s="19"/>
      <c r="C4030" s="25">
        <f>IF(D4030="","",D4030/48)</f>
        <v>0</v>
      </c>
      <c r="D4030" s="26">
        <f>IF(A4030="","",ROUND((A4030-cfgDefasagem/1440)*48,0))</f>
        <v>0</v>
      </c>
      <c r="E4030" s="26">
        <f>IF(D4030="","",INT((D4030-cfgDeslocamento)/4))</f>
        <v>0</v>
      </c>
      <c r="F4030" s="26">
        <f>IF(D4030="","",MOD(D4030-cfgDeslocamento,4)+1)</f>
        <v>0</v>
      </c>
      <c r="G4030" s="26">
        <f>IF(A4030="","",IF(AND(ISNUMBER(B4030),B4030&lt;&gt;0),1,0))</f>
        <v>0</v>
      </c>
      <c r="H4030" s="25">
        <f>IF(E4030="","",(E4030*4+3+cfgDeslocamento)/48)</f>
        <v>0</v>
      </c>
    </row>
    <row r="4031" spans="1:8">
      <c r="A4031" s="24"/>
      <c r="B4031" s="19"/>
      <c r="C4031" s="25">
        <f>IF(D4031="","",D4031/48)</f>
        <v>0</v>
      </c>
      <c r="D4031" s="26">
        <f>IF(A4031="","",ROUND((A4031-cfgDefasagem/1440)*48,0))</f>
        <v>0</v>
      </c>
      <c r="E4031" s="26">
        <f>IF(D4031="","",INT((D4031-cfgDeslocamento)/4))</f>
        <v>0</v>
      </c>
      <c r="F4031" s="26">
        <f>IF(D4031="","",MOD(D4031-cfgDeslocamento,4)+1)</f>
        <v>0</v>
      </c>
      <c r="G4031" s="26">
        <f>IF(A4031="","",IF(AND(ISNUMBER(B4031),B4031&lt;&gt;0),1,0))</f>
        <v>0</v>
      </c>
      <c r="H4031" s="25">
        <f>IF(E4031="","",(E4031*4+3+cfgDeslocamento)/48)</f>
        <v>0</v>
      </c>
    </row>
    <row r="4032" spans="1:8">
      <c r="A4032" s="24"/>
      <c r="B4032" s="19"/>
      <c r="C4032" s="25">
        <f>IF(D4032="","",D4032/48)</f>
        <v>0</v>
      </c>
      <c r="D4032" s="26">
        <f>IF(A4032="","",ROUND((A4032-cfgDefasagem/1440)*48,0))</f>
        <v>0</v>
      </c>
      <c r="E4032" s="26">
        <f>IF(D4032="","",INT((D4032-cfgDeslocamento)/4))</f>
        <v>0</v>
      </c>
      <c r="F4032" s="26">
        <f>IF(D4032="","",MOD(D4032-cfgDeslocamento,4)+1)</f>
        <v>0</v>
      </c>
      <c r="G4032" s="26">
        <f>IF(A4032="","",IF(AND(ISNUMBER(B4032),B4032&lt;&gt;0),1,0))</f>
        <v>0</v>
      </c>
      <c r="H4032" s="25">
        <f>IF(E4032="","",(E4032*4+3+cfgDeslocamento)/48)</f>
        <v>0</v>
      </c>
    </row>
    <row r="4033" spans="1:8">
      <c r="A4033" s="24"/>
      <c r="B4033" s="19"/>
      <c r="C4033" s="25">
        <f>IF(D4033="","",D4033/48)</f>
        <v>0</v>
      </c>
      <c r="D4033" s="26">
        <f>IF(A4033="","",ROUND((A4033-cfgDefasagem/1440)*48,0))</f>
        <v>0</v>
      </c>
      <c r="E4033" s="26">
        <f>IF(D4033="","",INT((D4033-cfgDeslocamento)/4))</f>
        <v>0</v>
      </c>
      <c r="F4033" s="26">
        <f>IF(D4033="","",MOD(D4033-cfgDeslocamento,4)+1)</f>
        <v>0</v>
      </c>
      <c r="G4033" s="26">
        <f>IF(A4033="","",IF(AND(ISNUMBER(B4033),B4033&lt;&gt;0),1,0))</f>
        <v>0</v>
      </c>
      <c r="H4033" s="25">
        <f>IF(E4033="","",(E4033*4+3+cfgDeslocamento)/48)</f>
        <v>0</v>
      </c>
    </row>
    <row r="4034" spans="1:8">
      <c r="A4034" s="24"/>
      <c r="B4034" s="19"/>
      <c r="C4034" s="25">
        <f>IF(D4034="","",D4034/48)</f>
        <v>0</v>
      </c>
      <c r="D4034" s="26">
        <f>IF(A4034="","",ROUND((A4034-cfgDefasagem/1440)*48,0))</f>
        <v>0</v>
      </c>
      <c r="E4034" s="26">
        <f>IF(D4034="","",INT((D4034-cfgDeslocamento)/4))</f>
        <v>0</v>
      </c>
      <c r="F4034" s="26">
        <f>IF(D4034="","",MOD(D4034-cfgDeslocamento,4)+1)</f>
        <v>0</v>
      </c>
      <c r="G4034" s="26">
        <f>IF(A4034="","",IF(AND(ISNUMBER(B4034),B4034&lt;&gt;0),1,0))</f>
        <v>0</v>
      </c>
      <c r="H4034" s="25">
        <f>IF(E4034="","",(E4034*4+3+cfgDeslocamento)/48)</f>
        <v>0</v>
      </c>
    </row>
    <row r="4035" spans="1:8">
      <c r="A4035" s="24"/>
      <c r="B4035" s="19"/>
      <c r="C4035" s="25">
        <f>IF(D4035="","",D4035/48)</f>
        <v>0</v>
      </c>
      <c r="D4035" s="26">
        <f>IF(A4035="","",ROUND((A4035-cfgDefasagem/1440)*48,0))</f>
        <v>0</v>
      </c>
      <c r="E4035" s="26">
        <f>IF(D4035="","",INT((D4035-cfgDeslocamento)/4))</f>
        <v>0</v>
      </c>
      <c r="F4035" s="26">
        <f>IF(D4035="","",MOD(D4035-cfgDeslocamento,4)+1)</f>
        <v>0</v>
      </c>
      <c r="G4035" s="26">
        <f>IF(A4035="","",IF(AND(ISNUMBER(B4035),B4035&lt;&gt;0),1,0))</f>
        <v>0</v>
      </c>
      <c r="H4035" s="25">
        <f>IF(E4035="","",(E4035*4+3+cfgDeslocamento)/48)</f>
        <v>0</v>
      </c>
    </row>
    <row r="4036" spans="1:8">
      <c r="A4036" s="24"/>
      <c r="B4036" s="19"/>
      <c r="C4036" s="25">
        <f>IF(D4036="","",D4036/48)</f>
        <v>0</v>
      </c>
      <c r="D4036" s="26">
        <f>IF(A4036="","",ROUND((A4036-cfgDefasagem/1440)*48,0))</f>
        <v>0</v>
      </c>
      <c r="E4036" s="26">
        <f>IF(D4036="","",INT((D4036-cfgDeslocamento)/4))</f>
        <v>0</v>
      </c>
      <c r="F4036" s="26">
        <f>IF(D4036="","",MOD(D4036-cfgDeslocamento,4)+1)</f>
        <v>0</v>
      </c>
      <c r="G4036" s="26">
        <f>IF(A4036="","",IF(AND(ISNUMBER(B4036),B4036&lt;&gt;0),1,0))</f>
        <v>0</v>
      </c>
      <c r="H4036" s="25">
        <f>IF(E4036="","",(E4036*4+3+cfgDeslocamento)/48)</f>
        <v>0</v>
      </c>
    </row>
    <row r="4037" spans="1:8">
      <c r="A4037" s="24"/>
      <c r="B4037" s="19"/>
      <c r="C4037" s="25">
        <f>IF(D4037="","",D4037/48)</f>
        <v>0</v>
      </c>
      <c r="D4037" s="26">
        <f>IF(A4037="","",ROUND((A4037-cfgDefasagem/1440)*48,0))</f>
        <v>0</v>
      </c>
      <c r="E4037" s="26">
        <f>IF(D4037="","",INT((D4037-cfgDeslocamento)/4))</f>
        <v>0</v>
      </c>
      <c r="F4037" s="26">
        <f>IF(D4037="","",MOD(D4037-cfgDeslocamento,4)+1)</f>
        <v>0</v>
      </c>
      <c r="G4037" s="26">
        <f>IF(A4037="","",IF(AND(ISNUMBER(B4037),B4037&lt;&gt;0),1,0))</f>
        <v>0</v>
      </c>
      <c r="H4037" s="25">
        <f>IF(E4037="","",(E4037*4+3+cfgDeslocamento)/48)</f>
        <v>0</v>
      </c>
    </row>
    <row r="4038" spans="1:8">
      <c r="A4038" s="24"/>
      <c r="B4038" s="19"/>
      <c r="C4038" s="25">
        <f>IF(D4038="","",D4038/48)</f>
        <v>0</v>
      </c>
      <c r="D4038" s="26">
        <f>IF(A4038="","",ROUND((A4038-cfgDefasagem/1440)*48,0))</f>
        <v>0</v>
      </c>
      <c r="E4038" s="26">
        <f>IF(D4038="","",INT((D4038-cfgDeslocamento)/4))</f>
        <v>0</v>
      </c>
      <c r="F4038" s="26">
        <f>IF(D4038="","",MOD(D4038-cfgDeslocamento,4)+1)</f>
        <v>0</v>
      </c>
      <c r="G4038" s="26">
        <f>IF(A4038="","",IF(AND(ISNUMBER(B4038),B4038&lt;&gt;0),1,0))</f>
        <v>0</v>
      </c>
      <c r="H4038" s="25">
        <f>IF(E4038="","",(E4038*4+3+cfgDeslocamento)/48)</f>
        <v>0</v>
      </c>
    </row>
    <row r="4039" spans="1:8">
      <c r="A4039" s="24"/>
      <c r="B4039" s="19"/>
      <c r="C4039" s="25">
        <f>IF(D4039="","",D4039/48)</f>
        <v>0</v>
      </c>
      <c r="D4039" s="26">
        <f>IF(A4039="","",ROUND((A4039-cfgDefasagem/1440)*48,0))</f>
        <v>0</v>
      </c>
      <c r="E4039" s="26">
        <f>IF(D4039="","",INT((D4039-cfgDeslocamento)/4))</f>
        <v>0</v>
      </c>
      <c r="F4039" s="26">
        <f>IF(D4039="","",MOD(D4039-cfgDeslocamento,4)+1)</f>
        <v>0</v>
      </c>
      <c r="G4039" s="26">
        <f>IF(A4039="","",IF(AND(ISNUMBER(B4039),B4039&lt;&gt;0),1,0))</f>
        <v>0</v>
      </c>
      <c r="H4039" s="25">
        <f>IF(E4039="","",(E4039*4+3+cfgDeslocamento)/48)</f>
        <v>0</v>
      </c>
    </row>
    <row r="4040" spans="1:8">
      <c r="A4040" s="24"/>
      <c r="B4040" s="19"/>
      <c r="C4040" s="25">
        <f>IF(D4040="","",D4040/48)</f>
        <v>0</v>
      </c>
      <c r="D4040" s="26">
        <f>IF(A4040="","",ROUND((A4040-cfgDefasagem/1440)*48,0))</f>
        <v>0</v>
      </c>
      <c r="E4040" s="26">
        <f>IF(D4040="","",INT((D4040-cfgDeslocamento)/4))</f>
        <v>0</v>
      </c>
      <c r="F4040" s="26">
        <f>IF(D4040="","",MOD(D4040-cfgDeslocamento,4)+1)</f>
        <v>0</v>
      </c>
      <c r="G4040" s="26">
        <f>IF(A4040="","",IF(AND(ISNUMBER(B4040),B4040&lt;&gt;0),1,0))</f>
        <v>0</v>
      </c>
      <c r="H4040" s="25">
        <f>IF(E4040="","",(E4040*4+3+cfgDeslocamento)/48)</f>
        <v>0</v>
      </c>
    </row>
    <row r="4041" spans="1:8">
      <c r="A4041" s="24"/>
      <c r="B4041" s="19"/>
      <c r="C4041" s="25">
        <f>IF(D4041="","",D4041/48)</f>
        <v>0</v>
      </c>
      <c r="D4041" s="26">
        <f>IF(A4041="","",ROUND((A4041-cfgDefasagem/1440)*48,0))</f>
        <v>0</v>
      </c>
      <c r="E4041" s="26">
        <f>IF(D4041="","",INT((D4041-cfgDeslocamento)/4))</f>
        <v>0</v>
      </c>
      <c r="F4041" s="26">
        <f>IF(D4041="","",MOD(D4041-cfgDeslocamento,4)+1)</f>
        <v>0</v>
      </c>
      <c r="G4041" s="26">
        <f>IF(A4041="","",IF(AND(ISNUMBER(B4041),B4041&lt;&gt;0),1,0))</f>
        <v>0</v>
      </c>
      <c r="H4041" s="25">
        <f>IF(E4041="","",(E4041*4+3+cfgDeslocamento)/48)</f>
        <v>0</v>
      </c>
    </row>
    <row r="4042" spans="1:8">
      <c r="A4042" s="24"/>
      <c r="B4042" s="19"/>
      <c r="C4042" s="25">
        <f>IF(D4042="","",D4042/48)</f>
        <v>0</v>
      </c>
      <c r="D4042" s="26">
        <f>IF(A4042="","",ROUND((A4042-cfgDefasagem/1440)*48,0))</f>
        <v>0</v>
      </c>
      <c r="E4042" s="26">
        <f>IF(D4042="","",INT((D4042-cfgDeslocamento)/4))</f>
        <v>0</v>
      </c>
      <c r="F4042" s="26">
        <f>IF(D4042="","",MOD(D4042-cfgDeslocamento,4)+1)</f>
        <v>0</v>
      </c>
      <c r="G4042" s="26">
        <f>IF(A4042="","",IF(AND(ISNUMBER(B4042),B4042&lt;&gt;0),1,0))</f>
        <v>0</v>
      </c>
      <c r="H4042" s="25">
        <f>IF(E4042="","",(E4042*4+3+cfgDeslocamento)/48)</f>
        <v>0</v>
      </c>
    </row>
    <row r="4043" spans="1:8">
      <c r="A4043" s="24"/>
      <c r="B4043" s="19"/>
      <c r="C4043" s="25">
        <f>IF(D4043="","",D4043/48)</f>
        <v>0</v>
      </c>
      <c r="D4043" s="26">
        <f>IF(A4043="","",ROUND((A4043-cfgDefasagem/1440)*48,0))</f>
        <v>0</v>
      </c>
      <c r="E4043" s="26">
        <f>IF(D4043="","",INT((D4043-cfgDeslocamento)/4))</f>
        <v>0</v>
      </c>
      <c r="F4043" s="26">
        <f>IF(D4043="","",MOD(D4043-cfgDeslocamento,4)+1)</f>
        <v>0</v>
      </c>
      <c r="G4043" s="26">
        <f>IF(A4043="","",IF(AND(ISNUMBER(B4043),B4043&lt;&gt;0),1,0))</f>
        <v>0</v>
      </c>
      <c r="H4043" s="25">
        <f>IF(E4043="","",(E4043*4+3+cfgDeslocamento)/48)</f>
        <v>0</v>
      </c>
    </row>
    <row r="4044" spans="1:8">
      <c r="A4044" s="24"/>
      <c r="B4044" s="19"/>
      <c r="C4044" s="25">
        <f>IF(D4044="","",D4044/48)</f>
        <v>0</v>
      </c>
      <c r="D4044" s="26">
        <f>IF(A4044="","",ROUND((A4044-cfgDefasagem/1440)*48,0))</f>
        <v>0</v>
      </c>
      <c r="E4044" s="26">
        <f>IF(D4044="","",INT((D4044-cfgDeslocamento)/4))</f>
        <v>0</v>
      </c>
      <c r="F4044" s="26">
        <f>IF(D4044="","",MOD(D4044-cfgDeslocamento,4)+1)</f>
        <v>0</v>
      </c>
      <c r="G4044" s="26">
        <f>IF(A4044="","",IF(AND(ISNUMBER(B4044),B4044&lt;&gt;0),1,0))</f>
        <v>0</v>
      </c>
      <c r="H4044" s="25">
        <f>IF(E4044="","",(E4044*4+3+cfgDeslocamento)/48)</f>
        <v>0</v>
      </c>
    </row>
    <row r="4045" spans="1:8">
      <c r="A4045" s="24"/>
      <c r="B4045" s="19"/>
      <c r="C4045" s="25">
        <f>IF(D4045="","",D4045/48)</f>
        <v>0</v>
      </c>
      <c r="D4045" s="26">
        <f>IF(A4045="","",ROUND((A4045-cfgDefasagem/1440)*48,0))</f>
        <v>0</v>
      </c>
      <c r="E4045" s="26">
        <f>IF(D4045="","",INT((D4045-cfgDeslocamento)/4))</f>
        <v>0</v>
      </c>
      <c r="F4045" s="26">
        <f>IF(D4045="","",MOD(D4045-cfgDeslocamento,4)+1)</f>
        <v>0</v>
      </c>
      <c r="G4045" s="26">
        <f>IF(A4045="","",IF(AND(ISNUMBER(B4045),B4045&lt;&gt;0),1,0))</f>
        <v>0</v>
      </c>
      <c r="H4045" s="25">
        <f>IF(E4045="","",(E4045*4+3+cfgDeslocamento)/48)</f>
        <v>0</v>
      </c>
    </row>
    <row r="4046" spans="1:8">
      <c r="A4046" s="24"/>
      <c r="B4046" s="19"/>
      <c r="C4046" s="25">
        <f>IF(D4046="","",D4046/48)</f>
        <v>0</v>
      </c>
      <c r="D4046" s="26">
        <f>IF(A4046="","",ROUND((A4046-cfgDefasagem/1440)*48,0))</f>
        <v>0</v>
      </c>
      <c r="E4046" s="26">
        <f>IF(D4046="","",INT((D4046-cfgDeslocamento)/4))</f>
        <v>0</v>
      </c>
      <c r="F4046" s="26">
        <f>IF(D4046="","",MOD(D4046-cfgDeslocamento,4)+1)</f>
        <v>0</v>
      </c>
      <c r="G4046" s="26">
        <f>IF(A4046="","",IF(AND(ISNUMBER(B4046),B4046&lt;&gt;0),1,0))</f>
        <v>0</v>
      </c>
      <c r="H4046" s="25">
        <f>IF(E4046="","",(E4046*4+3+cfgDeslocamento)/48)</f>
        <v>0</v>
      </c>
    </row>
    <row r="4047" spans="1:8">
      <c r="A4047" s="24"/>
      <c r="B4047" s="19"/>
      <c r="C4047" s="25">
        <f>IF(D4047="","",D4047/48)</f>
        <v>0</v>
      </c>
      <c r="D4047" s="26">
        <f>IF(A4047="","",ROUND((A4047-cfgDefasagem/1440)*48,0))</f>
        <v>0</v>
      </c>
      <c r="E4047" s="26">
        <f>IF(D4047="","",INT((D4047-cfgDeslocamento)/4))</f>
        <v>0</v>
      </c>
      <c r="F4047" s="26">
        <f>IF(D4047="","",MOD(D4047-cfgDeslocamento,4)+1)</f>
        <v>0</v>
      </c>
      <c r="G4047" s="26">
        <f>IF(A4047="","",IF(AND(ISNUMBER(B4047),B4047&lt;&gt;0),1,0))</f>
        <v>0</v>
      </c>
      <c r="H4047" s="25">
        <f>IF(E4047="","",(E4047*4+3+cfgDeslocamento)/48)</f>
        <v>0</v>
      </c>
    </row>
    <row r="4048" spans="1:8">
      <c r="A4048" s="24"/>
      <c r="B4048" s="19"/>
      <c r="C4048" s="25">
        <f>IF(D4048="","",D4048/48)</f>
        <v>0</v>
      </c>
      <c r="D4048" s="26">
        <f>IF(A4048="","",ROUND((A4048-cfgDefasagem/1440)*48,0))</f>
        <v>0</v>
      </c>
      <c r="E4048" s="26">
        <f>IF(D4048="","",INT((D4048-cfgDeslocamento)/4))</f>
        <v>0</v>
      </c>
      <c r="F4048" s="26">
        <f>IF(D4048="","",MOD(D4048-cfgDeslocamento,4)+1)</f>
        <v>0</v>
      </c>
      <c r="G4048" s="26">
        <f>IF(A4048="","",IF(AND(ISNUMBER(B4048),B4048&lt;&gt;0),1,0))</f>
        <v>0</v>
      </c>
      <c r="H4048" s="25">
        <f>IF(E4048="","",(E4048*4+3+cfgDeslocamento)/48)</f>
        <v>0</v>
      </c>
    </row>
    <row r="4049" spans="1:8">
      <c r="A4049" s="24"/>
      <c r="B4049" s="19"/>
      <c r="C4049" s="25">
        <f>IF(D4049="","",D4049/48)</f>
        <v>0</v>
      </c>
      <c r="D4049" s="26">
        <f>IF(A4049="","",ROUND((A4049-cfgDefasagem/1440)*48,0))</f>
        <v>0</v>
      </c>
      <c r="E4049" s="26">
        <f>IF(D4049="","",INT((D4049-cfgDeslocamento)/4))</f>
        <v>0</v>
      </c>
      <c r="F4049" s="26">
        <f>IF(D4049="","",MOD(D4049-cfgDeslocamento,4)+1)</f>
        <v>0</v>
      </c>
      <c r="G4049" s="26">
        <f>IF(A4049="","",IF(AND(ISNUMBER(B4049),B4049&lt;&gt;0),1,0))</f>
        <v>0</v>
      </c>
      <c r="H4049" s="25">
        <f>IF(E4049="","",(E4049*4+3+cfgDeslocamento)/48)</f>
        <v>0</v>
      </c>
    </row>
    <row r="4050" spans="1:8">
      <c r="A4050" s="24"/>
      <c r="B4050" s="19"/>
      <c r="C4050" s="25">
        <f>IF(D4050="","",D4050/48)</f>
        <v>0</v>
      </c>
      <c r="D4050" s="26">
        <f>IF(A4050="","",ROUND((A4050-cfgDefasagem/1440)*48,0))</f>
        <v>0</v>
      </c>
      <c r="E4050" s="26">
        <f>IF(D4050="","",INT((D4050-cfgDeslocamento)/4))</f>
        <v>0</v>
      </c>
      <c r="F4050" s="26">
        <f>IF(D4050="","",MOD(D4050-cfgDeslocamento,4)+1)</f>
        <v>0</v>
      </c>
      <c r="G4050" s="26">
        <f>IF(A4050="","",IF(AND(ISNUMBER(B4050),B4050&lt;&gt;0),1,0))</f>
        <v>0</v>
      </c>
      <c r="H4050" s="25">
        <f>IF(E4050="","",(E4050*4+3+cfgDeslocamento)/48)</f>
        <v>0</v>
      </c>
    </row>
    <row r="4051" spans="1:8">
      <c r="A4051" s="24"/>
      <c r="B4051" s="19"/>
      <c r="C4051" s="25">
        <f>IF(D4051="","",D4051/48)</f>
        <v>0</v>
      </c>
      <c r="D4051" s="26">
        <f>IF(A4051="","",ROUND((A4051-cfgDefasagem/1440)*48,0))</f>
        <v>0</v>
      </c>
      <c r="E4051" s="26">
        <f>IF(D4051="","",INT((D4051-cfgDeslocamento)/4))</f>
        <v>0</v>
      </c>
      <c r="F4051" s="26">
        <f>IF(D4051="","",MOD(D4051-cfgDeslocamento,4)+1)</f>
        <v>0</v>
      </c>
      <c r="G4051" s="26">
        <f>IF(A4051="","",IF(AND(ISNUMBER(B4051),B4051&lt;&gt;0),1,0))</f>
        <v>0</v>
      </c>
      <c r="H4051" s="25">
        <f>IF(E4051="","",(E4051*4+3+cfgDeslocamento)/48)</f>
        <v>0</v>
      </c>
    </row>
    <row r="4052" spans="1:8">
      <c r="A4052" s="24"/>
      <c r="B4052" s="19"/>
      <c r="C4052" s="25">
        <f>IF(D4052="","",D4052/48)</f>
        <v>0</v>
      </c>
      <c r="D4052" s="26">
        <f>IF(A4052="","",ROUND((A4052-cfgDefasagem/1440)*48,0))</f>
        <v>0</v>
      </c>
      <c r="E4052" s="26">
        <f>IF(D4052="","",INT((D4052-cfgDeslocamento)/4))</f>
        <v>0</v>
      </c>
      <c r="F4052" s="26">
        <f>IF(D4052="","",MOD(D4052-cfgDeslocamento,4)+1)</f>
        <v>0</v>
      </c>
      <c r="G4052" s="26">
        <f>IF(A4052="","",IF(AND(ISNUMBER(B4052),B4052&lt;&gt;0),1,0))</f>
        <v>0</v>
      </c>
      <c r="H4052" s="25">
        <f>IF(E4052="","",(E4052*4+3+cfgDeslocamento)/48)</f>
        <v>0</v>
      </c>
    </row>
    <row r="4053" spans="1:8">
      <c r="A4053" s="24"/>
      <c r="B4053" s="19"/>
      <c r="C4053" s="25">
        <f>IF(D4053="","",D4053/48)</f>
        <v>0</v>
      </c>
      <c r="D4053" s="26">
        <f>IF(A4053="","",ROUND((A4053-cfgDefasagem/1440)*48,0))</f>
        <v>0</v>
      </c>
      <c r="E4053" s="26">
        <f>IF(D4053="","",INT((D4053-cfgDeslocamento)/4))</f>
        <v>0</v>
      </c>
      <c r="F4053" s="26">
        <f>IF(D4053="","",MOD(D4053-cfgDeslocamento,4)+1)</f>
        <v>0</v>
      </c>
      <c r="G4053" s="26">
        <f>IF(A4053="","",IF(AND(ISNUMBER(B4053),B4053&lt;&gt;0),1,0))</f>
        <v>0</v>
      </c>
      <c r="H4053" s="25">
        <f>IF(E4053="","",(E4053*4+3+cfgDeslocamento)/48)</f>
        <v>0</v>
      </c>
    </row>
    <row r="4054" spans="1:8">
      <c r="A4054" s="24"/>
      <c r="B4054" s="19"/>
      <c r="C4054" s="25">
        <f>IF(D4054="","",D4054/48)</f>
        <v>0</v>
      </c>
      <c r="D4054" s="26">
        <f>IF(A4054="","",ROUND((A4054-cfgDefasagem/1440)*48,0))</f>
        <v>0</v>
      </c>
      <c r="E4054" s="26">
        <f>IF(D4054="","",INT((D4054-cfgDeslocamento)/4))</f>
        <v>0</v>
      </c>
      <c r="F4054" s="26">
        <f>IF(D4054="","",MOD(D4054-cfgDeslocamento,4)+1)</f>
        <v>0</v>
      </c>
      <c r="G4054" s="26">
        <f>IF(A4054="","",IF(AND(ISNUMBER(B4054),B4054&lt;&gt;0),1,0))</f>
        <v>0</v>
      </c>
      <c r="H4054" s="25">
        <f>IF(E4054="","",(E4054*4+3+cfgDeslocamento)/48)</f>
        <v>0</v>
      </c>
    </row>
    <row r="4055" spans="1:8">
      <c r="A4055" s="24"/>
      <c r="B4055" s="19"/>
      <c r="C4055" s="25">
        <f>IF(D4055="","",D4055/48)</f>
        <v>0</v>
      </c>
      <c r="D4055" s="26">
        <f>IF(A4055="","",ROUND((A4055-cfgDefasagem/1440)*48,0))</f>
        <v>0</v>
      </c>
      <c r="E4055" s="26">
        <f>IF(D4055="","",INT((D4055-cfgDeslocamento)/4))</f>
        <v>0</v>
      </c>
      <c r="F4055" s="26">
        <f>IF(D4055="","",MOD(D4055-cfgDeslocamento,4)+1)</f>
        <v>0</v>
      </c>
      <c r="G4055" s="26">
        <f>IF(A4055="","",IF(AND(ISNUMBER(B4055),B4055&lt;&gt;0),1,0))</f>
        <v>0</v>
      </c>
      <c r="H4055" s="25">
        <f>IF(E4055="","",(E4055*4+3+cfgDeslocamento)/48)</f>
        <v>0</v>
      </c>
    </row>
    <row r="4056" spans="1:8">
      <c r="A4056" s="24"/>
      <c r="B4056" s="19"/>
      <c r="C4056" s="25">
        <f>IF(D4056="","",D4056/48)</f>
        <v>0</v>
      </c>
      <c r="D4056" s="26">
        <f>IF(A4056="","",ROUND((A4056-cfgDefasagem/1440)*48,0))</f>
        <v>0</v>
      </c>
      <c r="E4056" s="26">
        <f>IF(D4056="","",INT((D4056-cfgDeslocamento)/4))</f>
        <v>0</v>
      </c>
      <c r="F4056" s="26">
        <f>IF(D4056="","",MOD(D4056-cfgDeslocamento,4)+1)</f>
        <v>0</v>
      </c>
      <c r="G4056" s="26">
        <f>IF(A4056="","",IF(AND(ISNUMBER(B4056),B4056&lt;&gt;0),1,0))</f>
        <v>0</v>
      </c>
      <c r="H4056" s="25">
        <f>IF(E4056="","",(E4056*4+3+cfgDeslocamento)/48)</f>
        <v>0</v>
      </c>
    </row>
    <row r="4057" spans="1:8">
      <c r="A4057" s="24"/>
      <c r="B4057" s="19"/>
      <c r="C4057" s="25">
        <f>IF(D4057="","",D4057/48)</f>
        <v>0</v>
      </c>
      <c r="D4057" s="26">
        <f>IF(A4057="","",ROUND((A4057-cfgDefasagem/1440)*48,0))</f>
        <v>0</v>
      </c>
      <c r="E4057" s="26">
        <f>IF(D4057="","",INT((D4057-cfgDeslocamento)/4))</f>
        <v>0</v>
      </c>
      <c r="F4057" s="26">
        <f>IF(D4057="","",MOD(D4057-cfgDeslocamento,4)+1)</f>
        <v>0</v>
      </c>
      <c r="G4057" s="26">
        <f>IF(A4057="","",IF(AND(ISNUMBER(B4057),B4057&lt;&gt;0),1,0))</f>
        <v>0</v>
      </c>
      <c r="H4057" s="25">
        <f>IF(E4057="","",(E4057*4+3+cfgDeslocamento)/48)</f>
        <v>0</v>
      </c>
    </row>
    <row r="4058" spans="1:8">
      <c r="A4058" s="24"/>
      <c r="B4058" s="19"/>
      <c r="C4058" s="25">
        <f>IF(D4058="","",D4058/48)</f>
        <v>0</v>
      </c>
      <c r="D4058" s="26">
        <f>IF(A4058="","",ROUND((A4058-cfgDefasagem/1440)*48,0))</f>
        <v>0</v>
      </c>
      <c r="E4058" s="26">
        <f>IF(D4058="","",INT((D4058-cfgDeslocamento)/4))</f>
        <v>0</v>
      </c>
      <c r="F4058" s="26">
        <f>IF(D4058="","",MOD(D4058-cfgDeslocamento,4)+1)</f>
        <v>0</v>
      </c>
      <c r="G4058" s="26">
        <f>IF(A4058="","",IF(AND(ISNUMBER(B4058),B4058&lt;&gt;0),1,0))</f>
        <v>0</v>
      </c>
      <c r="H4058" s="25">
        <f>IF(E4058="","",(E4058*4+3+cfgDeslocamento)/48)</f>
        <v>0</v>
      </c>
    </row>
    <row r="4059" spans="1:8">
      <c r="A4059" s="24"/>
      <c r="B4059" s="19"/>
      <c r="C4059" s="25">
        <f>IF(D4059="","",D4059/48)</f>
        <v>0</v>
      </c>
      <c r="D4059" s="26">
        <f>IF(A4059="","",ROUND((A4059-cfgDefasagem/1440)*48,0))</f>
        <v>0</v>
      </c>
      <c r="E4059" s="26">
        <f>IF(D4059="","",INT((D4059-cfgDeslocamento)/4))</f>
        <v>0</v>
      </c>
      <c r="F4059" s="26">
        <f>IF(D4059="","",MOD(D4059-cfgDeslocamento,4)+1)</f>
        <v>0</v>
      </c>
      <c r="G4059" s="26">
        <f>IF(A4059="","",IF(AND(ISNUMBER(B4059),B4059&lt;&gt;0),1,0))</f>
        <v>0</v>
      </c>
      <c r="H4059" s="25">
        <f>IF(E4059="","",(E4059*4+3+cfgDeslocamento)/48)</f>
        <v>0</v>
      </c>
    </row>
    <row r="4060" spans="1:8">
      <c r="A4060" s="24"/>
      <c r="B4060" s="19"/>
      <c r="C4060" s="25">
        <f>IF(D4060="","",D4060/48)</f>
        <v>0</v>
      </c>
      <c r="D4060" s="26">
        <f>IF(A4060="","",ROUND((A4060-cfgDefasagem/1440)*48,0))</f>
        <v>0</v>
      </c>
      <c r="E4060" s="26">
        <f>IF(D4060="","",INT((D4060-cfgDeslocamento)/4))</f>
        <v>0</v>
      </c>
      <c r="F4060" s="26">
        <f>IF(D4060="","",MOD(D4060-cfgDeslocamento,4)+1)</f>
        <v>0</v>
      </c>
      <c r="G4060" s="26">
        <f>IF(A4060="","",IF(AND(ISNUMBER(B4060),B4060&lt;&gt;0),1,0))</f>
        <v>0</v>
      </c>
      <c r="H4060" s="25">
        <f>IF(E4060="","",(E4060*4+3+cfgDeslocamento)/48)</f>
        <v>0</v>
      </c>
    </row>
    <row r="4061" spans="1:8">
      <c r="A4061" s="24"/>
      <c r="B4061" s="19"/>
      <c r="C4061" s="25">
        <f>IF(D4061="","",D4061/48)</f>
        <v>0</v>
      </c>
      <c r="D4061" s="26">
        <f>IF(A4061="","",ROUND((A4061-cfgDefasagem/1440)*48,0))</f>
        <v>0</v>
      </c>
      <c r="E4061" s="26">
        <f>IF(D4061="","",INT((D4061-cfgDeslocamento)/4))</f>
        <v>0</v>
      </c>
      <c r="F4061" s="26">
        <f>IF(D4061="","",MOD(D4061-cfgDeslocamento,4)+1)</f>
        <v>0</v>
      </c>
      <c r="G4061" s="26">
        <f>IF(A4061="","",IF(AND(ISNUMBER(B4061),B4061&lt;&gt;0),1,0))</f>
        <v>0</v>
      </c>
      <c r="H4061" s="25">
        <f>IF(E4061="","",(E4061*4+3+cfgDeslocamento)/48)</f>
        <v>0</v>
      </c>
    </row>
    <row r="4062" spans="1:8">
      <c r="A4062" s="24"/>
      <c r="B4062" s="19"/>
      <c r="C4062" s="25">
        <f>IF(D4062="","",D4062/48)</f>
        <v>0</v>
      </c>
      <c r="D4062" s="26">
        <f>IF(A4062="","",ROUND((A4062-cfgDefasagem/1440)*48,0))</f>
        <v>0</v>
      </c>
      <c r="E4062" s="26">
        <f>IF(D4062="","",INT((D4062-cfgDeslocamento)/4))</f>
        <v>0</v>
      </c>
      <c r="F4062" s="26">
        <f>IF(D4062="","",MOD(D4062-cfgDeslocamento,4)+1)</f>
        <v>0</v>
      </c>
      <c r="G4062" s="26">
        <f>IF(A4062="","",IF(AND(ISNUMBER(B4062),B4062&lt;&gt;0),1,0))</f>
        <v>0</v>
      </c>
      <c r="H4062" s="25">
        <f>IF(E4062="","",(E4062*4+3+cfgDeslocamento)/48)</f>
        <v>0</v>
      </c>
    </row>
    <row r="4063" spans="1:8">
      <c r="A4063" s="24"/>
      <c r="B4063" s="19"/>
      <c r="C4063" s="25">
        <f>IF(D4063="","",D4063/48)</f>
        <v>0</v>
      </c>
      <c r="D4063" s="26">
        <f>IF(A4063="","",ROUND((A4063-cfgDefasagem/1440)*48,0))</f>
        <v>0</v>
      </c>
      <c r="E4063" s="26">
        <f>IF(D4063="","",INT((D4063-cfgDeslocamento)/4))</f>
        <v>0</v>
      </c>
      <c r="F4063" s="26">
        <f>IF(D4063="","",MOD(D4063-cfgDeslocamento,4)+1)</f>
        <v>0</v>
      </c>
      <c r="G4063" s="26">
        <f>IF(A4063="","",IF(AND(ISNUMBER(B4063),B4063&lt;&gt;0),1,0))</f>
        <v>0</v>
      </c>
      <c r="H4063" s="25">
        <f>IF(E4063="","",(E4063*4+3+cfgDeslocamento)/48)</f>
        <v>0</v>
      </c>
    </row>
    <row r="4064" spans="1:8">
      <c r="A4064" s="24"/>
      <c r="B4064" s="19"/>
      <c r="C4064" s="25">
        <f>IF(D4064="","",D4064/48)</f>
        <v>0</v>
      </c>
      <c r="D4064" s="26">
        <f>IF(A4064="","",ROUND((A4064-cfgDefasagem/1440)*48,0))</f>
        <v>0</v>
      </c>
      <c r="E4064" s="26">
        <f>IF(D4064="","",INT((D4064-cfgDeslocamento)/4))</f>
        <v>0</v>
      </c>
      <c r="F4064" s="26">
        <f>IF(D4064="","",MOD(D4064-cfgDeslocamento,4)+1)</f>
        <v>0</v>
      </c>
      <c r="G4064" s="26">
        <f>IF(A4064="","",IF(AND(ISNUMBER(B4064),B4064&lt;&gt;0),1,0))</f>
        <v>0</v>
      </c>
      <c r="H4064" s="25">
        <f>IF(E4064="","",(E4064*4+3+cfgDeslocamento)/48)</f>
        <v>0</v>
      </c>
    </row>
    <row r="4065" spans="1:8">
      <c r="A4065" s="24"/>
      <c r="B4065" s="19"/>
      <c r="C4065" s="25">
        <f>IF(D4065="","",D4065/48)</f>
        <v>0</v>
      </c>
      <c r="D4065" s="26">
        <f>IF(A4065="","",ROUND((A4065-cfgDefasagem/1440)*48,0))</f>
        <v>0</v>
      </c>
      <c r="E4065" s="26">
        <f>IF(D4065="","",INT((D4065-cfgDeslocamento)/4))</f>
        <v>0</v>
      </c>
      <c r="F4065" s="26">
        <f>IF(D4065="","",MOD(D4065-cfgDeslocamento,4)+1)</f>
        <v>0</v>
      </c>
      <c r="G4065" s="26">
        <f>IF(A4065="","",IF(AND(ISNUMBER(B4065),B4065&lt;&gt;0),1,0))</f>
        <v>0</v>
      </c>
      <c r="H4065" s="25">
        <f>IF(E4065="","",(E4065*4+3+cfgDeslocamento)/48)</f>
        <v>0</v>
      </c>
    </row>
    <row r="4066" spans="1:8">
      <c r="A4066" s="24"/>
      <c r="B4066" s="19"/>
      <c r="C4066" s="25">
        <f>IF(D4066="","",D4066/48)</f>
        <v>0</v>
      </c>
      <c r="D4066" s="26">
        <f>IF(A4066="","",ROUND((A4066-cfgDefasagem/1440)*48,0))</f>
        <v>0</v>
      </c>
      <c r="E4066" s="26">
        <f>IF(D4066="","",INT((D4066-cfgDeslocamento)/4))</f>
        <v>0</v>
      </c>
      <c r="F4066" s="26">
        <f>IF(D4066="","",MOD(D4066-cfgDeslocamento,4)+1)</f>
        <v>0</v>
      </c>
      <c r="G4066" s="26">
        <f>IF(A4066="","",IF(AND(ISNUMBER(B4066),B4066&lt;&gt;0),1,0))</f>
        <v>0</v>
      </c>
      <c r="H4066" s="25">
        <f>IF(E4066="","",(E4066*4+3+cfgDeslocamento)/48)</f>
        <v>0</v>
      </c>
    </row>
    <row r="4067" spans="1:8">
      <c r="A4067" s="24"/>
      <c r="B4067" s="19"/>
      <c r="C4067" s="25">
        <f>IF(D4067="","",D4067/48)</f>
        <v>0</v>
      </c>
      <c r="D4067" s="26">
        <f>IF(A4067="","",ROUND((A4067-cfgDefasagem/1440)*48,0))</f>
        <v>0</v>
      </c>
      <c r="E4067" s="26">
        <f>IF(D4067="","",INT((D4067-cfgDeslocamento)/4))</f>
        <v>0</v>
      </c>
      <c r="F4067" s="26">
        <f>IF(D4067="","",MOD(D4067-cfgDeslocamento,4)+1)</f>
        <v>0</v>
      </c>
      <c r="G4067" s="26">
        <f>IF(A4067="","",IF(AND(ISNUMBER(B4067),B4067&lt;&gt;0),1,0))</f>
        <v>0</v>
      </c>
      <c r="H4067" s="25">
        <f>IF(E4067="","",(E4067*4+3+cfgDeslocamento)/48)</f>
        <v>0</v>
      </c>
    </row>
    <row r="4068" spans="1:8">
      <c r="A4068" s="24"/>
      <c r="B4068" s="19"/>
      <c r="C4068" s="25">
        <f>IF(D4068="","",D4068/48)</f>
        <v>0</v>
      </c>
      <c r="D4068" s="26">
        <f>IF(A4068="","",ROUND((A4068-cfgDefasagem/1440)*48,0))</f>
        <v>0</v>
      </c>
      <c r="E4068" s="26">
        <f>IF(D4068="","",INT((D4068-cfgDeslocamento)/4))</f>
        <v>0</v>
      </c>
      <c r="F4068" s="26">
        <f>IF(D4068="","",MOD(D4068-cfgDeslocamento,4)+1)</f>
        <v>0</v>
      </c>
      <c r="G4068" s="26">
        <f>IF(A4068="","",IF(AND(ISNUMBER(B4068),B4068&lt;&gt;0),1,0))</f>
        <v>0</v>
      </c>
      <c r="H4068" s="25">
        <f>IF(E4068="","",(E4068*4+3+cfgDeslocamento)/48)</f>
        <v>0</v>
      </c>
    </row>
    <row r="4069" spans="1:8">
      <c r="A4069" s="24"/>
      <c r="B4069" s="19"/>
      <c r="C4069" s="25">
        <f>IF(D4069="","",D4069/48)</f>
        <v>0</v>
      </c>
      <c r="D4069" s="26">
        <f>IF(A4069="","",ROUND((A4069-cfgDefasagem/1440)*48,0))</f>
        <v>0</v>
      </c>
      <c r="E4069" s="26">
        <f>IF(D4069="","",INT((D4069-cfgDeslocamento)/4))</f>
        <v>0</v>
      </c>
      <c r="F4069" s="26">
        <f>IF(D4069="","",MOD(D4069-cfgDeslocamento,4)+1)</f>
        <v>0</v>
      </c>
      <c r="G4069" s="26">
        <f>IF(A4069="","",IF(AND(ISNUMBER(B4069),B4069&lt;&gt;0),1,0))</f>
        <v>0</v>
      </c>
      <c r="H4069" s="25">
        <f>IF(E4069="","",(E4069*4+3+cfgDeslocamento)/48)</f>
        <v>0</v>
      </c>
    </row>
    <row r="4070" spans="1:8">
      <c r="A4070" s="24"/>
      <c r="B4070" s="19"/>
      <c r="C4070" s="25">
        <f>IF(D4070="","",D4070/48)</f>
        <v>0</v>
      </c>
      <c r="D4070" s="26">
        <f>IF(A4070="","",ROUND((A4070-cfgDefasagem/1440)*48,0))</f>
        <v>0</v>
      </c>
      <c r="E4070" s="26">
        <f>IF(D4070="","",INT((D4070-cfgDeslocamento)/4))</f>
        <v>0</v>
      </c>
      <c r="F4070" s="26">
        <f>IF(D4070="","",MOD(D4070-cfgDeslocamento,4)+1)</f>
        <v>0</v>
      </c>
      <c r="G4070" s="26">
        <f>IF(A4070="","",IF(AND(ISNUMBER(B4070),B4070&lt;&gt;0),1,0))</f>
        <v>0</v>
      </c>
      <c r="H4070" s="25">
        <f>IF(E4070="","",(E4070*4+3+cfgDeslocamento)/48)</f>
        <v>0</v>
      </c>
    </row>
    <row r="4071" spans="1:8">
      <c r="A4071" s="24"/>
      <c r="B4071" s="19"/>
      <c r="C4071" s="25">
        <f>IF(D4071="","",D4071/48)</f>
        <v>0</v>
      </c>
      <c r="D4071" s="26">
        <f>IF(A4071="","",ROUND((A4071-cfgDefasagem/1440)*48,0))</f>
        <v>0</v>
      </c>
      <c r="E4071" s="26">
        <f>IF(D4071="","",INT((D4071-cfgDeslocamento)/4))</f>
        <v>0</v>
      </c>
      <c r="F4071" s="26">
        <f>IF(D4071="","",MOD(D4071-cfgDeslocamento,4)+1)</f>
        <v>0</v>
      </c>
      <c r="G4071" s="26">
        <f>IF(A4071="","",IF(AND(ISNUMBER(B4071),B4071&lt;&gt;0),1,0))</f>
        <v>0</v>
      </c>
      <c r="H4071" s="25">
        <f>IF(E4071="","",(E4071*4+3+cfgDeslocamento)/48)</f>
        <v>0</v>
      </c>
    </row>
    <row r="4072" spans="1:8">
      <c r="A4072" s="24"/>
      <c r="B4072" s="19"/>
      <c r="C4072" s="25">
        <f>IF(D4072="","",D4072/48)</f>
        <v>0</v>
      </c>
      <c r="D4072" s="26">
        <f>IF(A4072="","",ROUND((A4072-cfgDefasagem/1440)*48,0))</f>
        <v>0</v>
      </c>
      <c r="E4072" s="26">
        <f>IF(D4072="","",INT((D4072-cfgDeslocamento)/4))</f>
        <v>0</v>
      </c>
      <c r="F4072" s="26">
        <f>IF(D4072="","",MOD(D4072-cfgDeslocamento,4)+1)</f>
        <v>0</v>
      </c>
      <c r="G4072" s="26">
        <f>IF(A4072="","",IF(AND(ISNUMBER(B4072),B4072&lt;&gt;0),1,0))</f>
        <v>0</v>
      </c>
      <c r="H4072" s="25">
        <f>IF(E4072="","",(E4072*4+3+cfgDeslocamento)/48)</f>
        <v>0</v>
      </c>
    </row>
    <row r="4073" spans="1:8">
      <c r="A4073" s="24"/>
      <c r="B4073" s="19"/>
      <c r="C4073" s="25">
        <f>IF(D4073="","",D4073/48)</f>
        <v>0</v>
      </c>
      <c r="D4073" s="26">
        <f>IF(A4073="","",ROUND((A4073-cfgDefasagem/1440)*48,0))</f>
        <v>0</v>
      </c>
      <c r="E4073" s="26">
        <f>IF(D4073="","",INT((D4073-cfgDeslocamento)/4))</f>
        <v>0</v>
      </c>
      <c r="F4073" s="26">
        <f>IF(D4073="","",MOD(D4073-cfgDeslocamento,4)+1)</f>
        <v>0</v>
      </c>
      <c r="G4073" s="26">
        <f>IF(A4073="","",IF(AND(ISNUMBER(B4073),B4073&lt;&gt;0),1,0))</f>
        <v>0</v>
      </c>
      <c r="H4073" s="25">
        <f>IF(E4073="","",(E4073*4+3+cfgDeslocamento)/48)</f>
        <v>0</v>
      </c>
    </row>
    <row r="4074" spans="1:8">
      <c r="A4074" s="24"/>
      <c r="B4074" s="19"/>
      <c r="C4074" s="25">
        <f>IF(D4074="","",D4074/48)</f>
        <v>0</v>
      </c>
      <c r="D4074" s="26">
        <f>IF(A4074="","",ROUND((A4074-cfgDefasagem/1440)*48,0))</f>
        <v>0</v>
      </c>
      <c r="E4074" s="26">
        <f>IF(D4074="","",INT((D4074-cfgDeslocamento)/4))</f>
        <v>0</v>
      </c>
      <c r="F4074" s="26">
        <f>IF(D4074="","",MOD(D4074-cfgDeslocamento,4)+1)</f>
        <v>0</v>
      </c>
      <c r="G4074" s="26">
        <f>IF(A4074="","",IF(AND(ISNUMBER(B4074),B4074&lt;&gt;0),1,0))</f>
        <v>0</v>
      </c>
      <c r="H4074" s="25">
        <f>IF(E4074="","",(E4074*4+3+cfgDeslocamento)/48)</f>
        <v>0</v>
      </c>
    </row>
    <row r="4075" spans="1:8">
      <c r="A4075" s="24"/>
      <c r="B4075" s="19"/>
      <c r="C4075" s="25">
        <f>IF(D4075="","",D4075/48)</f>
        <v>0</v>
      </c>
      <c r="D4075" s="26">
        <f>IF(A4075="","",ROUND((A4075-cfgDefasagem/1440)*48,0))</f>
        <v>0</v>
      </c>
      <c r="E4075" s="26">
        <f>IF(D4075="","",INT((D4075-cfgDeslocamento)/4))</f>
        <v>0</v>
      </c>
      <c r="F4075" s="26">
        <f>IF(D4075="","",MOD(D4075-cfgDeslocamento,4)+1)</f>
        <v>0</v>
      </c>
      <c r="G4075" s="26">
        <f>IF(A4075="","",IF(AND(ISNUMBER(B4075),B4075&lt;&gt;0),1,0))</f>
        <v>0</v>
      </c>
      <c r="H4075" s="25">
        <f>IF(E4075="","",(E4075*4+3+cfgDeslocamento)/48)</f>
        <v>0</v>
      </c>
    </row>
    <row r="4076" spans="1:8">
      <c r="A4076" s="24"/>
      <c r="B4076" s="19"/>
      <c r="C4076" s="25">
        <f>IF(D4076="","",D4076/48)</f>
        <v>0</v>
      </c>
      <c r="D4076" s="26">
        <f>IF(A4076="","",ROUND((A4076-cfgDefasagem/1440)*48,0))</f>
        <v>0</v>
      </c>
      <c r="E4076" s="26">
        <f>IF(D4076="","",INT((D4076-cfgDeslocamento)/4))</f>
        <v>0</v>
      </c>
      <c r="F4076" s="26">
        <f>IF(D4076="","",MOD(D4076-cfgDeslocamento,4)+1)</f>
        <v>0</v>
      </c>
      <c r="G4076" s="26">
        <f>IF(A4076="","",IF(AND(ISNUMBER(B4076),B4076&lt;&gt;0),1,0))</f>
        <v>0</v>
      </c>
      <c r="H4076" s="25">
        <f>IF(E4076="","",(E4076*4+3+cfgDeslocamento)/48)</f>
        <v>0</v>
      </c>
    </row>
    <row r="4077" spans="1:8">
      <c r="A4077" s="24"/>
      <c r="B4077" s="19"/>
      <c r="C4077" s="25">
        <f>IF(D4077="","",D4077/48)</f>
        <v>0</v>
      </c>
      <c r="D4077" s="26">
        <f>IF(A4077="","",ROUND((A4077-cfgDefasagem/1440)*48,0))</f>
        <v>0</v>
      </c>
      <c r="E4077" s="26">
        <f>IF(D4077="","",INT((D4077-cfgDeslocamento)/4))</f>
        <v>0</v>
      </c>
      <c r="F4077" s="26">
        <f>IF(D4077="","",MOD(D4077-cfgDeslocamento,4)+1)</f>
        <v>0</v>
      </c>
      <c r="G4077" s="26">
        <f>IF(A4077="","",IF(AND(ISNUMBER(B4077),B4077&lt;&gt;0),1,0))</f>
        <v>0</v>
      </c>
      <c r="H4077" s="25">
        <f>IF(E4077="","",(E4077*4+3+cfgDeslocamento)/48)</f>
        <v>0</v>
      </c>
    </row>
    <row r="4078" spans="1:8">
      <c r="A4078" s="24"/>
      <c r="B4078" s="19"/>
      <c r="C4078" s="25">
        <f>IF(D4078="","",D4078/48)</f>
        <v>0</v>
      </c>
      <c r="D4078" s="26">
        <f>IF(A4078="","",ROUND((A4078-cfgDefasagem/1440)*48,0))</f>
        <v>0</v>
      </c>
      <c r="E4078" s="26">
        <f>IF(D4078="","",INT((D4078-cfgDeslocamento)/4))</f>
        <v>0</v>
      </c>
      <c r="F4078" s="26">
        <f>IF(D4078="","",MOD(D4078-cfgDeslocamento,4)+1)</f>
        <v>0</v>
      </c>
      <c r="G4078" s="26">
        <f>IF(A4078="","",IF(AND(ISNUMBER(B4078),B4078&lt;&gt;0),1,0))</f>
        <v>0</v>
      </c>
      <c r="H4078" s="25">
        <f>IF(E4078="","",(E4078*4+3+cfgDeslocamento)/48)</f>
        <v>0</v>
      </c>
    </row>
    <row r="4079" spans="1:8">
      <c r="A4079" s="24"/>
      <c r="B4079" s="19"/>
      <c r="C4079" s="25">
        <f>IF(D4079="","",D4079/48)</f>
        <v>0</v>
      </c>
      <c r="D4079" s="26">
        <f>IF(A4079="","",ROUND((A4079-cfgDefasagem/1440)*48,0))</f>
        <v>0</v>
      </c>
      <c r="E4079" s="26">
        <f>IF(D4079="","",INT((D4079-cfgDeslocamento)/4))</f>
        <v>0</v>
      </c>
      <c r="F4079" s="26">
        <f>IF(D4079="","",MOD(D4079-cfgDeslocamento,4)+1)</f>
        <v>0</v>
      </c>
      <c r="G4079" s="26">
        <f>IF(A4079="","",IF(AND(ISNUMBER(B4079),B4079&lt;&gt;0),1,0))</f>
        <v>0</v>
      </c>
      <c r="H4079" s="25">
        <f>IF(E4079="","",(E4079*4+3+cfgDeslocamento)/48)</f>
        <v>0</v>
      </c>
    </row>
    <row r="4080" spans="1:8">
      <c r="A4080" s="24"/>
      <c r="B4080" s="19"/>
      <c r="C4080" s="25">
        <f>IF(D4080="","",D4080/48)</f>
        <v>0</v>
      </c>
      <c r="D4080" s="26">
        <f>IF(A4080="","",ROUND((A4080-cfgDefasagem/1440)*48,0))</f>
        <v>0</v>
      </c>
      <c r="E4080" s="26">
        <f>IF(D4080="","",INT((D4080-cfgDeslocamento)/4))</f>
        <v>0</v>
      </c>
      <c r="F4080" s="26">
        <f>IF(D4080="","",MOD(D4080-cfgDeslocamento,4)+1)</f>
        <v>0</v>
      </c>
      <c r="G4080" s="26">
        <f>IF(A4080="","",IF(AND(ISNUMBER(B4080),B4080&lt;&gt;0),1,0))</f>
        <v>0</v>
      </c>
      <c r="H4080" s="25">
        <f>IF(E4080="","",(E4080*4+3+cfgDeslocamento)/48)</f>
        <v>0</v>
      </c>
    </row>
    <row r="4081" spans="1:8">
      <c r="A4081" s="24"/>
      <c r="B4081" s="19"/>
      <c r="C4081" s="25">
        <f>IF(D4081="","",D4081/48)</f>
        <v>0</v>
      </c>
      <c r="D4081" s="26">
        <f>IF(A4081="","",ROUND((A4081-cfgDefasagem/1440)*48,0))</f>
        <v>0</v>
      </c>
      <c r="E4081" s="26">
        <f>IF(D4081="","",INT((D4081-cfgDeslocamento)/4))</f>
        <v>0</v>
      </c>
      <c r="F4081" s="26">
        <f>IF(D4081="","",MOD(D4081-cfgDeslocamento,4)+1)</f>
        <v>0</v>
      </c>
      <c r="G4081" s="26">
        <f>IF(A4081="","",IF(AND(ISNUMBER(B4081),B4081&lt;&gt;0),1,0))</f>
        <v>0</v>
      </c>
      <c r="H4081" s="25">
        <f>IF(E4081="","",(E4081*4+3+cfgDeslocamento)/48)</f>
        <v>0</v>
      </c>
    </row>
    <row r="4082" spans="1:8">
      <c r="A4082" s="24"/>
      <c r="B4082" s="19"/>
      <c r="C4082" s="25">
        <f>IF(D4082="","",D4082/48)</f>
        <v>0</v>
      </c>
      <c r="D4082" s="26">
        <f>IF(A4082="","",ROUND((A4082-cfgDefasagem/1440)*48,0))</f>
        <v>0</v>
      </c>
      <c r="E4082" s="26">
        <f>IF(D4082="","",INT((D4082-cfgDeslocamento)/4))</f>
        <v>0</v>
      </c>
      <c r="F4082" s="26">
        <f>IF(D4082="","",MOD(D4082-cfgDeslocamento,4)+1)</f>
        <v>0</v>
      </c>
      <c r="G4082" s="26">
        <f>IF(A4082="","",IF(AND(ISNUMBER(B4082),B4082&lt;&gt;0),1,0))</f>
        <v>0</v>
      </c>
      <c r="H4082" s="25">
        <f>IF(E4082="","",(E4082*4+3+cfgDeslocamento)/48)</f>
        <v>0</v>
      </c>
    </row>
    <row r="4083" spans="1:8">
      <c r="A4083" s="24"/>
      <c r="B4083" s="19"/>
      <c r="C4083" s="25">
        <f>IF(D4083="","",D4083/48)</f>
        <v>0</v>
      </c>
      <c r="D4083" s="26">
        <f>IF(A4083="","",ROUND((A4083-cfgDefasagem/1440)*48,0))</f>
        <v>0</v>
      </c>
      <c r="E4083" s="26">
        <f>IF(D4083="","",INT((D4083-cfgDeslocamento)/4))</f>
        <v>0</v>
      </c>
      <c r="F4083" s="26">
        <f>IF(D4083="","",MOD(D4083-cfgDeslocamento,4)+1)</f>
        <v>0</v>
      </c>
      <c r="G4083" s="26">
        <f>IF(A4083="","",IF(AND(ISNUMBER(B4083),B4083&lt;&gt;0),1,0))</f>
        <v>0</v>
      </c>
      <c r="H4083" s="25">
        <f>IF(E4083="","",(E4083*4+3+cfgDeslocamento)/48)</f>
        <v>0</v>
      </c>
    </row>
    <row r="4084" spans="1:8">
      <c r="A4084" s="24"/>
      <c r="B4084" s="19"/>
      <c r="C4084" s="25">
        <f>IF(D4084="","",D4084/48)</f>
        <v>0</v>
      </c>
      <c r="D4084" s="26">
        <f>IF(A4084="","",ROUND((A4084-cfgDefasagem/1440)*48,0))</f>
        <v>0</v>
      </c>
      <c r="E4084" s="26">
        <f>IF(D4084="","",INT((D4084-cfgDeslocamento)/4))</f>
        <v>0</v>
      </c>
      <c r="F4084" s="26">
        <f>IF(D4084="","",MOD(D4084-cfgDeslocamento,4)+1)</f>
        <v>0</v>
      </c>
      <c r="G4084" s="26">
        <f>IF(A4084="","",IF(AND(ISNUMBER(B4084),B4084&lt;&gt;0),1,0))</f>
        <v>0</v>
      </c>
      <c r="H4084" s="25">
        <f>IF(E4084="","",(E4084*4+3+cfgDeslocamento)/48)</f>
        <v>0</v>
      </c>
    </row>
    <row r="4085" spans="1:8">
      <c r="A4085" s="24"/>
      <c r="B4085" s="19"/>
      <c r="C4085" s="25">
        <f>IF(D4085="","",D4085/48)</f>
        <v>0</v>
      </c>
      <c r="D4085" s="26">
        <f>IF(A4085="","",ROUND((A4085-cfgDefasagem/1440)*48,0))</f>
        <v>0</v>
      </c>
      <c r="E4085" s="26">
        <f>IF(D4085="","",INT((D4085-cfgDeslocamento)/4))</f>
        <v>0</v>
      </c>
      <c r="F4085" s="26">
        <f>IF(D4085="","",MOD(D4085-cfgDeslocamento,4)+1)</f>
        <v>0</v>
      </c>
      <c r="G4085" s="26">
        <f>IF(A4085="","",IF(AND(ISNUMBER(B4085),B4085&lt;&gt;0),1,0))</f>
        <v>0</v>
      </c>
      <c r="H4085" s="25">
        <f>IF(E4085="","",(E4085*4+3+cfgDeslocamento)/48)</f>
        <v>0</v>
      </c>
    </row>
    <row r="4086" spans="1:8">
      <c r="A4086" s="24"/>
      <c r="B4086" s="19"/>
      <c r="C4086" s="25">
        <f>IF(D4086="","",D4086/48)</f>
        <v>0</v>
      </c>
      <c r="D4086" s="26">
        <f>IF(A4086="","",ROUND((A4086-cfgDefasagem/1440)*48,0))</f>
        <v>0</v>
      </c>
      <c r="E4086" s="26">
        <f>IF(D4086="","",INT((D4086-cfgDeslocamento)/4))</f>
        <v>0</v>
      </c>
      <c r="F4086" s="26">
        <f>IF(D4086="","",MOD(D4086-cfgDeslocamento,4)+1)</f>
        <v>0</v>
      </c>
      <c r="G4086" s="26">
        <f>IF(A4086="","",IF(AND(ISNUMBER(B4086),B4086&lt;&gt;0),1,0))</f>
        <v>0</v>
      </c>
      <c r="H4086" s="25">
        <f>IF(E4086="","",(E4086*4+3+cfgDeslocamento)/48)</f>
        <v>0</v>
      </c>
    </row>
    <row r="4087" spans="1:8">
      <c r="A4087" s="24"/>
      <c r="B4087" s="19"/>
      <c r="C4087" s="25">
        <f>IF(D4087="","",D4087/48)</f>
        <v>0</v>
      </c>
      <c r="D4087" s="26">
        <f>IF(A4087="","",ROUND((A4087-cfgDefasagem/1440)*48,0))</f>
        <v>0</v>
      </c>
      <c r="E4087" s="26">
        <f>IF(D4087="","",INT((D4087-cfgDeslocamento)/4))</f>
        <v>0</v>
      </c>
      <c r="F4087" s="26">
        <f>IF(D4087="","",MOD(D4087-cfgDeslocamento,4)+1)</f>
        <v>0</v>
      </c>
      <c r="G4087" s="26">
        <f>IF(A4087="","",IF(AND(ISNUMBER(B4087),B4087&lt;&gt;0),1,0))</f>
        <v>0</v>
      </c>
      <c r="H4087" s="25">
        <f>IF(E4087="","",(E4087*4+3+cfgDeslocamento)/48)</f>
        <v>0</v>
      </c>
    </row>
    <row r="4088" spans="1:8">
      <c r="A4088" s="24"/>
      <c r="B4088" s="19"/>
      <c r="C4088" s="25">
        <f>IF(D4088="","",D4088/48)</f>
        <v>0</v>
      </c>
      <c r="D4088" s="26">
        <f>IF(A4088="","",ROUND((A4088-cfgDefasagem/1440)*48,0))</f>
        <v>0</v>
      </c>
      <c r="E4088" s="26">
        <f>IF(D4088="","",INT((D4088-cfgDeslocamento)/4))</f>
        <v>0</v>
      </c>
      <c r="F4088" s="26">
        <f>IF(D4088="","",MOD(D4088-cfgDeslocamento,4)+1)</f>
        <v>0</v>
      </c>
      <c r="G4088" s="26">
        <f>IF(A4088="","",IF(AND(ISNUMBER(B4088),B4088&lt;&gt;0),1,0))</f>
        <v>0</v>
      </c>
      <c r="H4088" s="25">
        <f>IF(E4088="","",(E4088*4+3+cfgDeslocamento)/48)</f>
        <v>0</v>
      </c>
    </row>
    <row r="4089" spans="1:8">
      <c r="A4089" s="24"/>
      <c r="B4089" s="19"/>
      <c r="C4089" s="25">
        <f>IF(D4089="","",D4089/48)</f>
        <v>0</v>
      </c>
      <c r="D4089" s="26">
        <f>IF(A4089="","",ROUND((A4089-cfgDefasagem/1440)*48,0))</f>
        <v>0</v>
      </c>
      <c r="E4089" s="26">
        <f>IF(D4089="","",INT((D4089-cfgDeslocamento)/4))</f>
        <v>0</v>
      </c>
      <c r="F4089" s="26">
        <f>IF(D4089="","",MOD(D4089-cfgDeslocamento,4)+1)</f>
        <v>0</v>
      </c>
      <c r="G4089" s="26">
        <f>IF(A4089="","",IF(AND(ISNUMBER(B4089),B4089&lt;&gt;0),1,0))</f>
        <v>0</v>
      </c>
      <c r="H4089" s="25">
        <f>IF(E4089="","",(E4089*4+3+cfgDeslocamento)/48)</f>
        <v>0</v>
      </c>
    </row>
    <row r="4090" spans="1:8">
      <c r="A4090" s="24"/>
      <c r="B4090" s="19"/>
      <c r="C4090" s="25">
        <f>IF(D4090="","",D4090/48)</f>
        <v>0</v>
      </c>
      <c r="D4090" s="26">
        <f>IF(A4090="","",ROUND((A4090-cfgDefasagem/1440)*48,0))</f>
        <v>0</v>
      </c>
      <c r="E4090" s="26">
        <f>IF(D4090="","",INT((D4090-cfgDeslocamento)/4))</f>
        <v>0</v>
      </c>
      <c r="F4090" s="26">
        <f>IF(D4090="","",MOD(D4090-cfgDeslocamento,4)+1)</f>
        <v>0</v>
      </c>
      <c r="G4090" s="26">
        <f>IF(A4090="","",IF(AND(ISNUMBER(B4090),B4090&lt;&gt;0),1,0))</f>
        <v>0</v>
      </c>
      <c r="H4090" s="25">
        <f>IF(E4090="","",(E4090*4+3+cfgDeslocamento)/48)</f>
        <v>0</v>
      </c>
    </row>
    <row r="4091" spans="1:8">
      <c r="A4091" s="24"/>
      <c r="B4091" s="19"/>
      <c r="C4091" s="25">
        <f>IF(D4091="","",D4091/48)</f>
        <v>0</v>
      </c>
      <c r="D4091" s="26">
        <f>IF(A4091="","",ROUND((A4091-cfgDefasagem/1440)*48,0))</f>
        <v>0</v>
      </c>
      <c r="E4091" s="26">
        <f>IF(D4091="","",INT((D4091-cfgDeslocamento)/4))</f>
        <v>0</v>
      </c>
      <c r="F4091" s="26">
        <f>IF(D4091="","",MOD(D4091-cfgDeslocamento,4)+1)</f>
        <v>0</v>
      </c>
      <c r="G4091" s="26">
        <f>IF(A4091="","",IF(AND(ISNUMBER(B4091),B4091&lt;&gt;0),1,0))</f>
        <v>0</v>
      </c>
      <c r="H4091" s="25">
        <f>IF(E4091="","",(E4091*4+3+cfgDeslocamento)/48)</f>
        <v>0</v>
      </c>
    </row>
    <row r="4092" spans="1:8">
      <c r="A4092" s="24"/>
      <c r="B4092" s="19"/>
      <c r="C4092" s="25">
        <f>IF(D4092="","",D4092/48)</f>
        <v>0</v>
      </c>
      <c r="D4092" s="26">
        <f>IF(A4092="","",ROUND((A4092-cfgDefasagem/1440)*48,0))</f>
        <v>0</v>
      </c>
      <c r="E4092" s="26">
        <f>IF(D4092="","",INT((D4092-cfgDeslocamento)/4))</f>
        <v>0</v>
      </c>
      <c r="F4092" s="26">
        <f>IF(D4092="","",MOD(D4092-cfgDeslocamento,4)+1)</f>
        <v>0</v>
      </c>
      <c r="G4092" s="26">
        <f>IF(A4092="","",IF(AND(ISNUMBER(B4092),B4092&lt;&gt;0),1,0))</f>
        <v>0</v>
      </c>
      <c r="H4092" s="25">
        <f>IF(E4092="","",(E4092*4+3+cfgDeslocamento)/48)</f>
        <v>0</v>
      </c>
    </row>
    <row r="4093" spans="1:8">
      <c r="A4093" s="24"/>
      <c r="B4093" s="19"/>
      <c r="C4093" s="25">
        <f>IF(D4093="","",D4093/48)</f>
        <v>0</v>
      </c>
      <c r="D4093" s="26">
        <f>IF(A4093="","",ROUND((A4093-cfgDefasagem/1440)*48,0))</f>
        <v>0</v>
      </c>
      <c r="E4093" s="26">
        <f>IF(D4093="","",INT((D4093-cfgDeslocamento)/4))</f>
        <v>0</v>
      </c>
      <c r="F4093" s="26">
        <f>IF(D4093="","",MOD(D4093-cfgDeslocamento,4)+1)</f>
        <v>0</v>
      </c>
      <c r="G4093" s="26">
        <f>IF(A4093="","",IF(AND(ISNUMBER(B4093),B4093&lt;&gt;0),1,0))</f>
        <v>0</v>
      </c>
      <c r="H4093" s="25">
        <f>IF(E4093="","",(E4093*4+3+cfgDeslocamento)/48)</f>
        <v>0</v>
      </c>
    </row>
    <row r="4094" spans="1:8">
      <c r="A4094" s="24"/>
      <c r="B4094" s="19"/>
      <c r="C4094" s="25">
        <f>IF(D4094="","",D4094/48)</f>
        <v>0</v>
      </c>
      <c r="D4094" s="26">
        <f>IF(A4094="","",ROUND((A4094-cfgDefasagem/1440)*48,0))</f>
        <v>0</v>
      </c>
      <c r="E4094" s="26">
        <f>IF(D4094="","",INT((D4094-cfgDeslocamento)/4))</f>
        <v>0</v>
      </c>
      <c r="F4094" s="26">
        <f>IF(D4094="","",MOD(D4094-cfgDeslocamento,4)+1)</f>
        <v>0</v>
      </c>
      <c r="G4094" s="26">
        <f>IF(A4094="","",IF(AND(ISNUMBER(B4094),B4094&lt;&gt;0),1,0))</f>
        <v>0</v>
      </c>
      <c r="H4094" s="25">
        <f>IF(E4094="","",(E4094*4+3+cfgDeslocamento)/48)</f>
        <v>0</v>
      </c>
    </row>
    <row r="4095" spans="1:8">
      <c r="A4095" s="24"/>
      <c r="B4095" s="19"/>
      <c r="C4095" s="25">
        <f>IF(D4095="","",D4095/48)</f>
        <v>0</v>
      </c>
      <c r="D4095" s="26">
        <f>IF(A4095="","",ROUND((A4095-cfgDefasagem/1440)*48,0))</f>
        <v>0</v>
      </c>
      <c r="E4095" s="26">
        <f>IF(D4095="","",INT((D4095-cfgDeslocamento)/4))</f>
        <v>0</v>
      </c>
      <c r="F4095" s="26">
        <f>IF(D4095="","",MOD(D4095-cfgDeslocamento,4)+1)</f>
        <v>0</v>
      </c>
      <c r="G4095" s="26">
        <f>IF(A4095="","",IF(AND(ISNUMBER(B4095),B4095&lt;&gt;0),1,0))</f>
        <v>0</v>
      </c>
      <c r="H4095" s="25">
        <f>IF(E4095="","",(E4095*4+3+cfgDeslocamento)/48)</f>
        <v>0</v>
      </c>
    </row>
    <row r="4096" spans="1:8">
      <c r="A4096" s="24"/>
      <c r="B4096" s="19"/>
      <c r="C4096" s="25">
        <f>IF(D4096="","",D4096/48)</f>
        <v>0</v>
      </c>
      <c r="D4096" s="26">
        <f>IF(A4096="","",ROUND((A4096-cfgDefasagem/1440)*48,0))</f>
        <v>0</v>
      </c>
      <c r="E4096" s="26">
        <f>IF(D4096="","",INT((D4096-cfgDeslocamento)/4))</f>
        <v>0</v>
      </c>
      <c r="F4096" s="26">
        <f>IF(D4096="","",MOD(D4096-cfgDeslocamento,4)+1)</f>
        <v>0</v>
      </c>
      <c r="G4096" s="26">
        <f>IF(A4096="","",IF(AND(ISNUMBER(B4096),B4096&lt;&gt;0),1,0))</f>
        <v>0</v>
      </c>
      <c r="H4096" s="25">
        <f>IF(E4096="","",(E4096*4+3+cfgDeslocamento)/48)</f>
        <v>0</v>
      </c>
    </row>
    <row r="4097" spans="1:8">
      <c r="A4097" s="24"/>
      <c r="B4097" s="19"/>
      <c r="C4097" s="25">
        <f>IF(D4097="","",D4097/48)</f>
        <v>0</v>
      </c>
      <c r="D4097" s="26">
        <f>IF(A4097="","",ROUND((A4097-cfgDefasagem/1440)*48,0))</f>
        <v>0</v>
      </c>
      <c r="E4097" s="26">
        <f>IF(D4097="","",INT((D4097-cfgDeslocamento)/4))</f>
        <v>0</v>
      </c>
      <c r="F4097" s="26">
        <f>IF(D4097="","",MOD(D4097-cfgDeslocamento,4)+1)</f>
        <v>0</v>
      </c>
      <c r="G4097" s="26">
        <f>IF(A4097="","",IF(AND(ISNUMBER(B4097),B4097&lt;&gt;0),1,0))</f>
        <v>0</v>
      </c>
      <c r="H4097" s="25">
        <f>IF(E4097="","",(E4097*4+3+cfgDeslocamento)/48)</f>
        <v>0</v>
      </c>
    </row>
    <row r="4098" spans="1:8">
      <c r="A4098" s="24"/>
      <c r="B4098" s="19"/>
      <c r="C4098" s="25">
        <f>IF(D4098="","",D4098/48)</f>
        <v>0</v>
      </c>
      <c r="D4098" s="26">
        <f>IF(A4098="","",ROUND((A4098-cfgDefasagem/1440)*48,0))</f>
        <v>0</v>
      </c>
      <c r="E4098" s="26">
        <f>IF(D4098="","",INT((D4098-cfgDeslocamento)/4))</f>
        <v>0</v>
      </c>
      <c r="F4098" s="26">
        <f>IF(D4098="","",MOD(D4098-cfgDeslocamento,4)+1)</f>
        <v>0</v>
      </c>
      <c r="G4098" s="26">
        <f>IF(A4098="","",IF(AND(ISNUMBER(B4098),B4098&lt;&gt;0),1,0))</f>
        <v>0</v>
      </c>
      <c r="H4098" s="25">
        <f>IF(E4098="","",(E4098*4+3+cfgDeslocamento)/48)</f>
        <v>0</v>
      </c>
    </row>
    <row r="4099" spans="1:8">
      <c r="A4099" s="24"/>
      <c r="B4099" s="19"/>
      <c r="C4099" s="25">
        <f>IF(D4099="","",D4099/48)</f>
        <v>0</v>
      </c>
      <c r="D4099" s="26">
        <f>IF(A4099="","",ROUND((A4099-cfgDefasagem/1440)*48,0))</f>
        <v>0</v>
      </c>
      <c r="E4099" s="26">
        <f>IF(D4099="","",INT((D4099-cfgDeslocamento)/4))</f>
        <v>0</v>
      </c>
      <c r="F4099" s="26">
        <f>IF(D4099="","",MOD(D4099-cfgDeslocamento,4)+1)</f>
        <v>0</v>
      </c>
      <c r="G4099" s="26">
        <f>IF(A4099="","",IF(AND(ISNUMBER(B4099),B4099&lt;&gt;0),1,0))</f>
        <v>0</v>
      </c>
      <c r="H4099" s="25">
        <f>IF(E4099="","",(E4099*4+3+cfgDeslocamento)/48)</f>
        <v>0</v>
      </c>
    </row>
    <row r="4100" spans="1:8">
      <c r="A4100" s="24"/>
      <c r="B4100" s="19"/>
      <c r="C4100" s="25">
        <f>IF(D4100="","",D4100/48)</f>
        <v>0</v>
      </c>
      <c r="D4100" s="26">
        <f>IF(A4100="","",ROUND((A4100-cfgDefasagem/1440)*48,0))</f>
        <v>0</v>
      </c>
      <c r="E4100" s="26">
        <f>IF(D4100="","",INT((D4100-cfgDeslocamento)/4))</f>
        <v>0</v>
      </c>
      <c r="F4100" s="26">
        <f>IF(D4100="","",MOD(D4100-cfgDeslocamento,4)+1)</f>
        <v>0</v>
      </c>
      <c r="G4100" s="26">
        <f>IF(A4100="","",IF(AND(ISNUMBER(B4100),B4100&lt;&gt;0),1,0))</f>
        <v>0</v>
      </c>
      <c r="H4100" s="25">
        <f>IF(E4100="","",(E4100*4+3+cfgDeslocamento)/48)</f>
        <v>0</v>
      </c>
    </row>
    <row r="4101" spans="1:8">
      <c r="A4101" s="24"/>
      <c r="B4101" s="19"/>
      <c r="C4101" s="25">
        <f>IF(D4101="","",D4101/48)</f>
        <v>0</v>
      </c>
      <c r="D4101" s="26">
        <f>IF(A4101="","",ROUND((A4101-cfgDefasagem/1440)*48,0))</f>
        <v>0</v>
      </c>
      <c r="E4101" s="26">
        <f>IF(D4101="","",INT((D4101-cfgDeslocamento)/4))</f>
        <v>0</v>
      </c>
      <c r="F4101" s="26">
        <f>IF(D4101="","",MOD(D4101-cfgDeslocamento,4)+1)</f>
        <v>0</v>
      </c>
      <c r="G4101" s="26">
        <f>IF(A4101="","",IF(AND(ISNUMBER(B4101),B4101&lt;&gt;0),1,0))</f>
        <v>0</v>
      </c>
      <c r="H4101" s="25">
        <f>IF(E4101="","",(E4101*4+3+cfgDeslocamento)/48)</f>
        <v>0</v>
      </c>
    </row>
    <row r="4102" spans="1:8">
      <c r="A4102" s="24"/>
      <c r="B4102" s="19"/>
      <c r="C4102" s="25">
        <f>IF(D4102="","",D4102/48)</f>
        <v>0</v>
      </c>
      <c r="D4102" s="26">
        <f>IF(A4102="","",ROUND((A4102-cfgDefasagem/1440)*48,0))</f>
        <v>0</v>
      </c>
      <c r="E4102" s="26">
        <f>IF(D4102="","",INT((D4102-cfgDeslocamento)/4))</f>
        <v>0</v>
      </c>
      <c r="F4102" s="26">
        <f>IF(D4102="","",MOD(D4102-cfgDeslocamento,4)+1)</f>
        <v>0</v>
      </c>
      <c r="G4102" s="26">
        <f>IF(A4102="","",IF(AND(ISNUMBER(B4102),B4102&lt;&gt;0),1,0))</f>
        <v>0</v>
      </c>
      <c r="H4102" s="25">
        <f>IF(E4102="","",(E4102*4+3+cfgDeslocamento)/48)</f>
        <v>0</v>
      </c>
    </row>
    <row r="4103" spans="1:8">
      <c r="A4103" s="24"/>
      <c r="B4103" s="19"/>
      <c r="C4103" s="25">
        <f>IF(D4103="","",D4103/48)</f>
        <v>0</v>
      </c>
      <c r="D4103" s="26">
        <f>IF(A4103="","",ROUND((A4103-cfgDefasagem/1440)*48,0))</f>
        <v>0</v>
      </c>
      <c r="E4103" s="26">
        <f>IF(D4103="","",INT((D4103-cfgDeslocamento)/4))</f>
        <v>0</v>
      </c>
      <c r="F4103" s="26">
        <f>IF(D4103="","",MOD(D4103-cfgDeslocamento,4)+1)</f>
        <v>0</v>
      </c>
      <c r="G4103" s="26">
        <f>IF(A4103="","",IF(AND(ISNUMBER(B4103),B4103&lt;&gt;0),1,0))</f>
        <v>0</v>
      </c>
      <c r="H4103" s="25">
        <f>IF(E4103="","",(E4103*4+3+cfgDeslocamento)/48)</f>
        <v>0</v>
      </c>
    </row>
    <row r="4104" spans="1:8">
      <c r="A4104" s="24"/>
      <c r="B4104" s="19"/>
      <c r="C4104" s="25">
        <f>IF(D4104="","",D4104/48)</f>
        <v>0</v>
      </c>
      <c r="D4104" s="26">
        <f>IF(A4104="","",ROUND((A4104-cfgDefasagem/1440)*48,0))</f>
        <v>0</v>
      </c>
      <c r="E4104" s="26">
        <f>IF(D4104="","",INT((D4104-cfgDeslocamento)/4))</f>
        <v>0</v>
      </c>
      <c r="F4104" s="26">
        <f>IF(D4104="","",MOD(D4104-cfgDeslocamento,4)+1)</f>
        <v>0</v>
      </c>
      <c r="G4104" s="26">
        <f>IF(A4104="","",IF(AND(ISNUMBER(B4104),B4104&lt;&gt;0),1,0))</f>
        <v>0</v>
      </c>
      <c r="H4104" s="25">
        <f>IF(E4104="","",(E4104*4+3+cfgDeslocamento)/48)</f>
        <v>0</v>
      </c>
    </row>
    <row r="4105" spans="1:8">
      <c r="A4105" s="24"/>
      <c r="B4105" s="19"/>
      <c r="C4105" s="25">
        <f>IF(D4105="","",D4105/48)</f>
        <v>0</v>
      </c>
      <c r="D4105" s="26">
        <f>IF(A4105="","",ROUND((A4105-cfgDefasagem/1440)*48,0))</f>
        <v>0</v>
      </c>
      <c r="E4105" s="26">
        <f>IF(D4105="","",INT((D4105-cfgDeslocamento)/4))</f>
        <v>0</v>
      </c>
      <c r="F4105" s="26">
        <f>IF(D4105="","",MOD(D4105-cfgDeslocamento,4)+1)</f>
        <v>0</v>
      </c>
      <c r="G4105" s="26">
        <f>IF(A4105="","",IF(AND(ISNUMBER(B4105),B4105&lt;&gt;0),1,0))</f>
        <v>0</v>
      </c>
      <c r="H4105" s="25">
        <f>IF(E4105="","",(E4105*4+3+cfgDeslocamento)/48)</f>
        <v>0</v>
      </c>
    </row>
    <row r="4106" spans="1:8">
      <c r="A4106" s="24"/>
      <c r="B4106" s="19"/>
      <c r="C4106" s="25">
        <f>IF(D4106="","",D4106/48)</f>
        <v>0</v>
      </c>
      <c r="D4106" s="26">
        <f>IF(A4106="","",ROUND((A4106-cfgDefasagem/1440)*48,0))</f>
        <v>0</v>
      </c>
      <c r="E4106" s="26">
        <f>IF(D4106="","",INT((D4106-cfgDeslocamento)/4))</f>
        <v>0</v>
      </c>
      <c r="F4106" s="26">
        <f>IF(D4106="","",MOD(D4106-cfgDeslocamento,4)+1)</f>
        <v>0</v>
      </c>
      <c r="G4106" s="26">
        <f>IF(A4106="","",IF(AND(ISNUMBER(B4106),B4106&lt;&gt;0),1,0))</f>
        <v>0</v>
      </c>
      <c r="H4106" s="25">
        <f>IF(E4106="","",(E4106*4+3+cfgDeslocamento)/48)</f>
        <v>0</v>
      </c>
    </row>
    <row r="4107" spans="1:8">
      <c r="A4107" s="24"/>
      <c r="B4107" s="19"/>
      <c r="C4107" s="25">
        <f>IF(D4107="","",D4107/48)</f>
        <v>0</v>
      </c>
      <c r="D4107" s="26">
        <f>IF(A4107="","",ROUND((A4107-cfgDefasagem/1440)*48,0))</f>
        <v>0</v>
      </c>
      <c r="E4107" s="26">
        <f>IF(D4107="","",INT((D4107-cfgDeslocamento)/4))</f>
        <v>0</v>
      </c>
      <c r="F4107" s="26">
        <f>IF(D4107="","",MOD(D4107-cfgDeslocamento,4)+1)</f>
        <v>0</v>
      </c>
      <c r="G4107" s="26">
        <f>IF(A4107="","",IF(AND(ISNUMBER(B4107),B4107&lt;&gt;0),1,0))</f>
        <v>0</v>
      </c>
      <c r="H4107" s="25">
        <f>IF(E4107="","",(E4107*4+3+cfgDeslocamento)/48)</f>
        <v>0</v>
      </c>
    </row>
    <row r="4108" spans="1:8">
      <c r="A4108" s="24"/>
      <c r="B4108" s="19"/>
      <c r="C4108" s="25">
        <f>IF(D4108="","",D4108/48)</f>
        <v>0</v>
      </c>
      <c r="D4108" s="26">
        <f>IF(A4108="","",ROUND((A4108-cfgDefasagem/1440)*48,0))</f>
        <v>0</v>
      </c>
      <c r="E4108" s="26">
        <f>IF(D4108="","",INT((D4108-cfgDeslocamento)/4))</f>
        <v>0</v>
      </c>
      <c r="F4108" s="26">
        <f>IF(D4108="","",MOD(D4108-cfgDeslocamento,4)+1)</f>
        <v>0</v>
      </c>
      <c r="G4108" s="26">
        <f>IF(A4108="","",IF(AND(ISNUMBER(B4108),B4108&lt;&gt;0),1,0))</f>
        <v>0</v>
      </c>
      <c r="H4108" s="25">
        <f>IF(E4108="","",(E4108*4+3+cfgDeslocamento)/48)</f>
        <v>0</v>
      </c>
    </row>
    <row r="4109" spans="1:8">
      <c r="A4109" s="24"/>
      <c r="B4109" s="19"/>
      <c r="C4109" s="25">
        <f>IF(D4109="","",D4109/48)</f>
        <v>0</v>
      </c>
      <c r="D4109" s="26">
        <f>IF(A4109="","",ROUND((A4109-cfgDefasagem/1440)*48,0))</f>
        <v>0</v>
      </c>
      <c r="E4109" s="26">
        <f>IF(D4109="","",INT((D4109-cfgDeslocamento)/4))</f>
        <v>0</v>
      </c>
      <c r="F4109" s="26">
        <f>IF(D4109="","",MOD(D4109-cfgDeslocamento,4)+1)</f>
        <v>0</v>
      </c>
      <c r="G4109" s="26">
        <f>IF(A4109="","",IF(AND(ISNUMBER(B4109),B4109&lt;&gt;0),1,0))</f>
        <v>0</v>
      </c>
      <c r="H4109" s="25">
        <f>IF(E4109="","",(E4109*4+3+cfgDeslocamento)/48)</f>
        <v>0</v>
      </c>
    </row>
    <row r="4110" spans="1:8">
      <c r="A4110" s="24"/>
      <c r="B4110" s="19"/>
      <c r="C4110" s="25">
        <f>IF(D4110="","",D4110/48)</f>
        <v>0</v>
      </c>
      <c r="D4110" s="26">
        <f>IF(A4110="","",ROUND((A4110-cfgDefasagem/1440)*48,0))</f>
        <v>0</v>
      </c>
      <c r="E4110" s="26">
        <f>IF(D4110="","",INT((D4110-cfgDeslocamento)/4))</f>
        <v>0</v>
      </c>
      <c r="F4110" s="26">
        <f>IF(D4110="","",MOD(D4110-cfgDeslocamento,4)+1)</f>
        <v>0</v>
      </c>
      <c r="G4110" s="26">
        <f>IF(A4110="","",IF(AND(ISNUMBER(B4110),B4110&lt;&gt;0),1,0))</f>
        <v>0</v>
      </c>
      <c r="H4110" s="25">
        <f>IF(E4110="","",(E4110*4+3+cfgDeslocamento)/48)</f>
        <v>0</v>
      </c>
    </row>
    <row r="4111" spans="1:8">
      <c r="A4111" s="24"/>
      <c r="B4111" s="19"/>
      <c r="C4111" s="25">
        <f>IF(D4111="","",D4111/48)</f>
        <v>0</v>
      </c>
      <c r="D4111" s="26">
        <f>IF(A4111="","",ROUND((A4111-cfgDefasagem/1440)*48,0))</f>
        <v>0</v>
      </c>
      <c r="E4111" s="26">
        <f>IF(D4111="","",INT((D4111-cfgDeslocamento)/4))</f>
        <v>0</v>
      </c>
      <c r="F4111" s="26">
        <f>IF(D4111="","",MOD(D4111-cfgDeslocamento,4)+1)</f>
        <v>0</v>
      </c>
      <c r="G4111" s="26">
        <f>IF(A4111="","",IF(AND(ISNUMBER(B4111),B4111&lt;&gt;0),1,0))</f>
        <v>0</v>
      </c>
      <c r="H4111" s="25">
        <f>IF(E4111="","",(E4111*4+3+cfgDeslocamento)/48)</f>
        <v>0</v>
      </c>
    </row>
    <row r="4112" spans="1:8">
      <c r="A4112" s="24"/>
      <c r="B4112" s="19"/>
      <c r="C4112" s="25">
        <f>IF(D4112="","",D4112/48)</f>
        <v>0</v>
      </c>
      <c r="D4112" s="26">
        <f>IF(A4112="","",ROUND((A4112-cfgDefasagem/1440)*48,0))</f>
        <v>0</v>
      </c>
      <c r="E4112" s="26">
        <f>IF(D4112="","",INT((D4112-cfgDeslocamento)/4))</f>
        <v>0</v>
      </c>
      <c r="F4112" s="26">
        <f>IF(D4112="","",MOD(D4112-cfgDeslocamento,4)+1)</f>
        <v>0</v>
      </c>
      <c r="G4112" s="26">
        <f>IF(A4112="","",IF(AND(ISNUMBER(B4112),B4112&lt;&gt;0),1,0))</f>
        <v>0</v>
      </c>
      <c r="H4112" s="25">
        <f>IF(E4112="","",(E4112*4+3+cfgDeslocamento)/48)</f>
        <v>0</v>
      </c>
    </row>
    <row r="4113" spans="1:8">
      <c r="A4113" s="24"/>
      <c r="B4113" s="19"/>
      <c r="C4113" s="25">
        <f>IF(D4113="","",D4113/48)</f>
        <v>0</v>
      </c>
      <c r="D4113" s="26">
        <f>IF(A4113="","",ROUND((A4113-cfgDefasagem/1440)*48,0))</f>
        <v>0</v>
      </c>
      <c r="E4113" s="26">
        <f>IF(D4113="","",INT((D4113-cfgDeslocamento)/4))</f>
        <v>0</v>
      </c>
      <c r="F4113" s="26">
        <f>IF(D4113="","",MOD(D4113-cfgDeslocamento,4)+1)</f>
        <v>0</v>
      </c>
      <c r="G4113" s="26">
        <f>IF(A4113="","",IF(AND(ISNUMBER(B4113),B4113&lt;&gt;0),1,0))</f>
        <v>0</v>
      </c>
      <c r="H4113" s="25">
        <f>IF(E4113="","",(E4113*4+3+cfgDeslocamento)/48)</f>
        <v>0</v>
      </c>
    </row>
    <row r="4114" spans="1:8">
      <c r="A4114" s="24"/>
      <c r="B4114" s="19"/>
      <c r="C4114" s="25">
        <f>IF(D4114="","",D4114/48)</f>
        <v>0</v>
      </c>
      <c r="D4114" s="26">
        <f>IF(A4114="","",ROUND((A4114-cfgDefasagem/1440)*48,0))</f>
        <v>0</v>
      </c>
      <c r="E4114" s="26">
        <f>IF(D4114="","",INT((D4114-cfgDeslocamento)/4))</f>
        <v>0</v>
      </c>
      <c r="F4114" s="26">
        <f>IF(D4114="","",MOD(D4114-cfgDeslocamento,4)+1)</f>
        <v>0</v>
      </c>
      <c r="G4114" s="26">
        <f>IF(A4114="","",IF(AND(ISNUMBER(B4114),B4114&lt;&gt;0),1,0))</f>
        <v>0</v>
      </c>
      <c r="H4114" s="25">
        <f>IF(E4114="","",(E4114*4+3+cfgDeslocamento)/48)</f>
        <v>0</v>
      </c>
    </row>
    <row r="4115" spans="1:8">
      <c r="A4115" s="24"/>
      <c r="B4115" s="19"/>
      <c r="C4115" s="25">
        <f>IF(D4115="","",D4115/48)</f>
        <v>0</v>
      </c>
      <c r="D4115" s="26">
        <f>IF(A4115="","",ROUND((A4115-cfgDefasagem/1440)*48,0))</f>
        <v>0</v>
      </c>
      <c r="E4115" s="26">
        <f>IF(D4115="","",INT((D4115-cfgDeslocamento)/4))</f>
        <v>0</v>
      </c>
      <c r="F4115" s="26">
        <f>IF(D4115="","",MOD(D4115-cfgDeslocamento,4)+1)</f>
        <v>0</v>
      </c>
      <c r="G4115" s="26">
        <f>IF(A4115="","",IF(AND(ISNUMBER(B4115),B4115&lt;&gt;0),1,0))</f>
        <v>0</v>
      </c>
      <c r="H4115" s="25">
        <f>IF(E4115="","",(E4115*4+3+cfgDeslocamento)/48)</f>
        <v>0</v>
      </c>
    </row>
    <row r="4116" spans="1:8">
      <c r="A4116" s="24"/>
      <c r="B4116" s="19"/>
      <c r="C4116" s="25">
        <f>IF(D4116="","",D4116/48)</f>
        <v>0</v>
      </c>
      <c r="D4116" s="26">
        <f>IF(A4116="","",ROUND((A4116-cfgDefasagem/1440)*48,0))</f>
        <v>0</v>
      </c>
      <c r="E4116" s="26">
        <f>IF(D4116="","",INT((D4116-cfgDeslocamento)/4))</f>
        <v>0</v>
      </c>
      <c r="F4116" s="26">
        <f>IF(D4116="","",MOD(D4116-cfgDeslocamento,4)+1)</f>
        <v>0</v>
      </c>
      <c r="G4116" s="26">
        <f>IF(A4116="","",IF(AND(ISNUMBER(B4116),B4116&lt;&gt;0),1,0))</f>
        <v>0</v>
      </c>
      <c r="H4116" s="25">
        <f>IF(E4116="","",(E4116*4+3+cfgDeslocamento)/48)</f>
        <v>0</v>
      </c>
    </row>
    <row r="4117" spans="1:8">
      <c r="A4117" s="24"/>
      <c r="B4117" s="19"/>
      <c r="C4117" s="25">
        <f>IF(D4117="","",D4117/48)</f>
        <v>0</v>
      </c>
      <c r="D4117" s="26">
        <f>IF(A4117="","",ROUND((A4117-cfgDefasagem/1440)*48,0))</f>
        <v>0</v>
      </c>
      <c r="E4117" s="26">
        <f>IF(D4117="","",INT((D4117-cfgDeslocamento)/4))</f>
        <v>0</v>
      </c>
      <c r="F4117" s="26">
        <f>IF(D4117="","",MOD(D4117-cfgDeslocamento,4)+1)</f>
        <v>0</v>
      </c>
      <c r="G4117" s="26">
        <f>IF(A4117="","",IF(AND(ISNUMBER(B4117),B4117&lt;&gt;0),1,0))</f>
        <v>0</v>
      </c>
      <c r="H4117" s="25">
        <f>IF(E4117="","",(E4117*4+3+cfgDeslocamento)/48)</f>
        <v>0</v>
      </c>
    </row>
    <row r="4118" spans="1:8">
      <c r="A4118" s="24"/>
      <c r="B4118" s="19"/>
      <c r="C4118" s="25">
        <f>IF(D4118="","",D4118/48)</f>
        <v>0</v>
      </c>
      <c r="D4118" s="26">
        <f>IF(A4118="","",ROUND((A4118-cfgDefasagem/1440)*48,0))</f>
        <v>0</v>
      </c>
      <c r="E4118" s="26">
        <f>IF(D4118="","",INT((D4118-cfgDeslocamento)/4))</f>
        <v>0</v>
      </c>
      <c r="F4118" s="26">
        <f>IF(D4118="","",MOD(D4118-cfgDeslocamento,4)+1)</f>
        <v>0</v>
      </c>
      <c r="G4118" s="26">
        <f>IF(A4118="","",IF(AND(ISNUMBER(B4118),B4118&lt;&gt;0),1,0))</f>
        <v>0</v>
      </c>
      <c r="H4118" s="25">
        <f>IF(E4118="","",(E4118*4+3+cfgDeslocamento)/48)</f>
        <v>0</v>
      </c>
    </row>
    <row r="4119" spans="1:8">
      <c r="A4119" s="24"/>
      <c r="B4119" s="19"/>
      <c r="C4119" s="25">
        <f>IF(D4119="","",D4119/48)</f>
        <v>0</v>
      </c>
      <c r="D4119" s="26">
        <f>IF(A4119="","",ROUND((A4119-cfgDefasagem/1440)*48,0))</f>
        <v>0</v>
      </c>
      <c r="E4119" s="26">
        <f>IF(D4119="","",INT((D4119-cfgDeslocamento)/4))</f>
        <v>0</v>
      </c>
      <c r="F4119" s="26">
        <f>IF(D4119="","",MOD(D4119-cfgDeslocamento,4)+1)</f>
        <v>0</v>
      </c>
      <c r="G4119" s="26">
        <f>IF(A4119="","",IF(AND(ISNUMBER(B4119),B4119&lt;&gt;0),1,0))</f>
        <v>0</v>
      </c>
      <c r="H4119" s="25">
        <f>IF(E4119="","",(E4119*4+3+cfgDeslocamento)/48)</f>
        <v>0</v>
      </c>
    </row>
    <row r="4120" spans="1:8">
      <c r="A4120" s="24"/>
      <c r="B4120" s="19"/>
      <c r="C4120" s="25">
        <f>IF(D4120="","",D4120/48)</f>
        <v>0</v>
      </c>
      <c r="D4120" s="26">
        <f>IF(A4120="","",ROUND((A4120-cfgDefasagem/1440)*48,0))</f>
        <v>0</v>
      </c>
      <c r="E4120" s="26">
        <f>IF(D4120="","",INT((D4120-cfgDeslocamento)/4))</f>
        <v>0</v>
      </c>
      <c r="F4120" s="26">
        <f>IF(D4120="","",MOD(D4120-cfgDeslocamento,4)+1)</f>
        <v>0</v>
      </c>
      <c r="G4120" s="26">
        <f>IF(A4120="","",IF(AND(ISNUMBER(B4120),B4120&lt;&gt;0),1,0))</f>
        <v>0</v>
      </c>
      <c r="H4120" s="25">
        <f>IF(E4120="","",(E4120*4+3+cfgDeslocamento)/48)</f>
        <v>0</v>
      </c>
    </row>
    <row r="4121" spans="1:8">
      <c r="A4121" s="24"/>
      <c r="B4121" s="19"/>
      <c r="C4121" s="25">
        <f>IF(D4121="","",D4121/48)</f>
        <v>0</v>
      </c>
      <c r="D4121" s="26">
        <f>IF(A4121="","",ROUND((A4121-cfgDefasagem/1440)*48,0))</f>
        <v>0</v>
      </c>
      <c r="E4121" s="26">
        <f>IF(D4121="","",INT((D4121-cfgDeslocamento)/4))</f>
        <v>0</v>
      </c>
      <c r="F4121" s="26">
        <f>IF(D4121="","",MOD(D4121-cfgDeslocamento,4)+1)</f>
        <v>0</v>
      </c>
      <c r="G4121" s="26">
        <f>IF(A4121="","",IF(AND(ISNUMBER(B4121),B4121&lt;&gt;0),1,0))</f>
        <v>0</v>
      </c>
      <c r="H4121" s="25">
        <f>IF(E4121="","",(E4121*4+3+cfgDeslocamento)/48)</f>
        <v>0</v>
      </c>
    </row>
    <row r="4122" spans="1:8">
      <c r="A4122" s="24"/>
      <c r="B4122" s="19"/>
      <c r="C4122" s="25">
        <f>IF(D4122="","",D4122/48)</f>
        <v>0</v>
      </c>
      <c r="D4122" s="26">
        <f>IF(A4122="","",ROUND((A4122-cfgDefasagem/1440)*48,0))</f>
        <v>0</v>
      </c>
      <c r="E4122" s="26">
        <f>IF(D4122="","",INT((D4122-cfgDeslocamento)/4))</f>
        <v>0</v>
      </c>
      <c r="F4122" s="26">
        <f>IF(D4122="","",MOD(D4122-cfgDeslocamento,4)+1)</f>
        <v>0</v>
      </c>
      <c r="G4122" s="26">
        <f>IF(A4122="","",IF(AND(ISNUMBER(B4122),B4122&lt;&gt;0),1,0))</f>
        <v>0</v>
      </c>
      <c r="H4122" s="25">
        <f>IF(E4122="","",(E4122*4+3+cfgDeslocamento)/48)</f>
        <v>0</v>
      </c>
    </row>
    <row r="4123" spans="1:8">
      <c r="A4123" s="24"/>
      <c r="B4123" s="19"/>
      <c r="C4123" s="25">
        <f>IF(D4123="","",D4123/48)</f>
        <v>0</v>
      </c>
      <c r="D4123" s="26">
        <f>IF(A4123="","",ROUND((A4123-cfgDefasagem/1440)*48,0))</f>
        <v>0</v>
      </c>
      <c r="E4123" s="26">
        <f>IF(D4123="","",INT((D4123-cfgDeslocamento)/4))</f>
        <v>0</v>
      </c>
      <c r="F4123" s="26">
        <f>IF(D4123="","",MOD(D4123-cfgDeslocamento,4)+1)</f>
        <v>0</v>
      </c>
      <c r="G4123" s="26">
        <f>IF(A4123="","",IF(AND(ISNUMBER(B4123),B4123&lt;&gt;0),1,0))</f>
        <v>0</v>
      </c>
      <c r="H4123" s="25">
        <f>IF(E4123="","",(E4123*4+3+cfgDeslocamento)/48)</f>
        <v>0</v>
      </c>
    </row>
    <row r="4124" spans="1:8">
      <c r="A4124" s="24"/>
      <c r="B4124" s="19"/>
      <c r="C4124" s="25">
        <f>IF(D4124="","",D4124/48)</f>
        <v>0</v>
      </c>
      <c r="D4124" s="26">
        <f>IF(A4124="","",ROUND((A4124-cfgDefasagem/1440)*48,0))</f>
        <v>0</v>
      </c>
      <c r="E4124" s="26">
        <f>IF(D4124="","",INT((D4124-cfgDeslocamento)/4))</f>
        <v>0</v>
      </c>
      <c r="F4124" s="26">
        <f>IF(D4124="","",MOD(D4124-cfgDeslocamento,4)+1)</f>
        <v>0</v>
      </c>
      <c r="G4124" s="26">
        <f>IF(A4124="","",IF(AND(ISNUMBER(B4124),B4124&lt;&gt;0),1,0))</f>
        <v>0</v>
      </c>
      <c r="H4124" s="25">
        <f>IF(E4124="","",(E4124*4+3+cfgDeslocamento)/48)</f>
        <v>0</v>
      </c>
    </row>
    <row r="4125" spans="1:8">
      <c r="A4125" s="24"/>
      <c r="B4125" s="19"/>
      <c r="C4125" s="25">
        <f>IF(D4125="","",D4125/48)</f>
        <v>0</v>
      </c>
      <c r="D4125" s="26">
        <f>IF(A4125="","",ROUND((A4125-cfgDefasagem/1440)*48,0))</f>
        <v>0</v>
      </c>
      <c r="E4125" s="26">
        <f>IF(D4125="","",INT((D4125-cfgDeslocamento)/4))</f>
        <v>0</v>
      </c>
      <c r="F4125" s="26">
        <f>IF(D4125="","",MOD(D4125-cfgDeslocamento,4)+1)</f>
        <v>0</v>
      </c>
      <c r="G4125" s="26">
        <f>IF(A4125="","",IF(AND(ISNUMBER(B4125),B4125&lt;&gt;0),1,0))</f>
        <v>0</v>
      </c>
      <c r="H4125" s="25">
        <f>IF(E4125="","",(E4125*4+3+cfgDeslocamento)/48)</f>
        <v>0</v>
      </c>
    </row>
    <row r="4126" spans="1:8">
      <c r="A4126" s="24"/>
      <c r="B4126" s="19"/>
      <c r="C4126" s="25">
        <f>IF(D4126="","",D4126/48)</f>
        <v>0</v>
      </c>
      <c r="D4126" s="26">
        <f>IF(A4126="","",ROUND((A4126-cfgDefasagem/1440)*48,0))</f>
        <v>0</v>
      </c>
      <c r="E4126" s="26">
        <f>IF(D4126="","",INT((D4126-cfgDeslocamento)/4))</f>
        <v>0</v>
      </c>
      <c r="F4126" s="26">
        <f>IF(D4126="","",MOD(D4126-cfgDeslocamento,4)+1)</f>
        <v>0</v>
      </c>
      <c r="G4126" s="26">
        <f>IF(A4126="","",IF(AND(ISNUMBER(B4126),B4126&lt;&gt;0),1,0))</f>
        <v>0</v>
      </c>
      <c r="H4126" s="25">
        <f>IF(E4126="","",(E4126*4+3+cfgDeslocamento)/48)</f>
        <v>0</v>
      </c>
    </row>
    <row r="4127" spans="1:8">
      <c r="A4127" s="24"/>
      <c r="B4127" s="19"/>
      <c r="C4127" s="25">
        <f>IF(D4127="","",D4127/48)</f>
        <v>0</v>
      </c>
      <c r="D4127" s="26">
        <f>IF(A4127="","",ROUND((A4127-cfgDefasagem/1440)*48,0))</f>
        <v>0</v>
      </c>
      <c r="E4127" s="26">
        <f>IF(D4127="","",INT((D4127-cfgDeslocamento)/4))</f>
        <v>0</v>
      </c>
      <c r="F4127" s="26">
        <f>IF(D4127="","",MOD(D4127-cfgDeslocamento,4)+1)</f>
        <v>0</v>
      </c>
      <c r="G4127" s="26">
        <f>IF(A4127="","",IF(AND(ISNUMBER(B4127),B4127&lt;&gt;0),1,0))</f>
        <v>0</v>
      </c>
      <c r="H4127" s="25">
        <f>IF(E4127="","",(E4127*4+3+cfgDeslocamento)/48)</f>
        <v>0</v>
      </c>
    </row>
    <row r="4128" spans="1:8">
      <c r="A4128" s="24"/>
      <c r="B4128" s="19"/>
      <c r="C4128" s="25">
        <f>IF(D4128="","",D4128/48)</f>
        <v>0</v>
      </c>
      <c r="D4128" s="26">
        <f>IF(A4128="","",ROUND((A4128-cfgDefasagem/1440)*48,0))</f>
        <v>0</v>
      </c>
      <c r="E4128" s="26">
        <f>IF(D4128="","",INT((D4128-cfgDeslocamento)/4))</f>
        <v>0</v>
      </c>
      <c r="F4128" s="26">
        <f>IF(D4128="","",MOD(D4128-cfgDeslocamento,4)+1)</f>
        <v>0</v>
      </c>
      <c r="G4128" s="26">
        <f>IF(A4128="","",IF(AND(ISNUMBER(B4128),B4128&lt;&gt;0),1,0))</f>
        <v>0</v>
      </c>
      <c r="H4128" s="25">
        <f>IF(E4128="","",(E4128*4+3+cfgDeslocamento)/48)</f>
        <v>0</v>
      </c>
    </row>
    <row r="4129" spans="1:8">
      <c r="A4129" s="24"/>
      <c r="B4129" s="19"/>
      <c r="C4129" s="25">
        <f>IF(D4129="","",D4129/48)</f>
        <v>0</v>
      </c>
      <c r="D4129" s="26">
        <f>IF(A4129="","",ROUND((A4129-cfgDefasagem/1440)*48,0))</f>
        <v>0</v>
      </c>
      <c r="E4129" s="26">
        <f>IF(D4129="","",INT((D4129-cfgDeslocamento)/4))</f>
        <v>0</v>
      </c>
      <c r="F4129" s="26">
        <f>IF(D4129="","",MOD(D4129-cfgDeslocamento,4)+1)</f>
        <v>0</v>
      </c>
      <c r="G4129" s="26">
        <f>IF(A4129="","",IF(AND(ISNUMBER(B4129),B4129&lt;&gt;0),1,0))</f>
        <v>0</v>
      </c>
      <c r="H4129" s="25">
        <f>IF(E4129="","",(E4129*4+3+cfgDeslocamento)/48)</f>
        <v>0</v>
      </c>
    </row>
    <row r="4130" spans="1:8">
      <c r="A4130" s="24"/>
      <c r="B4130" s="19"/>
      <c r="C4130" s="25">
        <f>IF(D4130="","",D4130/48)</f>
        <v>0</v>
      </c>
      <c r="D4130" s="26">
        <f>IF(A4130="","",ROUND((A4130-cfgDefasagem/1440)*48,0))</f>
        <v>0</v>
      </c>
      <c r="E4130" s="26">
        <f>IF(D4130="","",INT((D4130-cfgDeslocamento)/4))</f>
        <v>0</v>
      </c>
      <c r="F4130" s="26">
        <f>IF(D4130="","",MOD(D4130-cfgDeslocamento,4)+1)</f>
        <v>0</v>
      </c>
      <c r="G4130" s="26">
        <f>IF(A4130="","",IF(AND(ISNUMBER(B4130),B4130&lt;&gt;0),1,0))</f>
        <v>0</v>
      </c>
      <c r="H4130" s="25">
        <f>IF(E4130="","",(E4130*4+3+cfgDeslocamento)/48)</f>
        <v>0</v>
      </c>
    </row>
    <row r="4131" spans="1:8">
      <c r="A4131" s="24"/>
      <c r="B4131" s="19"/>
      <c r="C4131" s="25">
        <f>IF(D4131="","",D4131/48)</f>
        <v>0</v>
      </c>
      <c r="D4131" s="26">
        <f>IF(A4131="","",ROUND((A4131-cfgDefasagem/1440)*48,0))</f>
        <v>0</v>
      </c>
      <c r="E4131" s="26">
        <f>IF(D4131="","",INT((D4131-cfgDeslocamento)/4))</f>
        <v>0</v>
      </c>
      <c r="F4131" s="26">
        <f>IF(D4131="","",MOD(D4131-cfgDeslocamento,4)+1)</f>
        <v>0</v>
      </c>
      <c r="G4131" s="26">
        <f>IF(A4131="","",IF(AND(ISNUMBER(B4131),B4131&lt;&gt;0),1,0))</f>
        <v>0</v>
      </c>
      <c r="H4131" s="25">
        <f>IF(E4131="","",(E4131*4+3+cfgDeslocamento)/48)</f>
        <v>0</v>
      </c>
    </row>
    <row r="4132" spans="1:8">
      <c r="A4132" s="24"/>
      <c r="B4132" s="19"/>
      <c r="C4132" s="25">
        <f>IF(D4132="","",D4132/48)</f>
        <v>0</v>
      </c>
      <c r="D4132" s="26">
        <f>IF(A4132="","",ROUND((A4132-cfgDefasagem/1440)*48,0))</f>
        <v>0</v>
      </c>
      <c r="E4132" s="26">
        <f>IF(D4132="","",INT((D4132-cfgDeslocamento)/4))</f>
        <v>0</v>
      </c>
      <c r="F4132" s="26">
        <f>IF(D4132="","",MOD(D4132-cfgDeslocamento,4)+1)</f>
        <v>0</v>
      </c>
      <c r="G4132" s="26">
        <f>IF(A4132="","",IF(AND(ISNUMBER(B4132),B4132&lt;&gt;0),1,0))</f>
        <v>0</v>
      </c>
      <c r="H4132" s="25">
        <f>IF(E4132="","",(E4132*4+3+cfgDeslocamento)/48)</f>
        <v>0</v>
      </c>
    </row>
    <row r="4133" spans="1:8">
      <c r="A4133" s="24"/>
      <c r="B4133" s="19"/>
      <c r="C4133" s="25">
        <f>IF(D4133="","",D4133/48)</f>
        <v>0</v>
      </c>
      <c r="D4133" s="26">
        <f>IF(A4133="","",ROUND((A4133-cfgDefasagem/1440)*48,0))</f>
        <v>0</v>
      </c>
      <c r="E4133" s="26">
        <f>IF(D4133="","",INT((D4133-cfgDeslocamento)/4))</f>
        <v>0</v>
      </c>
      <c r="F4133" s="26">
        <f>IF(D4133="","",MOD(D4133-cfgDeslocamento,4)+1)</f>
        <v>0</v>
      </c>
      <c r="G4133" s="26">
        <f>IF(A4133="","",IF(AND(ISNUMBER(B4133),B4133&lt;&gt;0),1,0))</f>
        <v>0</v>
      </c>
      <c r="H4133" s="25">
        <f>IF(E4133="","",(E4133*4+3+cfgDeslocamento)/48)</f>
        <v>0</v>
      </c>
    </row>
    <row r="4134" spans="1:8">
      <c r="A4134" s="24"/>
      <c r="B4134" s="19"/>
      <c r="C4134" s="25">
        <f>IF(D4134="","",D4134/48)</f>
        <v>0</v>
      </c>
      <c r="D4134" s="26">
        <f>IF(A4134="","",ROUND((A4134-cfgDefasagem/1440)*48,0))</f>
        <v>0</v>
      </c>
      <c r="E4134" s="26">
        <f>IF(D4134="","",INT((D4134-cfgDeslocamento)/4))</f>
        <v>0</v>
      </c>
      <c r="F4134" s="26">
        <f>IF(D4134="","",MOD(D4134-cfgDeslocamento,4)+1)</f>
        <v>0</v>
      </c>
      <c r="G4134" s="26">
        <f>IF(A4134="","",IF(AND(ISNUMBER(B4134),B4134&lt;&gt;0),1,0))</f>
        <v>0</v>
      </c>
      <c r="H4134" s="25">
        <f>IF(E4134="","",(E4134*4+3+cfgDeslocamento)/48)</f>
        <v>0</v>
      </c>
    </row>
    <row r="4135" spans="1:8">
      <c r="A4135" s="24"/>
      <c r="B4135" s="19"/>
      <c r="C4135" s="25">
        <f>IF(D4135="","",D4135/48)</f>
        <v>0</v>
      </c>
      <c r="D4135" s="26">
        <f>IF(A4135="","",ROUND((A4135-cfgDefasagem/1440)*48,0))</f>
        <v>0</v>
      </c>
      <c r="E4135" s="26">
        <f>IF(D4135="","",INT((D4135-cfgDeslocamento)/4))</f>
        <v>0</v>
      </c>
      <c r="F4135" s="26">
        <f>IF(D4135="","",MOD(D4135-cfgDeslocamento,4)+1)</f>
        <v>0</v>
      </c>
      <c r="G4135" s="26">
        <f>IF(A4135="","",IF(AND(ISNUMBER(B4135),B4135&lt;&gt;0),1,0))</f>
        <v>0</v>
      </c>
      <c r="H4135" s="25">
        <f>IF(E4135="","",(E4135*4+3+cfgDeslocamento)/48)</f>
        <v>0</v>
      </c>
    </row>
    <row r="4136" spans="1:8">
      <c r="A4136" s="24"/>
      <c r="B4136" s="19"/>
      <c r="C4136" s="25">
        <f>IF(D4136="","",D4136/48)</f>
        <v>0</v>
      </c>
      <c r="D4136" s="26">
        <f>IF(A4136="","",ROUND((A4136-cfgDefasagem/1440)*48,0))</f>
        <v>0</v>
      </c>
      <c r="E4136" s="26">
        <f>IF(D4136="","",INT((D4136-cfgDeslocamento)/4))</f>
        <v>0</v>
      </c>
      <c r="F4136" s="26">
        <f>IF(D4136="","",MOD(D4136-cfgDeslocamento,4)+1)</f>
        <v>0</v>
      </c>
      <c r="G4136" s="26">
        <f>IF(A4136="","",IF(AND(ISNUMBER(B4136),B4136&lt;&gt;0),1,0))</f>
        <v>0</v>
      </c>
      <c r="H4136" s="25">
        <f>IF(E4136="","",(E4136*4+3+cfgDeslocamento)/48)</f>
        <v>0</v>
      </c>
    </row>
    <row r="4137" spans="1:8">
      <c r="A4137" s="24"/>
      <c r="B4137" s="19"/>
      <c r="C4137" s="25">
        <f>IF(D4137="","",D4137/48)</f>
        <v>0</v>
      </c>
      <c r="D4137" s="26">
        <f>IF(A4137="","",ROUND((A4137-cfgDefasagem/1440)*48,0))</f>
        <v>0</v>
      </c>
      <c r="E4137" s="26">
        <f>IF(D4137="","",INT((D4137-cfgDeslocamento)/4))</f>
        <v>0</v>
      </c>
      <c r="F4137" s="26">
        <f>IF(D4137="","",MOD(D4137-cfgDeslocamento,4)+1)</f>
        <v>0</v>
      </c>
      <c r="G4137" s="26">
        <f>IF(A4137="","",IF(AND(ISNUMBER(B4137),B4137&lt;&gt;0),1,0))</f>
        <v>0</v>
      </c>
      <c r="H4137" s="25">
        <f>IF(E4137="","",(E4137*4+3+cfgDeslocamento)/48)</f>
        <v>0</v>
      </c>
    </row>
    <row r="4138" spans="1:8">
      <c r="A4138" s="24"/>
      <c r="B4138" s="19"/>
      <c r="C4138" s="25">
        <f>IF(D4138="","",D4138/48)</f>
        <v>0</v>
      </c>
      <c r="D4138" s="26">
        <f>IF(A4138="","",ROUND((A4138-cfgDefasagem/1440)*48,0))</f>
        <v>0</v>
      </c>
      <c r="E4138" s="26">
        <f>IF(D4138="","",INT((D4138-cfgDeslocamento)/4))</f>
        <v>0</v>
      </c>
      <c r="F4138" s="26">
        <f>IF(D4138="","",MOD(D4138-cfgDeslocamento,4)+1)</f>
        <v>0</v>
      </c>
      <c r="G4138" s="26">
        <f>IF(A4138="","",IF(AND(ISNUMBER(B4138),B4138&lt;&gt;0),1,0))</f>
        <v>0</v>
      </c>
      <c r="H4138" s="25">
        <f>IF(E4138="","",(E4138*4+3+cfgDeslocamento)/48)</f>
        <v>0</v>
      </c>
    </row>
    <row r="4139" spans="1:8">
      <c r="A4139" s="24"/>
      <c r="B4139" s="19"/>
      <c r="C4139" s="25">
        <f>IF(D4139="","",D4139/48)</f>
        <v>0</v>
      </c>
      <c r="D4139" s="26">
        <f>IF(A4139="","",ROUND((A4139-cfgDefasagem/1440)*48,0))</f>
        <v>0</v>
      </c>
      <c r="E4139" s="26">
        <f>IF(D4139="","",INT((D4139-cfgDeslocamento)/4))</f>
        <v>0</v>
      </c>
      <c r="F4139" s="26">
        <f>IF(D4139="","",MOD(D4139-cfgDeslocamento,4)+1)</f>
        <v>0</v>
      </c>
      <c r="G4139" s="26">
        <f>IF(A4139="","",IF(AND(ISNUMBER(B4139),B4139&lt;&gt;0),1,0))</f>
        <v>0</v>
      </c>
      <c r="H4139" s="25">
        <f>IF(E4139="","",(E4139*4+3+cfgDeslocamento)/48)</f>
        <v>0</v>
      </c>
    </row>
    <row r="4140" spans="1:8">
      <c r="A4140" s="24"/>
      <c r="B4140" s="19"/>
      <c r="C4140" s="25">
        <f>IF(D4140="","",D4140/48)</f>
        <v>0</v>
      </c>
      <c r="D4140" s="26">
        <f>IF(A4140="","",ROUND((A4140-cfgDefasagem/1440)*48,0))</f>
        <v>0</v>
      </c>
      <c r="E4140" s="26">
        <f>IF(D4140="","",INT((D4140-cfgDeslocamento)/4))</f>
        <v>0</v>
      </c>
      <c r="F4140" s="26">
        <f>IF(D4140="","",MOD(D4140-cfgDeslocamento,4)+1)</f>
        <v>0</v>
      </c>
      <c r="G4140" s="26">
        <f>IF(A4140="","",IF(AND(ISNUMBER(B4140),B4140&lt;&gt;0),1,0))</f>
        <v>0</v>
      </c>
      <c r="H4140" s="25">
        <f>IF(E4140="","",(E4140*4+3+cfgDeslocamento)/48)</f>
        <v>0</v>
      </c>
    </row>
    <row r="4141" spans="1:8">
      <c r="A4141" s="24"/>
      <c r="B4141" s="19"/>
      <c r="C4141" s="25">
        <f>IF(D4141="","",D4141/48)</f>
        <v>0</v>
      </c>
      <c r="D4141" s="26">
        <f>IF(A4141="","",ROUND((A4141-cfgDefasagem/1440)*48,0))</f>
        <v>0</v>
      </c>
      <c r="E4141" s="26">
        <f>IF(D4141="","",INT((D4141-cfgDeslocamento)/4))</f>
        <v>0</v>
      </c>
      <c r="F4141" s="26">
        <f>IF(D4141="","",MOD(D4141-cfgDeslocamento,4)+1)</f>
        <v>0</v>
      </c>
      <c r="G4141" s="26">
        <f>IF(A4141="","",IF(AND(ISNUMBER(B4141),B4141&lt;&gt;0),1,0))</f>
        <v>0</v>
      </c>
      <c r="H4141" s="25">
        <f>IF(E4141="","",(E4141*4+3+cfgDeslocamento)/48)</f>
        <v>0</v>
      </c>
    </row>
    <row r="4142" spans="1:8">
      <c r="A4142" s="24"/>
      <c r="B4142" s="19"/>
      <c r="C4142" s="25">
        <f>IF(D4142="","",D4142/48)</f>
        <v>0</v>
      </c>
      <c r="D4142" s="26">
        <f>IF(A4142="","",ROUND((A4142-cfgDefasagem/1440)*48,0))</f>
        <v>0</v>
      </c>
      <c r="E4142" s="26">
        <f>IF(D4142="","",INT((D4142-cfgDeslocamento)/4))</f>
        <v>0</v>
      </c>
      <c r="F4142" s="26">
        <f>IF(D4142="","",MOD(D4142-cfgDeslocamento,4)+1)</f>
        <v>0</v>
      </c>
      <c r="G4142" s="26">
        <f>IF(A4142="","",IF(AND(ISNUMBER(B4142),B4142&lt;&gt;0),1,0))</f>
        <v>0</v>
      </c>
      <c r="H4142" s="25">
        <f>IF(E4142="","",(E4142*4+3+cfgDeslocamento)/48)</f>
        <v>0</v>
      </c>
    </row>
    <row r="4143" spans="1:8">
      <c r="A4143" s="24"/>
      <c r="B4143" s="19"/>
      <c r="C4143" s="25">
        <f>IF(D4143="","",D4143/48)</f>
        <v>0</v>
      </c>
      <c r="D4143" s="26">
        <f>IF(A4143="","",ROUND((A4143-cfgDefasagem/1440)*48,0))</f>
        <v>0</v>
      </c>
      <c r="E4143" s="26">
        <f>IF(D4143="","",INT((D4143-cfgDeslocamento)/4))</f>
        <v>0</v>
      </c>
      <c r="F4143" s="26">
        <f>IF(D4143="","",MOD(D4143-cfgDeslocamento,4)+1)</f>
        <v>0</v>
      </c>
      <c r="G4143" s="26">
        <f>IF(A4143="","",IF(AND(ISNUMBER(B4143),B4143&lt;&gt;0),1,0))</f>
        <v>0</v>
      </c>
      <c r="H4143" s="25">
        <f>IF(E4143="","",(E4143*4+3+cfgDeslocamento)/48)</f>
        <v>0</v>
      </c>
    </row>
    <row r="4144" spans="1:8">
      <c r="A4144" s="24"/>
      <c r="B4144" s="19"/>
      <c r="C4144" s="25">
        <f>IF(D4144="","",D4144/48)</f>
        <v>0</v>
      </c>
      <c r="D4144" s="26">
        <f>IF(A4144="","",ROUND((A4144-cfgDefasagem/1440)*48,0))</f>
        <v>0</v>
      </c>
      <c r="E4144" s="26">
        <f>IF(D4144="","",INT((D4144-cfgDeslocamento)/4))</f>
        <v>0</v>
      </c>
      <c r="F4144" s="26">
        <f>IF(D4144="","",MOD(D4144-cfgDeslocamento,4)+1)</f>
        <v>0</v>
      </c>
      <c r="G4144" s="26">
        <f>IF(A4144="","",IF(AND(ISNUMBER(B4144),B4144&lt;&gt;0),1,0))</f>
        <v>0</v>
      </c>
      <c r="H4144" s="25">
        <f>IF(E4144="","",(E4144*4+3+cfgDeslocamento)/48)</f>
        <v>0</v>
      </c>
    </row>
    <row r="4145" spans="1:8">
      <c r="A4145" s="24"/>
      <c r="B4145" s="19"/>
      <c r="C4145" s="25">
        <f>IF(D4145="","",D4145/48)</f>
        <v>0</v>
      </c>
      <c r="D4145" s="26">
        <f>IF(A4145="","",ROUND((A4145-cfgDefasagem/1440)*48,0))</f>
        <v>0</v>
      </c>
      <c r="E4145" s="26">
        <f>IF(D4145="","",INT((D4145-cfgDeslocamento)/4))</f>
        <v>0</v>
      </c>
      <c r="F4145" s="26">
        <f>IF(D4145="","",MOD(D4145-cfgDeslocamento,4)+1)</f>
        <v>0</v>
      </c>
      <c r="G4145" s="26">
        <f>IF(A4145="","",IF(AND(ISNUMBER(B4145),B4145&lt;&gt;0),1,0))</f>
        <v>0</v>
      </c>
      <c r="H4145" s="25">
        <f>IF(E4145="","",(E4145*4+3+cfgDeslocamento)/48)</f>
        <v>0</v>
      </c>
    </row>
    <row r="4146" spans="1:8">
      <c r="A4146" s="24"/>
      <c r="B4146" s="19"/>
      <c r="C4146" s="25">
        <f>IF(D4146="","",D4146/48)</f>
        <v>0</v>
      </c>
      <c r="D4146" s="26">
        <f>IF(A4146="","",ROUND((A4146-cfgDefasagem/1440)*48,0))</f>
        <v>0</v>
      </c>
      <c r="E4146" s="26">
        <f>IF(D4146="","",INT((D4146-cfgDeslocamento)/4))</f>
        <v>0</v>
      </c>
      <c r="F4146" s="26">
        <f>IF(D4146="","",MOD(D4146-cfgDeslocamento,4)+1)</f>
        <v>0</v>
      </c>
      <c r="G4146" s="26">
        <f>IF(A4146="","",IF(AND(ISNUMBER(B4146),B4146&lt;&gt;0),1,0))</f>
        <v>0</v>
      </c>
      <c r="H4146" s="25">
        <f>IF(E4146="","",(E4146*4+3+cfgDeslocamento)/48)</f>
        <v>0</v>
      </c>
    </row>
    <row r="4147" spans="1:8">
      <c r="A4147" s="24"/>
      <c r="B4147" s="19"/>
      <c r="C4147" s="25">
        <f>IF(D4147="","",D4147/48)</f>
        <v>0</v>
      </c>
      <c r="D4147" s="26">
        <f>IF(A4147="","",ROUND((A4147-cfgDefasagem/1440)*48,0))</f>
        <v>0</v>
      </c>
      <c r="E4147" s="26">
        <f>IF(D4147="","",INT((D4147-cfgDeslocamento)/4))</f>
        <v>0</v>
      </c>
      <c r="F4147" s="26">
        <f>IF(D4147="","",MOD(D4147-cfgDeslocamento,4)+1)</f>
        <v>0</v>
      </c>
      <c r="G4147" s="26">
        <f>IF(A4147="","",IF(AND(ISNUMBER(B4147),B4147&lt;&gt;0),1,0))</f>
        <v>0</v>
      </c>
      <c r="H4147" s="25">
        <f>IF(E4147="","",(E4147*4+3+cfgDeslocamento)/48)</f>
        <v>0</v>
      </c>
    </row>
    <row r="4148" spans="1:8">
      <c r="A4148" s="24"/>
      <c r="B4148" s="19"/>
      <c r="C4148" s="25">
        <f>IF(D4148="","",D4148/48)</f>
        <v>0</v>
      </c>
      <c r="D4148" s="26">
        <f>IF(A4148="","",ROUND((A4148-cfgDefasagem/1440)*48,0))</f>
        <v>0</v>
      </c>
      <c r="E4148" s="26">
        <f>IF(D4148="","",INT((D4148-cfgDeslocamento)/4))</f>
        <v>0</v>
      </c>
      <c r="F4148" s="26">
        <f>IF(D4148="","",MOD(D4148-cfgDeslocamento,4)+1)</f>
        <v>0</v>
      </c>
      <c r="G4148" s="26">
        <f>IF(A4148="","",IF(AND(ISNUMBER(B4148),B4148&lt;&gt;0),1,0))</f>
        <v>0</v>
      </c>
      <c r="H4148" s="25">
        <f>IF(E4148="","",(E4148*4+3+cfgDeslocamento)/48)</f>
        <v>0</v>
      </c>
    </row>
    <row r="4149" spans="1:8">
      <c r="A4149" s="24"/>
      <c r="B4149" s="19"/>
      <c r="C4149" s="25">
        <f>IF(D4149="","",D4149/48)</f>
        <v>0</v>
      </c>
      <c r="D4149" s="26">
        <f>IF(A4149="","",ROUND((A4149-cfgDefasagem/1440)*48,0))</f>
        <v>0</v>
      </c>
      <c r="E4149" s="26">
        <f>IF(D4149="","",INT((D4149-cfgDeslocamento)/4))</f>
        <v>0</v>
      </c>
      <c r="F4149" s="26">
        <f>IF(D4149="","",MOD(D4149-cfgDeslocamento,4)+1)</f>
        <v>0</v>
      </c>
      <c r="G4149" s="26">
        <f>IF(A4149="","",IF(AND(ISNUMBER(B4149),B4149&lt;&gt;0),1,0))</f>
        <v>0</v>
      </c>
      <c r="H4149" s="25">
        <f>IF(E4149="","",(E4149*4+3+cfgDeslocamento)/48)</f>
        <v>0</v>
      </c>
    </row>
    <row r="4150" spans="1:8">
      <c r="A4150" s="24"/>
      <c r="B4150" s="19"/>
      <c r="C4150" s="25">
        <f>IF(D4150="","",D4150/48)</f>
        <v>0</v>
      </c>
      <c r="D4150" s="26">
        <f>IF(A4150="","",ROUND((A4150-cfgDefasagem/1440)*48,0))</f>
        <v>0</v>
      </c>
      <c r="E4150" s="26">
        <f>IF(D4150="","",INT((D4150-cfgDeslocamento)/4))</f>
        <v>0</v>
      </c>
      <c r="F4150" s="26">
        <f>IF(D4150="","",MOD(D4150-cfgDeslocamento,4)+1)</f>
        <v>0</v>
      </c>
      <c r="G4150" s="26">
        <f>IF(A4150="","",IF(AND(ISNUMBER(B4150),B4150&lt;&gt;0),1,0))</f>
        <v>0</v>
      </c>
      <c r="H4150" s="25">
        <f>IF(E4150="","",(E4150*4+3+cfgDeslocamento)/48)</f>
        <v>0</v>
      </c>
    </row>
    <row r="4151" spans="1:8">
      <c r="A4151" s="24"/>
      <c r="B4151" s="19"/>
      <c r="C4151" s="25">
        <f>IF(D4151="","",D4151/48)</f>
        <v>0</v>
      </c>
      <c r="D4151" s="26">
        <f>IF(A4151="","",ROUND((A4151-cfgDefasagem/1440)*48,0))</f>
        <v>0</v>
      </c>
      <c r="E4151" s="26">
        <f>IF(D4151="","",INT((D4151-cfgDeslocamento)/4))</f>
        <v>0</v>
      </c>
      <c r="F4151" s="26">
        <f>IF(D4151="","",MOD(D4151-cfgDeslocamento,4)+1)</f>
        <v>0</v>
      </c>
      <c r="G4151" s="26">
        <f>IF(A4151="","",IF(AND(ISNUMBER(B4151),B4151&lt;&gt;0),1,0))</f>
        <v>0</v>
      </c>
      <c r="H4151" s="25">
        <f>IF(E4151="","",(E4151*4+3+cfgDeslocamento)/48)</f>
        <v>0</v>
      </c>
    </row>
    <row r="4152" spans="1:8">
      <c r="A4152" s="24"/>
      <c r="B4152" s="19"/>
      <c r="C4152" s="25">
        <f>IF(D4152="","",D4152/48)</f>
        <v>0</v>
      </c>
      <c r="D4152" s="26">
        <f>IF(A4152="","",ROUND((A4152-cfgDefasagem/1440)*48,0))</f>
        <v>0</v>
      </c>
      <c r="E4152" s="26">
        <f>IF(D4152="","",INT((D4152-cfgDeslocamento)/4))</f>
        <v>0</v>
      </c>
      <c r="F4152" s="26">
        <f>IF(D4152="","",MOD(D4152-cfgDeslocamento,4)+1)</f>
        <v>0</v>
      </c>
      <c r="G4152" s="26">
        <f>IF(A4152="","",IF(AND(ISNUMBER(B4152),B4152&lt;&gt;0),1,0))</f>
        <v>0</v>
      </c>
      <c r="H4152" s="25">
        <f>IF(E4152="","",(E4152*4+3+cfgDeslocamento)/48)</f>
        <v>0</v>
      </c>
    </row>
    <row r="4153" spans="1:8">
      <c r="A4153" s="24"/>
      <c r="B4153" s="19"/>
      <c r="C4153" s="25">
        <f>IF(D4153="","",D4153/48)</f>
        <v>0</v>
      </c>
      <c r="D4153" s="26">
        <f>IF(A4153="","",ROUND((A4153-cfgDefasagem/1440)*48,0))</f>
        <v>0</v>
      </c>
      <c r="E4153" s="26">
        <f>IF(D4153="","",INT((D4153-cfgDeslocamento)/4))</f>
        <v>0</v>
      </c>
      <c r="F4153" s="26">
        <f>IF(D4153="","",MOD(D4153-cfgDeslocamento,4)+1)</f>
        <v>0</v>
      </c>
      <c r="G4153" s="26">
        <f>IF(A4153="","",IF(AND(ISNUMBER(B4153),B4153&lt;&gt;0),1,0))</f>
        <v>0</v>
      </c>
      <c r="H4153" s="25">
        <f>IF(E4153="","",(E4153*4+3+cfgDeslocamento)/48)</f>
        <v>0</v>
      </c>
    </row>
    <row r="4154" spans="1:8">
      <c r="A4154" s="24"/>
      <c r="B4154" s="19"/>
      <c r="C4154" s="25">
        <f>IF(D4154="","",D4154/48)</f>
        <v>0</v>
      </c>
      <c r="D4154" s="26">
        <f>IF(A4154="","",ROUND((A4154-cfgDefasagem/1440)*48,0))</f>
        <v>0</v>
      </c>
      <c r="E4154" s="26">
        <f>IF(D4154="","",INT((D4154-cfgDeslocamento)/4))</f>
        <v>0</v>
      </c>
      <c r="F4154" s="26">
        <f>IF(D4154="","",MOD(D4154-cfgDeslocamento,4)+1)</f>
        <v>0</v>
      </c>
      <c r="G4154" s="26">
        <f>IF(A4154="","",IF(AND(ISNUMBER(B4154),B4154&lt;&gt;0),1,0))</f>
        <v>0</v>
      </c>
      <c r="H4154" s="25">
        <f>IF(E4154="","",(E4154*4+3+cfgDeslocamento)/48)</f>
        <v>0</v>
      </c>
    </row>
    <row r="4155" spans="1:8">
      <c r="A4155" s="24"/>
      <c r="B4155" s="19"/>
      <c r="C4155" s="25">
        <f>IF(D4155="","",D4155/48)</f>
        <v>0</v>
      </c>
      <c r="D4155" s="26">
        <f>IF(A4155="","",ROUND((A4155-cfgDefasagem/1440)*48,0))</f>
        <v>0</v>
      </c>
      <c r="E4155" s="26">
        <f>IF(D4155="","",INT((D4155-cfgDeslocamento)/4))</f>
        <v>0</v>
      </c>
      <c r="F4155" s="26">
        <f>IF(D4155="","",MOD(D4155-cfgDeslocamento,4)+1)</f>
        <v>0</v>
      </c>
      <c r="G4155" s="26">
        <f>IF(A4155="","",IF(AND(ISNUMBER(B4155),B4155&lt;&gt;0),1,0))</f>
        <v>0</v>
      </c>
      <c r="H4155" s="25">
        <f>IF(E4155="","",(E4155*4+3+cfgDeslocamento)/48)</f>
        <v>0</v>
      </c>
    </row>
    <row r="4156" spans="1:8">
      <c r="A4156" s="24"/>
      <c r="B4156" s="19"/>
      <c r="C4156" s="25">
        <f>IF(D4156="","",D4156/48)</f>
        <v>0</v>
      </c>
      <c r="D4156" s="26">
        <f>IF(A4156="","",ROUND((A4156-cfgDefasagem/1440)*48,0))</f>
        <v>0</v>
      </c>
      <c r="E4156" s="26">
        <f>IF(D4156="","",INT((D4156-cfgDeslocamento)/4))</f>
        <v>0</v>
      </c>
      <c r="F4156" s="26">
        <f>IF(D4156="","",MOD(D4156-cfgDeslocamento,4)+1)</f>
        <v>0</v>
      </c>
      <c r="G4156" s="26">
        <f>IF(A4156="","",IF(AND(ISNUMBER(B4156),B4156&lt;&gt;0),1,0))</f>
        <v>0</v>
      </c>
      <c r="H4156" s="25">
        <f>IF(E4156="","",(E4156*4+3+cfgDeslocamento)/48)</f>
        <v>0</v>
      </c>
    </row>
    <row r="4157" spans="1:8">
      <c r="A4157" s="24"/>
      <c r="B4157" s="19"/>
      <c r="C4157" s="25">
        <f>IF(D4157="","",D4157/48)</f>
        <v>0</v>
      </c>
      <c r="D4157" s="26">
        <f>IF(A4157="","",ROUND((A4157-cfgDefasagem/1440)*48,0))</f>
        <v>0</v>
      </c>
      <c r="E4157" s="26">
        <f>IF(D4157="","",INT((D4157-cfgDeslocamento)/4))</f>
        <v>0</v>
      </c>
      <c r="F4157" s="26">
        <f>IF(D4157="","",MOD(D4157-cfgDeslocamento,4)+1)</f>
        <v>0</v>
      </c>
      <c r="G4157" s="26">
        <f>IF(A4157="","",IF(AND(ISNUMBER(B4157),B4157&lt;&gt;0),1,0))</f>
        <v>0</v>
      </c>
      <c r="H4157" s="25">
        <f>IF(E4157="","",(E4157*4+3+cfgDeslocamento)/48)</f>
        <v>0</v>
      </c>
    </row>
    <row r="4158" spans="1:8">
      <c r="A4158" s="24"/>
      <c r="B4158" s="19"/>
      <c r="C4158" s="25">
        <f>IF(D4158="","",D4158/48)</f>
        <v>0</v>
      </c>
      <c r="D4158" s="26">
        <f>IF(A4158="","",ROUND((A4158-cfgDefasagem/1440)*48,0))</f>
        <v>0</v>
      </c>
      <c r="E4158" s="26">
        <f>IF(D4158="","",INT((D4158-cfgDeslocamento)/4))</f>
        <v>0</v>
      </c>
      <c r="F4158" s="26">
        <f>IF(D4158="","",MOD(D4158-cfgDeslocamento,4)+1)</f>
        <v>0</v>
      </c>
      <c r="G4158" s="26">
        <f>IF(A4158="","",IF(AND(ISNUMBER(B4158),B4158&lt;&gt;0),1,0))</f>
        <v>0</v>
      </c>
      <c r="H4158" s="25">
        <f>IF(E4158="","",(E4158*4+3+cfgDeslocamento)/48)</f>
        <v>0</v>
      </c>
    </row>
    <row r="4159" spans="1:8">
      <c r="A4159" s="24"/>
      <c r="B4159" s="19"/>
      <c r="C4159" s="25">
        <f>IF(D4159="","",D4159/48)</f>
        <v>0</v>
      </c>
      <c r="D4159" s="26">
        <f>IF(A4159="","",ROUND((A4159-cfgDefasagem/1440)*48,0))</f>
        <v>0</v>
      </c>
      <c r="E4159" s="26">
        <f>IF(D4159="","",INT((D4159-cfgDeslocamento)/4))</f>
        <v>0</v>
      </c>
      <c r="F4159" s="26">
        <f>IF(D4159="","",MOD(D4159-cfgDeslocamento,4)+1)</f>
        <v>0</v>
      </c>
      <c r="G4159" s="26">
        <f>IF(A4159="","",IF(AND(ISNUMBER(B4159),B4159&lt;&gt;0),1,0))</f>
        <v>0</v>
      </c>
      <c r="H4159" s="25">
        <f>IF(E4159="","",(E4159*4+3+cfgDeslocamento)/48)</f>
        <v>0</v>
      </c>
    </row>
    <row r="4160" spans="1:8">
      <c r="A4160" s="24"/>
      <c r="B4160" s="19"/>
      <c r="C4160" s="25">
        <f>IF(D4160="","",D4160/48)</f>
        <v>0</v>
      </c>
      <c r="D4160" s="26">
        <f>IF(A4160="","",ROUND((A4160-cfgDefasagem/1440)*48,0))</f>
        <v>0</v>
      </c>
      <c r="E4160" s="26">
        <f>IF(D4160="","",INT((D4160-cfgDeslocamento)/4))</f>
        <v>0</v>
      </c>
      <c r="F4160" s="26">
        <f>IF(D4160="","",MOD(D4160-cfgDeslocamento,4)+1)</f>
        <v>0</v>
      </c>
      <c r="G4160" s="26">
        <f>IF(A4160="","",IF(AND(ISNUMBER(B4160),B4160&lt;&gt;0),1,0))</f>
        <v>0</v>
      </c>
      <c r="H4160" s="25">
        <f>IF(E4160="","",(E4160*4+3+cfgDeslocamento)/48)</f>
        <v>0</v>
      </c>
    </row>
    <row r="4161" spans="1:8">
      <c r="A4161" s="24"/>
      <c r="B4161" s="19"/>
      <c r="C4161" s="25">
        <f>IF(D4161="","",D4161/48)</f>
        <v>0</v>
      </c>
      <c r="D4161" s="26">
        <f>IF(A4161="","",ROUND((A4161-cfgDefasagem/1440)*48,0))</f>
        <v>0</v>
      </c>
      <c r="E4161" s="26">
        <f>IF(D4161="","",INT((D4161-cfgDeslocamento)/4))</f>
        <v>0</v>
      </c>
      <c r="F4161" s="26">
        <f>IF(D4161="","",MOD(D4161-cfgDeslocamento,4)+1)</f>
        <v>0</v>
      </c>
      <c r="G4161" s="26">
        <f>IF(A4161="","",IF(AND(ISNUMBER(B4161),B4161&lt;&gt;0),1,0))</f>
        <v>0</v>
      </c>
      <c r="H4161" s="25">
        <f>IF(E4161="","",(E4161*4+3+cfgDeslocamento)/48)</f>
        <v>0</v>
      </c>
    </row>
    <row r="4162" spans="1:8">
      <c r="A4162" s="24"/>
      <c r="B4162" s="19"/>
      <c r="C4162" s="25">
        <f>IF(D4162="","",D4162/48)</f>
        <v>0</v>
      </c>
      <c r="D4162" s="26">
        <f>IF(A4162="","",ROUND((A4162-cfgDefasagem/1440)*48,0))</f>
        <v>0</v>
      </c>
      <c r="E4162" s="26">
        <f>IF(D4162="","",INT((D4162-cfgDeslocamento)/4))</f>
        <v>0</v>
      </c>
      <c r="F4162" s="26">
        <f>IF(D4162="","",MOD(D4162-cfgDeslocamento,4)+1)</f>
        <v>0</v>
      </c>
      <c r="G4162" s="26">
        <f>IF(A4162="","",IF(AND(ISNUMBER(B4162),B4162&lt;&gt;0),1,0))</f>
        <v>0</v>
      </c>
      <c r="H4162" s="25">
        <f>IF(E4162="","",(E4162*4+3+cfgDeslocamento)/48)</f>
        <v>0</v>
      </c>
    </row>
    <row r="4163" spans="1:8">
      <c r="A4163" s="24"/>
      <c r="B4163" s="19"/>
      <c r="C4163" s="25">
        <f>IF(D4163="","",D4163/48)</f>
        <v>0</v>
      </c>
      <c r="D4163" s="26">
        <f>IF(A4163="","",ROUND((A4163-cfgDefasagem/1440)*48,0))</f>
        <v>0</v>
      </c>
      <c r="E4163" s="26">
        <f>IF(D4163="","",INT((D4163-cfgDeslocamento)/4))</f>
        <v>0</v>
      </c>
      <c r="F4163" s="26">
        <f>IF(D4163="","",MOD(D4163-cfgDeslocamento,4)+1)</f>
        <v>0</v>
      </c>
      <c r="G4163" s="26">
        <f>IF(A4163="","",IF(AND(ISNUMBER(B4163),B4163&lt;&gt;0),1,0))</f>
        <v>0</v>
      </c>
      <c r="H4163" s="25">
        <f>IF(E4163="","",(E4163*4+3+cfgDeslocamento)/48)</f>
        <v>0</v>
      </c>
    </row>
    <row r="4164" spans="1:8">
      <c r="A4164" s="24"/>
      <c r="B4164" s="19"/>
      <c r="C4164" s="25">
        <f>IF(D4164="","",D4164/48)</f>
        <v>0</v>
      </c>
      <c r="D4164" s="26">
        <f>IF(A4164="","",ROUND((A4164-cfgDefasagem/1440)*48,0))</f>
        <v>0</v>
      </c>
      <c r="E4164" s="26">
        <f>IF(D4164="","",INT((D4164-cfgDeslocamento)/4))</f>
        <v>0</v>
      </c>
      <c r="F4164" s="26">
        <f>IF(D4164="","",MOD(D4164-cfgDeslocamento,4)+1)</f>
        <v>0</v>
      </c>
      <c r="G4164" s="26">
        <f>IF(A4164="","",IF(AND(ISNUMBER(B4164),B4164&lt;&gt;0),1,0))</f>
        <v>0</v>
      </c>
      <c r="H4164" s="25">
        <f>IF(E4164="","",(E4164*4+3+cfgDeslocamento)/48)</f>
        <v>0</v>
      </c>
    </row>
    <row r="4165" spans="1:8">
      <c r="A4165" s="24"/>
      <c r="B4165" s="19"/>
      <c r="C4165" s="25">
        <f>IF(D4165="","",D4165/48)</f>
        <v>0</v>
      </c>
      <c r="D4165" s="26">
        <f>IF(A4165="","",ROUND((A4165-cfgDefasagem/1440)*48,0))</f>
        <v>0</v>
      </c>
      <c r="E4165" s="26">
        <f>IF(D4165="","",INT((D4165-cfgDeslocamento)/4))</f>
        <v>0</v>
      </c>
      <c r="F4165" s="26">
        <f>IF(D4165="","",MOD(D4165-cfgDeslocamento,4)+1)</f>
        <v>0</v>
      </c>
      <c r="G4165" s="26">
        <f>IF(A4165="","",IF(AND(ISNUMBER(B4165),B4165&lt;&gt;0),1,0))</f>
        <v>0</v>
      </c>
      <c r="H4165" s="25">
        <f>IF(E4165="","",(E4165*4+3+cfgDeslocamento)/48)</f>
        <v>0</v>
      </c>
    </row>
    <row r="4166" spans="1:8">
      <c r="A4166" s="24"/>
      <c r="B4166" s="19"/>
      <c r="C4166" s="25">
        <f>IF(D4166="","",D4166/48)</f>
        <v>0</v>
      </c>
      <c r="D4166" s="26">
        <f>IF(A4166="","",ROUND((A4166-cfgDefasagem/1440)*48,0))</f>
        <v>0</v>
      </c>
      <c r="E4166" s="26">
        <f>IF(D4166="","",INT((D4166-cfgDeslocamento)/4))</f>
        <v>0</v>
      </c>
      <c r="F4166" s="26">
        <f>IF(D4166="","",MOD(D4166-cfgDeslocamento,4)+1)</f>
        <v>0</v>
      </c>
      <c r="G4166" s="26">
        <f>IF(A4166="","",IF(AND(ISNUMBER(B4166),B4166&lt;&gt;0),1,0))</f>
        <v>0</v>
      </c>
      <c r="H4166" s="25">
        <f>IF(E4166="","",(E4166*4+3+cfgDeslocamento)/48)</f>
        <v>0</v>
      </c>
    </row>
    <row r="4167" spans="1:8">
      <c r="A4167" s="24"/>
      <c r="B4167" s="19"/>
      <c r="C4167" s="25">
        <f>IF(D4167="","",D4167/48)</f>
        <v>0</v>
      </c>
      <c r="D4167" s="26">
        <f>IF(A4167="","",ROUND((A4167-cfgDefasagem/1440)*48,0))</f>
        <v>0</v>
      </c>
      <c r="E4167" s="26">
        <f>IF(D4167="","",INT((D4167-cfgDeslocamento)/4))</f>
        <v>0</v>
      </c>
      <c r="F4167" s="26">
        <f>IF(D4167="","",MOD(D4167-cfgDeslocamento,4)+1)</f>
        <v>0</v>
      </c>
      <c r="G4167" s="26">
        <f>IF(A4167="","",IF(AND(ISNUMBER(B4167),B4167&lt;&gt;0),1,0))</f>
        <v>0</v>
      </c>
      <c r="H4167" s="25">
        <f>IF(E4167="","",(E4167*4+3+cfgDeslocamento)/48)</f>
        <v>0</v>
      </c>
    </row>
    <row r="4168" spans="1:8">
      <c r="A4168" s="24"/>
      <c r="B4168" s="19"/>
      <c r="C4168" s="25">
        <f>IF(D4168="","",D4168/48)</f>
        <v>0</v>
      </c>
      <c r="D4168" s="26">
        <f>IF(A4168="","",ROUND((A4168-cfgDefasagem/1440)*48,0))</f>
        <v>0</v>
      </c>
      <c r="E4168" s="26">
        <f>IF(D4168="","",INT((D4168-cfgDeslocamento)/4))</f>
        <v>0</v>
      </c>
      <c r="F4168" s="26">
        <f>IF(D4168="","",MOD(D4168-cfgDeslocamento,4)+1)</f>
        <v>0</v>
      </c>
      <c r="G4168" s="26">
        <f>IF(A4168="","",IF(AND(ISNUMBER(B4168),B4168&lt;&gt;0),1,0))</f>
        <v>0</v>
      </c>
      <c r="H4168" s="25">
        <f>IF(E4168="","",(E4168*4+3+cfgDeslocamento)/48)</f>
        <v>0</v>
      </c>
    </row>
    <row r="4169" spans="1:8">
      <c r="A4169" s="24"/>
      <c r="B4169" s="19"/>
      <c r="C4169" s="25">
        <f>IF(D4169="","",D4169/48)</f>
        <v>0</v>
      </c>
      <c r="D4169" s="26">
        <f>IF(A4169="","",ROUND((A4169-cfgDefasagem/1440)*48,0))</f>
        <v>0</v>
      </c>
      <c r="E4169" s="26">
        <f>IF(D4169="","",INT((D4169-cfgDeslocamento)/4))</f>
        <v>0</v>
      </c>
      <c r="F4169" s="26">
        <f>IF(D4169="","",MOD(D4169-cfgDeslocamento,4)+1)</f>
        <v>0</v>
      </c>
      <c r="G4169" s="26">
        <f>IF(A4169="","",IF(AND(ISNUMBER(B4169),B4169&lt;&gt;0),1,0))</f>
        <v>0</v>
      </c>
      <c r="H4169" s="25">
        <f>IF(E4169="","",(E4169*4+3+cfgDeslocamento)/48)</f>
        <v>0</v>
      </c>
    </row>
    <row r="4170" spans="1:8">
      <c r="A4170" s="24"/>
      <c r="B4170" s="19"/>
      <c r="C4170" s="25">
        <f>IF(D4170="","",D4170/48)</f>
        <v>0</v>
      </c>
      <c r="D4170" s="26">
        <f>IF(A4170="","",ROUND((A4170-cfgDefasagem/1440)*48,0))</f>
        <v>0</v>
      </c>
      <c r="E4170" s="26">
        <f>IF(D4170="","",INT((D4170-cfgDeslocamento)/4))</f>
        <v>0</v>
      </c>
      <c r="F4170" s="26">
        <f>IF(D4170="","",MOD(D4170-cfgDeslocamento,4)+1)</f>
        <v>0</v>
      </c>
      <c r="G4170" s="26">
        <f>IF(A4170="","",IF(AND(ISNUMBER(B4170),B4170&lt;&gt;0),1,0))</f>
        <v>0</v>
      </c>
      <c r="H4170" s="25">
        <f>IF(E4170="","",(E4170*4+3+cfgDeslocamento)/48)</f>
        <v>0</v>
      </c>
    </row>
    <row r="4171" spans="1:8">
      <c r="A4171" s="24"/>
      <c r="B4171" s="19"/>
      <c r="C4171" s="25">
        <f>IF(D4171="","",D4171/48)</f>
        <v>0</v>
      </c>
      <c r="D4171" s="26">
        <f>IF(A4171="","",ROUND((A4171-cfgDefasagem/1440)*48,0))</f>
        <v>0</v>
      </c>
      <c r="E4171" s="26">
        <f>IF(D4171="","",INT((D4171-cfgDeslocamento)/4))</f>
        <v>0</v>
      </c>
      <c r="F4171" s="26">
        <f>IF(D4171="","",MOD(D4171-cfgDeslocamento,4)+1)</f>
        <v>0</v>
      </c>
      <c r="G4171" s="26">
        <f>IF(A4171="","",IF(AND(ISNUMBER(B4171),B4171&lt;&gt;0),1,0))</f>
        <v>0</v>
      </c>
      <c r="H4171" s="25">
        <f>IF(E4171="","",(E4171*4+3+cfgDeslocamento)/48)</f>
        <v>0</v>
      </c>
    </row>
    <row r="4172" spans="1:8">
      <c r="A4172" s="24"/>
      <c r="B4172" s="19"/>
      <c r="C4172" s="25">
        <f>IF(D4172="","",D4172/48)</f>
        <v>0</v>
      </c>
      <c r="D4172" s="26">
        <f>IF(A4172="","",ROUND((A4172-cfgDefasagem/1440)*48,0))</f>
        <v>0</v>
      </c>
      <c r="E4172" s="26">
        <f>IF(D4172="","",INT((D4172-cfgDeslocamento)/4))</f>
        <v>0</v>
      </c>
      <c r="F4172" s="26">
        <f>IF(D4172="","",MOD(D4172-cfgDeslocamento,4)+1)</f>
        <v>0</v>
      </c>
      <c r="G4172" s="26">
        <f>IF(A4172="","",IF(AND(ISNUMBER(B4172),B4172&lt;&gt;0),1,0))</f>
        <v>0</v>
      </c>
      <c r="H4172" s="25">
        <f>IF(E4172="","",(E4172*4+3+cfgDeslocamento)/48)</f>
        <v>0</v>
      </c>
    </row>
    <row r="4173" spans="1:8">
      <c r="A4173" s="24"/>
      <c r="B4173" s="19"/>
      <c r="C4173" s="25">
        <f>IF(D4173="","",D4173/48)</f>
        <v>0</v>
      </c>
      <c r="D4173" s="26">
        <f>IF(A4173="","",ROUND((A4173-cfgDefasagem/1440)*48,0))</f>
        <v>0</v>
      </c>
      <c r="E4173" s="26">
        <f>IF(D4173="","",INT((D4173-cfgDeslocamento)/4))</f>
        <v>0</v>
      </c>
      <c r="F4173" s="26">
        <f>IF(D4173="","",MOD(D4173-cfgDeslocamento,4)+1)</f>
        <v>0</v>
      </c>
      <c r="G4173" s="26">
        <f>IF(A4173="","",IF(AND(ISNUMBER(B4173),B4173&lt;&gt;0),1,0))</f>
        <v>0</v>
      </c>
      <c r="H4173" s="25">
        <f>IF(E4173="","",(E4173*4+3+cfgDeslocamento)/48)</f>
        <v>0</v>
      </c>
    </row>
    <row r="4174" spans="1:8">
      <c r="A4174" s="24"/>
      <c r="B4174" s="19"/>
      <c r="C4174" s="25">
        <f>IF(D4174="","",D4174/48)</f>
        <v>0</v>
      </c>
      <c r="D4174" s="26">
        <f>IF(A4174="","",ROUND((A4174-cfgDefasagem/1440)*48,0))</f>
        <v>0</v>
      </c>
      <c r="E4174" s="26">
        <f>IF(D4174="","",INT((D4174-cfgDeslocamento)/4))</f>
        <v>0</v>
      </c>
      <c r="F4174" s="26">
        <f>IF(D4174="","",MOD(D4174-cfgDeslocamento,4)+1)</f>
        <v>0</v>
      </c>
      <c r="G4174" s="26">
        <f>IF(A4174="","",IF(AND(ISNUMBER(B4174),B4174&lt;&gt;0),1,0))</f>
        <v>0</v>
      </c>
      <c r="H4174" s="25">
        <f>IF(E4174="","",(E4174*4+3+cfgDeslocamento)/48)</f>
        <v>0</v>
      </c>
    </row>
    <row r="4175" spans="1:8">
      <c r="A4175" s="24"/>
      <c r="B4175" s="19"/>
      <c r="C4175" s="25">
        <f>IF(D4175="","",D4175/48)</f>
        <v>0</v>
      </c>
      <c r="D4175" s="26">
        <f>IF(A4175="","",ROUND((A4175-cfgDefasagem/1440)*48,0))</f>
        <v>0</v>
      </c>
      <c r="E4175" s="26">
        <f>IF(D4175="","",INT((D4175-cfgDeslocamento)/4))</f>
        <v>0</v>
      </c>
      <c r="F4175" s="26">
        <f>IF(D4175="","",MOD(D4175-cfgDeslocamento,4)+1)</f>
        <v>0</v>
      </c>
      <c r="G4175" s="26">
        <f>IF(A4175="","",IF(AND(ISNUMBER(B4175),B4175&lt;&gt;0),1,0))</f>
        <v>0</v>
      </c>
      <c r="H4175" s="25">
        <f>IF(E4175="","",(E4175*4+3+cfgDeslocamento)/48)</f>
        <v>0</v>
      </c>
    </row>
    <row r="4176" spans="1:8">
      <c r="A4176" s="24"/>
      <c r="B4176" s="19"/>
      <c r="C4176" s="25">
        <f>IF(D4176="","",D4176/48)</f>
        <v>0</v>
      </c>
      <c r="D4176" s="26">
        <f>IF(A4176="","",ROUND((A4176-cfgDefasagem/1440)*48,0))</f>
        <v>0</v>
      </c>
      <c r="E4176" s="26">
        <f>IF(D4176="","",INT((D4176-cfgDeslocamento)/4))</f>
        <v>0</v>
      </c>
      <c r="F4176" s="26">
        <f>IF(D4176="","",MOD(D4176-cfgDeslocamento,4)+1)</f>
        <v>0</v>
      </c>
      <c r="G4176" s="26">
        <f>IF(A4176="","",IF(AND(ISNUMBER(B4176),B4176&lt;&gt;0),1,0))</f>
        <v>0</v>
      </c>
      <c r="H4176" s="25">
        <f>IF(E4176="","",(E4176*4+3+cfgDeslocamento)/48)</f>
        <v>0</v>
      </c>
    </row>
    <row r="4177" spans="1:8">
      <c r="A4177" s="24"/>
      <c r="B4177" s="19"/>
      <c r="C4177" s="25">
        <f>IF(D4177="","",D4177/48)</f>
        <v>0</v>
      </c>
      <c r="D4177" s="26">
        <f>IF(A4177="","",ROUND((A4177-cfgDefasagem/1440)*48,0))</f>
        <v>0</v>
      </c>
      <c r="E4177" s="26">
        <f>IF(D4177="","",INT((D4177-cfgDeslocamento)/4))</f>
        <v>0</v>
      </c>
      <c r="F4177" s="26">
        <f>IF(D4177="","",MOD(D4177-cfgDeslocamento,4)+1)</f>
        <v>0</v>
      </c>
      <c r="G4177" s="26">
        <f>IF(A4177="","",IF(AND(ISNUMBER(B4177),B4177&lt;&gt;0),1,0))</f>
        <v>0</v>
      </c>
      <c r="H4177" s="25">
        <f>IF(E4177="","",(E4177*4+3+cfgDeslocamento)/48)</f>
        <v>0</v>
      </c>
    </row>
    <row r="4178" spans="1:8">
      <c r="A4178" s="24"/>
      <c r="B4178" s="19"/>
      <c r="C4178" s="25">
        <f>IF(D4178="","",D4178/48)</f>
        <v>0</v>
      </c>
      <c r="D4178" s="26">
        <f>IF(A4178="","",ROUND((A4178-cfgDefasagem/1440)*48,0))</f>
        <v>0</v>
      </c>
      <c r="E4178" s="26">
        <f>IF(D4178="","",INT((D4178-cfgDeslocamento)/4))</f>
        <v>0</v>
      </c>
      <c r="F4178" s="26">
        <f>IF(D4178="","",MOD(D4178-cfgDeslocamento,4)+1)</f>
        <v>0</v>
      </c>
      <c r="G4178" s="26">
        <f>IF(A4178="","",IF(AND(ISNUMBER(B4178),B4178&lt;&gt;0),1,0))</f>
        <v>0</v>
      </c>
      <c r="H4178" s="25">
        <f>IF(E4178="","",(E4178*4+3+cfgDeslocamento)/48)</f>
        <v>0</v>
      </c>
    </row>
    <row r="4179" spans="1:8">
      <c r="A4179" s="24"/>
      <c r="B4179" s="19"/>
      <c r="C4179" s="25">
        <f>IF(D4179="","",D4179/48)</f>
        <v>0</v>
      </c>
      <c r="D4179" s="26">
        <f>IF(A4179="","",ROUND((A4179-cfgDefasagem/1440)*48,0))</f>
        <v>0</v>
      </c>
      <c r="E4179" s="26">
        <f>IF(D4179="","",INT((D4179-cfgDeslocamento)/4))</f>
        <v>0</v>
      </c>
      <c r="F4179" s="26">
        <f>IF(D4179="","",MOD(D4179-cfgDeslocamento,4)+1)</f>
        <v>0</v>
      </c>
      <c r="G4179" s="26">
        <f>IF(A4179="","",IF(AND(ISNUMBER(B4179),B4179&lt;&gt;0),1,0))</f>
        <v>0</v>
      </c>
      <c r="H4179" s="25">
        <f>IF(E4179="","",(E4179*4+3+cfgDeslocamento)/48)</f>
        <v>0</v>
      </c>
    </row>
    <row r="4180" spans="1:8">
      <c r="A4180" s="24"/>
      <c r="B4180" s="19"/>
      <c r="C4180" s="25">
        <f>IF(D4180="","",D4180/48)</f>
        <v>0</v>
      </c>
      <c r="D4180" s="26">
        <f>IF(A4180="","",ROUND((A4180-cfgDefasagem/1440)*48,0))</f>
        <v>0</v>
      </c>
      <c r="E4180" s="26">
        <f>IF(D4180="","",INT((D4180-cfgDeslocamento)/4))</f>
        <v>0</v>
      </c>
      <c r="F4180" s="26">
        <f>IF(D4180="","",MOD(D4180-cfgDeslocamento,4)+1)</f>
        <v>0</v>
      </c>
      <c r="G4180" s="26">
        <f>IF(A4180="","",IF(AND(ISNUMBER(B4180),B4180&lt;&gt;0),1,0))</f>
        <v>0</v>
      </c>
      <c r="H4180" s="25">
        <f>IF(E4180="","",(E4180*4+3+cfgDeslocamento)/48)</f>
        <v>0</v>
      </c>
    </row>
    <row r="4181" spans="1:8">
      <c r="A4181" s="24"/>
      <c r="B4181" s="19"/>
      <c r="C4181" s="25">
        <f>IF(D4181="","",D4181/48)</f>
        <v>0</v>
      </c>
      <c r="D4181" s="26">
        <f>IF(A4181="","",ROUND((A4181-cfgDefasagem/1440)*48,0))</f>
        <v>0</v>
      </c>
      <c r="E4181" s="26">
        <f>IF(D4181="","",INT((D4181-cfgDeslocamento)/4))</f>
        <v>0</v>
      </c>
      <c r="F4181" s="26">
        <f>IF(D4181="","",MOD(D4181-cfgDeslocamento,4)+1)</f>
        <v>0</v>
      </c>
      <c r="G4181" s="26">
        <f>IF(A4181="","",IF(AND(ISNUMBER(B4181),B4181&lt;&gt;0),1,0))</f>
        <v>0</v>
      </c>
      <c r="H4181" s="25">
        <f>IF(E4181="","",(E4181*4+3+cfgDeslocamento)/48)</f>
        <v>0</v>
      </c>
    </row>
    <row r="4182" spans="1:8">
      <c r="A4182" s="24"/>
      <c r="B4182" s="19"/>
      <c r="C4182" s="25">
        <f>IF(D4182="","",D4182/48)</f>
        <v>0</v>
      </c>
      <c r="D4182" s="26">
        <f>IF(A4182="","",ROUND((A4182-cfgDefasagem/1440)*48,0))</f>
        <v>0</v>
      </c>
      <c r="E4182" s="26">
        <f>IF(D4182="","",INT((D4182-cfgDeslocamento)/4))</f>
        <v>0</v>
      </c>
      <c r="F4182" s="26">
        <f>IF(D4182="","",MOD(D4182-cfgDeslocamento,4)+1)</f>
        <v>0</v>
      </c>
      <c r="G4182" s="26">
        <f>IF(A4182="","",IF(AND(ISNUMBER(B4182),B4182&lt;&gt;0),1,0))</f>
        <v>0</v>
      </c>
      <c r="H4182" s="25">
        <f>IF(E4182="","",(E4182*4+3+cfgDeslocamento)/48)</f>
        <v>0</v>
      </c>
    </row>
    <row r="4183" spans="1:8">
      <c r="A4183" s="24"/>
      <c r="B4183" s="19"/>
      <c r="C4183" s="25">
        <f>IF(D4183="","",D4183/48)</f>
        <v>0</v>
      </c>
      <c r="D4183" s="26">
        <f>IF(A4183="","",ROUND((A4183-cfgDefasagem/1440)*48,0))</f>
        <v>0</v>
      </c>
      <c r="E4183" s="26">
        <f>IF(D4183="","",INT((D4183-cfgDeslocamento)/4))</f>
        <v>0</v>
      </c>
      <c r="F4183" s="26">
        <f>IF(D4183="","",MOD(D4183-cfgDeslocamento,4)+1)</f>
        <v>0</v>
      </c>
      <c r="G4183" s="26">
        <f>IF(A4183="","",IF(AND(ISNUMBER(B4183),B4183&lt;&gt;0),1,0))</f>
        <v>0</v>
      </c>
      <c r="H4183" s="25">
        <f>IF(E4183="","",(E4183*4+3+cfgDeslocamento)/48)</f>
        <v>0</v>
      </c>
    </row>
    <row r="4184" spans="1:8">
      <c r="A4184" s="24"/>
      <c r="B4184" s="19"/>
      <c r="C4184" s="25">
        <f>IF(D4184="","",D4184/48)</f>
        <v>0</v>
      </c>
      <c r="D4184" s="26">
        <f>IF(A4184="","",ROUND((A4184-cfgDefasagem/1440)*48,0))</f>
        <v>0</v>
      </c>
      <c r="E4184" s="26">
        <f>IF(D4184="","",INT((D4184-cfgDeslocamento)/4))</f>
        <v>0</v>
      </c>
      <c r="F4184" s="26">
        <f>IF(D4184="","",MOD(D4184-cfgDeslocamento,4)+1)</f>
        <v>0</v>
      </c>
      <c r="G4184" s="26">
        <f>IF(A4184="","",IF(AND(ISNUMBER(B4184),B4184&lt;&gt;0),1,0))</f>
        <v>0</v>
      </c>
      <c r="H4184" s="25">
        <f>IF(E4184="","",(E4184*4+3+cfgDeslocamento)/48)</f>
        <v>0</v>
      </c>
    </row>
    <row r="4185" spans="1:8">
      <c r="A4185" s="24"/>
      <c r="B4185" s="19"/>
      <c r="C4185" s="25">
        <f>IF(D4185="","",D4185/48)</f>
        <v>0</v>
      </c>
      <c r="D4185" s="26">
        <f>IF(A4185="","",ROUND((A4185-cfgDefasagem/1440)*48,0))</f>
        <v>0</v>
      </c>
      <c r="E4185" s="26">
        <f>IF(D4185="","",INT((D4185-cfgDeslocamento)/4))</f>
        <v>0</v>
      </c>
      <c r="F4185" s="26">
        <f>IF(D4185="","",MOD(D4185-cfgDeslocamento,4)+1)</f>
        <v>0</v>
      </c>
      <c r="G4185" s="26">
        <f>IF(A4185="","",IF(AND(ISNUMBER(B4185),B4185&lt;&gt;0),1,0))</f>
        <v>0</v>
      </c>
      <c r="H4185" s="25">
        <f>IF(E4185="","",(E4185*4+3+cfgDeslocamento)/48)</f>
        <v>0</v>
      </c>
    </row>
    <row r="4186" spans="1:8">
      <c r="A4186" s="24"/>
      <c r="B4186" s="19"/>
      <c r="C4186" s="25">
        <f>IF(D4186="","",D4186/48)</f>
        <v>0</v>
      </c>
      <c r="D4186" s="26">
        <f>IF(A4186="","",ROUND((A4186-cfgDefasagem/1440)*48,0))</f>
        <v>0</v>
      </c>
      <c r="E4186" s="26">
        <f>IF(D4186="","",INT((D4186-cfgDeslocamento)/4))</f>
        <v>0</v>
      </c>
      <c r="F4186" s="26">
        <f>IF(D4186="","",MOD(D4186-cfgDeslocamento,4)+1)</f>
        <v>0</v>
      </c>
      <c r="G4186" s="26">
        <f>IF(A4186="","",IF(AND(ISNUMBER(B4186),B4186&lt;&gt;0),1,0))</f>
        <v>0</v>
      </c>
      <c r="H4186" s="25">
        <f>IF(E4186="","",(E4186*4+3+cfgDeslocamento)/48)</f>
        <v>0</v>
      </c>
    </row>
    <row r="4187" spans="1:8">
      <c r="A4187" s="24"/>
      <c r="B4187" s="19"/>
      <c r="C4187" s="25">
        <f>IF(D4187="","",D4187/48)</f>
        <v>0</v>
      </c>
      <c r="D4187" s="26">
        <f>IF(A4187="","",ROUND((A4187-cfgDefasagem/1440)*48,0))</f>
        <v>0</v>
      </c>
      <c r="E4187" s="26">
        <f>IF(D4187="","",INT((D4187-cfgDeslocamento)/4))</f>
        <v>0</v>
      </c>
      <c r="F4187" s="26">
        <f>IF(D4187="","",MOD(D4187-cfgDeslocamento,4)+1)</f>
        <v>0</v>
      </c>
      <c r="G4187" s="26">
        <f>IF(A4187="","",IF(AND(ISNUMBER(B4187),B4187&lt;&gt;0),1,0))</f>
        <v>0</v>
      </c>
      <c r="H4187" s="25">
        <f>IF(E4187="","",(E4187*4+3+cfgDeslocamento)/48)</f>
        <v>0</v>
      </c>
    </row>
    <row r="4188" spans="1:8">
      <c r="A4188" s="24"/>
      <c r="B4188" s="19"/>
      <c r="C4188" s="25">
        <f>IF(D4188="","",D4188/48)</f>
        <v>0</v>
      </c>
      <c r="D4188" s="26">
        <f>IF(A4188="","",ROUND((A4188-cfgDefasagem/1440)*48,0))</f>
        <v>0</v>
      </c>
      <c r="E4188" s="26">
        <f>IF(D4188="","",INT((D4188-cfgDeslocamento)/4))</f>
        <v>0</v>
      </c>
      <c r="F4188" s="26">
        <f>IF(D4188="","",MOD(D4188-cfgDeslocamento,4)+1)</f>
        <v>0</v>
      </c>
      <c r="G4188" s="26">
        <f>IF(A4188="","",IF(AND(ISNUMBER(B4188),B4188&lt;&gt;0),1,0))</f>
        <v>0</v>
      </c>
      <c r="H4188" s="25">
        <f>IF(E4188="","",(E4188*4+3+cfgDeslocamento)/48)</f>
        <v>0</v>
      </c>
    </row>
    <row r="4189" spans="1:8">
      <c r="A4189" s="24"/>
      <c r="B4189" s="19"/>
      <c r="C4189" s="25">
        <f>IF(D4189="","",D4189/48)</f>
        <v>0</v>
      </c>
      <c r="D4189" s="26">
        <f>IF(A4189="","",ROUND((A4189-cfgDefasagem/1440)*48,0))</f>
        <v>0</v>
      </c>
      <c r="E4189" s="26">
        <f>IF(D4189="","",INT((D4189-cfgDeslocamento)/4))</f>
        <v>0</v>
      </c>
      <c r="F4189" s="26">
        <f>IF(D4189="","",MOD(D4189-cfgDeslocamento,4)+1)</f>
        <v>0</v>
      </c>
      <c r="G4189" s="26">
        <f>IF(A4189="","",IF(AND(ISNUMBER(B4189),B4189&lt;&gt;0),1,0))</f>
        <v>0</v>
      </c>
      <c r="H4189" s="25">
        <f>IF(E4189="","",(E4189*4+3+cfgDeslocamento)/48)</f>
        <v>0</v>
      </c>
    </row>
    <row r="4190" spans="1:8">
      <c r="A4190" s="24"/>
      <c r="B4190" s="19"/>
      <c r="C4190" s="25">
        <f>IF(D4190="","",D4190/48)</f>
        <v>0</v>
      </c>
      <c r="D4190" s="26">
        <f>IF(A4190="","",ROUND((A4190-cfgDefasagem/1440)*48,0))</f>
        <v>0</v>
      </c>
      <c r="E4190" s="26">
        <f>IF(D4190="","",INT((D4190-cfgDeslocamento)/4))</f>
        <v>0</v>
      </c>
      <c r="F4190" s="26">
        <f>IF(D4190="","",MOD(D4190-cfgDeslocamento,4)+1)</f>
        <v>0</v>
      </c>
      <c r="G4190" s="26">
        <f>IF(A4190="","",IF(AND(ISNUMBER(B4190),B4190&lt;&gt;0),1,0))</f>
        <v>0</v>
      </c>
      <c r="H4190" s="25">
        <f>IF(E4190="","",(E4190*4+3+cfgDeslocamento)/48)</f>
        <v>0</v>
      </c>
    </row>
    <row r="4191" spans="1:8">
      <c r="A4191" s="24"/>
      <c r="B4191" s="19"/>
      <c r="C4191" s="25">
        <f>IF(D4191="","",D4191/48)</f>
        <v>0</v>
      </c>
      <c r="D4191" s="26">
        <f>IF(A4191="","",ROUND((A4191-cfgDefasagem/1440)*48,0))</f>
        <v>0</v>
      </c>
      <c r="E4191" s="26">
        <f>IF(D4191="","",INT((D4191-cfgDeslocamento)/4))</f>
        <v>0</v>
      </c>
      <c r="F4191" s="26">
        <f>IF(D4191="","",MOD(D4191-cfgDeslocamento,4)+1)</f>
        <v>0</v>
      </c>
      <c r="G4191" s="26">
        <f>IF(A4191="","",IF(AND(ISNUMBER(B4191),B4191&lt;&gt;0),1,0))</f>
        <v>0</v>
      </c>
      <c r="H4191" s="25">
        <f>IF(E4191="","",(E4191*4+3+cfgDeslocamento)/48)</f>
        <v>0</v>
      </c>
    </row>
    <row r="4192" spans="1:8">
      <c r="A4192" s="24"/>
      <c r="B4192" s="19"/>
      <c r="C4192" s="25">
        <f>IF(D4192="","",D4192/48)</f>
        <v>0</v>
      </c>
      <c r="D4192" s="26">
        <f>IF(A4192="","",ROUND((A4192-cfgDefasagem/1440)*48,0))</f>
        <v>0</v>
      </c>
      <c r="E4192" s="26">
        <f>IF(D4192="","",INT((D4192-cfgDeslocamento)/4))</f>
        <v>0</v>
      </c>
      <c r="F4192" s="26">
        <f>IF(D4192="","",MOD(D4192-cfgDeslocamento,4)+1)</f>
        <v>0</v>
      </c>
      <c r="G4192" s="26">
        <f>IF(A4192="","",IF(AND(ISNUMBER(B4192),B4192&lt;&gt;0),1,0))</f>
        <v>0</v>
      </c>
      <c r="H4192" s="25">
        <f>IF(E4192="","",(E4192*4+3+cfgDeslocamento)/48)</f>
        <v>0</v>
      </c>
    </row>
    <row r="4193" spans="1:8">
      <c r="A4193" s="24"/>
      <c r="B4193" s="19"/>
      <c r="C4193" s="25">
        <f>IF(D4193="","",D4193/48)</f>
        <v>0</v>
      </c>
      <c r="D4193" s="26">
        <f>IF(A4193="","",ROUND((A4193-cfgDefasagem/1440)*48,0))</f>
        <v>0</v>
      </c>
      <c r="E4193" s="26">
        <f>IF(D4193="","",INT((D4193-cfgDeslocamento)/4))</f>
        <v>0</v>
      </c>
      <c r="F4193" s="26">
        <f>IF(D4193="","",MOD(D4193-cfgDeslocamento,4)+1)</f>
        <v>0</v>
      </c>
      <c r="G4193" s="26">
        <f>IF(A4193="","",IF(AND(ISNUMBER(B4193),B4193&lt;&gt;0),1,0))</f>
        <v>0</v>
      </c>
      <c r="H4193" s="25">
        <f>IF(E4193="","",(E4193*4+3+cfgDeslocamento)/48)</f>
        <v>0</v>
      </c>
    </row>
    <row r="4194" spans="1:8">
      <c r="A4194" s="24"/>
      <c r="B4194" s="19"/>
      <c r="C4194" s="25">
        <f>IF(D4194="","",D4194/48)</f>
        <v>0</v>
      </c>
      <c r="D4194" s="26">
        <f>IF(A4194="","",ROUND((A4194-cfgDefasagem/1440)*48,0))</f>
        <v>0</v>
      </c>
      <c r="E4194" s="26">
        <f>IF(D4194="","",INT((D4194-cfgDeslocamento)/4))</f>
        <v>0</v>
      </c>
      <c r="F4194" s="26">
        <f>IF(D4194="","",MOD(D4194-cfgDeslocamento,4)+1)</f>
        <v>0</v>
      </c>
      <c r="G4194" s="26">
        <f>IF(A4194="","",IF(AND(ISNUMBER(B4194),B4194&lt;&gt;0),1,0))</f>
        <v>0</v>
      </c>
      <c r="H4194" s="25">
        <f>IF(E4194="","",(E4194*4+3+cfgDeslocamento)/48)</f>
        <v>0</v>
      </c>
    </row>
    <row r="4195" spans="1:8">
      <c r="A4195" s="24"/>
      <c r="B4195" s="19"/>
      <c r="C4195" s="25">
        <f>IF(D4195="","",D4195/48)</f>
        <v>0</v>
      </c>
      <c r="D4195" s="26">
        <f>IF(A4195="","",ROUND((A4195-cfgDefasagem/1440)*48,0))</f>
        <v>0</v>
      </c>
      <c r="E4195" s="26">
        <f>IF(D4195="","",INT((D4195-cfgDeslocamento)/4))</f>
        <v>0</v>
      </c>
      <c r="F4195" s="26">
        <f>IF(D4195="","",MOD(D4195-cfgDeslocamento,4)+1)</f>
        <v>0</v>
      </c>
      <c r="G4195" s="26">
        <f>IF(A4195="","",IF(AND(ISNUMBER(B4195),B4195&lt;&gt;0),1,0))</f>
        <v>0</v>
      </c>
      <c r="H4195" s="25">
        <f>IF(E4195="","",(E4195*4+3+cfgDeslocamento)/48)</f>
        <v>0</v>
      </c>
    </row>
    <row r="4196" spans="1:8">
      <c r="A4196" s="24"/>
      <c r="B4196" s="19"/>
      <c r="C4196" s="25">
        <f>IF(D4196="","",D4196/48)</f>
        <v>0</v>
      </c>
      <c r="D4196" s="26">
        <f>IF(A4196="","",ROUND((A4196-cfgDefasagem/1440)*48,0))</f>
        <v>0</v>
      </c>
      <c r="E4196" s="26">
        <f>IF(D4196="","",INT((D4196-cfgDeslocamento)/4))</f>
        <v>0</v>
      </c>
      <c r="F4196" s="26">
        <f>IF(D4196="","",MOD(D4196-cfgDeslocamento,4)+1)</f>
        <v>0</v>
      </c>
      <c r="G4196" s="26">
        <f>IF(A4196="","",IF(AND(ISNUMBER(B4196),B4196&lt;&gt;0),1,0))</f>
        <v>0</v>
      </c>
      <c r="H4196" s="25">
        <f>IF(E4196="","",(E4196*4+3+cfgDeslocamento)/48)</f>
        <v>0</v>
      </c>
    </row>
    <row r="4197" spans="1:8">
      <c r="A4197" s="24"/>
      <c r="B4197" s="19"/>
      <c r="C4197" s="25">
        <f>IF(D4197="","",D4197/48)</f>
        <v>0</v>
      </c>
      <c r="D4197" s="26">
        <f>IF(A4197="","",ROUND((A4197-cfgDefasagem/1440)*48,0))</f>
        <v>0</v>
      </c>
      <c r="E4197" s="26">
        <f>IF(D4197="","",INT((D4197-cfgDeslocamento)/4))</f>
        <v>0</v>
      </c>
      <c r="F4197" s="26">
        <f>IF(D4197="","",MOD(D4197-cfgDeslocamento,4)+1)</f>
        <v>0</v>
      </c>
      <c r="G4197" s="26">
        <f>IF(A4197="","",IF(AND(ISNUMBER(B4197),B4197&lt;&gt;0),1,0))</f>
        <v>0</v>
      </c>
      <c r="H4197" s="25">
        <f>IF(E4197="","",(E4197*4+3+cfgDeslocamento)/48)</f>
        <v>0</v>
      </c>
    </row>
    <row r="4198" spans="1:8">
      <c r="A4198" s="24"/>
      <c r="B4198" s="19"/>
      <c r="C4198" s="25">
        <f>IF(D4198="","",D4198/48)</f>
        <v>0</v>
      </c>
      <c r="D4198" s="26">
        <f>IF(A4198="","",ROUND((A4198-cfgDefasagem/1440)*48,0))</f>
        <v>0</v>
      </c>
      <c r="E4198" s="26">
        <f>IF(D4198="","",INT((D4198-cfgDeslocamento)/4))</f>
        <v>0</v>
      </c>
      <c r="F4198" s="26">
        <f>IF(D4198="","",MOD(D4198-cfgDeslocamento,4)+1)</f>
        <v>0</v>
      </c>
      <c r="G4198" s="26">
        <f>IF(A4198="","",IF(AND(ISNUMBER(B4198),B4198&lt;&gt;0),1,0))</f>
        <v>0</v>
      </c>
      <c r="H4198" s="25">
        <f>IF(E4198="","",(E4198*4+3+cfgDeslocamento)/48)</f>
        <v>0</v>
      </c>
    </row>
    <row r="4199" spans="1:8">
      <c r="A4199" s="24"/>
      <c r="B4199" s="19"/>
      <c r="C4199" s="25">
        <f>IF(D4199="","",D4199/48)</f>
        <v>0</v>
      </c>
      <c r="D4199" s="26">
        <f>IF(A4199="","",ROUND((A4199-cfgDefasagem/1440)*48,0))</f>
        <v>0</v>
      </c>
      <c r="E4199" s="26">
        <f>IF(D4199="","",INT((D4199-cfgDeslocamento)/4))</f>
        <v>0</v>
      </c>
      <c r="F4199" s="26">
        <f>IF(D4199="","",MOD(D4199-cfgDeslocamento,4)+1)</f>
        <v>0</v>
      </c>
      <c r="G4199" s="26">
        <f>IF(A4199="","",IF(AND(ISNUMBER(B4199),B4199&lt;&gt;0),1,0))</f>
        <v>0</v>
      </c>
      <c r="H4199" s="25">
        <f>IF(E4199="","",(E4199*4+3+cfgDeslocamento)/48)</f>
        <v>0</v>
      </c>
    </row>
    <row r="4200" spans="1:8">
      <c r="A4200" s="24"/>
      <c r="B4200" s="19"/>
      <c r="C4200" s="25">
        <f>IF(D4200="","",D4200/48)</f>
        <v>0</v>
      </c>
      <c r="D4200" s="26">
        <f>IF(A4200="","",ROUND((A4200-cfgDefasagem/1440)*48,0))</f>
        <v>0</v>
      </c>
      <c r="E4200" s="26">
        <f>IF(D4200="","",INT((D4200-cfgDeslocamento)/4))</f>
        <v>0</v>
      </c>
      <c r="F4200" s="26">
        <f>IF(D4200="","",MOD(D4200-cfgDeslocamento,4)+1)</f>
        <v>0</v>
      </c>
      <c r="G4200" s="26">
        <f>IF(A4200="","",IF(AND(ISNUMBER(B4200),B4200&lt;&gt;0),1,0))</f>
        <v>0</v>
      </c>
      <c r="H4200" s="25">
        <f>IF(E4200="","",(E4200*4+3+cfgDeslocamento)/48)</f>
        <v>0</v>
      </c>
    </row>
    <row r="4201" spans="1:8">
      <c r="A4201" s="24"/>
      <c r="B4201" s="19"/>
      <c r="C4201" s="25">
        <f>IF(D4201="","",D4201/48)</f>
        <v>0</v>
      </c>
      <c r="D4201" s="26">
        <f>IF(A4201="","",ROUND((A4201-cfgDefasagem/1440)*48,0))</f>
        <v>0</v>
      </c>
      <c r="E4201" s="26">
        <f>IF(D4201="","",INT((D4201-cfgDeslocamento)/4))</f>
        <v>0</v>
      </c>
      <c r="F4201" s="26">
        <f>IF(D4201="","",MOD(D4201-cfgDeslocamento,4)+1)</f>
        <v>0</v>
      </c>
      <c r="G4201" s="26">
        <f>IF(A4201="","",IF(AND(ISNUMBER(B4201),B4201&lt;&gt;0),1,0))</f>
        <v>0</v>
      </c>
      <c r="H4201" s="25">
        <f>IF(E4201="","",(E4201*4+3+cfgDeslocamento)/48)</f>
        <v>0</v>
      </c>
    </row>
    <row r="4202" spans="1:8">
      <c r="A4202" s="24"/>
      <c r="B4202" s="19"/>
      <c r="C4202" s="25">
        <f>IF(D4202="","",D4202/48)</f>
        <v>0</v>
      </c>
      <c r="D4202" s="26">
        <f>IF(A4202="","",ROUND((A4202-cfgDefasagem/1440)*48,0))</f>
        <v>0</v>
      </c>
      <c r="E4202" s="26">
        <f>IF(D4202="","",INT((D4202-cfgDeslocamento)/4))</f>
        <v>0</v>
      </c>
      <c r="F4202" s="26">
        <f>IF(D4202="","",MOD(D4202-cfgDeslocamento,4)+1)</f>
        <v>0</v>
      </c>
      <c r="G4202" s="26">
        <f>IF(A4202="","",IF(AND(ISNUMBER(B4202),B4202&lt;&gt;0),1,0))</f>
        <v>0</v>
      </c>
      <c r="H4202" s="25">
        <f>IF(E4202="","",(E4202*4+3+cfgDeslocamento)/48)</f>
        <v>0</v>
      </c>
    </row>
    <row r="4203" spans="1:8">
      <c r="A4203" s="24"/>
      <c r="B4203" s="19"/>
      <c r="C4203" s="25">
        <f>IF(D4203="","",D4203/48)</f>
        <v>0</v>
      </c>
      <c r="D4203" s="26">
        <f>IF(A4203="","",ROUND((A4203-cfgDefasagem/1440)*48,0))</f>
        <v>0</v>
      </c>
      <c r="E4203" s="26">
        <f>IF(D4203="","",INT((D4203-cfgDeslocamento)/4))</f>
        <v>0</v>
      </c>
      <c r="F4203" s="26">
        <f>IF(D4203="","",MOD(D4203-cfgDeslocamento,4)+1)</f>
        <v>0</v>
      </c>
      <c r="G4203" s="26">
        <f>IF(A4203="","",IF(AND(ISNUMBER(B4203),B4203&lt;&gt;0),1,0))</f>
        <v>0</v>
      </c>
      <c r="H4203" s="25">
        <f>IF(E4203="","",(E4203*4+3+cfgDeslocamento)/48)</f>
        <v>0</v>
      </c>
    </row>
    <row r="4204" spans="1:8">
      <c r="A4204" s="24"/>
      <c r="B4204" s="19"/>
      <c r="C4204" s="25">
        <f>IF(D4204="","",D4204/48)</f>
        <v>0</v>
      </c>
      <c r="D4204" s="26">
        <f>IF(A4204="","",ROUND((A4204-cfgDefasagem/1440)*48,0))</f>
        <v>0</v>
      </c>
      <c r="E4204" s="26">
        <f>IF(D4204="","",INT((D4204-cfgDeslocamento)/4))</f>
        <v>0</v>
      </c>
      <c r="F4204" s="26">
        <f>IF(D4204="","",MOD(D4204-cfgDeslocamento,4)+1)</f>
        <v>0</v>
      </c>
      <c r="G4204" s="26">
        <f>IF(A4204="","",IF(AND(ISNUMBER(B4204),B4204&lt;&gt;0),1,0))</f>
        <v>0</v>
      </c>
      <c r="H4204" s="25">
        <f>IF(E4204="","",(E4204*4+3+cfgDeslocamento)/48)</f>
        <v>0</v>
      </c>
    </row>
    <row r="4205" spans="1:8">
      <c r="A4205" s="24"/>
      <c r="B4205" s="19"/>
      <c r="C4205" s="25">
        <f>IF(D4205="","",D4205/48)</f>
        <v>0</v>
      </c>
      <c r="D4205" s="26">
        <f>IF(A4205="","",ROUND((A4205-cfgDefasagem/1440)*48,0))</f>
        <v>0</v>
      </c>
      <c r="E4205" s="26">
        <f>IF(D4205="","",INT((D4205-cfgDeslocamento)/4))</f>
        <v>0</v>
      </c>
      <c r="F4205" s="26">
        <f>IF(D4205="","",MOD(D4205-cfgDeslocamento,4)+1)</f>
        <v>0</v>
      </c>
      <c r="G4205" s="26">
        <f>IF(A4205="","",IF(AND(ISNUMBER(B4205),B4205&lt;&gt;0),1,0))</f>
        <v>0</v>
      </c>
      <c r="H4205" s="25">
        <f>IF(E4205="","",(E4205*4+3+cfgDeslocamento)/48)</f>
        <v>0</v>
      </c>
    </row>
    <row r="4206" spans="1:8">
      <c r="A4206" s="24"/>
      <c r="B4206" s="19"/>
      <c r="C4206" s="25">
        <f>IF(D4206="","",D4206/48)</f>
        <v>0</v>
      </c>
      <c r="D4206" s="26">
        <f>IF(A4206="","",ROUND((A4206-cfgDefasagem/1440)*48,0))</f>
        <v>0</v>
      </c>
      <c r="E4206" s="26">
        <f>IF(D4206="","",INT((D4206-cfgDeslocamento)/4))</f>
        <v>0</v>
      </c>
      <c r="F4206" s="26">
        <f>IF(D4206="","",MOD(D4206-cfgDeslocamento,4)+1)</f>
        <v>0</v>
      </c>
      <c r="G4206" s="26">
        <f>IF(A4206="","",IF(AND(ISNUMBER(B4206),B4206&lt;&gt;0),1,0))</f>
        <v>0</v>
      </c>
      <c r="H4206" s="25">
        <f>IF(E4206="","",(E4206*4+3+cfgDeslocamento)/48)</f>
        <v>0</v>
      </c>
    </row>
    <row r="4207" spans="1:8">
      <c r="A4207" s="24"/>
      <c r="B4207" s="19"/>
      <c r="C4207" s="25">
        <f>IF(D4207="","",D4207/48)</f>
        <v>0</v>
      </c>
      <c r="D4207" s="26">
        <f>IF(A4207="","",ROUND((A4207-cfgDefasagem/1440)*48,0))</f>
        <v>0</v>
      </c>
      <c r="E4207" s="26">
        <f>IF(D4207="","",INT((D4207-cfgDeslocamento)/4))</f>
        <v>0</v>
      </c>
      <c r="F4207" s="26">
        <f>IF(D4207="","",MOD(D4207-cfgDeslocamento,4)+1)</f>
        <v>0</v>
      </c>
      <c r="G4207" s="26">
        <f>IF(A4207="","",IF(AND(ISNUMBER(B4207),B4207&lt;&gt;0),1,0))</f>
        <v>0</v>
      </c>
      <c r="H4207" s="25">
        <f>IF(E4207="","",(E4207*4+3+cfgDeslocamento)/48)</f>
        <v>0</v>
      </c>
    </row>
    <row r="4208" spans="1:8">
      <c r="A4208" s="24"/>
      <c r="B4208" s="19"/>
      <c r="C4208" s="25">
        <f>IF(D4208="","",D4208/48)</f>
        <v>0</v>
      </c>
      <c r="D4208" s="26">
        <f>IF(A4208="","",ROUND((A4208-cfgDefasagem/1440)*48,0))</f>
        <v>0</v>
      </c>
      <c r="E4208" s="26">
        <f>IF(D4208="","",INT((D4208-cfgDeslocamento)/4))</f>
        <v>0</v>
      </c>
      <c r="F4208" s="26">
        <f>IF(D4208="","",MOD(D4208-cfgDeslocamento,4)+1)</f>
        <v>0</v>
      </c>
      <c r="G4208" s="26">
        <f>IF(A4208="","",IF(AND(ISNUMBER(B4208),B4208&lt;&gt;0),1,0))</f>
        <v>0</v>
      </c>
      <c r="H4208" s="25">
        <f>IF(E4208="","",(E4208*4+3+cfgDeslocamento)/48)</f>
        <v>0</v>
      </c>
    </row>
    <row r="4209" spans="1:8">
      <c r="A4209" s="24"/>
      <c r="B4209" s="19"/>
      <c r="C4209" s="25">
        <f>IF(D4209="","",D4209/48)</f>
        <v>0</v>
      </c>
      <c r="D4209" s="26">
        <f>IF(A4209="","",ROUND((A4209-cfgDefasagem/1440)*48,0))</f>
        <v>0</v>
      </c>
      <c r="E4209" s="26">
        <f>IF(D4209="","",INT((D4209-cfgDeslocamento)/4))</f>
        <v>0</v>
      </c>
      <c r="F4209" s="26">
        <f>IF(D4209="","",MOD(D4209-cfgDeslocamento,4)+1)</f>
        <v>0</v>
      </c>
      <c r="G4209" s="26">
        <f>IF(A4209="","",IF(AND(ISNUMBER(B4209),B4209&lt;&gt;0),1,0))</f>
        <v>0</v>
      </c>
      <c r="H4209" s="25">
        <f>IF(E4209="","",(E4209*4+3+cfgDeslocamento)/48)</f>
        <v>0</v>
      </c>
    </row>
    <row r="4210" spans="1:8">
      <c r="A4210" s="24"/>
      <c r="B4210" s="19"/>
      <c r="C4210" s="25">
        <f>IF(D4210="","",D4210/48)</f>
        <v>0</v>
      </c>
      <c r="D4210" s="26">
        <f>IF(A4210="","",ROUND((A4210-cfgDefasagem/1440)*48,0))</f>
        <v>0</v>
      </c>
      <c r="E4210" s="26">
        <f>IF(D4210="","",INT((D4210-cfgDeslocamento)/4))</f>
        <v>0</v>
      </c>
      <c r="F4210" s="26">
        <f>IF(D4210="","",MOD(D4210-cfgDeslocamento,4)+1)</f>
        <v>0</v>
      </c>
      <c r="G4210" s="26">
        <f>IF(A4210="","",IF(AND(ISNUMBER(B4210),B4210&lt;&gt;0),1,0))</f>
        <v>0</v>
      </c>
      <c r="H4210" s="25">
        <f>IF(E4210="","",(E4210*4+3+cfgDeslocamento)/48)</f>
        <v>0</v>
      </c>
    </row>
    <row r="4211" spans="1:8">
      <c r="A4211" s="24"/>
      <c r="B4211" s="19"/>
      <c r="C4211" s="25">
        <f>IF(D4211="","",D4211/48)</f>
        <v>0</v>
      </c>
      <c r="D4211" s="26">
        <f>IF(A4211="","",ROUND((A4211-cfgDefasagem/1440)*48,0))</f>
        <v>0</v>
      </c>
      <c r="E4211" s="26">
        <f>IF(D4211="","",INT((D4211-cfgDeslocamento)/4))</f>
        <v>0</v>
      </c>
      <c r="F4211" s="26">
        <f>IF(D4211="","",MOD(D4211-cfgDeslocamento,4)+1)</f>
        <v>0</v>
      </c>
      <c r="G4211" s="26">
        <f>IF(A4211="","",IF(AND(ISNUMBER(B4211),B4211&lt;&gt;0),1,0))</f>
        <v>0</v>
      </c>
      <c r="H4211" s="25">
        <f>IF(E4211="","",(E4211*4+3+cfgDeslocamento)/48)</f>
        <v>0</v>
      </c>
    </row>
    <row r="4212" spans="1:8">
      <c r="A4212" s="24"/>
      <c r="B4212" s="19"/>
      <c r="C4212" s="25">
        <f>IF(D4212="","",D4212/48)</f>
        <v>0</v>
      </c>
      <c r="D4212" s="26">
        <f>IF(A4212="","",ROUND((A4212-cfgDefasagem/1440)*48,0))</f>
        <v>0</v>
      </c>
      <c r="E4212" s="26">
        <f>IF(D4212="","",INT((D4212-cfgDeslocamento)/4))</f>
        <v>0</v>
      </c>
      <c r="F4212" s="26">
        <f>IF(D4212="","",MOD(D4212-cfgDeslocamento,4)+1)</f>
        <v>0</v>
      </c>
      <c r="G4212" s="26">
        <f>IF(A4212="","",IF(AND(ISNUMBER(B4212),B4212&lt;&gt;0),1,0))</f>
        <v>0</v>
      </c>
      <c r="H4212" s="25">
        <f>IF(E4212="","",(E4212*4+3+cfgDeslocamento)/48)</f>
        <v>0</v>
      </c>
    </row>
    <row r="4213" spans="1:8">
      <c r="A4213" s="24"/>
      <c r="B4213" s="19"/>
      <c r="C4213" s="25">
        <f>IF(D4213="","",D4213/48)</f>
        <v>0</v>
      </c>
      <c r="D4213" s="26">
        <f>IF(A4213="","",ROUND((A4213-cfgDefasagem/1440)*48,0))</f>
        <v>0</v>
      </c>
      <c r="E4213" s="26">
        <f>IF(D4213="","",INT((D4213-cfgDeslocamento)/4))</f>
        <v>0</v>
      </c>
      <c r="F4213" s="26">
        <f>IF(D4213="","",MOD(D4213-cfgDeslocamento,4)+1)</f>
        <v>0</v>
      </c>
      <c r="G4213" s="26">
        <f>IF(A4213="","",IF(AND(ISNUMBER(B4213),B4213&lt;&gt;0),1,0))</f>
        <v>0</v>
      </c>
      <c r="H4213" s="25">
        <f>IF(E4213="","",(E4213*4+3+cfgDeslocamento)/48)</f>
        <v>0</v>
      </c>
    </row>
    <row r="4214" spans="1:8">
      <c r="A4214" s="24"/>
      <c r="B4214" s="19"/>
      <c r="C4214" s="25">
        <f>IF(D4214="","",D4214/48)</f>
        <v>0</v>
      </c>
      <c r="D4214" s="26">
        <f>IF(A4214="","",ROUND((A4214-cfgDefasagem/1440)*48,0))</f>
        <v>0</v>
      </c>
      <c r="E4214" s="26">
        <f>IF(D4214="","",INT((D4214-cfgDeslocamento)/4))</f>
        <v>0</v>
      </c>
      <c r="F4214" s="26">
        <f>IF(D4214="","",MOD(D4214-cfgDeslocamento,4)+1)</f>
        <v>0</v>
      </c>
      <c r="G4214" s="26">
        <f>IF(A4214="","",IF(AND(ISNUMBER(B4214),B4214&lt;&gt;0),1,0))</f>
        <v>0</v>
      </c>
      <c r="H4214" s="25">
        <f>IF(E4214="","",(E4214*4+3+cfgDeslocamento)/48)</f>
        <v>0</v>
      </c>
    </row>
    <row r="4215" spans="1:8">
      <c r="A4215" s="24"/>
      <c r="B4215" s="19"/>
      <c r="C4215" s="25">
        <f>IF(D4215="","",D4215/48)</f>
        <v>0</v>
      </c>
      <c r="D4215" s="26">
        <f>IF(A4215="","",ROUND((A4215-cfgDefasagem/1440)*48,0))</f>
        <v>0</v>
      </c>
      <c r="E4215" s="26">
        <f>IF(D4215="","",INT((D4215-cfgDeslocamento)/4))</f>
        <v>0</v>
      </c>
      <c r="F4215" s="26">
        <f>IF(D4215="","",MOD(D4215-cfgDeslocamento,4)+1)</f>
        <v>0</v>
      </c>
      <c r="G4215" s="26">
        <f>IF(A4215="","",IF(AND(ISNUMBER(B4215),B4215&lt;&gt;0),1,0))</f>
        <v>0</v>
      </c>
      <c r="H4215" s="25">
        <f>IF(E4215="","",(E4215*4+3+cfgDeslocamento)/48)</f>
        <v>0</v>
      </c>
    </row>
    <row r="4216" spans="1:8">
      <c r="A4216" s="24"/>
      <c r="B4216" s="19"/>
      <c r="C4216" s="25">
        <f>IF(D4216="","",D4216/48)</f>
        <v>0</v>
      </c>
      <c r="D4216" s="26">
        <f>IF(A4216="","",ROUND((A4216-cfgDefasagem/1440)*48,0))</f>
        <v>0</v>
      </c>
      <c r="E4216" s="26">
        <f>IF(D4216="","",INT((D4216-cfgDeslocamento)/4))</f>
        <v>0</v>
      </c>
      <c r="F4216" s="26">
        <f>IF(D4216="","",MOD(D4216-cfgDeslocamento,4)+1)</f>
        <v>0</v>
      </c>
      <c r="G4216" s="26">
        <f>IF(A4216="","",IF(AND(ISNUMBER(B4216),B4216&lt;&gt;0),1,0))</f>
        <v>0</v>
      </c>
      <c r="H4216" s="25">
        <f>IF(E4216="","",(E4216*4+3+cfgDeslocamento)/48)</f>
        <v>0</v>
      </c>
    </row>
    <row r="4217" spans="1:8">
      <c r="A4217" s="24"/>
      <c r="B4217" s="19"/>
      <c r="C4217" s="25">
        <f>IF(D4217="","",D4217/48)</f>
        <v>0</v>
      </c>
      <c r="D4217" s="26">
        <f>IF(A4217="","",ROUND((A4217-cfgDefasagem/1440)*48,0))</f>
        <v>0</v>
      </c>
      <c r="E4217" s="26">
        <f>IF(D4217="","",INT((D4217-cfgDeslocamento)/4))</f>
        <v>0</v>
      </c>
      <c r="F4217" s="26">
        <f>IF(D4217="","",MOD(D4217-cfgDeslocamento,4)+1)</f>
        <v>0</v>
      </c>
      <c r="G4217" s="26">
        <f>IF(A4217="","",IF(AND(ISNUMBER(B4217),B4217&lt;&gt;0),1,0))</f>
        <v>0</v>
      </c>
      <c r="H4217" s="25">
        <f>IF(E4217="","",(E4217*4+3+cfgDeslocamento)/48)</f>
        <v>0</v>
      </c>
    </row>
    <row r="4218" spans="1:8">
      <c r="A4218" s="24"/>
      <c r="B4218" s="19"/>
      <c r="C4218" s="25">
        <f>IF(D4218="","",D4218/48)</f>
        <v>0</v>
      </c>
      <c r="D4218" s="26">
        <f>IF(A4218="","",ROUND((A4218-cfgDefasagem/1440)*48,0))</f>
        <v>0</v>
      </c>
      <c r="E4218" s="26">
        <f>IF(D4218="","",INT((D4218-cfgDeslocamento)/4))</f>
        <v>0</v>
      </c>
      <c r="F4218" s="26">
        <f>IF(D4218="","",MOD(D4218-cfgDeslocamento,4)+1)</f>
        <v>0</v>
      </c>
      <c r="G4218" s="26">
        <f>IF(A4218="","",IF(AND(ISNUMBER(B4218),B4218&lt;&gt;0),1,0))</f>
        <v>0</v>
      </c>
      <c r="H4218" s="25">
        <f>IF(E4218="","",(E4218*4+3+cfgDeslocamento)/48)</f>
        <v>0</v>
      </c>
    </row>
    <row r="4219" spans="1:8">
      <c r="A4219" s="24"/>
      <c r="B4219" s="19"/>
      <c r="C4219" s="25">
        <f>IF(D4219="","",D4219/48)</f>
        <v>0</v>
      </c>
      <c r="D4219" s="26">
        <f>IF(A4219="","",ROUND((A4219-cfgDefasagem/1440)*48,0))</f>
        <v>0</v>
      </c>
      <c r="E4219" s="26">
        <f>IF(D4219="","",INT((D4219-cfgDeslocamento)/4))</f>
        <v>0</v>
      </c>
      <c r="F4219" s="26">
        <f>IF(D4219="","",MOD(D4219-cfgDeslocamento,4)+1)</f>
        <v>0</v>
      </c>
      <c r="G4219" s="26">
        <f>IF(A4219="","",IF(AND(ISNUMBER(B4219),B4219&lt;&gt;0),1,0))</f>
        <v>0</v>
      </c>
      <c r="H4219" s="25">
        <f>IF(E4219="","",(E4219*4+3+cfgDeslocamento)/48)</f>
        <v>0</v>
      </c>
    </row>
    <row r="4220" spans="1:8">
      <c r="A4220" s="24"/>
      <c r="B4220" s="19"/>
      <c r="C4220" s="25">
        <f>IF(D4220="","",D4220/48)</f>
        <v>0</v>
      </c>
      <c r="D4220" s="26">
        <f>IF(A4220="","",ROUND((A4220-cfgDefasagem/1440)*48,0))</f>
        <v>0</v>
      </c>
      <c r="E4220" s="26">
        <f>IF(D4220="","",INT((D4220-cfgDeslocamento)/4))</f>
        <v>0</v>
      </c>
      <c r="F4220" s="26">
        <f>IF(D4220="","",MOD(D4220-cfgDeslocamento,4)+1)</f>
        <v>0</v>
      </c>
      <c r="G4220" s="26">
        <f>IF(A4220="","",IF(AND(ISNUMBER(B4220),B4220&lt;&gt;0),1,0))</f>
        <v>0</v>
      </c>
      <c r="H4220" s="25">
        <f>IF(E4220="","",(E4220*4+3+cfgDeslocamento)/48)</f>
        <v>0</v>
      </c>
    </row>
    <row r="4221" spans="1:8">
      <c r="A4221" s="24"/>
      <c r="B4221" s="19"/>
      <c r="C4221" s="25">
        <f>IF(D4221="","",D4221/48)</f>
        <v>0</v>
      </c>
      <c r="D4221" s="26">
        <f>IF(A4221="","",ROUND((A4221-cfgDefasagem/1440)*48,0))</f>
        <v>0</v>
      </c>
      <c r="E4221" s="26">
        <f>IF(D4221="","",INT((D4221-cfgDeslocamento)/4))</f>
        <v>0</v>
      </c>
      <c r="F4221" s="26">
        <f>IF(D4221="","",MOD(D4221-cfgDeslocamento,4)+1)</f>
        <v>0</v>
      </c>
      <c r="G4221" s="26">
        <f>IF(A4221="","",IF(AND(ISNUMBER(B4221),B4221&lt;&gt;0),1,0))</f>
        <v>0</v>
      </c>
      <c r="H4221" s="25">
        <f>IF(E4221="","",(E4221*4+3+cfgDeslocamento)/48)</f>
        <v>0</v>
      </c>
    </row>
    <row r="4222" spans="1:8">
      <c r="A4222" s="24"/>
      <c r="B4222" s="19"/>
      <c r="C4222" s="25">
        <f>IF(D4222="","",D4222/48)</f>
        <v>0</v>
      </c>
      <c r="D4222" s="26">
        <f>IF(A4222="","",ROUND((A4222-cfgDefasagem/1440)*48,0))</f>
        <v>0</v>
      </c>
      <c r="E4222" s="26">
        <f>IF(D4222="","",INT((D4222-cfgDeslocamento)/4))</f>
        <v>0</v>
      </c>
      <c r="F4222" s="26">
        <f>IF(D4222="","",MOD(D4222-cfgDeslocamento,4)+1)</f>
        <v>0</v>
      </c>
      <c r="G4222" s="26">
        <f>IF(A4222="","",IF(AND(ISNUMBER(B4222),B4222&lt;&gt;0),1,0))</f>
        <v>0</v>
      </c>
      <c r="H4222" s="25">
        <f>IF(E4222="","",(E4222*4+3+cfgDeslocamento)/48)</f>
        <v>0</v>
      </c>
    </row>
    <row r="4223" spans="1:8">
      <c r="A4223" s="24"/>
      <c r="B4223" s="19"/>
      <c r="C4223" s="25">
        <f>IF(D4223="","",D4223/48)</f>
        <v>0</v>
      </c>
      <c r="D4223" s="26">
        <f>IF(A4223="","",ROUND((A4223-cfgDefasagem/1440)*48,0))</f>
        <v>0</v>
      </c>
      <c r="E4223" s="26">
        <f>IF(D4223="","",INT((D4223-cfgDeslocamento)/4))</f>
        <v>0</v>
      </c>
      <c r="F4223" s="26">
        <f>IF(D4223="","",MOD(D4223-cfgDeslocamento,4)+1)</f>
        <v>0</v>
      </c>
      <c r="G4223" s="26">
        <f>IF(A4223="","",IF(AND(ISNUMBER(B4223),B4223&lt;&gt;0),1,0))</f>
        <v>0</v>
      </c>
      <c r="H4223" s="25">
        <f>IF(E4223="","",(E4223*4+3+cfgDeslocamento)/48)</f>
        <v>0</v>
      </c>
    </row>
    <row r="4224" spans="1:8">
      <c r="A4224" s="24"/>
      <c r="B4224" s="19"/>
      <c r="C4224" s="25">
        <f>IF(D4224="","",D4224/48)</f>
        <v>0</v>
      </c>
      <c r="D4224" s="26">
        <f>IF(A4224="","",ROUND((A4224-cfgDefasagem/1440)*48,0))</f>
        <v>0</v>
      </c>
      <c r="E4224" s="26">
        <f>IF(D4224="","",INT((D4224-cfgDeslocamento)/4))</f>
        <v>0</v>
      </c>
      <c r="F4224" s="26">
        <f>IF(D4224="","",MOD(D4224-cfgDeslocamento,4)+1)</f>
        <v>0</v>
      </c>
      <c r="G4224" s="26">
        <f>IF(A4224="","",IF(AND(ISNUMBER(B4224),B4224&lt;&gt;0),1,0))</f>
        <v>0</v>
      </c>
      <c r="H4224" s="25">
        <f>IF(E4224="","",(E4224*4+3+cfgDeslocamento)/48)</f>
        <v>0</v>
      </c>
    </row>
    <row r="4225" spans="1:8">
      <c r="A4225" s="24"/>
      <c r="B4225" s="19"/>
      <c r="C4225" s="25">
        <f>IF(D4225="","",D4225/48)</f>
        <v>0</v>
      </c>
      <c r="D4225" s="26">
        <f>IF(A4225="","",ROUND((A4225-cfgDefasagem/1440)*48,0))</f>
        <v>0</v>
      </c>
      <c r="E4225" s="26">
        <f>IF(D4225="","",INT((D4225-cfgDeslocamento)/4))</f>
        <v>0</v>
      </c>
      <c r="F4225" s="26">
        <f>IF(D4225="","",MOD(D4225-cfgDeslocamento,4)+1)</f>
        <v>0</v>
      </c>
      <c r="G4225" s="26">
        <f>IF(A4225="","",IF(AND(ISNUMBER(B4225),B4225&lt;&gt;0),1,0))</f>
        <v>0</v>
      </c>
      <c r="H4225" s="25">
        <f>IF(E4225="","",(E4225*4+3+cfgDeslocamento)/48)</f>
        <v>0</v>
      </c>
    </row>
    <row r="4226" spans="1:8">
      <c r="A4226" s="24"/>
      <c r="B4226" s="19"/>
      <c r="C4226" s="25">
        <f>IF(D4226="","",D4226/48)</f>
        <v>0</v>
      </c>
      <c r="D4226" s="26">
        <f>IF(A4226="","",ROUND((A4226-cfgDefasagem/1440)*48,0))</f>
        <v>0</v>
      </c>
      <c r="E4226" s="26">
        <f>IF(D4226="","",INT((D4226-cfgDeslocamento)/4))</f>
        <v>0</v>
      </c>
      <c r="F4226" s="26">
        <f>IF(D4226="","",MOD(D4226-cfgDeslocamento,4)+1)</f>
        <v>0</v>
      </c>
      <c r="G4226" s="26">
        <f>IF(A4226="","",IF(AND(ISNUMBER(B4226),B4226&lt;&gt;0),1,0))</f>
        <v>0</v>
      </c>
      <c r="H4226" s="25">
        <f>IF(E4226="","",(E4226*4+3+cfgDeslocamento)/48)</f>
        <v>0</v>
      </c>
    </row>
    <row r="4227" spans="1:8">
      <c r="A4227" s="24"/>
      <c r="B4227" s="19"/>
      <c r="C4227" s="25">
        <f>IF(D4227="","",D4227/48)</f>
        <v>0</v>
      </c>
      <c r="D4227" s="26">
        <f>IF(A4227="","",ROUND((A4227-cfgDefasagem/1440)*48,0))</f>
        <v>0</v>
      </c>
      <c r="E4227" s="26">
        <f>IF(D4227="","",INT((D4227-cfgDeslocamento)/4))</f>
        <v>0</v>
      </c>
      <c r="F4227" s="26">
        <f>IF(D4227="","",MOD(D4227-cfgDeslocamento,4)+1)</f>
        <v>0</v>
      </c>
      <c r="G4227" s="26">
        <f>IF(A4227="","",IF(AND(ISNUMBER(B4227),B4227&lt;&gt;0),1,0))</f>
        <v>0</v>
      </c>
      <c r="H4227" s="25">
        <f>IF(E4227="","",(E4227*4+3+cfgDeslocamento)/48)</f>
        <v>0</v>
      </c>
    </row>
    <row r="4228" spans="1:8">
      <c r="A4228" s="24"/>
      <c r="B4228" s="19"/>
      <c r="C4228" s="25">
        <f>IF(D4228="","",D4228/48)</f>
        <v>0</v>
      </c>
      <c r="D4228" s="26">
        <f>IF(A4228="","",ROUND((A4228-cfgDefasagem/1440)*48,0))</f>
        <v>0</v>
      </c>
      <c r="E4228" s="26">
        <f>IF(D4228="","",INT((D4228-cfgDeslocamento)/4))</f>
        <v>0</v>
      </c>
      <c r="F4228" s="26">
        <f>IF(D4228="","",MOD(D4228-cfgDeslocamento,4)+1)</f>
        <v>0</v>
      </c>
      <c r="G4228" s="26">
        <f>IF(A4228="","",IF(AND(ISNUMBER(B4228),B4228&lt;&gt;0),1,0))</f>
        <v>0</v>
      </c>
      <c r="H4228" s="25">
        <f>IF(E4228="","",(E4228*4+3+cfgDeslocamento)/48)</f>
        <v>0</v>
      </c>
    </row>
    <row r="4229" spans="1:8">
      <c r="A4229" s="24"/>
      <c r="B4229" s="19"/>
      <c r="C4229" s="25">
        <f>IF(D4229="","",D4229/48)</f>
        <v>0</v>
      </c>
      <c r="D4229" s="26">
        <f>IF(A4229="","",ROUND((A4229-cfgDefasagem/1440)*48,0))</f>
        <v>0</v>
      </c>
      <c r="E4229" s="26">
        <f>IF(D4229="","",INT((D4229-cfgDeslocamento)/4))</f>
        <v>0</v>
      </c>
      <c r="F4229" s="26">
        <f>IF(D4229="","",MOD(D4229-cfgDeslocamento,4)+1)</f>
        <v>0</v>
      </c>
      <c r="G4229" s="26">
        <f>IF(A4229="","",IF(AND(ISNUMBER(B4229),B4229&lt;&gt;0),1,0))</f>
        <v>0</v>
      </c>
      <c r="H4229" s="25">
        <f>IF(E4229="","",(E4229*4+3+cfgDeslocamento)/48)</f>
        <v>0</v>
      </c>
    </row>
    <row r="4230" spans="1:8">
      <c r="A4230" s="24"/>
      <c r="B4230" s="19"/>
      <c r="C4230" s="25">
        <f>IF(D4230="","",D4230/48)</f>
        <v>0</v>
      </c>
      <c r="D4230" s="26">
        <f>IF(A4230="","",ROUND((A4230-cfgDefasagem/1440)*48,0))</f>
        <v>0</v>
      </c>
      <c r="E4230" s="26">
        <f>IF(D4230="","",INT((D4230-cfgDeslocamento)/4))</f>
        <v>0</v>
      </c>
      <c r="F4230" s="26">
        <f>IF(D4230="","",MOD(D4230-cfgDeslocamento,4)+1)</f>
        <v>0</v>
      </c>
      <c r="G4230" s="26">
        <f>IF(A4230="","",IF(AND(ISNUMBER(B4230),B4230&lt;&gt;0),1,0))</f>
        <v>0</v>
      </c>
      <c r="H4230" s="25">
        <f>IF(E4230="","",(E4230*4+3+cfgDeslocamento)/48)</f>
        <v>0</v>
      </c>
    </row>
    <row r="4231" spans="1:8">
      <c r="A4231" s="24"/>
      <c r="B4231" s="19"/>
      <c r="C4231" s="25">
        <f>IF(D4231="","",D4231/48)</f>
        <v>0</v>
      </c>
      <c r="D4231" s="26">
        <f>IF(A4231="","",ROUND((A4231-cfgDefasagem/1440)*48,0))</f>
        <v>0</v>
      </c>
      <c r="E4231" s="26">
        <f>IF(D4231="","",INT((D4231-cfgDeslocamento)/4))</f>
        <v>0</v>
      </c>
      <c r="F4231" s="26">
        <f>IF(D4231="","",MOD(D4231-cfgDeslocamento,4)+1)</f>
        <v>0</v>
      </c>
      <c r="G4231" s="26">
        <f>IF(A4231="","",IF(AND(ISNUMBER(B4231),B4231&lt;&gt;0),1,0))</f>
        <v>0</v>
      </c>
      <c r="H4231" s="25">
        <f>IF(E4231="","",(E4231*4+3+cfgDeslocamento)/48)</f>
        <v>0</v>
      </c>
    </row>
    <row r="4232" spans="1:8">
      <c r="A4232" s="24"/>
      <c r="B4232" s="19"/>
      <c r="C4232" s="25">
        <f>IF(D4232="","",D4232/48)</f>
        <v>0</v>
      </c>
      <c r="D4232" s="26">
        <f>IF(A4232="","",ROUND((A4232-cfgDefasagem/1440)*48,0))</f>
        <v>0</v>
      </c>
      <c r="E4232" s="26">
        <f>IF(D4232="","",INT((D4232-cfgDeslocamento)/4))</f>
        <v>0</v>
      </c>
      <c r="F4232" s="26">
        <f>IF(D4232="","",MOD(D4232-cfgDeslocamento,4)+1)</f>
        <v>0</v>
      </c>
      <c r="G4232" s="26">
        <f>IF(A4232="","",IF(AND(ISNUMBER(B4232),B4232&lt;&gt;0),1,0))</f>
        <v>0</v>
      </c>
      <c r="H4232" s="25">
        <f>IF(E4232="","",(E4232*4+3+cfgDeslocamento)/48)</f>
        <v>0</v>
      </c>
    </row>
    <row r="4233" spans="1:8">
      <c r="A4233" s="24"/>
      <c r="B4233" s="19"/>
      <c r="C4233" s="25">
        <f>IF(D4233="","",D4233/48)</f>
        <v>0</v>
      </c>
      <c r="D4233" s="26">
        <f>IF(A4233="","",ROUND((A4233-cfgDefasagem/1440)*48,0))</f>
        <v>0</v>
      </c>
      <c r="E4233" s="26">
        <f>IF(D4233="","",INT((D4233-cfgDeslocamento)/4))</f>
        <v>0</v>
      </c>
      <c r="F4233" s="26">
        <f>IF(D4233="","",MOD(D4233-cfgDeslocamento,4)+1)</f>
        <v>0</v>
      </c>
      <c r="G4233" s="26">
        <f>IF(A4233="","",IF(AND(ISNUMBER(B4233),B4233&lt;&gt;0),1,0))</f>
        <v>0</v>
      </c>
      <c r="H4233" s="25">
        <f>IF(E4233="","",(E4233*4+3+cfgDeslocamento)/48)</f>
        <v>0</v>
      </c>
    </row>
    <row r="4234" spans="1:8">
      <c r="A4234" s="24"/>
      <c r="B4234" s="19"/>
      <c r="C4234" s="25">
        <f>IF(D4234="","",D4234/48)</f>
        <v>0</v>
      </c>
      <c r="D4234" s="26">
        <f>IF(A4234="","",ROUND((A4234-cfgDefasagem/1440)*48,0))</f>
        <v>0</v>
      </c>
      <c r="E4234" s="26">
        <f>IF(D4234="","",INT((D4234-cfgDeslocamento)/4))</f>
        <v>0</v>
      </c>
      <c r="F4234" s="26">
        <f>IF(D4234="","",MOD(D4234-cfgDeslocamento,4)+1)</f>
        <v>0</v>
      </c>
      <c r="G4234" s="26">
        <f>IF(A4234="","",IF(AND(ISNUMBER(B4234),B4234&lt;&gt;0),1,0))</f>
        <v>0</v>
      </c>
      <c r="H4234" s="25">
        <f>IF(E4234="","",(E4234*4+3+cfgDeslocamento)/48)</f>
        <v>0</v>
      </c>
    </row>
    <row r="4235" spans="1:8">
      <c r="A4235" s="24"/>
      <c r="B4235" s="19"/>
      <c r="C4235" s="25">
        <f>IF(D4235="","",D4235/48)</f>
        <v>0</v>
      </c>
      <c r="D4235" s="26">
        <f>IF(A4235="","",ROUND((A4235-cfgDefasagem/1440)*48,0))</f>
        <v>0</v>
      </c>
      <c r="E4235" s="26">
        <f>IF(D4235="","",INT((D4235-cfgDeslocamento)/4))</f>
        <v>0</v>
      </c>
      <c r="F4235" s="26">
        <f>IF(D4235="","",MOD(D4235-cfgDeslocamento,4)+1)</f>
        <v>0</v>
      </c>
      <c r="G4235" s="26">
        <f>IF(A4235="","",IF(AND(ISNUMBER(B4235),B4235&lt;&gt;0),1,0))</f>
        <v>0</v>
      </c>
      <c r="H4235" s="25">
        <f>IF(E4235="","",(E4235*4+3+cfgDeslocamento)/48)</f>
        <v>0</v>
      </c>
    </row>
    <row r="4236" spans="1:8">
      <c r="A4236" s="24"/>
      <c r="B4236" s="19"/>
      <c r="C4236" s="25">
        <f>IF(D4236="","",D4236/48)</f>
        <v>0</v>
      </c>
      <c r="D4236" s="26">
        <f>IF(A4236="","",ROUND((A4236-cfgDefasagem/1440)*48,0))</f>
        <v>0</v>
      </c>
      <c r="E4236" s="26">
        <f>IF(D4236="","",INT((D4236-cfgDeslocamento)/4))</f>
        <v>0</v>
      </c>
      <c r="F4236" s="26">
        <f>IF(D4236="","",MOD(D4236-cfgDeslocamento,4)+1)</f>
        <v>0</v>
      </c>
      <c r="G4236" s="26">
        <f>IF(A4236="","",IF(AND(ISNUMBER(B4236),B4236&lt;&gt;0),1,0))</f>
        <v>0</v>
      </c>
      <c r="H4236" s="25">
        <f>IF(E4236="","",(E4236*4+3+cfgDeslocamento)/48)</f>
        <v>0</v>
      </c>
    </row>
    <row r="4237" spans="1:8">
      <c r="A4237" s="24"/>
      <c r="B4237" s="19"/>
      <c r="C4237" s="25">
        <f>IF(D4237="","",D4237/48)</f>
        <v>0</v>
      </c>
      <c r="D4237" s="26">
        <f>IF(A4237="","",ROUND((A4237-cfgDefasagem/1440)*48,0))</f>
        <v>0</v>
      </c>
      <c r="E4237" s="26">
        <f>IF(D4237="","",INT((D4237-cfgDeslocamento)/4))</f>
        <v>0</v>
      </c>
      <c r="F4237" s="26">
        <f>IF(D4237="","",MOD(D4237-cfgDeslocamento,4)+1)</f>
        <v>0</v>
      </c>
      <c r="G4237" s="26">
        <f>IF(A4237="","",IF(AND(ISNUMBER(B4237),B4237&lt;&gt;0),1,0))</f>
        <v>0</v>
      </c>
      <c r="H4237" s="25">
        <f>IF(E4237="","",(E4237*4+3+cfgDeslocamento)/48)</f>
        <v>0</v>
      </c>
    </row>
    <row r="4238" spans="1:8">
      <c r="A4238" s="24"/>
      <c r="B4238" s="19"/>
      <c r="C4238" s="25">
        <f>IF(D4238="","",D4238/48)</f>
        <v>0</v>
      </c>
      <c r="D4238" s="26">
        <f>IF(A4238="","",ROUND((A4238-cfgDefasagem/1440)*48,0))</f>
        <v>0</v>
      </c>
      <c r="E4238" s="26">
        <f>IF(D4238="","",INT((D4238-cfgDeslocamento)/4))</f>
        <v>0</v>
      </c>
      <c r="F4238" s="26">
        <f>IF(D4238="","",MOD(D4238-cfgDeslocamento,4)+1)</f>
        <v>0</v>
      </c>
      <c r="G4238" s="26">
        <f>IF(A4238="","",IF(AND(ISNUMBER(B4238),B4238&lt;&gt;0),1,0))</f>
        <v>0</v>
      </c>
      <c r="H4238" s="25">
        <f>IF(E4238="","",(E4238*4+3+cfgDeslocamento)/48)</f>
        <v>0</v>
      </c>
    </row>
    <row r="4239" spans="1:8">
      <c r="A4239" s="24"/>
      <c r="B4239" s="19"/>
      <c r="C4239" s="25">
        <f>IF(D4239="","",D4239/48)</f>
        <v>0</v>
      </c>
      <c r="D4239" s="26">
        <f>IF(A4239="","",ROUND((A4239-cfgDefasagem/1440)*48,0))</f>
        <v>0</v>
      </c>
      <c r="E4239" s="26">
        <f>IF(D4239="","",INT((D4239-cfgDeslocamento)/4))</f>
        <v>0</v>
      </c>
      <c r="F4239" s="26">
        <f>IF(D4239="","",MOD(D4239-cfgDeslocamento,4)+1)</f>
        <v>0</v>
      </c>
      <c r="G4239" s="26">
        <f>IF(A4239="","",IF(AND(ISNUMBER(B4239),B4239&lt;&gt;0),1,0))</f>
        <v>0</v>
      </c>
      <c r="H4239" s="25">
        <f>IF(E4239="","",(E4239*4+3+cfgDeslocamento)/48)</f>
        <v>0</v>
      </c>
    </row>
    <row r="4240" spans="1:8">
      <c r="A4240" s="24"/>
      <c r="B4240" s="19"/>
      <c r="C4240" s="25">
        <f>IF(D4240="","",D4240/48)</f>
        <v>0</v>
      </c>
      <c r="D4240" s="26">
        <f>IF(A4240="","",ROUND((A4240-cfgDefasagem/1440)*48,0))</f>
        <v>0</v>
      </c>
      <c r="E4240" s="26">
        <f>IF(D4240="","",INT((D4240-cfgDeslocamento)/4))</f>
        <v>0</v>
      </c>
      <c r="F4240" s="26">
        <f>IF(D4240="","",MOD(D4240-cfgDeslocamento,4)+1)</f>
        <v>0</v>
      </c>
      <c r="G4240" s="26">
        <f>IF(A4240="","",IF(AND(ISNUMBER(B4240),B4240&lt;&gt;0),1,0))</f>
        <v>0</v>
      </c>
      <c r="H4240" s="25">
        <f>IF(E4240="","",(E4240*4+3+cfgDeslocamento)/48)</f>
        <v>0</v>
      </c>
    </row>
    <row r="4241" spans="1:8">
      <c r="A4241" s="24"/>
      <c r="B4241" s="19"/>
      <c r="C4241" s="25">
        <f>IF(D4241="","",D4241/48)</f>
        <v>0</v>
      </c>
      <c r="D4241" s="26">
        <f>IF(A4241="","",ROUND((A4241-cfgDefasagem/1440)*48,0))</f>
        <v>0</v>
      </c>
      <c r="E4241" s="26">
        <f>IF(D4241="","",INT((D4241-cfgDeslocamento)/4))</f>
        <v>0</v>
      </c>
      <c r="F4241" s="26">
        <f>IF(D4241="","",MOD(D4241-cfgDeslocamento,4)+1)</f>
        <v>0</v>
      </c>
      <c r="G4241" s="26">
        <f>IF(A4241="","",IF(AND(ISNUMBER(B4241),B4241&lt;&gt;0),1,0))</f>
        <v>0</v>
      </c>
      <c r="H4241" s="25">
        <f>IF(E4241="","",(E4241*4+3+cfgDeslocamento)/48)</f>
        <v>0</v>
      </c>
    </row>
    <row r="4242" spans="1:8">
      <c r="A4242" s="24"/>
      <c r="B4242" s="19"/>
      <c r="C4242" s="25">
        <f>IF(D4242="","",D4242/48)</f>
        <v>0</v>
      </c>
      <c r="D4242" s="26">
        <f>IF(A4242="","",ROUND((A4242-cfgDefasagem/1440)*48,0))</f>
        <v>0</v>
      </c>
      <c r="E4242" s="26">
        <f>IF(D4242="","",INT((D4242-cfgDeslocamento)/4))</f>
        <v>0</v>
      </c>
      <c r="F4242" s="26">
        <f>IF(D4242="","",MOD(D4242-cfgDeslocamento,4)+1)</f>
        <v>0</v>
      </c>
      <c r="G4242" s="26">
        <f>IF(A4242="","",IF(AND(ISNUMBER(B4242),B4242&lt;&gt;0),1,0))</f>
        <v>0</v>
      </c>
      <c r="H4242" s="25">
        <f>IF(E4242="","",(E4242*4+3+cfgDeslocamento)/48)</f>
        <v>0</v>
      </c>
    </row>
    <row r="4243" spans="1:8">
      <c r="A4243" s="24"/>
      <c r="B4243" s="19"/>
      <c r="C4243" s="25">
        <f>IF(D4243="","",D4243/48)</f>
        <v>0</v>
      </c>
      <c r="D4243" s="26">
        <f>IF(A4243="","",ROUND((A4243-cfgDefasagem/1440)*48,0))</f>
        <v>0</v>
      </c>
      <c r="E4243" s="26">
        <f>IF(D4243="","",INT((D4243-cfgDeslocamento)/4))</f>
        <v>0</v>
      </c>
      <c r="F4243" s="26">
        <f>IF(D4243="","",MOD(D4243-cfgDeslocamento,4)+1)</f>
        <v>0</v>
      </c>
      <c r="G4243" s="26">
        <f>IF(A4243="","",IF(AND(ISNUMBER(B4243),B4243&lt;&gt;0),1,0))</f>
        <v>0</v>
      </c>
      <c r="H4243" s="25">
        <f>IF(E4243="","",(E4243*4+3+cfgDeslocamento)/48)</f>
        <v>0</v>
      </c>
    </row>
    <row r="4244" spans="1:8">
      <c r="A4244" s="24"/>
      <c r="B4244" s="19"/>
      <c r="C4244" s="25">
        <f>IF(D4244="","",D4244/48)</f>
        <v>0</v>
      </c>
      <c r="D4244" s="26">
        <f>IF(A4244="","",ROUND((A4244-cfgDefasagem/1440)*48,0))</f>
        <v>0</v>
      </c>
      <c r="E4244" s="26">
        <f>IF(D4244="","",INT((D4244-cfgDeslocamento)/4))</f>
        <v>0</v>
      </c>
      <c r="F4244" s="26">
        <f>IF(D4244="","",MOD(D4244-cfgDeslocamento,4)+1)</f>
        <v>0</v>
      </c>
      <c r="G4244" s="26">
        <f>IF(A4244="","",IF(AND(ISNUMBER(B4244),B4244&lt;&gt;0),1,0))</f>
        <v>0</v>
      </c>
      <c r="H4244" s="25">
        <f>IF(E4244="","",(E4244*4+3+cfgDeslocamento)/48)</f>
        <v>0</v>
      </c>
    </row>
    <row r="4245" spans="1:8">
      <c r="A4245" s="24"/>
      <c r="B4245" s="19"/>
      <c r="C4245" s="25">
        <f>IF(D4245="","",D4245/48)</f>
        <v>0</v>
      </c>
      <c r="D4245" s="26">
        <f>IF(A4245="","",ROUND((A4245-cfgDefasagem/1440)*48,0))</f>
        <v>0</v>
      </c>
      <c r="E4245" s="26">
        <f>IF(D4245="","",INT((D4245-cfgDeslocamento)/4))</f>
        <v>0</v>
      </c>
      <c r="F4245" s="26">
        <f>IF(D4245="","",MOD(D4245-cfgDeslocamento,4)+1)</f>
        <v>0</v>
      </c>
      <c r="G4245" s="26">
        <f>IF(A4245="","",IF(AND(ISNUMBER(B4245),B4245&lt;&gt;0),1,0))</f>
        <v>0</v>
      </c>
      <c r="H4245" s="25">
        <f>IF(E4245="","",(E4245*4+3+cfgDeslocamento)/48)</f>
        <v>0</v>
      </c>
    </row>
    <row r="4246" spans="1:8">
      <c r="A4246" s="24"/>
      <c r="B4246" s="19"/>
      <c r="C4246" s="25">
        <f>IF(D4246="","",D4246/48)</f>
        <v>0</v>
      </c>
      <c r="D4246" s="26">
        <f>IF(A4246="","",ROUND((A4246-cfgDefasagem/1440)*48,0))</f>
        <v>0</v>
      </c>
      <c r="E4246" s="26">
        <f>IF(D4246="","",INT((D4246-cfgDeslocamento)/4))</f>
        <v>0</v>
      </c>
      <c r="F4246" s="26">
        <f>IF(D4246="","",MOD(D4246-cfgDeslocamento,4)+1)</f>
        <v>0</v>
      </c>
      <c r="G4246" s="26">
        <f>IF(A4246="","",IF(AND(ISNUMBER(B4246),B4246&lt;&gt;0),1,0))</f>
        <v>0</v>
      </c>
      <c r="H4246" s="25">
        <f>IF(E4246="","",(E4246*4+3+cfgDeslocamento)/48)</f>
        <v>0</v>
      </c>
    </row>
    <row r="4247" spans="1:8">
      <c r="A4247" s="24"/>
      <c r="B4247" s="19"/>
      <c r="C4247" s="25">
        <f>IF(D4247="","",D4247/48)</f>
        <v>0</v>
      </c>
      <c r="D4247" s="26">
        <f>IF(A4247="","",ROUND((A4247-cfgDefasagem/1440)*48,0))</f>
        <v>0</v>
      </c>
      <c r="E4247" s="26">
        <f>IF(D4247="","",INT((D4247-cfgDeslocamento)/4))</f>
        <v>0</v>
      </c>
      <c r="F4247" s="26">
        <f>IF(D4247="","",MOD(D4247-cfgDeslocamento,4)+1)</f>
        <v>0</v>
      </c>
      <c r="G4247" s="26">
        <f>IF(A4247="","",IF(AND(ISNUMBER(B4247),B4247&lt;&gt;0),1,0))</f>
        <v>0</v>
      </c>
      <c r="H4247" s="25">
        <f>IF(E4247="","",(E4247*4+3+cfgDeslocamento)/48)</f>
        <v>0</v>
      </c>
    </row>
    <row r="4248" spans="1:8">
      <c r="A4248" s="24"/>
      <c r="B4248" s="19"/>
      <c r="C4248" s="25">
        <f>IF(D4248="","",D4248/48)</f>
        <v>0</v>
      </c>
      <c r="D4248" s="26">
        <f>IF(A4248="","",ROUND((A4248-cfgDefasagem/1440)*48,0))</f>
        <v>0</v>
      </c>
      <c r="E4248" s="26">
        <f>IF(D4248="","",INT((D4248-cfgDeslocamento)/4))</f>
        <v>0</v>
      </c>
      <c r="F4248" s="26">
        <f>IF(D4248="","",MOD(D4248-cfgDeslocamento,4)+1)</f>
        <v>0</v>
      </c>
      <c r="G4248" s="26">
        <f>IF(A4248="","",IF(AND(ISNUMBER(B4248),B4248&lt;&gt;0),1,0))</f>
        <v>0</v>
      </c>
      <c r="H4248" s="25">
        <f>IF(E4248="","",(E4248*4+3+cfgDeslocamento)/48)</f>
        <v>0</v>
      </c>
    </row>
    <row r="4249" spans="1:8">
      <c r="A4249" s="24"/>
      <c r="B4249" s="19"/>
      <c r="C4249" s="25">
        <f>IF(D4249="","",D4249/48)</f>
        <v>0</v>
      </c>
      <c r="D4249" s="26">
        <f>IF(A4249="","",ROUND((A4249-cfgDefasagem/1440)*48,0))</f>
        <v>0</v>
      </c>
      <c r="E4249" s="26">
        <f>IF(D4249="","",INT((D4249-cfgDeslocamento)/4))</f>
        <v>0</v>
      </c>
      <c r="F4249" s="26">
        <f>IF(D4249="","",MOD(D4249-cfgDeslocamento,4)+1)</f>
        <v>0</v>
      </c>
      <c r="G4249" s="26">
        <f>IF(A4249="","",IF(AND(ISNUMBER(B4249),B4249&lt;&gt;0),1,0))</f>
        <v>0</v>
      </c>
      <c r="H4249" s="25">
        <f>IF(E4249="","",(E4249*4+3+cfgDeslocamento)/48)</f>
        <v>0</v>
      </c>
    </row>
    <row r="4250" spans="1:8">
      <c r="A4250" s="24"/>
      <c r="B4250" s="19"/>
      <c r="C4250" s="25">
        <f>IF(D4250="","",D4250/48)</f>
        <v>0</v>
      </c>
      <c r="D4250" s="26">
        <f>IF(A4250="","",ROUND((A4250-cfgDefasagem/1440)*48,0))</f>
        <v>0</v>
      </c>
      <c r="E4250" s="26">
        <f>IF(D4250="","",INT((D4250-cfgDeslocamento)/4))</f>
        <v>0</v>
      </c>
      <c r="F4250" s="26">
        <f>IF(D4250="","",MOD(D4250-cfgDeslocamento,4)+1)</f>
        <v>0</v>
      </c>
      <c r="G4250" s="26">
        <f>IF(A4250="","",IF(AND(ISNUMBER(B4250),B4250&lt;&gt;0),1,0))</f>
        <v>0</v>
      </c>
      <c r="H4250" s="25">
        <f>IF(E4250="","",(E4250*4+3+cfgDeslocamento)/48)</f>
        <v>0</v>
      </c>
    </row>
    <row r="4251" spans="1:8">
      <c r="A4251" s="24"/>
      <c r="B4251" s="19"/>
      <c r="C4251" s="25">
        <f>IF(D4251="","",D4251/48)</f>
        <v>0</v>
      </c>
      <c r="D4251" s="26">
        <f>IF(A4251="","",ROUND((A4251-cfgDefasagem/1440)*48,0))</f>
        <v>0</v>
      </c>
      <c r="E4251" s="26">
        <f>IF(D4251="","",INT((D4251-cfgDeslocamento)/4))</f>
        <v>0</v>
      </c>
      <c r="F4251" s="26">
        <f>IF(D4251="","",MOD(D4251-cfgDeslocamento,4)+1)</f>
        <v>0</v>
      </c>
      <c r="G4251" s="26">
        <f>IF(A4251="","",IF(AND(ISNUMBER(B4251),B4251&lt;&gt;0),1,0))</f>
        <v>0</v>
      </c>
      <c r="H4251" s="25">
        <f>IF(E4251="","",(E4251*4+3+cfgDeslocamento)/48)</f>
        <v>0</v>
      </c>
    </row>
    <row r="4252" spans="1:8">
      <c r="A4252" s="24"/>
      <c r="B4252" s="19"/>
      <c r="C4252" s="25">
        <f>IF(D4252="","",D4252/48)</f>
        <v>0</v>
      </c>
      <c r="D4252" s="26">
        <f>IF(A4252="","",ROUND((A4252-cfgDefasagem/1440)*48,0))</f>
        <v>0</v>
      </c>
      <c r="E4252" s="26">
        <f>IF(D4252="","",INT((D4252-cfgDeslocamento)/4))</f>
        <v>0</v>
      </c>
      <c r="F4252" s="26">
        <f>IF(D4252="","",MOD(D4252-cfgDeslocamento,4)+1)</f>
        <v>0</v>
      </c>
      <c r="G4252" s="26">
        <f>IF(A4252="","",IF(AND(ISNUMBER(B4252),B4252&lt;&gt;0),1,0))</f>
        <v>0</v>
      </c>
      <c r="H4252" s="25">
        <f>IF(E4252="","",(E4252*4+3+cfgDeslocamento)/48)</f>
        <v>0</v>
      </c>
    </row>
    <row r="4253" spans="1:8">
      <c r="A4253" s="24"/>
      <c r="B4253" s="19"/>
      <c r="C4253" s="25">
        <f>IF(D4253="","",D4253/48)</f>
        <v>0</v>
      </c>
      <c r="D4253" s="26">
        <f>IF(A4253="","",ROUND((A4253-cfgDefasagem/1440)*48,0))</f>
        <v>0</v>
      </c>
      <c r="E4253" s="26">
        <f>IF(D4253="","",INT((D4253-cfgDeslocamento)/4))</f>
        <v>0</v>
      </c>
      <c r="F4253" s="26">
        <f>IF(D4253="","",MOD(D4253-cfgDeslocamento,4)+1)</f>
        <v>0</v>
      </c>
      <c r="G4253" s="26">
        <f>IF(A4253="","",IF(AND(ISNUMBER(B4253),B4253&lt;&gt;0),1,0))</f>
        <v>0</v>
      </c>
      <c r="H4253" s="25">
        <f>IF(E4253="","",(E4253*4+3+cfgDeslocamento)/48)</f>
        <v>0</v>
      </c>
    </row>
    <row r="4254" spans="1:8">
      <c r="A4254" s="24"/>
      <c r="B4254" s="19"/>
      <c r="C4254" s="25">
        <f>IF(D4254="","",D4254/48)</f>
        <v>0</v>
      </c>
      <c r="D4254" s="26">
        <f>IF(A4254="","",ROUND((A4254-cfgDefasagem/1440)*48,0))</f>
        <v>0</v>
      </c>
      <c r="E4254" s="26">
        <f>IF(D4254="","",INT((D4254-cfgDeslocamento)/4))</f>
        <v>0</v>
      </c>
      <c r="F4254" s="26">
        <f>IF(D4254="","",MOD(D4254-cfgDeslocamento,4)+1)</f>
        <v>0</v>
      </c>
      <c r="G4254" s="26">
        <f>IF(A4254="","",IF(AND(ISNUMBER(B4254),B4254&lt;&gt;0),1,0))</f>
        <v>0</v>
      </c>
      <c r="H4254" s="25">
        <f>IF(E4254="","",(E4254*4+3+cfgDeslocamento)/48)</f>
        <v>0</v>
      </c>
    </row>
    <row r="4255" spans="1:8">
      <c r="A4255" s="24"/>
      <c r="B4255" s="19"/>
      <c r="C4255" s="25">
        <f>IF(D4255="","",D4255/48)</f>
        <v>0</v>
      </c>
      <c r="D4255" s="26">
        <f>IF(A4255="","",ROUND((A4255-cfgDefasagem/1440)*48,0))</f>
        <v>0</v>
      </c>
      <c r="E4255" s="26">
        <f>IF(D4255="","",INT((D4255-cfgDeslocamento)/4))</f>
        <v>0</v>
      </c>
      <c r="F4255" s="26">
        <f>IF(D4255="","",MOD(D4255-cfgDeslocamento,4)+1)</f>
        <v>0</v>
      </c>
      <c r="G4255" s="26">
        <f>IF(A4255="","",IF(AND(ISNUMBER(B4255),B4255&lt;&gt;0),1,0))</f>
        <v>0</v>
      </c>
      <c r="H4255" s="25">
        <f>IF(E4255="","",(E4255*4+3+cfgDeslocamento)/48)</f>
        <v>0</v>
      </c>
    </row>
    <row r="4256" spans="1:8">
      <c r="A4256" s="24"/>
      <c r="B4256" s="19"/>
      <c r="C4256" s="25">
        <f>IF(D4256="","",D4256/48)</f>
        <v>0</v>
      </c>
      <c r="D4256" s="26">
        <f>IF(A4256="","",ROUND((A4256-cfgDefasagem/1440)*48,0))</f>
        <v>0</v>
      </c>
      <c r="E4256" s="26">
        <f>IF(D4256="","",INT((D4256-cfgDeslocamento)/4))</f>
        <v>0</v>
      </c>
      <c r="F4256" s="26">
        <f>IF(D4256="","",MOD(D4256-cfgDeslocamento,4)+1)</f>
        <v>0</v>
      </c>
      <c r="G4256" s="26">
        <f>IF(A4256="","",IF(AND(ISNUMBER(B4256),B4256&lt;&gt;0),1,0))</f>
        <v>0</v>
      </c>
      <c r="H4256" s="25">
        <f>IF(E4256="","",(E4256*4+3+cfgDeslocamento)/48)</f>
        <v>0</v>
      </c>
    </row>
    <row r="4257" spans="1:8">
      <c r="A4257" s="24"/>
      <c r="B4257" s="19"/>
      <c r="C4257" s="25">
        <f>IF(D4257="","",D4257/48)</f>
        <v>0</v>
      </c>
      <c r="D4257" s="26">
        <f>IF(A4257="","",ROUND((A4257-cfgDefasagem/1440)*48,0))</f>
        <v>0</v>
      </c>
      <c r="E4257" s="26">
        <f>IF(D4257="","",INT((D4257-cfgDeslocamento)/4))</f>
        <v>0</v>
      </c>
      <c r="F4257" s="26">
        <f>IF(D4257="","",MOD(D4257-cfgDeslocamento,4)+1)</f>
        <v>0</v>
      </c>
      <c r="G4257" s="26">
        <f>IF(A4257="","",IF(AND(ISNUMBER(B4257),B4257&lt;&gt;0),1,0))</f>
        <v>0</v>
      </c>
      <c r="H4257" s="25">
        <f>IF(E4257="","",(E4257*4+3+cfgDeslocamento)/48)</f>
        <v>0</v>
      </c>
    </row>
    <row r="4258" spans="1:8">
      <c r="A4258" s="24"/>
      <c r="B4258" s="19"/>
      <c r="C4258" s="25">
        <f>IF(D4258="","",D4258/48)</f>
        <v>0</v>
      </c>
      <c r="D4258" s="26">
        <f>IF(A4258="","",ROUND((A4258-cfgDefasagem/1440)*48,0))</f>
        <v>0</v>
      </c>
      <c r="E4258" s="26">
        <f>IF(D4258="","",INT((D4258-cfgDeslocamento)/4))</f>
        <v>0</v>
      </c>
      <c r="F4258" s="26">
        <f>IF(D4258="","",MOD(D4258-cfgDeslocamento,4)+1)</f>
        <v>0</v>
      </c>
      <c r="G4258" s="26">
        <f>IF(A4258="","",IF(AND(ISNUMBER(B4258),B4258&lt;&gt;0),1,0))</f>
        <v>0</v>
      </c>
      <c r="H4258" s="25">
        <f>IF(E4258="","",(E4258*4+3+cfgDeslocamento)/48)</f>
        <v>0</v>
      </c>
    </row>
    <row r="4259" spans="1:8">
      <c r="A4259" s="24"/>
      <c r="B4259" s="19"/>
      <c r="C4259" s="25">
        <f>IF(D4259="","",D4259/48)</f>
        <v>0</v>
      </c>
      <c r="D4259" s="26">
        <f>IF(A4259="","",ROUND((A4259-cfgDefasagem/1440)*48,0))</f>
        <v>0</v>
      </c>
      <c r="E4259" s="26">
        <f>IF(D4259="","",INT((D4259-cfgDeslocamento)/4))</f>
        <v>0</v>
      </c>
      <c r="F4259" s="26">
        <f>IF(D4259="","",MOD(D4259-cfgDeslocamento,4)+1)</f>
        <v>0</v>
      </c>
      <c r="G4259" s="26">
        <f>IF(A4259="","",IF(AND(ISNUMBER(B4259),B4259&lt;&gt;0),1,0))</f>
        <v>0</v>
      </c>
      <c r="H4259" s="25">
        <f>IF(E4259="","",(E4259*4+3+cfgDeslocamento)/48)</f>
        <v>0</v>
      </c>
    </row>
    <row r="4260" spans="1:8">
      <c r="A4260" s="24"/>
      <c r="B4260" s="19"/>
      <c r="C4260" s="25">
        <f>IF(D4260="","",D4260/48)</f>
        <v>0</v>
      </c>
      <c r="D4260" s="26">
        <f>IF(A4260="","",ROUND((A4260-cfgDefasagem/1440)*48,0))</f>
        <v>0</v>
      </c>
      <c r="E4260" s="26">
        <f>IF(D4260="","",INT((D4260-cfgDeslocamento)/4))</f>
        <v>0</v>
      </c>
      <c r="F4260" s="26">
        <f>IF(D4260="","",MOD(D4260-cfgDeslocamento,4)+1)</f>
        <v>0</v>
      </c>
      <c r="G4260" s="26">
        <f>IF(A4260="","",IF(AND(ISNUMBER(B4260),B4260&lt;&gt;0),1,0))</f>
        <v>0</v>
      </c>
      <c r="H4260" s="25">
        <f>IF(E4260="","",(E4260*4+3+cfgDeslocamento)/48)</f>
        <v>0</v>
      </c>
    </row>
    <row r="4261" spans="1:8">
      <c r="A4261" s="24"/>
      <c r="B4261" s="19"/>
      <c r="C4261" s="25">
        <f>IF(D4261="","",D4261/48)</f>
        <v>0</v>
      </c>
      <c r="D4261" s="26">
        <f>IF(A4261="","",ROUND((A4261-cfgDefasagem/1440)*48,0))</f>
        <v>0</v>
      </c>
      <c r="E4261" s="26">
        <f>IF(D4261="","",INT((D4261-cfgDeslocamento)/4))</f>
        <v>0</v>
      </c>
      <c r="F4261" s="26">
        <f>IF(D4261="","",MOD(D4261-cfgDeslocamento,4)+1)</f>
        <v>0</v>
      </c>
      <c r="G4261" s="26">
        <f>IF(A4261="","",IF(AND(ISNUMBER(B4261),B4261&lt;&gt;0),1,0))</f>
        <v>0</v>
      </c>
      <c r="H4261" s="25">
        <f>IF(E4261="","",(E4261*4+3+cfgDeslocamento)/48)</f>
        <v>0</v>
      </c>
    </row>
    <row r="4262" spans="1:8">
      <c r="A4262" s="24"/>
      <c r="B4262" s="19"/>
      <c r="C4262" s="25">
        <f>IF(D4262="","",D4262/48)</f>
        <v>0</v>
      </c>
      <c r="D4262" s="26">
        <f>IF(A4262="","",ROUND((A4262-cfgDefasagem/1440)*48,0))</f>
        <v>0</v>
      </c>
      <c r="E4262" s="26">
        <f>IF(D4262="","",INT((D4262-cfgDeslocamento)/4))</f>
        <v>0</v>
      </c>
      <c r="F4262" s="26">
        <f>IF(D4262="","",MOD(D4262-cfgDeslocamento,4)+1)</f>
        <v>0</v>
      </c>
      <c r="G4262" s="26">
        <f>IF(A4262="","",IF(AND(ISNUMBER(B4262),B4262&lt;&gt;0),1,0))</f>
        <v>0</v>
      </c>
      <c r="H4262" s="25">
        <f>IF(E4262="","",(E4262*4+3+cfgDeslocamento)/48)</f>
        <v>0</v>
      </c>
    </row>
    <row r="4263" spans="1:8">
      <c r="A4263" s="24"/>
      <c r="B4263" s="19"/>
      <c r="C4263" s="25">
        <f>IF(D4263="","",D4263/48)</f>
        <v>0</v>
      </c>
      <c r="D4263" s="26">
        <f>IF(A4263="","",ROUND((A4263-cfgDefasagem/1440)*48,0))</f>
        <v>0</v>
      </c>
      <c r="E4263" s="26">
        <f>IF(D4263="","",INT((D4263-cfgDeslocamento)/4))</f>
        <v>0</v>
      </c>
      <c r="F4263" s="26">
        <f>IF(D4263="","",MOD(D4263-cfgDeslocamento,4)+1)</f>
        <v>0</v>
      </c>
      <c r="G4263" s="26">
        <f>IF(A4263="","",IF(AND(ISNUMBER(B4263),B4263&lt;&gt;0),1,0))</f>
        <v>0</v>
      </c>
      <c r="H4263" s="25">
        <f>IF(E4263="","",(E4263*4+3+cfgDeslocamento)/48)</f>
        <v>0</v>
      </c>
    </row>
    <row r="4264" spans="1:8">
      <c r="A4264" s="24"/>
      <c r="B4264" s="19"/>
      <c r="C4264" s="25">
        <f>IF(D4264="","",D4264/48)</f>
        <v>0</v>
      </c>
      <c r="D4264" s="26">
        <f>IF(A4264="","",ROUND((A4264-cfgDefasagem/1440)*48,0))</f>
        <v>0</v>
      </c>
      <c r="E4264" s="26">
        <f>IF(D4264="","",INT((D4264-cfgDeslocamento)/4))</f>
        <v>0</v>
      </c>
      <c r="F4264" s="26">
        <f>IF(D4264="","",MOD(D4264-cfgDeslocamento,4)+1)</f>
        <v>0</v>
      </c>
      <c r="G4264" s="26">
        <f>IF(A4264="","",IF(AND(ISNUMBER(B4264),B4264&lt;&gt;0),1,0))</f>
        <v>0</v>
      </c>
      <c r="H4264" s="25">
        <f>IF(E4264="","",(E4264*4+3+cfgDeslocamento)/48)</f>
        <v>0</v>
      </c>
    </row>
    <row r="4265" spans="1:8">
      <c r="A4265" s="24"/>
      <c r="B4265" s="19"/>
      <c r="C4265" s="25">
        <f>IF(D4265="","",D4265/48)</f>
        <v>0</v>
      </c>
      <c r="D4265" s="26">
        <f>IF(A4265="","",ROUND((A4265-cfgDefasagem/1440)*48,0))</f>
        <v>0</v>
      </c>
      <c r="E4265" s="26">
        <f>IF(D4265="","",INT((D4265-cfgDeslocamento)/4))</f>
        <v>0</v>
      </c>
      <c r="F4265" s="26">
        <f>IF(D4265="","",MOD(D4265-cfgDeslocamento,4)+1)</f>
        <v>0</v>
      </c>
      <c r="G4265" s="26">
        <f>IF(A4265="","",IF(AND(ISNUMBER(B4265),B4265&lt;&gt;0),1,0))</f>
        <v>0</v>
      </c>
      <c r="H4265" s="25">
        <f>IF(E4265="","",(E4265*4+3+cfgDeslocamento)/48)</f>
        <v>0</v>
      </c>
    </row>
    <row r="4266" spans="1:8">
      <c r="A4266" s="24"/>
      <c r="B4266" s="19"/>
      <c r="C4266" s="25">
        <f>IF(D4266="","",D4266/48)</f>
        <v>0</v>
      </c>
      <c r="D4266" s="26">
        <f>IF(A4266="","",ROUND((A4266-cfgDefasagem/1440)*48,0))</f>
        <v>0</v>
      </c>
      <c r="E4266" s="26">
        <f>IF(D4266="","",INT((D4266-cfgDeslocamento)/4))</f>
        <v>0</v>
      </c>
      <c r="F4266" s="26">
        <f>IF(D4266="","",MOD(D4266-cfgDeslocamento,4)+1)</f>
        <v>0</v>
      </c>
      <c r="G4266" s="26">
        <f>IF(A4266="","",IF(AND(ISNUMBER(B4266),B4266&lt;&gt;0),1,0))</f>
        <v>0</v>
      </c>
      <c r="H4266" s="25">
        <f>IF(E4266="","",(E4266*4+3+cfgDeslocamento)/48)</f>
        <v>0</v>
      </c>
    </row>
    <row r="4267" spans="1:8">
      <c r="A4267" s="24"/>
      <c r="B4267" s="19"/>
      <c r="C4267" s="25">
        <f>IF(D4267="","",D4267/48)</f>
        <v>0</v>
      </c>
      <c r="D4267" s="26">
        <f>IF(A4267="","",ROUND((A4267-cfgDefasagem/1440)*48,0))</f>
        <v>0</v>
      </c>
      <c r="E4267" s="26">
        <f>IF(D4267="","",INT((D4267-cfgDeslocamento)/4))</f>
        <v>0</v>
      </c>
      <c r="F4267" s="26">
        <f>IF(D4267="","",MOD(D4267-cfgDeslocamento,4)+1)</f>
        <v>0</v>
      </c>
      <c r="G4267" s="26">
        <f>IF(A4267="","",IF(AND(ISNUMBER(B4267),B4267&lt;&gt;0),1,0))</f>
        <v>0</v>
      </c>
      <c r="H4267" s="25">
        <f>IF(E4267="","",(E4267*4+3+cfgDeslocamento)/48)</f>
        <v>0</v>
      </c>
    </row>
    <row r="4268" spans="1:8">
      <c r="A4268" s="24"/>
      <c r="B4268" s="19"/>
      <c r="C4268" s="25">
        <f>IF(D4268="","",D4268/48)</f>
        <v>0</v>
      </c>
      <c r="D4268" s="26">
        <f>IF(A4268="","",ROUND((A4268-cfgDefasagem/1440)*48,0))</f>
        <v>0</v>
      </c>
      <c r="E4268" s="26">
        <f>IF(D4268="","",INT((D4268-cfgDeslocamento)/4))</f>
        <v>0</v>
      </c>
      <c r="F4268" s="26">
        <f>IF(D4268="","",MOD(D4268-cfgDeslocamento,4)+1)</f>
        <v>0</v>
      </c>
      <c r="G4268" s="26">
        <f>IF(A4268="","",IF(AND(ISNUMBER(B4268),B4268&lt;&gt;0),1,0))</f>
        <v>0</v>
      </c>
      <c r="H4268" s="25">
        <f>IF(E4268="","",(E4268*4+3+cfgDeslocamento)/48)</f>
        <v>0</v>
      </c>
    </row>
    <row r="4269" spans="1:8">
      <c r="A4269" s="24"/>
      <c r="B4269" s="19"/>
      <c r="C4269" s="25">
        <f>IF(D4269="","",D4269/48)</f>
        <v>0</v>
      </c>
      <c r="D4269" s="26">
        <f>IF(A4269="","",ROUND((A4269-cfgDefasagem/1440)*48,0))</f>
        <v>0</v>
      </c>
      <c r="E4269" s="26">
        <f>IF(D4269="","",INT((D4269-cfgDeslocamento)/4))</f>
        <v>0</v>
      </c>
      <c r="F4269" s="26">
        <f>IF(D4269="","",MOD(D4269-cfgDeslocamento,4)+1)</f>
        <v>0</v>
      </c>
      <c r="G4269" s="26">
        <f>IF(A4269="","",IF(AND(ISNUMBER(B4269),B4269&lt;&gt;0),1,0))</f>
        <v>0</v>
      </c>
      <c r="H4269" s="25">
        <f>IF(E4269="","",(E4269*4+3+cfgDeslocamento)/48)</f>
        <v>0</v>
      </c>
    </row>
    <row r="4270" spans="1:8">
      <c r="A4270" s="24"/>
      <c r="B4270" s="19"/>
      <c r="C4270" s="25">
        <f>IF(D4270="","",D4270/48)</f>
        <v>0</v>
      </c>
      <c r="D4270" s="26">
        <f>IF(A4270="","",ROUND((A4270-cfgDefasagem/1440)*48,0))</f>
        <v>0</v>
      </c>
      <c r="E4270" s="26">
        <f>IF(D4270="","",INT((D4270-cfgDeslocamento)/4))</f>
        <v>0</v>
      </c>
      <c r="F4270" s="26">
        <f>IF(D4270="","",MOD(D4270-cfgDeslocamento,4)+1)</f>
        <v>0</v>
      </c>
      <c r="G4270" s="26">
        <f>IF(A4270="","",IF(AND(ISNUMBER(B4270),B4270&lt;&gt;0),1,0))</f>
        <v>0</v>
      </c>
      <c r="H4270" s="25">
        <f>IF(E4270="","",(E4270*4+3+cfgDeslocamento)/48)</f>
        <v>0</v>
      </c>
    </row>
    <row r="4271" spans="1:8">
      <c r="A4271" s="24"/>
      <c r="B4271" s="19"/>
      <c r="C4271" s="25">
        <f>IF(D4271="","",D4271/48)</f>
        <v>0</v>
      </c>
      <c r="D4271" s="26">
        <f>IF(A4271="","",ROUND((A4271-cfgDefasagem/1440)*48,0))</f>
        <v>0</v>
      </c>
      <c r="E4271" s="26">
        <f>IF(D4271="","",INT((D4271-cfgDeslocamento)/4))</f>
        <v>0</v>
      </c>
      <c r="F4271" s="26">
        <f>IF(D4271="","",MOD(D4271-cfgDeslocamento,4)+1)</f>
        <v>0</v>
      </c>
      <c r="G4271" s="26">
        <f>IF(A4271="","",IF(AND(ISNUMBER(B4271),B4271&lt;&gt;0),1,0))</f>
        <v>0</v>
      </c>
      <c r="H4271" s="25">
        <f>IF(E4271="","",(E4271*4+3+cfgDeslocamento)/48)</f>
        <v>0</v>
      </c>
    </row>
    <row r="4272" spans="1:8">
      <c r="A4272" s="24"/>
      <c r="B4272" s="19"/>
      <c r="C4272" s="25">
        <f>IF(D4272="","",D4272/48)</f>
        <v>0</v>
      </c>
      <c r="D4272" s="26">
        <f>IF(A4272="","",ROUND((A4272-cfgDefasagem/1440)*48,0))</f>
        <v>0</v>
      </c>
      <c r="E4272" s="26">
        <f>IF(D4272="","",INT((D4272-cfgDeslocamento)/4))</f>
        <v>0</v>
      </c>
      <c r="F4272" s="26">
        <f>IF(D4272="","",MOD(D4272-cfgDeslocamento,4)+1)</f>
        <v>0</v>
      </c>
      <c r="G4272" s="26">
        <f>IF(A4272="","",IF(AND(ISNUMBER(B4272),B4272&lt;&gt;0),1,0))</f>
        <v>0</v>
      </c>
      <c r="H4272" s="25">
        <f>IF(E4272="","",(E4272*4+3+cfgDeslocamento)/48)</f>
        <v>0</v>
      </c>
    </row>
    <row r="4273" spans="1:8">
      <c r="A4273" s="24"/>
      <c r="B4273" s="19"/>
      <c r="C4273" s="25">
        <f>IF(D4273="","",D4273/48)</f>
        <v>0</v>
      </c>
      <c r="D4273" s="26">
        <f>IF(A4273="","",ROUND((A4273-cfgDefasagem/1440)*48,0))</f>
        <v>0</v>
      </c>
      <c r="E4273" s="26">
        <f>IF(D4273="","",INT((D4273-cfgDeslocamento)/4))</f>
        <v>0</v>
      </c>
      <c r="F4273" s="26">
        <f>IF(D4273="","",MOD(D4273-cfgDeslocamento,4)+1)</f>
        <v>0</v>
      </c>
      <c r="G4273" s="26">
        <f>IF(A4273="","",IF(AND(ISNUMBER(B4273),B4273&lt;&gt;0),1,0))</f>
        <v>0</v>
      </c>
      <c r="H4273" s="25">
        <f>IF(E4273="","",(E4273*4+3+cfgDeslocamento)/48)</f>
        <v>0</v>
      </c>
    </row>
    <row r="4274" spans="1:8">
      <c r="A4274" s="24"/>
      <c r="B4274" s="19"/>
      <c r="C4274" s="25">
        <f>IF(D4274="","",D4274/48)</f>
        <v>0</v>
      </c>
      <c r="D4274" s="26">
        <f>IF(A4274="","",ROUND((A4274-cfgDefasagem/1440)*48,0))</f>
        <v>0</v>
      </c>
      <c r="E4274" s="26">
        <f>IF(D4274="","",INT((D4274-cfgDeslocamento)/4))</f>
        <v>0</v>
      </c>
      <c r="F4274" s="26">
        <f>IF(D4274="","",MOD(D4274-cfgDeslocamento,4)+1)</f>
        <v>0</v>
      </c>
      <c r="G4274" s="26">
        <f>IF(A4274="","",IF(AND(ISNUMBER(B4274),B4274&lt;&gt;0),1,0))</f>
        <v>0</v>
      </c>
      <c r="H4274" s="25">
        <f>IF(E4274="","",(E4274*4+3+cfgDeslocamento)/48)</f>
        <v>0</v>
      </c>
    </row>
    <row r="4275" spans="1:8">
      <c r="A4275" s="24"/>
      <c r="B4275" s="19"/>
      <c r="C4275" s="25">
        <f>IF(D4275="","",D4275/48)</f>
        <v>0</v>
      </c>
      <c r="D4275" s="26">
        <f>IF(A4275="","",ROUND((A4275-cfgDefasagem/1440)*48,0))</f>
        <v>0</v>
      </c>
      <c r="E4275" s="26">
        <f>IF(D4275="","",INT((D4275-cfgDeslocamento)/4))</f>
        <v>0</v>
      </c>
      <c r="F4275" s="26">
        <f>IF(D4275="","",MOD(D4275-cfgDeslocamento,4)+1)</f>
        <v>0</v>
      </c>
      <c r="G4275" s="26">
        <f>IF(A4275="","",IF(AND(ISNUMBER(B4275),B4275&lt;&gt;0),1,0))</f>
        <v>0</v>
      </c>
      <c r="H4275" s="25">
        <f>IF(E4275="","",(E4275*4+3+cfgDeslocamento)/48)</f>
        <v>0</v>
      </c>
    </row>
    <row r="4276" spans="1:8">
      <c r="A4276" s="24"/>
      <c r="B4276" s="19"/>
      <c r="C4276" s="25">
        <f>IF(D4276="","",D4276/48)</f>
        <v>0</v>
      </c>
      <c r="D4276" s="26">
        <f>IF(A4276="","",ROUND((A4276-cfgDefasagem/1440)*48,0))</f>
        <v>0</v>
      </c>
      <c r="E4276" s="26">
        <f>IF(D4276="","",INT((D4276-cfgDeslocamento)/4))</f>
        <v>0</v>
      </c>
      <c r="F4276" s="26">
        <f>IF(D4276="","",MOD(D4276-cfgDeslocamento,4)+1)</f>
        <v>0</v>
      </c>
      <c r="G4276" s="26">
        <f>IF(A4276="","",IF(AND(ISNUMBER(B4276),B4276&lt;&gt;0),1,0))</f>
        <v>0</v>
      </c>
      <c r="H4276" s="25">
        <f>IF(E4276="","",(E4276*4+3+cfgDeslocamento)/48)</f>
        <v>0</v>
      </c>
    </row>
    <row r="4277" spans="1:8">
      <c r="A4277" s="24"/>
      <c r="B4277" s="19"/>
      <c r="C4277" s="25">
        <f>IF(D4277="","",D4277/48)</f>
        <v>0</v>
      </c>
      <c r="D4277" s="26">
        <f>IF(A4277="","",ROUND((A4277-cfgDefasagem/1440)*48,0))</f>
        <v>0</v>
      </c>
      <c r="E4277" s="26">
        <f>IF(D4277="","",INT((D4277-cfgDeslocamento)/4))</f>
        <v>0</v>
      </c>
      <c r="F4277" s="26">
        <f>IF(D4277="","",MOD(D4277-cfgDeslocamento,4)+1)</f>
        <v>0</v>
      </c>
      <c r="G4277" s="26">
        <f>IF(A4277="","",IF(AND(ISNUMBER(B4277),B4277&lt;&gt;0),1,0))</f>
        <v>0</v>
      </c>
      <c r="H4277" s="25">
        <f>IF(E4277="","",(E4277*4+3+cfgDeslocamento)/48)</f>
        <v>0</v>
      </c>
    </row>
    <row r="4278" spans="1:8">
      <c r="A4278" s="24"/>
      <c r="B4278" s="19"/>
      <c r="C4278" s="25">
        <f>IF(D4278="","",D4278/48)</f>
        <v>0</v>
      </c>
      <c r="D4278" s="26">
        <f>IF(A4278="","",ROUND((A4278-cfgDefasagem/1440)*48,0))</f>
        <v>0</v>
      </c>
      <c r="E4278" s="26">
        <f>IF(D4278="","",INT((D4278-cfgDeslocamento)/4))</f>
        <v>0</v>
      </c>
      <c r="F4278" s="26">
        <f>IF(D4278="","",MOD(D4278-cfgDeslocamento,4)+1)</f>
        <v>0</v>
      </c>
      <c r="G4278" s="26">
        <f>IF(A4278="","",IF(AND(ISNUMBER(B4278),B4278&lt;&gt;0),1,0))</f>
        <v>0</v>
      </c>
      <c r="H4278" s="25">
        <f>IF(E4278="","",(E4278*4+3+cfgDeslocamento)/48)</f>
        <v>0</v>
      </c>
    </row>
    <row r="4279" spans="1:8">
      <c r="A4279" s="24"/>
      <c r="B4279" s="19"/>
      <c r="C4279" s="25">
        <f>IF(D4279="","",D4279/48)</f>
        <v>0</v>
      </c>
      <c r="D4279" s="26">
        <f>IF(A4279="","",ROUND((A4279-cfgDefasagem/1440)*48,0))</f>
        <v>0</v>
      </c>
      <c r="E4279" s="26">
        <f>IF(D4279="","",INT((D4279-cfgDeslocamento)/4))</f>
        <v>0</v>
      </c>
      <c r="F4279" s="26">
        <f>IF(D4279="","",MOD(D4279-cfgDeslocamento,4)+1)</f>
        <v>0</v>
      </c>
      <c r="G4279" s="26">
        <f>IF(A4279="","",IF(AND(ISNUMBER(B4279),B4279&lt;&gt;0),1,0))</f>
        <v>0</v>
      </c>
      <c r="H4279" s="25">
        <f>IF(E4279="","",(E4279*4+3+cfgDeslocamento)/48)</f>
        <v>0</v>
      </c>
    </row>
    <row r="4280" spans="1:8">
      <c r="A4280" s="24"/>
      <c r="B4280" s="19"/>
      <c r="C4280" s="25">
        <f>IF(D4280="","",D4280/48)</f>
        <v>0</v>
      </c>
      <c r="D4280" s="26">
        <f>IF(A4280="","",ROUND((A4280-cfgDefasagem/1440)*48,0))</f>
        <v>0</v>
      </c>
      <c r="E4280" s="26">
        <f>IF(D4280="","",INT((D4280-cfgDeslocamento)/4))</f>
        <v>0</v>
      </c>
      <c r="F4280" s="26">
        <f>IF(D4280="","",MOD(D4280-cfgDeslocamento,4)+1)</f>
        <v>0</v>
      </c>
      <c r="G4280" s="26">
        <f>IF(A4280="","",IF(AND(ISNUMBER(B4280),B4280&lt;&gt;0),1,0))</f>
        <v>0</v>
      </c>
      <c r="H4280" s="25">
        <f>IF(E4280="","",(E4280*4+3+cfgDeslocamento)/48)</f>
        <v>0</v>
      </c>
    </row>
    <row r="4281" spans="1:8">
      <c r="A4281" s="24"/>
      <c r="B4281" s="19"/>
      <c r="C4281" s="25">
        <f>IF(D4281="","",D4281/48)</f>
        <v>0</v>
      </c>
      <c r="D4281" s="26">
        <f>IF(A4281="","",ROUND((A4281-cfgDefasagem/1440)*48,0))</f>
        <v>0</v>
      </c>
      <c r="E4281" s="26">
        <f>IF(D4281="","",INT((D4281-cfgDeslocamento)/4))</f>
        <v>0</v>
      </c>
      <c r="F4281" s="26">
        <f>IF(D4281="","",MOD(D4281-cfgDeslocamento,4)+1)</f>
        <v>0</v>
      </c>
      <c r="G4281" s="26">
        <f>IF(A4281="","",IF(AND(ISNUMBER(B4281),B4281&lt;&gt;0),1,0))</f>
        <v>0</v>
      </c>
      <c r="H4281" s="25">
        <f>IF(E4281="","",(E4281*4+3+cfgDeslocamento)/48)</f>
        <v>0</v>
      </c>
    </row>
    <row r="4282" spans="1:8">
      <c r="A4282" s="24"/>
      <c r="B4282" s="19"/>
      <c r="C4282" s="25">
        <f>IF(D4282="","",D4282/48)</f>
        <v>0</v>
      </c>
      <c r="D4282" s="26">
        <f>IF(A4282="","",ROUND((A4282-cfgDefasagem/1440)*48,0))</f>
        <v>0</v>
      </c>
      <c r="E4282" s="26">
        <f>IF(D4282="","",INT((D4282-cfgDeslocamento)/4))</f>
        <v>0</v>
      </c>
      <c r="F4282" s="26">
        <f>IF(D4282="","",MOD(D4282-cfgDeslocamento,4)+1)</f>
        <v>0</v>
      </c>
      <c r="G4282" s="26">
        <f>IF(A4282="","",IF(AND(ISNUMBER(B4282),B4282&lt;&gt;0),1,0))</f>
        <v>0</v>
      </c>
      <c r="H4282" s="25">
        <f>IF(E4282="","",(E4282*4+3+cfgDeslocamento)/48)</f>
        <v>0</v>
      </c>
    </row>
    <row r="4283" spans="1:8">
      <c r="A4283" s="24"/>
      <c r="B4283" s="19"/>
      <c r="C4283" s="25">
        <f>IF(D4283="","",D4283/48)</f>
        <v>0</v>
      </c>
      <c r="D4283" s="26">
        <f>IF(A4283="","",ROUND((A4283-cfgDefasagem/1440)*48,0))</f>
        <v>0</v>
      </c>
      <c r="E4283" s="26">
        <f>IF(D4283="","",INT((D4283-cfgDeslocamento)/4))</f>
        <v>0</v>
      </c>
      <c r="F4283" s="26">
        <f>IF(D4283="","",MOD(D4283-cfgDeslocamento,4)+1)</f>
        <v>0</v>
      </c>
      <c r="G4283" s="26">
        <f>IF(A4283="","",IF(AND(ISNUMBER(B4283),B4283&lt;&gt;0),1,0))</f>
        <v>0</v>
      </c>
      <c r="H4283" s="25">
        <f>IF(E4283="","",(E4283*4+3+cfgDeslocamento)/48)</f>
        <v>0</v>
      </c>
    </row>
    <row r="4284" spans="1:8">
      <c r="A4284" s="24"/>
      <c r="B4284" s="19"/>
      <c r="C4284" s="25">
        <f>IF(D4284="","",D4284/48)</f>
        <v>0</v>
      </c>
      <c r="D4284" s="26">
        <f>IF(A4284="","",ROUND((A4284-cfgDefasagem/1440)*48,0))</f>
        <v>0</v>
      </c>
      <c r="E4284" s="26">
        <f>IF(D4284="","",INT((D4284-cfgDeslocamento)/4))</f>
        <v>0</v>
      </c>
      <c r="F4284" s="26">
        <f>IF(D4284="","",MOD(D4284-cfgDeslocamento,4)+1)</f>
        <v>0</v>
      </c>
      <c r="G4284" s="26">
        <f>IF(A4284="","",IF(AND(ISNUMBER(B4284),B4284&lt;&gt;0),1,0))</f>
        <v>0</v>
      </c>
      <c r="H4284" s="25">
        <f>IF(E4284="","",(E4284*4+3+cfgDeslocamento)/48)</f>
        <v>0</v>
      </c>
    </row>
    <row r="4285" spans="1:8">
      <c r="A4285" s="24"/>
      <c r="B4285" s="19"/>
      <c r="C4285" s="25">
        <f>IF(D4285="","",D4285/48)</f>
        <v>0</v>
      </c>
      <c r="D4285" s="26">
        <f>IF(A4285="","",ROUND((A4285-cfgDefasagem/1440)*48,0))</f>
        <v>0</v>
      </c>
      <c r="E4285" s="26">
        <f>IF(D4285="","",INT((D4285-cfgDeslocamento)/4))</f>
        <v>0</v>
      </c>
      <c r="F4285" s="26">
        <f>IF(D4285="","",MOD(D4285-cfgDeslocamento,4)+1)</f>
        <v>0</v>
      </c>
      <c r="G4285" s="26">
        <f>IF(A4285="","",IF(AND(ISNUMBER(B4285),B4285&lt;&gt;0),1,0))</f>
        <v>0</v>
      </c>
      <c r="H4285" s="25">
        <f>IF(E4285="","",(E4285*4+3+cfgDeslocamento)/48)</f>
        <v>0</v>
      </c>
    </row>
    <row r="4286" spans="1:8">
      <c r="A4286" s="24"/>
      <c r="B4286" s="19"/>
      <c r="C4286" s="25">
        <f>IF(D4286="","",D4286/48)</f>
        <v>0</v>
      </c>
      <c r="D4286" s="26">
        <f>IF(A4286="","",ROUND((A4286-cfgDefasagem/1440)*48,0))</f>
        <v>0</v>
      </c>
      <c r="E4286" s="26">
        <f>IF(D4286="","",INT((D4286-cfgDeslocamento)/4))</f>
        <v>0</v>
      </c>
      <c r="F4286" s="26">
        <f>IF(D4286="","",MOD(D4286-cfgDeslocamento,4)+1)</f>
        <v>0</v>
      </c>
      <c r="G4286" s="26">
        <f>IF(A4286="","",IF(AND(ISNUMBER(B4286),B4286&lt;&gt;0),1,0))</f>
        <v>0</v>
      </c>
      <c r="H4286" s="25">
        <f>IF(E4286="","",(E4286*4+3+cfgDeslocamento)/48)</f>
        <v>0</v>
      </c>
    </row>
    <row r="4287" spans="1:8">
      <c r="A4287" s="24"/>
      <c r="B4287" s="19"/>
      <c r="C4287" s="25">
        <f>IF(D4287="","",D4287/48)</f>
        <v>0</v>
      </c>
      <c r="D4287" s="26">
        <f>IF(A4287="","",ROUND((A4287-cfgDefasagem/1440)*48,0))</f>
        <v>0</v>
      </c>
      <c r="E4287" s="26">
        <f>IF(D4287="","",INT((D4287-cfgDeslocamento)/4))</f>
        <v>0</v>
      </c>
      <c r="F4287" s="26">
        <f>IF(D4287="","",MOD(D4287-cfgDeslocamento,4)+1)</f>
        <v>0</v>
      </c>
      <c r="G4287" s="26">
        <f>IF(A4287="","",IF(AND(ISNUMBER(B4287),B4287&lt;&gt;0),1,0))</f>
        <v>0</v>
      </c>
      <c r="H4287" s="25">
        <f>IF(E4287="","",(E4287*4+3+cfgDeslocamento)/48)</f>
        <v>0</v>
      </c>
    </row>
    <row r="4288" spans="1:8">
      <c r="A4288" s="24"/>
      <c r="B4288" s="19"/>
      <c r="C4288" s="25">
        <f>IF(D4288="","",D4288/48)</f>
        <v>0</v>
      </c>
      <c r="D4288" s="26">
        <f>IF(A4288="","",ROUND((A4288-cfgDefasagem/1440)*48,0))</f>
        <v>0</v>
      </c>
      <c r="E4288" s="26">
        <f>IF(D4288="","",INT((D4288-cfgDeslocamento)/4))</f>
        <v>0</v>
      </c>
      <c r="F4288" s="26">
        <f>IF(D4288="","",MOD(D4288-cfgDeslocamento,4)+1)</f>
        <v>0</v>
      </c>
      <c r="G4288" s="26">
        <f>IF(A4288="","",IF(AND(ISNUMBER(B4288),B4288&lt;&gt;0),1,0))</f>
        <v>0</v>
      </c>
      <c r="H4288" s="25">
        <f>IF(E4288="","",(E4288*4+3+cfgDeslocamento)/48)</f>
        <v>0</v>
      </c>
    </row>
    <row r="4289" spans="1:8">
      <c r="A4289" s="24"/>
      <c r="B4289" s="19"/>
      <c r="C4289" s="25">
        <f>IF(D4289="","",D4289/48)</f>
        <v>0</v>
      </c>
      <c r="D4289" s="26">
        <f>IF(A4289="","",ROUND((A4289-cfgDefasagem/1440)*48,0))</f>
        <v>0</v>
      </c>
      <c r="E4289" s="26">
        <f>IF(D4289="","",INT((D4289-cfgDeslocamento)/4))</f>
        <v>0</v>
      </c>
      <c r="F4289" s="26">
        <f>IF(D4289="","",MOD(D4289-cfgDeslocamento,4)+1)</f>
        <v>0</v>
      </c>
      <c r="G4289" s="26">
        <f>IF(A4289="","",IF(AND(ISNUMBER(B4289),B4289&lt;&gt;0),1,0))</f>
        <v>0</v>
      </c>
      <c r="H4289" s="25">
        <f>IF(E4289="","",(E4289*4+3+cfgDeslocamento)/48)</f>
        <v>0</v>
      </c>
    </row>
    <row r="4290" spans="1:8">
      <c r="A4290" s="24"/>
      <c r="B4290" s="19"/>
      <c r="C4290" s="25">
        <f>IF(D4290="","",D4290/48)</f>
        <v>0</v>
      </c>
      <c r="D4290" s="26">
        <f>IF(A4290="","",ROUND((A4290-cfgDefasagem/1440)*48,0))</f>
        <v>0</v>
      </c>
      <c r="E4290" s="26">
        <f>IF(D4290="","",INT((D4290-cfgDeslocamento)/4))</f>
        <v>0</v>
      </c>
      <c r="F4290" s="26">
        <f>IF(D4290="","",MOD(D4290-cfgDeslocamento,4)+1)</f>
        <v>0</v>
      </c>
      <c r="G4290" s="26">
        <f>IF(A4290="","",IF(AND(ISNUMBER(B4290),B4290&lt;&gt;0),1,0))</f>
        <v>0</v>
      </c>
      <c r="H4290" s="25">
        <f>IF(E4290="","",(E4290*4+3+cfgDeslocamento)/48)</f>
        <v>0</v>
      </c>
    </row>
    <row r="4291" spans="1:8">
      <c r="A4291" s="24"/>
      <c r="B4291" s="19"/>
      <c r="C4291" s="25">
        <f>IF(D4291="","",D4291/48)</f>
        <v>0</v>
      </c>
      <c r="D4291" s="26">
        <f>IF(A4291="","",ROUND((A4291-cfgDefasagem/1440)*48,0))</f>
        <v>0</v>
      </c>
      <c r="E4291" s="26">
        <f>IF(D4291="","",INT((D4291-cfgDeslocamento)/4))</f>
        <v>0</v>
      </c>
      <c r="F4291" s="26">
        <f>IF(D4291="","",MOD(D4291-cfgDeslocamento,4)+1)</f>
        <v>0</v>
      </c>
      <c r="G4291" s="26">
        <f>IF(A4291="","",IF(AND(ISNUMBER(B4291),B4291&lt;&gt;0),1,0))</f>
        <v>0</v>
      </c>
      <c r="H4291" s="25">
        <f>IF(E4291="","",(E4291*4+3+cfgDeslocamento)/48)</f>
        <v>0</v>
      </c>
    </row>
    <row r="4292" spans="1:8">
      <c r="A4292" s="24"/>
      <c r="B4292" s="19"/>
      <c r="C4292" s="25">
        <f>IF(D4292="","",D4292/48)</f>
        <v>0</v>
      </c>
      <c r="D4292" s="26">
        <f>IF(A4292="","",ROUND((A4292-cfgDefasagem/1440)*48,0))</f>
        <v>0</v>
      </c>
      <c r="E4292" s="26">
        <f>IF(D4292="","",INT((D4292-cfgDeslocamento)/4))</f>
        <v>0</v>
      </c>
      <c r="F4292" s="26">
        <f>IF(D4292="","",MOD(D4292-cfgDeslocamento,4)+1)</f>
        <v>0</v>
      </c>
      <c r="G4292" s="26">
        <f>IF(A4292="","",IF(AND(ISNUMBER(B4292),B4292&lt;&gt;0),1,0))</f>
        <v>0</v>
      </c>
      <c r="H4292" s="25">
        <f>IF(E4292="","",(E4292*4+3+cfgDeslocamento)/48)</f>
        <v>0</v>
      </c>
    </row>
    <row r="4293" spans="1:8">
      <c r="A4293" s="24"/>
      <c r="B4293" s="19"/>
      <c r="C4293" s="25">
        <f>IF(D4293="","",D4293/48)</f>
        <v>0</v>
      </c>
      <c r="D4293" s="26">
        <f>IF(A4293="","",ROUND((A4293-cfgDefasagem/1440)*48,0))</f>
        <v>0</v>
      </c>
      <c r="E4293" s="26">
        <f>IF(D4293="","",INT((D4293-cfgDeslocamento)/4))</f>
        <v>0</v>
      </c>
      <c r="F4293" s="26">
        <f>IF(D4293="","",MOD(D4293-cfgDeslocamento,4)+1)</f>
        <v>0</v>
      </c>
      <c r="G4293" s="26">
        <f>IF(A4293="","",IF(AND(ISNUMBER(B4293),B4293&lt;&gt;0),1,0))</f>
        <v>0</v>
      </c>
      <c r="H4293" s="25">
        <f>IF(E4293="","",(E4293*4+3+cfgDeslocamento)/48)</f>
        <v>0</v>
      </c>
    </row>
    <row r="4294" spans="1:8">
      <c r="A4294" s="24"/>
      <c r="B4294" s="19"/>
      <c r="C4294" s="25">
        <f>IF(D4294="","",D4294/48)</f>
        <v>0</v>
      </c>
      <c r="D4294" s="26">
        <f>IF(A4294="","",ROUND((A4294-cfgDefasagem/1440)*48,0))</f>
        <v>0</v>
      </c>
      <c r="E4294" s="26">
        <f>IF(D4294="","",INT((D4294-cfgDeslocamento)/4))</f>
        <v>0</v>
      </c>
      <c r="F4294" s="26">
        <f>IF(D4294="","",MOD(D4294-cfgDeslocamento,4)+1)</f>
        <v>0</v>
      </c>
      <c r="G4294" s="26">
        <f>IF(A4294="","",IF(AND(ISNUMBER(B4294),B4294&lt;&gt;0),1,0))</f>
        <v>0</v>
      </c>
      <c r="H4294" s="25">
        <f>IF(E4294="","",(E4294*4+3+cfgDeslocamento)/48)</f>
        <v>0</v>
      </c>
    </row>
    <row r="4295" spans="1:8">
      <c r="A4295" s="24"/>
      <c r="B4295" s="19"/>
      <c r="C4295" s="25">
        <f>IF(D4295="","",D4295/48)</f>
        <v>0</v>
      </c>
      <c r="D4295" s="26">
        <f>IF(A4295="","",ROUND((A4295-cfgDefasagem/1440)*48,0))</f>
        <v>0</v>
      </c>
      <c r="E4295" s="26">
        <f>IF(D4295="","",INT((D4295-cfgDeslocamento)/4))</f>
        <v>0</v>
      </c>
      <c r="F4295" s="26">
        <f>IF(D4295="","",MOD(D4295-cfgDeslocamento,4)+1)</f>
        <v>0</v>
      </c>
      <c r="G4295" s="26">
        <f>IF(A4295="","",IF(AND(ISNUMBER(B4295),B4295&lt;&gt;0),1,0))</f>
        <v>0</v>
      </c>
      <c r="H4295" s="25">
        <f>IF(E4295="","",(E4295*4+3+cfgDeslocamento)/48)</f>
        <v>0</v>
      </c>
    </row>
    <row r="4296" spans="1:8">
      <c r="A4296" s="24"/>
      <c r="B4296" s="19"/>
      <c r="C4296" s="25">
        <f>IF(D4296="","",D4296/48)</f>
        <v>0</v>
      </c>
      <c r="D4296" s="26">
        <f>IF(A4296="","",ROUND((A4296-cfgDefasagem/1440)*48,0))</f>
        <v>0</v>
      </c>
      <c r="E4296" s="26">
        <f>IF(D4296="","",INT((D4296-cfgDeslocamento)/4))</f>
        <v>0</v>
      </c>
      <c r="F4296" s="26">
        <f>IF(D4296="","",MOD(D4296-cfgDeslocamento,4)+1)</f>
        <v>0</v>
      </c>
      <c r="G4296" s="26">
        <f>IF(A4296="","",IF(AND(ISNUMBER(B4296),B4296&lt;&gt;0),1,0))</f>
        <v>0</v>
      </c>
      <c r="H4296" s="25">
        <f>IF(E4296="","",(E4296*4+3+cfgDeslocamento)/48)</f>
        <v>0</v>
      </c>
    </row>
    <row r="4297" spans="1:8">
      <c r="A4297" s="24"/>
      <c r="B4297" s="19"/>
      <c r="C4297" s="25">
        <f>IF(D4297="","",D4297/48)</f>
        <v>0</v>
      </c>
      <c r="D4297" s="26">
        <f>IF(A4297="","",ROUND((A4297-cfgDefasagem/1440)*48,0))</f>
        <v>0</v>
      </c>
      <c r="E4297" s="26">
        <f>IF(D4297="","",INT((D4297-cfgDeslocamento)/4))</f>
        <v>0</v>
      </c>
      <c r="F4297" s="26">
        <f>IF(D4297="","",MOD(D4297-cfgDeslocamento,4)+1)</f>
        <v>0</v>
      </c>
      <c r="G4297" s="26">
        <f>IF(A4297="","",IF(AND(ISNUMBER(B4297),B4297&lt;&gt;0),1,0))</f>
        <v>0</v>
      </c>
      <c r="H4297" s="25">
        <f>IF(E4297="","",(E4297*4+3+cfgDeslocamento)/48)</f>
        <v>0</v>
      </c>
    </row>
    <row r="4298" spans="1:8">
      <c r="A4298" s="24"/>
      <c r="B4298" s="19"/>
      <c r="C4298" s="25">
        <f>IF(D4298="","",D4298/48)</f>
        <v>0</v>
      </c>
      <c r="D4298" s="26">
        <f>IF(A4298="","",ROUND((A4298-cfgDefasagem/1440)*48,0))</f>
        <v>0</v>
      </c>
      <c r="E4298" s="26">
        <f>IF(D4298="","",INT((D4298-cfgDeslocamento)/4))</f>
        <v>0</v>
      </c>
      <c r="F4298" s="26">
        <f>IF(D4298="","",MOD(D4298-cfgDeslocamento,4)+1)</f>
        <v>0</v>
      </c>
      <c r="G4298" s="26">
        <f>IF(A4298="","",IF(AND(ISNUMBER(B4298),B4298&lt;&gt;0),1,0))</f>
        <v>0</v>
      </c>
      <c r="H4298" s="25">
        <f>IF(E4298="","",(E4298*4+3+cfgDeslocamento)/48)</f>
        <v>0</v>
      </c>
    </row>
    <row r="4299" spans="1:8">
      <c r="A4299" s="24"/>
      <c r="B4299" s="19"/>
      <c r="C4299" s="25">
        <f>IF(D4299="","",D4299/48)</f>
        <v>0</v>
      </c>
      <c r="D4299" s="26">
        <f>IF(A4299="","",ROUND((A4299-cfgDefasagem/1440)*48,0))</f>
        <v>0</v>
      </c>
      <c r="E4299" s="26">
        <f>IF(D4299="","",INT((D4299-cfgDeslocamento)/4))</f>
        <v>0</v>
      </c>
      <c r="F4299" s="26">
        <f>IF(D4299="","",MOD(D4299-cfgDeslocamento,4)+1)</f>
        <v>0</v>
      </c>
      <c r="G4299" s="26">
        <f>IF(A4299="","",IF(AND(ISNUMBER(B4299),B4299&lt;&gt;0),1,0))</f>
        <v>0</v>
      </c>
      <c r="H4299" s="25">
        <f>IF(E4299="","",(E4299*4+3+cfgDeslocamento)/48)</f>
        <v>0</v>
      </c>
    </row>
    <row r="4300" spans="1:8">
      <c r="A4300" s="24"/>
      <c r="B4300" s="19"/>
      <c r="C4300" s="25">
        <f>IF(D4300="","",D4300/48)</f>
        <v>0</v>
      </c>
      <c r="D4300" s="26">
        <f>IF(A4300="","",ROUND((A4300-cfgDefasagem/1440)*48,0))</f>
        <v>0</v>
      </c>
      <c r="E4300" s="26">
        <f>IF(D4300="","",INT((D4300-cfgDeslocamento)/4))</f>
        <v>0</v>
      </c>
      <c r="F4300" s="26">
        <f>IF(D4300="","",MOD(D4300-cfgDeslocamento,4)+1)</f>
        <v>0</v>
      </c>
      <c r="G4300" s="26">
        <f>IF(A4300="","",IF(AND(ISNUMBER(B4300),B4300&lt;&gt;0),1,0))</f>
        <v>0</v>
      </c>
      <c r="H4300" s="25">
        <f>IF(E4300="","",(E4300*4+3+cfgDeslocamento)/48)</f>
        <v>0</v>
      </c>
    </row>
    <row r="4301" spans="1:8">
      <c r="A4301" s="24"/>
      <c r="B4301" s="19"/>
      <c r="C4301" s="25">
        <f>IF(D4301="","",D4301/48)</f>
        <v>0</v>
      </c>
      <c r="D4301" s="26">
        <f>IF(A4301="","",ROUND((A4301-cfgDefasagem/1440)*48,0))</f>
        <v>0</v>
      </c>
      <c r="E4301" s="26">
        <f>IF(D4301="","",INT((D4301-cfgDeslocamento)/4))</f>
        <v>0</v>
      </c>
      <c r="F4301" s="26">
        <f>IF(D4301="","",MOD(D4301-cfgDeslocamento,4)+1)</f>
        <v>0</v>
      </c>
      <c r="G4301" s="26">
        <f>IF(A4301="","",IF(AND(ISNUMBER(B4301),B4301&lt;&gt;0),1,0))</f>
        <v>0</v>
      </c>
      <c r="H4301" s="25">
        <f>IF(E4301="","",(E4301*4+3+cfgDeslocamento)/48)</f>
        <v>0</v>
      </c>
    </row>
    <row r="4302" spans="1:8">
      <c r="A4302" s="24"/>
      <c r="B4302" s="19"/>
      <c r="C4302" s="25">
        <f>IF(D4302="","",D4302/48)</f>
        <v>0</v>
      </c>
      <c r="D4302" s="26">
        <f>IF(A4302="","",ROUND((A4302-cfgDefasagem/1440)*48,0))</f>
        <v>0</v>
      </c>
      <c r="E4302" s="26">
        <f>IF(D4302="","",INT((D4302-cfgDeslocamento)/4))</f>
        <v>0</v>
      </c>
      <c r="F4302" s="26">
        <f>IF(D4302="","",MOD(D4302-cfgDeslocamento,4)+1)</f>
        <v>0</v>
      </c>
      <c r="G4302" s="26">
        <f>IF(A4302="","",IF(AND(ISNUMBER(B4302),B4302&lt;&gt;0),1,0))</f>
        <v>0</v>
      </c>
      <c r="H4302" s="25">
        <f>IF(E4302="","",(E4302*4+3+cfgDeslocamento)/48)</f>
        <v>0</v>
      </c>
    </row>
    <row r="4303" spans="1:8">
      <c r="A4303" s="24"/>
      <c r="B4303" s="19"/>
      <c r="C4303" s="25">
        <f>IF(D4303="","",D4303/48)</f>
        <v>0</v>
      </c>
      <c r="D4303" s="26">
        <f>IF(A4303="","",ROUND((A4303-cfgDefasagem/1440)*48,0))</f>
        <v>0</v>
      </c>
      <c r="E4303" s="26">
        <f>IF(D4303="","",INT((D4303-cfgDeslocamento)/4))</f>
        <v>0</v>
      </c>
      <c r="F4303" s="26">
        <f>IF(D4303="","",MOD(D4303-cfgDeslocamento,4)+1)</f>
        <v>0</v>
      </c>
      <c r="G4303" s="26">
        <f>IF(A4303="","",IF(AND(ISNUMBER(B4303),B4303&lt;&gt;0),1,0))</f>
        <v>0</v>
      </c>
      <c r="H4303" s="25">
        <f>IF(E4303="","",(E4303*4+3+cfgDeslocamento)/48)</f>
        <v>0</v>
      </c>
    </row>
    <row r="4304" spans="1:8">
      <c r="A4304" s="24"/>
      <c r="B4304" s="19"/>
      <c r="C4304" s="25">
        <f>IF(D4304="","",D4304/48)</f>
        <v>0</v>
      </c>
      <c r="D4304" s="26">
        <f>IF(A4304="","",ROUND((A4304-cfgDefasagem/1440)*48,0))</f>
        <v>0</v>
      </c>
      <c r="E4304" s="26">
        <f>IF(D4304="","",INT((D4304-cfgDeslocamento)/4))</f>
        <v>0</v>
      </c>
      <c r="F4304" s="26">
        <f>IF(D4304="","",MOD(D4304-cfgDeslocamento,4)+1)</f>
        <v>0</v>
      </c>
      <c r="G4304" s="26">
        <f>IF(A4304="","",IF(AND(ISNUMBER(B4304),B4304&lt;&gt;0),1,0))</f>
        <v>0</v>
      </c>
      <c r="H4304" s="25">
        <f>IF(E4304="","",(E4304*4+3+cfgDeslocamento)/48)</f>
        <v>0</v>
      </c>
    </row>
    <row r="4305" spans="1:8">
      <c r="A4305" s="24"/>
      <c r="B4305" s="19"/>
      <c r="C4305" s="25">
        <f>IF(D4305="","",D4305/48)</f>
        <v>0</v>
      </c>
      <c r="D4305" s="26">
        <f>IF(A4305="","",ROUND((A4305-cfgDefasagem/1440)*48,0))</f>
        <v>0</v>
      </c>
      <c r="E4305" s="26">
        <f>IF(D4305="","",INT((D4305-cfgDeslocamento)/4))</f>
        <v>0</v>
      </c>
      <c r="F4305" s="26">
        <f>IF(D4305="","",MOD(D4305-cfgDeslocamento,4)+1)</f>
        <v>0</v>
      </c>
      <c r="G4305" s="26">
        <f>IF(A4305="","",IF(AND(ISNUMBER(B4305),B4305&lt;&gt;0),1,0))</f>
        <v>0</v>
      </c>
      <c r="H4305" s="25">
        <f>IF(E4305="","",(E4305*4+3+cfgDeslocamento)/48)</f>
        <v>0</v>
      </c>
    </row>
    <row r="4306" spans="1:8">
      <c r="A4306" s="24"/>
      <c r="B4306" s="19"/>
      <c r="C4306" s="25">
        <f>IF(D4306="","",D4306/48)</f>
        <v>0</v>
      </c>
      <c r="D4306" s="26">
        <f>IF(A4306="","",ROUND((A4306-cfgDefasagem/1440)*48,0))</f>
        <v>0</v>
      </c>
      <c r="E4306" s="26">
        <f>IF(D4306="","",INT((D4306-cfgDeslocamento)/4))</f>
        <v>0</v>
      </c>
      <c r="F4306" s="26">
        <f>IF(D4306="","",MOD(D4306-cfgDeslocamento,4)+1)</f>
        <v>0</v>
      </c>
      <c r="G4306" s="26">
        <f>IF(A4306="","",IF(AND(ISNUMBER(B4306),B4306&lt;&gt;0),1,0))</f>
        <v>0</v>
      </c>
      <c r="H4306" s="25">
        <f>IF(E4306="","",(E4306*4+3+cfgDeslocamento)/48)</f>
        <v>0</v>
      </c>
    </row>
    <row r="4307" spans="1:8">
      <c r="A4307" s="24"/>
      <c r="B4307" s="19"/>
      <c r="C4307" s="25">
        <f>IF(D4307="","",D4307/48)</f>
        <v>0</v>
      </c>
      <c r="D4307" s="26">
        <f>IF(A4307="","",ROUND((A4307-cfgDefasagem/1440)*48,0))</f>
        <v>0</v>
      </c>
      <c r="E4307" s="26">
        <f>IF(D4307="","",INT((D4307-cfgDeslocamento)/4))</f>
        <v>0</v>
      </c>
      <c r="F4307" s="26">
        <f>IF(D4307="","",MOD(D4307-cfgDeslocamento,4)+1)</f>
        <v>0</v>
      </c>
      <c r="G4307" s="26">
        <f>IF(A4307="","",IF(AND(ISNUMBER(B4307),B4307&lt;&gt;0),1,0))</f>
        <v>0</v>
      </c>
      <c r="H4307" s="25">
        <f>IF(E4307="","",(E4307*4+3+cfgDeslocamento)/48)</f>
        <v>0</v>
      </c>
    </row>
    <row r="4308" spans="1:8">
      <c r="A4308" s="24"/>
      <c r="B4308" s="19"/>
      <c r="C4308" s="25">
        <f>IF(D4308="","",D4308/48)</f>
        <v>0</v>
      </c>
      <c r="D4308" s="26">
        <f>IF(A4308="","",ROUND((A4308-cfgDefasagem/1440)*48,0))</f>
        <v>0</v>
      </c>
      <c r="E4308" s="26">
        <f>IF(D4308="","",INT((D4308-cfgDeslocamento)/4))</f>
        <v>0</v>
      </c>
      <c r="F4308" s="26">
        <f>IF(D4308="","",MOD(D4308-cfgDeslocamento,4)+1)</f>
        <v>0</v>
      </c>
      <c r="G4308" s="26">
        <f>IF(A4308="","",IF(AND(ISNUMBER(B4308),B4308&lt;&gt;0),1,0))</f>
        <v>0</v>
      </c>
      <c r="H4308" s="25">
        <f>IF(E4308="","",(E4308*4+3+cfgDeslocamento)/48)</f>
        <v>0</v>
      </c>
    </row>
    <row r="4309" spans="1:8">
      <c r="A4309" s="24"/>
      <c r="B4309" s="19"/>
      <c r="C4309" s="25">
        <f>IF(D4309="","",D4309/48)</f>
        <v>0</v>
      </c>
      <c r="D4309" s="26">
        <f>IF(A4309="","",ROUND((A4309-cfgDefasagem/1440)*48,0))</f>
        <v>0</v>
      </c>
      <c r="E4309" s="26">
        <f>IF(D4309="","",INT((D4309-cfgDeslocamento)/4))</f>
        <v>0</v>
      </c>
      <c r="F4309" s="26">
        <f>IF(D4309="","",MOD(D4309-cfgDeslocamento,4)+1)</f>
        <v>0</v>
      </c>
      <c r="G4309" s="26">
        <f>IF(A4309="","",IF(AND(ISNUMBER(B4309),B4309&lt;&gt;0),1,0))</f>
        <v>0</v>
      </c>
      <c r="H4309" s="25">
        <f>IF(E4309="","",(E4309*4+3+cfgDeslocamento)/48)</f>
        <v>0</v>
      </c>
    </row>
    <row r="4310" spans="1:8">
      <c r="A4310" s="24"/>
      <c r="B4310" s="19"/>
      <c r="C4310" s="25">
        <f>IF(D4310="","",D4310/48)</f>
        <v>0</v>
      </c>
      <c r="D4310" s="26">
        <f>IF(A4310="","",ROUND((A4310-cfgDefasagem/1440)*48,0))</f>
        <v>0</v>
      </c>
      <c r="E4310" s="26">
        <f>IF(D4310="","",INT((D4310-cfgDeslocamento)/4))</f>
        <v>0</v>
      </c>
      <c r="F4310" s="26">
        <f>IF(D4310="","",MOD(D4310-cfgDeslocamento,4)+1)</f>
        <v>0</v>
      </c>
      <c r="G4310" s="26">
        <f>IF(A4310="","",IF(AND(ISNUMBER(B4310),B4310&lt;&gt;0),1,0))</f>
        <v>0</v>
      </c>
      <c r="H4310" s="25">
        <f>IF(E4310="","",(E4310*4+3+cfgDeslocamento)/48)</f>
        <v>0</v>
      </c>
    </row>
    <row r="4311" spans="1:8">
      <c r="A4311" s="24"/>
      <c r="B4311" s="19"/>
      <c r="C4311" s="25">
        <f>IF(D4311="","",D4311/48)</f>
        <v>0</v>
      </c>
      <c r="D4311" s="26">
        <f>IF(A4311="","",ROUND((A4311-cfgDefasagem/1440)*48,0))</f>
        <v>0</v>
      </c>
      <c r="E4311" s="26">
        <f>IF(D4311="","",INT((D4311-cfgDeslocamento)/4))</f>
        <v>0</v>
      </c>
      <c r="F4311" s="26">
        <f>IF(D4311="","",MOD(D4311-cfgDeslocamento,4)+1)</f>
        <v>0</v>
      </c>
      <c r="G4311" s="26">
        <f>IF(A4311="","",IF(AND(ISNUMBER(B4311),B4311&lt;&gt;0),1,0))</f>
        <v>0</v>
      </c>
      <c r="H4311" s="25">
        <f>IF(E4311="","",(E4311*4+3+cfgDeslocamento)/48)</f>
        <v>0</v>
      </c>
    </row>
    <row r="4312" spans="1:8">
      <c r="A4312" s="24"/>
      <c r="B4312" s="19"/>
      <c r="C4312" s="25">
        <f>IF(D4312="","",D4312/48)</f>
        <v>0</v>
      </c>
      <c r="D4312" s="26">
        <f>IF(A4312="","",ROUND((A4312-cfgDefasagem/1440)*48,0))</f>
        <v>0</v>
      </c>
      <c r="E4312" s="26">
        <f>IF(D4312="","",INT((D4312-cfgDeslocamento)/4))</f>
        <v>0</v>
      </c>
      <c r="F4312" s="26">
        <f>IF(D4312="","",MOD(D4312-cfgDeslocamento,4)+1)</f>
        <v>0</v>
      </c>
      <c r="G4312" s="26">
        <f>IF(A4312="","",IF(AND(ISNUMBER(B4312),B4312&lt;&gt;0),1,0))</f>
        <v>0</v>
      </c>
      <c r="H4312" s="25">
        <f>IF(E4312="","",(E4312*4+3+cfgDeslocamento)/48)</f>
        <v>0</v>
      </c>
    </row>
    <row r="4313" spans="1:8">
      <c r="A4313" s="24"/>
      <c r="B4313" s="19"/>
      <c r="C4313" s="25">
        <f>IF(D4313="","",D4313/48)</f>
        <v>0</v>
      </c>
      <c r="D4313" s="26">
        <f>IF(A4313="","",ROUND((A4313-cfgDefasagem/1440)*48,0))</f>
        <v>0</v>
      </c>
      <c r="E4313" s="26">
        <f>IF(D4313="","",INT((D4313-cfgDeslocamento)/4))</f>
        <v>0</v>
      </c>
      <c r="F4313" s="26">
        <f>IF(D4313="","",MOD(D4313-cfgDeslocamento,4)+1)</f>
        <v>0</v>
      </c>
      <c r="G4313" s="26">
        <f>IF(A4313="","",IF(AND(ISNUMBER(B4313),B4313&lt;&gt;0),1,0))</f>
        <v>0</v>
      </c>
      <c r="H4313" s="25">
        <f>IF(E4313="","",(E4313*4+3+cfgDeslocamento)/48)</f>
        <v>0</v>
      </c>
    </row>
    <row r="4314" spans="1:8">
      <c r="A4314" s="24"/>
      <c r="B4314" s="19"/>
      <c r="C4314" s="25">
        <f>IF(D4314="","",D4314/48)</f>
        <v>0</v>
      </c>
      <c r="D4314" s="26">
        <f>IF(A4314="","",ROUND((A4314-cfgDefasagem/1440)*48,0))</f>
        <v>0</v>
      </c>
      <c r="E4314" s="26">
        <f>IF(D4314="","",INT((D4314-cfgDeslocamento)/4))</f>
        <v>0</v>
      </c>
      <c r="F4314" s="26">
        <f>IF(D4314="","",MOD(D4314-cfgDeslocamento,4)+1)</f>
        <v>0</v>
      </c>
      <c r="G4314" s="26">
        <f>IF(A4314="","",IF(AND(ISNUMBER(B4314),B4314&lt;&gt;0),1,0))</f>
        <v>0</v>
      </c>
      <c r="H4314" s="25">
        <f>IF(E4314="","",(E4314*4+3+cfgDeslocamento)/48)</f>
        <v>0</v>
      </c>
    </row>
    <row r="4315" spans="1:8">
      <c r="A4315" s="24"/>
      <c r="B4315" s="19"/>
      <c r="C4315" s="25">
        <f>IF(D4315="","",D4315/48)</f>
        <v>0</v>
      </c>
      <c r="D4315" s="26">
        <f>IF(A4315="","",ROUND((A4315-cfgDefasagem/1440)*48,0))</f>
        <v>0</v>
      </c>
      <c r="E4315" s="26">
        <f>IF(D4315="","",INT((D4315-cfgDeslocamento)/4))</f>
        <v>0</v>
      </c>
      <c r="F4315" s="26">
        <f>IF(D4315="","",MOD(D4315-cfgDeslocamento,4)+1)</f>
        <v>0</v>
      </c>
      <c r="G4315" s="26">
        <f>IF(A4315="","",IF(AND(ISNUMBER(B4315),B4315&lt;&gt;0),1,0))</f>
        <v>0</v>
      </c>
      <c r="H4315" s="25">
        <f>IF(E4315="","",(E4315*4+3+cfgDeslocamento)/48)</f>
        <v>0</v>
      </c>
    </row>
    <row r="4316" spans="1:8">
      <c r="A4316" s="24"/>
      <c r="B4316" s="19"/>
      <c r="C4316" s="25">
        <f>IF(D4316="","",D4316/48)</f>
        <v>0</v>
      </c>
      <c r="D4316" s="26">
        <f>IF(A4316="","",ROUND((A4316-cfgDefasagem/1440)*48,0))</f>
        <v>0</v>
      </c>
      <c r="E4316" s="26">
        <f>IF(D4316="","",INT((D4316-cfgDeslocamento)/4))</f>
        <v>0</v>
      </c>
      <c r="F4316" s="26">
        <f>IF(D4316="","",MOD(D4316-cfgDeslocamento,4)+1)</f>
        <v>0</v>
      </c>
      <c r="G4316" s="26">
        <f>IF(A4316="","",IF(AND(ISNUMBER(B4316),B4316&lt;&gt;0),1,0))</f>
        <v>0</v>
      </c>
      <c r="H4316" s="25">
        <f>IF(E4316="","",(E4316*4+3+cfgDeslocamento)/48)</f>
        <v>0</v>
      </c>
    </row>
    <row r="4317" spans="1:8">
      <c r="A4317" s="24"/>
      <c r="B4317" s="19"/>
      <c r="C4317" s="25">
        <f>IF(D4317="","",D4317/48)</f>
        <v>0</v>
      </c>
      <c r="D4317" s="26">
        <f>IF(A4317="","",ROUND((A4317-cfgDefasagem/1440)*48,0))</f>
        <v>0</v>
      </c>
      <c r="E4317" s="26">
        <f>IF(D4317="","",INT((D4317-cfgDeslocamento)/4))</f>
        <v>0</v>
      </c>
      <c r="F4317" s="26">
        <f>IF(D4317="","",MOD(D4317-cfgDeslocamento,4)+1)</f>
        <v>0</v>
      </c>
      <c r="G4317" s="26">
        <f>IF(A4317="","",IF(AND(ISNUMBER(B4317),B4317&lt;&gt;0),1,0))</f>
        <v>0</v>
      </c>
      <c r="H4317" s="25">
        <f>IF(E4317="","",(E4317*4+3+cfgDeslocamento)/48)</f>
        <v>0</v>
      </c>
    </row>
    <row r="4318" spans="1:8">
      <c r="A4318" s="24"/>
      <c r="B4318" s="19"/>
      <c r="C4318" s="25">
        <f>IF(D4318="","",D4318/48)</f>
        <v>0</v>
      </c>
      <c r="D4318" s="26">
        <f>IF(A4318="","",ROUND((A4318-cfgDefasagem/1440)*48,0))</f>
        <v>0</v>
      </c>
      <c r="E4318" s="26">
        <f>IF(D4318="","",INT((D4318-cfgDeslocamento)/4))</f>
        <v>0</v>
      </c>
      <c r="F4318" s="26">
        <f>IF(D4318="","",MOD(D4318-cfgDeslocamento,4)+1)</f>
        <v>0</v>
      </c>
      <c r="G4318" s="26">
        <f>IF(A4318="","",IF(AND(ISNUMBER(B4318),B4318&lt;&gt;0),1,0))</f>
        <v>0</v>
      </c>
      <c r="H4318" s="25">
        <f>IF(E4318="","",(E4318*4+3+cfgDeslocamento)/48)</f>
        <v>0</v>
      </c>
    </row>
    <row r="4319" spans="1:8">
      <c r="A4319" s="24"/>
      <c r="B4319" s="19"/>
      <c r="C4319" s="25">
        <f>IF(D4319="","",D4319/48)</f>
        <v>0</v>
      </c>
      <c r="D4319" s="26">
        <f>IF(A4319="","",ROUND((A4319-cfgDefasagem/1440)*48,0))</f>
        <v>0</v>
      </c>
      <c r="E4319" s="26">
        <f>IF(D4319="","",INT((D4319-cfgDeslocamento)/4))</f>
        <v>0</v>
      </c>
      <c r="F4319" s="26">
        <f>IF(D4319="","",MOD(D4319-cfgDeslocamento,4)+1)</f>
        <v>0</v>
      </c>
      <c r="G4319" s="26">
        <f>IF(A4319="","",IF(AND(ISNUMBER(B4319),B4319&lt;&gt;0),1,0))</f>
        <v>0</v>
      </c>
      <c r="H4319" s="25">
        <f>IF(E4319="","",(E4319*4+3+cfgDeslocamento)/48)</f>
        <v>0</v>
      </c>
    </row>
    <row r="4320" spans="1:8">
      <c r="A4320" s="24"/>
      <c r="B4320" s="19"/>
      <c r="C4320" s="25">
        <f>IF(D4320="","",D4320/48)</f>
        <v>0</v>
      </c>
      <c r="D4320" s="26">
        <f>IF(A4320="","",ROUND((A4320-cfgDefasagem/1440)*48,0))</f>
        <v>0</v>
      </c>
      <c r="E4320" s="26">
        <f>IF(D4320="","",INT((D4320-cfgDeslocamento)/4))</f>
        <v>0</v>
      </c>
      <c r="F4320" s="26">
        <f>IF(D4320="","",MOD(D4320-cfgDeslocamento,4)+1)</f>
        <v>0</v>
      </c>
      <c r="G4320" s="26">
        <f>IF(A4320="","",IF(AND(ISNUMBER(B4320),B4320&lt;&gt;0),1,0))</f>
        <v>0</v>
      </c>
      <c r="H4320" s="25">
        <f>IF(E4320="","",(E4320*4+3+cfgDeslocamento)/48)</f>
        <v>0</v>
      </c>
    </row>
    <row r="4321" spans="1:8">
      <c r="A4321" s="24"/>
      <c r="B4321" s="19"/>
      <c r="C4321" s="25">
        <f>IF(D4321="","",D4321/48)</f>
        <v>0</v>
      </c>
      <c r="D4321" s="26">
        <f>IF(A4321="","",ROUND((A4321-cfgDefasagem/1440)*48,0))</f>
        <v>0</v>
      </c>
      <c r="E4321" s="26">
        <f>IF(D4321="","",INT((D4321-cfgDeslocamento)/4))</f>
        <v>0</v>
      </c>
      <c r="F4321" s="26">
        <f>IF(D4321="","",MOD(D4321-cfgDeslocamento,4)+1)</f>
        <v>0</v>
      </c>
      <c r="G4321" s="26">
        <f>IF(A4321="","",IF(AND(ISNUMBER(B4321),B4321&lt;&gt;0),1,0))</f>
        <v>0</v>
      </c>
      <c r="H4321" s="25">
        <f>IF(E4321="","",(E4321*4+3+cfgDeslocamento)/48)</f>
        <v>0</v>
      </c>
    </row>
    <row r="4322" spans="1:8">
      <c r="A4322" s="24"/>
      <c r="B4322" s="19"/>
      <c r="C4322" s="25">
        <f>IF(D4322="","",D4322/48)</f>
        <v>0</v>
      </c>
      <c r="D4322" s="26">
        <f>IF(A4322="","",ROUND((A4322-cfgDefasagem/1440)*48,0))</f>
        <v>0</v>
      </c>
      <c r="E4322" s="26">
        <f>IF(D4322="","",INT((D4322-cfgDeslocamento)/4))</f>
        <v>0</v>
      </c>
      <c r="F4322" s="26">
        <f>IF(D4322="","",MOD(D4322-cfgDeslocamento,4)+1)</f>
        <v>0</v>
      </c>
      <c r="G4322" s="26">
        <f>IF(A4322="","",IF(AND(ISNUMBER(B4322),B4322&lt;&gt;0),1,0))</f>
        <v>0</v>
      </c>
      <c r="H4322" s="25">
        <f>IF(E4322="","",(E4322*4+3+cfgDeslocamento)/48)</f>
        <v>0</v>
      </c>
    </row>
    <row r="4323" spans="1:8">
      <c r="A4323" s="24"/>
      <c r="B4323" s="19"/>
      <c r="C4323" s="25">
        <f>IF(D4323="","",D4323/48)</f>
        <v>0</v>
      </c>
      <c r="D4323" s="26">
        <f>IF(A4323="","",ROUND((A4323-cfgDefasagem/1440)*48,0))</f>
        <v>0</v>
      </c>
      <c r="E4323" s="26">
        <f>IF(D4323="","",INT((D4323-cfgDeslocamento)/4))</f>
        <v>0</v>
      </c>
      <c r="F4323" s="26">
        <f>IF(D4323="","",MOD(D4323-cfgDeslocamento,4)+1)</f>
        <v>0</v>
      </c>
      <c r="G4323" s="26">
        <f>IF(A4323="","",IF(AND(ISNUMBER(B4323),B4323&lt;&gt;0),1,0))</f>
        <v>0</v>
      </c>
      <c r="H4323" s="25">
        <f>IF(E4323="","",(E4323*4+3+cfgDeslocamento)/48)</f>
        <v>0</v>
      </c>
    </row>
    <row r="4324" spans="1:8">
      <c r="A4324" s="24"/>
      <c r="B4324" s="19"/>
      <c r="C4324" s="25">
        <f>IF(D4324="","",D4324/48)</f>
        <v>0</v>
      </c>
      <c r="D4324" s="26">
        <f>IF(A4324="","",ROUND((A4324-cfgDefasagem/1440)*48,0))</f>
        <v>0</v>
      </c>
      <c r="E4324" s="26">
        <f>IF(D4324="","",INT((D4324-cfgDeslocamento)/4))</f>
        <v>0</v>
      </c>
      <c r="F4324" s="26">
        <f>IF(D4324="","",MOD(D4324-cfgDeslocamento,4)+1)</f>
        <v>0</v>
      </c>
      <c r="G4324" s="26">
        <f>IF(A4324="","",IF(AND(ISNUMBER(B4324),B4324&lt;&gt;0),1,0))</f>
        <v>0</v>
      </c>
      <c r="H4324" s="25">
        <f>IF(E4324="","",(E4324*4+3+cfgDeslocamento)/48)</f>
        <v>0</v>
      </c>
    </row>
    <row r="4325" spans="1:8">
      <c r="A4325" s="24"/>
      <c r="B4325" s="19"/>
      <c r="C4325" s="25">
        <f>IF(D4325="","",D4325/48)</f>
        <v>0</v>
      </c>
      <c r="D4325" s="26">
        <f>IF(A4325="","",ROUND((A4325-cfgDefasagem/1440)*48,0))</f>
        <v>0</v>
      </c>
      <c r="E4325" s="26">
        <f>IF(D4325="","",INT((D4325-cfgDeslocamento)/4))</f>
        <v>0</v>
      </c>
      <c r="F4325" s="26">
        <f>IF(D4325="","",MOD(D4325-cfgDeslocamento,4)+1)</f>
        <v>0</v>
      </c>
      <c r="G4325" s="26">
        <f>IF(A4325="","",IF(AND(ISNUMBER(B4325),B4325&lt;&gt;0),1,0))</f>
        <v>0</v>
      </c>
      <c r="H4325" s="25">
        <f>IF(E4325="","",(E4325*4+3+cfgDeslocamento)/48)</f>
        <v>0</v>
      </c>
    </row>
    <row r="4326" spans="1:8">
      <c r="A4326" s="24"/>
      <c r="B4326" s="19"/>
      <c r="C4326" s="25">
        <f>IF(D4326="","",D4326/48)</f>
        <v>0</v>
      </c>
      <c r="D4326" s="26">
        <f>IF(A4326="","",ROUND((A4326-cfgDefasagem/1440)*48,0))</f>
        <v>0</v>
      </c>
      <c r="E4326" s="26">
        <f>IF(D4326="","",INT((D4326-cfgDeslocamento)/4))</f>
        <v>0</v>
      </c>
      <c r="F4326" s="26">
        <f>IF(D4326="","",MOD(D4326-cfgDeslocamento,4)+1)</f>
        <v>0</v>
      </c>
      <c r="G4326" s="26">
        <f>IF(A4326="","",IF(AND(ISNUMBER(B4326),B4326&lt;&gt;0),1,0))</f>
        <v>0</v>
      </c>
      <c r="H4326" s="25">
        <f>IF(E4326="","",(E4326*4+3+cfgDeslocamento)/48)</f>
        <v>0</v>
      </c>
    </row>
    <row r="4327" spans="1:8">
      <c r="A4327" s="24"/>
      <c r="B4327" s="19"/>
      <c r="C4327" s="25">
        <f>IF(D4327="","",D4327/48)</f>
        <v>0</v>
      </c>
      <c r="D4327" s="26">
        <f>IF(A4327="","",ROUND((A4327-cfgDefasagem/1440)*48,0))</f>
        <v>0</v>
      </c>
      <c r="E4327" s="26">
        <f>IF(D4327="","",INT((D4327-cfgDeslocamento)/4))</f>
        <v>0</v>
      </c>
      <c r="F4327" s="26">
        <f>IF(D4327="","",MOD(D4327-cfgDeslocamento,4)+1)</f>
        <v>0</v>
      </c>
      <c r="G4327" s="26">
        <f>IF(A4327="","",IF(AND(ISNUMBER(B4327),B4327&lt;&gt;0),1,0))</f>
        <v>0</v>
      </c>
      <c r="H4327" s="25">
        <f>IF(E4327="","",(E4327*4+3+cfgDeslocamento)/48)</f>
        <v>0</v>
      </c>
    </row>
    <row r="4328" spans="1:8">
      <c r="A4328" s="24"/>
      <c r="B4328" s="19"/>
      <c r="C4328" s="25">
        <f>IF(D4328="","",D4328/48)</f>
        <v>0</v>
      </c>
      <c r="D4328" s="26">
        <f>IF(A4328="","",ROUND((A4328-cfgDefasagem/1440)*48,0))</f>
        <v>0</v>
      </c>
      <c r="E4328" s="26">
        <f>IF(D4328="","",INT((D4328-cfgDeslocamento)/4))</f>
        <v>0</v>
      </c>
      <c r="F4328" s="26">
        <f>IF(D4328="","",MOD(D4328-cfgDeslocamento,4)+1)</f>
        <v>0</v>
      </c>
      <c r="G4328" s="26">
        <f>IF(A4328="","",IF(AND(ISNUMBER(B4328),B4328&lt;&gt;0),1,0))</f>
        <v>0</v>
      </c>
      <c r="H4328" s="25">
        <f>IF(E4328="","",(E4328*4+3+cfgDeslocamento)/48)</f>
        <v>0</v>
      </c>
    </row>
    <row r="4329" spans="1:8">
      <c r="A4329" s="24"/>
      <c r="B4329" s="19"/>
      <c r="C4329" s="25">
        <f>IF(D4329="","",D4329/48)</f>
        <v>0</v>
      </c>
      <c r="D4329" s="26">
        <f>IF(A4329="","",ROUND((A4329-cfgDefasagem/1440)*48,0))</f>
        <v>0</v>
      </c>
      <c r="E4329" s="26">
        <f>IF(D4329="","",INT((D4329-cfgDeslocamento)/4))</f>
        <v>0</v>
      </c>
      <c r="F4329" s="26">
        <f>IF(D4329="","",MOD(D4329-cfgDeslocamento,4)+1)</f>
        <v>0</v>
      </c>
      <c r="G4329" s="26">
        <f>IF(A4329="","",IF(AND(ISNUMBER(B4329),B4329&lt;&gt;0),1,0))</f>
        <v>0</v>
      </c>
      <c r="H4329" s="25">
        <f>IF(E4329="","",(E4329*4+3+cfgDeslocamento)/48)</f>
        <v>0</v>
      </c>
    </row>
    <row r="4330" spans="1:8">
      <c r="A4330" s="24"/>
      <c r="B4330" s="19"/>
      <c r="C4330" s="25">
        <f>IF(D4330="","",D4330/48)</f>
        <v>0</v>
      </c>
      <c r="D4330" s="26">
        <f>IF(A4330="","",ROUND((A4330-cfgDefasagem/1440)*48,0))</f>
        <v>0</v>
      </c>
      <c r="E4330" s="26">
        <f>IF(D4330="","",INT((D4330-cfgDeslocamento)/4))</f>
        <v>0</v>
      </c>
      <c r="F4330" s="26">
        <f>IF(D4330="","",MOD(D4330-cfgDeslocamento,4)+1)</f>
        <v>0</v>
      </c>
      <c r="G4330" s="26">
        <f>IF(A4330="","",IF(AND(ISNUMBER(B4330),B4330&lt;&gt;0),1,0))</f>
        <v>0</v>
      </c>
      <c r="H4330" s="25">
        <f>IF(E4330="","",(E4330*4+3+cfgDeslocamento)/48)</f>
        <v>0</v>
      </c>
    </row>
    <row r="4331" spans="1:8">
      <c r="A4331" s="24"/>
      <c r="B4331" s="19"/>
      <c r="C4331" s="25">
        <f>IF(D4331="","",D4331/48)</f>
        <v>0</v>
      </c>
      <c r="D4331" s="26">
        <f>IF(A4331="","",ROUND((A4331-cfgDefasagem/1440)*48,0))</f>
        <v>0</v>
      </c>
      <c r="E4331" s="26">
        <f>IF(D4331="","",INT((D4331-cfgDeslocamento)/4))</f>
        <v>0</v>
      </c>
      <c r="F4331" s="26">
        <f>IF(D4331="","",MOD(D4331-cfgDeslocamento,4)+1)</f>
        <v>0</v>
      </c>
      <c r="G4331" s="26">
        <f>IF(A4331="","",IF(AND(ISNUMBER(B4331),B4331&lt;&gt;0),1,0))</f>
        <v>0</v>
      </c>
      <c r="H4331" s="25">
        <f>IF(E4331="","",(E4331*4+3+cfgDeslocamento)/48)</f>
        <v>0</v>
      </c>
    </row>
    <row r="4332" spans="1:8">
      <c r="A4332" s="24"/>
      <c r="B4332" s="19"/>
      <c r="C4332" s="25">
        <f>IF(D4332="","",D4332/48)</f>
        <v>0</v>
      </c>
      <c r="D4332" s="26">
        <f>IF(A4332="","",ROUND((A4332-cfgDefasagem/1440)*48,0))</f>
        <v>0</v>
      </c>
      <c r="E4332" s="26">
        <f>IF(D4332="","",INT((D4332-cfgDeslocamento)/4))</f>
        <v>0</v>
      </c>
      <c r="F4332" s="26">
        <f>IF(D4332="","",MOD(D4332-cfgDeslocamento,4)+1)</f>
        <v>0</v>
      </c>
      <c r="G4332" s="26">
        <f>IF(A4332="","",IF(AND(ISNUMBER(B4332),B4332&lt;&gt;0),1,0))</f>
        <v>0</v>
      </c>
      <c r="H4332" s="25">
        <f>IF(E4332="","",(E4332*4+3+cfgDeslocamento)/48)</f>
        <v>0</v>
      </c>
    </row>
    <row r="4333" spans="1:8">
      <c r="A4333" s="24"/>
      <c r="B4333" s="19"/>
      <c r="C4333" s="25">
        <f>IF(D4333="","",D4333/48)</f>
        <v>0</v>
      </c>
      <c r="D4333" s="26">
        <f>IF(A4333="","",ROUND((A4333-cfgDefasagem/1440)*48,0))</f>
        <v>0</v>
      </c>
      <c r="E4333" s="26">
        <f>IF(D4333="","",INT((D4333-cfgDeslocamento)/4))</f>
        <v>0</v>
      </c>
      <c r="F4333" s="26">
        <f>IF(D4333="","",MOD(D4333-cfgDeslocamento,4)+1)</f>
        <v>0</v>
      </c>
      <c r="G4333" s="26">
        <f>IF(A4333="","",IF(AND(ISNUMBER(B4333),B4333&lt;&gt;0),1,0))</f>
        <v>0</v>
      </c>
      <c r="H4333" s="25">
        <f>IF(E4333="","",(E4333*4+3+cfgDeslocamento)/48)</f>
        <v>0</v>
      </c>
    </row>
    <row r="4334" spans="1:8">
      <c r="A4334" s="24"/>
      <c r="B4334" s="19"/>
      <c r="C4334" s="25">
        <f>IF(D4334="","",D4334/48)</f>
        <v>0</v>
      </c>
      <c r="D4334" s="26">
        <f>IF(A4334="","",ROUND((A4334-cfgDefasagem/1440)*48,0))</f>
        <v>0</v>
      </c>
      <c r="E4334" s="26">
        <f>IF(D4334="","",INT((D4334-cfgDeslocamento)/4))</f>
        <v>0</v>
      </c>
      <c r="F4334" s="26">
        <f>IF(D4334="","",MOD(D4334-cfgDeslocamento,4)+1)</f>
        <v>0</v>
      </c>
      <c r="G4334" s="26">
        <f>IF(A4334="","",IF(AND(ISNUMBER(B4334),B4334&lt;&gt;0),1,0))</f>
        <v>0</v>
      </c>
      <c r="H4334" s="25">
        <f>IF(E4334="","",(E4334*4+3+cfgDeslocamento)/48)</f>
        <v>0</v>
      </c>
    </row>
    <row r="4335" spans="1:8">
      <c r="A4335" s="24"/>
      <c r="B4335" s="19"/>
      <c r="C4335" s="25">
        <f>IF(D4335="","",D4335/48)</f>
        <v>0</v>
      </c>
      <c r="D4335" s="26">
        <f>IF(A4335="","",ROUND((A4335-cfgDefasagem/1440)*48,0))</f>
        <v>0</v>
      </c>
      <c r="E4335" s="26">
        <f>IF(D4335="","",INT((D4335-cfgDeslocamento)/4))</f>
        <v>0</v>
      </c>
      <c r="F4335" s="26">
        <f>IF(D4335="","",MOD(D4335-cfgDeslocamento,4)+1)</f>
        <v>0</v>
      </c>
      <c r="G4335" s="26">
        <f>IF(A4335="","",IF(AND(ISNUMBER(B4335),B4335&lt;&gt;0),1,0))</f>
        <v>0</v>
      </c>
      <c r="H4335" s="25">
        <f>IF(E4335="","",(E4335*4+3+cfgDeslocamento)/48)</f>
        <v>0</v>
      </c>
    </row>
    <row r="4336" spans="1:8">
      <c r="A4336" s="24"/>
      <c r="B4336" s="19"/>
      <c r="C4336" s="25">
        <f>IF(D4336="","",D4336/48)</f>
        <v>0</v>
      </c>
      <c r="D4336" s="26">
        <f>IF(A4336="","",ROUND((A4336-cfgDefasagem/1440)*48,0))</f>
        <v>0</v>
      </c>
      <c r="E4336" s="26">
        <f>IF(D4336="","",INT((D4336-cfgDeslocamento)/4))</f>
        <v>0</v>
      </c>
      <c r="F4336" s="26">
        <f>IF(D4336="","",MOD(D4336-cfgDeslocamento,4)+1)</f>
        <v>0</v>
      </c>
      <c r="G4336" s="26">
        <f>IF(A4336="","",IF(AND(ISNUMBER(B4336),B4336&lt;&gt;0),1,0))</f>
        <v>0</v>
      </c>
      <c r="H4336" s="25">
        <f>IF(E4336="","",(E4336*4+3+cfgDeslocamento)/48)</f>
        <v>0</v>
      </c>
    </row>
    <row r="4337" spans="1:8">
      <c r="A4337" s="24"/>
      <c r="B4337" s="19"/>
      <c r="C4337" s="25">
        <f>IF(D4337="","",D4337/48)</f>
        <v>0</v>
      </c>
      <c r="D4337" s="26">
        <f>IF(A4337="","",ROUND((A4337-cfgDefasagem/1440)*48,0))</f>
        <v>0</v>
      </c>
      <c r="E4337" s="26">
        <f>IF(D4337="","",INT((D4337-cfgDeslocamento)/4))</f>
        <v>0</v>
      </c>
      <c r="F4337" s="26">
        <f>IF(D4337="","",MOD(D4337-cfgDeslocamento,4)+1)</f>
        <v>0</v>
      </c>
      <c r="G4337" s="26">
        <f>IF(A4337="","",IF(AND(ISNUMBER(B4337),B4337&lt;&gt;0),1,0))</f>
        <v>0</v>
      </c>
      <c r="H4337" s="25">
        <f>IF(E4337="","",(E4337*4+3+cfgDeslocamento)/48)</f>
        <v>0</v>
      </c>
    </row>
    <row r="4338" spans="1:8">
      <c r="A4338" s="24"/>
      <c r="B4338" s="19"/>
      <c r="C4338" s="25">
        <f>IF(D4338="","",D4338/48)</f>
        <v>0</v>
      </c>
      <c r="D4338" s="26">
        <f>IF(A4338="","",ROUND((A4338-cfgDefasagem/1440)*48,0))</f>
        <v>0</v>
      </c>
      <c r="E4338" s="26">
        <f>IF(D4338="","",INT((D4338-cfgDeslocamento)/4))</f>
        <v>0</v>
      </c>
      <c r="F4338" s="26">
        <f>IF(D4338="","",MOD(D4338-cfgDeslocamento,4)+1)</f>
        <v>0</v>
      </c>
      <c r="G4338" s="26">
        <f>IF(A4338="","",IF(AND(ISNUMBER(B4338),B4338&lt;&gt;0),1,0))</f>
        <v>0</v>
      </c>
      <c r="H4338" s="25">
        <f>IF(E4338="","",(E4338*4+3+cfgDeslocamento)/48)</f>
        <v>0</v>
      </c>
    </row>
    <row r="4339" spans="1:8">
      <c r="A4339" s="24"/>
      <c r="B4339" s="19"/>
      <c r="C4339" s="25">
        <f>IF(D4339="","",D4339/48)</f>
        <v>0</v>
      </c>
      <c r="D4339" s="26">
        <f>IF(A4339="","",ROUND((A4339-cfgDefasagem/1440)*48,0))</f>
        <v>0</v>
      </c>
      <c r="E4339" s="26">
        <f>IF(D4339="","",INT((D4339-cfgDeslocamento)/4))</f>
        <v>0</v>
      </c>
      <c r="F4339" s="26">
        <f>IF(D4339="","",MOD(D4339-cfgDeslocamento,4)+1)</f>
        <v>0</v>
      </c>
      <c r="G4339" s="26">
        <f>IF(A4339="","",IF(AND(ISNUMBER(B4339),B4339&lt;&gt;0),1,0))</f>
        <v>0</v>
      </c>
      <c r="H4339" s="25">
        <f>IF(E4339="","",(E4339*4+3+cfgDeslocamento)/48)</f>
        <v>0</v>
      </c>
    </row>
    <row r="4340" spans="1:8">
      <c r="A4340" s="24"/>
      <c r="B4340" s="19"/>
      <c r="C4340" s="25">
        <f>IF(D4340="","",D4340/48)</f>
        <v>0</v>
      </c>
      <c r="D4340" s="26">
        <f>IF(A4340="","",ROUND((A4340-cfgDefasagem/1440)*48,0))</f>
        <v>0</v>
      </c>
      <c r="E4340" s="26">
        <f>IF(D4340="","",INT((D4340-cfgDeslocamento)/4))</f>
        <v>0</v>
      </c>
      <c r="F4340" s="26">
        <f>IF(D4340="","",MOD(D4340-cfgDeslocamento,4)+1)</f>
        <v>0</v>
      </c>
      <c r="G4340" s="26">
        <f>IF(A4340="","",IF(AND(ISNUMBER(B4340),B4340&lt;&gt;0),1,0))</f>
        <v>0</v>
      </c>
      <c r="H4340" s="25">
        <f>IF(E4340="","",(E4340*4+3+cfgDeslocamento)/48)</f>
        <v>0</v>
      </c>
    </row>
    <row r="4341" spans="1:8">
      <c r="A4341" s="24"/>
      <c r="B4341" s="19"/>
      <c r="C4341" s="25">
        <f>IF(D4341="","",D4341/48)</f>
        <v>0</v>
      </c>
      <c r="D4341" s="26">
        <f>IF(A4341="","",ROUND((A4341-cfgDefasagem/1440)*48,0))</f>
        <v>0</v>
      </c>
      <c r="E4341" s="26">
        <f>IF(D4341="","",INT((D4341-cfgDeslocamento)/4))</f>
        <v>0</v>
      </c>
      <c r="F4341" s="26">
        <f>IF(D4341="","",MOD(D4341-cfgDeslocamento,4)+1)</f>
        <v>0</v>
      </c>
      <c r="G4341" s="26">
        <f>IF(A4341="","",IF(AND(ISNUMBER(B4341),B4341&lt;&gt;0),1,0))</f>
        <v>0</v>
      </c>
      <c r="H4341" s="25">
        <f>IF(E4341="","",(E4341*4+3+cfgDeslocamento)/48)</f>
        <v>0</v>
      </c>
    </row>
    <row r="4342" spans="1:8">
      <c r="A4342" s="24"/>
      <c r="B4342" s="19"/>
      <c r="C4342" s="25">
        <f>IF(D4342="","",D4342/48)</f>
        <v>0</v>
      </c>
      <c r="D4342" s="26">
        <f>IF(A4342="","",ROUND((A4342-cfgDefasagem/1440)*48,0))</f>
        <v>0</v>
      </c>
      <c r="E4342" s="26">
        <f>IF(D4342="","",INT((D4342-cfgDeslocamento)/4))</f>
        <v>0</v>
      </c>
      <c r="F4342" s="26">
        <f>IF(D4342="","",MOD(D4342-cfgDeslocamento,4)+1)</f>
        <v>0</v>
      </c>
      <c r="G4342" s="26">
        <f>IF(A4342="","",IF(AND(ISNUMBER(B4342),B4342&lt;&gt;0),1,0))</f>
        <v>0</v>
      </c>
      <c r="H4342" s="25">
        <f>IF(E4342="","",(E4342*4+3+cfgDeslocamento)/48)</f>
        <v>0</v>
      </c>
    </row>
    <row r="4343" spans="1:8">
      <c r="A4343" s="24"/>
      <c r="B4343" s="19"/>
      <c r="C4343" s="25">
        <f>IF(D4343="","",D4343/48)</f>
        <v>0</v>
      </c>
      <c r="D4343" s="26">
        <f>IF(A4343="","",ROUND((A4343-cfgDefasagem/1440)*48,0))</f>
        <v>0</v>
      </c>
      <c r="E4343" s="26">
        <f>IF(D4343="","",INT((D4343-cfgDeslocamento)/4))</f>
        <v>0</v>
      </c>
      <c r="F4343" s="26">
        <f>IF(D4343="","",MOD(D4343-cfgDeslocamento,4)+1)</f>
        <v>0</v>
      </c>
      <c r="G4343" s="26">
        <f>IF(A4343="","",IF(AND(ISNUMBER(B4343),B4343&lt;&gt;0),1,0))</f>
        <v>0</v>
      </c>
      <c r="H4343" s="25">
        <f>IF(E4343="","",(E4343*4+3+cfgDeslocamento)/48)</f>
        <v>0</v>
      </c>
    </row>
    <row r="4344" spans="1:8">
      <c r="A4344" s="24"/>
      <c r="B4344" s="19"/>
      <c r="C4344" s="25">
        <f>IF(D4344="","",D4344/48)</f>
        <v>0</v>
      </c>
      <c r="D4344" s="26">
        <f>IF(A4344="","",ROUND((A4344-cfgDefasagem/1440)*48,0))</f>
        <v>0</v>
      </c>
      <c r="E4344" s="26">
        <f>IF(D4344="","",INT((D4344-cfgDeslocamento)/4))</f>
        <v>0</v>
      </c>
      <c r="F4344" s="26">
        <f>IF(D4344="","",MOD(D4344-cfgDeslocamento,4)+1)</f>
        <v>0</v>
      </c>
      <c r="G4344" s="26">
        <f>IF(A4344="","",IF(AND(ISNUMBER(B4344),B4344&lt;&gt;0),1,0))</f>
        <v>0</v>
      </c>
      <c r="H4344" s="25">
        <f>IF(E4344="","",(E4344*4+3+cfgDeslocamento)/48)</f>
        <v>0</v>
      </c>
    </row>
    <row r="4345" spans="1:8">
      <c r="A4345" s="24"/>
      <c r="B4345" s="19"/>
      <c r="C4345" s="25">
        <f>IF(D4345="","",D4345/48)</f>
        <v>0</v>
      </c>
      <c r="D4345" s="26">
        <f>IF(A4345="","",ROUND((A4345-cfgDefasagem/1440)*48,0))</f>
        <v>0</v>
      </c>
      <c r="E4345" s="26">
        <f>IF(D4345="","",INT((D4345-cfgDeslocamento)/4))</f>
        <v>0</v>
      </c>
      <c r="F4345" s="26">
        <f>IF(D4345="","",MOD(D4345-cfgDeslocamento,4)+1)</f>
        <v>0</v>
      </c>
      <c r="G4345" s="26">
        <f>IF(A4345="","",IF(AND(ISNUMBER(B4345),B4345&lt;&gt;0),1,0))</f>
        <v>0</v>
      </c>
      <c r="H4345" s="25">
        <f>IF(E4345="","",(E4345*4+3+cfgDeslocamento)/48)</f>
        <v>0</v>
      </c>
    </row>
    <row r="4346" spans="1:8">
      <c r="A4346" s="24"/>
      <c r="B4346" s="19"/>
      <c r="C4346" s="25">
        <f>IF(D4346="","",D4346/48)</f>
        <v>0</v>
      </c>
      <c r="D4346" s="26">
        <f>IF(A4346="","",ROUND((A4346-cfgDefasagem/1440)*48,0))</f>
        <v>0</v>
      </c>
      <c r="E4346" s="26">
        <f>IF(D4346="","",INT((D4346-cfgDeslocamento)/4))</f>
        <v>0</v>
      </c>
      <c r="F4346" s="26">
        <f>IF(D4346="","",MOD(D4346-cfgDeslocamento,4)+1)</f>
        <v>0</v>
      </c>
      <c r="G4346" s="26">
        <f>IF(A4346="","",IF(AND(ISNUMBER(B4346),B4346&lt;&gt;0),1,0))</f>
        <v>0</v>
      </c>
      <c r="H4346" s="25">
        <f>IF(E4346="","",(E4346*4+3+cfgDeslocamento)/48)</f>
        <v>0</v>
      </c>
    </row>
    <row r="4347" spans="1:8">
      <c r="A4347" s="24"/>
      <c r="B4347" s="19"/>
      <c r="C4347" s="25">
        <f>IF(D4347="","",D4347/48)</f>
        <v>0</v>
      </c>
      <c r="D4347" s="26">
        <f>IF(A4347="","",ROUND((A4347-cfgDefasagem/1440)*48,0))</f>
        <v>0</v>
      </c>
      <c r="E4347" s="26">
        <f>IF(D4347="","",INT((D4347-cfgDeslocamento)/4))</f>
        <v>0</v>
      </c>
      <c r="F4347" s="26">
        <f>IF(D4347="","",MOD(D4347-cfgDeslocamento,4)+1)</f>
        <v>0</v>
      </c>
      <c r="G4347" s="26">
        <f>IF(A4347="","",IF(AND(ISNUMBER(B4347),B4347&lt;&gt;0),1,0))</f>
        <v>0</v>
      </c>
      <c r="H4347" s="25">
        <f>IF(E4347="","",(E4347*4+3+cfgDeslocamento)/48)</f>
        <v>0</v>
      </c>
    </row>
    <row r="4348" spans="1:8">
      <c r="A4348" s="24"/>
      <c r="B4348" s="19"/>
      <c r="C4348" s="25">
        <f>IF(D4348="","",D4348/48)</f>
        <v>0</v>
      </c>
      <c r="D4348" s="26">
        <f>IF(A4348="","",ROUND((A4348-cfgDefasagem/1440)*48,0))</f>
        <v>0</v>
      </c>
      <c r="E4348" s="26">
        <f>IF(D4348="","",INT((D4348-cfgDeslocamento)/4))</f>
        <v>0</v>
      </c>
      <c r="F4348" s="26">
        <f>IF(D4348="","",MOD(D4348-cfgDeslocamento,4)+1)</f>
        <v>0</v>
      </c>
      <c r="G4348" s="26">
        <f>IF(A4348="","",IF(AND(ISNUMBER(B4348),B4348&lt;&gt;0),1,0))</f>
        <v>0</v>
      </c>
      <c r="H4348" s="25">
        <f>IF(E4348="","",(E4348*4+3+cfgDeslocamento)/48)</f>
        <v>0</v>
      </c>
    </row>
    <row r="4349" spans="1:8">
      <c r="A4349" s="24"/>
      <c r="B4349" s="19"/>
      <c r="C4349" s="25">
        <f>IF(D4349="","",D4349/48)</f>
        <v>0</v>
      </c>
      <c r="D4349" s="26">
        <f>IF(A4349="","",ROUND((A4349-cfgDefasagem/1440)*48,0))</f>
        <v>0</v>
      </c>
      <c r="E4349" s="26">
        <f>IF(D4349="","",INT((D4349-cfgDeslocamento)/4))</f>
        <v>0</v>
      </c>
      <c r="F4349" s="26">
        <f>IF(D4349="","",MOD(D4349-cfgDeslocamento,4)+1)</f>
        <v>0</v>
      </c>
      <c r="G4349" s="26">
        <f>IF(A4349="","",IF(AND(ISNUMBER(B4349),B4349&lt;&gt;0),1,0))</f>
        <v>0</v>
      </c>
      <c r="H4349" s="25">
        <f>IF(E4349="","",(E4349*4+3+cfgDeslocamento)/48)</f>
        <v>0</v>
      </c>
    </row>
    <row r="4350" spans="1:8">
      <c r="A4350" s="24"/>
      <c r="B4350" s="19"/>
      <c r="C4350" s="25">
        <f>IF(D4350="","",D4350/48)</f>
        <v>0</v>
      </c>
      <c r="D4350" s="26">
        <f>IF(A4350="","",ROUND((A4350-cfgDefasagem/1440)*48,0))</f>
        <v>0</v>
      </c>
      <c r="E4350" s="26">
        <f>IF(D4350="","",INT((D4350-cfgDeslocamento)/4))</f>
        <v>0</v>
      </c>
      <c r="F4350" s="26">
        <f>IF(D4350="","",MOD(D4350-cfgDeslocamento,4)+1)</f>
        <v>0</v>
      </c>
      <c r="G4350" s="26">
        <f>IF(A4350="","",IF(AND(ISNUMBER(B4350),B4350&lt;&gt;0),1,0))</f>
        <v>0</v>
      </c>
      <c r="H4350" s="25">
        <f>IF(E4350="","",(E4350*4+3+cfgDeslocamento)/48)</f>
        <v>0</v>
      </c>
    </row>
    <row r="4351" spans="1:8">
      <c r="A4351" s="24"/>
      <c r="B4351" s="19"/>
      <c r="C4351" s="25">
        <f>IF(D4351="","",D4351/48)</f>
        <v>0</v>
      </c>
      <c r="D4351" s="26">
        <f>IF(A4351="","",ROUND((A4351-cfgDefasagem/1440)*48,0))</f>
        <v>0</v>
      </c>
      <c r="E4351" s="26">
        <f>IF(D4351="","",INT((D4351-cfgDeslocamento)/4))</f>
        <v>0</v>
      </c>
      <c r="F4351" s="26">
        <f>IF(D4351="","",MOD(D4351-cfgDeslocamento,4)+1)</f>
        <v>0</v>
      </c>
      <c r="G4351" s="26">
        <f>IF(A4351="","",IF(AND(ISNUMBER(B4351),B4351&lt;&gt;0),1,0))</f>
        <v>0</v>
      </c>
      <c r="H4351" s="25">
        <f>IF(E4351="","",(E4351*4+3+cfgDeslocamento)/48)</f>
        <v>0</v>
      </c>
    </row>
    <row r="4352" spans="1:8">
      <c r="A4352" s="24"/>
      <c r="B4352" s="19"/>
      <c r="C4352" s="25">
        <f>IF(D4352="","",D4352/48)</f>
        <v>0</v>
      </c>
      <c r="D4352" s="26">
        <f>IF(A4352="","",ROUND((A4352-cfgDefasagem/1440)*48,0))</f>
        <v>0</v>
      </c>
      <c r="E4352" s="26">
        <f>IF(D4352="","",INT((D4352-cfgDeslocamento)/4))</f>
        <v>0</v>
      </c>
      <c r="F4352" s="26">
        <f>IF(D4352="","",MOD(D4352-cfgDeslocamento,4)+1)</f>
        <v>0</v>
      </c>
      <c r="G4352" s="26">
        <f>IF(A4352="","",IF(AND(ISNUMBER(B4352),B4352&lt;&gt;0),1,0))</f>
        <v>0</v>
      </c>
      <c r="H4352" s="25">
        <f>IF(E4352="","",(E4352*4+3+cfgDeslocamento)/48)</f>
        <v>0</v>
      </c>
    </row>
    <row r="4353" spans="1:8">
      <c r="A4353" s="24"/>
      <c r="B4353" s="19"/>
      <c r="C4353" s="25">
        <f>IF(D4353="","",D4353/48)</f>
        <v>0</v>
      </c>
      <c r="D4353" s="26">
        <f>IF(A4353="","",ROUND((A4353-cfgDefasagem/1440)*48,0))</f>
        <v>0</v>
      </c>
      <c r="E4353" s="26">
        <f>IF(D4353="","",INT((D4353-cfgDeslocamento)/4))</f>
        <v>0</v>
      </c>
      <c r="F4353" s="26">
        <f>IF(D4353="","",MOD(D4353-cfgDeslocamento,4)+1)</f>
        <v>0</v>
      </c>
      <c r="G4353" s="26">
        <f>IF(A4353="","",IF(AND(ISNUMBER(B4353),B4353&lt;&gt;0),1,0))</f>
        <v>0</v>
      </c>
      <c r="H4353" s="25">
        <f>IF(E4353="","",(E4353*4+3+cfgDeslocamento)/48)</f>
        <v>0</v>
      </c>
    </row>
    <row r="4354" spans="1:8">
      <c r="A4354" s="24"/>
      <c r="B4354" s="19"/>
      <c r="C4354" s="25">
        <f>IF(D4354="","",D4354/48)</f>
        <v>0</v>
      </c>
      <c r="D4354" s="26">
        <f>IF(A4354="","",ROUND((A4354-cfgDefasagem/1440)*48,0))</f>
        <v>0</v>
      </c>
      <c r="E4354" s="26">
        <f>IF(D4354="","",INT((D4354-cfgDeslocamento)/4))</f>
        <v>0</v>
      </c>
      <c r="F4354" s="26">
        <f>IF(D4354="","",MOD(D4354-cfgDeslocamento,4)+1)</f>
        <v>0</v>
      </c>
      <c r="G4354" s="26">
        <f>IF(A4354="","",IF(AND(ISNUMBER(B4354),B4354&lt;&gt;0),1,0))</f>
        <v>0</v>
      </c>
      <c r="H4354" s="25">
        <f>IF(E4354="","",(E4354*4+3+cfgDeslocamento)/48)</f>
        <v>0</v>
      </c>
    </row>
    <row r="4355" spans="1:8">
      <c r="A4355" s="24"/>
      <c r="B4355" s="19"/>
      <c r="C4355" s="25">
        <f>IF(D4355="","",D4355/48)</f>
        <v>0</v>
      </c>
      <c r="D4355" s="26">
        <f>IF(A4355="","",ROUND((A4355-cfgDefasagem/1440)*48,0))</f>
        <v>0</v>
      </c>
      <c r="E4355" s="26">
        <f>IF(D4355="","",INT((D4355-cfgDeslocamento)/4))</f>
        <v>0</v>
      </c>
      <c r="F4355" s="26">
        <f>IF(D4355="","",MOD(D4355-cfgDeslocamento,4)+1)</f>
        <v>0</v>
      </c>
      <c r="G4355" s="26">
        <f>IF(A4355="","",IF(AND(ISNUMBER(B4355),B4355&lt;&gt;0),1,0))</f>
        <v>0</v>
      </c>
      <c r="H4355" s="25">
        <f>IF(E4355="","",(E4355*4+3+cfgDeslocamento)/48)</f>
        <v>0</v>
      </c>
    </row>
    <row r="4356" spans="1:8">
      <c r="A4356" s="24"/>
      <c r="B4356" s="19"/>
      <c r="C4356" s="25">
        <f>IF(D4356="","",D4356/48)</f>
        <v>0</v>
      </c>
      <c r="D4356" s="26">
        <f>IF(A4356="","",ROUND((A4356-cfgDefasagem/1440)*48,0))</f>
        <v>0</v>
      </c>
      <c r="E4356" s="26">
        <f>IF(D4356="","",INT((D4356-cfgDeslocamento)/4))</f>
        <v>0</v>
      </c>
      <c r="F4356" s="26">
        <f>IF(D4356="","",MOD(D4356-cfgDeslocamento,4)+1)</f>
        <v>0</v>
      </c>
      <c r="G4356" s="26">
        <f>IF(A4356="","",IF(AND(ISNUMBER(B4356),B4356&lt;&gt;0),1,0))</f>
        <v>0</v>
      </c>
      <c r="H4356" s="25">
        <f>IF(E4356="","",(E4356*4+3+cfgDeslocamento)/48)</f>
        <v>0</v>
      </c>
    </row>
    <row r="4357" spans="1:8">
      <c r="A4357" s="24"/>
      <c r="B4357" s="19"/>
      <c r="C4357" s="25">
        <f>IF(D4357="","",D4357/48)</f>
        <v>0</v>
      </c>
      <c r="D4357" s="26">
        <f>IF(A4357="","",ROUND((A4357-cfgDefasagem/1440)*48,0))</f>
        <v>0</v>
      </c>
      <c r="E4357" s="26">
        <f>IF(D4357="","",INT((D4357-cfgDeslocamento)/4))</f>
        <v>0</v>
      </c>
      <c r="F4357" s="26">
        <f>IF(D4357="","",MOD(D4357-cfgDeslocamento,4)+1)</f>
        <v>0</v>
      </c>
      <c r="G4357" s="26">
        <f>IF(A4357="","",IF(AND(ISNUMBER(B4357),B4357&lt;&gt;0),1,0))</f>
        <v>0</v>
      </c>
      <c r="H4357" s="25">
        <f>IF(E4357="","",(E4357*4+3+cfgDeslocamento)/48)</f>
        <v>0</v>
      </c>
    </row>
    <row r="4358" spans="1:8">
      <c r="A4358" s="24"/>
      <c r="B4358" s="19"/>
      <c r="C4358" s="25">
        <f>IF(D4358="","",D4358/48)</f>
        <v>0</v>
      </c>
      <c r="D4358" s="26">
        <f>IF(A4358="","",ROUND((A4358-cfgDefasagem/1440)*48,0))</f>
        <v>0</v>
      </c>
      <c r="E4358" s="26">
        <f>IF(D4358="","",INT((D4358-cfgDeslocamento)/4))</f>
        <v>0</v>
      </c>
      <c r="F4358" s="26">
        <f>IF(D4358="","",MOD(D4358-cfgDeslocamento,4)+1)</f>
        <v>0</v>
      </c>
      <c r="G4358" s="26">
        <f>IF(A4358="","",IF(AND(ISNUMBER(B4358),B4358&lt;&gt;0),1,0))</f>
        <v>0</v>
      </c>
      <c r="H4358" s="25">
        <f>IF(E4358="","",(E4358*4+3+cfgDeslocamento)/48)</f>
        <v>0</v>
      </c>
    </row>
    <row r="4359" spans="1:8">
      <c r="A4359" s="24"/>
      <c r="B4359" s="19"/>
      <c r="C4359" s="25">
        <f>IF(D4359="","",D4359/48)</f>
        <v>0</v>
      </c>
      <c r="D4359" s="26">
        <f>IF(A4359="","",ROUND((A4359-cfgDefasagem/1440)*48,0))</f>
        <v>0</v>
      </c>
      <c r="E4359" s="26">
        <f>IF(D4359="","",INT((D4359-cfgDeslocamento)/4))</f>
        <v>0</v>
      </c>
      <c r="F4359" s="26">
        <f>IF(D4359="","",MOD(D4359-cfgDeslocamento,4)+1)</f>
        <v>0</v>
      </c>
      <c r="G4359" s="26">
        <f>IF(A4359="","",IF(AND(ISNUMBER(B4359),B4359&lt;&gt;0),1,0))</f>
        <v>0</v>
      </c>
      <c r="H4359" s="25">
        <f>IF(E4359="","",(E4359*4+3+cfgDeslocamento)/48)</f>
        <v>0</v>
      </c>
    </row>
    <row r="4360" spans="1:8">
      <c r="A4360" s="24"/>
      <c r="B4360" s="19"/>
      <c r="C4360" s="25">
        <f>IF(D4360="","",D4360/48)</f>
        <v>0</v>
      </c>
      <c r="D4360" s="26">
        <f>IF(A4360="","",ROUND((A4360-cfgDefasagem/1440)*48,0))</f>
        <v>0</v>
      </c>
      <c r="E4360" s="26">
        <f>IF(D4360="","",INT((D4360-cfgDeslocamento)/4))</f>
        <v>0</v>
      </c>
      <c r="F4360" s="26">
        <f>IF(D4360="","",MOD(D4360-cfgDeslocamento,4)+1)</f>
        <v>0</v>
      </c>
      <c r="G4360" s="26">
        <f>IF(A4360="","",IF(AND(ISNUMBER(B4360),B4360&lt;&gt;0),1,0))</f>
        <v>0</v>
      </c>
      <c r="H4360" s="25">
        <f>IF(E4360="","",(E4360*4+3+cfgDeslocamento)/48)</f>
        <v>0</v>
      </c>
    </row>
    <row r="4361" spans="1:8">
      <c r="A4361" s="24"/>
      <c r="B4361" s="19"/>
      <c r="C4361" s="25">
        <f>IF(D4361="","",D4361/48)</f>
        <v>0</v>
      </c>
      <c r="D4361" s="26">
        <f>IF(A4361="","",ROUND((A4361-cfgDefasagem/1440)*48,0))</f>
        <v>0</v>
      </c>
      <c r="E4361" s="26">
        <f>IF(D4361="","",INT((D4361-cfgDeslocamento)/4))</f>
        <v>0</v>
      </c>
      <c r="F4361" s="26">
        <f>IF(D4361="","",MOD(D4361-cfgDeslocamento,4)+1)</f>
        <v>0</v>
      </c>
      <c r="G4361" s="26">
        <f>IF(A4361="","",IF(AND(ISNUMBER(B4361),B4361&lt;&gt;0),1,0))</f>
        <v>0</v>
      </c>
      <c r="H4361" s="25">
        <f>IF(E4361="","",(E4361*4+3+cfgDeslocamento)/48)</f>
        <v>0</v>
      </c>
    </row>
    <row r="4362" spans="1:8">
      <c r="A4362" s="24"/>
      <c r="B4362" s="19"/>
      <c r="C4362" s="25">
        <f>IF(D4362="","",D4362/48)</f>
        <v>0</v>
      </c>
      <c r="D4362" s="26">
        <f>IF(A4362="","",ROUND((A4362-cfgDefasagem/1440)*48,0))</f>
        <v>0</v>
      </c>
      <c r="E4362" s="26">
        <f>IF(D4362="","",INT((D4362-cfgDeslocamento)/4))</f>
        <v>0</v>
      </c>
      <c r="F4362" s="26">
        <f>IF(D4362="","",MOD(D4362-cfgDeslocamento,4)+1)</f>
        <v>0</v>
      </c>
      <c r="G4362" s="26">
        <f>IF(A4362="","",IF(AND(ISNUMBER(B4362),B4362&lt;&gt;0),1,0))</f>
        <v>0</v>
      </c>
      <c r="H4362" s="25">
        <f>IF(E4362="","",(E4362*4+3+cfgDeslocamento)/48)</f>
        <v>0</v>
      </c>
    </row>
    <row r="4363" spans="1:8">
      <c r="A4363" s="24"/>
      <c r="B4363" s="19"/>
      <c r="C4363" s="25">
        <f>IF(D4363="","",D4363/48)</f>
        <v>0</v>
      </c>
      <c r="D4363" s="26">
        <f>IF(A4363="","",ROUND((A4363-cfgDefasagem/1440)*48,0))</f>
        <v>0</v>
      </c>
      <c r="E4363" s="26">
        <f>IF(D4363="","",INT((D4363-cfgDeslocamento)/4))</f>
        <v>0</v>
      </c>
      <c r="F4363" s="26">
        <f>IF(D4363="","",MOD(D4363-cfgDeslocamento,4)+1)</f>
        <v>0</v>
      </c>
      <c r="G4363" s="26">
        <f>IF(A4363="","",IF(AND(ISNUMBER(B4363),B4363&lt;&gt;0),1,0))</f>
        <v>0</v>
      </c>
      <c r="H4363" s="25">
        <f>IF(E4363="","",(E4363*4+3+cfgDeslocamento)/48)</f>
        <v>0</v>
      </c>
    </row>
    <row r="4364" spans="1:8">
      <c r="A4364" s="24"/>
      <c r="B4364" s="19"/>
      <c r="C4364" s="25">
        <f>IF(D4364="","",D4364/48)</f>
        <v>0</v>
      </c>
      <c r="D4364" s="26">
        <f>IF(A4364="","",ROUND((A4364-cfgDefasagem/1440)*48,0))</f>
        <v>0</v>
      </c>
      <c r="E4364" s="26">
        <f>IF(D4364="","",INT((D4364-cfgDeslocamento)/4))</f>
        <v>0</v>
      </c>
      <c r="F4364" s="26">
        <f>IF(D4364="","",MOD(D4364-cfgDeslocamento,4)+1)</f>
        <v>0</v>
      </c>
      <c r="G4364" s="26">
        <f>IF(A4364="","",IF(AND(ISNUMBER(B4364),B4364&lt;&gt;0),1,0))</f>
        <v>0</v>
      </c>
      <c r="H4364" s="25">
        <f>IF(E4364="","",(E4364*4+3+cfgDeslocamento)/48)</f>
        <v>0</v>
      </c>
    </row>
    <row r="4365" spans="1:8">
      <c r="A4365" s="24"/>
      <c r="B4365" s="19"/>
      <c r="C4365" s="25">
        <f>IF(D4365="","",D4365/48)</f>
        <v>0</v>
      </c>
      <c r="D4365" s="26">
        <f>IF(A4365="","",ROUND((A4365-cfgDefasagem/1440)*48,0))</f>
        <v>0</v>
      </c>
      <c r="E4365" s="26">
        <f>IF(D4365="","",INT((D4365-cfgDeslocamento)/4))</f>
        <v>0</v>
      </c>
      <c r="F4365" s="26">
        <f>IF(D4365="","",MOD(D4365-cfgDeslocamento,4)+1)</f>
        <v>0</v>
      </c>
      <c r="G4365" s="26">
        <f>IF(A4365="","",IF(AND(ISNUMBER(B4365),B4365&lt;&gt;0),1,0))</f>
        <v>0</v>
      </c>
      <c r="H4365" s="25">
        <f>IF(E4365="","",(E4365*4+3+cfgDeslocamento)/48)</f>
        <v>0</v>
      </c>
    </row>
    <row r="4366" spans="1:8">
      <c r="A4366" s="24"/>
      <c r="B4366" s="19"/>
      <c r="C4366" s="25">
        <f>IF(D4366="","",D4366/48)</f>
        <v>0</v>
      </c>
      <c r="D4366" s="26">
        <f>IF(A4366="","",ROUND((A4366-cfgDefasagem/1440)*48,0))</f>
        <v>0</v>
      </c>
      <c r="E4366" s="26">
        <f>IF(D4366="","",INT((D4366-cfgDeslocamento)/4))</f>
        <v>0</v>
      </c>
      <c r="F4366" s="26">
        <f>IF(D4366="","",MOD(D4366-cfgDeslocamento,4)+1)</f>
        <v>0</v>
      </c>
      <c r="G4366" s="26">
        <f>IF(A4366="","",IF(AND(ISNUMBER(B4366),B4366&lt;&gt;0),1,0))</f>
        <v>0</v>
      </c>
      <c r="H4366" s="25">
        <f>IF(E4366="","",(E4366*4+3+cfgDeslocamento)/48)</f>
        <v>0</v>
      </c>
    </row>
    <row r="4367" spans="1:8">
      <c r="A4367" s="24"/>
      <c r="B4367" s="19"/>
      <c r="C4367" s="25">
        <f>IF(D4367="","",D4367/48)</f>
        <v>0</v>
      </c>
      <c r="D4367" s="26">
        <f>IF(A4367="","",ROUND((A4367-cfgDefasagem/1440)*48,0))</f>
        <v>0</v>
      </c>
      <c r="E4367" s="26">
        <f>IF(D4367="","",INT((D4367-cfgDeslocamento)/4))</f>
        <v>0</v>
      </c>
      <c r="F4367" s="26">
        <f>IF(D4367="","",MOD(D4367-cfgDeslocamento,4)+1)</f>
        <v>0</v>
      </c>
      <c r="G4367" s="26">
        <f>IF(A4367="","",IF(AND(ISNUMBER(B4367),B4367&lt;&gt;0),1,0))</f>
        <v>0</v>
      </c>
      <c r="H4367" s="25">
        <f>IF(E4367="","",(E4367*4+3+cfgDeslocamento)/48)</f>
        <v>0</v>
      </c>
    </row>
    <row r="4368" spans="1:8">
      <c r="A4368" s="24"/>
      <c r="B4368" s="19"/>
      <c r="C4368" s="25">
        <f>IF(D4368="","",D4368/48)</f>
        <v>0</v>
      </c>
      <c r="D4368" s="26">
        <f>IF(A4368="","",ROUND((A4368-cfgDefasagem/1440)*48,0))</f>
        <v>0</v>
      </c>
      <c r="E4368" s="26">
        <f>IF(D4368="","",INT((D4368-cfgDeslocamento)/4))</f>
        <v>0</v>
      </c>
      <c r="F4368" s="26">
        <f>IF(D4368="","",MOD(D4368-cfgDeslocamento,4)+1)</f>
        <v>0</v>
      </c>
      <c r="G4368" s="26">
        <f>IF(A4368="","",IF(AND(ISNUMBER(B4368),B4368&lt;&gt;0),1,0))</f>
        <v>0</v>
      </c>
      <c r="H4368" s="25">
        <f>IF(E4368="","",(E4368*4+3+cfgDeslocamento)/48)</f>
        <v>0</v>
      </c>
    </row>
    <row r="4369" spans="1:8">
      <c r="A4369" s="24"/>
      <c r="B4369" s="19"/>
      <c r="C4369" s="25">
        <f>IF(D4369="","",D4369/48)</f>
        <v>0</v>
      </c>
      <c r="D4369" s="26">
        <f>IF(A4369="","",ROUND((A4369-cfgDefasagem/1440)*48,0))</f>
        <v>0</v>
      </c>
      <c r="E4369" s="26">
        <f>IF(D4369="","",INT((D4369-cfgDeslocamento)/4))</f>
        <v>0</v>
      </c>
      <c r="F4369" s="26">
        <f>IF(D4369="","",MOD(D4369-cfgDeslocamento,4)+1)</f>
        <v>0</v>
      </c>
      <c r="G4369" s="26">
        <f>IF(A4369="","",IF(AND(ISNUMBER(B4369),B4369&lt;&gt;0),1,0))</f>
        <v>0</v>
      </c>
      <c r="H4369" s="25">
        <f>IF(E4369="","",(E4369*4+3+cfgDeslocamento)/48)</f>
        <v>0</v>
      </c>
    </row>
    <row r="4370" spans="1:8">
      <c r="A4370" s="24"/>
      <c r="B4370" s="19"/>
      <c r="C4370" s="25">
        <f>IF(D4370="","",D4370/48)</f>
        <v>0</v>
      </c>
      <c r="D4370" s="26">
        <f>IF(A4370="","",ROUND((A4370-cfgDefasagem/1440)*48,0))</f>
        <v>0</v>
      </c>
      <c r="E4370" s="26">
        <f>IF(D4370="","",INT((D4370-cfgDeslocamento)/4))</f>
        <v>0</v>
      </c>
      <c r="F4370" s="26">
        <f>IF(D4370="","",MOD(D4370-cfgDeslocamento,4)+1)</f>
        <v>0</v>
      </c>
      <c r="G4370" s="26">
        <f>IF(A4370="","",IF(AND(ISNUMBER(B4370),B4370&lt;&gt;0),1,0))</f>
        <v>0</v>
      </c>
      <c r="H4370" s="25">
        <f>IF(E4370="","",(E4370*4+3+cfgDeslocamento)/48)</f>
        <v>0</v>
      </c>
    </row>
    <row r="4371" spans="1:8">
      <c r="A4371" s="24"/>
      <c r="B4371" s="19"/>
      <c r="C4371" s="25">
        <f>IF(D4371="","",D4371/48)</f>
        <v>0</v>
      </c>
      <c r="D4371" s="26">
        <f>IF(A4371="","",ROUND((A4371-cfgDefasagem/1440)*48,0))</f>
        <v>0</v>
      </c>
      <c r="E4371" s="26">
        <f>IF(D4371="","",INT((D4371-cfgDeslocamento)/4))</f>
        <v>0</v>
      </c>
      <c r="F4371" s="26">
        <f>IF(D4371="","",MOD(D4371-cfgDeslocamento,4)+1)</f>
        <v>0</v>
      </c>
      <c r="G4371" s="26">
        <f>IF(A4371="","",IF(AND(ISNUMBER(B4371),B4371&lt;&gt;0),1,0))</f>
        <v>0</v>
      </c>
      <c r="H4371" s="25">
        <f>IF(E4371="","",(E4371*4+3+cfgDeslocamento)/48)</f>
        <v>0</v>
      </c>
    </row>
    <row r="4372" spans="1:8">
      <c r="A4372" s="24"/>
      <c r="B4372" s="19"/>
      <c r="C4372" s="25">
        <f>IF(D4372="","",D4372/48)</f>
        <v>0</v>
      </c>
      <c r="D4372" s="26">
        <f>IF(A4372="","",ROUND((A4372-cfgDefasagem/1440)*48,0))</f>
        <v>0</v>
      </c>
      <c r="E4372" s="26">
        <f>IF(D4372="","",INT((D4372-cfgDeslocamento)/4))</f>
        <v>0</v>
      </c>
      <c r="F4372" s="26">
        <f>IF(D4372="","",MOD(D4372-cfgDeslocamento,4)+1)</f>
        <v>0</v>
      </c>
      <c r="G4372" s="26">
        <f>IF(A4372="","",IF(AND(ISNUMBER(B4372),B4372&lt;&gt;0),1,0))</f>
        <v>0</v>
      </c>
      <c r="H4372" s="25">
        <f>IF(E4372="","",(E4372*4+3+cfgDeslocamento)/48)</f>
        <v>0</v>
      </c>
    </row>
    <row r="4373" spans="1:8">
      <c r="A4373" s="24"/>
      <c r="B4373" s="19"/>
      <c r="C4373" s="25">
        <f>IF(D4373="","",D4373/48)</f>
        <v>0</v>
      </c>
      <c r="D4373" s="26">
        <f>IF(A4373="","",ROUND((A4373-cfgDefasagem/1440)*48,0))</f>
        <v>0</v>
      </c>
      <c r="E4373" s="26">
        <f>IF(D4373="","",INT((D4373-cfgDeslocamento)/4))</f>
        <v>0</v>
      </c>
      <c r="F4373" s="26">
        <f>IF(D4373="","",MOD(D4373-cfgDeslocamento,4)+1)</f>
        <v>0</v>
      </c>
      <c r="G4373" s="26">
        <f>IF(A4373="","",IF(AND(ISNUMBER(B4373),B4373&lt;&gt;0),1,0))</f>
        <v>0</v>
      </c>
      <c r="H4373" s="25">
        <f>IF(E4373="","",(E4373*4+3+cfgDeslocamento)/48)</f>
        <v>0</v>
      </c>
    </row>
    <row r="4374" spans="1:8">
      <c r="A4374" s="24"/>
      <c r="B4374" s="19"/>
      <c r="C4374" s="25">
        <f>IF(D4374="","",D4374/48)</f>
        <v>0</v>
      </c>
      <c r="D4374" s="26">
        <f>IF(A4374="","",ROUND((A4374-cfgDefasagem/1440)*48,0))</f>
        <v>0</v>
      </c>
      <c r="E4374" s="26">
        <f>IF(D4374="","",INT((D4374-cfgDeslocamento)/4))</f>
        <v>0</v>
      </c>
      <c r="F4374" s="26">
        <f>IF(D4374="","",MOD(D4374-cfgDeslocamento,4)+1)</f>
        <v>0</v>
      </c>
      <c r="G4374" s="26">
        <f>IF(A4374="","",IF(AND(ISNUMBER(B4374),B4374&lt;&gt;0),1,0))</f>
        <v>0</v>
      </c>
      <c r="H4374" s="25">
        <f>IF(E4374="","",(E4374*4+3+cfgDeslocamento)/48)</f>
        <v>0</v>
      </c>
    </row>
    <row r="4375" spans="1:8">
      <c r="A4375" s="24"/>
      <c r="B4375" s="19"/>
      <c r="C4375" s="25">
        <f>IF(D4375="","",D4375/48)</f>
        <v>0</v>
      </c>
      <c r="D4375" s="26">
        <f>IF(A4375="","",ROUND((A4375-cfgDefasagem/1440)*48,0))</f>
        <v>0</v>
      </c>
      <c r="E4375" s="26">
        <f>IF(D4375="","",INT((D4375-cfgDeslocamento)/4))</f>
        <v>0</v>
      </c>
      <c r="F4375" s="26">
        <f>IF(D4375="","",MOD(D4375-cfgDeslocamento,4)+1)</f>
        <v>0</v>
      </c>
      <c r="G4375" s="26">
        <f>IF(A4375="","",IF(AND(ISNUMBER(B4375),B4375&lt;&gt;0),1,0))</f>
        <v>0</v>
      </c>
      <c r="H4375" s="25">
        <f>IF(E4375="","",(E4375*4+3+cfgDeslocamento)/48)</f>
        <v>0</v>
      </c>
    </row>
    <row r="4376" spans="1:8">
      <c r="A4376" s="24"/>
      <c r="B4376" s="19"/>
      <c r="C4376" s="25">
        <f>IF(D4376="","",D4376/48)</f>
        <v>0</v>
      </c>
      <c r="D4376" s="26">
        <f>IF(A4376="","",ROUND((A4376-cfgDefasagem/1440)*48,0))</f>
        <v>0</v>
      </c>
      <c r="E4376" s="26">
        <f>IF(D4376="","",INT((D4376-cfgDeslocamento)/4))</f>
        <v>0</v>
      </c>
      <c r="F4376" s="26">
        <f>IF(D4376="","",MOD(D4376-cfgDeslocamento,4)+1)</f>
        <v>0</v>
      </c>
      <c r="G4376" s="26">
        <f>IF(A4376="","",IF(AND(ISNUMBER(B4376),B4376&lt;&gt;0),1,0))</f>
        <v>0</v>
      </c>
      <c r="H4376" s="25">
        <f>IF(E4376="","",(E4376*4+3+cfgDeslocamento)/48)</f>
        <v>0</v>
      </c>
    </row>
    <row r="4377" spans="1:8">
      <c r="A4377" s="24"/>
      <c r="B4377" s="19"/>
      <c r="C4377" s="25">
        <f>IF(D4377="","",D4377/48)</f>
        <v>0</v>
      </c>
      <c r="D4377" s="26">
        <f>IF(A4377="","",ROUND((A4377-cfgDefasagem/1440)*48,0))</f>
        <v>0</v>
      </c>
      <c r="E4377" s="26">
        <f>IF(D4377="","",INT((D4377-cfgDeslocamento)/4))</f>
        <v>0</v>
      </c>
      <c r="F4377" s="26">
        <f>IF(D4377="","",MOD(D4377-cfgDeslocamento,4)+1)</f>
        <v>0</v>
      </c>
      <c r="G4377" s="26">
        <f>IF(A4377="","",IF(AND(ISNUMBER(B4377),B4377&lt;&gt;0),1,0))</f>
        <v>0</v>
      </c>
      <c r="H4377" s="25">
        <f>IF(E4377="","",(E4377*4+3+cfgDeslocamento)/48)</f>
        <v>0</v>
      </c>
    </row>
    <row r="4378" spans="1:8">
      <c r="A4378" s="24"/>
      <c r="B4378" s="19"/>
      <c r="C4378" s="25">
        <f>IF(D4378="","",D4378/48)</f>
        <v>0</v>
      </c>
      <c r="D4378" s="26">
        <f>IF(A4378="","",ROUND((A4378-cfgDefasagem/1440)*48,0))</f>
        <v>0</v>
      </c>
      <c r="E4378" s="26">
        <f>IF(D4378="","",INT((D4378-cfgDeslocamento)/4))</f>
        <v>0</v>
      </c>
      <c r="F4378" s="26">
        <f>IF(D4378="","",MOD(D4378-cfgDeslocamento,4)+1)</f>
        <v>0</v>
      </c>
      <c r="G4378" s="26">
        <f>IF(A4378="","",IF(AND(ISNUMBER(B4378),B4378&lt;&gt;0),1,0))</f>
        <v>0</v>
      </c>
      <c r="H4378" s="25">
        <f>IF(E4378="","",(E4378*4+3+cfgDeslocamento)/48)</f>
        <v>0</v>
      </c>
    </row>
    <row r="4379" spans="1:8">
      <c r="A4379" s="24"/>
      <c r="B4379" s="19"/>
      <c r="C4379" s="25">
        <f>IF(D4379="","",D4379/48)</f>
        <v>0</v>
      </c>
      <c r="D4379" s="26">
        <f>IF(A4379="","",ROUND((A4379-cfgDefasagem/1440)*48,0))</f>
        <v>0</v>
      </c>
      <c r="E4379" s="26">
        <f>IF(D4379="","",INT((D4379-cfgDeslocamento)/4))</f>
        <v>0</v>
      </c>
      <c r="F4379" s="26">
        <f>IF(D4379="","",MOD(D4379-cfgDeslocamento,4)+1)</f>
        <v>0</v>
      </c>
      <c r="G4379" s="26">
        <f>IF(A4379="","",IF(AND(ISNUMBER(B4379),B4379&lt;&gt;0),1,0))</f>
        <v>0</v>
      </c>
      <c r="H4379" s="25">
        <f>IF(E4379="","",(E4379*4+3+cfgDeslocamento)/48)</f>
        <v>0</v>
      </c>
    </row>
    <row r="4380" spans="1:8">
      <c r="A4380" s="24"/>
      <c r="B4380" s="19"/>
      <c r="C4380" s="25">
        <f>IF(D4380="","",D4380/48)</f>
        <v>0</v>
      </c>
      <c r="D4380" s="26">
        <f>IF(A4380="","",ROUND((A4380-cfgDefasagem/1440)*48,0))</f>
        <v>0</v>
      </c>
      <c r="E4380" s="26">
        <f>IF(D4380="","",INT((D4380-cfgDeslocamento)/4))</f>
        <v>0</v>
      </c>
      <c r="F4380" s="26">
        <f>IF(D4380="","",MOD(D4380-cfgDeslocamento,4)+1)</f>
        <v>0</v>
      </c>
      <c r="G4380" s="26">
        <f>IF(A4380="","",IF(AND(ISNUMBER(B4380),B4380&lt;&gt;0),1,0))</f>
        <v>0</v>
      </c>
      <c r="H4380" s="25">
        <f>IF(E4380="","",(E4380*4+3+cfgDeslocamento)/48)</f>
        <v>0</v>
      </c>
    </row>
    <row r="4381" spans="1:8">
      <c r="A4381" s="24"/>
      <c r="B4381" s="19"/>
      <c r="C4381" s="25">
        <f>IF(D4381="","",D4381/48)</f>
        <v>0</v>
      </c>
      <c r="D4381" s="26">
        <f>IF(A4381="","",ROUND((A4381-cfgDefasagem/1440)*48,0))</f>
        <v>0</v>
      </c>
      <c r="E4381" s="26">
        <f>IF(D4381="","",INT((D4381-cfgDeslocamento)/4))</f>
        <v>0</v>
      </c>
      <c r="F4381" s="26">
        <f>IF(D4381="","",MOD(D4381-cfgDeslocamento,4)+1)</f>
        <v>0</v>
      </c>
      <c r="G4381" s="26">
        <f>IF(A4381="","",IF(AND(ISNUMBER(B4381),B4381&lt;&gt;0),1,0))</f>
        <v>0</v>
      </c>
      <c r="H4381" s="25">
        <f>IF(E4381="","",(E4381*4+3+cfgDeslocamento)/48)</f>
        <v>0</v>
      </c>
    </row>
    <row r="4382" spans="1:8">
      <c r="A4382" s="24"/>
      <c r="B4382" s="19"/>
      <c r="C4382" s="25">
        <f>IF(D4382="","",D4382/48)</f>
        <v>0</v>
      </c>
      <c r="D4382" s="26">
        <f>IF(A4382="","",ROUND((A4382-cfgDefasagem/1440)*48,0))</f>
        <v>0</v>
      </c>
      <c r="E4382" s="26">
        <f>IF(D4382="","",INT((D4382-cfgDeslocamento)/4))</f>
        <v>0</v>
      </c>
      <c r="F4382" s="26">
        <f>IF(D4382="","",MOD(D4382-cfgDeslocamento,4)+1)</f>
        <v>0</v>
      </c>
      <c r="G4382" s="26">
        <f>IF(A4382="","",IF(AND(ISNUMBER(B4382),B4382&lt;&gt;0),1,0))</f>
        <v>0</v>
      </c>
      <c r="H4382" s="25">
        <f>IF(E4382="","",(E4382*4+3+cfgDeslocamento)/48)</f>
        <v>0</v>
      </c>
    </row>
    <row r="4383" spans="1:8">
      <c r="A4383" s="24"/>
      <c r="B4383" s="19"/>
      <c r="C4383" s="25">
        <f>IF(D4383="","",D4383/48)</f>
        <v>0</v>
      </c>
      <c r="D4383" s="26">
        <f>IF(A4383="","",ROUND((A4383-cfgDefasagem/1440)*48,0))</f>
        <v>0</v>
      </c>
      <c r="E4383" s="26">
        <f>IF(D4383="","",INT((D4383-cfgDeslocamento)/4))</f>
        <v>0</v>
      </c>
      <c r="F4383" s="26">
        <f>IF(D4383="","",MOD(D4383-cfgDeslocamento,4)+1)</f>
        <v>0</v>
      </c>
      <c r="G4383" s="26">
        <f>IF(A4383="","",IF(AND(ISNUMBER(B4383),B4383&lt;&gt;0),1,0))</f>
        <v>0</v>
      </c>
      <c r="H4383" s="25">
        <f>IF(E4383="","",(E4383*4+3+cfgDeslocamento)/48)</f>
        <v>0</v>
      </c>
    </row>
    <row r="4384" spans="1:8">
      <c r="A4384" s="24"/>
      <c r="B4384" s="19"/>
      <c r="C4384" s="25">
        <f>IF(D4384="","",D4384/48)</f>
        <v>0</v>
      </c>
      <c r="D4384" s="26">
        <f>IF(A4384="","",ROUND((A4384-cfgDefasagem/1440)*48,0))</f>
        <v>0</v>
      </c>
      <c r="E4384" s="26">
        <f>IF(D4384="","",INT((D4384-cfgDeslocamento)/4))</f>
        <v>0</v>
      </c>
      <c r="F4384" s="26">
        <f>IF(D4384="","",MOD(D4384-cfgDeslocamento,4)+1)</f>
        <v>0</v>
      </c>
      <c r="G4384" s="26">
        <f>IF(A4384="","",IF(AND(ISNUMBER(B4384),B4384&lt;&gt;0),1,0))</f>
        <v>0</v>
      </c>
      <c r="H4384" s="25">
        <f>IF(E4384="","",(E4384*4+3+cfgDeslocamento)/48)</f>
        <v>0</v>
      </c>
    </row>
    <row r="4385" spans="1:8">
      <c r="A4385" s="24"/>
      <c r="B4385" s="19"/>
      <c r="C4385" s="25">
        <f>IF(D4385="","",D4385/48)</f>
        <v>0</v>
      </c>
      <c r="D4385" s="26">
        <f>IF(A4385="","",ROUND((A4385-cfgDefasagem/1440)*48,0))</f>
        <v>0</v>
      </c>
      <c r="E4385" s="26">
        <f>IF(D4385="","",INT((D4385-cfgDeslocamento)/4))</f>
        <v>0</v>
      </c>
      <c r="F4385" s="26">
        <f>IF(D4385="","",MOD(D4385-cfgDeslocamento,4)+1)</f>
        <v>0</v>
      </c>
      <c r="G4385" s="26">
        <f>IF(A4385="","",IF(AND(ISNUMBER(B4385),B4385&lt;&gt;0),1,0))</f>
        <v>0</v>
      </c>
      <c r="H4385" s="25">
        <f>IF(E4385="","",(E4385*4+3+cfgDeslocamento)/48)</f>
        <v>0</v>
      </c>
    </row>
    <row r="4386" spans="1:8">
      <c r="A4386" s="24"/>
      <c r="B4386" s="19"/>
      <c r="C4386" s="25">
        <f>IF(D4386="","",D4386/48)</f>
        <v>0</v>
      </c>
      <c r="D4386" s="26">
        <f>IF(A4386="","",ROUND((A4386-cfgDefasagem/1440)*48,0))</f>
        <v>0</v>
      </c>
      <c r="E4386" s="26">
        <f>IF(D4386="","",INT((D4386-cfgDeslocamento)/4))</f>
        <v>0</v>
      </c>
      <c r="F4386" s="26">
        <f>IF(D4386="","",MOD(D4386-cfgDeslocamento,4)+1)</f>
        <v>0</v>
      </c>
      <c r="G4386" s="26">
        <f>IF(A4386="","",IF(AND(ISNUMBER(B4386),B4386&lt;&gt;0),1,0))</f>
        <v>0</v>
      </c>
      <c r="H4386" s="25">
        <f>IF(E4386="","",(E4386*4+3+cfgDeslocamento)/48)</f>
        <v>0</v>
      </c>
    </row>
    <row r="4387" spans="1:8">
      <c r="A4387" s="24"/>
      <c r="B4387" s="19"/>
      <c r="C4387" s="25">
        <f>IF(D4387="","",D4387/48)</f>
        <v>0</v>
      </c>
      <c r="D4387" s="26">
        <f>IF(A4387="","",ROUND((A4387-cfgDefasagem/1440)*48,0))</f>
        <v>0</v>
      </c>
      <c r="E4387" s="26">
        <f>IF(D4387="","",INT((D4387-cfgDeslocamento)/4))</f>
        <v>0</v>
      </c>
      <c r="F4387" s="26">
        <f>IF(D4387="","",MOD(D4387-cfgDeslocamento,4)+1)</f>
        <v>0</v>
      </c>
      <c r="G4387" s="26">
        <f>IF(A4387="","",IF(AND(ISNUMBER(B4387),B4387&lt;&gt;0),1,0))</f>
        <v>0</v>
      </c>
      <c r="H4387" s="25">
        <f>IF(E4387="","",(E4387*4+3+cfgDeslocamento)/48)</f>
        <v>0</v>
      </c>
    </row>
    <row r="4388" spans="1:8">
      <c r="A4388" s="24"/>
      <c r="B4388" s="19"/>
      <c r="C4388" s="25">
        <f>IF(D4388="","",D4388/48)</f>
        <v>0</v>
      </c>
      <c r="D4388" s="26">
        <f>IF(A4388="","",ROUND((A4388-cfgDefasagem/1440)*48,0))</f>
        <v>0</v>
      </c>
      <c r="E4388" s="26">
        <f>IF(D4388="","",INT((D4388-cfgDeslocamento)/4))</f>
        <v>0</v>
      </c>
      <c r="F4388" s="26">
        <f>IF(D4388="","",MOD(D4388-cfgDeslocamento,4)+1)</f>
        <v>0</v>
      </c>
      <c r="G4388" s="26">
        <f>IF(A4388="","",IF(AND(ISNUMBER(B4388),B4388&lt;&gt;0),1,0))</f>
        <v>0</v>
      </c>
      <c r="H4388" s="25">
        <f>IF(E4388="","",(E4388*4+3+cfgDeslocamento)/48)</f>
        <v>0</v>
      </c>
    </row>
    <row r="4389" spans="1:8">
      <c r="A4389" s="24"/>
      <c r="B4389" s="19"/>
      <c r="C4389" s="25">
        <f>IF(D4389="","",D4389/48)</f>
        <v>0</v>
      </c>
      <c r="D4389" s="26">
        <f>IF(A4389="","",ROUND((A4389-cfgDefasagem/1440)*48,0))</f>
        <v>0</v>
      </c>
      <c r="E4389" s="26">
        <f>IF(D4389="","",INT((D4389-cfgDeslocamento)/4))</f>
        <v>0</v>
      </c>
      <c r="F4389" s="26">
        <f>IF(D4389="","",MOD(D4389-cfgDeslocamento,4)+1)</f>
        <v>0</v>
      </c>
      <c r="G4389" s="26">
        <f>IF(A4389="","",IF(AND(ISNUMBER(B4389),B4389&lt;&gt;0),1,0))</f>
        <v>0</v>
      </c>
      <c r="H4389" s="25">
        <f>IF(E4389="","",(E4389*4+3+cfgDeslocamento)/48)</f>
        <v>0</v>
      </c>
    </row>
    <row r="4390" spans="1:8">
      <c r="A4390" s="24"/>
      <c r="B4390" s="19"/>
      <c r="C4390" s="25">
        <f>IF(D4390="","",D4390/48)</f>
        <v>0</v>
      </c>
      <c r="D4390" s="26">
        <f>IF(A4390="","",ROUND((A4390-cfgDefasagem/1440)*48,0))</f>
        <v>0</v>
      </c>
      <c r="E4390" s="26">
        <f>IF(D4390="","",INT((D4390-cfgDeslocamento)/4))</f>
        <v>0</v>
      </c>
      <c r="F4390" s="26">
        <f>IF(D4390="","",MOD(D4390-cfgDeslocamento,4)+1)</f>
        <v>0</v>
      </c>
      <c r="G4390" s="26">
        <f>IF(A4390="","",IF(AND(ISNUMBER(B4390),B4390&lt;&gt;0),1,0))</f>
        <v>0</v>
      </c>
      <c r="H4390" s="25">
        <f>IF(E4390="","",(E4390*4+3+cfgDeslocamento)/48)</f>
        <v>0</v>
      </c>
    </row>
    <row r="4391" spans="1:8">
      <c r="A4391" s="24"/>
      <c r="B4391" s="19"/>
      <c r="C4391" s="25">
        <f>IF(D4391="","",D4391/48)</f>
        <v>0</v>
      </c>
      <c r="D4391" s="26">
        <f>IF(A4391="","",ROUND((A4391-cfgDefasagem/1440)*48,0))</f>
        <v>0</v>
      </c>
      <c r="E4391" s="26">
        <f>IF(D4391="","",INT((D4391-cfgDeslocamento)/4))</f>
        <v>0</v>
      </c>
      <c r="F4391" s="26">
        <f>IF(D4391="","",MOD(D4391-cfgDeslocamento,4)+1)</f>
        <v>0</v>
      </c>
      <c r="G4391" s="26">
        <f>IF(A4391="","",IF(AND(ISNUMBER(B4391),B4391&lt;&gt;0),1,0))</f>
        <v>0</v>
      </c>
      <c r="H4391" s="25">
        <f>IF(E4391="","",(E4391*4+3+cfgDeslocamento)/48)</f>
        <v>0</v>
      </c>
    </row>
    <row r="4392" spans="1:8">
      <c r="A4392" s="24"/>
      <c r="B4392" s="19"/>
      <c r="C4392" s="25">
        <f>IF(D4392="","",D4392/48)</f>
        <v>0</v>
      </c>
      <c r="D4392" s="26">
        <f>IF(A4392="","",ROUND((A4392-cfgDefasagem/1440)*48,0))</f>
        <v>0</v>
      </c>
      <c r="E4392" s="26">
        <f>IF(D4392="","",INT((D4392-cfgDeslocamento)/4))</f>
        <v>0</v>
      </c>
      <c r="F4392" s="26">
        <f>IF(D4392="","",MOD(D4392-cfgDeslocamento,4)+1)</f>
        <v>0</v>
      </c>
      <c r="G4392" s="26">
        <f>IF(A4392="","",IF(AND(ISNUMBER(B4392),B4392&lt;&gt;0),1,0))</f>
        <v>0</v>
      </c>
      <c r="H4392" s="25">
        <f>IF(E4392="","",(E4392*4+3+cfgDeslocamento)/48)</f>
        <v>0</v>
      </c>
    </row>
    <row r="4393" spans="1:8">
      <c r="A4393" s="24"/>
      <c r="B4393" s="19"/>
      <c r="C4393" s="25">
        <f>IF(D4393="","",D4393/48)</f>
        <v>0</v>
      </c>
      <c r="D4393" s="26">
        <f>IF(A4393="","",ROUND((A4393-cfgDefasagem/1440)*48,0))</f>
        <v>0</v>
      </c>
      <c r="E4393" s="26">
        <f>IF(D4393="","",INT((D4393-cfgDeslocamento)/4))</f>
        <v>0</v>
      </c>
      <c r="F4393" s="26">
        <f>IF(D4393="","",MOD(D4393-cfgDeslocamento,4)+1)</f>
        <v>0</v>
      </c>
      <c r="G4393" s="26">
        <f>IF(A4393="","",IF(AND(ISNUMBER(B4393),B4393&lt;&gt;0),1,0))</f>
        <v>0</v>
      </c>
      <c r="H4393" s="25">
        <f>IF(E4393="","",(E4393*4+3+cfgDeslocamento)/48)</f>
        <v>0</v>
      </c>
    </row>
    <row r="4394" spans="1:8">
      <c r="A4394" s="24"/>
      <c r="B4394" s="19"/>
      <c r="C4394" s="25">
        <f>IF(D4394="","",D4394/48)</f>
        <v>0</v>
      </c>
      <c r="D4394" s="26">
        <f>IF(A4394="","",ROUND((A4394-cfgDefasagem/1440)*48,0))</f>
        <v>0</v>
      </c>
      <c r="E4394" s="26">
        <f>IF(D4394="","",INT((D4394-cfgDeslocamento)/4))</f>
        <v>0</v>
      </c>
      <c r="F4394" s="26">
        <f>IF(D4394="","",MOD(D4394-cfgDeslocamento,4)+1)</f>
        <v>0</v>
      </c>
      <c r="G4394" s="26">
        <f>IF(A4394="","",IF(AND(ISNUMBER(B4394),B4394&lt;&gt;0),1,0))</f>
        <v>0</v>
      </c>
      <c r="H4394" s="25">
        <f>IF(E4394="","",(E4394*4+3+cfgDeslocamento)/48)</f>
        <v>0</v>
      </c>
    </row>
    <row r="4395" spans="1:8">
      <c r="A4395" s="24"/>
      <c r="B4395" s="19"/>
      <c r="C4395" s="25">
        <f>IF(D4395="","",D4395/48)</f>
        <v>0</v>
      </c>
      <c r="D4395" s="26">
        <f>IF(A4395="","",ROUND((A4395-cfgDefasagem/1440)*48,0))</f>
        <v>0</v>
      </c>
      <c r="E4395" s="26">
        <f>IF(D4395="","",INT((D4395-cfgDeslocamento)/4))</f>
        <v>0</v>
      </c>
      <c r="F4395" s="26">
        <f>IF(D4395="","",MOD(D4395-cfgDeslocamento,4)+1)</f>
        <v>0</v>
      </c>
      <c r="G4395" s="26">
        <f>IF(A4395="","",IF(AND(ISNUMBER(B4395),B4395&lt;&gt;0),1,0))</f>
        <v>0</v>
      </c>
      <c r="H4395" s="25">
        <f>IF(E4395="","",(E4395*4+3+cfgDeslocamento)/48)</f>
        <v>0</v>
      </c>
    </row>
    <row r="4396" spans="1:8">
      <c r="A4396" s="24"/>
      <c r="B4396" s="19"/>
      <c r="C4396" s="25">
        <f>IF(D4396="","",D4396/48)</f>
        <v>0</v>
      </c>
      <c r="D4396" s="26">
        <f>IF(A4396="","",ROUND((A4396-cfgDefasagem/1440)*48,0))</f>
        <v>0</v>
      </c>
      <c r="E4396" s="26">
        <f>IF(D4396="","",INT((D4396-cfgDeslocamento)/4))</f>
        <v>0</v>
      </c>
      <c r="F4396" s="26">
        <f>IF(D4396="","",MOD(D4396-cfgDeslocamento,4)+1)</f>
        <v>0</v>
      </c>
      <c r="G4396" s="26">
        <f>IF(A4396="","",IF(AND(ISNUMBER(B4396),B4396&lt;&gt;0),1,0))</f>
        <v>0</v>
      </c>
      <c r="H4396" s="25">
        <f>IF(E4396="","",(E4396*4+3+cfgDeslocamento)/48)</f>
        <v>0</v>
      </c>
    </row>
    <row r="4397" spans="1:8">
      <c r="A4397" s="24"/>
      <c r="B4397" s="19"/>
      <c r="C4397" s="25">
        <f>IF(D4397="","",D4397/48)</f>
        <v>0</v>
      </c>
      <c r="D4397" s="26">
        <f>IF(A4397="","",ROUND((A4397-cfgDefasagem/1440)*48,0))</f>
        <v>0</v>
      </c>
      <c r="E4397" s="26">
        <f>IF(D4397="","",INT((D4397-cfgDeslocamento)/4))</f>
        <v>0</v>
      </c>
      <c r="F4397" s="26">
        <f>IF(D4397="","",MOD(D4397-cfgDeslocamento,4)+1)</f>
        <v>0</v>
      </c>
      <c r="G4397" s="26">
        <f>IF(A4397="","",IF(AND(ISNUMBER(B4397),B4397&lt;&gt;0),1,0))</f>
        <v>0</v>
      </c>
      <c r="H4397" s="25">
        <f>IF(E4397="","",(E4397*4+3+cfgDeslocamento)/48)</f>
        <v>0</v>
      </c>
    </row>
    <row r="4398" spans="1:8">
      <c r="A4398" s="24"/>
      <c r="B4398" s="19"/>
      <c r="C4398" s="25">
        <f>IF(D4398="","",D4398/48)</f>
        <v>0</v>
      </c>
      <c r="D4398" s="26">
        <f>IF(A4398="","",ROUND((A4398-cfgDefasagem/1440)*48,0))</f>
        <v>0</v>
      </c>
      <c r="E4398" s="26">
        <f>IF(D4398="","",INT((D4398-cfgDeslocamento)/4))</f>
        <v>0</v>
      </c>
      <c r="F4398" s="26">
        <f>IF(D4398="","",MOD(D4398-cfgDeslocamento,4)+1)</f>
        <v>0</v>
      </c>
      <c r="G4398" s="26">
        <f>IF(A4398="","",IF(AND(ISNUMBER(B4398),B4398&lt;&gt;0),1,0))</f>
        <v>0</v>
      </c>
      <c r="H4398" s="25">
        <f>IF(E4398="","",(E4398*4+3+cfgDeslocamento)/48)</f>
        <v>0</v>
      </c>
    </row>
    <row r="4399" spans="1:8">
      <c r="A4399" s="24"/>
      <c r="B4399" s="19"/>
      <c r="C4399" s="25">
        <f>IF(D4399="","",D4399/48)</f>
        <v>0</v>
      </c>
      <c r="D4399" s="26">
        <f>IF(A4399="","",ROUND((A4399-cfgDefasagem/1440)*48,0))</f>
        <v>0</v>
      </c>
      <c r="E4399" s="26">
        <f>IF(D4399="","",INT((D4399-cfgDeslocamento)/4))</f>
        <v>0</v>
      </c>
      <c r="F4399" s="26">
        <f>IF(D4399="","",MOD(D4399-cfgDeslocamento,4)+1)</f>
        <v>0</v>
      </c>
      <c r="G4399" s="26">
        <f>IF(A4399="","",IF(AND(ISNUMBER(B4399),B4399&lt;&gt;0),1,0))</f>
        <v>0</v>
      </c>
      <c r="H4399" s="25">
        <f>IF(E4399="","",(E4399*4+3+cfgDeslocamento)/48)</f>
        <v>0</v>
      </c>
    </row>
    <row r="4400" spans="1:8">
      <c r="A4400" s="24"/>
      <c r="B4400" s="19"/>
      <c r="C4400" s="25">
        <f>IF(D4400="","",D4400/48)</f>
        <v>0</v>
      </c>
      <c r="D4400" s="26">
        <f>IF(A4400="","",ROUND((A4400-cfgDefasagem/1440)*48,0))</f>
        <v>0</v>
      </c>
      <c r="E4400" s="26">
        <f>IF(D4400="","",INT((D4400-cfgDeslocamento)/4))</f>
        <v>0</v>
      </c>
      <c r="F4400" s="26">
        <f>IF(D4400="","",MOD(D4400-cfgDeslocamento,4)+1)</f>
        <v>0</v>
      </c>
      <c r="G4400" s="26">
        <f>IF(A4400="","",IF(AND(ISNUMBER(B4400),B4400&lt;&gt;0),1,0))</f>
        <v>0</v>
      </c>
      <c r="H4400" s="25">
        <f>IF(E4400="","",(E4400*4+3+cfgDeslocamento)/48)</f>
        <v>0</v>
      </c>
    </row>
    <row r="4401" spans="1:8">
      <c r="A4401" s="24"/>
      <c r="B4401" s="19"/>
      <c r="C4401" s="25">
        <f>IF(D4401="","",D4401/48)</f>
        <v>0</v>
      </c>
      <c r="D4401" s="26">
        <f>IF(A4401="","",ROUND((A4401-cfgDefasagem/1440)*48,0))</f>
        <v>0</v>
      </c>
      <c r="E4401" s="26">
        <f>IF(D4401="","",INT((D4401-cfgDeslocamento)/4))</f>
        <v>0</v>
      </c>
      <c r="F4401" s="26">
        <f>IF(D4401="","",MOD(D4401-cfgDeslocamento,4)+1)</f>
        <v>0</v>
      </c>
      <c r="G4401" s="26">
        <f>IF(A4401="","",IF(AND(ISNUMBER(B4401),B4401&lt;&gt;0),1,0))</f>
        <v>0</v>
      </c>
      <c r="H4401" s="25">
        <f>IF(E4401="","",(E4401*4+3+cfgDeslocamento)/48)</f>
        <v>0</v>
      </c>
    </row>
    <row r="4402" spans="1:8">
      <c r="A4402" s="24"/>
      <c r="B4402" s="19"/>
      <c r="C4402" s="25">
        <f>IF(D4402="","",D4402/48)</f>
        <v>0</v>
      </c>
      <c r="D4402" s="26">
        <f>IF(A4402="","",ROUND((A4402-cfgDefasagem/1440)*48,0))</f>
        <v>0</v>
      </c>
      <c r="E4402" s="26">
        <f>IF(D4402="","",INT((D4402-cfgDeslocamento)/4))</f>
        <v>0</v>
      </c>
      <c r="F4402" s="26">
        <f>IF(D4402="","",MOD(D4402-cfgDeslocamento,4)+1)</f>
        <v>0</v>
      </c>
      <c r="G4402" s="26">
        <f>IF(A4402="","",IF(AND(ISNUMBER(B4402),B4402&lt;&gt;0),1,0))</f>
        <v>0</v>
      </c>
      <c r="H4402" s="25">
        <f>IF(E4402="","",(E4402*4+3+cfgDeslocamento)/48)</f>
        <v>0</v>
      </c>
    </row>
    <row r="4403" spans="1:8">
      <c r="A4403" s="24"/>
      <c r="B4403" s="19"/>
      <c r="C4403" s="25">
        <f>IF(D4403="","",D4403/48)</f>
        <v>0</v>
      </c>
      <c r="D4403" s="26">
        <f>IF(A4403="","",ROUND((A4403-cfgDefasagem/1440)*48,0))</f>
        <v>0</v>
      </c>
      <c r="E4403" s="26">
        <f>IF(D4403="","",INT((D4403-cfgDeslocamento)/4))</f>
        <v>0</v>
      </c>
      <c r="F4403" s="26">
        <f>IF(D4403="","",MOD(D4403-cfgDeslocamento,4)+1)</f>
        <v>0</v>
      </c>
      <c r="G4403" s="26">
        <f>IF(A4403="","",IF(AND(ISNUMBER(B4403),B4403&lt;&gt;0),1,0))</f>
        <v>0</v>
      </c>
      <c r="H4403" s="25">
        <f>IF(E4403="","",(E4403*4+3+cfgDeslocamento)/48)</f>
        <v>0</v>
      </c>
    </row>
    <row r="4404" spans="1:8">
      <c r="A4404" s="24"/>
      <c r="B4404" s="19"/>
      <c r="C4404" s="25">
        <f>IF(D4404="","",D4404/48)</f>
        <v>0</v>
      </c>
      <c r="D4404" s="26">
        <f>IF(A4404="","",ROUND((A4404-cfgDefasagem/1440)*48,0))</f>
        <v>0</v>
      </c>
      <c r="E4404" s="26">
        <f>IF(D4404="","",INT((D4404-cfgDeslocamento)/4))</f>
        <v>0</v>
      </c>
      <c r="F4404" s="26">
        <f>IF(D4404="","",MOD(D4404-cfgDeslocamento,4)+1)</f>
        <v>0</v>
      </c>
      <c r="G4404" s="26">
        <f>IF(A4404="","",IF(AND(ISNUMBER(B4404),B4404&lt;&gt;0),1,0))</f>
        <v>0</v>
      </c>
      <c r="H4404" s="25">
        <f>IF(E4404="","",(E4404*4+3+cfgDeslocamento)/48)</f>
        <v>0</v>
      </c>
    </row>
    <row r="4405" spans="1:8">
      <c r="A4405" s="24"/>
      <c r="B4405" s="19"/>
      <c r="C4405" s="25">
        <f>IF(D4405="","",D4405/48)</f>
        <v>0</v>
      </c>
      <c r="D4405" s="26">
        <f>IF(A4405="","",ROUND((A4405-cfgDefasagem/1440)*48,0))</f>
        <v>0</v>
      </c>
      <c r="E4405" s="26">
        <f>IF(D4405="","",INT((D4405-cfgDeslocamento)/4))</f>
        <v>0</v>
      </c>
      <c r="F4405" s="26">
        <f>IF(D4405="","",MOD(D4405-cfgDeslocamento,4)+1)</f>
        <v>0</v>
      </c>
      <c r="G4405" s="26">
        <f>IF(A4405="","",IF(AND(ISNUMBER(B4405),B4405&lt;&gt;0),1,0))</f>
        <v>0</v>
      </c>
      <c r="H4405" s="25">
        <f>IF(E4405="","",(E4405*4+3+cfgDeslocamento)/48)</f>
        <v>0</v>
      </c>
    </row>
    <row r="4406" spans="1:8">
      <c r="A4406" s="24"/>
      <c r="B4406" s="19"/>
      <c r="C4406" s="25">
        <f>IF(D4406="","",D4406/48)</f>
        <v>0</v>
      </c>
      <c r="D4406" s="26">
        <f>IF(A4406="","",ROUND((A4406-cfgDefasagem/1440)*48,0))</f>
        <v>0</v>
      </c>
      <c r="E4406" s="26">
        <f>IF(D4406="","",INT((D4406-cfgDeslocamento)/4))</f>
        <v>0</v>
      </c>
      <c r="F4406" s="26">
        <f>IF(D4406="","",MOD(D4406-cfgDeslocamento,4)+1)</f>
        <v>0</v>
      </c>
      <c r="G4406" s="26">
        <f>IF(A4406="","",IF(AND(ISNUMBER(B4406),B4406&lt;&gt;0),1,0))</f>
        <v>0</v>
      </c>
      <c r="H4406" s="25">
        <f>IF(E4406="","",(E4406*4+3+cfgDeslocamento)/48)</f>
        <v>0</v>
      </c>
    </row>
    <row r="4407" spans="1:8">
      <c r="A4407" s="24"/>
      <c r="B4407" s="19"/>
      <c r="C4407" s="25">
        <f>IF(D4407="","",D4407/48)</f>
        <v>0</v>
      </c>
      <c r="D4407" s="26">
        <f>IF(A4407="","",ROUND((A4407-cfgDefasagem/1440)*48,0))</f>
        <v>0</v>
      </c>
      <c r="E4407" s="26">
        <f>IF(D4407="","",INT((D4407-cfgDeslocamento)/4))</f>
        <v>0</v>
      </c>
      <c r="F4407" s="26">
        <f>IF(D4407="","",MOD(D4407-cfgDeslocamento,4)+1)</f>
        <v>0</v>
      </c>
      <c r="G4407" s="26">
        <f>IF(A4407="","",IF(AND(ISNUMBER(B4407),B4407&lt;&gt;0),1,0))</f>
        <v>0</v>
      </c>
      <c r="H4407" s="25">
        <f>IF(E4407="","",(E4407*4+3+cfgDeslocamento)/48)</f>
        <v>0</v>
      </c>
    </row>
    <row r="4408" spans="1:8">
      <c r="A4408" s="24"/>
      <c r="B4408" s="19"/>
      <c r="C4408" s="25">
        <f>IF(D4408="","",D4408/48)</f>
        <v>0</v>
      </c>
      <c r="D4408" s="26">
        <f>IF(A4408="","",ROUND((A4408-cfgDefasagem/1440)*48,0))</f>
        <v>0</v>
      </c>
      <c r="E4408" s="26">
        <f>IF(D4408="","",INT((D4408-cfgDeslocamento)/4))</f>
        <v>0</v>
      </c>
      <c r="F4408" s="26">
        <f>IF(D4408="","",MOD(D4408-cfgDeslocamento,4)+1)</f>
        <v>0</v>
      </c>
      <c r="G4408" s="26">
        <f>IF(A4408="","",IF(AND(ISNUMBER(B4408),B4408&lt;&gt;0),1,0))</f>
        <v>0</v>
      </c>
      <c r="H4408" s="25">
        <f>IF(E4408="","",(E4408*4+3+cfgDeslocamento)/48)</f>
        <v>0</v>
      </c>
    </row>
    <row r="4409" spans="1:8">
      <c r="A4409" s="24"/>
      <c r="B4409" s="19"/>
      <c r="C4409" s="25">
        <f>IF(D4409="","",D4409/48)</f>
        <v>0</v>
      </c>
      <c r="D4409" s="26">
        <f>IF(A4409="","",ROUND((A4409-cfgDefasagem/1440)*48,0))</f>
        <v>0</v>
      </c>
      <c r="E4409" s="26">
        <f>IF(D4409="","",INT((D4409-cfgDeslocamento)/4))</f>
        <v>0</v>
      </c>
      <c r="F4409" s="26">
        <f>IF(D4409="","",MOD(D4409-cfgDeslocamento,4)+1)</f>
        <v>0</v>
      </c>
      <c r="G4409" s="26">
        <f>IF(A4409="","",IF(AND(ISNUMBER(B4409),B4409&lt;&gt;0),1,0))</f>
        <v>0</v>
      </c>
      <c r="H4409" s="25">
        <f>IF(E4409="","",(E4409*4+3+cfgDeslocamento)/48)</f>
        <v>0</v>
      </c>
    </row>
    <row r="4410" spans="1:8">
      <c r="A4410" s="24"/>
      <c r="B4410" s="19"/>
      <c r="C4410" s="25">
        <f>IF(D4410="","",D4410/48)</f>
        <v>0</v>
      </c>
      <c r="D4410" s="26">
        <f>IF(A4410="","",ROUND((A4410-cfgDefasagem/1440)*48,0))</f>
        <v>0</v>
      </c>
      <c r="E4410" s="26">
        <f>IF(D4410="","",INT((D4410-cfgDeslocamento)/4))</f>
        <v>0</v>
      </c>
      <c r="F4410" s="26">
        <f>IF(D4410="","",MOD(D4410-cfgDeslocamento,4)+1)</f>
        <v>0</v>
      </c>
      <c r="G4410" s="26">
        <f>IF(A4410="","",IF(AND(ISNUMBER(B4410),B4410&lt;&gt;0),1,0))</f>
        <v>0</v>
      </c>
      <c r="H4410" s="25">
        <f>IF(E4410="","",(E4410*4+3+cfgDeslocamento)/48)</f>
        <v>0</v>
      </c>
    </row>
    <row r="4411" spans="1:8">
      <c r="A4411" s="24"/>
      <c r="B4411" s="19"/>
      <c r="C4411" s="25">
        <f>IF(D4411="","",D4411/48)</f>
        <v>0</v>
      </c>
      <c r="D4411" s="26">
        <f>IF(A4411="","",ROUND((A4411-cfgDefasagem/1440)*48,0))</f>
        <v>0</v>
      </c>
      <c r="E4411" s="26">
        <f>IF(D4411="","",INT((D4411-cfgDeslocamento)/4))</f>
        <v>0</v>
      </c>
      <c r="F4411" s="26">
        <f>IF(D4411="","",MOD(D4411-cfgDeslocamento,4)+1)</f>
        <v>0</v>
      </c>
      <c r="G4411" s="26">
        <f>IF(A4411="","",IF(AND(ISNUMBER(B4411),B4411&lt;&gt;0),1,0))</f>
        <v>0</v>
      </c>
      <c r="H4411" s="25">
        <f>IF(E4411="","",(E4411*4+3+cfgDeslocamento)/48)</f>
        <v>0</v>
      </c>
    </row>
    <row r="4412" spans="1:8">
      <c r="A4412" s="24"/>
      <c r="B4412" s="19"/>
      <c r="C4412" s="25">
        <f>IF(D4412="","",D4412/48)</f>
        <v>0</v>
      </c>
      <c r="D4412" s="26">
        <f>IF(A4412="","",ROUND((A4412-cfgDefasagem/1440)*48,0))</f>
        <v>0</v>
      </c>
      <c r="E4412" s="26">
        <f>IF(D4412="","",INT((D4412-cfgDeslocamento)/4))</f>
        <v>0</v>
      </c>
      <c r="F4412" s="26">
        <f>IF(D4412="","",MOD(D4412-cfgDeslocamento,4)+1)</f>
        <v>0</v>
      </c>
      <c r="G4412" s="26">
        <f>IF(A4412="","",IF(AND(ISNUMBER(B4412),B4412&lt;&gt;0),1,0))</f>
        <v>0</v>
      </c>
      <c r="H4412" s="25">
        <f>IF(E4412="","",(E4412*4+3+cfgDeslocamento)/48)</f>
        <v>0</v>
      </c>
    </row>
    <row r="4413" spans="1:8">
      <c r="A4413" s="24"/>
      <c r="B4413" s="19"/>
      <c r="C4413" s="25">
        <f>IF(D4413="","",D4413/48)</f>
        <v>0</v>
      </c>
      <c r="D4413" s="26">
        <f>IF(A4413="","",ROUND((A4413-cfgDefasagem/1440)*48,0))</f>
        <v>0</v>
      </c>
      <c r="E4413" s="26">
        <f>IF(D4413="","",INT((D4413-cfgDeslocamento)/4))</f>
        <v>0</v>
      </c>
      <c r="F4413" s="26">
        <f>IF(D4413="","",MOD(D4413-cfgDeslocamento,4)+1)</f>
        <v>0</v>
      </c>
      <c r="G4413" s="26">
        <f>IF(A4413="","",IF(AND(ISNUMBER(B4413),B4413&lt;&gt;0),1,0))</f>
        <v>0</v>
      </c>
      <c r="H4413" s="25">
        <f>IF(E4413="","",(E4413*4+3+cfgDeslocamento)/48)</f>
        <v>0</v>
      </c>
    </row>
    <row r="4414" spans="1:8">
      <c r="A4414" s="24"/>
      <c r="B4414" s="19"/>
      <c r="C4414" s="25">
        <f>IF(D4414="","",D4414/48)</f>
        <v>0</v>
      </c>
      <c r="D4414" s="26">
        <f>IF(A4414="","",ROUND((A4414-cfgDefasagem/1440)*48,0))</f>
        <v>0</v>
      </c>
      <c r="E4414" s="26">
        <f>IF(D4414="","",INT((D4414-cfgDeslocamento)/4))</f>
        <v>0</v>
      </c>
      <c r="F4414" s="26">
        <f>IF(D4414="","",MOD(D4414-cfgDeslocamento,4)+1)</f>
        <v>0</v>
      </c>
      <c r="G4414" s="26">
        <f>IF(A4414="","",IF(AND(ISNUMBER(B4414),B4414&lt;&gt;0),1,0))</f>
        <v>0</v>
      </c>
      <c r="H4414" s="25">
        <f>IF(E4414="","",(E4414*4+3+cfgDeslocamento)/48)</f>
        <v>0</v>
      </c>
    </row>
    <row r="4415" spans="1:8">
      <c r="A4415" s="24"/>
      <c r="B4415" s="19"/>
      <c r="C4415" s="25">
        <f>IF(D4415="","",D4415/48)</f>
        <v>0</v>
      </c>
      <c r="D4415" s="26">
        <f>IF(A4415="","",ROUND((A4415-cfgDefasagem/1440)*48,0))</f>
        <v>0</v>
      </c>
      <c r="E4415" s="26">
        <f>IF(D4415="","",INT((D4415-cfgDeslocamento)/4))</f>
        <v>0</v>
      </c>
      <c r="F4415" s="26">
        <f>IF(D4415="","",MOD(D4415-cfgDeslocamento,4)+1)</f>
        <v>0</v>
      </c>
      <c r="G4415" s="26">
        <f>IF(A4415="","",IF(AND(ISNUMBER(B4415),B4415&lt;&gt;0),1,0))</f>
        <v>0</v>
      </c>
      <c r="H4415" s="25">
        <f>IF(E4415="","",(E4415*4+3+cfgDeslocamento)/48)</f>
        <v>0</v>
      </c>
    </row>
    <row r="4416" spans="1:8">
      <c r="A4416" s="24"/>
      <c r="B4416" s="19"/>
      <c r="C4416" s="25">
        <f>IF(D4416="","",D4416/48)</f>
        <v>0</v>
      </c>
      <c r="D4416" s="26">
        <f>IF(A4416="","",ROUND((A4416-cfgDefasagem/1440)*48,0))</f>
        <v>0</v>
      </c>
      <c r="E4416" s="26">
        <f>IF(D4416="","",INT((D4416-cfgDeslocamento)/4))</f>
        <v>0</v>
      </c>
      <c r="F4416" s="26">
        <f>IF(D4416="","",MOD(D4416-cfgDeslocamento,4)+1)</f>
        <v>0</v>
      </c>
      <c r="G4416" s="26">
        <f>IF(A4416="","",IF(AND(ISNUMBER(B4416),B4416&lt;&gt;0),1,0))</f>
        <v>0</v>
      </c>
      <c r="H4416" s="25">
        <f>IF(E4416="","",(E4416*4+3+cfgDeslocamento)/48)</f>
        <v>0</v>
      </c>
    </row>
    <row r="4417" spans="1:8">
      <c r="A4417" s="24"/>
      <c r="B4417" s="19"/>
      <c r="C4417" s="25">
        <f>IF(D4417="","",D4417/48)</f>
        <v>0</v>
      </c>
      <c r="D4417" s="26">
        <f>IF(A4417="","",ROUND((A4417-cfgDefasagem/1440)*48,0))</f>
        <v>0</v>
      </c>
      <c r="E4417" s="26">
        <f>IF(D4417="","",INT((D4417-cfgDeslocamento)/4))</f>
        <v>0</v>
      </c>
      <c r="F4417" s="26">
        <f>IF(D4417="","",MOD(D4417-cfgDeslocamento,4)+1)</f>
        <v>0</v>
      </c>
      <c r="G4417" s="26">
        <f>IF(A4417="","",IF(AND(ISNUMBER(B4417),B4417&lt;&gt;0),1,0))</f>
        <v>0</v>
      </c>
      <c r="H4417" s="25">
        <f>IF(E4417="","",(E4417*4+3+cfgDeslocamento)/48)</f>
        <v>0</v>
      </c>
    </row>
    <row r="4418" spans="1:8">
      <c r="A4418" s="24"/>
      <c r="B4418" s="19"/>
      <c r="C4418" s="25">
        <f>IF(D4418="","",D4418/48)</f>
        <v>0</v>
      </c>
      <c r="D4418" s="26">
        <f>IF(A4418="","",ROUND((A4418-cfgDefasagem/1440)*48,0))</f>
        <v>0</v>
      </c>
      <c r="E4418" s="26">
        <f>IF(D4418="","",INT((D4418-cfgDeslocamento)/4))</f>
        <v>0</v>
      </c>
      <c r="F4418" s="26">
        <f>IF(D4418="","",MOD(D4418-cfgDeslocamento,4)+1)</f>
        <v>0</v>
      </c>
      <c r="G4418" s="26">
        <f>IF(A4418="","",IF(AND(ISNUMBER(B4418),B4418&lt;&gt;0),1,0))</f>
        <v>0</v>
      </c>
      <c r="H4418" s="25">
        <f>IF(E4418="","",(E4418*4+3+cfgDeslocamento)/48)</f>
        <v>0</v>
      </c>
    </row>
    <row r="4419" spans="1:8">
      <c r="A4419" s="24"/>
      <c r="B4419" s="19"/>
      <c r="C4419" s="25">
        <f>IF(D4419="","",D4419/48)</f>
        <v>0</v>
      </c>
      <c r="D4419" s="26">
        <f>IF(A4419="","",ROUND((A4419-cfgDefasagem/1440)*48,0))</f>
        <v>0</v>
      </c>
      <c r="E4419" s="26">
        <f>IF(D4419="","",INT((D4419-cfgDeslocamento)/4))</f>
        <v>0</v>
      </c>
      <c r="F4419" s="26">
        <f>IF(D4419="","",MOD(D4419-cfgDeslocamento,4)+1)</f>
        <v>0</v>
      </c>
      <c r="G4419" s="26">
        <f>IF(A4419="","",IF(AND(ISNUMBER(B4419),B4419&lt;&gt;0),1,0))</f>
        <v>0</v>
      </c>
      <c r="H4419" s="25">
        <f>IF(E4419="","",(E4419*4+3+cfgDeslocamento)/48)</f>
        <v>0</v>
      </c>
    </row>
    <row r="4420" spans="1:8">
      <c r="A4420" s="24"/>
      <c r="B4420" s="19"/>
      <c r="C4420" s="25">
        <f>IF(D4420="","",D4420/48)</f>
        <v>0</v>
      </c>
      <c r="D4420" s="26">
        <f>IF(A4420="","",ROUND((A4420-cfgDefasagem/1440)*48,0))</f>
        <v>0</v>
      </c>
      <c r="E4420" s="26">
        <f>IF(D4420="","",INT((D4420-cfgDeslocamento)/4))</f>
        <v>0</v>
      </c>
      <c r="F4420" s="26">
        <f>IF(D4420="","",MOD(D4420-cfgDeslocamento,4)+1)</f>
        <v>0</v>
      </c>
      <c r="G4420" s="26">
        <f>IF(A4420="","",IF(AND(ISNUMBER(B4420),B4420&lt;&gt;0),1,0))</f>
        <v>0</v>
      </c>
      <c r="H4420" s="25">
        <f>IF(E4420="","",(E4420*4+3+cfgDeslocamento)/48)</f>
        <v>0</v>
      </c>
    </row>
    <row r="4421" spans="1:8">
      <c r="A4421" s="24"/>
      <c r="B4421" s="19"/>
      <c r="C4421" s="25">
        <f>IF(D4421="","",D4421/48)</f>
        <v>0</v>
      </c>
      <c r="D4421" s="26">
        <f>IF(A4421="","",ROUND((A4421-cfgDefasagem/1440)*48,0))</f>
        <v>0</v>
      </c>
      <c r="E4421" s="26">
        <f>IF(D4421="","",INT((D4421-cfgDeslocamento)/4))</f>
        <v>0</v>
      </c>
      <c r="F4421" s="26">
        <f>IF(D4421="","",MOD(D4421-cfgDeslocamento,4)+1)</f>
        <v>0</v>
      </c>
      <c r="G4421" s="26">
        <f>IF(A4421="","",IF(AND(ISNUMBER(B4421),B4421&lt;&gt;0),1,0))</f>
        <v>0</v>
      </c>
      <c r="H4421" s="25">
        <f>IF(E4421="","",(E4421*4+3+cfgDeslocamento)/48)</f>
        <v>0</v>
      </c>
    </row>
    <row r="4422" spans="1:8">
      <c r="A4422" s="24"/>
      <c r="B4422" s="19"/>
      <c r="C4422" s="25">
        <f>IF(D4422="","",D4422/48)</f>
        <v>0</v>
      </c>
      <c r="D4422" s="26">
        <f>IF(A4422="","",ROUND((A4422-cfgDefasagem/1440)*48,0))</f>
        <v>0</v>
      </c>
      <c r="E4422" s="26">
        <f>IF(D4422="","",INT((D4422-cfgDeslocamento)/4))</f>
        <v>0</v>
      </c>
      <c r="F4422" s="26">
        <f>IF(D4422="","",MOD(D4422-cfgDeslocamento,4)+1)</f>
        <v>0</v>
      </c>
      <c r="G4422" s="26">
        <f>IF(A4422="","",IF(AND(ISNUMBER(B4422),B4422&lt;&gt;0),1,0))</f>
        <v>0</v>
      </c>
      <c r="H4422" s="25">
        <f>IF(E4422="","",(E4422*4+3+cfgDeslocamento)/48)</f>
        <v>0</v>
      </c>
    </row>
    <row r="4423" spans="1:8">
      <c r="A4423" s="24"/>
      <c r="B4423" s="19"/>
      <c r="C4423" s="25">
        <f>IF(D4423="","",D4423/48)</f>
        <v>0</v>
      </c>
      <c r="D4423" s="26">
        <f>IF(A4423="","",ROUND((A4423-cfgDefasagem/1440)*48,0))</f>
        <v>0</v>
      </c>
      <c r="E4423" s="26">
        <f>IF(D4423="","",INT((D4423-cfgDeslocamento)/4))</f>
        <v>0</v>
      </c>
      <c r="F4423" s="26">
        <f>IF(D4423="","",MOD(D4423-cfgDeslocamento,4)+1)</f>
        <v>0</v>
      </c>
      <c r="G4423" s="26">
        <f>IF(A4423="","",IF(AND(ISNUMBER(B4423),B4423&lt;&gt;0),1,0))</f>
        <v>0</v>
      </c>
      <c r="H4423" s="25">
        <f>IF(E4423="","",(E4423*4+3+cfgDeslocamento)/48)</f>
        <v>0</v>
      </c>
    </row>
    <row r="4424" spans="1:8">
      <c r="A4424" s="24"/>
      <c r="B4424" s="19"/>
      <c r="C4424" s="25">
        <f>IF(D4424="","",D4424/48)</f>
        <v>0</v>
      </c>
      <c r="D4424" s="26">
        <f>IF(A4424="","",ROUND((A4424-cfgDefasagem/1440)*48,0))</f>
        <v>0</v>
      </c>
      <c r="E4424" s="26">
        <f>IF(D4424="","",INT((D4424-cfgDeslocamento)/4))</f>
        <v>0</v>
      </c>
      <c r="F4424" s="26">
        <f>IF(D4424="","",MOD(D4424-cfgDeslocamento,4)+1)</f>
        <v>0</v>
      </c>
      <c r="G4424" s="26">
        <f>IF(A4424="","",IF(AND(ISNUMBER(B4424),B4424&lt;&gt;0),1,0))</f>
        <v>0</v>
      </c>
      <c r="H4424" s="25">
        <f>IF(E4424="","",(E4424*4+3+cfgDeslocamento)/48)</f>
        <v>0</v>
      </c>
    </row>
    <row r="4425" spans="1:8">
      <c r="A4425" s="24"/>
      <c r="B4425" s="19"/>
      <c r="C4425" s="25">
        <f>IF(D4425="","",D4425/48)</f>
        <v>0</v>
      </c>
      <c r="D4425" s="26">
        <f>IF(A4425="","",ROUND((A4425-cfgDefasagem/1440)*48,0))</f>
        <v>0</v>
      </c>
      <c r="E4425" s="26">
        <f>IF(D4425="","",INT((D4425-cfgDeslocamento)/4))</f>
        <v>0</v>
      </c>
      <c r="F4425" s="26">
        <f>IF(D4425="","",MOD(D4425-cfgDeslocamento,4)+1)</f>
        <v>0</v>
      </c>
      <c r="G4425" s="26">
        <f>IF(A4425="","",IF(AND(ISNUMBER(B4425),B4425&lt;&gt;0),1,0))</f>
        <v>0</v>
      </c>
      <c r="H4425" s="25">
        <f>IF(E4425="","",(E4425*4+3+cfgDeslocamento)/48)</f>
        <v>0</v>
      </c>
    </row>
    <row r="4426" spans="1:8">
      <c r="A4426" s="24"/>
      <c r="B4426" s="19"/>
      <c r="C4426" s="25">
        <f>IF(D4426="","",D4426/48)</f>
        <v>0</v>
      </c>
      <c r="D4426" s="26">
        <f>IF(A4426="","",ROUND((A4426-cfgDefasagem/1440)*48,0))</f>
        <v>0</v>
      </c>
      <c r="E4426" s="26">
        <f>IF(D4426="","",INT((D4426-cfgDeslocamento)/4))</f>
        <v>0</v>
      </c>
      <c r="F4426" s="26">
        <f>IF(D4426="","",MOD(D4426-cfgDeslocamento,4)+1)</f>
        <v>0</v>
      </c>
      <c r="G4426" s="26">
        <f>IF(A4426="","",IF(AND(ISNUMBER(B4426),B4426&lt;&gt;0),1,0))</f>
        <v>0</v>
      </c>
      <c r="H4426" s="25">
        <f>IF(E4426="","",(E4426*4+3+cfgDeslocamento)/48)</f>
        <v>0</v>
      </c>
    </row>
    <row r="4427" spans="1:8">
      <c r="A4427" s="24"/>
      <c r="B4427" s="19"/>
      <c r="C4427" s="25">
        <f>IF(D4427="","",D4427/48)</f>
        <v>0</v>
      </c>
      <c r="D4427" s="26">
        <f>IF(A4427="","",ROUND((A4427-cfgDefasagem/1440)*48,0))</f>
        <v>0</v>
      </c>
      <c r="E4427" s="26">
        <f>IF(D4427="","",INT((D4427-cfgDeslocamento)/4))</f>
        <v>0</v>
      </c>
      <c r="F4427" s="26">
        <f>IF(D4427="","",MOD(D4427-cfgDeslocamento,4)+1)</f>
        <v>0</v>
      </c>
      <c r="G4427" s="26">
        <f>IF(A4427="","",IF(AND(ISNUMBER(B4427),B4427&lt;&gt;0),1,0))</f>
        <v>0</v>
      </c>
      <c r="H4427" s="25">
        <f>IF(E4427="","",(E4427*4+3+cfgDeslocamento)/48)</f>
        <v>0</v>
      </c>
    </row>
    <row r="4428" spans="1:8">
      <c r="A4428" s="24"/>
      <c r="B4428" s="19"/>
      <c r="C4428" s="25">
        <f>IF(D4428="","",D4428/48)</f>
        <v>0</v>
      </c>
      <c r="D4428" s="26">
        <f>IF(A4428="","",ROUND((A4428-cfgDefasagem/1440)*48,0))</f>
        <v>0</v>
      </c>
      <c r="E4428" s="26">
        <f>IF(D4428="","",INT((D4428-cfgDeslocamento)/4))</f>
        <v>0</v>
      </c>
      <c r="F4428" s="26">
        <f>IF(D4428="","",MOD(D4428-cfgDeslocamento,4)+1)</f>
        <v>0</v>
      </c>
      <c r="G4428" s="26">
        <f>IF(A4428="","",IF(AND(ISNUMBER(B4428),B4428&lt;&gt;0),1,0))</f>
        <v>0</v>
      </c>
      <c r="H4428" s="25">
        <f>IF(E4428="","",(E4428*4+3+cfgDeslocamento)/48)</f>
        <v>0</v>
      </c>
    </row>
    <row r="4429" spans="1:8">
      <c r="A4429" s="24"/>
      <c r="B4429" s="19"/>
      <c r="C4429" s="25">
        <f>IF(D4429="","",D4429/48)</f>
        <v>0</v>
      </c>
      <c r="D4429" s="26">
        <f>IF(A4429="","",ROUND((A4429-cfgDefasagem/1440)*48,0))</f>
        <v>0</v>
      </c>
      <c r="E4429" s="26">
        <f>IF(D4429="","",INT((D4429-cfgDeslocamento)/4))</f>
        <v>0</v>
      </c>
      <c r="F4429" s="26">
        <f>IF(D4429="","",MOD(D4429-cfgDeslocamento,4)+1)</f>
        <v>0</v>
      </c>
      <c r="G4429" s="26">
        <f>IF(A4429="","",IF(AND(ISNUMBER(B4429),B4429&lt;&gt;0),1,0))</f>
        <v>0</v>
      </c>
      <c r="H4429" s="25">
        <f>IF(E4429="","",(E4429*4+3+cfgDeslocamento)/48)</f>
        <v>0</v>
      </c>
    </row>
    <row r="4430" spans="1:8">
      <c r="A4430" s="24"/>
      <c r="B4430" s="19"/>
      <c r="C4430" s="25">
        <f>IF(D4430="","",D4430/48)</f>
        <v>0</v>
      </c>
      <c r="D4430" s="26">
        <f>IF(A4430="","",ROUND((A4430-cfgDefasagem/1440)*48,0))</f>
        <v>0</v>
      </c>
      <c r="E4430" s="26">
        <f>IF(D4430="","",INT((D4430-cfgDeslocamento)/4))</f>
        <v>0</v>
      </c>
      <c r="F4430" s="26">
        <f>IF(D4430="","",MOD(D4430-cfgDeslocamento,4)+1)</f>
        <v>0</v>
      </c>
      <c r="G4430" s="26">
        <f>IF(A4430="","",IF(AND(ISNUMBER(B4430),B4430&lt;&gt;0),1,0))</f>
        <v>0</v>
      </c>
      <c r="H4430" s="25">
        <f>IF(E4430="","",(E4430*4+3+cfgDeslocamento)/48)</f>
        <v>0</v>
      </c>
    </row>
    <row r="4431" spans="1:8">
      <c r="A4431" s="24"/>
      <c r="B4431" s="19"/>
      <c r="C4431" s="25">
        <f>IF(D4431="","",D4431/48)</f>
        <v>0</v>
      </c>
      <c r="D4431" s="26">
        <f>IF(A4431="","",ROUND((A4431-cfgDefasagem/1440)*48,0))</f>
        <v>0</v>
      </c>
      <c r="E4431" s="26">
        <f>IF(D4431="","",INT((D4431-cfgDeslocamento)/4))</f>
        <v>0</v>
      </c>
      <c r="F4431" s="26">
        <f>IF(D4431="","",MOD(D4431-cfgDeslocamento,4)+1)</f>
        <v>0</v>
      </c>
      <c r="G4431" s="26">
        <f>IF(A4431="","",IF(AND(ISNUMBER(B4431),B4431&lt;&gt;0),1,0))</f>
        <v>0</v>
      </c>
      <c r="H4431" s="25">
        <f>IF(E4431="","",(E4431*4+3+cfgDeslocamento)/48)</f>
        <v>0</v>
      </c>
    </row>
    <row r="4432" spans="1:8">
      <c r="A4432" s="24"/>
      <c r="B4432" s="19"/>
      <c r="C4432" s="25">
        <f>IF(D4432="","",D4432/48)</f>
        <v>0</v>
      </c>
      <c r="D4432" s="26">
        <f>IF(A4432="","",ROUND((A4432-cfgDefasagem/1440)*48,0))</f>
        <v>0</v>
      </c>
      <c r="E4432" s="26">
        <f>IF(D4432="","",INT((D4432-cfgDeslocamento)/4))</f>
        <v>0</v>
      </c>
      <c r="F4432" s="26">
        <f>IF(D4432="","",MOD(D4432-cfgDeslocamento,4)+1)</f>
        <v>0</v>
      </c>
      <c r="G4432" s="26">
        <f>IF(A4432="","",IF(AND(ISNUMBER(B4432),B4432&lt;&gt;0),1,0))</f>
        <v>0</v>
      </c>
      <c r="H4432" s="25">
        <f>IF(E4432="","",(E4432*4+3+cfgDeslocamento)/48)</f>
        <v>0</v>
      </c>
    </row>
    <row r="4433" spans="1:8">
      <c r="A4433" s="24"/>
      <c r="B4433" s="19"/>
      <c r="C4433" s="25">
        <f>IF(D4433="","",D4433/48)</f>
        <v>0</v>
      </c>
      <c r="D4433" s="26">
        <f>IF(A4433="","",ROUND((A4433-cfgDefasagem/1440)*48,0))</f>
        <v>0</v>
      </c>
      <c r="E4433" s="26">
        <f>IF(D4433="","",INT((D4433-cfgDeslocamento)/4))</f>
        <v>0</v>
      </c>
      <c r="F4433" s="26">
        <f>IF(D4433="","",MOD(D4433-cfgDeslocamento,4)+1)</f>
        <v>0</v>
      </c>
      <c r="G4433" s="26">
        <f>IF(A4433="","",IF(AND(ISNUMBER(B4433),B4433&lt;&gt;0),1,0))</f>
        <v>0</v>
      </c>
      <c r="H4433" s="25">
        <f>IF(E4433="","",(E4433*4+3+cfgDeslocamento)/48)</f>
        <v>0</v>
      </c>
    </row>
    <row r="4434" spans="1:8">
      <c r="A4434" s="24"/>
      <c r="B4434" s="19"/>
      <c r="C4434" s="25">
        <f>IF(D4434="","",D4434/48)</f>
        <v>0</v>
      </c>
      <c r="D4434" s="26">
        <f>IF(A4434="","",ROUND((A4434-cfgDefasagem/1440)*48,0))</f>
        <v>0</v>
      </c>
      <c r="E4434" s="26">
        <f>IF(D4434="","",INT((D4434-cfgDeslocamento)/4))</f>
        <v>0</v>
      </c>
      <c r="F4434" s="26">
        <f>IF(D4434="","",MOD(D4434-cfgDeslocamento,4)+1)</f>
        <v>0</v>
      </c>
      <c r="G4434" s="26">
        <f>IF(A4434="","",IF(AND(ISNUMBER(B4434),B4434&lt;&gt;0),1,0))</f>
        <v>0</v>
      </c>
      <c r="H4434" s="25">
        <f>IF(E4434="","",(E4434*4+3+cfgDeslocamento)/48)</f>
        <v>0</v>
      </c>
    </row>
    <row r="4435" spans="1:8">
      <c r="A4435" s="24"/>
      <c r="B4435" s="19"/>
      <c r="C4435" s="25">
        <f>IF(D4435="","",D4435/48)</f>
        <v>0</v>
      </c>
      <c r="D4435" s="26">
        <f>IF(A4435="","",ROUND((A4435-cfgDefasagem/1440)*48,0))</f>
        <v>0</v>
      </c>
      <c r="E4435" s="26">
        <f>IF(D4435="","",INT((D4435-cfgDeslocamento)/4))</f>
        <v>0</v>
      </c>
      <c r="F4435" s="26">
        <f>IF(D4435="","",MOD(D4435-cfgDeslocamento,4)+1)</f>
        <v>0</v>
      </c>
      <c r="G4435" s="26">
        <f>IF(A4435="","",IF(AND(ISNUMBER(B4435),B4435&lt;&gt;0),1,0))</f>
        <v>0</v>
      </c>
      <c r="H4435" s="25">
        <f>IF(E4435="","",(E4435*4+3+cfgDeslocamento)/48)</f>
        <v>0</v>
      </c>
    </row>
    <row r="4436" spans="1:8">
      <c r="A4436" s="24"/>
      <c r="B4436" s="19"/>
      <c r="C4436" s="25">
        <f>IF(D4436="","",D4436/48)</f>
        <v>0</v>
      </c>
      <c r="D4436" s="26">
        <f>IF(A4436="","",ROUND((A4436-cfgDefasagem/1440)*48,0))</f>
        <v>0</v>
      </c>
      <c r="E4436" s="26">
        <f>IF(D4436="","",INT((D4436-cfgDeslocamento)/4))</f>
        <v>0</v>
      </c>
      <c r="F4436" s="26">
        <f>IF(D4436="","",MOD(D4436-cfgDeslocamento,4)+1)</f>
        <v>0</v>
      </c>
      <c r="G4436" s="26">
        <f>IF(A4436="","",IF(AND(ISNUMBER(B4436),B4436&lt;&gt;0),1,0))</f>
        <v>0</v>
      </c>
      <c r="H4436" s="25">
        <f>IF(E4436="","",(E4436*4+3+cfgDeslocamento)/48)</f>
        <v>0</v>
      </c>
    </row>
    <row r="4437" spans="1:8">
      <c r="A4437" s="24"/>
      <c r="B4437" s="19"/>
      <c r="C4437" s="25">
        <f>IF(D4437="","",D4437/48)</f>
        <v>0</v>
      </c>
      <c r="D4437" s="26">
        <f>IF(A4437="","",ROUND((A4437-cfgDefasagem/1440)*48,0))</f>
        <v>0</v>
      </c>
      <c r="E4437" s="26">
        <f>IF(D4437="","",INT((D4437-cfgDeslocamento)/4))</f>
        <v>0</v>
      </c>
      <c r="F4437" s="26">
        <f>IF(D4437="","",MOD(D4437-cfgDeslocamento,4)+1)</f>
        <v>0</v>
      </c>
      <c r="G4437" s="26">
        <f>IF(A4437="","",IF(AND(ISNUMBER(B4437),B4437&lt;&gt;0),1,0))</f>
        <v>0</v>
      </c>
      <c r="H4437" s="25">
        <f>IF(E4437="","",(E4437*4+3+cfgDeslocamento)/48)</f>
        <v>0</v>
      </c>
    </row>
    <row r="4438" spans="1:8">
      <c r="A4438" s="24"/>
      <c r="B4438" s="19"/>
      <c r="C4438" s="25">
        <f>IF(D4438="","",D4438/48)</f>
        <v>0</v>
      </c>
      <c r="D4438" s="26">
        <f>IF(A4438="","",ROUND((A4438-cfgDefasagem/1440)*48,0))</f>
        <v>0</v>
      </c>
      <c r="E4438" s="26">
        <f>IF(D4438="","",INT((D4438-cfgDeslocamento)/4))</f>
        <v>0</v>
      </c>
      <c r="F4438" s="26">
        <f>IF(D4438="","",MOD(D4438-cfgDeslocamento,4)+1)</f>
        <v>0</v>
      </c>
      <c r="G4438" s="26">
        <f>IF(A4438="","",IF(AND(ISNUMBER(B4438),B4438&lt;&gt;0),1,0))</f>
        <v>0</v>
      </c>
      <c r="H4438" s="25">
        <f>IF(E4438="","",(E4438*4+3+cfgDeslocamento)/48)</f>
        <v>0</v>
      </c>
    </row>
    <row r="4439" spans="1:8">
      <c r="A4439" s="24"/>
      <c r="B4439" s="19"/>
      <c r="C4439" s="25">
        <f>IF(D4439="","",D4439/48)</f>
        <v>0</v>
      </c>
      <c r="D4439" s="26">
        <f>IF(A4439="","",ROUND((A4439-cfgDefasagem/1440)*48,0))</f>
        <v>0</v>
      </c>
      <c r="E4439" s="26">
        <f>IF(D4439="","",INT((D4439-cfgDeslocamento)/4))</f>
        <v>0</v>
      </c>
      <c r="F4439" s="26">
        <f>IF(D4439="","",MOD(D4439-cfgDeslocamento,4)+1)</f>
        <v>0</v>
      </c>
      <c r="G4439" s="26">
        <f>IF(A4439="","",IF(AND(ISNUMBER(B4439),B4439&lt;&gt;0),1,0))</f>
        <v>0</v>
      </c>
      <c r="H4439" s="25">
        <f>IF(E4439="","",(E4439*4+3+cfgDeslocamento)/48)</f>
        <v>0</v>
      </c>
    </row>
    <row r="4440" spans="1:8">
      <c r="A4440" s="24"/>
      <c r="B4440" s="19"/>
      <c r="C4440" s="25">
        <f>IF(D4440="","",D4440/48)</f>
        <v>0</v>
      </c>
      <c r="D4440" s="26">
        <f>IF(A4440="","",ROUND((A4440-cfgDefasagem/1440)*48,0))</f>
        <v>0</v>
      </c>
      <c r="E4440" s="26">
        <f>IF(D4440="","",INT((D4440-cfgDeslocamento)/4))</f>
        <v>0</v>
      </c>
      <c r="F4440" s="26">
        <f>IF(D4440="","",MOD(D4440-cfgDeslocamento,4)+1)</f>
        <v>0</v>
      </c>
      <c r="G4440" s="26">
        <f>IF(A4440="","",IF(AND(ISNUMBER(B4440),B4440&lt;&gt;0),1,0))</f>
        <v>0</v>
      </c>
      <c r="H4440" s="25">
        <f>IF(E4440="","",(E4440*4+3+cfgDeslocamento)/48)</f>
        <v>0</v>
      </c>
    </row>
    <row r="4441" spans="1:8">
      <c r="A4441" s="24"/>
      <c r="B4441" s="19"/>
      <c r="C4441" s="25">
        <f>IF(D4441="","",D4441/48)</f>
        <v>0</v>
      </c>
      <c r="D4441" s="26">
        <f>IF(A4441="","",ROUND((A4441-cfgDefasagem/1440)*48,0))</f>
        <v>0</v>
      </c>
      <c r="E4441" s="26">
        <f>IF(D4441="","",INT((D4441-cfgDeslocamento)/4))</f>
        <v>0</v>
      </c>
      <c r="F4441" s="26">
        <f>IF(D4441="","",MOD(D4441-cfgDeslocamento,4)+1)</f>
        <v>0</v>
      </c>
      <c r="G4441" s="26">
        <f>IF(A4441="","",IF(AND(ISNUMBER(B4441),B4441&lt;&gt;0),1,0))</f>
        <v>0</v>
      </c>
      <c r="H4441" s="25">
        <f>IF(E4441="","",(E4441*4+3+cfgDeslocamento)/48)</f>
        <v>0</v>
      </c>
    </row>
    <row r="4442" spans="1:8">
      <c r="A4442" s="24"/>
      <c r="B4442" s="19"/>
      <c r="C4442" s="25">
        <f>IF(D4442="","",D4442/48)</f>
        <v>0</v>
      </c>
      <c r="D4442" s="26">
        <f>IF(A4442="","",ROUND((A4442-cfgDefasagem/1440)*48,0))</f>
        <v>0</v>
      </c>
      <c r="E4442" s="26">
        <f>IF(D4442="","",INT((D4442-cfgDeslocamento)/4))</f>
        <v>0</v>
      </c>
      <c r="F4442" s="26">
        <f>IF(D4442="","",MOD(D4442-cfgDeslocamento,4)+1)</f>
        <v>0</v>
      </c>
      <c r="G4442" s="26">
        <f>IF(A4442="","",IF(AND(ISNUMBER(B4442),B4442&lt;&gt;0),1,0))</f>
        <v>0</v>
      </c>
      <c r="H4442" s="25">
        <f>IF(E4442="","",(E4442*4+3+cfgDeslocamento)/48)</f>
        <v>0</v>
      </c>
    </row>
    <row r="4443" spans="1:8">
      <c r="A4443" s="24"/>
      <c r="B4443" s="19"/>
      <c r="C4443" s="25">
        <f>IF(D4443="","",D4443/48)</f>
        <v>0</v>
      </c>
      <c r="D4443" s="26">
        <f>IF(A4443="","",ROUND((A4443-cfgDefasagem/1440)*48,0))</f>
        <v>0</v>
      </c>
      <c r="E4443" s="26">
        <f>IF(D4443="","",INT((D4443-cfgDeslocamento)/4))</f>
        <v>0</v>
      </c>
      <c r="F4443" s="26">
        <f>IF(D4443="","",MOD(D4443-cfgDeslocamento,4)+1)</f>
        <v>0</v>
      </c>
      <c r="G4443" s="26">
        <f>IF(A4443="","",IF(AND(ISNUMBER(B4443),B4443&lt;&gt;0),1,0))</f>
        <v>0</v>
      </c>
      <c r="H4443" s="25">
        <f>IF(E4443="","",(E4443*4+3+cfgDeslocamento)/48)</f>
        <v>0</v>
      </c>
    </row>
    <row r="4444" spans="1:8">
      <c r="A4444" s="24"/>
      <c r="B4444" s="19"/>
      <c r="C4444" s="25">
        <f>IF(D4444="","",D4444/48)</f>
        <v>0</v>
      </c>
      <c r="D4444" s="26">
        <f>IF(A4444="","",ROUND((A4444-cfgDefasagem/1440)*48,0))</f>
        <v>0</v>
      </c>
      <c r="E4444" s="26">
        <f>IF(D4444="","",INT((D4444-cfgDeslocamento)/4))</f>
        <v>0</v>
      </c>
      <c r="F4444" s="26">
        <f>IF(D4444="","",MOD(D4444-cfgDeslocamento,4)+1)</f>
        <v>0</v>
      </c>
      <c r="G4444" s="26">
        <f>IF(A4444="","",IF(AND(ISNUMBER(B4444),B4444&lt;&gt;0),1,0))</f>
        <v>0</v>
      </c>
      <c r="H4444" s="25">
        <f>IF(E4444="","",(E4444*4+3+cfgDeslocamento)/48)</f>
        <v>0</v>
      </c>
    </row>
    <row r="4445" spans="1:8">
      <c r="A4445" s="24"/>
      <c r="B4445" s="19"/>
      <c r="C4445" s="25">
        <f>IF(D4445="","",D4445/48)</f>
        <v>0</v>
      </c>
      <c r="D4445" s="26">
        <f>IF(A4445="","",ROUND((A4445-cfgDefasagem/1440)*48,0))</f>
        <v>0</v>
      </c>
      <c r="E4445" s="26">
        <f>IF(D4445="","",INT((D4445-cfgDeslocamento)/4))</f>
        <v>0</v>
      </c>
      <c r="F4445" s="26">
        <f>IF(D4445="","",MOD(D4445-cfgDeslocamento,4)+1)</f>
        <v>0</v>
      </c>
      <c r="G4445" s="26">
        <f>IF(A4445="","",IF(AND(ISNUMBER(B4445),B4445&lt;&gt;0),1,0))</f>
        <v>0</v>
      </c>
      <c r="H4445" s="25">
        <f>IF(E4445="","",(E4445*4+3+cfgDeslocamento)/48)</f>
        <v>0</v>
      </c>
    </row>
    <row r="4446" spans="1:8">
      <c r="A4446" s="24"/>
      <c r="B4446" s="19"/>
      <c r="C4446" s="25">
        <f>IF(D4446="","",D4446/48)</f>
        <v>0</v>
      </c>
      <c r="D4446" s="26">
        <f>IF(A4446="","",ROUND((A4446-cfgDefasagem/1440)*48,0))</f>
        <v>0</v>
      </c>
      <c r="E4446" s="26">
        <f>IF(D4446="","",INT((D4446-cfgDeslocamento)/4))</f>
        <v>0</v>
      </c>
      <c r="F4446" s="26">
        <f>IF(D4446="","",MOD(D4446-cfgDeslocamento,4)+1)</f>
        <v>0</v>
      </c>
      <c r="G4446" s="26">
        <f>IF(A4446="","",IF(AND(ISNUMBER(B4446),B4446&lt;&gt;0),1,0))</f>
        <v>0</v>
      </c>
      <c r="H4446" s="25">
        <f>IF(E4446="","",(E4446*4+3+cfgDeslocamento)/48)</f>
        <v>0</v>
      </c>
    </row>
    <row r="4447" spans="1:8">
      <c r="A4447" s="24"/>
      <c r="B4447" s="19"/>
      <c r="C4447" s="25">
        <f>IF(D4447="","",D4447/48)</f>
        <v>0</v>
      </c>
      <c r="D4447" s="26">
        <f>IF(A4447="","",ROUND((A4447-cfgDefasagem/1440)*48,0))</f>
        <v>0</v>
      </c>
      <c r="E4447" s="26">
        <f>IF(D4447="","",INT((D4447-cfgDeslocamento)/4))</f>
        <v>0</v>
      </c>
      <c r="F4447" s="26">
        <f>IF(D4447="","",MOD(D4447-cfgDeslocamento,4)+1)</f>
        <v>0</v>
      </c>
      <c r="G4447" s="26">
        <f>IF(A4447="","",IF(AND(ISNUMBER(B4447),B4447&lt;&gt;0),1,0))</f>
        <v>0</v>
      </c>
      <c r="H4447" s="25">
        <f>IF(E4447="","",(E4447*4+3+cfgDeslocamento)/48)</f>
        <v>0</v>
      </c>
    </row>
    <row r="4448" spans="1:8">
      <c r="A4448" s="24"/>
      <c r="B4448" s="19"/>
      <c r="C4448" s="25">
        <f>IF(D4448="","",D4448/48)</f>
        <v>0</v>
      </c>
      <c r="D4448" s="26">
        <f>IF(A4448="","",ROUND((A4448-cfgDefasagem/1440)*48,0))</f>
        <v>0</v>
      </c>
      <c r="E4448" s="26">
        <f>IF(D4448="","",INT((D4448-cfgDeslocamento)/4))</f>
        <v>0</v>
      </c>
      <c r="F4448" s="26">
        <f>IF(D4448="","",MOD(D4448-cfgDeslocamento,4)+1)</f>
        <v>0</v>
      </c>
      <c r="G4448" s="26">
        <f>IF(A4448="","",IF(AND(ISNUMBER(B4448),B4448&lt;&gt;0),1,0))</f>
        <v>0</v>
      </c>
      <c r="H4448" s="25">
        <f>IF(E4448="","",(E4448*4+3+cfgDeslocamento)/48)</f>
        <v>0</v>
      </c>
    </row>
    <row r="4449" spans="1:8">
      <c r="A4449" s="24"/>
      <c r="B4449" s="19"/>
      <c r="C4449" s="25">
        <f>IF(D4449="","",D4449/48)</f>
        <v>0</v>
      </c>
      <c r="D4449" s="26">
        <f>IF(A4449="","",ROUND((A4449-cfgDefasagem/1440)*48,0))</f>
        <v>0</v>
      </c>
      <c r="E4449" s="26">
        <f>IF(D4449="","",INT((D4449-cfgDeslocamento)/4))</f>
        <v>0</v>
      </c>
      <c r="F4449" s="26">
        <f>IF(D4449="","",MOD(D4449-cfgDeslocamento,4)+1)</f>
        <v>0</v>
      </c>
      <c r="G4449" s="26">
        <f>IF(A4449="","",IF(AND(ISNUMBER(B4449),B4449&lt;&gt;0),1,0))</f>
        <v>0</v>
      </c>
      <c r="H4449" s="25">
        <f>IF(E4449="","",(E4449*4+3+cfgDeslocamento)/48)</f>
        <v>0</v>
      </c>
    </row>
    <row r="4450" spans="1:8">
      <c r="A4450" s="24"/>
      <c r="B4450" s="19"/>
      <c r="C4450" s="25">
        <f>IF(D4450="","",D4450/48)</f>
        <v>0</v>
      </c>
      <c r="D4450" s="26">
        <f>IF(A4450="","",ROUND((A4450-cfgDefasagem/1440)*48,0))</f>
        <v>0</v>
      </c>
      <c r="E4450" s="26">
        <f>IF(D4450="","",INT((D4450-cfgDeslocamento)/4))</f>
        <v>0</v>
      </c>
      <c r="F4450" s="26">
        <f>IF(D4450="","",MOD(D4450-cfgDeslocamento,4)+1)</f>
        <v>0</v>
      </c>
      <c r="G4450" s="26">
        <f>IF(A4450="","",IF(AND(ISNUMBER(B4450),B4450&lt;&gt;0),1,0))</f>
        <v>0</v>
      </c>
      <c r="H4450" s="25">
        <f>IF(E4450="","",(E4450*4+3+cfgDeslocamento)/48)</f>
        <v>0</v>
      </c>
    </row>
    <row r="4451" spans="1:8">
      <c r="A4451" s="24"/>
      <c r="B4451" s="19"/>
      <c r="C4451" s="25">
        <f>IF(D4451="","",D4451/48)</f>
        <v>0</v>
      </c>
      <c r="D4451" s="26">
        <f>IF(A4451="","",ROUND((A4451-cfgDefasagem/1440)*48,0))</f>
        <v>0</v>
      </c>
      <c r="E4451" s="26">
        <f>IF(D4451="","",INT((D4451-cfgDeslocamento)/4))</f>
        <v>0</v>
      </c>
      <c r="F4451" s="26">
        <f>IF(D4451="","",MOD(D4451-cfgDeslocamento,4)+1)</f>
        <v>0</v>
      </c>
      <c r="G4451" s="26">
        <f>IF(A4451="","",IF(AND(ISNUMBER(B4451),B4451&lt;&gt;0),1,0))</f>
        <v>0</v>
      </c>
      <c r="H4451" s="25">
        <f>IF(E4451="","",(E4451*4+3+cfgDeslocamento)/48)</f>
        <v>0</v>
      </c>
    </row>
    <row r="4452" spans="1:8">
      <c r="A4452" s="24"/>
      <c r="B4452" s="19"/>
      <c r="C4452" s="25">
        <f>IF(D4452="","",D4452/48)</f>
        <v>0</v>
      </c>
      <c r="D4452" s="26">
        <f>IF(A4452="","",ROUND((A4452-cfgDefasagem/1440)*48,0))</f>
        <v>0</v>
      </c>
      <c r="E4452" s="26">
        <f>IF(D4452="","",INT((D4452-cfgDeslocamento)/4))</f>
        <v>0</v>
      </c>
      <c r="F4452" s="26">
        <f>IF(D4452="","",MOD(D4452-cfgDeslocamento,4)+1)</f>
        <v>0</v>
      </c>
      <c r="G4452" s="26">
        <f>IF(A4452="","",IF(AND(ISNUMBER(B4452),B4452&lt;&gt;0),1,0))</f>
        <v>0</v>
      </c>
      <c r="H4452" s="25">
        <f>IF(E4452="","",(E4452*4+3+cfgDeslocamento)/48)</f>
        <v>0</v>
      </c>
    </row>
    <row r="4453" spans="1:8">
      <c r="A4453" s="24"/>
      <c r="B4453" s="19"/>
      <c r="C4453" s="25">
        <f>IF(D4453="","",D4453/48)</f>
        <v>0</v>
      </c>
      <c r="D4453" s="26">
        <f>IF(A4453="","",ROUND((A4453-cfgDefasagem/1440)*48,0))</f>
        <v>0</v>
      </c>
      <c r="E4453" s="26">
        <f>IF(D4453="","",INT((D4453-cfgDeslocamento)/4))</f>
        <v>0</v>
      </c>
      <c r="F4453" s="26">
        <f>IF(D4453="","",MOD(D4453-cfgDeslocamento,4)+1)</f>
        <v>0</v>
      </c>
      <c r="G4453" s="26">
        <f>IF(A4453="","",IF(AND(ISNUMBER(B4453),B4453&lt;&gt;0),1,0))</f>
        <v>0</v>
      </c>
      <c r="H4453" s="25">
        <f>IF(E4453="","",(E4453*4+3+cfgDeslocamento)/48)</f>
        <v>0</v>
      </c>
    </row>
    <row r="4454" spans="1:8">
      <c r="A4454" s="24"/>
      <c r="B4454" s="19"/>
      <c r="C4454" s="25">
        <f>IF(D4454="","",D4454/48)</f>
        <v>0</v>
      </c>
      <c r="D4454" s="26">
        <f>IF(A4454="","",ROUND((A4454-cfgDefasagem/1440)*48,0))</f>
        <v>0</v>
      </c>
      <c r="E4454" s="26">
        <f>IF(D4454="","",INT((D4454-cfgDeslocamento)/4))</f>
        <v>0</v>
      </c>
      <c r="F4454" s="26">
        <f>IF(D4454="","",MOD(D4454-cfgDeslocamento,4)+1)</f>
        <v>0</v>
      </c>
      <c r="G4454" s="26">
        <f>IF(A4454="","",IF(AND(ISNUMBER(B4454),B4454&lt;&gt;0),1,0))</f>
        <v>0</v>
      </c>
      <c r="H4454" s="25">
        <f>IF(E4454="","",(E4454*4+3+cfgDeslocamento)/48)</f>
        <v>0</v>
      </c>
    </row>
    <row r="4455" spans="1:8">
      <c r="A4455" s="24"/>
      <c r="B4455" s="19"/>
      <c r="C4455" s="25">
        <f>IF(D4455="","",D4455/48)</f>
        <v>0</v>
      </c>
      <c r="D4455" s="26">
        <f>IF(A4455="","",ROUND((A4455-cfgDefasagem/1440)*48,0))</f>
        <v>0</v>
      </c>
      <c r="E4455" s="26">
        <f>IF(D4455="","",INT((D4455-cfgDeslocamento)/4))</f>
        <v>0</v>
      </c>
      <c r="F4455" s="26">
        <f>IF(D4455="","",MOD(D4455-cfgDeslocamento,4)+1)</f>
        <v>0</v>
      </c>
      <c r="G4455" s="26">
        <f>IF(A4455="","",IF(AND(ISNUMBER(B4455),B4455&lt;&gt;0),1,0))</f>
        <v>0</v>
      </c>
      <c r="H4455" s="25">
        <f>IF(E4455="","",(E4455*4+3+cfgDeslocamento)/48)</f>
        <v>0</v>
      </c>
    </row>
    <row r="4456" spans="1:8">
      <c r="A4456" s="24"/>
      <c r="B4456" s="19"/>
      <c r="C4456" s="25">
        <f>IF(D4456="","",D4456/48)</f>
        <v>0</v>
      </c>
      <c r="D4456" s="26">
        <f>IF(A4456="","",ROUND((A4456-cfgDefasagem/1440)*48,0))</f>
        <v>0</v>
      </c>
      <c r="E4456" s="26">
        <f>IF(D4456="","",INT((D4456-cfgDeslocamento)/4))</f>
        <v>0</v>
      </c>
      <c r="F4456" s="26">
        <f>IF(D4456="","",MOD(D4456-cfgDeslocamento,4)+1)</f>
        <v>0</v>
      </c>
      <c r="G4456" s="26">
        <f>IF(A4456="","",IF(AND(ISNUMBER(B4456),B4456&lt;&gt;0),1,0))</f>
        <v>0</v>
      </c>
      <c r="H4456" s="25">
        <f>IF(E4456="","",(E4456*4+3+cfgDeslocamento)/48)</f>
        <v>0</v>
      </c>
    </row>
    <row r="4457" spans="1:8">
      <c r="A4457" s="24"/>
      <c r="B4457" s="19"/>
      <c r="C4457" s="25">
        <f>IF(D4457="","",D4457/48)</f>
        <v>0</v>
      </c>
      <c r="D4457" s="26">
        <f>IF(A4457="","",ROUND((A4457-cfgDefasagem/1440)*48,0))</f>
        <v>0</v>
      </c>
      <c r="E4457" s="26">
        <f>IF(D4457="","",INT((D4457-cfgDeslocamento)/4))</f>
        <v>0</v>
      </c>
      <c r="F4457" s="26">
        <f>IF(D4457="","",MOD(D4457-cfgDeslocamento,4)+1)</f>
        <v>0</v>
      </c>
      <c r="G4457" s="26">
        <f>IF(A4457="","",IF(AND(ISNUMBER(B4457),B4457&lt;&gt;0),1,0))</f>
        <v>0</v>
      </c>
      <c r="H4457" s="25">
        <f>IF(E4457="","",(E4457*4+3+cfgDeslocamento)/48)</f>
        <v>0</v>
      </c>
    </row>
    <row r="4458" spans="1:8">
      <c r="A4458" s="24"/>
      <c r="B4458" s="19"/>
      <c r="C4458" s="25">
        <f>IF(D4458="","",D4458/48)</f>
        <v>0</v>
      </c>
      <c r="D4458" s="26">
        <f>IF(A4458="","",ROUND((A4458-cfgDefasagem/1440)*48,0))</f>
        <v>0</v>
      </c>
      <c r="E4458" s="26">
        <f>IF(D4458="","",INT((D4458-cfgDeslocamento)/4))</f>
        <v>0</v>
      </c>
      <c r="F4458" s="26">
        <f>IF(D4458="","",MOD(D4458-cfgDeslocamento,4)+1)</f>
        <v>0</v>
      </c>
      <c r="G4458" s="26">
        <f>IF(A4458="","",IF(AND(ISNUMBER(B4458),B4458&lt;&gt;0),1,0))</f>
        <v>0</v>
      </c>
      <c r="H4458" s="25">
        <f>IF(E4458="","",(E4458*4+3+cfgDeslocamento)/48)</f>
        <v>0</v>
      </c>
    </row>
    <row r="4459" spans="1:8">
      <c r="A4459" s="24"/>
      <c r="B4459" s="19"/>
      <c r="C4459" s="25">
        <f>IF(D4459="","",D4459/48)</f>
        <v>0</v>
      </c>
      <c r="D4459" s="26">
        <f>IF(A4459="","",ROUND((A4459-cfgDefasagem/1440)*48,0))</f>
        <v>0</v>
      </c>
      <c r="E4459" s="26">
        <f>IF(D4459="","",INT((D4459-cfgDeslocamento)/4))</f>
        <v>0</v>
      </c>
      <c r="F4459" s="26">
        <f>IF(D4459="","",MOD(D4459-cfgDeslocamento,4)+1)</f>
        <v>0</v>
      </c>
      <c r="G4459" s="26">
        <f>IF(A4459="","",IF(AND(ISNUMBER(B4459),B4459&lt;&gt;0),1,0))</f>
        <v>0</v>
      </c>
      <c r="H4459" s="25">
        <f>IF(E4459="","",(E4459*4+3+cfgDeslocamento)/48)</f>
        <v>0</v>
      </c>
    </row>
    <row r="4460" spans="1:8">
      <c r="A4460" s="24"/>
      <c r="B4460" s="19"/>
      <c r="C4460" s="25">
        <f>IF(D4460="","",D4460/48)</f>
        <v>0</v>
      </c>
      <c r="D4460" s="26">
        <f>IF(A4460="","",ROUND((A4460-cfgDefasagem/1440)*48,0))</f>
        <v>0</v>
      </c>
      <c r="E4460" s="26">
        <f>IF(D4460="","",INT((D4460-cfgDeslocamento)/4))</f>
        <v>0</v>
      </c>
      <c r="F4460" s="26">
        <f>IF(D4460="","",MOD(D4460-cfgDeslocamento,4)+1)</f>
        <v>0</v>
      </c>
      <c r="G4460" s="26">
        <f>IF(A4460="","",IF(AND(ISNUMBER(B4460),B4460&lt;&gt;0),1,0))</f>
        <v>0</v>
      </c>
      <c r="H4460" s="25">
        <f>IF(E4460="","",(E4460*4+3+cfgDeslocamento)/48)</f>
        <v>0</v>
      </c>
    </row>
    <row r="4461" spans="1:8">
      <c r="A4461" s="24"/>
      <c r="B4461" s="19"/>
      <c r="C4461" s="25">
        <f>IF(D4461="","",D4461/48)</f>
        <v>0</v>
      </c>
      <c r="D4461" s="26">
        <f>IF(A4461="","",ROUND((A4461-cfgDefasagem/1440)*48,0))</f>
        <v>0</v>
      </c>
      <c r="E4461" s="26">
        <f>IF(D4461="","",INT((D4461-cfgDeslocamento)/4))</f>
        <v>0</v>
      </c>
      <c r="F4461" s="26">
        <f>IF(D4461="","",MOD(D4461-cfgDeslocamento,4)+1)</f>
        <v>0</v>
      </c>
      <c r="G4461" s="26">
        <f>IF(A4461="","",IF(AND(ISNUMBER(B4461),B4461&lt;&gt;0),1,0))</f>
        <v>0</v>
      </c>
      <c r="H4461" s="25">
        <f>IF(E4461="","",(E4461*4+3+cfgDeslocamento)/48)</f>
        <v>0</v>
      </c>
    </row>
    <row r="4462" spans="1:8">
      <c r="A4462" s="24"/>
      <c r="B4462" s="19"/>
      <c r="C4462" s="25">
        <f>IF(D4462="","",D4462/48)</f>
        <v>0</v>
      </c>
      <c r="D4462" s="26">
        <f>IF(A4462="","",ROUND((A4462-cfgDefasagem/1440)*48,0))</f>
        <v>0</v>
      </c>
      <c r="E4462" s="26">
        <f>IF(D4462="","",INT((D4462-cfgDeslocamento)/4))</f>
        <v>0</v>
      </c>
      <c r="F4462" s="26">
        <f>IF(D4462="","",MOD(D4462-cfgDeslocamento,4)+1)</f>
        <v>0</v>
      </c>
      <c r="G4462" s="26">
        <f>IF(A4462="","",IF(AND(ISNUMBER(B4462),B4462&lt;&gt;0),1,0))</f>
        <v>0</v>
      </c>
      <c r="H4462" s="25">
        <f>IF(E4462="","",(E4462*4+3+cfgDeslocamento)/48)</f>
        <v>0</v>
      </c>
    </row>
    <row r="4463" spans="1:8">
      <c r="A4463" s="24"/>
      <c r="B4463" s="19"/>
      <c r="C4463" s="25">
        <f>IF(D4463="","",D4463/48)</f>
        <v>0</v>
      </c>
      <c r="D4463" s="26">
        <f>IF(A4463="","",ROUND((A4463-cfgDefasagem/1440)*48,0))</f>
        <v>0</v>
      </c>
      <c r="E4463" s="26">
        <f>IF(D4463="","",INT((D4463-cfgDeslocamento)/4))</f>
        <v>0</v>
      </c>
      <c r="F4463" s="26">
        <f>IF(D4463="","",MOD(D4463-cfgDeslocamento,4)+1)</f>
        <v>0</v>
      </c>
      <c r="G4463" s="26">
        <f>IF(A4463="","",IF(AND(ISNUMBER(B4463),B4463&lt;&gt;0),1,0))</f>
        <v>0</v>
      </c>
      <c r="H4463" s="25">
        <f>IF(E4463="","",(E4463*4+3+cfgDeslocamento)/48)</f>
        <v>0</v>
      </c>
    </row>
    <row r="4464" spans="1:8">
      <c r="A4464" s="24"/>
      <c r="B4464" s="19"/>
      <c r="C4464" s="25">
        <f>IF(D4464="","",D4464/48)</f>
        <v>0</v>
      </c>
      <c r="D4464" s="26">
        <f>IF(A4464="","",ROUND((A4464-cfgDefasagem/1440)*48,0))</f>
        <v>0</v>
      </c>
      <c r="E4464" s="26">
        <f>IF(D4464="","",INT((D4464-cfgDeslocamento)/4))</f>
        <v>0</v>
      </c>
      <c r="F4464" s="26">
        <f>IF(D4464="","",MOD(D4464-cfgDeslocamento,4)+1)</f>
        <v>0</v>
      </c>
      <c r="G4464" s="26">
        <f>IF(A4464="","",IF(AND(ISNUMBER(B4464),B4464&lt;&gt;0),1,0))</f>
        <v>0</v>
      </c>
      <c r="H4464" s="25">
        <f>IF(E4464="","",(E4464*4+3+cfgDeslocamento)/48)</f>
        <v>0</v>
      </c>
    </row>
    <row r="4465" spans="1:8">
      <c r="A4465" s="24"/>
      <c r="B4465" s="19"/>
      <c r="C4465" s="25">
        <f>IF(D4465="","",D4465/48)</f>
        <v>0</v>
      </c>
      <c r="D4465" s="26">
        <f>IF(A4465="","",ROUND((A4465-cfgDefasagem/1440)*48,0))</f>
        <v>0</v>
      </c>
      <c r="E4465" s="26">
        <f>IF(D4465="","",INT((D4465-cfgDeslocamento)/4))</f>
        <v>0</v>
      </c>
      <c r="F4465" s="26">
        <f>IF(D4465="","",MOD(D4465-cfgDeslocamento,4)+1)</f>
        <v>0</v>
      </c>
      <c r="G4465" s="26">
        <f>IF(A4465="","",IF(AND(ISNUMBER(B4465),B4465&lt;&gt;0),1,0))</f>
        <v>0</v>
      </c>
      <c r="H4465" s="25">
        <f>IF(E4465="","",(E4465*4+3+cfgDeslocamento)/48)</f>
        <v>0</v>
      </c>
    </row>
    <row r="4466" spans="1:8">
      <c r="A4466" s="24"/>
      <c r="B4466" s="19"/>
      <c r="C4466" s="25">
        <f>IF(D4466="","",D4466/48)</f>
        <v>0</v>
      </c>
      <c r="D4466" s="26">
        <f>IF(A4466="","",ROUND((A4466-cfgDefasagem/1440)*48,0))</f>
        <v>0</v>
      </c>
      <c r="E4466" s="26">
        <f>IF(D4466="","",INT((D4466-cfgDeslocamento)/4))</f>
        <v>0</v>
      </c>
      <c r="F4466" s="26">
        <f>IF(D4466="","",MOD(D4466-cfgDeslocamento,4)+1)</f>
        <v>0</v>
      </c>
      <c r="G4466" s="26">
        <f>IF(A4466="","",IF(AND(ISNUMBER(B4466),B4466&lt;&gt;0),1,0))</f>
        <v>0</v>
      </c>
      <c r="H4466" s="25">
        <f>IF(E4466="","",(E4466*4+3+cfgDeslocamento)/48)</f>
        <v>0</v>
      </c>
    </row>
    <row r="4467" spans="1:8">
      <c r="A4467" s="24"/>
      <c r="B4467" s="19"/>
      <c r="C4467" s="25">
        <f>IF(D4467="","",D4467/48)</f>
        <v>0</v>
      </c>
      <c r="D4467" s="26">
        <f>IF(A4467="","",ROUND((A4467-cfgDefasagem/1440)*48,0))</f>
        <v>0</v>
      </c>
      <c r="E4467" s="26">
        <f>IF(D4467="","",INT((D4467-cfgDeslocamento)/4))</f>
        <v>0</v>
      </c>
      <c r="F4467" s="26">
        <f>IF(D4467="","",MOD(D4467-cfgDeslocamento,4)+1)</f>
        <v>0</v>
      </c>
      <c r="G4467" s="26">
        <f>IF(A4467="","",IF(AND(ISNUMBER(B4467),B4467&lt;&gt;0),1,0))</f>
        <v>0</v>
      </c>
      <c r="H4467" s="25">
        <f>IF(E4467="","",(E4467*4+3+cfgDeslocamento)/48)</f>
        <v>0</v>
      </c>
    </row>
    <row r="4468" spans="1:8">
      <c r="A4468" s="24"/>
      <c r="B4468" s="19"/>
      <c r="C4468" s="25">
        <f>IF(D4468="","",D4468/48)</f>
        <v>0</v>
      </c>
      <c r="D4468" s="26">
        <f>IF(A4468="","",ROUND((A4468-cfgDefasagem/1440)*48,0))</f>
        <v>0</v>
      </c>
      <c r="E4468" s="26">
        <f>IF(D4468="","",INT((D4468-cfgDeslocamento)/4))</f>
        <v>0</v>
      </c>
      <c r="F4468" s="26">
        <f>IF(D4468="","",MOD(D4468-cfgDeslocamento,4)+1)</f>
        <v>0</v>
      </c>
      <c r="G4468" s="26">
        <f>IF(A4468="","",IF(AND(ISNUMBER(B4468),B4468&lt;&gt;0),1,0))</f>
        <v>0</v>
      </c>
      <c r="H4468" s="25">
        <f>IF(E4468="","",(E4468*4+3+cfgDeslocamento)/48)</f>
        <v>0</v>
      </c>
    </row>
    <row r="4469" spans="1:8">
      <c r="A4469" s="24"/>
      <c r="B4469" s="19"/>
      <c r="C4469" s="25">
        <f>IF(D4469="","",D4469/48)</f>
        <v>0</v>
      </c>
      <c r="D4469" s="26">
        <f>IF(A4469="","",ROUND((A4469-cfgDefasagem/1440)*48,0))</f>
        <v>0</v>
      </c>
      <c r="E4469" s="26">
        <f>IF(D4469="","",INT((D4469-cfgDeslocamento)/4))</f>
        <v>0</v>
      </c>
      <c r="F4469" s="26">
        <f>IF(D4469="","",MOD(D4469-cfgDeslocamento,4)+1)</f>
        <v>0</v>
      </c>
      <c r="G4469" s="26">
        <f>IF(A4469="","",IF(AND(ISNUMBER(B4469),B4469&lt;&gt;0),1,0))</f>
        <v>0</v>
      </c>
      <c r="H4469" s="25">
        <f>IF(E4469="","",(E4469*4+3+cfgDeslocamento)/48)</f>
        <v>0</v>
      </c>
    </row>
    <row r="4470" spans="1:8">
      <c r="A4470" s="24"/>
      <c r="B4470" s="19"/>
      <c r="C4470" s="25">
        <f>IF(D4470="","",D4470/48)</f>
        <v>0</v>
      </c>
      <c r="D4470" s="26">
        <f>IF(A4470="","",ROUND((A4470-cfgDefasagem/1440)*48,0))</f>
        <v>0</v>
      </c>
      <c r="E4470" s="26">
        <f>IF(D4470="","",INT((D4470-cfgDeslocamento)/4))</f>
        <v>0</v>
      </c>
      <c r="F4470" s="26">
        <f>IF(D4470="","",MOD(D4470-cfgDeslocamento,4)+1)</f>
        <v>0</v>
      </c>
      <c r="G4470" s="26">
        <f>IF(A4470="","",IF(AND(ISNUMBER(B4470),B4470&lt;&gt;0),1,0))</f>
        <v>0</v>
      </c>
      <c r="H4470" s="25">
        <f>IF(E4470="","",(E4470*4+3+cfgDeslocamento)/48)</f>
        <v>0</v>
      </c>
    </row>
    <row r="4471" spans="1:8">
      <c r="A4471" s="24"/>
      <c r="B4471" s="19"/>
      <c r="C4471" s="25">
        <f>IF(D4471="","",D4471/48)</f>
        <v>0</v>
      </c>
      <c r="D4471" s="26">
        <f>IF(A4471="","",ROUND((A4471-cfgDefasagem/1440)*48,0))</f>
        <v>0</v>
      </c>
      <c r="E4471" s="26">
        <f>IF(D4471="","",INT((D4471-cfgDeslocamento)/4))</f>
        <v>0</v>
      </c>
      <c r="F4471" s="26">
        <f>IF(D4471="","",MOD(D4471-cfgDeslocamento,4)+1)</f>
        <v>0</v>
      </c>
      <c r="G4471" s="26">
        <f>IF(A4471="","",IF(AND(ISNUMBER(B4471),B4471&lt;&gt;0),1,0))</f>
        <v>0</v>
      </c>
      <c r="H4471" s="25">
        <f>IF(E4471="","",(E4471*4+3+cfgDeslocamento)/48)</f>
        <v>0</v>
      </c>
    </row>
    <row r="4472" spans="1:8">
      <c r="A4472" s="24"/>
      <c r="B4472" s="19"/>
      <c r="C4472" s="25">
        <f>IF(D4472="","",D4472/48)</f>
        <v>0</v>
      </c>
      <c r="D4472" s="26">
        <f>IF(A4472="","",ROUND((A4472-cfgDefasagem/1440)*48,0))</f>
        <v>0</v>
      </c>
      <c r="E4472" s="26">
        <f>IF(D4472="","",INT((D4472-cfgDeslocamento)/4))</f>
        <v>0</v>
      </c>
      <c r="F4472" s="26">
        <f>IF(D4472="","",MOD(D4472-cfgDeslocamento,4)+1)</f>
        <v>0</v>
      </c>
      <c r="G4472" s="26">
        <f>IF(A4472="","",IF(AND(ISNUMBER(B4472),B4472&lt;&gt;0),1,0))</f>
        <v>0</v>
      </c>
      <c r="H4472" s="25">
        <f>IF(E4472="","",(E4472*4+3+cfgDeslocamento)/48)</f>
        <v>0</v>
      </c>
    </row>
    <row r="4473" spans="1:8">
      <c r="A4473" s="24"/>
      <c r="B4473" s="19"/>
      <c r="C4473" s="25">
        <f>IF(D4473="","",D4473/48)</f>
        <v>0</v>
      </c>
      <c r="D4473" s="26">
        <f>IF(A4473="","",ROUND((A4473-cfgDefasagem/1440)*48,0))</f>
        <v>0</v>
      </c>
      <c r="E4473" s="26">
        <f>IF(D4473="","",INT((D4473-cfgDeslocamento)/4))</f>
        <v>0</v>
      </c>
      <c r="F4473" s="26">
        <f>IF(D4473="","",MOD(D4473-cfgDeslocamento,4)+1)</f>
        <v>0</v>
      </c>
      <c r="G4473" s="26">
        <f>IF(A4473="","",IF(AND(ISNUMBER(B4473),B4473&lt;&gt;0),1,0))</f>
        <v>0</v>
      </c>
      <c r="H4473" s="25">
        <f>IF(E4473="","",(E4473*4+3+cfgDeslocamento)/48)</f>
        <v>0</v>
      </c>
    </row>
    <row r="4474" spans="1:8">
      <c r="A4474" s="24"/>
      <c r="B4474" s="19"/>
      <c r="C4474" s="25">
        <f>IF(D4474="","",D4474/48)</f>
        <v>0</v>
      </c>
      <c r="D4474" s="26">
        <f>IF(A4474="","",ROUND((A4474-cfgDefasagem/1440)*48,0))</f>
        <v>0</v>
      </c>
      <c r="E4474" s="26">
        <f>IF(D4474="","",INT((D4474-cfgDeslocamento)/4))</f>
        <v>0</v>
      </c>
      <c r="F4474" s="26">
        <f>IF(D4474="","",MOD(D4474-cfgDeslocamento,4)+1)</f>
        <v>0</v>
      </c>
      <c r="G4474" s="26">
        <f>IF(A4474="","",IF(AND(ISNUMBER(B4474),B4474&lt;&gt;0),1,0))</f>
        <v>0</v>
      </c>
      <c r="H4474" s="25">
        <f>IF(E4474="","",(E4474*4+3+cfgDeslocamento)/48)</f>
        <v>0</v>
      </c>
    </row>
    <row r="4475" spans="1:8">
      <c r="A4475" s="24"/>
      <c r="B4475" s="19"/>
      <c r="C4475" s="25">
        <f>IF(D4475="","",D4475/48)</f>
        <v>0</v>
      </c>
      <c r="D4475" s="26">
        <f>IF(A4475="","",ROUND((A4475-cfgDefasagem/1440)*48,0))</f>
        <v>0</v>
      </c>
      <c r="E4475" s="26">
        <f>IF(D4475="","",INT((D4475-cfgDeslocamento)/4))</f>
        <v>0</v>
      </c>
      <c r="F4475" s="26">
        <f>IF(D4475="","",MOD(D4475-cfgDeslocamento,4)+1)</f>
        <v>0</v>
      </c>
      <c r="G4475" s="26">
        <f>IF(A4475="","",IF(AND(ISNUMBER(B4475),B4475&lt;&gt;0),1,0))</f>
        <v>0</v>
      </c>
      <c r="H4475" s="25">
        <f>IF(E4475="","",(E4475*4+3+cfgDeslocamento)/48)</f>
        <v>0</v>
      </c>
    </row>
    <row r="4476" spans="1:8">
      <c r="A4476" s="24"/>
      <c r="B4476" s="19"/>
      <c r="C4476" s="25">
        <f>IF(D4476="","",D4476/48)</f>
        <v>0</v>
      </c>
      <c r="D4476" s="26">
        <f>IF(A4476="","",ROUND((A4476-cfgDefasagem/1440)*48,0))</f>
        <v>0</v>
      </c>
      <c r="E4476" s="26">
        <f>IF(D4476="","",INT((D4476-cfgDeslocamento)/4))</f>
        <v>0</v>
      </c>
      <c r="F4476" s="26">
        <f>IF(D4476="","",MOD(D4476-cfgDeslocamento,4)+1)</f>
        <v>0</v>
      </c>
      <c r="G4476" s="26">
        <f>IF(A4476="","",IF(AND(ISNUMBER(B4476),B4476&lt;&gt;0),1,0))</f>
        <v>0</v>
      </c>
      <c r="H4476" s="25">
        <f>IF(E4476="","",(E4476*4+3+cfgDeslocamento)/48)</f>
        <v>0</v>
      </c>
    </row>
    <row r="4477" spans="1:8">
      <c r="A4477" s="24"/>
      <c r="B4477" s="19"/>
      <c r="C4477" s="25">
        <f>IF(D4477="","",D4477/48)</f>
        <v>0</v>
      </c>
      <c r="D4477" s="26">
        <f>IF(A4477="","",ROUND((A4477-cfgDefasagem/1440)*48,0))</f>
        <v>0</v>
      </c>
      <c r="E4477" s="26">
        <f>IF(D4477="","",INT((D4477-cfgDeslocamento)/4))</f>
        <v>0</v>
      </c>
      <c r="F4477" s="26">
        <f>IF(D4477="","",MOD(D4477-cfgDeslocamento,4)+1)</f>
        <v>0</v>
      </c>
      <c r="G4477" s="26">
        <f>IF(A4477="","",IF(AND(ISNUMBER(B4477),B4477&lt;&gt;0),1,0))</f>
        <v>0</v>
      </c>
      <c r="H4477" s="25">
        <f>IF(E4477="","",(E4477*4+3+cfgDeslocamento)/48)</f>
        <v>0</v>
      </c>
    </row>
    <row r="4478" spans="1:8">
      <c r="A4478" s="24"/>
      <c r="B4478" s="19"/>
      <c r="C4478" s="25">
        <f>IF(D4478="","",D4478/48)</f>
        <v>0</v>
      </c>
      <c r="D4478" s="26">
        <f>IF(A4478="","",ROUND((A4478-cfgDefasagem/1440)*48,0))</f>
        <v>0</v>
      </c>
      <c r="E4478" s="26">
        <f>IF(D4478="","",INT((D4478-cfgDeslocamento)/4))</f>
        <v>0</v>
      </c>
      <c r="F4478" s="26">
        <f>IF(D4478="","",MOD(D4478-cfgDeslocamento,4)+1)</f>
        <v>0</v>
      </c>
      <c r="G4478" s="26">
        <f>IF(A4478="","",IF(AND(ISNUMBER(B4478),B4478&lt;&gt;0),1,0))</f>
        <v>0</v>
      </c>
      <c r="H4478" s="25">
        <f>IF(E4478="","",(E4478*4+3+cfgDeslocamento)/48)</f>
        <v>0</v>
      </c>
    </row>
    <row r="4479" spans="1:8">
      <c r="A4479" s="24"/>
      <c r="B4479" s="19"/>
      <c r="C4479" s="25">
        <f>IF(D4479="","",D4479/48)</f>
        <v>0</v>
      </c>
      <c r="D4479" s="26">
        <f>IF(A4479="","",ROUND((A4479-cfgDefasagem/1440)*48,0))</f>
        <v>0</v>
      </c>
      <c r="E4479" s="26">
        <f>IF(D4479="","",INT((D4479-cfgDeslocamento)/4))</f>
        <v>0</v>
      </c>
      <c r="F4479" s="26">
        <f>IF(D4479="","",MOD(D4479-cfgDeslocamento,4)+1)</f>
        <v>0</v>
      </c>
      <c r="G4479" s="26">
        <f>IF(A4479="","",IF(AND(ISNUMBER(B4479),B4479&lt;&gt;0),1,0))</f>
        <v>0</v>
      </c>
      <c r="H4479" s="25">
        <f>IF(E4479="","",(E4479*4+3+cfgDeslocamento)/48)</f>
        <v>0</v>
      </c>
    </row>
    <row r="4480" spans="1:8">
      <c r="A4480" s="24"/>
      <c r="B4480" s="19"/>
      <c r="C4480" s="25">
        <f>IF(D4480="","",D4480/48)</f>
        <v>0</v>
      </c>
      <c r="D4480" s="26">
        <f>IF(A4480="","",ROUND((A4480-cfgDefasagem/1440)*48,0))</f>
        <v>0</v>
      </c>
      <c r="E4480" s="26">
        <f>IF(D4480="","",INT((D4480-cfgDeslocamento)/4))</f>
        <v>0</v>
      </c>
      <c r="F4480" s="26">
        <f>IF(D4480="","",MOD(D4480-cfgDeslocamento,4)+1)</f>
        <v>0</v>
      </c>
      <c r="G4480" s="26">
        <f>IF(A4480="","",IF(AND(ISNUMBER(B4480),B4480&lt;&gt;0),1,0))</f>
        <v>0</v>
      </c>
      <c r="H4480" s="25">
        <f>IF(E4480="","",(E4480*4+3+cfgDeslocamento)/48)</f>
        <v>0</v>
      </c>
    </row>
    <row r="4481" spans="1:8">
      <c r="A4481" s="24"/>
      <c r="B4481" s="19"/>
      <c r="C4481" s="25">
        <f>IF(D4481="","",D4481/48)</f>
        <v>0</v>
      </c>
      <c r="D4481" s="26">
        <f>IF(A4481="","",ROUND((A4481-cfgDefasagem/1440)*48,0))</f>
        <v>0</v>
      </c>
      <c r="E4481" s="26">
        <f>IF(D4481="","",INT((D4481-cfgDeslocamento)/4))</f>
        <v>0</v>
      </c>
      <c r="F4481" s="26">
        <f>IF(D4481="","",MOD(D4481-cfgDeslocamento,4)+1)</f>
        <v>0</v>
      </c>
      <c r="G4481" s="26">
        <f>IF(A4481="","",IF(AND(ISNUMBER(B4481),B4481&lt;&gt;0),1,0))</f>
        <v>0</v>
      </c>
      <c r="H4481" s="25">
        <f>IF(E4481="","",(E4481*4+3+cfgDeslocamento)/48)</f>
        <v>0</v>
      </c>
    </row>
    <row r="4482" spans="1:8">
      <c r="A4482" s="24"/>
      <c r="B4482" s="19"/>
      <c r="C4482" s="25">
        <f>IF(D4482="","",D4482/48)</f>
        <v>0</v>
      </c>
      <c r="D4482" s="26">
        <f>IF(A4482="","",ROUND((A4482-cfgDefasagem/1440)*48,0))</f>
        <v>0</v>
      </c>
      <c r="E4482" s="26">
        <f>IF(D4482="","",INT((D4482-cfgDeslocamento)/4))</f>
        <v>0</v>
      </c>
      <c r="F4482" s="26">
        <f>IF(D4482="","",MOD(D4482-cfgDeslocamento,4)+1)</f>
        <v>0</v>
      </c>
      <c r="G4482" s="26">
        <f>IF(A4482="","",IF(AND(ISNUMBER(B4482),B4482&lt;&gt;0),1,0))</f>
        <v>0</v>
      </c>
      <c r="H4482" s="25">
        <f>IF(E4482="","",(E4482*4+3+cfgDeslocamento)/48)</f>
        <v>0</v>
      </c>
    </row>
    <row r="4483" spans="1:8">
      <c r="A4483" s="24"/>
      <c r="B4483" s="19"/>
      <c r="C4483" s="25">
        <f>IF(D4483="","",D4483/48)</f>
        <v>0</v>
      </c>
      <c r="D4483" s="26">
        <f>IF(A4483="","",ROUND((A4483-cfgDefasagem/1440)*48,0))</f>
        <v>0</v>
      </c>
      <c r="E4483" s="26">
        <f>IF(D4483="","",INT((D4483-cfgDeslocamento)/4))</f>
        <v>0</v>
      </c>
      <c r="F4483" s="26">
        <f>IF(D4483="","",MOD(D4483-cfgDeslocamento,4)+1)</f>
        <v>0</v>
      </c>
      <c r="G4483" s="26">
        <f>IF(A4483="","",IF(AND(ISNUMBER(B4483),B4483&lt;&gt;0),1,0))</f>
        <v>0</v>
      </c>
      <c r="H4483" s="25">
        <f>IF(E4483="","",(E4483*4+3+cfgDeslocamento)/48)</f>
        <v>0</v>
      </c>
    </row>
    <row r="4484" spans="1:8">
      <c r="A4484" s="24"/>
      <c r="B4484" s="19"/>
      <c r="C4484" s="25">
        <f>IF(D4484="","",D4484/48)</f>
        <v>0</v>
      </c>
      <c r="D4484" s="26">
        <f>IF(A4484="","",ROUND((A4484-cfgDefasagem/1440)*48,0))</f>
        <v>0</v>
      </c>
      <c r="E4484" s="26">
        <f>IF(D4484="","",INT((D4484-cfgDeslocamento)/4))</f>
        <v>0</v>
      </c>
      <c r="F4484" s="26">
        <f>IF(D4484="","",MOD(D4484-cfgDeslocamento,4)+1)</f>
        <v>0</v>
      </c>
      <c r="G4484" s="26">
        <f>IF(A4484="","",IF(AND(ISNUMBER(B4484),B4484&lt;&gt;0),1,0))</f>
        <v>0</v>
      </c>
      <c r="H4484" s="25">
        <f>IF(E4484="","",(E4484*4+3+cfgDeslocamento)/48)</f>
        <v>0</v>
      </c>
    </row>
    <row r="4485" spans="1:8">
      <c r="A4485" s="24"/>
      <c r="B4485" s="19"/>
      <c r="C4485" s="25">
        <f>IF(D4485="","",D4485/48)</f>
        <v>0</v>
      </c>
      <c r="D4485" s="26">
        <f>IF(A4485="","",ROUND((A4485-cfgDefasagem/1440)*48,0))</f>
        <v>0</v>
      </c>
      <c r="E4485" s="26">
        <f>IF(D4485="","",INT((D4485-cfgDeslocamento)/4))</f>
        <v>0</v>
      </c>
      <c r="F4485" s="26">
        <f>IF(D4485="","",MOD(D4485-cfgDeslocamento,4)+1)</f>
        <v>0</v>
      </c>
      <c r="G4485" s="26">
        <f>IF(A4485="","",IF(AND(ISNUMBER(B4485),B4485&lt;&gt;0),1,0))</f>
        <v>0</v>
      </c>
      <c r="H4485" s="25">
        <f>IF(E4485="","",(E4485*4+3+cfgDeslocamento)/48)</f>
        <v>0</v>
      </c>
    </row>
    <row r="4486" spans="1:8">
      <c r="A4486" s="24"/>
      <c r="B4486" s="19"/>
      <c r="C4486" s="25">
        <f>IF(D4486="","",D4486/48)</f>
        <v>0</v>
      </c>
      <c r="D4486" s="26">
        <f>IF(A4486="","",ROUND((A4486-cfgDefasagem/1440)*48,0))</f>
        <v>0</v>
      </c>
      <c r="E4486" s="26">
        <f>IF(D4486="","",INT((D4486-cfgDeslocamento)/4))</f>
        <v>0</v>
      </c>
      <c r="F4486" s="26">
        <f>IF(D4486="","",MOD(D4486-cfgDeslocamento,4)+1)</f>
        <v>0</v>
      </c>
      <c r="G4486" s="26">
        <f>IF(A4486="","",IF(AND(ISNUMBER(B4486),B4486&lt;&gt;0),1,0))</f>
        <v>0</v>
      </c>
      <c r="H4486" s="25">
        <f>IF(E4486="","",(E4486*4+3+cfgDeslocamento)/48)</f>
        <v>0</v>
      </c>
    </row>
    <row r="4487" spans="1:8">
      <c r="A4487" s="24"/>
      <c r="B4487" s="19"/>
      <c r="C4487" s="25">
        <f>IF(D4487="","",D4487/48)</f>
        <v>0</v>
      </c>
      <c r="D4487" s="26">
        <f>IF(A4487="","",ROUND((A4487-cfgDefasagem/1440)*48,0))</f>
        <v>0</v>
      </c>
      <c r="E4487" s="26">
        <f>IF(D4487="","",INT((D4487-cfgDeslocamento)/4))</f>
        <v>0</v>
      </c>
      <c r="F4487" s="26">
        <f>IF(D4487="","",MOD(D4487-cfgDeslocamento,4)+1)</f>
        <v>0</v>
      </c>
      <c r="G4487" s="26">
        <f>IF(A4487="","",IF(AND(ISNUMBER(B4487),B4487&lt;&gt;0),1,0))</f>
        <v>0</v>
      </c>
      <c r="H4487" s="25">
        <f>IF(E4487="","",(E4487*4+3+cfgDeslocamento)/48)</f>
        <v>0</v>
      </c>
    </row>
    <row r="4488" spans="1:8">
      <c r="A4488" s="24"/>
      <c r="B4488" s="19"/>
      <c r="C4488" s="25">
        <f>IF(D4488="","",D4488/48)</f>
        <v>0</v>
      </c>
      <c r="D4488" s="26">
        <f>IF(A4488="","",ROUND((A4488-cfgDefasagem/1440)*48,0))</f>
        <v>0</v>
      </c>
      <c r="E4488" s="26">
        <f>IF(D4488="","",INT((D4488-cfgDeslocamento)/4))</f>
        <v>0</v>
      </c>
      <c r="F4488" s="26">
        <f>IF(D4488="","",MOD(D4488-cfgDeslocamento,4)+1)</f>
        <v>0</v>
      </c>
      <c r="G4488" s="26">
        <f>IF(A4488="","",IF(AND(ISNUMBER(B4488),B4488&lt;&gt;0),1,0))</f>
        <v>0</v>
      </c>
      <c r="H4488" s="25">
        <f>IF(E4488="","",(E4488*4+3+cfgDeslocamento)/48)</f>
        <v>0</v>
      </c>
    </row>
    <row r="4489" spans="1:8">
      <c r="A4489" s="24"/>
      <c r="B4489" s="19"/>
      <c r="C4489" s="25">
        <f>IF(D4489="","",D4489/48)</f>
        <v>0</v>
      </c>
      <c r="D4489" s="26">
        <f>IF(A4489="","",ROUND((A4489-cfgDefasagem/1440)*48,0))</f>
        <v>0</v>
      </c>
      <c r="E4489" s="26">
        <f>IF(D4489="","",INT((D4489-cfgDeslocamento)/4))</f>
        <v>0</v>
      </c>
      <c r="F4489" s="26">
        <f>IF(D4489="","",MOD(D4489-cfgDeslocamento,4)+1)</f>
        <v>0</v>
      </c>
      <c r="G4489" s="26">
        <f>IF(A4489="","",IF(AND(ISNUMBER(B4489),B4489&lt;&gt;0),1,0))</f>
        <v>0</v>
      </c>
      <c r="H4489" s="25">
        <f>IF(E4489="","",(E4489*4+3+cfgDeslocamento)/48)</f>
        <v>0</v>
      </c>
    </row>
    <row r="4490" spans="1:8">
      <c r="A4490" s="24"/>
      <c r="B4490" s="19"/>
      <c r="C4490" s="25">
        <f>IF(D4490="","",D4490/48)</f>
        <v>0</v>
      </c>
      <c r="D4490" s="26">
        <f>IF(A4490="","",ROUND((A4490-cfgDefasagem/1440)*48,0))</f>
        <v>0</v>
      </c>
      <c r="E4490" s="26">
        <f>IF(D4490="","",INT((D4490-cfgDeslocamento)/4))</f>
        <v>0</v>
      </c>
      <c r="F4490" s="26">
        <f>IF(D4490="","",MOD(D4490-cfgDeslocamento,4)+1)</f>
        <v>0</v>
      </c>
      <c r="G4490" s="26">
        <f>IF(A4490="","",IF(AND(ISNUMBER(B4490),B4490&lt;&gt;0),1,0))</f>
        <v>0</v>
      </c>
      <c r="H4490" s="25">
        <f>IF(E4490="","",(E4490*4+3+cfgDeslocamento)/48)</f>
        <v>0</v>
      </c>
    </row>
    <row r="4491" spans="1:8">
      <c r="A4491" s="24"/>
      <c r="B4491" s="19"/>
      <c r="C4491" s="25">
        <f>IF(D4491="","",D4491/48)</f>
        <v>0</v>
      </c>
      <c r="D4491" s="26">
        <f>IF(A4491="","",ROUND((A4491-cfgDefasagem/1440)*48,0))</f>
        <v>0</v>
      </c>
      <c r="E4491" s="26">
        <f>IF(D4491="","",INT((D4491-cfgDeslocamento)/4))</f>
        <v>0</v>
      </c>
      <c r="F4491" s="26">
        <f>IF(D4491="","",MOD(D4491-cfgDeslocamento,4)+1)</f>
        <v>0</v>
      </c>
      <c r="G4491" s="26">
        <f>IF(A4491="","",IF(AND(ISNUMBER(B4491),B4491&lt;&gt;0),1,0))</f>
        <v>0</v>
      </c>
      <c r="H4491" s="25">
        <f>IF(E4491="","",(E4491*4+3+cfgDeslocamento)/48)</f>
        <v>0</v>
      </c>
    </row>
    <row r="4492" spans="1:8">
      <c r="A4492" s="24"/>
      <c r="B4492" s="19"/>
      <c r="C4492" s="25">
        <f>IF(D4492="","",D4492/48)</f>
        <v>0</v>
      </c>
      <c r="D4492" s="26">
        <f>IF(A4492="","",ROUND((A4492-cfgDefasagem/1440)*48,0))</f>
        <v>0</v>
      </c>
      <c r="E4492" s="26">
        <f>IF(D4492="","",INT((D4492-cfgDeslocamento)/4))</f>
        <v>0</v>
      </c>
      <c r="F4492" s="26">
        <f>IF(D4492="","",MOD(D4492-cfgDeslocamento,4)+1)</f>
        <v>0</v>
      </c>
      <c r="G4492" s="26">
        <f>IF(A4492="","",IF(AND(ISNUMBER(B4492),B4492&lt;&gt;0),1,0))</f>
        <v>0</v>
      </c>
      <c r="H4492" s="25">
        <f>IF(E4492="","",(E4492*4+3+cfgDeslocamento)/48)</f>
        <v>0</v>
      </c>
    </row>
    <row r="4493" spans="1:8">
      <c r="A4493" s="24"/>
      <c r="B4493" s="19"/>
      <c r="C4493" s="25">
        <f>IF(D4493="","",D4493/48)</f>
        <v>0</v>
      </c>
      <c r="D4493" s="26">
        <f>IF(A4493="","",ROUND((A4493-cfgDefasagem/1440)*48,0))</f>
        <v>0</v>
      </c>
      <c r="E4493" s="26">
        <f>IF(D4493="","",INT((D4493-cfgDeslocamento)/4))</f>
        <v>0</v>
      </c>
      <c r="F4493" s="26">
        <f>IF(D4493="","",MOD(D4493-cfgDeslocamento,4)+1)</f>
        <v>0</v>
      </c>
      <c r="G4493" s="26">
        <f>IF(A4493="","",IF(AND(ISNUMBER(B4493),B4493&lt;&gt;0),1,0))</f>
        <v>0</v>
      </c>
      <c r="H4493" s="25">
        <f>IF(E4493="","",(E4493*4+3+cfgDeslocamento)/48)</f>
        <v>0</v>
      </c>
    </row>
    <row r="4494" spans="1:8">
      <c r="A4494" s="24"/>
      <c r="B4494" s="19"/>
      <c r="C4494" s="25">
        <f>IF(D4494="","",D4494/48)</f>
        <v>0</v>
      </c>
      <c r="D4494" s="26">
        <f>IF(A4494="","",ROUND((A4494-cfgDefasagem/1440)*48,0))</f>
        <v>0</v>
      </c>
      <c r="E4494" s="26">
        <f>IF(D4494="","",INT((D4494-cfgDeslocamento)/4))</f>
        <v>0</v>
      </c>
      <c r="F4494" s="26">
        <f>IF(D4494="","",MOD(D4494-cfgDeslocamento,4)+1)</f>
        <v>0</v>
      </c>
      <c r="G4494" s="26">
        <f>IF(A4494="","",IF(AND(ISNUMBER(B4494),B4494&lt;&gt;0),1,0))</f>
        <v>0</v>
      </c>
      <c r="H4494" s="25">
        <f>IF(E4494="","",(E4494*4+3+cfgDeslocamento)/48)</f>
        <v>0</v>
      </c>
    </row>
    <row r="4495" spans="1:8">
      <c r="A4495" s="24"/>
      <c r="B4495" s="19"/>
      <c r="C4495" s="25">
        <f>IF(D4495="","",D4495/48)</f>
        <v>0</v>
      </c>
      <c r="D4495" s="26">
        <f>IF(A4495="","",ROUND((A4495-cfgDefasagem/1440)*48,0))</f>
        <v>0</v>
      </c>
      <c r="E4495" s="26">
        <f>IF(D4495="","",INT((D4495-cfgDeslocamento)/4))</f>
        <v>0</v>
      </c>
      <c r="F4495" s="26">
        <f>IF(D4495="","",MOD(D4495-cfgDeslocamento,4)+1)</f>
        <v>0</v>
      </c>
      <c r="G4495" s="26">
        <f>IF(A4495="","",IF(AND(ISNUMBER(B4495),B4495&lt;&gt;0),1,0))</f>
        <v>0</v>
      </c>
      <c r="H4495" s="25">
        <f>IF(E4495="","",(E4495*4+3+cfgDeslocamento)/48)</f>
        <v>0</v>
      </c>
    </row>
    <row r="4496" spans="1:8">
      <c r="A4496" s="24"/>
      <c r="B4496" s="19"/>
      <c r="C4496" s="25">
        <f>IF(D4496="","",D4496/48)</f>
        <v>0</v>
      </c>
      <c r="D4496" s="26">
        <f>IF(A4496="","",ROUND((A4496-cfgDefasagem/1440)*48,0))</f>
        <v>0</v>
      </c>
      <c r="E4496" s="26">
        <f>IF(D4496="","",INT((D4496-cfgDeslocamento)/4))</f>
        <v>0</v>
      </c>
      <c r="F4496" s="26">
        <f>IF(D4496="","",MOD(D4496-cfgDeslocamento,4)+1)</f>
        <v>0</v>
      </c>
      <c r="G4496" s="26">
        <f>IF(A4496="","",IF(AND(ISNUMBER(B4496),B4496&lt;&gt;0),1,0))</f>
        <v>0</v>
      </c>
      <c r="H4496" s="25">
        <f>IF(E4496="","",(E4496*4+3+cfgDeslocamento)/48)</f>
        <v>0</v>
      </c>
    </row>
    <row r="4497" spans="1:8">
      <c r="A4497" s="24"/>
      <c r="B4497" s="19"/>
      <c r="C4497" s="25">
        <f>IF(D4497="","",D4497/48)</f>
        <v>0</v>
      </c>
      <c r="D4497" s="26">
        <f>IF(A4497="","",ROUND((A4497-cfgDefasagem/1440)*48,0))</f>
        <v>0</v>
      </c>
      <c r="E4497" s="26">
        <f>IF(D4497="","",INT((D4497-cfgDeslocamento)/4))</f>
        <v>0</v>
      </c>
      <c r="F4497" s="26">
        <f>IF(D4497="","",MOD(D4497-cfgDeslocamento,4)+1)</f>
        <v>0</v>
      </c>
      <c r="G4497" s="26">
        <f>IF(A4497="","",IF(AND(ISNUMBER(B4497),B4497&lt;&gt;0),1,0))</f>
        <v>0</v>
      </c>
      <c r="H4497" s="25">
        <f>IF(E4497="","",(E4497*4+3+cfgDeslocamento)/48)</f>
        <v>0</v>
      </c>
    </row>
    <row r="4498" spans="1:8">
      <c r="A4498" s="24"/>
      <c r="B4498" s="19"/>
      <c r="C4498" s="25">
        <f>IF(D4498="","",D4498/48)</f>
        <v>0</v>
      </c>
      <c r="D4498" s="26">
        <f>IF(A4498="","",ROUND((A4498-cfgDefasagem/1440)*48,0))</f>
        <v>0</v>
      </c>
      <c r="E4498" s="26">
        <f>IF(D4498="","",INT((D4498-cfgDeslocamento)/4))</f>
        <v>0</v>
      </c>
      <c r="F4498" s="26">
        <f>IF(D4498="","",MOD(D4498-cfgDeslocamento,4)+1)</f>
        <v>0</v>
      </c>
      <c r="G4498" s="26">
        <f>IF(A4498="","",IF(AND(ISNUMBER(B4498),B4498&lt;&gt;0),1,0))</f>
        <v>0</v>
      </c>
      <c r="H4498" s="25">
        <f>IF(E4498="","",(E4498*4+3+cfgDeslocamento)/48)</f>
        <v>0</v>
      </c>
    </row>
    <row r="4499" spans="1:8">
      <c r="A4499" s="24"/>
      <c r="B4499" s="19"/>
      <c r="C4499" s="25">
        <f>IF(D4499="","",D4499/48)</f>
        <v>0</v>
      </c>
      <c r="D4499" s="26">
        <f>IF(A4499="","",ROUND((A4499-cfgDefasagem/1440)*48,0))</f>
        <v>0</v>
      </c>
      <c r="E4499" s="26">
        <f>IF(D4499="","",INT((D4499-cfgDeslocamento)/4))</f>
        <v>0</v>
      </c>
      <c r="F4499" s="26">
        <f>IF(D4499="","",MOD(D4499-cfgDeslocamento,4)+1)</f>
        <v>0</v>
      </c>
      <c r="G4499" s="26">
        <f>IF(A4499="","",IF(AND(ISNUMBER(B4499),B4499&lt;&gt;0),1,0))</f>
        <v>0</v>
      </c>
      <c r="H4499" s="25">
        <f>IF(E4499="","",(E4499*4+3+cfgDeslocamento)/48)</f>
        <v>0</v>
      </c>
    </row>
    <row r="4500" spans="1:8">
      <c r="A4500" s="24"/>
      <c r="B4500" s="19"/>
      <c r="C4500" s="25">
        <f>IF(D4500="","",D4500/48)</f>
        <v>0</v>
      </c>
      <c r="D4500" s="26">
        <f>IF(A4500="","",ROUND((A4500-cfgDefasagem/1440)*48,0))</f>
        <v>0</v>
      </c>
      <c r="E4500" s="26">
        <f>IF(D4500="","",INT((D4500-cfgDeslocamento)/4))</f>
        <v>0</v>
      </c>
      <c r="F4500" s="26">
        <f>IF(D4500="","",MOD(D4500-cfgDeslocamento,4)+1)</f>
        <v>0</v>
      </c>
      <c r="G4500" s="26">
        <f>IF(A4500="","",IF(AND(ISNUMBER(B4500),B4500&lt;&gt;0),1,0))</f>
        <v>0</v>
      </c>
      <c r="H4500" s="25">
        <f>IF(E4500="","",(E4500*4+3+cfgDeslocamento)/48)</f>
        <v>0</v>
      </c>
    </row>
    <row r="4501" spans="1:8">
      <c r="A4501" s="24"/>
      <c r="B4501" s="19"/>
      <c r="C4501" s="25">
        <f>IF(D4501="","",D4501/48)</f>
        <v>0</v>
      </c>
      <c r="D4501" s="26">
        <f>IF(A4501="","",ROUND((A4501-cfgDefasagem/1440)*48,0))</f>
        <v>0</v>
      </c>
      <c r="E4501" s="26">
        <f>IF(D4501="","",INT((D4501-cfgDeslocamento)/4))</f>
        <v>0</v>
      </c>
      <c r="F4501" s="26">
        <f>IF(D4501="","",MOD(D4501-cfgDeslocamento,4)+1)</f>
        <v>0</v>
      </c>
      <c r="G4501" s="26">
        <f>IF(A4501="","",IF(AND(ISNUMBER(B4501),B4501&lt;&gt;0),1,0))</f>
        <v>0</v>
      </c>
      <c r="H4501" s="25">
        <f>IF(E4501="","",(E4501*4+3+cfgDeslocamento)/48)</f>
        <v>0</v>
      </c>
    </row>
    <row r="4502" spans="1:8">
      <c r="A4502" s="24"/>
      <c r="B4502" s="19"/>
      <c r="C4502" s="25">
        <f>IF(D4502="","",D4502/48)</f>
        <v>0</v>
      </c>
      <c r="D4502" s="26">
        <f>IF(A4502="","",ROUND((A4502-cfgDefasagem/1440)*48,0))</f>
        <v>0</v>
      </c>
      <c r="E4502" s="26">
        <f>IF(D4502="","",INT((D4502-cfgDeslocamento)/4))</f>
        <v>0</v>
      </c>
      <c r="F4502" s="26">
        <f>IF(D4502="","",MOD(D4502-cfgDeslocamento,4)+1)</f>
        <v>0</v>
      </c>
      <c r="G4502" s="26">
        <f>IF(A4502="","",IF(AND(ISNUMBER(B4502),B4502&lt;&gt;0),1,0))</f>
        <v>0</v>
      </c>
      <c r="H4502" s="25">
        <f>IF(E4502="","",(E4502*4+3+cfgDeslocamento)/48)</f>
        <v>0</v>
      </c>
    </row>
    <row r="4503" spans="1:8">
      <c r="A4503" s="24"/>
      <c r="B4503" s="19"/>
      <c r="C4503" s="25">
        <f>IF(D4503="","",D4503/48)</f>
        <v>0</v>
      </c>
      <c r="D4503" s="26">
        <f>IF(A4503="","",ROUND((A4503-cfgDefasagem/1440)*48,0))</f>
        <v>0</v>
      </c>
      <c r="E4503" s="26">
        <f>IF(D4503="","",INT((D4503-cfgDeslocamento)/4))</f>
        <v>0</v>
      </c>
      <c r="F4503" s="26">
        <f>IF(D4503="","",MOD(D4503-cfgDeslocamento,4)+1)</f>
        <v>0</v>
      </c>
      <c r="G4503" s="26">
        <f>IF(A4503="","",IF(AND(ISNUMBER(B4503),B4503&lt;&gt;0),1,0))</f>
        <v>0</v>
      </c>
      <c r="H4503" s="25">
        <f>IF(E4503="","",(E4503*4+3+cfgDeslocamento)/48)</f>
        <v>0</v>
      </c>
    </row>
    <row r="4504" spans="1:8">
      <c r="A4504" s="24"/>
      <c r="B4504" s="19"/>
      <c r="C4504" s="25">
        <f>IF(D4504="","",D4504/48)</f>
        <v>0</v>
      </c>
      <c r="D4504" s="26">
        <f>IF(A4504="","",ROUND((A4504-cfgDefasagem/1440)*48,0))</f>
        <v>0</v>
      </c>
      <c r="E4504" s="26">
        <f>IF(D4504="","",INT((D4504-cfgDeslocamento)/4))</f>
        <v>0</v>
      </c>
      <c r="F4504" s="26">
        <f>IF(D4504="","",MOD(D4504-cfgDeslocamento,4)+1)</f>
        <v>0</v>
      </c>
      <c r="G4504" s="26">
        <f>IF(A4504="","",IF(AND(ISNUMBER(B4504),B4504&lt;&gt;0),1,0))</f>
        <v>0</v>
      </c>
      <c r="H4504" s="25">
        <f>IF(E4504="","",(E4504*4+3+cfgDeslocamento)/48)</f>
        <v>0</v>
      </c>
    </row>
    <row r="4505" spans="1:8">
      <c r="A4505" s="24"/>
      <c r="B4505" s="19"/>
      <c r="C4505" s="25">
        <f>IF(D4505="","",D4505/48)</f>
        <v>0</v>
      </c>
      <c r="D4505" s="26">
        <f>IF(A4505="","",ROUND((A4505-cfgDefasagem/1440)*48,0))</f>
        <v>0</v>
      </c>
      <c r="E4505" s="26">
        <f>IF(D4505="","",INT((D4505-cfgDeslocamento)/4))</f>
        <v>0</v>
      </c>
      <c r="F4505" s="26">
        <f>IF(D4505="","",MOD(D4505-cfgDeslocamento,4)+1)</f>
        <v>0</v>
      </c>
      <c r="G4505" s="26">
        <f>IF(A4505="","",IF(AND(ISNUMBER(B4505),B4505&lt;&gt;0),1,0))</f>
        <v>0</v>
      </c>
      <c r="H4505" s="25">
        <f>IF(E4505="","",(E4505*4+3+cfgDeslocamento)/48)</f>
        <v>0</v>
      </c>
    </row>
    <row r="4506" spans="1:8">
      <c r="A4506" s="24"/>
      <c r="B4506" s="19"/>
      <c r="C4506" s="25">
        <f>IF(D4506="","",D4506/48)</f>
        <v>0</v>
      </c>
      <c r="D4506" s="26">
        <f>IF(A4506="","",ROUND((A4506-cfgDefasagem/1440)*48,0))</f>
        <v>0</v>
      </c>
      <c r="E4506" s="26">
        <f>IF(D4506="","",INT((D4506-cfgDeslocamento)/4))</f>
        <v>0</v>
      </c>
      <c r="F4506" s="26">
        <f>IF(D4506="","",MOD(D4506-cfgDeslocamento,4)+1)</f>
        <v>0</v>
      </c>
      <c r="G4506" s="26">
        <f>IF(A4506="","",IF(AND(ISNUMBER(B4506),B4506&lt;&gt;0),1,0))</f>
        <v>0</v>
      </c>
      <c r="H4506" s="25">
        <f>IF(E4506="","",(E4506*4+3+cfgDeslocamento)/48)</f>
        <v>0</v>
      </c>
    </row>
    <row r="4507" spans="1:8">
      <c r="A4507" s="24"/>
      <c r="B4507" s="19"/>
      <c r="C4507" s="25">
        <f>IF(D4507="","",D4507/48)</f>
        <v>0</v>
      </c>
      <c r="D4507" s="26">
        <f>IF(A4507="","",ROUND((A4507-cfgDefasagem/1440)*48,0))</f>
        <v>0</v>
      </c>
      <c r="E4507" s="26">
        <f>IF(D4507="","",INT((D4507-cfgDeslocamento)/4))</f>
        <v>0</v>
      </c>
      <c r="F4507" s="26">
        <f>IF(D4507="","",MOD(D4507-cfgDeslocamento,4)+1)</f>
        <v>0</v>
      </c>
      <c r="G4507" s="26">
        <f>IF(A4507="","",IF(AND(ISNUMBER(B4507),B4507&lt;&gt;0),1,0))</f>
        <v>0</v>
      </c>
      <c r="H4507" s="25">
        <f>IF(E4507="","",(E4507*4+3+cfgDeslocamento)/48)</f>
        <v>0</v>
      </c>
    </row>
    <row r="4508" spans="1:8">
      <c r="A4508" s="24"/>
      <c r="B4508" s="19"/>
      <c r="C4508" s="25">
        <f>IF(D4508="","",D4508/48)</f>
        <v>0</v>
      </c>
      <c r="D4508" s="26">
        <f>IF(A4508="","",ROUND((A4508-cfgDefasagem/1440)*48,0))</f>
        <v>0</v>
      </c>
      <c r="E4508" s="26">
        <f>IF(D4508="","",INT((D4508-cfgDeslocamento)/4))</f>
        <v>0</v>
      </c>
      <c r="F4508" s="26">
        <f>IF(D4508="","",MOD(D4508-cfgDeslocamento,4)+1)</f>
        <v>0</v>
      </c>
      <c r="G4508" s="26">
        <f>IF(A4508="","",IF(AND(ISNUMBER(B4508),B4508&lt;&gt;0),1,0))</f>
        <v>0</v>
      </c>
      <c r="H4508" s="25">
        <f>IF(E4508="","",(E4508*4+3+cfgDeslocamento)/48)</f>
        <v>0</v>
      </c>
    </row>
    <row r="4509" spans="1:8">
      <c r="A4509" s="24"/>
      <c r="B4509" s="19"/>
      <c r="C4509" s="25">
        <f>IF(D4509="","",D4509/48)</f>
        <v>0</v>
      </c>
      <c r="D4509" s="26">
        <f>IF(A4509="","",ROUND((A4509-cfgDefasagem/1440)*48,0))</f>
        <v>0</v>
      </c>
      <c r="E4509" s="26">
        <f>IF(D4509="","",INT((D4509-cfgDeslocamento)/4))</f>
        <v>0</v>
      </c>
      <c r="F4509" s="26">
        <f>IF(D4509="","",MOD(D4509-cfgDeslocamento,4)+1)</f>
        <v>0</v>
      </c>
      <c r="G4509" s="26">
        <f>IF(A4509="","",IF(AND(ISNUMBER(B4509),B4509&lt;&gt;0),1,0))</f>
        <v>0</v>
      </c>
      <c r="H4509" s="25">
        <f>IF(E4509="","",(E4509*4+3+cfgDeslocamento)/48)</f>
        <v>0</v>
      </c>
    </row>
    <row r="4510" spans="1:8">
      <c r="A4510" s="24"/>
      <c r="B4510" s="19"/>
      <c r="C4510" s="25">
        <f>IF(D4510="","",D4510/48)</f>
        <v>0</v>
      </c>
      <c r="D4510" s="26">
        <f>IF(A4510="","",ROUND((A4510-cfgDefasagem/1440)*48,0))</f>
        <v>0</v>
      </c>
      <c r="E4510" s="26">
        <f>IF(D4510="","",INT((D4510-cfgDeslocamento)/4))</f>
        <v>0</v>
      </c>
      <c r="F4510" s="26">
        <f>IF(D4510="","",MOD(D4510-cfgDeslocamento,4)+1)</f>
        <v>0</v>
      </c>
      <c r="G4510" s="26">
        <f>IF(A4510="","",IF(AND(ISNUMBER(B4510),B4510&lt;&gt;0),1,0))</f>
        <v>0</v>
      </c>
      <c r="H4510" s="25">
        <f>IF(E4510="","",(E4510*4+3+cfgDeslocamento)/48)</f>
        <v>0</v>
      </c>
    </row>
    <row r="4511" spans="1:8">
      <c r="A4511" s="24"/>
      <c r="B4511" s="19"/>
      <c r="C4511" s="25">
        <f>IF(D4511="","",D4511/48)</f>
        <v>0</v>
      </c>
      <c r="D4511" s="26">
        <f>IF(A4511="","",ROUND((A4511-cfgDefasagem/1440)*48,0))</f>
        <v>0</v>
      </c>
      <c r="E4511" s="26">
        <f>IF(D4511="","",INT((D4511-cfgDeslocamento)/4))</f>
        <v>0</v>
      </c>
      <c r="F4511" s="26">
        <f>IF(D4511="","",MOD(D4511-cfgDeslocamento,4)+1)</f>
        <v>0</v>
      </c>
      <c r="G4511" s="26">
        <f>IF(A4511="","",IF(AND(ISNUMBER(B4511),B4511&lt;&gt;0),1,0))</f>
        <v>0</v>
      </c>
      <c r="H4511" s="25">
        <f>IF(E4511="","",(E4511*4+3+cfgDeslocamento)/48)</f>
        <v>0</v>
      </c>
    </row>
    <row r="4512" spans="1:8">
      <c r="A4512" s="24"/>
      <c r="B4512" s="19"/>
      <c r="C4512" s="25">
        <f>IF(D4512="","",D4512/48)</f>
        <v>0</v>
      </c>
      <c r="D4512" s="26">
        <f>IF(A4512="","",ROUND((A4512-cfgDefasagem/1440)*48,0))</f>
        <v>0</v>
      </c>
      <c r="E4512" s="26">
        <f>IF(D4512="","",INT((D4512-cfgDeslocamento)/4))</f>
        <v>0</v>
      </c>
      <c r="F4512" s="26">
        <f>IF(D4512="","",MOD(D4512-cfgDeslocamento,4)+1)</f>
        <v>0</v>
      </c>
      <c r="G4512" s="26">
        <f>IF(A4512="","",IF(AND(ISNUMBER(B4512),B4512&lt;&gt;0),1,0))</f>
        <v>0</v>
      </c>
      <c r="H4512" s="25">
        <f>IF(E4512="","",(E4512*4+3+cfgDeslocamento)/48)</f>
        <v>0</v>
      </c>
    </row>
    <row r="4513" spans="1:8">
      <c r="A4513" s="24"/>
      <c r="B4513" s="19"/>
      <c r="C4513" s="25">
        <f>IF(D4513="","",D4513/48)</f>
        <v>0</v>
      </c>
      <c r="D4513" s="26">
        <f>IF(A4513="","",ROUND((A4513-cfgDefasagem/1440)*48,0))</f>
        <v>0</v>
      </c>
      <c r="E4513" s="26">
        <f>IF(D4513="","",INT((D4513-cfgDeslocamento)/4))</f>
        <v>0</v>
      </c>
      <c r="F4513" s="26">
        <f>IF(D4513="","",MOD(D4513-cfgDeslocamento,4)+1)</f>
        <v>0</v>
      </c>
      <c r="G4513" s="26">
        <f>IF(A4513="","",IF(AND(ISNUMBER(B4513),B4513&lt;&gt;0),1,0))</f>
        <v>0</v>
      </c>
      <c r="H4513" s="25">
        <f>IF(E4513="","",(E4513*4+3+cfgDeslocamento)/48)</f>
        <v>0</v>
      </c>
    </row>
    <row r="4514" spans="1:8">
      <c r="A4514" s="24"/>
      <c r="B4514" s="19"/>
      <c r="C4514" s="25">
        <f>IF(D4514="","",D4514/48)</f>
        <v>0</v>
      </c>
      <c r="D4514" s="26">
        <f>IF(A4514="","",ROUND((A4514-cfgDefasagem/1440)*48,0))</f>
        <v>0</v>
      </c>
      <c r="E4514" s="26">
        <f>IF(D4514="","",INT((D4514-cfgDeslocamento)/4))</f>
        <v>0</v>
      </c>
      <c r="F4514" s="26">
        <f>IF(D4514="","",MOD(D4514-cfgDeslocamento,4)+1)</f>
        <v>0</v>
      </c>
      <c r="G4514" s="26">
        <f>IF(A4514="","",IF(AND(ISNUMBER(B4514),B4514&lt;&gt;0),1,0))</f>
        <v>0</v>
      </c>
      <c r="H4514" s="25">
        <f>IF(E4514="","",(E4514*4+3+cfgDeslocamento)/48)</f>
        <v>0</v>
      </c>
    </row>
    <row r="4515" spans="1:8">
      <c r="A4515" s="24"/>
      <c r="B4515" s="19"/>
      <c r="C4515" s="25">
        <f>IF(D4515="","",D4515/48)</f>
        <v>0</v>
      </c>
      <c r="D4515" s="26">
        <f>IF(A4515="","",ROUND((A4515-cfgDefasagem/1440)*48,0))</f>
        <v>0</v>
      </c>
      <c r="E4515" s="26">
        <f>IF(D4515="","",INT((D4515-cfgDeslocamento)/4))</f>
        <v>0</v>
      </c>
      <c r="F4515" s="26">
        <f>IF(D4515="","",MOD(D4515-cfgDeslocamento,4)+1)</f>
        <v>0</v>
      </c>
      <c r="G4515" s="26">
        <f>IF(A4515="","",IF(AND(ISNUMBER(B4515),B4515&lt;&gt;0),1,0))</f>
        <v>0</v>
      </c>
      <c r="H4515" s="25">
        <f>IF(E4515="","",(E4515*4+3+cfgDeslocamento)/48)</f>
        <v>0</v>
      </c>
    </row>
    <row r="4516" spans="1:8">
      <c r="A4516" s="24"/>
      <c r="B4516" s="19"/>
      <c r="C4516" s="25">
        <f>IF(D4516="","",D4516/48)</f>
        <v>0</v>
      </c>
      <c r="D4516" s="26">
        <f>IF(A4516="","",ROUND((A4516-cfgDefasagem/1440)*48,0))</f>
        <v>0</v>
      </c>
      <c r="E4516" s="26">
        <f>IF(D4516="","",INT((D4516-cfgDeslocamento)/4))</f>
        <v>0</v>
      </c>
      <c r="F4516" s="26">
        <f>IF(D4516="","",MOD(D4516-cfgDeslocamento,4)+1)</f>
        <v>0</v>
      </c>
      <c r="G4516" s="26">
        <f>IF(A4516="","",IF(AND(ISNUMBER(B4516),B4516&lt;&gt;0),1,0))</f>
        <v>0</v>
      </c>
      <c r="H4516" s="25">
        <f>IF(E4516="","",(E4516*4+3+cfgDeslocamento)/48)</f>
        <v>0</v>
      </c>
    </row>
    <row r="4517" spans="1:8">
      <c r="A4517" s="24"/>
      <c r="B4517" s="19"/>
      <c r="C4517" s="25">
        <f>IF(D4517="","",D4517/48)</f>
        <v>0</v>
      </c>
      <c r="D4517" s="26">
        <f>IF(A4517="","",ROUND((A4517-cfgDefasagem/1440)*48,0))</f>
        <v>0</v>
      </c>
      <c r="E4517" s="26">
        <f>IF(D4517="","",INT((D4517-cfgDeslocamento)/4))</f>
        <v>0</v>
      </c>
      <c r="F4517" s="26">
        <f>IF(D4517="","",MOD(D4517-cfgDeslocamento,4)+1)</f>
        <v>0</v>
      </c>
      <c r="G4517" s="26">
        <f>IF(A4517="","",IF(AND(ISNUMBER(B4517),B4517&lt;&gt;0),1,0))</f>
        <v>0</v>
      </c>
      <c r="H4517" s="25">
        <f>IF(E4517="","",(E4517*4+3+cfgDeslocamento)/48)</f>
        <v>0</v>
      </c>
    </row>
    <row r="4518" spans="1:8">
      <c r="A4518" s="24"/>
      <c r="B4518" s="19"/>
      <c r="C4518" s="25">
        <f>IF(D4518="","",D4518/48)</f>
        <v>0</v>
      </c>
      <c r="D4518" s="26">
        <f>IF(A4518="","",ROUND((A4518-cfgDefasagem/1440)*48,0))</f>
        <v>0</v>
      </c>
      <c r="E4518" s="26">
        <f>IF(D4518="","",INT((D4518-cfgDeslocamento)/4))</f>
        <v>0</v>
      </c>
      <c r="F4518" s="26">
        <f>IF(D4518="","",MOD(D4518-cfgDeslocamento,4)+1)</f>
        <v>0</v>
      </c>
      <c r="G4518" s="26">
        <f>IF(A4518="","",IF(AND(ISNUMBER(B4518),B4518&lt;&gt;0),1,0))</f>
        <v>0</v>
      </c>
      <c r="H4518" s="25">
        <f>IF(E4518="","",(E4518*4+3+cfgDeslocamento)/48)</f>
        <v>0</v>
      </c>
    </row>
    <row r="4519" spans="1:8">
      <c r="A4519" s="24"/>
      <c r="B4519" s="19"/>
      <c r="C4519" s="25">
        <f>IF(D4519="","",D4519/48)</f>
        <v>0</v>
      </c>
      <c r="D4519" s="26">
        <f>IF(A4519="","",ROUND((A4519-cfgDefasagem/1440)*48,0))</f>
        <v>0</v>
      </c>
      <c r="E4519" s="26">
        <f>IF(D4519="","",INT((D4519-cfgDeslocamento)/4))</f>
        <v>0</v>
      </c>
      <c r="F4519" s="26">
        <f>IF(D4519="","",MOD(D4519-cfgDeslocamento,4)+1)</f>
        <v>0</v>
      </c>
      <c r="G4519" s="26">
        <f>IF(A4519="","",IF(AND(ISNUMBER(B4519),B4519&lt;&gt;0),1,0))</f>
        <v>0</v>
      </c>
      <c r="H4519" s="25">
        <f>IF(E4519="","",(E4519*4+3+cfgDeslocamento)/48)</f>
        <v>0</v>
      </c>
    </row>
    <row r="4520" spans="1:8">
      <c r="A4520" s="24"/>
      <c r="B4520" s="19"/>
      <c r="C4520" s="25">
        <f>IF(D4520="","",D4520/48)</f>
        <v>0</v>
      </c>
      <c r="D4520" s="26">
        <f>IF(A4520="","",ROUND((A4520-cfgDefasagem/1440)*48,0))</f>
        <v>0</v>
      </c>
      <c r="E4520" s="26">
        <f>IF(D4520="","",INT((D4520-cfgDeslocamento)/4))</f>
        <v>0</v>
      </c>
      <c r="F4520" s="26">
        <f>IF(D4520="","",MOD(D4520-cfgDeslocamento,4)+1)</f>
        <v>0</v>
      </c>
      <c r="G4520" s="26">
        <f>IF(A4520="","",IF(AND(ISNUMBER(B4520),B4520&lt;&gt;0),1,0))</f>
        <v>0</v>
      </c>
      <c r="H4520" s="25">
        <f>IF(E4520="","",(E4520*4+3+cfgDeslocamento)/48)</f>
        <v>0</v>
      </c>
    </row>
    <row r="4521" spans="1:8">
      <c r="A4521" s="24"/>
      <c r="B4521" s="19"/>
      <c r="C4521" s="25">
        <f>IF(D4521="","",D4521/48)</f>
        <v>0</v>
      </c>
      <c r="D4521" s="26">
        <f>IF(A4521="","",ROUND((A4521-cfgDefasagem/1440)*48,0))</f>
        <v>0</v>
      </c>
      <c r="E4521" s="26">
        <f>IF(D4521="","",INT((D4521-cfgDeslocamento)/4))</f>
        <v>0</v>
      </c>
      <c r="F4521" s="26">
        <f>IF(D4521="","",MOD(D4521-cfgDeslocamento,4)+1)</f>
        <v>0</v>
      </c>
      <c r="G4521" s="26">
        <f>IF(A4521="","",IF(AND(ISNUMBER(B4521),B4521&lt;&gt;0),1,0))</f>
        <v>0</v>
      </c>
      <c r="H4521" s="25">
        <f>IF(E4521="","",(E4521*4+3+cfgDeslocamento)/48)</f>
        <v>0</v>
      </c>
    </row>
    <row r="4522" spans="1:8">
      <c r="A4522" s="24"/>
      <c r="B4522" s="19"/>
      <c r="C4522" s="25">
        <f>IF(D4522="","",D4522/48)</f>
        <v>0</v>
      </c>
      <c r="D4522" s="26">
        <f>IF(A4522="","",ROUND((A4522-cfgDefasagem/1440)*48,0))</f>
        <v>0</v>
      </c>
      <c r="E4522" s="26">
        <f>IF(D4522="","",INT((D4522-cfgDeslocamento)/4))</f>
        <v>0</v>
      </c>
      <c r="F4522" s="26">
        <f>IF(D4522="","",MOD(D4522-cfgDeslocamento,4)+1)</f>
        <v>0</v>
      </c>
      <c r="G4522" s="26">
        <f>IF(A4522="","",IF(AND(ISNUMBER(B4522),B4522&lt;&gt;0),1,0))</f>
        <v>0</v>
      </c>
      <c r="H4522" s="25">
        <f>IF(E4522="","",(E4522*4+3+cfgDeslocamento)/48)</f>
        <v>0</v>
      </c>
    </row>
    <row r="4523" spans="1:8">
      <c r="A4523" s="24"/>
      <c r="B4523" s="19"/>
      <c r="C4523" s="25">
        <f>IF(D4523="","",D4523/48)</f>
        <v>0</v>
      </c>
      <c r="D4523" s="26">
        <f>IF(A4523="","",ROUND((A4523-cfgDefasagem/1440)*48,0))</f>
        <v>0</v>
      </c>
      <c r="E4523" s="26">
        <f>IF(D4523="","",INT((D4523-cfgDeslocamento)/4))</f>
        <v>0</v>
      </c>
      <c r="F4523" s="26">
        <f>IF(D4523="","",MOD(D4523-cfgDeslocamento,4)+1)</f>
        <v>0</v>
      </c>
      <c r="G4523" s="26">
        <f>IF(A4523="","",IF(AND(ISNUMBER(B4523),B4523&lt;&gt;0),1,0))</f>
        <v>0</v>
      </c>
      <c r="H4523" s="25">
        <f>IF(E4523="","",(E4523*4+3+cfgDeslocamento)/48)</f>
        <v>0</v>
      </c>
    </row>
    <row r="4524" spans="1:8">
      <c r="A4524" s="24"/>
      <c r="B4524" s="19"/>
      <c r="C4524" s="25">
        <f>IF(D4524="","",D4524/48)</f>
        <v>0</v>
      </c>
      <c r="D4524" s="26">
        <f>IF(A4524="","",ROUND((A4524-cfgDefasagem/1440)*48,0))</f>
        <v>0</v>
      </c>
      <c r="E4524" s="26">
        <f>IF(D4524="","",INT((D4524-cfgDeslocamento)/4))</f>
        <v>0</v>
      </c>
      <c r="F4524" s="26">
        <f>IF(D4524="","",MOD(D4524-cfgDeslocamento,4)+1)</f>
        <v>0</v>
      </c>
      <c r="G4524" s="26">
        <f>IF(A4524="","",IF(AND(ISNUMBER(B4524),B4524&lt;&gt;0),1,0))</f>
        <v>0</v>
      </c>
      <c r="H4524" s="25">
        <f>IF(E4524="","",(E4524*4+3+cfgDeslocamento)/48)</f>
        <v>0</v>
      </c>
    </row>
    <row r="4525" spans="1:8">
      <c r="A4525" s="24"/>
      <c r="B4525" s="19"/>
      <c r="C4525" s="25">
        <f>IF(D4525="","",D4525/48)</f>
        <v>0</v>
      </c>
      <c r="D4525" s="26">
        <f>IF(A4525="","",ROUND((A4525-cfgDefasagem/1440)*48,0))</f>
        <v>0</v>
      </c>
      <c r="E4525" s="26">
        <f>IF(D4525="","",INT((D4525-cfgDeslocamento)/4))</f>
        <v>0</v>
      </c>
      <c r="F4525" s="26">
        <f>IF(D4525="","",MOD(D4525-cfgDeslocamento,4)+1)</f>
        <v>0</v>
      </c>
      <c r="G4525" s="26">
        <f>IF(A4525="","",IF(AND(ISNUMBER(B4525),B4525&lt;&gt;0),1,0))</f>
        <v>0</v>
      </c>
      <c r="H4525" s="25">
        <f>IF(E4525="","",(E4525*4+3+cfgDeslocamento)/48)</f>
        <v>0</v>
      </c>
    </row>
    <row r="4526" spans="1:8">
      <c r="A4526" s="24"/>
      <c r="B4526" s="19"/>
      <c r="C4526" s="25">
        <f>IF(D4526="","",D4526/48)</f>
        <v>0</v>
      </c>
      <c r="D4526" s="26">
        <f>IF(A4526="","",ROUND((A4526-cfgDefasagem/1440)*48,0))</f>
        <v>0</v>
      </c>
      <c r="E4526" s="26">
        <f>IF(D4526="","",INT((D4526-cfgDeslocamento)/4))</f>
        <v>0</v>
      </c>
      <c r="F4526" s="26">
        <f>IF(D4526="","",MOD(D4526-cfgDeslocamento,4)+1)</f>
        <v>0</v>
      </c>
      <c r="G4526" s="26">
        <f>IF(A4526="","",IF(AND(ISNUMBER(B4526),B4526&lt;&gt;0),1,0))</f>
        <v>0</v>
      </c>
      <c r="H4526" s="25">
        <f>IF(E4526="","",(E4526*4+3+cfgDeslocamento)/48)</f>
        <v>0</v>
      </c>
    </row>
    <row r="4527" spans="1:8">
      <c r="A4527" s="24"/>
      <c r="B4527" s="19"/>
      <c r="C4527" s="25">
        <f>IF(D4527="","",D4527/48)</f>
        <v>0</v>
      </c>
      <c r="D4527" s="26">
        <f>IF(A4527="","",ROUND((A4527-cfgDefasagem/1440)*48,0))</f>
        <v>0</v>
      </c>
      <c r="E4527" s="26">
        <f>IF(D4527="","",INT((D4527-cfgDeslocamento)/4))</f>
        <v>0</v>
      </c>
      <c r="F4527" s="26">
        <f>IF(D4527="","",MOD(D4527-cfgDeslocamento,4)+1)</f>
        <v>0</v>
      </c>
      <c r="G4527" s="26">
        <f>IF(A4527="","",IF(AND(ISNUMBER(B4527),B4527&lt;&gt;0),1,0))</f>
        <v>0</v>
      </c>
      <c r="H4527" s="25">
        <f>IF(E4527="","",(E4527*4+3+cfgDeslocamento)/48)</f>
        <v>0</v>
      </c>
    </row>
    <row r="4528" spans="1:8">
      <c r="A4528" s="24"/>
      <c r="B4528" s="19"/>
      <c r="C4528" s="25">
        <f>IF(D4528="","",D4528/48)</f>
        <v>0</v>
      </c>
      <c r="D4528" s="26">
        <f>IF(A4528="","",ROUND((A4528-cfgDefasagem/1440)*48,0))</f>
        <v>0</v>
      </c>
      <c r="E4528" s="26">
        <f>IF(D4528="","",INT((D4528-cfgDeslocamento)/4))</f>
        <v>0</v>
      </c>
      <c r="F4528" s="26">
        <f>IF(D4528="","",MOD(D4528-cfgDeslocamento,4)+1)</f>
        <v>0</v>
      </c>
      <c r="G4528" s="26">
        <f>IF(A4528="","",IF(AND(ISNUMBER(B4528),B4528&lt;&gt;0),1,0))</f>
        <v>0</v>
      </c>
      <c r="H4528" s="25">
        <f>IF(E4528="","",(E4528*4+3+cfgDeslocamento)/48)</f>
        <v>0</v>
      </c>
    </row>
    <row r="4529" spans="1:8">
      <c r="A4529" s="24"/>
      <c r="B4529" s="19"/>
      <c r="C4529" s="25">
        <f>IF(D4529="","",D4529/48)</f>
        <v>0</v>
      </c>
      <c r="D4529" s="26">
        <f>IF(A4529="","",ROUND((A4529-cfgDefasagem/1440)*48,0))</f>
        <v>0</v>
      </c>
      <c r="E4529" s="26">
        <f>IF(D4529="","",INT((D4529-cfgDeslocamento)/4))</f>
        <v>0</v>
      </c>
      <c r="F4529" s="26">
        <f>IF(D4529="","",MOD(D4529-cfgDeslocamento,4)+1)</f>
        <v>0</v>
      </c>
      <c r="G4529" s="26">
        <f>IF(A4529="","",IF(AND(ISNUMBER(B4529),B4529&lt;&gt;0),1,0))</f>
        <v>0</v>
      </c>
      <c r="H4529" s="25">
        <f>IF(E4529="","",(E4529*4+3+cfgDeslocamento)/48)</f>
        <v>0</v>
      </c>
    </row>
    <row r="4530" spans="1:8">
      <c r="A4530" s="24"/>
      <c r="B4530" s="19"/>
      <c r="C4530" s="25">
        <f>IF(D4530="","",D4530/48)</f>
        <v>0</v>
      </c>
      <c r="D4530" s="26">
        <f>IF(A4530="","",ROUND((A4530-cfgDefasagem/1440)*48,0))</f>
        <v>0</v>
      </c>
      <c r="E4530" s="26">
        <f>IF(D4530="","",INT((D4530-cfgDeslocamento)/4))</f>
        <v>0</v>
      </c>
      <c r="F4530" s="26">
        <f>IF(D4530="","",MOD(D4530-cfgDeslocamento,4)+1)</f>
        <v>0</v>
      </c>
      <c r="G4530" s="26">
        <f>IF(A4530="","",IF(AND(ISNUMBER(B4530),B4530&lt;&gt;0),1,0))</f>
        <v>0</v>
      </c>
      <c r="H4530" s="25">
        <f>IF(E4530="","",(E4530*4+3+cfgDeslocamento)/48)</f>
        <v>0</v>
      </c>
    </row>
    <row r="4531" spans="1:8">
      <c r="A4531" s="24"/>
      <c r="B4531" s="19"/>
      <c r="C4531" s="25">
        <f>IF(D4531="","",D4531/48)</f>
        <v>0</v>
      </c>
      <c r="D4531" s="26">
        <f>IF(A4531="","",ROUND((A4531-cfgDefasagem/1440)*48,0))</f>
        <v>0</v>
      </c>
      <c r="E4531" s="26">
        <f>IF(D4531="","",INT((D4531-cfgDeslocamento)/4))</f>
        <v>0</v>
      </c>
      <c r="F4531" s="26">
        <f>IF(D4531="","",MOD(D4531-cfgDeslocamento,4)+1)</f>
        <v>0</v>
      </c>
      <c r="G4531" s="26">
        <f>IF(A4531="","",IF(AND(ISNUMBER(B4531),B4531&lt;&gt;0),1,0))</f>
        <v>0</v>
      </c>
      <c r="H4531" s="25">
        <f>IF(E4531="","",(E4531*4+3+cfgDeslocamento)/48)</f>
        <v>0</v>
      </c>
    </row>
    <row r="4532" spans="1:8">
      <c r="A4532" s="24"/>
      <c r="B4532" s="19"/>
      <c r="C4532" s="25">
        <f>IF(D4532="","",D4532/48)</f>
        <v>0</v>
      </c>
      <c r="D4532" s="26">
        <f>IF(A4532="","",ROUND((A4532-cfgDefasagem/1440)*48,0))</f>
        <v>0</v>
      </c>
      <c r="E4532" s="26">
        <f>IF(D4532="","",INT((D4532-cfgDeslocamento)/4))</f>
        <v>0</v>
      </c>
      <c r="F4532" s="26">
        <f>IF(D4532="","",MOD(D4532-cfgDeslocamento,4)+1)</f>
        <v>0</v>
      </c>
      <c r="G4532" s="26">
        <f>IF(A4532="","",IF(AND(ISNUMBER(B4532),B4532&lt;&gt;0),1,0))</f>
        <v>0</v>
      </c>
      <c r="H4532" s="25">
        <f>IF(E4532="","",(E4532*4+3+cfgDeslocamento)/48)</f>
        <v>0</v>
      </c>
    </row>
    <row r="4533" spans="1:8">
      <c r="A4533" s="24"/>
      <c r="B4533" s="19"/>
      <c r="C4533" s="25">
        <f>IF(D4533="","",D4533/48)</f>
        <v>0</v>
      </c>
      <c r="D4533" s="26">
        <f>IF(A4533="","",ROUND((A4533-cfgDefasagem/1440)*48,0))</f>
        <v>0</v>
      </c>
      <c r="E4533" s="26">
        <f>IF(D4533="","",INT((D4533-cfgDeslocamento)/4))</f>
        <v>0</v>
      </c>
      <c r="F4533" s="26">
        <f>IF(D4533="","",MOD(D4533-cfgDeslocamento,4)+1)</f>
        <v>0</v>
      </c>
      <c r="G4533" s="26">
        <f>IF(A4533="","",IF(AND(ISNUMBER(B4533),B4533&lt;&gt;0),1,0))</f>
        <v>0</v>
      </c>
      <c r="H4533" s="25">
        <f>IF(E4533="","",(E4533*4+3+cfgDeslocamento)/48)</f>
        <v>0</v>
      </c>
    </row>
    <row r="4534" spans="1:8">
      <c r="A4534" s="24"/>
      <c r="B4534" s="19"/>
      <c r="C4534" s="25">
        <f>IF(D4534="","",D4534/48)</f>
        <v>0</v>
      </c>
      <c r="D4534" s="26">
        <f>IF(A4534="","",ROUND((A4534-cfgDefasagem/1440)*48,0))</f>
        <v>0</v>
      </c>
      <c r="E4534" s="26">
        <f>IF(D4534="","",INT((D4534-cfgDeslocamento)/4))</f>
        <v>0</v>
      </c>
      <c r="F4534" s="26">
        <f>IF(D4534="","",MOD(D4534-cfgDeslocamento,4)+1)</f>
        <v>0</v>
      </c>
      <c r="G4534" s="26">
        <f>IF(A4534="","",IF(AND(ISNUMBER(B4534),B4534&lt;&gt;0),1,0))</f>
        <v>0</v>
      </c>
      <c r="H4534" s="25">
        <f>IF(E4534="","",(E4534*4+3+cfgDeslocamento)/48)</f>
        <v>0</v>
      </c>
    </row>
    <row r="4535" spans="1:8">
      <c r="A4535" s="24"/>
      <c r="B4535" s="19"/>
      <c r="C4535" s="25">
        <f>IF(D4535="","",D4535/48)</f>
        <v>0</v>
      </c>
      <c r="D4535" s="26">
        <f>IF(A4535="","",ROUND((A4535-cfgDefasagem/1440)*48,0))</f>
        <v>0</v>
      </c>
      <c r="E4535" s="26">
        <f>IF(D4535="","",INT((D4535-cfgDeslocamento)/4))</f>
        <v>0</v>
      </c>
      <c r="F4535" s="26">
        <f>IF(D4535="","",MOD(D4535-cfgDeslocamento,4)+1)</f>
        <v>0</v>
      </c>
      <c r="G4535" s="26">
        <f>IF(A4535="","",IF(AND(ISNUMBER(B4535),B4535&lt;&gt;0),1,0))</f>
        <v>0</v>
      </c>
      <c r="H4535" s="25">
        <f>IF(E4535="","",(E4535*4+3+cfgDeslocamento)/48)</f>
        <v>0</v>
      </c>
    </row>
    <row r="4536" spans="1:8">
      <c r="A4536" s="24"/>
      <c r="B4536" s="19"/>
      <c r="C4536" s="25">
        <f>IF(D4536="","",D4536/48)</f>
        <v>0</v>
      </c>
      <c r="D4536" s="26">
        <f>IF(A4536="","",ROUND((A4536-cfgDefasagem/1440)*48,0))</f>
        <v>0</v>
      </c>
      <c r="E4536" s="26">
        <f>IF(D4536="","",INT((D4536-cfgDeslocamento)/4))</f>
        <v>0</v>
      </c>
      <c r="F4536" s="26">
        <f>IF(D4536="","",MOD(D4536-cfgDeslocamento,4)+1)</f>
        <v>0</v>
      </c>
      <c r="G4536" s="26">
        <f>IF(A4536="","",IF(AND(ISNUMBER(B4536),B4536&lt;&gt;0),1,0))</f>
        <v>0</v>
      </c>
      <c r="H4536" s="25">
        <f>IF(E4536="","",(E4536*4+3+cfgDeslocamento)/48)</f>
        <v>0</v>
      </c>
    </row>
    <row r="4537" spans="1:8">
      <c r="A4537" s="24"/>
      <c r="B4537" s="19"/>
      <c r="C4537" s="25">
        <f>IF(D4537="","",D4537/48)</f>
        <v>0</v>
      </c>
      <c r="D4537" s="26">
        <f>IF(A4537="","",ROUND((A4537-cfgDefasagem/1440)*48,0))</f>
        <v>0</v>
      </c>
      <c r="E4537" s="26">
        <f>IF(D4537="","",INT((D4537-cfgDeslocamento)/4))</f>
        <v>0</v>
      </c>
      <c r="F4537" s="26">
        <f>IF(D4537="","",MOD(D4537-cfgDeslocamento,4)+1)</f>
        <v>0</v>
      </c>
      <c r="G4537" s="26">
        <f>IF(A4537="","",IF(AND(ISNUMBER(B4537),B4537&lt;&gt;0),1,0))</f>
        <v>0</v>
      </c>
      <c r="H4537" s="25">
        <f>IF(E4537="","",(E4537*4+3+cfgDeslocamento)/48)</f>
        <v>0</v>
      </c>
    </row>
    <row r="4538" spans="1:8">
      <c r="A4538" s="24"/>
      <c r="B4538" s="19"/>
      <c r="C4538" s="25">
        <f>IF(D4538="","",D4538/48)</f>
        <v>0</v>
      </c>
      <c r="D4538" s="26">
        <f>IF(A4538="","",ROUND((A4538-cfgDefasagem/1440)*48,0))</f>
        <v>0</v>
      </c>
      <c r="E4538" s="26">
        <f>IF(D4538="","",INT((D4538-cfgDeslocamento)/4))</f>
        <v>0</v>
      </c>
      <c r="F4538" s="26">
        <f>IF(D4538="","",MOD(D4538-cfgDeslocamento,4)+1)</f>
        <v>0</v>
      </c>
      <c r="G4538" s="26">
        <f>IF(A4538="","",IF(AND(ISNUMBER(B4538),B4538&lt;&gt;0),1,0))</f>
        <v>0</v>
      </c>
      <c r="H4538" s="25">
        <f>IF(E4538="","",(E4538*4+3+cfgDeslocamento)/48)</f>
        <v>0</v>
      </c>
    </row>
    <row r="4539" spans="1:8">
      <c r="A4539" s="24"/>
      <c r="B4539" s="19"/>
      <c r="C4539" s="25">
        <f>IF(D4539="","",D4539/48)</f>
        <v>0</v>
      </c>
      <c r="D4539" s="26">
        <f>IF(A4539="","",ROUND((A4539-cfgDefasagem/1440)*48,0))</f>
        <v>0</v>
      </c>
      <c r="E4539" s="26">
        <f>IF(D4539="","",INT((D4539-cfgDeslocamento)/4))</f>
        <v>0</v>
      </c>
      <c r="F4539" s="26">
        <f>IF(D4539="","",MOD(D4539-cfgDeslocamento,4)+1)</f>
        <v>0</v>
      </c>
      <c r="G4539" s="26">
        <f>IF(A4539="","",IF(AND(ISNUMBER(B4539),B4539&lt;&gt;0),1,0))</f>
        <v>0</v>
      </c>
      <c r="H4539" s="25">
        <f>IF(E4539="","",(E4539*4+3+cfgDeslocamento)/48)</f>
        <v>0</v>
      </c>
    </row>
    <row r="4540" spans="1:8">
      <c r="A4540" s="24"/>
      <c r="B4540" s="19"/>
      <c r="C4540" s="25">
        <f>IF(D4540="","",D4540/48)</f>
        <v>0</v>
      </c>
      <c r="D4540" s="26">
        <f>IF(A4540="","",ROUND((A4540-cfgDefasagem/1440)*48,0))</f>
        <v>0</v>
      </c>
      <c r="E4540" s="26">
        <f>IF(D4540="","",INT((D4540-cfgDeslocamento)/4))</f>
        <v>0</v>
      </c>
      <c r="F4540" s="26">
        <f>IF(D4540="","",MOD(D4540-cfgDeslocamento,4)+1)</f>
        <v>0</v>
      </c>
      <c r="G4540" s="26">
        <f>IF(A4540="","",IF(AND(ISNUMBER(B4540),B4540&lt;&gt;0),1,0))</f>
        <v>0</v>
      </c>
      <c r="H4540" s="25">
        <f>IF(E4540="","",(E4540*4+3+cfgDeslocamento)/48)</f>
        <v>0</v>
      </c>
    </row>
    <row r="4541" spans="1:8">
      <c r="A4541" s="24"/>
      <c r="B4541" s="19"/>
      <c r="C4541" s="25">
        <f>IF(D4541="","",D4541/48)</f>
        <v>0</v>
      </c>
      <c r="D4541" s="26">
        <f>IF(A4541="","",ROUND((A4541-cfgDefasagem/1440)*48,0))</f>
        <v>0</v>
      </c>
      <c r="E4541" s="26">
        <f>IF(D4541="","",INT((D4541-cfgDeslocamento)/4))</f>
        <v>0</v>
      </c>
      <c r="F4541" s="26">
        <f>IF(D4541="","",MOD(D4541-cfgDeslocamento,4)+1)</f>
        <v>0</v>
      </c>
      <c r="G4541" s="26">
        <f>IF(A4541="","",IF(AND(ISNUMBER(B4541),B4541&lt;&gt;0),1,0))</f>
        <v>0</v>
      </c>
      <c r="H4541" s="25">
        <f>IF(E4541="","",(E4541*4+3+cfgDeslocamento)/48)</f>
        <v>0</v>
      </c>
    </row>
    <row r="4542" spans="1:8">
      <c r="A4542" s="24"/>
      <c r="B4542" s="19"/>
      <c r="C4542" s="25">
        <f>IF(D4542="","",D4542/48)</f>
        <v>0</v>
      </c>
      <c r="D4542" s="26">
        <f>IF(A4542="","",ROUND((A4542-cfgDefasagem/1440)*48,0))</f>
        <v>0</v>
      </c>
      <c r="E4542" s="26">
        <f>IF(D4542="","",INT((D4542-cfgDeslocamento)/4))</f>
        <v>0</v>
      </c>
      <c r="F4542" s="26">
        <f>IF(D4542="","",MOD(D4542-cfgDeslocamento,4)+1)</f>
        <v>0</v>
      </c>
      <c r="G4542" s="26">
        <f>IF(A4542="","",IF(AND(ISNUMBER(B4542),B4542&lt;&gt;0),1,0))</f>
        <v>0</v>
      </c>
      <c r="H4542" s="25">
        <f>IF(E4542="","",(E4542*4+3+cfgDeslocamento)/48)</f>
        <v>0</v>
      </c>
    </row>
    <row r="4543" spans="1:8">
      <c r="A4543" s="24"/>
      <c r="B4543" s="19"/>
      <c r="C4543" s="25">
        <f>IF(D4543="","",D4543/48)</f>
        <v>0</v>
      </c>
      <c r="D4543" s="26">
        <f>IF(A4543="","",ROUND((A4543-cfgDefasagem/1440)*48,0))</f>
        <v>0</v>
      </c>
      <c r="E4543" s="26">
        <f>IF(D4543="","",INT((D4543-cfgDeslocamento)/4))</f>
        <v>0</v>
      </c>
      <c r="F4543" s="26">
        <f>IF(D4543="","",MOD(D4543-cfgDeslocamento,4)+1)</f>
        <v>0</v>
      </c>
      <c r="G4543" s="26">
        <f>IF(A4543="","",IF(AND(ISNUMBER(B4543),B4543&lt;&gt;0),1,0))</f>
        <v>0</v>
      </c>
      <c r="H4543" s="25">
        <f>IF(E4543="","",(E4543*4+3+cfgDeslocamento)/48)</f>
        <v>0</v>
      </c>
    </row>
    <row r="4544" spans="1:8">
      <c r="A4544" s="24"/>
      <c r="B4544" s="19"/>
      <c r="C4544" s="25">
        <f>IF(D4544="","",D4544/48)</f>
        <v>0</v>
      </c>
      <c r="D4544" s="26">
        <f>IF(A4544="","",ROUND((A4544-cfgDefasagem/1440)*48,0))</f>
        <v>0</v>
      </c>
      <c r="E4544" s="26">
        <f>IF(D4544="","",INT((D4544-cfgDeslocamento)/4))</f>
        <v>0</v>
      </c>
      <c r="F4544" s="26">
        <f>IF(D4544="","",MOD(D4544-cfgDeslocamento,4)+1)</f>
        <v>0</v>
      </c>
      <c r="G4544" s="26">
        <f>IF(A4544="","",IF(AND(ISNUMBER(B4544),B4544&lt;&gt;0),1,0))</f>
        <v>0</v>
      </c>
      <c r="H4544" s="25">
        <f>IF(E4544="","",(E4544*4+3+cfgDeslocamento)/48)</f>
        <v>0</v>
      </c>
    </row>
    <row r="4545" spans="1:8">
      <c r="A4545" s="24"/>
      <c r="B4545" s="19"/>
      <c r="C4545" s="25">
        <f>IF(D4545="","",D4545/48)</f>
        <v>0</v>
      </c>
      <c r="D4545" s="26">
        <f>IF(A4545="","",ROUND((A4545-cfgDefasagem/1440)*48,0))</f>
        <v>0</v>
      </c>
      <c r="E4545" s="26">
        <f>IF(D4545="","",INT((D4545-cfgDeslocamento)/4))</f>
        <v>0</v>
      </c>
      <c r="F4545" s="26">
        <f>IF(D4545="","",MOD(D4545-cfgDeslocamento,4)+1)</f>
        <v>0</v>
      </c>
      <c r="G4545" s="26">
        <f>IF(A4545="","",IF(AND(ISNUMBER(B4545),B4545&lt;&gt;0),1,0))</f>
        <v>0</v>
      </c>
      <c r="H4545" s="25">
        <f>IF(E4545="","",(E4545*4+3+cfgDeslocamento)/48)</f>
        <v>0</v>
      </c>
    </row>
    <row r="4546" spans="1:8">
      <c r="A4546" s="24"/>
      <c r="B4546" s="19"/>
      <c r="C4546" s="25">
        <f>IF(D4546="","",D4546/48)</f>
        <v>0</v>
      </c>
      <c r="D4546" s="26">
        <f>IF(A4546="","",ROUND((A4546-cfgDefasagem/1440)*48,0))</f>
        <v>0</v>
      </c>
      <c r="E4546" s="26">
        <f>IF(D4546="","",INT((D4546-cfgDeslocamento)/4))</f>
        <v>0</v>
      </c>
      <c r="F4546" s="26">
        <f>IF(D4546="","",MOD(D4546-cfgDeslocamento,4)+1)</f>
        <v>0</v>
      </c>
      <c r="G4546" s="26">
        <f>IF(A4546="","",IF(AND(ISNUMBER(B4546),B4546&lt;&gt;0),1,0))</f>
        <v>0</v>
      </c>
      <c r="H4546" s="25">
        <f>IF(E4546="","",(E4546*4+3+cfgDeslocamento)/48)</f>
        <v>0</v>
      </c>
    </row>
    <row r="4547" spans="1:8">
      <c r="A4547" s="24"/>
      <c r="B4547" s="19"/>
      <c r="C4547" s="25">
        <f>IF(D4547="","",D4547/48)</f>
        <v>0</v>
      </c>
      <c r="D4547" s="26">
        <f>IF(A4547="","",ROUND((A4547-cfgDefasagem/1440)*48,0))</f>
        <v>0</v>
      </c>
      <c r="E4547" s="26">
        <f>IF(D4547="","",INT((D4547-cfgDeslocamento)/4))</f>
        <v>0</v>
      </c>
      <c r="F4547" s="26">
        <f>IF(D4547="","",MOD(D4547-cfgDeslocamento,4)+1)</f>
        <v>0</v>
      </c>
      <c r="G4547" s="26">
        <f>IF(A4547="","",IF(AND(ISNUMBER(B4547),B4547&lt;&gt;0),1,0))</f>
        <v>0</v>
      </c>
      <c r="H4547" s="25">
        <f>IF(E4547="","",(E4547*4+3+cfgDeslocamento)/48)</f>
        <v>0</v>
      </c>
    </row>
    <row r="4548" spans="1:8">
      <c r="A4548" s="24"/>
      <c r="B4548" s="19"/>
      <c r="C4548" s="25">
        <f>IF(D4548="","",D4548/48)</f>
        <v>0</v>
      </c>
      <c r="D4548" s="26">
        <f>IF(A4548="","",ROUND((A4548-cfgDefasagem/1440)*48,0))</f>
        <v>0</v>
      </c>
      <c r="E4548" s="26">
        <f>IF(D4548="","",INT((D4548-cfgDeslocamento)/4))</f>
        <v>0</v>
      </c>
      <c r="F4548" s="26">
        <f>IF(D4548="","",MOD(D4548-cfgDeslocamento,4)+1)</f>
        <v>0</v>
      </c>
      <c r="G4548" s="26">
        <f>IF(A4548="","",IF(AND(ISNUMBER(B4548),B4548&lt;&gt;0),1,0))</f>
        <v>0</v>
      </c>
      <c r="H4548" s="25">
        <f>IF(E4548="","",(E4548*4+3+cfgDeslocamento)/48)</f>
        <v>0</v>
      </c>
    </row>
    <row r="4549" spans="1:8">
      <c r="A4549" s="24"/>
      <c r="B4549" s="19"/>
      <c r="C4549" s="25">
        <f>IF(D4549="","",D4549/48)</f>
        <v>0</v>
      </c>
      <c r="D4549" s="26">
        <f>IF(A4549="","",ROUND((A4549-cfgDefasagem/1440)*48,0))</f>
        <v>0</v>
      </c>
      <c r="E4549" s="26">
        <f>IF(D4549="","",INT((D4549-cfgDeslocamento)/4))</f>
        <v>0</v>
      </c>
      <c r="F4549" s="26">
        <f>IF(D4549="","",MOD(D4549-cfgDeslocamento,4)+1)</f>
        <v>0</v>
      </c>
      <c r="G4549" s="26">
        <f>IF(A4549="","",IF(AND(ISNUMBER(B4549),B4549&lt;&gt;0),1,0))</f>
        <v>0</v>
      </c>
      <c r="H4549" s="25">
        <f>IF(E4549="","",(E4549*4+3+cfgDeslocamento)/48)</f>
        <v>0</v>
      </c>
    </row>
    <row r="4550" spans="1:8">
      <c r="A4550" s="24"/>
      <c r="B4550" s="19"/>
      <c r="C4550" s="25">
        <f>IF(D4550="","",D4550/48)</f>
        <v>0</v>
      </c>
      <c r="D4550" s="26">
        <f>IF(A4550="","",ROUND((A4550-cfgDefasagem/1440)*48,0))</f>
        <v>0</v>
      </c>
      <c r="E4550" s="26">
        <f>IF(D4550="","",INT((D4550-cfgDeslocamento)/4))</f>
        <v>0</v>
      </c>
      <c r="F4550" s="26">
        <f>IF(D4550="","",MOD(D4550-cfgDeslocamento,4)+1)</f>
        <v>0</v>
      </c>
      <c r="G4550" s="26">
        <f>IF(A4550="","",IF(AND(ISNUMBER(B4550),B4550&lt;&gt;0),1,0))</f>
        <v>0</v>
      </c>
      <c r="H4550" s="25">
        <f>IF(E4550="","",(E4550*4+3+cfgDeslocamento)/48)</f>
        <v>0</v>
      </c>
    </row>
    <row r="4551" spans="1:8">
      <c r="A4551" s="24"/>
      <c r="B4551" s="19"/>
      <c r="C4551" s="25">
        <f>IF(D4551="","",D4551/48)</f>
        <v>0</v>
      </c>
      <c r="D4551" s="26">
        <f>IF(A4551="","",ROUND((A4551-cfgDefasagem/1440)*48,0))</f>
        <v>0</v>
      </c>
      <c r="E4551" s="26">
        <f>IF(D4551="","",INT((D4551-cfgDeslocamento)/4))</f>
        <v>0</v>
      </c>
      <c r="F4551" s="26">
        <f>IF(D4551="","",MOD(D4551-cfgDeslocamento,4)+1)</f>
        <v>0</v>
      </c>
      <c r="G4551" s="26">
        <f>IF(A4551="","",IF(AND(ISNUMBER(B4551),B4551&lt;&gt;0),1,0))</f>
        <v>0</v>
      </c>
      <c r="H4551" s="25">
        <f>IF(E4551="","",(E4551*4+3+cfgDeslocamento)/48)</f>
        <v>0</v>
      </c>
    </row>
    <row r="4552" spans="1:8">
      <c r="A4552" s="24"/>
      <c r="B4552" s="19"/>
      <c r="C4552" s="25">
        <f>IF(D4552="","",D4552/48)</f>
        <v>0</v>
      </c>
      <c r="D4552" s="26">
        <f>IF(A4552="","",ROUND((A4552-cfgDefasagem/1440)*48,0))</f>
        <v>0</v>
      </c>
      <c r="E4552" s="26">
        <f>IF(D4552="","",INT((D4552-cfgDeslocamento)/4))</f>
        <v>0</v>
      </c>
      <c r="F4552" s="26">
        <f>IF(D4552="","",MOD(D4552-cfgDeslocamento,4)+1)</f>
        <v>0</v>
      </c>
      <c r="G4552" s="26">
        <f>IF(A4552="","",IF(AND(ISNUMBER(B4552),B4552&lt;&gt;0),1,0))</f>
        <v>0</v>
      </c>
      <c r="H4552" s="25">
        <f>IF(E4552="","",(E4552*4+3+cfgDeslocamento)/48)</f>
        <v>0</v>
      </c>
    </row>
    <row r="4553" spans="1:8">
      <c r="A4553" s="24"/>
      <c r="B4553" s="19"/>
      <c r="C4553" s="25">
        <f>IF(D4553="","",D4553/48)</f>
        <v>0</v>
      </c>
      <c r="D4553" s="26">
        <f>IF(A4553="","",ROUND((A4553-cfgDefasagem/1440)*48,0))</f>
        <v>0</v>
      </c>
      <c r="E4553" s="26">
        <f>IF(D4553="","",INT((D4553-cfgDeslocamento)/4))</f>
        <v>0</v>
      </c>
      <c r="F4553" s="26">
        <f>IF(D4553="","",MOD(D4553-cfgDeslocamento,4)+1)</f>
        <v>0</v>
      </c>
      <c r="G4553" s="26">
        <f>IF(A4553="","",IF(AND(ISNUMBER(B4553),B4553&lt;&gt;0),1,0))</f>
        <v>0</v>
      </c>
      <c r="H4553" s="25">
        <f>IF(E4553="","",(E4553*4+3+cfgDeslocamento)/48)</f>
        <v>0</v>
      </c>
    </row>
    <row r="4554" spans="1:8">
      <c r="A4554" s="24"/>
      <c r="B4554" s="19"/>
      <c r="C4554" s="25">
        <f>IF(D4554="","",D4554/48)</f>
        <v>0</v>
      </c>
      <c r="D4554" s="26">
        <f>IF(A4554="","",ROUND((A4554-cfgDefasagem/1440)*48,0))</f>
        <v>0</v>
      </c>
      <c r="E4554" s="26">
        <f>IF(D4554="","",INT((D4554-cfgDeslocamento)/4))</f>
        <v>0</v>
      </c>
      <c r="F4554" s="26">
        <f>IF(D4554="","",MOD(D4554-cfgDeslocamento,4)+1)</f>
        <v>0</v>
      </c>
      <c r="G4554" s="26">
        <f>IF(A4554="","",IF(AND(ISNUMBER(B4554),B4554&lt;&gt;0),1,0))</f>
        <v>0</v>
      </c>
      <c r="H4554" s="25">
        <f>IF(E4554="","",(E4554*4+3+cfgDeslocamento)/48)</f>
        <v>0</v>
      </c>
    </row>
    <row r="4555" spans="1:8">
      <c r="A4555" s="24"/>
      <c r="B4555" s="19"/>
      <c r="C4555" s="25">
        <f>IF(D4555="","",D4555/48)</f>
        <v>0</v>
      </c>
      <c r="D4555" s="26">
        <f>IF(A4555="","",ROUND((A4555-cfgDefasagem/1440)*48,0))</f>
        <v>0</v>
      </c>
      <c r="E4555" s="26">
        <f>IF(D4555="","",INT((D4555-cfgDeslocamento)/4))</f>
        <v>0</v>
      </c>
      <c r="F4555" s="26">
        <f>IF(D4555="","",MOD(D4555-cfgDeslocamento,4)+1)</f>
        <v>0</v>
      </c>
      <c r="G4555" s="26">
        <f>IF(A4555="","",IF(AND(ISNUMBER(B4555),B4555&lt;&gt;0),1,0))</f>
        <v>0</v>
      </c>
      <c r="H4555" s="25">
        <f>IF(E4555="","",(E4555*4+3+cfgDeslocamento)/48)</f>
        <v>0</v>
      </c>
    </row>
    <row r="4556" spans="1:8">
      <c r="A4556" s="24"/>
      <c r="B4556" s="19"/>
      <c r="C4556" s="25">
        <f>IF(D4556="","",D4556/48)</f>
        <v>0</v>
      </c>
      <c r="D4556" s="26">
        <f>IF(A4556="","",ROUND((A4556-cfgDefasagem/1440)*48,0))</f>
        <v>0</v>
      </c>
      <c r="E4556" s="26">
        <f>IF(D4556="","",INT((D4556-cfgDeslocamento)/4))</f>
        <v>0</v>
      </c>
      <c r="F4556" s="26">
        <f>IF(D4556="","",MOD(D4556-cfgDeslocamento,4)+1)</f>
        <v>0</v>
      </c>
      <c r="G4556" s="26">
        <f>IF(A4556="","",IF(AND(ISNUMBER(B4556),B4556&lt;&gt;0),1,0))</f>
        <v>0</v>
      </c>
      <c r="H4556" s="25">
        <f>IF(E4556="","",(E4556*4+3+cfgDeslocamento)/48)</f>
        <v>0</v>
      </c>
    </row>
    <row r="4557" spans="1:8">
      <c r="A4557" s="24"/>
      <c r="B4557" s="19"/>
      <c r="C4557" s="25">
        <f>IF(D4557="","",D4557/48)</f>
        <v>0</v>
      </c>
      <c r="D4557" s="26">
        <f>IF(A4557="","",ROUND((A4557-cfgDefasagem/1440)*48,0))</f>
        <v>0</v>
      </c>
      <c r="E4557" s="26">
        <f>IF(D4557="","",INT((D4557-cfgDeslocamento)/4))</f>
        <v>0</v>
      </c>
      <c r="F4557" s="26">
        <f>IF(D4557="","",MOD(D4557-cfgDeslocamento,4)+1)</f>
        <v>0</v>
      </c>
      <c r="G4557" s="26">
        <f>IF(A4557="","",IF(AND(ISNUMBER(B4557),B4557&lt;&gt;0),1,0))</f>
        <v>0</v>
      </c>
      <c r="H4557" s="25">
        <f>IF(E4557="","",(E4557*4+3+cfgDeslocamento)/48)</f>
        <v>0</v>
      </c>
    </row>
    <row r="4558" spans="1:8">
      <c r="A4558" s="24"/>
      <c r="B4558" s="19"/>
      <c r="C4558" s="25">
        <f>IF(D4558="","",D4558/48)</f>
        <v>0</v>
      </c>
      <c r="D4558" s="26">
        <f>IF(A4558="","",ROUND((A4558-cfgDefasagem/1440)*48,0))</f>
        <v>0</v>
      </c>
      <c r="E4558" s="26">
        <f>IF(D4558="","",INT((D4558-cfgDeslocamento)/4))</f>
        <v>0</v>
      </c>
      <c r="F4558" s="26">
        <f>IF(D4558="","",MOD(D4558-cfgDeslocamento,4)+1)</f>
        <v>0</v>
      </c>
      <c r="G4558" s="26">
        <f>IF(A4558="","",IF(AND(ISNUMBER(B4558),B4558&lt;&gt;0),1,0))</f>
        <v>0</v>
      </c>
      <c r="H4558" s="25">
        <f>IF(E4558="","",(E4558*4+3+cfgDeslocamento)/48)</f>
        <v>0</v>
      </c>
    </row>
    <row r="4559" spans="1:8">
      <c r="A4559" s="24"/>
      <c r="B4559" s="19"/>
      <c r="C4559" s="25">
        <f>IF(D4559="","",D4559/48)</f>
        <v>0</v>
      </c>
      <c r="D4559" s="26">
        <f>IF(A4559="","",ROUND((A4559-cfgDefasagem/1440)*48,0))</f>
        <v>0</v>
      </c>
      <c r="E4559" s="26">
        <f>IF(D4559="","",INT((D4559-cfgDeslocamento)/4))</f>
        <v>0</v>
      </c>
      <c r="F4559" s="26">
        <f>IF(D4559="","",MOD(D4559-cfgDeslocamento,4)+1)</f>
        <v>0</v>
      </c>
      <c r="G4559" s="26">
        <f>IF(A4559="","",IF(AND(ISNUMBER(B4559),B4559&lt;&gt;0),1,0))</f>
        <v>0</v>
      </c>
      <c r="H4559" s="25">
        <f>IF(E4559="","",(E4559*4+3+cfgDeslocamento)/48)</f>
        <v>0</v>
      </c>
    </row>
    <row r="4560" spans="1:8">
      <c r="A4560" s="24"/>
      <c r="B4560" s="19"/>
      <c r="C4560" s="25">
        <f>IF(D4560="","",D4560/48)</f>
        <v>0</v>
      </c>
      <c r="D4560" s="26">
        <f>IF(A4560="","",ROUND((A4560-cfgDefasagem/1440)*48,0))</f>
        <v>0</v>
      </c>
      <c r="E4560" s="26">
        <f>IF(D4560="","",INT((D4560-cfgDeslocamento)/4))</f>
        <v>0</v>
      </c>
      <c r="F4560" s="26">
        <f>IF(D4560="","",MOD(D4560-cfgDeslocamento,4)+1)</f>
        <v>0</v>
      </c>
      <c r="G4560" s="26">
        <f>IF(A4560="","",IF(AND(ISNUMBER(B4560),B4560&lt;&gt;0),1,0))</f>
        <v>0</v>
      </c>
      <c r="H4560" s="25">
        <f>IF(E4560="","",(E4560*4+3+cfgDeslocamento)/48)</f>
        <v>0</v>
      </c>
    </row>
    <row r="4561" spans="1:8">
      <c r="A4561" s="24"/>
      <c r="B4561" s="19"/>
      <c r="C4561" s="25">
        <f>IF(D4561="","",D4561/48)</f>
        <v>0</v>
      </c>
      <c r="D4561" s="26">
        <f>IF(A4561="","",ROUND((A4561-cfgDefasagem/1440)*48,0))</f>
        <v>0</v>
      </c>
      <c r="E4561" s="26">
        <f>IF(D4561="","",INT((D4561-cfgDeslocamento)/4))</f>
        <v>0</v>
      </c>
      <c r="F4561" s="26">
        <f>IF(D4561="","",MOD(D4561-cfgDeslocamento,4)+1)</f>
        <v>0</v>
      </c>
      <c r="G4561" s="26">
        <f>IF(A4561="","",IF(AND(ISNUMBER(B4561),B4561&lt;&gt;0),1,0))</f>
        <v>0</v>
      </c>
      <c r="H4561" s="25">
        <f>IF(E4561="","",(E4561*4+3+cfgDeslocamento)/48)</f>
        <v>0</v>
      </c>
    </row>
    <row r="4562" spans="1:8">
      <c r="A4562" s="24"/>
      <c r="B4562" s="19"/>
      <c r="C4562" s="25">
        <f>IF(D4562="","",D4562/48)</f>
        <v>0</v>
      </c>
      <c r="D4562" s="26">
        <f>IF(A4562="","",ROUND((A4562-cfgDefasagem/1440)*48,0))</f>
        <v>0</v>
      </c>
      <c r="E4562" s="26">
        <f>IF(D4562="","",INT((D4562-cfgDeslocamento)/4))</f>
        <v>0</v>
      </c>
      <c r="F4562" s="26">
        <f>IF(D4562="","",MOD(D4562-cfgDeslocamento,4)+1)</f>
        <v>0</v>
      </c>
      <c r="G4562" s="26">
        <f>IF(A4562="","",IF(AND(ISNUMBER(B4562),B4562&lt;&gt;0),1,0))</f>
        <v>0</v>
      </c>
      <c r="H4562" s="25">
        <f>IF(E4562="","",(E4562*4+3+cfgDeslocamento)/48)</f>
        <v>0</v>
      </c>
    </row>
    <row r="4563" spans="1:8">
      <c r="A4563" s="24"/>
      <c r="B4563" s="19"/>
      <c r="C4563" s="25">
        <f>IF(D4563="","",D4563/48)</f>
        <v>0</v>
      </c>
      <c r="D4563" s="26">
        <f>IF(A4563="","",ROUND((A4563-cfgDefasagem/1440)*48,0))</f>
        <v>0</v>
      </c>
      <c r="E4563" s="26">
        <f>IF(D4563="","",INT((D4563-cfgDeslocamento)/4))</f>
        <v>0</v>
      </c>
      <c r="F4563" s="26">
        <f>IF(D4563="","",MOD(D4563-cfgDeslocamento,4)+1)</f>
        <v>0</v>
      </c>
      <c r="G4563" s="26">
        <f>IF(A4563="","",IF(AND(ISNUMBER(B4563),B4563&lt;&gt;0),1,0))</f>
        <v>0</v>
      </c>
      <c r="H4563" s="25">
        <f>IF(E4563="","",(E4563*4+3+cfgDeslocamento)/48)</f>
        <v>0</v>
      </c>
    </row>
    <row r="4564" spans="1:8">
      <c r="A4564" s="24"/>
      <c r="B4564" s="19"/>
      <c r="C4564" s="25">
        <f>IF(D4564="","",D4564/48)</f>
        <v>0</v>
      </c>
      <c r="D4564" s="26">
        <f>IF(A4564="","",ROUND((A4564-cfgDefasagem/1440)*48,0))</f>
        <v>0</v>
      </c>
      <c r="E4564" s="26">
        <f>IF(D4564="","",INT((D4564-cfgDeslocamento)/4))</f>
        <v>0</v>
      </c>
      <c r="F4564" s="26">
        <f>IF(D4564="","",MOD(D4564-cfgDeslocamento,4)+1)</f>
        <v>0</v>
      </c>
      <c r="G4564" s="26">
        <f>IF(A4564="","",IF(AND(ISNUMBER(B4564),B4564&lt;&gt;0),1,0))</f>
        <v>0</v>
      </c>
      <c r="H4564" s="25">
        <f>IF(E4564="","",(E4564*4+3+cfgDeslocamento)/48)</f>
        <v>0</v>
      </c>
    </row>
    <row r="4565" spans="1:8">
      <c r="A4565" s="24"/>
      <c r="B4565" s="19"/>
      <c r="C4565" s="25">
        <f>IF(D4565="","",D4565/48)</f>
        <v>0</v>
      </c>
      <c r="D4565" s="26">
        <f>IF(A4565="","",ROUND((A4565-cfgDefasagem/1440)*48,0))</f>
        <v>0</v>
      </c>
      <c r="E4565" s="26">
        <f>IF(D4565="","",INT((D4565-cfgDeslocamento)/4))</f>
        <v>0</v>
      </c>
      <c r="F4565" s="26">
        <f>IF(D4565="","",MOD(D4565-cfgDeslocamento,4)+1)</f>
        <v>0</v>
      </c>
      <c r="G4565" s="26">
        <f>IF(A4565="","",IF(AND(ISNUMBER(B4565),B4565&lt;&gt;0),1,0))</f>
        <v>0</v>
      </c>
      <c r="H4565" s="25">
        <f>IF(E4565="","",(E4565*4+3+cfgDeslocamento)/48)</f>
        <v>0</v>
      </c>
    </row>
    <row r="4566" spans="1:8">
      <c r="A4566" s="24"/>
      <c r="B4566" s="19"/>
      <c r="C4566" s="25">
        <f>IF(D4566="","",D4566/48)</f>
        <v>0</v>
      </c>
      <c r="D4566" s="26">
        <f>IF(A4566="","",ROUND((A4566-cfgDefasagem/1440)*48,0))</f>
        <v>0</v>
      </c>
      <c r="E4566" s="26">
        <f>IF(D4566="","",INT((D4566-cfgDeslocamento)/4))</f>
        <v>0</v>
      </c>
      <c r="F4566" s="26">
        <f>IF(D4566="","",MOD(D4566-cfgDeslocamento,4)+1)</f>
        <v>0</v>
      </c>
      <c r="G4566" s="26">
        <f>IF(A4566="","",IF(AND(ISNUMBER(B4566),B4566&lt;&gt;0),1,0))</f>
        <v>0</v>
      </c>
      <c r="H4566" s="25">
        <f>IF(E4566="","",(E4566*4+3+cfgDeslocamento)/48)</f>
        <v>0</v>
      </c>
    </row>
    <row r="4567" spans="1:8">
      <c r="A4567" s="24"/>
      <c r="B4567" s="19"/>
      <c r="C4567" s="25">
        <f>IF(D4567="","",D4567/48)</f>
        <v>0</v>
      </c>
      <c r="D4567" s="26">
        <f>IF(A4567="","",ROUND((A4567-cfgDefasagem/1440)*48,0))</f>
        <v>0</v>
      </c>
      <c r="E4567" s="26">
        <f>IF(D4567="","",INT((D4567-cfgDeslocamento)/4))</f>
        <v>0</v>
      </c>
      <c r="F4567" s="26">
        <f>IF(D4567="","",MOD(D4567-cfgDeslocamento,4)+1)</f>
        <v>0</v>
      </c>
      <c r="G4567" s="26">
        <f>IF(A4567="","",IF(AND(ISNUMBER(B4567),B4567&lt;&gt;0),1,0))</f>
        <v>0</v>
      </c>
      <c r="H4567" s="25">
        <f>IF(E4567="","",(E4567*4+3+cfgDeslocamento)/48)</f>
        <v>0</v>
      </c>
    </row>
    <row r="4568" spans="1:8">
      <c r="A4568" s="24"/>
      <c r="B4568" s="19"/>
      <c r="C4568" s="25">
        <f>IF(D4568="","",D4568/48)</f>
        <v>0</v>
      </c>
      <c r="D4568" s="26">
        <f>IF(A4568="","",ROUND((A4568-cfgDefasagem/1440)*48,0))</f>
        <v>0</v>
      </c>
      <c r="E4568" s="26">
        <f>IF(D4568="","",INT((D4568-cfgDeslocamento)/4))</f>
        <v>0</v>
      </c>
      <c r="F4568" s="26">
        <f>IF(D4568="","",MOD(D4568-cfgDeslocamento,4)+1)</f>
        <v>0</v>
      </c>
      <c r="G4568" s="26">
        <f>IF(A4568="","",IF(AND(ISNUMBER(B4568),B4568&lt;&gt;0),1,0))</f>
        <v>0</v>
      </c>
      <c r="H4568" s="25">
        <f>IF(E4568="","",(E4568*4+3+cfgDeslocamento)/48)</f>
        <v>0</v>
      </c>
    </row>
    <row r="4569" spans="1:8">
      <c r="A4569" s="24"/>
      <c r="B4569" s="19"/>
      <c r="C4569" s="25">
        <f>IF(D4569="","",D4569/48)</f>
        <v>0</v>
      </c>
      <c r="D4569" s="26">
        <f>IF(A4569="","",ROUND((A4569-cfgDefasagem/1440)*48,0))</f>
        <v>0</v>
      </c>
      <c r="E4569" s="26">
        <f>IF(D4569="","",INT((D4569-cfgDeslocamento)/4))</f>
        <v>0</v>
      </c>
      <c r="F4569" s="26">
        <f>IF(D4569="","",MOD(D4569-cfgDeslocamento,4)+1)</f>
        <v>0</v>
      </c>
      <c r="G4569" s="26">
        <f>IF(A4569="","",IF(AND(ISNUMBER(B4569),B4569&lt;&gt;0),1,0))</f>
        <v>0</v>
      </c>
      <c r="H4569" s="25">
        <f>IF(E4569="","",(E4569*4+3+cfgDeslocamento)/48)</f>
        <v>0</v>
      </c>
    </row>
    <row r="4570" spans="1:8">
      <c r="A4570" s="24"/>
      <c r="B4570" s="19"/>
      <c r="C4570" s="25">
        <f>IF(D4570="","",D4570/48)</f>
        <v>0</v>
      </c>
      <c r="D4570" s="26">
        <f>IF(A4570="","",ROUND((A4570-cfgDefasagem/1440)*48,0))</f>
        <v>0</v>
      </c>
      <c r="E4570" s="26">
        <f>IF(D4570="","",INT((D4570-cfgDeslocamento)/4))</f>
        <v>0</v>
      </c>
      <c r="F4570" s="26">
        <f>IF(D4570="","",MOD(D4570-cfgDeslocamento,4)+1)</f>
        <v>0</v>
      </c>
      <c r="G4570" s="26">
        <f>IF(A4570="","",IF(AND(ISNUMBER(B4570),B4570&lt;&gt;0),1,0))</f>
        <v>0</v>
      </c>
      <c r="H4570" s="25">
        <f>IF(E4570="","",(E4570*4+3+cfgDeslocamento)/48)</f>
        <v>0</v>
      </c>
    </row>
    <row r="4571" spans="1:8">
      <c r="A4571" s="24"/>
      <c r="B4571" s="19"/>
      <c r="C4571" s="25">
        <f>IF(D4571="","",D4571/48)</f>
        <v>0</v>
      </c>
      <c r="D4571" s="26">
        <f>IF(A4571="","",ROUND((A4571-cfgDefasagem/1440)*48,0))</f>
        <v>0</v>
      </c>
      <c r="E4571" s="26">
        <f>IF(D4571="","",INT((D4571-cfgDeslocamento)/4))</f>
        <v>0</v>
      </c>
      <c r="F4571" s="26">
        <f>IF(D4571="","",MOD(D4571-cfgDeslocamento,4)+1)</f>
        <v>0</v>
      </c>
      <c r="G4571" s="26">
        <f>IF(A4571="","",IF(AND(ISNUMBER(B4571),B4571&lt;&gt;0),1,0))</f>
        <v>0</v>
      </c>
      <c r="H4571" s="25">
        <f>IF(E4571="","",(E4571*4+3+cfgDeslocamento)/48)</f>
        <v>0</v>
      </c>
    </row>
    <row r="4572" spans="1:8">
      <c r="A4572" s="24"/>
      <c r="B4572" s="19"/>
      <c r="C4572" s="25">
        <f>IF(D4572="","",D4572/48)</f>
        <v>0</v>
      </c>
      <c r="D4572" s="26">
        <f>IF(A4572="","",ROUND((A4572-cfgDefasagem/1440)*48,0))</f>
        <v>0</v>
      </c>
      <c r="E4572" s="26">
        <f>IF(D4572="","",INT((D4572-cfgDeslocamento)/4))</f>
        <v>0</v>
      </c>
      <c r="F4572" s="26">
        <f>IF(D4572="","",MOD(D4572-cfgDeslocamento,4)+1)</f>
        <v>0</v>
      </c>
      <c r="G4572" s="26">
        <f>IF(A4572="","",IF(AND(ISNUMBER(B4572),B4572&lt;&gt;0),1,0))</f>
        <v>0</v>
      </c>
      <c r="H4572" s="25">
        <f>IF(E4572="","",(E4572*4+3+cfgDeslocamento)/48)</f>
        <v>0</v>
      </c>
    </row>
    <row r="4573" spans="1:8">
      <c r="A4573" s="24"/>
      <c r="B4573" s="19"/>
      <c r="C4573" s="25">
        <f>IF(D4573="","",D4573/48)</f>
        <v>0</v>
      </c>
      <c r="D4573" s="26">
        <f>IF(A4573="","",ROUND((A4573-cfgDefasagem/1440)*48,0))</f>
        <v>0</v>
      </c>
      <c r="E4573" s="26">
        <f>IF(D4573="","",INT((D4573-cfgDeslocamento)/4))</f>
        <v>0</v>
      </c>
      <c r="F4573" s="26">
        <f>IF(D4573="","",MOD(D4573-cfgDeslocamento,4)+1)</f>
        <v>0</v>
      </c>
      <c r="G4573" s="26">
        <f>IF(A4573="","",IF(AND(ISNUMBER(B4573),B4573&lt;&gt;0),1,0))</f>
        <v>0</v>
      </c>
      <c r="H4573" s="25">
        <f>IF(E4573="","",(E4573*4+3+cfgDeslocamento)/48)</f>
        <v>0</v>
      </c>
    </row>
    <row r="4574" spans="1:8">
      <c r="A4574" s="24"/>
      <c r="B4574" s="19"/>
      <c r="C4574" s="25">
        <f>IF(D4574="","",D4574/48)</f>
        <v>0</v>
      </c>
      <c r="D4574" s="26">
        <f>IF(A4574="","",ROUND((A4574-cfgDefasagem/1440)*48,0))</f>
        <v>0</v>
      </c>
      <c r="E4574" s="26">
        <f>IF(D4574="","",INT((D4574-cfgDeslocamento)/4))</f>
        <v>0</v>
      </c>
      <c r="F4574" s="26">
        <f>IF(D4574="","",MOD(D4574-cfgDeslocamento,4)+1)</f>
        <v>0</v>
      </c>
      <c r="G4574" s="26">
        <f>IF(A4574="","",IF(AND(ISNUMBER(B4574),B4574&lt;&gt;0),1,0))</f>
        <v>0</v>
      </c>
      <c r="H4574" s="25">
        <f>IF(E4574="","",(E4574*4+3+cfgDeslocamento)/48)</f>
        <v>0</v>
      </c>
    </row>
    <row r="4575" spans="1:8">
      <c r="A4575" s="24"/>
      <c r="B4575" s="19"/>
      <c r="C4575" s="25">
        <f>IF(D4575="","",D4575/48)</f>
        <v>0</v>
      </c>
      <c r="D4575" s="26">
        <f>IF(A4575="","",ROUND((A4575-cfgDefasagem/1440)*48,0))</f>
        <v>0</v>
      </c>
      <c r="E4575" s="26">
        <f>IF(D4575="","",INT((D4575-cfgDeslocamento)/4))</f>
        <v>0</v>
      </c>
      <c r="F4575" s="26">
        <f>IF(D4575="","",MOD(D4575-cfgDeslocamento,4)+1)</f>
        <v>0</v>
      </c>
      <c r="G4575" s="26">
        <f>IF(A4575="","",IF(AND(ISNUMBER(B4575),B4575&lt;&gt;0),1,0))</f>
        <v>0</v>
      </c>
      <c r="H4575" s="25">
        <f>IF(E4575="","",(E4575*4+3+cfgDeslocamento)/48)</f>
        <v>0</v>
      </c>
    </row>
    <row r="4576" spans="1:8">
      <c r="A4576" s="24"/>
      <c r="B4576" s="19"/>
      <c r="C4576" s="25">
        <f>IF(D4576="","",D4576/48)</f>
        <v>0</v>
      </c>
      <c r="D4576" s="26">
        <f>IF(A4576="","",ROUND((A4576-cfgDefasagem/1440)*48,0))</f>
        <v>0</v>
      </c>
      <c r="E4576" s="26">
        <f>IF(D4576="","",INT((D4576-cfgDeslocamento)/4))</f>
        <v>0</v>
      </c>
      <c r="F4576" s="26">
        <f>IF(D4576="","",MOD(D4576-cfgDeslocamento,4)+1)</f>
        <v>0</v>
      </c>
      <c r="G4576" s="26">
        <f>IF(A4576="","",IF(AND(ISNUMBER(B4576),B4576&lt;&gt;0),1,0))</f>
        <v>0</v>
      </c>
      <c r="H4576" s="25">
        <f>IF(E4576="","",(E4576*4+3+cfgDeslocamento)/48)</f>
        <v>0</v>
      </c>
    </row>
    <row r="4577" spans="1:8">
      <c r="A4577" s="24"/>
      <c r="B4577" s="19"/>
      <c r="C4577" s="25">
        <f>IF(D4577="","",D4577/48)</f>
        <v>0</v>
      </c>
      <c r="D4577" s="26">
        <f>IF(A4577="","",ROUND((A4577-cfgDefasagem/1440)*48,0))</f>
        <v>0</v>
      </c>
      <c r="E4577" s="26">
        <f>IF(D4577="","",INT((D4577-cfgDeslocamento)/4))</f>
        <v>0</v>
      </c>
      <c r="F4577" s="26">
        <f>IF(D4577="","",MOD(D4577-cfgDeslocamento,4)+1)</f>
        <v>0</v>
      </c>
      <c r="G4577" s="26">
        <f>IF(A4577="","",IF(AND(ISNUMBER(B4577),B4577&lt;&gt;0),1,0))</f>
        <v>0</v>
      </c>
      <c r="H4577" s="25">
        <f>IF(E4577="","",(E4577*4+3+cfgDeslocamento)/48)</f>
        <v>0</v>
      </c>
    </row>
    <row r="4578" spans="1:8">
      <c r="A4578" s="24"/>
      <c r="B4578" s="19"/>
      <c r="C4578" s="25">
        <f>IF(D4578="","",D4578/48)</f>
        <v>0</v>
      </c>
      <c r="D4578" s="26">
        <f>IF(A4578="","",ROUND((A4578-cfgDefasagem/1440)*48,0))</f>
        <v>0</v>
      </c>
      <c r="E4578" s="26">
        <f>IF(D4578="","",INT((D4578-cfgDeslocamento)/4))</f>
        <v>0</v>
      </c>
      <c r="F4578" s="26">
        <f>IF(D4578="","",MOD(D4578-cfgDeslocamento,4)+1)</f>
        <v>0</v>
      </c>
      <c r="G4578" s="26">
        <f>IF(A4578="","",IF(AND(ISNUMBER(B4578),B4578&lt;&gt;0),1,0))</f>
        <v>0</v>
      </c>
      <c r="H4578" s="25">
        <f>IF(E4578="","",(E4578*4+3+cfgDeslocamento)/48)</f>
        <v>0</v>
      </c>
    </row>
    <row r="4579" spans="1:8">
      <c r="A4579" s="24"/>
      <c r="B4579" s="19"/>
      <c r="C4579" s="25">
        <f>IF(D4579="","",D4579/48)</f>
        <v>0</v>
      </c>
      <c r="D4579" s="26">
        <f>IF(A4579="","",ROUND((A4579-cfgDefasagem/1440)*48,0))</f>
        <v>0</v>
      </c>
      <c r="E4579" s="26">
        <f>IF(D4579="","",INT((D4579-cfgDeslocamento)/4))</f>
        <v>0</v>
      </c>
      <c r="F4579" s="26">
        <f>IF(D4579="","",MOD(D4579-cfgDeslocamento,4)+1)</f>
        <v>0</v>
      </c>
      <c r="G4579" s="26">
        <f>IF(A4579="","",IF(AND(ISNUMBER(B4579),B4579&lt;&gt;0),1,0))</f>
        <v>0</v>
      </c>
      <c r="H4579" s="25">
        <f>IF(E4579="","",(E4579*4+3+cfgDeslocamento)/48)</f>
        <v>0</v>
      </c>
    </row>
    <row r="4580" spans="1:8">
      <c r="A4580" s="24"/>
      <c r="B4580" s="19"/>
      <c r="C4580" s="25">
        <f>IF(D4580="","",D4580/48)</f>
        <v>0</v>
      </c>
      <c r="D4580" s="26">
        <f>IF(A4580="","",ROUND((A4580-cfgDefasagem/1440)*48,0))</f>
        <v>0</v>
      </c>
      <c r="E4580" s="26">
        <f>IF(D4580="","",INT((D4580-cfgDeslocamento)/4))</f>
        <v>0</v>
      </c>
      <c r="F4580" s="26">
        <f>IF(D4580="","",MOD(D4580-cfgDeslocamento,4)+1)</f>
        <v>0</v>
      </c>
      <c r="G4580" s="26">
        <f>IF(A4580="","",IF(AND(ISNUMBER(B4580),B4580&lt;&gt;0),1,0))</f>
        <v>0</v>
      </c>
      <c r="H4580" s="25">
        <f>IF(E4580="","",(E4580*4+3+cfgDeslocamento)/48)</f>
        <v>0</v>
      </c>
    </row>
    <row r="4581" spans="1:8">
      <c r="A4581" s="24"/>
      <c r="B4581" s="19"/>
      <c r="C4581" s="25">
        <f>IF(D4581="","",D4581/48)</f>
        <v>0</v>
      </c>
      <c r="D4581" s="26">
        <f>IF(A4581="","",ROUND((A4581-cfgDefasagem/1440)*48,0))</f>
        <v>0</v>
      </c>
      <c r="E4581" s="26">
        <f>IF(D4581="","",INT((D4581-cfgDeslocamento)/4))</f>
        <v>0</v>
      </c>
      <c r="F4581" s="26">
        <f>IF(D4581="","",MOD(D4581-cfgDeslocamento,4)+1)</f>
        <v>0</v>
      </c>
      <c r="G4581" s="26">
        <f>IF(A4581="","",IF(AND(ISNUMBER(B4581),B4581&lt;&gt;0),1,0))</f>
        <v>0</v>
      </c>
      <c r="H4581" s="25">
        <f>IF(E4581="","",(E4581*4+3+cfgDeslocamento)/48)</f>
        <v>0</v>
      </c>
    </row>
    <row r="4582" spans="1:8">
      <c r="A4582" s="24"/>
      <c r="B4582" s="19"/>
      <c r="C4582" s="25">
        <f>IF(D4582="","",D4582/48)</f>
        <v>0</v>
      </c>
      <c r="D4582" s="26">
        <f>IF(A4582="","",ROUND((A4582-cfgDefasagem/1440)*48,0))</f>
        <v>0</v>
      </c>
      <c r="E4582" s="26">
        <f>IF(D4582="","",INT((D4582-cfgDeslocamento)/4))</f>
        <v>0</v>
      </c>
      <c r="F4582" s="26">
        <f>IF(D4582="","",MOD(D4582-cfgDeslocamento,4)+1)</f>
        <v>0</v>
      </c>
      <c r="G4582" s="26">
        <f>IF(A4582="","",IF(AND(ISNUMBER(B4582),B4582&lt;&gt;0),1,0))</f>
        <v>0</v>
      </c>
      <c r="H4582" s="25">
        <f>IF(E4582="","",(E4582*4+3+cfgDeslocamento)/48)</f>
        <v>0</v>
      </c>
    </row>
    <row r="4583" spans="1:8">
      <c r="A4583" s="24"/>
      <c r="B4583" s="19"/>
      <c r="C4583" s="25">
        <f>IF(D4583="","",D4583/48)</f>
        <v>0</v>
      </c>
      <c r="D4583" s="26">
        <f>IF(A4583="","",ROUND((A4583-cfgDefasagem/1440)*48,0))</f>
        <v>0</v>
      </c>
      <c r="E4583" s="26">
        <f>IF(D4583="","",INT((D4583-cfgDeslocamento)/4))</f>
        <v>0</v>
      </c>
      <c r="F4583" s="26">
        <f>IF(D4583="","",MOD(D4583-cfgDeslocamento,4)+1)</f>
        <v>0</v>
      </c>
      <c r="G4583" s="26">
        <f>IF(A4583="","",IF(AND(ISNUMBER(B4583),B4583&lt;&gt;0),1,0))</f>
        <v>0</v>
      </c>
      <c r="H4583" s="25">
        <f>IF(E4583="","",(E4583*4+3+cfgDeslocamento)/48)</f>
        <v>0</v>
      </c>
    </row>
    <row r="4584" spans="1:8">
      <c r="A4584" s="24"/>
      <c r="B4584" s="19"/>
      <c r="C4584" s="25">
        <f>IF(D4584="","",D4584/48)</f>
        <v>0</v>
      </c>
      <c r="D4584" s="26">
        <f>IF(A4584="","",ROUND((A4584-cfgDefasagem/1440)*48,0))</f>
        <v>0</v>
      </c>
      <c r="E4584" s="26">
        <f>IF(D4584="","",INT((D4584-cfgDeslocamento)/4))</f>
        <v>0</v>
      </c>
      <c r="F4584" s="26">
        <f>IF(D4584="","",MOD(D4584-cfgDeslocamento,4)+1)</f>
        <v>0</v>
      </c>
      <c r="G4584" s="26">
        <f>IF(A4584="","",IF(AND(ISNUMBER(B4584),B4584&lt;&gt;0),1,0))</f>
        <v>0</v>
      </c>
      <c r="H4584" s="25">
        <f>IF(E4584="","",(E4584*4+3+cfgDeslocamento)/48)</f>
        <v>0</v>
      </c>
    </row>
    <row r="4585" spans="1:8">
      <c r="A4585" s="24"/>
      <c r="B4585" s="19"/>
      <c r="C4585" s="25">
        <f>IF(D4585="","",D4585/48)</f>
        <v>0</v>
      </c>
      <c r="D4585" s="26">
        <f>IF(A4585="","",ROUND((A4585-cfgDefasagem/1440)*48,0))</f>
        <v>0</v>
      </c>
      <c r="E4585" s="26">
        <f>IF(D4585="","",INT((D4585-cfgDeslocamento)/4))</f>
        <v>0</v>
      </c>
      <c r="F4585" s="26">
        <f>IF(D4585="","",MOD(D4585-cfgDeslocamento,4)+1)</f>
        <v>0</v>
      </c>
      <c r="G4585" s="26">
        <f>IF(A4585="","",IF(AND(ISNUMBER(B4585),B4585&lt;&gt;0),1,0))</f>
        <v>0</v>
      </c>
      <c r="H4585" s="25">
        <f>IF(E4585="","",(E4585*4+3+cfgDeslocamento)/48)</f>
        <v>0</v>
      </c>
    </row>
    <row r="4586" spans="1:8">
      <c r="A4586" s="24"/>
      <c r="B4586" s="19"/>
      <c r="C4586" s="25">
        <f>IF(D4586="","",D4586/48)</f>
        <v>0</v>
      </c>
      <c r="D4586" s="26">
        <f>IF(A4586="","",ROUND((A4586-cfgDefasagem/1440)*48,0))</f>
        <v>0</v>
      </c>
      <c r="E4586" s="26">
        <f>IF(D4586="","",INT((D4586-cfgDeslocamento)/4))</f>
        <v>0</v>
      </c>
      <c r="F4586" s="26">
        <f>IF(D4586="","",MOD(D4586-cfgDeslocamento,4)+1)</f>
        <v>0</v>
      </c>
      <c r="G4586" s="26">
        <f>IF(A4586="","",IF(AND(ISNUMBER(B4586),B4586&lt;&gt;0),1,0))</f>
        <v>0</v>
      </c>
      <c r="H4586" s="25">
        <f>IF(E4586="","",(E4586*4+3+cfgDeslocamento)/48)</f>
        <v>0</v>
      </c>
    </row>
    <row r="4587" spans="1:8">
      <c r="A4587" s="24"/>
      <c r="B4587" s="19"/>
      <c r="C4587" s="25">
        <f>IF(D4587="","",D4587/48)</f>
        <v>0</v>
      </c>
      <c r="D4587" s="26">
        <f>IF(A4587="","",ROUND((A4587-cfgDefasagem/1440)*48,0))</f>
        <v>0</v>
      </c>
      <c r="E4587" s="26">
        <f>IF(D4587="","",INT((D4587-cfgDeslocamento)/4))</f>
        <v>0</v>
      </c>
      <c r="F4587" s="26">
        <f>IF(D4587="","",MOD(D4587-cfgDeslocamento,4)+1)</f>
        <v>0</v>
      </c>
      <c r="G4587" s="26">
        <f>IF(A4587="","",IF(AND(ISNUMBER(B4587),B4587&lt;&gt;0),1,0))</f>
        <v>0</v>
      </c>
      <c r="H4587" s="25">
        <f>IF(E4587="","",(E4587*4+3+cfgDeslocamento)/48)</f>
        <v>0</v>
      </c>
    </row>
    <row r="4588" spans="1:8">
      <c r="A4588" s="24"/>
      <c r="B4588" s="19"/>
      <c r="C4588" s="25">
        <f>IF(D4588="","",D4588/48)</f>
        <v>0</v>
      </c>
      <c r="D4588" s="26">
        <f>IF(A4588="","",ROUND((A4588-cfgDefasagem/1440)*48,0))</f>
        <v>0</v>
      </c>
      <c r="E4588" s="26">
        <f>IF(D4588="","",INT((D4588-cfgDeslocamento)/4))</f>
        <v>0</v>
      </c>
      <c r="F4588" s="26">
        <f>IF(D4588="","",MOD(D4588-cfgDeslocamento,4)+1)</f>
        <v>0</v>
      </c>
      <c r="G4588" s="26">
        <f>IF(A4588="","",IF(AND(ISNUMBER(B4588),B4588&lt;&gt;0),1,0))</f>
        <v>0</v>
      </c>
      <c r="H4588" s="25">
        <f>IF(E4588="","",(E4588*4+3+cfgDeslocamento)/48)</f>
        <v>0</v>
      </c>
    </row>
    <row r="4589" spans="1:8">
      <c r="A4589" s="24"/>
      <c r="B4589" s="19"/>
      <c r="C4589" s="25">
        <f>IF(D4589="","",D4589/48)</f>
        <v>0</v>
      </c>
      <c r="D4589" s="26">
        <f>IF(A4589="","",ROUND((A4589-cfgDefasagem/1440)*48,0))</f>
        <v>0</v>
      </c>
      <c r="E4589" s="26">
        <f>IF(D4589="","",INT((D4589-cfgDeslocamento)/4))</f>
        <v>0</v>
      </c>
      <c r="F4589" s="26">
        <f>IF(D4589="","",MOD(D4589-cfgDeslocamento,4)+1)</f>
        <v>0</v>
      </c>
      <c r="G4589" s="26">
        <f>IF(A4589="","",IF(AND(ISNUMBER(B4589),B4589&lt;&gt;0),1,0))</f>
        <v>0</v>
      </c>
      <c r="H4589" s="25">
        <f>IF(E4589="","",(E4589*4+3+cfgDeslocamento)/48)</f>
        <v>0</v>
      </c>
    </row>
    <row r="4590" spans="1:8">
      <c r="A4590" s="24"/>
      <c r="B4590" s="19"/>
      <c r="C4590" s="25">
        <f>IF(D4590="","",D4590/48)</f>
        <v>0</v>
      </c>
      <c r="D4590" s="26">
        <f>IF(A4590="","",ROUND((A4590-cfgDefasagem/1440)*48,0))</f>
        <v>0</v>
      </c>
      <c r="E4590" s="26">
        <f>IF(D4590="","",INT((D4590-cfgDeslocamento)/4))</f>
        <v>0</v>
      </c>
      <c r="F4590" s="26">
        <f>IF(D4590="","",MOD(D4590-cfgDeslocamento,4)+1)</f>
        <v>0</v>
      </c>
      <c r="G4590" s="26">
        <f>IF(A4590="","",IF(AND(ISNUMBER(B4590),B4590&lt;&gt;0),1,0))</f>
        <v>0</v>
      </c>
      <c r="H4590" s="25">
        <f>IF(E4590="","",(E4590*4+3+cfgDeslocamento)/48)</f>
        <v>0</v>
      </c>
    </row>
    <row r="4591" spans="1:8">
      <c r="A4591" s="24"/>
      <c r="B4591" s="19"/>
      <c r="C4591" s="25">
        <f>IF(D4591="","",D4591/48)</f>
        <v>0</v>
      </c>
      <c r="D4591" s="26">
        <f>IF(A4591="","",ROUND((A4591-cfgDefasagem/1440)*48,0))</f>
        <v>0</v>
      </c>
      <c r="E4591" s="26">
        <f>IF(D4591="","",INT((D4591-cfgDeslocamento)/4))</f>
        <v>0</v>
      </c>
      <c r="F4591" s="26">
        <f>IF(D4591="","",MOD(D4591-cfgDeslocamento,4)+1)</f>
        <v>0</v>
      </c>
      <c r="G4591" s="26">
        <f>IF(A4591="","",IF(AND(ISNUMBER(B4591),B4591&lt;&gt;0),1,0))</f>
        <v>0</v>
      </c>
      <c r="H4591" s="25">
        <f>IF(E4591="","",(E4591*4+3+cfgDeslocamento)/48)</f>
        <v>0</v>
      </c>
    </row>
    <row r="4592" spans="1:8">
      <c r="A4592" s="24"/>
      <c r="B4592" s="19"/>
      <c r="C4592" s="25">
        <f>IF(D4592="","",D4592/48)</f>
        <v>0</v>
      </c>
      <c r="D4592" s="26">
        <f>IF(A4592="","",ROUND((A4592-cfgDefasagem/1440)*48,0))</f>
        <v>0</v>
      </c>
      <c r="E4592" s="26">
        <f>IF(D4592="","",INT((D4592-cfgDeslocamento)/4))</f>
        <v>0</v>
      </c>
      <c r="F4592" s="26">
        <f>IF(D4592="","",MOD(D4592-cfgDeslocamento,4)+1)</f>
        <v>0</v>
      </c>
      <c r="G4592" s="26">
        <f>IF(A4592="","",IF(AND(ISNUMBER(B4592),B4592&lt;&gt;0),1,0))</f>
        <v>0</v>
      </c>
      <c r="H4592" s="25">
        <f>IF(E4592="","",(E4592*4+3+cfgDeslocamento)/48)</f>
        <v>0</v>
      </c>
    </row>
    <row r="4593" spans="1:8">
      <c r="A4593" s="24"/>
      <c r="B4593" s="19"/>
      <c r="C4593" s="25">
        <f>IF(D4593="","",D4593/48)</f>
        <v>0</v>
      </c>
      <c r="D4593" s="26">
        <f>IF(A4593="","",ROUND((A4593-cfgDefasagem/1440)*48,0))</f>
        <v>0</v>
      </c>
      <c r="E4593" s="26">
        <f>IF(D4593="","",INT((D4593-cfgDeslocamento)/4))</f>
        <v>0</v>
      </c>
      <c r="F4593" s="26">
        <f>IF(D4593="","",MOD(D4593-cfgDeslocamento,4)+1)</f>
        <v>0</v>
      </c>
      <c r="G4593" s="26">
        <f>IF(A4593="","",IF(AND(ISNUMBER(B4593),B4593&lt;&gt;0),1,0))</f>
        <v>0</v>
      </c>
      <c r="H4593" s="25">
        <f>IF(E4593="","",(E4593*4+3+cfgDeslocamento)/48)</f>
        <v>0</v>
      </c>
    </row>
    <row r="4594" spans="1:8">
      <c r="A4594" s="24"/>
      <c r="B4594" s="19"/>
      <c r="C4594" s="25">
        <f>IF(D4594="","",D4594/48)</f>
        <v>0</v>
      </c>
      <c r="D4594" s="26">
        <f>IF(A4594="","",ROUND((A4594-cfgDefasagem/1440)*48,0))</f>
        <v>0</v>
      </c>
      <c r="E4594" s="26">
        <f>IF(D4594="","",INT((D4594-cfgDeslocamento)/4))</f>
        <v>0</v>
      </c>
      <c r="F4594" s="26">
        <f>IF(D4594="","",MOD(D4594-cfgDeslocamento,4)+1)</f>
        <v>0</v>
      </c>
      <c r="G4594" s="26">
        <f>IF(A4594="","",IF(AND(ISNUMBER(B4594),B4594&lt;&gt;0),1,0))</f>
        <v>0</v>
      </c>
      <c r="H4594" s="25">
        <f>IF(E4594="","",(E4594*4+3+cfgDeslocamento)/48)</f>
        <v>0</v>
      </c>
    </row>
    <row r="4595" spans="1:8">
      <c r="A4595" s="24"/>
      <c r="B4595" s="19"/>
      <c r="C4595" s="25">
        <f>IF(D4595="","",D4595/48)</f>
        <v>0</v>
      </c>
      <c r="D4595" s="26">
        <f>IF(A4595="","",ROUND((A4595-cfgDefasagem/1440)*48,0))</f>
        <v>0</v>
      </c>
      <c r="E4595" s="26">
        <f>IF(D4595="","",INT((D4595-cfgDeslocamento)/4))</f>
        <v>0</v>
      </c>
      <c r="F4595" s="26">
        <f>IF(D4595="","",MOD(D4595-cfgDeslocamento,4)+1)</f>
        <v>0</v>
      </c>
      <c r="G4595" s="26">
        <f>IF(A4595="","",IF(AND(ISNUMBER(B4595),B4595&lt;&gt;0),1,0))</f>
        <v>0</v>
      </c>
      <c r="H4595" s="25">
        <f>IF(E4595="","",(E4595*4+3+cfgDeslocamento)/48)</f>
        <v>0</v>
      </c>
    </row>
    <row r="4596" spans="1:8">
      <c r="A4596" s="24"/>
      <c r="B4596" s="19"/>
      <c r="C4596" s="25">
        <f>IF(D4596="","",D4596/48)</f>
        <v>0</v>
      </c>
      <c r="D4596" s="26">
        <f>IF(A4596="","",ROUND((A4596-cfgDefasagem/1440)*48,0))</f>
        <v>0</v>
      </c>
      <c r="E4596" s="26">
        <f>IF(D4596="","",INT((D4596-cfgDeslocamento)/4))</f>
        <v>0</v>
      </c>
      <c r="F4596" s="26">
        <f>IF(D4596="","",MOD(D4596-cfgDeslocamento,4)+1)</f>
        <v>0</v>
      </c>
      <c r="G4596" s="26">
        <f>IF(A4596="","",IF(AND(ISNUMBER(B4596),B4596&lt;&gt;0),1,0))</f>
        <v>0</v>
      </c>
      <c r="H4596" s="25">
        <f>IF(E4596="","",(E4596*4+3+cfgDeslocamento)/48)</f>
        <v>0</v>
      </c>
    </row>
    <row r="4597" spans="1:8">
      <c r="A4597" s="24"/>
      <c r="B4597" s="19"/>
      <c r="C4597" s="25">
        <f>IF(D4597="","",D4597/48)</f>
        <v>0</v>
      </c>
      <c r="D4597" s="26">
        <f>IF(A4597="","",ROUND((A4597-cfgDefasagem/1440)*48,0))</f>
        <v>0</v>
      </c>
      <c r="E4597" s="26">
        <f>IF(D4597="","",INT((D4597-cfgDeslocamento)/4))</f>
        <v>0</v>
      </c>
      <c r="F4597" s="26">
        <f>IF(D4597="","",MOD(D4597-cfgDeslocamento,4)+1)</f>
        <v>0</v>
      </c>
      <c r="G4597" s="26">
        <f>IF(A4597="","",IF(AND(ISNUMBER(B4597),B4597&lt;&gt;0),1,0))</f>
        <v>0</v>
      </c>
      <c r="H4597" s="25">
        <f>IF(E4597="","",(E4597*4+3+cfgDeslocamento)/48)</f>
        <v>0</v>
      </c>
    </row>
    <row r="4598" spans="1:8">
      <c r="A4598" s="24"/>
      <c r="B4598" s="19"/>
      <c r="C4598" s="25">
        <f>IF(D4598="","",D4598/48)</f>
        <v>0</v>
      </c>
      <c r="D4598" s="26">
        <f>IF(A4598="","",ROUND((A4598-cfgDefasagem/1440)*48,0))</f>
        <v>0</v>
      </c>
      <c r="E4598" s="26">
        <f>IF(D4598="","",INT((D4598-cfgDeslocamento)/4))</f>
        <v>0</v>
      </c>
      <c r="F4598" s="26">
        <f>IF(D4598="","",MOD(D4598-cfgDeslocamento,4)+1)</f>
        <v>0</v>
      </c>
      <c r="G4598" s="26">
        <f>IF(A4598="","",IF(AND(ISNUMBER(B4598),B4598&lt;&gt;0),1,0))</f>
        <v>0</v>
      </c>
      <c r="H4598" s="25">
        <f>IF(E4598="","",(E4598*4+3+cfgDeslocamento)/48)</f>
        <v>0</v>
      </c>
    </row>
    <row r="4599" spans="1:8">
      <c r="A4599" s="24"/>
      <c r="B4599" s="19"/>
      <c r="C4599" s="25">
        <f>IF(D4599="","",D4599/48)</f>
        <v>0</v>
      </c>
      <c r="D4599" s="26">
        <f>IF(A4599="","",ROUND((A4599-cfgDefasagem/1440)*48,0))</f>
        <v>0</v>
      </c>
      <c r="E4599" s="26">
        <f>IF(D4599="","",INT((D4599-cfgDeslocamento)/4))</f>
        <v>0</v>
      </c>
      <c r="F4599" s="26">
        <f>IF(D4599="","",MOD(D4599-cfgDeslocamento,4)+1)</f>
        <v>0</v>
      </c>
      <c r="G4599" s="26">
        <f>IF(A4599="","",IF(AND(ISNUMBER(B4599),B4599&lt;&gt;0),1,0))</f>
        <v>0</v>
      </c>
      <c r="H4599" s="25">
        <f>IF(E4599="","",(E4599*4+3+cfgDeslocamento)/48)</f>
        <v>0</v>
      </c>
    </row>
    <row r="4600" spans="1:8">
      <c r="A4600" s="24"/>
      <c r="B4600" s="19"/>
      <c r="C4600" s="25">
        <f>IF(D4600="","",D4600/48)</f>
        <v>0</v>
      </c>
      <c r="D4600" s="26">
        <f>IF(A4600="","",ROUND((A4600-cfgDefasagem/1440)*48,0))</f>
        <v>0</v>
      </c>
      <c r="E4600" s="26">
        <f>IF(D4600="","",INT((D4600-cfgDeslocamento)/4))</f>
        <v>0</v>
      </c>
      <c r="F4600" s="26">
        <f>IF(D4600="","",MOD(D4600-cfgDeslocamento,4)+1)</f>
        <v>0</v>
      </c>
      <c r="G4600" s="26">
        <f>IF(A4600="","",IF(AND(ISNUMBER(B4600),B4600&lt;&gt;0),1,0))</f>
        <v>0</v>
      </c>
      <c r="H4600" s="25">
        <f>IF(E4600="","",(E4600*4+3+cfgDeslocamento)/48)</f>
        <v>0</v>
      </c>
    </row>
    <row r="4601" spans="1:8">
      <c r="A4601" s="24"/>
      <c r="B4601" s="19"/>
      <c r="C4601" s="25">
        <f>IF(D4601="","",D4601/48)</f>
        <v>0</v>
      </c>
      <c r="D4601" s="26">
        <f>IF(A4601="","",ROUND((A4601-cfgDefasagem/1440)*48,0))</f>
        <v>0</v>
      </c>
      <c r="E4601" s="26">
        <f>IF(D4601="","",INT((D4601-cfgDeslocamento)/4))</f>
        <v>0</v>
      </c>
      <c r="F4601" s="26">
        <f>IF(D4601="","",MOD(D4601-cfgDeslocamento,4)+1)</f>
        <v>0</v>
      </c>
      <c r="G4601" s="26">
        <f>IF(A4601="","",IF(AND(ISNUMBER(B4601),B4601&lt;&gt;0),1,0))</f>
        <v>0</v>
      </c>
      <c r="H4601" s="25">
        <f>IF(E4601="","",(E4601*4+3+cfgDeslocamento)/48)</f>
        <v>0</v>
      </c>
    </row>
    <row r="4602" spans="1:8">
      <c r="A4602" s="24"/>
      <c r="B4602" s="19"/>
      <c r="C4602" s="25">
        <f>IF(D4602="","",D4602/48)</f>
        <v>0</v>
      </c>
      <c r="D4602" s="26">
        <f>IF(A4602="","",ROUND((A4602-cfgDefasagem/1440)*48,0))</f>
        <v>0</v>
      </c>
      <c r="E4602" s="26">
        <f>IF(D4602="","",INT((D4602-cfgDeslocamento)/4))</f>
        <v>0</v>
      </c>
      <c r="F4602" s="26">
        <f>IF(D4602="","",MOD(D4602-cfgDeslocamento,4)+1)</f>
        <v>0</v>
      </c>
      <c r="G4602" s="26">
        <f>IF(A4602="","",IF(AND(ISNUMBER(B4602),B4602&lt;&gt;0),1,0))</f>
        <v>0</v>
      </c>
      <c r="H4602" s="25">
        <f>IF(E4602="","",(E4602*4+3+cfgDeslocamento)/48)</f>
        <v>0</v>
      </c>
    </row>
    <row r="4603" spans="1:8">
      <c r="A4603" s="24"/>
      <c r="B4603" s="19"/>
      <c r="C4603" s="25">
        <f>IF(D4603="","",D4603/48)</f>
        <v>0</v>
      </c>
      <c r="D4603" s="26">
        <f>IF(A4603="","",ROUND((A4603-cfgDefasagem/1440)*48,0))</f>
        <v>0</v>
      </c>
      <c r="E4603" s="26">
        <f>IF(D4603="","",INT((D4603-cfgDeslocamento)/4))</f>
        <v>0</v>
      </c>
      <c r="F4603" s="26">
        <f>IF(D4603="","",MOD(D4603-cfgDeslocamento,4)+1)</f>
        <v>0</v>
      </c>
      <c r="G4603" s="26">
        <f>IF(A4603="","",IF(AND(ISNUMBER(B4603),B4603&lt;&gt;0),1,0))</f>
        <v>0</v>
      </c>
      <c r="H4603" s="25">
        <f>IF(E4603="","",(E4603*4+3+cfgDeslocamento)/48)</f>
        <v>0</v>
      </c>
    </row>
    <row r="4604" spans="1:8">
      <c r="A4604" s="24"/>
      <c r="B4604" s="19"/>
      <c r="C4604" s="25">
        <f>IF(D4604="","",D4604/48)</f>
        <v>0</v>
      </c>
      <c r="D4604" s="26">
        <f>IF(A4604="","",ROUND((A4604-cfgDefasagem/1440)*48,0))</f>
        <v>0</v>
      </c>
      <c r="E4604" s="26">
        <f>IF(D4604="","",INT((D4604-cfgDeslocamento)/4))</f>
        <v>0</v>
      </c>
      <c r="F4604" s="26">
        <f>IF(D4604="","",MOD(D4604-cfgDeslocamento,4)+1)</f>
        <v>0</v>
      </c>
      <c r="G4604" s="26">
        <f>IF(A4604="","",IF(AND(ISNUMBER(B4604),B4604&lt;&gt;0),1,0))</f>
        <v>0</v>
      </c>
      <c r="H4604" s="25">
        <f>IF(E4604="","",(E4604*4+3+cfgDeslocamento)/48)</f>
        <v>0</v>
      </c>
    </row>
    <row r="4605" spans="1:8">
      <c r="A4605" s="24"/>
      <c r="B4605" s="19"/>
      <c r="C4605" s="25">
        <f>IF(D4605="","",D4605/48)</f>
        <v>0</v>
      </c>
      <c r="D4605" s="26">
        <f>IF(A4605="","",ROUND((A4605-cfgDefasagem/1440)*48,0))</f>
        <v>0</v>
      </c>
      <c r="E4605" s="26">
        <f>IF(D4605="","",INT((D4605-cfgDeslocamento)/4))</f>
        <v>0</v>
      </c>
      <c r="F4605" s="26">
        <f>IF(D4605="","",MOD(D4605-cfgDeslocamento,4)+1)</f>
        <v>0</v>
      </c>
      <c r="G4605" s="26">
        <f>IF(A4605="","",IF(AND(ISNUMBER(B4605),B4605&lt;&gt;0),1,0))</f>
        <v>0</v>
      </c>
      <c r="H4605" s="25">
        <f>IF(E4605="","",(E4605*4+3+cfgDeslocamento)/48)</f>
        <v>0</v>
      </c>
    </row>
    <row r="4606" spans="1:8">
      <c r="A4606" s="24"/>
      <c r="B4606" s="19"/>
      <c r="C4606" s="25">
        <f>IF(D4606="","",D4606/48)</f>
        <v>0</v>
      </c>
      <c r="D4606" s="26">
        <f>IF(A4606="","",ROUND((A4606-cfgDefasagem/1440)*48,0))</f>
        <v>0</v>
      </c>
      <c r="E4606" s="26">
        <f>IF(D4606="","",INT((D4606-cfgDeslocamento)/4))</f>
        <v>0</v>
      </c>
      <c r="F4606" s="26">
        <f>IF(D4606="","",MOD(D4606-cfgDeslocamento,4)+1)</f>
        <v>0</v>
      </c>
      <c r="G4606" s="26">
        <f>IF(A4606="","",IF(AND(ISNUMBER(B4606),B4606&lt;&gt;0),1,0))</f>
        <v>0</v>
      </c>
      <c r="H4606" s="25">
        <f>IF(E4606="","",(E4606*4+3+cfgDeslocamento)/48)</f>
        <v>0</v>
      </c>
    </row>
    <row r="4607" spans="1:8">
      <c r="A4607" s="24"/>
      <c r="B4607" s="19"/>
      <c r="C4607" s="25">
        <f>IF(D4607="","",D4607/48)</f>
        <v>0</v>
      </c>
      <c r="D4607" s="26">
        <f>IF(A4607="","",ROUND((A4607-cfgDefasagem/1440)*48,0))</f>
        <v>0</v>
      </c>
      <c r="E4607" s="26">
        <f>IF(D4607="","",INT((D4607-cfgDeslocamento)/4))</f>
        <v>0</v>
      </c>
      <c r="F4607" s="26">
        <f>IF(D4607="","",MOD(D4607-cfgDeslocamento,4)+1)</f>
        <v>0</v>
      </c>
      <c r="G4607" s="26">
        <f>IF(A4607="","",IF(AND(ISNUMBER(B4607),B4607&lt;&gt;0),1,0))</f>
        <v>0</v>
      </c>
      <c r="H4607" s="25">
        <f>IF(E4607="","",(E4607*4+3+cfgDeslocamento)/48)</f>
        <v>0</v>
      </c>
    </row>
    <row r="4608" spans="1:8">
      <c r="A4608" s="24"/>
      <c r="B4608" s="19"/>
      <c r="C4608" s="25">
        <f>IF(D4608="","",D4608/48)</f>
        <v>0</v>
      </c>
      <c r="D4608" s="26">
        <f>IF(A4608="","",ROUND((A4608-cfgDefasagem/1440)*48,0))</f>
        <v>0</v>
      </c>
      <c r="E4608" s="26">
        <f>IF(D4608="","",INT((D4608-cfgDeslocamento)/4))</f>
        <v>0</v>
      </c>
      <c r="F4608" s="26">
        <f>IF(D4608="","",MOD(D4608-cfgDeslocamento,4)+1)</f>
        <v>0</v>
      </c>
      <c r="G4608" s="26">
        <f>IF(A4608="","",IF(AND(ISNUMBER(B4608),B4608&lt;&gt;0),1,0))</f>
        <v>0</v>
      </c>
      <c r="H4608" s="25">
        <f>IF(E4608="","",(E4608*4+3+cfgDeslocamento)/48)</f>
        <v>0</v>
      </c>
    </row>
    <row r="4609" spans="1:8">
      <c r="A4609" s="24"/>
      <c r="B4609" s="19"/>
      <c r="C4609" s="25">
        <f>IF(D4609="","",D4609/48)</f>
        <v>0</v>
      </c>
      <c r="D4609" s="26">
        <f>IF(A4609="","",ROUND((A4609-cfgDefasagem/1440)*48,0))</f>
        <v>0</v>
      </c>
      <c r="E4609" s="26">
        <f>IF(D4609="","",INT((D4609-cfgDeslocamento)/4))</f>
        <v>0</v>
      </c>
      <c r="F4609" s="26">
        <f>IF(D4609="","",MOD(D4609-cfgDeslocamento,4)+1)</f>
        <v>0</v>
      </c>
      <c r="G4609" s="26">
        <f>IF(A4609="","",IF(AND(ISNUMBER(B4609),B4609&lt;&gt;0),1,0))</f>
        <v>0</v>
      </c>
      <c r="H4609" s="25">
        <f>IF(E4609="","",(E4609*4+3+cfgDeslocamento)/48)</f>
        <v>0</v>
      </c>
    </row>
    <row r="4610" spans="1:8">
      <c r="A4610" s="24"/>
      <c r="B4610" s="19"/>
      <c r="C4610" s="25">
        <f>IF(D4610="","",D4610/48)</f>
        <v>0</v>
      </c>
      <c r="D4610" s="26">
        <f>IF(A4610="","",ROUND((A4610-cfgDefasagem/1440)*48,0))</f>
        <v>0</v>
      </c>
      <c r="E4610" s="26">
        <f>IF(D4610="","",INT((D4610-cfgDeslocamento)/4))</f>
        <v>0</v>
      </c>
      <c r="F4610" s="26">
        <f>IF(D4610="","",MOD(D4610-cfgDeslocamento,4)+1)</f>
        <v>0</v>
      </c>
      <c r="G4610" s="26">
        <f>IF(A4610="","",IF(AND(ISNUMBER(B4610),B4610&lt;&gt;0),1,0))</f>
        <v>0</v>
      </c>
      <c r="H4610" s="25">
        <f>IF(E4610="","",(E4610*4+3+cfgDeslocamento)/48)</f>
        <v>0</v>
      </c>
    </row>
    <row r="4611" spans="1:8">
      <c r="A4611" s="24"/>
      <c r="B4611" s="19"/>
      <c r="C4611" s="25">
        <f>IF(D4611="","",D4611/48)</f>
        <v>0</v>
      </c>
      <c r="D4611" s="26">
        <f>IF(A4611="","",ROUND((A4611-cfgDefasagem/1440)*48,0))</f>
        <v>0</v>
      </c>
      <c r="E4611" s="26">
        <f>IF(D4611="","",INT((D4611-cfgDeslocamento)/4))</f>
        <v>0</v>
      </c>
      <c r="F4611" s="26">
        <f>IF(D4611="","",MOD(D4611-cfgDeslocamento,4)+1)</f>
        <v>0</v>
      </c>
      <c r="G4611" s="26">
        <f>IF(A4611="","",IF(AND(ISNUMBER(B4611),B4611&lt;&gt;0),1,0))</f>
        <v>0</v>
      </c>
      <c r="H4611" s="25">
        <f>IF(E4611="","",(E4611*4+3+cfgDeslocamento)/48)</f>
        <v>0</v>
      </c>
    </row>
    <row r="4612" spans="1:8">
      <c r="A4612" s="24"/>
      <c r="B4612" s="19"/>
      <c r="C4612" s="25">
        <f>IF(D4612="","",D4612/48)</f>
        <v>0</v>
      </c>
      <c r="D4612" s="26">
        <f>IF(A4612="","",ROUND((A4612-cfgDefasagem/1440)*48,0))</f>
        <v>0</v>
      </c>
      <c r="E4612" s="26">
        <f>IF(D4612="","",INT((D4612-cfgDeslocamento)/4))</f>
        <v>0</v>
      </c>
      <c r="F4612" s="26">
        <f>IF(D4612="","",MOD(D4612-cfgDeslocamento,4)+1)</f>
        <v>0</v>
      </c>
      <c r="G4612" s="26">
        <f>IF(A4612="","",IF(AND(ISNUMBER(B4612),B4612&lt;&gt;0),1,0))</f>
        <v>0</v>
      </c>
      <c r="H4612" s="25">
        <f>IF(E4612="","",(E4612*4+3+cfgDeslocamento)/48)</f>
        <v>0</v>
      </c>
    </row>
    <row r="4613" spans="1:8">
      <c r="A4613" s="24"/>
      <c r="B4613" s="19"/>
      <c r="C4613" s="25">
        <f>IF(D4613="","",D4613/48)</f>
        <v>0</v>
      </c>
      <c r="D4613" s="26">
        <f>IF(A4613="","",ROUND((A4613-cfgDefasagem/1440)*48,0))</f>
        <v>0</v>
      </c>
      <c r="E4613" s="26">
        <f>IF(D4613="","",INT((D4613-cfgDeslocamento)/4))</f>
        <v>0</v>
      </c>
      <c r="F4613" s="26">
        <f>IF(D4613="","",MOD(D4613-cfgDeslocamento,4)+1)</f>
        <v>0</v>
      </c>
      <c r="G4613" s="26">
        <f>IF(A4613="","",IF(AND(ISNUMBER(B4613),B4613&lt;&gt;0),1,0))</f>
        <v>0</v>
      </c>
      <c r="H4613" s="25">
        <f>IF(E4613="","",(E4613*4+3+cfgDeslocamento)/48)</f>
        <v>0</v>
      </c>
    </row>
    <row r="4614" spans="1:8">
      <c r="A4614" s="24"/>
      <c r="B4614" s="19"/>
      <c r="C4614" s="25">
        <f>IF(D4614="","",D4614/48)</f>
        <v>0</v>
      </c>
      <c r="D4614" s="26">
        <f>IF(A4614="","",ROUND((A4614-cfgDefasagem/1440)*48,0))</f>
        <v>0</v>
      </c>
      <c r="E4614" s="26">
        <f>IF(D4614="","",INT((D4614-cfgDeslocamento)/4))</f>
        <v>0</v>
      </c>
      <c r="F4614" s="26">
        <f>IF(D4614="","",MOD(D4614-cfgDeslocamento,4)+1)</f>
        <v>0</v>
      </c>
      <c r="G4614" s="26">
        <f>IF(A4614="","",IF(AND(ISNUMBER(B4614),B4614&lt;&gt;0),1,0))</f>
        <v>0</v>
      </c>
      <c r="H4614" s="25">
        <f>IF(E4614="","",(E4614*4+3+cfgDeslocamento)/48)</f>
        <v>0</v>
      </c>
    </row>
    <row r="4615" spans="1:8">
      <c r="A4615" s="24"/>
      <c r="B4615" s="19"/>
      <c r="C4615" s="25">
        <f>IF(D4615="","",D4615/48)</f>
        <v>0</v>
      </c>
      <c r="D4615" s="26">
        <f>IF(A4615="","",ROUND((A4615-cfgDefasagem/1440)*48,0))</f>
        <v>0</v>
      </c>
      <c r="E4615" s="26">
        <f>IF(D4615="","",INT((D4615-cfgDeslocamento)/4))</f>
        <v>0</v>
      </c>
      <c r="F4615" s="26">
        <f>IF(D4615="","",MOD(D4615-cfgDeslocamento,4)+1)</f>
        <v>0</v>
      </c>
      <c r="G4615" s="26">
        <f>IF(A4615="","",IF(AND(ISNUMBER(B4615),B4615&lt;&gt;0),1,0))</f>
        <v>0</v>
      </c>
      <c r="H4615" s="25">
        <f>IF(E4615="","",(E4615*4+3+cfgDeslocamento)/48)</f>
        <v>0</v>
      </c>
    </row>
    <row r="4616" spans="1:8">
      <c r="A4616" s="24"/>
      <c r="B4616" s="19"/>
      <c r="C4616" s="25">
        <f>IF(D4616="","",D4616/48)</f>
        <v>0</v>
      </c>
      <c r="D4616" s="26">
        <f>IF(A4616="","",ROUND((A4616-cfgDefasagem/1440)*48,0))</f>
        <v>0</v>
      </c>
      <c r="E4616" s="26">
        <f>IF(D4616="","",INT((D4616-cfgDeslocamento)/4))</f>
        <v>0</v>
      </c>
      <c r="F4616" s="26">
        <f>IF(D4616="","",MOD(D4616-cfgDeslocamento,4)+1)</f>
        <v>0</v>
      </c>
      <c r="G4616" s="26">
        <f>IF(A4616="","",IF(AND(ISNUMBER(B4616),B4616&lt;&gt;0),1,0))</f>
        <v>0</v>
      </c>
      <c r="H4616" s="25">
        <f>IF(E4616="","",(E4616*4+3+cfgDeslocamento)/48)</f>
        <v>0</v>
      </c>
    </row>
    <row r="4617" spans="1:8">
      <c r="A4617" s="24"/>
      <c r="B4617" s="19"/>
      <c r="C4617" s="25">
        <f>IF(D4617="","",D4617/48)</f>
        <v>0</v>
      </c>
      <c r="D4617" s="26">
        <f>IF(A4617="","",ROUND((A4617-cfgDefasagem/1440)*48,0))</f>
        <v>0</v>
      </c>
      <c r="E4617" s="26">
        <f>IF(D4617="","",INT((D4617-cfgDeslocamento)/4))</f>
        <v>0</v>
      </c>
      <c r="F4617" s="26">
        <f>IF(D4617="","",MOD(D4617-cfgDeslocamento,4)+1)</f>
        <v>0</v>
      </c>
      <c r="G4617" s="26">
        <f>IF(A4617="","",IF(AND(ISNUMBER(B4617),B4617&lt;&gt;0),1,0))</f>
        <v>0</v>
      </c>
      <c r="H4617" s="25">
        <f>IF(E4617="","",(E4617*4+3+cfgDeslocamento)/48)</f>
        <v>0</v>
      </c>
    </row>
    <row r="4618" spans="1:8">
      <c r="A4618" s="24"/>
      <c r="B4618" s="19"/>
      <c r="C4618" s="25">
        <f>IF(D4618="","",D4618/48)</f>
        <v>0</v>
      </c>
      <c r="D4618" s="26">
        <f>IF(A4618="","",ROUND((A4618-cfgDefasagem/1440)*48,0))</f>
        <v>0</v>
      </c>
      <c r="E4618" s="26">
        <f>IF(D4618="","",INT((D4618-cfgDeslocamento)/4))</f>
        <v>0</v>
      </c>
      <c r="F4618" s="26">
        <f>IF(D4618="","",MOD(D4618-cfgDeslocamento,4)+1)</f>
        <v>0</v>
      </c>
      <c r="G4618" s="26">
        <f>IF(A4618="","",IF(AND(ISNUMBER(B4618),B4618&lt;&gt;0),1,0))</f>
        <v>0</v>
      </c>
      <c r="H4618" s="25">
        <f>IF(E4618="","",(E4618*4+3+cfgDeslocamento)/48)</f>
        <v>0</v>
      </c>
    </row>
    <row r="4619" spans="1:8">
      <c r="A4619" s="24"/>
      <c r="B4619" s="19"/>
      <c r="C4619" s="25">
        <f>IF(D4619="","",D4619/48)</f>
        <v>0</v>
      </c>
      <c r="D4619" s="26">
        <f>IF(A4619="","",ROUND((A4619-cfgDefasagem/1440)*48,0))</f>
        <v>0</v>
      </c>
      <c r="E4619" s="26">
        <f>IF(D4619="","",INT((D4619-cfgDeslocamento)/4))</f>
        <v>0</v>
      </c>
      <c r="F4619" s="26">
        <f>IF(D4619="","",MOD(D4619-cfgDeslocamento,4)+1)</f>
        <v>0</v>
      </c>
      <c r="G4619" s="26">
        <f>IF(A4619="","",IF(AND(ISNUMBER(B4619),B4619&lt;&gt;0),1,0))</f>
        <v>0</v>
      </c>
      <c r="H4619" s="25">
        <f>IF(E4619="","",(E4619*4+3+cfgDeslocamento)/48)</f>
        <v>0</v>
      </c>
    </row>
    <row r="4620" spans="1:8">
      <c r="A4620" s="24"/>
      <c r="B4620" s="19"/>
      <c r="C4620" s="25">
        <f>IF(D4620="","",D4620/48)</f>
        <v>0</v>
      </c>
      <c r="D4620" s="26">
        <f>IF(A4620="","",ROUND((A4620-cfgDefasagem/1440)*48,0))</f>
        <v>0</v>
      </c>
      <c r="E4620" s="26">
        <f>IF(D4620="","",INT((D4620-cfgDeslocamento)/4))</f>
        <v>0</v>
      </c>
      <c r="F4620" s="26">
        <f>IF(D4620="","",MOD(D4620-cfgDeslocamento,4)+1)</f>
        <v>0</v>
      </c>
      <c r="G4620" s="26">
        <f>IF(A4620="","",IF(AND(ISNUMBER(B4620),B4620&lt;&gt;0),1,0))</f>
        <v>0</v>
      </c>
      <c r="H4620" s="25">
        <f>IF(E4620="","",(E4620*4+3+cfgDeslocamento)/48)</f>
        <v>0</v>
      </c>
    </row>
    <row r="4621" spans="1:8">
      <c r="A4621" s="24"/>
      <c r="B4621" s="19"/>
      <c r="C4621" s="25">
        <f>IF(D4621="","",D4621/48)</f>
        <v>0</v>
      </c>
      <c r="D4621" s="26">
        <f>IF(A4621="","",ROUND((A4621-cfgDefasagem/1440)*48,0))</f>
        <v>0</v>
      </c>
      <c r="E4621" s="26">
        <f>IF(D4621="","",INT((D4621-cfgDeslocamento)/4))</f>
        <v>0</v>
      </c>
      <c r="F4621" s="26">
        <f>IF(D4621="","",MOD(D4621-cfgDeslocamento,4)+1)</f>
        <v>0</v>
      </c>
      <c r="G4621" s="26">
        <f>IF(A4621="","",IF(AND(ISNUMBER(B4621),B4621&lt;&gt;0),1,0))</f>
        <v>0</v>
      </c>
      <c r="H4621" s="25">
        <f>IF(E4621="","",(E4621*4+3+cfgDeslocamento)/48)</f>
        <v>0</v>
      </c>
    </row>
    <row r="4622" spans="1:8">
      <c r="A4622" s="24"/>
      <c r="B4622" s="19"/>
      <c r="C4622" s="25">
        <f>IF(D4622="","",D4622/48)</f>
        <v>0</v>
      </c>
      <c r="D4622" s="26">
        <f>IF(A4622="","",ROUND((A4622-cfgDefasagem/1440)*48,0))</f>
        <v>0</v>
      </c>
      <c r="E4622" s="26">
        <f>IF(D4622="","",INT((D4622-cfgDeslocamento)/4))</f>
        <v>0</v>
      </c>
      <c r="F4622" s="26">
        <f>IF(D4622="","",MOD(D4622-cfgDeslocamento,4)+1)</f>
        <v>0</v>
      </c>
      <c r="G4622" s="26">
        <f>IF(A4622="","",IF(AND(ISNUMBER(B4622),B4622&lt;&gt;0),1,0))</f>
        <v>0</v>
      </c>
      <c r="H4622" s="25">
        <f>IF(E4622="","",(E4622*4+3+cfgDeslocamento)/48)</f>
        <v>0</v>
      </c>
    </row>
    <row r="4623" spans="1:8">
      <c r="A4623" s="24"/>
      <c r="B4623" s="19"/>
      <c r="C4623" s="25">
        <f>IF(D4623="","",D4623/48)</f>
        <v>0</v>
      </c>
      <c r="D4623" s="26">
        <f>IF(A4623="","",ROUND((A4623-cfgDefasagem/1440)*48,0))</f>
        <v>0</v>
      </c>
      <c r="E4623" s="26">
        <f>IF(D4623="","",INT((D4623-cfgDeslocamento)/4))</f>
        <v>0</v>
      </c>
      <c r="F4623" s="26">
        <f>IF(D4623="","",MOD(D4623-cfgDeslocamento,4)+1)</f>
        <v>0</v>
      </c>
      <c r="G4623" s="26">
        <f>IF(A4623="","",IF(AND(ISNUMBER(B4623),B4623&lt;&gt;0),1,0))</f>
        <v>0</v>
      </c>
      <c r="H4623" s="25">
        <f>IF(E4623="","",(E4623*4+3+cfgDeslocamento)/48)</f>
        <v>0</v>
      </c>
    </row>
    <row r="4624" spans="1:8">
      <c r="A4624" s="24"/>
      <c r="B4624" s="19"/>
      <c r="C4624" s="25">
        <f>IF(D4624="","",D4624/48)</f>
        <v>0</v>
      </c>
      <c r="D4624" s="26">
        <f>IF(A4624="","",ROUND((A4624-cfgDefasagem/1440)*48,0))</f>
        <v>0</v>
      </c>
      <c r="E4624" s="26">
        <f>IF(D4624="","",INT((D4624-cfgDeslocamento)/4))</f>
        <v>0</v>
      </c>
      <c r="F4624" s="26">
        <f>IF(D4624="","",MOD(D4624-cfgDeslocamento,4)+1)</f>
        <v>0</v>
      </c>
      <c r="G4624" s="26">
        <f>IF(A4624="","",IF(AND(ISNUMBER(B4624),B4624&lt;&gt;0),1,0))</f>
        <v>0</v>
      </c>
      <c r="H4624" s="25">
        <f>IF(E4624="","",(E4624*4+3+cfgDeslocamento)/48)</f>
        <v>0</v>
      </c>
    </row>
    <row r="4625" spans="1:8">
      <c r="A4625" s="24"/>
      <c r="B4625" s="19"/>
      <c r="C4625" s="25">
        <f>IF(D4625="","",D4625/48)</f>
        <v>0</v>
      </c>
      <c r="D4625" s="26">
        <f>IF(A4625="","",ROUND((A4625-cfgDefasagem/1440)*48,0))</f>
        <v>0</v>
      </c>
      <c r="E4625" s="26">
        <f>IF(D4625="","",INT((D4625-cfgDeslocamento)/4))</f>
        <v>0</v>
      </c>
      <c r="F4625" s="26">
        <f>IF(D4625="","",MOD(D4625-cfgDeslocamento,4)+1)</f>
        <v>0</v>
      </c>
      <c r="G4625" s="26">
        <f>IF(A4625="","",IF(AND(ISNUMBER(B4625),B4625&lt;&gt;0),1,0))</f>
        <v>0</v>
      </c>
      <c r="H4625" s="25">
        <f>IF(E4625="","",(E4625*4+3+cfgDeslocamento)/48)</f>
        <v>0</v>
      </c>
    </row>
    <row r="4626" spans="1:8">
      <c r="A4626" s="24"/>
      <c r="B4626" s="19"/>
      <c r="C4626" s="25">
        <f>IF(D4626="","",D4626/48)</f>
        <v>0</v>
      </c>
      <c r="D4626" s="26">
        <f>IF(A4626="","",ROUND((A4626-cfgDefasagem/1440)*48,0))</f>
        <v>0</v>
      </c>
      <c r="E4626" s="26">
        <f>IF(D4626="","",INT((D4626-cfgDeslocamento)/4))</f>
        <v>0</v>
      </c>
      <c r="F4626" s="26">
        <f>IF(D4626="","",MOD(D4626-cfgDeslocamento,4)+1)</f>
        <v>0</v>
      </c>
      <c r="G4626" s="26">
        <f>IF(A4626="","",IF(AND(ISNUMBER(B4626),B4626&lt;&gt;0),1,0))</f>
        <v>0</v>
      </c>
      <c r="H4626" s="25">
        <f>IF(E4626="","",(E4626*4+3+cfgDeslocamento)/48)</f>
        <v>0</v>
      </c>
    </row>
    <row r="4627" spans="1:8">
      <c r="A4627" s="24"/>
      <c r="B4627" s="19"/>
      <c r="C4627" s="25">
        <f>IF(D4627="","",D4627/48)</f>
        <v>0</v>
      </c>
      <c r="D4627" s="26">
        <f>IF(A4627="","",ROUND((A4627-cfgDefasagem/1440)*48,0))</f>
        <v>0</v>
      </c>
      <c r="E4627" s="26">
        <f>IF(D4627="","",INT((D4627-cfgDeslocamento)/4))</f>
        <v>0</v>
      </c>
      <c r="F4627" s="26">
        <f>IF(D4627="","",MOD(D4627-cfgDeslocamento,4)+1)</f>
        <v>0</v>
      </c>
      <c r="G4627" s="26">
        <f>IF(A4627="","",IF(AND(ISNUMBER(B4627),B4627&lt;&gt;0),1,0))</f>
        <v>0</v>
      </c>
      <c r="H4627" s="25">
        <f>IF(E4627="","",(E4627*4+3+cfgDeslocamento)/48)</f>
        <v>0</v>
      </c>
    </row>
    <row r="4628" spans="1:8">
      <c r="A4628" s="24"/>
      <c r="B4628" s="19"/>
      <c r="C4628" s="25">
        <f>IF(D4628="","",D4628/48)</f>
        <v>0</v>
      </c>
      <c r="D4628" s="26">
        <f>IF(A4628="","",ROUND((A4628-cfgDefasagem/1440)*48,0))</f>
        <v>0</v>
      </c>
      <c r="E4628" s="26">
        <f>IF(D4628="","",INT((D4628-cfgDeslocamento)/4))</f>
        <v>0</v>
      </c>
      <c r="F4628" s="26">
        <f>IF(D4628="","",MOD(D4628-cfgDeslocamento,4)+1)</f>
        <v>0</v>
      </c>
      <c r="G4628" s="26">
        <f>IF(A4628="","",IF(AND(ISNUMBER(B4628),B4628&lt;&gt;0),1,0))</f>
        <v>0</v>
      </c>
      <c r="H4628" s="25">
        <f>IF(E4628="","",(E4628*4+3+cfgDeslocamento)/48)</f>
        <v>0</v>
      </c>
    </row>
    <row r="4629" spans="1:8">
      <c r="A4629" s="24"/>
      <c r="B4629" s="19"/>
      <c r="C4629" s="25">
        <f>IF(D4629="","",D4629/48)</f>
        <v>0</v>
      </c>
      <c r="D4629" s="26">
        <f>IF(A4629="","",ROUND((A4629-cfgDefasagem/1440)*48,0))</f>
        <v>0</v>
      </c>
      <c r="E4629" s="26">
        <f>IF(D4629="","",INT((D4629-cfgDeslocamento)/4))</f>
        <v>0</v>
      </c>
      <c r="F4629" s="26">
        <f>IF(D4629="","",MOD(D4629-cfgDeslocamento,4)+1)</f>
        <v>0</v>
      </c>
      <c r="G4629" s="26">
        <f>IF(A4629="","",IF(AND(ISNUMBER(B4629),B4629&lt;&gt;0),1,0))</f>
        <v>0</v>
      </c>
      <c r="H4629" s="25">
        <f>IF(E4629="","",(E4629*4+3+cfgDeslocamento)/48)</f>
        <v>0</v>
      </c>
    </row>
    <row r="4630" spans="1:8">
      <c r="A4630" s="24"/>
      <c r="B4630" s="19"/>
      <c r="C4630" s="25">
        <f>IF(D4630="","",D4630/48)</f>
        <v>0</v>
      </c>
      <c r="D4630" s="26">
        <f>IF(A4630="","",ROUND((A4630-cfgDefasagem/1440)*48,0))</f>
        <v>0</v>
      </c>
      <c r="E4630" s="26">
        <f>IF(D4630="","",INT((D4630-cfgDeslocamento)/4))</f>
        <v>0</v>
      </c>
      <c r="F4630" s="26">
        <f>IF(D4630="","",MOD(D4630-cfgDeslocamento,4)+1)</f>
        <v>0</v>
      </c>
      <c r="G4630" s="26">
        <f>IF(A4630="","",IF(AND(ISNUMBER(B4630),B4630&lt;&gt;0),1,0))</f>
        <v>0</v>
      </c>
      <c r="H4630" s="25">
        <f>IF(E4630="","",(E4630*4+3+cfgDeslocamento)/48)</f>
        <v>0</v>
      </c>
    </row>
    <row r="4631" spans="1:8">
      <c r="A4631" s="24"/>
      <c r="B4631" s="19"/>
      <c r="C4631" s="25">
        <f>IF(D4631="","",D4631/48)</f>
        <v>0</v>
      </c>
      <c r="D4631" s="26">
        <f>IF(A4631="","",ROUND((A4631-cfgDefasagem/1440)*48,0))</f>
        <v>0</v>
      </c>
      <c r="E4631" s="26">
        <f>IF(D4631="","",INT((D4631-cfgDeslocamento)/4))</f>
        <v>0</v>
      </c>
      <c r="F4631" s="26">
        <f>IF(D4631="","",MOD(D4631-cfgDeslocamento,4)+1)</f>
        <v>0</v>
      </c>
      <c r="G4631" s="26">
        <f>IF(A4631="","",IF(AND(ISNUMBER(B4631),B4631&lt;&gt;0),1,0))</f>
        <v>0</v>
      </c>
      <c r="H4631" s="25">
        <f>IF(E4631="","",(E4631*4+3+cfgDeslocamento)/48)</f>
        <v>0</v>
      </c>
    </row>
    <row r="4632" spans="1:8">
      <c r="A4632" s="24"/>
      <c r="B4632" s="19"/>
      <c r="C4632" s="25">
        <f>IF(D4632="","",D4632/48)</f>
        <v>0</v>
      </c>
      <c r="D4632" s="26">
        <f>IF(A4632="","",ROUND((A4632-cfgDefasagem/1440)*48,0))</f>
        <v>0</v>
      </c>
      <c r="E4632" s="26">
        <f>IF(D4632="","",INT((D4632-cfgDeslocamento)/4))</f>
        <v>0</v>
      </c>
      <c r="F4632" s="26">
        <f>IF(D4632="","",MOD(D4632-cfgDeslocamento,4)+1)</f>
        <v>0</v>
      </c>
      <c r="G4632" s="26">
        <f>IF(A4632="","",IF(AND(ISNUMBER(B4632),B4632&lt;&gt;0),1,0))</f>
        <v>0</v>
      </c>
      <c r="H4632" s="25">
        <f>IF(E4632="","",(E4632*4+3+cfgDeslocamento)/48)</f>
        <v>0</v>
      </c>
    </row>
    <row r="4633" spans="1:8">
      <c r="A4633" s="24"/>
      <c r="B4633" s="19"/>
      <c r="C4633" s="25">
        <f>IF(D4633="","",D4633/48)</f>
        <v>0</v>
      </c>
      <c r="D4633" s="26">
        <f>IF(A4633="","",ROUND((A4633-cfgDefasagem/1440)*48,0))</f>
        <v>0</v>
      </c>
      <c r="E4633" s="26">
        <f>IF(D4633="","",INT((D4633-cfgDeslocamento)/4))</f>
        <v>0</v>
      </c>
      <c r="F4633" s="26">
        <f>IF(D4633="","",MOD(D4633-cfgDeslocamento,4)+1)</f>
        <v>0</v>
      </c>
      <c r="G4633" s="26">
        <f>IF(A4633="","",IF(AND(ISNUMBER(B4633),B4633&lt;&gt;0),1,0))</f>
        <v>0</v>
      </c>
      <c r="H4633" s="25">
        <f>IF(E4633="","",(E4633*4+3+cfgDeslocamento)/48)</f>
        <v>0</v>
      </c>
    </row>
    <row r="4634" spans="1:8">
      <c r="A4634" s="24"/>
      <c r="B4634" s="19"/>
      <c r="C4634" s="25">
        <f>IF(D4634="","",D4634/48)</f>
        <v>0</v>
      </c>
      <c r="D4634" s="26">
        <f>IF(A4634="","",ROUND((A4634-cfgDefasagem/1440)*48,0))</f>
        <v>0</v>
      </c>
      <c r="E4634" s="26">
        <f>IF(D4634="","",INT((D4634-cfgDeslocamento)/4))</f>
        <v>0</v>
      </c>
      <c r="F4634" s="26">
        <f>IF(D4634="","",MOD(D4634-cfgDeslocamento,4)+1)</f>
        <v>0</v>
      </c>
      <c r="G4634" s="26">
        <f>IF(A4634="","",IF(AND(ISNUMBER(B4634),B4634&lt;&gt;0),1,0))</f>
        <v>0</v>
      </c>
      <c r="H4634" s="25">
        <f>IF(E4634="","",(E4634*4+3+cfgDeslocamento)/48)</f>
        <v>0</v>
      </c>
    </row>
    <row r="4635" spans="1:8">
      <c r="A4635" s="24"/>
      <c r="B4635" s="19"/>
      <c r="C4635" s="25">
        <f>IF(D4635="","",D4635/48)</f>
        <v>0</v>
      </c>
      <c r="D4635" s="26">
        <f>IF(A4635="","",ROUND((A4635-cfgDefasagem/1440)*48,0))</f>
        <v>0</v>
      </c>
      <c r="E4635" s="26">
        <f>IF(D4635="","",INT((D4635-cfgDeslocamento)/4))</f>
        <v>0</v>
      </c>
      <c r="F4635" s="26">
        <f>IF(D4635="","",MOD(D4635-cfgDeslocamento,4)+1)</f>
        <v>0</v>
      </c>
      <c r="G4635" s="26">
        <f>IF(A4635="","",IF(AND(ISNUMBER(B4635),B4635&lt;&gt;0),1,0))</f>
        <v>0</v>
      </c>
      <c r="H4635" s="25">
        <f>IF(E4635="","",(E4635*4+3+cfgDeslocamento)/48)</f>
        <v>0</v>
      </c>
    </row>
    <row r="4636" spans="1:8">
      <c r="A4636" s="24"/>
      <c r="B4636" s="19"/>
      <c r="C4636" s="25">
        <f>IF(D4636="","",D4636/48)</f>
        <v>0</v>
      </c>
      <c r="D4636" s="26">
        <f>IF(A4636="","",ROUND((A4636-cfgDefasagem/1440)*48,0))</f>
        <v>0</v>
      </c>
      <c r="E4636" s="26">
        <f>IF(D4636="","",INT((D4636-cfgDeslocamento)/4))</f>
        <v>0</v>
      </c>
      <c r="F4636" s="26">
        <f>IF(D4636="","",MOD(D4636-cfgDeslocamento,4)+1)</f>
        <v>0</v>
      </c>
      <c r="G4636" s="26">
        <f>IF(A4636="","",IF(AND(ISNUMBER(B4636),B4636&lt;&gt;0),1,0))</f>
        <v>0</v>
      </c>
      <c r="H4636" s="25">
        <f>IF(E4636="","",(E4636*4+3+cfgDeslocamento)/48)</f>
        <v>0</v>
      </c>
    </row>
    <row r="4637" spans="1:8">
      <c r="A4637" s="24"/>
      <c r="B4637" s="19"/>
      <c r="C4637" s="25">
        <f>IF(D4637="","",D4637/48)</f>
        <v>0</v>
      </c>
      <c r="D4637" s="26">
        <f>IF(A4637="","",ROUND((A4637-cfgDefasagem/1440)*48,0))</f>
        <v>0</v>
      </c>
      <c r="E4637" s="26">
        <f>IF(D4637="","",INT((D4637-cfgDeslocamento)/4))</f>
        <v>0</v>
      </c>
      <c r="F4637" s="26">
        <f>IF(D4637="","",MOD(D4637-cfgDeslocamento,4)+1)</f>
        <v>0</v>
      </c>
      <c r="G4637" s="26">
        <f>IF(A4637="","",IF(AND(ISNUMBER(B4637),B4637&lt;&gt;0),1,0))</f>
        <v>0</v>
      </c>
      <c r="H4637" s="25">
        <f>IF(E4637="","",(E4637*4+3+cfgDeslocamento)/48)</f>
        <v>0</v>
      </c>
    </row>
    <row r="4638" spans="1:8">
      <c r="A4638" s="24"/>
      <c r="B4638" s="19"/>
      <c r="C4638" s="25">
        <f>IF(D4638="","",D4638/48)</f>
        <v>0</v>
      </c>
      <c r="D4638" s="26">
        <f>IF(A4638="","",ROUND((A4638-cfgDefasagem/1440)*48,0))</f>
        <v>0</v>
      </c>
      <c r="E4638" s="26">
        <f>IF(D4638="","",INT((D4638-cfgDeslocamento)/4))</f>
        <v>0</v>
      </c>
      <c r="F4638" s="26">
        <f>IF(D4638="","",MOD(D4638-cfgDeslocamento,4)+1)</f>
        <v>0</v>
      </c>
      <c r="G4638" s="26">
        <f>IF(A4638="","",IF(AND(ISNUMBER(B4638),B4638&lt;&gt;0),1,0))</f>
        <v>0</v>
      </c>
      <c r="H4638" s="25">
        <f>IF(E4638="","",(E4638*4+3+cfgDeslocamento)/48)</f>
        <v>0</v>
      </c>
    </row>
    <row r="4639" spans="1:8">
      <c r="A4639" s="24"/>
      <c r="B4639" s="19"/>
      <c r="C4639" s="25">
        <f>IF(D4639="","",D4639/48)</f>
        <v>0</v>
      </c>
      <c r="D4639" s="26">
        <f>IF(A4639="","",ROUND((A4639-cfgDefasagem/1440)*48,0))</f>
        <v>0</v>
      </c>
      <c r="E4639" s="26">
        <f>IF(D4639="","",INT((D4639-cfgDeslocamento)/4))</f>
        <v>0</v>
      </c>
      <c r="F4639" s="26">
        <f>IF(D4639="","",MOD(D4639-cfgDeslocamento,4)+1)</f>
        <v>0</v>
      </c>
      <c r="G4639" s="26">
        <f>IF(A4639="","",IF(AND(ISNUMBER(B4639),B4639&lt;&gt;0),1,0))</f>
        <v>0</v>
      </c>
      <c r="H4639" s="25">
        <f>IF(E4639="","",(E4639*4+3+cfgDeslocamento)/48)</f>
        <v>0</v>
      </c>
    </row>
    <row r="4640" spans="1:8">
      <c r="A4640" s="24"/>
      <c r="B4640" s="19"/>
      <c r="C4640" s="25">
        <f>IF(D4640="","",D4640/48)</f>
        <v>0</v>
      </c>
      <c r="D4640" s="26">
        <f>IF(A4640="","",ROUND((A4640-cfgDefasagem/1440)*48,0))</f>
        <v>0</v>
      </c>
      <c r="E4640" s="26">
        <f>IF(D4640="","",INT((D4640-cfgDeslocamento)/4))</f>
        <v>0</v>
      </c>
      <c r="F4640" s="26">
        <f>IF(D4640="","",MOD(D4640-cfgDeslocamento,4)+1)</f>
        <v>0</v>
      </c>
      <c r="G4640" s="26">
        <f>IF(A4640="","",IF(AND(ISNUMBER(B4640),B4640&lt;&gt;0),1,0))</f>
        <v>0</v>
      </c>
      <c r="H4640" s="25">
        <f>IF(E4640="","",(E4640*4+3+cfgDeslocamento)/48)</f>
        <v>0</v>
      </c>
    </row>
    <row r="4641" spans="1:8">
      <c r="A4641" s="24"/>
      <c r="B4641" s="19"/>
      <c r="C4641" s="25">
        <f>IF(D4641="","",D4641/48)</f>
        <v>0</v>
      </c>
      <c r="D4641" s="26">
        <f>IF(A4641="","",ROUND((A4641-cfgDefasagem/1440)*48,0))</f>
        <v>0</v>
      </c>
      <c r="E4641" s="26">
        <f>IF(D4641="","",INT((D4641-cfgDeslocamento)/4))</f>
        <v>0</v>
      </c>
      <c r="F4641" s="26">
        <f>IF(D4641="","",MOD(D4641-cfgDeslocamento,4)+1)</f>
        <v>0</v>
      </c>
      <c r="G4641" s="26">
        <f>IF(A4641="","",IF(AND(ISNUMBER(B4641),B4641&lt;&gt;0),1,0))</f>
        <v>0</v>
      </c>
      <c r="H4641" s="25">
        <f>IF(E4641="","",(E4641*4+3+cfgDeslocamento)/48)</f>
        <v>0</v>
      </c>
    </row>
    <row r="4642" spans="1:8">
      <c r="A4642" s="24"/>
      <c r="B4642" s="19"/>
      <c r="C4642" s="25">
        <f>IF(D4642="","",D4642/48)</f>
        <v>0</v>
      </c>
      <c r="D4642" s="26">
        <f>IF(A4642="","",ROUND((A4642-cfgDefasagem/1440)*48,0))</f>
        <v>0</v>
      </c>
      <c r="E4642" s="26">
        <f>IF(D4642="","",INT((D4642-cfgDeslocamento)/4))</f>
        <v>0</v>
      </c>
      <c r="F4642" s="26">
        <f>IF(D4642="","",MOD(D4642-cfgDeslocamento,4)+1)</f>
        <v>0</v>
      </c>
      <c r="G4642" s="26">
        <f>IF(A4642="","",IF(AND(ISNUMBER(B4642),B4642&lt;&gt;0),1,0))</f>
        <v>0</v>
      </c>
      <c r="H4642" s="25">
        <f>IF(E4642="","",(E4642*4+3+cfgDeslocamento)/48)</f>
        <v>0</v>
      </c>
    </row>
    <row r="4643" spans="1:8">
      <c r="A4643" s="24"/>
      <c r="B4643" s="19"/>
      <c r="C4643" s="25">
        <f>IF(D4643="","",D4643/48)</f>
        <v>0</v>
      </c>
      <c r="D4643" s="26">
        <f>IF(A4643="","",ROUND((A4643-cfgDefasagem/1440)*48,0))</f>
        <v>0</v>
      </c>
      <c r="E4643" s="26">
        <f>IF(D4643="","",INT((D4643-cfgDeslocamento)/4))</f>
        <v>0</v>
      </c>
      <c r="F4643" s="26">
        <f>IF(D4643="","",MOD(D4643-cfgDeslocamento,4)+1)</f>
        <v>0</v>
      </c>
      <c r="G4643" s="26">
        <f>IF(A4643="","",IF(AND(ISNUMBER(B4643),B4643&lt;&gt;0),1,0))</f>
        <v>0</v>
      </c>
      <c r="H4643" s="25">
        <f>IF(E4643="","",(E4643*4+3+cfgDeslocamento)/48)</f>
        <v>0</v>
      </c>
    </row>
    <row r="4644" spans="1:8">
      <c r="A4644" s="24"/>
      <c r="B4644" s="19"/>
      <c r="C4644" s="25">
        <f>IF(D4644="","",D4644/48)</f>
        <v>0</v>
      </c>
      <c r="D4644" s="26">
        <f>IF(A4644="","",ROUND((A4644-cfgDefasagem/1440)*48,0))</f>
        <v>0</v>
      </c>
      <c r="E4644" s="26">
        <f>IF(D4644="","",INT((D4644-cfgDeslocamento)/4))</f>
        <v>0</v>
      </c>
      <c r="F4644" s="26">
        <f>IF(D4644="","",MOD(D4644-cfgDeslocamento,4)+1)</f>
        <v>0</v>
      </c>
      <c r="G4644" s="26">
        <f>IF(A4644="","",IF(AND(ISNUMBER(B4644),B4644&lt;&gt;0),1,0))</f>
        <v>0</v>
      </c>
      <c r="H4644" s="25">
        <f>IF(E4644="","",(E4644*4+3+cfgDeslocamento)/48)</f>
        <v>0</v>
      </c>
    </row>
    <row r="4645" spans="1:8">
      <c r="A4645" s="24"/>
      <c r="B4645" s="19"/>
      <c r="C4645" s="25">
        <f>IF(D4645="","",D4645/48)</f>
        <v>0</v>
      </c>
      <c r="D4645" s="26">
        <f>IF(A4645="","",ROUND((A4645-cfgDefasagem/1440)*48,0))</f>
        <v>0</v>
      </c>
      <c r="E4645" s="26">
        <f>IF(D4645="","",INT((D4645-cfgDeslocamento)/4))</f>
        <v>0</v>
      </c>
      <c r="F4645" s="26">
        <f>IF(D4645="","",MOD(D4645-cfgDeslocamento,4)+1)</f>
        <v>0</v>
      </c>
      <c r="G4645" s="26">
        <f>IF(A4645="","",IF(AND(ISNUMBER(B4645),B4645&lt;&gt;0),1,0))</f>
        <v>0</v>
      </c>
      <c r="H4645" s="25">
        <f>IF(E4645="","",(E4645*4+3+cfgDeslocamento)/48)</f>
        <v>0</v>
      </c>
    </row>
    <row r="4646" spans="1:8">
      <c r="A4646" s="24"/>
      <c r="B4646" s="19"/>
      <c r="C4646" s="25">
        <f>IF(D4646="","",D4646/48)</f>
        <v>0</v>
      </c>
      <c r="D4646" s="26">
        <f>IF(A4646="","",ROUND((A4646-cfgDefasagem/1440)*48,0))</f>
        <v>0</v>
      </c>
      <c r="E4646" s="26">
        <f>IF(D4646="","",INT((D4646-cfgDeslocamento)/4))</f>
        <v>0</v>
      </c>
      <c r="F4646" s="26">
        <f>IF(D4646="","",MOD(D4646-cfgDeslocamento,4)+1)</f>
        <v>0</v>
      </c>
      <c r="G4646" s="26">
        <f>IF(A4646="","",IF(AND(ISNUMBER(B4646),B4646&lt;&gt;0),1,0))</f>
        <v>0</v>
      </c>
      <c r="H4646" s="25">
        <f>IF(E4646="","",(E4646*4+3+cfgDeslocamento)/48)</f>
        <v>0</v>
      </c>
    </row>
    <row r="4647" spans="1:8">
      <c r="A4647" s="24"/>
      <c r="B4647" s="19"/>
      <c r="C4647" s="25">
        <f>IF(D4647="","",D4647/48)</f>
        <v>0</v>
      </c>
      <c r="D4647" s="26">
        <f>IF(A4647="","",ROUND((A4647-cfgDefasagem/1440)*48,0))</f>
        <v>0</v>
      </c>
      <c r="E4647" s="26">
        <f>IF(D4647="","",INT((D4647-cfgDeslocamento)/4))</f>
        <v>0</v>
      </c>
      <c r="F4647" s="26">
        <f>IF(D4647="","",MOD(D4647-cfgDeslocamento,4)+1)</f>
        <v>0</v>
      </c>
      <c r="G4647" s="26">
        <f>IF(A4647="","",IF(AND(ISNUMBER(B4647),B4647&lt;&gt;0),1,0))</f>
        <v>0</v>
      </c>
      <c r="H4647" s="25">
        <f>IF(E4647="","",(E4647*4+3+cfgDeslocamento)/48)</f>
        <v>0</v>
      </c>
    </row>
    <row r="4648" spans="1:8">
      <c r="A4648" s="24"/>
      <c r="B4648" s="19"/>
      <c r="C4648" s="25">
        <f>IF(D4648="","",D4648/48)</f>
        <v>0</v>
      </c>
      <c r="D4648" s="26">
        <f>IF(A4648="","",ROUND((A4648-cfgDefasagem/1440)*48,0))</f>
        <v>0</v>
      </c>
      <c r="E4648" s="26">
        <f>IF(D4648="","",INT((D4648-cfgDeslocamento)/4))</f>
        <v>0</v>
      </c>
      <c r="F4648" s="26">
        <f>IF(D4648="","",MOD(D4648-cfgDeslocamento,4)+1)</f>
        <v>0</v>
      </c>
      <c r="G4648" s="26">
        <f>IF(A4648="","",IF(AND(ISNUMBER(B4648),B4648&lt;&gt;0),1,0))</f>
        <v>0</v>
      </c>
      <c r="H4648" s="25">
        <f>IF(E4648="","",(E4648*4+3+cfgDeslocamento)/48)</f>
        <v>0</v>
      </c>
    </row>
    <row r="4649" spans="1:8">
      <c r="A4649" s="24"/>
      <c r="B4649" s="19"/>
      <c r="C4649" s="25">
        <f>IF(D4649="","",D4649/48)</f>
        <v>0</v>
      </c>
      <c r="D4649" s="26">
        <f>IF(A4649="","",ROUND((A4649-cfgDefasagem/1440)*48,0))</f>
        <v>0</v>
      </c>
      <c r="E4649" s="26">
        <f>IF(D4649="","",INT((D4649-cfgDeslocamento)/4))</f>
        <v>0</v>
      </c>
      <c r="F4649" s="26">
        <f>IF(D4649="","",MOD(D4649-cfgDeslocamento,4)+1)</f>
        <v>0</v>
      </c>
      <c r="G4649" s="26">
        <f>IF(A4649="","",IF(AND(ISNUMBER(B4649),B4649&lt;&gt;0),1,0))</f>
        <v>0</v>
      </c>
      <c r="H4649" s="25">
        <f>IF(E4649="","",(E4649*4+3+cfgDeslocamento)/48)</f>
        <v>0</v>
      </c>
    </row>
    <row r="4650" spans="1:8">
      <c r="A4650" s="24"/>
      <c r="B4650" s="19"/>
      <c r="C4650" s="25">
        <f>IF(D4650="","",D4650/48)</f>
        <v>0</v>
      </c>
      <c r="D4650" s="26">
        <f>IF(A4650="","",ROUND((A4650-cfgDefasagem/1440)*48,0))</f>
        <v>0</v>
      </c>
      <c r="E4650" s="26">
        <f>IF(D4650="","",INT((D4650-cfgDeslocamento)/4))</f>
        <v>0</v>
      </c>
      <c r="F4650" s="26">
        <f>IF(D4650="","",MOD(D4650-cfgDeslocamento,4)+1)</f>
        <v>0</v>
      </c>
      <c r="G4650" s="26">
        <f>IF(A4650="","",IF(AND(ISNUMBER(B4650),B4650&lt;&gt;0),1,0))</f>
        <v>0</v>
      </c>
      <c r="H4650" s="25">
        <f>IF(E4650="","",(E4650*4+3+cfgDeslocamento)/48)</f>
        <v>0</v>
      </c>
    </row>
    <row r="4651" spans="1:8">
      <c r="A4651" s="24"/>
      <c r="B4651" s="19"/>
      <c r="C4651" s="25">
        <f>IF(D4651="","",D4651/48)</f>
        <v>0</v>
      </c>
      <c r="D4651" s="26">
        <f>IF(A4651="","",ROUND((A4651-cfgDefasagem/1440)*48,0))</f>
        <v>0</v>
      </c>
      <c r="E4651" s="26">
        <f>IF(D4651="","",INT((D4651-cfgDeslocamento)/4))</f>
        <v>0</v>
      </c>
      <c r="F4651" s="26">
        <f>IF(D4651="","",MOD(D4651-cfgDeslocamento,4)+1)</f>
        <v>0</v>
      </c>
      <c r="G4651" s="26">
        <f>IF(A4651="","",IF(AND(ISNUMBER(B4651),B4651&lt;&gt;0),1,0))</f>
        <v>0</v>
      </c>
      <c r="H4651" s="25">
        <f>IF(E4651="","",(E4651*4+3+cfgDeslocamento)/48)</f>
        <v>0</v>
      </c>
    </row>
    <row r="4652" spans="1:8">
      <c r="A4652" s="24"/>
      <c r="B4652" s="19"/>
      <c r="C4652" s="25">
        <f>IF(D4652="","",D4652/48)</f>
        <v>0</v>
      </c>
      <c r="D4652" s="26">
        <f>IF(A4652="","",ROUND((A4652-cfgDefasagem/1440)*48,0))</f>
        <v>0</v>
      </c>
      <c r="E4652" s="26">
        <f>IF(D4652="","",INT((D4652-cfgDeslocamento)/4))</f>
        <v>0</v>
      </c>
      <c r="F4652" s="26">
        <f>IF(D4652="","",MOD(D4652-cfgDeslocamento,4)+1)</f>
        <v>0</v>
      </c>
      <c r="G4652" s="26">
        <f>IF(A4652="","",IF(AND(ISNUMBER(B4652),B4652&lt;&gt;0),1,0))</f>
        <v>0</v>
      </c>
      <c r="H4652" s="25">
        <f>IF(E4652="","",(E4652*4+3+cfgDeslocamento)/48)</f>
        <v>0</v>
      </c>
    </row>
    <row r="4653" spans="1:8">
      <c r="A4653" s="24"/>
      <c r="B4653" s="19"/>
      <c r="C4653" s="25">
        <f>IF(D4653="","",D4653/48)</f>
        <v>0</v>
      </c>
      <c r="D4653" s="26">
        <f>IF(A4653="","",ROUND((A4653-cfgDefasagem/1440)*48,0))</f>
        <v>0</v>
      </c>
      <c r="E4653" s="26">
        <f>IF(D4653="","",INT((D4653-cfgDeslocamento)/4))</f>
        <v>0</v>
      </c>
      <c r="F4653" s="26">
        <f>IF(D4653="","",MOD(D4653-cfgDeslocamento,4)+1)</f>
        <v>0</v>
      </c>
      <c r="G4653" s="26">
        <f>IF(A4653="","",IF(AND(ISNUMBER(B4653),B4653&lt;&gt;0),1,0))</f>
        <v>0</v>
      </c>
      <c r="H4653" s="25">
        <f>IF(E4653="","",(E4653*4+3+cfgDeslocamento)/48)</f>
        <v>0</v>
      </c>
    </row>
    <row r="4654" spans="1:8">
      <c r="A4654" s="24"/>
      <c r="B4654" s="19"/>
      <c r="C4654" s="25">
        <f>IF(D4654="","",D4654/48)</f>
        <v>0</v>
      </c>
      <c r="D4654" s="26">
        <f>IF(A4654="","",ROUND((A4654-cfgDefasagem/1440)*48,0))</f>
        <v>0</v>
      </c>
      <c r="E4654" s="26">
        <f>IF(D4654="","",INT((D4654-cfgDeslocamento)/4))</f>
        <v>0</v>
      </c>
      <c r="F4654" s="26">
        <f>IF(D4654="","",MOD(D4654-cfgDeslocamento,4)+1)</f>
        <v>0</v>
      </c>
      <c r="G4654" s="26">
        <f>IF(A4654="","",IF(AND(ISNUMBER(B4654),B4654&lt;&gt;0),1,0))</f>
        <v>0</v>
      </c>
      <c r="H4654" s="25">
        <f>IF(E4654="","",(E4654*4+3+cfgDeslocamento)/48)</f>
        <v>0</v>
      </c>
    </row>
    <row r="4655" spans="1:8">
      <c r="A4655" s="24"/>
      <c r="B4655" s="19"/>
      <c r="C4655" s="25">
        <f>IF(D4655="","",D4655/48)</f>
        <v>0</v>
      </c>
      <c r="D4655" s="26">
        <f>IF(A4655="","",ROUND((A4655-cfgDefasagem/1440)*48,0))</f>
        <v>0</v>
      </c>
      <c r="E4655" s="26">
        <f>IF(D4655="","",INT((D4655-cfgDeslocamento)/4))</f>
        <v>0</v>
      </c>
      <c r="F4655" s="26">
        <f>IF(D4655="","",MOD(D4655-cfgDeslocamento,4)+1)</f>
        <v>0</v>
      </c>
      <c r="G4655" s="26">
        <f>IF(A4655="","",IF(AND(ISNUMBER(B4655),B4655&lt;&gt;0),1,0))</f>
        <v>0</v>
      </c>
      <c r="H4655" s="25">
        <f>IF(E4655="","",(E4655*4+3+cfgDeslocamento)/48)</f>
        <v>0</v>
      </c>
    </row>
    <row r="4656" spans="1:8">
      <c r="A4656" s="24"/>
      <c r="B4656" s="19"/>
      <c r="C4656" s="25">
        <f>IF(D4656="","",D4656/48)</f>
        <v>0</v>
      </c>
      <c r="D4656" s="26">
        <f>IF(A4656="","",ROUND((A4656-cfgDefasagem/1440)*48,0))</f>
        <v>0</v>
      </c>
      <c r="E4656" s="26">
        <f>IF(D4656="","",INT((D4656-cfgDeslocamento)/4))</f>
        <v>0</v>
      </c>
      <c r="F4656" s="26">
        <f>IF(D4656="","",MOD(D4656-cfgDeslocamento,4)+1)</f>
        <v>0</v>
      </c>
      <c r="G4656" s="26">
        <f>IF(A4656="","",IF(AND(ISNUMBER(B4656),B4656&lt;&gt;0),1,0))</f>
        <v>0</v>
      </c>
      <c r="H4656" s="25">
        <f>IF(E4656="","",(E4656*4+3+cfgDeslocamento)/48)</f>
        <v>0</v>
      </c>
    </row>
    <row r="4657" spans="1:8">
      <c r="A4657" s="24"/>
      <c r="B4657" s="19"/>
      <c r="C4657" s="25">
        <f>IF(D4657="","",D4657/48)</f>
        <v>0</v>
      </c>
      <c r="D4657" s="26">
        <f>IF(A4657="","",ROUND((A4657-cfgDefasagem/1440)*48,0))</f>
        <v>0</v>
      </c>
      <c r="E4657" s="26">
        <f>IF(D4657="","",INT((D4657-cfgDeslocamento)/4))</f>
        <v>0</v>
      </c>
      <c r="F4657" s="26">
        <f>IF(D4657="","",MOD(D4657-cfgDeslocamento,4)+1)</f>
        <v>0</v>
      </c>
      <c r="G4657" s="26">
        <f>IF(A4657="","",IF(AND(ISNUMBER(B4657),B4657&lt;&gt;0),1,0))</f>
        <v>0</v>
      </c>
      <c r="H4657" s="25">
        <f>IF(E4657="","",(E4657*4+3+cfgDeslocamento)/48)</f>
        <v>0</v>
      </c>
    </row>
    <row r="4658" spans="1:8">
      <c r="A4658" s="24"/>
      <c r="B4658" s="19"/>
      <c r="C4658" s="25">
        <f>IF(D4658="","",D4658/48)</f>
        <v>0</v>
      </c>
      <c r="D4658" s="26">
        <f>IF(A4658="","",ROUND((A4658-cfgDefasagem/1440)*48,0))</f>
        <v>0</v>
      </c>
      <c r="E4658" s="26">
        <f>IF(D4658="","",INT((D4658-cfgDeslocamento)/4))</f>
        <v>0</v>
      </c>
      <c r="F4658" s="26">
        <f>IF(D4658="","",MOD(D4658-cfgDeslocamento,4)+1)</f>
        <v>0</v>
      </c>
      <c r="G4658" s="26">
        <f>IF(A4658="","",IF(AND(ISNUMBER(B4658),B4658&lt;&gt;0),1,0))</f>
        <v>0</v>
      </c>
      <c r="H4658" s="25">
        <f>IF(E4658="","",(E4658*4+3+cfgDeslocamento)/48)</f>
        <v>0</v>
      </c>
    </row>
    <row r="4659" spans="1:8">
      <c r="A4659" s="24"/>
      <c r="B4659" s="19"/>
      <c r="C4659" s="25">
        <f>IF(D4659="","",D4659/48)</f>
        <v>0</v>
      </c>
      <c r="D4659" s="26">
        <f>IF(A4659="","",ROUND((A4659-cfgDefasagem/1440)*48,0))</f>
        <v>0</v>
      </c>
      <c r="E4659" s="26">
        <f>IF(D4659="","",INT((D4659-cfgDeslocamento)/4))</f>
        <v>0</v>
      </c>
      <c r="F4659" s="26">
        <f>IF(D4659="","",MOD(D4659-cfgDeslocamento,4)+1)</f>
        <v>0</v>
      </c>
      <c r="G4659" s="26">
        <f>IF(A4659="","",IF(AND(ISNUMBER(B4659),B4659&lt;&gt;0),1,0))</f>
        <v>0</v>
      </c>
      <c r="H4659" s="25">
        <f>IF(E4659="","",(E4659*4+3+cfgDeslocamento)/48)</f>
        <v>0</v>
      </c>
    </row>
    <row r="4660" spans="1:8">
      <c r="A4660" s="24"/>
      <c r="B4660" s="19"/>
      <c r="C4660" s="25">
        <f>IF(D4660="","",D4660/48)</f>
        <v>0</v>
      </c>
      <c r="D4660" s="26">
        <f>IF(A4660="","",ROUND((A4660-cfgDefasagem/1440)*48,0))</f>
        <v>0</v>
      </c>
      <c r="E4660" s="26">
        <f>IF(D4660="","",INT((D4660-cfgDeslocamento)/4))</f>
        <v>0</v>
      </c>
      <c r="F4660" s="26">
        <f>IF(D4660="","",MOD(D4660-cfgDeslocamento,4)+1)</f>
        <v>0</v>
      </c>
      <c r="G4660" s="26">
        <f>IF(A4660="","",IF(AND(ISNUMBER(B4660),B4660&lt;&gt;0),1,0))</f>
        <v>0</v>
      </c>
      <c r="H4660" s="25">
        <f>IF(E4660="","",(E4660*4+3+cfgDeslocamento)/48)</f>
        <v>0</v>
      </c>
    </row>
    <row r="4661" spans="1:8">
      <c r="A4661" s="24"/>
      <c r="B4661" s="19"/>
      <c r="C4661" s="25">
        <f>IF(D4661="","",D4661/48)</f>
        <v>0</v>
      </c>
      <c r="D4661" s="26">
        <f>IF(A4661="","",ROUND((A4661-cfgDefasagem/1440)*48,0))</f>
        <v>0</v>
      </c>
      <c r="E4661" s="26">
        <f>IF(D4661="","",INT((D4661-cfgDeslocamento)/4))</f>
        <v>0</v>
      </c>
      <c r="F4661" s="26">
        <f>IF(D4661="","",MOD(D4661-cfgDeslocamento,4)+1)</f>
        <v>0</v>
      </c>
      <c r="G4661" s="26">
        <f>IF(A4661="","",IF(AND(ISNUMBER(B4661),B4661&lt;&gt;0),1,0))</f>
        <v>0</v>
      </c>
      <c r="H4661" s="25">
        <f>IF(E4661="","",(E4661*4+3+cfgDeslocamento)/48)</f>
        <v>0</v>
      </c>
    </row>
    <row r="4662" spans="1:8">
      <c r="A4662" s="24"/>
      <c r="B4662" s="19"/>
      <c r="C4662" s="25">
        <f>IF(D4662="","",D4662/48)</f>
        <v>0</v>
      </c>
      <c r="D4662" s="26">
        <f>IF(A4662="","",ROUND((A4662-cfgDefasagem/1440)*48,0))</f>
        <v>0</v>
      </c>
      <c r="E4662" s="26">
        <f>IF(D4662="","",INT((D4662-cfgDeslocamento)/4))</f>
        <v>0</v>
      </c>
      <c r="F4662" s="26">
        <f>IF(D4662="","",MOD(D4662-cfgDeslocamento,4)+1)</f>
        <v>0</v>
      </c>
      <c r="G4662" s="26">
        <f>IF(A4662="","",IF(AND(ISNUMBER(B4662),B4662&lt;&gt;0),1,0))</f>
        <v>0</v>
      </c>
      <c r="H4662" s="25">
        <f>IF(E4662="","",(E4662*4+3+cfgDeslocamento)/48)</f>
        <v>0</v>
      </c>
    </row>
    <row r="4663" spans="1:8">
      <c r="A4663" s="24"/>
      <c r="B4663" s="19"/>
      <c r="C4663" s="25">
        <f>IF(D4663="","",D4663/48)</f>
        <v>0</v>
      </c>
      <c r="D4663" s="26">
        <f>IF(A4663="","",ROUND((A4663-cfgDefasagem/1440)*48,0))</f>
        <v>0</v>
      </c>
      <c r="E4663" s="26">
        <f>IF(D4663="","",INT((D4663-cfgDeslocamento)/4))</f>
        <v>0</v>
      </c>
      <c r="F4663" s="26">
        <f>IF(D4663="","",MOD(D4663-cfgDeslocamento,4)+1)</f>
        <v>0</v>
      </c>
      <c r="G4663" s="26">
        <f>IF(A4663="","",IF(AND(ISNUMBER(B4663),B4663&lt;&gt;0),1,0))</f>
        <v>0</v>
      </c>
      <c r="H4663" s="25">
        <f>IF(E4663="","",(E4663*4+3+cfgDeslocamento)/48)</f>
        <v>0</v>
      </c>
    </row>
    <row r="4664" spans="1:8">
      <c r="A4664" s="24"/>
      <c r="B4664" s="19"/>
      <c r="C4664" s="25">
        <f>IF(D4664="","",D4664/48)</f>
        <v>0</v>
      </c>
      <c r="D4664" s="26">
        <f>IF(A4664="","",ROUND((A4664-cfgDefasagem/1440)*48,0))</f>
        <v>0</v>
      </c>
      <c r="E4664" s="26">
        <f>IF(D4664="","",INT((D4664-cfgDeslocamento)/4))</f>
        <v>0</v>
      </c>
      <c r="F4664" s="26">
        <f>IF(D4664="","",MOD(D4664-cfgDeslocamento,4)+1)</f>
        <v>0</v>
      </c>
      <c r="G4664" s="26">
        <f>IF(A4664="","",IF(AND(ISNUMBER(B4664),B4664&lt;&gt;0),1,0))</f>
        <v>0</v>
      </c>
      <c r="H4664" s="25">
        <f>IF(E4664="","",(E4664*4+3+cfgDeslocamento)/48)</f>
        <v>0</v>
      </c>
    </row>
    <row r="4665" spans="1:8">
      <c r="A4665" s="24"/>
      <c r="B4665" s="19"/>
      <c r="C4665" s="25">
        <f>IF(D4665="","",D4665/48)</f>
        <v>0</v>
      </c>
      <c r="D4665" s="26">
        <f>IF(A4665="","",ROUND((A4665-cfgDefasagem/1440)*48,0))</f>
        <v>0</v>
      </c>
      <c r="E4665" s="26">
        <f>IF(D4665="","",INT((D4665-cfgDeslocamento)/4))</f>
        <v>0</v>
      </c>
      <c r="F4665" s="26">
        <f>IF(D4665="","",MOD(D4665-cfgDeslocamento,4)+1)</f>
        <v>0</v>
      </c>
      <c r="G4665" s="26">
        <f>IF(A4665="","",IF(AND(ISNUMBER(B4665),B4665&lt;&gt;0),1,0))</f>
        <v>0</v>
      </c>
      <c r="H4665" s="25">
        <f>IF(E4665="","",(E4665*4+3+cfgDeslocamento)/48)</f>
        <v>0</v>
      </c>
    </row>
    <row r="4666" spans="1:8">
      <c r="A4666" s="24"/>
      <c r="B4666" s="19"/>
      <c r="C4666" s="25">
        <f>IF(D4666="","",D4666/48)</f>
        <v>0</v>
      </c>
      <c r="D4666" s="26">
        <f>IF(A4666="","",ROUND((A4666-cfgDefasagem/1440)*48,0))</f>
        <v>0</v>
      </c>
      <c r="E4666" s="26">
        <f>IF(D4666="","",INT((D4666-cfgDeslocamento)/4))</f>
        <v>0</v>
      </c>
      <c r="F4666" s="26">
        <f>IF(D4666="","",MOD(D4666-cfgDeslocamento,4)+1)</f>
        <v>0</v>
      </c>
      <c r="G4666" s="26">
        <f>IF(A4666="","",IF(AND(ISNUMBER(B4666),B4666&lt;&gt;0),1,0))</f>
        <v>0</v>
      </c>
      <c r="H4666" s="25">
        <f>IF(E4666="","",(E4666*4+3+cfgDeslocamento)/48)</f>
        <v>0</v>
      </c>
    </row>
    <row r="4667" spans="1:8">
      <c r="A4667" s="24"/>
      <c r="B4667" s="19"/>
      <c r="C4667" s="25">
        <f>IF(D4667="","",D4667/48)</f>
        <v>0</v>
      </c>
      <c r="D4667" s="26">
        <f>IF(A4667="","",ROUND((A4667-cfgDefasagem/1440)*48,0))</f>
        <v>0</v>
      </c>
      <c r="E4667" s="26">
        <f>IF(D4667="","",INT((D4667-cfgDeslocamento)/4))</f>
        <v>0</v>
      </c>
      <c r="F4667" s="26">
        <f>IF(D4667="","",MOD(D4667-cfgDeslocamento,4)+1)</f>
        <v>0</v>
      </c>
      <c r="G4667" s="26">
        <f>IF(A4667="","",IF(AND(ISNUMBER(B4667),B4667&lt;&gt;0),1,0))</f>
        <v>0</v>
      </c>
      <c r="H4667" s="25">
        <f>IF(E4667="","",(E4667*4+3+cfgDeslocamento)/48)</f>
        <v>0</v>
      </c>
    </row>
    <row r="4668" spans="1:8">
      <c r="A4668" s="24"/>
      <c r="B4668" s="19"/>
      <c r="C4668" s="25">
        <f>IF(D4668="","",D4668/48)</f>
        <v>0</v>
      </c>
      <c r="D4668" s="26">
        <f>IF(A4668="","",ROUND((A4668-cfgDefasagem/1440)*48,0))</f>
        <v>0</v>
      </c>
      <c r="E4668" s="26">
        <f>IF(D4668="","",INT((D4668-cfgDeslocamento)/4))</f>
        <v>0</v>
      </c>
      <c r="F4668" s="26">
        <f>IF(D4668="","",MOD(D4668-cfgDeslocamento,4)+1)</f>
        <v>0</v>
      </c>
      <c r="G4668" s="26">
        <f>IF(A4668="","",IF(AND(ISNUMBER(B4668),B4668&lt;&gt;0),1,0))</f>
        <v>0</v>
      </c>
      <c r="H4668" s="25">
        <f>IF(E4668="","",(E4668*4+3+cfgDeslocamento)/48)</f>
        <v>0</v>
      </c>
    </row>
    <row r="4669" spans="1:8">
      <c r="A4669" s="24"/>
      <c r="B4669" s="19"/>
      <c r="C4669" s="25">
        <f>IF(D4669="","",D4669/48)</f>
        <v>0</v>
      </c>
      <c r="D4669" s="26">
        <f>IF(A4669="","",ROUND((A4669-cfgDefasagem/1440)*48,0))</f>
        <v>0</v>
      </c>
      <c r="E4669" s="26">
        <f>IF(D4669="","",INT((D4669-cfgDeslocamento)/4))</f>
        <v>0</v>
      </c>
      <c r="F4669" s="26">
        <f>IF(D4669="","",MOD(D4669-cfgDeslocamento,4)+1)</f>
        <v>0</v>
      </c>
      <c r="G4669" s="26">
        <f>IF(A4669="","",IF(AND(ISNUMBER(B4669),B4669&lt;&gt;0),1,0))</f>
        <v>0</v>
      </c>
      <c r="H4669" s="25">
        <f>IF(E4669="","",(E4669*4+3+cfgDeslocamento)/48)</f>
        <v>0</v>
      </c>
    </row>
    <row r="4670" spans="1:8">
      <c r="A4670" s="24"/>
      <c r="B4670" s="19"/>
      <c r="C4670" s="25">
        <f>IF(D4670="","",D4670/48)</f>
        <v>0</v>
      </c>
      <c r="D4670" s="26">
        <f>IF(A4670="","",ROUND((A4670-cfgDefasagem/1440)*48,0))</f>
        <v>0</v>
      </c>
      <c r="E4670" s="26">
        <f>IF(D4670="","",INT((D4670-cfgDeslocamento)/4))</f>
        <v>0</v>
      </c>
      <c r="F4670" s="26">
        <f>IF(D4670="","",MOD(D4670-cfgDeslocamento,4)+1)</f>
        <v>0</v>
      </c>
      <c r="G4670" s="26">
        <f>IF(A4670="","",IF(AND(ISNUMBER(B4670),B4670&lt;&gt;0),1,0))</f>
        <v>0</v>
      </c>
      <c r="H4670" s="25">
        <f>IF(E4670="","",(E4670*4+3+cfgDeslocamento)/48)</f>
        <v>0</v>
      </c>
    </row>
    <row r="4671" spans="1:8">
      <c r="A4671" s="24"/>
      <c r="B4671" s="19"/>
      <c r="C4671" s="25">
        <f>IF(D4671="","",D4671/48)</f>
        <v>0</v>
      </c>
      <c r="D4671" s="26">
        <f>IF(A4671="","",ROUND((A4671-cfgDefasagem/1440)*48,0))</f>
        <v>0</v>
      </c>
      <c r="E4671" s="26">
        <f>IF(D4671="","",INT((D4671-cfgDeslocamento)/4))</f>
        <v>0</v>
      </c>
      <c r="F4671" s="26">
        <f>IF(D4671="","",MOD(D4671-cfgDeslocamento,4)+1)</f>
        <v>0</v>
      </c>
      <c r="G4671" s="26">
        <f>IF(A4671="","",IF(AND(ISNUMBER(B4671),B4671&lt;&gt;0),1,0))</f>
        <v>0</v>
      </c>
      <c r="H4671" s="25">
        <f>IF(E4671="","",(E4671*4+3+cfgDeslocamento)/48)</f>
        <v>0</v>
      </c>
    </row>
    <row r="4672" spans="1:8">
      <c r="A4672" s="24"/>
      <c r="B4672" s="19"/>
      <c r="C4672" s="25">
        <f>IF(D4672="","",D4672/48)</f>
        <v>0</v>
      </c>
      <c r="D4672" s="26">
        <f>IF(A4672="","",ROUND((A4672-cfgDefasagem/1440)*48,0))</f>
        <v>0</v>
      </c>
      <c r="E4672" s="26">
        <f>IF(D4672="","",INT((D4672-cfgDeslocamento)/4))</f>
        <v>0</v>
      </c>
      <c r="F4672" s="26">
        <f>IF(D4672="","",MOD(D4672-cfgDeslocamento,4)+1)</f>
        <v>0</v>
      </c>
      <c r="G4672" s="26">
        <f>IF(A4672="","",IF(AND(ISNUMBER(B4672),B4672&lt;&gt;0),1,0))</f>
        <v>0</v>
      </c>
      <c r="H4672" s="25">
        <f>IF(E4672="","",(E4672*4+3+cfgDeslocamento)/48)</f>
        <v>0</v>
      </c>
    </row>
    <row r="4673" spans="1:8">
      <c r="A4673" s="24"/>
      <c r="B4673" s="19"/>
      <c r="C4673" s="25">
        <f>IF(D4673="","",D4673/48)</f>
        <v>0</v>
      </c>
      <c r="D4673" s="26">
        <f>IF(A4673="","",ROUND((A4673-cfgDefasagem/1440)*48,0))</f>
        <v>0</v>
      </c>
      <c r="E4673" s="26">
        <f>IF(D4673="","",INT((D4673-cfgDeslocamento)/4))</f>
        <v>0</v>
      </c>
      <c r="F4673" s="26">
        <f>IF(D4673="","",MOD(D4673-cfgDeslocamento,4)+1)</f>
        <v>0</v>
      </c>
      <c r="G4673" s="26">
        <f>IF(A4673="","",IF(AND(ISNUMBER(B4673),B4673&lt;&gt;0),1,0))</f>
        <v>0</v>
      </c>
      <c r="H4673" s="25">
        <f>IF(E4673="","",(E4673*4+3+cfgDeslocamento)/48)</f>
        <v>0</v>
      </c>
    </row>
    <row r="4674" spans="1:8">
      <c r="A4674" s="24"/>
      <c r="B4674" s="19"/>
      <c r="C4674" s="25">
        <f>IF(D4674="","",D4674/48)</f>
        <v>0</v>
      </c>
      <c r="D4674" s="26">
        <f>IF(A4674="","",ROUND((A4674-cfgDefasagem/1440)*48,0))</f>
        <v>0</v>
      </c>
      <c r="E4674" s="26">
        <f>IF(D4674="","",INT((D4674-cfgDeslocamento)/4))</f>
        <v>0</v>
      </c>
      <c r="F4674" s="26">
        <f>IF(D4674="","",MOD(D4674-cfgDeslocamento,4)+1)</f>
        <v>0</v>
      </c>
      <c r="G4674" s="26">
        <f>IF(A4674="","",IF(AND(ISNUMBER(B4674),B4674&lt;&gt;0),1,0))</f>
        <v>0</v>
      </c>
      <c r="H4674" s="25">
        <f>IF(E4674="","",(E4674*4+3+cfgDeslocamento)/48)</f>
        <v>0</v>
      </c>
    </row>
    <row r="4675" spans="1:8">
      <c r="A4675" s="24"/>
      <c r="B4675" s="19"/>
      <c r="C4675" s="25">
        <f>IF(D4675="","",D4675/48)</f>
        <v>0</v>
      </c>
      <c r="D4675" s="26">
        <f>IF(A4675="","",ROUND((A4675-cfgDefasagem/1440)*48,0))</f>
        <v>0</v>
      </c>
      <c r="E4675" s="26">
        <f>IF(D4675="","",INT((D4675-cfgDeslocamento)/4))</f>
        <v>0</v>
      </c>
      <c r="F4675" s="26">
        <f>IF(D4675="","",MOD(D4675-cfgDeslocamento,4)+1)</f>
        <v>0</v>
      </c>
      <c r="G4675" s="26">
        <f>IF(A4675="","",IF(AND(ISNUMBER(B4675),B4675&lt;&gt;0),1,0))</f>
        <v>0</v>
      </c>
      <c r="H4675" s="25">
        <f>IF(E4675="","",(E4675*4+3+cfgDeslocamento)/48)</f>
        <v>0</v>
      </c>
    </row>
    <row r="4676" spans="1:8">
      <c r="A4676" s="24"/>
      <c r="B4676" s="19"/>
      <c r="C4676" s="25">
        <f>IF(D4676="","",D4676/48)</f>
        <v>0</v>
      </c>
      <c r="D4676" s="26">
        <f>IF(A4676="","",ROUND((A4676-cfgDefasagem/1440)*48,0))</f>
        <v>0</v>
      </c>
      <c r="E4676" s="26">
        <f>IF(D4676="","",INT((D4676-cfgDeslocamento)/4))</f>
        <v>0</v>
      </c>
      <c r="F4676" s="26">
        <f>IF(D4676="","",MOD(D4676-cfgDeslocamento,4)+1)</f>
        <v>0</v>
      </c>
      <c r="G4676" s="26">
        <f>IF(A4676="","",IF(AND(ISNUMBER(B4676),B4676&lt;&gt;0),1,0))</f>
        <v>0</v>
      </c>
      <c r="H4676" s="25">
        <f>IF(E4676="","",(E4676*4+3+cfgDeslocamento)/48)</f>
        <v>0</v>
      </c>
    </row>
    <row r="4677" spans="1:8">
      <c r="A4677" s="24"/>
      <c r="B4677" s="19"/>
      <c r="C4677" s="25">
        <f>IF(D4677="","",D4677/48)</f>
        <v>0</v>
      </c>
      <c r="D4677" s="26">
        <f>IF(A4677="","",ROUND((A4677-cfgDefasagem/1440)*48,0))</f>
        <v>0</v>
      </c>
      <c r="E4677" s="26">
        <f>IF(D4677="","",INT((D4677-cfgDeslocamento)/4))</f>
        <v>0</v>
      </c>
      <c r="F4677" s="26">
        <f>IF(D4677="","",MOD(D4677-cfgDeslocamento,4)+1)</f>
        <v>0</v>
      </c>
      <c r="G4677" s="26">
        <f>IF(A4677="","",IF(AND(ISNUMBER(B4677),B4677&lt;&gt;0),1,0))</f>
        <v>0</v>
      </c>
      <c r="H4677" s="25">
        <f>IF(E4677="","",(E4677*4+3+cfgDeslocamento)/48)</f>
        <v>0</v>
      </c>
    </row>
    <row r="4678" spans="1:8">
      <c r="A4678" s="24"/>
      <c r="B4678" s="19"/>
      <c r="C4678" s="25">
        <f>IF(D4678="","",D4678/48)</f>
        <v>0</v>
      </c>
      <c r="D4678" s="26">
        <f>IF(A4678="","",ROUND((A4678-cfgDefasagem/1440)*48,0))</f>
        <v>0</v>
      </c>
      <c r="E4678" s="26">
        <f>IF(D4678="","",INT((D4678-cfgDeslocamento)/4))</f>
        <v>0</v>
      </c>
      <c r="F4678" s="26">
        <f>IF(D4678="","",MOD(D4678-cfgDeslocamento,4)+1)</f>
        <v>0</v>
      </c>
      <c r="G4678" s="26">
        <f>IF(A4678="","",IF(AND(ISNUMBER(B4678),B4678&lt;&gt;0),1,0))</f>
        <v>0</v>
      </c>
      <c r="H4678" s="25">
        <f>IF(E4678="","",(E4678*4+3+cfgDeslocamento)/48)</f>
        <v>0</v>
      </c>
    </row>
    <row r="4679" spans="1:8">
      <c r="A4679" s="24"/>
      <c r="B4679" s="19"/>
      <c r="C4679" s="25">
        <f>IF(D4679="","",D4679/48)</f>
        <v>0</v>
      </c>
      <c r="D4679" s="26">
        <f>IF(A4679="","",ROUND((A4679-cfgDefasagem/1440)*48,0))</f>
        <v>0</v>
      </c>
      <c r="E4679" s="26">
        <f>IF(D4679="","",INT((D4679-cfgDeslocamento)/4))</f>
        <v>0</v>
      </c>
      <c r="F4679" s="26">
        <f>IF(D4679="","",MOD(D4679-cfgDeslocamento,4)+1)</f>
        <v>0</v>
      </c>
      <c r="G4679" s="26">
        <f>IF(A4679="","",IF(AND(ISNUMBER(B4679),B4679&lt;&gt;0),1,0))</f>
        <v>0</v>
      </c>
      <c r="H4679" s="25">
        <f>IF(E4679="","",(E4679*4+3+cfgDeslocamento)/48)</f>
        <v>0</v>
      </c>
    </row>
    <row r="4680" spans="1:8">
      <c r="A4680" s="24"/>
      <c r="B4680" s="19"/>
      <c r="C4680" s="25">
        <f>IF(D4680="","",D4680/48)</f>
        <v>0</v>
      </c>
      <c r="D4680" s="26">
        <f>IF(A4680="","",ROUND((A4680-cfgDefasagem/1440)*48,0))</f>
        <v>0</v>
      </c>
      <c r="E4680" s="26">
        <f>IF(D4680="","",INT((D4680-cfgDeslocamento)/4))</f>
        <v>0</v>
      </c>
      <c r="F4680" s="26">
        <f>IF(D4680="","",MOD(D4680-cfgDeslocamento,4)+1)</f>
        <v>0</v>
      </c>
      <c r="G4680" s="26">
        <f>IF(A4680="","",IF(AND(ISNUMBER(B4680),B4680&lt;&gt;0),1,0))</f>
        <v>0</v>
      </c>
      <c r="H4680" s="25">
        <f>IF(E4680="","",(E4680*4+3+cfgDeslocamento)/48)</f>
        <v>0</v>
      </c>
    </row>
    <row r="4681" spans="1:8">
      <c r="A4681" s="24"/>
      <c r="B4681" s="19"/>
      <c r="C4681" s="25">
        <f>IF(D4681="","",D4681/48)</f>
        <v>0</v>
      </c>
      <c r="D4681" s="26">
        <f>IF(A4681="","",ROUND((A4681-cfgDefasagem/1440)*48,0))</f>
        <v>0</v>
      </c>
      <c r="E4681" s="26">
        <f>IF(D4681="","",INT((D4681-cfgDeslocamento)/4))</f>
        <v>0</v>
      </c>
      <c r="F4681" s="26">
        <f>IF(D4681="","",MOD(D4681-cfgDeslocamento,4)+1)</f>
        <v>0</v>
      </c>
      <c r="G4681" s="26">
        <f>IF(A4681="","",IF(AND(ISNUMBER(B4681),B4681&lt;&gt;0),1,0))</f>
        <v>0</v>
      </c>
      <c r="H4681" s="25">
        <f>IF(E4681="","",(E4681*4+3+cfgDeslocamento)/48)</f>
        <v>0</v>
      </c>
    </row>
    <row r="4682" spans="1:8">
      <c r="A4682" s="24"/>
      <c r="B4682" s="19"/>
      <c r="C4682" s="25">
        <f>IF(D4682="","",D4682/48)</f>
        <v>0</v>
      </c>
      <c r="D4682" s="26">
        <f>IF(A4682="","",ROUND((A4682-cfgDefasagem/1440)*48,0))</f>
        <v>0</v>
      </c>
      <c r="E4682" s="26">
        <f>IF(D4682="","",INT((D4682-cfgDeslocamento)/4))</f>
        <v>0</v>
      </c>
      <c r="F4682" s="26">
        <f>IF(D4682="","",MOD(D4682-cfgDeslocamento,4)+1)</f>
        <v>0</v>
      </c>
      <c r="G4682" s="26">
        <f>IF(A4682="","",IF(AND(ISNUMBER(B4682),B4682&lt;&gt;0),1,0))</f>
        <v>0</v>
      </c>
      <c r="H4682" s="25">
        <f>IF(E4682="","",(E4682*4+3+cfgDeslocamento)/48)</f>
        <v>0</v>
      </c>
    </row>
    <row r="4683" spans="1:8">
      <c r="A4683" s="24"/>
      <c r="B4683" s="19"/>
      <c r="C4683" s="25">
        <f>IF(D4683="","",D4683/48)</f>
        <v>0</v>
      </c>
      <c r="D4683" s="26">
        <f>IF(A4683="","",ROUND((A4683-cfgDefasagem/1440)*48,0))</f>
        <v>0</v>
      </c>
      <c r="E4683" s="26">
        <f>IF(D4683="","",INT((D4683-cfgDeslocamento)/4))</f>
        <v>0</v>
      </c>
      <c r="F4683" s="26">
        <f>IF(D4683="","",MOD(D4683-cfgDeslocamento,4)+1)</f>
        <v>0</v>
      </c>
      <c r="G4683" s="26">
        <f>IF(A4683="","",IF(AND(ISNUMBER(B4683),B4683&lt;&gt;0),1,0))</f>
        <v>0</v>
      </c>
      <c r="H4683" s="25">
        <f>IF(E4683="","",(E4683*4+3+cfgDeslocamento)/48)</f>
        <v>0</v>
      </c>
    </row>
    <row r="4684" spans="1:8">
      <c r="A4684" s="24"/>
      <c r="B4684" s="19"/>
      <c r="C4684" s="25">
        <f>IF(D4684="","",D4684/48)</f>
        <v>0</v>
      </c>
      <c r="D4684" s="26">
        <f>IF(A4684="","",ROUND((A4684-cfgDefasagem/1440)*48,0))</f>
        <v>0</v>
      </c>
      <c r="E4684" s="26">
        <f>IF(D4684="","",INT((D4684-cfgDeslocamento)/4))</f>
        <v>0</v>
      </c>
      <c r="F4684" s="26">
        <f>IF(D4684="","",MOD(D4684-cfgDeslocamento,4)+1)</f>
        <v>0</v>
      </c>
      <c r="G4684" s="26">
        <f>IF(A4684="","",IF(AND(ISNUMBER(B4684),B4684&lt;&gt;0),1,0))</f>
        <v>0</v>
      </c>
      <c r="H4684" s="25">
        <f>IF(E4684="","",(E4684*4+3+cfgDeslocamento)/48)</f>
        <v>0</v>
      </c>
    </row>
    <row r="4685" spans="1:8">
      <c r="A4685" s="24"/>
      <c r="B4685" s="19"/>
      <c r="C4685" s="25">
        <f>IF(D4685="","",D4685/48)</f>
        <v>0</v>
      </c>
      <c r="D4685" s="26">
        <f>IF(A4685="","",ROUND((A4685-cfgDefasagem/1440)*48,0))</f>
        <v>0</v>
      </c>
      <c r="E4685" s="26">
        <f>IF(D4685="","",INT((D4685-cfgDeslocamento)/4))</f>
        <v>0</v>
      </c>
      <c r="F4685" s="26">
        <f>IF(D4685="","",MOD(D4685-cfgDeslocamento,4)+1)</f>
        <v>0</v>
      </c>
      <c r="G4685" s="26">
        <f>IF(A4685="","",IF(AND(ISNUMBER(B4685),B4685&lt;&gt;0),1,0))</f>
        <v>0</v>
      </c>
      <c r="H4685" s="25">
        <f>IF(E4685="","",(E4685*4+3+cfgDeslocamento)/48)</f>
        <v>0</v>
      </c>
    </row>
    <row r="4686" spans="1:8">
      <c r="A4686" s="24"/>
      <c r="B4686" s="19"/>
      <c r="C4686" s="25">
        <f>IF(D4686="","",D4686/48)</f>
        <v>0</v>
      </c>
      <c r="D4686" s="26">
        <f>IF(A4686="","",ROUND((A4686-cfgDefasagem/1440)*48,0))</f>
        <v>0</v>
      </c>
      <c r="E4686" s="26">
        <f>IF(D4686="","",INT((D4686-cfgDeslocamento)/4))</f>
        <v>0</v>
      </c>
      <c r="F4686" s="26">
        <f>IF(D4686="","",MOD(D4686-cfgDeslocamento,4)+1)</f>
        <v>0</v>
      </c>
      <c r="G4686" s="26">
        <f>IF(A4686="","",IF(AND(ISNUMBER(B4686),B4686&lt;&gt;0),1,0))</f>
        <v>0</v>
      </c>
      <c r="H4686" s="25">
        <f>IF(E4686="","",(E4686*4+3+cfgDeslocamento)/48)</f>
        <v>0</v>
      </c>
    </row>
    <row r="4687" spans="1:8">
      <c r="A4687" s="24"/>
      <c r="B4687" s="19"/>
      <c r="C4687" s="25">
        <f>IF(D4687="","",D4687/48)</f>
        <v>0</v>
      </c>
      <c r="D4687" s="26">
        <f>IF(A4687="","",ROUND((A4687-cfgDefasagem/1440)*48,0))</f>
        <v>0</v>
      </c>
      <c r="E4687" s="26">
        <f>IF(D4687="","",INT((D4687-cfgDeslocamento)/4))</f>
        <v>0</v>
      </c>
      <c r="F4687" s="26">
        <f>IF(D4687="","",MOD(D4687-cfgDeslocamento,4)+1)</f>
        <v>0</v>
      </c>
      <c r="G4687" s="26">
        <f>IF(A4687="","",IF(AND(ISNUMBER(B4687),B4687&lt;&gt;0),1,0))</f>
        <v>0</v>
      </c>
      <c r="H4687" s="25">
        <f>IF(E4687="","",(E4687*4+3+cfgDeslocamento)/48)</f>
        <v>0</v>
      </c>
    </row>
    <row r="4688" spans="1:8">
      <c r="A4688" s="24"/>
      <c r="B4688" s="19"/>
      <c r="C4688" s="25">
        <f>IF(D4688="","",D4688/48)</f>
        <v>0</v>
      </c>
      <c r="D4688" s="26">
        <f>IF(A4688="","",ROUND((A4688-cfgDefasagem/1440)*48,0))</f>
        <v>0</v>
      </c>
      <c r="E4688" s="26">
        <f>IF(D4688="","",INT((D4688-cfgDeslocamento)/4))</f>
        <v>0</v>
      </c>
      <c r="F4688" s="26">
        <f>IF(D4688="","",MOD(D4688-cfgDeslocamento,4)+1)</f>
        <v>0</v>
      </c>
      <c r="G4688" s="26">
        <f>IF(A4688="","",IF(AND(ISNUMBER(B4688),B4688&lt;&gt;0),1,0))</f>
        <v>0</v>
      </c>
      <c r="H4688" s="25">
        <f>IF(E4688="","",(E4688*4+3+cfgDeslocamento)/48)</f>
        <v>0</v>
      </c>
    </row>
    <row r="4689" spans="1:8">
      <c r="A4689" s="24"/>
      <c r="B4689" s="19"/>
      <c r="C4689" s="25">
        <f>IF(D4689="","",D4689/48)</f>
        <v>0</v>
      </c>
      <c r="D4689" s="26">
        <f>IF(A4689="","",ROUND((A4689-cfgDefasagem/1440)*48,0))</f>
        <v>0</v>
      </c>
      <c r="E4689" s="26">
        <f>IF(D4689="","",INT((D4689-cfgDeslocamento)/4))</f>
        <v>0</v>
      </c>
      <c r="F4689" s="26">
        <f>IF(D4689="","",MOD(D4689-cfgDeslocamento,4)+1)</f>
        <v>0</v>
      </c>
      <c r="G4689" s="26">
        <f>IF(A4689="","",IF(AND(ISNUMBER(B4689),B4689&lt;&gt;0),1,0))</f>
        <v>0</v>
      </c>
      <c r="H4689" s="25">
        <f>IF(E4689="","",(E4689*4+3+cfgDeslocamento)/48)</f>
        <v>0</v>
      </c>
    </row>
    <row r="4690" spans="1:8">
      <c r="A4690" s="24"/>
      <c r="B4690" s="19"/>
      <c r="C4690" s="25">
        <f>IF(D4690="","",D4690/48)</f>
        <v>0</v>
      </c>
      <c r="D4690" s="26">
        <f>IF(A4690="","",ROUND((A4690-cfgDefasagem/1440)*48,0))</f>
        <v>0</v>
      </c>
      <c r="E4690" s="26">
        <f>IF(D4690="","",INT((D4690-cfgDeslocamento)/4))</f>
        <v>0</v>
      </c>
      <c r="F4690" s="26">
        <f>IF(D4690="","",MOD(D4690-cfgDeslocamento,4)+1)</f>
        <v>0</v>
      </c>
      <c r="G4690" s="26">
        <f>IF(A4690="","",IF(AND(ISNUMBER(B4690),B4690&lt;&gt;0),1,0))</f>
        <v>0</v>
      </c>
      <c r="H4690" s="25">
        <f>IF(E4690="","",(E4690*4+3+cfgDeslocamento)/48)</f>
        <v>0</v>
      </c>
    </row>
    <row r="4691" spans="1:8">
      <c r="A4691" s="24"/>
      <c r="B4691" s="19"/>
      <c r="C4691" s="25">
        <f>IF(D4691="","",D4691/48)</f>
        <v>0</v>
      </c>
      <c r="D4691" s="26">
        <f>IF(A4691="","",ROUND((A4691-cfgDefasagem/1440)*48,0))</f>
        <v>0</v>
      </c>
      <c r="E4691" s="26">
        <f>IF(D4691="","",INT((D4691-cfgDeslocamento)/4))</f>
        <v>0</v>
      </c>
      <c r="F4691" s="26">
        <f>IF(D4691="","",MOD(D4691-cfgDeslocamento,4)+1)</f>
        <v>0</v>
      </c>
      <c r="G4691" s="26">
        <f>IF(A4691="","",IF(AND(ISNUMBER(B4691),B4691&lt;&gt;0),1,0))</f>
        <v>0</v>
      </c>
      <c r="H4691" s="25">
        <f>IF(E4691="","",(E4691*4+3+cfgDeslocamento)/48)</f>
        <v>0</v>
      </c>
    </row>
    <row r="4692" spans="1:8">
      <c r="A4692" s="24"/>
      <c r="B4692" s="19"/>
      <c r="C4692" s="25">
        <f>IF(D4692="","",D4692/48)</f>
        <v>0</v>
      </c>
      <c r="D4692" s="26">
        <f>IF(A4692="","",ROUND((A4692-cfgDefasagem/1440)*48,0))</f>
        <v>0</v>
      </c>
      <c r="E4692" s="26">
        <f>IF(D4692="","",INT((D4692-cfgDeslocamento)/4))</f>
        <v>0</v>
      </c>
      <c r="F4692" s="26">
        <f>IF(D4692="","",MOD(D4692-cfgDeslocamento,4)+1)</f>
        <v>0</v>
      </c>
      <c r="G4692" s="26">
        <f>IF(A4692="","",IF(AND(ISNUMBER(B4692),B4692&lt;&gt;0),1,0))</f>
        <v>0</v>
      </c>
      <c r="H4692" s="25">
        <f>IF(E4692="","",(E4692*4+3+cfgDeslocamento)/48)</f>
        <v>0</v>
      </c>
    </row>
    <row r="4693" spans="1:8">
      <c r="A4693" s="24"/>
      <c r="B4693" s="19"/>
      <c r="C4693" s="25">
        <f>IF(D4693="","",D4693/48)</f>
        <v>0</v>
      </c>
      <c r="D4693" s="26">
        <f>IF(A4693="","",ROUND((A4693-cfgDefasagem/1440)*48,0))</f>
        <v>0</v>
      </c>
      <c r="E4693" s="26">
        <f>IF(D4693="","",INT((D4693-cfgDeslocamento)/4))</f>
        <v>0</v>
      </c>
      <c r="F4693" s="26">
        <f>IF(D4693="","",MOD(D4693-cfgDeslocamento,4)+1)</f>
        <v>0</v>
      </c>
      <c r="G4693" s="26">
        <f>IF(A4693="","",IF(AND(ISNUMBER(B4693),B4693&lt;&gt;0),1,0))</f>
        <v>0</v>
      </c>
      <c r="H4693" s="25">
        <f>IF(E4693="","",(E4693*4+3+cfgDeslocamento)/48)</f>
        <v>0</v>
      </c>
    </row>
    <row r="4694" spans="1:8">
      <c r="A4694" s="24"/>
      <c r="B4694" s="19"/>
      <c r="C4694" s="25">
        <f>IF(D4694="","",D4694/48)</f>
        <v>0</v>
      </c>
      <c r="D4694" s="26">
        <f>IF(A4694="","",ROUND((A4694-cfgDefasagem/1440)*48,0))</f>
        <v>0</v>
      </c>
      <c r="E4694" s="26">
        <f>IF(D4694="","",INT((D4694-cfgDeslocamento)/4))</f>
        <v>0</v>
      </c>
      <c r="F4694" s="26">
        <f>IF(D4694="","",MOD(D4694-cfgDeslocamento,4)+1)</f>
        <v>0</v>
      </c>
      <c r="G4694" s="26">
        <f>IF(A4694="","",IF(AND(ISNUMBER(B4694),B4694&lt;&gt;0),1,0))</f>
        <v>0</v>
      </c>
      <c r="H4694" s="25">
        <f>IF(E4694="","",(E4694*4+3+cfgDeslocamento)/48)</f>
        <v>0</v>
      </c>
    </row>
    <row r="4695" spans="1:8">
      <c r="A4695" s="24"/>
      <c r="B4695" s="19"/>
      <c r="C4695" s="25">
        <f>IF(D4695="","",D4695/48)</f>
        <v>0</v>
      </c>
      <c r="D4695" s="26">
        <f>IF(A4695="","",ROUND((A4695-cfgDefasagem/1440)*48,0))</f>
        <v>0</v>
      </c>
      <c r="E4695" s="26">
        <f>IF(D4695="","",INT((D4695-cfgDeslocamento)/4))</f>
        <v>0</v>
      </c>
      <c r="F4695" s="26">
        <f>IF(D4695="","",MOD(D4695-cfgDeslocamento,4)+1)</f>
        <v>0</v>
      </c>
      <c r="G4695" s="26">
        <f>IF(A4695="","",IF(AND(ISNUMBER(B4695),B4695&lt;&gt;0),1,0))</f>
        <v>0</v>
      </c>
      <c r="H4695" s="25">
        <f>IF(E4695="","",(E4695*4+3+cfgDeslocamento)/48)</f>
        <v>0</v>
      </c>
    </row>
    <row r="4696" spans="1:8">
      <c r="A4696" s="24"/>
      <c r="B4696" s="19"/>
      <c r="C4696" s="25">
        <f>IF(D4696="","",D4696/48)</f>
        <v>0</v>
      </c>
      <c r="D4696" s="26">
        <f>IF(A4696="","",ROUND((A4696-cfgDefasagem/1440)*48,0))</f>
        <v>0</v>
      </c>
      <c r="E4696" s="26">
        <f>IF(D4696="","",INT((D4696-cfgDeslocamento)/4))</f>
        <v>0</v>
      </c>
      <c r="F4696" s="26">
        <f>IF(D4696="","",MOD(D4696-cfgDeslocamento,4)+1)</f>
        <v>0</v>
      </c>
      <c r="G4696" s="26">
        <f>IF(A4696="","",IF(AND(ISNUMBER(B4696),B4696&lt;&gt;0),1,0))</f>
        <v>0</v>
      </c>
      <c r="H4696" s="25">
        <f>IF(E4696="","",(E4696*4+3+cfgDeslocamento)/48)</f>
        <v>0</v>
      </c>
    </row>
    <row r="4697" spans="1:8">
      <c r="A4697" s="24"/>
      <c r="B4697" s="19"/>
      <c r="C4697" s="25">
        <f>IF(D4697="","",D4697/48)</f>
        <v>0</v>
      </c>
      <c r="D4697" s="26">
        <f>IF(A4697="","",ROUND((A4697-cfgDefasagem/1440)*48,0))</f>
        <v>0</v>
      </c>
      <c r="E4697" s="26">
        <f>IF(D4697="","",INT((D4697-cfgDeslocamento)/4))</f>
        <v>0</v>
      </c>
      <c r="F4697" s="26">
        <f>IF(D4697="","",MOD(D4697-cfgDeslocamento,4)+1)</f>
        <v>0</v>
      </c>
      <c r="G4697" s="26">
        <f>IF(A4697="","",IF(AND(ISNUMBER(B4697),B4697&lt;&gt;0),1,0))</f>
        <v>0</v>
      </c>
      <c r="H4697" s="25">
        <f>IF(E4697="","",(E4697*4+3+cfgDeslocamento)/48)</f>
        <v>0</v>
      </c>
    </row>
    <row r="4698" spans="1:8">
      <c r="A4698" s="24"/>
      <c r="B4698" s="19"/>
      <c r="C4698" s="25">
        <f>IF(D4698="","",D4698/48)</f>
        <v>0</v>
      </c>
      <c r="D4698" s="26">
        <f>IF(A4698="","",ROUND((A4698-cfgDefasagem/1440)*48,0))</f>
        <v>0</v>
      </c>
      <c r="E4698" s="26">
        <f>IF(D4698="","",INT((D4698-cfgDeslocamento)/4))</f>
        <v>0</v>
      </c>
      <c r="F4698" s="26">
        <f>IF(D4698="","",MOD(D4698-cfgDeslocamento,4)+1)</f>
        <v>0</v>
      </c>
      <c r="G4698" s="26">
        <f>IF(A4698="","",IF(AND(ISNUMBER(B4698),B4698&lt;&gt;0),1,0))</f>
        <v>0</v>
      </c>
      <c r="H4698" s="25">
        <f>IF(E4698="","",(E4698*4+3+cfgDeslocamento)/48)</f>
        <v>0</v>
      </c>
    </row>
    <row r="4699" spans="1:8">
      <c r="A4699" s="24"/>
      <c r="B4699" s="19"/>
      <c r="C4699" s="25">
        <f>IF(D4699="","",D4699/48)</f>
        <v>0</v>
      </c>
      <c r="D4699" s="26">
        <f>IF(A4699="","",ROUND((A4699-cfgDefasagem/1440)*48,0))</f>
        <v>0</v>
      </c>
      <c r="E4699" s="26">
        <f>IF(D4699="","",INT((D4699-cfgDeslocamento)/4))</f>
        <v>0</v>
      </c>
      <c r="F4699" s="26">
        <f>IF(D4699="","",MOD(D4699-cfgDeslocamento,4)+1)</f>
        <v>0</v>
      </c>
      <c r="G4699" s="26">
        <f>IF(A4699="","",IF(AND(ISNUMBER(B4699),B4699&lt;&gt;0),1,0))</f>
        <v>0</v>
      </c>
      <c r="H4699" s="25">
        <f>IF(E4699="","",(E4699*4+3+cfgDeslocamento)/48)</f>
        <v>0</v>
      </c>
    </row>
    <row r="4700" spans="1:8">
      <c r="A4700" s="24"/>
      <c r="B4700" s="19"/>
      <c r="C4700" s="25">
        <f>IF(D4700="","",D4700/48)</f>
        <v>0</v>
      </c>
      <c r="D4700" s="26">
        <f>IF(A4700="","",ROUND((A4700-cfgDefasagem/1440)*48,0))</f>
        <v>0</v>
      </c>
      <c r="E4700" s="26">
        <f>IF(D4700="","",INT((D4700-cfgDeslocamento)/4))</f>
        <v>0</v>
      </c>
      <c r="F4700" s="26">
        <f>IF(D4700="","",MOD(D4700-cfgDeslocamento,4)+1)</f>
        <v>0</v>
      </c>
      <c r="G4700" s="26">
        <f>IF(A4700="","",IF(AND(ISNUMBER(B4700),B4700&lt;&gt;0),1,0))</f>
        <v>0</v>
      </c>
      <c r="H4700" s="25">
        <f>IF(E4700="","",(E4700*4+3+cfgDeslocamento)/48)</f>
        <v>0</v>
      </c>
    </row>
    <row r="4701" spans="1:8">
      <c r="A4701" s="24"/>
      <c r="B4701" s="19"/>
      <c r="C4701" s="25">
        <f>IF(D4701="","",D4701/48)</f>
        <v>0</v>
      </c>
      <c r="D4701" s="26">
        <f>IF(A4701="","",ROUND((A4701-cfgDefasagem/1440)*48,0))</f>
        <v>0</v>
      </c>
      <c r="E4701" s="26">
        <f>IF(D4701="","",INT((D4701-cfgDeslocamento)/4))</f>
        <v>0</v>
      </c>
      <c r="F4701" s="26">
        <f>IF(D4701="","",MOD(D4701-cfgDeslocamento,4)+1)</f>
        <v>0</v>
      </c>
      <c r="G4701" s="26">
        <f>IF(A4701="","",IF(AND(ISNUMBER(B4701),B4701&lt;&gt;0),1,0))</f>
        <v>0</v>
      </c>
      <c r="H4701" s="25">
        <f>IF(E4701="","",(E4701*4+3+cfgDeslocamento)/48)</f>
        <v>0</v>
      </c>
    </row>
    <row r="4702" spans="1:8">
      <c r="A4702" s="24"/>
      <c r="B4702" s="19"/>
      <c r="C4702" s="25">
        <f>IF(D4702="","",D4702/48)</f>
        <v>0</v>
      </c>
      <c r="D4702" s="26">
        <f>IF(A4702="","",ROUND((A4702-cfgDefasagem/1440)*48,0))</f>
        <v>0</v>
      </c>
      <c r="E4702" s="26">
        <f>IF(D4702="","",INT((D4702-cfgDeslocamento)/4))</f>
        <v>0</v>
      </c>
      <c r="F4702" s="26">
        <f>IF(D4702="","",MOD(D4702-cfgDeslocamento,4)+1)</f>
        <v>0</v>
      </c>
      <c r="G4702" s="26">
        <f>IF(A4702="","",IF(AND(ISNUMBER(B4702),B4702&lt;&gt;0),1,0))</f>
        <v>0</v>
      </c>
      <c r="H4702" s="25">
        <f>IF(E4702="","",(E4702*4+3+cfgDeslocamento)/48)</f>
        <v>0</v>
      </c>
    </row>
    <row r="4703" spans="1:8">
      <c r="A4703" s="24"/>
      <c r="B4703" s="19"/>
      <c r="C4703" s="25">
        <f>IF(D4703="","",D4703/48)</f>
        <v>0</v>
      </c>
      <c r="D4703" s="26">
        <f>IF(A4703="","",ROUND((A4703-cfgDefasagem/1440)*48,0))</f>
        <v>0</v>
      </c>
      <c r="E4703" s="26">
        <f>IF(D4703="","",INT((D4703-cfgDeslocamento)/4))</f>
        <v>0</v>
      </c>
      <c r="F4703" s="26">
        <f>IF(D4703="","",MOD(D4703-cfgDeslocamento,4)+1)</f>
        <v>0</v>
      </c>
      <c r="G4703" s="26">
        <f>IF(A4703="","",IF(AND(ISNUMBER(B4703),B4703&lt;&gt;0),1,0))</f>
        <v>0</v>
      </c>
      <c r="H4703" s="25">
        <f>IF(E4703="","",(E4703*4+3+cfgDeslocamento)/48)</f>
        <v>0</v>
      </c>
    </row>
    <row r="4704" spans="1:8">
      <c r="A4704" s="24"/>
      <c r="B4704" s="19"/>
      <c r="C4704" s="25">
        <f>IF(D4704="","",D4704/48)</f>
        <v>0</v>
      </c>
      <c r="D4704" s="26">
        <f>IF(A4704="","",ROUND((A4704-cfgDefasagem/1440)*48,0))</f>
        <v>0</v>
      </c>
      <c r="E4704" s="26">
        <f>IF(D4704="","",INT((D4704-cfgDeslocamento)/4))</f>
        <v>0</v>
      </c>
      <c r="F4704" s="26">
        <f>IF(D4704="","",MOD(D4704-cfgDeslocamento,4)+1)</f>
        <v>0</v>
      </c>
      <c r="G4704" s="26">
        <f>IF(A4704="","",IF(AND(ISNUMBER(B4704),B4704&lt;&gt;0),1,0))</f>
        <v>0</v>
      </c>
      <c r="H4704" s="25">
        <f>IF(E4704="","",(E4704*4+3+cfgDeslocamento)/48)</f>
        <v>0</v>
      </c>
    </row>
    <row r="4705" spans="1:8">
      <c r="A4705" s="24"/>
      <c r="B4705" s="19"/>
      <c r="C4705" s="25">
        <f>IF(D4705="","",D4705/48)</f>
        <v>0</v>
      </c>
      <c r="D4705" s="26">
        <f>IF(A4705="","",ROUND((A4705-cfgDefasagem/1440)*48,0))</f>
        <v>0</v>
      </c>
      <c r="E4705" s="26">
        <f>IF(D4705="","",INT((D4705-cfgDeslocamento)/4))</f>
        <v>0</v>
      </c>
      <c r="F4705" s="26">
        <f>IF(D4705="","",MOD(D4705-cfgDeslocamento,4)+1)</f>
        <v>0</v>
      </c>
      <c r="G4705" s="26">
        <f>IF(A4705="","",IF(AND(ISNUMBER(B4705),B4705&lt;&gt;0),1,0))</f>
        <v>0</v>
      </c>
      <c r="H4705" s="25">
        <f>IF(E4705="","",(E4705*4+3+cfgDeslocamento)/48)</f>
        <v>0</v>
      </c>
    </row>
    <row r="4706" spans="1:8">
      <c r="A4706" s="24"/>
      <c r="B4706" s="19"/>
      <c r="C4706" s="25">
        <f>IF(D4706="","",D4706/48)</f>
        <v>0</v>
      </c>
      <c r="D4706" s="26">
        <f>IF(A4706="","",ROUND((A4706-cfgDefasagem/1440)*48,0))</f>
        <v>0</v>
      </c>
      <c r="E4706" s="26">
        <f>IF(D4706="","",INT((D4706-cfgDeslocamento)/4))</f>
        <v>0</v>
      </c>
      <c r="F4706" s="26">
        <f>IF(D4706="","",MOD(D4706-cfgDeslocamento,4)+1)</f>
        <v>0</v>
      </c>
      <c r="G4706" s="26">
        <f>IF(A4706="","",IF(AND(ISNUMBER(B4706),B4706&lt;&gt;0),1,0))</f>
        <v>0</v>
      </c>
      <c r="H4706" s="25">
        <f>IF(E4706="","",(E4706*4+3+cfgDeslocamento)/48)</f>
        <v>0</v>
      </c>
    </row>
    <row r="4707" spans="1:8">
      <c r="A4707" s="24"/>
      <c r="B4707" s="19"/>
      <c r="C4707" s="25">
        <f>IF(D4707="","",D4707/48)</f>
        <v>0</v>
      </c>
      <c r="D4707" s="26">
        <f>IF(A4707="","",ROUND((A4707-cfgDefasagem/1440)*48,0))</f>
        <v>0</v>
      </c>
      <c r="E4707" s="26">
        <f>IF(D4707="","",INT((D4707-cfgDeslocamento)/4))</f>
        <v>0</v>
      </c>
      <c r="F4707" s="26">
        <f>IF(D4707="","",MOD(D4707-cfgDeslocamento,4)+1)</f>
        <v>0</v>
      </c>
      <c r="G4707" s="26">
        <f>IF(A4707="","",IF(AND(ISNUMBER(B4707),B4707&lt;&gt;0),1,0))</f>
        <v>0</v>
      </c>
      <c r="H4707" s="25">
        <f>IF(E4707="","",(E4707*4+3+cfgDeslocamento)/48)</f>
        <v>0</v>
      </c>
    </row>
    <row r="4708" spans="1:8">
      <c r="A4708" s="24"/>
      <c r="B4708" s="19"/>
      <c r="C4708" s="25">
        <f>IF(D4708="","",D4708/48)</f>
        <v>0</v>
      </c>
      <c r="D4708" s="26">
        <f>IF(A4708="","",ROUND((A4708-cfgDefasagem/1440)*48,0))</f>
        <v>0</v>
      </c>
      <c r="E4708" s="26">
        <f>IF(D4708="","",INT((D4708-cfgDeslocamento)/4))</f>
        <v>0</v>
      </c>
      <c r="F4708" s="26">
        <f>IF(D4708="","",MOD(D4708-cfgDeslocamento,4)+1)</f>
        <v>0</v>
      </c>
      <c r="G4708" s="26">
        <f>IF(A4708="","",IF(AND(ISNUMBER(B4708),B4708&lt;&gt;0),1,0))</f>
        <v>0</v>
      </c>
      <c r="H4708" s="25">
        <f>IF(E4708="","",(E4708*4+3+cfgDeslocamento)/48)</f>
        <v>0</v>
      </c>
    </row>
    <row r="4709" spans="1:8">
      <c r="A4709" s="24"/>
      <c r="B4709" s="19"/>
      <c r="C4709" s="25">
        <f>IF(D4709="","",D4709/48)</f>
        <v>0</v>
      </c>
      <c r="D4709" s="26">
        <f>IF(A4709="","",ROUND((A4709-cfgDefasagem/1440)*48,0))</f>
        <v>0</v>
      </c>
      <c r="E4709" s="26">
        <f>IF(D4709="","",INT((D4709-cfgDeslocamento)/4))</f>
        <v>0</v>
      </c>
      <c r="F4709" s="26">
        <f>IF(D4709="","",MOD(D4709-cfgDeslocamento,4)+1)</f>
        <v>0</v>
      </c>
      <c r="G4709" s="26">
        <f>IF(A4709="","",IF(AND(ISNUMBER(B4709),B4709&lt;&gt;0),1,0))</f>
        <v>0</v>
      </c>
      <c r="H4709" s="25">
        <f>IF(E4709="","",(E4709*4+3+cfgDeslocamento)/48)</f>
        <v>0</v>
      </c>
    </row>
    <row r="4710" spans="1:8">
      <c r="A4710" s="24"/>
      <c r="B4710" s="19"/>
      <c r="C4710" s="25">
        <f>IF(D4710="","",D4710/48)</f>
        <v>0</v>
      </c>
      <c r="D4710" s="26">
        <f>IF(A4710="","",ROUND((A4710-cfgDefasagem/1440)*48,0))</f>
        <v>0</v>
      </c>
      <c r="E4710" s="26">
        <f>IF(D4710="","",INT((D4710-cfgDeslocamento)/4))</f>
        <v>0</v>
      </c>
      <c r="F4710" s="26">
        <f>IF(D4710="","",MOD(D4710-cfgDeslocamento,4)+1)</f>
        <v>0</v>
      </c>
      <c r="G4710" s="26">
        <f>IF(A4710="","",IF(AND(ISNUMBER(B4710),B4710&lt;&gt;0),1,0))</f>
        <v>0</v>
      </c>
      <c r="H4710" s="25">
        <f>IF(E4710="","",(E4710*4+3+cfgDeslocamento)/48)</f>
        <v>0</v>
      </c>
    </row>
    <row r="4711" spans="1:8">
      <c r="A4711" s="24"/>
      <c r="B4711" s="19"/>
      <c r="C4711" s="25">
        <f>IF(D4711="","",D4711/48)</f>
        <v>0</v>
      </c>
      <c r="D4711" s="26">
        <f>IF(A4711="","",ROUND((A4711-cfgDefasagem/1440)*48,0))</f>
        <v>0</v>
      </c>
      <c r="E4711" s="26">
        <f>IF(D4711="","",INT((D4711-cfgDeslocamento)/4))</f>
        <v>0</v>
      </c>
      <c r="F4711" s="26">
        <f>IF(D4711="","",MOD(D4711-cfgDeslocamento,4)+1)</f>
        <v>0</v>
      </c>
      <c r="G4711" s="26">
        <f>IF(A4711="","",IF(AND(ISNUMBER(B4711),B4711&lt;&gt;0),1,0))</f>
        <v>0</v>
      </c>
      <c r="H4711" s="25">
        <f>IF(E4711="","",(E4711*4+3+cfgDeslocamento)/48)</f>
        <v>0</v>
      </c>
    </row>
    <row r="4712" spans="1:8">
      <c r="A4712" s="24"/>
      <c r="B4712" s="19"/>
      <c r="C4712" s="25">
        <f>IF(D4712="","",D4712/48)</f>
        <v>0</v>
      </c>
      <c r="D4712" s="26">
        <f>IF(A4712="","",ROUND((A4712-cfgDefasagem/1440)*48,0))</f>
        <v>0</v>
      </c>
      <c r="E4712" s="26">
        <f>IF(D4712="","",INT((D4712-cfgDeslocamento)/4))</f>
        <v>0</v>
      </c>
      <c r="F4712" s="26">
        <f>IF(D4712="","",MOD(D4712-cfgDeslocamento,4)+1)</f>
        <v>0</v>
      </c>
      <c r="G4712" s="26">
        <f>IF(A4712="","",IF(AND(ISNUMBER(B4712),B4712&lt;&gt;0),1,0))</f>
        <v>0</v>
      </c>
      <c r="H4712" s="25">
        <f>IF(E4712="","",(E4712*4+3+cfgDeslocamento)/48)</f>
        <v>0</v>
      </c>
    </row>
    <row r="4713" spans="1:8">
      <c r="A4713" s="24"/>
      <c r="B4713" s="19"/>
      <c r="C4713" s="25">
        <f>IF(D4713="","",D4713/48)</f>
        <v>0</v>
      </c>
      <c r="D4713" s="26">
        <f>IF(A4713="","",ROUND((A4713-cfgDefasagem/1440)*48,0))</f>
        <v>0</v>
      </c>
      <c r="E4713" s="26">
        <f>IF(D4713="","",INT((D4713-cfgDeslocamento)/4))</f>
        <v>0</v>
      </c>
      <c r="F4713" s="26">
        <f>IF(D4713="","",MOD(D4713-cfgDeslocamento,4)+1)</f>
        <v>0</v>
      </c>
      <c r="G4713" s="26">
        <f>IF(A4713="","",IF(AND(ISNUMBER(B4713),B4713&lt;&gt;0),1,0))</f>
        <v>0</v>
      </c>
      <c r="H4713" s="25">
        <f>IF(E4713="","",(E4713*4+3+cfgDeslocamento)/48)</f>
        <v>0</v>
      </c>
    </row>
    <row r="4714" spans="1:8">
      <c r="A4714" s="24"/>
      <c r="B4714" s="19"/>
      <c r="C4714" s="25">
        <f>IF(D4714="","",D4714/48)</f>
        <v>0</v>
      </c>
      <c r="D4714" s="26">
        <f>IF(A4714="","",ROUND((A4714-cfgDefasagem/1440)*48,0))</f>
        <v>0</v>
      </c>
      <c r="E4714" s="26">
        <f>IF(D4714="","",INT((D4714-cfgDeslocamento)/4))</f>
        <v>0</v>
      </c>
      <c r="F4714" s="26">
        <f>IF(D4714="","",MOD(D4714-cfgDeslocamento,4)+1)</f>
        <v>0</v>
      </c>
      <c r="G4714" s="26">
        <f>IF(A4714="","",IF(AND(ISNUMBER(B4714),B4714&lt;&gt;0),1,0))</f>
        <v>0</v>
      </c>
      <c r="H4714" s="25">
        <f>IF(E4714="","",(E4714*4+3+cfgDeslocamento)/48)</f>
        <v>0</v>
      </c>
    </row>
    <row r="4715" spans="1:8">
      <c r="A4715" s="24"/>
      <c r="B4715" s="19"/>
      <c r="C4715" s="25">
        <f>IF(D4715="","",D4715/48)</f>
        <v>0</v>
      </c>
      <c r="D4715" s="26">
        <f>IF(A4715="","",ROUND((A4715-cfgDefasagem/1440)*48,0))</f>
        <v>0</v>
      </c>
      <c r="E4715" s="26">
        <f>IF(D4715="","",INT((D4715-cfgDeslocamento)/4))</f>
        <v>0</v>
      </c>
      <c r="F4715" s="26">
        <f>IF(D4715="","",MOD(D4715-cfgDeslocamento,4)+1)</f>
        <v>0</v>
      </c>
      <c r="G4715" s="26">
        <f>IF(A4715="","",IF(AND(ISNUMBER(B4715),B4715&lt;&gt;0),1,0))</f>
        <v>0</v>
      </c>
      <c r="H4715" s="25">
        <f>IF(E4715="","",(E4715*4+3+cfgDeslocamento)/48)</f>
        <v>0</v>
      </c>
    </row>
    <row r="4716" spans="1:8">
      <c r="A4716" s="24"/>
      <c r="B4716" s="19"/>
      <c r="C4716" s="25">
        <f>IF(D4716="","",D4716/48)</f>
        <v>0</v>
      </c>
      <c r="D4716" s="26">
        <f>IF(A4716="","",ROUND((A4716-cfgDefasagem/1440)*48,0))</f>
        <v>0</v>
      </c>
      <c r="E4716" s="26">
        <f>IF(D4716="","",INT((D4716-cfgDeslocamento)/4))</f>
        <v>0</v>
      </c>
      <c r="F4716" s="26">
        <f>IF(D4716="","",MOD(D4716-cfgDeslocamento,4)+1)</f>
        <v>0</v>
      </c>
      <c r="G4716" s="26">
        <f>IF(A4716="","",IF(AND(ISNUMBER(B4716),B4716&lt;&gt;0),1,0))</f>
        <v>0</v>
      </c>
      <c r="H4716" s="25">
        <f>IF(E4716="","",(E4716*4+3+cfgDeslocamento)/48)</f>
        <v>0</v>
      </c>
    </row>
    <row r="4717" spans="1:8">
      <c r="A4717" s="24"/>
      <c r="B4717" s="19"/>
      <c r="C4717" s="25">
        <f>IF(D4717="","",D4717/48)</f>
        <v>0</v>
      </c>
      <c r="D4717" s="26">
        <f>IF(A4717="","",ROUND((A4717-cfgDefasagem/1440)*48,0))</f>
        <v>0</v>
      </c>
      <c r="E4717" s="26">
        <f>IF(D4717="","",INT((D4717-cfgDeslocamento)/4))</f>
        <v>0</v>
      </c>
      <c r="F4717" s="26">
        <f>IF(D4717="","",MOD(D4717-cfgDeslocamento,4)+1)</f>
        <v>0</v>
      </c>
      <c r="G4717" s="26">
        <f>IF(A4717="","",IF(AND(ISNUMBER(B4717),B4717&lt;&gt;0),1,0))</f>
        <v>0</v>
      </c>
      <c r="H4717" s="25">
        <f>IF(E4717="","",(E4717*4+3+cfgDeslocamento)/48)</f>
        <v>0</v>
      </c>
    </row>
    <row r="4718" spans="1:8">
      <c r="A4718" s="24"/>
      <c r="B4718" s="19"/>
      <c r="C4718" s="25">
        <f>IF(D4718="","",D4718/48)</f>
        <v>0</v>
      </c>
      <c r="D4718" s="26">
        <f>IF(A4718="","",ROUND((A4718-cfgDefasagem/1440)*48,0))</f>
        <v>0</v>
      </c>
      <c r="E4718" s="26">
        <f>IF(D4718="","",INT((D4718-cfgDeslocamento)/4))</f>
        <v>0</v>
      </c>
      <c r="F4718" s="26">
        <f>IF(D4718="","",MOD(D4718-cfgDeslocamento,4)+1)</f>
        <v>0</v>
      </c>
      <c r="G4718" s="26">
        <f>IF(A4718="","",IF(AND(ISNUMBER(B4718),B4718&lt;&gt;0),1,0))</f>
        <v>0</v>
      </c>
      <c r="H4718" s="25">
        <f>IF(E4718="","",(E4718*4+3+cfgDeslocamento)/48)</f>
        <v>0</v>
      </c>
    </row>
    <row r="4719" spans="1:8">
      <c r="A4719" s="24"/>
      <c r="B4719" s="19"/>
      <c r="C4719" s="25">
        <f>IF(D4719="","",D4719/48)</f>
        <v>0</v>
      </c>
      <c r="D4719" s="26">
        <f>IF(A4719="","",ROUND((A4719-cfgDefasagem/1440)*48,0))</f>
        <v>0</v>
      </c>
      <c r="E4719" s="26">
        <f>IF(D4719="","",INT((D4719-cfgDeslocamento)/4))</f>
        <v>0</v>
      </c>
      <c r="F4719" s="26">
        <f>IF(D4719="","",MOD(D4719-cfgDeslocamento,4)+1)</f>
        <v>0</v>
      </c>
      <c r="G4719" s="26">
        <f>IF(A4719="","",IF(AND(ISNUMBER(B4719),B4719&lt;&gt;0),1,0))</f>
        <v>0</v>
      </c>
      <c r="H4719" s="25">
        <f>IF(E4719="","",(E4719*4+3+cfgDeslocamento)/48)</f>
        <v>0</v>
      </c>
    </row>
    <row r="4720" spans="1:8">
      <c r="A4720" s="24"/>
      <c r="B4720" s="19"/>
      <c r="C4720" s="25">
        <f>IF(D4720="","",D4720/48)</f>
        <v>0</v>
      </c>
      <c r="D4720" s="26">
        <f>IF(A4720="","",ROUND((A4720-cfgDefasagem/1440)*48,0))</f>
        <v>0</v>
      </c>
      <c r="E4720" s="26">
        <f>IF(D4720="","",INT((D4720-cfgDeslocamento)/4))</f>
        <v>0</v>
      </c>
      <c r="F4720" s="26">
        <f>IF(D4720="","",MOD(D4720-cfgDeslocamento,4)+1)</f>
        <v>0</v>
      </c>
      <c r="G4720" s="26">
        <f>IF(A4720="","",IF(AND(ISNUMBER(B4720),B4720&lt;&gt;0),1,0))</f>
        <v>0</v>
      </c>
      <c r="H4720" s="25">
        <f>IF(E4720="","",(E4720*4+3+cfgDeslocamento)/48)</f>
        <v>0</v>
      </c>
    </row>
    <row r="4721" spans="1:8">
      <c r="A4721" s="24"/>
      <c r="B4721" s="19"/>
      <c r="C4721" s="25">
        <f>IF(D4721="","",D4721/48)</f>
        <v>0</v>
      </c>
      <c r="D4721" s="26">
        <f>IF(A4721="","",ROUND((A4721-cfgDefasagem/1440)*48,0))</f>
        <v>0</v>
      </c>
      <c r="E4721" s="26">
        <f>IF(D4721="","",INT((D4721-cfgDeslocamento)/4))</f>
        <v>0</v>
      </c>
      <c r="F4721" s="26">
        <f>IF(D4721="","",MOD(D4721-cfgDeslocamento,4)+1)</f>
        <v>0</v>
      </c>
      <c r="G4721" s="26">
        <f>IF(A4721="","",IF(AND(ISNUMBER(B4721),B4721&lt;&gt;0),1,0))</f>
        <v>0</v>
      </c>
      <c r="H4721" s="25">
        <f>IF(E4721="","",(E4721*4+3+cfgDeslocamento)/48)</f>
        <v>0</v>
      </c>
    </row>
    <row r="4722" spans="1:8">
      <c r="A4722" s="24"/>
      <c r="B4722" s="19"/>
      <c r="C4722" s="25">
        <f>IF(D4722="","",D4722/48)</f>
        <v>0</v>
      </c>
      <c r="D4722" s="26">
        <f>IF(A4722="","",ROUND((A4722-cfgDefasagem/1440)*48,0))</f>
        <v>0</v>
      </c>
      <c r="E4722" s="26">
        <f>IF(D4722="","",INT((D4722-cfgDeslocamento)/4))</f>
        <v>0</v>
      </c>
      <c r="F4722" s="26">
        <f>IF(D4722="","",MOD(D4722-cfgDeslocamento,4)+1)</f>
        <v>0</v>
      </c>
      <c r="G4722" s="26">
        <f>IF(A4722="","",IF(AND(ISNUMBER(B4722),B4722&lt;&gt;0),1,0))</f>
        <v>0</v>
      </c>
      <c r="H4722" s="25">
        <f>IF(E4722="","",(E4722*4+3+cfgDeslocamento)/48)</f>
        <v>0</v>
      </c>
    </row>
    <row r="4723" spans="1:8">
      <c r="A4723" s="24"/>
      <c r="B4723" s="19"/>
      <c r="C4723" s="25">
        <f>IF(D4723="","",D4723/48)</f>
        <v>0</v>
      </c>
      <c r="D4723" s="26">
        <f>IF(A4723="","",ROUND((A4723-cfgDefasagem/1440)*48,0))</f>
        <v>0</v>
      </c>
      <c r="E4723" s="26">
        <f>IF(D4723="","",INT((D4723-cfgDeslocamento)/4))</f>
        <v>0</v>
      </c>
      <c r="F4723" s="26">
        <f>IF(D4723="","",MOD(D4723-cfgDeslocamento,4)+1)</f>
        <v>0</v>
      </c>
      <c r="G4723" s="26">
        <f>IF(A4723="","",IF(AND(ISNUMBER(B4723),B4723&lt;&gt;0),1,0))</f>
        <v>0</v>
      </c>
      <c r="H4723" s="25">
        <f>IF(E4723="","",(E4723*4+3+cfgDeslocamento)/48)</f>
        <v>0</v>
      </c>
    </row>
    <row r="4724" spans="1:8">
      <c r="A4724" s="24"/>
      <c r="B4724" s="19"/>
      <c r="C4724" s="25">
        <f>IF(D4724="","",D4724/48)</f>
        <v>0</v>
      </c>
      <c r="D4724" s="26">
        <f>IF(A4724="","",ROUND((A4724-cfgDefasagem/1440)*48,0))</f>
        <v>0</v>
      </c>
      <c r="E4724" s="26">
        <f>IF(D4724="","",INT((D4724-cfgDeslocamento)/4))</f>
        <v>0</v>
      </c>
      <c r="F4724" s="26">
        <f>IF(D4724="","",MOD(D4724-cfgDeslocamento,4)+1)</f>
        <v>0</v>
      </c>
      <c r="G4724" s="26">
        <f>IF(A4724="","",IF(AND(ISNUMBER(B4724),B4724&lt;&gt;0),1,0))</f>
        <v>0</v>
      </c>
      <c r="H4724" s="25">
        <f>IF(E4724="","",(E4724*4+3+cfgDeslocamento)/48)</f>
        <v>0</v>
      </c>
    </row>
    <row r="4725" spans="1:8">
      <c r="A4725" s="24"/>
      <c r="B4725" s="19"/>
      <c r="C4725" s="25">
        <f>IF(D4725="","",D4725/48)</f>
        <v>0</v>
      </c>
      <c r="D4725" s="26">
        <f>IF(A4725="","",ROUND((A4725-cfgDefasagem/1440)*48,0))</f>
        <v>0</v>
      </c>
      <c r="E4725" s="26">
        <f>IF(D4725="","",INT((D4725-cfgDeslocamento)/4))</f>
        <v>0</v>
      </c>
      <c r="F4725" s="26">
        <f>IF(D4725="","",MOD(D4725-cfgDeslocamento,4)+1)</f>
        <v>0</v>
      </c>
      <c r="G4725" s="26">
        <f>IF(A4725="","",IF(AND(ISNUMBER(B4725),B4725&lt;&gt;0),1,0))</f>
        <v>0</v>
      </c>
      <c r="H4725" s="25">
        <f>IF(E4725="","",(E4725*4+3+cfgDeslocamento)/48)</f>
        <v>0</v>
      </c>
    </row>
    <row r="4726" spans="1:8">
      <c r="A4726" s="24"/>
      <c r="B4726" s="19"/>
      <c r="C4726" s="25">
        <f>IF(D4726="","",D4726/48)</f>
        <v>0</v>
      </c>
      <c r="D4726" s="26">
        <f>IF(A4726="","",ROUND((A4726-cfgDefasagem/1440)*48,0))</f>
        <v>0</v>
      </c>
      <c r="E4726" s="26">
        <f>IF(D4726="","",INT((D4726-cfgDeslocamento)/4))</f>
        <v>0</v>
      </c>
      <c r="F4726" s="26">
        <f>IF(D4726="","",MOD(D4726-cfgDeslocamento,4)+1)</f>
        <v>0</v>
      </c>
      <c r="G4726" s="26">
        <f>IF(A4726="","",IF(AND(ISNUMBER(B4726),B4726&lt;&gt;0),1,0))</f>
        <v>0</v>
      </c>
      <c r="H4726" s="25">
        <f>IF(E4726="","",(E4726*4+3+cfgDeslocamento)/48)</f>
        <v>0</v>
      </c>
    </row>
    <row r="4727" spans="1:8">
      <c r="A4727" s="24"/>
      <c r="B4727" s="19"/>
      <c r="C4727" s="25">
        <f>IF(D4727="","",D4727/48)</f>
        <v>0</v>
      </c>
      <c r="D4727" s="26">
        <f>IF(A4727="","",ROUND((A4727-cfgDefasagem/1440)*48,0))</f>
        <v>0</v>
      </c>
      <c r="E4727" s="26">
        <f>IF(D4727="","",INT((D4727-cfgDeslocamento)/4))</f>
        <v>0</v>
      </c>
      <c r="F4727" s="26">
        <f>IF(D4727="","",MOD(D4727-cfgDeslocamento,4)+1)</f>
        <v>0</v>
      </c>
      <c r="G4727" s="26">
        <f>IF(A4727="","",IF(AND(ISNUMBER(B4727),B4727&lt;&gt;0),1,0))</f>
        <v>0</v>
      </c>
      <c r="H4727" s="25">
        <f>IF(E4727="","",(E4727*4+3+cfgDeslocamento)/48)</f>
        <v>0</v>
      </c>
    </row>
    <row r="4728" spans="1:8">
      <c r="A4728" s="24"/>
      <c r="B4728" s="19"/>
      <c r="C4728" s="25">
        <f>IF(D4728="","",D4728/48)</f>
        <v>0</v>
      </c>
      <c r="D4728" s="26">
        <f>IF(A4728="","",ROUND((A4728-cfgDefasagem/1440)*48,0))</f>
        <v>0</v>
      </c>
      <c r="E4728" s="26">
        <f>IF(D4728="","",INT((D4728-cfgDeslocamento)/4))</f>
        <v>0</v>
      </c>
      <c r="F4728" s="26">
        <f>IF(D4728="","",MOD(D4728-cfgDeslocamento,4)+1)</f>
        <v>0</v>
      </c>
      <c r="G4728" s="26">
        <f>IF(A4728="","",IF(AND(ISNUMBER(B4728),B4728&lt;&gt;0),1,0))</f>
        <v>0</v>
      </c>
      <c r="H4728" s="25">
        <f>IF(E4728="","",(E4728*4+3+cfgDeslocamento)/48)</f>
        <v>0</v>
      </c>
    </row>
    <row r="4729" spans="1:8">
      <c r="A4729" s="24"/>
      <c r="B4729" s="19"/>
      <c r="C4729" s="25">
        <f>IF(D4729="","",D4729/48)</f>
        <v>0</v>
      </c>
      <c r="D4729" s="26">
        <f>IF(A4729="","",ROUND((A4729-cfgDefasagem/1440)*48,0))</f>
        <v>0</v>
      </c>
      <c r="E4729" s="26">
        <f>IF(D4729="","",INT((D4729-cfgDeslocamento)/4))</f>
        <v>0</v>
      </c>
      <c r="F4729" s="26">
        <f>IF(D4729="","",MOD(D4729-cfgDeslocamento,4)+1)</f>
        <v>0</v>
      </c>
      <c r="G4729" s="26">
        <f>IF(A4729="","",IF(AND(ISNUMBER(B4729),B4729&lt;&gt;0),1,0))</f>
        <v>0</v>
      </c>
      <c r="H4729" s="25">
        <f>IF(E4729="","",(E4729*4+3+cfgDeslocamento)/48)</f>
        <v>0</v>
      </c>
    </row>
    <row r="4730" spans="1:8">
      <c r="A4730" s="24"/>
      <c r="B4730" s="19"/>
      <c r="C4730" s="25">
        <f>IF(D4730="","",D4730/48)</f>
        <v>0</v>
      </c>
      <c r="D4730" s="26">
        <f>IF(A4730="","",ROUND((A4730-cfgDefasagem/1440)*48,0))</f>
        <v>0</v>
      </c>
      <c r="E4730" s="26">
        <f>IF(D4730="","",INT((D4730-cfgDeslocamento)/4))</f>
        <v>0</v>
      </c>
      <c r="F4730" s="26">
        <f>IF(D4730="","",MOD(D4730-cfgDeslocamento,4)+1)</f>
        <v>0</v>
      </c>
      <c r="G4730" s="26">
        <f>IF(A4730="","",IF(AND(ISNUMBER(B4730),B4730&lt;&gt;0),1,0))</f>
        <v>0</v>
      </c>
      <c r="H4730" s="25">
        <f>IF(E4730="","",(E4730*4+3+cfgDeslocamento)/48)</f>
        <v>0</v>
      </c>
    </row>
    <row r="4731" spans="1:8">
      <c r="A4731" s="24"/>
      <c r="B4731" s="19"/>
      <c r="C4731" s="25">
        <f>IF(D4731="","",D4731/48)</f>
        <v>0</v>
      </c>
      <c r="D4731" s="26">
        <f>IF(A4731="","",ROUND((A4731-cfgDefasagem/1440)*48,0))</f>
        <v>0</v>
      </c>
      <c r="E4731" s="26">
        <f>IF(D4731="","",INT((D4731-cfgDeslocamento)/4))</f>
        <v>0</v>
      </c>
      <c r="F4731" s="26">
        <f>IF(D4731="","",MOD(D4731-cfgDeslocamento,4)+1)</f>
        <v>0</v>
      </c>
      <c r="G4731" s="26">
        <f>IF(A4731="","",IF(AND(ISNUMBER(B4731),B4731&lt;&gt;0),1,0))</f>
        <v>0</v>
      </c>
      <c r="H4731" s="25">
        <f>IF(E4731="","",(E4731*4+3+cfgDeslocamento)/48)</f>
        <v>0</v>
      </c>
    </row>
    <row r="4732" spans="1:8">
      <c r="A4732" s="24"/>
      <c r="B4732" s="19"/>
      <c r="C4732" s="25">
        <f>IF(D4732="","",D4732/48)</f>
        <v>0</v>
      </c>
      <c r="D4732" s="26">
        <f>IF(A4732="","",ROUND((A4732-cfgDefasagem/1440)*48,0))</f>
        <v>0</v>
      </c>
      <c r="E4732" s="26">
        <f>IF(D4732="","",INT((D4732-cfgDeslocamento)/4))</f>
        <v>0</v>
      </c>
      <c r="F4732" s="26">
        <f>IF(D4732="","",MOD(D4732-cfgDeslocamento,4)+1)</f>
        <v>0</v>
      </c>
      <c r="G4732" s="26">
        <f>IF(A4732="","",IF(AND(ISNUMBER(B4732),B4732&lt;&gt;0),1,0))</f>
        <v>0</v>
      </c>
      <c r="H4732" s="25">
        <f>IF(E4732="","",(E4732*4+3+cfgDeslocamento)/48)</f>
        <v>0</v>
      </c>
    </row>
    <row r="4733" spans="1:8">
      <c r="A4733" s="24"/>
      <c r="B4733" s="19"/>
      <c r="C4733" s="25">
        <f>IF(D4733="","",D4733/48)</f>
        <v>0</v>
      </c>
      <c r="D4733" s="26">
        <f>IF(A4733="","",ROUND((A4733-cfgDefasagem/1440)*48,0))</f>
        <v>0</v>
      </c>
      <c r="E4733" s="26">
        <f>IF(D4733="","",INT((D4733-cfgDeslocamento)/4))</f>
        <v>0</v>
      </c>
      <c r="F4733" s="26">
        <f>IF(D4733="","",MOD(D4733-cfgDeslocamento,4)+1)</f>
        <v>0</v>
      </c>
      <c r="G4733" s="26">
        <f>IF(A4733="","",IF(AND(ISNUMBER(B4733),B4733&lt;&gt;0),1,0))</f>
        <v>0</v>
      </c>
      <c r="H4733" s="25">
        <f>IF(E4733="","",(E4733*4+3+cfgDeslocamento)/48)</f>
        <v>0</v>
      </c>
    </row>
    <row r="4734" spans="1:8">
      <c r="A4734" s="24"/>
      <c r="B4734" s="19"/>
      <c r="C4734" s="25">
        <f>IF(D4734="","",D4734/48)</f>
        <v>0</v>
      </c>
      <c r="D4734" s="26">
        <f>IF(A4734="","",ROUND((A4734-cfgDefasagem/1440)*48,0))</f>
        <v>0</v>
      </c>
      <c r="E4734" s="26">
        <f>IF(D4734="","",INT((D4734-cfgDeslocamento)/4))</f>
        <v>0</v>
      </c>
      <c r="F4734" s="26">
        <f>IF(D4734="","",MOD(D4734-cfgDeslocamento,4)+1)</f>
        <v>0</v>
      </c>
      <c r="G4734" s="26">
        <f>IF(A4734="","",IF(AND(ISNUMBER(B4734),B4734&lt;&gt;0),1,0))</f>
        <v>0</v>
      </c>
      <c r="H4734" s="25">
        <f>IF(E4734="","",(E4734*4+3+cfgDeslocamento)/48)</f>
        <v>0</v>
      </c>
    </row>
    <row r="4735" spans="1:8">
      <c r="A4735" s="24"/>
      <c r="B4735" s="19"/>
      <c r="C4735" s="25">
        <f>IF(D4735="","",D4735/48)</f>
        <v>0</v>
      </c>
      <c r="D4735" s="26">
        <f>IF(A4735="","",ROUND((A4735-cfgDefasagem/1440)*48,0))</f>
        <v>0</v>
      </c>
      <c r="E4735" s="26">
        <f>IF(D4735="","",INT((D4735-cfgDeslocamento)/4))</f>
        <v>0</v>
      </c>
      <c r="F4735" s="26">
        <f>IF(D4735="","",MOD(D4735-cfgDeslocamento,4)+1)</f>
        <v>0</v>
      </c>
      <c r="G4735" s="26">
        <f>IF(A4735="","",IF(AND(ISNUMBER(B4735),B4735&lt;&gt;0),1,0))</f>
        <v>0</v>
      </c>
      <c r="H4735" s="25">
        <f>IF(E4735="","",(E4735*4+3+cfgDeslocamento)/48)</f>
        <v>0</v>
      </c>
    </row>
    <row r="4736" spans="1:8">
      <c r="A4736" s="24"/>
      <c r="B4736" s="19"/>
      <c r="C4736" s="25">
        <f>IF(D4736="","",D4736/48)</f>
        <v>0</v>
      </c>
      <c r="D4736" s="26">
        <f>IF(A4736="","",ROUND((A4736-cfgDefasagem/1440)*48,0))</f>
        <v>0</v>
      </c>
      <c r="E4736" s="26">
        <f>IF(D4736="","",INT((D4736-cfgDeslocamento)/4))</f>
        <v>0</v>
      </c>
      <c r="F4736" s="26">
        <f>IF(D4736="","",MOD(D4736-cfgDeslocamento,4)+1)</f>
        <v>0</v>
      </c>
      <c r="G4736" s="26">
        <f>IF(A4736="","",IF(AND(ISNUMBER(B4736),B4736&lt;&gt;0),1,0))</f>
        <v>0</v>
      </c>
      <c r="H4736" s="25">
        <f>IF(E4736="","",(E4736*4+3+cfgDeslocamento)/48)</f>
        <v>0</v>
      </c>
    </row>
    <row r="4737" spans="1:8">
      <c r="A4737" s="24"/>
      <c r="B4737" s="19"/>
      <c r="C4737" s="25">
        <f>IF(D4737="","",D4737/48)</f>
        <v>0</v>
      </c>
      <c r="D4737" s="26">
        <f>IF(A4737="","",ROUND((A4737-cfgDefasagem/1440)*48,0))</f>
        <v>0</v>
      </c>
      <c r="E4737" s="26">
        <f>IF(D4737="","",INT((D4737-cfgDeslocamento)/4))</f>
        <v>0</v>
      </c>
      <c r="F4737" s="26">
        <f>IF(D4737="","",MOD(D4737-cfgDeslocamento,4)+1)</f>
        <v>0</v>
      </c>
      <c r="G4737" s="26">
        <f>IF(A4737="","",IF(AND(ISNUMBER(B4737),B4737&lt;&gt;0),1,0))</f>
        <v>0</v>
      </c>
      <c r="H4737" s="25">
        <f>IF(E4737="","",(E4737*4+3+cfgDeslocamento)/48)</f>
        <v>0</v>
      </c>
    </row>
    <row r="4738" spans="1:8">
      <c r="A4738" s="24"/>
      <c r="B4738" s="19"/>
      <c r="C4738" s="25">
        <f>IF(D4738="","",D4738/48)</f>
        <v>0</v>
      </c>
      <c r="D4738" s="26">
        <f>IF(A4738="","",ROUND((A4738-cfgDefasagem/1440)*48,0))</f>
        <v>0</v>
      </c>
      <c r="E4738" s="26">
        <f>IF(D4738="","",INT((D4738-cfgDeslocamento)/4))</f>
        <v>0</v>
      </c>
      <c r="F4738" s="26">
        <f>IF(D4738="","",MOD(D4738-cfgDeslocamento,4)+1)</f>
        <v>0</v>
      </c>
      <c r="G4738" s="26">
        <f>IF(A4738="","",IF(AND(ISNUMBER(B4738),B4738&lt;&gt;0),1,0))</f>
        <v>0</v>
      </c>
      <c r="H4738" s="25">
        <f>IF(E4738="","",(E4738*4+3+cfgDeslocamento)/48)</f>
        <v>0</v>
      </c>
    </row>
    <row r="4739" spans="1:8">
      <c r="A4739" s="24"/>
      <c r="B4739" s="19"/>
      <c r="C4739" s="25">
        <f>IF(D4739="","",D4739/48)</f>
        <v>0</v>
      </c>
      <c r="D4739" s="26">
        <f>IF(A4739="","",ROUND((A4739-cfgDefasagem/1440)*48,0))</f>
        <v>0</v>
      </c>
      <c r="E4739" s="26">
        <f>IF(D4739="","",INT((D4739-cfgDeslocamento)/4))</f>
        <v>0</v>
      </c>
      <c r="F4739" s="26">
        <f>IF(D4739="","",MOD(D4739-cfgDeslocamento,4)+1)</f>
        <v>0</v>
      </c>
      <c r="G4739" s="26">
        <f>IF(A4739="","",IF(AND(ISNUMBER(B4739),B4739&lt;&gt;0),1,0))</f>
        <v>0</v>
      </c>
      <c r="H4739" s="25">
        <f>IF(E4739="","",(E4739*4+3+cfgDeslocamento)/48)</f>
        <v>0</v>
      </c>
    </row>
    <row r="4740" spans="1:8">
      <c r="A4740" s="24"/>
      <c r="B4740" s="19"/>
      <c r="C4740" s="25">
        <f>IF(D4740="","",D4740/48)</f>
        <v>0</v>
      </c>
      <c r="D4740" s="26">
        <f>IF(A4740="","",ROUND((A4740-cfgDefasagem/1440)*48,0))</f>
        <v>0</v>
      </c>
      <c r="E4740" s="26">
        <f>IF(D4740="","",INT((D4740-cfgDeslocamento)/4))</f>
        <v>0</v>
      </c>
      <c r="F4740" s="26">
        <f>IF(D4740="","",MOD(D4740-cfgDeslocamento,4)+1)</f>
        <v>0</v>
      </c>
      <c r="G4740" s="26">
        <f>IF(A4740="","",IF(AND(ISNUMBER(B4740),B4740&lt;&gt;0),1,0))</f>
        <v>0</v>
      </c>
      <c r="H4740" s="25">
        <f>IF(E4740="","",(E4740*4+3+cfgDeslocamento)/48)</f>
        <v>0</v>
      </c>
    </row>
    <row r="4741" spans="1:8">
      <c r="A4741" s="24"/>
      <c r="B4741" s="19"/>
      <c r="C4741" s="25">
        <f>IF(D4741="","",D4741/48)</f>
        <v>0</v>
      </c>
      <c r="D4741" s="26">
        <f>IF(A4741="","",ROUND((A4741-cfgDefasagem/1440)*48,0))</f>
        <v>0</v>
      </c>
      <c r="E4741" s="26">
        <f>IF(D4741="","",INT((D4741-cfgDeslocamento)/4))</f>
        <v>0</v>
      </c>
      <c r="F4741" s="26">
        <f>IF(D4741="","",MOD(D4741-cfgDeslocamento,4)+1)</f>
        <v>0</v>
      </c>
      <c r="G4741" s="26">
        <f>IF(A4741="","",IF(AND(ISNUMBER(B4741),B4741&lt;&gt;0),1,0))</f>
        <v>0</v>
      </c>
      <c r="H4741" s="25">
        <f>IF(E4741="","",(E4741*4+3+cfgDeslocamento)/48)</f>
        <v>0</v>
      </c>
    </row>
    <row r="4742" spans="1:8">
      <c r="A4742" s="24"/>
      <c r="B4742" s="19"/>
      <c r="C4742" s="25">
        <f>IF(D4742="","",D4742/48)</f>
        <v>0</v>
      </c>
      <c r="D4742" s="26">
        <f>IF(A4742="","",ROUND((A4742-cfgDefasagem/1440)*48,0))</f>
        <v>0</v>
      </c>
      <c r="E4742" s="26">
        <f>IF(D4742="","",INT((D4742-cfgDeslocamento)/4))</f>
        <v>0</v>
      </c>
      <c r="F4742" s="26">
        <f>IF(D4742="","",MOD(D4742-cfgDeslocamento,4)+1)</f>
        <v>0</v>
      </c>
      <c r="G4742" s="26">
        <f>IF(A4742="","",IF(AND(ISNUMBER(B4742),B4742&lt;&gt;0),1,0))</f>
        <v>0</v>
      </c>
      <c r="H4742" s="25">
        <f>IF(E4742="","",(E4742*4+3+cfgDeslocamento)/48)</f>
        <v>0</v>
      </c>
    </row>
    <row r="4743" spans="1:8">
      <c r="A4743" s="24"/>
      <c r="B4743" s="19"/>
      <c r="C4743" s="25">
        <f>IF(D4743="","",D4743/48)</f>
        <v>0</v>
      </c>
      <c r="D4743" s="26">
        <f>IF(A4743="","",ROUND((A4743-cfgDefasagem/1440)*48,0))</f>
        <v>0</v>
      </c>
      <c r="E4743" s="26">
        <f>IF(D4743="","",INT((D4743-cfgDeslocamento)/4))</f>
        <v>0</v>
      </c>
      <c r="F4743" s="26">
        <f>IF(D4743="","",MOD(D4743-cfgDeslocamento,4)+1)</f>
        <v>0</v>
      </c>
      <c r="G4743" s="26">
        <f>IF(A4743="","",IF(AND(ISNUMBER(B4743),B4743&lt;&gt;0),1,0))</f>
        <v>0</v>
      </c>
      <c r="H4743" s="25">
        <f>IF(E4743="","",(E4743*4+3+cfgDeslocamento)/48)</f>
        <v>0</v>
      </c>
    </row>
    <row r="4744" spans="1:8">
      <c r="A4744" s="24"/>
      <c r="B4744" s="19"/>
      <c r="C4744" s="25">
        <f>IF(D4744="","",D4744/48)</f>
        <v>0</v>
      </c>
      <c r="D4744" s="26">
        <f>IF(A4744="","",ROUND((A4744-cfgDefasagem/1440)*48,0))</f>
        <v>0</v>
      </c>
      <c r="E4744" s="26">
        <f>IF(D4744="","",INT((D4744-cfgDeslocamento)/4))</f>
        <v>0</v>
      </c>
      <c r="F4744" s="26">
        <f>IF(D4744="","",MOD(D4744-cfgDeslocamento,4)+1)</f>
        <v>0</v>
      </c>
      <c r="G4744" s="26">
        <f>IF(A4744="","",IF(AND(ISNUMBER(B4744),B4744&lt;&gt;0),1,0))</f>
        <v>0</v>
      </c>
      <c r="H4744" s="25">
        <f>IF(E4744="","",(E4744*4+3+cfgDeslocamento)/48)</f>
        <v>0</v>
      </c>
    </row>
    <row r="4745" spans="1:8">
      <c r="A4745" s="24"/>
      <c r="B4745" s="19"/>
      <c r="C4745" s="25">
        <f>IF(D4745="","",D4745/48)</f>
        <v>0</v>
      </c>
      <c r="D4745" s="26">
        <f>IF(A4745="","",ROUND((A4745-cfgDefasagem/1440)*48,0))</f>
        <v>0</v>
      </c>
      <c r="E4745" s="26">
        <f>IF(D4745="","",INT((D4745-cfgDeslocamento)/4))</f>
        <v>0</v>
      </c>
      <c r="F4745" s="26">
        <f>IF(D4745="","",MOD(D4745-cfgDeslocamento,4)+1)</f>
        <v>0</v>
      </c>
      <c r="G4745" s="26">
        <f>IF(A4745="","",IF(AND(ISNUMBER(B4745),B4745&lt;&gt;0),1,0))</f>
        <v>0</v>
      </c>
      <c r="H4745" s="25">
        <f>IF(E4745="","",(E4745*4+3+cfgDeslocamento)/48)</f>
        <v>0</v>
      </c>
    </row>
    <row r="4746" spans="1:8">
      <c r="A4746" s="24"/>
      <c r="B4746" s="19"/>
      <c r="C4746" s="25">
        <f>IF(D4746="","",D4746/48)</f>
        <v>0</v>
      </c>
      <c r="D4746" s="26">
        <f>IF(A4746="","",ROUND((A4746-cfgDefasagem/1440)*48,0))</f>
        <v>0</v>
      </c>
      <c r="E4746" s="26">
        <f>IF(D4746="","",INT((D4746-cfgDeslocamento)/4))</f>
        <v>0</v>
      </c>
      <c r="F4746" s="26">
        <f>IF(D4746="","",MOD(D4746-cfgDeslocamento,4)+1)</f>
        <v>0</v>
      </c>
      <c r="G4746" s="26">
        <f>IF(A4746="","",IF(AND(ISNUMBER(B4746),B4746&lt;&gt;0),1,0))</f>
        <v>0</v>
      </c>
      <c r="H4746" s="25">
        <f>IF(E4746="","",(E4746*4+3+cfgDeslocamento)/48)</f>
        <v>0</v>
      </c>
    </row>
    <row r="4747" spans="1:8">
      <c r="A4747" s="24"/>
      <c r="B4747" s="19"/>
      <c r="C4747" s="25">
        <f>IF(D4747="","",D4747/48)</f>
        <v>0</v>
      </c>
      <c r="D4747" s="26">
        <f>IF(A4747="","",ROUND((A4747-cfgDefasagem/1440)*48,0))</f>
        <v>0</v>
      </c>
      <c r="E4747" s="26">
        <f>IF(D4747="","",INT((D4747-cfgDeslocamento)/4))</f>
        <v>0</v>
      </c>
      <c r="F4747" s="26">
        <f>IF(D4747="","",MOD(D4747-cfgDeslocamento,4)+1)</f>
        <v>0</v>
      </c>
      <c r="G4747" s="26">
        <f>IF(A4747="","",IF(AND(ISNUMBER(B4747),B4747&lt;&gt;0),1,0))</f>
        <v>0</v>
      </c>
      <c r="H4747" s="25">
        <f>IF(E4747="","",(E4747*4+3+cfgDeslocamento)/48)</f>
        <v>0</v>
      </c>
    </row>
    <row r="4748" spans="1:8">
      <c r="A4748" s="24"/>
      <c r="B4748" s="19"/>
      <c r="C4748" s="25">
        <f>IF(D4748="","",D4748/48)</f>
        <v>0</v>
      </c>
      <c r="D4748" s="26">
        <f>IF(A4748="","",ROUND((A4748-cfgDefasagem/1440)*48,0))</f>
        <v>0</v>
      </c>
      <c r="E4748" s="26">
        <f>IF(D4748="","",INT((D4748-cfgDeslocamento)/4))</f>
        <v>0</v>
      </c>
      <c r="F4748" s="26">
        <f>IF(D4748="","",MOD(D4748-cfgDeslocamento,4)+1)</f>
        <v>0</v>
      </c>
      <c r="G4748" s="26">
        <f>IF(A4748="","",IF(AND(ISNUMBER(B4748),B4748&lt;&gt;0),1,0))</f>
        <v>0</v>
      </c>
      <c r="H4748" s="25">
        <f>IF(E4748="","",(E4748*4+3+cfgDeslocamento)/48)</f>
        <v>0</v>
      </c>
    </row>
    <row r="4749" spans="1:8">
      <c r="A4749" s="24"/>
      <c r="B4749" s="19"/>
      <c r="C4749" s="25">
        <f>IF(D4749="","",D4749/48)</f>
        <v>0</v>
      </c>
      <c r="D4749" s="26">
        <f>IF(A4749="","",ROUND((A4749-cfgDefasagem/1440)*48,0))</f>
        <v>0</v>
      </c>
      <c r="E4749" s="26">
        <f>IF(D4749="","",INT((D4749-cfgDeslocamento)/4))</f>
        <v>0</v>
      </c>
      <c r="F4749" s="26">
        <f>IF(D4749="","",MOD(D4749-cfgDeslocamento,4)+1)</f>
        <v>0</v>
      </c>
      <c r="G4749" s="26">
        <f>IF(A4749="","",IF(AND(ISNUMBER(B4749),B4749&lt;&gt;0),1,0))</f>
        <v>0</v>
      </c>
      <c r="H4749" s="25">
        <f>IF(E4749="","",(E4749*4+3+cfgDeslocamento)/48)</f>
        <v>0</v>
      </c>
    </row>
    <row r="4750" spans="1:8">
      <c r="A4750" s="24"/>
      <c r="B4750" s="19"/>
      <c r="C4750" s="25">
        <f>IF(D4750="","",D4750/48)</f>
        <v>0</v>
      </c>
      <c r="D4750" s="26">
        <f>IF(A4750="","",ROUND((A4750-cfgDefasagem/1440)*48,0))</f>
        <v>0</v>
      </c>
      <c r="E4750" s="26">
        <f>IF(D4750="","",INT((D4750-cfgDeslocamento)/4))</f>
        <v>0</v>
      </c>
      <c r="F4750" s="26">
        <f>IF(D4750="","",MOD(D4750-cfgDeslocamento,4)+1)</f>
        <v>0</v>
      </c>
      <c r="G4750" s="26">
        <f>IF(A4750="","",IF(AND(ISNUMBER(B4750),B4750&lt;&gt;0),1,0))</f>
        <v>0</v>
      </c>
      <c r="H4750" s="25">
        <f>IF(E4750="","",(E4750*4+3+cfgDeslocamento)/48)</f>
        <v>0</v>
      </c>
    </row>
    <row r="4751" spans="1:8">
      <c r="A4751" s="24"/>
      <c r="B4751" s="19"/>
      <c r="C4751" s="25">
        <f>IF(D4751="","",D4751/48)</f>
        <v>0</v>
      </c>
      <c r="D4751" s="26">
        <f>IF(A4751="","",ROUND((A4751-cfgDefasagem/1440)*48,0))</f>
        <v>0</v>
      </c>
      <c r="E4751" s="26">
        <f>IF(D4751="","",INT((D4751-cfgDeslocamento)/4))</f>
        <v>0</v>
      </c>
      <c r="F4751" s="26">
        <f>IF(D4751="","",MOD(D4751-cfgDeslocamento,4)+1)</f>
        <v>0</v>
      </c>
      <c r="G4751" s="26">
        <f>IF(A4751="","",IF(AND(ISNUMBER(B4751),B4751&lt;&gt;0),1,0))</f>
        <v>0</v>
      </c>
      <c r="H4751" s="25">
        <f>IF(E4751="","",(E4751*4+3+cfgDeslocamento)/48)</f>
        <v>0</v>
      </c>
    </row>
    <row r="4752" spans="1:8">
      <c r="A4752" s="24"/>
      <c r="B4752" s="19"/>
      <c r="C4752" s="25">
        <f>IF(D4752="","",D4752/48)</f>
        <v>0</v>
      </c>
      <c r="D4752" s="26">
        <f>IF(A4752="","",ROUND((A4752-cfgDefasagem/1440)*48,0))</f>
        <v>0</v>
      </c>
      <c r="E4752" s="26">
        <f>IF(D4752="","",INT((D4752-cfgDeslocamento)/4))</f>
        <v>0</v>
      </c>
      <c r="F4752" s="26">
        <f>IF(D4752="","",MOD(D4752-cfgDeslocamento,4)+1)</f>
        <v>0</v>
      </c>
      <c r="G4752" s="26">
        <f>IF(A4752="","",IF(AND(ISNUMBER(B4752),B4752&lt;&gt;0),1,0))</f>
        <v>0</v>
      </c>
      <c r="H4752" s="25">
        <f>IF(E4752="","",(E4752*4+3+cfgDeslocamento)/48)</f>
        <v>0</v>
      </c>
    </row>
    <row r="4753" spans="1:8">
      <c r="A4753" s="24"/>
      <c r="B4753" s="19"/>
      <c r="C4753" s="25">
        <f>IF(D4753="","",D4753/48)</f>
        <v>0</v>
      </c>
      <c r="D4753" s="26">
        <f>IF(A4753="","",ROUND((A4753-cfgDefasagem/1440)*48,0))</f>
        <v>0</v>
      </c>
      <c r="E4753" s="26">
        <f>IF(D4753="","",INT((D4753-cfgDeslocamento)/4))</f>
        <v>0</v>
      </c>
      <c r="F4753" s="26">
        <f>IF(D4753="","",MOD(D4753-cfgDeslocamento,4)+1)</f>
        <v>0</v>
      </c>
      <c r="G4753" s="26">
        <f>IF(A4753="","",IF(AND(ISNUMBER(B4753),B4753&lt;&gt;0),1,0))</f>
        <v>0</v>
      </c>
      <c r="H4753" s="25">
        <f>IF(E4753="","",(E4753*4+3+cfgDeslocamento)/48)</f>
        <v>0</v>
      </c>
    </row>
    <row r="4754" spans="1:8">
      <c r="A4754" s="24"/>
      <c r="B4754" s="19"/>
      <c r="C4754" s="25">
        <f>IF(D4754="","",D4754/48)</f>
        <v>0</v>
      </c>
      <c r="D4754" s="26">
        <f>IF(A4754="","",ROUND((A4754-cfgDefasagem/1440)*48,0))</f>
        <v>0</v>
      </c>
      <c r="E4754" s="26">
        <f>IF(D4754="","",INT((D4754-cfgDeslocamento)/4))</f>
        <v>0</v>
      </c>
      <c r="F4754" s="26">
        <f>IF(D4754="","",MOD(D4754-cfgDeslocamento,4)+1)</f>
        <v>0</v>
      </c>
      <c r="G4754" s="26">
        <f>IF(A4754="","",IF(AND(ISNUMBER(B4754),B4754&lt;&gt;0),1,0))</f>
        <v>0</v>
      </c>
      <c r="H4754" s="25">
        <f>IF(E4754="","",(E4754*4+3+cfgDeslocamento)/48)</f>
        <v>0</v>
      </c>
    </row>
    <row r="4755" spans="1:8">
      <c r="A4755" s="24"/>
      <c r="B4755" s="19"/>
      <c r="C4755" s="25">
        <f>IF(D4755="","",D4755/48)</f>
        <v>0</v>
      </c>
      <c r="D4755" s="26">
        <f>IF(A4755="","",ROUND((A4755-cfgDefasagem/1440)*48,0))</f>
        <v>0</v>
      </c>
      <c r="E4755" s="26">
        <f>IF(D4755="","",INT((D4755-cfgDeslocamento)/4))</f>
        <v>0</v>
      </c>
      <c r="F4755" s="26">
        <f>IF(D4755="","",MOD(D4755-cfgDeslocamento,4)+1)</f>
        <v>0</v>
      </c>
      <c r="G4755" s="26">
        <f>IF(A4755="","",IF(AND(ISNUMBER(B4755),B4755&lt;&gt;0),1,0))</f>
        <v>0</v>
      </c>
      <c r="H4755" s="25">
        <f>IF(E4755="","",(E4755*4+3+cfgDeslocamento)/48)</f>
        <v>0</v>
      </c>
    </row>
    <row r="4756" spans="1:8">
      <c r="A4756" s="24"/>
      <c r="B4756" s="19"/>
      <c r="C4756" s="25">
        <f>IF(D4756="","",D4756/48)</f>
        <v>0</v>
      </c>
      <c r="D4756" s="26">
        <f>IF(A4756="","",ROUND((A4756-cfgDefasagem/1440)*48,0))</f>
        <v>0</v>
      </c>
      <c r="E4756" s="26">
        <f>IF(D4756="","",INT((D4756-cfgDeslocamento)/4))</f>
        <v>0</v>
      </c>
      <c r="F4756" s="26">
        <f>IF(D4756="","",MOD(D4756-cfgDeslocamento,4)+1)</f>
        <v>0</v>
      </c>
      <c r="G4756" s="26">
        <f>IF(A4756="","",IF(AND(ISNUMBER(B4756),B4756&lt;&gt;0),1,0))</f>
        <v>0</v>
      </c>
      <c r="H4756" s="25">
        <f>IF(E4756="","",(E4756*4+3+cfgDeslocamento)/48)</f>
        <v>0</v>
      </c>
    </row>
    <row r="4757" spans="1:8">
      <c r="A4757" s="24"/>
      <c r="B4757" s="19"/>
      <c r="C4757" s="25">
        <f>IF(D4757="","",D4757/48)</f>
        <v>0</v>
      </c>
      <c r="D4757" s="26">
        <f>IF(A4757="","",ROUND((A4757-cfgDefasagem/1440)*48,0))</f>
        <v>0</v>
      </c>
      <c r="E4757" s="26">
        <f>IF(D4757="","",INT((D4757-cfgDeslocamento)/4))</f>
        <v>0</v>
      </c>
      <c r="F4757" s="26">
        <f>IF(D4757="","",MOD(D4757-cfgDeslocamento,4)+1)</f>
        <v>0</v>
      </c>
      <c r="G4757" s="26">
        <f>IF(A4757="","",IF(AND(ISNUMBER(B4757),B4757&lt;&gt;0),1,0))</f>
        <v>0</v>
      </c>
      <c r="H4757" s="25">
        <f>IF(E4757="","",(E4757*4+3+cfgDeslocamento)/48)</f>
        <v>0</v>
      </c>
    </row>
    <row r="4758" spans="1:8">
      <c r="A4758" s="24"/>
      <c r="B4758" s="19"/>
      <c r="C4758" s="25">
        <f>IF(D4758="","",D4758/48)</f>
        <v>0</v>
      </c>
      <c r="D4758" s="26">
        <f>IF(A4758="","",ROUND((A4758-cfgDefasagem/1440)*48,0))</f>
        <v>0</v>
      </c>
      <c r="E4758" s="26">
        <f>IF(D4758="","",INT((D4758-cfgDeslocamento)/4))</f>
        <v>0</v>
      </c>
      <c r="F4758" s="26">
        <f>IF(D4758="","",MOD(D4758-cfgDeslocamento,4)+1)</f>
        <v>0</v>
      </c>
      <c r="G4758" s="26">
        <f>IF(A4758="","",IF(AND(ISNUMBER(B4758),B4758&lt;&gt;0),1,0))</f>
        <v>0</v>
      </c>
      <c r="H4758" s="25">
        <f>IF(E4758="","",(E4758*4+3+cfgDeslocamento)/48)</f>
        <v>0</v>
      </c>
    </row>
    <row r="4759" spans="1:8">
      <c r="A4759" s="24"/>
      <c r="B4759" s="19"/>
      <c r="C4759" s="25">
        <f>IF(D4759="","",D4759/48)</f>
        <v>0</v>
      </c>
      <c r="D4759" s="26">
        <f>IF(A4759="","",ROUND((A4759-cfgDefasagem/1440)*48,0))</f>
        <v>0</v>
      </c>
      <c r="E4759" s="26">
        <f>IF(D4759="","",INT((D4759-cfgDeslocamento)/4))</f>
        <v>0</v>
      </c>
      <c r="F4759" s="26">
        <f>IF(D4759="","",MOD(D4759-cfgDeslocamento,4)+1)</f>
        <v>0</v>
      </c>
      <c r="G4759" s="26">
        <f>IF(A4759="","",IF(AND(ISNUMBER(B4759),B4759&lt;&gt;0),1,0))</f>
        <v>0</v>
      </c>
      <c r="H4759" s="25">
        <f>IF(E4759="","",(E4759*4+3+cfgDeslocamento)/48)</f>
        <v>0</v>
      </c>
    </row>
    <row r="4760" spans="1:8">
      <c r="A4760" s="24"/>
      <c r="B4760" s="19"/>
      <c r="C4760" s="25">
        <f>IF(D4760="","",D4760/48)</f>
        <v>0</v>
      </c>
      <c r="D4760" s="26">
        <f>IF(A4760="","",ROUND((A4760-cfgDefasagem/1440)*48,0))</f>
        <v>0</v>
      </c>
      <c r="E4760" s="26">
        <f>IF(D4760="","",INT((D4760-cfgDeslocamento)/4))</f>
        <v>0</v>
      </c>
      <c r="F4760" s="26">
        <f>IF(D4760="","",MOD(D4760-cfgDeslocamento,4)+1)</f>
        <v>0</v>
      </c>
      <c r="G4760" s="26">
        <f>IF(A4760="","",IF(AND(ISNUMBER(B4760),B4760&lt;&gt;0),1,0))</f>
        <v>0</v>
      </c>
      <c r="H4760" s="25">
        <f>IF(E4760="","",(E4760*4+3+cfgDeslocamento)/48)</f>
        <v>0</v>
      </c>
    </row>
    <row r="4761" spans="1:8">
      <c r="A4761" s="24"/>
      <c r="B4761" s="19"/>
      <c r="C4761" s="25">
        <f>IF(D4761="","",D4761/48)</f>
        <v>0</v>
      </c>
      <c r="D4761" s="26">
        <f>IF(A4761="","",ROUND((A4761-cfgDefasagem/1440)*48,0))</f>
        <v>0</v>
      </c>
      <c r="E4761" s="26">
        <f>IF(D4761="","",INT((D4761-cfgDeslocamento)/4))</f>
        <v>0</v>
      </c>
      <c r="F4761" s="26">
        <f>IF(D4761="","",MOD(D4761-cfgDeslocamento,4)+1)</f>
        <v>0</v>
      </c>
      <c r="G4761" s="26">
        <f>IF(A4761="","",IF(AND(ISNUMBER(B4761),B4761&lt;&gt;0),1,0))</f>
        <v>0</v>
      </c>
      <c r="H4761" s="25">
        <f>IF(E4761="","",(E4761*4+3+cfgDeslocamento)/48)</f>
        <v>0</v>
      </c>
    </row>
    <row r="4762" spans="1:8">
      <c r="A4762" s="24"/>
      <c r="B4762" s="19"/>
      <c r="C4762" s="25">
        <f>IF(D4762="","",D4762/48)</f>
        <v>0</v>
      </c>
      <c r="D4762" s="26">
        <f>IF(A4762="","",ROUND((A4762-cfgDefasagem/1440)*48,0))</f>
        <v>0</v>
      </c>
      <c r="E4762" s="26">
        <f>IF(D4762="","",INT((D4762-cfgDeslocamento)/4))</f>
        <v>0</v>
      </c>
      <c r="F4762" s="26">
        <f>IF(D4762="","",MOD(D4762-cfgDeslocamento,4)+1)</f>
        <v>0</v>
      </c>
      <c r="G4762" s="26">
        <f>IF(A4762="","",IF(AND(ISNUMBER(B4762),B4762&lt;&gt;0),1,0))</f>
        <v>0</v>
      </c>
      <c r="H4762" s="25">
        <f>IF(E4762="","",(E4762*4+3+cfgDeslocamento)/48)</f>
        <v>0</v>
      </c>
    </row>
    <row r="4763" spans="1:8">
      <c r="A4763" s="24"/>
      <c r="B4763" s="19"/>
      <c r="C4763" s="25">
        <f>IF(D4763="","",D4763/48)</f>
        <v>0</v>
      </c>
      <c r="D4763" s="26">
        <f>IF(A4763="","",ROUND((A4763-cfgDefasagem/1440)*48,0))</f>
        <v>0</v>
      </c>
      <c r="E4763" s="26">
        <f>IF(D4763="","",INT((D4763-cfgDeslocamento)/4))</f>
        <v>0</v>
      </c>
      <c r="F4763" s="26">
        <f>IF(D4763="","",MOD(D4763-cfgDeslocamento,4)+1)</f>
        <v>0</v>
      </c>
      <c r="G4763" s="26">
        <f>IF(A4763="","",IF(AND(ISNUMBER(B4763),B4763&lt;&gt;0),1,0))</f>
        <v>0</v>
      </c>
      <c r="H4763" s="25">
        <f>IF(E4763="","",(E4763*4+3+cfgDeslocamento)/48)</f>
        <v>0</v>
      </c>
    </row>
    <row r="4764" spans="1:8">
      <c r="A4764" s="24"/>
      <c r="B4764" s="19"/>
      <c r="C4764" s="25">
        <f>IF(D4764="","",D4764/48)</f>
        <v>0</v>
      </c>
      <c r="D4764" s="26">
        <f>IF(A4764="","",ROUND((A4764-cfgDefasagem/1440)*48,0))</f>
        <v>0</v>
      </c>
      <c r="E4764" s="26">
        <f>IF(D4764="","",INT((D4764-cfgDeslocamento)/4))</f>
        <v>0</v>
      </c>
      <c r="F4764" s="26">
        <f>IF(D4764="","",MOD(D4764-cfgDeslocamento,4)+1)</f>
        <v>0</v>
      </c>
      <c r="G4764" s="26">
        <f>IF(A4764="","",IF(AND(ISNUMBER(B4764),B4764&lt;&gt;0),1,0))</f>
        <v>0</v>
      </c>
      <c r="H4764" s="25">
        <f>IF(E4764="","",(E4764*4+3+cfgDeslocamento)/48)</f>
        <v>0</v>
      </c>
    </row>
    <row r="4765" spans="1:8">
      <c r="A4765" s="24"/>
      <c r="B4765" s="19"/>
      <c r="C4765" s="25">
        <f>IF(D4765="","",D4765/48)</f>
        <v>0</v>
      </c>
      <c r="D4765" s="26">
        <f>IF(A4765="","",ROUND((A4765-cfgDefasagem/1440)*48,0))</f>
        <v>0</v>
      </c>
      <c r="E4765" s="26">
        <f>IF(D4765="","",INT((D4765-cfgDeslocamento)/4))</f>
        <v>0</v>
      </c>
      <c r="F4765" s="26">
        <f>IF(D4765="","",MOD(D4765-cfgDeslocamento,4)+1)</f>
        <v>0</v>
      </c>
      <c r="G4765" s="26">
        <f>IF(A4765="","",IF(AND(ISNUMBER(B4765),B4765&lt;&gt;0),1,0))</f>
        <v>0</v>
      </c>
      <c r="H4765" s="25">
        <f>IF(E4765="","",(E4765*4+3+cfgDeslocamento)/48)</f>
        <v>0</v>
      </c>
    </row>
    <row r="4766" spans="1:8">
      <c r="A4766" s="24"/>
      <c r="B4766" s="19"/>
      <c r="C4766" s="25">
        <f>IF(D4766="","",D4766/48)</f>
        <v>0</v>
      </c>
      <c r="D4766" s="26">
        <f>IF(A4766="","",ROUND((A4766-cfgDefasagem/1440)*48,0))</f>
        <v>0</v>
      </c>
      <c r="E4766" s="26">
        <f>IF(D4766="","",INT((D4766-cfgDeslocamento)/4))</f>
        <v>0</v>
      </c>
      <c r="F4766" s="26">
        <f>IF(D4766="","",MOD(D4766-cfgDeslocamento,4)+1)</f>
        <v>0</v>
      </c>
      <c r="G4766" s="26">
        <f>IF(A4766="","",IF(AND(ISNUMBER(B4766),B4766&lt;&gt;0),1,0))</f>
        <v>0</v>
      </c>
      <c r="H4766" s="25">
        <f>IF(E4766="","",(E4766*4+3+cfgDeslocamento)/48)</f>
        <v>0</v>
      </c>
    </row>
    <row r="4767" spans="1:8">
      <c r="A4767" s="24"/>
      <c r="B4767" s="19"/>
      <c r="C4767" s="25">
        <f>IF(D4767="","",D4767/48)</f>
        <v>0</v>
      </c>
      <c r="D4767" s="26">
        <f>IF(A4767="","",ROUND((A4767-cfgDefasagem/1440)*48,0))</f>
        <v>0</v>
      </c>
      <c r="E4767" s="26">
        <f>IF(D4767="","",INT((D4767-cfgDeslocamento)/4))</f>
        <v>0</v>
      </c>
      <c r="F4767" s="26">
        <f>IF(D4767="","",MOD(D4767-cfgDeslocamento,4)+1)</f>
        <v>0</v>
      </c>
      <c r="G4767" s="26">
        <f>IF(A4767="","",IF(AND(ISNUMBER(B4767),B4767&lt;&gt;0),1,0))</f>
        <v>0</v>
      </c>
      <c r="H4767" s="25">
        <f>IF(E4767="","",(E4767*4+3+cfgDeslocamento)/48)</f>
        <v>0</v>
      </c>
    </row>
    <row r="4768" spans="1:8">
      <c r="A4768" s="24"/>
      <c r="B4768" s="19"/>
      <c r="C4768" s="25">
        <f>IF(D4768="","",D4768/48)</f>
        <v>0</v>
      </c>
      <c r="D4768" s="26">
        <f>IF(A4768="","",ROUND((A4768-cfgDefasagem/1440)*48,0))</f>
        <v>0</v>
      </c>
      <c r="E4768" s="26">
        <f>IF(D4768="","",INT((D4768-cfgDeslocamento)/4))</f>
        <v>0</v>
      </c>
      <c r="F4768" s="26">
        <f>IF(D4768="","",MOD(D4768-cfgDeslocamento,4)+1)</f>
        <v>0</v>
      </c>
      <c r="G4768" s="26">
        <f>IF(A4768="","",IF(AND(ISNUMBER(B4768),B4768&lt;&gt;0),1,0))</f>
        <v>0</v>
      </c>
      <c r="H4768" s="25">
        <f>IF(E4768="","",(E4768*4+3+cfgDeslocamento)/48)</f>
        <v>0</v>
      </c>
    </row>
    <row r="4769" spans="1:8">
      <c r="A4769" s="24"/>
      <c r="B4769" s="19"/>
      <c r="C4769" s="25">
        <f>IF(D4769="","",D4769/48)</f>
        <v>0</v>
      </c>
      <c r="D4769" s="26">
        <f>IF(A4769="","",ROUND((A4769-cfgDefasagem/1440)*48,0))</f>
        <v>0</v>
      </c>
      <c r="E4769" s="26">
        <f>IF(D4769="","",INT((D4769-cfgDeslocamento)/4))</f>
        <v>0</v>
      </c>
      <c r="F4769" s="26">
        <f>IF(D4769="","",MOD(D4769-cfgDeslocamento,4)+1)</f>
        <v>0</v>
      </c>
      <c r="G4769" s="26">
        <f>IF(A4769="","",IF(AND(ISNUMBER(B4769),B4769&lt;&gt;0),1,0))</f>
        <v>0</v>
      </c>
      <c r="H4769" s="25">
        <f>IF(E4769="","",(E4769*4+3+cfgDeslocamento)/48)</f>
        <v>0</v>
      </c>
    </row>
    <row r="4770" spans="1:8">
      <c r="A4770" s="24"/>
      <c r="B4770" s="19"/>
      <c r="C4770" s="25">
        <f>IF(D4770="","",D4770/48)</f>
        <v>0</v>
      </c>
      <c r="D4770" s="26">
        <f>IF(A4770="","",ROUND((A4770-cfgDefasagem/1440)*48,0))</f>
        <v>0</v>
      </c>
      <c r="E4770" s="26">
        <f>IF(D4770="","",INT((D4770-cfgDeslocamento)/4))</f>
        <v>0</v>
      </c>
      <c r="F4770" s="26">
        <f>IF(D4770="","",MOD(D4770-cfgDeslocamento,4)+1)</f>
        <v>0</v>
      </c>
      <c r="G4770" s="26">
        <f>IF(A4770="","",IF(AND(ISNUMBER(B4770),B4770&lt;&gt;0),1,0))</f>
        <v>0</v>
      </c>
      <c r="H4770" s="25">
        <f>IF(E4770="","",(E4770*4+3+cfgDeslocamento)/48)</f>
        <v>0</v>
      </c>
    </row>
    <row r="4771" spans="1:8">
      <c r="A4771" s="24"/>
      <c r="B4771" s="19"/>
      <c r="C4771" s="25">
        <f>IF(D4771="","",D4771/48)</f>
        <v>0</v>
      </c>
      <c r="D4771" s="26">
        <f>IF(A4771="","",ROUND((A4771-cfgDefasagem/1440)*48,0))</f>
        <v>0</v>
      </c>
      <c r="E4771" s="26">
        <f>IF(D4771="","",INT((D4771-cfgDeslocamento)/4))</f>
        <v>0</v>
      </c>
      <c r="F4771" s="26">
        <f>IF(D4771="","",MOD(D4771-cfgDeslocamento,4)+1)</f>
        <v>0</v>
      </c>
      <c r="G4771" s="26">
        <f>IF(A4771="","",IF(AND(ISNUMBER(B4771),B4771&lt;&gt;0),1,0))</f>
        <v>0</v>
      </c>
      <c r="H4771" s="25">
        <f>IF(E4771="","",(E4771*4+3+cfgDeslocamento)/48)</f>
        <v>0</v>
      </c>
    </row>
    <row r="4772" spans="1:8">
      <c r="A4772" s="24"/>
      <c r="B4772" s="19"/>
      <c r="C4772" s="25">
        <f>IF(D4772="","",D4772/48)</f>
        <v>0</v>
      </c>
      <c r="D4772" s="26">
        <f>IF(A4772="","",ROUND((A4772-cfgDefasagem/1440)*48,0))</f>
        <v>0</v>
      </c>
      <c r="E4772" s="26">
        <f>IF(D4772="","",INT((D4772-cfgDeslocamento)/4))</f>
        <v>0</v>
      </c>
      <c r="F4772" s="26">
        <f>IF(D4772="","",MOD(D4772-cfgDeslocamento,4)+1)</f>
        <v>0</v>
      </c>
      <c r="G4772" s="26">
        <f>IF(A4772="","",IF(AND(ISNUMBER(B4772),B4772&lt;&gt;0),1,0))</f>
        <v>0</v>
      </c>
      <c r="H4772" s="25">
        <f>IF(E4772="","",(E4772*4+3+cfgDeslocamento)/48)</f>
        <v>0</v>
      </c>
    </row>
    <row r="4773" spans="1:8">
      <c r="A4773" s="24"/>
      <c r="B4773" s="19"/>
      <c r="C4773" s="25">
        <f>IF(D4773="","",D4773/48)</f>
        <v>0</v>
      </c>
      <c r="D4773" s="26">
        <f>IF(A4773="","",ROUND((A4773-cfgDefasagem/1440)*48,0))</f>
        <v>0</v>
      </c>
      <c r="E4773" s="26">
        <f>IF(D4773="","",INT((D4773-cfgDeslocamento)/4))</f>
        <v>0</v>
      </c>
      <c r="F4773" s="26">
        <f>IF(D4773="","",MOD(D4773-cfgDeslocamento,4)+1)</f>
        <v>0</v>
      </c>
      <c r="G4773" s="26">
        <f>IF(A4773="","",IF(AND(ISNUMBER(B4773),B4773&lt;&gt;0),1,0))</f>
        <v>0</v>
      </c>
      <c r="H4773" s="25">
        <f>IF(E4773="","",(E4773*4+3+cfgDeslocamento)/48)</f>
        <v>0</v>
      </c>
    </row>
    <row r="4774" spans="1:8">
      <c r="A4774" s="24"/>
      <c r="B4774" s="19"/>
      <c r="C4774" s="25">
        <f>IF(D4774="","",D4774/48)</f>
        <v>0</v>
      </c>
      <c r="D4774" s="26">
        <f>IF(A4774="","",ROUND((A4774-cfgDefasagem/1440)*48,0))</f>
        <v>0</v>
      </c>
      <c r="E4774" s="26">
        <f>IF(D4774="","",INT((D4774-cfgDeslocamento)/4))</f>
        <v>0</v>
      </c>
      <c r="F4774" s="26">
        <f>IF(D4774="","",MOD(D4774-cfgDeslocamento,4)+1)</f>
        <v>0</v>
      </c>
      <c r="G4774" s="26">
        <f>IF(A4774="","",IF(AND(ISNUMBER(B4774),B4774&lt;&gt;0),1,0))</f>
        <v>0</v>
      </c>
      <c r="H4774" s="25">
        <f>IF(E4774="","",(E4774*4+3+cfgDeslocamento)/48)</f>
        <v>0</v>
      </c>
    </row>
    <row r="4775" spans="1:8">
      <c r="A4775" s="24"/>
      <c r="B4775" s="19"/>
      <c r="C4775" s="25">
        <f>IF(D4775="","",D4775/48)</f>
        <v>0</v>
      </c>
      <c r="D4775" s="26">
        <f>IF(A4775="","",ROUND((A4775-cfgDefasagem/1440)*48,0))</f>
        <v>0</v>
      </c>
      <c r="E4775" s="26">
        <f>IF(D4775="","",INT((D4775-cfgDeslocamento)/4))</f>
        <v>0</v>
      </c>
      <c r="F4775" s="26">
        <f>IF(D4775="","",MOD(D4775-cfgDeslocamento,4)+1)</f>
        <v>0</v>
      </c>
      <c r="G4775" s="26">
        <f>IF(A4775="","",IF(AND(ISNUMBER(B4775),B4775&lt;&gt;0),1,0))</f>
        <v>0</v>
      </c>
      <c r="H4775" s="25">
        <f>IF(E4775="","",(E4775*4+3+cfgDeslocamento)/48)</f>
        <v>0</v>
      </c>
    </row>
    <row r="4776" spans="1:8">
      <c r="A4776" s="24"/>
      <c r="B4776" s="19"/>
      <c r="C4776" s="25">
        <f>IF(D4776="","",D4776/48)</f>
        <v>0</v>
      </c>
      <c r="D4776" s="26">
        <f>IF(A4776="","",ROUND((A4776-cfgDefasagem/1440)*48,0))</f>
        <v>0</v>
      </c>
      <c r="E4776" s="26">
        <f>IF(D4776="","",INT((D4776-cfgDeslocamento)/4))</f>
        <v>0</v>
      </c>
      <c r="F4776" s="26">
        <f>IF(D4776="","",MOD(D4776-cfgDeslocamento,4)+1)</f>
        <v>0</v>
      </c>
      <c r="G4776" s="26">
        <f>IF(A4776="","",IF(AND(ISNUMBER(B4776),B4776&lt;&gt;0),1,0))</f>
        <v>0</v>
      </c>
      <c r="H4776" s="25">
        <f>IF(E4776="","",(E4776*4+3+cfgDeslocamento)/48)</f>
        <v>0</v>
      </c>
    </row>
    <row r="4777" spans="1:8">
      <c r="A4777" s="24"/>
      <c r="B4777" s="19"/>
      <c r="C4777" s="25">
        <f>IF(D4777="","",D4777/48)</f>
        <v>0</v>
      </c>
      <c r="D4777" s="26">
        <f>IF(A4777="","",ROUND((A4777-cfgDefasagem/1440)*48,0))</f>
        <v>0</v>
      </c>
      <c r="E4777" s="26">
        <f>IF(D4777="","",INT((D4777-cfgDeslocamento)/4))</f>
        <v>0</v>
      </c>
      <c r="F4777" s="26">
        <f>IF(D4777="","",MOD(D4777-cfgDeslocamento,4)+1)</f>
        <v>0</v>
      </c>
      <c r="G4777" s="26">
        <f>IF(A4777="","",IF(AND(ISNUMBER(B4777),B4777&lt;&gt;0),1,0))</f>
        <v>0</v>
      </c>
      <c r="H4777" s="25">
        <f>IF(E4777="","",(E4777*4+3+cfgDeslocamento)/48)</f>
        <v>0</v>
      </c>
    </row>
    <row r="4778" spans="1:8">
      <c r="A4778" s="24"/>
      <c r="B4778" s="19"/>
      <c r="C4778" s="25">
        <f>IF(D4778="","",D4778/48)</f>
        <v>0</v>
      </c>
      <c r="D4778" s="26">
        <f>IF(A4778="","",ROUND((A4778-cfgDefasagem/1440)*48,0))</f>
        <v>0</v>
      </c>
      <c r="E4778" s="26">
        <f>IF(D4778="","",INT((D4778-cfgDeslocamento)/4))</f>
        <v>0</v>
      </c>
      <c r="F4778" s="26">
        <f>IF(D4778="","",MOD(D4778-cfgDeslocamento,4)+1)</f>
        <v>0</v>
      </c>
      <c r="G4778" s="26">
        <f>IF(A4778="","",IF(AND(ISNUMBER(B4778),B4778&lt;&gt;0),1,0))</f>
        <v>0</v>
      </c>
      <c r="H4778" s="25">
        <f>IF(E4778="","",(E4778*4+3+cfgDeslocamento)/48)</f>
        <v>0</v>
      </c>
    </row>
    <row r="4779" spans="1:8">
      <c r="A4779" s="24"/>
      <c r="B4779" s="19"/>
      <c r="C4779" s="25">
        <f>IF(D4779="","",D4779/48)</f>
        <v>0</v>
      </c>
      <c r="D4779" s="26">
        <f>IF(A4779="","",ROUND((A4779-cfgDefasagem/1440)*48,0))</f>
        <v>0</v>
      </c>
      <c r="E4779" s="26">
        <f>IF(D4779="","",INT((D4779-cfgDeslocamento)/4))</f>
        <v>0</v>
      </c>
      <c r="F4779" s="26">
        <f>IF(D4779="","",MOD(D4779-cfgDeslocamento,4)+1)</f>
        <v>0</v>
      </c>
      <c r="G4779" s="26">
        <f>IF(A4779="","",IF(AND(ISNUMBER(B4779),B4779&lt;&gt;0),1,0))</f>
        <v>0</v>
      </c>
      <c r="H4779" s="25">
        <f>IF(E4779="","",(E4779*4+3+cfgDeslocamento)/48)</f>
        <v>0</v>
      </c>
    </row>
    <row r="4780" spans="1:8">
      <c r="A4780" s="24"/>
      <c r="B4780" s="19"/>
      <c r="C4780" s="25">
        <f>IF(D4780="","",D4780/48)</f>
        <v>0</v>
      </c>
      <c r="D4780" s="26">
        <f>IF(A4780="","",ROUND((A4780-cfgDefasagem/1440)*48,0))</f>
        <v>0</v>
      </c>
      <c r="E4780" s="26">
        <f>IF(D4780="","",INT((D4780-cfgDeslocamento)/4))</f>
        <v>0</v>
      </c>
      <c r="F4780" s="26">
        <f>IF(D4780="","",MOD(D4780-cfgDeslocamento,4)+1)</f>
        <v>0</v>
      </c>
      <c r="G4780" s="26">
        <f>IF(A4780="","",IF(AND(ISNUMBER(B4780),B4780&lt;&gt;0),1,0))</f>
        <v>0</v>
      </c>
      <c r="H4780" s="25">
        <f>IF(E4780="","",(E4780*4+3+cfgDeslocamento)/48)</f>
        <v>0</v>
      </c>
    </row>
    <row r="4781" spans="1:8">
      <c r="A4781" s="24"/>
      <c r="B4781" s="19"/>
      <c r="C4781" s="25">
        <f>IF(D4781="","",D4781/48)</f>
        <v>0</v>
      </c>
      <c r="D4781" s="26">
        <f>IF(A4781="","",ROUND((A4781-cfgDefasagem/1440)*48,0))</f>
        <v>0</v>
      </c>
      <c r="E4781" s="26">
        <f>IF(D4781="","",INT((D4781-cfgDeslocamento)/4))</f>
        <v>0</v>
      </c>
      <c r="F4781" s="26">
        <f>IF(D4781="","",MOD(D4781-cfgDeslocamento,4)+1)</f>
        <v>0</v>
      </c>
      <c r="G4781" s="26">
        <f>IF(A4781="","",IF(AND(ISNUMBER(B4781),B4781&lt;&gt;0),1,0))</f>
        <v>0</v>
      </c>
      <c r="H4781" s="25">
        <f>IF(E4781="","",(E4781*4+3+cfgDeslocamento)/48)</f>
        <v>0</v>
      </c>
    </row>
    <row r="4782" spans="1:8">
      <c r="A4782" s="24"/>
      <c r="B4782" s="19"/>
      <c r="C4782" s="25">
        <f>IF(D4782="","",D4782/48)</f>
        <v>0</v>
      </c>
      <c r="D4782" s="26">
        <f>IF(A4782="","",ROUND((A4782-cfgDefasagem/1440)*48,0))</f>
        <v>0</v>
      </c>
      <c r="E4782" s="26">
        <f>IF(D4782="","",INT((D4782-cfgDeslocamento)/4))</f>
        <v>0</v>
      </c>
      <c r="F4782" s="26">
        <f>IF(D4782="","",MOD(D4782-cfgDeslocamento,4)+1)</f>
        <v>0</v>
      </c>
      <c r="G4782" s="26">
        <f>IF(A4782="","",IF(AND(ISNUMBER(B4782),B4782&lt;&gt;0),1,0))</f>
        <v>0</v>
      </c>
      <c r="H4782" s="25">
        <f>IF(E4782="","",(E4782*4+3+cfgDeslocamento)/48)</f>
        <v>0</v>
      </c>
    </row>
    <row r="4783" spans="1:8">
      <c r="A4783" s="24"/>
      <c r="B4783" s="19"/>
      <c r="C4783" s="25">
        <f>IF(D4783="","",D4783/48)</f>
        <v>0</v>
      </c>
      <c r="D4783" s="26">
        <f>IF(A4783="","",ROUND((A4783-cfgDefasagem/1440)*48,0))</f>
        <v>0</v>
      </c>
      <c r="E4783" s="26">
        <f>IF(D4783="","",INT((D4783-cfgDeslocamento)/4))</f>
        <v>0</v>
      </c>
      <c r="F4783" s="26">
        <f>IF(D4783="","",MOD(D4783-cfgDeslocamento,4)+1)</f>
        <v>0</v>
      </c>
      <c r="G4783" s="26">
        <f>IF(A4783="","",IF(AND(ISNUMBER(B4783),B4783&lt;&gt;0),1,0))</f>
        <v>0</v>
      </c>
      <c r="H4783" s="25">
        <f>IF(E4783="","",(E4783*4+3+cfgDeslocamento)/48)</f>
        <v>0</v>
      </c>
    </row>
    <row r="4784" spans="1:8">
      <c r="A4784" s="24"/>
      <c r="B4784" s="19"/>
      <c r="C4784" s="25">
        <f>IF(D4784="","",D4784/48)</f>
        <v>0</v>
      </c>
      <c r="D4784" s="26">
        <f>IF(A4784="","",ROUND((A4784-cfgDefasagem/1440)*48,0))</f>
        <v>0</v>
      </c>
      <c r="E4784" s="26">
        <f>IF(D4784="","",INT((D4784-cfgDeslocamento)/4))</f>
        <v>0</v>
      </c>
      <c r="F4784" s="26">
        <f>IF(D4784="","",MOD(D4784-cfgDeslocamento,4)+1)</f>
        <v>0</v>
      </c>
      <c r="G4784" s="26">
        <f>IF(A4784="","",IF(AND(ISNUMBER(B4784),B4784&lt;&gt;0),1,0))</f>
        <v>0</v>
      </c>
      <c r="H4784" s="25">
        <f>IF(E4784="","",(E4784*4+3+cfgDeslocamento)/48)</f>
        <v>0</v>
      </c>
    </row>
    <row r="4785" spans="1:8">
      <c r="A4785" s="24"/>
      <c r="B4785" s="19"/>
      <c r="C4785" s="25">
        <f>IF(D4785="","",D4785/48)</f>
        <v>0</v>
      </c>
      <c r="D4785" s="26">
        <f>IF(A4785="","",ROUND((A4785-cfgDefasagem/1440)*48,0))</f>
        <v>0</v>
      </c>
      <c r="E4785" s="26">
        <f>IF(D4785="","",INT((D4785-cfgDeslocamento)/4))</f>
        <v>0</v>
      </c>
      <c r="F4785" s="26">
        <f>IF(D4785="","",MOD(D4785-cfgDeslocamento,4)+1)</f>
        <v>0</v>
      </c>
      <c r="G4785" s="26">
        <f>IF(A4785="","",IF(AND(ISNUMBER(B4785),B4785&lt;&gt;0),1,0))</f>
        <v>0</v>
      </c>
      <c r="H4785" s="25">
        <f>IF(E4785="","",(E4785*4+3+cfgDeslocamento)/48)</f>
        <v>0</v>
      </c>
    </row>
    <row r="4786" spans="1:8">
      <c r="A4786" s="24"/>
      <c r="B4786" s="19"/>
      <c r="C4786" s="25">
        <f>IF(D4786="","",D4786/48)</f>
        <v>0</v>
      </c>
      <c r="D4786" s="26">
        <f>IF(A4786="","",ROUND((A4786-cfgDefasagem/1440)*48,0))</f>
        <v>0</v>
      </c>
      <c r="E4786" s="26">
        <f>IF(D4786="","",INT((D4786-cfgDeslocamento)/4))</f>
        <v>0</v>
      </c>
      <c r="F4786" s="26">
        <f>IF(D4786="","",MOD(D4786-cfgDeslocamento,4)+1)</f>
        <v>0</v>
      </c>
      <c r="G4786" s="26">
        <f>IF(A4786="","",IF(AND(ISNUMBER(B4786),B4786&lt;&gt;0),1,0))</f>
        <v>0</v>
      </c>
      <c r="H4786" s="25">
        <f>IF(E4786="","",(E4786*4+3+cfgDeslocamento)/48)</f>
        <v>0</v>
      </c>
    </row>
    <row r="4787" spans="1:8">
      <c r="A4787" s="24"/>
      <c r="B4787" s="19"/>
      <c r="C4787" s="25">
        <f>IF(D4787="","",D4787/48)</f>
        <v>0</v>
      </c>
      <c r="D4787" s="26">
        <f>IF(A4787="","",ROUND((A4787-cfgDefasagem/1440)*48,0))</f>
        <v>0</v>
      </c>
      <c r="E4787" s="26">
        <f>IF(D4787="","",INT((D4787-cfgDeslocamento)/4))</f>
        <v>0</v>
      </c>
      <c r="F4787" s="26">
        <f>IF(D4787="","",MOD(D4787-cfgDeslocamento,4)+1)</f>
        <v>0</v>
      </c>
      <c r="G4787" s="26">
        <f>IF(A4787="","",IF(AND(ISNUMBER(B4787),B4787&lt;&gt;0),1,0))</f>
        <v>0</v>
      </c>
      <c r="H4787" s="25">
        <f>IF(E4787="","",(E4787*4+3+cfgDeslocamento)/48)</f>
        <v>0</v>
      </c>
    </row>
    <row r="4788" spans="1:8">
      <c r="A4788" s="24"/>
      <c r="B4788" s="19"/>
      <c r="C4788" s="25">
        <f>IF(D4788="","",D4788/48)</f>
        <v>0</v>
      </c>
      <c r="D4788" s="26">
        <f>IF(A4788="","",ROUND((A4788-cfgDefasagem/1440)*48,0))</f>
        <v>0</v>
      </c>
      <c r="E4788" s="26">
        <f>IF(D4788="","",INT((D4788-cfgDeslocamento)/4))</f>
        <v>0</v>
      </c>
      <c r="F4788" s="26">
        <f>IF(D4788="","",MOD(D4788-cfgDeslocamento,4)+1)</f>
        <v>0</v>
      </c>
      <c r="G4788" s="26">
        <f>IF(A4788="","",IF(AND(ISNUMBER(B4788),B4788&lt;&gt;0),1,0))</f>
        <v>0</v>
      </c>
      <c r="H4788" s="25">
        <f>IF(E4788="","",(E4788*4+3+cfgDeslocamento)/48)</f>
        <v>0</v>
      </c>
    </row>
    <row r="4789" spans="1:8">
      <c r="A4789" s="24"/>
      <c r="B4789" s="19"/>
      <c r="C4789" s="25">
        <f>IF(D4789="","",D4789/48)</f>
        <v>0</v>
      </c>
      <c r="D4789" s="26">
        <f>IF(A4789="","",ROUND((A4789-cfgDefasagem/1440)*48,0))</f>
        <v>0</v>
      </c>
      <c r="E4789" s="26">
        <f>IF(D4789="","",INT((D4789-cfgDeslocamento)/4))</f>
        <v>0</v>
      </c>
      <c r="F4789" s="26">
        <f>IF(D4789="","",MOD(D4789-cfgDeslocamento,4)+1)</f>
        <v>0</v>
      </c>
      <c r="G4789" s="26">
        <f>IF(A4789="","",IF(AND(ISNUMBER(B4789),B4789&lt;&gt;0),1,0))</f>
        <v>0</v>
      </c>
      <c r="H4789" s="25">
        <f>IF(E4789="","",(E4789*4+3+cfgDeslocamento)/48)</f>
        <v>0</v>
      </c>
    </row>
    <row r="4790" spans="1:8">
      <c r="A4790" s="24"/>
      <c r="B4790" s="19"/>
      <c r="C4790" s="25">
        <f>IF(D4790="","",D4790/48)</f>
        <v>0</v>
      </c>
      <c r="D4790" s="26">
        <f>IF(A4790="","",ROUND((A4790-cfgDefasagem/1440)*48,0))</f>
        <v>0</v>
      </c>
      <c r="E4790" s="26">
        <f>IF(D4790="","",INT((D4790-cfgDeslocamento)/4))</f>
        <v>0</v>
      </c>
      <c r="F4790" s="26">
        <f>IF(D4790="","",MOD(D4790-cfgDeslocamento,4)+1)</f>
        <v>0</v>
      </c>
      <c r="G4790" s="26">
        <f>IF(A4790="","",IF(AND(ISNUMBER(B4790),B4790&lt;&gt;0),1,0))</f>
        <v>0</v>
      </c>
      <c r="H4790" s="25">
        <f>IF(E4790="","",(E4790*4+3+cfgDeslocamento)/48)</f>
        <v>0</v>
      </c>
    </row>
    <row r="4791" spans="1:8">
      <c r="A4791" s="24"/>
      <c r="B4791" s="19"/>
      <c r="C4791" s="25">
        <f>IF(D4791="","",D4791/48)</f>
        <v>0</v>
      </c>
      <c r="D4791" s="26">
        <f>IF(A4791="","",ROUND((A4791-cfgDefasagem/1440)*48,0))</f>
        <v>0</v>
      </c>
      <c r="E4791" s="26">
        <f>IF(D4791="","",INT((D4791-cfgDeslocamento)/4))</f>
        <v>0</v>
      </c>
      <c r="F4791" s="26">
        <f>IF(D4791="","",MOD(D4791-cfgDeslocamento,4)+1)</f>
        <v>0</v>
      </c>
      <c r="G4791" s="26">
        <f>IF(A4791="","",IF(AND(ISNUMBER(B4791),B4791&lt;&gt;0),1,0))</f>
        <v>0</v>
      </c>
      <c r="H4791" s="25">
        <f>IF(E4791="","",(E4791*4+3+cfgDeslocamento)/48)</f>
        <v>0</v>
      </c>
    </row>
    <row r="4792" spans="1:8">
      <c r="A4792" s="24"/>
      <c r="B4792" s="19"/>
      <c r="C4792" s="25">
        <f>IF(D4792="","",D4792/48)</f>
        <v>0</v>
      </c>
      <c r="D4792" s="26">
        <f>IF(A4792="","",ROUND((A4792-cfgDefasagem/1440)*48,0))</f>
        <v>0</v>
      </c>
      <c r="E4792" s="26">
        <f>IF(D4792="","",INT((D4792-cfgDeslocamento)/4))</f>
        <v>0</v>
      </c>
      <c r="F4792" s="26">
        <f>IF(D4792="","",MOD(D4792-cfgDeslocamento,4)+1)</f>
        <v>0</v>
      </c>
      <c r="G4792" s="26">
        <f>IF(A4792="","",IF(AND(ISNUMBER(B4792),B4792&lt;&gt;0),1,0))</f>
        <v>0</v>
      </c>
      <c r="H4792" s="25">
        <f>IF(E4792="","",(E4792*4+3+cfgDeslocamento)/48)</f>
        <v>0</v>
      </c>
    </row>
    <row r="4793" spans="1:8">
      <c r="A4793" s="24"/>
      <c r="B4793" s="19"/>
      <c r="C4793" s="25">
        <f>IF(D4793="","",D4793/48)</f>
        <v>0</v>
      </c>
      <c r="D4793" s="26">
        <f>IF(A4793="","",ROUND((A4793-cfgDefasagem/1440)*48,0))</f>
        <v>0</v>
      </c>
      <c r="E4793" s="26">
        <f>IF(D4793="","",INT((D4793-cfgDeslocamento)/4))</f>
        <v>0</v>
      </c>
      <c r="F4793" s="26">
        <f>IF(D4793="","",MOD(D4793-cfgDeslocamento,4)+1)</f>
        <v>0</v>
      </c>
      <c r="G4793" s="26">
        <f>IF(A4793="","",IF(AND(ISNUMBER(B4793),B4793&lt;&gt;0),1,0))</f>
        <v>0</v>
      </c>
      <c r="H4793" s="25">
        <f>IF(E4793="","",(E4793*4+3+cfgDeslocamento)/48)</f>
        <v>0</v>
      </c>
    </row>
    <row r="4794" spans="1:8">
      <c r="A4794" s="24"/>
      <c r="B4794" s="19"/>
      <c r="C4794" s="25">
        <f>IF(D4794="","",D4794/48)</f>
        <v>0</v>
      </c>
      <c r="D4794" s="26">
        <f>IF(A4794="","",ROUND((A4794-cfgDefasagem/1440)*48,0))</f>
        <v>0</v>
      </c>
      <c r="E4794" s="26">
        <f>IF(D4794="","",INT((D4794-cfgDeslocamento)/4))</f>
        <v>0</v>
      </c>
      <c r="F4794" s="26">
        <f>IF(D4794="","",MOD(D4794-cfgDeslocamento,4)+1)</f>
        <v>0</v>
      </c>
      <c r="G4794" s="26">
        <f>IF(A4794="","",IF(AND(ISNUMBER(B4794),B4794&lt;&gt;0),1,0))</f>
        <v>0</v>
      </c>
      <c r="H4794" s="25">
        <f>IF(E4794="","",(E4794*4+3+cfgDeslocamento)/48)</f>
        <v>0</v>
      </c>
    </row>
    <row r="4795" spans="1:8">
      <c r="A4795" s="24"/>
      <c r="B4795" s="19"/>
      <c r="C4795" s="25">
        <f>IF(D4795="","",D4795/48)</f>
        <v>0</v>
      </c>
      <c r="D4795" s="26">
        <f>IF(A4795="","",ROUND((A4795-cfgDefasagem/1440)*48,0))</f>
        <v>0</v>
      </c>
      <c r="E4795" s="26">
        <f>IF(D4795="","",INT((D4795-cfgDeslocamento)/4))</f>
        <v>0</v>
      </c>
      <c r="F4795" s="26">
        <f>IF(D4795="","",MOD(D4795-cfgDeslocamento,4)+1)</f>
        <v>0</v>
      </c>
      <c r="G4795" s="26">
        <f>IF(A4795="","",IF(AND(ISNUMBER(B4795),B4795&lt;&gt;0),1,0))</f>
        <v>0</v>
      </c>
      <c r="H4795" s="25">
        <f>IF(E4795="","",(E4795*4+3+cfgDeslocamento)/48)</f>
        <v>0</v>
      </c>
    </row>
    <row r="4796" spans="1:8">
      <c r="A4796" s="24"/>
      <c r="B4796" s="19"/>
      <c r="C4796" s="25">
        <f>IF(D4796="","",D4796/48)</f>
        <v>0</v>
      </c>
      <c r="D4796" s="26">
        <f>IF(A4796="","",ROUND((A4796-cfgDefasagem/1440)*48,0))</f>
        <v>0</v>
      </c>
      <c r="E4796" s="26">
        <f>IF(D4796="","",INT((D4796-cfgDeslocamento)/4))</f>
        <v>0</v>
      </c>
      <c r="F4796" s="26">
        <f>IF(D4796="","",MOD(D4796-cfgDeslocamento,4)+1)</f>
        <v>0</v>
      </c>
      <c r="G4796" s="26">
        <f>IF(A4796="","",IF(AND(ISNUMBER(B4796),B4796&lt;&gt;0),1,0))</f>
        <v>0</v>
      </c>
      <c r="H4796" s="25">
        <f>IF(E4796="","",(E4796*4+3+cfgDeslocamento)/48)</f>
        <v>0</v>
      </c>
    </row>
    <row r="4797" spans="1:8">
      <c r="A4797" s="24"/>
      <c r="B4797" s="19"/>
      <c r="C4797" s="25">
        <f>IF(D4797="","",D4797/48)</f>
        <v>0</v>
      </c>
      <c r="D4797" s="26">
        <f>IF(A4797="","",ROUND((A4797-cfgDefasagem/1440)*48,0))</f>
        <v>0</v>
      </c>
      <c r="E4797" s="26">
        <f>IF(D4797="","",INT((D4797-cfgDeslocamento)/4))</f>
        <v>0</v>
      </c>
      <c r="F4797" s="26">
        <f>IF(D4797="","",MOD(D4797-cfgDeslocamento,4)+1)</f>
        <v>0</v>
      </c>
      <c r="G4797" s="26">
        <f>IF(A4797="","",IF(AND(ISNUMBER(B4797),B4797&lt;&gt;0),1,0))</f>
        <v>0</v>
      </c>
      <c r="H4797" s="25">
        <f>IF(E4797="","",(E4797*4+3+cfgDeslocamento)/48)</f>
        <v>0</v>
      </c>
    </row>
    <row r="4798" spans="1:8">
      <c r="A4798" s="24"/>
      <c r="B4798" s="19"/>
      <c r="C4798" s="25">
        <f>IF(D4798="","",D4798/48)</f>
        <v>0</v>
      </c>
      <c r="D4798" s="26">
        <f>IF(A4798="","",ROUND((A4798-cfgDefasagem/1440)*48,0))</f>
        <v>0</v>
      </c>
      <c r="E4798" s="26">
        <f>IF(D4798="","",INT((D4798-cfgDeslocamento)/4))</f>
        <v>0</v>
      </c>
      <c r="F4798" s="26">
        <f>IF(D4798="","",MOD(D4798-cfgDeslocamento,4)+1)</f>
        <v>0</v>
      </c>
      <c r="G4798" s="26">
        <f>IF(A4798="","",IF(AND(ISNUMBER(B4798),B4798&lt;&gt;0),1,0))</f>
        <v>0</v>
      </c>
      <c r="H4798" s="25">
        <f>IF(E4798="","",(E4798*4+3+cfgDeslocamento)/48)</f>
        <v>0</v>
      </c>
    </row>
    <row r="4799" spans="1:8">
      <c r="A4799" s="24"/>
      <c r="B4799" s="19"/>
      <c r="C4799" s="25">
        <f>IF(D4799="","",D4799/48)</f>
        <v>0</v>
      </c>
      <c r="D4799" s="26">
        <f>IF(A4799="","",ROUND((A4799-cfgDefasagem/1440)*48,0))</f>
        <v>0</v>
      </c>
      <c r="E4799" s="26">
        <f>IF(D4799="","",INT((D4799-cfgDeslocamento)/4))</f>
        <v>0</v>
      </c>
      <c r="F4799" s="26">
        <f>IF(D4799="","",MOD(D4799-cfgDeslocamento,4)+1)</f>
        <v>0</v>
      </c>
      <c r="G4799" s="26">
        <f>IF(A4799="","",IF(AND(ISNUMBER(B4799),B4799&lt;&gt;0),1,0))</f>
        <v>0</v>
      </c>
      <c r="H4799" s="25">
        <f>IF(E4799="","",(E4799*4+3+cfgDeslocamento)/48)</f>
        <v>0</v>
      </c>
    </row>
    <row r="4800" spans="1:8">
      <c r="A4800" s="24"/>
      <c r="B4800" s="19"/>
      <c r="C4800" s="25">
        <f>IF(D4800="","",D4800/48)</f>
        <v>0</v>
      </c>
      <c r="D4800" s="26">
        <f>IF(A4800="","",ROUND((A4800-cfgDefasagem/1440)*48,0))</f>
        <v>0</v>
      </c>
      <c r="E4800" s="26">
        <f>IF(D4800="","",INT((D4800-cfgDeslocamento)/4))</f>
        <v>0</v>
      </c>
      <c r="F4800" s="26">
        <f>IF(D4800="","",MOD(D4800-cfgDeslocamento,4)+1)</f>
        <v>0</v>
      </c>
      <c r="G4800" s="26">
        <f>IF(A4800="","",IF(AND(ISNUMBER(B4800),B4800&lt;&gt;0),1,0))</f>
        <v>0</v>
      </c>
      <c r="H4800" s="25">
        <f>IF(E4800="","",(E4800*4+3+cfgDeslocamento)/48)</f>
        <v>0</v>
      </c>
    </row>
    <row r="4801" spans="1:8">
      <c r="A4801" s="24"/>
      <c r="B4801" s="19"/>
      <c r="C4801" s="25">
        <f>IF(D4801="","",D4801/48)</f>
        <v>0</v>
      </c>
      <c r="D4801" s="26">
        <f>IF(A4801="","",ROUND((A4801-cfgDefasagem/1440)*48,0))</f>
        <v>0</v>
      </c>
      <c r="E4801" s="26">
        <f>IF(D4801="","",INT((D4801-cfgDeslocamento)/4))</f>
        <v>0</v>
      </c>
      <c r="F4801" s="26">
        <f>IF(D4801="","",MOD(D4801-cfgDeslocamento,4)+1)</f>
        <v>0</v>
      </c>
      <c r="G4801" s="26">
        <f>IF(A4801="","",IF(AND(ISNUMBER(B4801),B4801&lt;&gt;0),1,0))</f>
        <v>0</v>
      </c>
      <c r="H4801" s="25">
        <f>IF(E4801="","",(E4801*4+3+cfgDeslocamento)/48)</f>
        <v>0</v>
      </c>
    </row>
    <row r="4802" spans="1:8">
      <c r="A4802" s="24"/>
      <c r="B4802" s="19"/>
      <c r="C4802" s="25">
        <f>IF(D4802="","",D4802/48)</f>
        <v>0</v>
      </c>
      <c r="D4802" s="26">
        <f>IF(A4802="","",ROUND((A4802-cfgDefasagem/1440)*48,0))</f>
        <v>0</v>
      </c>
      <c r="E4802" s="26">
        <f>IF(D4802="","",INT((D4802-cfgDeslocamento)/4))</f>
        <v>0</v>
      </c>
      <c r="F4802" s="26">
        <f>IF(D4802="","",MOD(D4802-cfgDeslocamento,4)+1)</f>
        <v>0</v>
      </c>
      <c r="G4802" s="26">
        <f>IF(A4802="","",IF(AND(ISNUMBER(B4802),B4802&lt;&gt;0),1,0))</f>
        <v>0</v>
      </c>
      <c r="H4802" s="25">
        <f>IF(E4802="","",(E4802*4+3+cfgDeslocamento)/48)</f>
        <v>0</v>
      </c>
    </row>
    <row r="4803" spans="1:8">
      <c r="A4803" s="24"/>
      <c r="B4803" s="19"/>
      <c r="C4803" s="25">
        <f>IF(D4803="","",D4803/48)</f>
        <v>0</v>
      </c>
      <c r="D4803" s="26">
        <f>IF(A4803="","",ROUND((A4803-cfgDefasagem/1440)*48,0))</f>
        <v>0</v>
      </c>
      <c r="E4803" s="26">
        <f>IF(D4803="","",INT((D4803-cfgDeslocamento)/4))</f>
        <v>0</v>
      </c>
      <c r="F4803" s="26">
        <f>IF(D4803="","",MOD(D4803-cfgDeslocamento,4)+1)</f>
        <v>0</v>
      </c>
      <c r="G4803" s="26">
        <f>IF(A4803="","",IF(AND(ISNUMBER(B4803),B4803&lt;&gt;0),1,0))</f>
        <v>0</v>
      </c>
      <c r="H4803" s="25">
        <f>IF(E4803="","",(E4803*4+3+cfgDeslocamento)/48)</f>
        <v>0</v>
      </c>
    </row>
    <row r="4804" spans="1:8">
      <c r="A4804" s="24"/>
      <c r="B4804" s="19"/>
      <c r="C4804" s="25">
        <f>IF(D4804="","",D4804/48)</f>
        <v>0</v>
      </c>
      <c r="D4804" s="26">
        <f>IF(A4804="","",ROUND((A4804-cfgDefasagem/1440)*48,0))</f>
        <v>0</v>
      </c>
      <c r="E4804" s="26">
        <f>IF(D4804="","",INT((D4804-cfgDeslocamento)/4))</f>
        <v>0</v>
      </c>
      <c r="F4804" s="26">
        <f>IF(D4804="","",MOD(D4804-cfgDeslocamento,4)+1)</f>
        <v>0</v>
      </c>
      <c r="G4804" s="26">
        <f>IF(A4804="","",IF(AND(ISNUMBER(B4804),B4804&lt;&gt;0),1,0))</f>
        <v>0</v>
      </c>
      <c r="H4804" s="25">
        <f>IF(E4804="","",(E4804*4+3+cfgDeslocamento)/48)</f>
        <v>0</v>
      </c>
    </row>
    <row r="4805" spans="1:8">
      <c r="A4805" s="24"/>
      <c r="B4805" s="19"/>
      <c r="C4805" s="25">
        <f>IF(D4805="","",D4805/48)</f>
        <v>0</v>
      </c>
      <c r="D4805" s="26">
        <f>IF(A4805="","",ROUND((A4805-cfgDefasagem/1440)*48,0))</f>
        <v>0</v>
      </c>
      <c r="E4805" s="26">
        <f>IF(D4805="","",INT((D4805-cfgDeslocamento)/4))</f>
        <v>0</v>
      </c>
      <c r="F4805" s="26">
        <f>IF(D4805="","",MOD(D4805-cfgDeslocamento,4)+1)</f>
        <v>0</v>
      </c>
      <c r="G4805" s="26">
        <f>IF(A4805="","",IF(AND(ISNUMBER(B4805),B4805&lt;&gt;0),1,0))</f>
        <v>0</v>
      </c>
      <c r="H4805" s="25">
        <f>IF(E4805="","",(E4805*4+3+cfgDeslocamento)/48)</f>
        <v>0</v>
      </c>
    </row>
    <row r="4806" spans="1:8">
      <c r="A4806" s="24"/>
      <c r="B4806" s="19"/>
      <c r="C4806" s="25">
        <f>IF(D4806="","",D4806/48)</f>
        <v>0</v>
      </c>
      <c r="D4806" s="26">
        <f>IF(A4806="","",ROUND((A4806-cfgDefasagem/1440)*48,0))</f>
        <v>0</v>
      </c>
      <c r="E4806" s="26">
        <f>IF(D4806="","",INT((D4806-cfgDeslocamento)/4))</f>
        <v>0</v>
      </c>
      <c r="F4806" s="26">
        <f>IF(D4806="","",MOD(D4806-cfgDeslocamento,4)+1)</f>
        <v>0</v>
      </c>
      <c r="G4806" s="26">
        <f>IF(A4806="","",IF(AND(ISNUMBER(B4806),B4806&lt;&gt;0),1,0))</f>
        <v>0</v>
      </c>
      <c r="H4806" s="25">
        <f>IF(E4806="","",(E4806*4+3+cfgDeslocamento)/48)</f>
        <v>0</v>
      </c>
    </row>
    <row r="4807" spans="1:8">
      <c r="A4807" s="24"/>
      <c r="B4807" s="19"/>
      <c r="C4807" s="25">
        <f>IF(D4807="","",D4807/48)</f>
        <v>0</v>
      </c>
      <c r="D4807" s="26">
        <f>IF(A4807="","",ROUND((A4807-cfgDefasagem/1440)*48,0))</f>
        <v>0</v>
      </c>
      <c r="E4807" s="26">
        <f>IF(D4807="","",INT((D4807-cfgDeslocamento)/4))</f>
        <v>0</v>
      </c>
      <c r="F4807" s="26">
        <f>IF(D4807="","",MOD(D4807-cfgDeslocamento,4)+1)</f>
        <v>0</v>
      </c>
      <c r="G4807" s="26">
        <f>IF(A4807="","",IF(AND(ISNUMBER(B4807),B4807&lt;&gt;0),1,0))</f>
        <v>0</v>
      </c>
      <c r="H4807" s="25">
        <f>IF(E4807="","",(E4807*4+3+cfgDeslocamento)/48)</f>
        <v>0</v>
      </c>
    </row>
    <row r="4808" spans="1:8">
      <c r="A4808" s="24"/>
      <c r="B4808" s="19"/>
      <c r="C4808" s="25">
        <f>IF(D4808="","",D4808/48)</f>
        <v>0</v>
      </c>
      <c r="D4808" s="26">
        <f>IF(A4808="","",ROUND((A4808-cfgDefasagem/1440)*48,0))</f>
        <v>0</v>
      </c>
      <c r="E4808" s="26">
        <f>IF(D4808="","",INT((D4808-cfgDeslocamento)/4))</f>
        <v>0</v>
      </c>
      <c r="F4808" s="26">
        <f>IF(D4808="","",MOD(D4808-cfgDeslocamento,4)+1)</f>
        <v>0</v>
      </c>
      <c r="G4808" s="26">
        <f>IF(A4808="","",IF(AND(ISNUMBER(B4808),B4808&lt;&gt;0),1,0))</f>
        <v>0</v>
      </c>
      <c r="H4808" s="25">
        <f>IF(E4808="","",(E4808*4+3+cfgDeslocamento)/48)</f>
        <v>0</v>
      </c>
    </row>
    <row r="4809" spans="1:8">
      <c r="A4809" s="24"/>
      <c r="B4809" s="19"/>
      <c r="C4809" s="25">
        <f>IF(D4809="","",D4809/48)</f>
        <v>0</v>
      </c>
      <c r="D4809" s="26">
        <f>IF(A4809="","",ROUND((A4809-cfgDefasagem/1440)*48,0))</f>
        <v>0</v>
      </c>
      <c r="E4809" s="26">
        <f>IF(D4809="","",INT((D4809-cfgDeslocamento)/4))</f>
        <v>0</v>
      </c>
      <c r="F4809" s="26">
        <f>IF(D4809="","",MOD(D4809-cfgDeslocamento,4)+1)</f>
        <v>0</v>
      </c>
      <c r="G4809" s="26">
        <f>IF(A4809="","",IF(AND(ISNUMBER(B4809),B4809&lt;&gt;0),1,0))</f>
        <v>0</v>
      </c>
      <c r="H4809" s="25">
        <f>IF(E4809="","",(E4809*4+3+cfgDeslocamento)/48)</f>
        <v>0</v>
      </c>
    </row>
    <row r="4810" spans="1:8">
      <c r="A4810" s="24"/>
      <c r="B4810" s="19"/>
      <c r="C4810" s="25">
        <f>IF(D4810="","",D4810/48)</f>
        <v>0</v>
      </c>
      <c r="D4810" s="26">
        <f>IF(A4810="","",ROUND((A4810-cfgDefasagem/1440)*48,0))</f>
        <v>0</v>
      </c>
      <c r="E4810" s="26">
        <f>IF(D4810="","",INT((D4810-cfgDeslocamento)/4))</f>
        <v>0</v>
      </c>
      <c r="F4810" s="26">
        <f>IF(D4810="","",MOD(D4810-cfgDeslocamento,4)+1)</f>
        <v>0</v>
      </c>
      <c r="G4810" s="26">
        <f>IF(A4810="","",IF(AND(ISNUMBER(B4810),B4810&lt;&gt;0),1,0))</f>
        <v>0</v>
      </c>
      <c r="H4810" s="25">
        <f>IF(E4810="","",(E4810*4+3+cfgDeslocamento)/48)</f>
        <v>0</v>
      </c>
    </row>
    <row r="4811" spans="1:8">
      <c r="A4811" s="24"/>
      <c r="B4811" s="19"/>
      <c r="C4811" s="25">
        <f>IF(D4811="","",D4811/48)</f>
        <v>0</v>
      </c>
      <c r="D4811" s="26">
        <f>IF(A4811="","",ROUND((A4811-cfgDefasagem/1440)*48,0))</f>
        <v>0</v>
      </c>
      <c r="E4811" s="26">
        <f>IF(D4811="","",INT((D4811-cfgDeslocamento)/4))</f>
        <v>0</v>
      </c>
      <c r="F4811" s="26">
        <f>IF(D4811="","",MOD(D4811-cfgDeslocamento,4)+1)</f>
        <v>0</v>
      </c>
      <c r="G4811" s="26">
        <f>IF(A4811="","",IF(AND(ISNUMBER(B4811),B4811&lt;&gt;0),1,0))</f>
        <v>0</v>
      </c>
      <c r="H4811" s="25">
        <f>IF(E4811="","",(E4811*4+3+cfgDeslocamento)/48)</f>
        <v>0</v>
      </c>
    </row>
    <row r="4812" spans="1:8">
      <c r="A4812" s="24"/>
      <c r="B4812" s="19"/>
      <c r="C4812" s="25">
        <f>IF(D4812="","",D4812/48)</f>
        <v>0</v>
      </c>
      <c r="D4812" s="26">
        <f>IF(A4812="","",ROUND((A4812-cfgDefasagem/1440)*48,0))</f>
        <v>0</v>
      </c>
      <c r="E4812" s="26">
        <f>IF(D4812="","",INT((D4812-cfgDeslocamento)/4))</f>
        <v>0</v>
      </c>
      <c r="F4812" s="26">
        <f>IF(D4812="","",MOD(D4812-cfgDeslocamento,4)+1)</f>
        <v>0</v>
      </c>
      <c r="G4812" s="26">
        <f>IF(A4812="","",IF(AND(ISNUMBER(B4812),B4812&lt;&gt;0),1,0))</f>
        <v>0</v>
      </c>
      <c r="H4812" s="25">
        <f>IF(E4812="","",(E4812*4+3+cfgDeslocamento)/48)</f>
        <v>0</v>
      </c>
    </row>
    <row r="4813" spans="1:8">
      <c r="A4813" s="24"/>
      <c r="B4813" s="19"/>
      <c r="C4813" s="25">
        <f>IF(D4813="","",D4813/48)</f>
        <v>0</v>
      </c>
      <c r="D4813" s="26">
        <f>IF(A4813="","",ROUND((A4813-cfgDefasagem/1440)*48,0))</f>
        <v>0</v>
      </c>
      <c r="E4813" s="26">
        <f>IF(D4813="","",INT((D4813-cfgDeslocamento)/4))</f>
        <v>0</v>
      </c>
      <c r="F4813" s="26">
        <f>IF(D4813="","",MOD(D4813-cfgDeslocamento,4)+1)</f>
        <v>0</v>
      </c>
      <c r="G4813" s="26">
        <f>IF(A4813="","",IF(AND(ISNUMBER(B4813),B4813&lt;&gt;0),1,0))</f>
        <v>0</v>
      </c>
      <c r="H4813" s="25">
        <f>IF(E4813="","",(E4813*4+3+cfgDeslocamento)/48)</f>
        <v>0</v>
      </c>
    </row>
    <row r="4814" spans="1:8">
      <c r="A4814" s="24"/>
      <c r="B4814" s="19"/>
      <c r="C4814" s="25">
        <f>IF(D4814="","",D4814/48)</f>
        <v>0</v>
      </c>
      <c r="D4814" s="26">
        <f>IF(A4814="","",ROUND((A4814-cfgDefasagem/1440)*48,0))</f>
        <v>0</v>
      </c>
      <c r="E4814" s="26">
        <f>IF(D4814="","",INT((D4814-cfgDeslocamento)/4))</f>
        <v>0</v>
      </c>
      <c r="F4814" s="26">
        <f>IF(D4814="","",MOD(D4814-cfgDeslocamento,4)+1)</f>
        <v>0</v>
      </c>
      <c r="G4814" s="26">
        <f>IF(A4814="","",IF(AND(ISNUMBER(B4814),B4814&lt;&gt;0),1,0))</f>
        <v>0</v>
      </c>
      <c r="H4814" s="25">
        <f>IF(E4814="","",(E4814*4+3+cfgDeslocamento)/48)</f>
        <v>0</v>
      </c>
    </row>
    <row r="4815" spans="1:8">
      <c r="A4815" s="24"/>
      <c r="B4815" s="19"/>
      <c r="C4815" s="25">
        <f>IF(D4815="","",D4815/48)</f>
        <v>0</v>
      </c>
      <c r="D4815" s="26">
        <f>IF(A4815="","",ROUND((A4815-cfgDefasagem/1440)*48,0))</f>
        <v>0</v>
      </c>
      <c r="E4815" s="26">
        <f>IF(D4815="","",INT((D4815-cfgDeslocamento)/4))</f>
        <v>0</v>
      </c>
      <c r="F4815" s="26">
        <f>IF(D4815="","",MOD(D4815-cfgDeslocamento,4)+1)</f>
        <v>0</v>
      </c>
      <c r="G4815" s="26">
        <f>IF(A4815="","",IF(AND(ISNUMBER(B4815),B4815&lt;&gt;0),1,0))</f>
        <v>0</v>
      </c>
      <c r="H4815" s="25">
        <f>IF(E4815="","",(E4815*4+3+cfgDeslocamento)/48)</f>
        <v>0</v>
      </c>
    </row>
    <row r="4816" spans="1:8">
      <c r="A4816" s="24"/>
      <c r="B4816" s="19"/>
      <c r="C4816" s="25">
        <f>IF(D4816="","",D4816/48)</f>
        <v>0</v>
      </c>
      <c r="D4816" s="26">
        <f>IF(A4816="","",ROUND((A4816-cfgDefasagem/1440)*48,0))</f>
        <v>0</v>
      </c>
      <c r="E4816" s="26">
        <f>IF(D4816="","",INT((D4816-cfgDeslocamento)/4))</f>
        <v>0</v>
      </c>
      <c r="F4816" s="26">
        <f>IF(D4816="","",MOD(D4816-cfgDeslocamento,4)+1)</f>
        <v>0</v>
      </c>
      <c r="G4816" s="26">
        <f>IF(A4816="","",IF(AND(ISNUMBER(B4816),B4816&lt;&gt;0),1,0))</f>
        <v>0</v>
      </c>
      <c r="H4816" s="25">
        <f>IF(E4816="","",(E4816*4+3+cfgDeslocamento)/48)</f>
        <v>0</v>
      </c>
    </row>
    <row r="4817" spans="1:8">
      <c r="A4817" s="24"/>
      <c r="B4817" s="19"/>
      <c r="C4817" s="25">
        <f>IF(D4817="","",D4817/48)</f>
        <v>0</v>
      </c>
      <c r="D4817" s="26">
        <f>IF(A4817="","",ROUND((A4817-cfgDefasagem/1440)*48,0))</f>
        <v>0</v>
      </c>
      <c r="E4817" s="26">
        <f>IF(D4817="","",INT((D4817-cfgDeslocamento)/4))</f>
        <v>0</v>
      </c>
      <c r="F4817" s="26">
        <f>IF(D4817="","",MOD(D4817-cfgDeslocamento,4)+1)</f>
        <v>0</v>
      </c>
      <c r="G4817" s="26">
        <f>IF(A4817="","",IF(AND(ISNUMBER(B4817),B4817&lt;&gt;0),1,0))</f>
        <v>0</v>
      </c>
      <c r="H4817" s="25">
        <f>IF(E4817="","",(E4817*4+3+cfgDeslocamento)/48)</f>
        <v>0</v>
      </c>
    </row>
    <row r="4818" spans="1:8">
      <c r="A4818" s="24"/>
      <c r="B4818" s="19"/>
      <c r="C4818" s="25">
        <f>IF(D4818="","",D4818/48)</f>
        <v>0</v>
      </c>
      <c r="D4818" s="26">
        <f>IF(A4818="","",ROUND((A4818-cfgDefasagem/1440)*48,0))</f>
        <v>0</v>
      </c>
      <c r="E4818" s="26">
        <f>IF(D4818="","",INT((D4818-cfgDeslocamento)/4))</f>
        <v>0</v>
      </c>
      <c r="F4818" s="26">
        <f>IF(D4818="","",MOD(D4818-cfgDeslocamento,4)+1)</f>
        <v>0</v>
      </c>
      <c r="G4818" s="26">
        <f>IF(A4818="","",IF(AND(ISNUMBER(B4818),B4818&lt;&gt;0),1,0))</f>
        <v>0</v>
      </c>
      <c r="H4818" s="25">
        <f>IF(E4818="","",(E4818*4+3+cfgDeslocamento)/48)</f>
        <v>0</v>
      </c>
    </row>
    <row r="4819" spans="1:8">
      <c r="A4819" s="24"/>
      <c r="B4819" s="19"/>
      <c r="C4819" s="25">
        <f>IF(D4819="","",D4819/48)</f>
        <v>0</v>
      </c>
      <c r="D4819" s="26">
        <f>IF(A4819="","",ROUND((A4819-cfgDefasagem/1440)*48,0))</f>
        <v>0</v>
      </c>
      <c r="E4819" s="26">
        <f>IF(D4819="","",INT((D4819-cfgDeslocamento)/4))</f>
        <v>0</v>
      </c>
      <c r="F4819" s="26">
        <f>IF(D4819="","",MOD(D4819-cfgDeslocamento,4)+1)</f>
        <v>0</v>
      </c>
      <c r="G4819" s="26">
        <f>IF(A4819="","",IF(AND(ISNUMBER(B4819),B4819&lt;&gt;0),1,0))</f>
        <v>0</v>
      </c>
      <c r="H4819" s="25">
        <f>IF(E4819="","",(E4819*4+3+cfgDeslocamento)/48)</f>
        <v>0</v>
      </c>
    </row>
    <row r="4820" spans="1:8">
      <c r="A4820" s="24"/>
      <c r="B4820" s="19"/>
      <c r="C4820" s="25">
        <f>IF(D4820="","",D4820/48)</f>
        <v>0</v>
      </c>
      <c r="D4820" s="26">
        <f>IF(A4820="","",ROUND((A4820-cfgDefasagem/1440)*48,0))</f>
        <v>0</v>
      </c>
      <c r="E4820" s="26">
        <f>IF(D4820="","",INT((D4820-cfgDeslocamento)/4))</f>
        <v>0</v>
      </c>
      <c r="F4820" s="26">
        <f>IF(D4820="","",MOD(D4820-cfgDeslocamento,4)+1)</f>
        <v>0</v>
      </c>
      <c r="G4820" s="26">
        <f>IF(A4820="","",IF(AND(ISNUMBER(B4820),B4820&lt;&gt;0),1,0))</f>
        <v>0</v>
      </c>
      <c r="H4820" s="25">
        <f>IF(E4820="","",(E4820*4+3+cfgDeslocamento)/48)</f>
        <v>0</v>
      </c>
    </row>
    <row r="4821" spans="1:8">
      <c r="A4821" s="24"/>
      <c r="B4821" s="19"/>
      <c r="C4821" s="25">
        <f>IF(D4821="","",D4821/48)</f>
        <v>0</v>
      </c>
      <c r="D4821" s="26">
        <f>IF(A4821="","",ROUND((A4821-cfgDefasagem/1440)*48,0))</f>
        <v>0</v>
      </c>
      <c r="E4821" s="26">
        <f>IF(D4821="","",INT((D4821-cfgDeslocamento)/4))</f>
        <v>0</v>
      </c>
      <c r="F4821" s="26">
        <f>IF(D4821="","",MOD(D4821-cfgDeslocamento,4)+1)</f>
        <v>0</v>
      </c>
      <c r="G4821" s="26">
        <f>IF(A4821="","",IF(AND(ISNUMBER(B4821),B4821&lt;&gt;0),1,0))</f>
        <v>0</v>
      </c>
      <c r="H4821" s="25">
        <f>IF(E4821="","",(E4821*4+3+cfgDeslocamento)/48)</f>
        <v>0</v>
      </c>
    </row>
    <row r="4822" spans="1:8">
      <c r="A4822" s="24"/>
      <c r="B4822" s="19"/>
      <c r="C4822" s="25">
        <f>IF(D4822="","",D4822/48)</f>
        <v>0</v>
      </c>
      <c r="D4822" s="26">
        <f>IF(A4822="","",ROUND((A4822-cfgDefasagem/1440)*48,0))</f>
        <v>0</v>
      </c>
      <c r="E4822" s="26">
        <f>IF(D4822="","",INT((D4822-cfgDeslocamento)/4))</f>
        <v>0</v>
      </c>
      <c r="F4822" s="26">
        <f>IF(D4822="","",MOD(D4822-cfgDeslocamento,4)+1)</f>
        <v>0</v>
      </c>
      <c r="G4822" s="26">
        <f>IF(A4822="","",IF(AND(ISNUMBER(B4822),B4822&lt;&gt;0),1,0))</f>
        <v>0</v>
      </c>
      <c r="H4822" s="25">
        <f>IF(E4822="","",(E4822*4+3+cfgDeslocamento)/48)</f>
        <v>0</v>
      </c>
    </row>
    <row r="4823" spans="1:8">
      <c r="A4823" s="24"/>
      <c r="B4823" s="19"/>
      <c r="C4823" s="25">
        <f>IF(D4823="","",D4823/48)</f>
        <v>0</v>
      </c>
      <c r="D4823" s="26">
        <f>IF(A4823="","",ROUND((A4823-cfgDefasagem/1440)*48,0))</f>
        <v>0</v>
      </c>
      <c r="E4823" s="26">
        <f>IF(D4823="","",INT((D4823-cfgDeslocamento)/4))</f>
        <v>0</v>
      </c>
      <c r="F4823" s="26">
        <f>IF(D4823="","",MOD(D4823-cfgDeslocamento,4)+1)</f>
        <v>0</v>
      </c>
      <c r="G4823" s="26">
        <f>IF(A4823="","",IF(AND(ISNUMBER(B4823),B4823&lt;&gt;0),1,0))</f>
        <v>0</v>
      </c>
      <c r="H4823" s="25">
        <f>IF(E4823="","",(E4823*4+3+cfgDeslocamento)/48)</f>
        <v>0</v>
      </c>
    </row>
    <row r="4824" spans="1:8">
      <c r="A4824" s="24"/>
      <c r="B4824" s="19"/>
      <c r="C4824" s="25">
        <f>IF(D4824="","",D4824/48)</f>
        <v>0</v>
      </c>
      <c r="D4824" s="26">
        <f>IF(A4824="","",ROUND((A4824-cfgDefasagem/1440)*48,0))</f>
        <v>0</v>
      </c>
      <c r="E4824" s="26">
        <f>IF(D4824="","",INT((D4824-cfgDeslocamento)/4))</f>
        <v>0</v>
      </c>
      <c r="F4824" s="26">
        <f>IF(D4824="","",MOD(D4824-cfgDeslocamento,4)+1)</f>
        <v>0</v>
      </c>
      <c r="G4824" s="26">
        <f>IF(A4824="","",IF(AND(ISNUMBER(B4824),B4824&lt;&gt;0),1,0))</f>
        <v>0</v>
      </c>
      <c r="H4824" s="25">
        <f>IF(E4824="","",(E4824*4+3+cfgDeslocamento)/48)</f>
        <v>0</v>
      </c>
    </row>
    <row r="4825" spans="1:8">
      <c r="A4825" s="24"/>
      <c r="B4825" s="19"/>
      <c r="C4825" s="25">
        <f>IF(D4825="","",D4825/48)</f>
        <v>0</v>
      </c>
      <c r="D4825" s="26">
        <f>IF(A4825="","",ROUND((A4825-cfgDefasagem/1440)*48,0))</f>
        <v>0</v>
      </c>
      <c r="E4825" s="26">
        <f>IF(D4825="","",INT((D4825-cfgDeslocamento)/4))</f>
        <v>0</v>
      </c>
      <c r="F4825" s="26">
        <f>IF(D4825="","",MOD(D4825-cfgDeslocamento,4)+1)</f>
        <v>0</v>
      </c>
      <c r="G4825" s="26">
        <f>IF(A4825="","",IF(AND(ISNUMBER(B4825),B4825&lt;&gt;0),1,0))</f>
        <v>0</v>
      </c>
      <c r="H4825" s="25">
        <f>IF(E4825="","",(E4825*4+3+cfgDeslocamento)/48)</f>
        <v>0</v>
      </c>
    </row>
    <row r="4826" spans="1:8">
      <c r="A4826" s="24"/>
      <c r="B4826" s="19"/>
      <c r="C4826" s="25">
        <f>IF(D4826="","",D4826/48)</f>
        <v>0</v>
      </c>
      <c r="D4826" s="26">
        <f>IF(A4826="","",ROUND((A4826-cfgDefasagem/1440)*48,0))</f>
        <v>0</v>
      </c>
      <c r="E4826" s="26">
        <f>IF(D4826="","",INT((D4826-cfgDeslocamento)/4))</f>
        <v>0</v>
      </c>
      <c r="F4826" s="26">
        <f>IF(D4826="","",MOD(D4826-cfgDeslocamento,4)+1)</f>
        <v>0</v>
      </c>
      <c r="G4826" s="26">
        <f>IF(A4826="","",IF(AND(ISNUMBER(B4826),B4826&lt;&gt;0),1,0))</f>
        <v>0</v>
      </c>
      <c r="H4826" s="25">
        <f>IF(E4826="","",(E4826*4+3+cfgDeslocamento)/48)</f>
        <v>0</v>
      </c>
    </row>
    <row r="4827" spans="1:8">
      <c r="A4827" s="24"/>
      <c r="B4827" s="19"/>
      <c r="C4827" s="25">
        <f>IF(D4827="","",D4827/48)</f>
        <v>0</v>
      </c>
      <c r="D4827" s="26">
        <f>IF(A4827="","",ROUND((A4827-cfgDefasagem/1440)*48,0))</f>
        <v>0</v>
      </c>
      <c r="E4827" s="26">
        <f>IF(D4827="","",INT((D4827-cfgDeslocamento)/4))</f>
        <v>0</v>
      </c>
      <c r="F4827" s="26">
        <f>IF(D4827="","",MOD(D4827-cfgDeslocamento,4)+1)</f>
        <v>0</v>
      </c>
      <c r="G4827" s="26">
        <f>IF(A4827="","",IF(AND(ISNUMBER(B4827),B4827&lt;&gt;0),1,0))</f>
        <v>0</v>
      </c>
      <c r="H4827" s="25">
        <f>IF(E4827="","",(E4827*4+3+cfgDeslocamento)/48)</f>
        <v>0</v>
      </c>
    </row>
    <row r="4828" spans="1:8">
      <c r="A4828" s="24"/>
      <c r="B4828" s="19"/>
      <c r="C4828" s="25">
        <f>IF(D4828="","",D4828/48)</f>
        <v>0</v>
      </c>
      <c r="D4828" s="26">
        <f>IF(A4828="","",ROUND((A4828-cfgDefasagem/1440)*48,0))</f>
        <v>0</v>
      </c>
      <c r="E4828" s="26">
        <f>IF(D4828="","",INT((D4828-cfgDeslocamento)/4))</f>
        <v>0</v>
      </c>
      <c r="F4828" s="26">
        <f>IF(D4828="","",MOD(D4828-cfgDeslocamento,4)+1)</f>
        <v>0</v>
      </c>
      <c r="G4828" s="26">
        <f>IF(A4828="","",IF(AND(ISNUMBER(B4828),B4828&lt;&gt;0),1,0))</f>
        <v>0</v>
      </c>
      <c r="H4828" s="25">
        <f>IF(E4828="","",(E4828*4+3+cfgDeslocamento)/48)</f>
        <v>0</v>
      </c>
    </row>
    <row r="4829" spans="1:8">
      <c r="A4829" s="24"/>
      <c r="B4829" s="19"/>
      <c r="C4829" s="25">
        <f>IF(D4829="","",D4829/48)</f>
        <v>0</v>
      </c>
      <c r="D4829" s="26">
        <f>IF(A4829="","",ROUND((A4829-cfgDefasagem/1440)*48,0))</f>
        <v>0</v>
      </c>
      <c r="E4829" s="26">
        <f>IF(D4829="","",INT((D4829-cfgDeslocamento)/4))</f>
        <v>0</v>
      </c>
      <c r="F4829" s="26">
        <f>IF(D4829="","",MOD(D4829-cfgDeslocamento,4)+1)</f>
        <v>0</v>
      </c>
      <c r="G4829" s="26">
        <f>IF(A4829="","",IF(AND(ISNUMBER(B4829),B4829&lt;&gt;0),1,0))</f>
        <v>0</v>
      </c>
      <c r="H4829" s="25">
        <f>IF(E4829="","",(E4829*4+3+cfgDeslocamento)/48)</f>
        <v>0</v>
      </c>
    </row>
    <row r="4830" spans="1:8">
      <c r="A4830" s="24"/>
      <c r="B4830" s="19"/>
      <c r="C4830" s="25">
        <f>IF(D4830="","",D4830/48)</f>
        <v>0</v>
      </c>
      <c r="D4830" s="26">
        <f>IF(A4830="","",ROUND((A4830-cfgDefasagem/1440)*48,0))</f>
        <v>0</v>
      </c>
      <c r="E4830" s="26">
        <f>IF(D4830="","",INT((D4830-cfgDeslocamento)/4))</f>
        <v>0</v>
      </c>
      <c r="F4830" s="26">
        <f>IF(D4830="","",MOD(D4830-cfgDeslocamento,4)+1)</f>
        <v>0</v>
      </c>
      <c r="G4830" s="26">
        <f>IF(A4830="","",IF(AND(ISNUMBER(B4830),B4830&lt;&gt;0),1,0))</f>
        <v>0</v>
      </c>
      <c r="H4830" s="25">
        <f>IF(E4830="","",(E4830*4+3+cfgDeslocamento)/48)</f>
        <v>0</v>
      </c>
    </row>
    <row r="4831" spans="1:8">
      <c r="A4831" s="24"/>
      <c r="B4831" s="19"/>
      <c r="C4831" s="25">
        <f>IF(D4831="","",D4831/48)</f>
        <v>0</v>
      </c>
      <c r="D4831" s="26">
        <f>IF(A4831="","",ROUND((A4831-cfgDefasagem/1440)*48,0))</f>
        <v>0</v>
      </c>
      <c r="E4831" s="26">
        <f>IF(D4831="","",INT((D4831-cfgDeslocamento)/4))</f>
        <v>0</v>
      </c>
      <c r="F4831" s="26">
        <f>IF(D4831="","",MOD(D4831-cfgDeslocamento,4)+1)</f>
        <v>0</v>
      </c>
      <c r="G4831" s="26">
        <f>IF(A4831="","",IF(AND(ISNUMBER(B4831),B4831&lt;&gt;0),1,0))</f>
        <v>0</v>
      </c>
      <c r="H4831" s="25">
        <f>IF(E4831="","",(E4831*4+3+cfgDeslocamento)/48)</f>
        <v>0</v>
      </c>
    </row>
    <row r="4832" spans="1:8">
      <c r="A4832" s="24"/>
      <c r="B4832" s="19"/>
      <c r="C4832" s="25">
        <f>IF(D4832="","",D4832/48)</f>
        <v>0</v>
      </c>
      <c r="D4832" s="26">
        <f>IF(A4832="","",ROUND((A4832-cfgDefasagem/1440)*48,0))</f>
        <v>0</v>
      </c>
      <c r="E4832" s="26">
        <f>IF(D4832="","",INT((D4832-cfgDeslocamento)/4))</f>
        <v>0</v>
      </c>
      <c r="F4832" s="26">
        <f>IF(D4832="","",MOD(D4832-cfgDeslocamento,4)+1)</f>
        <v>0</v>
      </c>
      <c r="G4832" s="26">
        <f>IF(A4832="","",IF(AND(ISNUMBER(B4832),B4832&lt;&gt;0),1,0))</f>
        <v>0</v>
      </c>
      <c r="H4832" s="25">
        <f>IF(E4832="","",(E4832*4+3+cfgDeslocamento)/48)</f>
        <v>0</v>
      </c>
    </row>
    <row r="4833" spans="1:8">
      <c r="A4833" s="24"/>
      <c r="B4833" s="19"/>
      <c r="C4833" s="25">
        <f>IF(D4833="","",D4833/48)</f>
        <v>0</v>
      </c>
      <c r="D4833" s="26">
        <f>IF(A4833="","",ROUND((A4833-cfgDefasagem/1440)*48,0))</f>
        <v>0</v>
      </c>
      <c r="E4833" s="26">
        <f>IF(D4833="","",INT((D4833-cfgDeslocamento)/4))</f>
        <v>0</v>
      </c>
      <c r="F4833" s="26">
        <f>IF(D4833="","",MOD(D4833-cfgDeslocamento,4)+1)</f>
        <v>0</v>
      </c>
      <c r="G4833" s="26">
        <f>IF(A4833="","",IF(AND(ISNUMBER(B4833),B4833&lt;&gt;0),1,0))</f>
        <v>0</v>
      </c>
      <c r="H4833" s="25">
        <f>IF(E4833="","",(E4833*4+3+cfgDeslocamento)/48)</f>
        <v>0</v>
      </c>
    </row>
    <row r="4834" spans="1:8">
      <c r="A4834" s="24"/>
      <c r="B4834" s="19"/>
      <c r="C4834" s="25">
        <f>IF(D4834="","",D4834/48)</f>
        <v>0</v>
      </c>
      <c r="D4834" s="26">
        <f>IF(A4834="","",ROUND((A4834-cfgDefasagem/1440)*48,0))</f>
        <v>0</v>
      </c>
      <c r="E4834" s="26">
        <f>IF(D4834="","",INT((D4834-cfgDeslocamento)/4))</f>
        <v>0</v>
      </c>
      <c r="F4834" s="26">
        <f>IF(D4834="","",MOD(D4834-cfgDeslocamento,4)+1)</f>
        <v>0</v>
      </c>
      <c r="G4834" s="26">
        <f>IF(A4834="","",IF(AND(ISNUMBER(B4834),B4834&lt;&gt;0),1,0))</f>
        <v>0</v>
      </c>
      <c r="H4834" s="25">
        <f>IF(E4834="","",(E4834*4+3+cfgDeslocamento)/48)</f>
        <v>0</v>
      </c>
    </row>
    <row r="4835" spans="1:8">
      <c r="A4835" s="24"/>
      <c r="B4835" s="19"/>
      <c r="C4835" s="25">
        <f>IF(D4835="","",D4835/48)</f>
        <v>0</v>
      </c>
      <c r="D4835" s="26">
        <f>IF(A4835="","",ROUND((A4835-cfgDefasagem/1440)*48,0))</f>
        <v>0</v>
      </c>
      <c r="E4835" s="26">
        <f>IF(D4835="","",INT((D4835-cfgDeslocamento)/4))</f>
        <v>0</v>
      </c>
      <c r="F4835" s="26">
        <f>IF(D4835="","",MOD(D4835-cfgDeslocamento,4)+1)</f>
        <v>0</v>
      </c>
      <c r="G4835" s="26">
        <f>IF(A4835="","",IF(AND(ISNUMBER(B4835),B4835&lt;&gt;0),1,0))</f>
        <v>0</v>
      </c>
      <c r="H4835" s="25">
        <f>IF(E4835="","",(E4835*4+3+cfgDeslocamento)/48)</f>
        <v>0</v>
      </c>
    </row>
    <row r="4836" spans="1:8">
      <c r="A4836" s="24"/>
      <c r="B4836" s="19"/>
      <c r="C4836" s="25">
        <f>IF(D4836="","",D4836/48)</f>
        <v>0</v>
      </c>
      <c r="D4836" s="26">
        <f>IF(A4836="","",ROUND((A4836-cfgDefasagem/1440)*48,0))</f>
        <v>0</v>
      </c>
      <c r="E4836" s="26">
        <f>IF(D4836="","",INT((D4836-cfgDeslocamento)/4))</f>
        <v>0</v>
      </c>
      <c r="F4836" s="26">
        <f>IF(D4836="","",MOD(D4836-cfgDeslocamento,4)+1)</f>
        <v>0</v>
      </c>
      <c r="G4836" s="26">
        <f>IF(A4836="","",IF(AND(ISNUMBER(B4836),B4836&lt;&gt;0),1,0))</f>
        <v>0</v>
      </c>
      <c r="H4836" s="25">
        <f>IF(E4836="","",(E4836*4+3+cfgDeslocamento)/48)</f>
        <v>0</v>
      </c>
    </row>
    <row r="4837" spans="1:8">
      <c r="A4837" s="24"/>
      <c r="B4837" s="19"/>
      <c r="C4837" s="25">
        <f>IF(D4837="","",D4837/48)</f>
        <v>0</v>
      </c>
      <c r="D4837" s="26">
        <f>IF(A4837="","",ROUND((A4837-cfgDefasagem/1440)*48,0))</f>
        <v>0</v>
      </c>
      <c r="E4837" s="26">
        <f>IF(D4837="","",INT((D4837-cfgDeslocamento)/4))</f>
        <v>0</v>
      </c>
      <c r="F4837" s="26">
        <f>IF(D4837="","",MOD(D4837-cfgDeslocamento,4)+1)</f>
        <v>0</v>
      </c>
      <c r="G4837" s="26">
        <f>IF(A4837="","",IF(AND(ISNUMBER(B4837),B4837&lt;&gt;0),1,0))</f>
        <v>0</v>
      </c>
      <c r="H4837" s="25">
        <f>IF(E4837="","",(E4837*4+3+cfgDeslocamento)/48)</f>
        <v>0</v>
      </c>
    </row>
    <row r="4838" spans="1:8">
      <c r="A4838" s="24"/>
      <c r="B4838" s="19"/>
      <c r="C4838" s="25">
        <f>IF(D4838="","",D4838/48)</f>
        <v>0</v>
      </c>
      <c r="D4838" s="26">
        <f>IF(A4838="","",ROUND((A4838-cfgDefasagem/1440)*48,0))</f>
        <v>0</v>
      </c>
      <c r="E4838" s="26">
        <f>IF(D4838="","",INT((D4838-cfgDeslocamento)/4))</f>
        <v>0</v>
      </c>
      <c r="F4838" s="26">
        <f>IF(D4838="","",MOD(D4838-cfgDeslocamento,4)+1)</f>
        <v>0</v>
      </c>
      <c r="G4838" s="26">
        <f>IF(A4838="","",IF(AND(ISNUMBER(B4838),B4838&lt;&gt;0),1,0))</f>
        <v>0</v>
      </c>
      <c r="H4838" s="25">
        <f>IF(E4838="","",(E4838*4+3+cfgDeslocamento)/48)</f>
        <v>0</v>
      </c>
    </row>
    <row r="4839" spans="1:8">
      <c r="A4839" s="24"/>
      <c r="B4839" s="19"/>
      <c r="C4839" s="25">
        <f>IF(D4839="","",D4839/48)</f>
        <v>0</v>
      </c>
      <c r="D4839" s="26">
        <f>IF(A4839="","",ROUND((A4839-cfgDefasagem/1440)*48,0))</f>
        <v>0</v>
      </c>
      <c r="E4839" s="26">
        <f>IF(D4839="","",INT((D4839-cfgDeslocamento)/4))</f>
        <v>0</v>
      </c>
      <c r="F4839" s="26">
        <f>IF(D4839="","",MOD(D4839-cfgDeslocamento,4)+1)</f>
        <v>0</v>
      </c>
      <c r="G4839" s="26">
        <f>IF(A4839="","",IF(AND(ISNUMBER(B4839),B4839&lt;&gt;0),1,0))</f>
        <v>0</v>
      </c>
      <c r="H4839" s="25">
        <f>IF(E4839="","",(E4839*4+3+cfgDeslocamento)/48)</f>
        <v>0</v>
      </c>
    </row>
    <row r="4840" spans="1:8">
      <c r="A4840" s="24"/>
      <c r="B4840" s="19"/>
      <c r="C4840" s="25">
        <f>IF(D4840="","",D4840/48)</f>
        <v>0</v>
      </c>
      <c r="D4840" s="26">
        <f>IF(A4840="","",ROUND((A4840-cfgDefasagem/1440)*48,0))</f>
        <v>0</v>
      </c>
      <c r="E4840" s="26">
        <f>IF(D4840="","",INT((D4840-cfgDeslocamento)/4))</f>
        <v>0</v>
      </c>
      <c r="F4840" s="26">
        <f>IF(D4840="","",MOD(D4840-cfgDeslocamento,4)+1)</f>
        <v>0</v>
      </c>
      <c r="G4840" s="26">
        <f>IF(A4840="","",IF(AND(ISNUMBER(B4840),B4840&lt;&gt;0),1,0))</f>
        <v>0</v>
      </c>
      <c r="H4840" s="25">
        <f>IF(E4840="","",(E4840*4+3+cfgDeslocamento)/48)</f>
        <v>0</v>
      </c>
    </row>
    <row r="4841" spans="1:8">
      <c r="A4841" s="24"/>
      <c r="B4841" s="19"/>
      <c r="C4841" s="25">
        <f>IF(D4841="","",D4841/48)</f>
        <v>0</v>
      </c>
      <c r="D4841" s="26">
        <f>IF(A4841="","",ROUND((A4841-cfgDefasagem/1440)*48,0))</f>
        <v>0</v>
      </c>
      <c r="E4841" s="26">
        <f>IF(D4841="","",INT((D4841-cfgDeslocamento)/4))</f>
        <v>0</v>
      </c>
      <c r="F4841" s="26">
        <f>IF(D4841="","",MOD(D4841-cfgDeslocamento,4)+1)</f>
        <v>0</v>
      </c>
      <c r="G4841" s="26">
        <f>IF(A4841="","",IF(AND(ISNUMBER(B4841),B4841&lt;&gt;0),1,0))</f>
        <v>0</v>
      </c>
      <c r="H4841" s="25">
        <f>IF(E4841="","",(E4841*4+3+cfgDeslocamento)/48)</f>
        <v>0</v>
      </c>
    </row>
    <row r="4842" spans="1:8">
      <c r="A4842" s="24"/>
      <c r="B4842" s="19"/>
      <c r="C4842" s="25">
        <f>IF(D4842="","",D4842/48)</f>
        <v>0</v>
      </c>
      <c r="D4842" s="26">
        <f>IF(A4842="","",ROUND((A4842-cfgDefasagem/1440)*48,0))</f>
        <v>0</v>
      </c>
      <c r="E4842" s="26">
        <f>IF(D4842="","",INT((D4842-cfgDeslocamento)/4))</f>
        <v>0</v>
      </c>
      <c r="F4842" s="26">
        <f>IF(D4842="","",MOD(D4842-cfgDeslocamento,4)+1)</f>
        <v>0</v>
      </c>
      <c r="G4842" s="26">
        <f>IF(A4842="","",IF(AND(ISNUMBER(B4842),B4842&lt;&gt;0),1,0))</f>
        <v>0</v>
      </c>
      <c r="H4842" s="25">
        <f>IF(E4842="","",(E4842*4+3+cfgDeslocamento)/48)</f>
        <v>0</v>
      </c>
    </row>
    <row r="4843" spans="1:8">
      <c r="A4843" s="24"/>
      <c r="B4843" s="19"/>
      <c r="C4843" s="25">
        <f>IF(D4843="","",D4843/48)</f>
        <v>0</v>
      </c>
      <c r="D4843" s="26">
        <f>IF(A4843="","",ROUND((A4843-cfgDefasagem/1440)*48,0))</f>
        <v>0</v>
      </c>
      <c r="E4843" s="26">
        <f>IF(D4843="","",INT((D4843-cfgDeslocamento)/4))</f>
        <v>0</v>
      </c>
      <c r="F4843" s="26">
        <f>IF(D4843="","",MOD(D4843-cfgDeslocamento,4)+1)</f>
        <v>0</v>
      </c>
      <c r="G4843" s="26">
        <f>IF(A4843="","",IF(AND(ISNUMBER(B4843),B4843&lt;&gt;0),1,0))</f>
        <v>0</v>
      </c>
      <c r="H4843" s="25">
        <f>IF(E4843="","",(E4843*4+3+cfgDeslocamento)/48)</f>
        <v>0</v>
      </c>
    </row>
    <row r="4844" spans="1:8">
      <c r="A4844" s="24"/>
      <c r="B4844" s="19"/>
      <c r="C4844" s="25">
        <f>IF(D4844="","",D4844/48)</f>
        <v>0</v>
      </c>
      <c r="D4844" s="26">
        <f>IF(A4844="","",ROUND((A4844-cfgDefasagem/1440)*48,0))</f>
        <v>0</v>
      </c>
      <c r="E4844" s="26">
        <f>IF(D4844="","",INT((D4844-cfgDeslocamento)/4))</f>
        <v>0</v>
      </c>
      <c r="F4844" s="26">
        <f>IF(D4844="","",MOD(D4844-cfgDeslocamento,4)+1)</f>
        <v>0</v>
      </c>
      <c r="G4844" s="26">
        <f>IF(A4844="","",IF(AND(ISNUMBER(B4844),B4844&lt;&gt;0),1,0))</f>
        <v>0</v>
      </c>
      <c r="H4844" s="25">
        <f>IF(E4844="","",(E4844*4+3+cfgDeslocamento)/48)</f>
        <v>0</v>
      </c>
    </row>
    <row r="4845" spans="1:8">
      <c r="A4845" s="24"/>
      <c r="B4845" s="19"/>
      <c r="C4845" s="25">
        <f>IF(D4845="","",D4845/48)</f>
        <v>0</v>
      </c>
      <c r="D4845" s="26">
        <f>IF(A4845="","",ROUND((A4845-cfgDefasagem/1440)*48,0))</f>
        <v>0</v>
      </c>
      <c r="E4845" s="26">
        <f>IF(D4845="","",INT((D4845-cfgDeslocamento)/4))</f>
        <v>0</v>
      </c>
      <c r="F4845" s="26">
        <f>IF(D4845="","",MOD(D4845-cfgDeslocamento,4)+1)</f>
        <v>0</v>
      </c>
      <c r="G4845" s="26">
        <f>IF(A4845="","",IF(AND(ISNUMBER(B4845),B4845&lt;&gt;0),1,0))</f>
        <v>0</v>
      </c>
      <c r="H4845" s="25">
        <f>IF(E4845="","",(E4845*4+3+cfgDeslocamento)/48)</f>
        <v>0</v>
      </c>
    </row>
    <row r="4846" spans="1:8">
      <c r="A4846" s="24"/>
      <c r="B4846" s="19"/>
      <c r="C4846" s="25">
        <f>IF(D4846="","",D4846/48)</f>
        <v>0</v>
      </c>
      <c r="D4846" s="26">
        <f>IF(A4846="","",ROUND((A4846-cfgDefasagem/1440)*48,0))</f>
        <v>0</v>
      </c>
      <c r="E4846" s="26">
        <f>IF(D4846="","",INT((D4846-cfgDeslocamento)/4))</f>
        <v>0</v>
      </c>
      <c r="F4846" s="26">
        <f>IF(D4846="","",MOD(D4846-cfgDeslocamento,4)+1)</f>
        <v>0</v>
      </c>
      <c r="G4846" s="26">
        <f>IF(A4846="","",IF(AND(ISNUMBER(B4846),B4846&lt;&gt;0),1,0))</f>
        <v>0</v>
      </c>
      <c r="H4846" s="25">
        <f>IF(E4846="","",(E4846*4+3+cfgDeslocamento)/48)</f>
        <v>0</v>
      </c>
    </row>
    <row r="4847" spans="1:8">
      <c r="A4847" s="24"/>
      <c r="B4847" s="19"/>
      <c r="C4847" s="25">
        <f>IF(D4847="","",D4847/48)</f>
        <v>0</v>
      </c>
      <c r="D4847" s="26">
        <f>IF(A4847="","",ROUND((A4847-cfgDefasagem/1440)*48,0))</f>
        <v>0</v>
      </c>
      <c r="E4847" s="26">
        <f>IF(D4847="","",INT((D4847-cfgDeslocamento)/4))</f>
        <v>0</v>
      </c>
      <c r="F4847" s="26">
        <f>IF(D4847="","",MOD(D4847-cfgDeslocamento,4)+1)</f>
        <v>0</v>
      </c>
      <c r="G4847" s="26">
        <f>IF(A4847="","",IF(AND(ISNUMBER(B4847),B4847&lt;&gt;0),1,0))</f>
        <v>0</v>
      </c>
      <c r="H4847" s="25">
        <f>IF(E4847="","",(E4847*4+3+cfgDeslocamento)/48)</f>
        <v>0</v>
      </c>
    </row>
    <row r="4848" spans="1:8">
      <c r="A4848" s="24"/>
      <c r="B4848" s="19"/>
      <c r="C4848" s="25">
        <f>IF(D4848="","",D4848/48)</f>
        <v>0</v>
      </c>
      <c r="D4848" s="26">
        <f>IF(A4848="","",ROUND((A4848-cfgDefasagem/1440)*48,0))</f>
        <v>0</v>
      </c>
      <c r="E4848" s="26">
        <f>IF(D4848="","",INT((D4848-cfgDeslocamento)/4))</f>
        <v>0</v>
      </c>
      <c r="F4848" s="26">
        <f>IF(D4848="","",MOD(D4848-cfgDeslocamento,4)+1)</f>
        <v>0</v>
      </c>
      <c r="G4848" s="26">
        <f>IF(A4848="","",IF(AND(ISNUMBER(B4848),B4848&lt;&gt;0),1,0))</f>
        <v>0</v>
      </c>
      <c r="H4848" s="25">
        <f>IF(E4848="","",(E4848*4+3+cfgDeslocamento)/48)</f>
        <v>0</v>
      </c>
    </row>
    <row r="4849" spans="1:8">
      <c r="A4849" s="24"/>
      <c r="B4849" s="19"/>
      <c r="C4849" s="25">
        <f>IF(D4849="","",D4849/48)</f>
        <v>0</v>
      </c>
      <c r="D4849" s="26">
        <f>IF(A4849="","",ROUND((A4849-cfgDefasagem/1440)*48,0))</f>
        <v>0</v>
      </c>
      <c r="E4849" s="26">
        <f>IF(D4849="","",INT((D4849-cfgDeslocamento)/4))</f>
        <v>0</v>
      </c>
      <c r="F4849" s="26">
        <f>IF(D4849="","",MOD(D4849-cfgDeslocamento,4)+1)</f>
        <v>0</v>
      </c>
      <c r="G4849" s="26">
        <f>IF(A4849="","",IF(AND(ISNUMBER(B4849),B4849&lt;&gt;0),1,0))</f>
        <v>0</v>
      </c>
      <c r="H4849" s="25">
        <f>IF(E4849="","",(E4849*4+3+cfgDeslocamento)/48)</f>
        <v>0</v>
      </c>
    </row>
    <row r="4850" spans="1:8">
      <c r="A4850" s="24"/>
      <c r="B4850" s="19"/>
      <c r="C4850" s="25">
        <f>IF(D4850="","",D4850/48)</f>
        <v>0</v>
      </c>
      <c r="D4850" s="26">
        <f>IF(A4850="","",ROUND((A4850-cfgDefasagem/1440)*48,0))</f>
        <v>0</v>
      </c>
      <c r="E4850" s="26">
        <f>IF(D4850="","",INT((D4850-cfgDeslocamento)/4))</f>
        <v>0</v>
      </c>
      <c r="F4850" s="26">
        <f>IF(D4850="","",MOD(D4850-cfgDeslocamento,4)+1)</f>
        <v>0</v>
      </c>
      <c r="G4850" s="26">
        <f>IF(A4850="","",IF(AND(ISNUMBER(B4850),B4850&lt;&gt;0),1,0))</f>
        <v>0</v>
      </c>
      <c r="H4850" s="25">
        <f>IF(E4850="","",(E4850*4+3+cfgDeslocamento)/48)</f>
        <v>0</v>
      </c>
    </row>
    <row r="4851" spans="1:8">
      <c r="A4851" s="24"/>
      <c r="B4851" s="19"/>
      <c r="C4851" s="25">
        <f>IF(D4851="","",D4851/48)</f>
        <v>0</v>
      </c>
      <c r="D4851" s="26">
        <f>IF(A4851="","",ROUND((A4851-cfgDefasagem/1440)*48,0))</f>
        <v>0</v>
      </c>
      <c r="E4851" s="26">
        <f>IF(D4851="","",INT((D4851-cfgDeslocamento)/4))</f>
        <v>0</v>
      </c>
      <c r="F4851" s="26">
        <f>IF(D4851="","",MOD(D4851-cfgDeslocamento,4)+1)</f>
        <v>0</v>
      </c>
      <c r="G4851" s="26">
        <f>IF(A4851="","",IF(AND(ISNUMBER(B4851),B4851&lt;&gt;0),1,0))</f>
        <v>0</v>
      </c>
      <c r="H4851" s="25">
        <f>IF(E4851="","",(E4851*4+3+cfgDeslocamento)/48)</f>
        <v>0</v>
      </c>
    </row>
    <row r="4852" spans="1:8">
      <c r="A4852" s="24"/>
      <c r="B4852" s="19"/>
      <c r="C4852" s="25">
        <f>IF(D4852="","",D4852/48)</f>
        <v>0</v>
      </c>
      <c r="D4852" s="26">
        <f>IF(A4852="","",ROUND((A4852-cfgDefasagem/1440)*48,0))</f>
        <v>0</v>
      </c>
      <c r="E4852" s="26">
        <f>IF(D4852="","",INT((D4852-cfgDeslocamento)/4))</f>
        <v>0</v>
      </c>
      <c r="F4852" s="26">
        <f>IF(D4852="","",MOD(D4852-cfgDeslocamento,4)+1)</f>
        <v>0</v>
      </c>
      <c r="G4852" s="26">
        <f>IF(A4852="","",IF(AND(ISNUMBER(B4852),B4852&lt;&gt;0),1,0))</f>
        <v>0</v>
      </c>
      <c r="H4852" s="25">
        <f>IF(E4852="","",(E4852*4+3+cfgDeslocamento)/48)</f>
        <v>0</v>
      </c>
    </row>
    <row r="4853" spans="1:8">
      <c r="A4853" s="24"/>
      <c r="B4853" s="19"/>
      <c r="C4853" s="25">
        <f>IF(D4853="","",D4853/48)</f>
        <v>0</v>
      </c>
      <c r="D4853" s="26">
        <f>IF(A4853="","",ROUND((A4853-cfgDefasagem/1440)*48,0))</f>
        <v>0</v>
      </c>
      <c r="E4853" s="26">
        <f>IF(D4853="","",INT((D4853-cfgDeslocamento)/4))</f>
        <v>0</v>
      </c>
      <c r="F4853" s="26">
        <f>IF(D4853="","",MOD(D4853-cfgDeslocamento,4)+1)</f>
        <v>0</v>
      </c>
      <c r="G4853" s="26">
        <f>IF(A4853="","",IF(AND(ISNUMBER(B4853),B4853&lt;&gt;0),1,0))</f>
        <v>0</v>
      </c>
      <c r="H4853" s="25">
        <f>IF(E4853="","",(E4853*4+3+cfgDeslocamento)/48)</f>
        <v>0</v>
      </c>
    </row>
    <row r="4854" spans="1:8">
      <c r="A4854" s="24"/>
      <c r="B4854" s="19"/>
      <c r="C4854" s="25">
        <f>IF(D4854="","",D4854/48)</f>
        <v>0</v>
      </c>
      <c r="D4854" s="26">
        <f>IF(A4854="","",ROUND((A4854-cfgDefasagem/1440)*48,0))</f>
        <v>0</v>
      </c>
      <c r="E4854" s="26">
        <f>IF(D4854="","",INT((D4854-cfgDeslocamento)/4))</f>
        <v>0</v>
      </c>
      <c r="F4854" s="26">
        <f>IF(D4854="","",MOD(D4854-cfgDeslocamento,4)+1)</f>
        <v>0</v>
      </c>
      <c r="G4854" s="26">
        <f>IF(A4854="","",IF(AND(ISNUMBER(B4854),B4854&lt;&gt;0),1,0))</f>
        <v>0</v>
      </c>
      <c r="H4854" s="25">
        <f>IF(E4854="","",(E4854*4+3+cfgDeslocamento)/48)</f>
        <v>0</v>
      </c>
    </row>
    <row r="4855" spans="1:8">
      <c r="A4855" s="24"/>
      <c r="B4855" s="19"/>
      <c r="C4855" s="25">
        <f>IF(D4855="","",D4855/48)</f>
        <v>0</v>
      </c>
      <c r="D4855" s="26">
        <f>IF(A4855="","",ROUND((A4855-cfgDefasagem/1440)*48,0))</f>
        <v>0</v>
      </c>
      <c r="E4855" s="26">
        <f>IF(D4855="","",INT((D4855-cfgDeslocamento)/4))</f>
        <v>0</v>
      </c>
      <c r="F4855" s="26">
        <f>IF(D4855="","",MOD(D4855-cfgDeslocamento,4)+1)</f>
        <v>0</v>
      </c>
      <c r="G4855" s="26">
        <f>IF(A4855="","",IF(AND(ISNUMBER(B4855),B4855&lt;&gt;0),1,0))</f>
        <v>0</v>
      </c>
      <c r="H4855" s="25">
        <f>IF(E4855="","",(E4855*4+3+cfgDeslocamento)/48)</f>
        <v>0</v>
      </c>
    </row>
    <row r="4856" spans="1:8">
      <c r="A4856" s="24"/>
      <c r="B4856" s="19"/>
      <c r="C4856" s="25">
        <f>IF(D4856="","",D4856/48)</f>
        <v>0</v>
      </c>
      <c r="D4856" s="26">
        <f>IF(A4856="","",ROUND((A4856-cfgDefasagem/1440)*48,0))</f>
        <v>0</v>
      </c>
      <c r="E4856" s="26">
        <f>IF(D4856="","",INT((D4856-cfgDeslocamento)/4))</f>
        <v>0</v>
      </c>
      <c r="F4856" s="26">
        <f>IF(D4856="","",MOD(D4856-cfgDeslocamento,4)+1)</f>
        <v>0</v>
      </c>
      <c r="G4856" s="26">
        <f>IF(A4856="","",IF(AND(ISNUMBER(B4856),B4856&lt;&gt;0),1,0))</f>
        <v>0</v>
      </c>
      <c r="H4856" s="25">
        <f>IF(E4856="","",(E4856*4+3+cfgDeslocamento)/48)</f>
        <v>0</v>
      </c>
    </row>
    <row r="4857" spans="1:8">
      <c r="A4857" s="24"/>
      <c r="B4857" s="19"/>
      <c r="C4857" s="25">
        <f>IF(D4857="","",D4857/48)</f>
        <v>0</v>
      </c>
      <c r="D4857" s="26">
        <f>IF(A4857="","",ROUND((A4857-cfgDefasagem/1440)*48,0))</f>
        <v>0</v>
      </c>
      <c r="E4857" s="26">
        <f>IF(D4857="","",INT((D4857-cfgDeslocamento)/4))</f>
        <v>0</v>
      </c>
      <c r="F4857" s="26">
        <f>IF(D4857="","",MOD(D4857-cfgDeslocamento,4)+1)</f>
        <v>0</v>
      </c>
      <c r="G4857" s="26">
        <f>IF(A4857="","",IF(AND(ISNUMBER(B4857),B4857&lt;&gt;0),1,0))</f>
        <v>0</v>
      </c>
      <c r="H4857" s="25">
        <f>IF(E4857="","",(E4857*4+3+cfgDeslocamento)/48)</f>
        <v>0</v>
      </c>
    </row>
    <row r="4858" spans="1:8">
      <c r="A4858" s="24"/>
      <c r="B4858" s="19"/>
      <c r="C4858" s="25">
        <f>IF(D4858="","",D4858/48)</f>
        <v>0</v>
      </c>
      <c r="D4858" s="26">
        <f>IF(A4858="","",ROUND((A4858-cfgDefasagem/1440)*48,0))</f>
        <v>0</v>
      </c>
      <c r="E4858" s="26">
        <f>IF(D4858="","",INT((D4858-cfgDeslocamento)/4))</f>
        <v>0</v>
      </c>
      <c r="F4858" s="26">
        <f>IF(D4858="","",MOD(D4858-cfgDeslocamento,4)+1)</f>
        <v>0</v>
      </c>
      <c r="G4858" s="26">
        <f>IF(A4858="","",IF(AND(ISNUMBER(B4858),B4858&lt;&gt;0),1,0))</f>
        <v>0</v>
      </c>
      <c r="H4858" s="25">
        <f>IF(E4858="","",(E4858*4+3+cfgDeslocamento)/48)</f>
        <v>0</v>
      </c>
    </row>
    <row r="4859" spans="1:8">
      <c r="A4859" s="24"/>
      <c r="B4859" s="19"/>
      <c r="C4859" s="25">
        <f>IF(D4859="","",D4859/48)</f>
        <v>0</v>
      </c>
      <c r="D4859" s="26">
        <f>IF(A4859="","",ROUND((A4859-cfgDefasagem/1440)*48,0))</f>
        <v>0</v>
      </c>
      <c r="E4859" s="26">
        <f>IF(D4859="","",INT((D4859-cfgDeslocamento)/4))</f>
        <v>0</v>
      </c>
      <c r="F4859" s="26">
        <f>IF(D4859="","",MOD(D4859-cfgDeslocamento,4)+1)</f>
        <v>0</v>
      </c>
      <c r="G4859" s="26">
        <f>IF(A4859="","",IF(AND(ISNUMBER(B4859),B4859&lt;&gt;0),1,0))</f>
        <v>0</v>
      </c>
      <c r="H4859" s="25">
        <f>IF(E4859="","",(E4859*4+3+cfgDeslocamento)/48)</f>
        <v>0</v>
      </c>
    </row>
    <row r="4860" spans="1:8">
      <c r="A4860" s="24"/>
      <c r="B4860" s="19"/>
      <c r="C4860" s="25">
        <f>IF(D4860="","",D4860/48)</f>
        <v>0</v>
      </c>
      <c r="D4860" s="26">
        <f>IF(A4860="","",ROUND((A4860-cfgDefasagem/1440)*48,0))</f>
        <v>0</v>
      </c>
      <c r="E4860" s="26">
        <f>IF(D4860="","",INT((D4860-cfgDeslocamento)/4))</f>
        <v>0</v>
      </c>
      <c r="F4860" s="26">
        <f>IF(D4860="","",MOD(D4860-cfgDeslocamento,4)+1)</f>
        <v>0</v>
      </c>
      <c r="G4860" s="26">
        <f>IF(A4860="","",IF(AND(ISNUMBER(B4860),B4860&lt;&gt;0),1,0))</f>
        <v>0</v>
      </c>
      <c r="H4860" s="25">
        <f>IF(E4860="","",(E4860*4+3+cfgDeslocamento)/48)</f>
        <v>0</v>
      </c>
    </row>
    <row r="4861" spans="1:8">
      <c r="A4861" s="24"/>
      <c r="B4861" s="19"/>
      <c r="C4861" s="25">
        <f>IF(D4861="","",D4861/48)</f>
        <v>0</v>
      </c>
      <c r="D4861" s="26">
        <f>IF(A4861="","",ROUND((A4861-cfgDefasagem/1440)*48,0))</f>
        <v>0</v>
      </c>
      <c r="E4861" s="26">
        <f>IF(D4861="","",INT((D4861-cfgDeslocamento)/4))</f>
        <v>0</v>
      </c>
      <c r="F4861" s="26">
        <f>IF(D4861="","",MOD(D4861-cfgDeslocamento,4)+1)</f>
        <v>0</v>
      </c>
      <c r="G4861" s="26">
        <f>IF(A4861="","",IF(AND(ISNUMBER(B4861),B4861&lt;&gt;0),1,0))</f>
        <v>0</v>
      </c>
      <c r="H4861" s="25">
        <f>IF(E4861="","",(E4861*4+3+cfgDeslocamento)/48)</f>
        <v>0</v>
      </c>
    </row>
    <row r="4862" spans="1:8">
      <c r="A4862" s="24"/>
      <c r="B4862" s="19"/>
      <c r="C4862" s="25">
        <f>IF(D4862="","",D4862/48)</f>
        <v>0</v>
      </c>
      <c r="D4862" s="26">
        <f>IF(A4862="","",ROUND((A4862-cfgDefasagem/1440)*48,0))</f>
        <v>0</v>
      </c>
      <c r="E4862" s="26">
        <f>IF(D4862="","",INT((D4862-cfgDeslocamento)/4))</f>
        <v>0</v>
      </c>
      <c r="F4862" s="26">
        <f>IF(D4862="","",MOD(D4862-cfgDeslocamento,4)+1)</f>
        <v>0</v>
      </c>
      <c r="G4862" s="26">
        <f>IF(A4862="","",IF(AND(ISNUMBER(B4862),B4862&lt;&gt;0),1,0))</f>
        <v>0</v>
      </c>
      <c r="H4862" s="25">
        <f>IF(E4862="","",(E4862*4+3+cfgDeslocamento)/48)</f>
        <v>0</v>
      </c>
    </row>
    <row r="4863" spans="1:8">
      <c r="A4863" s="24"/>
      <c r="B4863" s="19"/>
      <c r="C4863" s="25">
        <f>IF(D4863="","",D4863/48)</f>
        <v>0</v>
      </c>
      <c r="D4863" s="26">
        <f>IF(A4863="","",ROUND((A4863-cfgDefasagem/1440)*48,0))</f>
        <v>0</v>
      </c>
      <c r="E4863" s="26">
        <f>IF(D4863="","",INT((D4863-cfgDeslocamento)/4))</f>
        <v>0</v>
      </c>
      <c r="F4863" s="26">
        <f>IF(D4863="","",MOD(D4863-cfgDeslocamento,4)+1)</f>
        <v>0</v>
      </c>
      <c r="G4863" s="26">
        <f>IF(A4863="","",IF(AND(ISNUMBER(B4863),B4863&lt;&gt;0),1,0))</f>
        <v>0</v>
      </c>
      <c r="H4863" s="25">
        <f>IF(E4863="","",(E4863*4+3+cfgDeslocamento)/48)</f>
        <v>0</v>
      </c>
    </row>
    <row r="4864" spans="1:8">
      <c r="A4864" s="24"/>
      <c r="B4864" s="19"/>
      <c r="C4864" s="25">
        <f>IF(D4864="","",D4864/48)</f>
        <v>0</v>
      </c>
      <c r="D4864" s="26">
        <f>IF(A4864="","",ROUND((A4864-cfgDefasagem/1440)*48,0))</f>
        <v>0</v>
      </c>
      <c r="E4864" s="26">
        <f>IF(D4864="","",INT((D4864-cfgDeslocamento)/4))</f>
        <v>0</v>
      </c>
      <c r="F4864" s="26">
        <f>IF(D4864="","",MOD(D4864-cfgDeslocamento,4)+1)</f>
        <v>0</v>
      </c>
      <c r="G4864" s="26">
        <f>IF(A4864="","",IF(AND(ISNUMBER(B4864),B4864&lt;&gt;0),1,0))</f>
        <v>0</v>
      </c>
      <c r="H4864" s="25">
        <f>IF(E4864="","",(E4864*4+3+cfgDeslocamento)/48)</f>
        <v>0</v>
      </c>
    </row>
    <row r="4865" spans="1:8">
      <c r="A4865" s="24"/>
      <c r="B4865" s="19"/>
      <c r="C4865" s="25">
        <f>IF(D4865="","",D4865/48)</f>
        <v>0</v>
      </c>
      <c r="D4865" s="26">
        <f>IF(A4865="","",ROUND((A4865-cfgDefasagem/1440)*48,0))</f>
        <v>0</v>
      </c>
      <c r="E4865" s="26">
        <f>IF(D4865="","",INT((D4865-cfgDeslocamento)/4))</f>
        <v>0</v>
      </c>
      <c r="F4865" s="26">
        <f>IF(D4865="","",MOD(D4865-cfgDeslocamento,4)+1)</f>
        <v>0</v>
      </c>
      <c r="G4865" s="26">
        <f>IF(A4865="","",IF(AND(ISNUMBER(B4865),B4865&lt;&gt;0),1,0))</f>
        <v>0</v>
      </c>
      <c r="H4865" s="25">
        <f>IF(E4865="","",(E4865*4+3+cfgDeslocamento)/48)</f>
        <v>0</v>
      </c>
    </row>
    <row r="4866" spans="1:8">
      <c r="A4866" s="24"/>
      <c r="B4866" s="19"/>
      <c r="C4866" s="25">
        <f>IF(D4866="","",D4866/48)</f>
        <v>0</v>
      </c>
      <c r="D4866" s="26">
        <f>IF(A4866="","",ROUND((A4866-cfgDefasagem/1440)*48,0))</f>
        <v>0</v>
      </c>
      <c r="E4866" s="26">
        <f>IF(D4866="","",INT((D4866-cfgDeslocamento)/4))</f>
        <v>0</v>
      </c>
      <c r="F4866" s="26">
        <f>IF(D4866="","",MOD(D4866-cfgDeslocamento,4)+1)</f>
        <v>0</v>
      </c>
      <c r="G4866" s="26">
        <f>IF(A4866="","",IF(AND(ISNUMBER(B4866),B4866&lt;&gt;0),1,0))</f>
        <v>0</v>
      </c>
      <c r="H4866" s="25">
        <f>IF(E4866="","",(E4866*4+3+cfgDeslocamento)/48)</f>
        <v>0</v>
      </c>
    </row>
    <row r="4867" spans="1:8">
      <c r="A4867" s="24"/>
      <c r="B4867" s="19"/>
      <c r="C4867" s="25">
        <f>IF(D4867="","",D4867/48)</f>
        <v>0</v>
      </c>
      <c r="D4867" s="26">
        <f>IF(A4867="","",ROUND((A4867-cfgDefasagem/1440)*48,0))</f>
        <v>0</v>
      </c>
      <c r="E4867" s="26">
        <f>IF(D4867="","",INT((D4867-cfgDeslocamento)/4))</f>
        <v>0</v>
      </c>
      <c r="F4867" s="26">
        <f>IF(D4867="","",MOD(D4867-cfgDeslocamento,4)+1)</f>
        <v>0</v>
      </c>
      <c r="G4867" s="26">
        <f>IF(A4867="","",IF(AND(ISNUMBER(B4867),B4867&lt;&gt;0),1,0))</f>
        <v>0</v>
      </c>
      <c r="H4867" s="25">
        <f>IF(E4867="","",(E4867*4+3+cfgDeslocamento)/48)</f>
        <v>0</v>
      </c>
    </row>
    <row r="4868" spans="1:8">
      <c r="A4868" s="24"/>
      <c r="B4868" s="19"/>
      <c r="C4868" s="25">
        <f>IF(D4868="","",D4868/48)</f>
        <v>0</v>
      </c>
      <c r="D4868" s="26">
        <f>IF(A4868="","",ROUND((A4868-cfgDefasagem/1440)*48,0))</f>
        <v>0</v>
      </c>
      <c r="E4868" s="26">
        <f>IF(D4868="","",INT((D4868-cfgDeslocamento)/4))</f>
        <v>0</v>
      </c>
      <c r="F4868" s="26">
        <f>IF(D4868="","",MOD(D4868-cfgDeslocamento,4)+1)</f>
        <v>0</v>
      </c>
      <c r="G4868" s="26">
        <f>IF(A4868="","",IF(AND(ISNUMBER(B4868),B4868&lt;&gt;0),1,0))</f>
        <v>0</v>
      </c>
      <c r="H4868" s="25">
        <f>IF(E4868="","",(E4868*4+3+cfgDeslocamento)/48)</f>
        <v>0</v>
      </c>
    </row>
    <row r="4869" spans="1:8">
      <c r="A4869" s="24"/>
      <c r="B4869" s="19"/>
      <c r="C4869" s="25">
        <f>IF(D4869="","",D4869/48)</f>
        <v>0</v>
      </c>
      <c r="D4869" s="26">
        <f>IF(A4869="","",ROUND((A4869-cfgDefasagem/1440)*48,0))</f>
        <v>0</v>
      </c>
      <c r="E4869" s="26">
        <f>IF(D4869="","",INT((D4869-cfgDeslocamento)/4))</f>
        <v>0</v>
      </c>
      <c r="F4869" s="26">
        <f>IF(D4869="","",MOD(D4869-cfgDeslocamento,4)+1)</f>
        <v>0</v>
      </c>
      <c r="G4869" s="26">
        <f>IF(A4869="","",IF(AND(ISNUMBER(B4869),B4869&lt;&gt;0),1,0))</f>
        <v>0</v>
      </c>
      <c r="H4869" s="25">
        <f>IF(E4869="","",(E4869*4+3+cfgDeslocamento)/48)</f>
        <v>0</v>
      </c>
    </row>
    <row r="4870" spans="1:8">
      <c r="A4870" s="24"/>
      <c r="B4870" s="19"/>
      <c r="C4870" s="25">
        <f>IF(D4870="","",D4870/48)</f>
        <v>0</v>
      </c>
      <c r="D4870" s="26">
        <f>IF(A4870="","",ROUND((A4870-cfgDefasagem/1440)*48,0))</f>
        <v>0</v>
      </c>
      <c r="E4870" s="26">
        <f>IF(D4870="","",INT((D4870-cfgDeslocamento)/4))</f>
        <v>0</v>
      </c>
      <c r="F4870" s="26">
        <f>IF(D4870="","",MOD(D4870-cfgDeslocamento,4)+1)</f>
        <v>0</v>
      </c>
      <c r="G4870" s="26">
        <f>IF(A4870="","",IF(AND(ISNUMBER(B4870),B4870&lt;&gt;0),1,0))</f>
        <v>0</v>
      </c>
      <c r="H4870" s="25">
        <f>IF(E4870="","",(E4870*4+3+cfgDeslocamento)/48)</f>
        <v>0</v>
      </c>
    </row>
    <row r="4871" spans="1:8">
      <c r="A4871" s="24"/>
      <c r="B4871" s="19"/>
      <c r="C4871" s="25">
        <f>IF(D4871="","",D4871/48)</f>
        <v>0</v>
      </c>
      <c r="D4871" s="26">
        <f>IF(A4871="","",ROUND((A4871-cfgDefasagem/1440)*48,0))</f>
        <v>0</v>
      </c>
      <c r="E4871" s="26">
        <f>IF(D4871="","",INT((D4871-cfgDeslocamento)/4))</f>
        <v>0</v>
      </c>
      <c r="F4871" s="26">
        <f>IF(D4871="","",MOD(D4871-cfgDeslocamento,4)+1)</f>
        <v>0</v>
      </c>
      <c r="G4871" s="26">
        <f>IF(A4871="","",IF(AND(ISNUMBER(B4871),B4871&lt;&gt;0),1,0))</f>
        <v>0</v>
      </c>
      <c r="H4871" s="25">
        <f>IF(E4871="","",(E4871*4+3+cfgDeslocamento)/48)</f>
        <v>0</v>
      </c>
    </row>
    <row r="4872" spans="1:8">
      <c r="A4872" s="24"/>
      <c r="B4872" s="19"/>
      <c r="C4872" s="25">
        <f>IF(D4872="","",D4872/48)</f>
        <v>0</v>
      </c>
      <c r="D4872" s="26">
        <f>IF(A4872="","",ROUND((A4872-cfgDefasagem/1440)*48,0))</f>
        <v>0</v>
      </c>
      <c r="E4872" s="26">
        <f>IF(D4872="","",INT((D4872-cfgDeslocamento)/4))</f>
        <v>0</v>
      </c>
      <c r="F4872" s="26">
        <f>IF(D4872="","",MOD(D4872-cfgDeslocamento,4)+1)</f>
        <v>0</v>
      </c>
      <c r="G4872" s="26">
        <f>IF(A4872="","",IF(AND(ISNUMBER(B4872),B4872&lt;&gt;0),1,0))</f>
        <v>0</v>
      </c>
      <c r="H4872" s="25">
        <f>IF(E4872="","",(E4872*4+3+cfgDeslocamento)/48)</f>
        <v>0</v>
      </c>
    </row>
    <row r="4873" spans="1:8">
      <c r="A4873" s="24"/>
      <c r="B4873" s="19"/>
      <c r="C4873" s="25">
        <f>IF(D4873="","",D4873/48)</f>
        <v>0</v>
      </c>
      <c r="D4873" s="26">
        <f>IF(A4873="","",ROUND((A4873-cfgDefasagem/1440)*48,0))</f>
        <v>0</v>
      </c>
      <c r="E4873" s="26">
        <f>IF(D4873="","",INT((D4873-cfgDeslocamento)/4))</f>
        <v>0</v>
      </c>
      <c r="F4873" s="26">
        <f>IF(D4873="","",MOD(D4873-cfgDeslocamento,4)+1)</f>
        <v>0</v>
      </c>
      <c r="G4873" s="26">
        <f>IF(A4873="","",IF(AND(ISNUMBER(B4873),B4873&lt;&gt;0),1,0))</f>
        <v>0</v>
      </c>
      <c r="H4873" s="25">
        <f>IF(E4873="","",(E4873*4+3+cfgDeslocamento)/48)</f>
        <v>0</v>
      </c>
    </row>
    <row r="4874" spans="1:8">
      <c r="A4874" s="24"/>
      <c r="B4874" s="19"/>
      <c r="C4874" s="25">
        <f>IF(D4874="","",D4874/48)</f>
        <v>0</v>
      </c>
      <c r="D4874" s="26">
        <f>IF(A4874="","",ROUND((A4874-cfgDefasagem/1440)*48,0))</f>
        <v>0</v>
      </c>
      <c r="E4874" s="26">
        <f>IF(D4874="","",INT((D4874-cfgDeslocamento)/4))</f>
        <v>0</v>
      </c>
      <c r="F4874" s="26">
        <f>IF(D4874="","",MOD(D4874-cfgDeslocamento,4)+1)</f>
        <v>0</v>
      </c>
      <c r="G4874" s="26">
        <f>IF(A4874="","",IF(AND(ISNUMBER(B4874),B4874&lt;&gt;0),1,0))</f>
        <v>0</v>
      </c>
      <c r="H4874" s="25">
        <f>IF(E4874="","",(E4874*4+3+cfgDeslocamento)/48)</f>
        <v>0</v>
      </c>
    </row>
    <row r="4875" spans="1:8">
      <c r="A4875" s="24"/>
      <c r="B4875" s="19"/>
      <c r="C4875" s="25">
        <f>IF(D4875="","",D4875/48)</f>
        <v>0</v>
      </c>
      <c r="D4875" s="26">
        <f>IF(A4875="","",ROUND((A4875-cfgDefasagem/1440)*48,0))</f>
        <v>0</v>
      </c>
      <c r="E4875" s="26">
        <f>IF(D4875="","",INT((D4875-cfgDeslocamento)/4))</f>
        <v>0</v>
      </c>
      <c r="F4875" s="26">
        <f>IF(D4875="","",MOD(D4875-cfgDeslocamento,4)+1)</f>
        <v>0</v>
      </c>
      <c r="G4875" s="26">
        <f>IF(A4875="","",IF(AND(ISNUMBER(B4875),B4875&lt;&gt;0),1,0))</f>
        <v>0</v>
      </c>
      <c r="H4875" s="25">
        <f>IF(E4875="","",(E4875*4+3+cfgDeslocamento)/48)</f>
        <v>0</v>
      </c>
    </row>
    <row r="4876" spans="1:8">
      <c r="A4876" s="24"/>
      <c r="B4876" s="19"/>
      <c r="C4876" s="25">
        <f>IF(D4876="","",D4876/48)</f>
        <v>0</v>
      </c>
      <c r="D4876" s="26">
        <f>IF(A4876="","",ROUND((A4876-cfgDefasagem/1440)*48,0))</f>
        <v>0</v>
      </c>
      <c r="E4876" s="26">
        <f>IF(D4876="","",INT((D4876-cfgDeslocamento)/4))</f>
        <v>0</v>
      </c>
      <c r="F4876" s="26">
        <f>IF(D4876="","",MOD(D4876-cfgDeslocamento,4)+1)</f>
        <v>0</v>
      </c>
      <c r="G4876" s="26">
        <f>IF(A4876="","",IF(AND(ISNUMBER(B4876),B4876&lt;&gt;0),1,0))</f>
        <v>0</v>
      </c>
      <c r="H4876" s="25">
        <f>IF(E4876="","",(E4876*4+3+cfgDeslocamento)/48)</f>
        <v>0</v>
      </c>
    </row>
    <row r="4877" spans="1:8">
      <c r="A4877" s="24"/>
      <c r="B4877" s="19"/>
      <c r="C4877" s="25">
        <f>IF(D4877="","",D4877/48)</f>
        <v>0</v>
      </c>
      <c r="D4877" s="26">
        <f>IF(A4877="","",ROUND((A4877-cfgDefasagem/1440)*48,0))</f>
        <v>0</v>
      </c>
      <c r="E4877" s="26">
        <f>IF(D4877="","",INT((D4877-cfgDeslocamento)/4))</f>
        <v>0</v>
      </c>
      <c r="F4877" s="26">
        <f>IF(D4877="","",MOD(D4877-cfgDeslocamento,4)+1)</f>
        <v>0</v>
      </c>
      <c r="G4877" s="26">
        <f>IF(A4877="","",IF(AND(ISNUMBER(B4877),B4877&lt;&gt;0),1,0))</f>
        <v>0</v>
      </c>
      <c r="H4877" s="25">
        <f>IF(E4877="","",(E4877*4+3+cfgDeslocamento)/48)</f>
        <v>0</v>
      </c>
    </row>
    <row r="4878" spans="1:8">
      <c r="A4878" s="24"/>
      <c r="B4878" s="19"/>
      <c r="C4878" s="25">
        <f>IF(D4878="","",D4878/48)</f>
        <v>0</v>
      </c>
      <c r="D4878" s="26">
        <f>IF(A4878="","",ROUND((A4878-cfgDefasagem/1440)*48,0))</f>
        <v>0</v>
      </c>
      <c r="E4878" s="26">
        <f>IF(D4878="","",INT((D4878-cfgDeslocamento)/4))</f>
        <v>0</v>
      </c>
      <c r="F4878" s="26">
        <f>IF(D4878="","",MOD(D4878-cfgDeslocamento,4)+1)</f>
        <v>0</v>
      </c>
      <c r="G4878" s="26">
        <f>IF(A4878="","",IF(AND(ISNUMBER(B4878),B4878&lt;&gt;0),1,0))</f>
        <v>0</v>
      </c>
      <c r="H4878" s="25">
        <f>IF(E4878="","",(E4878*4+3+cfgDeslocamento)/48)</f>
        <v>0</v>
      </c>
    </row>
    <row r="4879" spans="1:8">
      <c r="A4879" s="24"/>
      <c r="B4879" s="19"/>
      <c r="C4879" s="25">
        <f>IF(D4879="","",D4879/48)</f>
        <v>0</v>
      </c>
      <c r="D4879" s="26">
        <f>IF(A4879="","",ROUND((A4879-cfgDefasagem/1440)*48,0))</f>
        <v>0</v>
      </c>
      <c r="E4879" s="26">
        <f>IF(D4879="","",INT((D4879-cfgDeslocamento)/4))</f>
        <v>0</v>
      </c>
      <c r="F4879" s="26">
        <f>IF(D4879="","",MOD(D4879-cfgDeslocamento,4)+1)</f>
        <v>0</v>
      </c>
      <c r="G4879" s="26">
        <f>IF(A4879="","",IF(AND(ISNUMBER(B4879),B4879&lt;&gt;0),1,0))</f>
        <v>0</v>
      </c>
      <c r="H4879" s="25">
        <f>IF(E4879="","",(E4879*4+3+cfgDeslocamento)/48)</f>
        <v>0</v>
      </c>
    </row>
    <row r="4880" spans="1:8">
      <c r="A4880" s="24"/>
      <c r="B4880" s="19"/>
      <c r="C4880" s="25">
        <f>IF(D4880="","",D4880/48)</f>
        <v>0</v>
      </c>
      <c r="D4880" s="26">
        <f>IF(A4880="","",ROUND((A4880-cfgDefasagem/1440)*48,0))</f>
        <v>0</v>
      </c>
      <c r="E4880" s="26">
        <f>IF(D4880="","",INT((D4880-cfgDeslocamento)/4))</f>
        <v>0</v>
      </c>
      <c r="F4880" s="26">
        <f>IF(D4880="","",MOD(D4880-cfgDeslocamento,4)+1)</f>
        <v>0</v>
      </c>
      <c r="G4880" s="26">
        <f>IF(A4880="","",IF(AND(ISNUMBER(B4880),B4880&lt;&gt;0),1,0))</f>
        <v>0</v>
      </c>
      <c r="H4880" s="25">
        <f>IF(E4880="","",(E4880*4+3+cfgDeslocamento)/48)</f>
        <v>0</v>
      </c>
    </row>
    <row r="4881" spans="1:8">
      <c r="A4881" s="24"/>
      <c r="B4881" s="19"/>
      <c r="C4881" s="25">
        <f>IF(D4881="","",D4881/48)</f>
        <v>0</v>
      </c>
      <c r="D4881" s="26">
        <f>IF(A4881="","",ROUND((A4881-cfgDefasagem/1440)*48,0))</f>
        <v>0</v>
      </c>
      <c r="E4881" s="26">
        <f>IF(D4881="","",INT((D4881-cfgDeslocamento)/4))</f>
        <v>0</v>
      </c>
      <c r="F4881" s="26">
        <f>IF(D4881="","",MOD(D4881-cfgDeslocamento,4)+1)</f>
        <v>0</v>
      </c>
      <c r="G4881" s="26">
        <f>IF(A4881="","",IF(AND(ISNUMBER(B4881),B4881&lt;&gt;0),1,0))</f>
        <v>0</v>
      </c>
      <c r="H4881" s="25">
        <f>IF(E4881="","",(E4881*4+3+cfgDeslocamento)/48)</f>
        <v>0</v>
      </c>
    </row>
    <row r="4882" spans="1:8">
      <c r="A4882" s="24"/>
      <c r="B4882" s="19"/>
      <c r="C4882" s="25">
        <f>IF(D4882="","",D4882/48)</f>
        <v>0</v>
      </c>
      <c r="D4882" s="26">
        <f>IF(A4882="","",ROUND((A4882-cfgDefasagem/1440)*48,0))</f>
        <v>0</v>
      </c>
      <c r="E4882" s="26">
        <f>IF(D4882="","",INT((D4882-cfgDeslocamento)/4))</f>
        <v>0</v>
      </c>
      <c r="F4882" s="26">
        <f>IF(D4882="","",MOD(D4882-cfgDeslocamento,4)+1)</f>
        <v>0</v>
      </c>
      <c r="G4882" s="26">
        <f>IF(A4882="","",IF(AND(ISNUMBER(B4882),B4882&lt;&gt;0),1,0))</f>
        <v>0</v>
      </c>
      <c r="H4882" s="25">
        <f>IF(E4882="","",(E4882*4+3+cfgDeslocamento)/48)</f>
        <v>0</v>
      </c>
    </row>
    <row r="4883" spans="1:8">
      <c r="A4883" s="24"/>
      <c r="B4883" s="19"/>
      <c r="C4883" s="25">
        <f>IF(D4883="","",D4883/48)</f>
        <v>0</v>
      </c>
      <c r="D4883" s="26">
        <f>IF(A4883="","",ROUND((A4883-cfgDefasagem/1440)*48,0))</f>
        <v>0</v>
      </c>
      <c r="E4883" s="26">
        <f>IF(D4883="","",INT((D4883-cfgDeslocamento)/4))</f>
        <v>0</v>
      </c>
      <c r="F4883" s="26">
        <f>IF(D4883="","",MOD(D4883-cfgDeslocamento,4)+1)</f>
        <v>0</v>
      </c>
      <c r="G4883" s="26">
        <f>IF(A4883="","",IF(AND(ISNUMBER(B4883),B4883&lt;&gt;0),1,0))</f>
        <v>0</v>
      </c>
      <c r="H4883" s="25">
        <f>IF(E4883="","",(E4883*4+3+cfgDeslocamento)/48)</f>
        <v>0</v>
      </c>
    </row>
    <row r="4884" spans="1:8">
      <c r="A4884" s="24"/>
      <c r="B4884" s="19"/>
      <c r="C4884" s="25">
        <f>IF(D4884="","",D4884/48)</f>
        <v>0</v>
      </c>
      <c r="D4884" s="26">
        <f>IF(A4884="","",ROUND((A4884-cfgDefasagem/1440)*48,0))</f>
        <v>0</v>
      </c>
      <c r="E4884" s="26">
        <f>IF(D4884="","",INT((D4884-cfgDeslocamento)/4))</f>
        <v>0</v>
      </c>
      <c r="F4884" s="26">
        <f>IF(D4884="","",MOD(D4884-cfgDeslocamento,4)+1)</f>
        <v>0</v>
      </c>
      <c r="G4884" s="26">
        <f>IF(A4884="","",IF(AND(ISNUMBER(B4884),B4884&lt;&gt;0),1,0))</f>
        <v>0</v>
      </c>
      <c r="H4884" s="25">
        <f>IF(E4884="","",(E4884*4+3+cfgDeslocamento)/48)</f>
        <v>0</v>
      </c>
    </row>
    <row r="4885" spans="1:8">
      <c r="A4885" s="24"/>
      <c r="B4885" s="19"/>
      <c r="C4885" s="25">
        <f>IF(D4885="","",D4885/48)</f>
        <v>0</v>
      </c>
      <c r="D4885" s="26">
        <f>IF(A4885="","",ROUND((A4885-cfgDefasagem/1440)*48,0))</f>
        <v>0</v>
      </c>
      <c r="E4885" s="26">
        <f>IF(D4885="","",INT((D4885-cfgDeslocamento)/4))</f>
        <v>0</v>
      </c>
      <c r="F4885" s="26">
        <f>IF(D4885="","",MOD(D4885-cfgDeslocamento,4)+1)</f>
        <v>0</v>
      </c>
      <c r="G4885" s="26">
        <f>IF(A4885="","",IF(AND(ISNUMBER(B4885),B4885&lt;&gt;0),1,0))</f>
        <v>0</v>
      </c>
      <c r="H4885" s="25">
        <f>IF(E4885="","",(E4885*4+3+cfgDeslocamento)/48)</f>
        <v>0</v>
      </c>
    </row>
    <row r="4886" spans="1:8">
      <c r="A4886" s="24"/>
      <c r="B4886" s="19"/>
      <c r="C4886" s="25">
        <f>IF(D4886="","",D4886/48)</f>
        <v>0</v>
      </c>
      <c r="D4886" s="26">
        <f>IF(A4886="","",ROUND((A4886-cfgDefasagem/1440)*48,0))</f>
        <v>0</v>
      </c>
      <c r="E4886" s="26">
        <f>IF(D4886="","",INT((D4886-cfgDeslocamento)/4))</f>
        <v>0</v>
      </c>
      <c r="F4886" s="26">
        <f>IF(D4886="","",MOD(D4886-cfgDeslocamento,4)+1)</f>
        <v>0</v>
      </c>
      <c r="G4886" s="26">
        <f>IF(A4886="","",IF(AND(ISNUMBER(B4886),B4886&lt;&gt;0),1,0))</f>
        <v>0</v>
      </c>
      <c r="H4886" s="25">
        <f>IF(E4886="","",(E4886*4+3+cfgDeslocamento)/48)</f>
        <v>0</v>
      </c>
    </row>
    <row r="4887" spans="1:8">
      <c r="A4887" s="24"/>
      <c r="B4887" s="19"/>
      <c r="C4887" s="25">
        <f>IF(D4887="","",D4887/48)</f>
        <v>0</v>
      </c>
      <c r="D4887" s="26">
        <f>IF(A4887="","",ROUND((A4887-cfgDefasagem/1440)*48,0))</f>
        <v>0</v>
      </c>
      <c r="E4887" s="26">
        <f>IF(D4887="","",INT((D4887-cfgDeslocamento)/4))</f>
        <v>0</v>
      </c>
      <c r="F4887" s="26">
        <f>IF(D4887="","",MOD(D4887-cfgDeslocamento,4)+1)</f>
        <v>0</v>
      </c>
      <c r="G4887" s="26">
        <f>IF(A4887="","",IF(AND(ISNUMBER(B4887),B4887&lt;&gt;0),1,0))</f>
        <v>0</v>
      </c>
      <c r="H4887" s="25">
        <f>IF(E4887="","",(E4887*4+3+cfgDeslocamento)/48)</f>
        <v>0</v>
      </c>
    </row>
    <row r="4888" spans="1:8">
      <c r="A4888" s="24"/>
      <c r="B4888" s="19"/>
      <c r="C4888" s="25">
        <f>IF(D4888="","",D4888/48)</f>
        <v>0</v>
      </c>
      <c r="D4888" s="26">
        <f>IF(A4888="","",ROUND((A4888-cfgDefasagem/1440)*48,0))</f>
        <v>0</v>
      </c>
      <c r="E4888" s="26">
        <f>IF(D4888="","",INT((D4888-cfgDeslocamento)/4))</f>
        <v>0</v>
      </c>
      <c r="F4888" s="26">
        <f>IF(D4888="","",MOD(D4888-cfgDeslocamento,4)+1)</f>
        <v>0</v>
      </c>
      <c r="G4888" s="26">
        <f>IF(A4888="","",IF(AND(ISNUMBER(B4888),B4888&lt;&gt;0),1,0))</f>
        <v>0</v>
      </c>
      <c r="H4888" s="25">
        <f>IF(E4888="","",(E4888*4+3+cfgDeslocamento)/48)</f>
        <v>0</v>
      </c>
    </row>
    <row r="4889" spans="1:8">
      <c r="A4889" s="24"/>
      <c r="B4889" s="19"/>
      <c r="C4889" s="25">
        <f>IF(D4889="","",D4889/48)</f>
        <v>0</v>
      </c>
      <c r="D4889" s="26">
        <f>IF(A4889="","",ROUND((A4889-cfgDefasagem/1440)*48,0))</f>
        <v>0</v>
      </c>
      <c r="E4889" s="26">
        <f>IF(D4889="","",INT((D4889-cfgDeslocamento)/4))</f>
        <v>0</v>
      </c>
      <c r="F4889" s="26">
        <f>IF(D4889="","",MOD(D4889-cfgDeslocamento,4)+1)</f>
        <v>0</v>
      </c>
      <c r="G4889" s="26">
        <f>IF(A4889="","",IF(AND(ISNUMBER(B4889),B4889&lt;&gt;0),1,0))</f>
        <v>0</v>
      </c>
      <c r="H4889" s="25">
        <f>IF(E4889="","",(E4889*4+3+cfgDeslocamento)/48)</f>
        <v>0</v>
      </c>
    </row>
    <row r="4890" spans="1:8">
      <c r="A4890" s="24"/>
      <c r="B4890" s="19"/>
      <c r="C4890" s="25">
        <f>IF(D4890="","",D4890/48)</f>
        <v>0</v>
      </c>
      <c r="D4890" s="26">
        <f>IF(A4890="","",ROUND((A4890-cfgDefasagem/1440)*48,0))</f>
        <v>0</v>
      </c>
      <c r="E4890" s="26">
        <f>IF(D4890="","",INT((D4890-cfgDeslocamento)/4))</f>
        <v>0</v>
      </c>
      <c r="F4890" s="26">
        <f>IF(D4890="","",MOD(D4890-cfgDeslocamento,4)+1)</f>
        <v>0</v>
      </c>
      <c r="G4890" s="26">
        <f>IF(A4890="","",IF(AND(ISNUMBER(B4890),B4890&lt;&gt;0),1,0))</f>
        <v>0</v>
      </c>
      <c r="H4890" s="25">
        <f>IF(E4890="","",(E4890*4+3+cfgDeslocamento)/48)</f>
        <v>0</v>
      </c>
    </row>
    <row r="4891" spans="1:8">
      <c r="A4891" s="24"/>
      <c r="B4891" s="19"/>
      <c r="C4891" s="25">
        <f>IF(D4891="","",D4891/48)</f>
        <v>0</v>
      </c>
      <c r="D4891" s="26">
        <f>IF(A4891="","",ROUND((A4891-cfgDefasagem/1440)*48,0))</f>
        <v>0</v>
      </c>
      <c r="E4891" s="26">
        <f>IF(D4891="","",INT((D4891-cfgDeslocamento)/4))</f>
        <v>0</v>
      </c>
      <c r="F4891" s="26">
        <f>IF(D4891="","",MOD(D4891-cfgDeslocamento,4)+1)</f>
        <v>0</v>
      </c>
      <c r="G4891" s="26">
        <f>IF(A4891="","",IF(AND(ISNUMBER(B4891),B4891&lt;&gt;0),1,0))</f>
        <v>0</v>
      </c>
      <c r="H4891" s="25">
        <f>IF(E4891="","",(E4891*4+3+cfgDeslocamento)/48)</f>
        <v>0</v>
      </c>
    </row>
    <row r="4892" spans="1:8">
      <c r="A4892" s="24"/>
      <c r="B4892" s="19"/>
      <c r="C4892" s="25">
        <f>IF(D4892="","",D4892/48)</f>
        <v>0</v>
      </c>
      <c r="D4892" s="26">
        <f>IF(A4892="","",ROUND((A4892-cfgDefasagem/1440)*48,0))</f>
        <v>0</v>
      </c>
      <c r="E4892" s="26">
        <f>IF(D4892="","",INT((D4892-cfgDeslocamento)/4))</f>
        <v>0</v>
      </c>
      <c r="F4892" s="26">
        <f>IF(D4892="","",MOD(D4892-cfgDeslocamento,4)+1)</f>
        <v>0</v>
      </c>
      <c r="G4892" s="26">
        <f>IF(A4892="","",IF(AND(ISNUMBER(B4892),B4892&lt;&gt;0),1,0))</f>
        <v>0</v>
      </c>
      <c r="H4892" s="25">
        <f>IF(E4892="","",(E4892*4+3+cfgDeslocamento)/48)</f>
        <v>0</v>
      </c>
    </row>
    <row r="4893" spans="1:8">
      <c r="A4893" s="24"/>
      <c r="B4893" s="19"/>
      <c r="C4893" s="25">
        <f>IF(D4893="","",D4893/48)</f>
        <v>0</v>
      </c>
      <c r="D4893" s="26">
        <f>IF(A4893="","",ROUND((A4893-cfgDefasagem/1440)*48,0))</f>
        <v>0</v>
      </c>
      <c r="E4893" s="26">
        <f>IF(D4893="","",INT((D4893-cfgDeslocamento)/4))</f>
        <v>0</v>
      </c>
      <c r="F4893" s="26">
        <f>IF(D4893="","",MOD(D4893-cfgDeslocamento,4)+1)</f>
        <v>0</v>
      </c>
      <c r="G4893" s="26">
        <f>IF(A4893="","",IF(AND(ISNUMBER(B4893),B4893&lt;&gt;0),1,0))</f>
        <v>0</v>
      </c>
      <c r="H4893" s="25">
        <f>IF(E4893="","",(E4893*4+3+cfgDeslocamento)/48)</f>
        <v>0</v>
      </c>
    </row>
    <row r="4894" spans="1:8">
      <c r="A4894" s="24"/>
      <c r="B4894" s="19"/>
      <c r="C4894" s="25">
        <f>IF(D4894="","",D4894/48)</f>
        <v>0</v>
      </c>
      <c r="D4894" s="26">
        <f>IF(A4894="","",ROUND((A4894-cfgDefasagem/1440)*48,0))</f>
        <v>0</v>
      </c>
      <c r="E4894" s="26">
        <f>IF(D4894="","",INT((D4894-cfgDeslocamento)/4))</f>
        <v>0</v>
      </c>
      <c r="F4894" s="26">
        <f>IF(D4894="","",MOD(D4894-cfgDeslocamento,4)+1)</f>
        <v>0</v>
      </c>
      <c r="G4894" s="26">
        <f>IF(A4894="","",IF(AND(ISNUMBER(B4894),B4894&lt;&gt;0),1,0))</f>
        <v>0</v>
      </c>
      <c r="H4894" s="25">
        <f>IF(E4894="","",(E4894*4+3+cfgDeslocamento)/48)</f>
        <v>0</v>
      </c>
    </row>
    <row r="4895" spans="1:8">
      <c r="A4895" s="24"/>
      <c r="B4895" s="19"/>
      <c r="C4895" s="25">
        <f>IF(D4895="","",D4895/48)</f>
        <v>0</v>
      </c>
      <c r="D4895" s="26">
        <f>IF(A4895="","",ROUND((A4895-cfgDefasagem/1440)*48,0))</f>
        <v>0</v>
      </c>
      <c r="E4895" s="26">
        <f>IF(D4895="","",INT((D4895-cfgDeslocamento)/4))</f>
        <v>0</v>
      </c>
      <c r="F4895" s="26">
        <f>IF(D4895="","",MOD(D4895-cfgDeslocamento,4)+1)</f>
        <v>0</v>
      </c>
      <c r="G4895" s="26">
        <f>IF(A4895="","",IF(AND(ISNUMBER(B4895),B4895&lt;&gt;0),1,0))</f>
        <v>0</v>
      </c>
      <c r="H4895" s="25">
        <f>IF(E4895="","",(E4895*4+3+cfgDeslocamento)/48)</f>
        <v>0</v>
      </c>
    </row>
    <row r="4896" spans="1:8">
      <c r="A4896" s="24"/>
      <c r="B4896" s="19"/>
      <c r="C4896" s="25">
        <f>IF(D4896="","",D4896/48)</f>
        <v>0</v>
      </c>
      <c r="D4896" s="26">
        <f>IF(A4896="","",ROUND((A4896-cfgDefasagem/1440)*48,0))</f>
        <v>0</v>
      </c>
      <c r="E4896" s="26">
        <f>IF(D4896="","",INT((D4896-cfgDeslocamento)/4))</f>
        <v>0</v>
      </c>
      <c r="F4896" s="26">
        <f>IF(D4896="","",MOD(D4896-cfgDeslocamento,4)+1)</f>
        <v>0</v>
      </c>
      <c r="G4896" s="26">
        <f>IF(A4896="","",IF(AND(ISNUMBER(B4896),B4896&lt;&gt;0),1,0))</f>
        <v>0</v>
      </c>
      <c r="H4896" s="25">
        <f>IF(E4896="","",(E4896*4+3+cfgDeslocamento)/48)</f>
        <v>0</v>
      </c>
    </row>
    <row r="4897" spans="1:8">
      <c r="A4897" s="24"/>
      <c r="B4897" s="19"/>
      <c r="C4897" s="25">
        <f>IF(D4897="","",D4897/48)</f>
        <v>0</v>
      </c>
      <c r="D4897" s="26">
        <f>IF(A4897="","",ROUND((A4897-cfgDefasagem/1440)*48,0))</f>
        <v>0</v>
      </c>
      <c r="E4897" s="26">
        <f>IF(D4897="","",INT((D4897-cfgDeslocamento)/4))</f>
        <v>0</v>
      </c>
      <c r="F4897" s="26">
        <f>IF(D4897="","",MOD(D4897-cfgDeslocamento,4)+1)</f>
        <v>0</v>
      </c>
      <c r="G4897" s="26">
        <f>IF(A4897="","",IF(AND(ISNUMBER(B4897),B4897&lt;&gt;0),1,0))</f>
        <v>0</v>
      </c>
      <c r="H4897" s="25">
        <f>IF(E4897="","",(E4897*4+3+cfgDeslocamento)/48)</f>
        <v>0</v>
      </c>
    </row>
    <row r="4898" spans="1:8">
      <c r="A4898" s="24"/>
      <c r="B4898" s="19"/>
      <c r="C4898" s="25">
        <f>IF(D4898="","",D4898/48)</f>
        <v>0</v>
      </c>
      <c r="D4898" s="26">
        <f>IF(A4898="","",ROUND((A4898-cfgDefasagem/1440)*48,0))</f>
        <v>0</v>
      </c>
      <c r="E4898" s="26">
        <f>IF(D4898="","",INT((D4898-cfgDeslocamento)/4))</f>
        <v>0</v>
      </c>
      <c r="F4898" s="26">
        <f>IF(D4898="","",MOD(D4898-cfgDeslocamento,4)+1)</f>
        <v>0</v>
      </c>
      <c r="G4898" s="26">
        <f>IF(A4898="","",IF(AND(ISNUMBER(B4898),B4898&lt;&gt;0),1,0))</f>
        <v>0</v>
      </c>
      <c r="H4898" s="25">
        <f>IF(E4898="","",(E4898*4+3+cfgDeslocamento)/48)</f>
        <v>0</v>
      </c>
    </row>
    <row r="4899" spans="1:8">
      <c r="A4899" s="24"/>
      <c r="B4899" s="19"/>
      <c r="C4899" s="25">
        <f>IF(D4899="","",D4899/48)</f>
        <v>0</v>
      </c>
      <c r="D4899" s="26">
        <f>IF(A4899="","",ROUND((A4899-cfgDefasagem/1440)*48,0))</f>
        <v>0</v>
      </c>
      <c r="E4899" s="26">
        <f>IF(D4899="","",INT((D4899-cfgDeslocamento)/4))</f>
        <v>0</v>
      </c>
      <c r="F4899" s="26">
        <f>IF(D4899="","",MOD(D4899-cfgDeslocamento,4)+1)</f>
        <v>0</v>
      </c>
      <c r="G4899" s="26">
        <f>IF(A4899="","",IF(AND(ISNUMBER(B4899),B4899&lt;&gt;0),1,0))</f>
        <v>0</v>
      </c>
      <c r="H4899" s="25">
        <f>IF(E4899="","",(E4899*4+3+cfgDeslocamento)/48)</f>
        <v>0</v>
      </c>
    </row>
    <row r="4900" spans="1:8">
      <c r="A4900" s="24"/>
      <c r="B4900" s="19"/>
      <c r="C4900" s="25">
        <f>IF(D4900="","",D4900/48)</f>
        <v>0</v>
      </c>
      <c r="D4900" s="26">
        <f>IF(A4900="","",ROUND((A4900-cfgDefasagem/1440)*48,0))</f>
        <v>0</v>
      </c>
      <c r="E4900" s="26">
        <f>IF(D4900="","",INT((D4900-cfgDeslocamento)/4))</f>
        <v>0</v>
      </c>
      <c r="F4900" s="26">
        <f>IF(D4900="","",MOD(D4900-cfgDeslocamento,4)+1)</f>
        <v>0</v>
      </c>
      <c r="G4900" s="26">
        <f>IF(A4900="","",IF(AND(ISNUMBER(B4900),B4900&lt;&gt;0),1,0))</f>
        <v>0</v>
      </c>
      <c r="H4900" s="25">
        <f>IF(E4900="","",(E4900*4+3+cfgDeslocamento)/48)</f>
        <v>0</v>
      </c>
    </row>
    <row r="4901" spans="1:8">
      <c r="A4901" s="24"/>
      <c r="B4901" s="19"/>
      <c r="C4901" s="25">
        <f>IF(D4901="","",D4901/48)</f>
        <v>0</v>
      </c>
      <c r="D4901" s="26">
        <f>IF(A4901="","",ROUND((A4901-cfgDefasagem/1440)*48,0))</f>
        <v>0</v>
      </c>
      <c r="E4901" s="26">
        <f>IF(D4901="","",INT((D4901-cfgDeslocamento)/4))</f>
        <v>0</v>
      </c>
      <c r="F4901" s="26">
        <f>IF(D4901="","",MOD(D4901-cfgDeslocamento,4)+1)</f>
        <v>0</v>
      </c>
      <c r="G4901" s="26">
        <f>IF(A4901="","",IF(AND(ISNUMBER(B4901),B4901&lt;&gt;0),1,0))</f>
        <v>0</v>
      </c>
      <c r="H4901" s="25">
        <f>IF(E4901="","",(E4901*4+3+cfgDeslocamento)/48)</f>
        <v>0</v>
      </c>
    </row>
    <row r="4902" spans="1:8">
      <c r="A4902" s="24"/>
      <c r="B4902" s="19"/>
      <c r="C4902" s="25">
        <f>IF(D4902="","",D4902/48)</f>
        <v>0</v>
      </c>
      <c r="D4902" s="26">
        <f>IF(A4902="","",ROUND((A4902-cfgDefasagem/1440)*48,0))</f>
        <v>0</v>
      </c>
      <c r="E4902" s="26">
        <f>IF(D4902="","",INT((D4902-cfgDeslocamento)/4))</f>
        <v>0</v>
      </c>
      <c r="F4902" s="26">
        <f>IF(D4902="","",MOD(D4902-cfgDeslocamento,4)+1)</f>
        <v>0</v>
      </c>
      <c r="G4902" s="26">
        <f>IF(A4902="","",IF(AND(ISNUMBER(B4902),B4902&lt;&gt;0),1,0))</f>
        <v>0</v>
      </c>
      <c r="H4902" s="25">
        <f>IF(E4902="","",(E4902*4+3+cfgDeslocamento)/48)</f>
        <v>0</v>
      </c>
    </row>
    <row r="4903" spans="1:8">
      <c r="A4903" s="24"/>
      <c r="B4903" s="19"/>
      <c r="C4903" s="25">
        <f>IF(D4903="","",D4903/48)</f>
        <v>0</v>
      </c>
      <c r="D4903" s="26">
        <f>IF(A4903="","",ROUND((A4903-cfgDefasagem/1440)*48,0))</f>
        <v>0</v>
      </c>
      <c r="E4903" s="26">
        <f>IF(D4903="","",INT((D4903-cfgDeslocamento)/4))</f>
        <v>0</v>
      </c>
      <c r="F4903" s="26">
        <f>IF(D4903="","",MOD(D4903-cfgDeslocamento,4)+1)</f>
        <v>0</v>
      </c>
      <c r="G4903" s="26">
        <f>IF(A4903="","",IF(AND(ISNUMBER(B4903),B4903&lt;&gt;0),1,0))</f>
        <v>0</v>
      </c>
      <c r="H4903" s="25">
        <f>IF(E4903="","",(E4903*4+3+cfgDeslocamento)/48)</f>
        <v>0</v>
      </c>
    </row>
    <row r="4904" spans="1:8">
      <c r="A4904" s="24"/>
      <c r="B4904" s="19"/>
      <c r="C4904" s="25">
        <f>IF(D4904="","",D4904/48)</f>
        <v>0</v>
      </c>
      <c r="D4904" s="26">
        <f>IF(A4904="","",ROUND((A4904-cfgDefasagem/1440)*48,0))</f>
        <v>0</v>
      </c>
      <c r="E4904" s="26">
        <f>IF(D4904="","",INT((D4904-cfgDeslocamento)/4))</f>
        <v>0</v>
      </c>
      <c r="F4904" s="26">
        <f>IF(D4904="","",MOD(D4904-cfgDeslocamento,4)+1)</f>
        <v>0</v>
      </c>
      <c r="G4904" s="26">
        <f>IF(A4904="","",IF(AND(ISNUMBER(B4904),B4904&lt;&gt;0),1,0))</f>
        <v>0</v>
      </c>
      <c r="H4904" s="25">
        <f>IF(E4904="","",(E4904*4+3+cfgDeslocamento)/48)</f>
        <v>0</v>
      </c>
    </row>
    <row r="4905" spans="1:8">
      <c r="A4905" s="24"/>
      <c r="B4905" s="19"/>
      <c r="C4905" s="25">
        <f>IF(D4905="","",D4905/48)</f>
        <v>0</v>
      </c>
      <c r="D4905" s="26">
        <f>IF(A4905="","",ROUND((A4905-cfgDefasagem/1440)*48,0))</f>
        <v>0</v>
      </c>
      <c r="E4905" s="26">
        <f>IF(D4905="","",INT((D4905-cfgDeslocamento)/4))</f>
        <v>0</v>
      </c>
      <c r="F4905" s="26">
        <f>IF(D4905="","",MOD(D4905-cfgDeslocamento,4)+1)</f>
        <v>0</v>
      </c>
      <c r="G4905" s="26">
        <f>IF(A4905="","",IF(AND(ISNUMBER(B4905),B4905&lt;&gt;0),1,0))</f>
        <v>0</v>
      </c>
      <c r="H4905" s="25">
        <f>IF(E4905="","",(E4905*4+3+cfgDeslocamento)/48)</f>
        <v>0</v>
      </c>
    </row>
    <row r="4906" spans="1:8">
      <c r="A4906" s="24"/>
      <c r="B4906" s="19"/>
      <c r="C4906" s="25">
        <f>IF(D4906="","",D4906/48)</f>
        <v>0</v>
      </c>
      <c r="D4906" s="26">
        <f>IF(A4906="","",ROUND((A4906-cfgDefasagem/1440)*48,0))</f>
        <v>0</v>
      </c>
      <c r="E4906" s="26">
        <f>IF(D4906="","",INT((D4906-cfgDeslocamento)/4))</f>
        <v>0</v>
      </c>
      <c r="F4906" s="26">
        <f>IF(D4906="","",MOD(D4906-cfgDeslocamento,4)+1)</f>
        <v>0</v>
      </c>
      <c r="G4906" s="26">
        <f>IF(A4906="","",IF(AND(ISNUMBER(B4906),B4906&lt;&gt;0),1,0))</f>
        <v>0</v>
      </c>
      <c r="H4906" s="25">
        <f>IF(E4906="","",(E4906*4+3+cfgDeslocamento)/48)</f>
        <v>0</v>
      </c>
    </row>
    <row r="4907" spans="1:8">
      <c r="A4907" s="24"/>
      <c r="B4907" s="19"/>
      <c r="C4907" s="25">
        <f>IF(D4907="","",D4907/48)</f>
        <v>0</v>
      </c>
      <c r="D4907" s="26">
        <f>IF(A4907="","",ROUND((A4907-cfgDefasagem/1440)*48,0))</f>
        <v>0</v>
      </c>
      <c r="E4907" s="26">
        <f>IF(D4907="","",INT((D4907-cfgDeslocamento)/4))</f>
        <v>0</v>
      </c>
      <c r="F4907" s="26">
        <f>IF(D4907="","",MOD(D4907-cfgDeslocamento,4)+1)</f>
        <v>0</v>
      </c>
      <c r="G4907" s="26">
        <f>IF(A4907="","",IF(AND(ISNUMBER(B4907),B4907&lt;&gt;0),1,0))</f>
        <v>0</v>
      </c>
      <c r="H4907" s="25">
        <f>IF(E4907="","",(E4907*4+3+cfgDeslocamento)/48)</f>
        <v>0</v>
      </c>
    </row>
    <row r="4908" spans="1:8">
      <c r="A4908" s="24"/>
      <c r="B4908" s="19"/>
      <c r="C4908" s="25">
        <f>IF(D4908="","",D4908/48)</f>
        <v>0</v>
      </c>
      <c r="D4908" s="26">
        <f>IF(A4908="","",ROUND((A4908-cfgDefasagem/1440)*48,0))</f>
        <v>0</v>
      </c>
      <c r="E4908" s="26">
        <f>IF(D4908="","",INT((D4908-cfgDeslocamento)/4))</f>
        <v>0</v>
      </c>
      <c r="F4908" s="26">
        <f>IF(D4908="","",MOD(D4908-cfgDeslocamento,4)+1)</f>
        <v>0</v>
      </c>
      <c r="G4908" s="26">
        <f>IF(A4908="","",IF(AND(ISNUMBER(B4908),B4908&lt;&gt;0),1,0))</f>
        <v>0</v>
      </c>
      <c r="H4908" s="25">
        <f>IF(E4908="","",(E4908*4+3+cfgDeslocamento)/48)</f>
        <v>0</v>
      </c>
    </row>
    <row r="4909" spans="1:8">
      <c r="A4909" s="24"/>
      <c r="B4909" s="19"/>
      <c r="C4909" s="25">
        <f>IF(D4909="","",D4909/48)</f>
        <v>0</v>
      </c>
      <c r="D4909" s="26">
        <f>IF(A4909="","",ROUND((A4909-cfgDefasagem/1440)*48,0))</f>
        <v>0</v>
      </c>
      <c r="E4909" s="26">
        <f>IF(D4909="","",INT((D4909-cfgDeslocamento)/4))</f>
        <v>0</v>
      </c>
      <c r="F4909" s="26">
        <f>IF(D4909="","",MOD(D4909-cfgDeslocamento,4)+1)</f>
        <v>0</v>
      </c>
      <c r="G4909" s="26">
        <f>IF(A4909="","",IF(AND(ISNUMBER(B4909),B4909&lt;&gt;0),1,0))</f>
        <v>0</v>
      </c>
      <c r="H4909" s="25">
        <f>IF(E4909="","",(E4909*4+3+cfgDeslocamento)/48)</f>
        <v>0</v>
      </c>
    </row>
    <row r="4910" spans="1:8">
      <c r="A4910" s="24"/>
      <c r="B4910" s="19"/>
      <c r="C4910" s="25">
        <f>IF(D4910="","",D4910/48)</f>
        <v>0</v>
      </c>
      <c r="D4910" s="26">
        <f>IF(A4910="","",ROUND((A4910-cfgDefasagem/1440)*48,0))</f>
        <v>0</v>
      </c>
      <c r="E4910" s="26">
        <f>IF(D4910="","",INT((D4910-cfgDeslocamento)/4))</f>
        <v>0</v>
      </c>
      <c r="F4910" s="26">
        <f>IF(D4910="","",MOD(D4910-cfgDeslocamento,4)+1)</f>
        <v>0</v>
      </c>
      <c r="G4910" s="26">
        <f>IF(A4910="","",IF(AND(ISNUMBER(B4910),B4910&lt;&gt;0),1,0))</f>
        <v>0</v>
      </c>
      <c r="H4910" s="25">
        <f>IF(E4910="","",(E4910*4+3+cfgDeslocamento)/48)</f>
        <v>0</v>
      </c>
    </row>
    <row r="4911" spans="1:8">
      <c r="A4911" s="24"/>
      <c r="B4911" s="19"/>
      <c r="C4911" s="25">
        <f>IF(D4911="","",D4911/48)</f>
        <v>0</v>
      </c>
      <c r="D4911" s="26">
        <f>IF(A4911="","",ROUND((A4911-cfgDefasagem/1440)*48,0))</f>
        <v>0</v>
      </c>
      <c r="E4911" s="26">
        <f>IF(D4911="","",INT((D4911-cfgDeslocamento)/4))</f>
        <v>0</v>
      </c>
      <c r="F4911" s="26">
        <f>IF(D4911="","",MOD(D4911-cfgDeslocamento,4)+1)</f>
        <v>0</v>
      </c>
      <c r="G4911" s="26">
        <f>IF(A4911="","",IF(AND(ISNUMBER(B4911),B4911&lt;&gt;0),1,0))</f>
        <v>0</v>
      </c>
      <c r="H4911" s="25">
        <f>IF(E4911="","",(E4911*4+3+cfgDeslocamento)/48)</f>
        <v>0</v>
      </c>
    </row>
    <row r="4912" spans="1:8">
      <c r="A4912" s="24"/>
      <c r="B4912" s="19"/>
      <c r="C4912" s="25">
        <f>IF(D4912="","",D4912/48)</f>
        <v>0</v>
      </c>
      <c r="D4912" s="26">
        <f>IF(A4912="","",ROUND((A4912-cfgDefasagem/1440)*48,0))</f>
        <v>0</v>
      </c>
      <c r="E4912" s="26">
        <f>IF(D4912="","",INT((D4912-cfgDeslocamento)/4))</f>
        <v>0</v>
      </c>
      <c r="F4912" s="26">
        <f>IF(D4912="","",MOD(D4912-cfgDeslocamento,4)+1)</f>
        <v>0</v>
      </c>
      <c r="G4912" s="26">
        <f>IF(A4912="","",IF(AND(ISNUMBER(B4912),B4912&lt;&gt;0),1,0))</f>
        <v>0</v>
      </c>
      <c r="H4912" s="25">
        <f>IF(E4912="","",(E4912*4+3+cfgDeslocamento)/48)</f>
        <v>0</v>
      </c>
    </row>
    <row r="4913" spans="1:8">
      <c r="A4913" s="24"/>
      <c r="B4913" s="19"/>
      <c r="C4913" s="25">
        <f>IF(D4913="","",D4913/48)</f>
        <v>0</v>
      </c>
      <c r="D4913" s="26">
        <f>IF(A4913="","",ROUND((A4913-cfgDefasagem/1440)*48,0))</f>
        <v>0</v>
      </c>
      <c r="E4913" s="26">
        <f>IF(D4913="","",INT((D4913-cfgDeslocamento)/4))</f>
        <v>0</v>
      </c>
      <c r="F4913" s="26">
        <f>IF(D4913="","",MOD(D4913-cfgDeslocamento,4)+1)</f>
        <v>0</v>
      </c>
      <c r="G4913" s="26">
        <f>IF(A4913="","",IF(AND(ISNUMBER(B4913),B4913&lt;&gt;0),1,0))</f>
        <v>0</v>
      </c>
      <c r="H4913" s="25">
        <f>IF(E4913="","",(E4913*4+3+cfgDeslocamento)/48)</f>
        <v>0</v>
      </c>
    </row>
    <row r="4914" spans="1:8">
      <c r="A4914" s="24"/>
      <c r="B4914" s="19"/>
      <c r="C4914" s="25">
        <f>IF(D4914="","",D4914/48)</f>
        <v>0</v>
      </c>
      <c r="D4914" s="26">
        <f>IF(A4914="","",ROUND((A4914-cfgDefasagem/1440)*48,0))</f>
        <v>0</v>
      </c>
      <c r="E4914" s="26">
        <f>IF(D4914="","",INT((D4914-cfgDeslocamento)/4))</f>
        <v>0</v>
      </c>
      <c r="F4914" s="26">
        <f>IF(D4914="","",MOD(D4914-cfgDeslocamento,4)+1)</f>
        <v>0</v>
      </c>
      <c r="G4914" s="26">
        <f>IF(A4914="","",IF(AND(ISNUMBER(B4914),B4914&lt;&gt;0),1,0))</f>
        <v>0</v>
      </c>
      <c r="H4914" s="25">
        <f>IF(E4914="","",(E4914*4+3+cfgDeslocamento)/48)</f>
        <v>0</v>
      </c>
    </row>
    <row r="4915" spans="1:8">
      <c r="A4915" s="24"/>
      <c r="B4915" s="19"/>
      <c r="C4915" s="25">
        <f>IF(D4915="","",D4915/48)</f>
        <v>0</v>
      </c>
      <c r="D4915" s="26">
        <f>IF(A4915="","",ROUND((A4915-cfgDefasagem/1440)*48,0))</f>
        <v>0</v>
      </c>
      <c r="E4915" s="26">
        <f>IF(D4915="","",INT((D4915-cfgDeslocamento)/4))</f>
        <v>0</v>
      </c>
      <c r="F4915" s="26">
        <f>IF(D4915="","",MOD(D4915-cfgDeslocamento,4)+1)</f>
        <v>0</v>
      </c>
      <c r="G4915" s="26">
        <f>IF(A4915="","",IF(AND(ISNUMBER(B4915),B4915&lt;&gt;0),1,0))</f>
        <v>0</v>
      </c>
      <c r="H4915" s="25">
        <f>IF(E4915="","",(E4915*4+3+cfgDeslocamento)/48)</f>
        <v>0</v>
      </c>
    </row>
    <row r="4916" spans="1:8">
      <c r="A4916" s="24"/>
      <c r="B4916" s="19"/>
      <c r="C4916" s="25">
        <f>IF(D4916="","",D4916/48)</f>
        <v>0</v>
      </c>
      <c r="D4916" s="26">
        <f>IF(A4916="","",ROUND((A4916-cfgDefasagem/1440)*48,0))</f>
        <v>0</v>
      </c>
      <c r="E4916" s="26">
        <f>IF(D4916="","",INT((D4916-cfgDeslocamento)/4))</f>
        <v>0</v>
      </c>
      <c r="F4916" s="26">
        <f>IF(D4916="","",MOD(D4916-cfgDeslocamento,4)+1)</f>
        <v>0</v>
      </c>
      <c r="G4916" s="26">
        <f>IF(A4916="","",IF(AND(ISNUMBER(B4916),B4916&lt;&gt;0),1,0))</f>
        <v>0</v>
      </c>
      <c r="H4916" s="25">
        <f>IF(E4916="","",(E4916*4+3+cfgDeslocamento)/48)</f>
        <v>0</v>
      </c>
    </row>
    <row r="4917" spans="1:8">
      <c r="A4917" s="24"/>
      <c r="B4917" s="19"/>
      <c r="C4917" s="25">
        <f>IF(D4917="","",D4917/48)</f>
        <v>0</v>
      </c>
      <c r="D4917" s="26">
        <f>IF(A4917="","",ROUND((A4917-cfgDefasagem/1440)*48,0))</f>
        <v>0</v>
      </c>
      <c r="E4917" s="26">
        <f>IF(D4917="","",INT((D4917-cfgDeslocamento)/4))</f>
        <v>0</v>
      </c>
      <c r="F4917" s="26">
        <f>IF(D4917="","",MOD(D4917-cfgDeslocamento,4)+1)</f>
        <v>0</v>
      </c>
      <c r="G4917" s="26">
        <f>IF(A4917="","",IF(AND(ISNUMBER(B4917),B4917&lt;&gt;0),1,0))</f>
        <v>0</v>
      </c>
      <c r="H4917" s="25">
        <f>IF(E4917="","",(E4917*4+3+cfgDeslocamento)/48)</f>
        <v>0</v>
      </c>
    </row>
    <row r="4918" spans="1:8">
      <c r="A4918" s="24"/>
      <c r="B4918" s="19"/>
      <c r="C4918" s="25">
        <f>IF(D4918="","",D4918/48)</f>
        <v>0</v>
      </c>
      <c r="D4918" s="26">
        <f>IF(A4918="","",ROUND((A4918-cfgDefasagem/1440)*48,0))</f>
        <v>0</v>
      </c>
      <c r="E4918" s="26">
        <f>IF(D4918="","",INT((D4918-cfgDeslocamento)/4))</f>
        <v>0</v>
      </c>
      <c r="F4918" s="26">
        <f>IF(D4918="","",MOD(D4918-cfgDeslocamento,4)+1)</f>
        <v>0</v>
      </c>
      <c r="G4918" s="26">
        <f>IF(A4918="","",IF(AND(ISNUMBER(B4918),B4918&lt;&gt;0),1,0))</f>
        <v>0</v>
      </c>
      <c r="H4918" s="25">
        <f>IF(E4918="","",(E4918*4+3+cfgDeslocamento)/48)</f>
        <v>0</v>
      </c>
    </row>
    <row r="4919" spans="1:8">
      <c r="A4919" s="24"/>
      <c r="B4919" s="19"/>
      <c r="C4919" s="25">
        <f>IF(D4919="","",D4919/48)</f>
        <v>0</v>
      </c>
      <c r="D4919" s="26">
        <f>IF(A4919="","",ROUND((A4919-cfgDefasagem/1440)*48,0))</f>
        <v>0</v>
      </c>
      <c r="E4919" s="26">
        <f>IF(D4919="","",INT((D4919-cfgDeslocamento)/4))</f>
        <v>0</v>
      </c>
      <c r="F4919" s="26">
        <f>IF(D4919="","",MOD(D4919-cfgDeslocamento,4)+1)</f>
        <v>0</v>
      </c>
      <c r="G4919" s="26">
        <f>IF(A4919="","",IF(AND(ISNUMBER(B4919),B4919&lt;&gt;0),1,0))</f>
        <v>0</v>
      </c>
      <c r="H4919" s="25">
        <f>IF(E4919="","",(E4919*4+3+cfgDeslocamento)/48)</f>
        <v>0</v>
      </c>
    </row>
    <row r="4920" spans="1:8">
      <c r="A4920" s="24"/>
      <c r="B4920" s="19"/>
      <c r="C4920" s="25">
        <f>IF(D4920="","",D4920/48)</f>
        <v>0</v>
      </c>
      <c r="D4920" s="26">
        <f>IF(A4920="","",ROUND((A4920-cfgDefasagem/1440)*48,0))</f>
        <v>0</v>
      </c>
      <c r="E4920" s="26">
        <f>IF(D4920="","",INT((D4920-cfgDeslocamento)/4))</f>
        <v>0</v>
      </c>
      <c r="F4920" s="26">
        <f>IF(D4920="","",MOD(D4920-cfgDeslocamento,4)+1)</f>
        <v>0</v>
      </c>
      <c r="G4920" s="26">
        <f>IF(A4920="","",IF(AND(ISNUMBER(B4920),B4920&lt;&gt;0),1,0))</f>
        <v>0</v>
      </c>
      <c r="H4920" s="25">
        <f>IF(E4920="","",(E4920*4+3+cfgDeslocamento)/48)</f>
        <v>0</v>
      </c>
    </row>
    <row r="4921" spans="1:8">
      <c r="A4921" s="24"/>
      <c r="B4921" s="19"/>
      <c r="C4921" s="25">
        <f>IF(D4921="","",D4921/48)</f>
        <v>0</v>
      </c>
      <c r="D4921" s="26">
        <f>IF(A4921="","",ROUND((A4921-cfgDefasagem/1440)*48,0))</f>
        <v>0</v>
      </c>
      <c r="E4921" s="26">
        <f>IF(D4921="","",INT((D4921-cfgDeslocamento)/4))</f>
        <v>0</v>
      </c>
      <c r="F4921" s="26">
        <f>IF(D4921="","",MOD(D4921-cfgDeslocamento,4)+1)</f>
        <v>0</v>
      </c>
      <c r="G4921" s="26">
        <f>IF(A4921="","",IF(AND(ISNUMBER(B4921),B4921&lt;&gt;0),1,0))</f>
        <v>0</v>
      </c>
      <c r="H4921" s="25">
        <f>IF(E4921="","",(E4921*4+3+cfgDeslocamento)/48)</f>
        <v>0</v>
      </c>
    </row>
    <row r="4922" spans="1:8">
      <c r="A4922" s="24"/>
      <c r="B4922" s="19"/>
      <c r="C4922" s="25">
        <f>IF(D4922="","",D4922/48)</f>
        <v>0</v>
      </c>
      <c r="D4922" s="26">
        <f>IF(A4922="","",ROUND((A4922-cfgDefasagem/1440)*48,0))</f>
        <v>0</v>
      </c>
      <c r="E4922" s="26">
        <f>IF(D4922="","",INT((D4922-cfgDeslocamento)/4))</f>
        <v>0</v>
      </c>
      <c r="F4922" s="26">
        <f>IF(D4922="","",MOD(D4922-cfgDeslocamento,4)+1)</f>
        <v>0</v>
      </c>
      <c r="G4922" s="26">
        <f>IF(A4922="","",IF(AND(ISNUMBER(B4922),B4922&lt;&gt;0),1,0))</f>
        <v>0</v>
      </c>
      <c r="H4922" s="25">
        <f>IF(E4922="","",(E4922*4+3+cfgDeslocamento)/48)</f>
        <v>0</v>
      </c>
    </row>
    <row r="4923" spans="1:8">
      <c r="A4923" s="24"/>
      <c r="B4923" s="19"/>
      <c r="C4923" s="25">
        <f>IF(D4923="","",D4923/48)</f>
        <v>0</v>
      </c>
      <c r="D4923" s="26">
        <f>IF(A4923="","",ROUND((A4923-cfgDefasagem/1440)*48,0))</f>
        <v>0</v>
      </c>
      <c r="E4923" s="26">
        <f>IF(D4923="","",INT((D4923-cfgDeslocamento)/4))</f>
        <v>0</v>
      </c>
      <c r="F4923" s="26">
        <f>IF(D4923="","",MOD(D4923-cfgDeslocamento,4)+1)</f>
        <v>0</v>
      </c>
      <c r="G4923" s="26">
        <f>IF(A4923="","",IF(AND(ISNUMBER(B4923),B4923&lt;&gt;0),1,0))</f>
        <v>0</v>
      </c>
      <c r="H4923" s="25">
        <f>IF(E4923="","",(E4923*4+3+cfgDeslocamento)/48)</f>
        <v>0</v>
      </c>
    </row>
    <row r="4924" spans="1:8">
      <c r="A4924" s="24"/>
      <c r="B4924" s="19"/>
      <c r="C4924" s="25">
        <f>IF(D4924="","",D4924/48)</f>
        <v>0</v>
      </c>
      <c r="D4924" s="26">
        <f>IF(A4924="","",ROUND((A4924-cfgDefasagem/1440)*48,0))</f>
        <v>0</v>
      </c>
      <c r="E4924" s="26">
        <f>IF(D4924="","",INT((D4924-cfgDeslocamento)/4))</f>
        <v>0</v>
      </c>
      <c r="F4924" s="26">
        <f>IF(D4924="","",MOD(D4924-cfgDeslocamento,4)+1)</f>
        <v>0</v>
      </c>
      <c r="G4924" s="26">
        <f>IF(A4924="","",IF(AND(ISNUMBER(B4924),B4924&lt;&gt;0),1,0))</f>
        <v>0</v>
      </c>
      <c r="H4924" s="25">
        <f>IF(E4924="","",(E4924*4+3+cfgDeslocamento)/48)</f>
        <v>0</v>
      </c>
    </row>
    <row r="4925" spans="1:8">
      <c r="A4925" s="24"/>
      <c r="B4925" s="19"/>
      <c r="C4925" s="25">
        <f>IF(D4925="","",D4925/48)</f>
        <v>0</v>
      </c>
      <c r="D4925" s="26">
        <f>IF(A4925="","",ROUND((A4925-cfgDefasagem/1440)*48,0))</f>
        <v>0</v>
      </c>
      <c r="E4925" s="26">
        <f>IF(D4925="","",INT((D4925-cfgDeslocamento)/4))</f>
        <v>0</v>
      </c>
      <c r="F4925" s="26">
        <f>IF(D4925="","",MOD(D4925-cfgDeslocamento,4)+1)</f>
        <v>0</v>
      </c>
      <c r="G4925" s="26">
        <f>IF(A4925="","",IF(AND(ISNUMBER(B4925),B4925&lt;&gt;0),1,0))</f>
        <v>0</v>
      </c>
      <c r="H4925" s="25">
        <f>IF(E4925="","",(E4925*4+3+cfgDeslocamento)/48)</f>
        <v>0</v>
      </c>
    </row>
    <row r="4926" spans="1:8">
      <c r="A4926" s="24"/>
      <c r="B4926" s="19"/>
      <c r="C4926" s="25">
        <f>IF(D4926="","",D4926/48)</f>
        <v>0</v>
      </c>
      <c r="D4926" s="26">
        <f>IF(A4926="","",ROUND((A4926-cfgDefasagem/1440)*48,0))</f>
        <v>0</v>
      </c>
      <c r="E4926" s="26">
        <f>IF(D4926="","",INT((D4926-cfgDeslocamento)/4))</f>
        <v>0</v>
      </c>
      <c r="F4926" s="26">
        <f>IF(D4926="","",MOD(D4926-cfgDeslocamento,4)+1)</f>
        <v>0</v>
      </c>
      <c r="G4926" s="26">
        <f>IF(A4926="","",IF(AND(ISNUMBER(B4926),B4926&lt;&gt;0),1,0))</f>
        <v>0</v>
      </c>
      <c r="H4926" s="25">
        <f>IF(E4926="","",(E4926*4+3+cfgDeslocamento)/48)</f>
        <v>0</v>
      </c>
    </row>
    <row r="4927" spans="1:8">
      <c r="A4927" s="24"/>
      <c r="B4927" s="19"/>
      <c r="C4927" s="25">
        <f>IF(D4927="","",D4927/48)</f>
        <v>0</v>
      </c>
      <c r="D4927" s="26">
        <f>IF(A4927="","",ROUND((A4927-cfgDefasagem/1440)*48,0))</f>
        <v>0</v>
      </c>
      <c r="E4927" s="26">
        <f>IF(D4927="","",INT((D4927-cfgDeslocamento)/4))</f>
        <v>0</v>
      </c>
      <c r="F4927" s="26">
        <f>IF(D4927="","",MOD(D4927-cfgDeslocamento,4)+1)</f>
        <v>0</v>
      </c>
      <c r="G4927" s="26">
        <f>IF(A4927="","",IF(AND(ISNUMBER(B4927),B4927&lt;&gt;0),1,0))</f>
        <v>0</v>
      </c>
      <c r="H4927" s="25">
        <f>IF(E4927="","",(E4927*4+3+cfgDeslocamento)/48)</f>
        <v>0</v>
      </c>
    </row>
    <row r="4928" spans="1:8">
      <c r="A4928" s="24"/>
      <c r="B4928" s="19"/>
      <c r="C4928" s="25">
        <f>IF(D4928="","",D4928/48)</f>
        <v>0</v>
      </c>
      <c r="D4928" s="26">
        <f>IF(A4928="","",ROUND((A4928-cfgDefasagem/1440)*48,0))</f>
        <v>0</v>
      </c>
      <c r="E4928" s="26">
        <f>IF(D4928="","",INT((D4928-cfgDeslocamento)/4))</f>
        <v>0</v>
      </c>
      <c r="F4928" s="26">
        <f>IF(D4928="","",MOD(D4928-cfgDeslocamento,4)+1)</f>
        <v>0</v>
      </c>
      <c r="G4928" s="26">
        <f>IF(A4928="","",IF(AND(ISNUMBER(B4928),B4928&lt;&gt;0),1,0))</f>
        <v>0</v>
      </c>
      <c r="H4928" s="25">
        <f>IF(E4928="","",(E4928*4+3+cfgDeslocamento)/48)</f>
        <v>0</v>
      </c>
    </row>
    <row r="4929" spans="1:8">
      <c r="A4929" s="24"/>
      <c r="B4929" s="19"/>
      <c r="C4929" s="25">
        <f>IF(D4929="","",D4929/48)</f>
        <v>0</v>
      </c>
      <c r="D4929" s="26">
        <f>IF(A4929="","",ROUND((A4929-cfgDefasagem/1440)*48,0))</f>
        <v>0</v>
      </c>
      <c r="E4929" s="26">
        <f>IF(D4929="","",INT((D4929-cfgDeslocamento)/4))</f>
        <v>0</v>
      </c>
      <c r="F4929" s="26">
        <f>IF(D4929="","",MOD(D4929-cfgDeslocamento,4)+1)</f>
        <v>0</v>
      </c>
      <c r="G4929" s="26">
        <f>IF(A4929="","",IF(AND(ISNUMBER(B4929),B4929&lt;&gt;0),1,0))</f>
        <v>0</v>
      </c>
      <c r="H4929" s="25">
        <f>IF(E4929="","",(E4929*4+3+cfgDeslocamento)/48)</f>
        <v>0</v>
      </c>
    </row>
    <row r="4930" spans="1:8">
      <c r="A4930" s="24"/>
      <c r="B4930" s="19"/>
      <c r="C4930" s="25">
        <f>IF(D4930="","",D4930/48)</f>
        <v>0</v>
      </c>
      <c r="D4930" s="26">
        <f>IF(A4930="","",ROUND((A4930-cfgDefasagem/1440)*48,0))</f>
        <v>0</v>
      </c>
      <c r="E4930" s="26">
        <f>IF(D4930="","",INT((D4930-cfgDeslocamento)/4))</f>
        <v>0</v>
      </c>
      <c r="F4930" s="26">
        <f>IF(D4930="","",MOD(D4930-cfgDeslocamento,4)+1)</f>
        <v>0</v>
      </c>
      <c r="G4930" s="26">
        <f>IF(A4930="","",IF(AND(ISNUMBER(B4930),B4930&lt;&gt;0),1,0))</f>
        <v>0</v>
      </c>
      <c r="H4930" s="25">
        <f>IF(E4930="","",(E4930*4+3+cfgDeslocamento)/48)</f>
        <v>0</v>
      </c>
    </row>
    <row r="4931" spans="1:8">
      <c r="A4931" s="24"/>
      <c r="B4931" s="19"/>
      <c r="C4931" s="25">
        <f>IF(D4931="","",D4931/48)</f>
        <v>0</v>
      </c>
      <c r="D4931" s="26">
        <f>IF(A4931="","",ROUND((A4931-cfgDefasagem/1440)*48,0))</f>
        <v>0</v>
      </c>
      <c r="E4931" s="26">
        <f>IF(D4931="","",INT((D4931-cfgDeslocamento)/4))</f>
        <v>0</v>
      </c>
      <c r="F4931" s="26">
        <f>IF(D4931="","",MOD(D4931-cfgDeslocamento,4)+1)</f>
        <v>0</v>
      </c>
      <c r="G4931" s="26">
        <f>IF(A4931="","",IF(AND(ISNUMBER(B4931),B4931&lt;&gt;0),1,0))</f>
        <v>0</v>
      </c>
      <c r="H4931" s="25">
        <f>IF(E4931="","",(E4931*4+3+cfgDeslocamento)/48)</f>
        <v>0</v>
      </c>
    </row>
    <row r="4932" spans="1:8">
      <c r="A4932" s="24"/>
      <c r="B4932" s="19"/>
      <c r="C4932" s="25">
        <f>IF(D4932="","",D4932/48)</f>
        <v>0</v>
      </c>
      <c r="D4932" s="26">
        <f>IF(A4932="","",ROUND((A4932-cfgDefasagem/1440)*48,0))</f>
        <v>0</v>
      </c>
      <c r="E4932" s="26">
        <f>IF(D4932="","",INT((D4932-cfgDeslocamento)/4))</f>
        <v>0</v>
      </c>
      <c r="F4932" s="26">
        <f>IF(D4932="","",MOD(D4932-cfgDeslocamento,4)+1)</f>
        <v>0</v>
      </c>
      <c r="G4932" s="26">
        <f>IF(A4932="","",IF(AND(ISNUMBER(B4932),B4932&lt;&gt;0),1,0))</f>
        <v>0</v>
      </c>
      <c r="H4932" s="25">
        <f>IF(E4932="","",(E4932*4+3+cfgDeslocamento)/48)</f>
        <v>0</v>
      </c>
    </row>
    <row r="4933" spans="1:8">
      <c r="A4933" s="24"/>
      <c r="B4933" s="19"/>
      <c r="C4933" s="25">
        <f>IF(D4933="","",D4933/48)</f>
        <v>0</v>
      </c>
      <c r="D4933" s="26">
        <f>IF(A4933="","",ROUND((A4933-cfgDefasagem/1440)*48,0))</f>
        <v>0</v>
      </c>
      <c r="E4933" s="26">
        <f>IF(D4933="","",INT((D4933-cfgDeslocamento)/4))</f>
        <v>0</v>
      </c>
      <c r="F4933" s="26">
        <f>IF(D4933="","",MOD(D4933-cfgDeslocamento,4)+1)</f>
        <v>0</v>
      </c>
      <c r="G4933" s="26">
        <f>IF(A4933="","",IF(AND(ISNUMBER(B4933),B4933&lt;&gt;0),1,0))</f>
        <v>0</v>
      </c>
      <c r="H4933" s="25">
        <f>IF(E4933="","",(E4933*4+3+cfgDeslocamento)/48)</f>
        <v>0</v>
      </c>
    </row>
    <row r="4934" spans="1:8">
      <c r="A4934" s="24"/>
      <c r="B4934" s="19"/>
      <c r="C4934" s="25">
        <f>IF(D4934="","",D4934/48)</f>
        <v>0</v>
      </c>
      <c r="D4934" s="26">
        <f>IF(A4934="","",ROUND((A4934-cfgDefasagem/1440)*48,0))</f>
        <v>0</v>
      </c>
      <c r="E4934" s="26">
        <f>IF(D4934="","",INT((D4934-cfgDeslocamento)/4))</f>
        <v>0</v>
      </c>
      <c r="F4934" s="26">
        <f>IF(D4934="","",MOD(D4934-cfgDeslocamento,4)+1)</f>
        <v>0</v>
      </c>
      <c r="G4934" s="26">
        <f>IF(A4934="","",IF(AND(ISNUMBER(B4934),B4934&lt;&gt;0),1,0))</f>
        <v>0</v>
      </c>
      <c r="H4934" s="25">
        <f>IF(E4934="","",(E4934*4+3+cfgDeslocamento)/48)</f>
        <v>0</v>
      </c>
    </row>
    <row r="4935" spans="1:8">
      <c r="A4935" s="24"/>
      <c r="B4935" s="19"/>
      <c r="C4935" s="25">
        <f>IF(D4935="","",D4935/48)</f>
        <v>0</v>
      </c>
      <c r="D4935" s="26">
        <f>IF(A4935="","",ROUND((A4935-cfgDefasagem/1440)*48,0))</f>
        <v>0</v>
      </c>
      <c r="E4935" s="26">
        <f>IF(D4935="","",INT((D4935-cfgDeslocamento)/4))</f>
        <v>0</v>
      </c>
      <c r="F4935" s="26">
        <f>IF(D4935="","",MOD(D4935-cfgDeslocamento,4)+1)</f>
        <v>0</v>
      </c>
      <c r="G4935" s="26">
        <f>IF(A4935="","",IF(AND(ISNUMBER(B4935),B4935&lt;&gt;0),1,0))</f>
        <v>0</v>
      </c>
      <c r="H4935" s="25">
        <f>IF(E4935="","",(E4935*4+3+cfgDeslocamento)/48)</f>
        <v>0</v>
      </c>
    </row>
    <row r="4936" spans="1:8">
      <c r="A4936" s="24"/>
      <c r="B4936" s="19"/>
      <c r="C4936" s="25">
        <f>IF(D4936="","",D4936/48)</f>
        <v>0</v>
      </c>
      <c r="D4936" s="26">
        <f>IF(A4936="","",ROUND((A4936-cfgDefasagem/1440)*48,0))</f>
        <v>0</v>
      </c>
      <c r="E4936" s="26">
        <f>IF(D4936="","",INT((D4936-cfgDeslocamento)/4))</f>
        <v>0</v>
      </c>
      <c r="F4936" s="26">
        <f>IF(D4936="","",MOD(D4936-cfgDeslocamento,4)+1)</f>
        <v>0</v>
      </c>
      <c r="G4936" s="26">
        <f>IF(A4936="","",IF(AND(ISNUMBER(B4936),B4936&lt;&gt;0),1,0))</f>
        <v>0</v>
      </c>
      <c r="H4936" s="25">
        <f>IF(E4936="","",(E4936*4+3+cfgDeslocamento)/48)</f>
        <v>0</v>
      </c>
    </row>
    <row r="4937" spans="1:8">
      <c r="A4937" s="24"/>
      <c r="B4937" s="19"/>
      <c r="C4937" s="25">
        <f>IF(D4937="","",D4937/48)</f>
        <v>0</v>
      </c>
      <c r="D4937" s="26">
        <f>IF(A4937="","",ROUND((A4937-cfgDefasagem/1440)*48,0))</f>
        <v>0</v>
      </c>
      <c r="E4937" s="26">
        <f>IF(D4937="","",INT((D4937-cfgDeslocamento)/4))</f>
        <v>0</v>
      </c>
      <c r="F4937" s="26">
        <f>IF(D4937="","",MOD(D4937-cfgDeslocamento,4)+1)</f>
        <v>0</v>
      </c>
      <c r="G4937" s="26">
        <f>IF(A4937="","",IF(AND(ISNUMBER(B4937),B4937&lt;&gt;0),1,0))</f>
        <v>0</v>
      </c>
      <c r="H4937" s="25">
        <f>IF(E4937="","",(E4937*4+3+cfgDeslocamento)/48)</f>
        <v>0</v>
      </c>
    </row>
    <row r="4938" spans="1:8">
      <c r="A4938" s="24"/>
      <c r="B4938" s="19"/>
      <c r="C4938" s="25">
        <f>IF(D4938="","",D4938/48)</f>
        <v>0</v>
      </c>
      <c r="D4938" s="26">
        <f>IF(A4938="","",ROUND((A4938-cfgDefasagem/1440)*48,0))</f>
        <v>0</v>
      </c>
      <c r="E4938" s="26">
        <f>IF(D4938="","",INT((D4938-cfgDeslocamento)/4))</f>
        <v>0</v>
      </c>
      <c r="F4938" s="26">
        <f>IF(D4938="","",MOD(D4938-cfgDeslocamento,4)+1)</f>
        <v>0</v>
      </c>
      <c r="G4938" s="26">
        <f>IF(A4938="","",IF(AND(ISNUMBER(B4938),B4938&lt;&gt;0),1,0))</f>
        <v>0</v>
      </c>
      <c r="H4938" s="25">
        <f>IF(E4938="","",(E4938*4+3+cfgDeslocamento)/48)</f>
        <v>0</v>
      </c>
    </row>
    <row r="4939" spans="1:8">
      <c r="A4939" s="24"/>
      <c r="B4939" s="19"/>
      <c r="C4939" s="25">
        <f>IF(D4939="","",D4939/48)</f>
        <v>0</v>
      </c>
      <c r="D4939" s="26">
        <f>IF(A4939="","",ROUND((A4939-cfgDefasagem/1440)*48,0))</f>
        <v>0</v>
      </c>
      <c r="E4939" s="26">
        <f>IF(D4939="","",INT((D4939-cfgDeslocamento)/4))</f>
        <v>0</v>
      </c>
      <c r="F4939" s="26">
        <f>IF(D4939="","",MOD(D4939-cfgDeslocamento,4)+1)</f>
        <v>0</v>
      </c>
      <c r="G4939" s="26">
        <f>IF(A4939="","",IF(AND(ISNUMBER(B4939),B4939&lt;&gt;0),1,0))</f>
        <v>0</v>
      </c>
      <c r="H4939" s="25">
        <f>IF(E4939="","",(E4939*4+3+cfgDeslocamento)/48)</f>
        <v>0</v>
      </c>
    </row>
    <row r="4940" spans="1:8">
      <c r="A4940" s="24"/>
      <c r="B4940" s="19"/>
      <c r="C4940" s="25">
        <f>IF(D4940="","",D4940/48)</f>
        <v>0</v>
      </c>
      <c r="D4940" s="26">
        <f>IF(A4940="","",ROUND((A4940-cfgDefasagem/1440)*48,0))</f>
        <v>0</v>
      </c>
      <c r="E4940" s="26">
        <f>IF(D4940="","",INT((D4940-cfgDeslocamento)/4))</f>
        <v>0</v>
      </c>
      <c r="F4940" s="26">
        <f>IF(D4940="","",MOD(D4940-cfgDeslocamento,4)+1)</f>
        <v>0</v>
      </c>
      <c r="G4940" s="26">
        <f>IF(A4940="","",IF(AND(ISNUMBER(B4940),B4940&lt;&gt;0),1,0))</f>
        <v>0</v>
      </c>
      <c r="H4940" s="25">
        <f>IF(E4940="","",(E4940*4+3+cfgDeslocamento)/48)</f>
        <v>0</v>
      </c>
    </row>
    <row r="4941" spans="1:8">
      <c r="A4941" s="24"/>
      <c r="B4941" s="19"/>
      <c r="C4941" s="25">
        <f>IF(D4941="","",D4941/48)</f>
        <v>0</v>
      </c>
      <c r="D4941" s="26">
        <f>IF(A4941="","",ROUND((A4941-cfgDefasagem/1440)*48,0))</f>
        <v>0</v>
      </c>
      <c r="E4941" s="26">
        <f>IF(D4941="","",INT((D4941-cfgDeslocamento)/4))</f>
        <v>0</v>
      </c>
      <c r="F4941" s="26">
        <f>IF(D4941="","",MOD(D4941-cfgDeslocamento,4)+1)</f>
        <v>0</v>
      </c>
      <c r="G4941" s="26">
        <f>IF(A4941="","",IF(AND(ISNUMBER(B4941),B4941&lt;&gt;0),1,0))</f>
        <v>0</v>
      </c>
      <c r="H4941" s="25">
        <f>IF(E4941="","",(E4941*4+3+cfgDeslocamento)/48)</f>
        <v>0</v>
      </c>
    </row>
    <row r="4942" spans="1:8">
      <c r="A4942" s="24"/>
      <c r="B4942" s="19"/>
      <c r="C4942" s="25">
        <f>IF(D4942="","",D4942/48)</f>
        <v>0</v>
      </c>
      <c r="D4942" s="26">
        <f>IF(A4942="","",ROUND((A4942-cfgDefasagem/1440)*48,0))</f>
        <v>0</v>
      </c>
      <c r="E4942" s="26">
        <f>IF(D4942="","",INT((D4942-cfgDeslocamento)/4))</f>
        <v>0</v>
      </c>
      <c r="F4942" s="26">
        <f>IF(D4942="","",MOD(D4942-cfgDeslocamento,4)+1)</f>
        <v>0</v>
      </c>
      <c r="G4942" s="26">
        <f>IF(A4942="","",IF(AND(ISNUMBER(B4942),B4942&lt;&gt;0),1,0))</f>
        <v>0</v>
      </c>
      <c r="H4942" s="25">
        <f>IF(E4942="","",(E4942*4+3+cfgDeslocamento)/48)</f>
        <v>0</v>
      </c>
    </row>
    <row r="4943" spans="1:8">
      <c r="A4943" s="24"/>
      <c r="B4943" s="19"/>
      <c r="C4943" s="25">
        <f>IF(D4943="","",D4943/48)</f>
        <v>0</v>
      </c>
      <c r="D4943" s="26">
        <f>IF(A4943="","",ROUND((A4943-cfgDefasagem/1440)*48,0))</f>
        <v>0</v>
      </c>
      <c r="E4943" s="26">
        <f>IF(D4943="","",INT((D4943-cfgDeslocamento)/4))</f>
        <v>0</v>
      </c>
      <c r="F4943" s="26">
        <f>IF(D4943="","",MOD(D4943-cfgDeslocamento,4)+1)</f>
        <v>0</v>
      </c>
      <c r="G4943" s="26">
        <f>IF(A4943="","",IF(AND(ISNUMBER(B4943),B4943&lt;&gt;0),1,0))</f>
        <v>0</v>
      </c>
      <c r="H4943" s="25">
        <f>IF(E4943="","",(E4943*4+3+cfgDeslocamento)/48)</f>
        <v>0</v>
      </c>
    </row>
    <row r="4944" spans="1:8">
      <c r="A4944" s="24"/>
      <c r="B4944" s="19"/>
      <c r="C4944" s="25">
        <f>IF(D4944="","",D4944/48)</f>
        <v>0</v>
      </c>
      <c r="D4944" s="26">
        <f>IF(A4944="","",ROUND((A4944-cfgDefasagem/1440)*48,0))</f>
        <v>0</v>
      </c>
      <c r="E4944" s="26">
        <f>IF(D4944="","",INT((D4944-cfgDeslocamento)/4))</f>
        <v>0</v>
      </c>
      <c r="F4944" s="26">
        <f>IF(D4944="","",MOD(D4944-cfgDeslocamento,4)+1)</f>
        <v>0</v>
      </c>
      <c r="G4944" s="26">
        <f>IF(A4944="","",IF(AND(ISNUMBER(B4944),B4944&lt;&gt;0),1,0))</f>
        <v>0</v>
      </c>
      <c r="H4944" s="25">
        <f>IF(E4944="","",(E4944*4+3+cfgDeslocamento)/48)</f>
        <v>0</v>
      </c>
    </row>
    <row r="4945" spans="1:8">
      <c r="A4945" s="24"/>
      <c r="B4945" s="19"/>
      <c r="C4945" s="25">
        <f>IF(D4945="","",D4945/48)</f>
        <v>0</v>
      </c>
      <c r="D4945" s="26">
        <f>IF(A4945="","",ROUND((A4945-cfgDefasagem/1440)*48,0))</f>
        <v>0</v>
      </c>
      <c r="E4945" s="26">
        <f>IF(D4945="","",INT((D4945-cfgDeslocamento)/4))</f>
        <v>0</v>
      </c>
      <c r="F4945" s="26">
        <f>IF(D4945="","",MOD(D4945-cfgDeslocamento,4)+1)</f>
        <v>0</v>
      </c>
      <c r="G4945" s="26">
        <f>IF(A4945="","",IF(AND(ISNUMBER(B4945),B4945&lt;&gt;0),1,0))</f>
        <v>0</v>
      </c>
      <c r="H4945" s="25">
        <f>IF(E4945="","",(E4945*4+3+cfgDeslocamento)/48)</f>
        <v>0</v>
      </c>
    </row>
    <row r="4946" spans="1:8">
      <c r="A4946" s="24"/>
      <c r="B4946" s="19"/>
      <c r="C4946" s="25">
        <f>IF(D4946="","",D4946/48)</f>
        <v>0</v>
      </c>
      <c r="D4946" s="26">
        <f>IF(A4946="","",ROUND((A4946-cfgDefasagem/1440)*48,0))</f>
        <v>0</v>
      </c>
      <c r="E4946" s="26">
        <f>IF(D4946="","",INT((D4946-cfgDeslocamento)/4))</f>
        <v>0</v>
      </c>
      <c r="F4946" s="26">
        <f>IF(D4946="","",MOD(D4946-cfgDeslocamento,4)+1)</f>
        <v>0</v>
      </c>
      <c r="G4946" s="26">
        <f>IF(A4946="","",IF(AND(ISNUMBER(B4946),B4946&lt;&gt;0),1,0))</f>
        <v>0</v>
      </c>
      <c r="H4946" s="25">
        <f>IF(E4946="","",(E4946*4+3+cfgDeslocamento)/48)</f>
        <v>0</v>
      </c>
    </row>
    <row r="4947" spans="1:8">
      <c r="A4947" s="24"/>
      <c r="B4947" s="19"/>
      <c r="C4947" s="25">
        <f>IF(D4947="","",D4947/48)</f>
        <v>0</v>
      </c>
      <c r="D4947" s="26">
        <f>IF(A4947="","",ROUND((A4947-cfgDefasagem/1440)*48,0))</f>
        <v>0</v>
      </c>
      <c r="E4947" s="26">
        <f>IF(D4947="","",INT((D4947-cfgDeslocamento)/4))</f>
        <v>0</v>
      </c>
      <c r="F4947" s="26">
        <f>IF(D4947="","",MOD(D4947-cfgDeslocamento,4)+1)</f>
        <v>0</v>
      </c>
      <c r="G4947" s="26">
        <f>IF(A4947="","",IF(AND(ISNUMBER(B4947),B4947&lt;&gt;0),1,0))</f>
        <v>0</v>
      </c>
      <c r="H4947" s="25">
        <f>IF(E4947="","",(E4947*4+3+cfgDeslocamento)/48)</f>
        <v>0</v>
      </c>
    </row>
    <row r="4948" spans="1:8">
      <c r="A4948" s="24"/>
      <c r="B4948" s="19"/>
      <c r="C4948" s="25">
        <f>IF(D4948="","",D4948/48)</f>
        <v>0</v>
      </c>
      <c r="D4948" s="26">
        <f>IF(A4948="","",ROUND((A4948-cfgDefasagem/1440)*48,0))</f>
        <v>0</v>
      </c>
      <c r="E4948" s="26">
        <f>IF(D4948="","",INT((D4948-cfgDeslocamento)/4))</f>
        <v>0</v>
      </c>
      <c r="F4948" s="26">
        <f>IF(D4948="","",MOD(D4948-cfgDeslocamento,4)+1)</f>
        <v>0</v>
      </c>
      <c r="G4948" s="26">
        <f>IF(A4948="","",IF(AND(ISNUMBER(B4948),B4948&lt;&gt;0),1,0))</f>
        <v>0</v>
      </c>
      <c r="H4948" s="25">
        <f>IF(E4948="","",(E4948*4+3+cfgDeslocamento)/48)</f>
        <v>0</v>
      </c>
    </row>
    <row r="4949" spans="1:8">
      <c r="A4949" s="24"/>
      <c r="B4949" s="19"/>
      <c r="C4949" s="25">
        <f>IF(D4949="","",D4949/48)</f>
        <v>0</v>
      </c>
      <c r="D4949" s="26">
        <f>IF(A4949="","",ROUND((A4949-cfgDefasagem/1440)*48,0))</f>
        <v>0</v>
      </c>
      <c r="E4949" s="26">
        <f>IF(D4949="","",INT((D4949-cfgDeslocamento)/4))</f>
        <v>0</v>
      </c>
      <c r="F4949" s="26">
        <f>IF(D4949="","",MOD(D4949-cfgDeslocamento,4)+1)</f>
        <v>0</v>
      </c>
      <c r="G4949" s="26">
        <f>IF(A4949="","",IF(AND(ISNUMBER(B4949),B4949&lt;&gt;0),1,0))</f>
        <v>0</v>
      </c>
      <c r="H4949" s="25">
        <f>IF(E4949="","",(E4949*4+3+cfgDeslocamento)/48)</f>
        <v>0</v>
      </c>
    </row>
    <row r="4950" spans="1:8">
      <c r="A4950" s="24"/>
      <c r="B4950" s="19"/>
      <c r="C4950" s="25">
        <f>IF(D4950="","",D4950/48)</f>
        <v>0</v>
      </c>
      <c r="D4950" s="26">
        <f>IF(A4950="","",ROUND((A4950-cfgDefasagem/1440)*48,0))</f>
        <v>0</v>
      </c>
      <c r="E4950" s="26">
        <f>IF(D4950="","",INT((D4950-cfgDeslocamento)/4))</f>
        <v>0</v>
      </c>
      <c r="F4950" s="26">
        <f>IF(D4950="","",MOD(D4950-cfgDeslocamento,4)+1)</f>
        <v>0</v>
      </c>
      <c r="G4950" s="26">
        <f>IF(A4950="","",IF(AND(ISNUMBER(B4950),B4950&lt;&gt;0),1,0))</f>
        <v>0</v>
      </c>
      <c r="H4950" s="25">
        <f>IF(E4950="","",(E4950*4+3+cfgDeslocamento)/48)</f>
        <v>0</v>
      </c>
    </row>
    <row r="4951" spans="1:8">
      <c r="A4951" s="24"/>
      <c r="B4951" s="19"/>
      <c r="C4951" s="25">
        <f>IF(D4951="","",D4951/48)</f>
        <v>0</v>
      </c>
      <c r="D4951" s="26">
        <f>IF(A4951="","",ROUND((A4951-cfgDefasagem/1440)*48,0))</f>
        <v>0</v>
      </c>
      <c r="E4951" s="26">
        <f>IF(D4951="","",INT((D4951-cfgDeslocamento)/4))</f>
        <v>0</v>
      </c>
      <c r="F4951" s="26">
        <f>IF(D4951="","",MOD(D4951-cfgDeslocamento,4)+1)</f>
        <v>0</v>
      </c>
      <c r="G4951" s="26">
        <f>IF(A4951="","",IF(AND(ISNUMBER(B4951),B4951&lt;&gt;0),1,0))</f>
        <v>0</v>
      </c>
      <c r="H4951" s="25">
        <f>IF(E4951="","",(E4951*4+3+cfgDeslocamento)/48)</f>
        <v>0</v>
      </c>
    </row>
    <row r="4952" spans="1:8">
      <c r="A4952" s="24"/>
      <c r="B4952" s="19"/>
      <c r="C4952" s="25">
        <f>IF(D4952="","",D4952/48)</f>
        <v>0</v>
      </c>
      <c r="D4952" s="26">
        <f>IF(A4952="","",ROUND((A4952-cfgDefasagem/1440)*48,0))</f>
        <v>0</v>
      </c>
      <c r="E4952" s="26">
        <f>IF(D4952="","",INT((D4952-cfgDeslocamento)/4))</f>
        <v>0</v>
      </c>
      <c r="F4952" s="26">
        <f>IF(D4952="","",MOD(D4952-cfgDeslocamento,4)+1)</f>
        <v>0</v>
      </c>
      <c r="G4952" s="26">
        <f>IF(A4952="","",IF(AND(ISNUMBER(B4952),B4952&lt;&gt;0),1,0))</f>
        <v>0</v>
      </c>
      <c r="H4952" s="25">
        <f>IF(E4952="","",(E4952*4+3+cfgDeslocamento)/48)</f>
        <v>0</v>
      </c>
    </row>
    <row r="4953" spans="1:8">
      <c r="A4953" s="24"/>
      <c r="B4953" s="19"/>
      <c r="C4953" s="25">
        <f>IF(D4953="","",D4953/48)</f>
        <v>0</v>
      </c>
      <c r="D4953" s="26">
        <f>IF(A4953="","",ROUND((A4953-cfgDefasagem/1440)*48,0))</f>
        <v>0</v>
      </c>
      <c r="E4953" s="26">
        <f>IF(D4953="","",INT((D4953-cfgDeslocamento)/4))</f>
        <v>0</v>
      </c>
      <c r="F4953" s="26">
        <f>IF(D4953="","",MOD(D4953-cfgDeslocamento,4)+1)</f>
        <v>0</v>
      </c>
      <c r="G4953" s="26">
        <f>IF(A4953="","",IF(AND(ISNUMBER(B4953),B4953&lt;&gt;0),1,0))</f>
        <v>0</v>
      </c>
      <c r="H4953" s="25">
        <f>IF(E4953="","",(E4953*4+3+cfgDeslocamento)/48)</f>
        <v>0</v>
      </c>
    </row>
    <row r="4954" spans="1:8">
      <c r="A4954" s="24"/>
      <c r="B4954" s="19"/>
      <c r="C4954" s="25">
        <f>IF(D4954="","",D4954/48)</f>
        <v>0</v>
      </c>
      <c r="D4954" s="26">
        <f>IF(A4954="","",ROUND((A4954-cfgDefasagem/1440)*48,0))</f>
        <v>0</v>
      </c>
      <c r="E4954" s="26">
        <f>IF(D4954="","",INT((D4954-cfgDeslocamento)/4))</f>
        <v>0</v>
      </c>
      <c r="F4954" s="26">
        <f>IF(D4954="","",MOD(D4954-cfgDeslocamento,4)+1)</f>
        <v>0</v>
      </c>
      <c r="G4954" s="26">
        <f>IF(A4954="","",IF(AND(ISNUMBER(B4954),B4954&lt;&gt;0),1,0))</f>
        <v>0</v>
      </c>
      <c r="H4954" s="25">
        <f>IF(E4954="","",(E4954*4+3+cfgDeslocamento)/48)</f>
        <v>0</v>
      </c>
    </row>
    <row r="4955" spans="1:8">
      <c r="A4955" s="24"/>
      <c r="B4955" s="19"/>
      <c r="C4955" s="25">
        <f>IF(D4955="","",D4955/48)</f>
        <v>0</v>
      </c>
      <c r="D4955" s="26">
        <f>IF(A4955="","",ROUND((A4955-cfgDefasagem/1440)*48,0))</f>
        <v>0</v>
      </c>
      <c r="E4955" s="26">
        <f>IF(D4955="","",INT((D4955-cfgDeslocamento)/4))</f>
        <v>0</v>
      </c>
      <c r="F4955" s="26">
        <f>IF(D4955="","",MOD(D4955-cfgDeslocamento,4)+1)</f>
        <v>0</v>
      </c>
      <c r="G4955" s="26">
        <f>IF(A4955="","",IF(AND(ISNUMBER(B4955),B4955&lt;&gt;0),1,0))</f>
        <v>0</v>
      </c>
      <c r="H4955" s="25">
        <f>IF(E4955="","",(E4955*4+3+cfgDeslocamento)/48)</f>
        <v>0</v>
      </c>
    </row>
    <row r="4956" spans="1:8">
      <c r="A4956" s="24"/>
      <c r="B4956" s="19"/>
      <c r="C4956" s="25">
        <f>IF(D4956="","",D4956/48)</f>
        <v>0</v>
      </c>
      <c r="D4956" s="26">
        <f>IF(A4956="","",ROUND((A4956-cfgDefasagem/1440)*48,0))</f>
        <v>0</v>
      </c>
      <c r="E4956" s="26">
        <f>IF(D4956="","",INT((D4956-cfgDeslocamento)/4))</f>
        <v>0</v>
      </c>
      <c r="F4956" s="26">
        <f>IF(D4956="","",MOD(D4956-cfgDeslocamento,4)+1)</f>
        <v>0</v>
      </c>
      <c r="G4956" s="26">
        <f>IF(A4956="","",IF(AND(ISNUMBER(B4956),B4956&lt;&gt;0),1,0))</f>
        <v>0</v>
      </c>
      <c r="H4956" s="25">
        <f>IF(E4956="","",(E4956*4+3+cfgDeslocamento)/48)</f>
        <v>0</v>
      </c>
    </row>
    <row r="4957" spans="1:8">
      <c r="A4957" s="24"/>
      <c r="B4957" s="19"/>
      <c r="C4957" s="25">
        <f>IF(D4957="","",D4957/48)</f>
        <v>0</v>
      </c>
      <c r="D4957" s="26">
        <f>IF(A4957="","",ROUND((A4957-cfgDefasagem/1440)*48,0))</f>
        <v>0</v>
      </c>
      <c r="E4957" s="26">
        <f>IF(D4957="","",INT((D4957-cfgDeslocamento)/4))</f>
        <v>0</v>
      </c>
      <c r="F4957" s="26">
        <f>IF(D4957="","",MOD(D4957-cfgDeslocamento,4)+1)</f>
        <v>0</v>
      </c>
      <c r="G4957" s="26">
        <f>IF(A4957="","",IF(AND(ISNUMBER(B4957),B4957&lt;&gt;0),1,0))</f>
        <v>0</v>
      </c>
      <c r="H4957" s="25">
        <f>IF(E4957="","",(E4957*4+3+cfgDeslocamento)/48)</f>
        <v>0</v>
      </c>
    </row>
    <row r="4958" spans="1:8">
      <c r="A4958" s="24"/>
      <c r="B4958" s="19"/>
      <c r="C4958" s="25">
        <f>IF(D4958="","",D4958/48)</f>
        <v>0</v>
      </c>
      <c r="D4958" s="26">
        <f>IF(A4958="","",ROUND((A4958-cfgDefasagem/1440)*48,0))</f>
        <v>0</v>
      </c>
      <c r="E4958" s="26">
        <f>IF(D4958="","",INT((D4958-cfgDeslocamento)/4))</f>
        <v>0</v>
      </c>
      <c r="F4958" s="26">
        <f>IF(D4958="","",MOD(D4958-cfgDeslocamento,4)+1)</f>
        <v>0</v>
      </c>
      <c r="G4958" s="26">
        <f>IF(A4958="","",IF(AND(ISNUMBER(B4958),B4958&lt;&gt;0),1,0))</f>
        <v>0</v>
      </c>
      <c r="H4958" s="25">
        <f>IF(E4958="","",(E4958*4+3+cfgDeslocamento)/48)</f>
        <v>0</v>
      </c>
    </row>
    <row r="4959" spans="1:8">
      <c r="A4959" s="24"/>
      <c r="B4959" s="19"/>
      <c r="C4959" s="25">
        <f>IF(D4959="","",D4959/48)</f>
        <v>0</v>
      </c>
      <c r="D4959" s="26">
        <f>IF(A4959="","",ROUND((A4959-cfgDefasagem/1440)*48,0))</f>
        <v>0</v>
      </c>
      <c r="E4959" s="26">
        <f>IF(D4959="","",INT((D4959-cfgDeslocamento)/4))</f>
        <v>0</v>
      </c>
      <c r="F4959" s="26">
        <f>IF(D4959="","",MOD(D4959-cfgDeslocamento,4)+1)</f>
        <v>0</v>
      </c>
      <c r="G4959" s="26">
        <f>IF(A4959="","",IF(AND(ISNUMBER(B4959),B4959&lt;&gt;0),1,0))</f>
        <v>0</v>
      </c>
      <c r="H4959" s="25">
        <f>IF(E4959="","",(E4959*4+3+cfgDeslocamento)/48)</f>
        <v>0</v>
      </c>
    </row>
    <row r="4960" spans="1:8">
      <c r="A4960" s="24"/>
      <c r="B4960" s="19"/>
      <c r="C4960" s="25">
        <f>IF(D4960="","",D4960/48)</f>
        <v>0</v>
      </c>
      <c r="D4960" s="26">
        <f>IF(A4960="","",ROUND((A4960-cfgDefasagem/1440)*48,0))</f>
        <v>0</v>
      </c>
      <c r="E4960" s="26">
        <f>IF(D4960="","",INT((D4960-cfgDeslocamento)/4))</f>
        <v>0</v>
      </c>
      <c r="F4960" s="26">
        <f>IF(D4960="","",MOD(D4960-cfgDeslocamento,4)+1)</f>
        <v>0</v>
      </c>
      <c r="G4960" s="26">
        <f>IF(A4960="","",IF(AND(ISNUMBER(B4960),B4960&lt;&gt;0),1,0))</f>
        <v>0</v>
      </c>
      <c r="H4960" s="25">
        <f>IF(E4960="","",(E4960*4+3+cfgDeslocamento)/48)</f>
        <v>0</v>
      </c>
    </row>
    <row r="4961" spans="1:8">
      <c r="A4961" s="24"/>
      <c r="B4961" s="19"/>
      <c r="C4961" s="25">
        <f>IF(D4961="","",D4961/48)</f>
        <v>0</v>
      </c>
      <c r="D4961" s="26">
        <f>IF(A4961="","",ROUND((A4961-cfgDefasagem/1440)*48,0))</f>
        <v>0</v>
      </c>
      <c r="E4961" s="26">
        <f>IF(D4961="","",INT((D4961-cfgDeslocamento)/4))</f>
        <v>0</v>
      </c>
      <c r="F4961" s="26">
        <f>IF(D4961="","",MOD(D4961-cfgDeslocamento,4)+1)</f>
        <v>0</v>
      </c>
      <c r="G4961" s="26">
        <f>IF(A4961="","",IF(AND(ISNUMBER(B4961),B4961&lt;&gt;0),1,0))</f>
        <v>0</v>
      </c>
      <c r="H4961" s="25">
        <f>IF(E4961="","",(E4961*4+3+cfgDeslocamento)/48)</f>
        <v>0</v>
      </c>
    </row>
    <row r="4962" spans="1:8">
      <c r="A4962" s="24"/>
      <c r="B4962" s="19"/>
      <c r="C4962" s="25">
        <f>IF(D4962="","",D4962/48)</f>
        <v>0</v>
      </c>
      <c r="D4962" s="26">
        <f>IF(A4962="","",ROUND((A4962-cfgDefasagem/1440)*48,0))</f>
        <v>0</v>
      </c>
      <c r="E4962" s="26">
        <f>IF(D4962="","",INT((D4962-cfgDeslocamento)/4))</f>
        <v>0</v>
      </c>
      <c r="F4962" s="26">
        <f>IF(D4962="","",MOD(D4962-cfgDeslocamento,4)+1)</f>
        <v>0</v>
      </c>
      <c r="G4962" s="26">
        <f>IF(A4962="","",IF(AND(ISNUMBER(B4962),B4962&lt;&gt;0),1,0))</f>
        <v>0</v>
      </c>
      <c r="H4962" s="25">
        <f>IF(E4962="","",(E4962*4+3+cfgDeslocamento)/48)</f>
        <v>0</v>
      </c>
    </row>
    <row r="4963" spans="1:8">
      <c r="A4963" s="24"/>
      <c r="B4963" s="19"/>
      <c r="C4963" s="25">
        <f>IF(D4963="","",D4963/48)</f>
        <v>0</v>
      </c>
      <c r="D4963" s="26">
        <f>IF(A4963="","",ROUND((A4963-cfgDefasagem/1440)*48,0))</f>
        <v>0</v>
      </c>
      <c r="E4963" s="26">
        <f>IF(D4963="","",INT((D4963-cfgDeslocamento)/4))</f>
        <v>0</v>
      </c>
      <c r="F4963" s="26">
        <f>IF(D4963="","",MOD(D4963-cfgDeslocamento,4)+1)</f>
        <v>0</v>
      </c>
      <c r="G4963" s="26">
        <f>IF(A4963="","",IF(AND(ISNUMBER(B4963),B4963&lt;&gt;0),1,0))</f>
        <v>0</v>
      </c>
      <c r="H4963" s="25">
        <f>IF(E4963="","",(E4963*4+3+cfgDeslocamento)/48)</f>
        <v>0</v>
      </c>
    </row>
    <row r="4964" spans="1:8">
      <c r="A4964" s="24"/>
      <c r="B4964" s="19"/>
      <c r="C4964" s="25">
        <f>IF(D4964="","",D4964/48)</f>
        <v>0</v>
      </c>
      <c r="D4964" s="26">
        <f>IF(A4964="","",ROUND((A4964-cfgDefasagem/1440)*48,0))</f>
        <v>0</v>
      </c>
      <c r="E4964" s="26">
        <f>IF(D4964="","",INT((D4964-cfgDeslocamento)/4))</f>
        <v>0</v>
      </c>
      <c r="F4964" s="26">
        <f>IF(D4964="","",MOD(D4964-cfgDeslocamento,4)+1)</f>
        <v>0</v>
      </c>
      <c r="G4964" s="26">
        <f>IF(A4964="","",IF(AND(ISNUMBER(B4964),B4964&lt;&gt;0),1,0))</f>
        <v>0</v>
      </c>
      <c r="H4964" s="25">
        <f>IF(E4964="","",(E4964*4+3+cfgDeslocamento)/48)</f>
        <v>0</v>
      </c>
    </row>
    <row r="4965" spans="1:8">
      <c r="A4965" s="24"/>
      <c r="B4965" s="19"/>
      <c r="C4965" s="25">
        <f>IF(D4965="","",D4965/48)</f>
        <v>0</v>
      </c>
      <c r="D4965" s="26">
        <f>IF(A4965="","",ROUND((A4965-cfgDefasagem/1440)*48,0))</f>
        <v>0</v>
      </c>
      <c r="E4965" s="26">
        <f>IF(D4965="","",INT((D4965-cfgDeslocamento)/4))</f>
        <v>0</v>
      </c>
      <c r="F4965" s="26">
        <f>IF(D4965="","",MOD(D4965-cfgDeslocamento,4)+1)</f>
        <v>0</v>
      </c>
      <c r="G4965" s="26">
        <f>IF(A4965="","",IF(AND(ISNUMBER(B4965),B4965&lt;&gt;0),1,0))</f>
        <v>0</v>
      </c>
      <c r="H4965" s="25">
        <f>IF(E4965="","",(E4965*4+3+cfgDeslocamento)/48)</f>
        <v>0</v>
      </c>
    </row>
    <row r="4966" spans="1:8">
      <c r="A4966" s="24"/>
      <c r="B4966" s="19"/>
      <c r="C4966" s="25">
        <f>IF(D4966="","",D4966/48)</f>
        <v>0</v>
      </c>
      <c r="D4966" s="26">
        <f>IF(A4966="","",ROUND((A4966-cfgDefasagem/1440)*48,0))</f>
        <v>0</v>
      </c>
      <c r="E4966" s="26">
        <f>IF(D4966="","",INT((D4966-cfgDeslocamento)/4))</f>
        <v>0</v>
      </c>
      <c r="F4966" s="26">
        <f>IF(D4966="","",MOD(D4966-cfgDeslocamento,4)+1)</f>
        <v>0</v>
      </c>
      <c r="G4966" s="26">
        <f>IF(A4966="","",IF(AND(ISNUMBER(B4966),B4966&lt;&gt;0),1,0))</f>
        <v>0</v>
      </c>
      <c r="H4966" s="25">
        <f>IF(E4966="","",(E4966*4+3+cfgDeslocamento)/48)</f>
        <v>0</v>
      </c>
    </row>
    <row r="4967" spans="1:8">
      <c r="A4967" s="24"/>
      <c r="B4967" s="19"/>
      <c r="C4967" s="25">
        <f>IF(D4967="","",D4967/48)</f>
        <v>0</v>
      </c>
      <c r="D4967" s="26">
        <f>IF(A4967="","",ROUND((A4967-cfgDefasagem/1440)*48,0))</f>
        <v>0</v>
      </c>
      <c r="E4967" s="26">
        <f>IF(D4967="","",INT((D4967-cfgDeslocamento)/4))</f>
        <v>0</v>
      </c>
      <c r="F4967" s="26">
        <f>IF(D4967="","",MOD(D4967-cfgDeslocamento,4)+1)</f>
        <v>0</v>
      </c>
      <c r="G4967" s="26">
        <f>IF(A4967="","",IF(AND(ISNUMBER(B4967),B4967&lt;&gt;0),1,0))</f>
        <v>0</v>
      </c>
      <c r="H4967" s="25">
        <f>IF(E4967="","",(E4967*4+3+cfgDeslocamento)/48)</f>
        <v>0</v>
      </c>
    </row>
    <row r="4968" spans="1:8">
      <c r="A4968" s="24"/>
      <c r="B4968" s="19"/>
      <c r="C4968" s="25">
        <f>IF(D4968="","",D4968/48)</f>
        <v>0</v>
      </c>
      <c r="D4968" s="26">
        <f>IF(A4968="","",ROUND((A4968-cfgDefasagem/1440)*48,0))</f>
        <v>0</v>
      </c>
      <c r="E4968" s="26">
        <f>IF(D4968="","",INT((D4968-cfgDeslocamento)/4))</f>
        <v>0</v>
      </c>
      <c r="F4968" s="26">
        <f>IF(D4968="","",MOD(D4968-cfgDeslocamento,4)+1)</f>
        <v>0</v>
      </c>
      <c r="G4968" s="26">
        <f>IF(A4968="","",IF(AND(ISNUMBER(B4968),B4968&lt;&gt;0),1,0))</f>
        <v>0</v>
      </c>
      <c r="H4968" s="25">
        <f>IF(E4968="","",(E4968*4+3+cfgDeslocamento)/48)</f>
        <v>0</v>
      </c>
    </row>
    <row r="4969" spans="1:8">
      <c r="A4969" s="24"/>
      <c r="B4969" s="19"/>
      <c r="C4969" s="25">
        <f>IF(D4969="","",D4969/48)</f>
        <v>0</v>
      </c>
      <c r="D4969" s="26">
        <f>IF(A4969="","",ROUND((A4969-cfgDefasagem/1440)*48,0))</f>
        <v>0</v>
      </c>
      <c r="E4969" s="26">
        <f>IF(D4969="","",INT((D4969-cfgDeslocamento)/4))</f>
        <v>0</v>
      </c>
      <c r="F4969" s="26">
        <f>IF(D4969="","",MOD(D4969-cfgDeslocamento,4)+1)</f>
        <v>0</v>
      </c>
      <c r="G4969" s="26">
        <f>IF(A4969="","",IF(AND(ISNUMBER(B4969),B4969&lt;&gt;0),1,0))</f>
        <v>0</v>
      </c>
      <c r="H4969" s="25">
        <f>IF(E4969="","",(E4969*4+3+cfgDeslocamento)/48)</f>
        <v>0</v>
      </c>
    </row>
    <row r="4970" spans="1:8">
      <c r="A4970" s="24"/>
      <c r="B4970" s="19"/>
      <c r="C4970" s="25">
        <f>IF(D4970="","",D4970/48)</f>
        <v>0</v>
      </c>
      <c r="D4970" s="26">
        <f>IF(A4970="","",ROUND((A4970-cfgDefasagem/1440)*48,0))</f>
        <v>0</v>
      </c>
      <c r="E4970" s="26">
        <f>IF(D4970="","",INT((D4970-cfgDeslocamento)/4))</f>
        <v>0</v>
      </c>
      <c r="F4970" s="26">
        <f>IF(D4970="","",MOD(D4970-cfgDeslocamento,4)+1)</f>
        <v>0</v>
      </c>
      <c r="G4970" s="26">
        <f>IF(A4970="","",IF(AND(ISNUMBER(B4970),B4970&lt;&gt;0),1,0))</f>
        <v>0</v>
      </c>
      <c r="H4970" s="25">
        <f>IF(E4970="","",(E4970*4+3+cfgDeslocamento)/48)</f>
        <v>0</v>
      </c>
    </row>
    <row r="4971" spans="1:8">
      <c r="A4971" s="24"/>
      <c r="B4971" s="19"/>
      <c r="C4971" s="25">
        <f>IF(D4971="","",D4971/48)</f>
        <v>0</v>
      </c>
      <c r="D4971" s="26">
        <f>IF(A4971="","",ROUND((A4971-cfgDefasagem/1440)*48,0))</f>
        <v>0</v>
      </c>
      <c r="E4971" s="26">
        <f>IF(D4971="","",INT((D4971-cfgDeslocamento)/4))</f>
        <v>0</v>
      </c>
      <c r="F4971" s="26">
        <f>IF(D4971="","",MOD(D4971-cfgDeslocamento,4)+1)</f>
        <v>0</v>
      </c>
      <c r="G4971" s="26">
        <f>IF(A4971="","",IF(AND(ISNUMBER(B4971),B4971&lt;&gt;0),1,0))</f>
        <v>0</v>
      </c>
      <c r="H4971" s="25">
        <f>IF(E4971="","",(E4971*4+3+cfgDeslocamento)/48)</f>
        <v>0</v>
      </c>
    </row>
    <row r="4972" spans="1:8">
      <c r="A4972" s="24"/>
      <c r="B4972" s="19"/>
      <c r="C4972" s="25">
        <f>IF(D4972="","",D4972/48)</f>
        <v>0</v>
      </c>
      <c r="D4972" s="26">
        <f>IF(A4972="","",ROUND((A4972-cfgDefasagem/1440)*48,0))</f>
        <v>0</v>
      </c>
      <c r="E4972" s="26">
        <f>IF(D4972="","",INT((D4972-cfgDeslocamento)/4))</f>
        <v>0</v>
      </c>
      <c r="F4972" s="26">
        <f>IF(D4972="","",MOD(D4972-cfgDeslocamento,4)+1)</f>
        <v>0</v>
      </c>
      <c r="G4972" s="26">
        <f>IF(A4972="","",IF(AND(ISNUMBER(B4972),B4972&lt;&gt;0),1,0))</f>
        <v>0</v>
      </c>
      <c r="H4972" s="25">
        <f>IF(E4972="","",(E4972*4+3+cfgDeslocamento)/48)</f>
        <v>0</v>
      </c>
    </row>
    <row r="4973" spans="1:8">
      <c r="A4973" s="24"/>
      <c r="B4973" s="19"/>
      <c r="C4973" s="25">
        <f>IF(D4973="","",D4973/48)</f>
        <v>0</v>
      </c>
      <c r="D4973" s="26">
        <f>IF(A4973="","",ROUND((A4973-cfgDefasagem/1440)*48,0))</f>
        <v>0</v>
      </c>
      <c r="E4973" s="26">
        <f>IF(D4973="","",INT((D4973-cfgDeslocamento)/4))</f>
        <v>0</v>
      </c>
      <c r="F4973" s="26">
        <f>IF(D4973="","",MOD(D4973-cfgDeslocamento,4)+1)</f>
        <v>0</v>
      </c>
      <c r="G4973" s="26">
        <f>IF(A4973="","",IF(AND(ISNUMBER(B4973),B4973&lt;&gt;0),1,0))</f>
        <v>0</v>
      </c>
      <c r="H4973" s="25">
        <f>IF(E4973="","",(E4973*4+3+cfgDeslocamento)/48)</f>
        <v>0</v>
      </c>
    </row>
    <row r="4974" spans="1:8">
      <c r="A4974" s="24"/>
      <c r="B4974" s="19"/>
      <c r="C4974" s="25">
        <f>IF(D4974="","",D4974/48)</f>
        <v>0</v>
      </c>
      <c r="D4974" s="26">
        <f>IF(A4974="","",ROUND((A4974-cfgDefasagem/1440)*48,0))</f>
        <v>0</v>
      </c>
      <c r="E4974" s="26">
        <f>IF(D4974="","",INT((D4974-cfgDeslocamento)/4))</f>
        <v>0</v>
      </c>
      <c r="F4974" s="26">
        <f>IF(D4974="","",MOD(D4974-cfgDeslocamento,4)+1)</f>
        <v>0</v>
      </c>
      <c r="G4974" s="26">
        <f>IF(A4974="","",IF(AND(ISNUMBER(B4974),B4974&lt;&gt;0),1,0))</f>
        <v>0</v>
      </c>
      <c r="H4974" s="25">
        <f>IF(E4974="","",(E4974*4+3+cfgDeslocamento)/48)</f>
        <v>0</v>
      </c>
    </row>
    <row r="4975" spans="1:8">
      <c r="A4975" s="24"/>
      <c r="B4975" s="19"/>
      <c r="C4975" s="25">
        <f>IF(D4975="","",D4975/48)</f>
        <v>0</v>
      </c>
      <c r="D4975" s="26">
        <f>IF(A4975="","",ROUND((A4975-cfgDefasagem/1440)*48,0))</f>
        <v>0</v>
      </c>
      <c r="E4975" s="26">
        <f>IF(D4975="","",INT((D4975-cfgDeslocamento)/4))</f>
        <v>0</v>
      </c>
      <c r="F4975" s="26">
        <f>IF(D4975="","",MOD(D4975-cfgDeslocamento,4)+1)</f>
        <v>0</v>
      </c>
      <c r="G4975" s="26">
        <f>IF(A4975="","",IF(AND(ISNUMBER(B4975),B4975&lt;&gt;0),1,0))</f>
        <v>0</v>
      </c>
      <c r="H4975" s="25">
        <f>IF(E4975="","",(E4975*4+3+cfgDeslocamento)/48)</f>
        <v>0</v>
      </c>
    </row>
    <row r="4976" spans="1:8">
      <c r="A4976" s="24"/>
      <c r="B4976" s="19"/>
      <c r="C4976" s="25">
        <f>IF(D4976="","",D4976/48)</f>
        <v>0</v>
      </c>
      <c r="D4976" s="26">
        <f>IF(A4976="","",ROUND((A4976-cfgDefasagem/1440)*48,0))</f>
        <v>0</v>
      </c>
      <c r="E4976" s="26">
        <f>IF(D4976="","",INT((D4976-cfgDeslocamento)/4))</f>
        <v>0</v>
      </c>
      <c r="F4976" s="26">
        <f>IF(D4976="","",MOD(D4976-cfgDeslocamento,4)+1)</f>
        <v>0</v>
      </c>
      <c r="G4976" s="26">
        <f>IF(A4976="","",IF(AND(ISNUMBER(B4976),B4976&lt;&gt;0),1,0))</f>
        <v>0</v>
      </c>
      <c r="H4976" s="25">
        <f>IF(E4976="","",(E4976*4+3+cfgDeslocamento)/48)</f>
        <v>0</v>
      </c>
    </row>
    <row r="4977" spans="1:8">
      <c r="A4977" s="24"/>
      <c r="B4977" s="19"/>
      <c r="C4977" s="25">
        <f>IF(D4977="","",D4977/48)</f>
        <v>0</v>
      </c>
      <c r="D4977" s="26">
        <f>IF(A4977="","",ROUND((A4977-cfgDefasagem/1440)*48,0))</f>
        <v>0</v>
      </c>
      <c r="E4977" s="26">
        <f>IF(D4977="","",INT((D4977-cfgDeslocamento)/4))</f>
        <v>0</v>
      </c>
      <c r="F4977" s="26">
        <f>IF(D4977="","",MOD(D4977-cfgDeslocamento,4)+1)</f>
        <v>0</v>
      </c>
      <c r="G4977" s="26">
        <f>IF(A4977="","",IF(AND(ISNUMBER(B4977),B4977&lt;&gt;0),1,0))</f>
        <v>0</v>
      </c>
      <c r="H4977" s="25">
        <f>IF(E4977="","",(E4977*4+3+cfgDeslocamento)/48)</f>
        <v>0</v>
      </c>
    </row>
    <row r="4978" spans="1:8">
      <c r="A4978" s="24"/>
      <c r="B4978" s="19"/>
      <c r="C4978" s="25">
        <f>IF(D4978="","",D4978/48)</f>
        <v>0</v>
      </c>
      <c r="D4978" s="26">
        <f>IF(A4978="","",ROUND((A4978-cfgDefasagem/1440)*48,0))</f>
        <v>0</v>
      </c>
      <c r="E4978" s="26">
        <f>IF(D4978="","",INT((D4978-cfgDeslocamento)/4))</f>
        <v>0</v>
      </c>
      <c r="F4978" s="26">
        <f>IF(D4978="","",MOD(D4978-cfgDeslocamento,4)+1)</f>
        <v>0</v>
      </c>
      <c r="G4978" s="26">
        <f>IF(A4978="","",IF(AND(ISNUMBER(B4978),B4978&lt;&gt;0),1,0))</f>
        <v>0</v>
      </c>
      <c r="H4978" s="25">
        <f>IF(E4978="","",(E4978*4+3+cfgDeslocamento)/48)</f>
        <v>0</v>
      </c>
    </row>
    <row r="4979" spans="1:8">
      <c r="A4979" s="24"/>
      <c r="B4979" s="19"/>
      <c r="C4979" s="25">
        <f>IF(D4979="","",D4979/48)</f>
        <v>0</v>
      </c>
      <c r="D4979" s="26">
        <f>IF(A4979="","",ROUND((A4979-cfgDefasagem/1440)*48,0))</f>
        <v>0</v>
      </c>
      <c r="E4979" s="26">
        <f>IF(D4979="","",INT((D4979-cfgDeslocamento)/4))</f>
        <v>0</v>
      </c>
      <c r="F4979" s="26">
        <f>IF(D4979="","",MOD(D4979-cfgDeslocamento,4)+1)</f>
        <v>0</v>
      </c>
      <c r="G4979" s="26">
        <f>IF(A4979="","",IF(AND(ISNUMBER(B4979),B4979&lt;&gt;0),1,0))</f>
        <v>0</v>
      </c>
      <c r="H4979" s="25">
        <f>IF(E4979="","",(E4979*4+3+cfgDeslocamento)/48)</f>
        <v>0</v>
      </c>
    </row>
    <row r="4980" spans="1:8">
      <c r="A4980" s="24"/>
      <c r="B4980" s="19"/>
      <c r="C4980" s="25">
        <f>IF(D4980="","",D4980/48)</f>
        <v>0</v>
      </c>
      <c r="D4980" s="26">
        <f>IF(A4980="","",ROUND((A4980-cfgDefasagem/1440)*48,0))</f>
        <v>0</v>
      </c>
      <c r="E4980" s="26">
        <f>IF(D4980="","",INT((D4980-cfgDeslocamento)/4))</f>
        <v>0</v>
      </c>
      <c r="F4980" s="26">
        <f>IF(D4980="","",MOD(D4980-cfgDeslocamento,4)+1)</f>
        <v>0</v>
      </c>
      <c r="G4980" s="26">
        <f>IF(A4980="","",IF(AND(ISNUMBER(B4980),B4980&lt;&gt;0),1,0))</f>
        <v>0</v>
      </c>
      <c r="H4980" s="25">
        <f>IF(E4980="","",(E4980*4+3+cfgDeslocamento)/48)</f>
        <v>0</v>
      </c>
    </row>
    <row r="4981" spans="1:8">
      <c r="A4981" s="24"/>
      <c r="B4981" s="19"/>
      <c r="C4981" s="25">
        <f>IF(D4981="","",D4981/48)</f>
        <v>0</v>
      </c>
      <c r="D4981" s="26">
        <f>IF(A4981="","",ROUND((A4981-cfgDefasagem/1440)*48,0))</f>
        <v>0</v>
      </c>
      <c r="E4981" s="26">
        <f>IF(D4981="","",INT((D4981-cfgDeslocamento)/4))</f>
        <v>0</v>
      </c>
      <c r="F4981" s="26">
        <f>IF(D4981="","",MOD(D4981-cfgDeslocamento,4)+1)</f>
        <v>0</v>
      </c>
      <c r="G4981" s="26">
        <f>IF(A4981="","",IF(AND(ISNUMBER(B4981),B4981&lt;&gt;0),1,0))</f>
        <v>0</v>
      </c>
      <c r="H4981" s="25">
        <f>IF(E4981="","",(E4981*4+3+cfgDeslocamento)/48)</f>
        <v>0</v>
      </c>
    </row>
    <row r="4982" spans="1:8">
      <c r="A4982" s="24"/>
      <c r="B4982" s="19"/>
      <c r="C4982" s="25">
        <f>IF(D4982="","",D4982/48)</f>
        <v>0</v>
      </c>
      <c r="D4982" s="26">
        <f>IF(A4982="","",ROUND((A4982-cfgDefasagem/1440)*48,0))</f>
        <v>0</v>
      </c>
      <c r="E4982" s="26">
        <f>IF(D4982="","",INT((D4982-cfgDeslocamento)/4))</f>
        <v>0</v>
      </c>
      <c r="F4982" s="26">
        <f>IF(D4982="","",MOD(D4982-cfgDeslocamento,4)+1)</f>
        <v>0</v>
      </c>
      <c r="G4982" s="26">
        <f>IF(A4982="","",IF(AND(ISNUMBER(B4982),B4982&lt;&gt;0),1,0))</f>
        <v>0</v>
      </c>
      <c r="H4982" s="25">
        <f>IF(E4982="","",(E4982*4+3+cfgDeslocamento)/48)</f>
        <v>0</v>
      </c>
    </row>
    <row r="4983" spans="1:8">
      <c r="A4983" s="24"/>
      <c r="B4983" s="19"/>
      <c r="C4983" s="25">
        <f>IF(D4983="","",D4983/48)</f>
        <v>0</v>
      </c>
      <c r="D4983" s="26">
        <f>IF(A4983="","",ROUND((A4983-cfgDefasagem/1440)*48,0))</f>
        <v>0</v>
      </c>
      <c r="E4983" s="26">
        <f>IF(D4983="","",INT((D4983-cfgDeslocamento)/4))</f>
        <v>0</v>
      </c>
      <c r="F4983" s="26">
        <f>IF(D4983="","",MOD(D4983-cfgDeslocamento,4)+1)</f>
        <v>0</v>
      </c>
      <c r="G4983" s="26">
        <f>IF(A4983="","",IF(AND(ISNUMBER(B4983),B4983&lt;&gt;0),1,0))</f>
        <v>0</v>
      </c>
      <c r="H4983" s="25">
        <f>IF(E4983="","",(E4983*4+3+cfgDeslocamento)/48)</f>
        <v>0</v>
      </c>
    </row>
    <row r="4984" spans="1:8">
      <c r="A4984" s="24"/>
      <c r="B4984" s="19"/>
      <c r="C4984" s="25">
        <f>IF(D4984="","",D4984/48)</f>
        <v>0</v>
      </c>
      <c r="D4984" s="26">
        <f>IF(A4984="","",ROUND((A4984-cfgDefasagem/1440)*48,0))</f>
        <v>0</v>
      </c>
      <c r="E4984" s="26">
        <f>IF(D4984="","",INT((D4984-cfgDeslocamento)/4))</f>
        <v>0</v>
      </c>
      <c r="F4984" s="26">
        <f>IF(D4984="","",MOD(D4984-cfgDeslocamento,4)+1)</f>
        <v>0</v>
      </c>
      <c r="G4984" s="26">
        <f>IF(A4984="","",IF(AND(ISNUMBER(B4984),B4984&lt;&gt;0),1,0))</f>
        <v>0</v>
      </c>
      <c r="H4984" s="25">
        <f>IF(E4984="","",(E4984*4+3+cfgDeslocamento)/48)</f>
        <v>0</v>
      </c>
    </row>
    <row r="4985" spans="1:8">
      <c r="A4985" s="24"/>
      <c r="B4985" s="19"/>
      <c r="C4985" s="25">
        <f>IF(D4985="","",D4985/48)</f>
        <v>0</v>
      </c>
      <c r="D4985" s="26">
        <f>IF(A4985="","",ROUND((A4985-cfgDefasagem/1440)*48,0))</f>
        <v>0</v>
      </c>
      <c r="E4985" s="26">
        <f>IF(D4985="","",INT((D4985-cfgDeslocamento)/4))</f>
        <v>0</v>
      </c>
      <c r="F4985" s="26">
        <f>IF(D4985="","",MOD(D4985-cfgDeslocamento,4)+1)</f>
        <v>0</v>
      </c>
      <c r="G4985" s="26">
        <f>IF(A4985="","",IF(AND(ISNUMBER(B4985),B4985&lt;&gt;0),1,0))</f>
        <v>0</v>
      </c>
      <c r="H4985" s="25">
        <f>IF(E4985="","",(E4985*4+3+cfgDeslocamento)/48)</f>
        <v>0</v>
      </c>
    </row>
    <row r="4986" spans="1:8">
      <c r="A4986" s="24"/>
      <c r="B4986" s="19"/>
      <c r="C4986" s="25">
        <f>IF(D4986="","",D4986/48)</f>
        <v>0</v>
      </c>
      <c r="D4986" s="26">
        <f>IF(A4986="","",ROUND((A4986-cfgDefasagem/1440)*48,0))</f>
        <v>0</v>
      </c>
      <c r="E4986" s="26">
        <f>IF(D4986="","",INT((D4986-cfgDeslocamento)/4))</f>
        <v>0</v>
      </c>
      <c r="F4986" s="26">
        <f>IF(D4986="","",MOD(D4986-cfgDeslocamento,4)+1)</f>
        <v>0</v>
      </c>
      <c r="G4986" s="26">
        <f>IF(A4986="","",IF(AND(ISNUMBER(B4986),B4986&lt;&gt;0),1,0))</f>
        <v>0</v>
      </c>
      <c r="H4986" s="25">
        <f>IF(E4986="","",(E4986*4+3+cfgDeslocamento)/48)</f>
        <v>0</v>
      </c>
    </row>
    <row r="4987" spans="1:8">
      <c r="A4987" s="24"/>
      <c r="B4987" s="19"/>
      <c r="C4987" s="25">
        <f>IF(D4987="","",D4987/48)</f>
        <v>0</v>
      </c>
      <c r="D4987" s="26">
        <f>IF(A4987="","",ROUND((A4987-cfgDefasagem/1440)*48,0))</f>
        <v>0</v>
      </c>
      <c r="E4987" s="26">
        <f>IF(D4987="","",INT((D4987-cfgDeslocamento)/4))</f>
        <v>0</v>
      </c>
      <c r="F4987" s="26">
        <f>IF(D4987="","",MOD(D4987-cfgDeslocamento,4)+1)</f>
        <v>0</v>
      </c>
      <c r="G4987" s="26">
        <f>IF(A4987="","",IF(AND(ISNUMBER(B4987),B4987&lt;&gt;0),1,0))</f>
        <v>0</v>
      </c>
      <c r="H4987" s="25">
        <f>IF(E4987="","",(E4987*4+3+cfgDeslocamento)/48)</f>
        <v>0</v>
      </c>
    </row>
    <row r="4988" spans="1:8">
      <c r="A4988" s="24"/>
      <c r="B4988" s="19"/>
      <c r="C4988" s="25">
        <f>IF(D4988="","",D4988/48)</f>
        <v>0</v>
      </c>
      <c r="D4988" s="26">
        <f>IF(A4988="","",ROUND((A4988-cfgDefasagem/1440)*48,0))</f>
        <v>0</v>
      </c>
      <c r="E4988" s="26">
        <f>IF(D4988="","",INT((D4988-cfgDeslocamento)/4))</f>
        <v>0</v>
      </c>
      <c r="F4988" s="26">
        <f>IF(D4988="","",MOD(D4988-cfgDeslocamento,4)+1)</f>
        <v>0</v>
      </c>
      <c r="G4988" s="26">
        <f>IF(A4988="","",IF(AND(ISNUMBER(B4988),B4988&lt;&gt;0),1,0))</f>
        <v>0</v>
      </c>
      <c r="H4988" s="25">
        <f>IF(E4988="","",(E4988*4+3+cfgDeslocamento)/48)</f>
        <v>0</v>
      </c>
    </row>
    <row r="4989" spans="1:8">
      <c r="A4989" s="24"/>
      <c r="B4989" s="19"/>
      <c r="C4989" s="25">
        <f>IF(D4989="","",D4989/48)</f>
        <v>0</v>
      </c>
      <c r="D4989" s="26">
        <f>IF(A4989="","",ROUND((A4989-cfgDefasagem/1440)*48,0))</f>
        <v>0</v>
      </c>
      <c r="E4989" s="26">
        <f>IF(D4989="","",INT((D4989-cfgDeslocamento)/4))</f>
        <v>0</v>
      </c>
      <c r="F4989" s="26">
        <f>IF(D4989="","",MOD(D4989-cfgDeslocamento,4)+1)</f>
        <v>0</v>
      </c>
      <c r="G4989" s="26">
        <f>IF(A4989="","",IF(AND(ISNUMBER(B4989),B4989&lt;&gt;0),1,0))</f>
        <v>0</v>
      </c>
      <c r="H4989" s="25">
        <f>IF(E4989="","",(E4989*4+3+cfgDeslocamento)/48)</f>
        <v>0</v>
      </c>
    </row>
    <row r="4990" spans="1:8">
      <c r="A4990" s="24"/>
      <c r="B4990" s="19"/>
      <c r="C4990" s="25">
        <f>IF(D4990="","",D4990/48)</f>
        <v>0</v>
      </c>
      <c r="D4990" s="26">
        <f>IF(A4990="","",ROUND((A4990-cfgDefasagem/1440)*48,0))</f>
        <v>0</v>
      </c>
      <c r="E4990" s="26">
        <f>IF(D4990="","",INT((D4990-cfgDeslocamento)/4))</f>
        <v>0</v>
      </c>
      <c r="F4990" s="26">
        <f>IF(D4990="","",MOD(D4990-cfgDeslocamento,4)+1)</f>
        <v>0</v>
      </c>
      <c r="G4990" s="26">
        <f>IF(A4990="","",IF(AND(ISNUMBER(B4990),B4990&lt;&gt;0),1,0))</f>
        <v>0</v>
      </c>
      <c r="H4990" s="25">
        <f>IF(E4990="","",(E4990*4+3+cfgDeslocamento)/48)</f>
        <v>0</v>
      </c>
    </row>
    <row r="4991" spans="1:8">
      <c r="A4991" s="24"/>
      <c r="B4991" s="19"/>
      <c r="C4991" s="25">
        <f>IF(D4991="","",D4991/48)</f>
        <v>0</v>
      </c>
      <c r="D4991" s="26">
        <f>IF(A4991="","",ROUND((A4991-cfgDefasagem/1440)*48,0))</f>
        <v>0</v>
      </c>
      <c r="E4991" s="26">
        <f>IF(D4991="","",INT((D4991-cfgDeslocamento)/4))</f>
        <v>0</v>
      </c>
      <c r="F4991" s="26">
        <f>IF(D4991="","",MOD(D4991-cfgDeslocamento,4)+1)</f>
        <v>0</v>
      </c>
      <c r="G4991" s="26">
        <f>IF(A4991="","",IF(AND(ISNUMBER(B4991),B4991&lt;&gt;0),1,0))</f>
        <v>0</v>
      </c>
      <c r="H4991" s="25">
        <f>IF(E4991="","",(E4991*4+3+cfgDeslocamento)/48)</f>
        <v>0</v>
      </c>
    </row>
    <row r="4992" spans="1:8">
      <c r="A4992" s="24"/>
      <c r="B4992" s="19"/>
      <c r="C4992" s="25">
        <f>IF(D4992="","",D4992/48)</f>
        <v>0</v>
      </c>
      <c r="D4992" s="26">
        <f>IF(A4992="","",ROUND((A4992-cfgDefasagem/1440)*48,0))</f>
        <v>0</v>
      </c>
      <c r="E4992" s="26">
        <f>IF(D4992="","",INT((D4992-cfgDeslocamento)/4))</f>
        <v>0</v>
      </c>
      <c r="F4992" s="26">
        <f>IF(D4992="","",MOD(D4992-cfgDeslocamento,4)+1)</f>
        <v>0</v>
      </c>
      <c r="G4992" s="26">
        <f>IF(A4992="","",IF(AND(ISNUMBER(B4992),B4992&lt;&gt;0),1,0))</f>
        <v>0</v>
      </c>
      <c r="H4992" s="25">
        <f>IF(E4992="","",(E4992*4+3+cfgDeslocamento)/48)</f>
        <v>0</v>
      </c>
    </row>
    <row r="4993" spans="1:8">
      <c r="A4993" s="24"/>
      <c r="B4993" s="19"/>
      <c r="C4993" s="25">
        <f>IF(D4993="","",D4993/48)</f>
        <v>0</v>
      </c>
      <c r="D4993" s="26">
        <f>IF(A4993="","",ROUND((A4993-cfgDefasagem/1440)*48,0))</f>
        <v>0</v>
      </c>
      <c r="E4993" s="26">
        <f>IF(D4993="","",INT((D4993-cfgDeslocamento)/4))</f>
        <v>0</v>
      </c>
      <c r="F4993" s="26">
        <f>IF(D4993="","",MOD(D4993-cfgDeslocamento,4)+1)</f>
        <v>0</v>
      </c>
      <c r="G4993" s="26">
        <f>IF(A4993="","",IF(AND(ISNUMBER(B4993),B4993&lt;&gt;0),1,0))</f>
        <v>0</v>
      </c>
      <c r="H4993" s="25">
        <f>IF(E4993="","",(E4993*4+3+cfgDeslocamento)/48)</f>
        <v>0</v>
      </c>
    </row>
    <row r="4994" spans="1:8">
      <c r="A4994" s="24"/>
      <c r="B4994" s="19"/>
      <c r="C4994" s="25">
        <f>IF(D4994="","",D4994/48)</f>
        <v>0</v>
      </c>
      <c r="D4994" s="26">
        <f>IF(A4994="","",ROUND((A4994-cfgDefasagem/1440)*48,0))</f>
        <v>0</v>
      </c>
      <c r="E4994" s="26">
        <f>IF(D4994="","",INT((D4994-cfgDeslocamento)/4))</f>
        <v>0</v>
      </c>
      <c r="F4994" s="26">
        <f>IF(D4994="","",MOD(D4994-cfgDeslocamento,4)+1)</f>
        <v>0</v>
      </c>
      <c r="G4994" s="26">
        <f>IF(A4994="","",IF(AND(ISNUMBER(B4994),B4994&lt;&gt;0),1,0))</f>
        <v>0</v>
      </c>
      <c r="H4994" s="25">
        <f>IF(E4994="","",(E4994*4+3+cfgDeslocamento)/48)</f>
        <v>0</v>
      </c>
    </row>
    <row r="4995" spans="1:8">
      <c r="A4995" s="24"/>
      <c r="B4995" s="19"/>
      <c r="C4995" s="25">
        <f>IF(D4995="","",D4995/48)</f>
        <v>0</v>
      </c>
      <c r="D4995" s="26">
        <f>IF(A4995="","",ROUND((A4995-cfgDefasagem/1440)*48,0))</f>
        <v>0</v>
      </c>
      <c r="E4995" s="26">
        <f>IF(D4995="","",INT((D4995-cfgDeslocamento)/4))</f>
        <v>0</v>
      </c>
      <c r="F4995" s="26">
        <f>IF(D4995="","",MOD(D4995-cfgDeslocamento,4)+1)</f>
        <v>0</v>
      </c>
      <c r="G4995" s="26">
        <f>IF(A4995="","",IF(AND(ISNUMBER(B4995),B4995&lt;&gt;0),1,0))</f>
        <v>0</v>
      </c>
      <c r="H4995" s="25">
        <f>IF(E4995="","",(E4995*4+3+cfgDeslocamento)/48)</f>
        <v>0</v>
      </c>
    </row>
    <row r="4996" spans="1:8">
      <c r="A4996" s="24"/>
      <c r="B4996" s="19"/>
      <c r="C4996" s="25">
        <f>IF(D4996="","",D4996/48)</f>
        <v>0</v>
      </c>
      <c r="D4996" s="26">
        <f>IF(A4996="","",ROUND((A4996-cfgDefasagem/1440)*48,0))</f>
        <v>0</v>
      </c>
      <c r="E4996" s="26">
        <f>IF(D4996="","",INT((D4996-cfgDeslocamento)/4))</f>
        <v>0</v>
      </c>
      <c r="F4996" s="26">
        <f>IF(D4996="","",MOD(D4996-cfgDeslocamento,4)+1)</f>
        <v>0</v>
      </c>
      <c r="G4996" s="26">
        <f>IF(A4996="","",IF(AND(ISNUMBER(B4996),B4996&lt;&gt;0),1,0))</f>
        <v>0</v>
      </c>
      <c r="H4996" s="25">
        <f>IF(E4996="","",(E4996*4+3+cfgDeslocamento)/48)</f>
        <v>0</v>
      </c>
    </row>
    <row r="4997" spans="1:8">
      <c r="A4997" s="24"/>
      <c r="B4997" s="19"/>
      <c r="C4997" s="25">
        <f>IF(D4997="","",D4997/48)</f>
        <v>0</v>
      </c>
      <c r="D4997" s="26">
        <f>IF(A4997="","",ROUND((A4997-cfgDefasagem/1440)*48,0))</f>
        <v>0</v>
      </c>
      <c r="E4997" s="26">
        <f>IF(D4997="","",INT((D4997-cfgDeslocamento)/4))</f>
        <v>0</v>
      </c>
      <c r="F4997" s="26">
        <f>IF(D4997="","",MOD(D4997-cfgDeslocamento,4)+1)</f>
        <v>0</v>
      </c>
      <c r="G4997" s="26">
        <f>IF(A4997="","",IF(AND(ISNUMBER(B4997),B4997&lt;&gt;0),1,0))</f>
        <v>0</v>
      </c>
      <c r="H4997" s="25">
        <f>IF(E4997="","",(E4997*4+3+cfgDeslocamento)/48)</f>
        <v>0</v>
      </c>
    </row>
    <row r="4998" spans="1:8">
      <c r="A4998" s="24"/>
      <c r="B4998" s="19"/>
      <c r="C4998" s="25">
        <f>IF(D4998="","",D4998/48)</f>
        <v>0</v>
      </c>
      <c r="D4998" s="26">
        <f>IF(A4998="","",ROUND((A4998-cfgDefasagem/1440)*48,0))</f>
        <v>0</v>
      </c>
      <c r="E4998" s="26">
        <f>IF(D4998="","",INT((D4998-cfgDeslocamento)/4))</f>
        <v>0</v>
      </c>
      <c r="F4998" s="26">
        <f>IF(D4998="","",MOD(D4998-cfgDeslocamento,4)+1)</f>
        <v>0</v>
      </c>
      <c r="G4998" s="26">
        <f>IF(A4998="","",IF(AND(ISNUMBER(B4998),B4998&lt;&gt;0),1,0))</f>
        <v>0</v>
      </c>
      <c r="H4998" s="25">
        <f>IF(E4998="","",(E4998*4+3+cfgDeslocamento)/48)</f>
        <v>0</v>
      </c>
    </row>
    <row r="4999" spans="1:8">
      <c r="A4999" s="24"/>
      <c r="B4999" s="19"/>
      <c r="C4999" s="25">
        <f>IF(D4999="","",D4999/48)</f>
        <v>0</v>
      </c>
      <c r="D4999" s="26">
        <f>IF(A4999="","",ROUND((A4999-cfgDefasagem/1440)*48,0))</f>
        <v>0</v>
      </c>
      <c r="E4999" s="26">
        <f>IF(D4999="","",INT((D4999-cfgDeslocamento)/4))</f>
        <v>0</v>
      </c>
      <c r="F4999" s="26">
        <f>IF(D4999="","",MOD(D4999-cfgDeslocamento,4)+1)</f>
        <v>0</v>
      </c>
      <c r="G4999" s="26">
        <f>IF(A4999="","",IF(AND(ISNUMBER(B4999),B4999&lt;&gt;0),1,0))</f>
        <v>0</v>
      </c>
      <c r="H4999" s="25">
        <f>IF(E4999="","",(E4999*4+3+cfgDeslocamento)/48)</f>
        <v>0</v>
      </c>
    </row>
    <row r="5000" spans="1:8">
      <c r="A5000" s="24"/>
      <c r="B5000" s="19"/>
      <c r="C5000" s="25">
        <f>IF(D5000="","",D5000/48)</f>
        <v>0</v>
      </c>
      <c r="D5000" s="26">
        <f>IF(A5000="","",ROUND((A5000-cfgDefasagem/1440)*48,0))</f>
        <v>0</v>
      </c>
      <c r="E5000" s="26">
        <f>IF(D5000="","",INT((D5000-cfgDeslocamento)/4))</f>
        <v>0</v>
      </c>
      <c r="F5000" s="26">
        <f>IF(D5000="","",MOD(D5000-cfgDeslocamento,4)+1)</f>
        <v>0</v>
      </c>
      <c r="G5000" s="26">
        <f>IF(A5000="","",IF(AND(ISNUMBER(B5000),B5000&lt;&gt;0),1,0))</f>
        <v>0</v>
      </c>
      <c r="H5000" s="25">
        <f>IF(E5000="","",(E5000*4+3+cfgDeslocamento)/48)</f>
        <v>0</v>
      </c>
    </row>
    <row r="5001" spans="1:8">
      <c r="A5001" s="24"/>
      <c r="B5001" s="19"/>
      <c r="C5001" s="25">
        <f>IF(D5001="","",D5001/48)</f>
        <v>0</v>
      </c>
      <c r="D5001" s="26">
        <f>IF(A5001="","",ROUND((A5001-cfgDefasagem/1440)*48,0))</f>
        <v>0</v>
      </c>
      <c r="E5001" s="26">
        <f>IF(D5001="","",INT((D5001-cfgDeslocamento)/4))</f>
        <v>0</v>
      </c>
      <c r="F5001" s="26">
        <f>IF(D5001="","",MOD(D5001-cfgDeslocamento,4)+1)</f>
        <v>0</v>
      </c>
      <c r="G5001" s="26">
        <f>IF(A5001="","",IF(AND(ISNUMBER(B5001),B5001&lt;&gt;0),1,0))</f>
        <v>0</v>
      </c>
      <c r="H5001" s="25">
        <f>IF(E5001="","",(E5001*4+3+cfgDeslocamento)/48)</f>
        <v>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MES"/>
  <dimension ref="A1:E15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21.7109375" customWidth="1"/>
    <col min="2" max="2" width="16.7109375" customWidth="1"/>
    <col min="3" max="3" width="11.7109375" customWidth="1"/>
    <col min="4" max="4" width="10.7109375" customWidth="1"/>
    <col min="5" max="5" width="12.7109375" customWidth="1"/>
  </cols>
  <sheetData>
    <row r="1" spans="1:5" ht="42" customHeight="1">
      <c r="A1" s="16" t="s">
        <v>64</v>
      </c>
      <c r="B1" s="16" t="s">
        <v>65</v>
      </c>
      <c r="C1" s="16" t="s">
        <v>59</v>
      </c>
      <c r="D1" s="16" t="s">
        <v>60</v>
      </c>
      <c r="E1" s="16" t="s">
        <v>66</v>
      </c>
    </row>
    <row r="2" spans="1:5">
      <c r="A2" s="24"/>
      <c r="B2" s="19"/>
      <c r="C2" s="26">
        <f>IF(A2="","",ROUND((A2+cfgAjusteMES/1440)*48,0))</f>
        <v>0</v>
      </c>
      <c r="D2" s="26">
        <f>IF(C2="","",INT((C2-cfgDeslocamento)/4))</f>
        <v>0</v>
      </c>
      <c r="E2" s="26">
        <f>IF(C2="","",MOD(C2-cfgDeslocamento,4)+1)</f>
        <v>0</v>
      </c>
    </row>
    <row r="3" spans="1:5">
      <c r="A3" s="24"/>
      <c r="B3" s="19"/>
      <c r="C3" s="26">
        <f>IF(A3="","",ROUND((A3+cfgAjusteMES/1440)*48,0))</f>
        <v>0</v>
      </c>
      <c r="D3" s="26">
        <f>IF(C3="","",INT((C3-cfgDeslocamento)/4))</f>
        <v>0</v>
      </c>
      <c r="E3" s="26">
        <f>IF(C3="","",MOD(C3-cfgDeslocamento,4)+1)</f>
        <v>0</v>
      </c>
    </row>
    <row r="4" spans="1:5">
      <c r="A4" s="24"/>
      <c r="B4" s="19"/>
      <c r="C4" s="26">
        <f>IF(A4="","",ROUND((A4+cfgAjusteMES/1440)*48,0))</f>
        <v>0</v>
      </c>
      <c r="D4" s="26">
        <f>IF(C4="","",INT((C4-cfgDeslocamento)/4))</f>
        <v>0</v>
      </c>
      <c r="E4" s="26">
        <f>IF(C4="","",MOD(C4-cfgDeslocamento,4)+1)</f>
        <v>0</v>
      </c>
    </row>
    <row r="5" spans="1:5">
      <c r="A5" s="24"/>
      <c r="B5" s="19"/>
      <c r="C5" s="26">
        <f>IF(A5="","",ROUND((A5+cfgAjusteMES/1440)*48,0))</f>
        <v>0</v>
      </c>
      <c r="D5" s="26">
        <f>IF(C5="","",INT((C5-cfgDeslocamento)/4))</f>
        <v>0</v>
      </c>
      <c r="E5" s="26">
        <f>IF(C5="","",MOD(C5-cfgDeslocamento,4)+1)</f>
        <v>0</v>
      </c>
    </row>
    <row r="6" spans="1:5">
      <c r="A6" s="24"/>
      <c r="B6" s="19"/>
      <c r="C6" s="26">
        <f>IF(A6="","",ROUND((A6+cfgAjusteMES/1440)*48,0))</f>
        <v>0</v>
      </c>
      <c r="D6" s="26">
        <f>IF(C6="","",INT((C6-cfgDeslocamento)/4))</f>
        <v>0</v>
      </c>
      <c r="E6" s="26">
        <f>IF(C6="","",MOD(C6-cfgDeslocamento,4)+1)</f>
        <v>0</v>
      </c>
    </row>
    <row r="7" spans="1:5">
      <c r="A7" s="24"/>
      <c r="B7" s="19"/>
      <c r="C7" s="26">
        <f>IF(A7="","",ROUND((A7+cfgAjusteMES/1440)*48,0))</f>
        <v>0</v>
      </c>
      <c r="D7" s="26">
        <f>IF(C7="","",INT((C7-cfgDeslocamento)/4))</f>
        <v>0</v>
      </c>
      <c r="E7" s="26">
        <f>IF(C7="","",MOD(C7-cfgDeslocamento,4)+1)</f>
        <v>0</v>
      </c>
    </row>
    <row r="8" spans="1:5">
      <c r="A8" s="24"/>
      <c r="B8" s="19"/>
      <c r="C8" s="26">
        <f>IF(A8="","",ROUND((A8+cfgAjusteMES/1440)*48,0))</f>
        <v>0</v>
      </c>
      <c r="D8" s="26">
        <f>IF(C8="","",INT((C8-cfgDeslocamento)/4))</f>
        <v>0</v>
      </c>
      <c r="E8" s="26">
        <f>IF(C8="","",MOD(C8-cfgDeslocamento,4)+1)</f>
        <v>0</v>
      </c>
    </row>
    <row r="9" spans="1:5">
      <c r="A9" s="24"/>
      <c r="B9" s="19"/>
      <c r="C9" s="26">
        <f>IF(A9="","",ROUND((A9+cfgAjusteMES/1440)*48,0))</f>
        <v>0</v>
      </c>
      <c r="D9" s="26">
        <f>IF(C9="","",INT((C9-cfgDeslocamento)/4))</f>
        <v>0</v>
      </c>
      <c r="E9" s="26">
        <f>IF(C9="","",MOD(C9-cfgDeslocamento,4)+1)</f>
        <v>0</v>
      </c>
    </row>
    <row r="10" spans="1:5">
      <c r="A10" s="24"/>
      <c r="B10" s="19"/>
      <c r="C10" s="26">
        <f>IF(A10="","",ROUND((A10+cfgAjusteMES/1440)*48,0))</f>
        <v>0</v>
      </c>
      <c r="D10" s="26">
        <f>IF(C10="","",INT((C10-cfgDeslocamento)/4))</f>
        <v>0</v>
      </c>
      <c r="E10" s="26">
        <f>IF(C10="","",MOD(C10-cfgDeslocamento,4)+1)</f>
        <v>0</v>
      </c>
    </row>
    <row r="11" spans="1:5">
      <c r="A11" s="24"/>
      <c r="B11" s="19"/>
      <c r="C11" s="26">
        <f>IF(A11="","",ROUND((A11+cfgAjusteMES/1440)*48,0))</f>
        <v>0</v>
      </c>
      <c r="D11" s="26">
        <f>IF(C11="","",INT((C11-cfgDeslocamento)/4))</f>
        <v>0</v>
      </c>
      <c r="E11" s="26">
        <f>IF(C11="","",MOD(C11-cfgDeslocamento,4)+1)</f>
        <v>0</v>
      </c>
    </row>
    <row r="12" spans="1:5">
      <c r="A12" s="24"/>
      <c r="B12" s="19"/>
      <c r="C12" s="26">
        <f>IF(A12="","",ROUND((A12+cfgAjusteMES/1440)*48,0))</f>
        <v>0</v>
      </c>
      <c r="D12" s="26">
        <f>IF(C12="","",INT((C12-cfgDeslocamento)/4))</f>
        <v>0</v>
      </c>
      <c r="E12" s="26">
        <f>IF(C12="","",MOD(C12-cfgDeslocamento,4)+1)</f>
        <v>0</v>
      </c>
    </row>
    <row r="13" spans="1:5">
      <c r="A13" s="24"/>
      <c r="B13" s="19"/>
      <c r="C13" s="26">
        <f>IF(A13="","",ROUND((A13+cfgAjusteMES/1440)*48,0))</f>
        <v>0</v>
      </c>
      <c r="D13" s="26">
        <f>IF(C13="","",INT((C13-cfgDeslocamento)/4))</f>
        <v>0</v>
      </c>
      <c r="E13" s="26">
        <f>IF(C13="","",MOD(C13-cfgDeslocamento,4)+1)</f>
        <v>0</v>
      </c>
    </row>
    <row r="14" spans="1:5">
      <c r="A14" s="24"/>
      <c r="B14" s="19"/>
      <c r="C14" s="26">
        <f>IF(A14="","",ROUND((A14+cfgAjusteMES/1440)*48,0))</f>
        <v>0</v>
      </c>
      <c r="D14" s="26">
        <f>IF(C14="","",INT((C14-cfgDeslocamento)/4))</f>
        <v>0</v>
      </c>
      <c r="E14" s="26">
        <f>IF(C14="","",MOD(C14-cfgDeslocamento,4)+1)</f>
        <v>0</v>
      </c>
    </row>
    <row r="15" spans="1:5">
      <c r="A15" s="24"/>
      <c r="B15" s="19"/>
      <c r="C15" s="26">
        <f>IF(A15="","",ROUND((A15+cfgAjusteMES/1440)*48,0))</f>
        <v>0</v>
      </c>
      <c r="D15" s="26">
        <f>IF(C15="","",INT((C15-cfgDeslocamento)/4))</f>
        <v>0</v>
      </c>
      <c r="E15" s="26">
        <f>IF(C15="","",MOD(C15-cfgDeslocamento,4)+1)</f>
        <v>0</v>
      </c>
    </row>
    <row r="16" spans="1:5">
      <c r="A16" s="24"/>
      <c r="B16" s="19"/>
      <c r="C16" s="26">
        <f>IF(A16="","",ROUND((A16+cfgAjusteMES/1440)*48,0))</f>
        <v>0</v>
      </c>
      <c r="D16" s="26">
        <f>IF(C16="","",INT((C16-cfgDeslocamento)/4))</f>
        <v>0</v>
      </c>
      <c r="E16" s="26">
        <f>IF(C16="","",MOD(C16-cfgDeslocamento,4)+1)</f>
        <v>0</v>
      </c>
    </row>
    <row r="17" spans="1:5">
      <c r="A17" s="24"/>
      <c r="B17" s="19"/>
      <c r="C17" s="26">
        <f>IF(A17="","",ROUND((A17+cfgAjusteMES/1440)*48,0))</f>
        <v>0</v>
      </c>
      <c r="D17" s="26">
        <f>IF(C17="","",INT((C17-cfgDeslocamento)/4))</f>
        <v>0</v>
      </c>
      <c r="E17" s="26">
        <f>IF(C17="","",MOD(C17-cfgDeslocamento,4)+1)</f>
        <v>0</v>
      </c>
    </row>
    <row r="18" spans="1:5">
      <c r="A18" s="24"/>
      <c r="B18" s="19"/>
      <c r="C18" s="26">
        <f>IF(A18="","",ROUND((A18+cfgAjusteMES/1440)*48,0))</f>
        <v>0</v>
      </c>
      <c r="D18" s="26">
        <f>IF(C18="","",INT((C18-cfgDeslocamento)/4))</f>
        <v>0</v>
      </c>
      <c r="E18" s="26">
        <f>IF(C18="","",MOD(C18-cfgDeslocamento,4)+1)</f>
        <v>0</v>
      </c>
    </row>
    <row r="19" spans="1:5">
      <c r="A19" s="24"/>
      <c r="B19" s="19"/>
      <c r="C19" s="26">
        <f>IF(A19="","",ROUND((A19+cfgAjusteMES/1440)*48,0))</f>
        <v>0</v>
      </c>
      <c r="D19" s="26">
        <f>IF(C19="","",INT((C19-cfgDeslocamento)/4))</f>
        <v>0</v>
      </c>
      <c r="E19" s="26">
        <f>IF(C19="","",MOD(C19-cfgDeslocamento,4)+1)</f>
        <v>0</v>
      </c>
    </row>
    <row r="20" spans="1:5">
      <c r="A20" s="24"/>
      <c r="B20" s="19"/>
      <c r="C20" s="26">
        <f>IF(A20="","",ROUND((A20+cfgAjusteMES/1440)*48,0))</f>
        <v>0</v>
      </c>
      <c r="D20" s="26">
        <f>IF(C20="","",INT((C20-cfgDeslocamento)/4))</f>
        <v>0</v>
      </c>
      <c r="E20" s="26">
        <f>IF(C20="","",MOD(C20-cfgDeslocamento,4)+1)</f>
        <v>0</v>
      </c>
    </row>
    <row r="21" spans="1:5">
      <c r="A21" s="24"/>
      <c r="B21" s="19"/>
      <c r="C21" s="26">
        <f>IF(A21="","",ROUND((A21+cfgAjusteMES/1440)*48,0))</f>
        <v>0</v>
      </c>
      <c r="D21" s="26">
        <f>IF(C21="","",INT((C21-cfgDeslocamento)/4))</f>
        <v>0</v>
      </c>
      <c r="E21" s="26">
        <f>IF(C21="","",MOD(C21-cfgDeslocamento,4)+1)</f>
        <v>0</v>
      </c>
    </row>
    <row r="22" spans="1:5">
      <c r="A22" s="24"/>
      <c r="B22" s="19"/>
      <c r="C22" s="26">
        <f>IF(A22="","",ROUND((A22+cfgAjusteMES/1440)*48,0))</f>
        <v>0</v>
      </c>
      <c r="D22" s="26">
        <f>IF(C22="","",INT((C22-cfgDeslocamento)/4))</f>
        <v>0</v>
      </c>
      <c r="E22" s="26">
        <f>IF(C22="","",MOD(C22-cfgDeslocamento,4)+1)</f>
        <v>0</v>
      </c>
    </row>
    <row r="23" spans="1:5">
      <c r="A23" s="24"/>
      <c r="B23" s="19"/>
      <c r="C23" s="26">
        <f>IF(A23="","",ROUND((A23+cfgAjusteMES/1440)*48,0))</f>
        <v>0</v>
      </c>
      <c r="D23" s="26">
        <f>IF(C23="","",INT((C23-cfgDeslocamento)/4))</f>
        <v>0</v>
      </c>
      <c r="E23" s="26">
        <f>IF(C23="","",MOD(C23-cfgDeslocamento,4)+1)</f>
        <v>0</v>
      </c>
    </row>
    <row r="24" spans="1:5">
      <c r="A24" s="24"/>
      <c r="B24" s="19"/>
      <c r="C24" s="26">
        <f>IF(A24="","",ROUND((A24+cfgAjusteMES/1440)*48,0))</f>
        <v>0</v>
      </c>
      <c r="D24" s="26">
        <f>IF(C24="","",INT((C24-cfgDeslocamento)/4))</f>
        <v>0</v>
      </c>
      <c r="E24" s="26">
        <f>IF(C24="","",MOD(C24-cfgDeslocamento,4)+1)</f>
        <v>0</v>
      </c>
    </row>
    <row r="25" spans="1:5">
      <c r="A25" s="24"/>
      <c r="B25" s="19"/>
      <c r="C25" s="26">
        <f>IF(A25="","",ROUND((A25+cfgAjusteMES/1440)*48,0))</f>
        <v>0</v>
      </c>
      <c r="D25" s="26">
        <f>IF(C25="","",INT((C25-cfgDeslocamento)/4))</f>
        <v>0</v>
      </c>
      <c r="E25" s="26">
        <f>IF(C25="","",MOD(C25-cfgDeslocamento,4)+1)</f>
        <v>0</v>
      </c>
    </row>
    <row r="26" spans="1:5">
      <c r="A26" s="24"/>
      <c r="B26" s="19"/>
      <c r="C26" s="26">
        <f>IF(A26="","",ROUND((A26+cfgAjusteMES/1440)*48,0))</f>
        <v>0</v>
      </c>
      <c r="D26" s="26">
        <f>IF(C26="","",INT((C26-cfgDeslocamento)/4))</f>
        <v>0</v>
      </c>
      <c r="E26" s="26">
        <f>IF(C26="","",MOD(C26-cfgDeslocamento,4)+1)</f>
        <v>0</v>
      </c>
    </row>
    <row r="27" spans="1:5">
      <c r="A27" s="24"/>
      <c r="B27" s="19"/>
      <c r="C27" s="26">
        <f>IF(A27="","",ROUND((A27+cfgAjusteMES/1440)*48,0))</f>
        <v>0</v>
      </c>
      <c r="D27" s="26">
        <f>IF(C27="","",INT((C27-cfgDeslocamento)/4))</f>
        <v>0</v>
      </c>
      <c r="E27" s="26">
        <f>IF(C27="","",MOD(C27-cfgDeslocamento,4)+1)</f>
        <v>0</v>
      </c>
    </row>
    <row r="28" spans="1:5">
      <c r="A28" s="24"/>
      <c r="B28" s="19"/>
      <c r="C28" s="26">
        <f>IF(A28="","",ROUND((A28+cfgAjusteMES/1440)*48,0))</f>
        <v>0</v>
      </c>
      <c r="D28" s="26">
        <f>IF(C28="","",INT((C28-cfgDeslocamento)/4))</f>
        <v>0</v>
      </c>
      <c r="E28" s="26">
        <f>IF(C28="","",MOD(C28-cfgDeslocamento,4)+1)</f>
        <v>0</v>
      </c>
    </row>
    <row r="29" spans="1:5">
      <c r="A29" s="24"/>
      <c r="B29" s="19"/>
      <c r="C29" s="26">
        <f>IF(A29="","",ROUND((A29+cfgAjusteMES/1440)*48,0))</f>
        <v>0</v>
      </c>
      <c r="D29" s="26">
        <f>IF(C29="","",INT((C29-cfgDeslocamento)/4))</f>
        <v>0</v>
      </c>
      <c r="E29" s="26">
        <f>IF(C29="","",MOD(C29-cfgDeslocamento,4)+1)</f>
        <v>0</v>
      </c>
    </row>
    <row r="30" spans="1:5">
      <c r="A30" s="24"/>
      <c r="B30" s="19"/>
      <c r="C30" s="26">
        <f>IF(A30="","",ROUND((A30+cfgAjusteMES/1440)*48,0))</f>
        <v>0</v>
      </c>
      <c r="D30" s="26">
        <f>IF(C30="","",INT((C30-cfgDeslocamento)/4))</f>
        <v>0</v>
      </c>
      <c r="E30" s="26">
        <f>IF(C30="","",MOD(C30-cfgDeslocamento,4)+1)</f>
        <v>0</v>
      </c>
    </row>
    <row r="31" spans="1:5">
      <c r="A31" s="24"/>
      <c r="B31" s="19"/>
      <c r="C31" s="26">
        <f>IF(A31="","",ROUND((A31+cfgAjusteMES/1440)*48,0))</f>
        <v>0</v>
      </c>
      <c r="D31" s="26">
        <f>IF(C31="","",INT((C31-cfgDeslocamento)/4))</f>
        <v>0</v>
      </c>
      <c r="E31" s="26">
        <f>IF(C31="","",MOD(C31-cfgDeslocamento,4)+1)</f>
        <v>0</v>
      </c>
    </row>
    <row r="32" spans="1:5">
      <c r="A32" s="24"/>
      <c r="B32" s="19"/>
      <c r="C32" s="26">
        <f>IF(A32="","",ROUND((A32+cfgAjusteMES/1440)*48,0))</f>
        <v>0</v>
      </c>
      <c r="D32" s="26">
        <f>IF(C32="","",INT((C32-cfgDeslocamento)/4))</f>
        <v>0</v>
      </c>
      <c r="E32" s="26">
        <f>IF(C32="","",MOD(C32-cfgDeslocamento,4)+1)</f>
        <v>0</v>
      </c>
    </row>
    <row r="33" spans="1:5">
      <c r="A33" s="24"/>
      <c r="B33" s="19"/>
      <c r="C33" s="26">
        <f>IF(A33="","",ROUND((A33+cfgAjusteMES/1440)*48,0))</f>
        <v>0</v>
      </c>
      <c r="D33" s="26">
        <f>IF(C33="","",INT((C33-cfgDeslocamento)/4))</f>
        <v>0</v>
      </c>
      <c r="E33" s="26">
        <f>IF(C33="","",MOD(C33-cfgDeslocamento,4)+1)</f>
        <v>0</v>
      </c>
    </row>
    <row r="34" spans="1:5">
      <c r="A34" s="24"/>
      <c r="B34" s="19"/>
      <c r="C34" s="26">
        <f>IF(A34="","",ROUND((A34+cfgAjusteMES/1440)*48,0))</f>
        <v>0</v>
      </c>
      <c r="D34" s="26">
        <f>IF(C34="","",INT((C34-cfgDeslocamento)/4))</f>
        <v>0</v>
      </c>
      <c r="E34" s="26">
        <f>IF(C34="","",MOD(C34-cfgDeslocamento,4)+1)</f>
        <v>0</v>
      </c>
    </row>
    <row r="35" spans="1:5">
      <c r="A35" s="24"/>
      <c r="B35" s="19"/>
      <c r="C35" s="26">
        <f>IF(A35="","",ROUND((A35+cfgAjusteMES/1440)*48,0))</f>
        <v>0</v>
      </c>
      <c r="D35" s="26">
        <f>IF(C35="","",INT((C35-cfgDeslocamento)/4))</f>
        <v>0</v>
      </c>
      <c r="E35" s="26">
        <f>IF(C35="","",MOD(C35-cfgDeslocamento,4)+1)</f>
        <v>0</v>
      </c>
    </row>
    <row r="36" spans="1:5">
      <c r="A36" s="24"/>
      <c r="B36" s="19"/>
      <c r="C36" s="26">
        <f>IF(A36="","",ROUND((A36+cfgAjusteMES/1440)*48,0))</f>
        <v>0</v>
      </c>
      <c r="D36" s="26">
        <f>IF(C36="","",INT((C36-cfgDeslocamento)/4))</f>
        <v>0</v>
      </c>
      <c r="E36" s="26">
        <f>IF(C36="","",MOD(C36-cfgDeslocamento,4)+1)</f>
        <v>0</v>
      </c>
    </row>
    <row r="37" spans="1:5">
      <c r="A37" s="24"/>
      <c r="B37" s="19"/>
      <c r="C37" s="26">
        <f>IF(A37="","",ROUND((A37+cfgAjusteMES/1440)*48,0))</f>
        <v>0</v>
      </c>
      <c r="D37" s="26">
        <f>IF(C37="","",INT((C37-cfgDeslocamento)/4))</f>
        <v>0</v>
      </c>
      <c r="E37" s="26">
        <f>IF(C37="","",MOD(C37-cfgDeslocamento,4)+1)</f>
        <v>0</v>
      </c>
    </row>
    <row r="38" spans="1:5">
      <c r="A38" s="24"/>
      <c r="B38" s="19"/>
      <c r="C38" s="26">
        <f>IF(A38="","",ROUND((A38+cfgAjusteMES/1440)*48,0))</f>
        <v>0</v>
      </c>
      <c r="D38" s="26">
        <f>IF(C38="","",INT((C38-cfgDeslocamento)/4))</f>
        <v>0</v>
      </c>
      <c r="E38" s="26">
        <f>IF(C38="","",MOD(C38-cfgDeslocamento,4)+1)</f>
        <v>0</v>
      </c>
    </row>
    <row r="39" spans="1:5">
      <c r="A39" s="24"/>
      <c r="B39" s="19"/>
      <c r="C39" s="26">
        <f>IF(A39="","",ROUND((A39+cfgAjusteMES/1440)*48,0))</f>
        <v>0</v>
      </c>
      <c r="D39" s="26">
        <f>IF(C39="","",INT((C39-cfgDeslocamento)/4))</f>
        <v>0</v>
      </c>
      <c r="E39" s="26">
        <f>IF(C39="","",MOD(C39-cfgDeslocamento,4)+1)</f>
        <v>0</v>
      </c>
    </row>
    <row r="40" spans="1:5">
      <c r="A40" s="24"/>
      <c r="B40" s="19"/>
      <c r="C40" s="26">
        <f>IF(A40="","",ROUND((A40+cfgAjusteMES/1440)*48,0))</f>
        <v>0</v>
      </c>
      <c r="D40" s="26">
        <f>IF(C40="","",INT((C40-cfgDeslocamento)/4))</f>
        <v>0</v>
      </c>
      <c r="E40" s="26">
        <f>IF(C40="","",MOD(C40-cfgDeslocamento,4)+1)</f>
        <v>0</v>
      </c>
    </row>
    <row r="41" spans="1:5">
      <c r="A41" s="24"/>
      <c r="B41" s="19"/>
      <c r="C41" s="26">
        <f>IF(A41="","",ROUND((A41+cfgAjusteMES/1440)*48,0))</f>
        <v>0</v>
      </c>
      <c r="D41" s="26">
        <f>IF(C41="","",INT((C41-cfgDeslocamento)/4))</f>
        <v>0</v>
      </c>
      <c r="E41" s="26">
        <f>IF(C41="","",MOD(C41-cfgDeslocamento,4)+1)</f>
        <v>0</v>
      </c>
    </row>
    <row r="42" spans="1:5">
      <c r="A42" s="24"/>
      <c r="B42" s="19"/>
      <c r="C42" s="26">
        <f>IF(A42="","",ROUND((A42+cfgAjusteMES/1440)*48,0))</f>
        <v>0</v>
      </c>
      <c r="D42" s="26">
        <f>IF(C42="","",INT((C42-cfgDeslocamento)/4))</f>
        <v>0</v>
      </c>
      <c r="E42" s="26">
        <f>IF(C42="","",MOD(C42-cfgDeslocamento,4)+1)</f>
        <v>0</v>
      </c>
    </row>
    <row r="43" spans="1:5">
      <c r="A43" s="24"/>
      <c r="B43" s="19"/>
      <c r="C43" s="26">
        <f>IF(A43="","",ROUND((A43+cfgAjusteMES/1440)*48,0))</f>
        <v>0</v>
      </c>
      <c r="D43" s="26">
        <f>IF(C43="","",INT((C43-cfgDeslocamento)/4))</f>
        <v>0</v>
      </c>
      <c r="E43" s="26">
        <f>IF(C43="","",MOD(C43-cfgDeslocamento,4)+1)</f>
        <v>0</v>
      </c>
    </row>
    <row r="44" spans="1:5">
      <c r="A44" s="24"/>
      <c r="B44" s="19"/>
      <c r="C44" s="26">
        <f>IF(A44="","",ROUND((A44+cfgAjusteMES/1440)*48,0))</f>
        <v>0</v>
      </c>
      <c r="D44" s="26">
        <f>IF(C44="","",INT((C44-cfgDeslocamento)/4))</f>
        <v>0</v>
      </c>
      <c r="E44" s="26">
        <f>IF(C44="","",MOD(C44-cfgDeslocamento,4)+1)</f>
        <v>0</v>
      </c>
    </row>
    <row r="45" spans="1:5">
      <c r="A45" s="24"/>
      <c r="B45" s="19"/>
      <c r="C45" s="26">
        <f>IF(A45="","",ROUND((A45+cfgAjusteMES/1440)*48,0))</f>
        <v>0</v>
      </c>
      <c r="D45" s="26">
        <f>IF(C45="","",INT((C45-cfgDeslocamento)/4))</f>
        <v>0</v>
      </c>
      <c r="E45" s="26">
        <f>IF(C45="","",MOD(C45-cfgDeslocamento,4)+1)</f>
        <v>0</v>
      </c>
    </row>
    <row r="46" spans="1:5">
      <c r="A46" s="24"/>
      <c r="B46" s="19"/>
      <c r="C46" s="26">
        <f>IF(A46="","",ROUND((A46+cfgAjusteMES/1440)*48,0))</f>
        <v>0</v>
      </c>
      <c r="D46" s="26">
        <f>IF(C46="","",INT((C46-cfgDeslocamento)/4))</f>
        <v>0</v>
      </c>
      <c r="E46" s="26">
        <f>IF(C46="","",MOD(C46-cfgDeslocamento,4)+1)</f>
        <v>0</v>
      </c>
    </row>
    <row r="47" spans="1:5">
      <c r="A47" s="24"/>
      <c r="B47" s="19"/>
      <c r="C47" s="26">
        <f>IF(A47="","",ROUND((A47+cfgAjusteMES/1440)*48,0))</f>
        <v>0</v>
      </c>
      <c r="D47" s="26">
        <f>IF(C47="","",INT((C47-cfgDeslocamento)/4))</f>
        <v>0</v>
      </c>
      <c r="E47" s="26">
        <f>IF(C47="","",MOD(C47-cfgDeslocamento,4)+1)</f>
        <v>0</v>
      </c>
    </row>
    <row r="48" spans="1:5">
      <c r="A48" s="24"/>
      <c r="B48" s="19"/>
      <c r="C48" s="26">
        <f>IF(A48="","",ROUND((A48+cfgAjusteMES/1440)*48,0))</f>
        <v>0</v>
      </c>
      <c r="D48" s="26">
        <f>IF(C48="","",INT((C48-cfgDeslocamento)/4))</f>
        <v>0</v>
      </c>
      <c r="E48" s="26">
        <f>IF(C48="","",MOD(C48-cfgDeslocamento,4)+1)</f>
        <v>0</v>
      </c>
    </row>
    <row r="49" spans="1:5">
      <c r="A49" s="24"/>
      <c r="B49" s="19"/>
      <c r="C49" s="26">
        <f>IF(A49="","",ROUND((A49+cfgAjusteMES/1440)*48,0))</f>
        <v>0</v>
      </c>
      <c r="D49" s="26">
        <f>IF(C49="","",INT((C49-cfgDeslocamento)/4))</f>
        <v>0</v>
      </c>
      <c r="E49" s="26">
        <f>IF(C49="","",MOD(C49-cfgDeslocamento,4)+1)</f>
        <v>0</v>
      </c>
    </row>
    <row r="50" spans="1:5">
      <c r="A50" s="24"/>
      <c r="B50" s="19"/>
      <c r="C50" s="26">
        <f>IF(A50="","",ROUND((A50+cfgAjusteMES/1440)*48,0))</f>
        <v>0</v>
      </c>
      <c r="D50" s="26">
        <f>IF(C50="","",INT((C50-cfgDeslocamento)/4))</f>
        <v>0</v>
      </c>
      <c r="E50" s="26">
        <f>IF(C50="","",MOD(C50-cfgDeslocamento,4)+1)</f>
        <v>0</v>
      </c>
    </row>
    <row r="51" spans="1:5">
      <c r="A51" s="24"/>
      <c r="B51" s="19"/>
      <c r="C51" s="26">
        <f>IF(A51="","",ROUND((A51+cfgAjusteMES/1440)*48,0))</f>
        <v>0</v>
      </c>
      <c r="D51" s="26">
        <f>IF(C51="","",INT((C51-cfgDeslocamento)/4))</f>
        <v>0</v>
      </c>
      <c r="E51" s="26">
        <f>IF(C51="","",MOD(C51-cfgDeslocamento,4)+1)</f>
        <v>0</v>
      </c>
    </row>
    <row r="52" spans="1:5">
      <c r="A52" s="24"/>
      <c r="B52" s="19"/>
      <c r="C52" s="26">
        <f>IF(A52="","",ROUND((A52+cfgAjusteMES/1440)*48,0))</f>
        <v>0</v>
      </c>
      <c r="D52" s="26">
        <f>IF(C52="","",INT((C52-cfgDeslocamento)/4))</f>
        <v>0</v>
      </c>
      <c r="E52" s="26">
        <f>IF(C52="","",MOD(C52-cfgDeslocamento,4)+1)</f>
        <v>0</v>
      </c>
    </row>
    <row r="53" spans="1:5">
      <c r="A53" s="24"/>
      <c r="B53" s="19"/>
      <c r="C53" s="26">
        <f>IF(A53="","",ROUND((A53+cfgAjusteMES/1440)*48,0))</f>
        <v>0</v>
      </c>
      <c r="D53" s="26">
        <f>IF(C53="","",INT((C53-cfgDeslocamento)/4))</f>
        <v>0</v>
      </c>
      <c r="E53" s="26">
        <f>IF(C53="","",MOD(C53-cfgDeslocamento,4)+1)</f>
        <v>0</v>
      </c>
    </row>
    <row r="54" spans="1:5">
      <c r="A54" s="24"/>
      <c r="B54" s="19"/>
      <c r="C54" s="26">
        <f>IF(A54="","",ROUND((A54+cfgAjusteMES/1440)*48,0))</f>
        <v>0</v>
      </c>
      <c r="D54" s="26">
        <f>IF(C54="","",INT((C54-cfgDeslocamento)/4))</f>
        <v>0</v>
      </c>
      <c r="E54" s="26">
        <f>IF(C54="","",MOD(C54-cfgDeslocamento,4)+1)</f>
        <v>0</v>
      </c>
    </row>
    <row r="55" spans="1:5">
      <c r="A55" s="24"/>
      <c r="B55" s="19"/>
      <c r="C55" s="26">
        <f>IF(A55="","",ROUND((A55+cfgAjusteMES/1440)*48,0))</f>
        <v>0</v>
      </c>
      <c r="D55" s="26">
        <f>IF(C55="","",INT((C55-cfgDeslocamento)/4))</f>
        <v>0</v>
      </c>
      <c r="E55" s="26">
        <f>IF(C55="","",MOD(C55-cfgDeslocamento,4)+1)</f>
        <v>0</v>
      </c>
    </row>
    <row r="56" spans="1:5">
      <c r="A56" s="24"/>
      <c r="B56" s="19"/>
      <c r="C56" s="26">
        <f>IF(A56="","",ROUND((A56+cfgAjusteMES/1440)*48,0))</f>
        <v>0</v>
      </c>
      <c r="D56" s="26">
        <f>IF(C56="","",INT((C56-cfgDeslocamento)/4))</f>
        <v>0</v>
      </c>
      <c r="E56" s="26">
        <f>IF(C56="","",MOD(C56-cfgDeslocamento,4)+1)</f>
        <v>0</v>
      </c>
    </row>
    <row r="57" spans="1:5">
      <c r="A57" s="24"/>
      <c r="B57" s="19"/>
      <c r="C57" s="26">
        <f>IF(A57="","",ROUND((A57+cfgAjusteMES/1440)*48,0))</f>
        <v>0</v>
      </c>
      <c r="D57" s="26">
        <f>IF(C57="","",INT((C57-cfgDeslocamento)/4))</f>
        <v>0</v>
      </c>
      <c r="E57" s="26">
        <f>IF(C57="","",MOD(C57-cfgDeslocamento,4)+1)</f>
        <v>0</v>
      </c>
    </row>
    <row r="58" spans="1:5">
      <c r="A58" s="24"/>
      <c r="B58" s="19"/>
      <c r="C58" s="26">
        <f>IF(A58="","",ROUND((A58+cfgAjusteMES/1440)*48,0))</f>
        <v>0</v>
      </c>
      <c r="D58" s="26">
        <f>IF(C58="","",INT((C58-cfgDeslocamento)/4))</f>
        <v>0</v>
      </c>
      <c r="E58" s="26">
        <f>IF(C58="","",MOD(C58-cfgDeslocamento,4)+1)</f>
        <v>0</v>
      </c>
    </row>
    <row r="59" spans="1:5">
      <c r="A59" s="24"/>
      <c r="B59" s="19"/>
      <c r="C59" s="26">
        <f>IF(A59="","",ROUND((A59+cfgAjusteMES/1440)*48,0))</f>
        <v>0</v>
      </c>
      <c r="D59" s="26">
        <f>IF(C59="","",INT((C59-cfgDeslocamento)/4))</f>
        <v>0</v>
      </c>
      <c r="E59" s="26">
        <f>IF(C59="","",MOD(C59-cfgDeslocamento,4)+1)</f>
        <v>0</v>
      </c>
    </row>
    <row r="60" spans="1:5">
      <c r="A60" s="24"/>
      <c r="B60" s="19"/>
      <c r="C60" s="26">
        <f>IF(A60="","",ROUND((A60+cfgAjusteMES/1440)*48,0))</f>
        <v>0</v>
      </c>
      <c r="D60" s="26">
        <f>IF(C60="","",INT((C60-cfgDeslocamento)/4))</f>
        <v>0</v>
      </c>
      <c r="E60" s="26">
        <f>IF(C60="","",MOD(C60-cfgDeslocamento,4)+1)</f>
        <v>0</v>
      </c>
    </row>
    <row r="61" spans="1:5">
      <c r="A61" s="24"/>
      <c r="B61" s="19"/>
      <c r="C61" s="26">
        <f>IF(A61="","",ROUND((A61+cfgAjusteMES/1440)*48,0))</f>
        <v>0</v>
      </c>
      <c r="D61" s="26">
        <f>IF(C61="","",INT((C61-cfgDeslocamento)/4))</f>
        <v>0</v>
      </c>
      <c r="E61" s="26">
        <f>IF(C61="","",MOD(C61-cfgDeslocamento,4)+1)</f>
        <v>0</v>
      </c>
    </row>
    <row r="62" spans="1:5">
      <c r="A62" s="24"/>
      <c r="B62" s="19"/>
      <c r="C62" s="26">
        <f>IF(A62="","",ROUND((A62+cfgAjusteMES/1440)*48,0))</f>
        <v>0</v>
      </c>
      <c r="D62" s="26">
        <f>IF(C62="","",INT((C62-cfgDeslocamento)/4))</f>
        <v>0</v>
      </c>
      <c r="E62" s="26">
        <f>IF(C62="","",MOD(C62-cfgDeslocamento,4)+1)</f>
        <v>0</v>
      </c>
    </row>
    <row r="63" spans="1:5">
      <c r="A63" s="24"/>
      <c r="B63" s="19"/>
      <c r="C63" s="26">
        <f>IF(A63="","",ROUND((A63+cfgAjusteMES/1440)*48,0))</f>
        <v>0</v>
      </c>
      <c r="D63" s="26">
        <f>IF(C63="","",INT((C63-cfgDeslocamento)/4))</f>
        <v>0</v>
      </c>
      <c r="E63" s="26">
        <f>IF(C63="","",MOD(C63-cfgDeslocamento,4)+1)</f>
        <v>0</v>
      </c>
    </row>
    <row r="64" spans="1:5">
      <c r="A64" s="24"/>
      <c r="B64" s="19"/>
      <c r="C64" s="26">
        <f>IF(A64="","",ROUND((A64+cfgAjusteMES/1440)*48,0))</f>
        <v>0</v>
      </c>
      <c r="D64" s="26">
        <f>IF(C64="","",INT((C64-cfgDeslocamento)/4))</f>
        <v>0</v>
      </c>
      <c r="E64" s="26">
        <f>IF(C64="","",MOD(C64-cfgDeslocamento,4)+1)</f>
        <v>0</v>
      </c>
    </row>
    <row r="65" spans="1:5">
      <c r="A65" s="24"/>
      <c r="B65" s="19"/>
      <c r="C65" s="26">
        <f>IF(A65="","",ROUND((A65+cfgAjusteMES/1440)*48,0))</f>
        <v>0</v>
      </c>
      <c r="D65" s="26">
        <f>IF(C65="","",INT((C65-cfgDeslocamento)/4))</f>
        <v>0</v>
      </c>
      <c r="E65" s="26">
        <f>IF(C65="","",MOD(C65-cfgDeslocamento,4)+1)</f>
        <v>0</v>
      </c>
    </row>
    <row r="66" spans="1:5">
      <c r="A66" s="24"/>
      <c r="B66" s="19"/>
      <c r="C66" s="26">
        <f>IF(A66="","",ROUND((A66+cfgAjusteMES/1440)*48,0))</f>
        <v>0</v>
      </c>
      <c r="D66" s="26">
        <f>IF(C66="","",INT((C66-cfgDeslocamento)/4))</f>
        <v>0</v>
      </c>
      <c r="E66" s="26">
        <f>IF(C66="","",MOD(C66-cfgDeslocamento,4)+1)</f>
        <v>0</v>
      </c>
    </row>
    <row r="67" spans="1:5">
      <c r="A67" s="24"/>
      <c r="B67" s="19"/>
      <c r="C67" s="26">
        <f>IF(A67="","",ROUND((A67+cfgAjusteMES/1440)*48,0))</f>
        <v>0</v>
      </c>
      <c r="D67" s="26">
        <f>IF(C67="","",INT((C67-cfgDeslocamento)/4))</f>
        <v>0</v>
      </c>
      <c r="E67" s="26">
        <f>IF(C67="","",MOD(C67-cfgDeslocamento,4)+1)</f>
        <v>0</v>
      </c>
    </row>
    <row r="68" spans="1:5">
      <c r="A68" s="24"/>
      <c r="B68" s="19"/>
      <c r="C68" s="26">
        <f>IF(A68="","",ROUND((A68+cfgAjusteMES/1440)*48,0))</f>
        <v>0</v>
      </c>
      <c r="D68" s="26">
        <f>IF(C68="","",INT((C68-cfgDeslocamento)/4))</f>
        <v>0</v>
      </c>
      <c r="E68" s="26">
        <f>IF(C68="","",MOD(C68-cfgDeslocamento,4)+1)</f>
        <v>0</v>
      </c>
    </row>
    <row r="69" spans="1:5">
      <c r="A69" s="24"/>
      <c r="B69" s="19"/>
      <c r="C69" s="26">
        <f>IF(A69="","",ROUND((A69+cfgAjusteMES/1440)*48,0))</f>
        <v>0</v>
      </c>
      <c r="D69" s="26">
        <f>IF(C69="","",INT((C69-cfgDeslocamento)/4))</f>
        <v>0</v>
      </c>
      <c r="E69" s="26">
        <f>IF(C69="","",MOD(C69-cfgDeslocamento,4)+1)</f>
        <v>0</v>
      </c>
    </row>
    <row r="70" spans="1:5">
      <c r="A70" s="24"/>
      <c r="B70" s="19"/>
      <c r="C70" s="26">
        <f>IF(A70="","",ROUND((A70+cfgAjusteMES/1440)*48,0))</f>
        <v>0</v>
      </c>
      <c r="D70" s="26">
        <f>IF(C70="","",INT((C70-cfgDeslocamento)/4))</f>
        <v>0</v>
      </c>
      <c r="E70" s="26">
        <f>IF(C70="","",MOD(C70-cfgDeslocamento,4)+1)</f>
        <v>0</v>
      </c>
    </row>
    <row r="71" spans="1:5">
      <c r="A71" s="24"/>
      <c r="B71" s="19"/>
      <c r="C71" s="26">
        <f>IF(A71="","",ROUND((A71+cfgAjusteMES/1440)*48,0))</f>
        <v>0</v>
      </c>
      <c r="D71" s="26">
        <f>IF(C71="","",INT((C71-cfgDeslocamento)/4))</f>
        <v>0</v>
      </c>
      <c r="E71" s="26">
        <f>IF(C71="","",MOD(C71-cfgDeslocamento,4)+1)</f>
        <v>0</v>
      </c>
    </row>
    <row r="72" spans="1:5">
      <c r="A72" s="24"/>
      <c r="B72" s="19"/>
      <c r="C72" s="26">
        <f>IF(A72="","",ROUND((A72+cfgAjusteMES/1440)*48,0))</f>
        <v>0</v>
      </c>
      <c r="D72" s="26">
        <f>IF(C72="","",INT((C72-cfgDeslocamento)/4))</f>
        <v>0</v>
      </c>
      <c r="E72" s="26">
        <f>IF(C72="","",MOD(C72-cfgDeslocamento,4)+1)</f>
        <v>0</v>
      </c>
    </row>
    <row r="73" spans="1:5">
      <c r="A73" s="24"/>
      <c r="B73" s="19"/>
      <c r="C73" s="26">
        <f>IF(A73="","",ROUND((A73+cfgAjusteMES/1440)*48,0))</f>
        <v>0</v>
      </c>
      <c r="D73" s="26">
        <f>IF(C73="","",INT((C73-cfgDeslocamento)/4))</f>
        <v>0</v>
      </c>
      <c r="E73" s="26">
        <f>IF(C73="","",MOD(C73-cfgDeslocamento,4)+1)</f>
        <v>0</v>
      </c>
    </row>
    <row r="74" spans="1:5">
      <c r="A74" s="24"/>
      <c r="B74" s="19"/>
      <c r="C74" s="26">
        <f>IF(A74="","",ROUND((A74+cfgAjusteMES/1440)*48,0))</f>
        <v>0</v>
      </c>
      <c r="D74" s="26">
        <f>IF(C74="","",INT((C74-cfgDeslocamento)/4))</f>
        <v>0</v>
      </c>
      <c r="E74" s="26">
        <f>IF(C74="","",MOD(C74-cfgDeslocamento,4)+1)</f>
        <v>0</v>
      </c>
    </row>
    <row r="75" spans="1:5">
      <c r="A75" s="24"/>
      <c r="B75" s="19"/>
      <c r="C75" s="26">
        <f>IF(A75="","",ROUND((A75+cfgAjusteMES/1440)*48,0))</f>
        <v>0</v>
      </c>
      <c r="D75" s="26">
        <f>IF(C75="","",INT((C75-cfgDeslocamento)/4))</f>
        <v>0</v>
      </c>
      <c r="E75" s="26">
        <f>IF(C75="","",MOD(C75-cfgDeslocamento,4)+1)</f>
        <v>0</v>
      </c>
    </row>
    <row r="76" spans="1:5">
      <c r="A76" s="24"/>
      <c r="B76" s="19"/>
      <c r="C76" s="26">
        <f>IF(A76="","",ROUND((A76+cfgAjusteMES/1440)*48,0))</f>
        <v>0</v>
      </c>
      <c r="D76" s="26">
        <f>IF(C76="","",INT((C76-cfgDeslocamento)/4))</f>
        <v>0</v>
      </c>
      <c r="E76" s="26">
        <f>IF(C76="","",MOD(C76-cfgDeslocamento,4)+1)</f>
        <v>0</v>
      </c>
    </row>
    <row r="77" spans="1:5">
      <c r="A77" s="24"/>
      <c r="B77" s="19"/>
      <c r="C77" s="26">
        <f>IF(A77="","",ROUND((A77+cfgAjusteMES/1440)*48,0))</f>
        <v>0</v>
      </c>
      <c r="D77" s="26">
        <f>IF(C77="","",INT((C77-cfgDeslocamento)/4))</f>
        <v>0</v>
      </c>
      <c r="E77" s="26">
        <f>IF(C77="","",MOD(C77-cfgDeslocamento,4)+1)</f>
        <v>0</v>
      </c>
    </row>
    <row r="78" spans="1:5">
      <c r="A78" s="24"/>
      <c r="B78" s="19"/>
      <c r="C78" s="26">
        <f>IF(A78="","",ROUND((A78+cfgAjusteMES/1440)*48,0))</f>
        <v>0</v>
      </c>
      <c r="D78" s="26">
        <f>IF(C78="","",INT((C78-cfgDeslocamento)/4))</f>
        <v>0</v>
      </c>
      <c r="E78" s="26">
        <f>IF(C78="","",MOD(C78-cfgDeslocamento,4)+1)</f>
        <v>0</v>
      </c>
    </row>
    <row r="79" spans="1:5">
      <c r="A79" s="24"/>
      <c r="B79" s="19"/>
      <c r="C79" s="26">
        <f>IF(A79="","",ROUND((A79+cfgAjusteMES/1440)*48,0))</f>
        <v>0</v>
      </c>
      <c r="D79" s="26">
        <f>IF(C79="","",INT((C79-cfgDeslocamento)/4))</f>
        <v>0</v>
      </c>
      <c r="E79" s="26">
        <f>IF(C79="","",MOD(C79-cfgDeslocamento,4)+1)</f>
        <v>0</v>
      </c>
    </row>
    <row r="80" spans="1:5">
      <c r="A80" s="24"/>
      <c r="B80" s="19"/>
      <c r="C80" s="26">
        <f>IF(A80="","",ROUND((A80+cfgAjusteMES/1440)*48,0))</f>
        <v>0</v>
      </c>
      <c r="D80" s="26">
        <f>IF(C80="","",INT((C80-cfgDeslocamento)/4))</f>
        <v>0</v>
      </c>
      <c r="E80" s="26">
        <f>IF(C80="","",MOD(C80-cfgDeslocamento,4)+1)</f>
        <v>0</v>
      </c>
    </row>
    <row r="81" spans="1:5">
      <c r="A81" s="24"/>
      <c r="B81" s="19"/>
      <c r="C81" s="26">
        <f>IF(A81="","",ROUND((A81+cfgAjusteMES/1440)*48,0))</f>
        <v>0</v>
      </c>
      <c r="D81" s="26">
        <f>IF(C81="","",INT((C81-cfgDeslocamento)/4))</f>
        <v>0</v>
      </c>
      <c r="E81" s="26">
        <f>IF(C81="","",MOD(C81-cfgDeslocamento,4)+1)</f>
        <v>0</v>
      </c>
    </row>
    <row r="82" spans="1:5">
      <c r="A82" s="24"/>
      <c r="B82" s="19"/>
      <c r="C82" s="26">
        <f>IF(A82="","",ROUND((A82+cfgAjusteMES/1440)*48,0))</f>
        <v>0</v>
      </c>
      <c r="D82" s="26">
        <f>IF(C82="","",INT((C82-cfgDeslocamento)/4))</f>
        <v>0</v>
      </c>
      <c r="E82" s="26">
        <f>IF(C82="","",MOD(C82-cfgDeslocamento,4)+1)</f>
        <v>0</v>
      </c>
    </row>
    <row r="83" spans="1:5">
      <c r="A83" s="24"/>
      <c r="B83" s="19"/>
      <c r="C83" s="26">
        <f>IF(A83="","",ROUND((A83+cfgAjusteMES/1440)*48,0))</f>
        <v>0</v>
      </c>
      <c r="D83" s="26">
        <f>IF(C83="","",INT((C83-cfgDeslocamento)/4))</f>
        <v>0</v>
      </c>
      <c r="E83" s="26">
        <f>IF(C83="","",MOD(C83-cfgDeslocamento,4)+1)</f>
        <v>0</v>
      </c>
    </row>
    <row r="84" spans="1:5">
      <c r="A84" s="24"/>
      <c r="B84" s="19"/>
      <c r="C84" s="26">
        <f>IF(A84="","",ROUND((A84+cfgAjusteMES/1440)*48,0))</f>
        <v>0</v>
      </c>
      <c r="D84" s="26">
        <f>IF(C84="","",INT((C84-cfgDeslocamento)/4))</f>
        <v>0</v>
      </c>
      <c r="E84" s="26">
        <f>IF(C84="","",MOD(C84-cfgDeslocamento,4)+1)</f>
        <v>0</v>
      </c>
    </row>
    <row r="85" spans="1:5">
      <c r="A85" s="24"/>
      <c r="B85" s="19"/>
      <c r="C85" s="26">
        <f>IF(A85="","",ROUND((A85+cfgAjusteMES/1440)*48,0))</f>
        <v>0</v>
      </c>
      <c r="D85" s="26">
        <f>IF(C85="","",INT((C85-cfgDeslocamento)/4))</f>
        <v>0</v>
      </c>
      <c r="E85" s="26">
        <f>IF(C85="","",MOD(C85-cfgDeslocamento,4)+1)</f>
        <v>0</v>
      </c>
    </row>
    <row r="86" spans="1:5">
      <c r="A86" s="24"/>
      <c r="B86" s="19"/>
      <c r="C86" s="26">
        <f>IF(A86="","",ROUND((A86+cfgAjusteMES/1440)*48,0))</f>
        <v>0</v>
      </c>
      <c r="D86" s="26">
        <f>IF(C86="","",INT((C86-cfgDeslocamento)/4))</f>
        <v>0</v>
      </c>
      <c r="E86" s="26">
        <f>IF(C86="","",MOD(C86-cfgDeslocamento,4)+1)</f>
        <v>0</v>
      </c>
    </row>
    <row r="87" spans="1:5">
      <c r="A87" s="24"/>
      <c r="B87" s="19"/>
      <c r="C87" s="26">
        <f>IF(A87="","",ROUND((A87+cfgAjusteMES/1440)*48,0))</f>
        <v>0</v>
      </c>
      <c r="D87" s="26">
        <f>IF(C87="","",INT((C87-cfgDeslocamento)/4))</f>
        <v>0</v>
      </c>
      <c r="E87" s="26">
        <f>IF(C87="","",MOD(C87-cfgDeslocamento,4)+1)</f>
        <v>0</v>
      </c>
    </row>
    <row r="88" spans="1:5">
      <c r="A88" s="24"/>
      <c r="B88" s="19"/>
      <c r="C88" s="26">
        <f>IF(A88="","",ROUND((A88+cfgAjusteMES/1440)*48,0))</f>
        <v>0</v>
      </c>
      <c r="D88" s="26">
        <f>IF(C88="","",INT((C88-cfgDeslocamento)/4))</f>
        <v>0</v>
      </c>
      <c r="E88" s="26">
        <f>IF(C88="","",MOD(C88-cfgDeslocamento,4)+1)</f>
        <v>0</v>
      </c>
    </row>
    <row r="89" spans="1:5">
      <c r="A89" s="24"/>
      <c r="B89" s="19"/>
      <c r="C89" s="26">
        <f>IF(A89="","",ROUND((A89+cfgAjusteMES/1440)*48,0))</f>
        <v>0</v>
      </c>
      <c r="D89" s="26">
        <f>IF(C89="","",INT((C89-cfgDeslocamento)/4))</f>
        <v>0</v>
      </c>
      <c r="E89" s="26">
        <f>IF(C89="","",MOD(C89-cfgDeslocamento,4)+1)</f>
        <v>0</v>
      </c>
    </row>
    <row r="90" spans="1:5">
      <c r="A90" s="24"/>
      <c r="B90" s="19"/>
      <c r="C90" s="26">
        <f>IF(A90="","",ROUND((A90+cfgAjusteMES/1440)*48,0))</f>
        <v>0</v>
      </c>
      <c r="D90" s="26">
        <f>IF(C90="","",INT((C90-cfgDeslocamento)/4))</f>
        <v>0</v>
      </c>
      <c r="E90" s="26">
        <f>IF(C90="","",MOD(C90-cfgDeslocamento,4)+1)</f>
        <v>0</v>
      </c>
    </row>
    <row r="91" spans="1:5">
      <c r="A91" s="24"/>
      <c r="B91" s="19"/>
      <c r="C91" s="26">
        <f>IF(A91="","",ROUND((A91+cfgAjusteMES/1440)*48,0))</f>
        <v>0</v>
      </c>
      <c r="D91" s="26">
        <f>IF(C91="","",INT((C91-cfgDeslocamento)/4))</f>
        <v>0</v>
      </c>
      <c r="E91" s="26">
        <f>IF(C91="","",MOD(C91-cfgDeslocamento,4)+1)</f>
        <v>0</v>
      </c>
    </row>
    <row r="92" spans="1:5">
      <c r="A92" s="24"/>
      <c r="B92" s="19"/>
      <c r="C92" s="26">
        <f>IF(A92="","",ROUND((A92+cfgAjusteMES/1440)*48,0))</f>
        <v>0</v>
      </c>
      <c r="D92" s="26">
        <f>IF(C92="","",INT((C92-cfgDeslocamento)/4))</f>
        <v>0</v>
      </c>
      <c r="E92" s="26">
        <f>IF(C92="","",MOD(C92-cfgDeslocamento,4)+1)</f>
        <v>0</v>
      </c>
    </row>
    <row r="93" spans="1:5">
      <c r="A93" s="24"/>
      <c r="B93" s="19"/>
      <c r="C93" s="26">
        <f>IF(A93="","",ROUND((A93+cfgAjusteMES/1440)*48,0))</f>
        <v>0</v>
      </c>
      <c r="D93" s="26">
        <f>IF(C93="","",INT((C93-cfgDeslocamento)/4))</f>
        <v>0</v>
      </c>
      <c r="E93" s="26">
        <f>IF(C93="","",MOD(C93-cfgDeslocamento,4)+1)</f>
        <v>0</v>
      </c>
    </row>
    <row r="94" spans="1:5">
      <c r="A94" s="24"/>
      <c r="B94" s="19"/>
      <c r="C94" s="26">
        <f>IF(A94="","",ROUND((A94+cfgAjusteMES/1440)*48,0))</f>
        <v>0</v>
      </c>
      <c r="D94" s="26">
        <f>IF(C94="","",INT((C94-cfgDeslocamento)/4))</f>
        <v>0</v>
      </c>
      <c r="E94" s="26">
        <f>IF(C94="","",MOD(C94-cfgDeslocamento,4)+1)</f>
        <v>0</v>
      </c>
    </row>
    <row r="95" spans="1:5">
      <c r="A95" s="24"/>
      <c r="B95" s="19"/>
      <c r="C95" s="26">
        <f>IF(A95="","",ROUND((A95+cfgAjusteMES/1440)*48,0))</f>
        <v>0</v>
      </c>
      <c r="D95" s="26">
        <f>IF(C95="","",INT((C95-cfgDeslocamento)/4))</f>
        <v>0</v>
      </c>
      <c r="E95" s="26">
        <f>IF(C95="","",MOD(C95-cfgDeslocamento,4)+1)</f>
        <v>0</v>
      </c>
    </row>
    <row r="96" spans="1:5">
      <c r="A96" s="24"/>
      <c r="B96" s="19"/>
      <c r="C96" s="26">
        <f>IF(A96="","",ROUND((A96+cfgAjusteMES/1440)*48,0))</f>
        <v>0</v>
      </c>
      <c r="D96" s="26">
        <f>IF(C96="","",INT((C96-cfgDeslocamento)/4))</f>
        <v>0</v>
      </c>
      <c r="E96" s="26">
        <f>IF(C96="","",MOD(C96-cfgDeslocamento,4)+1)</f>
        <v>0</v>
      </c>
    </row>
    <row r="97" spans="1:5">
      <c r="A97" s="24"/>
      <c r="B97" s="19"/>
      <c r="C97" s="26">
        <f>IF(A97="","",ROUND((A97+cfgAjusteMES/1440)*48,0))</f>
        <v>0</v>
      </c>
      <c r="D97" s="26">
        <f>IF(C97="","",INT((C97-cfgDeslocamento)/4))</f>
        <v>0</v>
      </c>
      <c r="E97" s="26">
        <f>IF(C97="","",MOD(C97-cfgDeslocamento,4)+1)</f>
        <v>0</v>
      </c>
    </row>
    <row r="98" spans="1:5">
      <c r="A98" s="24"/>
      <c r="B98" s="19"/>
      <c r="C98" s="26">
        <f>IF(A98="","",ROUND((A98+cfgAjusteMES/1440)*48,0))</f>
        <v>0</v>
      </c>
      <c r="D98" s="26">
        <f>IF(C98="","",INT((C98-cfgDeslocamento)/4))</f>
        <v>0</v>
      </c>
      <c r="E98" s="26">
        <f>IF(C98="","",MOD(C98-cfgDeslocamento,4)+1)</f>
        <v>0</v>
      </c>
    </row>
    <row r="99" spans="1:5">
      <c r="A99" s="24"/>
      <c r="B99" s="19"/>
      <c r="C99" s="26">
        <f>IF(A99="","",ROUND((A99+cfgAjusteMES/1440)*48,0))</f>
        <v>0</v>
      </c>
      <c r="D99" s="26">
        <f>IF(C99="","",INT((C99-cfgDeslocamento)/4))</f>
        <v>0</v>
      </c>
      <c r="E99" s="26">
        <f>IF(C99="","",MOD(C99-cfgDeslocamento,4)+1)</f>
        <v>0</v>
      </c>
    </row>
    <row r="100" spans="1:5">
      <c r="A100" s="24"/>
      <c r="B100" s="19"/>
      <c r="C100" s="26">
        <f>IF(A100="","",ROUND((A100+cfgAjusteMES/1440)*48,0))</f>
        <v>0</v>
      </c>
      <c r="D100" s="26">
        <f>IF(C100="","",INT((C100-cfgDeslocamento)/4))</f>
        <v>0</v>
      </c>
      <c r="E100" s="26">
        <f>IF(C100="","",MOD(C100-cfgDeslocamento,4)+1)</f>
        <v>0</v>
      </c>
    </row>
    <row r="101" spans="1:5">
      <c r="A101" s="24"/>
      <c r="B101" s="19"/>
      <c r="C101" s="26">
        <f>IF(A101="","",ROUND((A101+cfgAjusteMES/1440)*48,0))</f>
        <v>0</v>
      </c>
      <c r="D101" s="26">
        <f>IF(C101="","",INT((C101-cfgDeslocamento)/4))</f>
        <v>0</v>
      </c>
      <c r="E101" s="26">
        <f>IF(C101="","",MOD(C101-cfgDeslocamento,4)+1)</f>
        <v>0</v>
      </c>
    </row>
    <row r="102" spans="1:5">
      <c r="A102" s="24"/>
      <c r="B102" s="19"/>
      <c r="C102" s="26">
        <f>IF(A102="","",ROUND((A102+cfgAjusteMES/1440)*48,0))</f>
        <v>0</v>
      </c>
      <c r="D102" s="26">
        <f>IF(C102="","",INT((C102-cfgDeslocamento)/4))</f>
        <v>0</v>
      </c>
      <c r="E102" s="26">
        <f>IF(C102="","",MOD(C102-cfgDeslocamento,4)+1)</f>
        <v>0</v>
      </c>
    </row>
    <row r="103" spans="1:5">
      <c r="A103" s="24"/>
      <c r="B103" s="19"/>
      <c r="C103" s="26">
        <f>IF(A103="","",ROUND((A103+cfgAjusteMES/1440)*48,0))</f>
        <v>0</v>
      </c>
      <c r="D103" s="26">
        <f>IF(C103="","",INT((C103-cfgDeslocamento)/4))</f>
        <v>0</v>
      </c>
      <c r="E103" s="26">
        <f>IF(C103="","",MOD(C103-cfgDeslocamento,4)+1)</f>
        <v>0</v>
      </c>
    </row>
    <row r="104" spans="1:5">
      <c r="A104" s="24"/>
      <c r="B104" s="19"/>
      <c r="C104" s="26">
        <f>IF(A104="","",ROUND((A104+cfgAjusteMES/1440)*48,0))</f>
        <v>0</v>
      </c>
      <c r="D104" s="26">
        <f>IF(C104="","",INT((C104-cfgDeslocamento)/4))</f>
        <v>0</v>
      </c>
      <c r="E104" s="26">
        <f>IF(C104="","",MOD(C104-cfgDeslocamento,4)+1)</f>
        <v>0</v>
      </c>
    </row>
    <row r="105" spans="1:5">
      <c r="A105" s="24"/>
      <c r="B105" s="19"/>
      <c r="C105" s="26">
        <f>IF(A105="","",ROUND((A105+cfgAjusteMES/1440)*48,0))</f>
        <v>0</v>
      </c>
      <c r="D105" s="26">
        <f>IF(C105="","",INT((C105-cfgDeslocamento)/4))</f>
        <v>0</v>
      </c>
      <c r="E105" s="26">
        <f>IF(C105="","",MOD(C105-cfgDeslocamento,4)+1)</f>
        <v>0</v>
      </c>
    </row>
    <row r="106" spans="1:5">
      <c r="A106" s="24"/>
      <c r="B106" s="19"/>
      <c r="C106" s="26">
        <f>IF(A106="","",ROUND((A106+cfgAjusteMES/1440)*48,0))</f>
        <v>0</v>
      </c>
      <c r="D106" s="26">
        <f>IF(C106="","",INT((C106-cfgDeslocamento)/4))</f>
        <v>0</v>
      </c>
      <c r="E106" s="26">
        <f>IF(C106="","",MOD(C106-cfgDeslocamento,4)+1)</f>
        <v>0</v>
      </c>
    </row>
    <row r="107" spans="1:5">
      <c r="A107" s="24"/>
      <c r="B107" s="19"/>
      <c r="C107" s="26">
        <f>IF(A107="","",ROUND((A107+cfgAjusteMES/1440)*48,0))</f>
        <v>0</v>
      </c>
      <c r="D107" s="26">
        <f>IF(C107="","",INT((C107-cfgDeslocamento)/4))</f>
        <v>0</v>
      </c>
      <c r="E107" s="26">
        <f>IF(C107="","",MOD(C107-cfgDeslocamento,4)+1)</f>
        <v>0</v>
      </c>
    </row>
    <row r="108" spans="1:5">
      <c r="A108" s="24"/>
      <c r="B108" s="19"/>
      <c r="C108" s="26">
        <f>IF(A108="","",ROUND((A108+cfgAjusteMES/1440)*48,0))</f>
        <v>0</v>
      </c>
      <c r="D108" s="26">
        <f>IF(C108="","",INT((C108-cfgDeslocamento)/4))</f>
        <v>0</v>
      </c>
      <c r="E108" s="26">
        <f>IF(C108="","",MOD(C108-cfgDeslocamento,4)+1)</f>
        <v>0</v>
      </c>
    </row>
    <row r="109" spans="1:5">
      <c r="A109" s="24"/>
      <c r="B109" s="19"/>
      <c r="C109" s="26">
        <f>IF(A109="","",ROUND((A109+cfgAjusteMES/1440)*48,0))</f>
        <v>0</v>
      </c>
      <c r="D109" s="26">
        <f>IF(C109="","",INT((C109-cfgDeslocamento)/4))</f>
        <v>0</v>
      </c>
      <c r="E109" s="26">
        <f>IF(C109="","",MOD(C109-cfgDeslocamento,4)+1)</f>
        <v>0</v>
      </c>
    </row>
    <row r="110" spans="1:5">
      <c r="A110" s="24"/>
      <c r="B110" s="19"/>
      <c r="C110" s="26">
        <f>IF(A110="","",ROUND((A110+cfgAjusteMES/1440)*48,0))</f>
        <v>0</v>
      </c>
      <c r="D110" s="26">
        <f>IF(C110="","",INT((C110-cfgDeslocamento)/4))</f>
        <v>0</v>
      </c>
      <c r="E110" s="26">
        <f>IF(C110="","",MOD(C110-cfgDeslocamento,4)+1)</f>
        <v>0</v>
      </c>
    </row>
    <row r="111" spans="1:5">
      <c r="A111" s="24"/>
      <c r="B111" s="19"/>
      <c r="C111" s="26">
        <f>IF(A111="","",ROUND((A111+cfgAjusteMES/1440)*48,0))</f>
        <v>0</v>
      </c>
      <c r="D111" s="26">
        <f>IF(C111="","",INT((C111-cfgDeslocamento)/4))</f>
        <v>0</v>
      </c>
      <c r="E111" s="26">
        <f>IF(C111="","",MOD(C111-cfgDeslocamento,4)+1)</f>
        <v>0</v>
      </c>
    </row>
    <row r="112" spans="1:5">
      <c r="A112" s="24"/>
      <c r="B112" s="19"/>
      <c r="C112" s="26">
        <f>IF(A112="","",ROUND((A112+cfgAjusteMES/1440)*48,0))</f>
        <v>0</v>
      </c>
      <c r="D112" s="26">
        <f>IF(C112="","",INT((C112-cfgDeslocamento)/4))</f>
        <v>0</v>
      </c>
      <c r="E112" s="26">
        <f>IF(C112="","",MOD(C112-cfgDeslocamento,4)+1)</f>
        <v>0</v>
      </c>
    </row>
    <row r="113" spans="1:5">
      <c r="A113" s="24"/>
      <c r="B113" s="19"/>
      <c r="C113" s="26">
        <f>IF(A113="","",ROUND((A113+cfgAjusteMES/1440)*48,0))</f>
        <v>0</v>
      </c>
      <c r="D113" s="26">
        <f>IF(C113="","",INT((C113-cfgDeslocamento)/4))</f>
        <v>0</v>
      </c>
      <c r="E113" s="26">
        <f>IF(C113="","",MOD(C113-cfgDeslocamento,4)+1)</f>
        <v>0</v>
      </c>
    </row>
    <row r="114" spans="1:5">
      <c r="A114" s="24"/>
      <c r="B114" s="19"/>
      <c r="C114" s="26">
        <f>IF(A114="","",ROUND((A114+cfgAjusteMES/1440)*48,0))</f>
        <v>0</v>
      </c>
      <c r="D114" s="26">
        <f>IF(C114="","",INT((C114-cfgDeslocamento)/4))</f>
        <v>0</v>
      </c>
      <c r="E114" s="26">
        <f>IF(C114="","",MOD(C114-cfgDeslocamento,4)+1)</f>
        <v>0</v>
      </c>
    </row>
    <row r="115" spans="1:5">
      <c r="A115" s="24"/>
      <c r="B115" s="19"/>
      <c r="C115" s="26">
        <f>IF(A115="","",ROUND((A115+cfgAjusteMES/1440)*48,0))</f>
        <v>0</v>
      </c>
      <c r="D115" s="26">
        <f>IF(C115="","",INT((C115-cfgDeslocamento)/4))</f>
        <v>0</v>
      </c>
      <c r="E115" s="26">
        <f>IF(C115="","",MOD(C115-cfgDeslocamento,4)+1)</f>
        <v>0</v>
      </c>
    </row>
    <row r="116" spans="1:5">
      <c r="A116" s="24"/>
      <c r="B116" s="19"/>
      <c r="C116" s="26">
        <f>IF(A116="","",ROUND((A116+cfgAjusteMES/1440)*48,0))</f>
        <v>0</v>
      </c>
      <c r="D116" s="26">
        <f>IF(C116="","",INT((C116-cfgDeslocamento)/4))</f>
        <v>0</v>
      </c>
      <c r="E116" s="26">
        <f>IF(C116="","",MOD(C116-cfgDeslocamento,4)+1)</f>
        <v>0</v>
      </c>
    </row>
    <row r="117" spans="1:5">
      <c r="A117" s="24"/>
      <c r="B117" s="19"/>
      <c r="C117" s="26">
        <f>IF(A117="","",ROUND((A117+cfgAjusteMES/1440)*48,0))</f>
        <v>0</v>
      </c>
      <c r="D117" s="26">
        <f>IF(C117="","",INT((C117-cfgDeslocamento)/4))</f>
        <v>0</v>
      </c>
      <c r="E117" s="26">
        <f>IF(C117="","",MOD(C117-cfgDeslocamento,4)+1)</f>
        <v>0</v>
      </c>
    </row>
    <row r="118" spans="1:5">
      <c r="A118" s="24"/>
      <c r="B118" s="19"/>
      <c r="C118" s="26">
        <f>IF(A118="","",ROUND((A118+cfgAjusteMES/1440)*48,0))</f>
        <v>0</v>
      </c>
      <c r="D118" s="26">
        <f>IF(C118="","",INT((C118-cfgDeslocamento)/4))</f>
        <v>0</v>
      </c>
      <c r="E118" s="26">
        <f>IF(C118="","",MOD(C118-cfgDeslocamento,4)+1)</f>
        <v>0</v>
      </c>
    </row>
    <row r="119" spans="1:5">
      <c r="A119" s="24"/>
      <c r="B119" s="19"/>
      <c r="C119" s="26">
        <f>IF(A119="","",ROUND((A119+cfgAjusteMES/1440)*48,0))</f>
        <v>0</v>
      </c>
      <c r="D119" s="26">
        <f>IF(C119="","",INT((C119-cfgDeslocamento)/4))</f>
        <v>0</v>
      </c>
      <c r="E119" s="26">
        <f>IF(C119="","",MOD(C119-cfgDeslocamento,4)+1)</f>
        <v>0</v>
      </c>
    </row>
    <row r="120" spans="1:5">
      <c r="A120" s="24"/>
      <c r="B120" s="19"/>
      <c r="C120" s="26">
        <f>IF(A120="","",ROUND((A120+cfgAjusteMES/1440)*48,0))</f>
        <v>0</v>
      </c>
      <c r="D120" s="26">
        <f>IF(C120="","",INT((C120-cfgDeslocamento)/4))</f>
        <v>0</v>
      </c>
      <c r="E120" s="26">
        <f>IF(C120="","",MOD(C120-cfgDeslocamento,4)+1)</f>
        <v>0</v>
      </c>
    </row>
    <row r="121" spans="1:5">
      <c r="A121" s="24"/>
      <c r="B121" s="19"/>
      <c r="C121" s="26">
        <f>IF(A121="","",ROUND((A121+cfgAjusteMES/1440)*48,0))</f>
        <v>0</v>
      </c>
      <c r="D121" s="26">
        <f>IF(C121="","",INT((C121-cfgDeslocamento)/4))</f>
        <v>0</v>
      </c>
      <c r="E121" s="26">
        <f>IF(C121="","",MOD(C121-cfgDeslocamento,4)+1)</f>
        <v>0</v>
      </c>
    </row>
    <row r="122" spans="1:5">
      <c r="A122" s="24"/>
      <c r="B122" s="19"/>
      <c r="C122" s="26">
        <f>IF(A122="","",ROUND((A122+cfgAjusteMES/1440)*48,0))</f>
        <v>0</v>
      </c>
      <c r="D122" s="26">
        <f>IF(C122="","",INT((C122-cfgDeslocamento)/4))</f>
        <v>0</v>
      </c>
      <c r="E122" s="26">
        <f>IF(C122="","",MOD(C122-cfgDeslocamento,4)+1)</f>
        <v>0</v>
      </c>
    </row>
    <row r="123" spans="1:5">
      <c r="A123" s="24"/>
      <c r="B123" s="19"/>
      <c r="C123" s="26">
        <f>IF(A123="","",ROUND((A123+cfgAjusteMES/1440)*48,0))</f>
        <v>0</v>
      </c>
      <c r="D123" s="26">
        <f>IF(C123="","",INT((C123-cfgDeslocamento)/4))</f>
        <v>0</v>
      </c>
      <c r="E123" s="26">
        <f>IF(C123="","",MOD(C123-cfgDeslocamento,4)+1)</f>
        <v>0</v>
      </c>
    </row>
    <row r="124" spans="1:5">
      <c r="A124" s="24"/>
      <c r="B124" s="19"/>
      <c r="C124" s="26">
        <f>IF(A124="","",ROUND((A124+cfgAjusteMES/1440)*48,0))</f>
        <v>0</v>
      </c>
      <c r="D124" s="26">
        <f>IF(C124="","",INT((C124-cfgDeslocamento)/4))</f>
        <v>0</v>
      </c>
      <c r="E124" s="26">
        <f>IF(C124="","",MOD(C124-cfgDeslocamento,4)+1)</f>
        <v>0</v>
      </c>
    </row>
    <row r="125" spans="1:5">
      <c r="A125" s="24"/>
      <c r="B125" s="19"/>
      <c r="C125" s="26">
        <f>IF(A125="","",ROUND((A125+cfgAjusteMES/1440)*48,0))</f>
        <v>0</v>
      </c>
      <c r="D125" s="26">
        <f>IF(C125="","",INT((C125-cfgDeslocamento)/4))</f>
        <v>0</v>
      </c>
      <c r="E125" s="26">
        <f>IF(C125="","",MOD(C125-cfgDeslocamento,4)+1)</f>
        <v>0</v>
      </c>
    </row>
    <row r="126" spans="1:5">
      <c r="A126" s="24"/>
      <c r="B126" s="19"/>
      <c r="C126" s="26">
        <f>IF(A126="","",ROUND((A126+cfgAjusteMES/1440)*48,0))</f>
        <v>0</v>
      </c>
      <c r="D126" s="26">
        <f>IF(C126="","",INT((C126-cfgDeslocamento)/4))</f>
        <v>0</v>
      </c>
      <c r="E126" s="26">
        <f>IF(C126="","",MOD(C126-cfgDeslocamento,4)+1)</f>
        <v>0</v>
      </c>
    </row>
    <row r="127" spans="1:5">
      <c r="A127" s="24"/>
      <c r="B127" s="19"/>
      <c r="C127" s="26">
        <f>IF(A127="","",ROUND((A127+cfgAjusteMES/1440)*48,0))</f>
        <v>0</v>
      </c>
      <c r="D127" s="26">
        <f>IF(C127="","",INT((C127-cfgDeslocamento)/4))</f>
        <v>0</v>
      </c>
      <c r="E127" s="26">
        <f>IF(C127="","",MOD(C127-cfgDeslocamento,4)+1)</f>
        <v>0</v>
      </c>
    </row>
    <row r="128" spans="1:5">
      <c r="A128" s="24"/>
      <c r="B128" s="19"/>
      <c r="C128" s="26">
        <f>IF(A128="","",ROUND((A128+cfgAjusteMES/1440)*48,0))</f>
        <v>0</v>
      </c>
      <c r="D128" s="26">
        <f>IF(C128="","",INT((C128-cfgDeslocamento)/4))</f>
        <v>0</v>
      </c>
      <c r="E128" s="26">
        <f>IF(C128="","",MOD(C128-cfgDeslocamento,4)+1)</f>
        <v>0</v>
      </c>
    </row>
    <row r="129" spans="1:5">
      <c r="A129" s="24"/>
      <c r="B129" s="19"/>
      <c r="C129" s="26">
        <f>IF(A129="","",ROUND((A129+cfgAjusteMES/1440)*48,0))</f>
        <v>0</v>
      </c>
      <c r="D129" s="26">
        <f>IF(C129="","",INT((C129-cfgDeslocamento)/4))</f>
        <v>0</v>
      </c>
      <c r="E129" s="26">
        <f>IF(C129="","",MOD(C129-cfgDeslocamento,4)+1)</f>
        <v>0</v>
      </c>
    </row>
    <row r="130" spans="1:5">
      <c r="A130" s="24"/>
      <c r="B130" s="19"/>
      <c r="C130" s="26">
        <f>IF(A130="","",ROUND((A130+cfgAjusteMES/1440)*48,0))</f>
        <v>0</v>
      </c>
      <c r="D130" s="26">
        <f>IF(C130="","",INT((C130-cfgDeslocamento)/4))</f>
        <v>0</v>
      </c>
      <c r="E130" s="26">
        <f>IF(C130="","",MOD(C130-cfgDeslocamento,4)+1)</f>
        <v>0</v>
      </c>
    </row>
    <row r="131" spans="1:5">
      <c r="A131" s="24"/>
      <c r="B131" s="19"/>
      <c r="C131" s="26">
        <f>IF(A131="","",ROUND((A131+cfgAjusteMES/1440)*48,0))</f>
        <v>0</v>
      </c>
      <c r="D131" s="26">
        <f>IF(C131="","",INT((C131-cfgDeslocamento)/4))</f>
        <v>0</v>
      </c>
      <c r="E131" s="26">
        <f>IF(C131="","",MOD(C131-cfgDeslocamento,4)+1)</f>
        <v>0</v>
      </c>
    </row>
    <row r="132" spans="1:5">
      <c r="A132" s="24"/>
      <c r="B132" s="19"/>
      <c r="C132" s="26">
        <f>IF(A132="","",ROUND((A132+cfgAjusteMES/1440)*48,0))</f>
        <v>0</v>
      </c>
      <c r="D132" s="26">
        <f>IF(C132="","",INT((C132-cfgDeslocamento)/4))</f>
        <v>0</v>
      </c>
      <c r="E132" s="26">
        <f>IF(C132="","",MOD(C132-cfgDeslocamento,4)+1)</f>
        <v>0</v>
      </c>
    </row>
    <row r="133" spans="1:5">
      <c r="A133" s="24"/>
      <c r="B133" s="19"/>
      <c r="C133" s="26">
        <f>IF(A133="","",ROUND((A133+cfgAjusteMES/1440)*48,0))</f>
        <v>0</v>
      </c>
      <c r="D133" s="26">
        <f>IF(C133="","",INT((C133-cfgDeslocamento)/4))</f>
        <v>0</v>
      </c>
      <c r="E133" s="26">
        <f>IF(C133="","",MOD(C133-cfgDeslocamento,4)+1)</f>
        <v>0</v>
      </c>
    </row>
    <row r="134" spans="1:5">
      <c r="A134" s="24"/>
      <c r="B134" s="19"/>
      <c r="C134" s="26">
        <f>IF(A134="","",ROUND((A134+cfgAjusteMES/1440)*48,0))</f>
        <v>0</v>
      </c>
      <c r="D134" s="26">
        <f>IF(C134="","",INT((C134-cfgDeslocamento)/4))</f>
        <v>0</v>
      </c>
      <c r="E134" s="26">
        <f>IF(C134="","",MOD(C134-cfgDeslocamento,4)+1)</f>
        <v>0</v>
      </c>
    </row>
    <row r="135" spans="1:5">
      <c r="A135" s="24"/>
      <c r="B135" s="19"/>
      <c r="C135" s="26">
        <f>IF(A135="","",ROUND((A135+cfgAjusteMES/1440)*48,0))</f>
        <v>0</v>
      </c>
      <c r="D135" s="26">
        <f>IF(C135="","",INT((C135-cfgDeslocamento)/4))</f>
        <v>0</v>
      </c>
      <c r="E135" s="26">
        <f>IF(C135="","",MOD(C135-cfgDeslocamento,4)+1)</f>
        <v>0</v>
      </c>
    </row>
    <row r="136" spans="1:5">
      <c r="A136" s="24"/>
      <c r="B136" s="19"/>
      <c r="C136" s="26">
        <f>IF(A136="","",ROUND((A136+cfgAjusteMES/1440)*48,0))</f>
        <v>0</v>
      </c>
      <c r="D136" s="26">
        <f>IF(C136="","",INT((C136-cfgDeslocamento)/4))</f>
        <v>0</v>
      </c>
      <c r="E136" s="26">
        <f>IF(C136="","",MOD(C136-cfgDeslocamento,4)+1)</f>
        <v>0</v>
      </c>
    </row>
    <row r="137" spans="1:5">
      <c r="A137" s="24"/>
      <c r="B137" s="19"/>
      <c r="C137" s="26">
        <f>IF(A137="","",ROUND((A137+cfgAjusteMES/1440)*48,0))</f>
        <v>0</v>
      </c>
      <c r="D137" s="26">
        <f>IF(C137="","",INT((C137-cfgDeslocamento)/4))</f>
        <v>0</v>
      </c>
      <c r="E137" s="26">
        <f>IF(C137="","",MOD(C137-cfgDeslocamento,4)+1)</f>
        <v>0</v>
      </c>
    </row>
    <row r="138" spans="1:5">
      <c r="A138" s="24"/>
      <c r="B138" s="19"/>
      <c r="C138" s="26">
        <f>IF(A138="","",ROUND((A138+cfgAjusteMES/1440)*48,0))</f>
        <v>0</v>
      </c>
      <c r="D138" s="26">
        <f>IF(C138="","",INT((C138-cfgDeslocamento)/4))</f>
        <v>0</v>
      </c>
      <c r="E138" s="26">
        <f>IF(C138="","",MOD(C138-cfgDeslocamento,4)+1)</f>
        <v>0</v>
      </c>
    </row>
    <row r="139" spans="1:5">
      <c r="A139" s="24"/>
      <c r="B139" s="19"/>
      <c r="C139" s="26">
        <f>IF(A139="","",ROUND((A139+cfgAjusteMES/1440)*48,0))</f>
        <v>0</v>
      </c>
      <c r="D139" s="26">
        <f>IF(C139="","",INT((C139-cfgDeslocamento)/4))</f>
        <v>0</v>
      </c>
      <c r="E139" s="26">
        <f>IF(C139="","",MOD(C139-cfgDeslocamento,4)+1)</f>
        <v>0</v>
      </c>
    </row>
    <row r="140" spans="1:5">
      <c r="A140" s="24"/>
      <c r="B140" s="19"/>
      <c r="C140" s="26">
        <f>IF(A140="","",ROUND((A140+cfgAjusteMES/1440)*48,0))</f>
        <v>0</v>
      </c>
      <c r="D140" s="26">
        <f>IF(C140="","",INT((C140-cfgDeslocamento)/4))</f>
        <v>0</v>
      </c>
      <c r="E140" s="26">
        <f>IF(C140="","",MOD(C140-cfgDeslocamento,4)+1)</f>
        <v>0</v>
      </c>
    </row>
    <row r="141" spans="1:5">
      <c r="A141" s="24"/>
      <c r="B141" s="19"/>
      <c r="C141" s="26">
        <f>IF(A141="","",ROUND((A141+cfgAjusteMES/1440)*48,0))</f>
        <v>0</v>
      </c>
      <c r="D141" s="26">
        <f>IF(C141="","",INT((C141-cfgDeslocamento)/4))</f>
        <v>0</v>
      </c>
      <c r="E141" s="26">
        <f>IF(C141="","",MOD(C141-cfgDeslocamento,4)+1)</f>
        <v>0</v>
      </c>
    </row>
    <row r="142" spans="1:5">
      <c r="A142" s="24"/>
      <c r="B142" s="19"/>
      <c r="C142" s="26">
        <f>IF(A142="","",ROUND((A142+cfgAjusteMES/1440)*48,0))</f>
        <v>0</v>
      </c>
      <c r="D142" s="26">
        <f>IF(C142="","",INT((C142-cfgDeslocamento)/4))</f>
        <v>0</v>
      </c>
      <c r="E142" s="26">
        <f>IF(C142="","",MOD(C142-cfgDeslocamento,4)+1)</f>
        <v>0</v>
      </c>
    </row>
    <row r="143" spans="1:5">
      <c r="A143" s="24"/>
      <c r="B143" s="19"/>
      <c r="C143" s="26">
        <f>IF(A143="","",ROUND((A143+cfgAjusteMES/1440)*48,0))</f>
        <v>0</v>
      </c>
      <c r="D143" s="26">
        <f>IF(C143="","",INT((C143-cfgDeslocamento)/4))</f>
        <v>0</v>
      </c>
      <c r="E143" s="26">
        <f>IF(C143="","",MOD(C143-cfgDeslocamento,4)+1)</f>
        <v>0</v>
      </c>
    </row>
    <row r="144" spans="1:5">
      <c r="A144" s="24"/>
      <c r="B144" s="19"/>
      <c r="C144" s="26">
        <f>IF(A144="","",ROUND((A144+cfgAjusteMES/1440)*48,0))</f>
        <v>0</v>
      </c>
      <c r="D144" s="26">
        <f>IF(C144="","",INT((C144-cfgDeslocamento)/4))</f>
        <v>0</v>
      </c>
      <c r="E144" s="26">
        <f>IF(C144="","",MOD(C144-cfgDeslocamento,4)+1)</f>
        <v>0</v>
      </c>
    </row>
    <row r="145" spans="1:5">
      <c r="A145" s="24"/>
      <c r="B145" s="19"/>
      <c r="C145" s="26">
        <f>IF(A145="","",ROUND((A145+cfgAjusteMES/1440)*48,0))</f>
        <v>0</v>
      </c>
      <c r="D145" s="26">
        <f>IF(C145="","",INT((C145-cfgDeslocamento)/4))</f>
        <v>0</v>
      </c>
      <c r="E145" s="26">
        <f>IF(C145="","",MOD(C145-cfgDeslocamento,4)+1)</f>
        <v>0</v>
      </c>
    </row>
    <row r="146" spans="1:5">
      <c r="A146" s="24"/>
      <c r="B146" s="19"/>
      <c r="C146" s="26">
        <f>IF(A146="","",ROUND((A146+cfgAjusteMES/1440)*48,0))</f>
        <v>0</v>
      </c>
      <c r="D146" s="26">
        <f>IF(C146="","",INT((C146-cfgDeslocamento)/4))</f>
        <v>0</v>
      </c>
      <c r="E146" s="26">
        <f>IF(C146="","",MOD(C146-cfgDeslocamento,4)+1)</f>
        <v>0</v>
      </c>
    </row>
    <row r="147" spans="1:5">
      <c r="A147" s="24"/>
      <c r="B147" s="19"/>
      <c r="C147" s="26">
        <f>IF(A147="","",ROUND((A147+cfgAjusteMES/1440)*48,0))</f>
        <v>0</v>
      </c>
      <c r="D147" s="26">
        <f>IF(C147="","",INT((C147-cfgDeslocamento)/4))</f>
        <v>0</v>
      </c>
      <c r="E147" s="26">
        <f>IF(C147="","",MOD(C147-cfgDeslocamento,4)+1)</f>
        <v>0</v>
      </c>
    </row>
    <row r="148" spans="1:5">
      <c r="A148" s="24"/>
      <c r="B148" s="19"/>
      <c r="C148" s="26">
        <f>IF(A148="","",ROUND((A148+cfgAjusteMES/1440)*48,0))</f>
        <v>0</v>
      </c>
      <c r="D148" s="26">
        <f>IF(C148="","",INT((C148-cfgDeslocamento)/4))</f>
        <v>0</v>
      </c>
      <c r="E148" s="26">
        <f>IF(C148="","",MOD(C148-cfgDeslocamento,4)+1)</f>
        <v>0</v>
      </c>
    </row>
    <row r="149" spans="1:5">
      <c r="A149" s="24"/>
      <c r="B149" s="19"/>
      <c r="C149" s="26">
        <f>IF(A149="","",ROUND((A149+cfgAjusteMES/1440)*48,0))</f>
        <v>0</v>
      </c>
      <c r="D149" s="26">
        <f>IF(C149="","",INT((C149-cfgDeslocamento)/4))</f>
        <v>0</v>
      </c>
      <c r="E149" s="26">
        <f>IF(C149="","",MOD(C149-cfgDeslocamento,4)+1)</f>
        <v>0</v>
      </c>
    </row>
    <row r="150" spans="1:5">
      <c r="A150" s="24"/>
      <c r="B150" s="19"/>
      <c r="C150" s="26">
        <f>IF(A150="","",ROUND((A150+cfgAjusteMES/1440)*48,0))</f>
        <v>0</v>
      </c>
      <c r="D150" s="26">
        <f>IF(C150="","",INT((C150-cfgDeslocamento)/4))</f>
        <v>0</v>
      </c>
      <c r="E150" s="26">
        <f>IF(C150="","",MOD(C150-cfgDeslocamento,4)+1)</f>
        <v>0</v>
      </c>
    </row>
    <row r="151" spans="1:5">
      <c r="A151" s="24"/>
      <c r="B151" s="19"/>
      <c r="C151" s="26">
        <f>IF(A151="","",ROUND((A151+cfgAjusteMES/1440)*48,0))</f>
        <v>0</v>
      </c>
      <c r="D151" s="26">
        <f>IF(C151="","",INT((C151-cfgDeslocamento)/4))</f>
        <v>0</v>
      </c>
      <c r="E151" s="26">
        <f>IF(C151="","",MOD(C151-cfgDeslocamento,4)+1)</f>
        <v>0</v>
      </c>
    </row>
    <row r="152" spans="1:5">
      <c r="A152" s="24"/>
      <c r="B152" s="19"/>
      <c r="C152" s="26">
        <f>IF(A152="","",ROUND((A152+cfgAjusteMES/1440)*48,0))</f>
        <v>0</v>
      </c>
      <c r="D152" s="26">
        <f>IF(C152="","",INT((C152-cfgDeslocamento)/4))</f>
        <v>0</v>
      </c>
      <c r="E152" s="26">
        <f>IF(C152="","",MOD(C152-cfgDeslocamento,4)+1)</f>
        <v>0</v>
      </c>
    </row>
    <row r="153" spans="1:5">
      <c r="A153" s="24"/>
      <c r="B153" s="19"/>
      <c r="C153" s="26">
        <f>IF(A153="","",ROUND((A153+cfgAjusteMES/1440)*48,0))</f>
        <v>0</v>
      </c>
      <c r="D153" s="26">
        <f>IF(C153="","",INT((C153-cfgDeslocamento)/4))</f>
        <v>0</v>
      </c>
      <c r="E153" s="26">
        <f>IF(C153="","",MOD(C153-cfgDeslocamento,4)+1)</f>
        <v>0</v>
      </c>
    </row>
    <row r="154" spans="1:5">
      <c r="A154" s="24"/>
      <c r="B154" s="19"/>
      <c r="C154" s="26">
        <f>IF(A154="","",ROUND((A154+cfgAjusteMES/1440)*48,0))</f>
        <v>0</v>
      </c>
      <c r="D154" s="26">
        <f>IF(C154="","",INT((C154-cfgDeslocamento)/4))</f>
        <v>0</v>
      </c>
      <c r="E154" s="26">
        <f>IF(C154="","",MOD(C154-cfgDeslocamento,4)+1)</f>
        <v>0</v>
      </c>
    </row>
    <row r="155" spans="1:5">
      <c r="A155" s="24"/>
      <c r="B155" s="19"/>
      <c r="C155" s="26">
        <f>IF(A155="","",ROUND((A155+cfgAjusteMES/1440)*48,0))</f>
        <v>0</v>
      </c>
      <c r="D155" s="26">
        <f>IF(C155="","",INT((C155-cfgDeslocamento)/4))</f>
        <v>0</v>
      </c>
      <c r="E155" s="26">
        <f>IF(C155="","",MOD(C155-cfgDeslocamento,4)+1)</f>
        <v>0</v>
      </c>
    </row>
    <row r="156" spans="1:5">
      <c r="A156" s="24"/>
      <c r="B156" s="19"/>
      <c r="C156" s="26">
        <f>IF(A156="","",ROUND((A156+cfgAjusteMES/1440)*48,0))</f>
        <v>0</v>
      </c>
      <c r="D156" s="26">
        <f>IF(C156="","",INT((C156-cfgDeslocamento)/4))</f>
        <v>0</v>
      </c>
      <c r="E156" s="26">
        <f>IF(C156="","",MOD(C156-cfgDeslocamento,4)+1)</f>
        <v>0</v>
      </c>
    </row>
    <row r="157" spans="1:5">
      <c r="A157" s="24"/>
      <c r="B157" s="19"/>
      <c r="C157" s="26">
        <f>IF(A157="","",ROUND((A157+cfgAjusteMES/1440)*48,0))</f>
        <v>0</v>
      </c>
      <c r="D157" s="26">
        <f>IF(C157="","",INT((C157-cfgDeslocamento)/4))</f>
        <v>0</v>
      </c>
      <c r="E157" s="26">
        <f>IF(C157="","",MOD(C157-cfgDeslocamento,4)+1)</f>
        <v>0</v>
      </c>
    </row>
    <row r="158" spans="1:5">
      <c r="A158" s="24"/>
      <c r="B158" s="19"/>
      <c r="C158" s="26">
        <f>IF(A158="","",ROUND((A158+cfgAjusteMES/1440)*48,0))</f>
        <v>0</v>
      </c>
      <c r="D158" s="26">
        <f>IF(C158="","",INT((C158-cfgDeslocamento)/4))</f>
        <v>0</v>
      </c>
      <c r="E158" s="26">
        <f>IF(C158="","",MOD(C158-cfgDeslocamento,4)+1)</f>
        <v>0</v>
      </c>
    </row>
    <row r="159" spans="1:5">
      <c r="A159" s="24"/>
      <c r="B159" s="19"/>
      <c r="C159" s="26">
        <f>IF(A159="","",ROUND((A159+cfgAjusteMES/1440)*48,0))</f>
        <v>0</v>
      </c>
      <c r="D159" s="26">
        <f>IF(C159="","",INT((C159-cfgDeslocamento)/4))</f>
        <v>0</v>
      </c>
      <c r="E159" s="26">
        <f>IF(C159="","",MOD(C159-cfgDeslocamento,4)+1)</f>
        <v>0</v>
      </c>
    </row>
    <row r="160" spans="1:5">
      <c r="A160" s="24"/>
      <c r="B160" s="19"/>
      <c r="C160" s="26">
        <f>IF(A160="","",ROUND((A160+cfgAjusteMES/1440)*48,0))</f>
        <v>0</v>
      </c>
      <c r="D160" s="26">
        <f>IF(C160="","",INT((C160-cfgDeslocamento)/4))</f>
        <v>0</v>
      </c>
      <c r="E160" s="26">
        <f>IF(C160="","",MOD(C160-cfgDeslocamento,4)+1)</f>
        <v>0</v>
      </c>
    </row>
    <row r="161" spans="1:5">
      <c r="A161" s="24"/>
      <c r="B161" s="19"/>
      <c r="C161" s="26">
        <f>IF(A161="","",ROUND((A161+cfgAjusteMES/1440)*48,0))</f>
        <v>0</v>
      </c>
      <c r="D161" s="26">
        <f>IF(C161="","",INT((C161-cfgDeslocamento)/4))</f>
        <v>0</v>
      </c>
      <c r="E161" s="26">
        <f>IF(C161="","",MOD(C161-cfgDeslocamento,4)+1)</f>
        <v>0</v>
      </c>
    </row>
    <row r="162" spans="1:5">
      <c r="A162" s="24"/>
      <c r="B162" s="19"/>
      <c r="C162" s="26">
        <f>IF(A162="","",ROUND((A162+cfgAjusteMES/1440)*48,0))</f>
        <v>0</v>
      </c>
      <c r="D162" s="26">
        <f>IF(C162="","",INT((C162-cfgDeslocamento)/4))</f>
        <v>0</v>
      </c>
      <c r="E162" s="26">
        <f>IF(C162="","",MOD(C162-cfgDeslocamento,4)+1)</f>
        <v>0</v>
      </c>
    </row>
    <row r="163" spans="1:5">
      <c r="A163" s="24"/>
      <c r="B163" s="19"/>
      <c r="C163" s="26">
        <f>IF(A163="","",ROUND((A163+cfgAjusteMES/1440)*48,0))</f>
        <v>0</v>
      </c>
      <c r="D163" s="26">
        <f>IF(C163="","",INT((C163-cfgDeslocamento)/4))</f>
        <v>0</v>
      </c>
      <c r="E163" s="26">
        <f>IF(C163="","",MOD(C163-cfgDeslocamento,4)+1)</f>
        <v>0</v>
      </c>
    </row>
    <row r="164" spans="1:5">
      <c r="A164" s="24"/>
      <c r="B164" s="19"/>
      <c r="C164" s="26">
        <f>IF(A164="","",ROUND((A164+cfgAjusteMES/1440)*48,0))</f>
        <v>0</v>
      </c>
      <c r="D164" s="26">
        <f>IF(C164="","",INT((C164-cfgDeslocamento)/4))</f>
        <v>0</v>
      </c>
      <c r="E164" s="26">
        <f>IF(C164="","",MOD(C164-cfgDeslocamento,4)+1)</f>
        <v>0</v>
      </c>
    </row>
    <row r="165" spans="1:5">
      <c r="A165" s="24"/>
      <c r="B165" s="19"/>
      <c r="C165" s="26">
        <f>IF(A165="","",ROUND((A165+cfgAjusteMES/1440)*48,0))</f>
        <v>0</v>
      </c>
      <c r="D165" s="26">
        <f>IF(C165="","",INT((C165-cfgDeslocamento)/4))</f>
        <v>0</v>
      </c>
      <c r="E165" s="26">
        <f>IF(C165="","",MOD(C165-cfgDeslocamento,4)+1)</f>
        <v>0</v>
      </c>
    </row>
    <row r="166" spans="1:5">
      <c r="A166" s="24"/>
      <c r="B166" s="19"/>
      <c r="C166" s="26">
        <f>IF(A166="","",ROUND((A166+cfgAjusteMES/1440)*48,0))</f>
        <v>0</v>
      </c>
      <c r="D166" s="26">
        <f>IF(C166="","",INT((C166-cfgDeslocamento)/4))</f>
        <v>0</v>
      </c>
      <c r="E166" s="26">
        <f>IF(C166="","",MOD(C166-cfgDeslocamento,4)+1)</f>
        <v>0</v>
      </c>
    </row>
    <row r="167" spans="1:5">
      <c r="A167" s="24"/>
      <c r="B167" s="19"/>
      <c r="C167" s="26">
        <f>IF(A167="","",ROUND((A167+cfgAjusteMES/1440)*48,0))</f>
        <v>0</v>
      </c>
      <c r="D167" s="26">
        <f>IF(C167="","",INT((C167-cfgDeslocamento)/4))</f>
        <v>0</v>
      </c>
      <c r="E167" s="26">
        <f>IF(C167="","",MOD(C167-cfgDeslocamento,4)+1)</f>
        <v>0</v>
      </c>
    </row>
    <row r="168" spans="1:5">
      <c r="A168" s="24"/>
      <c r="B168" s="19"/>
      <c r="C168" s="26">
        <f>IF(A168="","",ROUND((A168+cfgAjusteMES/1440)*48,0))</f>
        <v>0</v>
      </c>
      <c r="D168" s="26">
        <f>IF(C168="","",INT((C168-cfgDeslocamento)/4))</f>
        <v>0</v>
      </c>
      <c r="E168" s="26">
        <f>IF(C168="","",MOD(C168-cfgDeslocamento,4)+1)</f>
        <v>0</v>
      </c>
    </row>
    <row r="169" spans="1:5">
      <c r="A169" s="24"/>
      <c r="B169" s="19"/>
      <c r="C169" s="26">
        <f>IF(A169="","",ROUND((A169+cfgAjusteMES/1440)*48,0))</f>
        <v>0</v>
      </c>
      <c r="D169" s="26">
        <f>IF(C169="","",INT((C169-cfgDeslocamento)/4))</f>
        <v>0</v>
      </c>
      <c r="E169" s="26">
        <f>IF(C169="","",MOD(C169-cfgDeslocamento,4)+1)</f>
        <v>0</v>
      </c>
    </row>
    <row r="170" spans="1:5">
      <c r="A170" s="24"/>
      <c r="B170" s="19"/>
      <c r="C170" s="26">
        <f>IF(A170="","",ROUND((A170+cfgAjusteMES/1440)*48,0))</f>
        <v>0</v>
      </c>
      <c r="D170" s="26">
        <f>IF(C170="","",INT((C170-cfgDeslocamento)/4))</f>
        <v>0</v>
      </c>
      <c r="E170" s="26">
        <f>IF(C170="","",MOD(C170-cfgDeslocamento,4)+1)</f>
        <v>0</v>
      </c>
    </row>
    <row r="171" spans="1:5">
      <c r="A171" s="24"/>
      <c r="B171" s="19"/>
      <c r="C171" s="26">
        <f>IF(A171="","",ROUND((A171+cfgAjusteMES/1440)*48,0))</f>
        <v>0</v>
      </c>
      <c r="D171" s="26">
        <f>IF(C171="","",INT((C171-cfgDeslocamento)/4))</f>
        <v>0</v>
      </c>
      <c r="E171" s="26">
        <f>IF(C171="","",MOD(C171-cfgDeslocamento,4)+1)</f>
        <v>0</v>
      </c>
    </row>
    <row r="172" spans="1:5">
      <c r="A172" s="24"/>
      <c r="B172" s="19"/>
      <c r="C172" s="26">
        <f>IF(A172="","",ROUND((A172+cfgAjusteMES/1440)*48,0))</f>
        <v>0</v>
      </c>
      <c r="D172" s="26">
        <f>IF(C172="","",INT((C172-cfgDeslocamento)/4))</f>
        <v>0</v>
      </c>
      <c r="E172" s="26">
        <f>IF(C172="","",MOD(C172-cfgDeslocamento,4)+1)</f>
        <v>0</v>
      </c>
    </row>
    <row r="173" spans="1:5">
      <c r="A173" s="24"/>
      <c r="B173" s="19"/>
      <c r="C173" s="26">
        <f>IF(A173="","",ROUND((A173+cfgAjusteMES/1440)*48,0))</f>
        <v>0</v>
      </c>
      <c r="D173" s="26">
        <f>IF(C173="","",INT((C173-cfgDeslocamento)/4))</f>
        <v>0</v>
      </c>
      <c r="E173" s="26">
        <f>IF(C173="","",MOD(C173-cfgDeslocamento,4)+1)</f>
        <v>0</v>
      </c>
    </row>
    <row r="174" spans="1:5">
      <c r="A174" s="24"/>
      <c r="B174" s="19"/>
      <c r="C174" s="26">
        <f>IF(A174="","",ROUND((A174+cfgAjusteMES/1440)*48,0))</f>
        <v>0</v>
      </c>
      <c r="D174" s="26">
        <f>IF(C174="","",INT((C174-cfgDeslocamento)/4))</f>
        <v>0</v>
      </c>
      <c r="E174" s="26">
        <f>IF(C174="","",MOD(C174-cfgDeslocamento,4)+1)</f>
        <v>0</v>
      </c>
    </row>
    <row r="175" spans="1:5">
      <c r="A175" s="24"/>
      <c r="B175" s="19"/>
      <c r="C175" s="26">
        <f>IF(A175="","",ROUND((A175+cfgAjusteMES/1440)*48,0))</f>
        <v>0</v>
      </c>
      <c r="D175" s="26">
        <f>IF(C175="","",INT((C175-cfgDeslocamento)/4))</f>
        <v>0</v>
      </c>
      <c r="E175" s="26">
        <f>IF(C175="","",MOD(C175-cfgDeslocamento,4)+1)</f>
        <v>0</v>
      </c>
    </row>
    <row r="176" spans="1:5">
      <c r="A176" s="24"/>
      <c r="B176" s="19"/>
      <c r="C176" s="26">
        <f>IF(A176="","",ROUND((A176+cfgAjusteMES/1440)*48,0))</f>
        <v>0</v>
      </c>
      <c r="D176" s="26">
        <f>IF(C176="","",INT((C176-cfgDeslocamento)/4))</f>
        <v>0</v>
      </c>
      <c r="E176" s="26">
        <f>IF(C176="","",MOD(C176-cfgDeslocamento,4)+1)</f>
        <v>0</v>
      </c>
    </row>
    <row r="177" spans="1:5">
      <c r="A177" s="24"/>
      <c r="B177" s="19"/>
      <c r="C177" s="26">
        <f>IF(A177="","",ROUND((A177+cfgAjusteMES/1440)*48,0))</f>
        <v>0</v>
      </c>
      <c r="D177" s="26">
        <f>IF(C177="","",INT((C177-cfgDeslocamento)/4))</f>
        <v>0</v>
      </c>
      <c r="E177" s="26">
        <f>IF(C177="","",MOD(C177-cfgDeslocamento,4)+1)</f>
        <v>0</v>
      </c>
    </row>
    <row r="178" spans="1:5">
      <c r="A178" s="24"/>
      <c r="B178" s="19"/>
      <c r="C178" s="26">
        <f>IF(A178="","",ROUND((A178+cfgAjusteMES/1440)*48,0))</f>
        <v>0</v>
      </c>
      <c r="D178" s="26">
        <f>IF(C178="","",INT((C178-cfgDeslocamento)/4))</f>
        <v>0</v>
      </c>
      <c r="E178" s="26">
        <f>IF(C178="","",MOD(C178-cfgDeslocamento,4)+1)</f>
        <v>0</v>
      </c>
    </row>
    <row r="179" spans="1:5">
      <c r="A179" s="24"/>
      <c r="B179" s="19"/>
      <c r="C179" s="26">
        <f>IF(A179="","",ROUND((A179+cfgAjusteMES/1440)*48,0))</f>
        <v>0</v>
      </c>
      <c r="D179" s="26">
        <f>IF(C179="","",INT((C179-cfgDeslocamento)/4))</f>
        <v>0</v>
      </c>
      <c r="E179" s="26">
        <f>IF(C179="","",MOD(C179-cfgDeslocamento,4)+1)</f>
        <v>0</v>
      </c>
    </row>
    <row r="180" spans="1:5">
      <c r="A180" s="24"/>
      <c r="B180" s="19"/>
      <c r="C180" s="26">
        <f>IF(A180="","",ROUND((A180+cfgAjusteMES/1440)*48,0))</f>
        <v>0</v>
      </c>
      <c r="D180" s="26">
        <f>IF(C180="","",INT((C180-cfgDeslocamento)/4))</f>
        <v>0</v>
      </c>
      <c r="E180" s="26">
        <f>IF(C180="","",MOD(C180-cfgDeslocamento,4)+1)</f>
        <v>0</v>
      </c>
    </row>
    <row r="181" spans="1:5">
      <c r="A181" s="24"/>
      <c r="B181" s="19"/>
      <c r="C181" s="26">
        <f>IF(A181="","",ROUND((A181+cfgAjusteMES/1440)*48,0))</f>
        <v>0</v>
      </c>
      <c r="D181" s="26">
        <f>IF(C181="","",INT((C181-cfgDeslocamento)/4))</f>
        <v>0</v>
      </c>
      <c r="E181" s="26">
        <f>IF(C181="","",MOD(C181-cfgDeslocamento,4)+1)</f>
        <v>0</v>
      </c>
    </row>
    <row r="182" spans="1:5">
      <c r="A182" s="24"/>
      <c r="B182" s="19"/>
      <c r="C182" s="26">
        <f>IF(A182="","",ROUND((A182+cfgAjusteMES/1440)*48,0))</f>
        <v>0</v>
      </c>
      <c r="D182" s="26">
        <f>IF(C182="","",INT((C182-cfgDeslocamento)/4))</f>
        <v>0</v>
      </c>
      <c r="E182" s="26">
        <f>IF(C182="","",MOD(C182-cfgDeslocamento,4)+1)</f>
        <v>0</v>
      </c>
    </row>
    <row r="183" spans="1:5">
      <c r="A183" s="24"/>
      <c r="B183" s="19"/>
      <c r="C183" s="26">
        <f>IF(A183="","",ROUND((A183+cfgAjusteMES/1440)*48,0))</f>
        <v>0</v>
      </c>
      <c r="D183" s="26">
        <f>IF(C183="","",INT((C183-cfgDeslocamento)/4))</f>
        <v>0</v>
      </c>
      <c r="E183" s="26">
        <f>IF(C183="","",MOD(C183-cfgDeslocamento,4)+1)</f>
        <v>0</v>
      </c>
    </row>
    <row r="184" spans="1:5">
      <c r="A184" s="24"/>
      <c r="B184" s="19"/>
      <c r="C184" s="26">
        <f>IF(A184="","",ROUND((A184+cfgAjusteMES/1440)*48,0))</f>
        <v>0</v>
      </c>
      <c r="D184" s="26">
        <f>IF(C184="","",INT((C184-cfgDeslocamento)/4))</f>
        <v>0</v>
      </c>
      <c r="E184" s="26">
        <f>IF(C184="","",MOD(C184-cfgDeslocamento,4)+1)</f>
        <v>0</v>
      </c>
    </row>
    <row r="185" spans="1:5">
      <c r="A185" s="24"/>
      <c r="B185" s="19"/>
      <c r="C185" s="26">
        <f>IF(A185="","",ROUND((A185+cfgAjusteMES/1440)*48,0))</f>
        <v>0</v>
      </c>
      <c r="D185" s="26">
        <f>IF(C185="","",INT((C185-cfgDeslocamento)/4))</f>
        <v>0</v>
      </c>
      <c r="E185" s="26">
        <f>IF(C185="","",MOD(C185-cfgDeslocamento,4)+1)</f>
        <v>0</v>
      </c>
    </row>
    <row r="186" spans="1:5">
      <c r="A186" s="24"/>
      <c r="B186" s="19"/>
      <c r="C186" s="26">
        <f>IF(A186="","",ROUND((A186+cfgAjusteMES/1440)*48,0))</f>
        <v>0</v>
      </c>
      <c r="D186" s="26">
        <f>IF(C186="","",INT((C186-cfgDeslocamento)/4))</f>
        <v>0</v>
      </c>
      <c r="E186" s="26">
        <f>IF(C186="","",MOD(C186-cfgDeslocamento,4)+1)</f>
        <v>0</v>
      </c>
    </row>
    <row r="187" spans="1:5">
      <c r="A187" s="24"/>
      <c r="B187" s="19"/>
      <c r="C187" s="26">
        <f>IF(A187="","",ROUND((A187+cfgAjusteMES/1440)*48,0))</f>
        <v>0</v>
      </c>
      <c r="D187" s="26">
        <f>IF(C187="","",INT((C187-cfgDeslocamento)/4))</f>
        <v>0</v>
      </c>
      <c r="E187" s="26">
        <f>IF(C187="","",MOD(C187-cfgDeslocamento,4)+1)</f>
        <v>0</v>
      </c>
    </row>
    <row r="188" spans="1:5">
      <c r="A188" s="24"/>
      <c r="B188" s="19"/>
      <c r="C188" s="26">
        <f>IF(A188="","",ROUND((A188+cfgAjusteMES/1440)*48,0))</f>
        <v>0</v>
      </c>
      <c r="D188" s="26">
        <f>IF(C188="","",INT((C188-cfgDeslocamento)/4))</f>
        <v>0</v>
      </c>
      <c r="E188" s="26">
        <f>IF(C188="","",MOD(C188-cfgDeslocamento,4)+1)</f>
        <v>0</v>
      </c>
    </row>
    <row r="189" spans="1:5">
      <c r="A189" s="24"/>
      <c r="B189" s="19"/>
      <c r="C189" s="26">
        <f>IF(A189="","",ROUND((A189+cfgAjusteMES/1440)*48,0))</f>
        <v>0</v>
      </c>
      <c r="D189" s="26">
        <f>IF(C189="","",INT((C189-cfgDeslocamento)/4))</f>
        <v>0</v>
      </c>
      <c r="E189" s="26">
        <f>IF(C189="","",MOD(C189-cfgDeslocamento,4)+1)</f>
        <v>0</v>
      </c>
    </row>
    <row r="190" spans="1:5">
      <c r="A190" s="24"/>
      <c r="B190" s="19"/>
      <c r="C190" s="26">
        <f>IF(A190="","",ROUND((A190+cfgAjusteMES/1440)*48,0))</f>
        <v>0</v>
      </c>
      <c r="D190" s="26">
        <f>IF(C190="","",INT((C190-cfgDeslocamento)/4))</f>
        <v>0</v>
      </c>
      <c r="E190" s="26">
        <f>IF(C190="","",MOD(C190-cfgDeslocamento,4)+1)</f>
        <v>0</v>
      </c>
    </row>
    <row r="191" spans="1:5">
      <c r="A191" s="24"/>
      <c r="B191" s="19"/>
      <c r="C191" s="26">
        <f>IF(A191="","",ROUND((A191+cfgAjusteMES/1440)*48,0))</f>
        <v>0</v>
      </c>
      <c r="D191" s="26">
        <f>IF(C191="","",INT((C191-cfgDeslocamento)/4))</f>
        <v>0</v>
      </c>
      <c r="E191" s="26">
        <f>IF(C191="","",MOD(C191-cfgDeslocamento,4)+1)</f>
        <v>0</v>
      </c>
    </row>
    <row r="192" spans="1:5">
      <c r="A192" s="24"/>
      <c r="B192" s="19"/>
      <c r="C192" s="26">
        <f>IF(A192="","",ROUND((A192+cfgAjusteMES/1440)*48,0))</f>
        <v>0</v>
      </c>
      <c r="D192" s="26">
        <f>IF(C192="","",INT((C192-cfgDeslocamento)/4))</f>
        <v>0</v>
      </c>
      <c r="E192" s="26">
        <f>IF(C192="","",MOD(C192-cfgDeslocamento,4)+1)</f>
        <v>0</v>
      </c>
    </row>
    <row r="193" spans="1:5">
      <c r="A193" s="24"/>
      <c r="B193" s="19"/>
      <c r="C193" s="26">
        <f>IF(A193="","",ROUND((A193+cfgAjusteMES/1440)*48,0))</f>
        <v>0</v>
      </c>
      <c r="D193" s="26">
        <f>IF(C193="","",INT((C193-cfgDeslocamento)/4))</f>
        <v>0</v>
      </c>
      <c r="E193" s="26">
        <f>IF(C193="","",MOD(C193-cfgDeslocamento,4)+1)</f>
        <v>0</v>
      </c>
    </row>
    <row r="194" spans="1:5">
      <c r="A194" s="24"/>
      <c r="B194" s="19"/>
      <c r="C194" s="26">
        <f>IF(A194="","",ROUND((A194+cfgAjusteMES/1440)*48,0))</f>
        <v>0</v>
      </c>
      <c r="D194" s="26">
        <f>IF(C194="","",INT((C194-cfgDeslocamento)/4))</f>
        <v>0</v>
      </c>
      <c r="E194" s="26">
        <f>IF(C194="","",MOD(C194-cfgDeslocamento,4)+1)</f>
        <v>0</v>
      </c>
    </row>
    <row r="195" spans="1:5">
      <c r="A195" s="24"/>
      <c r="B195" s="19"/>
      <c r="C195" s="26">
        <f>IF(A195="","",ROUND((A195+cfgAjusteMES/1440)*48,0))</f>
        <v>0</v>
      </c>
      <c r="D195" s="26">
        <f>IF(C195="","",INT((C195-cfgDeslocamento)/4))</f>
        <v>0</v>
      </c>
      <c r="E195" s="26">
        <f>IF(C195="","",MOD(C195-cfgDeslocamento,4)+1)</f>
        <v>0</v>
      </c>
    </row>
    <row r="196" spans="1:5">
      <c r="A196" s="24"/>
      <c r="B196" s="19"/>
      <c r="C196" s="26">
        <f>IF(A196="","",ROUND((A196+cfgAjusteMES/1440)*48,0))</f>
        <v>0</v>
      </c>
      <c r="D196" s="26">
        <f>IF(C196="","",INT((C196-cfgDeslocamento)/4))</f>
        <v>0</v>
      </c>
      <c r="E196" s="26">
        <f>IF(C196="","",MOD(C196-cfgDeslocamento,4)+1)</f>
        <v>0</v>
      </c>
    </row>
    <row r="197" spans="1:5">
      <c r="A197" s="24"/>
      <c r="B197" s="19"/>
      <c r="C197" s="26">
        <f>IF(A197="","",ROUND((A197+cfgAjusteMES/1440)*48,0))</f>
        <v>0</v>
      </c>
      <c r="D197" s="26">
        <f>IF(C197="","",INT((C197-cfgDeslocamento)/4))</f>
        <v>0</v>
      </c>
      <c r="E197" s="26">
        <f>IF(C197="","",MOD(C197-cfgDeslocamento,4)+1)</f>
        <v>0</v>
      </c>
    </row>
    <row r="198" spans="1:5">
      <c r="A198" s="24"/>
      <c r="B198" s="19"/>
      <c r="C198" s="26">
        <f>IF(A198="","",ROUND((A198+cfgAjusteMES/1440)*48,0))</f>
        <v>0</v>
      </c>
      <c r="D198" s="26">
        <f>IF(C198="","",INT((C198-cfgDeslocamento)/4))</f>
        <v>0</v>
      </c>
      <c r="E198" s="26">
        <f>IF(C198="","",MOD(C198-cfgDeslocamento,4)+1)</f>
        <v>0</v>
      </c>
    </row>
    <row r="199" spans="1:5">
      <c r="A199" s="24"/>
      <c r="B199" s="19"/>
      <c r="C199" s="26">
        <f>IF(A199="","",ROUND((A199+cfgAjusteMES/1440)*48,0))</f>
        <v>0</v>
      </c>
      <c r="D199" s="26">
        <f>IF(C199="","",INT((C199-cfgDeslocamento)/4))</f>
        <v>0</v>
      </c>
      <c r="E199" s="26">
        <f>IF(C199="","",MOD(C199-cfgDeslocamento,4)+1)</f>
        <v>0</v>
      </c>
    </row>
    <row r="200" spans="1:5">
      <c r="A200" s="24"/>
      <c r="B200" s="19"/>
      <c r="C200" s="26">
        <f>IF(A200="","",ROUND((A200+cfgAjusteMES/1440)*48,0))</f>
        <v>0</v>
      </c>
      <c r="D200" s="26">
        <f>IF(C200="","",INT((C200-cfgDeslocamento)/4))</f>
        <v>0</v>
      </c>
      <c r="E200" s="26">
        <f>IF(C200="","",MOD(C200-cfgDeslocamento,4)+1)</f>
        <v>0</v>
      </c>
    </row>
    <row r="201" spans="1:5">
      <c r="A201" s="24"/>
      <c r="B201" s="19"/>
      <c r="C201" s="26">
        <f>IF(A201="","",ROUND((A201+cfgAjusteMES/1440)*48,0))</f>
        <v>0</v>
      </c>
      <c r="D201" s="26">
        <f>IF(C201="","",INT((C201-cfgDeslocamento)/4))</f>
        <v>0</v>
      </c>
      <c r="E201" s="26">
        <f>IF(C201="","",MOD(C201-cfgDeslocamento,4)+1)</f>
        <v>0</v>
      </c>
    </row>
    <row r="202" spans="1:5">
      <c r="A202" s="24"/>
      <c r="B202" s="19"/>
      <c r="C202" s="26">
        <f>IF(A202="","",ROUND((A202+cfgAjusteMES/1440)*48,0))</f>
        <v>0</v>
      </c>
      <c r="D202" s="26">
        <f>IF(C202="","",INT((C202-cfgDeslocamento)/4))</f>
        <v>0</v>
      </c>
      <c r="E202" s="26">
        <f>IF(C202="","",MOD(C202-cfgDeslocamento,4)+1)</f>
        <v>0</v>
      </c>
    </row>
    <row r="203" spans="1:5">
      <c r="A203" s="24"/>
      <c r="B203" s="19"/>
      <c r="C203" s="26">
        <f>IF(A203="","",ROUND((A203+cfgAjusteMES/1440)*48,0))</f>
        <v>0</v>
      </c>
      <c r="D203" s="26">
        <f>IF(C203="","",INT((C203-cfgDeslocamento)/4))</f>
        <v>0</v>
      </c>
      <c r="E203" s="26">
        <f>IF(C203="","",MOD(C203-cfgDeslocamento,4)+1)</f>
        <v>0</v>
      </c>
    </row>
    <row r="204" spans="1:5">
      <c r="A204" s="24"/>
      <c r="B204" s="19"/>
      <c r="C204" s="26">
        <f>IF(A204="","",ROUND((A204+cfgAjusteMES/1440)*48,0))</f>
        <v>0</v>
      </c>
      <c r="D204" s="26">
        <f>IF(C204="","",INT((C204-cfgDeslocamento)/4))</f>
        <v>0</v>
      </c>
      <c r="E204" s="26">
        <f>IF(C204="","",MOD(C204-cfgDeslocamento,4)+1)</f>
        <v>0</v>
      </c>
    </row>
    <row r="205" spans="1:5">
      <c r="A205" s="24"/>
      <c r="B205" s="19"/>
      <c r="C205" s="26">
        <f>IF(A205="","",ROUND((A205+cfgAjusteMES/1440)*48,0))</f>
        <v>0</v>
      </c>
      <c r="D205" s="26">
        <f>IF(C205="","",INT((C205-cfgDeslocamento)/4))</f>
        <v>0</v>
      </c>
      <c r="E205" s="26">
        <f>IF(C205="","",MOD(C205-cfgDeslocamento,4)+1)</f>
        <v>0</v>
      </c>
    </row>
    <row r="206" spans="1:5">
      <c r="A206" s="24"/>
      <c r="B206" s="19"/>
      <c r="C206" s="26">
        <f>IF(A206="","",ROUND((A206+cfgAjusteMES/1440)*48,0))</f>
        <v>0</v>
      </c>
      <c r="D206" s="26">
        <f>IF(C206="","",INT((C206-cfgDeslocamento)/4))</f>
        <v>0</v>
      </c>
      <c r="E206" s="26">
        <f>IF(C206="","",MOD(C206-cfgDeslocamento,4)+1)</f>
        <v>0</v>
      </c>
    </row>
    <row r="207" spans="1:5">
      <c r="A207" s="24"/>
      <c r="B207" s="19"/>
      <c r="C207" s="26">
        <f>IF(A207="","",ROUND((A207+cfgAjusteMES/1440)*48,0))</f>
        <v>0</v>
      </c>
      <c r="D207" s="26">
        <f>IF(C207="","",INT((C207-cfgDeslocamento)/4))</f>
        <v>0</v>
      </c>
      <c r="E207" s="26">
        <f>IF(C207="","",MOD(C207-cfgDeslocamento,4)+1)</f>
        <v>0</v>
      </c>
    </row>
    <row r="208" spans="1:5">
      <c r="A208" s="24"/>
      <c r="B208" s="19"/>
      <c r="C208" s="26">
        <f>IF(A208="","",ROUND((A208+cfgAjusteMES/1440)*48,0))</f>
        <v>0</v>
      </c>
      <c r="D208" s="26">
        <f>IF(C208="","",INT((C208-cfgDeslocamento)/4))</f>
        <v>0</v>
      </c>
      <c r="E208" s="26">
        <f>IF(C208="","",MOD(C208-cfgDeslocamento,4)+1)</f>
        <v>0</v>
      </c>
    </row>
    <row r="209" spans="1:5">
      <c r="A209" s="24"/>
      <c r="B209" s="19"/>
      <c r="C209" s="26">
        <f>IF(A209="","",ROUND((A209+cfgAjusteMES/1440)*48,0))</f>
        <v>0</v>
      </c>
      <c r="D209" s="26">
        <f>IF(C209="","",INT((C209-cfgDeslocamento)/4))</f>
        <v>0</v>
      </c>
      <c r="E209" s="26">
        <f>IF(C209="","",MOD(C209-cfgDeslocamento,4)+1)</f>
        <v>0</v>
      </c>
    </row>
    <row r="210" spans="1:5">
      <c r="A210" s="24"/>
      <c r="B210" s="19"/>
      <c r="C210" s="26">
        <f>IF(A210="","",ROUND((A210+cfgAjusteMES/1440)*48,0))</f>
        <v>0</v>
      </c>
      <c r="D210" s="26">
        <f>IF(C210="","",INT((C210-cfgDeslocamento)/4))</f>
        <v>0</v>
      </c>
      <c r="E210" s="26">
        <f>IF(C210="","",MOD(C210-cfgDeslocamento,4)+1)</f>
        <v>0</v>
      </c>
    </row>
    <row r="211" spans="1:5">
      <c r="A211" s="24"/>
      <c r="B211" s="19"/>
      <c r="C211" s="26">
        <f>IF(A211="","",ROUND((A211+cfgAjusteMES/1440)*48,0))</f>
        <v>0</v>
      </c>
      <c r="D211" s="26">
        <f>IF(C211="","",INT((C211-cfgDeslocamento)/4))</f>
        <v>0</v>
      </c>
      <c r="E211" s="26">
        <f>IF(C211="","",MOD(C211-cfgDeslocamento,4)+1)</f>
        <v>0</v>
      </c>
    </row>
    <row r="212" spans="1:5">
      <c r="A212" s="24"/>
      <c r="B212" s="19"/>
      <c r="C212" s="26">
        <f>IF(A212="","",ROUND((A212+cfgAjusteMES/1440)*48,0))</f>
        <v>0</v>
      </c>
      <c r="D212" s="26">
        <f>IF(C212="","",INT((C212-cfgDeslocamento)/4))</f>
        <v>0</v>
      </c>
      <c r="E212" s="26">
        <f>IF(C212="","",MOD(C212-cfgDeslocamento,4)+1)</f>
        <v>0</v>
      </c>
    </row>
    <row r="213" spans="1:5">
      <c r="A213" s="24"/>
      <c r="B213" s="19"/>
      <c r="C213" s="26">
        <f>IF(A213="","",ROUND((A213+cfgAjusteMES/1440)*48,0))</f>
        <v>0</v>
      </c>
      <c r="D213" s="26">
        <f>IF(C213="","",INT((C213-cfgDeslocamento)/4))</f>
        <v>0</v>
      </c>
      <c r="E213" s="26">
        <f>IF(C213="","",MOD(C213-cfgDeslocamento,4)+1)</f>
        <v>0</v>
      </c>
    </row>
    <row r="214" spans="1:5">
      <c r="A214" s="24"/>
      <c r="B214" s="19"/>
      <c r="C214" s="26">
        <f>IF(A214="","",ROUND((A214+cfgAjusteMES/1440)*48,0))</f>
        <v>0</v>
      </c>
      <c r="D214" s="26">
        <f>IF(C214="","",INT((C214-cfgDeslocamento)/4))</f>
        <v>0</v>
      </c>
      <c r="E214" s="26">
        <f>IF(C214="","",MOD(C214-cfgDeslocamento,4)+1)</f>
        <v>0</v>
      </c>
    </row>
    <row r="215" spans="1:5">
      <c r="A215" s="24"/>
      <c r="B215" s="19"/>
      <c r="C215" s="26">
        <f>IF(A215="","",ROUND((A215+cfgAjusteMES/1440)*48,0))</f>
        <v>0</v>
      </c>
      <c r="D215" s="26">
        <f>IF(C215="","",INT((C215-cfgDeslocamento)/4))</f>
        <v>0</v>
      </c>
      <c r="E215" s="26">
        <f>IF(C215="","",MOD(C215-cfgDeslocamento,4)+1)</f>
        <v>0</v>
      </c>
    </row>
    <row r="216" spans="1:5">
      <c r="A216" s="24"/>
      <c r="B216" s="19"/>
      <c r="C216" s="26">
        <f>IF(A216="","",ROUND((A216+cfgAjusteMES/1440)*48,0))</f>
        <v>0</v>
      </c>
      <c r="D216" s="26">
        <f>IF(C216="","",INT((C216-cfgDeslocamento)/4))</f>
        <v>0</v>
      </c>
      <c r="E216" s="26">
        <f>IF(C216="","",MOD(C216-cfgDeslocamento,4)+1)</f>
        <v>0</v>
      </c>
    </row>
    <row r="217" spans="1:5">
      <c r="A217" s="24"/>
      <c r="B217" s="19"/>
      <c r="C217" s="26">
        <f>IF(A217="","",ROUND((A217+cfgAjusteMES/1440)*48,0))</f>
        <v>0</v>
      </c>
      <c r="D217" s="26">
        <f>IF(C217="","",INT((C217-cfgDeslocamento)/4))</f>
        <v>0</v>
      </c>
      <c r="E217" s="26">
        <f>IF(C217="","",MOD(C217-cfgDeslocamento,4)+1)</f>
        <v>0</v>
      </c>
    </row>
    <row r="218" spans="1:5">
      <c r="A218" s="24"/>
      <c r="B218" s="19"/>
      <c r="C218" s="26">
        <f>IF(A218="","",ROUND((A218+cfgAjusteMES/1440)*48,0))</f>
        <v>0</v>
      </c>
      <c r="D218" s="26">
        <f>IF(C218="","",INT((C218-cfgDeslocamento)/4))</f>
        <v>0</v>
      </c>
      <c r="E218" s="26">
        <f>IF(C218="","",MOD(C218-cfgDeslocamento,4)+1)</f>
        <v>0</v>
      </c>
    </row>
    <row r="219" spans="1:5">
      <c r="A219" s="24"/>
      <c r="B219" s="19"/>
      <c r="C219" s="26">
        <f>IF(A219="","",ROUND((A219+cfgAjusteMES/1440)*48,0))</f>
        <v>0</v>
      </c>
      <c r="D219" s="26">
        <f>IF(C219="","",INT((C219-cfgDeslocamento)/4))</f>
        <v>0</v>
      </c>
      <c r="E219" s="26">
        <f>IF(C219="","",MOD(C219-cfgDeslocamento,4)+1)</f>
        <v>0</v>
      </c>
    </row>
    <row r="220" spans="1:5">
      <c r="A220" s="24"/>
      <c r="B220" s="19"/>
      <c r="C220" s="26">
        <f>IF(A220="","",ROUND((A220+cfgAjusteMES/1440)*48,0))</f>
        <v>0</v>
      </c>
      <c r="D220" s="26">
        <f>IF(C220="","",INT((C220-cfgDeslocamento)/4))</f>
        <v>0</v>
      </c>
      <c r="E220" s="26">
        <f>IF(C220="","",MOD(C220-cfgDeslocamento,4)+1)</f>
        <v>0</v>
      </c>
    </row>
    <row r="221" spans="1:5">
      <c r="A221" s="24"/>
      <c r="B221" s="19"/>
      <c r="C221" s="26">
        <f>IF(A221="","",ROUND((A221+cfgAjusteMES/1440)*48,0))</f>
        <v>0</v>
      </c>
      <c r="D221" s="26">
        <f>IF(C221="","",INT((C221-cfgDeslocamento)/4))</f>
        <v>0</v>
      </c>
      <c r="E221" s="26">
        <f>IF(C221="","",MOD(C221-cfgDeslocamento,4)+1)</f>
        <v>0</v>
      </c>
    </row>
    <row r="222" spans="1:5">
      <c r="A222" s="24"/>
      <c r="B222" s="19"/>
      <c r="C222" s="26">
        <f>IF(A222="","",ROUND((A222+cfgAjusteMES/1440)*48,0))</f>
        <v>0</v>
      </c>
      <c r="D222" s="26">
        <f>IF(C222="","",INT((C222-cfgDeslocamento)/4))</f>
        <v>0</v>
      </c>
      <c r="E222" s="26">
        <f>IF(C222="","",MOD(C222-cfgDeslocamento,4)+1)</f>
        <v>0</v>
      </c>
    </row>
    <row r="223" spans="1:5">
      <c r="A223" s="24"/>
      <c r="B223" s="19"/>
      <c r="C223" s="26">
        <f>IF(A223="","",ROUND((A223+cfgAjusteMES/1440)*48,0))</f>
        <v>0</v>
      </c>
      <c r="D223" s="26">
        <f>IF(C223="","",INT((C223-cfgDeslocamento)/4))</f>
        <v>0</v>
      </c>
      <c r="E223" s="26">
        <f>IF(C223="","",MOD(C223-cfgDeslocamento,4)+1)</f>
        <v>0</v>
      </c>
    </row>
    <row r="224" spans="1:5">
      <c r="A224" s="24"/>
      <c r="B224" s="19"/>
      <c r="C224" s="26">
        <f>IF(A224="","",ROUND((A224+cfgAjusteMES/1440)*48,0))</f>
        <v>0</v>
      </c>
      <c r="D224" s="26">
        <f>IF(C224="","",INT((C224-cfgDeslocamento)/4))</f>
        <v>0</v>
      </c>
      <c r="E224" s="26">
        <f>IF(C224="","",MOD(C224-cfgDeslocamento,4)+1)</f>
        <v>0</v>
      </c>
    </row>
    <row r="225" spans="1:5">
      <c r="A225" s="24"/>
      <c r="B225" s="19"/>
      <c r="C225" s="26">
        <f>IF(A225="","",ROUND((A225+cfgAjusteMES/1440)*48,0))</f>
        <v>0</v>
      </c>
      <c r="D225" s="26">
        <f>IF(C225="","",INT((C225-cfgDeslocamento)/4))</f>
        <v>0</v>
      </c>
      <c r="E225" s="26">
        <f>IF(C225="","",MOD(C225-cfgDeslocamento,4)+1)</f>
        <v>0</v>
      </c>
    </row>
    <row r="226" spans="1:5">
      <c r="A226" s="24"/>
      <c r="B226" s="19"/>
      <c r="C226" s="26">
        <f>IF(A226="","",ROUND((A226+cfgAjusteMES/1440)*48,0))</f>
        <v>0</v>
      </c>
      <c r="D226" s="26">
        <f>IF(C226="","",INT((C226-cfgDeslocamento)/4))</f>
        <v>0</v>
      </c>
      <c r="E226" s="26">
        <f>IF(C226="","",MOD(C226-cfgDeslocamento,4)+1)</f>
        <v>0</v>
      </c>
    </row>
    <row r="227" spans="1:5">
      <c r="A227" s="24"/>
      <c r="B227" s="19"/>
      <c r="C227" s="26">
        <f>IF(A227="","",ROUND((A227+cfgAjusteMES/1440)*48,0))</f>
        <v>0</v>
      </c>
      <c r="D227" s="26">
        <f>IF(C227="","",INT((C227-cfgDeslocamento)/4))</f>
        <v>0</v>
      </c>
      <c r="E227" s="26">
        <f>IF(C227="","",MOD(C227-cfgDeslocamento,4)+1)</f>
        <v>0</v>
      </c>
    </row>
    <row r="228" spans="1:5">
      <c r="A228" s="24"/>
      <c r="B228" s="19"/>
      <c r="C228" s="26">
        <f>IF(A228="","",ROUND((A228+cfgAjusteMES/1440)*48,0))</f>
        <v>0</v>
      </c>
      <c r="D228" s="26">
        <f>IF(C228="","",INT((C228-cfgDeslocamento)/4))</f>
        <v>0</v>
      </c>
      <c r="E228" s="26">
        <f>IF(C228="","",MOD(C228-cfgDeslocamento,4)+1)</f>
        <v>0</v>
      </c>
    </row>
    <row r="229" spans="1:5">
      <c r="A229" s="24"/>
      <c r="B229" s="19"/>
      <c r="C229" s="26">
        <f>IF(A229="","",ROUND((A229+cfgAjusteMES/1440)*48,0))</f>
        <v>0</v>
      </c>
      <c r="D229" s="26">
        <f>IF(C229="","",INT((C229-cfgDeslocamento)/4))</f>
        <v>0</v>
      </c>
      <c r="E229" s="26">
        <f>IF(C229="","",MOD(C229-cfgDeslocamento,4)+1)</f>
        <v>0</v>
      </c>
    </row>
    <row r="230" spans="1:5">
      <c r="A230" s="24"/>
      <c r="B230" s="19"/>
      <c r="C230" s="26">
        <f>IF(A230="","",ROUND((A230+cfgAjusteMES/1440)*48,0))</f>
        <v>0</v>
      </c>
      <c r="D230" s="26">
        <f>IF(C230="","",INT((C230-cfgDeslocamento)/4))</f>
        <v>0</v>
      </c>
      <c r="E230" s="26">
        <f>IF(C230="","",MOD(C230-cfgDeslocamento,4)+1)</f>
        <v>0</v>
      </c>
    </row>
    <row r="231" spans="1:5">
      <c r="A231" s="24"/>
      <c r="B231" s="19"/>
      <c r="C231" s="26">
        <f>IF(A231="","",ROUND((A231+cfgAjusteMES/1440)*48,0))</f>
        <v>0</v>
      </c>
      <c r="D231" s="26">
        <f>IF(C231="","",INT((C231-cfgDeslocamento)/4))</f>
        <v>0</v>
      </c>
      <c r="E231" s="26">
        <f>IF(C231="","",MOD(C231-cfgDeslocamento,4)+1)</f>
        <v>0</v>
      </c>
    </row>
    <row r="232" spans="1:5">
      <c r="A232" s="24"/>
      <c r="B232" s="19"/>
      <c r="C232" s="26">
        <f>IF(A232="","",ROUND((A232+cfgAjusteMES/1440)*48,0))</f>
        <v>0</v>
      </c>
      <c r="D232" s="26">
        <f>IF(C232="","",INT((C232-cfgDeslocamento)/4))</f>
        <v>0</v>
      </c>
      <c r="E232" s="26">
        <f>IF(C232="","",MOD(C232-cfgDeslocamento,4)+1)</f>
        <v>0</v>
      </c>
    </row>
    <row r="233" spans="1:5">
      <c r="A233" s="24"/>
      <c r="B233" s="19"/>
      <c r="C233" s="26">
        <f>IF(A233="","",ROUND((A233+cfgAjusteMES/1440)*48,0))</f>
        <v>0</v>
      </c>
      <c r="D233" s="26">
        <f>IF(C233="","",INT((C233-cfgDeslocamento)/4))</f>
        <v>0</v>
      </c>
      <c r="E233" s="26">
        <f>IF(C233="","",MOD(C233-cfgDeslocamento,4)+1)</f>
        <v>0</v>
      </c>
    </row>
    <row r="234" spans="1:5">
      <c r="A234" s="24"/>
      <c r="B234" s="19"/>
      <c r="C234" s="26">
        <f>IF(A234="","",ROUND((A234+cfgAjusteMES/1440)*48,0))</f>
        <v>0</v>
      </c>
      <c r="D234" s="26">
        <f>IF(C234="","",INT((C234-cfgDeslocamento)/4))</f>
        <v>0</v>
      </c>
      <c r="E234" s="26">
        <f>IF(C234="","",MOD(C234-cfgDeslocamento,4)+1)</f>
        <v>0</v>
      </c>
    </row>
    <row r="235" spans="1:5">
      <c r="A235" s="24"/>
      <c r="B235" s="19"/>
      <c r="C235" s="26">
        <f>IF(A235="","",ROUND((A235+cfgAjusteMES/1440)*48,0))</f>
        <v>0</v>
      </c>
      <c r="D235" s="26">
        <f>IF(C235="","",INT((C235-cfgDeslocamento)/4))</f>
        <v>0</v>
      </c>
      <c r="E235" s="26">
        <f>IF(C235="","",MOD(C235-cfgDeslocamento,4)+1)</f>
        <v>0</v>
      </c>
    </row>
    <row r="236" spans="1:5">
      <c r="A236" s="24"/>
      <c r="B236" s="19"/>
      <c r="C236" s="26">
        <f>IF(A236="","",ROUND((A236+cfgAjusteMES/1440)*48,0))</f>
        <v>0</v>
      </c>
      <c r="D236" s="26">
        <f>IF(C236="","",INT((C236-cfgDeslocamento)/4))</f>
        <v>0</v>
      </c>
      <c r="E236" s="26">
        <f>IF(C236="","",MOD(C236-cfgDeslocamento,4)+1)</f>
        <v>0</v>
      </c>
    </row>
    <row r="237" spans="1:5">
      <c r="A237" s="24"/>
      <c r="B237" s="19"/>
      <c r="C237" s="26">
        <f>IF(A237="","",ROUND((A237+cfgAjusteMES/1440)*48,0))</f>
        <v>0</v>
      </c>
      <c r="D237" s="26">
        <f>IF(C237="","",INT((C237-cfgDeslocamento)/4))</f>
        <v>0</v>
      </c>
      <c r="E237" s="26">
        <f>IF(C237="","",MOD(C237-cfgDeslocamento,4)+1)</f>
        <v>0</v>
      </c>
    </row>
    <row r="238" spans="1:5">
      <c r="A238" s="24"/>
      <c r="B238" s="19"/>
      <c r="C238" s="26">
        <f>IF(A238="","",ROUND((A238+cfgAjusteMES/1440)*48,0))</f>
        <v>0</v>
      </c>
      <c r="D238" s="26">
        <f>IF(C238="","",INT((C238-cfgDeslocamento)/4))</f>
        <v>0</v>
      </c>
      <c r="E238" s="26">
        <f>IF(C238="","",MOD(C238-cfgDeslocamento,4)+1)</f>
        <v>0</v>
      </c>
    </row>
    <row r="239" spans="1:5">
      <c r="A239" s="24"/>
      <c r="B239" s="19"/>
      <c r="C239" s="26">
        <f>IF(A239="","",ROUND((A239+cfgAjusteMES/1440)*48,0))</f>
        <v>0</v>
      </c>
      <c r="D239" s="26">
        <f>IF(C239="","",INT((C239-cfgDeslocamento)/4))</f>
        <v>0</v>
      </c>
      <c r="E239" s="26">
        <f>IF(C239="","",MOD(C239-cfgDeslocamento,4)+1)</f>
        <v>0</v>
      </c>
    </row>
    <row r="240" spans="1:5">
      <c r="A240" s="24"/>
      <c r="B240" s="19"/>
      <c r="C240" s="26">
        <f>IF(A240="","",ROUND((A240+cfgAjusteMES/1440)*48,0))</f>
        <v>0</v>
      </c>
      <c r="D240" s="26">
        <f>IF(C240="","",INT((C240-cfgDeslocamento)/4))</f>
        <v>0</v>
      </c>
      <c r="E240" s="26">
        <f>IF(C240="","",MOD(C240-cfgDeslocamento,4)+1)</f>
        <v>0</v>
      </c>
    </row>
    <row r="241" spans="1:5">
      <c r="A241" s="24"/>
      <c r="B241" s="19"/>
      <c r="C241" s="26">
        <f>IF(A241="","",ROUND((A241+cfgAjusteMES/1440)*48,0))</f>
        <v>0</v>
      </c>
      <c r="D241" s="26">
        <f>IF(C241="","",INT((C241-cfgDeslocamento)/4))</f>
        <v>0</v>
      </c>
      <c r="E241" s="26">
        <f>IF(C241="","",MOD(C241-cfgDeslocamento,4)+1)</f>
        <v>0</v>
      </c>
    </row>
    <row r="242" spans="1:5">
      <c r="A242" s="24"/>
      <c r="B242" s="19"/>
      <c r="C242" s="26">
        <f>IF(A242="","",ROUND((A242+cfgAjusteMES/1440)*48,0))</f>
        <v>0</v>
      </c>
      <c r="D242" s="26">
        <f>IF(C242="","",INT((C242-cfgDeslocamento)/4))</f>
        <v>0</v>
      </c>
      <c r="E242" s="26">
        <f>IF(C242="","",MOD(C242-cfgDeslocamento,4)+1)</f>
        <v>0</v>
      </c>
    </row>
    <row r="243" spans="1:5">
      <c r="A243" s="24"/>
      <c r="B243" s="19"/>
      <c r="C243" s="26">
        <f>IF(A243="","",ROUND((A243+cfgAjusteMES/1440)*48,0))</f>
        <v>0</v>
      </c>
      <c r="D243" s="26">
        <f>IF(C243="","",INT((C243-cfgDeslocamento)/4))</f>
        <v>0</v>
      </c>
      <c r="E243" s="26">
        <f>IF(C243="","",MOD(C243-cfgDeslocamento,4)+1)</f>
        <v>0</v>
      </c>
    </row>
    <row r="244" spans="1:5">
      <c r="A244" s="24"/>
      <c r="B244" s="19"/>
      <c r="C244" s="26">
        <f>IF(A244="","",ROUND((A244+cfgAjusteMES/1440)*48,0))</f>
        <v>0</v>
      </c>
      <c r="D244" s="26">
        <f>IF(C244="","",INT((C244-cfgDeslocamento)/4))</f>
        <v>0</v>
      </c>
      <c r="E244" s="26">
        <f>IF(C244="","",MOD(C244-cfgDeslocamento,4)+1)</f>
        <v>0</v>
      </c>
    </row>
    <row r="245" spans="1:5">
      <c r="A245" s="24"/>
      <c r="B245" s="19"/>
      <c r="C245" s="26">
        <f>IF(A245="","",ROUND((A245+cfgAjusteMES/1440)*48,0))</f>
        <v>0</v>
      </c>
      <c r="D245" s="26">
        <f>IF(C245="","",INT((C245-cfgDeslocamento)/4))</f>
        <v>0</v>
      </c>
      <c r="E245" s="26">
        <f>IF(C245="","",MOD(C245-cfgDeslocamento,4)+1)</f>
        <v>0</v>
      </c>
    </row>
    <row r="246" spans="1:5">
      <c r="A246" s="24"/>
      <c r="B246" s="19"/>
      <c r="C246" s="26">
        <f>IF(A246="","",ROUND((A246+cfgAjusteMES/1440)*48,0))</f>
        <v>0</v>
      </c>
      <c r="D246" s="26">
        <f>IF(C246="","",INT((C246-cfgDeslocamento)/4))</f>
        <v>0</v>
      </c>
      <c r="E246" s="26">
        <f>IF(C246="","",MOD(C246-cfgDeslocamento,4)+1)</f>
        <v>0</v>
      </c>
    </row>
    <row r="247" spans="1:5">
      <c r="A247" s="24"/>
      <c r="B247" s="19"/>
      <c r="C247" s="26">
        <f>IF(A247="","",ROUND((A247+cfgAjusteMES/1440)*48,0))</f>
        <v>0</v>
      </c>
      <c r="D247" s="26">
        <f>IF(C247="","",INT((C247-cfgDeslocamento)/4))</f>
        <v>0</v>
      </c>
      <c r="E247" s="26">
        <f>IF(C247="","",MOD(C247-cfgDeslocamento,4)+1)</f>
        <v>0</v>
      </c>
    </row>
    <row r="248" spans="1:5">
      <c r="A248" s="24"/>
      <c r="B248" s="19"/>
      <c r="C248" s="26">
        <f>IF(A248="","",ROUND((A248+cfgAjusteMES/1440)*48,0))</f>
        <v>0</v>
      </c>
      <c r="D248" s="26">
        <f>IF(C248="","",INT((C248-cfgDeslocamento)/4))</f>
        <v>0</v>
      </c>
      <c r="E248" s="26">
        <f>IF(C248="","",MOD(C248-cfgDeslocamento,4)+1)</f>
        <v>0</v>
      </c>
    </row>
    <row r="249" spans="1:5">
      <c r="A249" s="24"/>
      <c r="B249" s="19"/>
      <c r="C249" s="26">
        <f>IF(A249="","",ROUND((A249+cfgAjusteMES/1440)*48,0))</f>
        <v>0</v>
      </c>
      <c r="D249" s="26">
        <f>IF(C249="","",INT((C249-cfgDeslocamento)/4))</f>
        <v>0</v>
      </c>
      <c r="E249" s="26">
        <f>IF(C249="","",MOD(C249-cfgDeslocamento,4)+1)</f>
        <v>0</v>
      </c>
    </row>
    <row r="250" spans="1:5">
      <c r="A250" s="24"/>
      <c r="B250" s="19"/>
      <c r="C250" s="26">
        <f>IF(A250="","",ROUND((A250+cfgAjusteMES/1440)*48,0))</f>
        <v>0</v>
      </c>
      <c r="D250" s="26">
        <f>IF(C250="","",INT((C250-cfgDeslocamento)/4))</f>
        <v>0</v>
      </c>
      <c r="E250" s="26">
        <f>IF(C250="","",MOD(C250-cfgDeslocamento,4)+1)</f>
        <v>0</v>
      </c>
    </row>
    <row r="251" spans="1:5">
      <c r="A251" s="24"/>
      <c r="B251" s="19"/>
      <c r="C251" s="26">
        <f>IF(A251="","",ROUND((A251+cfgAjusteMES/1440)*48,0))</f>
        <v>0</v>
      </c>
      <c r="D251" s="26">
        <f>IF(C251="","",INT((C251-cfgDeslocamento)/4))</f>
        <v>0</v>
      </c>
      <c r="E251" s="26">
        <f>IF(C251="","",MOD(C251-cfgDeslocamento,4)+1)</f>
        <v>0</v>
      </c>
    </row>
    <row r="252" spans="1:5">
      <c r="A252" s="24"/>
      <c r="B252" s="19"/>
      <c r="C252" s="26">
        <f>IF(A252="","",ROUND((A252+cfgAjusteMES/1440)*48,0))</f>
        <v>0</v>
      </c>
      <c r="D252" s="26">
        <f>IF(C252="","",INT((C252-cfgDeslocamento)/4))</f>
        <v>0</v>
      </c>
      <c r="E252" s="26">
        <f>IF(C252="","",MOD(C252-cfgDeslocamento,4)+1)</f>
        <v>0</v>
      </c>
    </row>
    <row r="253" spans="1:5">
      <c r="A253" s="24"/>
      <c r="B253" s="19"/>
      <c r="C253" s="26">
        <f>IF(A253="","",ROUND((A253+cfgAjusteMES/1440)*48,0))</f>
        <v>0</v>
      </c>
      <c r="D253" s="26">
        <f>IF(C253="","",INT((C253-cfgDeslocamento)/4))</f>
        <v>0</v>
      </c>
      <c r="E253" s="26">
        <f>IF(C253="","",MOD(C253-cfgDeslocamento,4)+1)</f>
        <v>0</v>
      </c>
    </row>
    <row r="254" spans="1:5">
      <c r="A254" s="24"/>
      <c r="B254" s="19"/>
      <c r="C254" s="26">
        <f>IF(A254="","",ROUND((A254+cfgAjusteMES/1440)*48,0))</f>
        <v>0</v>
      </c>
      <c r="D254" s="26">
        <f>IF(C254="","",INT((C254-cfgDeslocamento)/4))</f>
        <v>0</v>
      </c>
      <c r="E254" s="26">
        <f>IF(C254="","",MOD(C254-cfgDeslocamento,4)+1)</f>
        <v>0</v>
      </c>
    </row>
    <row r="255" spans="1:5">
      <c r="A255" s="24"/>
      <c r="B255" s="19"/>
      <c r="C255" s="26">
        <f>IF(A255="","",ROUND((A255+cfgAjusteMES/1440)*48,0))</f>
        <v>0</v>
      </c>
      <c r="D255" s="26">
        <f>IF(C255="","",INT((C255-cfgDeslocamento)/4))</f>
        <v>0</v>
      </c>
      <c r="E255" s="26">
        <f>IF(C255="","",MOD(C255-cfgDeslocamento,4)+1)</f>
        <v>0</v>
      </c>
    </row>
    <row r="256" spans="1:5">
      <c r="A256" s="24"/>
      <c r="B256" s="19"/>
      <c r="C256" s="26">
        <f>IF(A256="","",ROUND((A256+cfgAjusteMES/1440)*48,0))</f>
        <v>0</v>
      </c>
      <c r="D256" s="26">
        <f>IF(C256="","",INT((C256-cfgDeslocamento)/4))</f>
        <v>0</v>
      </c>
      <c r="E256" s="26">
        <f>IF(C256="","",MOD(C256-cfgDeslocamento,4)+1)</f>
        <v>0</v>
      </c>
    </row>
    <row r="257" spans="1:5">
      <c r="A257" s="24"/>
      <c r="B257" s="19"/>
      <c r="C257" s="26">
        <f>IF(A257="","",ROUND((A257+cfgAjusteMES/1440)*48,0))</f>
        <v>0</v>
      </c>
      <c r="D257" s="26">
        <f>IF(C257="","",INT((C257-cfgDeslocamento)/4))</f>
        <v>0</v>
      </c>
      <c r="E257" s="26">
        <f>IF(C257="","",MOD(C257-cfgDeslocamento,4)+1)</f>
        <v>0</v>
      </c>
    </row>
    <row r="258" spans="1:5">
      <c r="A258" s="24"/>
      <c r="B258" s="19"/>
      <c r="C258" s="26">
        <f>IF(A258="","",ROUND((A258+cfgAjusteMES/1440)*48,0))</f>
        <v>0</v>
      </c>
      <c r="D258" s="26">
        <f>IF(C258="","",INT((C258-cfgDeslocamento)/4))</f>
        <v>0</v>
      </c>
      <c r="E258" s="26">
        <f>IF(C258="","",MOD(C258-cfgDeslocamento,4)+1)</f>
        <v>0</v>
      </c>
    </row>
    <row r="259" spans="1:5">
      <c r="A259" s="24"/>
      <c r="B259" s="19"/>
      <c r="C259" s="26">
        <f>IF(A259="","",ROUND((A259+cfgAjusteMES/1440)*48,0))</f>
        <v>0</v>
      </c>
      <c r="D259" s="26">
        <f>IF(C259="","",INT((C259-cfgDeslocamento)/4))</f>
        <v>0</v>
      </c>
      <c r="E259" s="26">
        <f>IF(C259="","",MOD(C259-cfgDeslocamento,4)+1)</f>
        <v>0</v>
      </c>
    </row>
    <row r="260" spans="1:5">
      <c r="A260" s="24"/>
      <c r="B260" s="19"/>
      <c r="C260" s="26">
        <f>IF(A260="","",ROUND((A260+cfgAjusteMES/1440)*48,0))</f>
        <v>0</v>
      </c>
      <c r="D260" s="26">
        <f>IF(C260="","",INT((C260-cfgDeslocamento)/4))</f>
        <v>0</v>
      </c>
      <c r="E260" s="26">
        <f>IF(C260="","",MOD(C260-cfgDeslocamento,4)+1)</f>
        <v>0</v>
      </c>
    </row>
    <row r="261" spans="1:5">
      <c r="A261" s="24"/>
      <c r="B261" s="19"/>
      <c r="C261" s="26">
        <f>IF(A261="","",ROUND((A261+cfgAjusteMES/1440)*48,0))</f>
        <v>0</v>
      </c>
      <c r="D261" s="26">
        <f>IF(C261="","",INT((C261-cfgDeslocamento)/4))</f>
        <v>0</v>
      </c>
      <c r="E261" s="26">
        <f>IF(C261="","",MOD(C261-cfgDeslocamento,4)+1)</f>
        <v>0</v>
      </c>
    </row>
    <row r="262" spans="1:5">
      <c r="A262" s="24"/>
      <c r="B262" s="19"/>
      <c r="C262" s="26">
        <f>IF(A262="","",ROUND((A262+cfgAjusteMES/1440)*48,0))</f>
        <v>0</v>
      </c>
      <c r="D262" s="26">
        <f>IF(C262="","",INT((C262-cfgDeslocamento)/4))</f>
        <v>0</v>
      </c>
      <c r="E262" s="26">
        <f>IF(C262="","",MOD(C262-cfgDeslocamento,4)+1)</f>
        <v>0</v>
      </c>
    </row>
    <row r="263" spans="1:5">
      <c r="A263" s="24"/>
      <c r="B263" s="19"/>
      <c r="C263" s="26">
        <f>IF(A263="","",ROUND((A263+cfgAjusteMES/1440)*48,0))</f>
        <v>0</v>
      </c>
      <c r="D263" s="26">
        <f>IF(C263="","",INT((C263-cfgDeslocamento)/4))</f>
        <v>0</v>
      </c>
      <c r="E263" s="26">
        <f>IF(C263="","",MOD(C263-cfgDeslocamento,4)+1)</f>
        <v>0</v>
      </c>
    </row>
    <row r="264" spans="1:5">
      <c r="A264" s="24"/>
      <c r="B264" s="19"/>
      <c r="C264" s="26">
        <f>IF(A264="","",ROUND((A264+cfgAjusteMES/1440)*48,0))</f>
        <v>0</v>
      </c>
      <c r="D264" s="26">
        <f>IF(C264="","",INT((C264-cfgDeslocamento)/4))</f>
        <v>0</v>
      </c>
      <c r="E264" s="26">
        <f>IF(C264="","",MOD(C264-cfgDeslocamento,4)+1)</f>
        <v>0</v>
      </c>
    </row>
    <row r="265" spans="1:5">
      <c r="A265" s="24"/>
      <c r="B265" s="19"/>
      <c r="C265" s="26">
        <f>IF(A265="","",ROUND((A265+cfgAjusteMES/1440)*48,0))</f>
        <v>0</v>
      </c>
      <c r="D265" s="26">
        <f>IF(C265="","",INT((C265-cfgDeslocamento)/4))</f>
        <v>0</v>
      </c>
      <c r="E265" s="26">
        <f>IF(C265="","",MOD(C265-cfgDeslocamento,4)+1)</f>
        <v>0</v>
      </c>
    </row>
    <row r="266" spans="1:5">
      <c r="A266" s="24"/>
      <c r="B266" s="19"/>
      <c r="C266" s="26">
        <f>IF(A266="","",ROUND((A266+cfgAjusteMES/1440)*48,0))</f>
        <v>0</v>
      </c>
      <c r="D266" s="26">
        <f>IF(C266="","",INT((C266-cfgDeslocamento)/4))</f>
        <v>0</v>
      </c>
      <c r="E266" s="26">
        <f>IF(C266="","",MOD(C266-cfgDeslocamento,4)+1)</f>
        <v>0</v>
      </c>
    </row>
    <row r="267" spans="1:5">
      <c r="A267" s="24"/>
      <c r="B267" s="19"/>
      <c r="C267" s="26">
        <f>IF(A267="","",ROUND((A267+cfgAjusteMES/1440)*48,0))</f>
        <v>0</v>
      </c>
      <c r="D267" s="26">
        <f>IF(C267="","",INT((C267-cfgDeslocamento)/4))</f>
        <v>0</v>
      </c>
      <c r="E267" s="26">
        <f>IF(C267="","",MOD(C267-cfgDeslocamento,4)+1)</f>
        <v>0</v>
      </c>
    </row>
    <row r="268" spans="1:5">
      <c r="A268" s="24"/>
      <c r="B268" s="19"/>
      <c r="C268" s="26">
        <f>IF(A268="","",ROUND((A268+cfgAjusteMES/1440)*48,0))</f>
        <v>0</v>
      </c>
      <c r="D268" s="26">
        <f>IF(C268="","",INT((C268-cfgDeslocamento)/4))</f>
        <v>0</v>
      </c>
      <c r="E268" s="26">
        <f>IF(C268="","",MOD(C268-cfgDeslocamento,4)+1)</f>
        <v>0</v>
      </c>
    </row>
    <row r="269" spans="1:5">
      <c r="A269" s="24"/>
      <c r="B269" s="19"/>
      <c r="C269" s="26">
        <f>IF(A269="","",ROUND((A269+cfgAjusteMES/1440)*48,0))</f>
        <v>0</v>
      </c>
      <c r="D269" s="26">
        <f>IF(C269="","",INT((C269-cfgDeslocamento)/4))</f>
        <v>0</v>
      </c>
      <c r="E269" s="26">
        <f>IF(C269="","",MOD(C269-cfgDeslocamento,4)+1)</f>
        <v>0</v>
      </c>
    </row>
    <row r="270" spans="1:5">
      <c r="A270" s="24"/>
      <c r="B270" s="19"/>
      <c r="C270" s="26">
        <f>IF(A270="","",ROUND((A270+cfgAjusteMES/1440)*48,0))</f>
        <v>0</v>
      </c>
      <c r="D270" s="26">
        <f>IF(C270="","",INT((C270-cfgDeslocamento)/4))</f>
        <v>0</v>
      </c>
      <c r="E270" s="26">
        <f>IF(C270="","",MOD(C270-cfgDeslocamento,4)+1)</f>
        <v>0</v>
      </c>
    </row>
    <row r="271" spans="1:5">
      <c r="A271" s="24"/>
      <c r="B271" s="19"/>
      <c r="C271" s="26">
        <f>IF(A271="","",ROUND((A271+cfgAjusteMES/1440)*48,0))</f>
        <v>0</v>
      </c>
      <c r="D271" s="26">
        <f>IF(C271="","",INT((C271-cfgDeslocamento)/4))</f>
        <v>0</v>
      </c>
      <c r="E271" s="26">
        <f>IF(C271="","",MOD(C271-cfgDeslocamento,4)+1)</f>
        <v>0</v>
      </c>
    </row>
    <row r="272" spans="1:5">
      <c r="A272" s="24"/>
      <c r="B272" s="19"/>
      <c r="C272" s="26">
        <f>IF(A272="","",ROUND((A272+cfgAjusteMES/1440)*48,0))</f>
        <v>0</v>
      </c>
      <c r="D272" s="26">
        <f>IF(C272="","",INT((C272-cfgDeslocamento)/4))</f>
        <v>0</v>
      </c>
      <c r="E272" s="26">
        <f>IF(C272="","",MOD(C272-cfgDeslocamento,4)+1)</f>
        <v>0</v>
      </c>
    </row>
    <row r="273" spans="1:5">
      <c r="A273" s="24"/>
      <c r="B273" s="19"/>
      <c r="C273" s="26">
        <f>IF(A273="","",ROUND((A273+cfgAjusteMES/1440)*48,0))</f>
        <v>0</v>
      </c>
      <c r="D273" s="26">
        <f>IF(C273="","",INT((C273-cfgDeslocamento)/4))</f>
        <v>0</v>
      </c>
      <c r="E273" s="26">
        <f>IF(C273="","",MOD(C273-cfgDeslocamento,4)+1)</f>
        <v>0</v>
      </c>
    </row>
    <row r="274" spans="1:5">
      <c r="A274" s="24"/>
      <c r="B274" s="19"/>
      <c r="C274" s="26">
        <f>IF(A274="","",ROUND((A274+cfgAjusteMES/1440)*48,0))</f>
        <v>0</v>
      </c>
      <c r="D274" s="26">
        <f>IF(C274="","",INT((C274-cfgDeslocamento)/4))</f>
        <v>0</v>
      </c>
      <c r="E274" s="26">
        <f>IF(C274="","",MOD(C274-cfgDeslocamento,4)+1)</f>
        <v>0</v>
      </c>
    </row>
    <row r="275" spans="1:5">
      <c r="A275" s="24"/>
      <c r="B275" s="19"/>
      <c r="C275" s="26">
        <f>IF(A275="","",ROUND((A275+cfgAjusteMES/1440)*48,0))</f>
        <v>0</v>
      </c>
      <c r="D275" s="26">
        <f>IF(C275="","",INT((C275-cfgDeslocamento)/4))</f>
        <v>0</v>
      </c>
      <c r="E275" s="26">
        <f>IF(C275="","",MOD(C275-cfgDeslocamento,4)+1)</f>
        <v>0</v>
      </c>
    </row>
    <row r="276" spans="1:5">
      <c r="A276" s="24"/>
      <c r="B276" s="19"/>
      <c r="C276" s="26">
        <f>IF(A276="","",ROUND((A276+cfgAjusteMES/1440)*48,0))</f>
        <v>0</v>
      </c>
      <c r="D276" s="26">
        <f>IF(C276="","",INT((C276-cfgDeslocamento)/4))</f>
        <v>0</v>
      </c>
      <c r="E276" s="26">
        <f>IF(C276="","",MOD(C276-cfgDeslocamento,4)+1)</f>
        <v>0</v>
      </c>
    </row>
    <row r="277" spans="1:5">
      <c r="A277" s="24"/>
      <c r="B277" s="19"/>
      <c r="C277" s="26">
        <f>IF(A277="","",ROUND((A277+cfgAjusteMES/1440)*48,0))</f>
        <v>0</v>
      </c>
      <c r="D277" s="26">
        <f>IF(C277="","",INT((C277-cfgDeslocamento)/4))</f>
        <v>0</v>
      </c>
      <c r="E277" s="26">
        <f>IF(C277="","",MOD(C277-cfgDeslocamento,4)+1)</f>
        <v>0</v>
      </c>
    </row>
    <row r="278" spans="1:5">
      <c r="A278" s="24"/>
      <c r="B278" s="19"/>
      <c r="C278" s="26">
        <f>IF(A278="","",ROUND((A278+cfgAjusteMES/1440)*48,0))</f>
        <v>0</v>
      </c>
      <c r="D278" s="26">
        <f>IF(C278="","",INT((C278-cfgDeslocamento)/4))</f>
        <v>0</v>
      </c>
      <c r="E278" s="26">
        <f>IF(C278="","",MOD(C278-cfgDeslocamento,4)+1)</f>
        <v>0</v>
      </c>
    </row>
    <row r="279" spans="1:5">
      <c r="A279" s="24"/>
      <c r="B279" s="19"/>
      <c r="C279" s="26">
        <f>IF(A279="","",ROUND((A279+cfgAjusteMES/1440)*48,0))</f>
        <v>0</v>
      </c>
      <c r="D279" s="26">
        <f>IF(C279="","",INT((C279-cfgDeslocamento)/4))</f>
        <v>0</v>
      </c>
      <c r="E279" s="26">
        <f>IF(C279="","",MOD(C279-cfgDeslocamento,4)+1)</f>
        <v>0</v>
      </c>
    </row>
    <row r="280" spans="1:5">
      <c r="A280" s="24"/>
      <c r="B280" s="19"/>
      <c r="C280" s="26">
        <f>IF(A280="","",ROUND((A280+cfgAjusteMES/1440)*48,0))</f>
        <v>0</v>
      </c>
      <c r="D280" s="26">
        <f>IF(C280="","",INT((C280-cfgDeslocamento)/4))</f>
        <v>0</v>
      </c>
      <c r="E280" s="26">
        <f>IF(C280="","",MOD(C280-cfgDeslocamento,4)+1)</f>
        <v>0</v>
      </c>
    </row>
    <row r="281" spans="1:5">
      <c r="A281" s="24"/>
      <c r="B281" s="19"/>
      <c r="C281" s="26">
        <f>IF(A281="","",ROUND((A281+cfgAjusteMES/1440)*48,0))</f>
        <v>0</v>
      </c>
      <c r="D281" s="26">
        <f>IF(C281="","",INT((C281-cfgDeslocamento)/4))</f>
        <v>0</v>
      </c>
      <c r="E281" s="26">
        <f>IF(C281="","",MOD(C281-cfgDeslocamento,4)+1)</f>
        <v>0</v>
      </c>
    </row>
    <row r="282" spans="1:5">
      <c r="A282" s="24"/>
      <c r="B282" s="19"/>
      <c r="C282" s="26">
        <f>IF(A282="","",ROUND((A282+cfgAjusteMES/1440)*48,0))</f>
        <v>0</v>
      </c>
      <c r="D282" s="26">
        <f>IF(C282="","",INT((C282-cfgDeslocamento)/4))</f>
        <v>0</v>
      </c>
      <c r="E282" s="26">
        <f>IF(C282="","",MOD(C282-cfgDeslocamento,4)+1)</f>
        <v>0</v>
      </c>
    </row>
    <row r="283" spans="1:5">
      <c r="A283" s="24"/>
      <c r="B283" s="19"/>
      <c r="C283" s="26">
        <f>IF(A283="","",ROUND((A283+cfgAjusteMES/1440)*48,0))</f>
        <v>0</v>
      </c>
      <c r="D283" s="26">
        <f>IF(C283="","",INT((C283-cfgDeslocamento)/4))</f>
        <v>0</v>
      </c>
      <c r="E283" s="26">
        <f>IF(C283="","",MOD(C283-cfgDeslocamento,4)+1)</f>
        <v>0</v>
      </c>
    </row>
    <row r="284" spans="1:5">
      <c r="A284" s="24"/>
      <c r="B284" s="19"/>
      <c r="C284" s="26">
        <f>IF(A284="","",ROUND((A284+cfgAjusteMES/1440)*48,0))</f>
        <v>0</v>
      </c>
      <c r="D284" s="26">
        <f>IF(C284="","",INT((C284-cfgDeslocamento)/4))</f>
        <v>0</v>
      </c>
      <c r="E284" s="26">
        <f>IF(C284="","",MOD(C284-cfgDeslocamento,4)+1)</f>
        <v>0</v>
      </c>
    </row>
    <row r="285" spans="1:5">
      <c r="A285" s="24"/>
      <c r="B285" s="19"/>
      <c r="C285" s="26">
        <f>IF(A285="","",ROUND((A285+cfgAjusteMES/1440)*48,0))</f>
        <v>0</v>
      </c>
      <c r="D285" s="26">
        <f>IF(C285="","",INT((C285-cfgDeslocamento)/4))</f>
        <v>0</v>
      </c>
      <c r="E285" s="26">
        <f>IF(C285="","",MOD(C285-cfgDeslocamento,4)+1)</f>
        <v>0</v>
      </c>
    </row>
    <row r="286" spans="1:5">
      <c r="A286" s="24"/>
      <c r="B286" s="19"/>
      <c r="C286" s="26">
        <f>IF(A286="","",ROUND((A286+cfgAjusteMES/1440)*48,0))</f>
        <v>0</v>
      </c>
      <c r="D286" s="26">
        <f>IF(C286="","",INT((C286-cfgDeslocamento)/4))</f>
        <v>0</v>
      </c>
      <c r="E286" s="26">
        <f>IF(C286="","",MOD(C286-cfgDeslocamento,4)+1)</f>
        <v>0</v>
      </c>
    </row>
    <row r="287" spans="1:5">
      <c r="A287" s="24"/>
      <c r="B287" s="19"/>
      <c r="C287" s="26">
        <f>IF(A287="","",ROUND((A287+cfgAjusteMES/1440)*48,0))</f>
        <v>0</v>
      </c>
      <c r="D287" s="26">
        <f>IF(C287="","",INT((C287-cfgDeslocamento)/4))</f>
        <v>0</v>
      </c>
      <c r="E287" s="26">
        <f>IF(C287="","",MOD(C287-cfgDeslocamento,4)+1)</f>
        <v>0</v>
      </c>
    </row>
    <row r="288" spans="1:5">
      <c r="A288" s="24"/>
      <c r="B288" s="19"/>
      <c r="C288" s="26">
        <f>IF(A288="","",ROUND((A288+cfgAjusteMES/1440)*48,0))</f>
        <v>0</v>
      </c>
      <c r="D288" s="26">
        <f>IF(C288="","",INT((C288-cfgDeslocamento)/4))</f>
        <v>0</v>
      </c>
      <c r="E288" s="26">
        <f>IF(C288="","",MOD(C288-cfgDeslocamento,4)+1)</f>
        <v>0</v>
      </c>
    </row>
    <row r="289" spans="1:5">
      <c r="A289" s="24"/>
      <c r="B289" s="19"/>
      <c r="C289" s="26">
        <f>IF(A289="","",ROUND((A289+cfgAjusteMES/1440)*48,0))</f>
        <v>0</v>
      </c>
      <c r="D289" s="26">
        <f>IF(C289="","",INT((C289-cfgDeslocamento)/4))</f>
        <v>0</v>
      </c>
      <c r="E289" s="26">
        <f>IF(C289="","",MOD(C289-cfgDeslocamento,4)+1)</f>
        <v>0</v>
      </c>
    </row>
    <row r="290" spans="1:5">
      <c r="A290" s="24"/>
      <c r="B290" s="19"/>
      <c r="C290" s="26">
        <f>IF(A290="","",ROUND((A290+cfgAjusteMES/1440)*48,0))</f>
        <v>0</v>
      </c>
      <c r="D290" s="26">
        <f>IF(C290="","",INT((C290-cfgDeslocamento)/4))</f>
        <v>0</v>
      </c>
      <c r="E290" s="26">
        <f>IF(C290="","",MOD(C290-cfgDeslocamento,4)+1)</f>
        <v>0</v>
      </c>
    </row>
    <row r="291" spans="1:5">
      <c r="A291" s="24"/>
      <c r="B291" s="19"/>
      <c r="C291" s="26">
        <f>IF(A291="","",ROUND((A291+cfgAjusteMES/1440)*48,0))</f>
        <v>0</v>
      </c>
      <c r="D291" s="26">
        <f>IF(C291="","",INT((C291-cfgDeslocamento)/4))</f>
        <v>0</v>
      </c>
      <c r="E291" s="26">
        <f>IF(C291="","",MOD(C291-cfgDeslocamento,4)+1)</f>
        <v>0</v>
      </c>
    </row>
    <row r="292" spans="1:5">
      <c r="A292" s="24"/>
      <c r="B292" s="19"/>
      <c r="C292" s="26">
        <f>IF(A292="","",ROUND((A292+cfgAjusteMES/1440)*48,0))</f>
        <v>0</v>
      </c>
      <c r="D292" s="26">
        <f>IF(C292="","",INT((C292-cfgDeslocamento)/4))</f>
        <v>0</v>
      </c>
      <c r="E292" s="26">
        <f>IF(C292="","",MOD(C292-cfgDeslocamento,4)+1)</f>
        <v>0</v>
      </c>
    </row>
    <row r="293" spans="1:5">
      <c r="A293" s="24"/>
      <c r="B293" s="19"/>
      <c r="C293" s="26">
        <f>IF(A293="","",ROUND((A293+cfgAjusteMES/1440)*48,0))</f>
        <v>0</v>
      </c>
      <c r="D293" s="26">
        <f>IF(C293="","",INT((C293-cfgDeslocamento)/4))</f>
        <v>0</v>
      </c>
      <c r="E293" s="26">
        <f>IF(C293="","",MOD(C293-cfgDeslocamento,4)+1)</f>
        <v>0</v>
      </c>
    </row>
    <row r="294" spans="1:5">
      <c r="A294" s="24"/>
      <c r="B294" s="19"/>
      <c r="C294" s="26">
        <f>IF(A294="","",ROUND((A294+cfgAjusteMES/1440)*48,0))</f>
        <v>0</v>
      </c>
      <c r="D294" s="26">
        <f>IF(C294="","",INT((C294-cfgDeslocamento)/4))</f>
        <v>0</v>
      </c>
      <c r="E294" s="26">
        <f>IF(C294="","",MOD(C294-cfgDeslocamento,4)+1)</f>
        <v>0</v>
      </c>
    </row>
    <row r="295" spans="1:5">
      <c r="A295" s="24"/>
      <c r="B295" s="19"/>
      <c r="C295" s="26">
        <f>IF(A295="","",ROUND((A295+cfgAjusteMES/1440)*48,0))</f>
        <v>0</v>
      </c>
      <c r="D295" s="26">
        <f>IF(C295="","",INT((C295-cfgDeslocamento)/4))</f>
        <v>0</v>
      </c>
      <c r="E295" s="26">
        <f>IF(C295="","",MOD(C295-cfgDeslocamento,4)+1)</f>
        <v>0</v>
      </c>
    </row>
    <row r="296" spans="1:5">
      <c r="A296" s="24"/>
      <c r="B296" s="19"/>
      <c r="C296" s="26">
        <f>IF(A296="","",ROUND((A296+cfgAjusteMES/1440)*48,0))</f>
        <v>0</v>
      </c>
      <c r="D296" s="26">
        <f>IF(C296="","",INT((C296-cfgDeslocamento)/4))</f>
        <v>0</v>
      </c>
      <c r="E296" s="26">
        <f>IF(C296="","",MOD(C296-cfgDeslocamento,4)+1)</f>
        <v>0</v>
      </c>
    </row>
    <row r="297" spans="1:5">
      <c r="A297" s="24"/>
      <c r="B297" s="19"/>
      <c r="C297" s="26">
        <f>IF(A297="","",ROUND((A297+cfgAjusteMES/1440)*48,0))</f>
        <v>0</v>
      </c>
      <c r="D297" s="26">
        <f>IF(C297="","",INT((C297-cfgDeslocamento)/4))</f>
        <v>0</v>
      </c>
      <c r="E297" s="26">
        <f>IF(C297="","",MOD(C297-cfgDeslocamento,4)+1)</f>
        <v>0</v>
      </c>
    </row>
    <row r="298" spans="1:5">
      <c r="A298" s="24"/>
      <c r="B298" s="19"/>
      <c r="C298" s="26">
        <f>IF(A298="","",ROUND((A298+cfgAjusteMES/1440)*48,0))</f>
        <v>0</v>
      </c>
      <c r="D298" s="26">
        <f>IF(C298="","",INT((C298-cfgDeslocamento)/4))</f>
        <v>0</v>
      </c>
      <c r="E298" s="26">
        <f>IF(C298="","",MOD(C298-cfgDeslocamento,4)+1)</f>
        <v>0</v>
      </c>
    </row>
    <row r="299" spans="1:5">
      <c r="A299" s="24"/>
      <c r="B299" s="19"/>
      <c r="C299" s="26">
        <f>IF(A299="","",ROUND((A299+cfgAjusteMES/1440)*48,0))</f>
        <v>0</v>
      </c>
      <c r="D299" s="26">
        <f>IF(C299="","",INT((C299-cfgDeslocamento)/4))</f>
        <v>0</v>
      </c>
      <c r="E299" s="26">
        <f>IF(C299="","",MOD(C299-cfgDeslocamento,4)+1)</f>
        <v>0</v>
      </c>
    </row>
    <row r="300" spans="1:5">
      <c r="A300" s="24"/>
      <c r="B300" s="19"/>
      <c r="C300" s="26">
        <f>IF(A300="","",ROUND((A300+cfgAjusteMES/1440)*48,0))</f>
        <v>0</v>
      </c>
      <c r="D300" s="26">
        <f>IF(C300="","",INT((C300-cfgDeslocamento)/4))</f>
        <v>0</v>
      </c>
      <c r="E300" s="26">
        <f>IF(C300="","",MOD(C300-cfgDeslocamento,4)+1)</f>
        <v>0</v>
      </c>
    </row>
    <row r="301" spans="1:5">
      <c r="A301" s="24"/>
      <c r="B301" s="19"/>
      <c r="C301" s="26">
        <f>IF(A301="","",ROUND((A301+cfgAjusteMES/1440)*48,0))</f>
        <v>0</v>
      </c>
      <c r="D301" s="26">
        <f>IF(C301="","",INT((C301-cfgDeslocamento)/4))</f>
        <v>0</v>
      </c>
      <c r="E301" s="26">
        <f>IF(C301="","",MOD(C301-cfgDeslocamento,4)+1)</f>
        <v>0</v>
      </c>
    </row>
    <row r="302" spans="1:5">
      <c r="A302" s="24"/>
      <c r="B302" s="19"/>
      <c r="C302" s="26">
        <f>IF(A302="","",ROUND((A302+cfgAjusteMES/1440)*48,0))</f>
        <v>0</v>
      </c>
      <c r="D302" s="26">
        <f>IF(C302="","",INT((C302-cfgDeslocamento)/4))</f>
        <v>0</v>
      </c>
      <c r="E302" s="26">
        <f>IF(C302="","",MOD(C302-cfgDeslocamento,4)+1)</f>
        <v>0</v>
      </c>
    </row>
    <row r="303" spans="1:5">
      <c r="A303" s="24"/>
      <c r="B303" s="19"/>
      <c r="C303" s="26">
        <f>IF(A303="","",ROUND((A303+cfgAjusteMES/1440)*48,0))</f>
        <v>0</v>
      </c>
      <c r="D303" s="26">
        <f>IF(C303="","",INT((C303-cfgDeslocamento)/4))</f>
        <v>0</v>
      </c>
      <c r="E303" s="26">
        <f>IF(C303="","",MOD(C303-cfgDeslocamento,4)+1)</f>
        <v>0</v>
      </c>
    </row>
    <row r="304" spans="1:5">
      <c r="A304" s="24"/>
      <c r="B304" s="19"/>
      <c r="C304" s="26">
        <f>IF(A304="","",ROUND((A304+cfgAjusteMES/1440)*48,0))</f>
        <v>0</v>
      </c>
      <c r="D304" s="26">
        <f>IF(C304="","",INT((C304-cfgDeslocamento)/4))</f>
        <v>0</v>
      </c>
      <c r="E304" s="26">
        <f>IF(C304="","",MOD(C304-cfgDeslocamento,4)+1)</f>
        <v>0</v>
      </c>
    </row>
    <row r="305" spans="1:5">
      <c r="A305" s="24"/>
      <c r="B305" s="19"/>
      <c r="C305" s="26">
        <f>IF(A305="","",ROUND((A305+cfgAjusteMES/1440)*48,0))</f>
        <v>0</v>
      </c>
      <c r="D305" s="26">
        <f>IF(C305="","",INT((C305-cfgDeslocamento)/4))</f>
        <v>0</v>
      </c>
      <c r="E305" s="26">
        <f>IF(C305="","",MOD(C305-cfgDeslocamento,4)+1)</f>
        <v>0</v>
      </c>
    </row>
    <row r="306" spans="1:5">
      <c r="A306" s="24"/>
      <c r="B306" s="19"/>
      <c r="C306" s="26">
        <f>IF(A306="","",ROUND((A306+cfgAjusteMES/1440)*48,0))</f>
        <v>0</v>
      </c>
      <c r="D306" s="26">
        <f>IF(C306="","",INT((C306-cfgDeslocamento)/4))</f>
        <v>0</v>
      </c>
      <c r="E306" s="26">
        <f>IF(C306="","",MOD(C306-cfgDeslocamento,4)+1)</f>
        <v>0</v>
      </c>
    </row>
    <row r="307" spans="1:5">
      <c r="A307" s="24"/>
      <c r="B307" s="19"/>
      <c r="C307" s="26">
        <f>IF(A307="","",ROUND((A307+cfgAjusteMES/1440)*48,0))</f>
        <v>0</v>
      </c>
      <c r="D307" s="26">
        <f>IF(C307="","",INT((C307-cfgDeslocamento)/4))</f>
        <v>0</v>
      </c>
      <c r="E307" s="26">
        <f>IF(C307="","",MOD(C307-cfgDeslocamento,4)+1)</f>
        <v>0</v>
      </c>
    </row>
    <row r="308" spans="1:5">
      <c r="A308" s="24"/>
      <c r="B308" s="19"/>
      <c r="C308" s="26">
        <f>IF(A308="","",ROUND((A308+cfgAjusteMES/1440)*48,0))</f>
        <v>0</v>
      </c>
      <c r="D308" s="26">
        <f>IF(C308="","",INT((C308-cfgDeslocamento)/4))</f>
        <v>0</v>
      </c>
      <c r="E308" s="26">
        <f>IF(C308="","",MOD(C308-cfgDeslocamento,4)+1)</f>
        <v>0</v>
      </c>
    </row>
    <row r="309" spans="1:5">
      <c r="A309" s="24"/>
      <c r="B309" s="19"/>
      <c r="C309" s="26">
        <f>IF(A309="","",ROUND((A309+cfgAjusteMES/1440)*48,0))</f>
        <v>0</v>
      </c>
      <c r="D309" s="26">
        <f>IF(C309="","",INT((C309-cfgDeslocamento)/4))</f>
        <v>0</v>
      </c>
      <c r="E309" s="26">
        <f>IF(C309="","",MOD(C309-cfgDeslocamento,4)+1)</f>
        <v>0</v>
      </c>
    </row>
    <row r="310" spans="1:5">
      <c r="A310" s="24"/>
      <c r="B310" s="19"/>
      <c r="C310" s="26">
        <f>IF(A310="","",ROUND((A310+cfgAjusteMES/1440)*48,0))</f>
        <v>0</v>
      </c>
      <c r="D310" s="26">
        <f>IF(C310="","",INT((C310-cfgDeslocamento)/4))</f>
        <v>0</v>
      </c>
      <c r="E310" s="26">
        <f>IF(C310="","",MOD(C310-cfgDeslocamento,4)+1)</f>
        <v>0</v>
      </c>
    </row>
    <row r="311" spans="1:5">
      <c r="A311" s="24"/>
      <c r="B311" s="19"/>
      <c r="C311" s="26">
        <f>IF(A311="","",ROUND((A311+cfgAjusteMES/1440)*48,0))</f>
        <v>0</v>
      </c>
      <c r="D311" s="26">
        <f>IF(C311="","",INT((C311-cfgDeslocamento)/4))</f>
        <v>0</v>
      </c>
      <c r="E311" s="26">
        <f>IF(C311="","",MOD(C311-cfgDeslocamento,4)+1)</f>
        <v>0</v>
      </c>
    </row>
    <row r="312" spans="1:5">
      <c r="A312" s="24"/>
      <c r="B312" s="19"/>
      <c r="C312" s="26">
        <f>IF(A312="","",ROUND((A312+cfgAjusteMES/1440)*48,0))</f>
        <v>0</v>
      </c>
      <c r="D312" s="26">
        <f>IF(C312="","",INT((C312-cfgDeslocamento)/4))</f>
        <v>0</v>
      </c>
      <c r="E312" s="26">
        <f>IF(C312="","",MOD(C312-cfgDeslocamento,4)+1)</f>
        <v>0</v>
      </c>
    </row>
    <row r="313" spans="1:5">
      <c r="A313" s="24"/>
      <c r="B313" s="19"/>
      <c r="C313" s="26">
        <f>IF(A313="","",ROUND((A313+cfgAjusteMES/1440)*48,0))</f>
        <v>0</v>
      </c>
      <c r="D313" s="26">
        <f>IF(C313="","",INT((C313-cfgDeslocamento)/4))</f>
        <v>0</v>
      </c>
      <c r="E313" s="26">
        <f>IF(C313="","",MOD(C313-cfgDeslocamento,4)+1)</f>
        <v>0</v>
      </c>
    </row>
    <row r="314" spans="1:5">
      <c r="A314" s="24"/>
      <c r="B314" s="19"/>
      <c r="C314" s="26">
        <f>IF(A314="","",ROUND((A314+cfgAjusteMES/1440)*48,0))</f>
        <v>0</v>
      </c>
      <c r="D314" s="26">
        <f>IF(C314="","",INT((C314-cfgDeslocamento)/4))</f>
        <v>0</v>
      </c>
      <c r="E314" s="26">
        <f>IF(C314="","",MOD(C314-cfgDeslocamento,4)+1)</f>
        <v>0</v>
      </c>
    </row>
    <row r="315" spans="1:5">
      <c r="A315" s="24"/>
      <c r="B315" s="19"/>
      <c r="C315" s="26">
        <f>IF(A315="","",ROUND((A315+cfgAjusteMES/1440)*48,0))</f>
        <v>0</v>
      </c>
      <c r="D315" s="26">
        <f>IF(C315="","",INT((C315-cfgDeslocamento)/4))</f>
        <v>0</v>
      </c>
      <c r="E315" s="26">
        <f>IF(C315="","",MOD(C315-cfgDeslocamento,4)+1)</f>
        <v>0</v>
      </c>
    </row>
    <row r="316" spans="1:5">
      <c r="A316" s="24"/>
      <c r="B316" s="19"/>
      <c r="C316" s="26">
        <f>IF(A316="","",ROUND((A316+cfgAjusteMES/1440)*48,0))</f>
        <v>0</v>
      </c>
      <c r="D316" s="26">
        <f>IF(C316="","",INT((C316-cfgDeslocamento)/4))</f>
        <v>0</v>
      </c>
      <c r="E316" s="26">
        <f>IF(C316="","",MOD(C316-cfgDeslocamento,4)+1)</f>
        <v>0</v>
      </c>
    </row>
    <row r="317" spans="1:5">
      <c r="A317" s="24"/>
      <c r="B317" s="19"/>
      <c r="C317" s="26">
        <f>IF(A317="","",ROUND((A317+cfgAjusteMES/1440)*48,0))</f>
        <v>0</v>
      </c>
      <c r="D317" s="26">
        <f>IF(C317="","",INT((C317-cfgDeslocamento)/4))</f>
        <v>0</v>
      </c>
      <c r="E317" s="26">
        <f>IF(C317="","",MOD(C317-cfgDeslocamento,4)+1)</f>
        <v>0</v>
      </c>
    </row>
    <row r="318" spans="1:5">
      <c r="A318" s="24"/>
      <c r="B318" s="19"/>
      <c r="C318" s="26">
        <f>IF(A318="","",ROUND((A318+cfgAjusteMES/1440)*48,0))</f>
        <v>0</v>
      </c>
      <c r="D318" s="26">
        <f>IF(C318="","",INT((C318-cfgDeslocamento)/4))</f>
        <v>0</v>
      </c>
      <c r="E318" s="26">
        <f>IF(C318="","",MOD(C318-cfgDeslocamento,4)+1)</f>
        <v>0</v>
      </c>
    </row>
    <row r="319" spans="1:5">
      <c r="A319" s="24"/>
      <c r="B319" s="19"/>
      <c r="C319" s="26">
        <f>IF(A319="","",ROUND((A319+cfgAjusteMES/1440)*48,0))</f>
        <v>0</v>
      </c>
      <c r="D319" s="26">
        <f>IF(C319="","",INT((C319-cfgDeslocamento)/4))</f>
        <v>0</v>
      </c>
      <c r="E319" s="26">
        <f>IF(C319="","",MOD(C319-cfgDeslocamento,4)+1)</f>
        <v>0</v>
      </c>
    </row>
    <row r="320" spans="1:5">
      <c r="A320" s="24"/>
      <c r="B320" s="19"/>
      <c r="C320" s="26">
        <f>IF(A320="","",ROUND((A320+cfgAjusteMES/1440)*48,0))</f>
        <v>0</v>
      </c>
      <c r="D320" s="26">
        <f>IF(C320="","",INT((C320-cfgDeslocamento)/4))</f>
        <v>0</v>
      </c>
      <c r="E320" s="26">
        <f>IF(C320="","",MOD(C320-cfgDeslocamento,4)+1)</f>
        <v>0</v>
      </c>
    </row>
    <row r="321" spans="1:5">
      <c r="A321" s="24"/>
      <c r="B321" s="19"/>
      <c r="C321" s="26">
        <f>IF(A321="","",ROUND((A321+cfgAjusteMES/1440)*48,0))</f>
        <v>0</v>
      </c>
      <c r="D321" s="26">
        <f>IF(C321="","",INT((C321-cfgDeslocamento)/4))</f>
        <v>0</v>
      </c>
      <c r="E321" s="26">
        <f>IF(C321="","",MOD(C321-cfgDeslocamento,4)+1)</f>
        <v>0</v>
      </c>
    </row>
    <row r="322" spans="1:5">
      <c r="A322" s="24"/>
      <c r="B322" s="19"/>
      <c r="C322" s="26">
        <f>IF(A322="","",ROUND((A322+cfgAjusteMES/1440)*48,0))</f>
        <v>0</v>
      </c>
      <c r="D322" s="26">
        <f>IF(C322="","",INT((C322-cfgDeslocamento)/4))</f>
        <v>0</v>
      </c>
      <c r="E322" s="26">
        <f>IF(C322="","",MOD(C322-cfgDeslocamento,4)+1)</f>
        <v>0</v>
      </c>
    </row>
    <row r="323" spans="1:5">
      <c r="A323" s="24"/>
      <c r="B323" s="19"/>
      <c r="C323" s="26">
        <f>IF(A323="","",ROUND((A323+cfgAjusteMES/1440)*48,0))</f>
        <v>0</v>
      </c>
      <c r="D323" s="26">
        <f>IF(C323="","",INT((C323-cfgDeslocamento)/4))</f>
        <v>0</v>
      </c>
      <c r="E323" s="26">
        <f>IF(C323="","",MOD(C323-cfgDeslocamento,4)+1)</f>
        <v>0</v>
      </c>
    </row>
    <row r="324" spans="1:5">
      <c r="A324" s="24"/>
      <c r="B324" s="19"/>
      <c r="C324" s="26">
        <f>IF(A324="","",ROUND((A324+cfgAjusteMES/1440)*48,0))</f>
        <v>0</v>
      </c>
      <c r="D324" s="26">
        <f>IF(C324="","",INT((C324-cfgDeslocamento)/4))</f>
        <v>0</v>
      </c>
      <c r="E324" s="26">
        <f>IF(C324="","",MOD(C324-cfgDeslocamento,4)+1)</f>
        <v>0</v>
      </c>
    </row>
    <row r="325" spans="1:5">
      <c r="A325" s="24"/>
      <c r="B325" s="19"/>
      <c r="C325" s="26">
        <f>IF(A325="","",ROUND((A325+cfgAjusteMES/1440)*48,0))</f>
        <v>0</v>
      </c>
      <c r="D325" s="26">
        <f>IF(C325="","",INT((C325-cfgDeslocamento)/4))</f>
        <v>0</v>
      </c>
      <c r="E325" s="26">
        <f>IF(C325="","",MOD(C325-cfgDeslocamento,4)+1)</f>
        <v>0</v>
      </c>
    </row>
    <row r="326" spans="1:5">
      <c r="A326" s="24"/>
      <c r="B326" s="19"/>
      <c r="C326" s="26">
        <f>IF(A326="","",ROUND((A326+cfgAjusteMES/1440)*48,0))</f>
        <v>0</v>
      </c>
      <c r="D326" s="26">
        <f>IF(C326="","",INT((C326-cfgDeslocamento)/4))</f>
        <v>0</v>
      </c>
      <c r="E326" s="26">
        <f>IF(C326="","",MOD(C326-cfgDeslocamento,4)+1)</f>
        <v>0</v>
      </c>
    </row>
    <row r="327" spans="1:5">
      <c r="A327" s="24"/>
      <c r="B327" s="19"/>
      <c r="C327" s="26">
        <f>IF(A327="","",ROUND((A327+cfgAjusteMES/1440)*48,0))</f>
        <v>0</v>
      </c>
      <c r="D327" s="26">
        <f>IF(C327="","",INT((C327-cfgDeslocamento)/4))</f>
        <v>0</v>
      </c>
      <c r="E327" s="26">
        <f>IF(C327="","",MOD(C327-cfgDeslocamento,4)+1)</f>
        <v>0</v>
      </c>
    </row>
    <row r="328" spans="1:5">
      <c r="A328" s="24"/>
      <c r="B328" s="19"/>
      <c r="C328" s="26">
        <f>IF(A328="","",ROUND((A328+cfgAjusteMES/1440)*48,0))</f>
        <v>0</v>
      </c>
      <c r="D328" s="26">
        <f>IF(C328="","",INT((C328-cfgDeslocamento)/4))</f>
        <v>0</v>
      </c>
      <c r="E328" s="26">
        <f>IF(C328="","",MOD(C328-cfgDeslocamento,4)+1)</f>
        <v>0</v>
      </c>
    </row>
    <row r="329" spans="1:5">
      <c r="A329" s="24"/>
      <c r="B329" s="19"/>
      <c r="C329" s="26">
        <f>IF(A329="","",ROUND((A329+cfgAjusteMES/1440)*48,0))</f>
        <v>0</v>
      </c>
      <c r="D329" s="26">
        <f>IF(C329="","",INT((C329-cfgDeslocamento)/4))</f>
        <v>0</v>
      </c>
      <c r="E329" s="26">
        <f>IF(C329="","",MOD(C329-cfgDeslocamento,4)+1)</f>
        <v>0</v>
      </c>
    </row>
    <row r="330" spans="1:5">
      <c r="A330" s="24"/>
      <c r="B330" s="19"/>
      <c r="C330" s="26">
        <f>IF(A330="","",ROUND((A330+cfgAjusteMES/1440)*48,0))</f>
        <v>0</v>
      </c>
      <c r="D330" s="26">
        <f>IF(C330="","",INT((C330-cfgDeslocamento)/4))</f>
        <v>0</v>
      </c>
      <c r="E330" s="26">
        <f>IF(C330="","",MOD(C330-cfgDeslocamento,4)+1)</f>
        <v>0</v>
      </c>
    </row>
    <row r="331" spans="1:5">
      <c r="A331" s="24"/>
      <c r="B331" s="19"/>
      <c r="C331" s="26">
        <f>IF(A331="","",ROUND((A331+cfgAjusteMES/1440)*48,0))</f>
        <v>0</v>
      </c>
      <c r="D331" s="26">
        <f>IF(C331="","",INT((C331-cfgDeslocamento)/4))</f>
        <v>0</v>
      </c>
      <c r="E331" s="26">
        <f>IF(C331="","",MOD(C331-cfgDeslocamento,4)+1)</f>
        <v>0</v>
      </c>
    </row>
    <row r="332" spans="1:5">
      <c r="A332" s="24"/>
      <c r="B332" s="19"/>
      <c r="C332" s="26">
        <f>IF(A332="","",ROUND((A332+cfgAjusteMES/1440)*48,0))</f>
        <v>0</v>
      </c>
      <c r="D332" s="26">
        <f>IF(C332="","",INT((C332-cfgDeslocamento)/4))</f>
        <v>0</v>
      </c>
      <c r="E332" s="26">
        <f>IF(C332="","",MOD(C332-cfgDeslocamento,4)+1)</f>
        <v>0</v>
      </c>
    </row>
    <row r="333" spans="1:5">
      <c r="A333" s="24"/>
      <c r="B333" s="19"/>
      <c r="C333" s="26">
        <f>IF(A333="","",ROUND((A333+cfgAjusteMES/1440)*48,0))</f>
        <v>0</v>
      </c>
      <c r="D333" s="26">
        <f>IF(C333="","",INT((C333-cfgDeslocamento)/4))</f>
        <v>0</v>
      </c>
      <c r="E333" s="26">
        <f>IF(C333="","",MOD(C333-cfgDeslocamento,4)+1)</f>
        <v>0</v>
      </c>
    </row>
    <row r="334" spans="1:5">
      <c r="A334" s="24"/>
      <c r="B334" s="19"/>
      <c r="C334" s="26">
        <f>IF(A334="","",ROUND((A334+cfgAjusteMES/1440)*48,0))</f>
        <v>0</v>
      </c>
      <c r="D334" s="26">
        <f>IF(C334="","",INT((C334-cfgDeslocamento)/4))</f>
        <v>0</v>
      </c>
      <c r="E334" s="26">
        <f>IF(C334="","",MOD(C334-cfgDeslocamento,4)+1)</f>
        <v>0</v>
      </c>
    </row>
    <row r="335" spans="1:5">
      <c r="A335" s="24"/>
      <c r="B335" s="19"/>
      <c r="C335" s="26">
        <f>IF(A335="","",ROUND((A335+cfgAjusteMES/1440)*48,0))</f>
        <v>0</v>
      </c>
      <c r="D335" s="26">
        <f>IF(C335="","",INT((C335-cfgDeslocamento)/4))</f>
        <v>0</v>
      </c>
      <c r="E335" s="26">
        <f>IF(C335="","",MOD(C335-cfgDeslocamento,4)+1)</f>
        <v>0</v>
      </c>
    </row>
    <row r="336" spans="1:5">
      <c r="A336" s="24"/>
      <c r="B336" s="19"/>
      <c r="C336" s="26">
        <f>IF(A336="","",ROUND((A336+cfgAjusteMES/1440)*48,0))</f>
        <v>0</v>
      </c>
      <c r="D336" s="26">
        <f>IF(C336="","",INT((C336-cfgDeslocamento)/4))</f>
        <v>0</v>
      </c>
      <c r="E336" s="26">
        <f>IF(C336="","",MOD(C336-cfgDeslocamento,4)+1)</f>
        <v>0</v>
      </c>
    </row>
    <row r="337" spans="1:5">
      <c r="A337" s="24"/>
      <c r="B337" s="19"/>
      <c r="C337" s="26">
        <f>IF(A337="","",ROUND((A337+cfgAjusteMES/1440)*48,0))</f>
        <v>0</v>
      </c>
      <c r="D337" s="26">
        <f>IF(C337="","",INT((C337-cfgDeslocamento)/4))</f>
        <v>0</v>
      </c>
      <c r="E337" s="26">
        <f>IF(C337="","",MOD(C337-cfgDeslocamento,4)+1)</f>
        <v>0</v>
      </c>
    </row>
    <row r="338" spans="1:5">
      <c r="A338" s="24"/>
      <c r="B338" s="19"/>
      <c r="C338" s="26">
        <f>IF(A338="","",ROUND((A338+cfgAjusteMES/1440)*48,0))</f>
        <v>0</v>
      </c>
      <c r="D338" s="26">
        <f>IF(C338="","",INT((C338-cfgDeslocamento)/4))</f>
        <v>0</v>
      </c>
      <c r="E338" s="26">
        <f>IF(C338="","",MOD(C338-cfgDeslocamento,4)+1)</f>
        <v>0</v>
      </c>
    </row>
    <row r="339" spans="1:5">
      <c r="A339" s="24"/>
      <c r="B339" s="19"/>
      <c r="C339" s="26">
        <f>IF(A339="","",ROUND((A339+cfgAjusteMES/1440)*48,0))</f>
        <v>0</v>
      </c>
      <c r="D339" s="26">
        <f>IF(C339="","",INT((C339-cfgDeslocamento)/4))</f>
        <v>0</v>
      </c>
      <c r="E339" s="26">
        <f>IF(C339="","",MOD(C339-cfgDeslocamento,4)+1)</f>
        <v>0</v>
      </c>
    </row>
    <row r="340" spans="1:5">
      <c r="A340" s="24"/>
      <c r="B340" s="19"/>
      <c r="C340" s="26">
        <f>IF(A340="","",ROUND((A340+cfgAjusteMES/1440)*48,0))</f>
        <v>0</v>
      </c>
      <c r="D340" s="26">
        <f>IF(C340="","",INT((C340-cfgDeslocamento)/4))</f>
        <v>0</v>
      </c>
      <c r="E340" s="26">
        <f>IF(C340="","",MOD(C340-cfgDeslocamento,4)+1)</f>
        <v>0</v>
      </c>
    </row>
    <row r="341" spans="1:5">
      <c r="A341" s="24"/>
      <c r="B341" s="19"/>
      <c r="C341" s="26">
        <f>IF(A341="","",ROUND((A341+cfgAjusteMES/1440)*48,0))</f>
        <v>0</v>
      </c>
      <c r="D341" s="26">
        <f>IF(C341="","",INT((C341-cfgDeslocamento)/4))</f>
        <v>0</v>
      </c>
      <c r="E341" s="26">
        <f>IF(C341="","",MOD(C341-cfgDeslocamento,4)+1)</f>
        <v>0</v>
      </c>
    </row>
    <row r="342" spans="1:5">
      <c r="A342" s="24"/>
      <c r="B342" s="19"/>
      <c r="C342" s="26">
        <f>IF(A342="","",ROUND((A342+cfgAjusteMES/1440)*48,0))</f>
        <v>0</v>
      </c>
      <c r="D342" s="26">
        <f>IF(C342="","",INT((C342-cfgDeslocamento)/4))</f>
        <v>0</v>
      </c>
      <c r="E342" s="26">
        <f>IF(C342="","",MOD(C342-cfgDeslocamento,4)+1)</f>
        <v>0</v>
      </c>
    </row>
    <row r="343" spans="1:5">
      <c r="A343" s="24"/>
      <c r="B343" s="19"/>
      <c r="C343" s="26">
        <f>IF(A343="","",ROUND((A343+cfgAjusteMES/1440)*48,0))</f>
        <v>0</v>
      </c>
      <c r="D343" s="26">
        <f>IF(C343="","",INT((C343-cfgDeslocamento)/4))</f>
        <v>0</v>
      </c>
      <c r="E343" s="26">
        <f>IF(C343="","",MOD(C343-cfgDeslocamento,4)+1)</f>
        <v>0</v>
      </c>
    </row>
    <row r="344" spans="1:5">
      <c r="A344" s="24"/>
      <c r="B344" s="19"/>
      <c r="C344" s="26">
        <f>IF(A344="","",ROUND((A344+cfgAjusteMES/1440)*48,0))</f>
        <v>0</v>
      </c>
      <c r="D344" s="26">
        <f>IF(C344="","",INT((C344-cfgDeslocamento)/4))</f>
        <v>0</v>
      </c>
      <c r="E344" s="26">
        <f>IF(C344="","",MOD(C344-cfgDeslocamento,4)+1)</f>
        <v>0</v>
      </c>
    </row>
    <row r="345" spans="1:5">
      <c r="A345" s="24"/>
      <c r="B345" s="19"/>
      <c r="C345" s="26">
        <f>IF(A345="","",ROUND((A345+cfgAjusteMES/1440)*48,0))</f>
        <v>0</v>
      </c>
      <c r="D345" s="26">
        <f>IF(C345="","",INT((C345-cfgDeslocamento)/4))</f>
        <v>0</v>
      </c>
      <c r="E345" s="26">
        <f>IF(C345="","",MOD(C345-cfgDeslocamento,4)+1)</f>
        <v>0</v>
      </c>
    </row>
    <row r="346" spans="1:5">
      <c r="A346" s="24"/>
      <c r="B346" s="19"/>
      <c r="C346" s="26">
        <f>IF(A346="","",ROUND((A346+cfgAjusteMES/1440)*48,0))</f>
        <v>0</v>
      </c>
      <c r="D346" s="26">
        <f>IF(C346="","",INT((C346-cfgDeslocamento)/4))</f>
        <v>0</v>
      </c>
      <c r="E346" s="26">
        <f>IF(C346="","",MOD(C346-cfgDeslocamento,4)+1)</f>
        <v>0</v>
      </c>
    </row>
    <row r="347" spans="1:5">
      <c r="A347" s="24"/>
      <c r="B347" s="19"/>
      <c r="C347" s="26">
        <f>IF(A347="","",ROUND((A347+cfgAjusteMES/1440)*48,0))</f>
        <v>0</v>
      </c>
      <c r="D347" s="26">
        <f>IF(C347="","",INT((C347-cfgDeslocamento)/4))</f>
        <v>0</v>
      </c>
      <c r="E347" s="26">
        <f>IF(C347="","",MOD(C347-cfgDeslocamento,4)+1)</f>
        <v>0</v>
      </c>
    </row>
    <row r="348" spans="1:5">
      <c r="A348" s="24"/>
      <c r="B348" s="19"/>
      <c r="C348" s="26">
        <f>IF(A348="","",ROUND((A348+cfgAjusteMES/1440)*48,0))</f>
        <v>0</v>
      </c>
      <c r="D348" s="26">
        <f>IF(C348="","",INT((C348-cfgDeslocamento)/4))</f>
        <v>0</v>
      </c>
      <c r="E348" s="26">
        <f>IF(C348="","",MOD(C348-cfgDeslocamento,4)+1)</f>
        <v>0</v>
      </c>
    </row>
    <row r="349" spans="1:5">
      <c r="A349" s="24"/>
      <c r="B349" s="19"/>
      <c r="C349" s="26">
        <f>IF(A349="","",ROUND((A349+cfgAjusteMES/1440)*48,0))</f>
        <v>0</v>
      </c>
      <c r="D349" s="26">
        <f>IF(C349="","",INT((C349-cfgDeslocamento)/4))</f>
        <v>0</v>
      </c>
      <c r="E349" s="26">
        <f>IF(C349="","",MOD(C349-cfgDeslocamento,4)+1)</f>
        <v>0</v>
      </c>
    </row>
    <row r="350" spans="1:5">
      <c r="A350" s="24"/>
      <c r="B350" s="19"/>
      <c r="C350" s="26">
        <f>IF(A350="","",ROUND((A350+cfgAjusteMES/1440)*48,0))</f>
        <v>0</v>
      </c>
      <c r="D350" s="26">
        <f>IF(C350="","",INT((C350-cfgDeslocamento)/4))</f>
        <v>0</v>
      </c>
      <c r="E350" s="26">
        <f>IF(C350="","",MOD(C350-cfgDeslocamento,4)+1)</f>
        <v>0</v>
      </c>
    </row>
    <row r="351" spans="1:5">
      <c r="A351" s="24"/>
      <c r="B351" s="19"/>
      <c r="C351" s="26">
        <f>IF(A351="","",ROUND((A351+cfgAjusteMES/1440)*48,0))</f>
        <v>0</v>
      </c>
      <c r="D351" s="26">
        <f>IF(C351="","",INT((C351-cfgDeslocamento)/4))</f>
        <v>0</v>
      </c>
      <c r="E351" s="26">
        <f>IF(C351="","",MOD(C351-cfgDeslocamento,4)+1)</f>
        <v>0</v>
      </c>
    </row>
    <row r="352" spans="1:5">
      <c r="A352" s="24"/>
      <c r="B352" s="19"/>
      <c r="C352" s="26">
        <f>IF(A352="","",ROUND((A352+cfgAjusteMES/1440)*48,0))</f>
        <v>0</v>
      </c>
      <c r="D352" s="26">
        <f>IF(C352="","",INT((C352-cfgDeslocamento)/4))</f>
        <v>0</v>
      </c>
      <c r="E352" s="26">
        <f>IF(C352="","",MOD(C352-cfgDeslocamento,4)+1)</f>
        <v>0</v>
      </c>
    </row>
    <row r="353" spans="1:5">
      <c r="A353" s="24"/>
      <c r="B353" s="19"/>
      <c r="C353" s="26">
        <f>IF(A353="","",ROUND((A353+cfgAjusteMES/1440)*48,0))</f>
        <v>0</v>
      </c>
      <c r="D353" s="26">
        <f>IF(C353="","",INT((C353-cfgDeslocamento)/4))</f>
        <v>0</v>
      </c>
      <c r="E353" s="26">
        <f>IF(C353="","",MOD(C353-cfgDeslocamento,4)+1)</f>
        <v>0</v>
      </c>
    </row>
    <row r="354" spans="1:5">
      <c r="A354" s="24"/>
      <c r="B354" s="19"/>
      <c r="C354" s="26">
        <f>IF(A354="","",ROUND((A354+cfgAjusteMES/1440)*48,0))</f>
        <v>0</v>
      </c>
      <c r="D354" s="26">
        <f>IF(C354="","",INT((C354-cfgDeslocamento)/4))</f>
        <v>0</v>
      </c>
      <c r="E354" s="26">
        <f>IF(C354="","",MOD(C354-cfgDeslocamento,4)+1)</f>
        <v>0</v>
      </c>
    </row>
    <row r="355" spans="1:5">
      <c r="A355" s="24"/>
      <c r="B355" s="19"/>
      <c r="C355" s="26">
        <f>IF(A355="","",ROUND((A355+cfgAjusteMES/1440)*48,0))</f>
        <v>0</v>
      </c>
      <c r="D355" s="26">
        <f>IF(C355="","",INT((C355-cfgDeslocamento)/4))</f>
        <v>0</v>
      </c>
      <c r="E355" s="26">
        <f>IF(C355="","",MOD(C355-cfgDeslocamento,4)+1)</f>
        <v>0</v>
      </c>
    </row>
    <row r="356" spans="1:5">
      <c r="A356" s="24"/>
      <c r="B356" s="19"/>
      <c r="C356" s="26">
        <f>IF(A356="","",ROUND((A356+cfgAjusteMES/1440)*48,0))</f>
        <v>0</v>
      </c>
      <c r="D356" s="26">
        <f>IF(C356="","",INT((C356-cfgDeslocamento)/4))</f>
        <v>0</v>
      </c>
      <c r="E356" s="26">
        <f>IF(C356="","",MOD(C356-cfgDeslocamento,4)+1)</f>
        <v>0</v>
      </c>
    </row>
    <row r="357" spans="1:5">
      <c r="A357" s="24"/>
      <c r="B357" s="19"/>
      <c r="C357" s="26">
        <f>IF(A357="","",ROUND((A357+cfgAjusteMES/1440)*48,0))</f>
        <v>0</v>
      </c>
      <c r="D357" s="26">
        <f>IF(C357="","",INT((C357-cfgDeslocamento)/4))</f>
        <v>0</v>
      </c>
      <c r="E357" s="26">
        <f>IF(C357="","",MOD(C357-cfgDeslocamento,4)+1)</f>
        <v>0</v>
      </c>
    </row>
    <row r="358" spans="1:5">
      <c r="A358" s="24"/>
      <c r="B358" s="19"/>
      <c r="C358" s="26">
        <f>IF(A358="","",ROUND((A358+cfgAjusteMES/1440)*48,0))</f>
        <v>0</v>
      </c>
      <c r="D358" s="26">
        <f>IF(C358="","",INT((C358-cfgDeslocamento)/4))</f>
        <v>0</v>
      </c>
      <c r="E358" s="26">
        <f>IF(C358="","",MOD(C358-cfgDeslocamento,4)+1)</f>
        <v>0</v>
      </c>
    </row>
    <row r="359" spans="1:5">
      <c r="A359" s="24"/>
      <c r="B359" s="19"/>
      <c r="C359" s="26">
        <f>IF(A359="","",ROUND((A359+cfgAjusteMES/1440)*48,0))</f>
        <v>0</v>
      </c>
      <c r="D359" s="26">
        <f>IF(C359="","",INT((C359-cfgDeslocamento)/4))</f>
        <v>0</v>
      </c>
      <c r="E359" s="26">
        <f>IF(C359="","",MOD(C359-cfgDeslocamento,4)+1)</f>
        <v>0</v>
      </c>
    </row>
    <row r="360" spans="1:5">
      <c r="A360" s="24"/>
      <c r="B360" s="19"/>
      <c r="C360" s="26">
        <f>IF(A360="","",ROUND((A360+cfgAjusteMES/1440)*48,0))</f>
        <v>0</v>
      </c>
      <c r="D360" s="26">
        <f>IF(C360="","",INT((C360-cfgDeslocamento)/4))</f>
        <v>0</v>
      </c>
      <c r="E360" s="26">
        <f>IF(C360="","",MOD(C360-cfgDeslocamento,4)+1)</f>
        <v>0</v>
      </c>
    </row>
    <row r="361" spans="1:5">
      <c r="A361" s="24"/>
      <c r="B361" s="19"/>
      <c r="C361" s="26">
        <f>IF(A361="","",ROUND((A361+cfgAjusteMES/1440)*48,0))</f>
        <v>0</v>
      </c>
      <c r="D361" s="26">
        <f>IF(C361="","",INT((C361-cfgDeslocamento)/4))</f>
        <v>0</v>
      </c>
      <c r="E361" s="26">
        <f>IF(C361="","",MOD(C361-cfgDeslocamento,4)+1)</f>
        <v>0</v>
      </c>
    </row>
    <row r="362" spans="1:5">
      <c r="A362" s="24"/>
      <c r="B362" s="19"/>
      <c r="C362" s="26">
        <f>IF(A362="","",ROUND((A362+cfgAjusteMES/1440)*48,0))</f>
        <v>0</v>
      </c>
      <c r="D362" s="26">
        <f>IF(C362="","",INT((C362-cfgDeslocamento)/4))</f>
        <v>0</v>
      </c>
      <c r="E362" s="26">
        <f>IF(C362="","",MOD(C362-cfgDeslocamento,4)+1)</f>
        <v>0</v>
      </c>
    </row>
    <row r="363" spans="1:5">
      <c r="A363" s="24"/>
      <c r="B363" s="19"/>
      <c r="C363" s="26">
        <f>IF(A363="","",ROUND((A363+cfgAjusteMES/1440)*48,0))</f>
        <v>0</v>
      </c>
      <c r="D363" s="26">
        <f>IF(C363="","",INT((C363-cfgDeslocamento)/4))</f>
        <v>0</v>
      </c>
      <c r="E363" s="26">
        <f>IF(C363="","",MOD(C363-cfgDeslocamento,4)+1)</f>
        <v>0</v>
      </c>
    </row>
    <row r="364" spans="1:5">
      <c r="A364" s="24"/>
      <c r="B364" s="19"/>
      <c r="C364" s="26">
        <f>IF(A364="","",ROUND((A364+cfgAjusteMES/1440)*48,0))</f>
        <v>0</v>
      </c>
      <c r="D364" s="26">
        <f>IF(C364="","",INT((C364-cfgDeslocamento)/4))</f>
        <v>0</v>
      </c>
      <c r="E364" s="26">
        <f>IF(C364="","",MOD(C364-cfgDeslocamento,4)+1)</f>
        <v>0</v>
      </c>
    </row>
    <row r="365" spans="1:5">
      <c r="A365" s="24"/>
      <c r="B365" s="19"/>
      <c r="C365" s="26">
        <f>IF(A365="","",ROUND((A365+cfgAjusteMES/1440)*48,0))</f>
        <v>0</v>
      </c>
      <c r="D365" s="26">
        <f>IF(C365="","",INT((C365-cfgDeslocamento)/4))</f>
        <v>0</v>
      </c>
      <c r="E365" s="26">
        <f>IF(C365="","",MOD(C365-cfgDeslocamento,4)+1)</f>
        <v>0</v>
      </c>
    </row>
    <row r="366" spans="1:5">
      <c r="A366" s="24"/>
      <c r="B366" s="19"/>
      <c r="C366" s="26">
        <f>IF(A366="","",ROUND((A366+cfgAjusteMES/1440)*48,0))</f>
        <v>0</v>
      </c>
      <c r="D366" s="26">
        <f>IF(C366="","",INT((C366-cfgDeslocamento)/4))</f>
        <v>0</v>
      </c>
      <c r="E366" s="26">
        <f>IF(C366="","",MOD(C366-cfgDeslocamento,4)+1)</f>
        <v>0</v>
      </c>
    </row>
    <row r="367" spans="1:5">
      <c r="A367" s="24"/>
      <c r="B367" s="19"/>
      <c r="C367" s="26">
        <f>IF(A367="","",ROUND((A367+cfgAjusteMES/1440)*48,0))</f>
        <v>0</v>
      </c>
      <c r="D367" s="26">
        <f>IF(C367="","",INT((C367-cfgDeslocamento)/4))</f>
        <v>0</v>
      </c>
      <c r="E367" s="26">
        <f>IF(C367="","",MOD(C367-cfgDeslocamento,4)+1)</f>
        <v>0</v>
      </c>
    </row>
    <row r="368" spans="1:5">
      <c r="A368" s="24"/>
      <c r="B368" s="19"/>
      <c r="C368" s="26">
        <f>IF(A368="","",ROUND((A368+cfgAjusteMES/1440)*48,0))</f>
        <v>0</v>
      </c>
      <c r="D368" s="26">
        <f>IF(C368="","",INT((C368-cfgDeslocamento)/4))</f>
        <v>0</v>
      </c>
      <c r="E368" s="26">
        <f>IF(C368="","",MOD(C368-cfgDeslocamento,4)+1)</f>
        <v>0</v>
      </c>
    </row>
    <row r="369" spans="1:5">
      <c r="A369" s="24"/>
      <c r="B369" s="19"/>
      <c r="C369" s="26">
        <f>IF(A369="","",ROUND((A369+cfgAjusteMES/1440)*48,0))</f>
        <v>0</v>
      </c>
      <c r="D369" s="26">
        <f>IF(C369="","",INT((C369-cfgDeslocamento)/4))</f>
        <v>0</v>
      </c>
      <c r="E369" s="26">
        <f>IF(C369="","",MOD(C369-cfgDeslocamento,4)+1)</f>
        <v>0</v>
      </c>
    </row>
    <row r="370" spans="1:5">
      <c r="A370" s="24"/>
      <c r="B370" s="19"/>
      <c r="C370" s="26">
        <f>IF(A370="","",ROUND((A370+cfgAjusteMES/1440)*48,0))</f>
        <v>0</v>
      </c>
      <c r="D370" s="26">
        <f>IF(C370="","",INT((C370-cfgDeslocamento)/4))</f>
        <v>0</v>
      </c>
      <c r="E370" s="26">
        <f>IF(C370="","",MOD(C370-cfgDeslocamento,4)+1)</f>
        <v>0</v>
      </c>
    </row>
    <row r="371" spans="1:5">
      <c r="A371" s="24"/>
      <c r="B371" s="19"/>
      <c r="C371" s="26">
        <f>IF(A371="","",ROUND((A371+cfgAjusteMES/1440)*48,0))</f>
        <v>0</v>
      </c>
      <c r="D371" s="26">
        <f>IF(C371="","",INT((C371-cfgDeslocamento)/4))</f>
        <v>0</v>
      </c>
      <c r="E371" s="26">
        <f>IF(C371="","",MOD(C371-cfgDeslocamento,4)+1)</f>
        <v>0</v>
      </c>
    </row>
    <row r="372" spans="1:5">
      <c r="A372" s="24"/>
      <c r="B372" s="19"/>
      <c r="C372" s="26">
        <f>IF(A372="","",ROUND((A372+cfgAjusteMES/1440)*48,0))</f>
        <v>0</v>
      </c>
      <c r="D372" s="26">
        <f>IF(C372="","",INT((C372-cfgDeslocamento)/4))</f>
        <v>0</v>
      </c>
      <c r="E372" s="26">
        <f>IF(C372="","",MOD(C372-cfgDeslocamento,4)+1)</f>
        <v>0</v>
      </c>
    </row>
    <row r="373" spans="1:5">
      <c r="A373" s="24"/>
      <c r="B373" s="19"/>
      <c r="C373" s="26">
        <f>IF(A373="","",ROUND((A373+cfgAjusteMES/1440)*48,0))</f>
        <v>0</v>
      </c>
      <c r="D373" s="26">
        <f>IF(C373="","",INT((C373-cfgDeslocamento)/4))</f>
        <v>0</v>
      </c>
      <c r="E373" s="26">
        <f>IF(C373="","",MOD(C373-cfgDeslocamento,4)+1)</f>
        <v>0</v>
      </c>
    </row>
    <row r="374" spans="1:5">
      <c r="A374" s="24"/>
      <c r="B374" s="19"/>
      <c r="C374" s="26">
        <f>IF(A374="","",ROUND((A374+cfgAjusteMES/1440)*48,0))</f>
        <v>0</v>
      </c>
      <c r="D374" s="26">
        <f>IF(C374="","",INT((C374-cfgDeslocamento)/4))</f>
        <v>0</v>
      </c>
      <c r="E374" s="26">
        <f>IF(C374="","",MOD(C374-cfgDeslocamento,4)+1)</f>
        <v>0</v>
      </c>
    </row>
    <row r="375" spans="1:5">
      <c r="A375" s="24"/>
      <c r="B375" s="19"/>
      <c r="C375" s="26">
        <f>IF(A375="","",ROUND((A375+cfgAjusteMES/1440)*48,0))</f>
        <v>0</v>
      </c>
      <c r="D375" s="26">
        <f>IF(C375="","",INT((C375-cfgDeslocamento)/4))</f>
        <v>0</v>
      </c>
      <c r="E375" s="26">
        <f>IF(C375="","",MOD(C375-cfgDeslocamento,4)+1)</f>
        <v>0</v>
      </c>
    </row>
    <row r="376" spans="1:5">
      <c r="A376" s="24"/>
      <c r="B376" s="19"/>
      <c r="C376" s="26">
        <f>IF(A376="","",ROUND((A376+cfgAjusteMES/1440)*48,0))</f>
        <v>0</v>
      </c>
      <c r="D376" s="26">
        <f>IF(C376="","",INT((C376-cfgDeslocamento)/4))</f>
        <v>0</v>
      </c>
      <c r="E376" s="26">
        <f>IF(C376="","",MOD(C376-cfgDeslocamento,4)+1)</f>
        <v>0</v>
      </c>
    </row>
    <row r="377" spans="1:5">
      <c r="A377" s="24"/>
      <c r="B377" s="19"/>
      <c r="C377" s="26">
        <f>IF(A377="","",ROUND((A377+cfgAjusteMES/1440)*48,0))</f>
        <v>0</v>
      </c>
      <c r="D377" s="26">
        <f>IF(C377="","",INT((C377-cfgDeslocamento)/4))</f>
        <v>0</v>
      </c>
      <c r="E377" s="26">
        <f>IF(C377="","",MOD(C377-cfgDeslocamento,4)+1)</f>
        <v>0</v>
      </c>
    </row>
    <row r="378" spans="1:5">
      <c r="A378" s="24"/>
      <c r="B378" s="19"/>
      <c r="C378" s="26">
        <f>IF(A378="","",ROUND((A378+cfgAjusteMES/1440)*48,0))</f>
        <v>0</v>
      </c>
      <c r="D378" s="26">
        <f>IF(C378="","",INT((C378-cfgDeslocamento)/4))</f>
        <v>0</v>
      </c>
      <c r="E378" s="26">
        <f>IF(C378="","",MOD(C378-cfgDeslocamento,4)+1)</f>
        <v>0</v>
      </c>
    </row>
    <row r="379" spans="1:5">
      <c r="A379" s="24"/>
      <c r="B379" s="19"/>
      <c r="C379" s="26">
        <f>IF(A379="","",ROUND((A379+cfgAjusteMES/1440)*48,0))</f>
        <v>0</v>
      </c>
      <c r="D379" s="26">
        <f>IF(C379="","",INT((C379-cfgDeslocamento)/4))</f>
        <v>0</v>
      </c>
      <c r="E379" s="26">
        <f>IF(C379="","",MOD(C379-cfgDeslocamento,4)+1)</f>
        <v>0</v>
      </c>
    </row>
    <row r="380" spans="1:5">
      <c r="A380" s="24"/>
      <c r="B380" s="19"/>
      <c r="C380" s="26">
        <f>IF(A380="","",ROUND((A380+cfgAjusteMES/1440)*48,0))</f>
        <v>0</v>
      </c>
      <c r="D380" s="26">
        <f>IF(C380="","",INT((C380-cfgDeslocamento)/4))</f>
        <v>0</v>
      </c>
      <c r="E380" s="26">
        <f>IF(C380="","",MOD(C380-cfgDeslocamento,4)+1)</f>
        <v>0</v>
      </c>
    </row>
    <row r="381" spans="1:5">
      <c r="A381" s="24"/>
      <c r="B381" s="19"/>
      <c r="C381" s="26">
        <f>IF(A381="","",ROUND((A381+cfgAjusteMES/1440)*48,0))</f>
        <v>0</v>
      </c>
      <c r="D381" s="26">
        <f>IF(C381="","",INT((C381-cfgDeslocamento)/4))</f>
        <v>0</v>
      </c>
      <c r="E381" s="26">
        <f>IF(C381="","",MOD(C381-cfgDeslocamento,4)+1)</f>
        <v>0</v>
      </c>
    </row>
    <row r="382" spans="1:5">
      <c r="A382" s="24"/>
      <c r="B382" s="19"/>
      <c r="C382" s="26">
        <f>IF(A382="","",ROUND((A382+cfgAjusteMES/1440)*48,0))</f>
        <v>0</v>
      </c>
      <c r="D382" s="26">
        <f>IF(C382="","",INT((C382-cfgDeslocamento)/4))</f>
        <v>0</v>
      </c>
      <c r="E382" s="26">
        <f>IF(C382="","",MOD(C382-cfgDeslocamento,4)+1)</f>
        <v>0</v>
      </c>
    </row>
    <row r="383" spans="1:5">
      <c r="A383" s="24"/>
      <c r="B383" s="19"/>
      <c r="C383" s="26">
        <f>IF(A383="","",ROUND((A383+cfgAjusteMES/1440)*48,0))</f>
        <v>0</v>
      </c>
      <c r="D383" s="26">
        <f>IF(C383="","",INT((C383-cfgDeslocamento)/4))</f>
        <v>0</v>
      </c>
      <c r="E383" s="26">
        <f>IF(C383="","",MOD(C383-cfgDeslocamento,4)+1)</f>
        <v>0</v>
      </c>
    </row>
    <row r="384" spans="1:5">
      <c r="A384" s="24"/>
      <c r="B384" s="19"/>
      <c r="C384" s="26">
        <f>IF(A384="","",ROUND((A384+cfgAjusteMES/1440)*48,0))</f>
        <v>0</v>
      </c>
      <c r="D384" s="26">
        <f>IF(C384="","",INT((C384-cfgDeslocamento)/4))</f>
        <v>0</v>
      </c>
      <c r="E384" s="26">
        <f>IF(C384="","",MOD(C384-cfgDeslocamento,4)+1)</f>
        <v>0</v>
      </c>
    </row>
    <row r="385" spans="1:5">
      <c r="A385" s="24"/>
      <c r="B385" s="19"/>
      <c r="C385" s="26">
        <f>IF(A385="","",ROUND((A385+cfgAjusteMES/1440)*48,0))</f>
        <v>0</v>
      </c>
      <c r="D385" s="26">
        <f>IF(C385="","",INT((C385-cfgDeslocamento)/4))</f>
        <v>0</v>
      </c>
      <c r="E385" s="26">
        <f>IF(C385="","",MOD(C385-cfgDeslocamento,4)+1)</f>
        <v>0</v>
      </c>
    </row>
    <row r="386" spans="1:5">
      <c r="A386" s="24"/>
      <c r="B386" s="19"/>
      <c r="C386" s="26">
        <f>IF(A386="","",ROUND((A386+cfgAjusteMES/1440)*48,0))</f>
        <v>0</v>
      </c>
      <c r="D386" s="26">
        <f>IF(C386="","",INT((C386-cfgDeslocamento)/4))</f>
        <v>0</v>
      </c>
      <c r="E386" s="26">
        <f>IF(C386="","",MOD(C386-cfgDeslocamento,4)+1)</f>
        <v>0</v>
      </c>
    </row>
    <row r="387" spans="1:5">
      <c r="A387" s="24"/>
      <c r="B387" s="19"/>
      <c r="C387" s="26">
        <f>IF(A387="","",ROUND((A387+cfgAjusteMES/1440)*48,0))</f>
        <v>0</v>
      </c>
      <c r="D387" s="26">
        <f>IF(C387="","",INT((C387-cfgDeslocamento)/4))</f>
        <v>0</v>
      </c>
      <c r="E387" s="26">
        <f>IF(C387="","",MOD(C387-cfgDeslocamento,4)+1)</f>
        <v>0</v>
      </c>
    </row>
    <row r="388" spans="1:5">
      <c r="A388" s="24"/>
      <c r="B388" s="19"/>
      <c r="C388" s="26">
        <f>IF(A388="","",ROUND((A388+cfgAjusteMES/1440)*48,0))</f>
        <v>0</v>
      </c>
      <c r="D388" s="26">
        <f>IF(C388="","",INT((C388-cfgDeslocamento)/4))</f>
        <v>0</v>
      </c>
      <c r="E388" s="26">
        <f>IF(C388="","",MOD(C388-cfgDeslocamento,4)+1)</f>
        <v>0</v>
      </c>
    </row>
    <row r="389" spans="1:5">
      <c r="A389" s="24"/>
      <c r="B389" s="19"/>
      <c r="C389" s="26">
        <f>IF(A389="","",ROUND((A389+cfgAjusteMES/1440)*48,0))</f>
        <v>0</v>
      </c>
      <c r="D389" s="26">
        <f>IF(C389="","",INT((C389-cfgDeslocamento)/4))</f>
        <v>0</v>
      </c>
      <c r="E389" s="26">
        <f>IF(C389="","",MOD(C389-cfgDeslocamento,4)+1)</f>
        <v>0</v>
      </c>
    </row>
    <row r="390" spans="1:5">
      <c r="A390" s="24"/>
      <c r="B390" s="19"/>
      <c r="C390" s="26">
        <f>IF(A390="","",ROUND((A390+cfgAjusteMES/1440)*48,0))</f>
        <v>0</v>
      </c>
      <c r="D390" s="26">
        <f>IF(C390="","",INT((C390-cfgDeslocamento)/4))</f>
        <v>0</v>
      </c>
      <c r="E390" s="26">
        <f>IF(C390="","",MOD(C390-cfgDeslocamento,4)+1)</f>
        <v>0</v>
      </c>
    </row>
    <row r="391" spans="1:5">
      <c r="A391" s="24"/>
      <c r="B391" s="19"/>
      <c r="C391" s="26">
        <f>IF(A391="","",ROUND((A391+cfgAjusteMES/1440)*48,0))</f>
        <v>0</v>
      </c>
      <c r="D391" s="26">
        <f>IF(C391="","",INT((C391-cfgDeslocamento)/4))</f>
        <v>0</v>
      </c>
      <c r="E391" s="26">
        <f>IF(C391="","",MOD(C391-cfgDeslocamento,4)+1)</f>
        <v>0</v>
      </c>
    </row>
    <row r="392" spans="1:5">
      <c r="A392" s="24"/>
      <c r="B392" s="19"/>
      <c r="C392" s="26">
        <f>IF(A392="","",ROUND((A392+cfgAjusteMES/1440)*48,0))</f>
        <v>0</v>
      </c>
      <c r="D392" s="26">
        <f>IF(C392="","",INT((C392-cfgDeslocamento)/4))</f>
        <v>0</v>
      </c>
      <c r="E392" s="26">
        <f>IF(C392="","",MOD(C392-cfgDeslocamento,4)+1)</f>
        <v>0</v>
      </c>
    </row>
    <row r="393" spans="1:5">
      <c r="A393" s="24"/>
      <c r="B393" s="19"/>
      <c r="C393" s="26">
        <f>IF(A393="","",ROUND((A393+cfgAjusteMES/1440)*48,0))</f>
        <v>0</v>
      </c>
      <c r="D393" s="26">
        <f>IF(C393="","",INT((C393-cfgDeslocamento)/4))</f>
        <v>0</v>
      </c>
      <c r="E393" s="26">
        <f>IF(C393="","",MOD(C393-cfgDeslocamento,4)+1)</f>
        <v>0</v>
      </c>
    </row>
    <row r="394" spans="1:5">
      <c r="A394" s="24"/>
      <c r="B394" s="19"/>
      <c r="C394" s="26">
        <f>IF(A394="","",ROUND((A394+cfgAjusteMES/1440)*48,0))</f>
        <v>0</v>
      </c>
      <c r="D394" s="26">
        <f>IF(C394="","",INT((C394-cfgDeslocamento)/4))</f>
        <v>0</v>
      </c>
      <c r="E394" s="26">
        <f>IF(C394="","",MOD(C394-cfgDeslocamento,4)+1)</f>
        <v>0</v>
      </c>
    </row>
    <row r="395" spans="1:5">
      <c r="A395" s="24"/>
      <c r="B395" s="19"/>
      <c r="C395" s="26">
        <f>IF(A395="","",ROUND((A395+cfgAjusteMES/1440)*48,0))</f>
        <v>0</v>
      </c>
      <c r="D395" s="26">
        <f>IF(C395="","",INT((C395-cfgDeslocamento)/4))</f>
        <v>0</v>
      </c>
      <c r="E395" s="26">
        <f>IF(C395="","",MOD(C395-cfgDeslocamento,4)+1)</f>
        <v>0</v>
      </c>
    </row>
    <row r="396" spans="1:5">
      <c r="A396" s="24"/>
      <c r="B396" s="19"/>
      <c r="C396" s="26">
        <f>IF(A396="","",ROUND((A396+cfgAjusteMES/1440)*48,0))</f>
        <v>0</v>
      </c>
      <c r="D396" s="26">
        <f>IF(C396="","",INT((C396-cfgDeslocamento)/4))</f>
        <v>0</v>
      </c>
      <c r="E396" s="26">
        <f>IF(C396="","",MOD(C396-cfgDeslocamento,4)+1)</f>
        <v>0</v>
      </c>
    </row>
    <row r="397" spans="1:5">
      <c r="A397" s="24"/>
      <c r="B397" s="19"/>
      <c r="C397" s="26">
        <f>IF(A397="","",ROUND((A397+cfgAjusteMES/1440)*48,0))</f>
        <v>0</v>
      </c>
      <c r="D397" s="26">
        <f>IF(C397="","",INT((C397-cfgDeslocamento)/4))</f>
        <v>0</v>
      </c>
      <c r="E397" s="26">
        <f>IF(C397="","",MOD(C397-cfgDeslocamento,4)+1)</f>
        <v>0</v>
      </c>
    </row>
    <row r="398" spans="1:5">
      <c r="A398" s="24"/>
      <c r="B398" s="19"/>
      <c r="C398" s="26">
        <f>IF(A398="","",ROUND((A398+cfgAjusteMES/1440)*48,0))</f>
        <v>0</v>
      </c>
      <c r="D398" s="26">
        <f>IF(C398="","",INT((C398-cfgDeslocamento)/4))</f>
        <v>0</v>
      </c>
      <c r="E398" s="26">
        <f>IF(C398="","",MOD(C398-cfgDeslocamento,4)+1)</f>
        <v>0</v>
      </c>
    </row>
    <row r="399" spans="1:5">
      <c r="A399" s="24"/>
      <c r="B399" s="19"/>
      <c r="C399" s="26">
        <f>IF(A399="","",ROUND((A399+cfgAjusteMES/1440)*48,0))</f>
        <v>0</v>
      </c>
      <c r="D399" s="26">
        <f>IF(C399="","",INT((C399-cfgDeslocamento)/4))</f>
        <v>0</v>
      </c>
      <c r="E399" s="26">
        <f>IF(C399="","",MOD(C399-cfgDeslocamento,4)+1)</f>
        <v>0</v>
      </c>
    </row>
    <row r="400" spans="1:5">
      <c r="A400" s="24"/>
      <c r="B400" s="19"/>
      <c r="C400" s="26">
        <f>IF(A400="","",ROUND((A400+cfgAjusteMES/1440)*48,0))</f>
        <v>0</v>
      </c>
      <c r="D400" s="26">
        <f>IF(C400="","",INT((C400-cfgDeslocamento)/4))</f>
        <v>0</v>
      </c>
      <c r="E400" s="26">
        <f>IF(C400="","",MOD(C400-cfgDeslocamento,4)+1)</f>
        <v>0</v>
      </c>
    </row>
    <row r="401" spans="1:5">
      <c r="A401" s="24"/>
      <c r="B401" s="19"/>
      <c r="C401" s="26">
        <f>IF(A401="","",ROUND((A401+cfgAjusteMES/1440)*48,0))</f>
        <v>0</v>
      </c>
      <c r="D401" s="26">
        <f>IF(C401="","",INT((C401-cfgDeslocamento)/4))</f>
        <v>0</v>
      </c>
      <c r="E401" s="26">
        <f>IF(C401="","",MOD(C401-cfgDeslocamento,4)+1)</f>
        <v>0</v>
      </c>
    </row>
    <row r="402" spans="1:5">
      <c r="A402" s="24"/>
      <c r="B402" s="19"/>
      <c r="C402" s="26">
        <f>IF(A402="","",ROUND((A402+cfgAjusteMES/1440)*48,0))</f>
        <v>0</v>
      </c>
      <c r="D402" s="26">
        <f>IF(C402="","",INT((C402-cfgDeslocamento)/4))</f>
        <v>0</v>
      </c>
      <c r="E402" s="26">
        <f>IF(C402="","",MOD(C402-cfgDeslocamento,4)+1)</f>
        <v>0</v>
      </c>
    </row>
    <row r="403" spans="1:5">
      <c r="A403" s="24"/>
      <c r="B403" s="19"/>
      <c r="C403" s="26">
        <f>IF(A403="","",ROUND((A403+cfgAjusteMES/1440)*48,0))</f>
        <v>0</v>
      </c>
      <c r="D403" s="26">
        <f>IF(C403="","",INT((C403-cfgDeslocamento)/4))</f>
        <v>0</v>
      </c>
      <c r="E403" s="26">
        <f>IF(C403="","",MOD(C403-cfgDeslocamento,4)+1)</f>
        <v>0</v>
      </c>
    </row>
    <row r="404" spans="1:5">
      <c r="A404" s="24"/>
      <c r="B404" s="19"/>
      <c r="C404" s="26">
        <f>IF(A404="","",ROUND((A404+cfgAjusteMES/1440)*48,0))</f>
        <v>0</v>
      </c>
      <c r="D404" s="26">
        <f>IF(C404="","",INT((C404-cfgDeslocamento)/4))</f>
        <v>0</v>
      </c>
      <c r="E404" s="26">
        <f>IF(C404="","",MOD(C404-cfgDeslocamento,4)+1)</f>
        <v>0</v>
      </c>
    </row>
    <row r="405" spans="1:5">
      <c r="A405" s="24"/>
      <c r="B405" s="19"/>
      <c r="C405" s="26">
        <f>IF(A405="","",ROUND((A405+cfgAjusteMES/1440)*48,0))</f>
        <v>0</v>
      </c>
      <c r="D405" s="26">
        <f>IF(C405="","",INT((C405-cfgDeslocamento)/4))</f>
        <v>0</v>
      </c>
      <c r="E405" s="26">
        <f>IF(C405="","",MOD(C405-cfgDeslocamento,4)+1)</f>
        <v>0</v>
      </c>
    </row>
    <row r="406" spans="1:5">
      <c r="A406" s="24"/>
      <c r="B406" s="19"/>
      <c r="C406" s="26">
        <f>IF(A406="","",ROUND((A406+cfgAjusteMES/1440)*48,0))</f>
        <v>0</v>
      </c>
      <c r="D406" s="26">
        <f>IF(C406="","",INT((C406-cfgDeslocamento)/4))</f>
        <v>0</v>
      </c>
      <c r="E406" s="26">
        <f>IF(C406="","",MOD(C406-cfgDeslocamento,4)+1)</f>
        <v>0</v>
      </c>
    </row>
    <row r="407" spans="1:5">
      <c r="A407" s="24"/>
      <c r="B407" s="19"/>
      <c r="C407" s="26">
        <f>IF(A407="","",ROUND((A407+cfgAjusteMES/1440)*48,0))</f>
        <v>0</v>
      </c>
      <c r="D407" s="26">
        <f>IF(C407="","",INT((C407-cfgDeslocamento)/4))</f>
        <v>0</v>
      </c>
      <c r="E407" s="26">
        <f>IF(C407="","",MOD(C407-cfgDeslocamento,4)+1)</f>
        <v>0</v>
      </c>
    </row>
    <row r="408" spans="1:5">
      <c r="A408" s="24"/>
      <c r="B408" s="19"/>
      <c r="C408" s="26">
        <f>IF(A408="","",ROUND((A408+cfgAjusteMES/1440)*48,0))</f>
        <v>0</v>
      </c>
      <c r="D408" s="26">
        <f>IF(C408="","",INT((C408-cfgDeslocamento)/4))</f>
        <v>0</v>
      </c>
      <c r="E408" s="26">
        <f>IF(C408="","",MOD(C408-cfgDeslocamento,4)+1)</f>
        <v>0</v>
      </c>
    </row>
    <row r="409" spans="1:5">
      <c r="A409" s="24"/>
      <c r="B409" s="19"/>
      <c r="C409" s="26">
        <f>IF(A409="","",ROUND((A409+cfgAjusteMES/1440)*48,0))</f>
        <v>0</v>
      </c>
      <c r="D409" s="26">
        <f>IF(C409="","",INT((C409-cfgDeslocamento)/4))</f>
        <v>0</v>
      </c>
      <c r="E409" s="26">
        <f>IF(C409="","",MOD(C409-cfgDeslocamento,4)+1)</f>
        <v>0</v>
      </c>
    </row>
    <row r="410" spans="1:5">
      <c r="A410" s="24"/>
      <c r="B410" s="19"/>
      <c r="C410" s="26">
        <f>IF(A410="","",ROUND((A410+cfgAjusteMES/1440)*48,0))</f>
        <v>0</v>
      </c>
      <c r="D410" s="26">
        <f>IF(C410="","",INT((C410-cfgDeslocamento)/4))</f>
        <v>0</v>
      </c>
      <c r="E410" s="26">
        <f>IF(C410="","",MOD(C410-cfgDeslocamento,4)+1)</f>
        <v>0</v>
      </c>
    </row>
    <row r="411" spans="1:5">
      <c r="A411" s="24"/>
      <c r="B411" s="19"/>
      <c r="C411" s="26">
        <f>IF(A411="","",ROUND((A411+cfgAjusteMES/1440)*48,0))</f>
        <v>0</v>
      </c>
      <c r="D411" s="26">
        <f>IF(C411="","",INT((C411-cfgDeslocamento)/4))</f>
        <v>0</v>
      </c>
      <c r="E411" s="26">
        <f>IF(C411="","",MOD(C411-cfgDeslocamento,4)+1)</f>
        <v>0</v>
      </c>
    </row>
    <row r="412" spans="1:5">
      <c r="A412" s="24"/>
      <c r="B412" s="19"/>
      <c r="C412" s="26">
        <f>IF(A412="","",ROUND((A412+cfgAjusteMES/1440)*48,0))</f>
        <v>0</v>
      </c>
      <c r="D412" s="26">
        <f>IF(C412="","",INT((C412-cfgDeslocamento)/4))</f>
        <v>0</v>
      </c>
      <c r="E412" s="26">
        <f>IF(C412="","",MOD(C412-cfgDeslocamento,4)+1)</f>
        <v>0</v>
      </c>
    </row>
    <row r="413" spans="1:5">
      <c r="A413" s="24"/>
      <c r="B413" s="19"/>
      <c r="C413" s="26">
        <f>IF(A413="","",ROUND((A413+cfgAjusteMES/1440)*48,0))</f>
        <v>0</v>
      </c>
      <c r="D413" s="26">
        <f>IF(C413="","",INT((C413-cfgDeslocamento)/4))</f>
        <v>0</v>
      </c>
      <c r="E413" s="26">
        <f>IF(C413="","",MOD(C413-cfgDeslocamento,4)+1)</f>
        <v>0</v>
      </c>
    </row>
    <row r="414" spans="1:5">
      <c r="A414" s="24"/>
      <c r="B414" s="19"/>
      <c r="C414" s="26">
        <f>IF(A414="","",ROUND((A414+cfgAjusteMES/1440)*48,0))</f>
        <v>0</v>
      </c>
      <c r="D414" s="26">
        <f>IF(C414="","",INT((C414-cfgDeslocamento)/4))</f>
        <v>0</v>
      </c>
      <c r="E414" s="26">
        <f>IF(C414="","",MOD(C414-cfgDeslocamento,4)+1)</f>
        <v>0</v>
      </c>
    </row>
    <row r="415" spans="1:5">
      <c r="A415" s="24"/>
      <c r="B415" s="19"/>
      <c r="C415" s="26">
        <f>IF(A415="","",ROUND((A415+cfgAjusteMES/1440)*48,0))</f>
        <v>0</v>
      </c>
      <c r="D415" s="26">
        <f>IF(C415="","",INT((C415-cfgDeslocamento)/4))</f>
        <v>0</v>
      </c>
      <c r="E415" s="26">
        <f>IF(C415="","",MOD(C415-cfgDeslocamento,4)+1)</f>
        <v>0</v>
      </c>
    </row>
    <row r="416" spans="1:5">
      <c r="A416" s="24"/>
      <c r="B416" s="19"/>
      <c r="C416" s="26">
        <f>IF(A416="","",ROUND((A416+cfgAjusteMES/1440)*48,0))</f>
        <v>0</v>
      </c>
      <c r="D416" s="26">
        <f>IF(C416="","",INT((C416-cfgDeslocamento)/4))</f>
        <v>0</v>
      </c>
      <c r="E416" s="26">
        <f>IF(C416="","",MOD(C416-cfgDeslocamento,4)+1)</f>
        <v>0</v>
      </c>
    </row>
    <row r="417" spans="1:5">
      <c r="A417" s="24"/>
      <c r="B417" s="19"/>
      <c r="C417" s="26">
        <f>IF(A417="","",ROUND((A417+cfgAjusteMES/1440)*48,0))</f>
        <v>0</v>
      </c>
      <c r="D417" s="26">
        <f>IF(C417="","",INT((C417-cfgDeslocamento)/4))</f>
        <v>0</v>
      </c>
      <c r="E417" s="26">
        <f>IF(C417="","",MOD(C417-cfgDeslocamento,4)+1)</f>
        <v>0</v>
      </c>
    </row>
    <row r="418" spans="1:5">
      <c r="A418" s="24"/>
      <c r="B418" s="19"/>
      <c r="C418" s="26">
        <f>IF(A418="","",ROUND((A418+cfgAjusteMES/1440)*48,0))</f>
        <v>0</v>
      </c>
      <c r="D418" s="26">
        <f>IF(C418="","",INT((C418-cfgDeslocamento)/4))</f>
        <v>0</v>
      </c>
      <c r="E418" s="26">
        <f>IF(C418="","",MOD(C418-cfgDeslocamento,4)+1)</f>
        <v>0</v>
      </c>
    </row>
    <row r="419" spans="1:5">
      <c r="A419" s="24"/>
      <c r="B419" s="19"/>
      <c r="C419" s="26">
        <f>IF(A419="","",ROUND((A419+cfgAjusteMES/1440)*48,0))</f>
        <v>0</v>
      </c>
      <c r="D419" s="26">
        <f>IF(C419="","",INT((C419-cfgDeslocamento)/4))</f>
        <v>0</v>
      </c>
      <c r="E419" s="26">
        <f>IF(C419="","",MOD(C419-cfgDeslocamento,4)+1)</f>
        <v>0</v>
      </c>
    </row>
    <row r="420" spans="1:5">
      <c r="A420" s="24"/>
      <c r="B420" s="19"/>
      <c r="C420" s="26">
        <f>IF(A420="","",ROUND((A420+cfgAjusteMES/1440)*48,0))</f>
        <v>0</v>
      </c>
      <c r="D420" s="26">
        <f>IF(C420="","",INT((C420-cfgDeslocamento)/4))</f>
        <v>0</v>
      </c>
      <c r="E420" s="26">
        <f>IF(C420="","",MOD(C420-cfgDeslocamento,4)+1)</f>
        <v>0</v>
      </c>
    </row>
    <row r="421" spans="1:5">
      <c r="A421" s="24"/>
      <c r="B421" s="19"/>
      <c r="C421" s="26">
        <f>IF(A421="","",ROUND((A421+cfgAjusteMES/1440)*48,0))</f>
        <v>0</v>
      </c>
      <c r="D421" s="26">
        <f>IF(C421="","",INT((C421-cfgDeslocamento)/4))</f>
        <v>0</v>
      </c>
      <c r="E421" s="26">
        <f>IF(C421="","",MOD(C421-cfgDeslocamento,4)+1)</f>
        <v>0</v>
      </c>
    </row>
    <row r="422" spans="1:5">
      <c r="A422" s="24"/>
      <c r="B422" s="19"/>
      <c r="C422" s="26">
        <f>IF(A422="","",ROUND((A422+cfgAjusteMES/1440)*48,0))</f>
        <v>0</v>
      </c>
      <c r="D422" s="26">
        <f>IF(C422="","",INT((C422-cfgDeslocamento)/4))</f>
        <v>0</v>
      </c>
      <c r="E422" s="26">
        <f>IF(C422="","",MOD(C422-cfgDeslocamento,4)+1)</f>
        <v>0</v>
      </c>
    </row>
    <row r="423" spans="1:5">
      <c r="A423" s="24"/>
      <c r="B423" s="19"/>
      <c r="C423" s="26">
        <f>IF(A423="","",ROUND((A423+cfgAjusteMES/1440)*48,0))</f>
        <v>0</v>
      </c>
      <c r="D423" s="26">
        <f>IF(C423="","",INT((C423-cfgDeslocamento)/4))</f>
        <v>0</v>
      </c>
      <c r="E423" s="26">
        <f>IF(C423="","",MOD(C423-cfgDeslocamento,4)+1)</f>
        <v>0</v>
      </c>
    </row>
    <row r="424" spans="1:5">
      <c r="A424" s="24"/>
      <c r="B424" s="19"/>
      <c r="C424" s="26">
        <f>IF(A424="","",ROUND((A424+cfgAjusteMES/1440)*48,0))</f>
        <v>0</v>
      </c>
      <c r="D424" s="26">
        <f>IF(C424="","",INT((C424-cfgDeslocamento)/4))</f>
        <v>0</v>
      </c>
      <c r="E424" s="26">
        <f>IF(C424="","",MOD(C424-cfgDeslocamento,4)+1)</f>
        <v>0</v>
      </c>
    </row>
    <row r="425" spans="1:5">
      <c r="A425" s="24"/>
      <c r="B425" s="19"/>
      <c r="C425" s="26">
        <f>IF(A425="","",ROUND((A425+cfgAjusteMES/1440)*48,0))</f>
        <v>0</v>
      </c>
      <c r="D425" s="26">
        <f>IF(C425="","",INT((C425-cfgDeslocamento)/4))</f>
        <v>0</v>
      </c>
      <c r="E425" s="26">
        <f>IF(C425="","",MOD(C425-cfgDeslocamento,4)+1)</f>
        <v>0</v>
      </c>
    </row>
    <row r="426" spans="1:5">
      <c r="A426" s="24"/>
      <c r="B426" s="19"/>
      <c r="C426" s="26">
        <f>IF(A426="","",ROUND((A426+cfgAjusteMES/1440)*48,0))</f>
        <v>0</v>
      </c>
      <c r="D426" s="26">
        <f>IF(C426="","",INT((C426-cfgDeslocamento)/4))</f>
        <v>0</v>
      </c>
      <c r="E426" s="26">
        <f>IF(C426="","",MOD(C426-cfgDeslocamento,4)+1)</f>
        <v>0</v>
      </c>
    </row>
    <row r="427" spans="1:5">
      <c r="A427" s="24"/>
      <c r="B427" s="19"/>
      <c r="C427" s="26">
        <f>IF(A427="","",ROUND((A427+cfgAjusteMES/1440)*48,0))</f>
        <v>0</v>
      </c>
      <c r="D427" s="26">
        <f>IF(C427="","",INT((C427-cfgDeslocamento)/4))</f>
        <v>0</v>
      </c>
      <c r="E427" s="26">
        <f>IF(C427="","",MOD(C427-cfgDeslocamento,4)+1)</f>
        <v>0</v>
      </c>
    </row>
    <row r="428" spans="1:5">
      <c r="A428" s="24"/>
      <c r="B428" s="19"/>
      <c r="C428" s="26">
        <f>IF(A428="","",ROUND((A428+cfgAjusteMES/1440)*48,0))</f>
        <v>0</v>
      </c>
      <c r="D428" s="26">
        <f>IF(C428="","",INT((C428-cfgDeslocamento)/4))</f>
        <v>0</v>
      </c>
      <c r="E428" s="26">
        <f>IF(C428="","",MOD(C428-cfgDeslocamento,4)+1)</f>
        <v>0</v>
      </c>
    </row>
    <row r="429" spans="1:5">
      <c r="A429" s="24"/>
      <c r="B429" s="19"/>
      <c r="C429" s="26">
        <f>IF(A429="","",ROUND((A429+cfgAjusteMES/1440)*48,0))</f>
        <v>0</v>
      </c>
      <c r="D429" s="26">
        <f>IF(C429="","",INT((C429-cfgDeslocamento)/4))</f>
        <v>0</v>
      </c>
      <c r="E429" s="26">
        <f>IF(C429="","",MOD(C429-cfgDeslocamento,4)+1)</f>
        <v>0</v>
      </c>
    </row>
    <row r="430" spans="1:5">
      <c r="A430" s="24"/>
      <c r="B430" s="19"/>
      <c r="C430" s="26">
        <f>IF(A430="","",ROUND((A430+cfgAjusteMES/1440)*48,0))</f>
        <v>0</v>
      </c>
      <c r="D430" s="26">
        <f>IF(C430="","",INT((C430-cfgDeslocamento)/4))</f>
        <v>0</v>
      </c>
      <c r="E430" s="26">
        <f>IF(C430="","",MOD(C430-cfgDeslocamento,4)+1)</f>
        <v>0</v>
      </c>
    </row>
    <row r="431" spans="1:5">
      <c r="A431" s="24"/>
      <c r="B431" s="19"/>
      <c r="C431" s="26">
        <f>IF(A431="","",ROUND((A431+cfgAjusteMES/1440)*48,0))</f>
        <v>0</v>
      </c>
      <c r="D431" s="26">
        <f>IF(C431="","",INT((C431-cfgDeslocamento)/4))</f>
        <v>0</v>
      </c>
      <c r="E431" s="26">
        <f>IF(C431="","",MOD(C431-cfgDeslocamento,4)+1)</f>
        <v>0</v>
      </c>
    </row>
    <row r="432" spans="1:5">
      <c r="A432" s="24"/>
      <c r="B432" s="19"/>
      <c r="C432" s="26">
        <f>IF(A432="","",ROUND((A432+cfgAjusteMES/1440)*48,0))</f>
        <v>0</v>
      </c>
      <c r="D432" s="26">
        <f>IF(C432="","",INT((C432-cfgDeslocamento)/4))</f>
        <v>0</v>
      </c>
      <c r="E432" s="26">
        <f>IF(C432="","",MOD(C432-cfgDeslocamento,4)+1)</f>
        <v>0</v>
      </c>
    </row>
    <row r="433" spans="1:5">
      <c r="A433" s="24"/>
      <c r="B433" s="19"/>
      <c r="C433" s="26">
        <f>IF(A433="","",ROUND((A433+cfgAjusteMES/1440)*48,0))</f>
        <v>0</v>
      </c>
      <c r="D433" s="26">
        <f>IF(C433="","",INT((C433-cfgDeslocamento)/4))</f>
        <v>0</v>
      </c>
      <c r="E433" s="26">
        <f>IF(C433="","",MOD(C433-cfgDeslocamento,4)+1)</f>
        <v>0</v>
      </c>
    </row>
    <row r="434" spans="1:5">
      <c r="A434" s="24"/>
      <c r="B434" s="19"/>
      <c r="C434" s="26">
        <f>IF(A434="","",ROUND((A434+cfgAjusteMES/1440)*48,0))</f>
        <v>0</v>
      </c>
      <c r="D434" s="26">
        <f>IF(C434="","",INT((C434-cfgDeslocamento)/4))</f>
        <v>0</v>
      </c>
      <c r="E434" s="26">
        <f>IF(C434="","",MOD(C434-cfgDeslocamento,4)+1)</f>
        <v>0</v>
      </c>
    </row>
    <row r="435" spans="1:5">
      <c r="A435" s="24"/>
      <c r="B435" s="19"/>
      <c r="C435" s="26">
        <f>IF(A435="","",ROUND((A435+cfgAjusteMES/1440)*48,0))</f>
        <v>0</v>
      </c>
      <c r="D435" s="26">
        <f>IF(C435="","",INT((C435-cfgDeslocamento)/4))</f>
        <v>0</v>
      </c>
      <c r="E435" s="26">
        <f>IF(C435="","",MOD(C435-cfgDeslocamento,4)+1)</f>
        <v>0</v>
      </c>
    </row>
    <row r="436" spans="1:5">
      <c r="A436" s="24"/>
      <c r="B436" s="19"/>
      <c r="C436" s="26">
        <f>IF(A436="","",ROUND((A436+cfgAjusteMES/1440)*48,0))</f>
        <v>0</v>
      </c>
      <c r="D436" s="26">
        <f>IF(C436="","",INT((C436-cfgDeslocamento)/4))</f>
        <v>0</v>
      </c>
      <c r="E436" s="26">
        <f>IF(C436="","",MOD(C436-cfgDeslocamento,4)+1)</f>
        <v>0</v>
      </c>
    </row>
    <row r="437" spans="1:5">
      <c r="A437" s="24"/>
      <c r="B437" s="19"/>
      <c r="C437" s="26">
        <f>IF(A437="","",ROUND((A437+cfgAjusteMES/1440)*48,0))</f>
        <v>0</v>
      </c>
      <c r="D437" s="26">
        <f>IF(C437="","",INT((C437-cfgDeslocamento)/4))</f>
        <v>0</v>
      </c>
      <c r="E437" s="26">
        <f>IF(C437="","",MOD(C437-cfgDeslocamento,4)+1)</f>
        <v>0</v>
      </c>
    </row>
    <row r="438" spans="1:5">
      <c r="A438" s="24"/>
      <c r="B438" s="19"/>
      <c r="C438" s="26">
        <f>IF(A438="","",ROUND((A438+cfgAjusteMES/1440)*48,0))</f>
        <v>0</v>
      </c>
      <c r="D438" s="26">
        <f>IF(C438="","",INT((C438-cfgDeslocamento)/4))</f>
        <v>0</v>
      </c>
      <c r="E438" s="26">
        <f>IF(C438="","",MOD(C438-cfgDeslocamento,4)+1)</f>
        <v>0</v>
      </c>
    </row>
    <row r="439" spans="1:5">
      <c r="A439" s="24"/>
      <c r="B439" s="19"/>
      <c r="C439" s="26">
        <f>IF(A439="","",ROUND((A439+cfgAjusteMES/1440)*48,0))</f>
        <v>0</v>
      </c>
      <c r="D439" s="26">
        <f>IF(C439="","",INT((C439-cfgDeslocamento)/4))</f>
        <v>0</v>
      </c>
      <c r="E439" s="26">
        <f>IF(C439="","",MOD(C439-cfgDeslocamento,4)+1)</f>
        <v>0</v>
      </c>
    </row>
    <row r="440" spans="1:5">
      <c r="A440" s="24"/>
      <c r="B440" s="19"/>
      <c r="C440" s="26">
        <f>IF(A440="","",ROUND((A440+cfgAjusteMES/1440)*48,0))</f>
        <v>0</v>
      </c>
      <c r="D440" s="26">
        <f>IF(C440="","",INT((C440-cfgDeslocamento)/4))</f>
        <v>0</v>
      </c>
      <c r="E440" s="26">
        <f>IF(C440="","",MOD(C440-cfgDeslocamento,4)+1)</f>
        <v>0</v>
      </c>
    </row>
    <row r="441" spans="1:5">
      <c r="A441" s="24"/>
      <c r="B441" s="19"/>
      <c r="C441" s="26">
        <f>IF(A441="","",ROUND((A441+cfgAjusteMES/1440)*48,0))</f>
        <v>0</v>
      </c>
      <c r="D441" s="26">
        <f>IF(C441="","",INT((C441-cfgDeslocamento)/4))</f>
        <v>0</v>
      </c>
      <c r="E441" s="26">
        <f>IF(C441="","",MOD(C441-cfgDeslocamento,4)+1)</f>
        <v>0</v>
      </c>
    </row>
    <row r="442" spans="1:5">
      <c r="A442" s="24"/>
      <c r="B442" s="19"/>
      <c r="C442" s="26">
        <f>IF(A442="","",ROUND((A442+cfgAjusteMES/1440)*48,0))</f>
        <v>0</v>
      </c>
      <c r="D442" s="26">
        <f>IF(C442="","",INT((C442-cfgDeslocamento)/4))</f>
        <v>0</v>
      </c>
      <c r="E442" s="26">
        <f>IF(C442="","",MOD(C442-cfgDeslocamento,4)+1)</f>
        <v>0</v>
      </c>
    </row>
    <row r="443" spans="1:5">
      <c r="A443" s="24"/>
      <c r="B443" s="19"/>
      <c r="C443" s="26">
        <f>IF(A443="","",ROUND((A443+cfgAjusteMES/1440)*48,0))</f>
        <v>0</v>
      </c>
      <c r="D443" s="26">
        <f>IF(C443="","",INT((C443-cfgDeslocamento)/4))</f>
        <v>0</v>
      </c>
      <c r="E443" s="26">
        <f>IF(C443="","",MOD(C443-cfgDeslocamento,4)+1)</f>
        <v>0</v>
      </c>
    </row>
    <row r="444" spans="1:5">
      <c r="A444" s="24"/>
      <c r="B444" s="19"/>
      <c r="C444" s="26">
        <f>IF(A444="","",ROUND((A444+cfgAjusteMES/1440)*48,0))</f>
        <v>0</v>
      </c>
      <c r="D444" s="26">
        <f>IF(C444="","",INT((C444-cfgDeslocamento)/4))</f>
        <v>0</v>
      </c>
      <c r="E444" s="26">
        <f>IF(C444="","",MOD(C444-cfgDeslocamento,4)+1)</f>
        <v>0</v>
      </c>
    </row>
    <row r="445" spans="1:5">
      <c r="A445" s="24"/>
      <c r="B445" s="19"/>
      <c r="C445" s="26">
        <f>IF(A445="","",ROUND((A445+cfgAjusteMES/1440)*48,0))</f>
        <v>0</v>
      </c>
      <c r="D445" s="26">
        <f>IF(C445="","",INT((C445-cfgDeslocamento)/4))</f>
        <v>0</v>
      </c>
      <c r="E445" s="26">
        <f>IF(C445="","",MOD(C445-cfgDeslocamento,4)+1)</f>
        <v>0</v>
      </c>
    </row>
    <row r="446" spans="1:5">
      <c r="A446" s="24"/>
      <c r="B446" s="19"/>
      <c r="C446" s="26">
        <f>IF(A446="","",ROUND((A446+cfgAjusteMES/1440)*48,0))</f>
        <v>0</v>
      </c>
      <c r="D446" s="26">
        <f>IF(C446="","",INT((C446-cfgDeslocamento)/4))</f>
        <v>0</v>
      </c>
      <c r="E446" s="26">
        <f>IF(C446="","",MOD(C446-cfgDeslocamento,4)+1)</f>
        <v>0</v>
      </c>
    </row>
    <row r="447" spans="1:5">
      <c r="A447" s="24"/>
      <c r="B447" s="19"/>
      <c r="C447" s="26">
        <f>IF(A447="","",ROUND((A447+cfgAjusteMES/1440)*48,0))</f>
        <v>0</v>
      </c>
      <c r="D447" s="26">
        <f>IF(C447="","",INT((C447-cfgDeslocamento)/4))</f>
        <v>0</v>
      </c>
      <c r="E447" s="26">
        <f>IF(C447="","",MOD(C447-cfgDeslocamento,4)+1)</f>
        <v>0</v>
      </c>
    </row>
    <row r="448" spans="1:5">
      <c r="A448" s="24"/>
      <c r="B448" s="19"/>
      <c r="C448" s="26">
        <f>IF(A448="","",ROUND((A448+cfgAjusteMES/1440)*48,0))</f>
        <v>0</v>
      </c>
      <c r="D448" s="26">
        <f>IF(C448="","",INT((C448-cfgDeslocamento)/4))</f>
        <v>0</v>
      </c>
      <c r="E448" s="26">
        <f>IF(C448="","",MOD(C448-cfgDeslocamento,4)+1)</f>
        <v>0</v>
      </c>
    </row>
    <row r="449" spans="1:5">
      <c r="A449" s="24"/>
      <c r="B449" s="19"/>
      <c r="C449" s="26">
        <f>IF(A449="","",ROUND((A449+cfgAjusteMES/1440)*48,0))</f>
        <v>0</v>
      </c>
      <c r="D449" s="26">
        <f>IF(C449="","",INT((C449-cfgDeslocamento)/4))</f>
        <v>0</v>
      </c>
      <c r="E449" s="26">
        <f>IF(C449="","",MOD(C449-cfgDeslocamento,4)+1)</f>
        <v>0</v>
      </c>
    </row>
    <row r="450" spans="1:5">
      <c r="A450" s="24"/>
      <c r="B450" s="19"/>
      <c r="C450" s="26">
        <f>IF(A450="","",ROUND((A450+cfgAjusteMES/1440)*48,0))</f>
        <v>0</v>
      </c>
      <c r="D450" s="26">
        <f>IF(C450="","",INT((C450-cfgDeslocamento)/4))</f>
        <v>0</v>
      </c>
      <c r="E450" s="26">
        <f>IF(C450="","",MOD(C450-cfgDeslocamento,4)+1)</f>
        <v>0</v>
      </c>
    </row>
    <row r="451" spans="1:5">
      <c r="A451" s="24"/>
      <c r="B451" s="19"/>
      <c r="C451" s="26">
        <f>IF(A451="","",ROUND((A451+cfgAjusteMES/1440)*48,0))</f>
        <v>0</v>
      </c>
      <c r="D451" s="26">
        <f>IF(C451="","",INT((C451-cfgDeslocamento)/4))</f>
        <v>0</v>
      </c>
      <c r="E451" s="26">
        <f>IF(C451="","",MOD(C451-cfgDeslocamento,4)+1)</f>
        <v>0</v>
      </c>
    </row>
    <row r="452" spans="1:5">
      <c r="A452" s="24"/>
      <c r="B452" s="19"/>
      <c r="C452" s="26">
        <f>IF(A452="","",ROUND((A452+cfgAjusteMES/1440)*48,0))</f>
        <v>0</v>
      </c>
      <c r="D452" s="26">
        <f>IF(C452="","",INT((C452-cfgDeslocamento)/4))</f>
        <v>0</v>
      </c>
      <c r="E452" s="26">
        <f>IF(C452="","",MOD(C452-cfgDeslocamento,4)+1)</f>
        <v>0</v>
      </c>
    </row>
    <row r="453" spans="1:5">
      <c r="A453" s="24"/>
      <c r="B453" s="19"/>
      <c r="C453" s="26">
        <f>IF(A453="","",ROUND((A453+cfgAjusteMES/1440)*48,0))</f>
        <v>0</v>
      </c>
      <c r="D453" s="26">
        <f>IF(C453="","",INT((C453-cfgDeslocamento)/4))</f>
        <v>0</v>
      </c>
      <c r="E453" s="26">
        <f>IF(C453="","",MOD(C453-cfgDeslocamento,4)+1)</f>
        <v>0</v>
      </c>
    </row>
    <row r="454" spans="1:5">
      <c r="A454" s="24"/>
      <c r="B454" s="19"/>
      <c r="C454" s="26">
        <f>IF(A454="","",ROUND((A454+cfgAjusteMES/1440)*48,0))</f>
        <v>0</v>
      </c>
      <c r="D454" s="26">
        <f>IF(C454="","",INT((C454-cfgDeslocamento)/4))</f>
        <v>0</v>
      </c>
      <c r="E454" s="26">
        <f>IF(C454="","",MOD(C454-cfgDeslocamento,4)+1)</f>
        <v>0</v>
      </c>
    </row>
    <row r="455" spans="1:5">
      <c r="A455" s="24"/>
      <c r="B455" s="19"/>
      <c r="C455" s="26">
        <f>IF(A455="","",ROUND((A455+cfgAjusteMES/1440)*48,0))</f>
        <v>0</v>
      </c>
      <c r="D455" s="26">
        <f>IF(C455="","",INT((C455-cfgDeslocamento)/4))</f>
        <v>0</v>
      </c>
      <c r="E455" s="26">
        <f>IF(C455="","",MOD(C455-cfgDeslocamento,4)+1)</f>
        <v>0</v>
      </c>
    </row>
    <row r="456" spans="1:5">
      <c r="A456" s="24"/>
      <c r="B456" s="19"/>
      <c r="C456" s="26">
        <f>IF(A456="","",ROUND((A456+cfgAjusteMES/1440)*48,0))</f>
        <v>0</v>
      </c>
      <c r="D456" s="26">
        <f>IF(C456="","",INT((C456-cfgDeslocamento)/4))</f>
        <v>0</v>
      </c>
      <c r="E456" s="26">
        <f>IF(C456="","",MOD(C456-cfgDeslocamento,4)+1)</f>
        <v>0</v>
      </c>
    </row>
    <row r="457" spans="1:5">
      <c r="A457" s="24"/>
      <c r="B457" s="19"/>
      <c r="C457" s="26">
        <f>IF(A457="","",ROUND((A457+cfgAjusteMES/1440)*48,0))</f>
        <v>0</v>
      </c>
      <c r="D457" s="26">
        <f>IF(C457="","",INT((C457-cfgDeslocamento)/4))</f>
        <v>0</v>
      </c>
      <c r="E457" s="26">
        <f>IF(C457="","",MOD(C457-cfgDeslocamento,4)+1)</f>
        <v>0</v>
      </c>
    </row>
    <row r="458" spans="1:5">
      <c r="A458" s="24"/>
      <c r="B458" s="19"/>
      <c r="C458" s="26">
        <f>IF(A458="","",ROUND((A458+cfgAjusteMES/1440)*48,0))</f>
        <v>0</v>
      </c>
      <c r="D458" s="26">
        <f>IF(C458="","",INT((C458-cfgDeslocamento)/4))</f>
        <v>0</v>
      </c>
      <c r="E458" s="26">
        <f>IF(C458="","",MOD(C458-cfgDeslocamento,4)+1)</f>
        <v>0</v>
      </c>
    </row>
    <row r="459" spans="1:5">
      <c r="A459" s="24"/>
      <c r="B459" s="19"/>
      <c r="C459" s="26">
        <f>IF(A459="","",ROUND((A459+cfgAjusteMES/1440)*48,0))</f>
        <v>0</v>
      </c>
      <c r="D459" s="26">
        <f>IF(C459="","",INT((C459-cfgDeslocamento)/4))</f>
        <v>0</v>
      </c>
      <c r="E459" s="26">
        <f>IF(C459="","",MOD(C459-cfgDeslocamento,4)+1)</f>
        <v>0</v>
      </c>
    </row>
    <row r="460" spans="1:5">
      <c r="A460" s="24"/>
      <c r="B460" s="19"/>
      <c r="C460" s="26">
        <f>IF(A460="","",ROUND((A460+cfgAjusteMES/1440)*48,0))</f>
        <v>0</v>
      </c>
      <c r="D460" s="26">
        <f>IF(C460="","",INT((C460-cfgDeslocamento)/4))</f>
        <v>0</v>
      </c>
      <c r="E460" s="26">
        <f>IF(C460="","",MOD(C460-cfgDeslocamento,4)+1)</f>
        <v>0</v>
      </c>
    </row>
    <row r="461" spans="1:5">
      <c r="A461" s="24"/>
      <c r="B461" s="19"/>
      <c r="C461" s="26">
        <f>IF(A461="","",ROUND((A461+cfgAjusteMES/1440)*48,0))</f>
        <v>0</v>
      </c>
      <c r="D461" s="26">
        <f>IF(C461="","",INT((C461-cfgDeslocamento)/4))</f>
        <v>0</v>
      </c>
      <c r="E461" s="26">
        <f>IF(C461="","",MOD(C461-cfgDeslocamento,4)+1)</f>
        <v>0</v>
      </c>
    </row>
    <row r="462" spans="1:5">
      <c r="A462" s="24"/>
      <c r="B462" s="19"/>
      <c r="C462" s="26">
        <f>IF(A462="","",ROUND((A462+cfgAjusteMES/1440)*48,0))</f>
        <v>0</v>
      </c>
      <c r="D462" s="26">
        <f>IF(C462="","",INT((C462-cfgDeslocamento)/4))</f>
        <v>0</v>
      </c>
      <c r="E462" s="26">
        <f>IF(C462="","",MOD(C462-cfgDeslocamento,4)+1)</f>
        <v>0</v>
      </c>
    </row>
    <row r="463" spans="1:5">
      <c r="A463" s="24"/>
      <c r="B463" s="19"/>
      <c r="C463" s="26">
        <f>IF(A463="","",ROUND((A463+cfgAjusteMES/1440)*48,0))</f>
        <v>0</v>
      </c>
      <c r="D463" s="26">
        <f>IF(C463="","",INT((C463-cfgDeslocamento)/4))</f>
        <v>0</v>
      </c>
      <c r="E463" s="26">
        <f>IF(C463="","",MOD(C463-cfgDeslocamento,4)+1)</f>
        <v>0</v>
      </c>
    </row>
    <row r="464" spans="1:5">
      <c r="A464" s="24"/>
      <c r="B464" s="19"/>
      <c r="C464" s="26">
        <f>IF(A464="","",ROUND((A464+cfgAjusteMES/1440)*48,0))</f>
        <v>0</v>
      </c>
      <c r="D464" s="26">
        <f>IF(C464="","",INT((C464-cfgDeslocamento)/4))</f>
        <v>0</v>
      </c>
      <c r="E464" s="26">
        <f>IF(C464="","",MOD(C464-cfgDeslocamento,4)+1)</f>
        <v>0</v>
      </c>
    </row>
    <row r="465" spans="1:5">
      <c r="A465" s="24"/>
      <c r="B465" s="19"/>
      <c r="C465" s="26">
        <f>IF(A465="","",ROUND((A465+cfgAjusteMES/1440)*48,0))</f>
        <v>0</v>
      </c>
      <c r="D465" s="26">
        <f>IF(C465="","",INT((C465-cfgDeslocamento)/4))</f>
        <v>0</v>
      </c>
      <c r="E465" s="26">
        <f>IF(C465="","",MOD(C465-cfgDeslocamento,4)+1)</f>
        <v>0</v>
      </c>
    </row>
    <row r="466" spans="1:5">
      <c r="A466" s="24"/>
      <c r="B466" s="19"/>
      <c r="C466" s="26">
        <f>IF(A466="","",ROUND((A466+cfgAjusteMES/1440)*48,0))</f>
        <v>0</v>
      </c>
      <c r="D466" s="26">
        <f>IF(C466="","",INT((C466-cfgDeslocamento)/4))</f>
        <v>0</v>
      </c>
      <c r="E466" s="26">
        <f>IF(C466="","",MOD(C466-cfgDeslocamento,4)+1)</f>
        <v>0</v>
      </c>
    </row>
    <row r="467" spans="1:5">
      <c r="A467" s="24"/>
      <c r="B467" s="19"/>
      <c r="C467" s="26">
        <f>IF(A467="","",ROUND((A467+cfgAjusteMES/1440)*48,0))</f>
        <v>0</v>
      </c>
      <c r="D467" s="26">
        <f>IF(C467="","",INT((C467-cfgDeslocamento)/4))</f>
        <v>0</v>
      </c>
      <c r="E467" s="26">
        <f>IF(C467="","",MOD(C467-cfgDeslocamento,4)+1)</f>
        <v>0</v>
      </c>
    </row>
    <row r="468" spans="1:5">
      <c r="A468" s="24"/>
      <c r="B468" s="19"/>
      <c r="C468" s="26">
        <f>IF(A468="","",ROUND((A468+cfgAjusteMES/1440)*48,0))</f>
        <v>0</v>
      </c>
      <c r="D468" s="26">
        <f>IF(C468="","",INT((C468-cfgDeslocamento)/4))</f>
        <v>0</v>
      </c>
      <c r="E468" s="26">
        <f>IF(C468="","",MOD(C468-cfgDeslocamento,4)+1)</f>
        <v>0</v>
      </c>
    </row>
    <row r="469" spans="1:5">
      <c r="A469" s="24"/>
      <c r="B469" s="19"/>
      <c r="C469" s="26">
        <f>IF(A469="","",ROUND((A469+cfgAjusteMES/1440)*48,0))</f>
        <v>0</v>
      </c>
      <c r="D469" s="26">
        <f>IF(C469="","",INT((C469-cfgDeslocamento)/4))</f>
        <v>0</v>
      </c>
      <c r="E469" s="26">
        <f>IF(C469="","",MOD(C469-cfgDeslocamento,4)+1)</f>
        <v>0</v>
      </c>
    </row>
    <row r="470" spans="1:5">
      <c r="A470" s="24"/>
      <c r="B470" s="19"/>
      <c r="C470" s="26">
        <f>IF(A470="","",ROUND((A470+cfgAjusteMES/1440)*48,0))</f>
        <v>0</v>
      </c>
      <c r="D470" s="26">
        <f>IF(C470="","",INT((C470-cfgDeslocamento)/4))</f>
        <v>0</v>
      </c>
      <c r="E470" s="26">
        <f>IF(C470="","",MOD(C470-cfgDeslocamento,4)+1)</f>
        <v>0</v>
      </c>
    </row>
    <row r="471" spans="1:5">
      <c r="A471" s="24"/>
      <c r="B471" s="19"/>
      <c r="C471" s="26">
        <f>IF(A471="","",ROUND((A471+cfgAjusteMES/1440)*48,0))</f>
        <v>0</v>
      </c>
      <c r="D471" s="26">
        <f>IF(C471="","",INT((C471-cfgDeslocamento)/4))</f>
        <v>0</v>
      </c>
      <c r="E471" s="26">
        <f>IF(C471="","",MOD(C471-cfgDeslocamento,4)+1)</f>
        <v>0</v>
      </c>
    </row>
    <row r="472" spans="1:5">
      <c r="A472" s="24"/>
      <c r="B472" s="19"/>
      <c r="C472" s="26">
        <f>IF(A472="","",ROUND((A472+cfgAjusteMES/1440)*48,0))</f>
        <v>0</v>
      </c>
      <c r="D472" s="26">
        <f>IF(C472="","",INT((C472-cfgDeslocamento)/4))</f>
        <v>0</v>
      </c>
      <c r="E472" s="26">
        <f>IF(C472="","",MOD(C472-cfgDeslocamento,4)+1)</f>
        <v>0</v>
      </c>
    </row>
    <row r="473" spans="1:5">
      <c r="A473" s="24"/>
      <c r="B473" s="19"/>
      <c r="C473" s="26">
        <f>IF(A473="","",ROUND((A473+cfgAjusteMES/1440)*48,0))</f>
        <v>0</v>
      </c>
      <c r="D473" s="26">
        <f>IF(C473="","",INT((C473-cfgDeslocamento)/4))</f>
        <v>0</v>
      </c>
      <c r="E473" s="26">
        <f>IF(C473="","",MOD(C473-cfgDeslocamento,4)+1)</f>
        <v>0</v>
      </c>
    </row>
    <row r="474" spans="1:5">
      <c r="A474" s="24"/>
      <c r="B474" s="19"/>
      <c r="C474" s="26">
        <f>IF(A474="","",ROUND((A474+cfgAjusteMES/1440)*48,0))</f>
        <v>0</v>
      </c>
      <c r="D474" s="26">
        <f>IF(C474="","",INT((C474-cfgDeslocamento)/4))</f>
        <v>0</v>
      </c>
      <c r="E474" s="26">
        <f>IF(C474="","",MOD(C474-cfgDeslocamento,4)+1)</f>
        <v>0</v>
      </c>
    </row>
    <row r="475" spans="1:5">
      <c r="A475" s="24"/>
      <c r="B475" s="19"/>
      <c r="C475" s="26">
        <f>IF(A475="","",ROUND((A475+cfgAjusteMES/1440)*48,0))</f>
        <v>0</v>
      </c>
      <c r="D475" s="26">
        <f>IF(C475="","",INT((C475-cfgDeslocamento)/4))</f>
        <v>0</v>
      </c>
      <c r="E475" s="26">
        <f>IF(C475="","",MOD(C475-cfgDeslocamento,4)+1)</f>
        <v>0</v>
      </c>
    </row>
    <row r="476" spans="1:5">
      <c r="A476" s="24"/>
      <c r="B476" s="19"/>
      <c r="C476" s="26">
        <f>IF(A476="","",ROUND((A476+cfgAjusteMES/1440)*48,0))</f>
        <v>0</v>
      </c>
      <c r="D476" s="26">
        <f>IF(C476="","",INT((C476-cfgDeslocamento)/4))</f>
        <v>0</v>
      </c>
      <c r="E476" s="26">
        <f>IF(C476="","",MOD(C476-cfgDeslocamento,4)+1)</f>
        <v>0</v>
      </c>
    </row>
    <row r="477" spans="1:5">
      <c r="A477" s="24"/>
      <c r="B477" s="19"/>
      <c r="C477" s="26">
        <f>IF(A477="","",ROUND((A477+cfgAjusteMES/1440)*48,0))</f>
        <v>0</v>
      </c>
      <c r="D477" s="26">
        <f>IF(C477="","",INT((C477-cfgDeslocamento)/4))</f>
        <v>0</v>
      </c>
      <c r="E477" s="26">
        <f>IF(C477="","",MOD(C477-cfgDeslocamento,4)+1)</f>
        <v>0</v>
      </c>
    </row>
    <row r="478" spans="1:5">
      <c r="A478" s="24"/>
      <c r="B478" s="19"/>
      <c r="C478" s="26">
        <f>IF(A478="","",ROUND((A478+cfgAjusteMES/1440)*48,0))</f>
        <v>0</v>
      </c>
      <c r="D478" s="26">
        <f>IF(C478="","",INT((C478-cfgDeslocamento)/4))</f>
        <v>0</v>
      </c>
      <c r="E478" s="26">
        <f>IF(C478="","",MOD(C478-cfgDeslocamento,4)+1)</f>
        <v>0</v>
      </c>
    </row>
    <row r="479" spans="1:5">
      <c r="A479" s="24"/>
      <c r="B479" s="19"/>
      <c r="C479" s="26">
        <f>IF(A479="","",ROUND((A479+cfgAjusteMES/1440)*48,0))</f>
        <v>0</v>
      </c>
      <c r="D479" s="26">
        <f>IF(C479="","",INT((C479-cfgDeslocamento)/4))</f>
        <v>0</v>
      </c>
      <c r="E479" s="26">
        <f>IF(C479="","",MOD(C479-cfgDeslocamento,4)+1)</f>
        <v>0</v>
      </c>
    </row>
    <row r="480" spans="1:5">
      <c r="A480" s="24"/>
      <c r="B480" s="19"/>
      <c r="C480" s="26">
        <f>IF(A480="","",ROUND((A480+cfgAjusteMES/1440)*48,0))</f>
        <v>0</v>
      </c>
      <c r="D480" s="26">
        <f>IF(C480="","",INT((C480-cfgDeslocamento)/4))</f>
        <v>0</v>
      </c>
      <c r="E480" s="26">
        <f>IF(C480="","",MOD(C480-cfgDeslocamento,4)+1)</f>
        <v>0</v>
      </c>
    </row>
    <row r="481" spans="1:5">
      <c r="A481" s="24"/>
      <c r="B481" s="19"/>
      <c r="C481" s="26">
        <f>IF(A481="","",ROUND((A481+cfgAjusteMES/1440)*48,0))</f>
        <v>0</v>
      </c>
      <c r="D481" s="26">
        <f>IF(C481="","",INT((C481-cfgDeslocamento)/4))</f>
        <v>0</v>
      </c>
      <c r="E481" s="26">
        <f>IF(C481="","",MOD(C481-cfgDeslocamento,4)+1)</f>
        <v>0</v>
      </c>
    </row>
    <row r="482" spans="1:5">
      <c r="A482" s="24"/>
      <c r="B482" s="19"/>
      <c r="C482" s="26">
        <f>IF(A482="","",ROUND((A482+cfgAjusteMES/1440)*48,0))</f>
        <v>0</v>
      </c>
      <c r="D482" s="26">
        <f>IF(C482="","",INT((C482-cfgDeslocamento)/4))</f>
        <v>0</v>
      </c>
      <c r="E482" s="26">
        <f>IF(C482="","",MOD(C482-cfgDeslocamento,4)+1)</f>
        <v>0</v>
      </c>
    </row>
    <row r="483" spans="1:5">
      <c r="A483" s="24"/>
      <c r="B483" s="19"/>
      <c r="C483" s="26">
        <f>IF(A483="","",ROUND((A483+cfgAjusteMES/1440)*48,0))</f>
        <v>0</v>
      </c>
      <c r="D483" s="26">
        <f>IF(C483="","",INT((C483-cfgDeslocamento)/4))</f>
        <v>0</v>
      </c>
      <c r="E483" s="26">
        <f>IF(C483="","",MOD(C483-cfgDeslocamento,4)+1)</f>
        <v>0</v>
      </c>
    </row>
    <row r="484" spans="1:5">
      <c r="A484" s="24"/>
      <c r="B484" s="19"/>
      <c r="C484" s="26">
        <f>IF(A484="","",ROUND((A484+cfgAjusteMES/1440)*48,0))</f>
        <v>0</v>
      </c>
      <c r="D484" s="26">
        <f>IF(C484="","",INT((C484-cfgDeslocamento)/4))</f>
        <v>0</v>
      </c>
      <c r="E484" s="26">
        <f>IF(C484="","",MOD(C484-cfgDeslocamento,4)+1)</f>
        <v>0</v>
      </c>
    </row>
    <row r="485" spans="1:5">
      <c r="A485" s="24"/>
      <c r="B485" s="19"/>
      <c r="C485" s="26">
        <f>IF(A485="","",ROUND((A485+cfgAjusteMES/1440)*48,0))</f>
        <v>0</v>
      </c>
      <c r="D485" s="26">
        <f>IF(C485="","",INT((C485-cfgDeslocamento)/4))</f>
        <v>0</v>
      </c>
      <c r="E485" s="26">
        <f>IF(C485="","",MOD(C485-cfgDeslocamento,4)+1)</f>
        <v>0</v>
      </c>
    </row>
    <row r="486" spans="1:5">
      <c r="A486" s="24"/>
      <c r="B486" s="19"/>
      <c r="C486" s="26">
        <f>IF(A486="","",ROUND((A486+cfgAjusteMES/1440)*48,0))</f>
        <v>0</v>
      </c>
      <c r="D486" s="26">
        <f>IF(C486="","",INT((C486-cfgDeslocamento)/4))</f>
        <v>0</v>
      </c>
      <c r="E486" s="26">
        <f>IF(C486="","",MOD(C486-cfgDeslocamento,4)+1)</f>
        <v>0</v>
      </c>
    </row>
    <row r="487" spans="1:5">
      <c r="A487" s="24"/>
      <c r="B487" s="19"/>
      <c r="C487" s="26">
        <f>IF(A487="","",ROUND((A487+cfgAjusteMES/1440)*48,0))</f>
        <v>0</v>
      </c>
      <c r="D487" s="26">
        <f>IF(C487="","",INT((C487-cfgDeslocamento)/4))</f>
        <v>0</v>
      </c>
      <c r="E487" s="26">
        <f>IF(C487="","",MOD(C487-cfgDeslocamento,4)+1)</f>
        <v>0</v>
      </c>
    </row>
    <row r="488" spans="1:5">
      <c r="A488" s="24"/>
      <c r="B488" s="19"/>
      <c r="C488" s="26">
        <f>IF(A488="","",ROUND((A488+cfgAjusteMES/1440)*48,0))</f>
        <v>0</v>
      </c>
      <c r="D488" s="26">
        <f>IF(C488="","",INT((C488-cfgDeslocamento)/4))</f>
        <v>0</v>
      </c>
      <c r="E488" s="26">
        <f>IF(C488="","",MOD(C488-cfgDeslocamento,4)+1)</f>
        <v>0</v>
      </c>
    </row>
    <row r="489" spans="1:5">
      <c r="A489" s="24"/>
      <c r="B489" s="19"/>
      <c r="C489" s="26">
        <f>IF(A489="","",ROUND((A489+cfgAjusteMES/1440)*48,0))</f>
        <v>0</v>
      </c>
      <c r="D489" s="26">
        <f>IF(C489="","",INT((C489-cfgDeslocamento)/4))</f>
        <v>0</v>
      </c>
      <c r="E489" s="26">
        <f>IF(C489="","",MOD(C489-cfgDeslocamento,4)+1)</f>
        <v>0</v>
      </c>
    </row>
    <row r="490" spans="1:5">
      <c r="A490" s="24"/>
      <c r="B490" s="19"/>
      <c r="C490" s="26">
        <f>IF(A490="","",ROUND((A490+cfgAjusteMES/1440)*48,0))</f>
        <v>0</v>
      </c>
      <c r="D490" s="26">
        <f>IF(C490="","",INT((C490-cfgDeslocamento)/4))</f>
        <v>0</v>
      </c>
      <c r="E490" s="26">
        <f>IF(C490="","",MOD(C490-cfgDeslocamento,4)+1)</f>
        <v>0</v>
      </c>
    </row>
    <row r="491" spans="1:5">
      <c r="A491" s="24"/>
      <c r="B491" s="19"/>
      <c r="C491" s="26">
        <f>IF(A491="","",ROUND((A491+cfgAjusteMES/1440)*48,0))</f>
        <v>0</v>
      </c>
      <c r="D491" s="26">
        <f>IF(C491="","",INT((C491-cfgDeslocamento)/4))</f>
        <v>0</v>
      </c>
      <c r="E491" s="26">
        <f>IF(C491="","",MOD(C491-cfgDeslocamento,4)+1)</f>
        <v>0</v>
      </c>
    </row>
    <row r="492" spans="1:5">
      <c r="A492" s="24"/>
      <c r="B492" s="19"/>
      <c r="C492" s="26">
        <f>IF(A492="","",ROUND((A492+cfgAjusteMES/1440)*48,0))</f>
        <v>0</v>
      </c>
      <c r="D492" s="26">
        <f>IF(C492="","",INT((C492-cfgDeslocamento)/4))</f>
        <v>0</v>
      </c>
      <c r="E492" s="26">
        <f>IF(C492="","",MOD(C492-cfgDeslocamento,4)+1)</f>
        <v>0</v>
      </c>
    </row>
    <row r="493" spans="1:5">
      <c r="A493" s="24"/>
      <c r="B493" s="19"/>
      <c r="C493" s="26">
        <f>IF(A493="","",ROUND((A493+cfgAjusteMES/1440)*48,0))</f>
        <v>0</v>
      </c>
      <c r="D493" s="26">
        <f>IF(C493="","",INT((C493-cfgDeslocamento)/4))</f>
        <v>0</v>
      </c>
      <c r="E493" s="26">
        <f>IF(C493="","",MOD(C493-cfgDeslocamento,4)+1)</f>
        <v>0</v>
      </c>
    </row>
    <row r="494" spans="1:5">
      <c r="A494" s="24"/>
      <c r="B494" s="19"/>
      <c r="C494" s="26">
        <f>IF(A494="","",ROUND((A494+cfgAjusteMES/1440)*48,0))</f>
        <v>0</v>
      </c>
      <c r="D494" s="26">
        <f>IF(C494="","",INT((C494-cfgDeslocamento)/4))</f>
        <v>0</v>
      </c>
      <c r="E494" s="26">
        <f>IF(C494="","",MOD(C494-cfgDeslocamento,4)+1)</f>
        <v>0</v>
      </c>
    </row>
    <row r="495" spans="1:5">
      <c r="A495" s="24"/>
      <c r="B495" s="19"/>
      <c r="C495" s="26">
        <f>IF(A495="","",ROUND((A495+cfgAjusteMES/1440)*48,0))</f>
        <v>0</v>
      </c>
      <c r="D495" s="26">
        <f>IF(C495="","",INT((C495-cfgDeslocamento)/4))</f>
        <v>0</v>
      </c>
      <c r="E495" s="26">
        <f>IF(C495="","",MOD(C495-cfgDeslocamento,4)+1)</f>
        <v>0</v>
      </c>
    </row>
    <row r="496" spans="1:5">
      <c r="A496" s="24"/>
      <c r="B496" s="19"/>
      <c r="C496" s="26">
        <f>IF(A496="","",ROUND((A496+cfgAjusteMES/1440)*48,0))</f>
        <v>0</v>
      </c>
      <c r="D496" s="26">
        <f>IF(C496="","",INT((C496-cfgDeslocamento)/4))</f>
        <v>0</v>
      </c>
      <c r="E496" s="26">
        <f>IF(C496="","",MOD(C496-cfgDeslocamento,4)+1)</f>
        <v>0</v>
      </c>
    </row>
    <row r="497" spans="1:5">
      <c r="A497" s="24"/>
      <c r="B497" s="19"/>
      <c r="C497" s="26">
        <f>IF(A497="","",ROUND((A497+cfgAjusteMES/1440)*48,0))</f>
        <v>0</v>
      </c>
      <c r="D497" s="26">
        <f>IF(C497="","",INT((C497-cfgDeslocamento)/4))</f>
        <v>0</v>
      </c>
      <c r="E497" s="26">
        <f>IF(C497="","",MOD(C497-cfgDeslocamento,4)+1)</f>
        <v>0</v>
      </c>
    </row>
    <row r="498" spans="1:5">
      <c r="A498" s="24"/>
      <c r="B498" s="19"/>
      <c r="C498" s="26">
        <f>IF(A498="","",ROUND((A498+cfgAjusteMES/1440)*48,0))</f>
        <v>0</v>
      </c>
      <c r="D498" s="26">
        <f>IF(C498="","",INT((C498-cfgDeslocamento)/4))</f>
        <v>0</v>
      </c>
      <c r="E498" s="26">
        <f>IF(C498="","",MOD(C498-cfgDeslocamento,4)+1)</f>
        <v>0</v>
      </c>
    </row>
    <row r="499" spans="1:5">
      <c r="A499" s="24"/>
      <c r="B499" s="19"/>
      <c r="C499" s="26">
        <f>IF(A499="","",ROUND((A499+cfgAjusteMES/1440)*48,0))</f>
        <v>0</v>
      </c>
      <c r="D499" s="26">
        <f>IF(C499="","",INT((C499-cfgDeslocamento)/4))</f>
        <v>0</v>
      </c>
      <c r="E499" s="26">
        <f>IF(C499="","",MOD(C499-cfgDeslocamento,4)+1)</f>
        <v>0</v>
      </c>
    </row>
    <row r="500" spans="1:5">
      <c r="A500" s="24"/>
      <c r="B500" s="19"/>
      <c r="C500" s="26">
        <f>IF(A500="","",ROUND((A500+cfgAjusteMES/1440)*48,0))</f>
        <v>0</v>
      </c>
      <c r="D500" s="26">
        <f>IF(C500="","",INT((C500-cfgDeslocamento)/4))</f>
        <v>0</v>
      </c>
      <c r="E500" s="26">
        <f>IF(C500="","",MOD(C500-cfgDeslocamento,4)+1)</f>
        <v>0</v>
      </c>
    </row>
    <row r="501" spans="1:5">
      <c r="A501" s="24"/>
      <c r="B501" s="19"/>
      <c r="C501" s="26">
        <f>IF(A501="","",ROUND((A501+cfgAjusteMES/1440)*48,0))</f>
        <v>0</v>
      </c>
      <c r="D501" s="26">
        <f>IF(C501="","",INT((C501-cfgDeslocamento)/4))</f>
        <v>0</v>
      </c>
      <c r="E501" s="26">
        <f>IF(C501="","",MOD(C501-cfgDeslocamento,4)+1)</f>
        <v>0</v>
      </c>
    </row>
    <row r="502" spans="1:5">
      <c r="A502" s="24"/>
      <c r="B502" s="19"/>
      <c r="C502" s="26">
        <f>IF(A502="","",ROUND((A502+cfgAjusteMES/1440)*48,0))</f>
        <v>0</v>
      </c>
      <c r="D502" s="26">
        <f>IF(C502="","",INT((C502-cfgDeslocamento)/4))</f>
        <v>0</v>
      </c>
      <c r="E502" s="26">
        <f>IF(C502="","",MOD(C502-cfgDeslocamento,4)+1)</f>
        <v>0</v>
      </c>
    </row>
    <row r="503" spans="1:5">
      <c r="A503" s="24"/>
      <c r="B503" s="19"/>
      <c r="C503" s="26">
        <f>IF(A503="","",ROUND((A503+cfgAjusteMES/1440)*48,0))</f>
        <v>0</v>
      </c>
      <c r="D503" s="26">
        <f>IF(C503="","",INT((C503-cfgDeslocamento)/4))</f>
        <v>0</v>
      </c>
      <c r="E503" s="26">
        <f>IF(C503="","",MOD(C503-cfgDeslocamento,4)+1)</f>
        <v>0</v>
      </c>
    </row>
    <row r="504" spans="1:5">
      <c r="A504" s="24"/>
      <c r="B504" s="19"/>
      <c r="C504" s="26">
        <f>IF(A504="","",ROUND((A504+cfgAjusteMES/1440)*48,0))</f>
        <v>0</v>
      </c>
      <c r="D504" s="26">
        <f>IF(C504="","",INT((C504-cfgDeslocamento)/4))</f>
        <v>0</v>
      </c>
      <c r="E504" s="26">
        <f>IF(C504="","",MOD(C504-cfgDeslocamento,4)+1)</f>
        <v>0</v>
      </c>
    </row>
    <row r="505" spans="1:5">
      <c r="A505" s="24"/>
      <c r="B505" s="19"/>
      <c r="C505" s="26">
        <f>IF(A505="","",ROUND((A505+cfgAjusteMES/1440)*48,0))</f>
        <v>0</v>
      </c>
      <c r="D505" s="26">
        <f>IF(C505="","",INT((C505-cfgDeslocamento)/4))</f>
        <v>0</v>
      </c>
      <c r="E505" s="26">
        <f>IF(C505="","",MOD(C505-cfgDeslocamento,4)+1)</f>
        <v>0</v>
      </c>
    </row>
    <row r="506" spans="1:5">
      <c r="A506" s="24"/>
      <c r="B506" s="19"/>
      <c r="C506" s="26">
        <f>IF(A506="","",ROUND((A506+cfgAjusteMES/1440)*48,0))</f>
        <v>0</v>
      </c>
      <c r="D506" s="26">
        <f>IF(C506="","",INT((C506-cfgDeslocamento)/4))</f>
        <v>0</v>
      </c>
      <c r="E506" s="26">
        <f>IF(C506="","",MOD(C506-cfgDeslocamento,4)+1)</f>
        <v>0</v>
      </c>
    </row>
    <row r="507" spans="1:5">
      <c r="A507" s="24"/>
      <c r="B507" s="19"/>
      <c r="C507" s="26">
        <f>IF(A507="","",ROUND((A507+cfgAjusteMES/1440)*48,0))</f>
        <v>0</v>
      </c>
      <c r="D507" s="26">
        <f>IF(C507="","",INT((C507-cfgDeslocamento)/4))</f>
        <v>0</v>
      </c>
      <c r="E507" s="26">
        <f>IF(C507="","",MOD(C507-cfgDeslocamento,4)+1)</f>
        <v>0</v>
      </c>
    </row>
    <row r="508" spans="1:5">
      <c r="A508" s="24"/>
      <c r="B508" s="19"/>
      <c r="C508" s="26">
        <f>IF(A508="","",ROUND((A508+cfgAjusteMES/1440)*48,0))</f>
        <v>0</v>
      </c>
      <c r="D508" s="26">
        <f>IF(C508="","",INT((C508-cfgDeslocamento)/4))</f>
        <v>0</v>
      </c>
      <c r="E508" s="26">
        <f>IF(C508="","",MOD(C508-cfgDeslocamento,4)+1)</f>
        <v>0</v>
      </c>
    </row>
    <row r="509" spans="1:5">
      <c r="A509" s="24"/>
      <c r="B509" s="19"/>
      <c r="C509" s="26">
        <f>IF(A509="","",ROUND((A509+cfgAjusteMES/1440)*48,0))</f>
        <v>0</v>
      </c>
      <c r="D509" s="26">
        <f>IF(C509="","",INT((C509-cfgDeslocamento)/4))</f>
        <v>0</v>
      </c>
      <c r="E509" s="26">
        <f>IF(C509="","",MOD(C509-cfgDeslocamento,4)+1)</f>
        <v>0</v>
      </c>
    </row>
    <row r="510" spans="1:5">
      <c r="A510" s="24"/>
      <c r="B510" s="19"/>
      <c r="C510" s="26">
        <f>IF(A510="","",ROUND((A510+cfgAjusteMES/1440)*48,0))</f>
        <v>0</v>
      </c>
      <c r="D510" s="26">
        <f>IF(C510="","",INT((C510-cfgDeslocamento)/4))</f>
        <v>0</v>
      </c>
      <c r="E510" s="26">
        <f>IF(C510="","",MOD(C510-cfgDeslocamento,4)+1)</f>
        <v>0</v>
      </c>
    </row>
    <row r="511" spans="1:5">
      <c r="A511" s="24"/>
      <c r="B511" s="19"/>
      <c r="C511" s="26">
        <f>IF(A511="","",ROUND((A511+cfgAjusteMES/1440)*48,0))</f>
        <v>0</v>
      </c>
      <c r="D511" s="26">
        <f>IF(C511="","",INT((C511-cfgDeslocamento)/4))</f>
        <v>0</v>
      </c>
      <c r="E511" s="26">
        <f>IF(C511="","",MOD(C511-cfgDeslocamento,4)+1)</f>
        <v>0</v>
      </c>
    </row>
    <row r="512" spans="1:5">
      <c r="A512" s="24"/>
      <c r="B512" s="19"/>
      <c r="C512" s="26">
        <f>IF(A512="","",ROUND((A512+cfgAjusteMES/1440)*48,0))</f>
        <v>0</v>
      </c>
      <c r="D512" s="26">
        <f>IF(C512="","",INT((C512-cfgDeslocamento)/4))</f>
        <v>0</v>
      </c>
      <c r="E512" s="26">
        <f>IF(C512="","",MOD(C512-cfgDeslocamento,4)+1)</f>
        <v>0</v>
      </c>
    </row>
    <row r="513" spans="1:5">
      <c r="A513" s="24"/>
      <c r="B513" s="19"/>
      <c r="C513" s="26">
        <f>IF(A513="","",ROUND((A513+cfgAjusteMES/1440)*48,0))</f>
        <v>0</v>
      </c>
      <c r="D513" s="26">
        <f>IF(C513="","",INT((C513-cfgDeslocamento)/4))</f>
        <v>0</v>
      </c>
      <c r="E513" s="26">
        <f>IF(C513="","",MOD(C513-cfgDeslocamento,4)+1)</f>
        <v>0</v>
      </c>
    </row>
    <row r="514" spans="1:5">
      <c r="A514" s="24"/>
      <c r="B514" s="19"/>
      <c r="C514" s="26">
        <f>IF(A514="","",ROUND((A514+cfgAjusteMES/1440)*48,0))</f>
        <v>0</v>
      </c>
      <c r="D514" s="26">
        <f>IF(C514="","",INT((C514-cfgDeslocamento)/4))</f>
        <v>0</v>
      </c>
      <c r="E514" s="26">
        <f>IF(C514="","",MOD(C514-cfgDeslocamento,4)+1)</f>
        <v>0</v>
      </c>
    </row>
    <row r="515" spans="1:5">
      <c r="A515" s="24"/>
      <c r="B515" s="19"/>
      <c r="C515" s="26">
        <f>IF(A515="","",ROUND((A515+cfgAjusteMES/1440)*48,0))</f>
        <v>0</v>
      </c>
      <c r="D515" s="26">
        <f>IF(C515="","",INT((C515-cfgDeslocamento)/4))</f>
        <v>0</v>
      </c>
      <c r="E515" s="26">
        <f>IF(C515="","",MOD(C515-cfgDeslocamento,4)+1)</f>
        <v>0</v>
      </c>
    </row>
    <row r="516" spans="1:5">
      <c r="A516" s="24"/>
      <c r="B516" s="19"/>
      <c r="C516" s="26">
        <f>IF(A516="","",ROUND((A516+cfgAjusteMES/1440)*48,0))</f>
        <v>0</v>
      </c>
      <c r="D516" s="26">
        <f>IF(C516="","",INT((C516-cfgDeslocamento)/4))</f>
        <v>0</v>
      </c>
      <c r="E516" s="26">
        <f>IF(C516="","",MOD(C516-cfgDeslocamento,4)+1)</f>
        <v>0</v>
      </c>
    </row>
    <row r="517" spans="1:5">
      <c r="A517" s="24"/>
      <c r="B517" s="19"/>
      <c r="C517" s="26">
        <f>IF(A517="","",ROUND((A517+cfgAjusteMES/1440)*48,0))</f>
        <v>0</v>
      </c>
      <c r="D517" s="26">
        <f>IF(C517="","",INT((C517-cfgDeslocamento)/4))</f>
        <v>0</v>
      </c>
      <c r="E517" s="26">
        <f>IF(C517="","",MOD(C517-cfgDeslocamento,4)+1)</f>
        <v>0</v>
      </c>
    </row>
    <row r="518" spans="1:5">
      <c r="A518" s="24"/>
      <c r="B518" s="19"/>
      <c r="C518" s="26">
        <f>IF(A518="","",ROUND((A518+cfgAjusteMES/1440)*48,0))</f>
        <v>0</v>
      </c>
      <c r="D518" s="26">
        <f>IF(C518="","",INT((C518-cfgDeslocamento)/4))</f>
        <v>0</v>
      </c>
      <c r="E518" s="26">
        <f>IF(C518="","",MOD(C518-cfgDeslocamento,4)+1)</f>
        <v>0</v>
      </c>
    </row>
    <row r="519" spans="1:5">
      <c r="A519" s="24"/>
      <c r="B519" s="19"/>
      <c r="C519" s="26">
        <f>IF(A519="","",ROUND((A519+cfgAjusteMES/1440)*48,0))</f>
        <v>0</v>
      </c>
      <c r="D519" s="26">
        <f>IF(C519="","",INT((C519-cfgDeslocamento)/4))</f>
        <v>0</v>
      </c>
      <c r="E519" s="26">
        <f>IF(C519="","",MOD(C519-cfgDeslocamento,4)+1)</f>
        <v>0</v>
      </c>
    </row>
    <row r="520" spans="1:5">
      <c r="A520" s="24"/>
      <c r="B520" s="19"/>
      <c r="C520" s="26">
        <f>IF(A520="","",ROUND((A520+cfgAjusteMES/1440)*48,0))</f>
        <v>0</v>
      </c>
      <c r="D520" s="26">
        <f>IF(C520="","",INT((C520-cfgDeslocamento)/4))</f>
        <v>0</v>
      </c>
      <c r="E520" s="26">
        <f>IF(C520="","",MOD(C520-cfgDeslocamento,4)+1)</f>
        <v>0</v>
      </c>
    </row>
    <row r="521" spans="1:5">
      <c r="A521" s="24"/>
      <c r="B521" s="19"/>
      <c r="C521" s="26">
        <f>IF(A521="","",ROUND((A521+cfgAjusteMES/1440)*48,0))</f>
        <v>0</v>
      </c>
      <c r="D521" s="26">
        <f>IF(C521="","",INT((C521-cfgDeslocamento)/4))</f>
        <v>0</v>
      </c>
      <c r="E521" s="26">
        <f>IF(C521="","",MOD(C521-cfgDeslocamento,4)+1)</f>
        <v>0</v>
      </c>
    </row>
    <row r="522" spans="1:5">
      <c r="A522" s="24"/>
      <c r="B522" s="19"/>
      <c r="C522" s="26">
        <f>IF(A522="","",ROUND((A522+cfgAjusteMES/1440)*48,0))</f>
        <v>0</v>
      </c>
      <c r="D522" s="26">
        <f>IF(C522="","",INT((C522-cfgDeslocamento)/4))</f>
        <v>0</v>
      </c>
      <c r="E522" s="26">
        <f>IF(C522="","",MOD(C522-cfgDeslocamento,4)+1)</f>
        <v>0</v>
      </c>
    </row>
    <row r="523" spans="1:5">
      <c r="A523" s="24"/>
      <c r="B523" s="19"/>
      <c r="C523" s="26">
        <f>IF(A523="","",ROUND((A523+cfgAjusteMES/1440)*48,0))</f>
        <v>0</v>
      </c>
      <c r="D523" s="26">
        <f>IF(C523="","",INT((C523-cfgDeslocamento)/4))</f>
        <v>0</v>
      </c>
      <c r="E523" s="26">
        <f>IF(C523="","",MOD(C523-cfgDeslocamento,4)+1)</f>
        <v>0</v>
      </c>
    </row>
    <row r="524" spans="1:5">
      <c r="A524" s="24"/>
      <c r="B524" s="19"/>
      <c r="C524" s="26">
        <f>IF(A524="","",ROUND((A524+cfgAjusteMES/1440)*48,0))</f>
        <v>0</v>
      </c>
      <c r="D524" s="26">
        <f>IF(C524="","",INT((C524-cfgDeslocamento)/4))</f>
        <v>0</v>
      </c>
      <c r="E524" s="26">
        <f>IF(C524="","",MOD(C524-cfgDeslocamento,4)+1)</f>
        <v>0</v>
      </c>
    </row>
    <row r="525" spans="1:5">
      <c r="A525" s="24"/>
      <c r="B525" s="19"/>
      <c r="C525" s="26">
        <f>IF(A525="","",ROUND((A525+cfgAjusteMES/1440)*48,0))</f>
        <v>0</v>
      </c>
      <c r="D525" s="26">
        <f>IF(C525="","",INT((C525-cfgDeslocamento)/4))</f>
        <v>0</v>
      </c>
      <c r="E525" s="26">
        <f>IF(C525="","",MOD(C525-cfgDeslocamento,4)+1)</f>
        <v>0</v>
      </c>
    </row>
    <row r="526" spans="1:5">
      <c r="A526" s="24"/>
      <c r="B526" s="19"/>
      <c r="C526" s="26">
        <f>IF(A526="","",ROUND((A526+cfgAjusteMES/1440)*48,0))</f>
        <v>0</v>
      </c>
      <c r="D526" s="26">
        <f>IF(C526="","",INT((C526-cfgDeslocamento)/4))</f>
        <v>0</v>
      </c>
      <c r="E526" s="26">
        <f>IF(C526="","",MOD(C526-cfgDeslocamento,4)+1)</f>
        <v>0</v>
      </c>
    </row>
    <row r="527" spans="1:5">
      <c r="A527" s="24"/>
      <c r="B527" s="19"/>
      <c r="C527" s="26">
        <f>IF(A527="","",ROUND((A527+cfgAjusteMES/1440)*48,0))</f>
        <v>0</v>
      </c>
      <c r="D527" s="26">
        <f>IF(C527="","",INT((C527-cfgDeslocamento)/4))</f>
        <v>0</v>
      </c>
      <c r="E527" s="26">
        <f>IF(C527="","",MOD(C527-cfgDeslocamento,4)+1)</f>
        <v>0</v>
      </c>
    </row>
    <row r="528" spans="1:5">
      <c r="A528" s="24"/>
      <c r="B528" s="19"/>
      <c r="C528" s="26">
        <f>IF(A528="","",ROUND((A528+cfgAjusteMES/1440)*48,0))</f>
        <v>0</v>
      </c>
      <c r="D528" s="26">
        <f>IF(C528="","",INT((C528-cfgDeslocamento)/4))</f>
        <v>0</v>
      </c>
      <c r="E528" s="26">
        <f>IF(C528="","",MOD(C528-cfgDeslocamento,4)+1)</f>
        <v>0</v>
      </c>
    </row>
    <row r="529" spans="1:5">
      <c r="A529" s="24"/>
      <c r="B529" s="19"/>
      <c r="C529" s="26">
        <f>IF(A529="","",ROUND((A529+cfgAjusteMES/1440)*48,0))</f>
        <v>0</v>
      </c>
      <c r="D529" s="26">
        <f>IF(C529="","",INT((C529-cfgDeslocamento)/4))</f>
        <v>0</v>
      </c>
      <c r="E529" s="26">
        <f>IF(C529="","",MOD(C529-cfgDeslocamento,4)+1)</f>
        <v>0</v>
      </c>
    </row>
    <row r="530" spans="1:5">
      <c r="A530" s="24"/>
      <c r="B530" s="19"/>
      <c r="C530" s="26">
        <f>IF(A530="","",ROUND((A530+cfgAjusteMES/1440)*48,0))</f>
        <v>0</v>
      </c>
      <c r="D530" s="26">
        <f>IF(C530="","",INT((C530-cfgDeslocamento)/4))</f>
        <v>0</v>
      </c>
      <c r="E530" s="26">
        <f>IF(C530="","",MOD(C530-cfgDeslocamento,4)+1)</f>
        <v>0</v>
      </c>
    </row>
    <row r="531" spans="1:5">
      <c r="A531" s="24"/>
      <c r="B531" s="19"/>
      <c r="C531" s="26">
        <f>IF(A531="","",ROUND((A531+cfgAjusteMES/1440)*48,0))</f>
        <v>0</v>
      </c>
      <c r="D531" s="26">
        <f>IF(C531="","",INT((C531-cfgDeslocamento)/4))</f>
        <v>0</v>
      </c>
      <c r="E531" s="26">
        <f>IF(C531="","",MOD(C531-cfgDeslocamento,4)+1)</f>
        <v>0</v>
      </c>
    </row>
    <row r="532" spans="1:5">
      <c r="A532" s="24"/>
      <c r="B532" s="19"/>
      <c r="C532" s="26">
        <f>IF(A532="","",ROUND((A532+cfgAjusteMES/1440)*48,0))</f>
        <v>0</v>
      </c>
      <c r="D532" s="26">
        <f>IF(C532="","",INT((C532-cfgDeslocamento)/4))</f>
        <v>0</v>
      </c>
      <c r="E532" s="26">
        <f>IF(C532="","",MOD(C532-cfgDeslocamento,4)+1)</f>
        <v>0</v>
      </c>
    </row>
    <row r="533" spans="1:5">
      <c r="A533" s="24"/>
      <c r="B533" s="19"/>
      <c r="C533" s="26">
        <f>IF(A533="","",ROUND((A533+cfgAjusteMES/1440)*48,0))</f>
        <v>0</v>
      </c>
      <c r="D533" s="26">
        <f>IF(C533="","",INT((C533-cfgDeslocamento)/4))</f>
        <v>0</v>
      </c>
      <c r="E533" s="26">
        <f>IF(C533="","",MOD(C533-cfgDeslocamento,4)+1)</f>
        <v>0</v>
      </c>
    </row>
    <row r="534" spans="1:5">
      <c r="A534" s="24"/>
      <c r="B534" s="19"/>
      <c r="C534" s="26">
        <f>IF(A534="","",ROUND((A534+cfgAjusteMES/1440)*48,0))</f>
        <v>0</v>
      </c>
      <c r="D534" s="26">
        <f>IF(C534="","",INT((C534-cfgDeslocamento)/4))</f>
        <v>0</v>
      </c>
      <c r="E534" s="26">
        <f>IF(C534="","",MOD(C534-cfgDeslocamento,4)+1)</f>
        <v>0</v>
      </c>
    </row>
    <row r="535" spans="1:5">
      <c r="A535" s="24"/>
      <c r="B535" s="19"/>
      <c r="C535" s="26">
        <f>IF(A535="","",ROUND((A535+cfgAjusteMES/1440)*48,0))</f>
        <v>0</v>
      </c>
      <c r="D535" s="26">
        <f>IF(C535="","",INT((C535-cfgDeslocamento)/4))</f>
        <v>0</v>
      </c>
      <c r="E535" s="26">
        <f>IF(C535="","",MOD(C535-cfgDeslocamento,4)+1)</f>
        <v>0</v>
      </c>
    </row>
    <row r="536" spans="1:5">
      <c r="A536" s="24"/>
      <c r="B536" s="19"/>
      <c r="C536" s="26">
        <f>IF(A536="","",ROUND((A536+cfgAjusteMES/1440)*48,0))</f>
        <v>0</v>
      </c>
      <c r="D536" s="26">
        <f>IF(C536="","",INT((C536-cfgDeslocamento)/4))</f>
        <v>0</v>
      </c>
      <c r="E536" s="26">
        <f>IF(C536="","",MOD(C536-cfgDeslocamento,4)+1)</f>
        <v>0</v>
      </c>
    </row>
    <row r="537" spans="1:5">
      <c r="A537" s="24"/>
      <c r="B537" s="19"/>
      <c r="C537" s="26">
        <f>IF(A537="","",ROUND((A537+cfgAjusteMES/1440)*48,0))</f>
        <v>0</v>
      </c>
      <c r="D537" s="26">
        <f>IF(C537="","",INT((C537-cfgDeslocamento)/4))</f>
        <v>0</v>
      </c>
      <c r="E537" s="26">
        <f>IF(C537="","",MOD(C537-cfgDeslocamento,4)+1)</f>
        <v>0</v>
      </c>
    </row>
    <row r="538" spans="1:5">
      <c r="A538" s="24"/>
      <c r="B538" s="19"/>
      <c r="C538" s="26">
        <f>IF(A538="","",ROUND((A538+cfgAjusteMES/1440)*48,0))</f>
        <v>0</v>
      </c>
      <c r="D538" s="26">
        <f>IF(C538="","",INT((C538-cfgDeslocamento)/4))</f>
        <v>0</v>
      </c>
      <c r="E538" s="26">
        <f>IF(C538="","",MOD(C538-cfgDeslocamento,4)+1)</f>
        <v>0</v>
      </c>
    </row>
    <row r="539" spans="1:5">
      <c r="A539" s="24"/>
      <c r="B539" s="19"/>
      <c r="C539" s="26">
        <f>IF(A539="","",ROUND((A539+cfgAjusteMES/1440)*48,0))</f>
        <v>0</v>
      </c>
      <c r="D539" s="26">
        <f>IF(C539="","",INT((C539-cfgDeslocamento)/4))</f>
        <v>0</v>
      </c>
      <c r="E539" s="26">
        <f>IF(C539="","",MOD(C539-cfgDeslocamento,4)+1)</f>
        <v>0</v>
      </c>
    </row>
    <row r="540" spans="1:5">
      <c r="A540" s="24"/>
      <c r="B540" s="19"/>
      <c r="C540" s="26">
        <f>IF(A540="","",ROUND((A540+cfgAjusteMES/1440)*48,0))</f>
        <v>0</v>
      </c>
      <c r="D540" s="26">
        <f>IF(C540="","",INT((C540-cfgDeslocamento)/4))</f>
        <v>0</v>
      </c>
      <c r="E540" s="26">
        <f>IF(C540="","",MOD(C540-cfgDeslocamento,4)+1)</f>
        <v>0</v>
      </c>
    </row>
    <row r="541" spans="1:5">
      <c r="A541" s="24"/>
      <c r="B541" s="19"/>
      <c r="C541" s="26">
        <f>IF(A541="","",ROUND((A541+cfgAjusteMES/1440)*48,0))</f>
        <v>0</v>
      </c>
      <c r="D541" s="26">
        <f>IF(C541="","",INT((C541-cfgDeslocamento)/4))</f>
        <v>0</v>
      </c>
      <c r="E541" s="26">
        <f>IF(C541="","",MOD(C541-cfgDeslocamento,4)+1)</f>
        <v>0</v>
      </c>
    </row>
    <row r="542" spans="1:5">
      <c r="A542" s="24"/>
      <c r="B542" s="19"/>
      <c r="C542" s="26">
        <f>IF(A542="","",ROUND((A542+cfgAjusteMES/1440)*48,0))</f>
        <v>0</v>
      </c>
      <c r="D542" s="26">
        <f>IF(C542="","",INT((C542-cfgDeslocamento)/4))</f>
        <v>0</v>
      </c>
      <c r="E542" s="26">
        <f>IF(C542="","",MOD(C542-cfgDeslocamento,4)+1)</f>
        <v>0</v>
      </c>
    </row>
    <row r="543" spans="1:5">
      <c r="A543" s="24"/>
      <c r="B543" s="19"/>
      <c r="C543" s="26">
        <f>IF(A543="","",ROUND((A543+cfgAjusteMES/1440)*48,0))</f>
        <v>0</v>
      </c>
      <c r="D543" s="26">
        <f>IF(C543="","",INT((C543-cfgDeslocamento)/4))</f>
        <v>0</v>
      </c>
      <c r="E543" s="26">
        <f>IF(C543="","",MOD(C543-cfgDeslocamento,4)+1)</f>
        <v>0</v>
      </c>
    </row>
    <row r="544" spans="1:5">
      <c r="A544" s="24"/>
      <c r="B544" s="19"/>
      <c r="C544" s="26">
        <f>IF(A544="","",ROUND((A544+cfgAjusteMES/1440)*48,0))</f>
        <v>0</v>
      </c>
      <c r="D544" s="26">
        <f>IF(C544="","",INT((C544-cfgDeslocamento)/4))</f>
        <v>0</v>
      </c>
      <c r="E544" s="26">
        <f>IF(C544="","",MOD(C544-cfgDeslocamento,4)+1)</f>
        <v>0</v>
      </c>
    </row>
    <row r="545" spans="1:5">
      <c r="A545" s="24"/>
      <c r="B545" s="19"/>
      <c r="C545" s="26">
        <f>IF(A545="","",ROUND((A545+cfgAjusteMES/1440)*48,0))</f>
        <v>0</v>
      </c>
      <c r="D545" s="26">
        <f>IF(C545="","",INT((C545-cfgDeslocamento)/4))</f>
        <v>0</v>
      </c>
      <c r="E545" s="26">
        <f>IF(C545="","",MOD(C545-cfgDeslocamento,4)+1)</f>
        <v>0</v>
      </c>
    </row>
    <row r="546" spans="1:5">
      <c r="A546" s="24"/>
      <c r="B546" s="19"/>
      <c r="C546" s="26">
        <f>IF(A546="","",ROUND((A546+cfgAjusteMES/1440)*48,0))</f>
        <v>0</v>
      </c>
      <c r="D546" s="26">
        <f>IF(C546="","",INT((C546-cfgDeslocamento)/4))</f>
        <v>0</v>
      </c>
      <c r="E546" s="26">
        <f>IF(C546="","",MOD(C546-cfgDeslocamento,4)+1)</f>
        <v>0</v>
      </c>
    </row>
    <row r="547" spans="1:5">
      <c r="A547" s="24"/>
      <c r="B547" s="19"/>
      <c r="C547" s="26">
        <f>IF(A547="","",ROUND((A547+cfgAjusteMES/1440)*48,0))</f>
        <v>0</v>
      </c>
      <c r="D547" s="26">
        <f>IF(C547="","",INT((C547-cfgDeslocamento)/4))</f>
        <v>0</v>
      </c>
      <c r="E547" s="26">
        <f>IF(C547="","",MOD(C547-cfgDeslocamento,4)+1)</f>
        <v>0</v>
      </c>
    </row>
    <row r="548" spans="1:5">
      <c r="A548" s="24"/>
      <c r="B548" s="19"/>
      <c r="C548" s="26">
        <f>IF(A548="","",ROUND((A548+cfgAjusteMES/1440)*48,0))</f>
        <v>0</v>
      </c>
      <c r="D548" s="26">
        <f>IF(C548="","",INT((C548-cfgDeslocamento)/4))</f>
        <v>0</v>
      </c>
      <c r="E548" s="26">
        <f>IF(C548="","",MOD(C548-cfgDeslocamento,4)+1)</f>
        <v>0</v>
      </c>
    </row>
    <row r="549" spans="1:5">
      <c r="A549" s="24"/>
      <c r="B549" s="19"/>
      <c r="C549" s="26">
        <f>IF(A549="","",ROUND((A549+cfgAjusteMES/1440)*48,0))</f>
        <v>0</v>
      </c>
      <c r="D549" s="26">
        <f>IF(C549="","",INT((C549-cfgDeslocamento)/4))</f>
        <v>0</v>
      </c>
      <c r="E549" s="26">
        <f>IF(C549="","",MOD(C549-cfgDeslocamento,4)+1)</f>
        <v>0</v>
      </c>
    </row>
    <row r="550" spans="1:5">
      <c r="A550" s="24"/>
      <c r="B550" s="19"/>
      <c r="C550" s="26">
        <f>IF(A550="","",ROUND((A550+cfgAjusteMES/1440)*48,0))</f>
        <v>0</v>
      </c>
      <c r="D550" s="26">
        <f>IF(C550="","",INT((C550-cfgDeslocamento)/4))</f>
        <v>0</v>
      </c>
      <c r="E550" s="26">
        <f>IF(C550="","",MOD(C550-cfgDeslocamento,4)+1)</f>
        <v>0</v>
      </c>
    </row>
    <row r="551" spans="1:5">
      <c r="A551" s="24"/>
      <c r="B551" s="19"/>
      <c r="C551" s="26">
        <f>IF(A551="","",ROUND((A551+cfgAjusteMES/1440)*48,0))</f>
        <v>0</v>
      </c>
      <c r="D551" s="26">
        <f>IF(C551="","",INT((C551-cfgDeslocamento)/4))</f>
        <v>0</v>
      </c>
      <c r="E551" s="26">
        <f>IF(C551="","",MOD(C551-cfgDeslocamento,4)+1)</f>
        <v>0</v>
      </c>
    </row>
    <row r="552" spans="1:5">
      <c r="A552" s="24"/>
      <c r="B552" s="19"/>
      <c r="C552" s="26">
        <f>IF(A552="","",ROUND((A552+cfgAjusteMES/1440)*48,0))</f>
        <v>0</v>
      </c>
      <c r="D552" s="26">
        <f>IF(C552="","",INT((C552-cfgDeslocamento)/4))</f>
        <v>0</v>
      </c>
      <c r="E552" s="26">
        <f>IF(C552="","",MOD(C552-cfgDeslocamento,4)+1)</f>
        <v>0</v>
      </c>
    </row>
    <row r="553" spans="1:5">
      <c r="A553" s="24"/>
      <c r="B553" s="19"/>
      <c r="C553" s="26">
        <f>IF(A553="","",ROUND((A553+cfgAjusteMES/1440)*48,0))</f>
        <v>0</v>
      </c>
      <c r="D553" s="26">
        <f>IF(C553="","",INT((C553-cfgDeslocamento)/4))</f>
        <v>0</v>
      </c>
      <c r="E553" s="26">
        <f>IF(C553="","",MOD(C553-cfgDeslocamento,4)+1)</f>
        <v>0</v>
      </c>
    </row>
    <row r="554" spans="1:5">
      <c r="A554" s="24"/>
      <c r="B554" s="19"/>
      <c r="C554" s="26">
        <f>IF(A554="","",ROUND((A554+cfgAjusteMES/1440)*48,0))</f>
        <v>0</v>
      </c>
      <c r="D554" s="26">
        <f>IF(C554="","",INT((C554-cfgDeslocamento)/4))</f>
        <v>0</v>
      </c>
      <c r="E554" s="26">
        <f>IF(C554="","",MOD(C554-cfgDeslocamento,4)+1)</f>
        <v>0</v>
      </c>
    </row>
    <row r="555" spans="1:5">
      <c r="A555" s="24"/>
      <c r="B555" s="19"/>
      <c r="C555" s="26">
        <f>IF(A555="","",ROUND((A555+cfgAjusteMES/1440)*48,0))</f>
        <v>0</v>
      </c>
      <c r="D555" s="26">
        <f>IF(C555="","",INT((C555-cfgDeslocamento)/4))</f>
        <v>0</v>
      </c>
      <c r="E555" s="26">
        <f>IF(C555="","",MOD(C555-cfgDeslocamento,4)+1)</f>
        <v>0</v>
      </c>
    </row>
    <row r="556" spans="1:5">
      <c r="A556" s="24"/>
      <c r="B556" s="19"/>
      <c r="C556" s="26">
        <f>IF(A556="","",ROUND((A556+cfgAjusteMES/1440)*48,0))</f>
        <v>0</v>
      </c>
      <c r="D556" s="26">
        <f>IF(C556="","",INT((C556-cfgDeslocamento)/4))</f>
        <v>0</v>
      </c>
      <c r="E556" s="26">
        <f>IF(C556="","",MOD(C556-cfgDeslocamento,4)+1)</f>
        <v>0</v>
      </c>
    </row>
    <row r="557" spans="1:5">
      <c r="A557" s="24"/>
      <c r="B557" s="19"/>
      <c r="C557" s="26">
        <f>IF(A557="","",ROUND((A557+cfgAjusteMES/1440)*48,0))</f>
        <v>0</v>
      </c>
      <c r="D557" s="26">
        <f>IF(C557="","",INT((C557-cfgDeslocamento)/4))</f>
        <v>0</v>
      </c>
      <c r="E557" s="26">
        <f>IF(C557="","",MOD(C557-cfgDeslocamento,4)+1)</f>
        <v>0</v>
      </c>
    </row>
    <row r="558" spans="1:5">
      <c r="A558" s="24"/>
      <c r="B558" s="19"/>
      <c r="C558" s="26">
        <f>IF(A558="","",ROUND((A558+cfgAjusteMES/1440)*48,0))</f>
        <v>0</v>
      </c>
      <c r="D558" s="26">
        <f>IF(C558="","",INT((C558-cfgDeslocamento)/4))</f>
        <v>0</v>
      </c>
      <c r="E558" s="26">
        <f>IF(C558="","",MOD(C558-cfgDeslocamento,4)+1)</f>
        <v>0</v>
      </c>
    </row>
    <row r="559" spans="1:5">
      <c r="A559" s="24"/>
      <c r="B559" s="19"/>
      <c r="C559" s="26">
        <f>IF(A559="","",ROUND((A559+cfgAjusteMES/1440)*48,0))</f>
        <v>0</v>
      </c>
      <c r="D559" s="26">
        <f>IF(C559="","",INT((C559-cfgDeslocamento)/4))</f>
        <v>0</v>
      </c>
      <c r="E559" s="26">
        <f>IF(C559="","",MOD(C559-cfgDeslocamento,4)+1)</f>
        <v>0</v>
      </c>
    </row>
    <row r="560" spans="1:5">
      <c r="A560" s="24"/>
      <c r="B560" s="19"/>
      <c r="C560" s="26">
        <f>IF(A560="","",ROUND((A560+cfgAjusteMES/1440)*48,0))</f>
        <v>0</v>
      </c>
      <c r="D560" s="26">
        <f>IF(C560="","",INT((C560-cfgDeslocamento)/4))</f>
        <v>0</v>
      </c>
      <c r="E560" s="26">
        <f>IF(C560="","",MOD(C560-cfgDeslocamento,4)+1)</f>
        <v>0</v>
      </c>
    </row>
    <row r="561" spans="1:5">
      <c r="A561" s="24"/>
      <c r="B561" s="19"/>
      <c r="C561" s="26">
        <f>IF(A561="","",ROUND((A561+cfgAjusteMES/1440)*48,0))</f>
        <v>0</v>
      </c>
      <c r="D561" s="26">
        <f>IF(C561="","",INT((C561-cfgDeslocamento)/4))</f>
        <v>0</v>
      </c>
      <c r="E561" s="26">
        <f>IF(C561="","",MOD(C561-cfgDeslocamento,4)+1)</f>
        <v>0</v>
      </c>
    </row>
    <row r="562" spans="1:5">
      <c r="A562" s="24"/>
      <c r="B562" s="19"/>
      <c r="C562" s="26">
        <f>IF(A562="","",ROUND((A562+cfgAjusteMES/1440)*48,0))</f>
        <v>0</v>
      </c>
      <c r="D562" s="26">
        <f>IF(C562="","",INT((C562-cfgDeslocamento)/4))</f>
        <v>0</v>
      </c>
      <c r="E562" s="26">
        <f>IF(C562="","",MOD(C562-cfgDeslocamento,4)+1)</f>
        <v>0</v>
      </c>
    </row>
    <row r="563" spans="1:5">
      <c r="A563" s="24"/>
      <c r="B563" s="19"/>
      <c r="C563" s="26">
        <f>IF(A563="","",ROUND((A563+cfgAjusteMES/1440)*48,0))</f>
        <v>0</v>
      </c>
      <c r="D563" s="26">
        <f>IF(C563="","",INT((C563-cfgDeslocamento)/4))</f>
        <v>0</v>
      </c>
      <c r="E563" s="26">
        <f>IF(C563="","",MOD(C563-cfgDeslocamento,4)+1)</f>
        <v>0</v>
      </c>
    </row>
    <row r="564" spans="1:5">
      <c r="A564" s="24"/>
      <c r="B564" s="19"/>
      <c r="C564" s="26">
        <f>IF(A564="","",ROUND((A564+cfgAjusteMES/1440)*48,0))</f>
        <v>0</v>
      </c>
      <c r="D564" s="26">
        <f>IF(C564="","",INT((C564-cfgDeslocamento)/4))</f>
        <v>0</v>
      </c>
      <c r="E564" s="26">
        <f>IF(C564="","",MOD(C564-cfgDeslocamento,4)+1)</f>
        <v>0</v>
      </c>
    </row>
    <row r="565" spans="1:5">
      <c r="A565" s="24"/>
      <c r="B565" s="19"/>
      <c r="C565" s="26">
        <f>IF(A565="","",ROUND((A565+cfgAjusteMES/1440)*48,0))</f>
        <v>0</v>
      </c>
      <c r="D565" s="26">
        <f>IF(C565="","",INT((C565-cfgDeslocamento)/4))</f>
        <v>0</v>
      </c>
      <c r="E565" s="26">
        <f>IF(C565="","",MOD(C565-cfgDeslocamento,4)+1)</f>
        <v>0</v>
      </c>
    </row>
    <row r="566" spans="1:5">
      <c r="A566" s="24"/>
      <c r="B566" s="19"/>
      <c r="C566" s="26">
        <f>IF(A566="","",ROUND((A566+cfgAjusteMES/1440)*48,0))</f>
        <v>0</v>
      </c>
      <c r="D566" s="26">
        <f>IF(C566="","",INT((C566-cfgDeslocamento)/4))</f>
        <v>0</v>
      </c>
      <c r="E566" s="26">
        <f>IF(C566="","",MOD(C566-cfgDeslocamento,4)+1)</f>
        <v>0</v>
      </c>
    </row>
    <row r="567" spans="1:5">
      <c r="A567" s="24"/>
      <c r="B567" s="19"/>
      <c r="C567" s="26">
        <f>IF(A567="","",ROUND((A567+cfgAjusteMES/1440)*48,0))</f>
        <v>0</v>
      </c>
      <c r="D567" s="26">
        <f>IF(C567="","",INT((C567-cfgDeslocamento)/4))</f>
        <v>0</v>
      </c>
      <c r="E567" s="26">
        <f>IF(C567="","",MOD(C567-cfgDeslocamento,4)+1)</f>
        <v>0</v>
      </c>
    </row>
    <row r="568" spans="1:5">
      <c r="A568" s="24"/>
      <c r="B568" s="19"/>
      <c r="C568" s="26">
        <f>IF(A568="","",ROUND((A568+cfgAjusteMES/1440)*48,0))</f>
        <v>0</v>
      </c>
      <c r="D568" s="26">
        <f>IF(C568="","",INT((C568-cfgDeslocamento)/4))</f>
        <v>0</v>
      </c>
      <c r="E568" s="26">
        <f>IF(C568="","",MOD(C568-cfgDeslocamento,4)+1)</f>
        <v>0</v>
      </c>
    </row>
    <row r="569" spans="1:5">
      <c r="A569" s="24"/>
      <c r="B569" s="19"/>
      <c r="C569" s="26">
        <f>IF(A569="","",ROUND((A569+cfgAjusteMES/1440)*48,0))</f>
        <v>0</v>
      </c>
      <c r="D569" s="26">
        <f>IF(C569="","",INT((C569-cfgDeslocamento)/4))</f>
        <v>0</v>
      </c>
      <c r="E569" s="26">
        <f>IF(C569="","",MOD(C569-cfgDeslocamento,4)+1)</f>
        <v>0</v>
      </c>
    </row>
    <row r="570" spans="1:5">
      <c r="A570" s="24"/>
      <c r="B570" s="19"/>
      <c r="C570" s="26">
        <f>IF(A570="","",ROUND((A570+cfgAjusteMES/1440)*48,0))</f>
        <v>0</v>
      </c>
      <c r="D570" s="26">
        <f>IF(C570="","",INT((C570-cfgDeslocamento)/4))</f>
        <v>0</v>
      </c>
      <c r="E570" s="26">
        <f>IF(C570="","",MOD(C570-cfgDeslocamento,4)+1)</f>
        <v>0</v>
      </c>
    </row>
    <row r="571" spans="1:5">
      <c r="A571" s="24"/>
      <c r="B571" s="19"/>
      <c r="C571" s="26">
        <f>IF(A571="","",ROUND((A571+cfgAjusteMES/1440)*48,0))</f>
        <v>0</v>
      </c>
      <c r="D571" s="26">
        <f>IF(C571="","",INT((C571-cfgDeslocamento)/4))</f>
        <v>0</v>
      </c>
      <c r="E571" s="26">
        <f>IF(C571="","",MOD(C571-cfgDeslocamento,4)+1)</f>
        <v>0</v>
      </c>
    </row>
    <row r="572" spans="1:5">
      <c r="A572" s="24"/>
      <c r="B572" s="19"/>
      <c r="C572" s="26">
        <f>IF(A572="","",ROUND((A572+cfgAjusteMES/1440)*48,0))</f>
        <v>0</v>
      </c>
      <c r="D572" s="26">
        <f>IF(C572="","",INT((C572-cfgDeslocamento)/4))</f>
        <v>0</v>
      </c>
      <c r="E572" s="26">
        <f>IF(C572="","",MOD(C572-cfgDeslocamento,4)+1)</f>
        <v>0</v>
      </c>
    </row>
    <row r="573" spans="1:5">
      <c r="A573" s="24"/>
      <c r="B573" s="19"/>
      <c r="C573" s="26">
        <f>IF(A573="","",ROUND((A573+cfgAjusteMES/1440)*48,0))</f>
        <v>0</v>
      </c>
      <c r="D573" s="26">
        <f>IF(C573="","",INT((C573-cfgDeslocamento)/4))</f>
        <v>0</v>
      </c>
      <c r="E573" s="26">
        <f>IF(C573="","",MOD(C573-cfgDeslocamento,4)+1)</f>
        <v>0</v>
      </c>
    </row>
    <row r="574" spans="1:5">
      <c r="A574" s="24"/>
      <c r="B574" s="19"/>
      <c r="C574" s="26">
        <f>IF(A574="","",ROUND((A574+cfgAjusteMES/1440)*48,0))</f>
        <v>0</v>
      </c>
      <c r="D574" s="26">
        <f>IF(C574="","",INT((C574-cfgDeslocamento)/4))</f>
        <v>0</v>
      </c>
      <c r="E574" s="26">
        <f>IF(C574="","",MOD(C574-cfgDeslocamento,4)+1)</f>
        <v>0</v>
      </c>
    </row>
    <row r="575" spans="1:5">
      <c r="A575" s="24"/>
      <c r="B575" s="19"/>
      <c r="C575" s="26">
        <f>IF(A575="","",ROUND((A575+cfgAjusteMES/1440)*48,0))</f>
        <v>0</v>
      </c>
      <c r="D575" s="26">
        <f>IF(C575="","",INT((C575-cfgDeslocamento)/4))</f>
        <v>0</v>
      </c>
      <c r="E575" s="26">
        <f>IF(C575="","",MOD(C575-cfgDeslocamento,4)+1)</f>
        <v>0</v>
      </c>
    </row>
    <row r="576" spans="1:5">
      <c r="A576" s="24"/>
      <c r="B576" s="19"/>
      <c r="C576" s="26">
        <f>IF(A576="","",ROUND((A576+cfgAjusteMES/1440)*48,0))</f>
        <v>0</v>
      </c>
      <c r="D576" s="26">
        <f>IF(C576="","",INT((C576-cfgDeslocamento)/4))</f>
        <v>0</v>
      </c>
      <c r="E576" s="26">
        <f>IF(C576="","",MOD(C576-cfgDeslocamento,4)+1)</f>
        <v>0</v>
      </c>
    </row>
    <row r="577" spans="1:5">
      <c r="A577" s="24"/>
      <c r="B577" s="19"/>
      <c r="C577" s="26">
        <f>IF(A577="","",ROUND((A577+cfgAjusteMES/1440)*48,0))</f>
        <v>0</v>
      </c>
      <c r="D577" s="26">
        <f>IF(C577="","",INT((C577-cfgDeslocamento)/4))</f>
        <v>0</v>
      </c>
      <c r="E577" s="26">
        <f>IF(C577="","",MOD(C577-cfgDeslocamento,4)+1)</f>
        <v>0</v>
      </c>
    </row>
    <row r="578" spans="1:5">
      <c r="A578" s="24"/>
      <c r="B578" s="19"/>
      <c r="C578" s="26">
        <f>IF(A578="","",ROUND((A578+cfgAjusteMES/1440)*48,0))</f>
        <v>0</v>
      </c>
      <c r="D578" s="26">
        <f>IF(C578="","",INT((C578-cfgDeslocamento)/4))</f>
        <v>0</v>
      </c>
      <c r="E578" s="26">
        <f>IF(C578="","",MOD(C578-cfgDeslocamento,4)+1)</f>
        <v>0</v>
      </c>
    </row>
    <row r="579" spans="1:5">
      <c r="A579" s="24"/>
      <c r="B579" s="19"/>
      <c r="C579" s="26">
        <f>IF(A579="","",ROUND((A579+cfgAjusteMES/1440)*48,0))</f>
        <v>0</v>
      </c>
      <c r="D579" s="26">
        <f>IF(C579="","",INT((C579-cfgDeslocamento)/4))</f>
        <v>0</v>
      </c>
      <c r="E579" s="26">
        <f>IF(C579="","",MOD(C579-cfgDeslocamento,4)+1)</f>
        <v>0</v>
      </c>
    </row>
    <row r="580" spans="1:5">
      <c r="A580" s="24"/>
      <c r="B580" s="19"/>
      <c r="C580" s="26">
        <f>IF(A580="","",ROUND((A580+cfgAjusteMES/1440)*48,0))</f>
        <v>0</v>
      </c>
      <c r="D580" s="26">
        <f>IF(C580="","",INT((C580-cfgDeslocamento)/4))</f>
        <v>0</v>
      </c>
      <c r="E580" s="26">
        <f>IF(C580="","",MOD(C580-cfgDeslocamento,4)+1)</f>
        <v>0</v>
      </c>
    </row>
    <row r="581" spans="1:5">
      <c r="A581" s="24"/>
      <c r="B581" s="19"/>
      <c r="C581" s="26">
        <f>IF(A581="","",ROUND((A581+cfgAjusteMES/1440)*48,0))</f>
        <v>0</v>
      </c>
      <c r="D581" s="26">
        <f>IF(C581="","",INT((C581-cfgDeslocamento)/4))</f>
        <v>0</v>
      </c>
      <c r="E581" s="26">
        <f>IF(C581="","",MOD(C581-cfgDeslocamento,4)+1)</f>
        <v>0</v>
      </c>
    </row>
    <row r="582" spans="1:5">
      <c r="A582" s="24"/>
      <c r="B582" s="19"/>
      <c r="C582" s="26">
        <f>IF(A582="","",ROUND((A582+cfgAjusteMES/1440)*48,0))</f>
        <v>0</v>
      </c>
      <c r="D582" s="26">
        <f>IF(C582="","",INT((C582-cfgDeslocamento)/4))</f>
        <v>0</v>
      </c>
      <c r="E582" s="26">
        <f>IF(C582="","",MOD(C582-cfgDeslocamento,4)+1)</f>
        <v>0</v>
      </c>
    </row>
    <row r="583" spans="1:5">
      <c r="A583" s="24"/>
      <c r="B583" s="19"/>
      <c r="C583" s="26">
        <f>IF(A583="","",ROUND((A583+cfgAjusteMES/1440)*48,0))</f>
        <v>0</v>
      </c>
      <c r="D583" s="26">
        <f>IF(C583="","",INT((C583-cfgDeslocamento)/4))</f>
        <v>0</v>
      </c>
      <c r="E583" s="26">
        <f>IF(C583="","",MOD(C583-cfgDeslocamento,4)+1)</f>
        <v>0</v>
      </c>
    </row>
    <row r="584" spans="1:5">
      <c r="A584" s="24"/>
      <c r="B584" s="19"/>
      <c r="C584" s="26">
        <f>IF(A584="","",ROUND((A584+cfgAjusteMES/1440)*48,0))</f>
        <v>0</v>
      </c>
      <c r="D584" s="26">
        <f>IF(C584="","",INT((C584-cfgDeslocamento)/4))</f>
        <v>0</v>
      </c>
      <c r="E584" s="26">
        <f>IF(C584="","",MOD(C584-cfgDeslocamento,4)+1)</f>
        <v>0</v>
      </c>
    </row>
    <row r="585" spans="1:5">
      <c r="A585" s="24"/>
      <c r="B585" s="19"/>
      <c r="C585" s="26">
        <f>IF(A585="","",ROUND((A585+cfgAjusteMES/1440)*48,0))</f>
        <v>0</v>
      </c>
      <c r="D585" s="26">
        <f>IF(C585="","",INT((C585-cfgDeslocamento)/4))</f>
        <v>0</v>
      </c>
      <c r="E585" s="26">
        <f>IF(C585="","",MOD(C585-cfgDeslocamento,4)+1)</f>
        <v>0</v>
      </c>
    </row>
    <row r="586" spans="1:5">
      <c r="A586" s="24"/>
      <c r="B586" s="19"/>
      <c r="C586" s="26">
        <f>IF(A586="","",ROUND((A586+cfgAjusteMES/1440)*48,0))</f>
        <v>0</v>
      </c>
      <c r="D586" s="26">
        <f>IF(C586="","",INT((C586-cfgDeslocamento)/4))</f>
        <v>0</v>
      </c>
      <c r="E586" s="26">
        <f>IF(C586="","",MOD(C586-cfgDeslocamento,4)+1)</f>
        <v>0</v>
      </c>
    </row>
    <row r="587" spans="1:5">
      <c r="A587" s="24"/>
      <c r="B587" s="19"/>
      <c r="C587" s="26">
        <f>IF(A587="","",ROUND((A587+cfgAjusteMES/1440)*48,0))</f>
        <v>0</v>
      </c>
      <c r="D587" s="26">
        <f>IF(C587="","",INT((C587-cfgDeslocamento)/4))</f>
        <v>0</v>
      </c>
      <c r="E587" s="26">
        <f>IF(C587="","",MOD(C587-cfgDeslocamento,4)+1)</f>
        <v>0</v>
      </c>
    </row>
    <row r="588" spans="1:5">
      <c r="A588" s="24"/>
      <c r="B588" s="19"/>
      <c r="C588" s="26">
        <f>IF(A588="","",ROUND((A588+cfgAjusteMES/1440)*48,0))</f>
        <v>0</v>
      </c>
      <c r="D588" s="26">
        <f>IF(C588="","",INT((C588-cfgDeslocamento)/4))</f>
        <v>0</v>
      </c>
      <c r="E588" s="26">
        <f>IF(C588="","",MOD(C588-cfgDeslocamento,4)+1)</f>
        <v>0</v>
      </c>
    </row>
    <row r="589" spans="1:5">
      <c r="A589" s="24"/>
      <c r="B589" s="19"/>
      <c r="C589" s="26">
        <f>IF(A589="","",ROUND((A589+cfgAjusteMES/1440)*48,0))</f>
        <v>0</v>
      </c>
      <c r="D589" s="26">
        <f>IF(C589="","",INT((C589-cfgDeslocamento)/4))</f>
        <v>0</v>
      </c>
      <c r="E589" s="26">
        <f>IF(C589="","",MOD(C589-cfgDeslocamento,4)+1)</f>
        <v>0</v>
      </c>
    </row>
    <row r="590" spans="1:5">
      <c r="A590" s="24"/>
      <c r="B590" s="19"/>
      <c r="C590" s="26">
        <f>IF(A590="","",ROUND((A590+cfgAjusteMES/1440)*48,0))</f>
        <v>0</v>
      </c>
      <c r="D590" s="26">
        <f>IF(C590="","",INT((C590-cfgDeslocamento)/4))</f>
        <v>0</v>
      </c>
      <c r="E590" s="26">
        <f>IF(C590="","",MOD(C590-cfgDeslocamento,4)+1)</f>
        <v>0</v>
      </c>
    </row>
    <row r="591" spans="1:5">
      <c r="A591" s="24"/>
      <c r="B591" s="19"/>
      <c r="C591" s="26">
        <f>IF(A591="","",ROUND((A591+cfgAjusteMES/1440)*48,0))</f>
        <v>0</v>
      </c>
      <c r="D591" s="26">
        <f>IF(C591="","",INT((C591-cfgDeslocamento)/4))</f>
        <v>0</v>
      </c>
      <c r="E591" s="26">
        <f>IF(C591="","",MOD(C591-cfgDeslocamento,4)+1)</f>
        <v>0</v>
      </c>
    </row>
    <row r="592" spans="1:5">
      <c r="A592" s="24"/>
      <c r="B592" s="19"/>
      <c r="C592" s="26">
        <f>IF(A592="","",ROUND((A592+cfgAjusteMES/1440)*48,0))</f>
        <v>0</v>
      </c>
      <c r="D592" s="26">
        <f>IF(C592="","",INT((C592-cfgDeslocamento)/4))</f>
        <v>0</v>
      </c>
      <c r="E592" s="26">
        <f>IF(C592="","",MOD(C592-cfgDeslocamento,4)+1)</f>
        <v>0</v>
      </c>
    </row>
    <row r="593" spans="1:5">
      <c r="A593" s="24"/>
      <c r="B593" s="19"/>
      <c r="C593" s="26">
        <f>IF(A593="","",ROUND((A593+cfgAjusteMES/1440)*48,0))</f>
        <v>0</v>
      </c>
      <c r="D593" s="26">
        <f>IF(C593="","",INT((C593-cfgDeslocamento)/4))</f>
        <v>0</v>
      </c>
      <c r="E593" s="26">
        <f>IF(C593="","",MOD(C593-cfgDeslocamento,4)+1)</f>
        <v>0</v>
      </c>
    </row>
    <row r="594" spans="1:5">
      <c r="A594" s="24"/>
      <c r="B594" s="19"/>
      <c r="C594" s="26">
        <f>IF(A594="","",ROUND((A594+cfgAjusteMES/1440)*48,0))</f>
        <v>0</v>
      </c>
      <c r="D594" s="26">
        <f>IF(C594="","",INT((C594-cfgDeslocamento)/4))</f>
        <v>0</v>
      </c>
      <c r="E594" s="26">
        <f>IF(C594="","",MOD(C594-cfgDeslocamento,4)+1)</f>
        <v>0</v>
      </c>
    </row>
    <row r="595" spans="1:5">
      <c r="A595" s="24"/>
      <c r="B595" s="19"/>
      <c r="C595" s="26">
        <f>IF(A595="","",ROUND((A595+cfgAjusteMES/1440)*48,0))</f>
        <v>0</v>
      </c>
      <c r="D595" s="26">
        <f>IF(C595="","",INT((C595-cfgDeslocamento)/4))</f>
        <v>0</v>
      </c>
      <c r="E595" s="26">
        <f>IF(C595="","",MOD(C595-cfgDeslocamento,4)+1)</f>
        <v>0</v>
      </c>
    </row>
    <row r="596" spans="1:5">
      <c r="A596" s="24"/>
      <c r="B596" s="19"/>
      <c r="C596" s="26">
        <f>IF(A596="","",ROUND((A596+cfgAjusteMES/1440)*48,0))</f>
        <v>0</v>
      </c>
      <c r="D596" s="26">
        <f>IF(C596="","",INT((C596-cfgDeslocamento)/4))</f>
        <v>0</v>
      </c>
      <c r="E596" s="26">
        <f>IF(C596="","",MOD(C596-cfgDeslocamento,4)+1)</f>
        <v>0</v>
      </c>
    </row>
    <row r="597" spans="1:5">
      <c r="A597" s="24"/>
      <c r="B597" s="19"/>
      <c r="C597" s="26">
        <f>IF(A597="","",ROUND((A597+cfgAjusteMES/1440)*48,0))</f>
        <v>0</v>
      </c>
      <c r="D597" s="26">
        <f>IF(C597="","",INT((C597-cfgDeslocamento)/4))</f>
        <v>0</v>
      </c>
      <c r="E597" s="26">
        <f>IF(C597="","",MOD(C597-cfgDeslocamento,4)+1)</f>
        <v>0</v>
      </c>
    </row>
    <row r="598" spans="1:5">
      <c r="A598" s="24"/>
      <c r="B598" s="19"/>
      <c r="C598" s="26">
        <f>IF(A598="","",ROUND((A598+cfgAjusteMES/1440)*48,0))</f>
        <v>0</v>
      </c>
      <c r="D598" s="26">
        <f>IF(C598="","",INT((C598-cfgDeslocamento)/4))</f>
        <v>0</v>
      </c>
      <c r="E598" s="26">
        <f>IF(C598="","",MOD(C598-cfgDeslocamento,4)+1)</f>
        <v>0</v>
      </c>
    </row>
    <row r="599" spans="1:5">
      <c r="A599" s="24"/>
      <c r="B599" s="19"/>
      <c r="C599" s="26">
        <f>IF(A599="","",ROUND((A599+cfgAjusteMES/1440)*48,0))</f>
        <v>0</v>
      </c>
      <c r="D599" s="26">
        <f>IF(C599="","",INT((C599-cfgDeslocamento)/4))</f>
        <v>0</v>
      </c>
      <c r="E599" s="26">
        <f>IF(C599="","",MOD(C599-cfgDeslocamento,4)+1)</f>
        <v>0</v>
      </c>
    </row>
    <row r="600" spans="1:5">
      <c r="A600" s="24"/>
      <c r="B600" s="19"/>
      <c r="C600" s="26">
        <f>IF(A600="","",ROUND((A600+cfgAjusteMES/1440)*48,0))</f>
        <v>0</v>
      </c>
      <c r="D600" s="26">
        <f>IF(C600="","",INT((C600-cfgDeslocamento)/4))</f>
        <v>0</v>
      </c>
      <c r="E600" s="26">
        <f>IF(C600="","",MOD(C600-cfgDeslocamento,4)+1)</f>
        <v>0</v>
      </c>
    </row>
    <row r="601" spans="1:5">
      <c r="A601" s="24"/>
      <c r="B601" s="19"/>
      <c r="C601" s="26">
        <f>IF(A601="","",ROUND((A601+cfgAjusteMES/1440)*48,0))</f>
        <v>0</v>
      </c>
      <c r="D601" s="26">
        <f>IF(C601="","",INT((C601-cfgDeslocamento)/4))</f>
        <v>0</v>
      </c>
      <c r="E601" s="26">
        <f>IF(C601="","",MOD(C601-cfgDeslocamento,4)+1)</f>
        <v>0</v>
      </c>
    </row>
    <row r="602" spans="1:5">
      <c r="A602" s="24"/>
      <c r="B602" s="19"/>
      <c r="C602" s="26">
        <f>IF(A602="","",ROUND((A602+cfgAjusteMES/1440)*48,0))</f>
        <v>0</v>
      </c>
      <c r="D602" s="26">
        <f>IF(C602="","",INT((C602-cfgDeslocamento)/4))</f>
        <v>0</v>
      </c>
      <c r="E602" s="26">
        <f>IF(C602="","",MOD(C602-cfgDeslocamento,4)+1)</f>
        <v>0</v>
      </c>
    </row>
    <row r="603" spans="1:5">
      <c r="A603" s="24"/>
      <c r="B603" s="19"/>
      <c r="C603" s="26">
        <f>IF(A603="","",ROUND((A603+cfgAjusteMES/1440)*48,0))</f>
        <v>0</v>
      </c>
      <c r="D603" s="26">
        <f>IF(C603="","",INT((C603-cfgDeslocamento)/4))</f>
        <v>0</v>
      </c>
      <c r="E603" s="26">
        <f>IF(C603="","",MOD(C603-cfgDeslocamento,4)+1)</f>
        <v>0</v>
      </c>
    </row>
    <row r="604" spans="1:5">
      <c r="A604" s="24"/>
      <c r="B604" s="19"/>
      <c r="C604" s="26">
        <f>IF(A604="","",ROUND((A604+cfgAjusteMES/1440)*48,0))</f>
        <v>0</v>
      </c>
      <c r="D604" s="26">
        <f>IF(C604="","",INT((C604-cfgDeslocamento)/4))</f>
        <v>0</v>
      </c>
      <c r="E604" s="26">
        <f>IF(C604="","",MOD(C604-cfgDeslocamento,4)+1)</f>
        <v>0</v>
      </c>
    </row>
    <row r="605" spans="1:5">
      <c r="A605" s="24"/>
      <c r="B605" s="19"/>
      <c r="C605" s="26">
        <f>IF(A605="","",ROUND((A605+cfgAjusteMES/1440)*48,0))</f>
        <v>0</v>
      </c>
      <c r="D605" s="26">
        <f>IF(C605="","",INT((C605-cfgDeslocamento)/4))</f>
        <v>0</v>
      </c>
      <c r="E605" s="26">
        <f>IF(C605="","",MOD(C605-cfgDeslocamento,4)+1)</f>
        <v>0</v>
      </c>
    </row>
    <row r="606" spans="1:5">
      <c r="A606" s="24"/>
      <c r="B606" s="19"/>
      <c r="C606" s="26">
        <f>IF(A606="","",ROUND((A606+cfgAjusteMES/1440)*48,0))</f>
        <v>0</v>
      </c>
      <c r="D606" s="26">
        <f>IF(C606="","",INT((C606-cfgDeslocamento)/4))</f>
        <v>0</v>
      </c>
      <c r="E606" s="26">
        <f>IF(C606="","",MOD(C606-cfgDeslocamento,4)+1)</f>
        <v>0</v>
      </c>
    </row>
    <row r="607" spans="1:5">
      <c r="A607" s="24"/>
      <c r="B607" s="19"/>
      <c r="C607" s="26">
        <f>IF(A607="","",ROUND((A607+cfgAjusteMES/1440)*48,0))</f>
        <v>0</v>
      </c>
      <c r="D607" s="26">
        <f>IF(C607="","",INT((C607-cfgDeslocamento)/4))</f>
        <v>0</v>
      </c>
      <c r="E607" s="26">
        <f>IF(C607="","",MOD(C607-cfgDeslocamento,4)+1)</f>
        <v>0</v>
      </c>
    </row>
    <row r="608" spans="1:5">
      <c r="A608" s="24"/>
      <c r="B608" s="19"/>
      <c r="C608" s="26">
        <f>IF(A608="","",ROUND((A608+cfgAjusteMES/1440)*48,0))</f>
        <v>0</v>
      </c>
      <c r="D608" s="26">
        <f>IF(C608="","",INT((C608-cfgDeslocamento)/4))</f>
        <v>0</v>
      </c>
      <c r="E608" s="26">
        <f>IF(C608="","",MOD(C608-cfgDeslocamento,4)+1)</f>
        <v>0</v>
      </c>
    </row>
    <row r="609" spans="1:5">
      <c r="A609" s="24"/>
      <c r="B609" s="19"/>
      <c r="C609" s="26">
        <f>IF(A609="","",ROUND((A609+cfgAjusteMES/1440)*48,0))</f>
        <v>0</v>
      </c>
      <c r="D609" s="26">
        <f>IF(C609="","",INT((C609-cfgDeslocamento)/4))</f>
        <v>0</v>
      </c>
      <c r="E609" s="26">
        <f>IF(C609="","",MOD(C609-cfgDeslocamento,4)+1)</f>
        <v>0</v>
      </c>
    </row>
    <row r="610" spans="1:5">
      <c r="A610" s="24"/>
      <c r="B610" s="19"/>
      <c r="C610" s="26">
        <f>IF(A610="","",ROUND((A610+cfgAjusteMES/1440)*48,0))</f>
        <v>0</v>
      </c>
      <c r="D610" s="26">
        <f>IF(C610="","",INT((C610-cfgDeslocamento)/4))</f>
        <v>0</v>
      </c>
      <c r="E610" s="26">
        <f>IF(C610="","",MOD(C610-cfgDeslocamento,4)+1)</f>
        <v>0</v>
      </c>
    </row>
    <row r="611" spans="1:5">
      <c r="A611" s="24"/>
      <c r="B611" s="19"/>
      <c r="C611" s="26">
        <f>IF(A611="","",ROUND((A611+cfgAjusteMES/1440)*48,0))</f>
        <v>0</v>
      </c>
      <c r="D611" s="26">
        <f>IF(C611="","",INT((C611-cfgDeslocamento)/4))</f>
        <v>0</v>
      </c>
      <c r="E611" s="26">
        <f>IF(C611="","",MOD(C611-cfgDeslocamento,4)+1)</f>
        <v>0</v>
      </c>
    </row>
    <row r="612" spans="1:5">
      <c r="A612" s="24"/>
      <c r="B612" s="19"/>
      <c r="C612" s="26">
        <f>IF(A612="","",ROUND((A612+cfgAjusteMES/1440)*48,0))</f>
        <v>0</v>
      </c>
      <c r="D612" s="26">
        <f>IF(C612="","",INT((C612-cfgDeslocamento)/4))</f>
        <v>0</v>
      </c>
      <c r="E612" s="26">
        <f>IF(C612="","",MOD(C612-cfgDeslocamento,4)+1)</f>
        <v>0</v>
      </c>
    </row>
    <row r="613" spans="1:5">
      <c r="A613" s="24"/>
      <c r="B613" s="19"/>
      <c r="C613" s="26">
        <f>IF(A613="","",ROUND((A613+cfgAjusteMES/1440)*48,0))</f>
        <v>0</v>
      </c>
      <c r="D613" s="26">
        <f>IF(C613="","",INT((C613-cfgDeslocamento)/4))</f>
        <v>0</v>
      </c>
      <c r="E613" s="26">
        <f>IF(C613="","",MOD(C613-cfgDeslocamento,4)+1)</f>
        <v>0</v>
      </c>
    </row>
    <row r="614" spans="1:5">
      <c r="A614" s="24"/>
      <c r="B614" s="19"/>
      <c r="C614" s="26">
        <f>IF(A614="","",ROUND((A614+cfgAjusteMES/1440)*48,0))</f>
        <v>0</v>
      </c>
      <c r="D614" s="26">
        <f>IF(C614="","",INT((C614-cfgDeslocamento)/4))</f>
        <v>0</v>
      </c>
      <c r="E614" s="26">
        <f>IF(C614="","",MOD(C614-cfgDeslocamento,4)+1)</f>
        <v>0</v>
      </c>
    </row>
    <row r="615" spans="1:5">
      <c r="A615" s="24"/>
      <c r="B615" s="19"/>
      <c r="C615" s="26">
        <f>IF(A615="","",ROUND((A615+cfgAjusteMES/1440)*48,0))</f>
        <v>0</v>
      </c>
      <c r="D615" s="26">
        <f>IF(C615="","",INT((C615-cfgDeslocamento)/4))</f>
        <v>0</v>
      </c>
      <c r="E615" s="26">
        <f>IF(C615="","",MOD(C615-cfgDeslocamento,4)+1)</f>
        <v>0</v>
      </c>
    </row>
    <row r="616" spans="1:5">
      <c r="A616" s="24"/>
      <c r="B616" s="19"/>
      <c r="C616" s="26">
        <f>IF(A616="","",ROUND((A616+cfgAjusteMES/1440)*48,0))</f>
        <v>0</v>
      </c>
      <c r="D616" s="26">
        <f>IF(C616="","",INT((C616-cfgDeslocamento)/4))</f>
        <v>0</v>
      </c>
      <c r="E616" s="26">
        <f>IF(C616="","",MOD(C616-cfgDeslocamento,4)+1)</f>
        <v>0</v>
      </c>
    </row>
    <row r="617" spans="1:5">
      <c r="A617" s="24"/>
      <c r="B617" s="19"/>
      <c r="C617" s="26">
        <f>IF(A617="","",ROUND((A617+cfgAjusteMES/1440)*48,0))</f>
        <v>0</v>
      </c>
      <c r="D617" s="26">
        <f>IF(C617="","",INT((C617-cfgDeslocamento)/4))</f>
        <v>0</v>
      </c>
      <c r="E617" s="26">
        <f>IF(C617="","",MOD(C617-cfgDeslocamento,4)+1)</f>
        <v>0</v>
      </c>
    </row>
    <row r="618" spans="1:5">
      <c r="A618" s="24"/>
      <c r="B618" s="19"/>
      <c r="C618" s="26">
        <f>IF(A618="","",ROUND((A618+cfgAjusteMES/1440)*48,0))</f>
        <v>0</v>
      </c>
      <c r="D618" s="26">
        <f>IF(C618="","",INT((C618-cfgDeslocamento)/4))</f>
        <v>0</v>
      </c>
      <c r="E618" s="26">
        <f>IF(C618="","",MOD(C618-cfgDeslocamento,4)+1)</f>
        <v>0</v>
      </c>
    </row>
    <row r="619" spans="1:5">
      <c r="A619" s="24"/>
      <c r="B619" s="19"/>
      <c r="C619" s="26">
        <f>IF(A619="","",ROUND((A619+cfgAjusteMES/1440)*48,0))</f>
        <v>0</v>
      </c>
      <c r="D619" s="26">
        <f>IF(C619="","",INT((C619-cfgDeslocamento)/4))</f>
        <v>0</v>
      </c>
      <c r="E619" s="26">
        <f>IF(C619="","",MOD(C619-cfgDeslocamento,4)+1)</f>
        <v>0</v>
      </c>
    </row>
    <row r="620" spans="1:5">
      <c r="A620" s="24"/>
      <c r="B620" s="19"/>
      <c r="C620" s="26">
        <f>IF(A620="","",ROUND((A620+cfgAjusteMES/1440)*48,0))</f>
        <v>0</v>
      </c>
      <c r="D620" s="26">
        <f>IF(C620="","",INT((C620-cfgDeslocamento)/4))</f>
        <v>0</v>
      </c>
      <c r="E620" s="26">
        <f>IF(C620="","",MOD(C620-cfgDeslocamento,4)+1)</f>
        <v>0</v>
      </c>
    </row>
    <row r="621" spans="1:5">
      <c r="A621" s="24"/>
      <c r="B621" s="19"/>
      <c r="C621" s="26">
        <f>IF(A621="","",ROUND((A621+cfgAjusteMES/1440)*48,0))</f>
        <v>0</v>
      </c>
      <c r="D621" s="26">
        <f>IF(C621="","",INT((C621-cfgDeslocamento)/4))</f>
        <v>0</v>
      </c>
      <c r="E621" s="26">
        <f>IF(C621="","",MOD(C621-cfgDeslocamento,4)+1)</f>
        <v>0</v>
      </c>
    </row>
    <row r="622" spans="1:5">
      <c r="A622" s="24"/>
      <c r="B622" s="19"/>
      <c r="C622" s="26">
        <f>IF(A622="","",ROUND((A622+cfgAjusteMES/1440)*48,0))</f>
        <v>0</v>
      </c>
      <c r="D622" s="26">
        <f>IF(C622="","",INT((C622-cfgDeslocamento)/4))</f>
        <v>0</v>
      </c>
      <c r="E622" s="26">
        <f>IF(C622="","",MOD(C622-cfgDeslocamento,4)+1)</f>
        <v>0</v>
      </c>
    </row>
    <row r="623" spans="1:5">
      <c r="A623" s="24"/>
      <c r="B623" s="19"/>
      <c r="C623" s="26">
        <f>IF(A623="","",ROUND((A623+cfgAjusteMES/1440)*48,0))</f>
        <v>0</v>
      </c>
      <c r="D623" s="26">
        <f>IF(C623="","",INT((C623-cfgDeslocamento)/4))</f>
        <v>0</v>
      </c>
      <c r="E623" s="26">
        <f>IF(C623="","",MOD(C623-cfgDeslocamento,4)+1)</f>
        <v>0</v>
      </c>
    </row>
    <row r="624" spans="1:5">
      <c r="A624" s="24"/>
      <c r="B624" s="19"/>
      <c r="C624" s="26">
        <f>IF(A624="","",ROUND((A624+cfgAjusteMES/1440)*48,0))</f>
        <v>0</v>
      </c>
      <c r="D624" s="26">
        <f>IF(C624="","",INT((C624-cfgDeslocamento)/4))</f>
        <v>0</v>
      </c>
      <c r="E624" s="26">
        <f>IF(C624="","",MOD(C624-cfgDeslocamento,4)+1)</f>
        <v>0</v>
      </c>
    </row>
    <row r="625" spans="1:5">
      <c r="A625" s="24"/>
      <c r="B625" s="19"/>
      <c r="C625" s="26">
        <f>IF(A625="","",ROUND((A625+cfgAjusteMES/1440)*48,0))</f>
        <v>0</v>
      </c>
      <c r="D625" s="26">
        <f>IF(C625="","",INT((C625-cfgDeslocamento)/4))</f>
        <v>0</v>
      </c>
      <c r="E625" s="26">
        <f>IF(C625="","",MOD(C625-cfgDeslocamento,4)+1)</f>
        <v>0</v>
      </c>
    </row>
    <row r="626" spans="1:5">
      <c r="A626" s="24"/>
      <c r="B626" s="19"/>
      <c r="C626" s="26">
        <f>IF(A626="","",ROUND((A626+cfgAjusteMES/1440)*48,0))</f>
        <v>0</v>
      </c>
      <c r="D626" s="26">
        <f>IF(C626="","",INT((C626-cfgDeslocamento)/4))</f>
        <v>0</v>
      </c>
      <c r="E626" s="26">
        <f>IF(C626="","",MOD(C626-cfgDeslocamento,4)+1)</f>
        <v>0</v>
      </c>
    </row>
    <row r="627" spans="1:5">
      <c r="A627" s="24"/>
      <c r="B627" s="19"/>
      <c r="C627" s="26">
        <f>IF(A627="","",ROUND((A627+cfgAjusteMES/1440)*48,0))</f>
        <v>0</v>
      </c>
      <c r="D627" s="26">
        <f>IF(C627="","",INT((C627-cfgDeslocamento)/4))</f>
        <v>0</v>
      </c>
      <c r="E627" s="26">
        <f>IF(C627="","",MOD(C627-cfgDeslocamento,4)+1)</f>
        <v>0</v>
      </c>
    </row>
    <row r="628" spans="1:5">
      <c r="A628" s="24"/>
      <c r="B628" s="19"/>
      <c r="C628" s="26">
        <f>IF(A628="","",ROUND((A628+cfgAjusteMES/1440)*48,0))</f>
        <v>0</v>
      </c>
      <c r="D628" s="26">
        <f>IF(C628="","",INT((C628-cfgDeslocamento)/4))</f>
        <v>0</v>
      </c>
      <c r="E628" s="26">
        <f>IF(C628="","",MOD(C628-cfgDeslocamento,4)+1)</f>
        <v>0</v>
      </c>
    </row>
    <row r="629" spans="1:5">
      <c r="A629" s="24"/>
      <c r="B629" s="19"/>
      <c r="C629" s="26">
        <f>IF(A629="","",ROUND((A629+cfgAjusteMES/1440)*48,0))</f>
        <v>0</v>
      </c>
      <c r="D629" s="26">
        <f>IF(C629="","",INT((C629-cfgDeslocamento)/4))</f>
        <v>0</v>
      </c>
      <c r="E629" s="26">
        <f>IF(C629="","",MOD(C629-cfgDeslocamento,4)+1)</f>
        <v>0</v>
      </c>
    </row>
    <row r="630" spans="1:5">
      <c r="A630" s="24"/>
      <c r="B630" s="19"/>
      <c r="C630" s="26">
        <f>IF(A630="","",ROUND((A630+cfgAjusteMES/1440)*48,0))</f>
        <v>0</v>
      </c>
      <c r="D630" s="26">
        <f>IF(C630="","",INT((C630-cfgDeslocamento)/4))</f>
        <v>0</v>
      </c>
      <c r="E630" s="26">
        <f>IF(C630="","",MOD(C630-cfgDeslocamento,4)+1)</f>
        <v>0</v>
      </c>
    </row>
    <row r="631" spans="1:5">
      <c r="A631" s="24"/>
      <c r="B631" s="19"/>
      <c r="C631" s="26">
        <f>IF(A631="","",ROUND((A631+cfgAjusteMES/1440)*48,0))</f>
        <v>0</v>
      </c>
      <c r="D631" s="26">
        <f>IF(C631="","",INT((C631-cfgDeslocamento)/4))</f>
        <v>0</v>
      </c>
      <c r="E631" s="26">
        <f>IF(C631="","",MOD(C631-cfgDeslocamento,4)+1)</f>
        <v>0</v>
      </c>
    </row>
    <row r="632" spans="1:5">
      <c r="A632" s="24"/>
      <c r="B632" s="19"/>
      <c r="C632" s="26">
        <f>IF(A632="","",ROUND((A632+cfgAjusteMES/1440)*48,0))</f>
        <v>0</v>
      </c>
      <c r="D632" s="26">
        <f>IF(C632="","",INT((C632-cfgDeslocamento)/4))</f>
        <v>0</v>
      </c>
      <c r="E632" s="26">
        <f>IF(C632="","",MOD(C632-cfgDeslocamento,4)+1)</f>
        <v>0</v>
      </c>
    </row>
    <row r="633" spans="1:5">
      <c r="A633" s="24"/>
      <c r="B633" s="19"/>
      <c r="C633" s="26">
        <f>IF(A633="","",ROUND((A633+cfgAjusteMES/1440)*48,0))</f>
        <v>0</v>
      </c>
      <c r="D633" s="26">
        <f>IF(C633="","",INT((C633-cfgDeslocamento)/4))</f>
        <v>0</v>
      </c>
      <c r="E633" s="26">
        <f>IF(C633="","",MOD(C633-cfgDeslocamento,4)+1)</f>
        <v>0</v>
      </c>
    </row>
    <row r="634" spans="1:5">
      <c r="A634" s="24"/>
      <c r="B634" s="19"/>
      <c r="C634" s="26">
        <f>IF(A634="","",ROUND((A634+cfgAjusteMES/1440)*48,0))</f>
        <v>0</v>
      </c>
      <c r="D634" s="26">
        <f>IF(C634="","",INT((C634-cfgDeslocamento)/4))</f>
        <v>0</v>
      </c>
      <c r="E634" s="26">
        <f>IF(C634="","",MOD(C634-cfgDeslocamento,4)+1)</f>
        <v>0</v>
      </c>
    </row>
    <row r="635" spans="1:5">
      <c r="A635" s="24"/>
      <c r="B635" s="19"/>
      <c r="C635" s="26">
        <f>IF(A635="","",ROUND((A635+cfgAjusteMES/1440)*48,0))</f>
        <v>0</v>
      </c>
      <c r="D635" s="26">
        <f>IF(C635="","",INT((C635-cfgDeslocamento)/4))</f>
        <v>0</v>
      </c>
      <c r="E635" s="26">
        <f>IF(C635="","",MOD(C635-cfgDeslocamento,4)+1)</f>
        <v>0</v>
      </c>
    </row>
    <row r="636" spans="1:5">
      <c r="A636" s="24"/>
      <c r="B636" s="19"/>
      <c r="C636" s="26">
        <f>IF(A636="","",ROUND((A636+cfgAjusteMES/1440)*48,0))</f>
        <v>0</v>
      </c>
      <c r="D636" s="26">
        <f>IF(C636="","",INT((C636-cfgDeslocamento)/4))</f>
        <v>0</v>
      </c>
      <c r="E636" s="26">
        <f>IF(C636="","",MOD(C636-cfgDeslocamento,4)+1)</f>
        <v>0</v>
      </c>
    </row>
    <row r="637" spans="1:5">
      <c r="A637" s="24"/>
      <c r="B637" s="19"/>
      <c r="C637" s="26">
        <f>IF(A637="","",ROUND((A637+cfgAjusteMES/1440)*48,0))</f>
        <v>0</v>
      </c>
      <c r="D637" s="26">
        <f>IF(C637="","",INT((C637-cfgDeslocamento)/4))</f>
        <v>0</v>
      </c>
      <c r="E637" s="26">
        <f>IF(C637="","",MOD(C637-cfgDeslocamento,4)+1)</f>
        <v>0</v>
      </c>
    </row>
    <row r="638" spans="1:5">
      <c r="A638" s="24"/>
      <c r="B638" s="19"/>
      <c r="C638" s="26">
        <f>IF(A638="","",ROUND((A638+cfgAjusteMES/1440)*48,0))</f>
        <v>0</v>
      </c>
      <c r="D638" s="26">
        <f>IF(C638="","",INT((C638-cfgDeslocamento)/4))</f>
        <v>0</v>
      </c>
      <c r="E638" s="26">
        <f>IF(C638="","",MOD(C638-cfgDeslocamento,4)+1)</f>
        <v>0</v>
      </c>
    </row>
    <row r="639" spans="1:5">
      <c r="A639" s="24"/>
      <c r="B639" s="19"/>
      <c r="C639" s="26">
        <f>IF(A639="","",ROUND((A639+cfgAjusteMES/1440)*48,0))</f>
        <v>0</v>
      </c>
      <c r="D639" s="26">
        <f>IF(C639="","",INT((C639-cfgDeslocamento)/4))</f>
        <v>0</v>
      </c>
      <c r="E639" s="26">
        <f>IF(C639="","",MOD(C639-cfgDeslocamento,4)+1)</f>
        <v>0</v>
      </c>
    </row>
    <row r="640" spans="1:5">
      <c r="A640" s="24"/>
      <c r="B640" s="19"/>
      <c r="C640" s="26">
        <f>IF(A640="","",ROUND((A640+cfgAjusteMES/1440)*48,0))</f>
        <v>0</v>
      </c>
      <c r="D640" s="26">
        <f>IF(C640="","",INT((C640-cfgDeslocamento)/4))</f>
        <v>0</v>
      </c>
      <c r="E640" s="26">
        <f>IF(C640="","",MOD(C640-cfgDeslocamento,4)+1)</f>
        <v>0</v>
      </c>
    </row>
    <row r="641" spans="1:5">
      <c r="A641" s="24"/>
      <c r="B641" s="19"/>
      <c r="C641" s="26">
        <f>IF(A641="","",ROUND((A641+cfgAjusteMES/1440)*48,0))</f>
        <v>0</v>
      </c>
      <c r="D641" s="26">
        <f>IF(C641="","",INT((C641-cfgDeslocamento)/4))</f>
        <v>0</v>
      </c>
      <c r="E641" s="26">
        <f>IF(C641="","",MOD(C641-cfgDeslocamento,4)+1)</f>
        <v>0</v>
      </c>
    </row>
    <row r="642" spans="1:5">
      <c r="A642" s="24"/>
      <c r="B642" s="19"/>
      <c r="C642" s="26">
        <f>IF(A642="","",ROUND((A642+cfgAjusteMES/1440)*48,0))</f>
        <v>0</v>
      </c>
      <c r="D642" s="26">
        <f>IF(C642="","",INT((C642-cfgDeslocamento)/4))</f>
        <v>0</v>
      </c>
      <c r="E642" s="26">
        <f>IF(C642="","",MOD(C642-cfgDeslocamento,4)+1)</f>
        <v>0</v>
      </c>
    </row>
    <row r="643" spans="1:5">
      <c r="A643" s="24"/>
      <c r="B643" s="19"/>
      <c r="C643" s="26">
        <f>IF(A643="","",ROUND((A643+cfgAjusteMES/1440)*48,0))</f>
        <v>0</v>
      </c>
      <c r="D643" s="26">
        <f>IF(C643="","",INT((C643-cfgDeslocamento)/4))</f>
        <v>0</v>
      </c>
      <c r="E643" s="26">
        <f>IF(C643="","",MOD(C643-cfgDeslocamento,4)+1)</f>
        <v>0</v>
      </c>
    </row>
    <row r="644" spans="1:5">
      <c r="A644" s="24"/>
      <c r="B644" s="19"/>
      <c r="C644" s="26">
        <f>IF(A644="","",ROUND((A644+cfgAjusteMES/1440)*48,0))</f>
        <v>0</v>
      </c>
      <c r="D644" s="26">
        <f>IF(C644="","",INT((C644-cfgDeslocamento)/4))</f>
        <v>0</v>
      </c>
      <c r="E644" s="26">
        <f>IF(C644="","",MOD(C644-cfgDeslocamento,4)+1)</f>
        <v>0</v>
      </c>
    </row>
    <row r="645" spans="1:5">
      <c r="A645" s="24"/>
      <c r="B645" s="19"/>
      <c r="C645" s="26">
        <f>IF(A645="","",ROUND((A645+cfgAjusteMES/1440)*48,0))</f>
        <v>0</v>
      </c>
      <c r="D645" s="26">
        <f>IF(C645="","",INT((C645-cfgDeslocamento)/4))</f>
        <v>0</v>
      </c>
      <c r="E645" s="26">
        <f>IF(C645="","",MOD(C645-cfgDeslocamento,4)+1)</f>
        <v>0</v>
      </c>
    </row>
    <row r="646" spans="1:5">
      <c r="A646" s="24"/>
      <c r="B646" s="19"/>
      <c r="C646" s="26">
        <f>IF(A646="","",ROUND((A646+cfgAjusteMES/1440)*48,0))</f>
        <v>0</v>
      </c>
      <c r="D646" s="26">
        <f>IF(C646="","",INT((C646-cfgDeslocamento)/4))</f>
        <v>0</v>
      </c>
      <c r="E646" s="26">
        <f>IF(C646="","",MOD(C646-cfgDeslocamento,4)+1)</f>
        <v>0</v>
      </c>
    </row>
    <row r="647" spans="1:5">
      <c r="A647" s="24"/>
      <c r="B647" s="19"/>
      <c r="C647" s="26">
        <f>IF(A647="","",ROUND((A647+cfgAjusteMES/1440)*48,0))</f>
        <v>0</v>
      </c>
      <c r="D647" s="26">
        <f>IF(C647="","",INT((C647-cfgDeslocamento)/4))</f>
        <v>0</v>
      </c>
      <c r="E647" s="26">
        <f>IF(C647="","",MOD(C647-cfgDeslocamento,4)+1)</f>
        <v>0</v>
      </c>
    </row>
    <row r="648" spans="1:5">
      <c r="A648" s="24"/>
      <c r="B648" s="19"/>
      <c r="C648" s="26">
        <f>IF(A648="","",ROUND((A648+cfgAjusteMES/1440)*48,0))</f>
        <v>0</v>
      </c>
      <c r="D648" s="26">
        <f>IF(C648="","",INT((C648-cfgDeslocamento)/4))</f>
        <v>0</v>
      </c>
      <c r="E648" s="26">
        <f>IF(C648="","",MOD(C648-cfgDeslocamento,4)+1)</f>
        <v>0</v>
      </c>
    </row>
    <row r="649" spans="1:5">
      <c r="A649" s="24"/>
      <c r="B649" s="19"/>
      <c r="C649" s="26">
        <f>IF(A649="","",ROUND((A649+cfgAjusteMES/1440)*48,0))</f>
        <v>0</v>
      </c>
      <c r="D649" s="26">
        <f>IF(C649="","",INT((C649-cfgDeslocamento)/4))</f>
        <v>0</v>
      </c>
      <c r="E649" s="26">
        <f>IF(C649="","",MOD(C649-cfgDeslocamento,4)+1)</f>
        <v>0</v>
      </c>
    </row>
    <row r="650" spans="1:5">
      <c r="A650" s="24"/>
      <c r="B650" s="19"/>
      <c r="C650" s="26">
        <f>IF(A650="","",ROUND((A650+cfgAjusteMES/1440)*48,0))</f>
        <v>0</v>
      </c>
      <c r="D650" s="26">
        <f>IF(C650="","",INT((C650-cfgDeslocamento)/4))</f>
        <v>0</v>
      </c>
      <c r="E650" s="26">
        <f>IF(C650="","",MOD(C650-cfgDeslocamento,4)+1)</f>
        <v>0</v>
      </c>
    </row>
    <row r="651" spans="1:5">
      <c r="A651" s="24"/>
      <c r="B651" s="19"/>
      <c r="C651" s="26">
        <f>IF(A651="","",ROUND((A651+cfgAjusteMES/1440)*48,0))</f>
        <v>0</v>
      </c>
      <c r="D651" s="26">
        <f>IF(C651="","",INT((C651-cfgDeslocamento)/4))</f>
        <v>0</v>
      </c>
      <c r="E651" s="26">
        <f>IF(C651="","",MOD(C651-cfgDeslocamento,4)+1)</f>
        <v>0</v>
      </c>
    </row>
    <row r="652" spans="1:5">
      <c r="A652" s="24"/>
      <c r="B652" s="19"/>
      <c r="C652" s="26">
        <f>IF(A652="","",ROUND((A652+cfgAjusteMES/1440)*48,0))</f>
        <v>0</v>
      </c>
      <c r="D652" s="26">
        <f>IF(C652="","",INT((C652-cfgDeslocamento)/4))</f>
        <v>0</v>
      </c>
      <c r="E652" s="26">
        <f>IF(C652="","",MOD(C652-cfgDeslocamento,4)+1)</f>
        <v>0</v>
      </c>
    </row>
    <row r="653" spans="1:5">
      <c r="A653" s="24"/>
      <c r="B653" s="19"/>
      <c r="C653" s="26">
        <f>IF(A653="","",ROUND((A653+cfgAjusteMES/1440)*48,0))</f>
        <v>0</v>
      </c>
      <c r="D653" s="26">
        <f>IF(C653="","",INT((C653-cfgDeslocamento)/4))</f>
        <v>0</v>
      </c>
      <c r="E653" s="26">
        <f>IF(C653="","",MOD(C653-cfgDeslocamento,4)+1)</f>
        <v>0</v>
      </c>
    </row>
    <row r="654" spans="1:5">
      <c r="A654" s="24"/>
      <c r="B654" s="19"/>
      <c r="C654" s="26">
        <f>IF(A654="","",ROUND((A654+cfgAjusteMES/1440)*48,0))</f>
        <v>0</v>
      </c>
      <c r="D654" s="26">
        <f>IF(C654="","",INT((C654-cfgDeslocamento)/4))</f>
        <v>0</v>
      </c>
      <c r="E654" s="26">
        <f>IF(C654="","",MOD(C654-cfgDeslocamento,4)+1)</f>
        <v>0</v>
      </c>
    </row>
    <row r="655" spans="1:5">
      <c r="A655" s="24"/>
      <c r="B655" s="19"/>
      <c r="C655" s="26">
        <f>IF(A655="","",ROUND((A655+cfgAjusteMES/1440)*48,0))</f>
        <v>0</v>
      </c>
      <c r="D655" s="26">
        <f>IF(C655="","",INT((C655-cfgDeslocamento)/4))</f>
        <v>0</v>
      </c>
      <c r="E655" s="26">
        <f>IF(C655="","",MOD(C655-cfgDeslocamento,4)+1)</f>
        <v>0</v>
      </c>
    </row>
    <row r="656" spans="1:5">
      <c r="A656" s="24"/>
      <c r="B656" s="19"/>
      <c r="C656" s="26">
        <f>IF(A656="","",ROUND((A656+cfgAjusteMES/1440)*48,0))</f>
        <v>0</v>
      </c>
      <c r="D656" s="26">
        <f>IF(C656="","",INT((C656-cfgDeslocamento)/4))</f>
        <v>0</v>
      </c>
      <c r="E656" s="26">
        <f>IF(C656="","",MOD(C656-cfgDeslocamento,4)+1)</f>
        <v>0</v>
      </c>
    </row>
    <row r="657" spans="1:5">
      <c r="A657" s="24"/>
      <c r="B657" s="19"/>
      <c r="C657" s="26">
        <f>IF(A657="","",ROUND((A657+cfgAjusteMES/1440)*48,0))</f>
        <v>0</v>
      </c>
      <c r="D657" s="26">
        <f>IF(C657="","",INT((C657-cfgDeslocamento)/4))</f>
        <v>0</v>
      </c>
      <c r="E657" s="26">
        <f>IF(C657="","",MOD(C657-cfgDeslocamento,4)+1)</f>
        <v>0</v>
      </c>
    </row>
    <row r="658" spans="1:5">
      <c r="A658" s="24"/>
      <c r="B658" s="19"/>
      <c r="C658" s="26">
        <f>IF(A658="","",ROUND((A658+cfgAjusteMES/1440)*48,0))</f>
        <v>0</v>
      </c>
      <c r="D658" s="26">
        <f>IF(C658="","",INT((C658-cfgDeslocamento)/4))</f>
        <v>0</v>
      </c>
      <c r="E658" s="26">
        <f>IF(C658="","",MOD(C658-cfgDeslocamento,4)+1)</f>
        <v>0</v>
      </c>
    </row>
    <row r="659" spans="1:5">
      <c r="A659" s="24"/>
      <c r="B659" s="19"/>
      <c r="C659" s="26">
        <f>IF(A659="","",ROUND((A659+cfgAjusteMES/1440)*48,0))</f>
        <v>0</v>
      </c>
      <c r="D659" s="26">
        <f>IF(C659="","",INT((C659-cfgDeslocamento)/4))</f>
        <v>0</v>
      </c>
      <c r="E659" s="26">
        <f>IF(C659="","",MOD(C659-cfgDeslocamento,4)+1)</f>
        <v>0</v>
      </c>
    </row>
    <row r="660" spans="1:5">
      <c r="A660" s="24"/>
      <c r="B660" s="19"/>
      <c r="C660" s="26">
        <f>IF(A660="","",ROUND((A660+cfgAjusteMES/1440)*48,0))</f>
        <v>0</v>
      </c>
      <c r="D660" s="26">
        <f>IF(C660="","",INT((C660-cfgDeslocamento)/4))</f>
        <v>0</v>
      </c>
      <c r="E660" s="26">
        <f>IF(C660="","",MOD(C660-cfgDeslocamento,4)+1)</f>
        <v>0</v>
      </c>
    </row>
    <row r="661" spans="1:5">
      <c r="A661" s="24"/>
      <c r="B661" s="19"/>
      <c r="C661" s="26">
        <f>IF(A661="","",ROUND((A661+cfgAjusteMES/1440)*48,0))</f>
        <v>0</v>
      </c>
      <c r="D661" s="26">
        <f>IF(C661="","",INT((C661-cfgDeslocamento)/4))</f>
        <v>0</v>
      </c>
      <c r="E661" s="26">
        <f>IF(C661="","",MOD(C661-cfgDeslocamento,4)+1)</f>
        <v>0</v>
      </c>
    </row>
    <row r="662" spans="1:5">
      <c r="A662" s="24"/>
      <c r="B662" s="19"/>
      <c r="C662" s="26">
        <f>IF(A662="","",ROUND((A662+cfgAjusteMES/1440)*48,0))</f>
        <v>0</v>
      </c>
      <c r="D662" s="26">
        <f>IF(C662="","",INT((C662-cfgDeslocamento)/4))</f>
        <v>0</v>
      </c>
      <c r="E662" s="26">
        <f>IF(C662="","",MOD(C662-cfgDeslocamento,4)+1)</f>
        <v>0</v>
      </c>
    </row>
    <row r="663" spans="1:5">
      <c r="A663" s="24"/>
      <c r="B663" s="19"/>
      <c r="C663" s="26">
        <f>IF(A663="","",ROUND((A663+cfgAjusteMES/1440)*48,0))</f>
        <v>0</v>
      </c>
      <c r="D663" s="26">
        <f>IF(C663="","",INT((C663-cfgDeslocamento)/4))</f>
        <v>0</v>
      </c>
      <c r="E663" s="26">
        <f>IF(C663="","",MOD(C663-cfgDeslocamento,4)+1)</f>
        <v>0</v>
      </c>
    </row>
    <row r="664" spans="1:5">
      <c r="A664" s="24"/>
      <c r="B664" s="19"/>
      <c r="C664" s="26">
        <f>IF(A664="","",ROUND((A664+cfgAjusteMES/1440)*48,0))</f>
        <v>0</v>
      </c>
      <c r="D664" s="26">
        <f>IF(C664="","",INT((C664-cfgDeslocamento)/4))</f>
        <v>0</v>
      </c>
      <c r="E664" s="26">
        <f>IF(C664="","",MOD(C664-cfgDeslocamento,4)+1)</f>
        <v>0</v>
      </c>
    </row>
    <row r="665" spans="1:5">
      <c r="A665" s="24"/>
      <c r="B665" s="19"/>
      <c r="C665" s="26">
        <f>IF(A665="","",ROUND((A665+cfgAjusteMES/1440)*48,0))</f>
        <v>0</v>
      </c>
      <c r="D665" s="26">
        <f>IF(C665="","",INT((C665-cfgDeslocamento)/4))</f>
        <v>0</v>
      </c>
      <c r="E665" s="26">
        <f>IF(C665="","",MOD(C665-cfgDeslocamento,4)+1)</f>
        <v>0</v>
      </c>
    </row>
    <row r="666" spans="1:5">
      <c r="A666" s="24"/>
      <c r="B666" s="19"/>
      <c r="C666" s="26">
        <f>IF(A666="","",ROUND((A666+cfgAjusteMES/1440)*48,0))</f>
        <v>0</v>
      </c>
      <c r="D666" s="26">
        <f>IF(C666="","",INT((C666-cfgDeslocamento)/4))</f>
        <v>0</v>
      </c>
      <c r="E666" s="26">
        <f>IF(C666="","",MOD(C666-cfgDeslocamento,4)+1)</f>
        <v>0</v>
      </c>
    </row>
    <row r="667" spans="1:5">
      <c r="A667" s="24"/>
      <c r="B667" s="19"/>
      <c r="C667" s="26">
        <f>IF(A667="","",ROUND((A667+cfgAjusteMES/1440)*48,0))</f>
        <v>0</v>
      </c>
      <c r="D667" s="26">
        <f>IF(C667="","",INT((C667-cfgDeslocamento)/4))</f>
        <v>0</v>
      </c>
      <c r="E667" s="26">
        <f>IF(C667="","",MOD(C667-cfgDeslocamento,4)+1)</f>
        <v>0</v>
      </c>
    </row>
    <row r="668" spans="1:5">
      <c r="A668" s="24"/>
      <c r="B668" s="19"/>
      <c r="C668" s="26">
        <f>IF(A668="","",ROUND((A668+cfgAjusteMES/1440)*48,0))</f>
        <v>0</v>
      </c>
      <c r="D668" s="26">
        <f>IF(C668="","",INT((C668-cfgDeslocamento)/4))</f>
        <v>0</v>
      </c>
      <c r="E668" s="26">
        <f>IF(C668="","",MOD(C668-cfgDeslocamento,4)+1)</f>
        <v>0</v>
      </c>
    </row>
    <row r="669" spans="1:5">
      <c r="A669" s="24"/>
      <c r="B669" s="19"/>
      <c r="C669" s="26">
        <f>IF(A669="","",ROUND((A669+cfgAjusteMES/1440)*48,0))</f>
        <v>0</v>
      </c>
      <c r="D669" s="26">
        <f>IF(C669="","",INT((C669-cfgDeslocamento)/4))</f>
        <v>0</v>
      </c>
      <c r="E669" s="26">
        <f>IF(C669="","",MOD(C669-cfgDeslocamento,4)+1)</f>
        <v>0</v>
      </c>
    </row>
    <row r="670" spans="1:5">
      <c r="A670" s="24"/>
      <c r="B670" s="19"/>
      <c r="C670" s="26">
        <f>IF(A670="","",ROUND((A670+cfgAjusteMES/1440)*48,0))</f>
        <v>0</v>
      </c>
      <c r="D670" s="26">
        <f>IF(C670="","",INT((C670-cfgDeslocamento)/4))</f>
        <v>0</v>
      </c>
      <c r="E670" s="26">
        <f>IF(C670="","",MOD(C670-cfgDeslocamento,4)+1)</f>
        <v>0</v>
      </c>
    </row>
    <row r="671" spans="1:5">
      <c r="A671" s="24"/>
      <c r="B671" s="19"/>
      <c r="C671" s="26">
        <f>IF(A671="","",ROUND((A671+cfgAjusteMES/1440)*48,0))</f>
        <v>0</v>
      </c>
      <c r="D671" s="26">
        <f>IF(C671="","",INT((C671-cfgDeslocamento)/4))</f>
        <v>0</v>
      </c>
      <c r="E671" s="26">
        <f>IF(C671="","",MOD(C671-cfgDeslocamento,4)+1)</f>
        <v>0</v>
      </c>
    </row>
    <row r="672" spans="1:5">
      <c r="A672" s="24"/>
      <c r="B672" s="19"/>
      <c r="C672" s="26">
        <f>IF(A672="","",ROUND((A672+cfgAjusteMES/1440)*48,0))</f>
        <v>0</v>
      </c>
      <c r="D672" s="26">
        <f>IF(C672="","",INT((C672-cfgDeslocamento)/4))</f>
        <v>0</v>
      </c>
      <c r="E672" s="26">
        <f>IF(C672="","",MOD(C672-cfgDeslocamento,4)+1)</f>
        <v>0</v>
      </c>
    </row>
    <row r="673" spans="1:5">
      <c r="A673" s="24"/>
      <c r="B673" s="19"/>
      <c r="C673" s="26">
        <f>IF(A673="","",ROUND((A673+cfgAjusteMES/1440)*48,0))</f>
        <v>0</v>
      </c>
      <c r="D673" s="26">
        <f>IF(C673="","",INT((C673-cfgDeslocamento)/4))</f>
        <v>0</v>
      </c>
      <c r="E673" s="26">
        <f>IF(C673="","",MOD(C673-cfgDeslocamento,4)+1)</f>
        <v>0</v>
      </c>
    </row>
    <row r="674" spans="1:5">
      <c r="A674" s="24"/>
      <c r="B674" s="19"/>
      <c r="C674" s="26">
        <f>IF(A674="","",ROUND((A674+cfgAjusteMES/1440)*48,0))</f>
        <v>0</v>
      </c>
      <c r="D674" s="26">
        <f>IF(C674="","",INT((C674-cfgDeslocamento)/4))</f>
        <v>0</v>
      </c>
      <c r="E674" s="26">
        <f>IF(C674="","",MOD(C674-cfgDeslocamento,4)+1)</f>
        <v>0</v>
      </c>
    </row>
    <row r="675" spans="1:5">
      <c r="A675" s="24"/>
      <c r="B675" s="19"/>
      <c r="C675" s="26">
        <f>IF(A675="","",ROUND((A675+cfgAjusteMES/1440)*48,0))</f>
        <v>0</v>
      </c>
      <c r="D675" s="26">
        <f>IF(C675="","",INT((C675-cfgDeslocamento)/4))</f>
        <v>0</v>
      </c>
      <c r="E675" s="26">
        <f>IF(C675="","",MOD(C675-cfgDeslocamento,4)+1)</f>
        <v>0</v>
      </c>
    </row>
    <row r="676" spans="1:5">
      <c r="A676" s="24"/>
      <c r="B676" s="19"/>
      <c r="C676" s="26">
        <f>IF(A676="","",ROUND((A676+cfgAjusteMES/1440)*48,0))</f>
        <v>0</v>
      </c>
      <c r="D676" s="26">
        <f>IF(C676="","",INT((C676-cfgDeslocamento)/4))</f>
        <v>0</v>
      </c>
      <c r="E676" s="26">
        <f>IF(C676="","",MOD(C676-cfgDeslocamento,4)+1)</f>
        <v>0</v>
      </c>
    </row>
    <row r="677" spans="1:5">
      <c r="A677" s="24"/>
      <c r="B677" s="19"/>
      <c r="C677" s="26">
        <f>IF(A677="","",ROUND((A677+cfgAjusteMES/1440)*48,0))</f>
        <v>0</v>
      </c>
      <c r="D677" s="26">
        <f>IF(C677="","",INT((C677-cfgDeslocamento)/4))</f>
        <v>0</v>
      </c>
      <c r="E677" s="26">
        <f>IF(C677="","",MOD(C677-cfgDeslocamento,4)+1)</f>
        <v>0</v>
      </c>
    </row>
    <row r="678" spans="1:5">
      <c r="A678" s="24"/>
      <c r="B678" s="19"/>
      <c r="C678" s="26">
        <f>IF(A678="","",ROUND((A678+cfgAjusteMES/1440)*48,0))</f>
        <v>0</v>
      </c>
      <c r="D678" s="26">
        <f>IF(C678="","",INT((C678-cfgDeslocamento)/4))</f>
        <v>0</v>
      </c>
      <c r="E678" s="26">
        <f>IF(C678="","",MOD(C678-cfgDeslocamento,4)+1)</f>
        <v>0</v>
      </c>
    </row>
    <row r="679" spans="1:5">
      <c r="A679" s="24"/>
      <c r="B679" s="19"/>
      <c r="C679" s="26">
        <f>IF(A679="","",ROUND((A679+cfgAjusteMES/1440)*48,0))</f>
        <v>0</v>
      </c>
      <c r="D679" s="26">
        <f>IF(C679="","",INT((C679-cfgDeslocamento)/4))</f>
        <v>0</v>
      </c>
      <c r="E679" s="26">
        <f>IF(C679="","",MOD(C679-cfgDeslocamento,4)+1)</f>
        <v>0</v>
      </c>
    </row>
    <row r="680" spans="1:5">
      <c r="A680" s="24"/>
      <c r="B680" s="19"/>
      <c r="C680" s="26">
        <f>IF(A680="","",ROUND((A680+cfgAjusteMES/1440)*48,0))</f>
        <v>0</v>
      </c>
      <c r="D680" s="26">
        <f>IF(C680="","",INT((C680-cfgDeslocamento)/4))</f>
        <v>0</v>
      </c>
      <c r="E680" s="26">
        <f>IF(C680="","",MOD(C680-cfgDeslocamento,4)+1)</f>
        <v>0</v>
      </c>
    </row>
    <row r="681" spans="1:5">
      <c r="A681" s="24"/>
      <c r="B681" s="19"/>
      <c r="C681" s="26">
        <f>IF(A681="","",ROUND((A681+cfgAjusteMES/1440)*48,0))</f>
        <v>0</v>
      </c>
      <c r="D681" s="26">
        <f>IF(C681="","",INT((C681-cfgDeslocamento)/4))</f>
        <v>0</v>
      </c>
      <c r="E681" s="26">
        <f>IF(C681="","",MOD(C681-cfgDeslocamento,4)+1)</f>
        <v>0</v>
      </c>
    </row>
    <row r="682" spans="1:5">
      <c r="A682" s="24"/>
      <c r="B682" s="19"/>
      <c r="C682" s="26">
        <f>IF(A682="","",ROUND((A682+cfgAjusteMES/1440)*48,0))</f>
        <v>0</v>
      </c>
      <c r="D682" s="26">
        <f>IF(C682="","",INT((C682-cfgDeslocamento)/4))</f>
        <v>0</v>
      </c>
      <c r="E682" s="26">
        <f>IF(C682="","",MOD(C682-cfgDeslocamento,4)+1)</f>
        <v>0</v>
      </c>
    </row>
    <row r="683" spans="1:5">
      <c r="A683" s="24"/>
      <c r="B683" s="19"/>
      <c r="C683" s="26">
        <f>IF(A683="","",ROUND((A683+cfgAjusteMES/1440)*48,0))</f>
        <v>0</v>
      </c>
      <c r="D683" s="26">
        <f>IF(C683="","",INT((C683-cfgDeslocamento)/4))</f>
        <v>0</v>
      </c>
      <c r="E683" s="26">
        <f>IF(C683="","",MOD(C683-cfgDeslocamento,4)+1)</f>
        <v>0</v>
      </c>
    </row>
    <row r="684" spans="1:5">
      <c r="A684" s="24"/>
      <c r="B684" s="19"/>
      <c r="C684" s="26">
        <f>IF(A684="","",ROUND((A684+cfgAjusteMES/1440)*48,0))</f>
        <v>0</v>
      </c>
      <c r="D684" s="26">
        <f>IF(C684="","",INT((C684-cfgDeslocamento)/4))</f>
        <v>0</v>
      </c>
      <c r="E684" s="26">
        <f>IF(C684="","",MOD(C684-cfgDeslocamento,4)+1)</f>
        <v>0</v>
      </c>
    </row>
    <row r="685" spans="1:5">
      <c r="A685" s="24"/>
      <c r="B685" s="19"/>
      <c r="C685" s="26">
        <f>IF(A685="","",ROUND((A685+cfgAjusteMES/1440)*48,0))</f>
        <v>0</v>
      </c>
      <c r="D685" s="26">
        <f>IF(C685="","",INT((C685-cfgDeslocamento)/4))</f>
        <v>0</v>
      </c>
      <c r="E685" s="26">
        <f>IF(C685="","",MOD(C685-cfgDeslocamento,4)+1)</f>
        <v>0</v>
      </c>
    </row>
    <row r="686" spans="1:5">
      <c r="A686" s="24"/>
      <c r="B686" s="19"/>
      <c r="C686" s="26">
        <f>IF(A686="","",ROUND((A686+cfgAjusteMES/1440)*48,0))</f>
        <v>0</v>
      </c>
      <c r="D686" s="26">
        <f>IF(C686="","",INT((C686-cfgDeslocamento)/4))</f>
        <v>0</v>
      </c>
      <c r="E686" s="26">
        <f>IF(C686="","",MOD(C686-cfgDeslocamento,4)+1)</f>
        <v>0</v>
      </c>
    </row>
    <row r="687" spans="1:5">
      <c r="A687" s="24"/>
      <c r="B687" s="19"/>
      <c r="C687" s="26">
        <f>IF(A687="","",ROUND((A687+cfgAjusteMES/1440)*48,0))</f>
        <v>0</v>
      </c>
      <c r="D687" s="26">
        <f>IF(C687="","",INT((C687-cfgDeslocamento)/4))</f>
        <v>0</v>
      </c>
      <c r="E687" s="26">
        <f>IF(C687="","",MOD(C687-cfgDeslocamento,4)+1)</f>
        <v>0</v>
      </c>
    </row>
    <row r="688" spans="1:5">
      <c r="A688" s="24"/>
      <c r="B688" s="19"/>
      <c r="C688" s="26">
        <f>IF(A688="","",ROUND((A688+cfgAjusteMES/1440)*48,0))</f>
        <v>0</v>
      </c>
      <c r="D688" s="26">
        <f>IF(C688="","",INT((C688-cfgDeslocamento)/4))</f>
        <v>0</v>
      </c>
      <c r="E688" s="26">
        <f>IF(C688="","",MOD(C688-cfgDeslocamento,4)+1)</f>
        <v>0</v>
      </c>
    </row>
    <row r="689" spans="1:5">
      <c r="A689" s="24"/>
      <c r="B689" s="19"/>
      <c r="C689" s="26">
        <f>IF(A689="","",ROUND((A689+cfgAjusteMES/1440)*48,0))</f>
        <v>0</v>
      </c>
      <c r="D689" s="26">
        <f>IF(C689="","",INT((C689-cfgDeslocamento)/4))</f>
        <v>0</v>
      </c>
      <c r="E689" s="26">
        <f>IF(C689="","",MOD(C689-cfgDeslocamento,4)+1)</f>
        <v>0</v>
      </c>
    </row>
    <row r="690" spans="1:5">
      <c r="A690" s="24"/>
      <c r="B690" s="19"/>
      <c r="C690" s="26">
        <f>IF(A690="","",ROUND((A690+cfgAjusteMES/1440)*48,0))</f>
        <v>0</v>
      </c>
      <c r="D690" s="26">
        <f>IF(C690="","",INT((C690-cfgDeslocamento)/4))</f>
        <v>0</v>
      </c>
      <c r="E690" s="26">
        <f>IF(C690="","",MOD(C690-cfgDeslocamento,4)+1)</f>
        <v>0</v>
      </c>
    </row>
    <row r="691" spans="1:5">
      <c r="A691" s="24"/>
      <c r="B691" s="19"/>
      <c r="C691" s="26">
        <f>IF(A691="","",ROUND((A691+cfgAjusteMES/1440)*48,0))</f>
        <v>0</v>
      </c>
      <c r="D691" s="26">
        <f>IF(C691="","",INT((C691-cfgDeslocamento)/4))</f>
        <v>0</v>
      </c>
      <c r="E691" s="26">
        <f>IF(C691="","",MOD(C691-cfgDeslocamento,4)+1)</f>
        <v>0</v>
      </c>
    </row>
    <row r="692" spans="1:5">
      <c r="A692" s="24"/>
      <c r="B692" s="19"/>
      <c r="C692" s="26">
        <f>IF(A692="","",ROUND((A692+cfgAjusteMES/1440)*48,0))</f>
        <v>0</v>
      </c>
      <c r="D692" s="26">
        <f>IF(C692="","",INT((C692-cfgDeslocamento)/4))</f>
        <v>0</v>
      </c>
      <c r="E692" s="26">
        <f>IF(C692="","",MOD(C692-cfgDeslocamento,4)+1)</f>
        <v>0</v>
      </c>
    </row>
    <row r="693" spans="1:5">
      <c r="A693" s="24"/>
      <c r="B693" s="19"/>
      <c r="C693" s="26">
        <f>IF(A693="","",ROUND((A693+cfgAjusteMES/1440)*48,0))</f>
        <v>0</v>
      </c>
      <c r="D693" s="26">
        <f>IF(C693="","",INT((C693-cfgDeslocamento)/4))</f>
        <v>0</v>
      </c>
      <c r="E693" s="26">
        <f>IF(C693="","",MOD(C693-cfgDeslocamento,4)+1)</f>
        <v>0</v>
      </c>
    </row>
    <row r="694" spans="1:5">
      <c r="A694" s="24"/>
      <c r="B694" s="19"/>
      <c r="C694" s="26">
        <f>IF(A694="","",ROUND((A694+cfgAjusteMES/1440)*48,0))</f>
        <v>0</v>
      </c>
      <c r="D694" s="26">
        <f>IF(C694="","",INT((C694-cfgDeslocamento)/4))</f>
        <v>0</v>
      </c>
      <c r="E694" s="26">
        <f>IF(C694="","",MOD(C694-cfgDeslocamento,4)+1)</f>
        <v>0</v>
      </c>
    </row>
    <row r="695" spans="1:5">
      <c r="A695" s="24"/>
      <c r="B695" s="19"/>
      <c r="C695" s="26">
        <f>IF(A695="","",ROUND((A695+cfgAjusteMES/1440)*48,0))</f>
        <v>0</v>
      </c>
      <c r="D695" s="26">
        <f>IF(C695="","",INT((C695-cfgDeslocamento)/4))</f>
        <v>0</v>
      </c>
      <c r="E695" s="26">
        <f>IF(C695="","",MOD(C695-cfgDeslocamento,4)+1)</f>
        <v>0</v>
      </c>
    </row>
    <row r="696" spans="1:5">
      <c r="A696" s="24"/>
      <c r="B696" s="19"/>
      <c r="C696" s="26">
        <f>IF(A696="","",ROUND((A696+cfgAjusteMES/1440)*48,0))</f>
        <v>0</v>
      </c>
      <c r="D696" s="26">
        <f>IF(C696="","",INT((C696-cfgDeslocamento)/4))</f>
        <v>0</v>
      </c>
      <c r="E696" s="26">
        <f>IF(C696="","",MOD(C696-cfgDeslocamento,4)+1)</f>
        <v>0</v>
      </c>
    </row>
    <row r="697" spans="1:5">
      <c r="A697" s="24"/>
      <c r="B697" s="19"/>
      <c r="C697" s="26">
        <f>IF(A697="","",ROUND((A697+cfgAjusteMES/1440)*48,0))</f>
        <v>0</v>
      </c>
      <c r="D697" s="26">
        <f>IF(C697="","",INT((C697-cfgDeslocamento)/4))</f>
        <v>0</v>
      </c>
      <c r="E697" s="26">
        <f>IF(C697="","",MOD(C697-cfgDeslocamento,4)+1)</f>
        <v>0</v>
      </c>
    </row>
    <row r="698" spans="1:5">
      <c r="A698" s="24"/>
      <c r="B698" s="19"/>
      <c r="C698" s="26">
        <f>IF(A698="","",ROUND((A698+cfgAjusteMES/1440)*48,0))</f>
        <v>0</v>
      </c>
      <c r="D698" s="26">
        <f>IF(C698="","",INT((C698-cfgDeslocamento)/4))</f>
        <v>0</v>
      </c>
      <c r="E698" s="26">
        <f>IF(C698="","",MOD(C698-cfgDeslocamento,4)+1)</f>
        <v>0</v>
      </c>
    </row>
    <row r="699" spans="1:5">
      <c r="A699" s="24"/>
      <c r="B699" s="19"/>
      <c r="C699" s="26">
        <f>IF(A699="","",ROUND((A699+cfgAjusteMES/1440)*48,0))</f>
        <v>0</v>
      </c>
      <c r="D699" s="26">
        <f>IF(C699="","",INT((C699-cfgDeslocamento)/4))</f>
        <v>0</v>
      </c>
      <c r="E699" s="26">
        <f>IF(C699="","",MOD(C699-cfgDeslocamento,4)+1)</f>
        <v>0</v>
      </c>
    </row>
    <row r="700" spans="1:5">
      <c r="A700" s="24"/>
      <c r="B700" s="19"/>
      <c r="C700" s="26">
        <f>IF(A700="","",ROUND((A700+cfgAjusteMES/1440)*48,0))</f>
        <v>0</v>
      </c>
      <c r="D700" s="26">
        <f>IF(C700="","",INT((C700-cfgDeslocamento)/4))</f>
        <v>0</v>
      </c>
      <c r="E700" s="26">
        <f>IF(C700="","",MOD(C700-cfgDeslocamento,4)+1)</f>
        <v>0</v>
      </c>
    </row>
    <row r="701" spans="1:5">
      <c r="A701" s="24"/>
      <c r="B701" s="19"/>
      <c r="C701" s="26">
        <f>IF(A701="","",ROUND((A701+cfgAjusteMES/1440)*48,0))</f>
        <v>0</v>
      </c>
      <c r="D701" s="26">
        <f>IF(C701="","",INT((C701-cfgDeslocamento)/4))</f>
        <v>0</v>
      </c>
      <c r="E701" s="26">
        <f>IF(C701="","",MOD(C701-cfgDeslocamento,4)+1)</f>
        <v>0</v>
      </c>
    </row>
    <row r="702" spans="1:5">
      <c r="A702" s="24"/>
      <c r="B702" s="19"/>
      <c r="C702" s="26">
        <f>IF(A702="","",ROUND((A702+cfgAjusteMES/1440)*48,0))</f>
        <v>0</v>
      </c>
      <c r="D702" s="26">
        <f>IF(C702="","",INT((C702-cfgDeslocamento)/4))</f>
        <v>0</v>
      </c>
      <c r="E702" s="26">
        <f>IF(C702="","",MOD(C702-cfgDeslocamento,4)+1)</f>
        <v>0</v>
      </c>
    </row>
    <row r="703" spans="1:5">
      <c r="A703" s="24"/>
      <c r="B703" s="19"/>
      <c r="C703" s="26">
        <f>IF(A703="","",ROUND((A703+cfgAjusteMES/1440)*48,0))</f>
        <v>0</v>
      </c>
      <c r="D703" s="26">
        <f>IF(C703="","",INT((C703-cfgDeslocamento)/4))</f>
        <v>0</v>
      </c>
      <c r="E703" s="26">
        <f>IF(C703="","",MOD(C703-cfgDeslocamento,4)+1)</f>
        <v>0</v>
      </c>
    </row>
    <row r="704" spans="1:5">
      <c r="A704" s="24"/>
      <c r="B704" s="19"/>
      <c r="C704" s="26">
        <f>IF(A704="","",ROUND((A704+cfgAjusteMES/1440)*48,0))</f>
        <v>0</v>
      </c>
      <c r="D704" s="26">
        <f>IF(C704="","",INT((C704-cfgDeslocamento)/4))</f>
        <v>0</v>
      </c>
      <c r="E704" s="26">
        <f>IF(C704="","",MOD(C704-cfgDeslocamento,4)+1)</f>
        <v>0</v>
      </c>
    </row>
    <row r="705" spans="1:5">
      <c r="A705" s="24"/>
      <c r="B705" s="19"/>
      <c r="C705" s="26">
        <f>IF(A705="","",ROUND((A705+cfgAjusteMES/1440)*48,0))</f>
        <v>0</v>
      </c>
      <c r="D705" s="26">
        <f>IF(C705="","",INT((C705-cfgDeslocamento)/4))</f>
        <v>0</v>
      </c>
      <c r="E705" s="26">
        <f>IF(C705="","",MOD(C705-cfgDeslocamento,4)+1)</f>
        <v>0</v>
      </c>
    </row>
    <row r="706" spans="1:5">
      <c r="A706" s="24"/>
      <c r="B706" s="19"/>
      <c r="C706" s="26">
        <f>IF(A706="","",ROUND((A706+cfgAjusteMES/1440)*48,0))</f>
        <v>0</v>
      </c>
      <c r="D706" s="26">
        <f>IF(C706="","",INT((C706-cfgDeslocamento)/4))</f>
        <v>0</v>
      </c>
      <c r="E706" s="26">
        <f>IF(C706="","",MOD(C706-cfgDeslocamento,4)+1)</f>
        <v>0</v>
      </c>
    </row>
    <row r="707" spans="1:5">
      <c r="A707" s="24"/>
      <c r="B707" s="19"/>
      <c r="C707" s="26">
        <f>IF(A707="","",ROUND((A707+cfgAjusteMES/1440)*48,0))</f>
        <v>0</v>
      </c>
      <c r="D707" s="26">
        <f>IF(C707="","",INT((C707-cfgDeslocamento)/4))</f>
        <v>0</v>
      </c>
      <c r="E707" s="26">
        <f>IF(C707="","",MOD(C707-cfgDeslocamento,4)+1)</f>
        <v>0</v>
      </c>
    </row>
    <row r="708" spans="1:5">
      <c r="A708" s="24"/>
      <c r="B708" s="19"/>
      <c r="C708" s="26">
        <f>IF(A708="","",ROUND((A708+cfgAjusteMES/1440)*48,0))</f>
        <v>0</v>
      </c>
      <c r="D708" s="26">
        <f>IF(C708="","",INT((C708-cfgDeslocamento)/4))</f>
        <v>0</v>
      </c>
      <c r="E708" s="26">
        <f>IF(C708="","",MOD(C708-cfgDeslocamento,4)+1)</f>
        <v>0</v>
      </c>
    </row>
    <row r="709" spans="1:5">
      <c r="A709" s="24"/>
      <c r="B709" s="19"/>
      <c r="C709" s="26">
        <f>IF(A709="","",ROUND((A709+cfgAjusteMES/1440)*48,0))</f>
        <v>0</v>
      </c>
      <c r="D709" s="26">
        <f>IF(C709="","",INT((C709-cfgDeslocamento)/4))</f>
        <v>0</v>
      </c>
      <c r="E709" s="26">
        <f>IF(C709="","",MOD(C709-cfgDeslocamento,4)+1)</f>
        <v>0</v>
      </c>
    </row>
    <row r="710" spans="1:5">
      <c r="A710" s="24"/>
      <c r="B710" s="19"/>
      <c r="C710" s="26">
        <f>IF(A710="","",ROUND((A710+cfgAjusteMES/1440)*48,0))</f>
        <v>0</v>
      </c>
      <c r="D710" s="26">
        <f>IF(C710="","",INT((C710-cfgDeslocamento)/4))</f>
        <v>0</v>
      </c>
      <c r="E710" s="26">
        <f>IF(C710="","",MOD(C710-cfgDeslocamento,4)+1)</f>
        <v>0</v>
      </c>
    </row>
    <row r="711" spans="1:5">
      <c r="A711" s="24"/>
      <c r="B711" s="19"/>
      <c r="C711" s="26">
        <f>IF(A711="","",ROUND((A711+cfgAjusteMES/1440)*48,0))</f>
        <v>0</v>
      </c>
      <c r="D711" s="26">
        <f>IF(C711="","",INT((C711-cfgDeslocamento)/4))</f>
        <v>0</v>
      </c>
      <c r="E711" s="26">
        <f>IF(C711="","",MOD(C711-cfgDeslocamento,4)+1)</f>
        <v>0</v>
      </c>
    </row>
    <row r="712" spans="1:5">
      <c r="A712" s="24"/>
      <c r="B712" s="19"/>
      <c r="C712" s="26">
        <f>IF(A712="","",ROUND((A712+cfgAjusteMES/1440)*48,0))</f>
        <v>0</v>
      </c>
      <c r="D712" s="26">
        <f>IF(C712="","",INT((C712-cfgDeslocamento)/4))</f>
        <v>0</v>
      </c>
      <c r="E712" s="26">
        <f>IF(C712="","",MOD(C712-cfgDeslocamento,4)+1)</f>
        <v>0</v>
      </c>
    </row>
    <row r="713" spans="1:5">
      <c r="A713" s="24"/>
      <c r="B713" s="19"/>
      <c r="C713" s="26">
        <f>IF(A713="","",ROUND((A713+cfgAjusteMES/1440)*48,0))</f>
        <v>0</v>
      </c>
      <c r="D713" s="26">
        <f>IF(C713="","",INT((C713-cfgDeslocamento)/4))</f>
        <v>0</v>
      </c>
      <c r="E713" s="26">
        <f>IF(C713="","",MOD(C713-cfgDeslocamento,4)+1)</f>
        <v>0</v>
      </c>
    </row>
    <row r="714" spans="1:5">
      <c r="A714" s="24"/>
      <c r="B714" s="19"/>
      <c r="C714" s="26">
        <f>IF(A714="","",ROUND((A714+cfgAjusteMES/1440)*48,0))</f>
        <v>0</v>
      </c>
      <c r="D714" s="26">
        <f>IF(C714="","",INT((C714-cfgDeslocamento)/4))</f>
        <v>0</v>
      </c>
      <c r="E714" s="26">
        <f>IF(C714="","",MOD(C714-cfgDeslocamento,4)+1)</f>
        <v>0</v>
      </c>
    </row>
    <row r="715" spans="1:5">
      <c r="A715" s="24"/>
      <c r="B715" s="19"/>
      <c r="C715" s="26">
        <f>IF(A715="","",ROUND((A715+cfgAjusteMES/1440)*48,0))</f>
        <v>0</v>
      </c>
      <c r="D715" s="26">
        <f>IF(C715="","",INT((C715-cfgDeslocamento)/4))</f>
        <v>0</v>
      </c>
      <c r="E715" s="26">
        <f>IF(C715="","",MOD(C715-cfgDeslocamento,4)+1)</f>
        <v>0</v>
      </c>
    </row>
    <row r="716" spans="1:5">
      <c r="A716" s="24"/>
      <c r="B716" s="19"/>
      <c r="C716" s="26">
        <f>IF(A716="","",ROUND((A716+cfgAjusteMES/1440)*48,0))</f>
        <v>0</v>
      </c>
      <c r="D716" s="26">
        <f>IF(C716="","",INT((C716-cfgDeslocamento)/4))</f>
        <v>0</v>
      </c>
      <c r="E716" s="26">
        <f>IF(C716="","",MOD(C716-cfgDeslocamento,4)+1)</f>
        <v>0</v>
      </c>
    </row>
    <row r="717" spans="1:5">
      <c r="A717" s="24"/>
      <c r="B717" s="19"/>
      <c r="C717" s="26">
        <f>IF(A717="","",ROUND((A717+cfgAjusteMES/1440)*48,0))</f>
        <v>0</v>
      </c>
      <c r="D717" s="26">
        <f>IF(C717="","",INT((C717-cfgDeslocamento)/4))</f>
        <v>0</v>
      </c>
      <c r="E717" s="26">
        <f>IF(C717="","",MOD(C717-cfgDeslocamento,4)+1)</f>
        <v>0</v>
      </c>
    </row>
    <row r="718" spans="1:5">
      <c r="A718" s="24"/>
      <c r="B718" s="19"/>
      <c r="C718" s="26">
        <f>IF(A718="","",ROUND((A718+cfgAjusteMES/1440)*48,0))</f>
        <v>0</v>
      </c>
      <c r="D718" s="26">
        <f>IF(C718="","",INT((C718-cfgDeslocamento)/4))</f>
        <v>0</v>
      </c>
      <c r="E718" s="26">
        <f>IF(C718="","",MOD(C718-cfgDeslocamento,4)+1)</f>
        <v>0</v>
      </c>
    </row>
    <row r="719" spans="1:5">
      <c r="A719" s="24"/>
      <c r="B719" s="19"/>
      <c r="C719" s="26">
        <f>IF(A719="","",ROUND((A719+cfgAjusteMES/1440)*48,0))</f>
        <v>0</v>
      </c>
      <c r="D719" s="26">
        <f>IF(C719="","",INT((C719-cfgDeslocamento)/4))</f>
        <v>0</v>
      </c>
      <c r="E719" s="26">
        <f>IF(C719="","",MOD(C719-cfgDeslocamento,4)+1)</f>
        <v>0</v>
      </c>
    </row>
    <row r="720" spans="1:5">
      <c r="A720" s="24"/>
      <c r="B720" s="19"/>
      <c r="C720" s="26">
        <f>IF(A720="","",ROUND((A720+cfgAjusteMES/1440)*48,0))</f>
        <v>0</v>
      </c>
      <c r="D720" s="26">
        <f>IF(C720="","",INT((C720-cfgDeslocamento)/4))</f>
        <v>0</v>
      </c>
      <c r="E720" s="26">
        <f>IF(C720="","",MOD(C720-cfgDeslocamento,4)+1)</f>
        <v>0</v>
      </c>
    </row>
    <row r="721" spans="1:5">
      <c r="A721" s="24"/>
      <c r="B721" s="19"/>
      <c r="C721" s="26">
        <f>IF(A721="","",ROUND((A721+cfgAjusteMES/1440)*48,0))</f>
        <v>0</v>
      </c>
      <c r="D721" s="26">
        <f>IF(C721="","",INT((C721-cfgDeslocamento)/4))</f>
        <v>0</v>
      </c>
      <c r="E721" s="26">
        <f>IF(C721="","",MOD(C721-cfgDeslocamento,4)+1)</f>
        <v>0</v>
      </c>
    </row>
    <row r="722" spans="1:5">
      <c r="A722" s="24"/>
      <c r="B722" s="19"/>
      <c r="C722" s="26">
        <f>IF(A722="","",ROUND((A722+cfgAjusteMES/1440)*48,0))</f>
        <v>0</v>
      </c>
      <c r="D722" s="26">
        <f>IF(C722="","",INT((C722-cfgDeslocamento)/4))</f>
        <v>0</v>
      </c>
      <c r="E722" s="26">
        <f>IF(C722="","",MOD(C722-cfgDeslocamento,4)+1)</f>
        <v>0</v>
      </c>
    </row>
    <row r="723" spans="1:5">
      <c r="A723" s="24"/>
      <c r="B723" s="19"/>
      <c r="C723" s="26">
        <f>IF(A723="","",ROUND((A723+cfgAjusteMES/1440)*48,0))</f>
        <v>0</v>
      </c>
      <c r="D723" s="26">
        <f>IF(C723="","",INT((C723-cfgDeslocamento)/4))</f>
        <v>0</v>
      </c>
      <c r="E723" s="26">
        <f>IF(C723="","",MOD(C723-cfgDeslocamento,4)+1)</f>
        <v>0</v>
      </c>
    </row>
    <row r="724" spans="1:5">
      <c r="A724" s="24"/>
      <c r="B724" s="19"/>
      <c r="C724" s="26">
        <f>IF(A724="","",ROUND((A724+cfgAjusteMES/1440)*48,0))</f>
        <v>0</v>
      </c>
      <c r="D724" s="26">
        <f>IF(C724="","",INT((C724-cfgDeslocamento)/4))</f>
        <v>0</v>
      </c>
      <c r="E724" s="26">
        <f>IF(C724="","",MOD(C724-cfgDeslocamento,4)+1)</f>
        <v>0</v>
      </c>
    </row>
    <row r="725" spans="1:5">
      <c r="A725" s="24"/>
      <c r="B725" s="19"/>
      <c r="C725" s="26">
        <f>IF(A725="","",ROUND((A725+cfgAjusteMES/1440)*48,0))</f>
        <v>0</v>
      </c>
      <c r="D725" s="26">
        <f>IF(C725="","",INT((C725-cfgDeslocamento)/4))</f>
        <v>0</v>
      </c>
      <c r="E725" s="26">
        <f>IF(C725="","",MOD(C725-cfgDeslocamento,4)+1)</f>
        <v>0</v>
      </c>
    </row>
    <row r="726" spans="1:5">
      <c r="A726" s="24"/>
      <c r="B726" s="19"/>
      <c r="C726" s="26">
        <f>IF(A726="","",ROUND((A726+cfgAjusteMES/1440)*48,0))</f>
        <v>0</v>
      </c>
      <c r="D726" s="26">
        <f>IF(C726="","",INT((C726-cfgDeslocamento)/4))</f>
        <v>0</v>
      </c>
      <c r="E726" s="26">
        <f>IF(C726="","",MOD(C726-cfgDeslocamento,4)+1)</f>
        <v>0</v>
      </c>
    </row>
    <row r="727" spans="1:5">
      <c r="A727" s="24"/>
      <c r="B727" s="19"/>
      <c r="C727" s="26">
        <f>IF(A727="","",ROUND((A727+cfgAjusteMES/1440)*48,0))</f>
        <v>0</v>
      </c>
      <c r="D727" s="26">
        <f>IF(C727="","",INT((C727-cfgDeslocamento)/4))</f>
        <v>0</v>
      </c>
      <c r="E727" s="26">
        <f>IF(C727="","",MOD(C727-cfgDeslocamento,4)+1)</f>
        <v>0</v>
      </c>
    </row>
    <row r="728" spans="1:5">
      <c r="A728" s="24"/>
      <c r="B728" s="19"/>
      <c r="C728" s="26">
        <f>IF(A728="","",ROUND((A728+cfgAjusteMES/1440)*48,0))</f>
        <v>0</v>
      </c>
      <c r="D728" s="26">
        <f>IF(C728="","",INT((C728-cfgDeslocamento)/4))</f>
        <v>0</v>
      </c>
      <c r="E728" s="26">
        <f>IF(C728="","",MOD(C728-cfgDeslocamento,4)+1)</f>
        <v>0</v>
      </c>
    </row>
    <row r="729" spans="1:5">
      <c r="A729" s="24"/>
      <c r="B729" s="19"/>
      <c r="C729" s="26">
        <f>IF(A729="","",ROUND((A729+cfgAjusteMES/1440)*48,0))</f>
        <v>0</v>
      </c>
      <c r="D729" s="26">
        <f>IF(C729="","",INT((C729-cfgDeslocamento)/4))</f>
        <v>0</v>
      </c>
      <c r="E729" s="26">
        <f>IF(C729="","",MOD(C729-cfgDeslocamento,4)+1)</f>
        <v>0</v>
      </c>
    </row>
    <row r="730" spans="1:5">
      <c r="A730" s="24"/>
      <c r="B730" s="19"/>
      <c r="C730" s="26">
        <f>IF(A730="","",ROUND((A730+cfgAjusteMES/1440)*48,0))</f>
        <v>0</v>
      </c>
      <c r="D730" s="26">
        <f>IF(C730="","",INT((C730-cfgDeslocamento)/4))</f>
        <v>0</v>
      </c>
      <c r="E730" s="26">
        <f>IF(C730="","",MOD(C730-cfgDeslocamento,4)+1)</f>
        <v>0</v>
      </c>
    </row>
    <row r="731" spans="1:5">
      <c r="A731" s="24"/>
      <c r="B731" s="19"/>
      <c r="C731" s="26">
        <f>IF(A731="","",ROUND((A731+cfgAjusteMES/1440)*48,0))</f>
        <v>0</v>
      </c>
      <c r="D731" s="26">
        <f>IF(C731="","",INT((C731-cfgDeslocamento)/4))</f>
        <v>0</v>
      </c>
      <c r="E731" s="26">
        <f>IF(C731="","",MOD(C731-cfgDeslocamento,4)+1)</f>
        <v>0</v>
      </c>
    </row>
    <row r="732" spans="1:5">
      <c r="A732" s="24"/>
      <c r="B732" s="19"/>
      <c r="C732" s="26">
        <f>IF(A732="","",ROUND((A732+cfgAjusteMES/1440)*48,0))</f>
        <v>0</v>
      </c>
      <c r="D732" s="26">
        <f>IF(C732="","",INT((C732-cfgDeslocamento)/4))</f>
        <v>0</v>
      </c>
      <c r="E732" s="26">
        <f>IF(C732="","",MOD(C732-cfgDeslocamento,4)+1)</f>
        <v>0</v>
      </c>
    </row>
    <row r="733" spans="1:5">
      <c r="A733" s="24"/>
      <c r="B733" s="19"/>
      <c r="C733" s="26">
        <f>IF(A733="","",ROUND((A733+cfgAjusteMES/1440)*48,0))</f>
        <v>0</v>
      </c>
      <c r="D733" s="26">
        <f>IF(C733="","",INT((C733-cfgDeslocamento)/4))</f>
        <v>0</v>
      </c>
      <c r="E733" s="26">
        <f>IF(C733="","",MOD(C733-cfgDeslocamento,4)+1)</f>
        <v>0</v>
      </c>
    </row>
    <row r="734" spans="1:5">
      <c r="A734" s="24"/>
      <c r="B734" s="19"/>
      <c r="C734" s="26">
        <f>IF(A734="","",ROUND((A734+cfgAjusteMES/1440)*48,0))</f>
        <v>0</v>
      </c>
      <c r="D734" s="26">
        <f>IF(C734="","",INT((C734-cfgDeslocamento)/4))</f>
        <v>0</v>
      </c>
      <c r="E734" s="26">
        <f>IF(C734="","",MOD(C734-cfgDeslocamento,4)+1)</f>
        <v>0</v>
      </c>
    </row>
    <row r="735" spans="1:5">
      <c r="A735" s="24"/>
      <c r="B735" s="19"/>
      <c r="C735" s="26">
        <f>IF(A735="","",ROUND((A735+cfgAjusteMES/1440)*48,0))</f>
        <v>0</v>
      </c>
      <c r="D735" s="26">
        <f>IF(C735="","",INT((C735-cfgDeslocamento)/4))</f>
        <v>0</v>
      </c>
      <c r="E735" s="26">
        <f>IF(C735="","",MOD(C735-cfgDeslocamento,4)+1)</f>
        <v>0</v>
      </c>
    </row>
    <row r="736" spans="1:5">
      <c r="A736" s="24"/>
      <c r="B736" s="19"/>
      <c r="C736" s="26">
        <f>IF(A736="","",ROUND((A736+cfgAjusteMES/1440)*48,0))</f>
        <v>0</v>
      </c>
      <c r="D736" s="26">
        <f>IF(C736="","",INT((C736-cfgDeslocamento)/4))</f>
        <v>0</v>
      </c>
      <c r="E736" s="26">
        <f>IF(C736="","",MOD(C736-cfgDeslocamento,4)+1)</f>
        <v>0</v>
      </c>
    </row>
    <row r="737" spans="1:5">
      <c r="A737" s="24"/>
      <c r="B737" s="19"/>
      <c r="C737" s="26">
        <f>IF(A737="","",ROUND((A737+cfgAjusteMES/1440)*48,0))</f>
        <v>0</v>
      </c>
      <c r="D737" s="26">
        <f>IF(C737="","",INT((C737-cfgDeslocamento)/4))</f>
        <v>0</v>
      </c>
      <c r="E737" s="26">
        <f>IF(C737="","",MOD(C737-cfgDeslocamento,4)+1)</f>
        <v>0</v>
      </c>
    </row>
    <row r="738" spans="1:5">
      <c r="A738" s="24"/>
      <c r="B738" s="19"/>
      <c r="C738" s="26">
        <f>IF(A738="","",ROUND((A738+cfgAjusteMES/1440)*48,0))</f>
        <v>0</v>
      </c>
      <c r="D738" s="26">
        <f>IF(C738="","",INT((C738-cfgDeslocamento)/4))</f>
        <v>0</v>
      </c>
      <c r="E738" s="26">
        <f>IF(C738="","",MOD(C738-cfgDeslocamento,4)+1)</f>
        <v>0</v>
      </c>
    </row>
    <row r="739" spans="1:5">
      <c r="A739" s="24"/>
      <c r="B739" s="19"/>
      <c r="C739" s="26">
        <f>IF(A739="","",ROUND((A739+cfgAjusteMES/1440)*48,0))</f>
        <v>0</v>
      </c>
      <c r="D739" s="26">
        <f>IF(C739="","",INT((C739-cfgDeslocamento)/4))</f>
        <v>0</v>
      </c>
      <c r="E739" s="26">
        <f>IF(C739="","",MOD(C739-cfgDeslocamento,4)+1)</f>
        <v>0</v>
      </c>
    </row>
    <row r="740" spans="1:5">
      <c r="A740" s="24"/>
      <c r="B740" s="19"/>
      <c r="C740" s="26">
        <f>IF(A740="","",ROUND((A740+cfgAjusteMES/1440)*48,0))</f>
        <v>0</v>
      </c>
      <c r="D740" s="26">
        <f>IF(C740="","",INT((C740-cfgDeslocamento)/4))</f>
        <v>0</v>
      </c>
      <c r="E740" s="26">
        <f>IF(C740="","",MOD(C740-cfgDeslocamento,4)+1)</f>
        <v>0</v>
      </c>
    </row>
    <row r="741" spans="1:5">
      <c r="A741" s="24"/>
      <c r="B741" s="19"/>
      <c r="C741" s="26">
        <f>IF(A741="","",ROUND((A741+cfgAjusteMES/1440)*48,0))</f>
        <v>0</v>
      </c>
      <c r="D741" s="26">
        <f>IF(C741="","",INT((C741-cfgDeslocamento)/4))</f>
        <v>0</v>
      </c>
      <c r="E741" s="26">
        <f>IF(C741="","",MOD(C741-cfgDeslocamento,4)+1)</f>
        <v>0</v>
      </c>
    </row>
    <row r="742" spans="1:5">
      <c r="A742" s="24"/>
      <c r="B742" s="19"/>
      <c r="C742" s="26">
        <f>IF(A742="","",ROUND((A742+cfgAjusteMES/1440)*48,0))</f>
        <v>0</v>
      </c>
      <c r="D742" s="26">
        <f>IF(C742="","",INT((C742-cfgDeslocamento)/4))</f>
        <v>0</v>
      </c>
      <c r="E742" s="26">
        <f>IF(C742="","",MOD(C742-cfgDeslocamento,4)+1)</f>
        <v>0</v>
      </c>
    </row>
    <row r="743" spans="1:5">
      <c r="A743" s="24"/>
      <c r="B743" s="19"/>
      <c r="C743" s="26">
        <f>IF(A743="","",ROUND((A743+cfgAjusteMES/1440)*48,0))</f>
        <v>0</v>
      </c>
      <c r="D743" s="26">
        <f>IF(C743="","",INT((C743-cfgDeslocamento)/4))</f>
        <v>0</v>
      </c>
      <c r="E743" s="26">
        <f>IF(C743="","",MOD(C743-cfgDeslocamento,4)+1)</f>
        <v>0</v>
      </c>
    </row>
    <row r="744" spans="1:5">
      <c r="A744" s="24"/>
      <c r="B744" s="19"/>
      <c r="C744" s="26">
        <f>IF(A744="","",ROUND((A744+cfgAjusteMES/1440)*48,0))</f>
        <v>0</v>
      </c>
      <c r="D744" s="26">
        <f>IF(C744="","",INT((C744-cfgDeslocamento)/4))</f>
        <v>0</v>
      </c>
      <c r="E744" s="26">
        <f>IF(C744="","",MOD(C744-cfgDeslocamento,4)+1)</f>
        <v>0</v>
      </c>
    </row>
    <row r="745" spans="1:5">
      <c r="A745" s="24"/>
      <c r="B745" s="19"/>
      <c r="C745" s="26">
        <f>IF(A745="","",ROUND((A745+cfgAjusteMES/1440)*48,0))</f>
        <v>0</v>
      </c>
      <c r="D745" s="26">
        <f>IF(C745="","",INT((C745-cfgDeslocamento)/4))</f>
        <v>0</v>
      </c>
      <c r="E745" s="26">
        <f>IF(C745="","",MOD(C745-cfgDeslocamento,4)+1)</f>
        <v>0</v>
      </c>
    </row>
    <row r="746" spans="1:5">
      <c r="A746" s="24"/>
      <c r="B746" s="19"/>
      <c r="C746" s="26">
        <f>IF(A746="","",ROUND((A746+cfgAjusteMES/1440)*48,0))</f>
        <v>0</v>
      </c>
      <c r="D746" s="26">
        <f>IF(C746="","",INT((C746-cfgDeslocamento)/4))</f>
        <v>0</v>
      </c>
      <c r="E746" s="26">
        <f>IF(C746="","",MOD(C746-cfgDeslocamento,4)+1)</f>
        <v>0</v>
      </c>
    </row>
    <row r="747" spans="1:5">
      <c r="A747" s="24"/>
      <c r="B747" s="19"/>
      <c r="C747" s="26">
        <f>IF(A747="","",ROUND((A747+cfgAjusteMES/1440)*48,0))</f>
        <v>0</v>
      </c>
      <c r="D747" s="26">
        <f>IF(C747="","",INT((C747-cfgDeslocamento)/4))</f>
        <v>0</v>
      </c>
      <c r="E747" s="26">
        <f>IF(C747="","",MOD(C747-cfgDeslocamento,4)+1)</f>
        <v>0</v>
      </c>
    </row>
    <row r="748" spans="1:5">
      <c r="A748" s="24"/>
      <c r="B748" s="19"/>
      <c r="C748" s="26">
        <f>IF(A748="","",ROUND((A748+cfgAjusteMES/1440)*48,0))</f>
        <v>0</v>
      </c>
      <c r="D748" s="26">
        <f>IF(C748="","",INT((C748-cfgDeslocamento)/4))</f>
        <v>0</v>
      </c>
      <c r="E748" s="26">
        <f>IF(C748="","",MOD(C748-cfgDeslocamento,4)+1)</f>
        <v>0</v>
      </c>
    </row>
    <row r="749" spans="1:5">
      <c r="A749" s="24"/>
      <c r="B749" s="19"/>
      <c r="C749" s="26">
        <f>IF(A749="","",ROUND((A749+cfgAjusteMES/1440)*48,0))</f>
        <v>0</v>
      </c>
      <c r="D749" s="26">
        <f>IF(C749="","",INT((C749-cfgDeslocamento)/4))</f>
        <v>0</v>
      </c>
      <c r="E749" s="26">
        <f>IF(C749="","",MOD(C749-cfgDeslocamento,4)+1)</f>
        <v>0</v>
      </c>
    </row>
    <row r="750" spans="1:5">
      <c r="A750" s="24"/>
      <c r="B750" s="19"/>
      <c r="C750" s="26">
        <f>IF(A750="","",ROUND((A750+cfgAjusteMES/1440)*48,0))</f>
        <v>0</v>
      </c>
      <c r="D750" s="26">
        <f>IF(C750="","",INT((C750-cfgDeslocamento)/4))</f>
        <v>0</v>
      </c>
      <c r="E750" s="26">
        <f>IF(C750="","",MOD(C750-cfgDeslocamento,4)+1)</f>
        <v>0</v>
      </c>
    </row>
    <row r="751" spans="1:5">
      <c r="A751" s="24"/>
      <c r="B751" s="19"/>
      <c r="C751" s="26">
        <f>IF(A751="","",ROUND((A751+cfgAjusteMES/1440)*48,0))</f>
        <v>0</v>
      </c>
      <c r="D751" s="26">
        <f>IF(C751="","",INT((C751-cfgDeslocamento)/4))</f>
        <v>0</v>
      </c>
      <c r="E751" s="26">
        <f>IF(C751="","",MOD(C751-cfgDeslocamento,4)+1)</f>
        <v>0</v>
      </c>
    </row>
    <row r="752" spans="1:5">
      <c r="A752" s="24"/>
      <c r="B752" s="19"/>
      <c r="C752" s="26">
        <f>IF(A752="","",ROUND((A752+cfgAjusteMES/1440)*48,0))</f>
        <v>0</v>
      </c>
      <c r="D752" s="26">
        <f>IF(C752="","",INT((C752-cfgDeslocamento)/4))</f>
        <v>0</v>
      </c>
      <c r="E752" s="26">
        <f>IF(C752="","",MOD(C752-cfgDeslocamento,4)+1)</f>
        <v>0</v>
      </c>
    </row>
    <row r="753" spans="1:5">
      <c r="A753" s="24"/>
      <c r="B753" s="19"/>
      <c r="C753" s="26">
        <f>IF(A753="","",ROUND((A753+cfgAjusteMES/1440)*48,0))</f>
        <v>0</v>
      </c>
      <c r="D753" s="26">
        <f>IF(C753="","",INT((C753-cfgDeslocamento)/4))</f>
        <v>0</v>
      </c>
      <c r="E753" s="26">
        <f>IF(C753="","",MOD(C753-cfgDeslocamento,4)+1)</f>
        <v>0</v>
      </c>
    </row>
    <row r="754" spans="1:5">
      <c r="A754" s="24"/>
      <c r="B754" s="19"/>
      <c r="C754" s="26">
        <f>IF(A754="","",ROUND((A754+cfgAjusteMES/1440)*48,0))</f>
        <v>0</v>
      </c>
      <c r="D754" s="26">
        <f>IF(C754="","",INT((C754-cfgDeslocamento)/4))</f>
        <v>0</v>
      </c>
      <c r="E754" s="26">
        <f>IF(C754="","",MOD(C754-cfgDeslocamento,4)+1)</f>
        <v>0</v>
      </c>
    </row>
    <row r="755" spans="1:5">
      <c r="A755" s="24"/>
      <c r="B755" s="19"/>
      <c r="C755" s="26">
        <f>IF(A755="","",ROUND((A755+cfgAjusteMES/1440)*48,0))</f>
        <v>0</v>
      </c>
      <c r="D755" s="26">
        <f>IF(C755="","",INT((C755-cfgDeslocamento)/4))</f>
        <v>0</v>
      </c>
      <c r="E755" s="26">
        <f>IF(C755="","",MOD(C755-cfgDeslocamento,4)+1)</f>
        <v>0</v>
      </c>
    </row>
    <row r="756" spans="1:5">
      <c r="A756" s="24"/>
      <c r="B756" s="19"/>
      <c r="C756" s="26">
        <f>IF(A756="","",ROUND((A756+cfgAjusteMES/1440)*48,0))</f>
        <v>0</v>
      </c>
      <c r="D756" s="26">
        <f>IF(C756="","",INT((C756-cfgDeslocamento)/4))</f>
        <v>0</v>
      </c>
      <c r="E756" s="26">
        <f>IF(C756="","",MOD(C756-cfgDeslocamento,4)+1)</f>
        <v>0</v>
      </c>
    </row>
    <row r="757" spans="1:5">
      <c r="A757" s="24"/>
      <c r="B757" s="19"/>
      <c r="C757" s="26">
        <f>IF(A757="","",ROUND((A757+cfgAjusteMES/1440)*48,0))</f>
        <v>0</v>
      </c>
      <c r="D757" s="26">
        <f>IF(C757="","",INT((C757-cfgDeslocamento)/4))</f>
        <v>0</v>
      </c>
      <c r="E757" s="26">
        <f>IF(C757="","",MOD(C757-cfgDeslocamento,4)+1)</f>
        <v>0</v>
      </c>
    </row>
    <row r="758" spans="1:5">
      <c r="A758" s="24"/>
      <c r="B758" s="19"/>
      <c r="C758" s="26">
        <f>IF(A758="","",ROUND((A758+cfgAjusteMES/1440)*48,0))</f>
        <v>0</v>
      </c>
      <c r="D758" s="26">
        <f>IF(C758="","",INT((C758-cfgDeslocamento)/4))</f>
        <v>0</v>
      </c>
      <c r="E758" s="26">
        <f>IF(C758="","",MOD(C758-cfgDeslocamento,4)+1)</f>
        <v>0</v>
      </c>
    </row>
    <row r="759" spans="1:5">
      <c r="A759" s="24"/>
      <c r="B759" s="19"/>
      <c r="C759" s="26">
        <f>IF(A759="","",ROUND((A759+cfgAjusteMES/1440)*48,0))</f>
        <v>0</v>
      </c>
      <c r="D759" s="26">
        <f>IF(C759="","",INT((C759-cfgDeslocamento)/4))</f>
        <v>0</v>
      </c>
      <c r="E759" s="26">
        <f>IF(C759="","",MOD(C759-cfgDeslocamento,4)+1)</f>
        <v>0</v>
      </c>
    </row>
    <row r="760" spans="1:5">
      <c r="A760" s="24"/>
      <c r="B760" s="19"/>
      <c r="C760" s="26">
        <f>IF(A760="","",ROUND((A760+cfgAjusteMES/1440)*48,0))</f>
        <v>0</v>
      </c>
      <c r="D760" s="26">
        <f>IF(C760="","",INT((C760-cfgDeslocamento)/4))</f>
        <v>0</v>
      </c>
      <c r="E760" s="26">
        <f>IF(C760="","",MOD(C760-cfgDeslocamento,4)+1)</f>
        <v>0</v>
      </c>
    </row>
    <row r="761" spans="1:5">
      <c r="A761" s="24"/>
      <c r="B761" s="19"/>
      <c r="C761" s="26">
        <f>IF(A761="","",ROUND((A761+cfgAjusteMES/1440)*48,0))</f>
        <v>0</v>
      </c>
      <c r="D761" s="26">
        <f>IF(C761="","",INT((C761-cfgDeslocamento)/4))</f>
        <v>0</v>
      </c>
      <c r="E761" s="26">
        <f>IF(C761="","",MOD(C761-cfgDeslocamento,4)+1)</f>
        <v>0</v>
      </c>
    </row>
    <row r="762" spans="1:5">
      <c r="A762" s="24"/>
      <c r="B762" s="19"/>
      <c r="C762" s="26">
        <f>IF(A762="","",ROUND((A762+cfgAjusteMES/1440)*48,0))</f>
        <v>0</v>
      </c>
      <c r="D762" s="26">
        <f>IF(C762="","",INT((C762-cfgDeslocamento)/4))</f>
        <v>0</v>
      </c>
      <c r="E762" s="26">
        <f>IF(C762="","",MOD(C762-cfgDeslocamento,4)+1)</f>
        <v>0</v>
      </c>
    </row>
    <row r="763" spans="1:5">
      <c r="A763" s="24"/>
      <c r="B763" s="19"/>
      <c r="C763" s="26">
        <f>IF(A763="","",ROUND((A763+cfgAjusteMES/1440)*48,0))</f>
        <v>0</v>
      </c>
      <c r="D763" s="26">
        <f>IF(C763="","",INT((C763-cfgDeslocamento)/4))</f>
        <v>0</v>
      </c>
      <c r="E763" s="26">
        <f>IF(C763="","",MOD(C763-cfgDeslocamento,4)+1)</f>
        <v>0</v>
      </c>
    </row>
    <row r="764" spans="1:5">
      <c r="A764" s="24"/>
      <c r="B764" s="19"/>
      <c r="C764" s="26">
        <f>IF(A764="","",ROUND((A764+cfgAjusteMES/1440)*48,0))</f>
        <v>0</v>
      </c>
      <c r="D764" s="26">
        <f>IF(C764="","",INT((C764-cfgDeslocamento)/4))</f>
        <v>0</v>
      </c>
      <c r="E764" s="26">
        <f>IF(C764="","",MOD(C764-cfgDeslocamento,4)+1)</f>
        <v>0</v>
      </c>
    </row>
    <row r="765" spans="1:5">
      <c r="A765" s="24"/>
      <c r="B765" s="19"/>
      <c r="C765" s="26">
        <f>IF(A765="","",ROUND((A765+cfgAjusteMES/1440)*48,0))</f>
        <v>0</v>
      </c>
      <c r="D765" s="26">
        <f>IF(C765="","",INT((C765-cfgDeslocamento)/4))</f>
        <v>0</v>
      </c>
      <c r="E765" s="26">
        <f>IF(C765="","",MOD(C765-cfgDeslocamento,4)+1)</f>
        <v>0</v>
      </c>
    </row>
    <row r="766" spans="1:5">
      <c r="A766" s="24"/>
      <c r="B766" s="19"/>
      <c r="C766" s="26">
        <f>IF(A766="","",ROUND((A766+cfgAjusteMES/1440)*48,0))</f>
        <v>0</v>
      </c>
      <c r="D766" s="26">
        <f>IF(C766="","",INT((C766-cfgDeslocamento)/4))</f>
        <v>0</v>
      </c>
      <c r="E766" s="26">
        <f>IF(C766="","",MOD(C766-cfgDeslocamento,4)+1)</f>
        <v>0</v>
      </c>
    </row>
    <row r="767" spans="1:5">
      <c r="A767" s="24"/>
      <c r="B767" s="19"/>
      <c r="C767" s="26">
        <f>IF(A767="","",ROUND((A767+cfgAjusteMES/1440)*48,0))</f>
        <v>0</v>
      </c>
      <c r="D767" s="26">
        <f>IF(C767="","",INT((C767-cfgDeslocamento)/4))</f>
        <v>0</v>
      </c>
      <c r="E767" s="26">
        <f>IF(C767="","",MOD(C767-cfgDeslocamento,4)+1)</f>
        <v>0</v>
      </c>
    </row>
    <row r="768" spans="1:5">
      <c r="A768" s="24"/>
      <c r="B768" s="19"/>
      <c r="C768" s="26">
        <f>IF(A768="","",ROUND((A768+cfgAjusteMES/1440)*48,0))</f>
        <v>0</v>
      </c>
      <c r="D768" s="26">
        <f>IF(C768="","",INT((C768-cfgDeslocamento)/4))</f>
        <v>0</v>
      </c>
      <c r="E768" s="26">
        <f>IF(C768="","",MOD(C768-cfgDeslocamento,4)+1)</f>
        <v>0</v>
      </c>
    </row>
    <row r="769" spans="1:5">
      <c r="A769" s="24"/>
      <c r="B769" s="19"/>
      <c r="C769" s="26">
        <f>IF(A769="","",ROUND((A769+cfgAjusteMES/1440)*48,0))</f>
        <v>0</v>
      </c>
      <c r="D769" s="26">
        <f>IF(C769="","",INT((C769-cfgDeslocamento)/4))</f>
        <v>0</v>
      </c>
      <c r="E769" s="26">
        <f>IF(C769="","",MOD(C769-cfgDeslocamento,4)+1)</f>
        <v>0</v>
      </c>
    </row>
    <row r="770" spans="1:5">
      <c r="A770" s="24"/>
      <c r="B770" s="19"/>
      <c r="C770" s="26">
        <f>IF(A770="","",ROUND((A770+cfgAjusteMES/1440)*48,0))</f>
        <v>0</v>
      </c>
      <c r="D770" s="26">
        <f>IF(C770="","",INT((C770-cfgDeslocamento)/4))</f>
        <v>0</v>
      </c>
      <c r="E770" s="26">
        <f>IF(C770="","",MOD(C770-cfgDeslocamento,4)+1)</f>
        <v>0</v>
      </c>
    </row>
    <row r="771" spans="1:5">
      <c r="A771" s="24"/>
      <c r="B771" s="19"/>
      <c r="C771" s="26">
        <f>IF(A771="","",ROUND((A771+cfgAjusteMES/1440)*48,0))</f>
        <v>0</v>
      </c>
      <c r="D771" s="26">
        <f>IF(C771="","",INT((C771-cfgDeslocamento)/4))</f>
        <v>0</v>
      </c>
      <c r="E771" s="26">
        <f>IF(C771="","",MOD(C771-cfgDeslocamento,4)+1)</f>
        <v>0</v>
      </c>
    </row>
    <row r="772" spans="1:5">
      <c r="A772" s="24"/>
      <c r="B772" s="19"/>
      <c r="C772" s="26">
        <f>IF(A772="","",ROUND((A772+cfgAjusteMES/1440)*48,0))</f>
        <v>0</v>
      </c>
      <c r="D772" s="26">
        <f>IF(C772="","",INT((C772-cfgDeslocamento)/4))</f>
        <v>0</v>
      </c>
      <c r="E772" s="26">
        <f>IF(C772="","",MOD(C772-cfgDeslocamento,4)+1)</f>
        <v>0</v>
      </c>
    </row>
    <row r="773" spans="1:5">
      <c r="A773" s="24"/>
      <c r="B773" s="19"/>
      <c r="C773" s="26">
        <f>IF(A773="","",ROUND((A773+cfgAjusteMES/1440)*48,0))</f>
        <v>0</v>
      </c>
      <c r="D773" s="26">
        <f>IF(C773="","",INT((C773-cfgDeslocamento)/4))</f>
        <v>0</v>
      </c>
      <c r="E773" s="26">
        <f>IF(C773="","",MOD(C773-cfgDeslocamento,4)+1)</f>
        <v>0</v>
      </c>
    </row>
    <row r="774" spans="1:5">
      <c r="A774" s="24"/>
      <c r="B774" s="19"/>
      <c r="C774" s="26">
        <f>IF(A774="","",ROUND((A774+cfgAjusteMES/1440)*48,0))</f>
        <v>0</v>
      </c>
      <c r="D774" s="26">
        <f>IF(C774="","",INT((C774-cfgDeslocamento)/4))</f>
        <v>0</v>
      </c>
      <c r="E774" s="26">
        <f>IF(C774="","",MOD(C774-cfgDeslocamento,4)+1)</f>
        <v>0</v>
      </c>
    </row>
    <row r="775" spans="1:5">
      <c r="A775" s="24"/>
      <c r="B775" s="19"/>
      <c r="C775" s="26">
        <f>IF(A775="","",ROUND((A775+cfgAjusteMES/1440)*48,0))</f>
        <v>0</v>
      </c>
      <c r="D775" s="26">
        <f>IF(C775="","",INT((C775-cfgDeslocamento)/4))</f>
        <v>0</v>
      </c>
      <c r="E775" s="26">
        <f>IF(C775="","",MOD(C775-cfgDeslocamento,4)+1)</f>
        <v>0</v>
      </c>
    </row>
    <row r="776" spans="1:5">
      <c r="A776" s="24"/>
      <c r="B776" s="19"/>
      <c r="C776" s="26">
        <f>IF(A776="","",ROUND((A776+cfgAjusteMES/1440)*48,0))</f>
        <v>0</v>
      </c>
      <c r="D776" s="26">
        <f>IF(C776="","",INT((C776-cfgDeslocamento)/4))</f>
        <v>0</v>
      </c>
      <c r="E776" s="26">
        <f>IF(C776="","",MOD(C776-cfgDeslocamento,4)+1)</f>
        <v>0</v>
      </c>
    </row>
    <row r="777" spans="1:5">
      <c r="A777" s="24"/>
      <c r="B777" s="19"/>
      <c r="C777" s="26">
        <f>IF(A777="","",ROUND((A777+cfgAjusteMES/1440)*48,0))</f>
        <v>0</v>
      </c>
      <c r="D777" s="26">
        <f>IF(C777="","",INT((C777-cfgDeslocamento)/4))</f>
        <v>0</v>
      </c>
      <c r="E777" s="26">
        <f>IF(C777="","",MOD(C777-cfgDeslocamento,4)+1)</f>
        <v>0</v>
      </c>
    </row>
    <row r="778" spans="1:5">
      <c r="A778" s="24"/>
      <c r="B778" s="19"/>
      <c r="C778" s="26">
        <f>IF(A778="","",ROUND((A778+cfgAjusteMES/1440)*48,0))</f>
        <v>0</v>
      </c>
      <c r="D778" s="26">
        <f>IF(C778="","",INT((C778-cfgDeslocamento)/4))</f>
        <v>0</v>
      </c>
      <c r="E778" s="26">
        <f>IF(C778="","",MOD(C778-cfgDeslocamento,4)+1)</f>
        <v>0</v>
      </c>
    </row>
    <row r="779" spans="1:5">
      <c r="A779" s="24"/>
      <c r="B779" s="19"/>
      <c r="C779" s="26">
        <f>IF(A779="","",ROUND((A779+cfgAjusteMES/1440)*48,0))</f>
        <v>0</v>
      </c>
      <c r="D779" s="26">
        <f>IF(C779="","",INT((C779-cfgDeslocamento)/4))</f>
        <v>0</v>
      </c>
      <c r="E779" s="26">
        <f>IF(C779="","",MOD(C779-cfgDeslocamento,4)+1)</f>
        <v>0</v>
      </c>
    </row>
    <row r="780" spans="1:5">
      <c r="A780" s="24"/>
      <c r="B780" s="19"/>
      <c r="C780" s="26">
        <f>IF(A780="","",ROUND((A780+cfgAjusteMES/1440)*48,0))</f>
        <v>0</v>
      </c>
      <c r="D780" s="26">
        <f>IF(C780="","",INT((C780-cfgDeslocamento)/4))</f>
        <v>0</v>
      </c>
      <c r="E780" s="26">
        <f>IF(C780="","",MOD(C780-cfgDeslocamento,4)+1)</f>
        <v>0</v>
      </c>
    </row>
    <row r="781" spans="1:5">
      <c r="A781" s="24"/>
      <c r="B781" s="19"/>
      <c r="C781" s="26">
        <f>IF(A781="","",ROUND((A781+cfgAjusteMES/1440)*48,0))</f>
        <v>0</v>
      </c>
      <c r="D781" s="26">
        <f>IF(C781="","",INT((C781-cfgDeslocamento)/4))</f>
        <v>0</v>
      </c>
      <c r="E781" s="26">
        <f>IF(C781="","",MOD(C781-cfgDeslocamento,4)+1)</f>
        <v>0</v>
      </c>
    </row>
    <row r="782" spans="1:5">
      <c r="A782" s="24"/>
      <c r="B782" s="19"/>
      <c r="C782" s="26">
        <f>IF(A782="","",ROUND((A782+cfgAjusteMES/1440)*48,0))</f>
        <v>0</v>
      </c>
      <c r="D782" s="26">
        <f>IF(C782="","",INT((C782-cfgDeslocamento)/4))</f>
        <v>0</v>
      </c>
      <c r="E782" s="26">
        <f>IF(C782="","",MOD(C782-cfgDeslocamento,4)+1)</f>
        <v>0</v>
      </c>
    </row>
    <row r="783" spans="1:5">
      <c r="A783" s="24"/>
      <c r="B783" s="19"/>
      <c r="C783" s="26">
        <f>IF(A783="","",ROUND((A783+cfgAjusteMES/1440)*48,0))</f>
        <v>0</v>
      </c>
      <c r="D783" s="26">
        <f>IF(C783="","",INT((C783-cfgDeslocamento)/4))</f>
        <v>0</v>
      </c>
      <c r="E783" s="26">
        <f>IF(C783="","",MOD(C783-cfgDeslocamento,4)+1)</f>
        <v>0</v>
      </c>
    </row>
    <row r="784" spans="1:5">
      <c r="A784" s="24"/>
      <c r="B784" s="19"/>
      <c r="C784" s="26">
        <f>IF(A784="","",ROUND((A784+cfgAjusteMES/1440)*48,0))</f>
        <v>0</v>
      </c>
      <c r="D784" s="26">
        <f>IF(C784="","",INT((C784-cfgDeslocamento)/4))</f>
        <v>0</v>
      </c>
      <c r="E784" s="26">
        <f>IF(C784="","",MOD(C784-cfgDeslocamento,4)+1)</f>
        <v>0</v>
      </c>
    </row>
    <row r="785" spans="1:5">
      <c r="A785" s="24"/>
      <c r="B785" s="19"/>
      <c r="C785" s="26">
        <f>IF(A785="","",ROUND((A785+cfgAjusteMES/1440)*48,0))</f>
        <v>0</v>
      </c>
      <c r="D785" s="26">
        <f>IF(C785="","",INT((C785-cfgDeslocamento)/4))</f>
        <v>0</v>
      </c>
      <c r="E785" s="26">
        <f>IF(C785="","",MOD(C785-cfgDeslocamento,4)+1)</f>
        <v>0</v>
      </c>
    </row>
    <row r="786" spans="1:5">
      <c r="A786" s="24"/>
      <c r="B786" s="19"/>
      <c r="C786" s="26">
        <f>IF(A786="","",ROUND((A786+cfgAjusteMES/1440)*48,0))</f>
        <v>0</v>
      </c>
      <c r="D786" s="26">
        <f>IF(C786="","",INT((C786-cfgDeslocamento)/4))</f>
        <v>0</v>
      </c>
      <c r="E786" s="26">
        <f>IF(C786="","",MOD(C786-cfgDeslocamento,4)+1)</f>
        <v>0</v>
      </c>
    </row>
    <row r="787" spans="1:5">
      <c r="A787" s="24"/>
      <c r="B787" s="19"/>
      <c r="C787" s="26">
        <f>IF(A787="","",ROUND((A787+cfgAjusteMES/1440)*48,0))</f>
        <v>0</v>
      </c>
      <c r="D787" s="26">
        <f>IF(C787="","",INT((C787-cfgDeslocamento)/4))</f>
        <v>0</v>
      </c>
      <c r="E787" s="26">
        <f>IF(C787="","",MOD(C787-cfgDeslocamento,4)+1)</f>
        <v>0</v>
      </c>
    </row>
    <row r="788" spans="1:5">
      <c r="A788" s="24"/>
      <c r="B788" s="19"/>
      <c r="C788" s="26">
        <f>IF(A788="","",ROUND((A788+cfgAjusteMES/1440)*48,0))</f>
        <v>0</v>
      </c>
      <c r="D788" s="26">
        <f>IF(C788="","",INT((C788-cfgDeslocamento)/4))</f>
        <v>0</v>
      </c>
      <c r="E788" s="26">
        <f>IF(C788="","",MOD(C788-cfgDeslocamento,4)+1)</f>
        <v>0</v>
      </c>
    </row>
    <row r="789" spans="1:5">
      <c r="A789" s="24"/>
      <c r="B789" s="19"/>
      <c r="C789" s="26">
        <f>IF(A789="","",ROUND((A789+cfgAjusteMES/1440)*48,0))</f>
        <v>0</v>
      </c>
      <c r="D789" s="26">
        <f>IF(C789="","",INT((C789-cfgDeslocamento)/4))</f>
        <v>0</v>
      </c>
      <c r="E789" s="26">
        <f>IF(C789="","",MOD(C789-cfgDeslocamento,4)+1)</f>
        <v>0</v>
      </c>
    </row>
    <row r="790" spans="1:5">
      <c r="A790" s="24"/>
      <c r="B790" s="19"/>
      <c r="C790" s="26">
        <f>IF(A790="","",ROUND((A790+cfgAjusteMES/1440)*48,0))</f>
        <v>0</v>
      </c>
      <c r="D790" s="26">
        <f>IF(C790="","",INT((C790-cfgDeslocamento)/4))</f>
        <v>0</v>
      </c>
      <c r="E790" s="26">
        <f>IF(C790="","",MOD(C790-cfgDeslocamento,4)+1)</f>
        <v>0</v>
      </c>
    </row>
    <row r="791" spans="1:5">
      <c r="A791" s="24"/>
      <c r="B791" s="19"/>
      <c r="C791" s="26">
        <f>IF(A791="","",ROUND((A791+cfgAjusteMES/1440)*48,0))</f>
        <v>0</v>
      </c>
      <c r="D791" s="26">
        <f>IF(C791="","",INT((C791-cfgDeslocamento)/4))</f>
        <v>0</v>
      </c>
      <c r="E791" s="26">
        <f>IF(C791="","",MOD(C791-cfgDeslocamento,4)+1)</f>
        <v>0</v>
      </c>
    </row>
    <row r="792" spans="1:5">
      <c r="A792" s="24"/>
      <c r="B792" s="19"/>
      <c r="C792" s="26">
        <f>IF(A792="","",ROUND((A792+cfgAjusteMES/1440)*48,0))</f>
        <v>0</v>
      </c>
      <c r="D792" s="26">
        <f>IF(C792="","",INT((C792-cfgDeslocamento)/4))</f>
        <v>0</v>
      </c>
      <c r="E792" s="26">
        <f>IF(C792="","",MOD(C792-cfgDeslocamento,4)+1)</f>
        <v>0</v>
      </c>
    </row>
    <row r="793" spans="1:5">
      <c r="A793" s="24"/>
      <c r="B793" s="19"/>
      <c r="C793" s="26">
        <f>IF(A793="","",ROUND((A793+cfgAjusteMES/1440)*48,0))</f>
        <v>0</v>
      </c>
      <c r="D793" s="26">
        <f>IF(C793="","",INT((C793-cfgDeslocamento)/4))</f>
        <v>0</v>
      </c>
      <c r="E793" s="26">
        <f>IF(C793="","",MOD(C793-cfgDeslocamento,4)+1)</f>
        <v>0</v>
      </c>
    </row>
    <row r="794" spans="1:5">
      <c r="A794" s="24"/>
      <c r="B794" s="19"/>
      <c r="C794" s="26">
        <f>IF(A794="","",ROUND((A794+cfgAjusteMES/1440)*48,0))</f>
        <v>0</v>
      </c>
      <c r="D794" s="26">
        <f>IF(C794="","",INT((C794-cfgDeslocamento)/4))</f>
        <v>0</v>
      </c>
      <c r="E794" s="26">
        <f>IF(C794="","",MOD(C794-cfgDeslocamento,4)+1)</f>
        <v>0</v>
      </c>
    </row>
    <row r="795" spans="1:5">
      <c r="A795" s="24"/>
      <c r="B795" s="19"/>
      <c r="C795" s="26">
        <f>IF(A795="","",ROUND((A795+cfgAjusteMES/1440)*48,0))</f>
        <v>0</v>
      </c>
      <c r="D795" s="26">
        <f>IF(C795="","",INT((C795-cfgDeslocamento)/4))</f>
        <v>0</v>
      </c>
      <c r="E795" s="26">
        <f>IF(C795="","",MOD(C795-cfgDeslocamento,4)+1)</f>
        <v>0</v>
      </c>
    </row>
    <row r="796" spans="1:5">
      <c r="A796" s="24"/>
      <c r="B796" s="19"/>
      <c r="C796" s="26">
        <f>IF(A796="","",ROUND((A796+cfgAjusteMES/1440)*48,0))</f>
        <v>0</v>
      </c>
      <c r="D796" s="26">
        <f>IF(C796="","",INT((C796-cfgDeslocamento)/4))</f>
        <v>0</v>
      </c>
      <c r="E796" s="26">
        <f>IF(C796="","",MOD(C796-cfgDeslocamento,4)+1)</f>
        <v>0</v>
      </c>
    </row>
    <row r="797" spans="1:5">
      <c r="A797" s="24"/>
      <c r="B797" s="19"/>
      <c r="C797" s="26">
        <f>IF(A797="","",ROUND((A797+cfgAjusteMES/1440)*48,0))</f>
        <v>0</v>
      </c>
      <c r="D797" s="26">
        <f>IF(C797="","",INT((C797-cfgDeslocamento)/4))</f>
        <v>0</v>
      </c>
      <c r="E797" s="26">
        <f>IF(C797="","",MOD(C797-cfgDeslocamento,4)+1)</f>
        <v>0</v>
      </c>
    </row>
    <row r="798" spans="1:5">
      <c r="A798" s="24"/>
      <c r="B798" s="19"/>
      <c r="C798" s="26">
        <f>IF(A798="","",ROUND((A798+cfgAjusteMES/1440)*48,0))</f>
        <v>0</v>
      </c>
      <c r="D798" s="26">
        <f>IF(C798="","",INT((C798-cfgDeslocamento)/4))</f>
        <v>0</v>
      </c>
      <c r="E798" s="26">
        <f>IF(C798="","",MOD(C798-cfgDeslocamento,4)+1)</f>
        <v>0</v>
      </c>
    </row>
    <row r="799" spans="1:5">
      <c r="A799" s="24"/>
      <c r="B799" s="19"/>
      <c r="C799" s="26">
        <f>IF(A799="","",ROUND((A799+cfgAjusteMES/1440)*48,0))</f>
        <v>0</v>
      </c>
      <c r="D799" s="26">
        <f>IF(C799="","",INT((C799-cfgDeslocamento)/4))</f>
        <v>0</v>
      </c>
      <c r="E799" s="26">
        <f>IF(C799="","",MOD(C799-cfgDeslocamento,4)+1)</f>
        <v>0</v>
      </c>
    </row>
    <row r="800" spans="1:5">
      <c r="A800" s="24"/>
      <c r="B800" s="19"/>
      <c r="C800" s="26">
        <f>IF(A800="","",ROUND((A800+cfgAjusteMES/1440)*48,0))</f>
        <v>0</v>
      </c>
      <c r="D800" s="26">
        <f>IF(C800="","",INT((C800-cfgDeslocamento)/4))</f>
        <v>0</v>
      </c>
      <c r="E800" s="26">
        <f>IF(C800="","",MOD(C800-cfgDeslocamento,4)+1)</f>
        <v>0</v>
      </c>
    </row>
    <row r="801" spans="1:5">
      <c r="A801" s="24"/>
      <c r="B801" s="19"/>
      <c r="C801" s="26">
        <f>IF(A801="","",ROUND((A801+cfgAjusteMES/1440)*48,0))</f>
        <v>0</v>
      </c>
      <c r="D801" s="26">
        <f>IF(C801="","",INT((C801-cfgDeslocamento)/4))</f>
        <v>0</v>
      </c>
      <c r="E801" s="26">
        <f>IF(C801="","",MOD(C801-cfgDeslocamento,4)+1)</f>
        <v>0</v>
      </c>
    </row>
    <row r="802" spans="1:5">
      <c r="A802" s="24"/>
      <c r="B802" s="19"/>
      <c r="C802" s="26">
        <f>IF(A802="","",ROUND((A802+cfgAjusteMES/1440)*48,0))</f>
        <v>0</v>
      </c>
      <c r="D802" s="26">
        <f>IF(C802="","",INT((C802-cfgDeslocamento)/4))</f>
        <v>0</v>
      </c>
      <c r="E802" s="26">
        <f>IF(C802="","",MOD(C802-cfgDeslocamento,4)+1)</f>
        <v>0</v>
      </c>
    </row>
    <row r="803" spans="1:5">
      <c r="A803" s="24"/>
      <c r="B803" s="19"/>
      <c r="C803" s="26">
        <f>IF(A803="","",ROUND((A803+cfgAjusteMES/1440)*48,0))</f>
        <v>0</v>
      </c>
      <c r="D803" s="26">
        <f>IF(C803="","",INT((C803-cfgDeslocamento)/4))</f>
        <v>0</v>
      </c>
      <c r="E803" s="26">
        <f>IF(C803="","",MOD(C803-cfgDeslocamento,4)+1)</f>
        <v>0</v>
      </c>
    </row>
    <row r="804" spans="1:5">
      <c r="A804" s="24"/>
      <c r="B804" s="19"/>
      <c r="C804" s="26">
        <f>IF(A804="","",ROUND((A804+cfgAjusteMES/1440)*48,0))</f>
        <v>0</v>
      </c>
      <c r="D804" s="26">
        <f>IF(C804="","",INT((C804-cfgDeslocamento)/4))</f>
        <v>0</v>
      </c>
      <c r="E804" s="26">
        <f>IF(C804="","",MOD(C804-cfgDeslocamento,4)+1)</f>
        <v>0</v>
      </c>
    </row>
    <row r="805" spans="1:5">
      <c r="A805" s="24"/>
      <c r="B805" s="19"/>
      <c r="C805" s="26">
        <f>IF(A805="","",ROUND((A805+cfgAjusteMES/1440)*48,0))</f>
        <v>0</v>
      </c>
      <c r="D805" s="26">
        <f>IF(C805="","",INT((C805-cfgDeslocamento)/4))</f>
        <v>0</v>
      </c>
      <c r="E805" s="26">
        <f>IF(C805="","",MOD(C805-cfgDeslocamento,4)+1)</f>
        <v>0</v>
      </c>
    </row>
    <row r="806" spans="1:5">
      <c r="A806" s="24"/>
      <c r="B806" s="19"/>
      <c r="C806" s="26">
        <f>IF(A806="","",ROUND((A806+cfgAjusteMES/1440)*48,0))</f>
        <v>0</v>
      </c>
      <c r="D806" s="26">
        <f>IF(C806="","",INT((C806-cfgDeslocamento)/4))</f>
        <v>0</v>
      </c>
      <c r="E806" s="26">
        <f>IF(C806="","",MOD(C806-cfgDeslocamento,4)+1)</f>
        <v>0</v>
      </c>
    </row>
    <row r="807" spans="1:5">
      <c r="A807" s="24"/>
      <c r="B807" s="19"/>
      <c r="C807" s="26">
        <f>IF(A807="","",ROUND((A807+cfgAjusteMES/1440)*48,0))</f>
        <v>0</v>
      </c>
      <c r="D807" s="26">
        <f>IF(C807="","",INT((C807-cfgDeslocamento)/4))</f>
        <v>0</v>
      </c>
      <c r="E807" s="26">
        <f>IF(C807="","",MOD(C807-cfgDeslocamento,4)+1)</f>
        <v>0</v>
      </c>
    </row>
    <row r="808" spans="1:5">
      <c r="A808" s="24"/>
      <c r="B808" s="19"/>
      <c r="C808" s="26">
        <f>IF(A808="","",ROUND((A808+cfgAjusteMES/1440)*48,0))</f>
        <v>0</v>
      </c>
      <c r="D808" s="26">
        <f>IF(C808="","",INT((C808-cfgDeslocamento)/4))</f>
        <v>0</v>
      </c>
      <c r="E808" s="26">
        <f>IF(C808="","",MOD(C808-cfgDeslocamento,4)+1)</f>
        <v>0</v>
      </c>
    </row>
    <row r="809" spans="1:5">
      <c r="A809" s="24"/>
      <c r="B809" s="19"/>
      <c r="C809" s="26">
        <f>IF(A809="","",ROUND((A809+cfgAjusteMES/1440)*48,0))</f>
        <v>0</v>
      </c>
      <c r="D809" s="26">
        <f>IF(C809="","",INT((C809-cfgDeslocamento)/4))</f>
        <v>0</v>
      </c>
      <c r="E809" s="26">
        <f>IF(C809="","",MOD(C809-cfgDeslocamento,4)+1)</f>
        <v>0</v>
      </c>
    </row>
    <row r="810" spans="1:5">
      <c r="A810" s="24"/>
      <c r="B810" s="19"/>
      <c r="C810" s="26">
        <f>IF(A810="","",ROUND((A810+cfgAjusteMES/1440)*48,0))</f>
        <v>0</v>
      </c>
      <c r="D810" s="26">
        <f>IF(C810="","",INT((C810-cfgDeslocamento)/4))</f>
        <v>0</v>
      </c>
      <c r="E810" s="26">
        <f>IF(C810="","",MOD(C810-cfgDeslocamento,4)+1)</f>
        <v>0</v>
      </c>
    </row>
    <row r="811" spans="1:5">
      <c r="A811" s="24"/>
      <c r="B811" s="19"/>
      <c r="C811" s="26">
        <f>IF(A811="","",ROUND((A811+cfgAjusteMES/1440)*48,0))</f>
        <v>0</v>
      </c>
      <c r="D811" s="26">
        <f>IF(C811="","",INT((C811-cfgDeslocamento)/4))</f>
        <v>0</v>
      </c>
      <c r="E811" s="26">
        <f>IF(C811="","",MOD(C811-cfgDeslocamento,4)+1)</f>
        <v>0</v>
      </c>
    </row>
    <row r="812" spans="1:5">
      <c r="A812" s="24"/>
      <c r="B812" s="19"/>
      <c r="C812" s="26">
        <f>IF(A812="","",ROUND((A812+cfgAjusteMES/1440)*48,0))</f>
        <v>0</v>
      </c>
      <c r="D812" s="26">
        <f>IF(C812="","",INT((C812-cfgDeslocamento)/4))</f>
        <v>0</v>
      </c>
      <c r="E812" s="26">
        <f>IF(C812="","",MOD(C812-cfgDeslocamento,4)+1)</f>
        <v>0</v>
      </c>
    </row>
    <row r="813" spans="1:5">
      <c r="A813" s="24"/>
      <c r="B813" s="19"/>
      <c r="C813" s="26">
        <f>IF(A813="","",ROUND((A813+cfgAjusteMES/1440)*48,0))</f>
        <v>0</v>
      </c>
      <c r="D813" s="26">
        <f>IF(C813="","",INT((C813-cfgDeslocamento)/4))</f>
        <v>0</v>
      </c>
      <c r="E813" s="26">
        <f>IF(C813="","",MOD(C813-cfgDeslocamento,4)+1)</f>
        <v>0</v>
      </c>
    </row>
    <row r="814" spans="1:5">
      <c r="A814" s="24"/>
      <c r="B814" s="19"/>
      <c r="C814" s="26">
        <f>IF(A814="","",ROUND((A814+cfgAjusteMES/1440)*48,0))</f>
        <v>0</v>
      </c>
      <c r="D814" s="26">
        <f>IF(C814="","",INT((C814-cfgDeslocamento)/4))</f>
        <v>0</v>
      </c>
      <c r="E814" s="26">
        <f>IF(C814="","",MOD(C814-cfgDeslocamento,4)+1)</f>
        <v>0</v>
      </c>
    </row>
    <row r="815" spans="1:5">
      <c r="A815" s="24"/>
      <c r="B815" s="19"/>
      <c r="C815" s="26">
        <f>IF(A815="","",ROUND((A815+cfgAjusteMES/1440)*48,0))</f>
        <v>0</v>
      </c>
      <c r="D815" s="26">
        <f>IF(C815="","",INT((C815-cfgDeslocamento)/4))</f>
        <v>0</v>
      </c>
      <c r="E815" s="26">
        <f>IF(C815="","",MOD(C815-cfgDeslocamento,4)+1)</f>
        <v>0</v>
      </c>
    </row>
    <row r="816" spans="1:5">
      <c r="A816" s="24"/>
      <c r="B816" s="19"/>
      <c r="C816" s="26">
        <f>IF(A816="","",ROUND((A816+cfgAjusteMES/1440)*48,0))</f>
        <v>0</v>
      </c>
      <c r="D816" s="26">
        <f>IF(C816="","",INT((C816-cfgDeslocamento)/4))</f>
        <v>0</v>
      </c>
      <c r="E816" s="26">
        <f>IF(C816="","",MOD(C816-cfgDeslocamento,4)+1)</f>
        <v>0</v>
      </c>
    </row>
    <row r="817" spans="1:5">
      <c r="A817" s="24"/>
      <c r="B817" s="19"/>
      <c r="C817" s="26">
        <f>IF(A817="","",ROUND((A817+cfgAjusteMES/1440)*48,0))</f>
        <v>0</v>
      </c>
      <c r="D817" s="26">
        <f>IF(C817="","",INT((C817-cfgDeslocamento)/4))</f>
        <v>0</v>
      </c>
      <c r="E817" s="26">
        <f>IF(C817="","",MOD(C817-cfgDeslocamento,4)+1)</f>
        <v>0</v>
      </c>
    </row>
    <row r="818" spans="1:5">
      <c r="A818" s="24"/>
      <c r="B818" s="19"/>
      <c r="C818" s="26">
        <f>IF(A818="","",ROUND((A818+cfgAjusteMES/1440)*48,0))</f>
        <v>0</v>
      </c>
      <c r="D818" s="26">
        <f>IF(C818="","",INT((C818-cfgDeslocamento)/4))</f>
        <v>0</v>
      </c>
      <c r="E818" s="26">
        <f>IF(C818="","",MOD(C818-cfgDeslocamento,4)+1)</f>
        <v>0</v>
      </c>
    </row>
    <row r="819" spans="1:5">
      <c r="A819" s="24"/>
      <c r="B819" s="19"/>
      <c r="C819" s="26">
        <f>IF(A819="","",ROUND((A819+cfgAjusteMES/1440)*48,0))</f>
        <v>0</v>
      </c>
      <c r="D819" s="26">
        <f>IF(C819="","",INT((C819-cfgDeslocamento)/4))</f>
        <v>0</v>
      </c>
      <c r="E819" s="26">
        <f>IF(C819="","",MOD(C819-cfgDeslocamento,4)+1)</f>
        <v>0</v>
      </c>
    </row>
    <row r="820" spans="1:5">
      <c r="A820" s="24"/>
      <c r="B820" s="19"/>
      <c r="C820" s="26">
        <f>IF(A820="","",ROUND((A820+cfgAjusteMES/1440)*48,0))</f>
        <v>0</v>
      </c>
      <c r="D820" s="26">
        <f>IF(C820="","",INT((C820-cfgDeslocamento)/4))</f>
        <v>0</v>
      </c>
      <c r="E820" s="26">
        <f>IF(C820="","",MOD(C820-cfgDeslocamento,4)+1)</f>
        <v>0</v>
      </c>
    </row>
    <row r="821" spans="1:5">
      <c r="A821" s="24"/>
      <c r="B821" s="19"/>
      <c r="C821" s="26">
        <f>IF(A821="","",ROUND((A821+cfgAjusteMES/1440)*48,0))</f>
        <v>0</v>
      </c>
      <c r="D821" s="26">
        <f>IF(C821="","",INT((C821-cfgDeslocamento)/4))</f>
        <v>0</v>
      </c>
      <c r="E821" s="26">
        <f>IF(C821="","",MOD(C821-cfgDeslocamento,4)+1)</f>
        <v>0</v>
      </c>
    </row>
    <row r="822" spans="1:5">
      <c r="A822" s="24"/>
      <c r="B822" s="19"/>
      <c r="C822" s="26">
        <f>IF(A822="","",ROUND((A822+cfgAjusteMES/1440)*48,0))</f>
        <v>0</v>
      </c>
      <c r="D822" s="26">
        <f>IF(C822="","",INT((C822-cfgDeslocamento)/4))</f>
        <v>0</v>
      </c>
      <c r="E822" s="26">
        <f>IF(C822="","",MOD(C822-cfgDeslocamento,4)+1)</f>
        <v>0</v>
      </c>
    </row>
    <row r="823" spans="1:5">
      <c r="A823" s="24"/>
      <c r="B823" s="19"/>
      <c r="C823" s="26">
        <f>IF(A823="","",ROUND((A823+cfgAjusteMES/1440)*48,0))</f>
        <v>0</v>
      </c>
      <c r="D823" s="26">
        <f>IF(C823="","",INT((C823-cfgDeslocamento)/4))</f>
        <v>0</v>
      </c>
      <c r="E823" s="26">
        <f>IF(C823="","",MOD(C823-cfgDeslocamento,4)+1)</f>
        <v>0</v>
      </c>
    </row>
    <row r="824" spans="1:5">
      <c r="A824" s="24"/>
      <c r="B824" s="19"/>
      <c r="C824" s="26">
        <f>IF(A824="","",ROUND((A824+cfgAjusteMES/1440)*48,0))</f>
        <v>0</v>
      </c>
      <c r="D824" s="26">
        <f>IF(C824="","",INT((C824-cfgDeslocamento)/4))</f>
        <v>0</v>
      </c>
      <c r="E824" s="26">
        <f>IF(C824="","",MOD(C824-cfgDeslocamento,4)+1)</f>
        <v>0</v>
      </c>
    </row>
    <row r="825" spans="1:5">
      <c r="A825" s="24"/>
      <c r="B825" s="19"/>
      <c r="C825" s="26">
        <f>IF(A825="","",ROUND((A825+cfgAjusteMES/1440)*48,0))</f>
        <v>0</v>
      </c>
      <c r="D825" s="26">
        <f>IF(C825="","",INT((C825-cfgDeslocamento)/4))</f>
        <v>0</v>
      </c>
      <c r="E825" s="26">
        <f>IF(C825="","",MOD(C825-cfgDeslocamento,4)+1)</f>
        <v>0</v>
      </c>
    </row>
    <row r="826" spans="1:5">
      <c r="A826" s="24"/>
      <c r="B826" s="19"/>
      <c r="C826" s="26">
        <f>IF(A826="","",ROUND((A826+cfgAjusteMES/1440)*48,0))</f>
        <v>0</v>
      </c>
      <c r="D826" s="26">
        <f>IF(C826="","",INT((C826-cfgDeslocamento)/4))</f>
        <v>0</v>
      </c>
      <c r="E826" s="26">
        <f>IF(C826="","",MOD(C826-cfgDeslocamento,4)+1)</f>
        <v>0</v>
      </c>
    </row>
    <row r="827" spans="1:5">
      <c r="A827" s="24"/>
      <c r="B827" s="19"/>
      <c r="C827" s="26">
        <f>IF(A827="","",ROUND((A827+cfgAjusteMES/1440)*48,0))</f>
        <v>0</v>
      </c>
      <c r="D827" s="26">
        <f>IF(C827="","",INT((C827-cfgDeslocamento)/4))</f>
        <v>0</v>
      </c>
      <c r="E827" s="26">
        <f>IF(C827="","",MOD(C827-cfgDeslocamento,4)+1)</f>
        <v>0</v>
      </c>
    </row>
    <row r="828" spans="1:5">
      <c r="A828" s="24"/>
      <c r="B828" s="19"/>
      <c r="C828" s="26">
        <f>IF(A828="","",ROUND((A828+cfgAjusteMES/1440)*48,0))</f>
        <v>0</v>
      </c>
      <c r="D828" s="26">
        <f>IF(C828="","",INT((C828-cfgDeslocamento)/4))</f>
        <v>0</v>
      </c>
      <c r="E828" s="26">
        <f>IF(C828="","",MOD(C828-cfgDeslocamento,4)+1)</f>
        <v>0</v>
      </c>
    </row>
    <row r="829" spans="1:5">
      <c r="A829" s="24"/>
      <c r="B829" s="19"/>
      <c r="C829" s="26">
        <f>IF(A829="","",ROUND((A829+cfgAjusteMES/1440)*48,0))</f>
        <v>0</v>
      </c>
      <c r="D829" s="26">
        <f>IF(C829="","",INT((C829-cfgDeslocamento)/4))</f>
        <v>0</v>
      </c>
      <c r="E829" s="26">
        <f>IF(C829="","",MOD(C829-cfgDeslocamento,4)+1)</f>
        <v>0</v>
      </c>
    </row>
    <row r="830" spans="1:5">
      <c r="A830" s="24"/>
      <c r="B830" s="19"/>
      <c r="C830" s="26">
        <f>IF(A830="","",ROUND((A830+cfgAjusteMES/1440)*48,0))</f>
        <v>0</v>
      </c>
      <c r="D830" s="26">
        <f>IF(C830="","",INT((C830-cfgDeslocamento)/4))</f>
        <v>0</v>
      </c>
      <c r="E830" s="26">
        <f>IF(C830="","",MOD(C830-cfgDeslocamento,4)+1)</f>
        <v>0</v>
      </c>
    </row>
    <row r="831" spans="1:5">
      <c r="A831" s="24"/>
      <c r="B831" s="19"/>
      <c r="C831" s="26">
        <f>IF(A831="","",ROUND((A831+cfgAjusteMES/1440)*48,0))</f>
        <v>0</v>
      </c>
      <c r="D831" s="26">
        <f>IF(C831="","",INT((C831-cfgDeslocamento)/4))</f>
        <v>0</v>
      </c>
      <c r="E831" s="26">
        <f>IF(C831="","",MOD(C831-cfgDeslocamento,4)+1)</f>
        <v>0</v>
      </c>
    </row>
    <row r="832" spans="1:5">
      <c r="A832" s="24"/>
      <c r="B832" s="19"/>
      <c r="C832" s="26">
        <f>IF(A832="","",ROUND((A832+cfgAjusteMES/1440)*48,0))</f>
        <v>0</v>
      </c>
      <c r="D832" s="26">
        <f>IF(C832="","",INT((C832-cfgDeslocamento)/4))</f>
        <v>0</v>
      </c>
      <c r="E832" s="26">
        <f>IF(C832="","",MOD(C832-cfgDeslocamento,4)+1)</f>
        <v>0</v>
      </c>
    </row>
    <row r="833" spans="1:5">
      <c r="A833" s="24"/>
      <c r="B833" s="19"/>
      <c r="C833" s="26">
        <f>IF(A833="","",ROUND((A833+cfgAjusteMES/1440)*48,0))</f>
        <v>0</v>
      </c>
      <c r="D833" s="26">
        <f>IF(C833="","",INT((C833-cfgDeslocamento)/4))</f>
        <v>0</v>
      </c>
      <c r="E833" s="26">
        <f>IF(C833="","",MOD(C833-cfgDeslocamento,4)+1)</f>
        <v>0</v>
      </c>
    </row>
    <row r="834" spans="1:5">
      <c r="A834" s="24"/>
      <c r="B834" s="19"/>
      <c r="C834" s="26">
        <f>IF(A834="","",ROUND((A834+cfgAjusteMES/1440)*48,0))</f>
        <v>0</v>
      </c>
      <c r="D834" s="26">
        <f>IF(C834="","",INT((C834-cfgDeslocamento)/4))</f>
        <v>0</v>
      </c>
      <c r="E834" s="26">
        <f>IF(C834="","",MOD(C834-cfgDeslocamento,4)+1)</f>
        <v>0</v>
      </c>
    </row>
    <row r="835" spans="1:5">
      <c r="A835" s="24"/>
      <c r="B835" s="19"/>
      <c r="C835" s="26">
        <f>IF(A835="","",ROUND((A835+cfgAjusteMES/1440)*48,0))</f>
        <v>0</v>
      </c>
      <c r="D835" s="26">
        <f>IF(C835="","",INT((C835-cfgDeslocamento)/4))</f>
        <v>0</v>
      </c>
      <c r="E835" s="26">
        <f>IF(C835="","",MOD(C835-cfgDeslocamento,4)+1)</f>
        <v>0</v>
      </c>
    </row>
    <row r="836" spans="1:5">
      <c r="A836" s="24"/>
      <c r="B836" s="19"/>
      <c r="C836" s="26">
        <f>IF(A836="","",ROUND((A836+cfgAjusteMES/1440)*48,0))</f>
        <v>0</v>
      </c>
      <c r="D836" s="26">
        <f>IF(C836="","",INT((C836-cfgDeslocamento)/4))</f>
        <v>0</v>
      </c>
      <c r="E836" s="26">
        <f>IF(C836="","",MOD(C836-cfgDeslocamento,4)+1)</f>
        <v>0</v>
      </c>
    </row>
    <row r="837" spans="1:5">
      <c r="A837" s="24"/>
      <c r="B837" s="19"/>
      <c r="C837" s="26">
        <f>IF(A837="","",ROUND((A837+cfgAjusteMES/1440)*48,0))</f>
        <v>0</v>
      </c>
      <c r="D837" s="26">
        <f>IF(C837="","",INT((C837-cfgDeslocamento)/4))</f>
        <v>0</v>
      </c>
      <c r="E837" s="26">
        <f>IF(C837="","",MOD(C837-cfgDeslocamento,4)+1)</f>
        <v>0</v>
      </c>
    </row>
    <row r="838" spans="1:5">
      <c r="A838" s="24"/>
      <c r="B838" s="19"/>
      <c r="C838" s="26">
        <f>IF(A838="","",ROUND((A838+cfgAjusteMES/1440)*48,0))</f>
        <v>0</v>
      </c>
      <c r="D838" s="26">
        <f>IF(C838="","",INT((C838-cfgDeslocamento)/4))</f>
        <v>0</v>
      </c>
      <c r="E838" s="26">
        <f>IF(C838="","",MOD(C838-cfgDeslocamento,4)+1)</f>
        <v>0</v>
      </c>
    </row>
    <row r="839" spans="1:5">
      <c r="A839" s="24"/>
      <c r="B839" s="19"/>
      <c r="C839" s="26">
        <f>IF(A839="","",ROUND((A839+cfgAjusteMES/1440)*48,0))</f>
        <v>0</v>
      </c>
      <c r="D839" s="26">
        <f>IF(C839="","",INT((C839-cfgDeslocamento)/4))</f>
        <v>0</v>
      </c>
      <c r="E839" s="26">
        <f>IF(C839="","",MOD(C839-cfgDeslocamento,4)+1)</f>
        <v>0</v>
      </c>
    </row>
    <row r="840" spans="1:5">
      <c r="A840" s="24"/>
      <c r="B840" s="19"/>
      <c r="C840" s="26">
        <f>IF(A840="","",ROUND((A840+cfgAjusteMES/1440)*48,0))</f>
        <v>0</v>
      </c>
      <c r="D840" s="26">
        <f>IF(C840="","",INT((C840-cfgDeslocamento)/4))</f>
        <v>0</v>
      </c>
      <c r="E840" s="26">
        <f>IF(C840="","",MOD(C840-cfgDeslocamento,4)+1)</f>
        <v>0</v>
      </c>
    </row>
    <row r="841" spans="1:5">
      <c r="A841" s="24"/>
      <c r="B841" s="19"/>
      <c r="C841" s="26">
        <f>IF(A841="","",ROUND((A841+cfgAjusteMES/1440)*48,0))</f>
        <v>0</v>
      </c>
      <c r="D841" s="26">
        <f>IF(C841="","",INT((C841-cfgDeslocamento)/4))</f>
        <v>0</v>
      </c>
      <c r="E841" s="26">
        <f>IF(C841="","",MOD(C841-cfgDeslocamento,4)+1)</f>
        <v>0</v>
      </c>
    </row>
    <row r="842" spans="1:5">
      <c r="A842" s="24"/>
      <c r="B842" s="19"/>
      <c r="C842" s="26">
        <f>IF(A842="","",ROUND((A842+cfgAjusteMES/1440)*48,0))</f>
        <v>0</v>
      </c>
      <c r="D842" s="26">
        <f>IF(C842="","",INT((C842-cfgDeslocamento)/4))</f>
        <v>0</v>
      </c>
      <c r="E842" s="26">
        <f>IF(C842="","",MOD(C842-cfgDeslocamento,4)+1)</f>
        <v>0</v>
      </c>
    </row>
    <row r="843" spans="1:5">
      <c r="A843" s="24"/>
      <c r="B843" s="19"/>
      <c r="C843" s="26">
        <f>IF(A843="","",ROUND((A843+cfgAjusteMES/1440)*48,0))</f>
        <v>0</v>
      </c>
      <c r="D843" s="26">
        <f>IF(C843="","",INT((C843-cfgDeslocamento)/4))</f>
        <v>0</v>
      </c>
      <c r="E843" s="26">
        <f>IF(C843="","",MOD(C843-cfgDeslocamento,4)+1)</f>
        <v>0</v>
      </c>
    </row>
    <row r="844" spans="1:5">
      <c r="A844" s="24"/>
      <c r="B844" s="19"/>
      <c r="C844" s="26">
        <f>IF(A844="","",ROUND((A844+cfgAjusteMES/1440)*48,0))</f>
        <v>0</v>
      </c>
      <c r="D844" s="26">
        <f>IF(C844="","",INT((C844-cfgDeslocamento)/4))</f>
        <v>0</v>
      </c>
      <c r="E844" s="26">
        <f>IF(C844="","",MOD(C844-cfgDeslocamento,4)+1)</f>
        <v>0</v>
      </c>
    </row>
    <row r="845" spans="1:5">
      <c r="A845" s="24"/>
      <c r="B845" s="19"/>
      <c r="C845" s="26">
        <f>IF(A845="","",ROUND((A845+cfgAjusteMES/1440)*48,0))</f>
        <v>0</v>
      </c>
      <c r="D845" s="26">
        <f>IF(C845="","",INT((C845-cfgDeslocamento)/4))</f>
        <v>0</v>
      </c>
      <c r="E845" s="26">
        <f>IF(C845="","",MOD(C845-cfgDeslocamento,4)+1)</f>
        <v>0</v>
      </c>
    </row>
    <row r="846" spans="1:5">
      <c r="A846" s="24"/>
      <c r="B846" s="19"/>
      <c r="C846" s="26">
        <f>IF(A846="","",ROUND((A846+cfgAjusteMES/1440)*48,0))</f>
        <v>0</v>
      </c>
      <c r="D846" s="26">
        <f>IF(C846="","",INT((C846-cfgDeslocamento)/4))</f>
        <v>0</v>
      </c>
      <c r="E846" s="26">
        <f>IF(C846="","",MOD(C846-cfgDeslocamento,4)+1)</f>
        <v>0</v>
      </c>
    </row>
    <row r="847" spans="1:5">
      <c r="A847" s="24"/>
      <c r="B847" s="19"/>
      <c r="C847" s="26">
        <f>IF(A847="","",ROUND((A847+cfgAjusteMES/1440)*48,0))</f>
        <v>0</v>
      </c>
      <c r="D847" s="26">
        <f>IF(C847="","",INT((C847-cfgDeslocamento)/4))</f>
        <v>0</v>
      </c>
      <c r="E847" s="26">
        <f>IF(C847="","",MOD(C847-cfgDeslocamento,4)+1)</f>
        <v>0</v>
      </c>
    </row>
    <row r="848" spans="1:5">
      <c r="A848" s="24"/>
      <c r="B848" s="19"/>
      <c r="C848" s="26">
        <f>IF(A848="","",ROUND((A848+cfgAjusteMES/1440)*48,0))</f>
        <v>0</v>
      </c>
      <c r="D848" s="26">
        <f>IF(C848="","",INT((C848-cfgDeslocamento)/4))</f>
        <v>0</v>
      </c>
      <c r="E848" s="26">
        <f>IF(C848="","",MOD(C848-cfgDeslocamento,4)+1)</f>
        <v>0</v>
      </c>
    </row>
    <row r="849" spans="1:5">
      <c r="A849" s="24"/>
      <c r="B849" s="19"/>
      <c r="C849" s="26">
        <f>IF(A849="","",ROUND((A849+cfgAjusteMES/1440)*48,0))</f>
        <v>0</v>
      </c>
      <c r="D849" s="26">
        <f>IF(C849="","",INT((C849-cfgDeslocamento)/4))</f>
        <v>0</v>
      </c>
      <c r="E849" s="26">
        <f>IF(C849="","",MOD(C849-cfgDeslocamento,4)+1)</f>
        <v>0</v>
      </c>
    </row>
    <row r="850" spans="1:5">
      <c r="A850" s="24"/>
      <c r="B850" s="19"/>
      <c r="C850" s="26">
        <f>IF(A850="","",ROUND((A850+cfgAjusteMES/1440)*48,0))</f>
        <v>0</v>
      </c>
      <c r="D850" s="26">
        <f>IF(C850="","",INT((C850-cfgDeslocamento)/4))</f>
        <v>0</v>
      </c>
      <c r="E850" s="26">
        <f>IF(C850="","",MOD(C850-cfgDeslocamento,4)+1)</f>
        <v>0</v>
      </c>
    </row>
    <row r="851" spans="1:5">
      <c r="A851" s="24"/>
      <c r="B851" s="19"/>
      <c r="C851" s="26">
        <f>IF(A851="","",ROUND((A851+cfgAjusteMES/1440)*48,0))</f>
        <v>0</v>
      </c>
      <c r="D851" s="26">
        <f>IF(C851="","",INT((C851-cfgDeslocamento)/4))</f>
        <v>0</v>
      </c>
      <c r="E851" s="26">
        <f>IF(C851="","",MOD(C851-cfgDeslocamento,4)+1)</f>
        <v>0</v>
      </c>
    </row>
    <row r="852" spans="1:5">
      <c r="A852" s="24"/>
      <c r="B852" s="19"/>
      <c r="C852" s="26">
        <f>IF(A852="","",ROUND((A852+cfgAjusteMES/1440)*48,0))</f>
        <v>0</v>
      </c>
      <c r="D852" s="26">
        <f>IF(C852="","",INT((C852-cfgDeslocamento)/4))</f>
        <v>0</v>
      </c>
      <c r="E852" s="26">
        <f>IF(C852="","",MOD(C852-cfgDeslocamento,4)+1)</f>
        <v>0</v>
      </c>
    </row>
    <row r="853" spans="1:5">
      <c r="A853" s="24"/>
      <c r="B853" s="19"/>
      <c r="C853" s="26">
        <f>IF(A853="","",ROUND((A853+cfgAjusteMES/1440)*48,0))</f>
        <v>0</v>
      </c>
      <c r="D853" s="26">
        <f>IF(C853="","",INT((C853-cfgDeslocamento)/4))</f>
        <v>0</v>
      </c>
      <c r="E853" s="26">
        <f>IF(C853="","",MOD(C853-cfgDeslocamento,4)+1)</f>
        <v>0</v>
      </c>
    </row>
    <row r="854" spans="1:5">
      <c r="A854" s="24"/>
      <c r="B854" s="19"/>
      <c r="C854" s="26">
        <f>IF(A854="","",ROUND((A854+cfgAjusteMES/1440)*48,0))</f>
        <v>0</v>
      </c>
      <c r="D854" s="26">
        <f>IF(C854="","",INT((C854-cfgDeslocamento)/4))</f>
        <v>0</v>
      </c>
      <c r="E854" s="26">
        <f>IF(C854="","",MOD(C854-cfgDeslocamento,4)+1)</f>
        <v>0</v>
      </c>
    </row>
    <row r="855" spans="1:5">
      <c r="A855" s="24"/>
      <c r="B855" s="19"/>
      <c r="C855" s="26">
        <f>IF(A855="","",ROUND((A855+cfgAjusteMES/1440)*48,0))</f>
        <v>0</v>
      </c>
      <c r="D855" s="26">
        <f>IF(C855="","",INT((C855-cfgDeslocamento)/4))</f>
        <v>0</v>
      </c>
      <c r="E855" s="26">
        <f>IF(C855="","",MOD(C855-cfgDeslocamento,4)+1)</f>
        <v>0</v>
      </c>
    </row>
    <row r="856" spans="1:5">
      <c r="A856" s="24"/>
      <c r="B856" s="19"/>
      <c r="C856" s="26">
        <f>IF(A856="","",ROUND((A856+cfgAjusteMES/1440)*48,0))</f>
        <v>0</v>
      </c>
      <c r="D856" s="26">
        <f>IF(C856="","",INT((C856-cfgDeslocamento)/4))</f>
        <v>0</v>
      </c>
      <c r="E856" s="26">
        <f>IF(C856="","",MOD(C856-cfgDeslocamento,4)+1)</f>
        <v>0</v>
      </c>
    </row>
    <row r="857" spans="1:5">
      <c r="A857" s="24"/>
      <c r="B857" s="19"/>
      <c r="C857" s="26">
        <f>IF(A857="","",ROUND((A857+cfgAjusteMES/1440)*48,0))</f>
        <v>0</v>
      </c>
      <c r="D857" s="26">
        <f>IF(C857="","",INT((C857-cfgDeslocamento)/4))</f>
        <v>0</v>
      </c>
      <c r="E857" s="26">
        <f>IF(C857="","",MOD(C857-cfgDeslocamento,4)+1)</f>
        <v>0</v>
      </c>
    </row>
    <row r="858" spans="1:5">
      <c r="A858" s="24"/>
      <c r="B858" s="19"/>
      <c r="C858" s="26">
        <f>IF(A858="","",ROUND((A858+cfgAjusteMES/1440)*48,0))</f>
        <v>0</v>
      </c>
      <c r="D858" s="26">
        <f>IF(C858="","",INT((C858-cfgDeslocamento)/4))</f>
        <v>0</v>
      </c>
      <c r="E858" s="26">
        <f>IF(C858="","",MOD(C858-cfgDeslocamento,4)+1)</f>
        <v>0</v>
      </c>
    </row>
    <row r="859" spans="1:5">
      <c r="A859" s="24"/>
      <c r="B859" s="19"/>
      <c r="C859" s="26">
        <f>IF(A859="","",ROUND((A859+cfgAjusteMES/1440)*48,0))</f>
        <v>0</v>
      </c>
      <c r="D859" s="26">
        <f>IF(C859="","",INT((C859-cfgDeslocamento)/4))</f>
        <v>0</v>
      </c>
      <c r="E859" s="26">
        <f>IF(C859="","",MOD(C859-cfgDeslocamento,4)+1)</f>
        <v>0</v>
      </c>
    </row>
    <row r="860" spans="1:5">
      <c r="A860" s="24"/>
      <c r="B860" s="19"/>
      <c r="C860" s="26">
        <f>IF(A860="","",ROUND((A860+cfgAjusteMES/1440)*48,0))</f>
        <v>0</v>
      </c>
      <c r="D860" s="26">
        <f>IF(C860="","",INT((C860-cfgDeslocamento)/4))</f>
        <v>0</v>
      </c>
      <c r="E860" s="26">
        <f>IF(C860="","",MOD(C860-cfgDeslocamento,4)+1)</f>
        <v>0</v>
      </c>
    </row>
    <row r="861" spans="1:5">
      <c r="A861" s="24"/>
      <c r="B861" s="19"/>
      <c r="C861" s="26">
        <f>IF(A861="","",ROUND((A861+cfgAjusteMES/1440)*48,0))</f>
        <v>0</v>
      </c>
      <c r="D861" s="26">
        <f>IF(C861="","",INT((C861-cfgDeslocamento)/4))</f>
        <v>0</v>
      </c>
      <c r="E861" s="26">
        <f>IF(C861="","",MOD(C861-cfgDeslocamento,4)+1)</f>
        <v>0</v>
      </c>
    </row>
    <row r="862" spans="1:5">
      <c r="A862" s="24"/>
      <c r="B862" s="19"/>
      <c r="C862" s="26">
        <f>IF(A862="","",ROUND((A862+cfgAjusteMES/1440)*48,0))</f>
        <v>0</v>
      </c>
      <c r="D862" s="26">
        <f>IF(C862="","",INT((C862-cfgDeslocamento)/4))</f>
        <v>0</v>
      </c>
      <c r="E862" s="26">
        <f>IF(C862="","",MOD(C862-cfgDeslocamento,4)+1)</f>
        <v>0</v>
      </c>
    </row>
    <row r="863" spans="1:5">
      <c r="A863" s="24"/>
      <c r="B863" s="19"/>
      <c r="C863" s="26">
        <f>IF(A863="","",ROUND((A863+cfgAjusteMES/1440)*48,0))</f>
        <v>0</v>
      </c>
      <c r="D863" s="26">
        <f>IF(C863="","",INT((C863-cfgDeslocamento)/4))</f>
        <v>0</v>
      </c>
      <c r="E863" s="26">
        <f>IF(C863="","",MOD(C863-cfgDeslocamento,4)+1)</f>
        <v>0</v>
      </c>
    </row>
    <row r="864" spans="1:5">
      <c r="A864" s="24"/>
      <c r="B864" s="19"/>
      <c r="C864" s="26">
        <f>IF(A864="","",ROUND((A864+cfgAjusteMES/1440)*48,0))</f>
        <v>0</v>
      </c>
      <c r="D864" s="26">
        <f>IF(C864="","",INT((C864-cfgDeslocamento)/4))</f>
        <v>0</v>
      </c>
      <c r="E864" s="26">
        <f>IF(C864="","",MOD(C864-cfgDeslocamento,4)+1)</f>
        <v>0</v>
      </c>
    </row>
    <row r="865" spans="1:5">
      <c r="A865" s="24"/>
      <c r="B865" s="19"/>
      <c r="C865" s="26">
        <f>IF(A865="","",ROUND((A865+cfgAjusteMES/1440)*48,0))</f>
        <v>0</v>
      </c>
      <c r="D865" s="26">
        <f>IF(C865="","",INT((C865-cfgDeslocamento)/4))</f>
        <v>0</v>
      </c>
      <c r="E865" s="26">
        <f>IF(C865="","",MOD(C865-cfgDeslocamento,4)+1)</f>
        <v>0</v>
      </c>
    </row>
    <row r="866" spans="1:5">
      <c r="A866" s="24"/>
      <c r="B866" s="19"/>
      <c r="C866" s="26">
        <f>IF(A866="","",ROUND((A866+cfgAjusteMES/1440)*48,0))</f>
        <v>0</v>
      </c>
      <c r="D866" s="26">
        <f>IF(C866="","",INT((C866-cfgDeslocamento)/4))</f>
        <v>0</v>
      </c>
      <c r="E866" s="26">
        <f>IF(C866="","",MOD(C866-cfgDeslocamento,4)+1)</f>
        <v>0</v>
      </c>
    </row>
    <row r="867" spans="1:5">
      <c r="A867" s="24"/>
      <c r="B867" s="19"/>
      <c r="C867" s="26">
        <f>IF(A867="","",ROUND((A867+cfgAjusteMES/1440)*48,0))</f>
        <v>0</v>
      </c>
      <c r="D867" s="26">
        <f>IF(C867="","",INT((C867-cfgDeslocamento)/4))</f>
        <v>0</v>
      </c>
      <c r="E867" s="26">
        <f>IF(C867="","",MOD(C867-cfgDeslocamento,4)+1)</f>
        <v>0</v>
      </c>
    </row>
    <row r="868" spans="1:5">
      <c r="A868" s="24"/>
      <c r="B868" s="19"/>
      <c r="C868" s="26">
        <f>IF(A868="","",ROUND((A868+cfgAjusteMES/1440)*48,0))</f>
        <v>0</v>
      </c>
      <c r="D868" s="26">
        <f>IF(C868="","",INT((C868-cfgDeslocamento)/4))</f>
        <v>0</v>
      </c>
      <c r="E868" s="26">
        <f>IF(C868="","",MOD(C868-cfgDeslocamento,4)+1)</f>
        <v>0</v>
      </c>
    </row>
    <row r="869" spans="1:5">
      <c r="A869" s="24"/>
      <c r="B869" s="19"/>
      <c r="C869" s="26">
        <f>IF(A869="","",ROUND((A869+cfgAjusteMES/1440)*48,0))</f>
        <v>0</v>
      </c>
      <c r="D869" s="26">
        <f>IF(C869="","",INT((C869-cfgDeslocamento)/4))</f>
        <v>0</v>
      </c>
      <c r="E869" s="26">
        <f>IF(C869="","",MOD(C869-cfgDeslocamento,4)+1)</f>
        <v>0</v>
      </c>
    </row>
    <row r="870" spans="1:5">
      <c r="A870" s="24"/>
      <c r="B870" s="19"/>
      <c r="C870" s="26">
        <f>IF(A870="","",ROUND((A870+cfgAjusteMES/1440)*48,0))</f>
        <v>0</v>
      </c>
      <c r="D870" s="26">
        <f>IF(C870="","",INT((C870-cfgDeslocamento)/4))</f>
        <v>0</v>
      </c>
      <c r="E870" s="26">
        <f>IF(C870="","",MOD(C870-cfgDeslocamento,4)+1)</f>
        <v>0</v>
      </c>
    </row>
    <row r="871" spans="1:5">
      <c r="A871" s="24"/>
      <c r="B871" s="19"/>
      <c r="C871" s="26">
        <f>IF(A871="","",ROUND((A871+cfgAjusteMES/1440)*48,0))</f>
        <v>0</v>
      </c>
      <c r="D871" s="26">
        <f>IF(C871="","",INT((C871-cfgDeslocamento)/4))</f>
        <v>0</v>
      </c>
      <c r="E871" s="26">
        <f>IF(C871="","",MOD(C871-cfgDeslocamento,4)+1)</f>
        <v>0</v>
      </c>
    </row>
    <row r="872" spans="1:5">
      <c r="A872" s="24"/>
      <c r="B872" s="19"/>
      <c r="C872" s="26">
        <f>IF(A872="","",ROUND((A872+cfgAjusteMES/1440)*48,0))</f>
        <v>0</v>
      </c>
      <c r="D872" s="26">
        <f>IF(C872="","",INT((C872-cfgDeslocamento)/4))</f>
        <v>0</v>
      </c>
      <c r="E872" s="26">
        <f>IF(C872="","",MOD(C872-cfgDeslocamento,4)+1)</f>
        <v>0</v>
      </c>
    </row>
    <row r="873" spans="1:5">
      <c r="A873" s="24"/>
      <c r="B873" s="19"/>
      <c r="C873" s="26">
        <f>IF(A873="","",ROUND((A873+cfgAjusteMES/1440)*48,0))</f>
        <v>0</v>
      </c>
      <c r="D873" s="26">
        <f>IF(C873="","",INT((C873-cfgDeslocamento)/4))</f>
        <v>0</v>
      </c>
      <c r="E873" s="26">
        <f>IF(C873="","",MOD(C873-cfgDeslocamento,4)+1)</f>
        <v>0</v>
      </c>
    </row>
    <row r="874" spans="1:5">
      <c r="A874" s="24"/>
      <c r="B874" s="19"/>
      <c r="C874" s="26">
        <f>IF(A874="","",ROUND((A874+cfgAjusteMES/1440)*48,0))</f>
        <v>0</v>
      </c>
      <c r="D874" s="26">
        <f>IF(C874="","",INT((C874-cfgDeslocamento)/4))</f>
        <v>0</v>
      </c>
      <c r="E874" s="26">
        <f>IF(C874="","",MOD(C874-cfgDeslocamento,4)+1)</f>
        <v>0</v>
      </c>
    </row>
    <row r="875" spans="1:5">
      <c r="A875" s="24"/>
      <c r="B875" s="19"/>
      <c r="C875" s="26">
        <f>IF(A875="","",ROUND((A875+cfgAjusteMES/1440)*48,0))</f>
        <v>0</v>
      </c>
      <c r="D875" s="26">
        <f>IF(C875="","",INT((C875-cfgDeslocamento)/4))</f>
        <v>0</v>
      </c>
      <c r="E875" s="26">
        <f>IF(C875="","",MOD(C875-cfgDeslocamento,4)+1)</f>
        <v>0</v>
      </c>
    </row>
    <row r="876" spans="1:5">
      <c r="A876" s="24"/>
      <c r="B876" s="19"/>
      <c r="C876" s="26">
        <f>IF(A876="","",ROUND((A876+cfgAjusteMES/1440)*48,0))</f>
        <v>0</v>
      </c>
      <c r="D876" s="26">
        <f>IF(C876="","",INT((C876-cfgDeslocamento)/4))</f>
        <v>0</v>
      </c>
      <c r="E876" s="26">
        <f>IF(C876="","",MOD(C876-cfgDeslocamento,4)+1)</f>
        <v>0</v>
      </c>
    </row>
    <row r="877" spans="1:5">
      <c r="A877" s="24"/>
      <c r="B877" s="19"/>
      <c r="C877" s="26">
        <f>IF(A877="","",ROUND((A877+cfgAjusteMES/1440)*48,0))</f>
        <v>0</v>
      </c>
      <c r="D877" s="26">
        <f>IF(C877="","",INT((C877-cfgDeslocamento)/4))</f>
        <v>0</v>
      </c>
      <c r="E877" s="26">
        <f>IF(C877="","",MOD(C877-cfgDeslocamento,4)+1)</f>
        <v>0</v>
      </c>
    </row>
    <row r="878" spans="1:5">
      <c r="A878" s="24"/>
      <c r="B878" s="19"/>
      <c r="C878" s="26">
        <f>IF(A878="","",ROUND((A878+cfgAjusteMES/1440)*48,0))</f>
        <v>0</v>
      </c>
      <c r="D878" s="26">
        <f>IF(C878="","",INT((C878-cfgDeslocamento)/4))</f>
        <v>0</v>
      </c>
      <c r="E878" s="26">
        <f>IF(C878="","",MOD(C878-cfgDeslocamento,4)+1)</f>
        <v>0</v>
      </c>
    </row>
    <row r="879" spans="1:5">
      <c r="A879" s="24"/>
      <c r="B879" s="19"/>
      <c r="C879" s="26">
        <f>IF(A879="","",ROUND((A879+cfgAjusteMES/1440)*48,0))</f>
        <v>0</v>
      </c>
      <c r="D879" s="26">
        <f>IF(C879="","",INT((C879-cfgDeslocamento)/4))</f>
        <v>0</v>
      </c>
      <c r="E879" s="26">
        <f>IF(C879="","",MOD(C879-cfgDeslocamento,4)+1)</f>
        <v>0</v>
      </c>
    </row>
    <row r="880" spans="1:5">
      <c r="A880" s="24"/>
      <c r="B880" s="19"/>
      <c r="C880" s="26">
        <f>IF(A880="","",ROUND((A880+cfgAjusteMES/1440)*48,0))</f>
        <v>0</v>
      </c>
      <c r="D880" s="26">
        <f>IF(C880="","",INT((C880-cfgDeslocamento)/4))</f>
        <v>0</v>
      </c>
      <c r="E880" s="26">
        <f>IF(C880="","",MOD(C880-cfgDeslocamento,4)+1)</f>
        <v>0</v>
      </c>
    </row>
    <row r="881" spans="1:5">
      <c r="A881" s="24"/>
      <c r="B881" s="19"/>
      <c r="C881" s="26">
        <f>IF(A881="","",ROUND((A881+cfgAjusteMES/1440)*48,0))</f>
        <v>0</v>
      </c>
      <c r="D881" s="26">
        <f>IF(C881="","",INT((C881-cfgDeslocamento)/4))</f>
        <v>0</v>
      </c>
      <c r="E881" s="26">
        <f>IF(C881="","",MOD(C881-cfgDeslocamento,4)+1)</f>
        <v>0</v>
      </c>
    </row>
    <row r="882" spans="1:5">
      <c r="A882" s="24"/>
      <c r="B882" s="19"/>
      <c r="C882" s="26">
        <f>IF(A882="","",ROUND((A882+cfgAjusteMES/1440)*48,0))</f>
        <v>0</v>
      </c>
      <c r="D882" s="26">
        <f>IF(C882="","",INT((C882-cfgDeslocamento)/4))</f>
        <v>0</v>
      </c>
      <c r="E882" s="26">
        <f>IF(C882="","",MOD(C882-cfgDeslocamento,4)+1)</f>
        <v>0</v>
      </c>
    </row>
    <row r="883" spans="1:5">
      <c r="A883" s="24"/>
      <c r="B883" s="19"/>
      <c r="C883" s="26">
        <f>IF(A883="","",ROUND((A883+cfgAjusteMES/1440)*48,0))</f>
        <v>0</v>
      </c>
      <c r="D883" s="26">
        <f>IF(C883="","",INT((C883-cfgDeslocamento)/4))</f>
        <v>0</v>
      </c>
      <c r="E883" s="26">
        <f>IF(C883="","",MOD(C883-cfgDeslocamento,4)+1)</f>
        <v>0</v>
      </c>
    </row>
    <row r="884" spans="1:5">
      <c r="A884" s="24"/>
      <c r="B884" s="19"/>
      <c r="C884" s="26">
        <f>IF(A884="","",ROUND((A884+cfgAjusteMES/1440)*48,0))</f>
        <v>0</v>
      </c>
      <c r="D884" s="26">
        <f>IF(C884="","",INT((C884-cfgDeslocamento)/4))</f>
        <v>0</v>
      </c>
      <c r="E884" s="26">
        <f>IF(C884="","",MOD(C884-cfgDeslocamento,4)+1)</f>
        <v>0</v>
      </c>
    </row>
    <row r="885" spans="1:5">
      <c r="A885" s="24"/>
      <c r="B885" s="19"/>
      <c r="C885" s="26">
        <f>IF(A885="","",ROUND((A885+cfgAjusteMES/1440)*48,0))</f>
        <v>0</v>
      </c>
      <c r="D885" s="26">
        <f>IF(C885="","",INT((C885-cfgDeslocamento)/4))</f>
        <v>0</v>
      </c>
      <c r="E885" s="26">
        <f>IF(C885="","",MOD(C885-cfgDeslocamento,4)+1)</f>
        <v>0</v>
      </c>
    </row>
    <row r="886" spans="1:5">
      <c r="A886" s="24"/>
      <c r="B886" s="19"/>
      <c r="C886" s="26">
        <f>IF(A886="","",ROUND((A886+cfgAjusteMES/1440)*48,0))</f>
        <v>0</v>
      </c>
      <c r="D886" s="26">
        <f>IF(C886="","",INT((C886-cfgDeslocamento)/4))</f>
        <v>0</v>
      </c>
      <c r="E886" s="26">
        <f>IF(C886="","",MOD(C886-cfgDeslocamento,4)+1)</f>
        <v>0</v>
      </c>
    </row>
    <row r="887" spans="1:5">
      <c r="A887" s="24"/>
      <c r="B887" s="19"/>
      <c r="C887" s="26">
        <f>IF(A887="","",ROUND((A887+cfgAjusteMES/1440)*48,0))</f>
        <v>0</v>
      </c>
      <c r="D887" s="26">
        <f>IF(C887="","",INT((C887-cfgDeslocamento)/4))</f>
        <v>0</v>
      </c>
      <c r="E887" s="26">
        <f>IF(C887="","",MOD(C887-cfgDeslocamento,4)+1)</f>
        <v>0</v>
      </c>
    </row>
    <row r="888" spans="1:5">
      <c r="A888" s="24"/>
      <c r="B888" s="19"/>
      <c r="C888" s="26">
        <f>IF(A888="","",ROUND((A888+cfgAjusteMES/1440)*48,0))</f>
        <v>0</v>
      </c>
      <c r="D888" s="26">
        <f>IF(C888="","",INT((C888-cfgDeslocamento)/4))</f>
        <v>0</v>
      </c>
      <c r="E888" s="26">
        <f>IF(C888="","",MOD(C888-cfgDeslocamento,4)+1)</f>
        <v>0</v>
      </c>
    </row>
    <row r="889" spans="1:5">
      <c r="A889" s="24"/>
      <c r="B889" s="19"/>
      <c r="C889" s="26">
        <f>IF(A889="","",ROUND((A889+cfgAjusteMES/1440)*48,0))</f>
        <v>0</v>
      </c>
      <c r="D889" s="26">
        <f>IF(C889="","",INT((C889-cfgDeslocamento)/4))</f>
        <v>0</v>
      </c>
      <c r="E889" s="26">
        <f>IF(C889="","",MOD(C889-cfgDeslocamento,4)+1)</f>
        <v>0</v>
      </c>
    </row>
    <row r="890" spans="1:5">
      <c r="A890" s="24"/>
      <c r="B890" s="19"/>
      <c r="C890" s="26">
        <f>IF(A890="","",ROUND((A890+cfgAjusteMES/1440)*48,0))</f>
        <v>0</v>
      </c>
      <c r="D890" s="26">
        <f>IF(C890="","",INT((C890-cfgDeslocamento)/4))</f>
        <v>0</v>
      </c>
      <c r="E890" s="26">
        <f>IF(C890="","",MOD(C890-cfgDeslocamento,4)+1)</f>
        <v>0</v>
      </c>
    </row>
    <row r="891" spans="1:5">
      <c r="A891" s="24"/>
      <c r="B891" s="19"/>
      <c r="C891" s="26">
        <f>IF(A891="","",ROUND((A891+cfgAjusteMES/1440)*48,0))</f>
        <v>0</v>
      </c>
      <c r="D891" s="26">
        <f>IF(C891="","",INT((C891-cfgDeslocamento)/4))</f>
        <v>0</v>
      </c>
      <c r="E891" s="26">
        <f>IF(C891="","",MOD(C891-cfgDeslocamento,4)+1)</f>
        <v>0</v>
      </c>
    </row>
    <row r="892" spans="1:5">
      <c r="A892" s="24"/>
      <c r="B892" s="19"/>
      <c r="C892" s="26">
        <f>IF(A892="","",ROUND((A892+cfgAjusteMES/1440)*48,0))</f>
        <v>0</v>
      </c>
      <c r="D892" s="26">
        <f>IF(C892="","",INT((C892-cfgDeslocamento)/4))</f>
        <v>0</v>
      </c>
      <c r="E892" s="26">
        <f>IF(C892="","",MOD(C892-cfgDeslocamento,4)+1)</f>
        <v>0</v>
      </c>
    </row>
    <row r="893" spans="1:5">
      <c r="A893" s="24"/>
      <c r="B893" s="19"/>
      <c r="C893" s="26">
        <f>IF(A893="","",ROUND((A893+cfgAjusteMES/1440)*48,0))</f>
        <v>0</v>
      </c>
      <c r="D893" s="26">
        <f>IF(C893="","",INT((C893-cfgDeslocamento)/4))</f>
        <v>0</v>
      </c>
      <c r="E893" s="26">
        <f>IF(C893="","",MOD(C893-cfgDeslocamento,4)+1)</f>
        <v>0</v>
      </c>
    </row>
    <row r="894" spans="1:5">
      <c r="A894" s="24"/>
      <c r="B894" s="19"/>
      <c r="C894" s="26">
        <f>IF(A894="","",ROUND((A894+cfgAjusteMES/1440)*48,0))</f>
        <v>0</v>
      </c>
      <c r="D894" s="26">
        <f>IF(C894="","",INT((C894-cfgDeslocamento)/4))</f>
        <v>0</v>
      </c>
      <c r="E894" s="26">
        <f>IF(C894="","",MOD(C894-cfgDeslocamento,4)+1)</f>
        <v>0</v>
      </c>
    </row>
    <row r="895" spans="1:5">
      <c r="A895" s="24"/>
      <c r="B895" s="19"/>
      <c r="C895" s="26">
        <f>IF(A895="","",ROUND((A895+cfgAjusteMES/1440)*48,0))</f>
        <v>0</v>
      </c>
      <c r="D895" s="26">
        <f>IF(C895="","",INT((C895-cfgDeslocamento)/4))</f>
        <v>0</v>
      </c>
      <c r="E895" s="26">
        <f>IF(C895="","",MOD(C895-cfgDeslocamento,4)+1)</f>
        <v>0</v>
      </c>
    </row>
    <row r="896" spans="1:5">
      <c r="A896" s="24"/>
      <c r="B896" s="19"/>
      <c r="C896" s="26">
        <f>IF(A896="","",ROUND((A896+cfgAjusteMES/1440)*48,0))</f>
        <v>0</v>
      </c>
      <c r="D896" s="26">
        <f>IF(C896="","",INT((C896-cfgDeslocamento)/4))</f>
        <v>0</v>
      </c>
      <c r="E896" s="26">
        <f>IF(C896="","",MOD(C896-cfgDeslocamento,4)+1)</f>
        <v>0</v>
      </c>
    </row>
    <row r="897" spans="1:5">
      <c r="A897" s="24"/>
      <c r="B897" s="19"/>
      <c r="C897" s="26">
        <f>IF(A897="","",ROUND((A897+cfgAjusteMES/1440)*48,0))</f>
        <v>0</v>
      </c>
      <c r="D897" s="26">
        <f>IF(C897="","",INT((C897-cfgDeslocamento)/4))</f>
        <v>0</v>
      </c>
      <c r="E897" s="26">
        <f>IF(C897="","",MOD(C897-cfgDeslocamento,4)+1)</f>
        <v>0</v>
      </c>
    </row>
    <row r="898" spans="1:5">
      <c r="A898" s="24"/>
      <c r="B898" s="19"/>
      <c r="C898" s="26">
        <f>IF(A898="","",ROUND((A898+cfgAjusteMES/1440)*48,0))</f>
        <v>0</v>
      </c>
      <c r="D898" s="26">
        <f>IF(C898="","",INT((C898-cfgDeslocamento)/4))</f>
        <v>0</v>
      </c>
      <c r="E898" s="26">
        <f>IF(C898="","",MOD(C898-cfgDeslocamento,4)+1)</f>
        <v>0</v>
      </c>
    </row>
    <row r="899" spans="1:5">
      <c r="A899" s="24"/>
      <c r="B899" s="19"/>
      <c r="C899" s="26">
        <f>IF(A899="","",ROUND((A899+cfgAjusteMES/1440)*48,0))</f>
        <v>0</v>
      </c>
      <c r="D899" s="26">
        <f>IF(C899="","",INT((C899-cfgDeslocamento)/4))</f>
        <v>0</v>
      </c>
      <c r="E899" s="26">
        <f>IF(C899="","",MOD(C899-cfgDeslocamento,4)+1)</f>
        <v>0</v>
      </c>
    </row>
    <row r="900" spans="1:5">
      <c r="A900" s="24"/>
      <c r="B900" s="19"/>
      <c r="C900" s="26">
        <f>IF(A900="","",ROUND((A900+cfgAjusteMES/1440)*48,0))</f>
        <v>0</v>
      </c>
      <c r="D900" s="26">
        <f>IF(C900="","",INT((C900-cfgDeslocamento)/4))</f>
        <v>0</v>
      </c>
      <c r="E900" s="26">
        <f>IF(C900="","",MOD(C900-cfgDeslocamento,4)+1)</f>
        <v>0</v>
      </c>
    </row>
    <row r="901" spans="1:5">
      <c r="A901" s="24"/>
      <c r="B901" s="19"/>
      <c r="C901" s="26">
        <f>IF(A901="","",ROUND((A901+cfgAjusteMES/1440)*48,0))</f>
        <v>0</v>
      </c>
      <c r="D901" s="26">
        <f>IF(C901="","",INT((C901-cfgDeslocamento)/4))</f>
        <v>0</v>
      </c>
      <c r="E901" s="26">
        <f>IF(C901="","",MOD(C901-cfgDeslocamento,4)+1)</f>
        <v>0</v>
      </c>
    </row>
    <row r="902" spans="1:5">
      <c r="A902" s="24"/>
      <c r="B902" s="19"/>
      <c r="C902" s="26">
        <f>IF(A902="","",ROUND((A902+cfgAjusteMES/1440)*48,0))</f>
        <v>0</v>
      </c>
      <c r="D902" s="26">
        <f>IF(C902="","",INT((C902-cfgDeslocamento)/4))</f>
        <v>0</v>
      </c>
      <c r="E902" s="26">
        <f>IF(C902="","",MOD(C902-cfgDeslocamento,4)+1)</f>
        <v>0</v>
      </c>
    </row>
    <row r="903" spans="1:5">
      <c r="A903" s="24"/>
      <c r="B903" s="19"/>
      <c r="C903" s="26">
        <f>IF(A903="","",ROUND((A903+cfgAjusteMES/1440)*48,0))</f>
        <v>0</v>
      </c>
      <c r="D903" s="26">
        <f>IF(C903="","",INT((C903-cfgDeslocamento)/4))</f>
        <v>0</v>
      </c>
      <c r="E903" s="26">
        <f>IF(C903="","",MOD(C903-cfgDeslocamento,4)+1)</f>
        <v>0</v>
      </c>
    </row>
    <row r="904" spans="1:5">
      <c r="A904" s="24"/>
      <c r="B904" s="19"/>
      <c r="C904" s="26">
        <f>IF(A904="","",ROUND((A904+cfgAjusteMES/1440)*48,0))</f>
        <v>0</v>
      </c>
      <c r="D904" s="26">
        <f>IF(C904="","",INT((C904-cfgDeslocamento)/4))</f>
        <v>0</v>
      </c>
      <c r="E904" s="26">
        <f>IF(C904="","",MOD(C904-cfgDeslocamento,4)+1)</f>
        <v>0</v>
      </c>
    </row>
    <row r="905" spans="1:5">
      <c r="A905" s="24"/>
      <c r="B905" s="19"/>
      <c r="C905" s="26">
        <f>IF(A905="","",ROUND((A905+cfgAjusteMES/1440)*48,0))</f>
        <v>0</v>
      </c>
      <c r="D905" s="26">
        <f>IF(C905="","",INT((C905-cfgDeslocamento)/4))</f>
        <v>0</v>
      </c>
      <c r="E905" s="26">
        <f>IF(C905="","",MOD(C905-cfgDeslocamento,4)+1)</f>
        <v>0</v>
      </c>
    </row>
    <row r="906" spans="1:5">
      <c r="A906" s="24"/>
      <c r="B906" s="19"/>
      <c r="C906" s="26">
        <f>IF(A906="","",ROUND((A906+cfgAjusteMES/1440)*48,0))</f>
        <v>0</v>
      </c>
      <c r="D906" s="26">
        <f>IF(C906="","",INT((C906-cfgDeslocamento)/4))</f>
        <v>0</v>
      </c>
      <c r="E906" s="26">
        <f>IF(C906="","",MOD(C906-cfgDeslocamento,4)+1)</f>
        <v>0</v>
      </c>
    </row>
    <row r="907" spans="1:5">
      <c r="A907" s="24"/>
      <c r="B907" s="19"/>
      <c r="C907" s="26">
        <f>IF(A907="","",ROUND((A907+cfgAjusteMES/1440)*48,0))</f>
        <v>0</v>
      </c>
      <c r="D907" s="26">
        <f>IF(C907="","",INT((C907-cfgDeslocamento)/4))</f>
        <v>0</v>
      </c>
      <c r="E907" s="26">
        <f>IF(C907="","",MOD(C907-cfgDeslocamento,4)+1)</f>
        <v>0</v>
      </c>
    </row>
    <row r="908" spans="1:5">
      <c r="A908" s="24"/>
      <c r="B908" s="19"/>
      <c r="C908" s="26">
        <f>IF(A908="","",ROUND((A908+cfgAjusteMES/1440)*48,0))</f>
        <v>0</v>
      </c>
      <c r="D908" s="26">
        <f>IF(C908="","",INT((C908-cfgDeslocamento)/4))</f>
        <v>0</v>
      </c>
      <c r="E908" s="26">
        <f>IF(C908="","",MOD(C908-cfgDeslocamento,4)+1)</f>
        <v>0</v>
      </c>
    </row>
    <row r="909" spans="1:5">
      <c r="A909" s="24"/>
      <c r="B909" s="19"/>
      <c r="C909" s="26">
        <f>IF(A909="","",ROUND((A909+cfgAjusteMES/1440)*48,0))</f>
        <v>0</v>
      </c>
      <c r="D909" s="26">
        <f>IF(C909="","",INT((C909-cfgDeslocamento)/4))</f>
        <v>0</v>
      </c>
      <c r="E909" s="26">
        <f>IF(C909="","",MOD(C909-cfgDeslocamento,4)+1)</f>
        <v>0</v>
      </c>
    </row>
    <row r="910" spans="1:5">
      <c r="A910" s="24"/>
      <c r="B910" s="19"/>
      <c r="C910" s="26">
        <f>IF(A910="","",ROUND((A910+cfgAjusteMES/1440)*48,0))</f>
        <v>0</v>
      </c>
      <c r="D910" s="26">
        <f>IF(C910="","",INT((C910-cfgDeslocamento)/4))</f>
        <v>0</v>
      </c>
      <c r="E910" s="26">
        <f>IF(C910="","",MOD(C910-cfgDeslocamento,4)+1)</f>
        <v>0</v>
      </c>
    </row>
    <row r="911" spans="1:5">
      <c r="A911" s="24"/>
      <c r="B911" s="19"/>
      <c r="C911" s="26">
        <f>IF(A911="","",ROUND((A911+cfgAjusteMES/1440)*48,0))</f>
        <v>0</v>
      </c>
      <c r="D911" s="26">
        <f>IF(C911="","",INT((C911-cfgDeslocamento)/4))</f>
        <v>0</v>
      </c>
      <c r="E911" s="26">
        <f>IF(C911="","",MOD(C911-cfgDeslocamento,4)+1)</f>
        <v>0</v>
      </c>
    </row>
    <row r="912" spans="1:5">
      <c r="A912" s="24"/>
      <c r="B912" s="19"/>
      <c r="C912" s="26">
        <f>IF(A912="","",ROUND((A912+cfgAjusteMES/1440)*48,0))</f>
        <v>0</v>
      </c>
      <c r="D912" s="26">
        <f>IF(C912="","",INT((C912-cfgDeslocamento)/4))</f>
        <v>0</v>
      </c>
      <c r="E912" s="26">
        <f>IF(C912="","",MOD(C912-cfgDeslocamento,4)+1)</f>
        <v>0</v>
      </c>
    </row>
    <row r="913" spans="1:5">
      <c r="A913" s="24"/>
      <c r="B913" s="19"/>
      <c r="C913" s="26">
        <f>IF(A913="","",ROUND((A913+cfgAjusteMES/1440)*48,0))</f>
        <v>0</v>
      </c>
      <c r="D913" s="26">
        <f>IF(C913="","",INT((C913-cfgDeslocamento)/4))</f>
        <v>0</v>
      </c>
      <c r="E913" s="26">
        <f>IF(C913="","",MOD(C913-cfgDeslocamento,4)+1)</f>
        <v>0</v>
      </c>
    </row>
    <row r="914" spans="1:5">
      <c r="A914" s="24"/>
      <c r="B914" s="19"/>
      <c r="C914" s="26">
        <f>IF(A914="","",ROUND((A914+cfgAjusteMES/1440)*48,0))</f>
        <v>0</v>
      </c>
      <c r="D914" s="26">
        <f>IF(C914="","",INT((C914-cfgDeslocamento)/4))</f>
        <v>0</v>
      </c>
      <c r="E914" s="26">
        <f>IF(C914="","",MOD(C914-cfgDeslocamento,4)+1)</f>
        <v>0</v>
      </c>
    </row>
    <row r="915" spans="1:5">
      <c r="A915" s="24"/>
      <c r="B915" s="19"/>
      <c r="C915" s="26">
        <f>IF(A915="","",ROUND((A915+cfgAjusteMES/1440)*48,0))</f>
        <v>0</v>
      </c>
      <c r="D915" s="26">
        <f>IF(C915="","",INT((C915-cfgDeslocamento)/4))</f>
        <v>0</v>
      </c>
      <c r="E915" s="26">
        <f>IF(C915="","",MOD(C915-cfgDeslocamento,4)+1)</f>
        <v>0</v>
      </c>
    </row>
    <row r="916" spans="1:5">
      <c r="A916" s="24"/>
      <c r="B916" s="19"/>
      <c r="C916" s="26">
        <f>IF(A916="","",ROUND((A916+cfgAjusteMES/1440)*48,0))</f>
        <v>0</v>
      </c>
      <c r="D916" s="26">
        <f>IF(C916="","",INT((C916-cfgDeslocamento)/4))</f>
        <v>0</v>
      </c>
      <c r="E916" s="26">
        <f>IF(C916="","",MOD(C916-cfgDeslocamento,4)+1)</f>
        <v>0</v>
      </c>
    </row>
    <row r="917" spans="1:5">
      <c r="A917" s="24"/>
      <c r="B917" s="19"/>
      <c r="C917" s="26">
        <f>IF(A917="","",ROUND((A917+cfgAjusteMES/1440)*48,0))</f>
        <v>0</v>
      </c>
      <c r="D917" s="26">
        <f>IF(C917="","",INT((C917-cfgDeslocamento)/4))</f>
        <v>0</v>
      </c>
      <c r="E917" s="26">
        <f>IF(C917="","",MOD(C917-cfgDeslocamento,4)+1)</f>
        <v>0</v>
      </c>
    </row>
    <row r="918" spans="1:5">
      <c r="A918" s="24"/>
      <c r="B918" s="19"/>
      <c r="C918" s="26">
        <f>IF(A918="","",ROUND((A918+cfgAjusteMES/1440)*48,0))</f>
        <v>0</v>
      </c>
      <c r="D918" s="26">
        <f>IF(C918="","",INT((C918-cfgDeslocamento)/4))</f>
        <v>0</v>
      </c>
      <c r="E918" s="26">
        <f>IF(C918="","",MOD(C918-cfgDeslocamento,4)+1)</f>
        <v>0</v>
      </c>
    </row>
    <row r="919" spans="1:5">
      <c r="A919" s="24"/>
      <c r="B919" s="19"/>
      <c r="C919" s="26">
        <f>IF(A919="","",ROUND((A919+cfgAjusteMES/1440)*48,0))</f>
        <v>0</v>
      </c>
      <c r="D919" s="26">
        <f>IF(C919="","",INT((C919-cfgDeslocamento)/4))</f>
        <v>0</v>
      </c>
      <c r="E919" s="26">
        <f>IF(C919="","",MOD(C919-cfgDeslocamento,4)+1)</f>
        <v>0</v>
      </c>
    </row>
    <row r="920" spans="1:5">
      <c r="A920" s="24"/>
      <c r="B920" s="19"/>
      <c r="C920" s="26">
        <f>IF(A920="","",ROUND((A920+cfgAjusteMES/1440)*48,0))</f>
        <v>0</v>
      </c>
      <c r="D920" s="26">
        <f>IF(C920="","",INT((C920-cfgDeslocamento)/4))</f>
        <v>0</v>
      </c>
      <c r="E920" s="26">
        <f>IF(C920="","",MOD(C920-cfgDeslocamento,4)+1)</f>
        <v>0</v>
      </c>
    </row>
    <row r="921" spans="1:5">
      <c r="A921" s="24"/>
      <c r="B921" s="19"/>
      <c r="C921" s="26">
        <f>IF(A921="","",ROUND((A921+cfgAjusteMES/1440)*48,0))</f>
        <v>0</v>
      </c>
      <c r="D921" s="26">
        <f>IF(C921="","",INT((C921-cfgDeslocamento)/4))</f>
        <v>0</v>
      </c>
      <c r="E921" s="26">
        <f>IF(C921="","",MOD(C921-cfgDeslocamento,4)+1)</f>
        <v>0</v>
      </c>
    </row>
    <row r="922" spans="1:5">
      <c r="A922" s="24"/>
      <c r="B922" s="19"/>
      <c r="C922" s="26">
        <f>IF(A922="","",ROUND((A922+cfgAjusteMES/1440)*48,0))</f>
        <v>0</v>
      </c>
      <c r="D922" s="26">
        <f>IF(C922="","",INT((C922-cfgDeslocamento)/4))</f>
        <v>0</v>
      </c>
      <c r="E922" s="26">
        <f>IF(C922="","",MOD(C922-cfgDeslocamento,4)+1)</f>
        <v>0</v>
      </c>
    </row>
    <row r="923" spans="1:5">
      <c r="A923" s="24"/>
      <c r="B923" s="19"/>
      <c r="C923" s="26">
        <f>IF(A923="","",ROUND((A923+cfgAjusteMES/1440)*48,0))</f>
        <v>0</v>
      </c>
      <c r="D923" s="26">
        <f>IF(C923="","",INT((C923-cfgDeslocamento)/4))</f>
        <v>0</v>
      </c>
      <c r="E923" s="26">
        <f>IF(C923="","",MOD(C923-cfgDeslocamento,4)+1)</f>
        <v>0</v>
      </c>
    </row>
    <row r="924" spans="1:5">
      <c r="A924" s="24"/>
      <c r="B924" s="19"/>
      <c r="C924" s="26">
        <f>IF(A924="","",ROUND((A924+cfgAjusteMES/1440)*48,0))</f>
        <v>0</v>
      </c>
      <c r="D924" s="26">
        <f>IF(C924="","",INT((C924-cfgDeslocamento)/4))</f>
        <v>0</v>
      </c>
      <c r="E924" s="26">
        <f>IF(C924="","",MOD(C924-cfgDeslocamento,4)+1)</f>
        <v>0</v>
      </c>
    </row>
    <row r="925" spans="1:5">
      <c r="A925" s="24"/>
      <c r="B925" s="19"/>
      <c r="C925" s="26">
        <f>IF(A925="","",ROUND((A925+cfgAjusteMES/1440)*48,0))</f>
        <v>0</v>
      </c>
      <c r="D925" s="26">
        <f>IF(C925="","",INT((C925-cfgDeslocamento)/4))</f>
        <v>0</v>
      </c>
      <c r="E925" s="26">
        <f>IF(C925="","",MOD(C925-cfgDeslocamento,4)+1)</f>
        <v>0</v>
      </c>
    </row>
    <row r="926" spans="1:5">
      <c r="A926" s="24"/>
      <c r="B926" s="19"/>
      <c r="C926" s="26">
        <f>IF(A926="","",ROUND((A926+cfgAjusteMES/1440)*48,0))</f>
        <v>0</v>
      </c>
      <c r="D926" s="26">
        <f>IF(C926="","",INT((C926-cfgDeslocamento)/4))</f>
        <v>0</v>
      </c>
      <c r="E926" s="26">
        <f>IF(C926="","",MOD(C926-cfgDeslocamento,4)+1)</f>
        <v>0</v>
      </c>
    </row>
    <row r="927" spans="1:5">
      <c r="A927" s="24"/>
      <c r="B927" s="19"/>
      <c r="C927" s="26">
        <f>IF(A927="","",ROUND((A927+cfgAjusteMES/1440)*48,0))</f>
        <v>0</v>
      </c>
      <c r="D927" s="26">
        <f>IF(C927="","",INT((C927-cfgDeslocamento)/4))</f>
        <v>0</v>
      </c>
      <c r="E927" s="26">
        <f>IF(C927="","",MOD(C927-cfgDeslocamento,4)+1)</f>
        <v>0</v>
      </c>
    </row>
    <row r="928" spans="1:5">
      <c r="A928" s="24"/>
      <c r="B928" s="19"/>
      <c r="C928" s="26">
        <f>IF(A928="","",ROUND((A928+cfgAjusteMES/1440)*48,0))</f>
        <v>0</v>
      </c>
      <c r="D928" s="26">
        <f>IF(C928="","",INT((C928-cfgDeslocamento)/4))</f>
        <v>0</v>
      </c>
      <c r="E928" s="26">
        <f>IF(C928="","",MOD(C928-cfgDeslocamento,4)+1)</f>
        <v>0</v>
      </c>
    </row>
    <row r="929" spans="1:5">
      <c r="A929" s="24"/>
      <c r="B929" s="19"/>
      <c r="C929" s="26">
        <f>IF(A929="","",ROUND((A929+cfgAjusteMES/1440)*48,0))</f>
        <v>0</v>
      </c>
      <c r="D929" s="26">
        <f>IF(C929="","",INT((C929-cfgDeslocamento)/4))</f>
        <v>0</v>
      </c>
      <c r="E929" s="26">
        <f>IF(C929="","",MOD(C929-cfgDeslocamento,4)+1)</f>
        <v>0</v>
      </c>
    </row>
    <row r="930" spans="1:5">
      <c r="A930" s="24"/>
      <c r="B930" s="19"/>
      <c r="C930" s="26">
        <f>IF(A930="","",ROUND((A930+cfgAjusteMES/1440)*48,0))</f>
        <v>0</v>
      </c>
      <c r="D930" s="26">
        <f>IF(C930="","",INT((C930-cfgDeslocamento)/4))</f>
        <v>0</v>
      </c>
      <c r="E930" s="26">
        <f>IF(C930="","",MOD(C930-cfgDeslocamento,4)+1)</f>
        <v>0</v>
      </c>
    </row>
    <row r="931" spans="1:5">
      <c r="A931" s="24"/>
      <c r="B931" s="19"/>
      <c r="C931" s="26">
        <f>IF(A931="","",ROUND((A931+cfgAjusteMES/1440)*48,0))</f>
        <v>0</v>
      </c>
      <c r="D931" s="26">
        <f>IF(C931="","",INT((C931-cfgDeslocamento)/4))</f>
        <v>0</v>
      </c>
      <c r="E931" s="26">
        <f>IF(C931="","",MOD(C931-cfgDeslocamento,4)+1)</f>
        <v>0</v>
      </c>
    </row>
    <row r="932" spans="1:5">
      <c r="A932" s="24"/>
      <c r="B932" s="19"/>
      <c r="C932" s="26">
        <f>IF(A932="","",ROUND((A932+cfgAjusteMES/1440)*48,0))</f>
        <v>0</v>
      </c>
      <c r="D932" s="26">
        <f>IF(C932="","",INT((C932-cfgDeslocamento)/4))</f>
        <v>0</v>
      </c>
      <c r="E932" s="26">
        <f>IF(C932="","",MOD(C932-cfgDeslocamento,4)+1)</f>
        <v>0</v>
      </c>
    </row>
    <row r="933" spans="1:5">
      <c r="A933" s="24"/>
      <c r="B933" s="19"/>
      <c r="C933" s="26">
        <f>IF(A933="","",ROUND((A933+cfgAjusteMES/1440)*48,0))</f>
        <v>0</v>
      </c>
      <c r="D933" s="26">
        <f>IF(C933="","",INT((C933-cfgDeslocamento)/4))</f>
        <v>0</v>
      </c>
      <c r="E933" s="26">
        <f>IF(C933="","",MOD(C933-cfgDeslocamento,4)+1)</f>
        <v>0</v>
      </c>
    </row>
    <row r="934" spans="1:5">
      <c r="A934" s="24"/>
      <c r="B934" s="19"/>
      <c r="C934" s="26">
        <f>IF(A934="","",ROUND((A934+cfgAjusteMES/1440)*48,0))</f>
        <v>0</v>
      </c>
      <c r="D934" s="26">
        <f>IF(C934="","",INT((C934-cfgDeslocamento)/4))</f>
        <v>0</v>
      </c>
      <c r="E934" s="26">
        <f>IF(C934="","",MOD(C934-cfgDeslocamento,4)+1)</f>
        <v>0</v>
      </c>
    </row>
    <row r="935" spans="1:5">
      <c r="A935" s="24"/>
      <c r="B935" s="19"/>
      <c r="C935" s="26">
        <f>IF(A935="","",ROUND((A935+cfgAjusteMES/1440)*48,0))</f>
        <v>0</v>
      </c>
      <c r="D935" s="26">
        <f>IF(C935="","",INT((C935-cfgDeslocamento)/4))</f>
        <v>0</v>
      </c>
      <c r="E935" s="26">
        <f>IF(C935="","",MOD(C935-cfgDeslocamento,4)+1)</f>
        <v>0</v>
      </c>
    </row>
    <row r="936" spans="1:5">
      <c r="A936" s="24"/>
      <c r="B936" s="19"/>
      <c r="C936" s="26">
        <f>IF(A936="","",ROUND((A936+cfgAjusteMES/1440)*48,0))</f>
        <v>0</v>
      </c>
      <c r="D936" s="26">
        <f>IF(C936="","",INT((C936-cfgDeslocamento)/4))</f>
        <v>0</v>
      </c>
      <c r="E936" s="26">
        <f>IF(C936="","",MOD(C936-cfgDeslocamento,4)+1)</f>
        <v>0</v>
      </c>
    </row>
    <row r="937" spans="1:5">
      <c r="A937" s="24"/>
      <c r="B937" s="19"/>
      <c r="C937" s="26">
        <f>IF(A937="","",ROUND((A937+cfgAjusteMES/1440)*48,0))</f>
        <v>0</v>
      </c>
      <c r="D937" s="26">
        <f>IF(C937="","",INT((C937-cfgDeslocamento)/4))</f>
        <v>0</v>
      </c>
      <c r="E937" s="26">
        <f>IF(C937="","",MOD(C937-cfgDeslocamento,4)+1)</f>
        <v>0</v>
      </c>
    </row>
    <row r="938" spans="1:5">
      <c r="A938" s="24"/>
      <c r="B938" s="19"/>
      <c r="C938" s="26">
        <f>IF(A938="","",ROUND((A938+cfgAjusteMES/1440)*48,0))</f>
        <v>0</v>
      </c>
      <c r="D938" s="26">
        <f>IF(C938="","",INT((C938-cfgDeslocamento)/4))</f>
        <v>0</v>
      </c>
      <c r="E938" s="26">
        <f>IF(C938="","",MOD(C938-cfgDeslocamento,4)+1)</f>
        <v>0</v>
      </c>
    </row>
    <row r="939" spans="1:5">
      <c r="A939" s="24"/>
      <c r="B939" s="19"/>
      <c r="C939" s="26">
        <f>IF(A939="","",ROUND((A939+cfgAjusteMES/1440)*48,0))</f>
        <v>0</v>
      </c>
      <c r="D939" s="26">
        <f>IF(C939="","",INT((C939-cfgDeslocamento)/4))</f>
        <v>0</v>
      </c>
      <c r="E939" s="26">
        <f>IF(C939="","",MOD(C939-cfgDeslocamento,4)+1)</f>
        <v>0</v>
      </c>
    </row>
    <row r="940" spans="1:5">
      <c r="A940" s="24"/>
      <c r="B940" s="19"/>
      <c r="C940" s="26">
        <f>IF(A940="","",ROUND((A940+cfgAjusteMES/1440)*48,0))</f>
        <v>0</v>
      </c>
      <c r="D940" s="26">
        <f>IF(C940="","",INT((C940-cfgDeslocamento)/4))</f>
        <v>0</v>
      </c>
      <c r="E940" s="26">
        <f>IF(C940="","",MOD(C940-cfgDeslocamento,4)+1)</f>
        <v>0</v>
      </c>
    </row>
    <row r="941" spans="1:5">
      <c r="A941" s="24"/>
      <c r="B941" s="19"/>
      <c r="C941" s="26">
        <f>IF(A941="","",ROUND((A941+cfgAjusteMES/1440)*48,0))</f>
        <v>0</v>
      </c>
      <c r="D941" s="26">
        <f>IF(C941="","",INT((C941-cfgDeslocamento)/4))</f>
        <v>0</v>
      </c>
      <c r="E941" s="26">
        <f>IF(C941="","",MOD(C941-cfgDeslocamento,4)+1)</f>
        <v>0</v>
      </c>
    </row>
    <row r="942" spans="1:5">
      <c r="A942" s="24"/>
      <c r="B942" s="19"/>
      <c r="C942" s="26">
        <f>IF(A942="","",ROUND((A942+cfgAjusteMES/1440)*48,0))</f>
        <v>0</v>
      </c>
      <c r="D942" s="26">
        <f>IF(C942="","",INT((C942-cfgDeslocamento)/4))</f>
        <v>0</v>
      </c>
      <c r="E942" s="26">
        <f>IF(C942="","",MOD(C942-cfgDeslocamento,4)+1)</f>
        <v>0</v>
      </c>
    </row>
    <row r="943" spans="1:5">
      <c r="A943" s="24"/>
      <c r="B943" s="19"/>
      <c r="C943" s="26">
        <f>IF(A943="","",ROUND((A943+cfgAjusteMES/1440)*48,0))</f>
        <v>0</v>
      </c>
      <c r="D943" s="26">
        <f>IF(C943="","",INT((C943-cfgDeslocamento)/4))</f>
        <v>0</v>
      </c>
      <c r="E943" s="26">
        <f>IF(C943="","",MOD(C943-cfgDeslocamento,4)+1)</f>
        <v>0</v>
      </c>
    </row>
    <row r="944" spans="1:5">
      <c r="A944" s="24"/>
      <c r="B944" s="19"/>
      <c r="C944" s="26">
        <f>IF(A944="","",ROUND((A944+cfgAjusteMES/1440)*48,0))</f>
        <v>0</v>
      </c>
      <c r="D944" s="26">
        <f>IF(C944="","",INT((C944-cfgDeslocamento)/4))</f>
        <v>0</v>
      </c>
      <c r="E944" s="26">
        <f>IF(C944="","",MOD(C944-cfgDeslocamento,4)+1)</f>
        <v>0</v>
      </c>
    </row>
    <row r="945" spans="1:5">
      <c r="A945" s="24"/>
      <c r="B945" s="19"/>
      <c r="C945" s="26">
        <f>IF(A945="","",ROUND((A945+cfgAjusteMES/1440)*48,0))</f>
        <v>0</v>
      </c>
      <c r="D945" s="26">
        <f>IF(C945="","",INT((C945-cfgDeslocamento)/4))</f>
        <v>0</v>
      </c>
      <c r="E945" s="26">
        <f>IF(C945="","",MOD(C945-cfgDeslocamento,4)+1)</f>
        <v>0</v>
      </c>
    </row>
    <row r="946" spans="1:5">
      <c r="A946" s="24"/>
      <c r="B946" s="19"/>
      <c r="C946" s="26">
        <f>IF(A946="","",ROUND((A946+cfgAjusteMES/1440)*48,0))</f>
        <v>0</v>
      </c>
      <c r="D946" s="26">
        <f>IF(C946="","",INT((C946-cfgDeslocamento)/4))</f>
        <v>0</v>
      </c>
      <c r="E946" s="26">
        <f>IF(C946="","",MOD(C946-cfgDeslocamento,4)+1)</f>
        <v>0</v>
      </c>
    </row>
    <row r="947" spans="1:5">
      <c r="A947" s="24"/>
      <c r="B947" s="19"/>
      <c r="C947" s="26">
        <f>IF(A947="","",ROUND((A947+cfgAjusteMES/1440)*48,0))</f>
        <v>0</v>
      </c>
      <c r="D947" s="26">
        <f>IF(C947="","",INT((C947-cfgDeslocamento)/4))</f>
        <v>0</v>
      </c>
      <c r="E947" s="26">
        <f>IF(C947="","",MOD(C947-cfgDeslocamento,4)+1)</f>
        <v>0</v>
      </c>
    </row>
    <row r="948" spans="1:5">
      <c r="A948" s="24"/>
      <c r="B948" s="19"/>
      <c r="C948" s="26">
        <f>IF(A948="","",ROUND((A948+cfgAjusteMES/1440)*48,0))</f>
        <v>0</v>
      </c>
      <c r="D948" s="26">
        <f>IF(C948="","",INT((C948-cfgDeslocamento)/4))</f>
        <v>0</v>
      </c>
      <c r="E948" s="26">
        <f>IF(C948="","",MOD(C948-cfgDeslocamento,4)+1)</f>
        <v>0</v>
      </c>
    </row>
    <row r="949" spans="1:5">
      <c r="A949" s="24"/>
      <c r="B949" s="19"/>
      <c r="C949" s="26">
        <f>IF(A949="","",ROUND((A949+cfgAjusteMES/1440)*48,0))</f>
        <v>0</v>
      </c>
      <c r="D949" s="26">
        <f>IF(C949="","",INT((C949-cfgDeslocamento)/4))</f>
        <v>0</v>
      </c>
      <c r="E949" s="26">
        <f>IF(C949="","",MOD(C949-cfgDeslocamento,4)+1)</f>
        <v>0</v>
      </c>
    </row>
    <row r="950" spans="1:5">
      <c r="A950" s="24"/>
      <c r="B950" s="19"/>
      <c r="C950" s="26">
        <f>IF(A950="","",ROUND((A950+cfgAjusteMES/1440)*48,0))</f>
        <v>0</v>
      </c>
      <c r="D950" s="26">
        <f>IF(C950="","",INT((C950-cfgDeslocamento)/4))</f>
        <v>0</v>
      </c>
      <c r="E950" s="26">
        <f>IF(C950="","",MOD(C950-cfgDeslocamento,4)+1)</f>
        <v>0</v>
      </c>
    </row>
    <row r="951" spans="1:5">
      <c r="A951" s="24"/>
      <c r="B951" s="19"/>
      <c r="C951" s="26">
        <f>IF(A951="","",ROUND((A951+cfgAjusteMES/1440)*48,0))</f>
        <v>0</v>
      </c>
      <c r="D951" s="26">
        <f>IF(C951="","",INT((C951-cfgDeslocamento)/4))</f>
        <v>0</v>
      </c>
      <c r="E951" s="26">
        <f>IF(C951="","",MOD(C951-cfgDeslocamento,4)+1)</f>
        <v>0</v>
      </c>
    </row>
    <row r="952" spans="1:5">
      <c r="A952" s="24"/>
      <c r="B952" s="19"/>
      <c r="C952" s="26">
        <f>IF(A952="","",ROUND((A952+cfgAjusteMES/1440)*48,0))</f>
        <v>0</v>
      </c>
      <c r="D952" s="26">
        <f>IF(C952="","",INT((C952-cfgDeslocamento)/4))</f>
        <v>0</v>
      </c>
      <c r="E952" s="26">
        <f>IF(C952="","",MOD(C952-cfgDeslocamento,4)+1)</f>
        <v>0</v>
      </c>
    </row>
    <row r="953" spans="1:5">
      <c r="A953" s="24"/>
      <c r="B953" s="19"/>
      <c r="C953" s="26">
        <f>IF(A953="","",ROUND((A953+cfgAjusteMES/1440)*48,0))</f>
        <v>0</v>
      </c>
      <c r="D953" s="26">
        <f>IF(C953="","",INT((C953-cfgDeslocamento)/4))</f>
        <v>0</v>
      </c>
      <c r="E953" s="26">
        <f>IF(C953="","",MOD(C953-cfgDeslocamento,4)+1)</f>
        <v>0</v>
      </c>
    </row>
    <row r="954" spans="1:5">
      <c r="A954" s="24"/>
      <c r="B954" s="19"/>
      <c r="C954" s="26">
        <f>IF(A954="","",ROUND((A954+cfgAjusteMES/1440)*48,0))</f>
        <v>0</v>
      </c>
      <c r="D954" s="26">
        <f>IF(C954="","",INT((C954-cfgDeslocamento)/4))</f>
        <v>0</v>
      </c>
      <c r="E954" s="26">
        <f>IF(C954="","",MOD(C954-cfgDeslocamento,4)+1)</f>
        <v>0</v>
      </c>
    </row>
    <row r="955" spans="1:5">
      <c r="A955" s="24"/>
      <c r="B955" s="19"/>
      <c r="C955" s="26">
        <f>IF(A955="","",ROUND((A955+cfgAjusteMES/1440)*48,0))</f>
        <v>0</v>
      </c>
      <c r="D955" s="26">
        <f>IF(C955="","",INT((C955-cfgDeslocamento)/4))</f>
        <v>0</v>
      </c>
      <c r="E955" s="26">
        <f>IF(C955="","",MOD(C955-cfgDeslocamento,4)+1)</f>
        <v>0</v>
      </c>
    </row>
    <row r="956" spans="1:5">
      <c r="A956" s="24"/>
      <c r="B956" s="19"/>
      <c r="C956" s="26">
        <f>IF(A956="","",ROUND((A956+cfgAjusteMES/1440)*48,0))</f>
        <v>0</v>
      </c>
      <c r="D956" s="26">
        <f>IF(C956="","",INT((C956-cfgDeslocamento)/4))</f>
        <v>0</v>
      </c>
      <c r="E956" s="26">
        <f>IF(C956="","",MOD(C956-cfgDeslocamento,4)+1)</f>
        <v>0</v>
      </c>
    </row>
    <row r="957" spans="1:5">
      <c r="A957" s="24"/>
      <c r="B957" s="19"/>
      <c r="C957" s="26">
        <f>IF(A957="","",ROUND((A957+cfgAjusteMES/1440)*48,0))</f>
        <v>0</v>
      </c>
      <c r="D957" s="26">
        <f>IF(C957="","",INT((C957-cfgDeslocamento)/4))</f>
        <v>0</v>
      </c>
      <c r="E957" s="26">
        <f>IF(C957="","",MOD(C957-cfgDeslocamento,4)+1)</f>
        <v>0</v>
      </c>
    </row>
    <row r="958" spans="1:5">
      <c r="A958" s="24"/>
      <c r="B958" s="19"/>
      <c r="C958" s="26">
        <f>IF(A958="","",ROUND((A958+cfgAjusteMES/1440)*48,0))</f>
        <v>0</v>
      </c>
      <c r="D958" s="26">
        <f>IF(C958="","",INT((C958-cfgDeslocamento)/4))</f>
        <v>0</v>
      </c>
      <c r="E958" s="26">
        <f>IF(C958="","",MOD(C958-cfgDeslocamento,4)+1)</f>
        <v>0</v>
      </c>
    </row>
    <row r="959" spans="1:5">
      <c r="A959" s="24"/>
      <c r="B959" s="19"/>
      <c r="C959" s="26">
        <f>IF(A959="","",ROUND((A959+cfgAjusteMES/1440)*48,0))</f>
        <v>0</v>
      </c>
      <c r="D959" s="26">
        <f>IF(C959="","",INT((C959-cfgDeslocamento)/4))</f>
        <v>0</v>
      </c>
      <c r="E959" s="26">
        <f>IF(C959="","",MOD(C959-cfgDeslocamento,4)+1)</f>
        <v>0</v>
      </c>
    </row>
    <row r="960" spans="1:5">
      <c r="A960" s="24"/>
      <c r="B960" s="19"/>
      <c r="C960" s="26">
        <f>IF(A960="","",ROUND((A960+cfgAjusteMES/1440)*48,0))</f>
        <v>0</v>
      </c>
      <c r="D960" s="26">
        <f>IF(C960="","",INT((C960-cfgDeslocamento)/4))</f>
        <v>0</v>
      </c>
      <c r="E960" s="26">
        <f>IF(C960="","",MOD(C960-cfgDeslocamento,4)+1)</f>
        <v>0</v>
      </c>
    </row>
    <row r="961" spans="1:5">
      <c r="A961" s="24"/>
      <c r="B961" s="19"/>
      <c r="C961" s="26">
        <f>IF(A961="","",ROUND((A961+cfgAjusteMES/1440)*48,0))</f>
        <v>0</v>
      </c>
      <c r="D961" s="26">
        <f>IF(C961="","",INT((C961-cfgDeslocamento)/4))</f>
        <v>0</v>
      </c>
      <c r="E961" s="26">
        <f>IF(C961="","",MOD(C961-cfgDeslocamento,4)+1)</f>
        <v>0</v>
      </c>
    </row>
    <row r="962" spans="1:5">
      <c r="A962" s="24"/>
      <c r="B962" s="19"/>
      <c r="C962" s="26">
        <f>IF(A962="","",ROUND((A962+cfgAjusteMES/1440)*48,0))</f>
        <v>0</v>
      </c>
      <c r="D962" s="26">
        <f>IF(C962="","",INT((C962-cfgDeslocamento)/4))</f>
        <v>0</v>
      </c>
      <c r="E962" s="26">
        <f>IF(C962="","",MOD(C962-cfgDeslocamento,4)+1)</f>
        <v>0</v>
      </c>
    </row>
    <row r="963" spans="1:5">
      <c r="A963" s="24"/>
      <c r="B963" s="19"/>
      <c r="C963" s="26">
        <f>IF(A963="","",ROUND((A963+cfgAjusteMES/1440)*48,0))</f>
        <v>0</v>
      </c>
      <c r="D963" s="26">
        <f>IF(C963="","",INT((C963-cfgDeslocamento)/4))</f>
        <v>0</v>
      </c>
      <c r="E963" s="26">
        <f>IF(C963="","",MOD(C963-cfgDeslocamento,4)+1)</f>
        <v>0</v>
      </c>
    </row>
    <row r="964" spans="1:5">
      <c r="A964" s="24"/>
      <c r="B964" s="19"/>
      <c r="C964" s="26">
        <f>IF(A964="","",ROUND((A964+cfgAjusteMES/1440)*48,0))</f>
        <v>0</v>
      </c>
      <c r="D964" s="26">
        <f>IF(C964="","",INT((C964-cfgDeslocamento)/4))</f>
        <v>0</v>
      </c>
      <c r="E964" s="26">
        <f>IF(C964="","",MOD(C964-cfgDeslocamento,4)+1)</f>
        <v>0</v>
      </c>
    </row>
    <row r="965" spans="1:5">
      <c r="A965" s="24"/>
      <c r="B965" s="19"/>
      <c r="C965" s="26">
        <f>IF(A965="","",ROUND((A965+cfgAjusteMES/1440)*48,0))</f>
        <v>0</v>
      </c>
      <c r="D965" s="26">
        <f>IF(C965="","",INT((C965-cfgDeslocamento)/4))</f>
        <v>0</v>
      </c>
      <c r="E965" s="26">
        <f>IF(C965="","",MOD(C965-cfgDeslocamento,4)+1)</f>
        <v>0</v>
      </c>
    </row>
    <row r="966" spans="1:5">
      <c r="A966" s="24"/>
      <c r="B966" s="19"/>
      <c r="C966" s="26">
        <f>IF(A966="","",ROUND((A966+cfgAjusteMES/1440)*48,0))</f>
        <v>0</v>
      </c>
      <c r="D966" s="26">
        <f>IF(C966="","",INT((C966-cfgDeslocamento)/4))</f>
        <v>0</v>
      </c>
      <c r="E966" s="26">
        <f>IF(C966="","",MOD(C966-cfgDeslocamento,4)+1)</f>
        <v>0</v>
      </c>
    </row>
    <row r="967" spans="1:5">
      <c r="A967" s="24"/>
      <c r="B967" s="19"/>
      <c r="C967" s="26">
        <f>IF(A967="","",ROUND((A967+cfgAjusteMES/1440)*48,0))</f>
        <v>0</v>
      </c>
      <c r="D967" s="26">
        <f>IF(C967="","",INT((C967-cfgDeslocamento)/4))</f>
        <v>0</v>
      </c>
      <c r="E967" s="26">
        <f>IF(C967="","",MOD(C967-cfgDeslocamento,4)+1)</f>
        <v>0</v>
      </c>
    </row>
    <row r="968" spans="1:5">
      <c r="A968" s="24"/>
      <c r="B968" s="19"/>
      <c r="C968" s="26">
        <f>IF(A968="","",ROUND((A968+cfgAjusteMES/1440)*48,0))</f>
        <v>0</v>
      </c>
      <c r="D968" s="26">
        <f>IF(C968="","",INT((C968-cfgDeslocamento)/4))</f>
        <v>0</v>
      </c>
      <c r="E968" s="26">
        <f>IF(C968="","",MOD(C968-cfgDeslocamento,4)+1)</f>
        <v>0</v>
      </c>
    </row>
    <row r="969" spans="1:5">
      <c r="A969" s="24"/>
      <c r="B969" s="19"/>
      <c r="C969" s="26">
        <f>IF(A969="","",ROUND((A969+cfgAjusteMES/1440)*48,0))</f>
        <v>0</v>
      </c>
      <c r="D969" s="26">
        <f>IF(C969="","",INT((C969-cfgDeslocamento)/4))</f>
        <v>0</v>
      </c>
      <c r="E969" s="26">
        <f>IF(C969="","",MOD(C969-cfgDeslocamento,4)+1)</f>
        <v>0</v>
      </c>
    </row>
    <row r="970" spans="1:5">
      <c r="A970" s="24"/>
      <c r="B970" s="19"/>
      <c r="C970" s="26">
        <f>IF(A970="","",ROUND((A970+cfgAjusteMES/1440)*48,0))</f>
        <v>0</v>
      </c>
      <c r="D970" s="26">
        <f>IF(C970="","",INT((C970-cfgDeslocamento)/4))</f>
        <v>0</v>
      </c>
      <c r="E970" s="26">
        <f>IF(C970="","",MOD(C970-cfgDeslocamento,4)+1)</f>
        <v>0</v>
      </c>
    </row>
    <row r="971" spans="1:5">
      <c r="A971" s="24"/>
      <c r="B971" s="19"/>
      <c r="C971" s="26">
        <f>IF(A971="","",ROUND((A971+cfgAjusteMES/1440)*48,0))</f>
        <v>0</v>
      </c>
      <c r="D971" s="26">
        <f>IF(C971="","",INT((C971-cfgDeslocamento)/4))</f>
        <v>0</v>
      </c>
      <c r="E971" s="26">
        <f>IF(C971="","",MOD(C971-cfgDeslocamento,4)+1)</f>
        <v>0</v>
      </c>
    </row>
    <row r="972" spans="1:5">
      <c r="A972" s="24"/>
      <c r="B972" s="19"/>
      <c r="C972" s="26">
        <f>IF(A972="","",ROUND((A972+cfgAjusteMES/1440)*48,0))</f>
        <v>0</v>
      </c>
      <c r="D972" s="26">
        <f>IF(C972="","",INT((C972-cfgDeslocamento)/4))</f>
        <v>0</v>
      </c>
      <c r="E972" s="26">
        <f>IF(C972="","",MOD(C972-cfgDeslocamento,4)+1)</f>
        <v>0</v>
      </c>
    </row>
    <row r="973" spans="1:5">
      <c r="A973" s="24"/>
      <c r="B973" s="19"/>
      <c r="C973" s="26">
        <f>IF(A973="","",ROUND((A973+cfgAjusteMES/1440)*48,0))</f>
        <v>0</v>
      </c>
      <c r="D973" s="26">
        <f>IF(C973="","",INT((C973-cfgDeslocamento)/4))</f>
        <v>0</v>
      </c>
      <c r="E973" s="26">
        <f>IF(C973="","",MOD(C973-cfgDeslocamento,4)+1)</f>
        <v>0</v>
      </c>
    </row>
    <row r="974" spans="1:5">
      <c r="A974" s="24"/>
      <c r="B974" s="19"/>
      <c r="C974" s="26">
        <f>IF(A974="","",ROUND((A974+cfgAjusteMES/1440)*48,0))</f>
        <v>0</v>
      </c>
      <c r="D974" s="26">
        <f>IF(C974="","",INT((C974-cfgDeslocamento)/4))</f>
        <v>0</v>
      </c>
      <c r="E974" s="26">
        <f>IF(C974="","",MOD(C974-cfgDeslocamento,4)+1)</f>
        <v>0</v>
      </c>
    </row>
    <row r="975" spans="1:5">
      <c r="A975" s="24"/>
      <c r="B975" s="19"/>
      <c r="C975" s="26">
        <f>IF(A975="","",ROUND((A975+cfgAjusteMES/1440)*48,0))</f>
        <v>0</v>
      </c>
      <c r="D975" s="26">
        <f>IF(C975="","",INT((C975-cfgDeslocamento)/4))</f>
        <v>0</v>
      </c>
      <c r="E975" s="26">
        <f>IF(C975="","",MOD(C975-cfgDeslocamento,4)+1)</f>
        <v>0</v>
      </c>
    </row>
    <row r="976" spans="1:5">
      <c r="A976" s="24"/>
      <c r="B976" s="19"/>
      <c r="C976" s="26">
        <f>IF(A976="","",ROUND((A976+cfgAjusteMES/1440)*48,0))</f>
        <v>0</v>
      </c>
      <c r="D976" s="26">
        <f>IF(C976="","",INT((C976-cfgDeslocamento)/4))</f>
        <v>0</v>
      </c>
      <c r="E976" s="26">
        <f>IF(C976="","",MOD(C976-cfgDeslocamento,4)+1)</f>
        <v>0</v>
      </c>
    </row>
    <row r="977" spans="1:5">
      <c r="A977" s="24"/>
      <c r="B977" s="19"/>
      <c r="C977" s="26">
        <f>IF(A977="","",ROUND((A977+cfgAjusteMES/1440)*48,0))</f>
        <v>0</v>
      </c>
      <c r="D977" s="26">
        <f>IF(C977="","",INT((C977-cfgDeslocamento)/4))</f>
        <v>0</v>
      </c>
      <c r="E977" s="26">
        <f>IF(C977="","",MOD(C977-cfgDeslocamento,4)+1)</f>
        <v>0</v>
      </c>
    </row>
    <row r="978" spans="1:5">
      <c r="A978" s="24"/>
      <c r="B978" s="19"/>
      <c r="C978" s="26">
        <f>IF(A978="","",ROUND((A978+cfgAjusteMES/1440)*48,0))</f>
        <v>0</v>
      </c>
      <c r="D978" s="26">
        <f>IF(C978="","",INT((C978-cfgDeslocamento)/4))</f>
        <v>0</v>
      </c>
      <c r="E978" s="26">
        <f>IF(C978="","",MOD(C978-cfgDeslocamento,4)+1)</f>
        <v>0</v>
      </c>
    </row>
    <row r="979" spans="1:5">
      <c r="A979" s="24"/>
      <c r="B979" s="19"/>
      <c r="C979" s="26">
        <f>IF(A979="","",ROUND((A979+cfgAjusteMES/1440)*48,0))</f>
        <v>0</v>
      </c>
      <c r="D979" s="26">
        <f>IF(C979="","",INT((C979-cfgDeslocamento)/4))</f>
        <v>0</v>
      </c>
      <c r="E979" s="26">
        <f>IF(C979="","",MOD(C979-cfgDeslocamento,4)+1)</f>
        <v>0</v>
      </c>
    </row>
    <row r="980" spans="1:5">
      <c r="A980" s="24"/>
      <c r="B980" s="19"/>
      <c r="C980" s="26">
        <f>IF(A980="","",ROUND((A980+cfgAjusteMES/1440)*48,0))</f>
        <v>0</v>
      </c>
      <c r="D980" s="26">
        <f>IF(C980="","",INT((C980-cfgDeslocamento)/4))</f>
        <v>0</v>
      </c>
      <c r="E980" s="26">
        <f>IF(C980="","",MOD(C980-cfgDeslocamento,4)+1)</f>
        <v>0</v>
      </c>
    </row>
    <row r="981" spans="1:5">
      <c r="A981" s="24"/>
      <c r="B981" s="19"/>
      <c r="C981" s="26">
        <f>IF(A981="","",ROUND((A981+cfgAjusteMES/1440)*48,0))</f>
        <v>0</v>
      </c>
      <c r="D981" s="26">
        <f>IF(C981="","",INT((C981-cfgDeslocamento)/4))</f>
        <v>0</v>
      </c>
      <c r="E981" s="26">
        <f>IF(C981="","",MOD(C981-cfgDeslocamento,4)+1)</f>
        <v>0</v>
      </c>
    </row>
    <row r="982" spans="1:5">
      <c r="A982" s="24"/>
      <c r="B982" s="19"/>
      <c r="C982" s="26">
        <f>IF(A982="","",ROUND((A982+cfgAjusteMES/1440)*48,0))</f>
        <v>0</v>
      </c>
      <c r="D982" s="26">
        <f>IF(C982="","",INT((C982-cfgDeslocamento)/4))</f>
        <v>0</v>
      </c>
      <c r="E982" s="26">
        <f>IF(C982="","",MOD(C982-cfgDeslocamento,4)+1)</f>
        <v>0</v>
      </c>
    </row>
    <row r="983" spans="1:5">
      <c r="A983" s="24"/>
      <c r="B983" s="19"/>
      <c r="C983" s="26">
        <f>IF(A983="","",ROUND((A983+cfgAjusteMES/1440)*48,0))</f>
        <v>0</v>
      </c>
      <c r="D983" s="26">
        <f>IF(C983="","",INT((C983-cfgDeslocamento)/4))</f>
        <v>0</v>
      </c>
      <c r="E983" s="26">
        <f>IF(C983="","",MOD(C983-cfgDeslocamento,4)+1)</f>
        <v>0</v>
      </c>
    </row>
    <row r="984" spans="1:5">
      <c r="A984" s="24"/>
      <c r="B984" s="19"/>
      <c r="C984" s="26">
        <f>IF(A984="","",ROUND((A984+cfgAjusteMES/1440)*48,0))</f>
        <v>0</v>
      </c>
      <c r="D984" s="26">
        <f>IF(C984="","",INT((C984-cfgDeslocamento)/4))</f>
        <v>0</v>
      </c>
      <c r="E984" s="26">
        <f>IF(C984="","",MOD(C984-cfgDeslocamento,4)+1)</f>
        <v>0</v>
      </c>
    </row>
    <row r="985" spans="1:5">
      <c r="A985" s="24"/>
      <c r="B985" s="19"/>
      <c r="C985" s="26">
        <f>IF(A985="","",ROUND((A985+cfgAjusteMES/1440)*48,0))</f>
        <v>0</v>
      </c>
      <c r="D985" s="26">
        <f>IF(C985="","",INT((C985-cfgDeslocamento)/4))</f>
        <v>0</v>
      </c>
      <c r="E985" s="26">
        <f>IF(C985="","",MOD(C985-cfgDeslocamento,4)+1)</f>
        <v>0</v>
      </c>
    </row>
    <row r="986" spans="1:5">
      <c r="A986" s="24"/>
      <c r="B986" s="19"/>
      <c r="C986" s="26">
        <f>IF(A986="","",ROUND((A986+cfgAjusteMES/1440)*48,0))</f>
        <v>0</v>
      </c>
      <c r="D986" s="26">
        <f>IF(C986="","",INT((C986-cfgDeslocamento)/4))</f>
        <v>0</v>
      </c>
      <c r="E986" s="26">
        <f>IF(C986="","",MOD(C986-cfgDeslocamento,4)+1)</f>
        <v>0</v>
      </c>
    </row>
    <row r="987" spans="1:5">
      <c r="A987" s="24"/>
      <c r="B987" s="19"/>
      <c r="C987" s="26">
        <f>IF(A987="","",ROUND((A987+cfgAjusteMES/1440)*48,0))</f>
        <v>0</v>
      </c>
      <c r="D987" s="26">
        <f>IF(C987="","",INT((C987-cfgDeslocamento)/4))</f>
        <v>0</v>
      </c>
      <c r="E987" s="26">
        <f>IF(C987="","",MOD(C987-cfgDeslocamento,4)+1)</f>
        <v>0</v>
      </c>
    </row>
    <row r="988" spans="1:5">
      <c r="A988" s="24"/>
      <c r="B988" s="19"/>
      <c r="C988" s="26">
        <f>IF(A988="","",ROUND((A988+cfgAjusteMES/1440)*48,0))</f>
        <v>0</v>
      </c>
      <c r="D988" s="26">
        <f>IF(C988="","",INT((C988-cfgDeslocamento)/4))</f>
        <v>0</v>
      </c>
      <c r="E988" s="26">
        <f>IF(C988="","",MOD(C988-cfgDeslocamento,4)+1)</f>
        <v>0</v>
      </c>
    </row>
    <row r="989" spans="1:5">
      <c r="A989" s="24"/>
      <c r="B989" s="19"/>
      <c r="C989" s="26">
        <f>IF(A989="","",ROUND((A989+cfgAjusteMES/1440)*48,0))</f>
        <v>0</v>
      </c>
      <c r="D989" s="26">
        <f>IF(C989="","",INT((C989-cfgDeslocamento)/4))</f>
        <v>0</v>
      </c>
      <c r="E989" s="26">
        <f>IF(C989="","",MOD(C989-cfgDeslocamento,4)+1)</f>
        <v>0</v>
      </c>
    </row>
    <row r="990" spans="1:5">
      <c r="A990" s="24"/>
      <c r="B990" s="19"/>
      <c r="C990" s="26">
        <f>IF(A990="","",ROUND((A990+cfgAjusteMES/1440)*48,0))</f>
        <v>0</v>
      </c>
      <c r="D990" s="26">
        <f>IF(C990="","",INT((C990-cfgDeslocamento)/4))</f>
        <v>0</v>
      </c>
      <c r="E990" s="26">
        <f>IF(C990="","",MOD(C990-cfgDeslocamento,4)+1)</f>
        <v>0</v>
      </c>
    </row>
    <row r="991" spans="1:5">
      <c r="A991" s="24"/>
      <c r="B991" s="19"/>
      <c r="C991" s="26">
        <f>IF(A991="","",ROUND((A991+cfgAjusteMES/1440)*48,0))</f>
        <v>0</v>
      </c>
      <c r="D991" s="26">
        <f>IF(C991="","",INT((C991-cfgDeslocamento)/4))</f>
        <v>0</v>
      </c>
      <c r="E991" s="26">
        <f>IF(C991="","",MOD(C991-cfgDeslocamento,4)+1)</f>
        <v>0</v>
      </c>
    </row>
    <row r="992" spans="1:5">
      <c r="A992" s="24"/>
      <c r="B992" s="19"/>
      <c r="C992" s="26">
        <f>IF(A992="","",ROUND((A992+cfgAjusteMES/1440)*48,0))</f>
        <v>0</v>
      </c>
      <c r="D992" s="26">
        <f>IF(C992="","",INT((C992-cfgDeslocamento)/4))</f>
        <v>0</v>
      </c>
      <c r="E992" s="26">
        <f>IF(C992="","",MOD(C992-cfgDeslocamento,4)+1)</f>
        <v>0</v>
      </c>
    </row>
    <row r="993" spans="1:5">
      <c r="A993" s="24"/>
      <c r="B993" s="19"/>
      <c r="C993" s="26">
        <f>IF(A993="","",ROUND((A993+cfgAjusteMES/1440)*48,0))</f>
        <v>0</v>
      </c>
      <c r="D993" s="26">
        <f>IF(C993="","",INT((C993-cfgDeslocamento)/4))</f>
        <v>0</v>
      </c>
      <c r="E993" s="26">
        <f>IF(C993="","",MOD(C993-cfgDeslocamento,4)+1)</f>
        <v>0</v>
      </c>
    </row>
    <row r="994" spans="1:5">
      <c r="A994" s="24"/>
      <c r="B994" s="19"/>
      <c r="C994" s="26">
        <f>IF(A994="","",ROUND((A994+cfgAjusteMES/1440)*48,0))</f>
        <v>0</v>
      </c>
      <c r="D994" s="26">
        <f>IF(C994="","",INT((C994-cfgDeslocamento)/4))</f>
        <v>0</v>
      </c>
      <c r="E994" s="26">
        <f>IF(C994="","",MOD(C994-cfgDeslocamento,4)+1)</f>
        <v>0</v>
      </c>
    </row>
    <row r="995" spans="1:5">
      <c r="A995" s="24"/>
      <c r="B995" s="19"/>
      <c r="C995" s="26">
        <f>IF(A995="","",ROUND((A995+cfgAjusteMES/1440)*48,0))</f>
        <v>0</v>
      </c>
      <c r="D995" s="26">
        <f>IF(C995="","",INT((C995-cfgDeslocamento)/4))</f>
        <v>0</v>
      </c>
      <c r="E995" s="26">
        <f>IF(C995="","",MOD(C995-cfgDeslocamento,4)+1)</f>
        <v>0</v>
      </c>
    </row>
    <row r="996" spans="1:5">
      <c r="A996" s="24"/>
      <c r="B996" s="19"/>
      <c r="C996" s="26">
        <f>IF(A996="","",ROUND((A996+cfgAjusteMES/1440)*48,0))</f>
        <v>0</v>
      </c>
      <c r="D996" s="26">
        <f>IF(C996="","",INT((C996-cfgDeslocamento)/4))</f>
        <v>0</v>
      </c>
      <c r="E996" s="26">
        <f>IF(C996="","",MOD(C996-cfgDeslocamento,4)+1)</f>
        <v>0</v>
      </c>
    </row>
    <row r="997" spans="1:5">
      <c r="A997" s="24"/>
      <c r="B997" s="19"/>
      <c r="C997" s="26">
        <f>IF(A997="","",ROUND((A997+cfgAjusteMES/1440)*48,0))</f>
        <v>0</v>
      </c>
      <c r="D997" s="26">
        <f>IF(C997="","",INT((C997-cfgDeslocamento)/4))</f>
        <v>0</v>
      </c>
      <c r="E997" s="26">
        <f>IF(C997="","",MOD(C997-cfgDeslocamento,4)+1)</f>
        <v>0</v>
      </c>
    </row>
    <row r="998" spans="1:5">
      <c r="A998" s="24"/>
      <c r="B998" s="19"/>
      <c r="C998" s="26">
        <f>IF(A998="","",ROUND((A998+cfgAjusteMES/1440)*48,0))</f>
        <v>0</v>
      </c>
      <c r="D998" s="26">
        <f>IF(C998="","",INT((C998-cfgDeslocamento)/4))</f>
        <v>0</v>
      </c>
      <c r="E998" s="26">
        <f>IF(C998="","",MOD(C998-cfgDeslocamento,4)+1)</f>
        <v>0</v>
      </c>
    </row>
    <row r="999" spans="1:5">
      <c r="A999" s="24"/>
      <c r="B999" s="19"/>
      <c r="C999" s="26">
        <f>IF(A999="","",ROUND((A999+cfgAjusteMES/1440)*48,0))</f>
        <v>0</v>
      </c>
      <c r="D999" s="26">
        <f>IF(C999="","",INT((C999-cfgDeslocamento)/4))</f>
        <v>0</v>
      </c>
      <c r="E999" s="26">
        <f>IF(C999="","",MOD(C999-cfgDeslocamento,4)+1)</f>
        <v>0</v>
      </c>
    </row>
    <row r="1000" spans="1:5">
      <c r="A1000" s="24"/>
      <c r="B1000" s="19"/>
      <c r="C1000" s="26">
        <f>IF(A1000="","",ROUND((A1000+cfgAjusteMES/1440)*48,0))</f>
        <v>0</v>
      </c>
      <c r="D1000" s="26">
        <f>IF(C1000="","",INT((C1000-cfgDeslocamento)/4))</f>
        <v>0</v>
      </c>
      <c r="E1000" s="26">
        <f>IF(C1000="","",MOD(C1000-cfgDeslocamento,4)+1)</f>
        <v>0</v>
      </c>
    </row>
    <row r="1001" spans="1:5">
      <c r="A1001" s="24"/>
      <c r="B1001" s="19"/>
      <c r="C1001" s="26">
        <f>IF(A1001="","",ROUND((A1001+cfgAjusteMES/1440)*48,0))</f>
        <v>0</v>
      </c>
      <c r="D1001" s="26">
        <f>IF(C1001="","",INT((C1001-cfgDeslocamento)/4))</f>
        <v>0</v>
      </c>
      <c r="E1001" s="26">
        <f>IF(C1001="","",MOD(C1001-cfgDeslocamento,4)+1)</f>
        <v>0</v>
      </c>
    </row>
    <row r="1002" spans="1:5">
      <c r="A1002" s="24"/>
      <c r="B1002" s="19"/>
      <c r="C1002" s="26">
        <f>IF(A1002="","",ROUND((A1002+cfgAjusteMES/1440)*48,0))</f>
        <v>0</v>
      </c>
      <c r="D1002" s="26">
        <f>IF(C1002="","",INT((C1002-cfgDeslocamento)/4))</f>
        <v>0</v>
      </c>
      <c r="E1002" s="26">
        <f>IF(C1002="","",MOD(C1002-cfgDeslocamento,4)+1)</f>
        <v>0</v>
      </c>
    </row>
    <row r="1003" spans="1:5">
      <c r="A1003" s="24"/>
      <c r="B1003" s="19"/>
      <c r="C1003" s="26">
        <f>IF(A1003="","",ROUND((A1003+cfgAjusteMES/1440)*48,0))</f>
        <v>0</v>
      </c>
      <c r="D1003" s="26">
        <f>IF(C1003="","",INT((C1003-cfgDeslocamento)/4))</f>
        <v>0</v>
      </c>
      <c r="E1003" s="26">
        <f>IF(C1003="","",MOD(C1003-cfgDeslocamento,4)+1)</f>
        <v>0</v>
      </c>
    </row>
    <row r="1004" spans="1:5">
      <c r="A1004" s="24"/>
      <c r="B1004" s="19"/>
      <c r="C1004" s="26">
        <f>IF(A1004="","",ROUND((A1004+cfgAjusteMES/1440)*48,0))</f>
        <v>0</v>
      </c>
      <c r="D1004" s="26">
        <f>IF(C1004="","",INT((C1004-cfgDeslocamento)/4))</f>
        <v>0</v>
      </c>
      <c r="E1004" s="26">
        <f>IF(C1004="","",MOD(C1004-cfgDeslocamento,4)+1)</f>
        <v>0</v>
      </c>
    </row>
    <row r="1005" spans="1:5">
      <c r="A1005" s="24"/>
      <c r="B1005" s="19"/>
      <c r="C1005" s="26">
        <f>IF(A1005="","",ROUND((A1005+cfgAjusteMES/1440)*48,0))</f>
        <v>0</v>
      </c>
      <c r="D1005" s="26">
        <f>IF(C1005="","",INT((C1005-cfgDeslocamento)/4))</f>
        <v>0</v>
      </c>
      <c r="E1005" s="26">
        <f>IF(C1005="","",MOD(C1005-cfgDeslocamento,4)+1)</f>
        <v>0</v>
      </c>
    </row>
    <row r="1006" spans="1:5">
      <c r="A1006" s="24"/>
      <c r="B1006" s="19"/>
      <c r="C1006" s="26">
        <f>IF(A1006="","",ROUND((A1006+cfgAjusteMES/1440)*48,0))</f>
        <v>0</v>
      </c>
      <c r="D1006" s="26">
        <f>IF(C1006="","",INT((C1006-cfgDeslocamento)/4))</f>
        <v>0</v>
      </c>
      <c r="E1006" s="26">
        <f>IF(C1006="","",MOD(C1006-cfgDeslocamento,4)+1)</f>
        <v>0</v>
      </c>
    </row>
    <row r="1007" spans="1:5">
      <c r="A1007" s="24"/>
      <c r="B1007" s="19"/>
      <c r="C1007" s="26">
        <f>IF(A1007="","",ROUND((A1007+cfgAjusteMES/1440)*48,0))</f>
        <v>0</v>
      </c>
      <c r="D1007" s="26">
        <f>IF(C1007="","",INT((C1007-cfgDeslocamento)/4))</f>
        <v>0</v>
      </c>
      <c r="E1007" s="26">
        <f>IF(C1007="","",MOD(C1007-cfgDeslocamento,4)+1)</f>
        <v>0</v>
      </c>
    </row>
    <row r="1008" spans="1:5">
      <c r="A1008" s="24"/>
      <c r="B1008" s="19"/>
      <c r="C1008" s="26">
        <f>IF(A1008="","",ROUND((A1008+cfgAjusteMES/1440)*48,0))</f>
        <v>0</v>
      </c>
      <c r="D1008" s="26">
        <f>IF(C1008="","",INT((C1008-cfgDeslocamento)/4))</f>
        <v>0</v>
      </c>
      <c r="E1008" s="26">
        <f>IF(C1008="","",MOD(C1008-cfgDeslocamento,4)+1)</f>
        <v>0</v>
      </c>
    </row>
    <row r="1009" spans="1:5">
      <c r="A1009" s="24"/>
      <c r="B1009" s="19"/>
      <c r="C1009" s="26">
        <f>IF(A1009="","",ROUND((A1009+cfgAjusteMES/1440)*48,0))</f>
        <v>0</v>
      </c>
      <c r="D1009" s="26">
        <f>IF(C1009="","",INT((C1009-cfgDeslocamento)/4))</f>
        <v>0</v>
      </c>
      <c r="E1009" s="26">
        <f>IF(C1009="","",MOD(C1009-cfgDeslocamento,4)+1)</f>
        <v>0</v>
      </c>
    </row>
    <row r="1010" spans="1:5">
      <c r="A1010" s="24"/>
      <c r="B1010" s="19"/>
      <c r="C1010" s="26">
        <f>IF(A1010="","",ROUND((A1010+cfgAjusteMES/1440)*48,0))</f>
        <v>0</v>
      </c>
      <c r="D1010" s="26">
        <f>IF(C1010="","",INT((C1010-cfgDeslocamento)/4))</f>
        <v>0</v>
      </c>
      <c r="E1010" s="26">
        <f>IF(C1010="","",MOD(C1010-cfgDeslocamento,4)+1)</f>
        <v>0</v>
      </c>
    </row>
    <row r="1011" spans="1:5">
      <c r="A1011" s="24"/>
      <c r="B1011" s="19"/>
      <c r="C1011" s="26">
        <f>IF(A1011="","",ROUND((A1011+cfgAjusteMES/1440)*48,0))</f>
        <v>0</v>
      </c>
      <c r="D1011" s="26">
        <f>IF(C1011="","",INT((C1011-cfgDeslocamento)/4))</f>
        <v>0</v>
      </c>
      <c r="E1011" s="26">
        <f>IF(C1011="","",MOD(C1011-cfgDeslocamento,4)+1)</f>
        <v>0</v>
      </c>
    </row>
    <row r="1012" spans="1:5">
      <c r="A1012" s="24"/>
      <c r="B1012" s="19"/>
      <c r="C1012" s="26">
        <f>IF(A1012="","",ROUND((A1012+cfgAjusteMES/1440)*48,0))</f>
        <v>0</v>
      </c>
      <c r="D1012" s="26">
        <f>IF(C1012="","",INT((C1012-cfgDeslocamento)/4))</f>
        <v>0</v>
      </c>
      <c r="E1012" s="26">
        <f>IF(C1012="","",MOD(C1012-cfgDeslocamento,4)+1)</f>
        <v>0</v>
      </c>
    </row>
    <row r="1013" spans="1:5">
      <c r="A1013" s="24"/>
      <c r="B1013" s="19"/>
      <c r="C1013" s="26">
        <f>IF(A1013="","",ROUND((A1013+cfgAjusteMES/1440)*48,0))</f>
        <v>0</v>
      </c>
      <c r="D1013" s="26">
        <f>IF(C1013="","",INT((C1013-cfgDeslocamento)/4))</f>
        <v>0</v>
      </c>
      <c r="E1013" s="26">
        <f>IF(C1013="","",MOD(C1013-cfgDeslocamento,4)+1)</f>
        <v>0</v>
      </c>
    </row>
    <row r="1014" spans="1:5">
      <c r="A1014" s="24"/>
      <c r="B1014" s="19"/>
      <c r="C1014" s="26">
        <f>IF(A1014="","",ROUND((A1014+cfgAjusteMES/1440)*48,0))</f>
        <v>0</v>
      </c>
      <c r="D1014" s="26">
        <f>IF(C1014="","",INT((C1014-cfgDeslocamento)/4))</f>
        <v>0</v>
      </c>
      <c r="E1014" s="26">
        <f>IF(C1014="","",MOD(C1014-cfgDeslocamento,4)+1)</f>
        <v>0</v>
      </c>
    </row>
    <row r="1015" spans="1:5">
      <c r="A1015" s="24"/>
      <c r="B1015" s="19"/>
      <c r="C1015" s="26">
        <f>IF(A1015="","",ROUND((A1015+cfgAjusteMES/1440)*48,0))</f>
        <v>0</v>
      </c>
      <c r="D1015" s="26">
        <f>IF(C1015="","",INT((C1015-cfgDeslocamento)/4))</f>
        <v>0</v>
      </c>
      <c r="E1015" s="26">
        <f>IF(C1015="","",MOD(C1015-cfgDeslocamento,4)+1)</f>
        <v>0</v>
      </c>
    </row>
    <row r="1016" spans="1:5">
      <c r="A1016" s="24"/>
      <c r="B1016" s="19"/>
      <c r="C1016" s="26">
        <f>IF(A1016="","",ROUND((A1016+cfgAjusteMES/1440)*48,0))</f>
        <v>0</v>
      </c>
      <c r="D1016" s="26">
        <f>IF(C1016="","",INT((C1016-cfgDeslocamento)/4))</f>
        <v>0</v>
      </c>
      <c r="E1016" s="26">
        <f>IF(C1016="","",MOD(C1016-cfgDeslocamento,4)+1)</f>
        <v>0</v>
      </c>
    </row>
    <row r="1017" spans="1:5">
      <c r="A1017" s="24"/>
      <c r="B1017" s="19"/>
      <c r="C1017" s="26">
        <f>IF(A1017="","",ROUND((A1017+cfgAjusteMES/1440)*48,0))</f>
        <v>0</v>
      </c>
      <c r="D1017" s="26">
        <f>IF(C1017="","",INT((C1017-cfgDeslocamento)/4))</f>
        <v>0</v>
      </c>
      <c r="E1017" s="26">
        <f>IF(C1017="","",MOD(C1017-cfgDeslocamento,4)+1)</f>
        <v>0</v>
      </c>
    </row>
    <row r="1018" spans="1:5">
      <c r="A1018" s="24"/>
      <c r="B1018" s="19"/>
      <c r="C1018" s="26">
        <f>IF(A1018="","",ROUND((A1018+cfgAjusteMES/1440)*48,0))</f>
        <v>0</v>
      </c>
      <c r="D1018" s="26">
        <f>IF(C1018="","",INT((C1018-cfgDeslocamento)/4))</f>
        <v>0</v>
      </c>
      <c r="E1018" s="26">
        <f>IF(C1018="","",MOD(C1018-cfgDeslocamento,4)+1)</f>
        <v>0</v>
      </c>
    </row>
    <row r="1019" spans="1:5">
      <c r="A1019" s="24"/>
      <c r="B1019" s="19"/>
      <c r="C1019" s="26">
        <f>IF(A1019="","",ROUND((A1019+cfgAjusteMES/1440)*48,0))</f>
        <v>0</v>
      </c>
      <c r="D1019" s="26">
        <f>IF(C1019="","",INT((C1019-cfgDeslocamento)/4))</f>
        <v>0</v>
      </c>
      <c r="E1019" s="26">
        <f>IF(C1019="","",MOD(C1019-cfgDeslocamento,4)+1)</f>
        <v>0</v>
      </c>
    </row>
    <row r="1020" spans="1:5">
      <c r="A1020" s="24"/>
      <c r="B1020" s="19"/>
      <c r="C1020" s="26">
        <f>IF(A1020="","",ROUND((A1020+cfgAjusteMES/1440)*48,0))</f>
        <v>0</v>
      </c>
      <c r="D1020" s="26">
        <f>IF(C1020="","",INT((C1020-cfgDeslocamento)/4))</f>
        <v>0</v>
      </c>
      <c r="E1020" s="26">
        <f>IF(C1020="","",MOD(C1020-cfgDeslocamento,4)+1)</f>
        <v>0</v>
      </c>
    </row>
    <row r="1021" spans="1:5">
      <c r="A1021" s="24"/>
      <c r="B1021" s="19"/>
      <c r="C1021" s="26">
        <f>IF(A1021="","",ROUND((A1021+cfgAjusteMES/1440)*48,0))</f>
        <v>0</v>
      </c>
      <c r="D1021" s="26">
        <f>IF(C1021="","",INT((C1021-cfgDeslocamento)/4))</f>
        <v>0</v>
      </c>
      <c r="E1021" s="26">
        <f>IF(C1021="","",MOD(C1021-cfgDeslocamento,4)+1)</f>
        <v>0</v>
      </c>
    </row>
    <row r="1022" spans="1:5">
      <c r="A1022" s="24"/>
      <c r="B1022" s="19"/>
      <c r="C1022" s="26">
        <f>IF(A1022="","",ROUND((A1022+cfgAjusteMES/1440)*48,0))</f>
        <v>0</v>
      </c>
      <c r="D1022" s="26">
        <f>IF(C1022="","",INT((C1022-cfgDeslocamento)/4))</f>
        <v>0</v>
      </c>
      <c r="E1022" s="26">
        <f>IF(C1022="","",MOD(C1022-cfgDeslocamento,4)+1)</f>
        <v>0</v>
      </c>
    </row>
    <row r="1023" spans="1:5">
      <c r="A1023" s="24"/>
      <c r="B1023" s="19"/>
      <c r="C1023" s="26">
        <f>IF(A1023="","",ROUND((A1023+cfgAjusteMES/1440)*48,0))</f>
        <v>0</v>
      </c>
      <c r="D1023" s="26">
        <f>IF(C1023="","",INT((C1023-cfgDeslocamento)/4))</f>
        <v>0</v>
      </c>
      <c r="E1023" s="26">
        <f>IF(C1023="","",MOD(C1023-cfgDeslocamento,4)+1)</f>
        <v>0</v>
      </c>
    </row>
    <row r="1024" spans="1:5">
      <c r="A1024" s="24"/>
      <c r="B1024" s="19"/>
      <c r="C1024" s="26">
        <f>IF(A1024="","",ROUND((A1024+cfgAjusteMES/1440)*48,0))</f>
        <v>0</v>
      </c>
      <c r="D1024" s="26">
        <f>IF(C1024="","",INT((C1024-cfgDeslocamento)/4))</f>
        <v>0</v>
      </c>
      <c r="E1024" s="26">
        <f>IF(C1024="","",MOD(C1024-cfgDeslocamento,4)+1)</f>
        <v>0</v>
      </c>
    </row>
    <row r="1025" spans="1:5">
      <c r="A1025" s="24"/>
      <c r="B1025" s="19"/>
      <c r="C1025" s="26">
        <f>IF(A1025="","",ROUND((A1025+cfgAjusteMES/1440)*48,0))</f>
        <v>0</v>
      </c>
      <c r="D1025" s="26">
        <f>IF(C1025="","",INT((C1025-cfgDeslocamento)/4))</f>
        <v>0</v>
      </c>
      <c r="E1025" s="26">
        <f>IF(C1025="","",MOD(C1025-cfgDeslocamento,4)+1)</f>
        <v>0</v>
      </c>
    </row>
    <row r="1026" spans="1:5">
      <c r="A1026" s="24"/>
      <c r="B1026" s="19"/>
      <c r="C1026" s="26">
        <f>IF(A1026="","",ROUND((A1026+cfgAjusteMES/1440)*48,0))</f>
        <v>0</v>
      </c>
      <c r="D1026" s="26">
        <f>IF(C1026="","",INT((C1026-cfgDeslocamento)/4))</f>
        <v>0</v>
      </c>
      <c r="E1026" s="26">
        <f>IF(C1026="","",MOD(C1026-cfgDeslocamento,4)+1)</f>
        <v>0</v>
      </c>
    </row>
    <row r="1027" spans="1:5">
      <c r="A1027" s="24"/>
      <c r="B1027" s="19"/>
      <c r="C1027" s="26">
        <f>IF(A1027="","",ROUND((A1027+cfgAjusteMES/1440)*48,0))</f>
        <v>0</v>
      </c>
      <c r="D1027" s="26">
        <f>IF(C1027="","",INT((C1027-cfgDeslocamento)/4))</f>
        <v>0</v>
      </c>
      <c r="E1027" s="26">
        <f>IF(C1027="","",MOD(C1027-cfgDeslocamento,4)+1)</f>
        <v>0</v>
      </c>
    </row>
    <row r="1028" spans="1:5">
      <c r="A1028" s="24"/>
      <c r="B1028" s="19"/>
      <c r="C1028" s="26">
        <f>IF(A1028="","",ROUND((A1028+cfgAjusteMES/1440)*48,0))</f>
        <v>0</v>
      </c>
      <c r="D1028" s="26">
        <f>IF(C1028="","",INT((C1028-cfgDeslocamento)/4))</f>
        <v>0</v>
      </c>
      <c r="E1028" s="26">
        <f>IF(C1028="","",MOD(C1028-cfgDeslocamento,4)+1)</f>
        <v>0</v>
      </c>
    </row>
    <row r="1029" spans="1:5">
      <c r="A1029" s="24"/>
      <c r="B1029" s="19"/>
      <c r="C1029" s="26">
        <f>IF(A1029="","",ROUND((A1029+cfgAjusteMES/1440)*48,0))</f>
        <v>0</v>
      </c>
      <c r="D1029" s="26">
        <f>IF(C1029="","",INT((C1029-cfgDeslocamento)/4))</f>
        <v>0</v>
      </c>
      <c r="E1029" s="26">
        <f>IF(C1029="","",MOD(C1029-cfgDeslocamento,4)+1)</f>
        <v>0</v>
      </c>
    </row>
    <row r="1030" spans="1:5">
      <c r="A1030" s="24"/>
      <c r="B1030" s="19"/>
      <c r="C1030" s="26">
        <f>IF(A1030="","",ROUND((A1030+cfgAjusteMES/1440)*48,0))</f>
        <v>0</v>
      </c>
      <c r="D1030" s="26">
        <f>IF(C1030="","",INT((C1030-cfgDeslocamento)/4))</f>
        <v>0</v>
      </c>
      <c r="E1030" s="26">
        <f>IF(C1030="","",MOD(C1030-cfgDeslocamento,4)+1)</f>
        <v>0</v>
      </c>
    </row>
    <row r="1031" spans="1:5">
      <c r="A1031" s="24"/>
      <c r="B1031" s="19"/>
      <c r="C1031" s="26">
        <f>IF(A1031="","",ROUND((A1031+cfgAjusteMES/1440)*48,0))</f>
        <v>0</v>
      </c>
      <c r="D1031" s="26">
        <f>IF(C1031="","",INT((C1031-cfgDeslocamento)/4))</f>
        <v>0</v>
      </c>
      <c r="E1031" s="26">
        <f>IF(C1031="","",MOD(C1031-cfgDeslocamento,4)+1)</f>
        <v>0</v>
      </c>
    </row>
    <row r="1032" spans="1:5">
      <c r="A1032" s="24"/>
      <c r="B1032" s="19"/>
      <c r="C1032" s="26">
        <f>IF(A1032="","",ROUND((A1032+cfgAjusteMES/1440)*48,0))</f>
        <v>0</v>
      </c>
      <c r="D1032" s="26">
        <f>IF(C1032="","",INT((C1032-cfgDeslocamento)/4))</f>
        <v>0</v>
      </c>
      <c r="E1032" s="26">
        <f>IF(C1032="","",MOD(C1032-cfgDeslocamento,4)+1)</f>
        <v>0</v>
      </c>
    </row>
    <row r="1033" spans="1:5">
      <c r="A1033" s="24"/>
      <c r="B1033" s="19"/>
      <c r="C1033" s="26">
        <f>IF(A1033="","",ROUND((A1033+cfgAjusteMES/1440)*48,0))</f>
        <v>0</v>
      </c>
      <c r="D1033" s="26">
        <f>IF(C1033="","",INT((C1033-cfgDeslocamento)/4))</f>
        <v>0</v>
      </c>
      <c r="E1033" s="26">
        <f>IF(C1033="","",MOD(C1033-cfgDeslocamento,4)+1)</f>
        <v>0</v>
      </c>
    </row>
    <row r="1034" spans="1:5">
      <c r="A1034" s="24"/>
      <c r="B1034" s="19"/>
      <c r="C1034" s="26">
        <f>IF(A1034="","",ROUND((A1034+cfgAjusteMES/1440)*48,0))</f>
        <v>0</v>
      </c>
      <c r="D1034" s="26">
        <f>IF(C1034="","",INT((C1034-cfgDeslocamento)/4))</f>
        <v>0</v>
      </c>
      <c r="E1034" s="26">
        <f>IF(C1034="","",MOD(C1034-cfgDeslocamento,4)+1)</f>
        <v>0</v>
      </c>
    </row>
    <row r="1035" spans="1:5">
      <c r="A1035" s="24"/>
      <c r="B1035" s="19"/>
      <c r="C1035" s="26">
        <f>IF(A1035="","",ROUND((A1035+cfgAjusteMES/1440)*48,0))</f>
        <v>0</v>
      </c>
      <c r="D1035" s="26">
        <f>IF(C1035="","",INT((C1035-cfgDeslocamento)/4))</f>
        <v>0</v>
      </c>
      <c r="E1035" s="26">
        <f>IF(C1035="","",MOD(C1035-cfgDeslocamento,4)+1)</f>
        <v>0</v>
      </c>
    </row>
    <row r="1036" spans="1:5">
      <c r="A1036" s="24"/>
      <c r="B1036" s="19"/>
      <c r="C1036" s="26">
        <f>IF(A1036="","",ROUND((A1036+cfgAjusteMES/1440)*48,0))</f>
        <v>0</v>
      </c>
      <c r="D1036" s="26">
        <f>IF(C1036="","",INT((C1036-cfgDeslocamento)/4))</f>
        <v>0</v>
      </c>
      <c r="E1036" s="26">
        <f>IF(C1036="","",MOD(C1036-cfgDeslocamento,4)+1)</f>
        <v>0</v>
      </c>
    </row>
    <row r="1037" spans="1:5">
      <c r="A1037" s="24"/>
      <c r="B1037" s="19"/>
      <c r="C1037" s="26">
        <f>IF(A1037="","",ROUND((A1037+cfgAjusteMES/1440)*48,0))</f>
        <v>0</v>
      </c>
      <c r="D1037" s="26">
        <f>IF(C1037="","",INT((C1037-cfgDeslocamento)/4))</f>
        <v>0</v>
      </c>
      <c r="E1037" s="26">
        <f>IF(C1037="","",MOD(C1037-cfgDeslocamento,4)+1)</f>
        <v>0</v>
      </c>
    </row>
    <row r="1038" spans="1:5">
      <c r="A1038" s="24"/>
      <c r="B1038" s="19"/>
      <c r="C1038" s="26">
        <f>IF(A1038="","",ROUND((A1038+cfgAjusteMES/1440)*48,0))</f>
        <v>0</v>
      </c>
      <c r="D1038" s="26">
        <f>IF(C1038="","",INT((C1038-cfgDeslocamento)/4))</f>
        <v>0</v>
      </c>
      <c r="E1038" s="26">
        <f>IF(C1038="","",MOD(C1038-cfgDeslocamento,4)+1)</f>
        <v>0</v>
      </c>
    </row>
    <row r="1039" spans="1:5">
      <c r="A1039" s="24"/>
      <c r="B1039" s="19"/>
      <c r="C1039" s="26">
        <f>IF(A1039="","",ROUND((A1039+cfgAjusteMES/1440)*48,0))</f>
        <v>0</v>
      </c>
      <c r="D1039" s="26">
        <f>IF(C1039="","",INT((C1039-cfgDeslocamento)/4))</f>
        <v>0</v>
      </c>
      <c r="E1039" s="26">
        <f>IF(C1039="","",MOD(C1039-cfgDeslocamento,4)+1)</f>
        <v>0</v>
      </c>
    </row>
    <row r="1040" spans="1:5">
      <c r="A1040" s="24"/>
      <c r="B1040" s="19"/>
      <c r="C1040" s="26">
        <f>IF(A1040="","",ROUND((A1040+cfgAjusteMES/1440)*48,0))</f>
        <v>0</v>
      </c>
      <c r="D1040" s="26">
        <f>IF(C1040="","",INT((C1040-cfgDeslocamento)/4))</f>
        <v>0</v>
      </c>
      <c r="E1040" s="26">
        <f>IF(C1040="","",MOD(C1040-cfgDeslocamento,4)+1)</f>
        <v>0</v>
      </c>
    </row>
    <row r="1041" spans="1:5">
      <c r="A1041" s="24"/>
      <c r="B1041" s="19"/>
      <c r="C1041" s="26">
        <f>IF(A1041="","",ROUND((A1041+cfgAjusteMES/1440)*48,0))</f>
        <v>0</v>
      </c>
      <c r="D1041" s="26">
        <f>IF(C1041="","",INT((C1041-cfgDeslocamento)/4))</f>
        <v>0</v>
      </c>
      <c r="E1041" s="26">
        <f>IF(C1041="","",MOD(C1041-cfgDeslocamento,4)+1)</f>
        <v>0</v>
      </c>
    </row>
    <row r="1042" spans="1:5">
      <c r="A1042" s="24"/>
      <c r="B1042" s="19"/>
      <c r="C1042" s="26">
        <f>IF(A1042="","",ROUND((A1042+cfgAjusteMES/1440)*48,0))</f>
        <v>0</v>
      </c>
      <c r="D1042" s="26">
        <f>IF(C1042="","",INT((C1042-cfgDeslocamento)/4))</f>
        <v>0</v>
      </c>
      <c r="E1042" s="26">
        <f>IF(C1042="","",MOD(C1042-cfgDeslocamento,4)+1)</f>
        <v>0</v>
      </c>
    </row>
    <row r="1043" spans="1:5">
      <c r="A1043" s="24"/>
      <c r="B1043" s="19"/>
      <c r="C1043" s="26">
        <f>IF(A1043="","",ROUND((A1043+cfgAjusteMES/1440)*48,0))</f>
        <v>0</v>
      </c>
      <c r="D1043" s="26">
        <f>IF(C1043="","",INT((C1043-cfgDeslocamento)/4))</f>
        <v>0</v>
      </c>
      <c r="E1043" s="26">
        <f>IF(C1043="","",MOD(C1043-cfgDeslocamento,4)+1)</f>
        <v>0</v>
      </c>
    </row>
    <row r="1044" spans="1:5">
      <c r="A1044" s="24"/>
      <c r="B1044" s="19"/>
      <c r="C1044" s="26">
        <f>IF(A1044="","",ROUND((A1044+cfgAjusteMES/1440)*48,0))</f>
        <v>0</v>
      </c>
      <c r="D1044" s="26">
        <f>IF(C1044="","",INT((C1044-cfgDeslocamento)/4))</f>
        <v>0</v>
      </c>
      <c r="E1044" s="26">
        <f>IF(C1044="","",MOD(C1044-cfgDeslocamento,4)+1)</f>
        <v>0</v>
      </c>
    </row>
    <row r="1045" spans="1:5">
      <c r="A1045" s="24"/>
      <c r="B1045" s="19"/>
      <c r="C1045" s="26">
        <f>IF(A1045="","",ROUND((A1045+cfgAjusteMES/1440)*48,0))</f>
        <v>0</v>
      </c>
      <c r="D1045" s="26">
        <f>IF(C1045="","",INT((C1045-cfgDeslocamento)/4))</f>
        <v>0</v>
      </c>
      <c r="E1045" s="26">
        <f>IF(C1045="","",MOD(C1045-cfgDeslocamento,4)+1)</f>
        <v>0</v>
      </c>
    </row>
    <row r="1046" spans="1:5">
      <c r="A1046" s="24"/>
      <c r="B1046" s="19"/>
      <c r="C1046" s="26">
        <f>IF(A1046="","",ROUND((A1046+cfgAjusteMES/1440)*48,0))</f>
        <v>0</v>
      </c>
      <c r="D1046" s="26">
        <f>IF(C1046="","",INT((C1046-cfgDeslocamento)/4))</f>
        <v>0</v>
      </c>
      <c r="E1046" s="26">
        <f>IF(C1046="","",MOD(C1046-cfgDeslocamento,4)+1)</f>
        <v>0</v>
      </c>
    </row>
    <row r="1047" spans="1:5">
      <c r="A1047" s="24"/>
      <c r="B1047" s="19"/>
      <c r="C1047" s="26">
        <f>IF(A1047="","",ROUND((A1047+cfgAjusteMES/1440)*48,0))</f>
        <v>0</v>
      </c>
      <c r="D1047" s="26">
        <f>IF(C1047="","",INT((C1047-cfgDeslocamento)/4))</f>
        <v>0</v>
      </c>
      <c r="E1047" s="26">
        <f>IF(C1047="","",MOD(C1047-cfgDeslocamento,4)+1)</f>
        <v>0</v>
      </c>
    </row>
    <row r="1048" spans="1:5">
      <c r="A1048" s="24"/>
      <c r="B1048" s="19"/>
      <c r="C1048" s="26">
        <f>IF(A1048="","",ROUND((A1048+cfgAjusteMES/1440)*48,0))</f>
        <v>0</v>
      </c>
      <c r="D1048" s="26">
        <f>IF(C1048="","",INT((C1048-cfgDeslocamento)/4))</f>
        <v>0</v>
      </c>
      <c r="E1048" s="26">
        <f>IF(C1048="","",MOD(C1048-cfgDeslocamento,4)+1)</f>
        <v>0</v>
      </c>
    </row>
    <row r="1049" spans="1:5">
      <c r="A1049" s="24"/>
      <c r="B1049" s="19"/>
      <c r="C1049" s="26">
        <f>IF(A1049="","",ROUND((A1049+cfgAjusteMES/1440)*48,0))</f>
        <v>0</v>
      </c>
      <c r="D1049" s="26">
        <f>IF(C1049="","",INT((C1049-cfgDeslocamento)/4))</f>
        <v>0</v>
      </c>
      <c r="E1049" s="26">
        <f>IF(C1049="","",MOD(C1049-cfgDeslocamento,4)+1)</f>
        <v>0</v>
      </c>
    </row>
    <row r="1050" spans="1:5">
      <c r="A1050" s="24"/>
      <c r="B1050" s="19"/>
      <c r="C1050" s="26">
        <f>IF(A1050="","",ROUND((A1050+cfgAjusteMES/1440)*48,0))</f>
        <v>0</v>
      </c>
      <c r="D1050" s="26">
        <f>IF(C1050="","",INT((C1050-cfgDeslocamento)/4))</f>
        <v>0</v>
      </c>
      <c r="E1050" s="26">
        <f>IF(C1050="","",MOD(C1050-cfgDeslocamento,4)+1)</f>
        <v>0</v>
      </c>
    </row>
    <row r="1051" spans="1:5">
      <c r="A1051" s="24"/>
      <c r="B1051" s="19"/>
      <c r="C1051" s="26">
        <f>IF(A1051="","",ROUND((A1051+cfgAjusteMES/1440)*48,0))</f>
        <v>0</v>
      </c>
      <c r="D1051" s="26">
        <f>IF(C1051="","",INT((C1051-cfgDeslocamento)/4))</f>
        <v>0</v>
      </c>
      <c r="E1051" s="26">
        <f>IF(C1051="","",MOD(C1051-cfgDeslocamento,4)+1)</f>
        <v>0</v>
      </c>
    </row>
    <row r="1052" spans="1:5">
      <c r="A1052" s="24"/>
      <c r="B1052" s="19"/>
      <c r="C1052" s="26">
        <f>IF(A1052="","",ROUND((A1052+cfgAjusteMES/1440)*48,0))</f>
        <v>0</v>
      </c>
      <c r="D1052" s="26">
        <f>IF(C1052="","",INT((C1052-cfgDeslocamento)/4))</f>
        <v>0</v>
      </c>
      <c r="E1052" s="26">
        <f>IF(C1052="","",MOD(C1052-cfgDeslocamento,4)+1)</f>
        <v>0</v>
      </c>
    </row>
    <row r="1053" spans="1:5">
      <c r="A1053" s="24"/>
      <c r="B1053" s="19"/>
      <c r="C1053" s="26">
        <f>IF(A1053="","",ROUND((A1053+cfgAjusteMES/1440)*48,0))</f>
        <v>0</v>
      </c>
      <c r="D1053" s="26">
        <f>IF(C1053="","",INT((C1053-cfgDeslocamento)/4))</f>
        <v>0</v>
      </c>
      <c r="E1053" s="26">
        <f>IF(C1053="","",MOD(C1053-cfgDeslocamento,4)+1)</f>
        <v>0</v>
      </c>
    </row>
    <row r="1054" spans="1:5">
      <c r="A1054" s="24"/>
      <c r="B1054" s="19"/>
      <c r="C1054" s="26">
        <f>IF(A1054="","",ROUND((A1054+cfgAjusteMES/1440)*48,0))</f>
        <v>0</v>
      </c>
      <c r="D1054" s="26">
        <f>IF(C1054="","",INT((C1054-cfgDeslocamento)/4))</f>
        <v>0</v>
      </c>
      <c r="E1054" s="26">
        <f>IF(C1054="","",MOD(C1054-cfgDeslocamento,4)+1)</f>
        <v>0</v>
      </c>
    </row>
    <row r="1055" spans="1:5">
      <c r="A1055" s="24"/>
      <c r="B1055" s="19"/>
      <c r="C1055" s="26">
        <f>IF(A1055="","",ROUND((A1055+cfgAjusteMES/1440)*48,0))</f>
        <v>0</v>
      </c>
      <c r="D1055" s="26">
        <f>IF(C1055="","",INT((C1055-cfgDeslocamento)/4))</f>
        <v>0</v>
      </c>
      <c r="E1055" s="26">
        <f>IF(C1055="","",MOD(C1055-cfgDeslocamento,4)+1)</f>
        <v>0</v>
      </c>
    </row>
    <row r="1056" spans="1:5">
      <c r="A1056" s="24"/>
      <c r="B1056" s="19"/>
      <c r="C1056" s="26">
        <f>IF(A1056="","",ROUND((A1056+cfgAjusteMES/1440)*48,0))</f>
        <v>0</v>
      </c>
      <c r="D1056" s="26">
        <f>IF(C1056="","",INT((C1056-cfgDeslocamento)/4))</f>
        <v>0</v>
      </c>
      <c r="E1056" s="26">
        <f>IF(C1056="","",MOD(C1056-cfgDeslocamento,4)+1)</f>
        <v>0</v>
      </c>
    </row>
    <row r="1057" spans="1:5">
      <c r="A1057" s="24"/>
      <c r="B1057" s="19"/>
      <c r="C1057" s="26">
        <f>IF(A1057="","",ROUND((A1057+cfgAjusteMES/1440)*48,0))</f>
        <v>0</v>
      </c>
      <c r="D1057" s="26">
        <f>IF(C1057="","",INT((C1057-cfgDeslocamento)/4))</f>
        <v>0</v>
      </c>
      <c r="E1057" s="26">
        <f>IF(C1057="","",MOD(C1057-cfgDeslocamento,4)+1)</f>
        <v>0</v>
      </c>
    </row>
    <row r="1058" spans="1:5">
      <c r="A1058" s="24"/>
      <c r="B1058" s="19"/>
      <c r="C1058" s="26">
        <f>IF(A1058="","",ROUND((A1058+cfgAjusteMES/1440)*48,0))</f>
        <v>0</v>
      </c>
      <c r="D1058" s="26">
        <f>IF(C1058="","",INT((C1058-cfgDeslocamento)/4))</f>
        <v>0</v>
      </c>
      <c r="E1058" s="26">
        <f>IF(C1058="","",MOD(C1058-cfgDeslocamento,4)+1)</f>
        <v>0</v>
      </c>
    </row>
    <row r="1059" spans="1:5">
      <c r="A1059" s="24"/>
      <c r="B1059" s="19"/>
      <c r="C1059" s="26">
        <f>IF(A1059="","",ROUND((A1059+cfgAjusteMES/1440)*48,0))</f>
        <v>0</v>
      </c>
      <c r="D1059" s="26">
        <f>IF(C1059="","",INT((C1059-cfgDeslocamento)/4))</f>
        <v>0</v>
      </c>
      <c r="E1059" s="26">
        <f>IF(C1059="","",MOD(C1059-cfgDeslocamento,4)+1)</f>
        <v>0</v>
      </c>
    </row>
    <row r="1060" spans="1:5">
      <c r="A1060" s="24"/>
      <c r="B1060" s="19"/>
      <c r="C1060" s="26">
        <f>IF(A1060="","",ROUND((A1060+cfgAjusteMES/1440)*48,0))</f>
        <v>0</v>
      </c>
      <c r="D1060" s="26">
        <f>IF(C1060="","",INT((C1060-cfgDeslocamento)/4))</f>
        <v>0</v>
      </c>
      <c r="E1060" s="26">
        <f>IF(C1060="","",MOD(C1060-cfgDeslocamento,4)+1)</f>
        <v>0</v>
      </c>
    </row>
    <row r="1061" spans="1:5">
      <c r="A1061" s="24"/>
      <c r="B1061" s="19"/>
      <c r="C1061" s="26">
        <f>IF(A1061="","",ROUND((A1061+cfgAjusteMES/1440)*48,0))</f>
        <v>0</v>
      </c>
      <c r="D1061" s="26">
        <f>IF(C1061="","",INT((C1061-cfgDeslocamento)/4))</f>
        <v>0</v>
      </c>
      <c r="E1061" s="26">
        <f>IF(C1061="","",MOD(C1061-cfgDeslocamento,4)+1)</f>
        <v>0</v>
      </c>
    </row>
    <row r="1062" spans="1:5">
      <c r="A1062" s="24"/>
      <c r="B1062" s="19"/>
      <c r="C1062" s="26">
        <f>IF(A1062="","",ROUND((A1062+cfgAjusteMES/1440)*48,0))</f>
        <v>0</v>
      </c>
      <c r="D1062" s="26">
        <f>IF(C1062="","",INT((C1062-cfgDeslocamento)/4))</f>
        <v>0</v>
      </c>
      <c r="E1062" s="26">
        <f>IF(C1062="","",MOD(C1062-cfgDeslocamento,4)+1)</f>
        <v>0</v>
      </c>
    </row>
    <row r="1063" spans="1:5">
      <c r="A1063" s="24"/>
      <c r="B1063" s="19"/>
      <c r="C1063" s="26">
        <f>IF(A1063="","",ROUND((A1063+cfgAjusteMES/1440)*48,0))</f>
        <v>0</v>
      </c>
      <c r="D1063" s="26">
        <f>IF(C1063="","",INT((C1063-cfgDeslocamento)/4))</f>
        <v>0</v>
      </c>
      <c r="E1063" s="26">
        <f>IF(C1063="","",MOD(C1063-cfgDeslocamento,4)+1)</f>
        <v>0</v>
      </c>
    </row>
    <row r="1064" spans="1:5">
      <c r="A1064" s="24"/>
      <c r="B1064" s="19"/>
      <c r="C1064" s="26">
        <f>IF(A1064="","",ROUND((A1064+cfgAjusteMES/1440)*48,0))</f>
        <v>0</v>
      </c>
      <c r="D1064" s="26">
        <f>IF(C1064="","",INT((C1064-cfgDeslocamento)/4))</f>
        <v>0</v>
      </c>
      <c r="E1064" s="26">
        <f>IF(C1064="","",MOD(C1064-cfgDeslocamento,4)+1)</f>
        <v>0</v>
      </c>
    </row>
    <row r="1065" spans="1:5">
      <c r="A1065" s="24"/>
      <c r="B1065" s="19"/>
      <c r="C1065" s="26">
        <f>IF(A1065="","",ROUND((A1065+cfgAjusteMES/1440)*48,0))</f>
        <v>0</v>
      </c>
      <c r="D1065" s="26">
        <f>IF(C1065="","",INT((C1065-cfgDeslocamento)/4))</f>
        <v>0</v>
      </c>
      <c r="E1065" s="26">
        <f>IF(C1065="","",MOD(C1065-cfgDeslocamento,4)+1)</f>
        <v>0</v>
      </c>
    </row>
    <row r="1066" spans="1:5">
      <c r="A1066" s="24"/>
      <c r="B1066" s="19"/>
      <c r="C1066" s="26">
        <f>IF(A1066="","",ROUND((A1066+cfgAjusteMES/1440)*48,0))</f>
        <v>0</v>
      </c>
      <c r="D1066" s="26">
        <f>IF(C1066="","",INT((C1066-cfgDeslocamento)/4))</f>
        <v>0</v>
      </c>
      <c r="E1066" s="26">
        <f>IF(C1066="","",MOD(C1066-cfgDeslocamento,4)+1)</f>
        <v>0</v>
      </c>
    </row>
    <row r="1067" spans="1:5">
      <c r="A1067" s="24"/>
      <c r="B1067" s="19"/>
      <c r="C1067" s="26">
        <f>IF(A1067="","",ROUND((A1067+cfgAjusteMES/1440)*48,0))</f>
        <v>0</v>
      </c>
      <c r="D1067" s="26">
        <f>IF(C1067="","",INT((C1067-cfgDeslocamento)/4))</f>
        <v>0</v>
      </c>
      <c r="E1067" s="26">
        <f>IF(C1067="","",MOD(C1067-cfgDeslocamento,4)+1)</f>
        <v>0</v>
      </c>
    </row>
    <row r="1068" spans="1:5">
      <c r="A1068" s="24"/>
      <c r="B1068" s="19"/>
      <c r="C1068" s="26">
        <f>IF(A1068="","",ROUND((A1068+cfgAjusteMES/1440)*48,0))</f>
        <v>0</v>
      </c>
      <c r="D1068" s="26">
        <f>IF(C1068="","",INT((C1068-cfgDeslocamento)/4))</f>
        <v>0</v>
      </c>
      <c r="E1068" s="26">
        <f>IF(C1068="","",MOD(C1068-cfgDeslocamento,4)+1)</f>
        <v>0</v>
      </c>
    </row>
    <row r="1069" spans="1:5">
      <c r="A1069" s="24"/>
      <c r="B1069" s="19"/>
      <c r="C1069" s="26">
        <f>IF(A1069="","",ROUND((A1069+cfgAjusteMES/1440)*48,0))</f>
        <v>0</v>
      </c>
      <c r="D1069" s="26">
        <f>IF(C1069="","",INT((C1069-cfgDeslocamento)/4))</f>
        <v>0</v>
      </c>
      <c r="E1069" s="26">
        <f>IF(C1069="","",MOD(C1069-cfgDeslocamento,4)+1)</f>
        <v>0</v>
      </c>
    </row>
    <row r="1070" spans="1:5">
      <c r="A1070" s="24"/>
      <c r="B1070" s="19"/>
      <c r="C1070" s="26">
        <f>IF(A1070="","",ROUND((A1070+cfgAjusteMES/1440)*48,0))</f>
        <v>0</v>
      </c>
      <c r="D1070" s="26">
        <f>IF(C1070="","",INT((C1070-cfgDeslocamento)/4))</f>
        <v>0</v>
      </c>
      <c r="E1070" s="26">
        <f>IF(C1070="","",MOD(C1070-cfgDeslocamento,4)+1)</f>
        <v>0</v>
      </c>
    </row>
    <row r="1071" spans="1:5">
      <c r="A1071" s="24"/>
      <c r="B1071" s="19"/>
      <c r="C1071" s="26">
        <f>IF(A1071="","",ROUND((A1071+cfgAjusteMES/1440)*48,0))</f>
        <v>0</v>
      </c>
      <c r="D1071" s="26">
        <f>IF(C1071="","",INT((C1071-cfgDeslocamento)/4))</f>
        <v>0</v>
      </c>
      <c r="E1071" s="26">
        <f>IF(C1071="","",MOD(C1071-cfgDeslocamento,4)+1)</f>
        <v>0</v>
      </c>
    </row>
    <row r="1072" spans="1:5">
      <c r="A1072" s="24"/>
      <c r="B1072" s="19"/>
      <c r="C1072" s="26">
        <f>IF(A1072="","",ROUND((A1072+cfgAjusteMES/1440)*48,0))</f>
        <v>0</v>
      </c>
      <c r="D1072" s="26">
        <f>IF(C1072="","",INT((C1072-cfgDeslocamento)/4))</f>
        <v>0</v>
      </c>
      <c r="E1072" s="26">
        <f>IF(C1072="","",MOD(C1072-cfgDeslocamento,4)+1)</f>
        <v>0</v>
      </c>
    </row>
    <row r="1073" spans="1:5">
      <c r="A1073" s="24"/>
      <c r="B1073" s="19"/>
      <c r="C1073" s="26">
        <f>IF(A1073="","",ROUND((A1073+cfgAjusteMES/1440)*48,0))</f>
        <v>0</v>
      </c>
      <c r="D1073" s="26">
        <f>IF(C1073="","",INT((C1073-cfgDeslocamento)/4))</f>
        <v>0</v>
      </c>
      <c r="E1073" s="26">
        <f>IF(C1073="","",MOD(C1073-cfgDeslocamento,4)+1)</f>
        <v>0</v>
      </c>
    </row>
    <row r="1074" spans="1:5">
      <c r="A1074" s="24"/>
      <c r="B1074" s="19"/>
      <c r="C1074" s="26">
        <f>IF(A1074="","",ROUND((A1074+cfgAjusteMES/1440)*48,0))</f>
        <v>0</v>
      </c>
      <c r="D1074" s="26">
        <f>IF(C1074="","",INT((C1074-cfgDeslocamento)/4))</f>
        <v>0</v>
      </c>
      <c r="E1074" s="26">
        <f>IF(C1074="","",MOD(C1074-cfgDeslocamento,4)+1)</f>
        <v>0</v>
      </c>
    </row>
    <row r="1075" spans="1:5">
      <c r="A1075" s="24"/>
      <c r="B1075" s="19"/>
      <c r="C1075" s="26">
        <f>IF(A1075="","",ROUND((A1075+cfgAjusteMES/1440)*48,0))</f>
        <v>0</v>
      </c>
      <c r="D1075" s="26">
        <f>IF(C1075="","",INT((C1075-cfgDeslocamento)/4))</f>
        <v>0</v>
      </c>
      <c r="E1075" s="26">
        <f>IF(C1075="","",MOD(C1075-cfgDeslocamento,4)+1)</f>
        <v>0</v>
      </c>
    </row>
    <row r="1076" spans="1:5">
      <c r="A1076" s="24"/>
      <c r="B1076" s="19"/>
      <c r="C1076" s="26">
        <f>IF(A1076="","",ROUND((A1076+cfgAjusteMES/1440)*48,0))</f>
        <v>0</v>
      </c>
      <c r="D1076" s="26">
        <f>IF(C1076="","",INT((C1076-cfgDeslocamento)/4))</f>
        <v>0</v>
      </c>
      <c r="E1076" s="26">
        <f>IF(C1076="","",MOD(C1076-cfgDeslocamento,4)+1)</f>
        <v>0</v>
      </c>
    </row>
    <row r="1077" spans="1:5">
      <c r="A1077" s="24"/>
      <c r="B1077" s="19"/>
      <c r="C1077" s="26">
        <f>IF(A1077="","",ROUND((A1077+cfgAjusteMES/1440)*48,0))</f>
        <v>0</v>
      </c>
      <c r="D1077" s="26">
        <f>IF(C1077="","",INT((C1077-cfgDeslocamento)/4))</f>
        <v>0</v>
      </c>
      <c r="E1077" s="26">
        <f>IF(C1077="","",MOD(C1077-cfgDeslocamento,4)+1)</f>
        <v>0</v>
      </c>
    </row>
    <row r="1078" spans="1:5">
      <c r="A1078" s="24"/>
      <c r="B1078" s="19"/>
      <c r="C1078" s="26">
        <f>IF(A1078="","",ROUND((A1078+cfgAjusteMES/1440)*48,0))</f>
        <v>0</v>
      </c>
      <c r="D1078" s="26">
        <f>IF(C1078="","",INT((C1078-cfgDeslocamento)/4))</f>
        <v>0</v>
      </c>
      <c r="E1078" s="26">
        <f>IF(C1078="","",MOD(C1078-cfgDeslocamento,4)+1)</f>
        <v>0</v>
      </c>
    </row>
    <row r="1079" spans="1:5">
      <c r="A1079" s="24"/>
      <c r="B1079" s="19"/>
      <c r="C1079" s="26">
        <f>IF(A1079="","",ROUND((A1079+cfgAjusteMES/1440)*48,0))</f>
        <v>0</v>
      </c>
      <c r="D1079" s="26">
        <f>IF(C1079="","",INT((C1079-cfgDeslocamento)/4))</f>
        <v>0</v>
      </c>
      <c r="E1079" s="26">
        <f>IF(C1079="","",MOD(C1079-cfgDeslocamento,4)+1)</f>
        <v>0</v>
      </c>
    </row>
    <row r="1080" spans="1:5">
      <c r="A1080" s="24"/>
      <c r="B1080" s="19"/>
      <c r="C1080" s="26">
        <f>IF(A1080="","",ROUND((A1080+cfgAjusteMES/1440)*48,0))</f>
        <v>0</v>
      </c>
      <c r="D1080" s="26">
        <f>IF(C1080="","",INT((C1080-cfgDeslocamento)/4))</f>
        <v>0</v>
      </c>
      <c r="E1080" s="26">
        <f>IF(C1080="","",MOD(C1080-cfgDeslocamento,4)+1)</f>
        <v>0</v>
      </c>
    </row>
    <row r="1081" spans="1:5">
      <c r="A1081" s="24"/>
      <c r="B1081" s="19"/>
      <c r="C1081" s="26">
        <f>IF(A1081="","",ROUND((A1081+cfgAjusteMES/1440)*48,0))</f>
        <v>0</v>
      </c>
      <c r="D1081" s="26">
        <f>IF(C1081="","",INT((C1081-cfgDeslocamento)/4))</f>
        <v>0</v>
      </c>
      <c r="E1081" s="26">
        <f>IF(C1081="","",MOD(C1081-cfgDeslocamento,4)+1)</f>
        <v>0</v>
      </c>
    </row>
    <row r="1082" spans="1:5">
      <c r="A1082" s="24"/>
      <c r="B1082" s="19"/>
      <c r="C1082" s="26">
        <f>IF(A1082="","",ROUND((A1082+cfgAjusteMES/1440)*48,0))</f>
        <v>0</v>
      </c>
      <c r="D1082" s="26">
        <f>IF(C1082="","",INT((C1082-cfgDeslocamento)/4))</f>
        <v>0</v>
      </c>
      <c r="E1082" s="26">
        <f>IF(C1082="","",MOD(C1082-cfgDeslocamento,4)+1)</f>
        <v>0</v>
      </c>
    </row>
    <row r="1083" spans="1:5">
      <c r="A1083" s="24"/>
      <c r="B1083" s="19"/>
      <c r="C1083" s="26">
        <f>IF(A1083="","",ROUND((A1083+cfgAjusteMES/1440)*48,0))</f>
        <v>0</v>
      </c>
      <c r="D1083" s="26">
        <f>IF(C1083="","",INT((C1083-cfgDeslocamento)/4))</f>
        <v>0</v>
      </c>
      <c r="E1083" s="26">
        <f>IF(C1083="","",MOD(C1083-cfgDeslocamento,4)+1)</f>
        <v>0</v>
      </c>
    </row>
    <row r="1084" spans="1:5">
      <c r="A1084" s="24"/>
      <c r="B1084" s="19"/>
      <c r="C1084" s="26">
        <f>IF(A1084="","",ROUND((A1084+cfgAjusteMES/1440)*48,0))</f>
        <v>0</v>
      </c>
      <c r="D1084" s="26">
        <f>IF(C1084="","",INT((C1084-cfgDeslocamento)/4))</f>
        <v>0</v>
      </c>
      <c r="E1084" s="26">
        <f>IF(C1084="","",MOD(C1084-cfgDeslocamento,4)+1)</f>
        <v>0</v>
      </c>
    </row>
    <row r="1085" spans="1:5">
      <c r="A1085" s="24"/>
      <c r="B1085" s="19"/>
      <c r="C1085" s="26">
        <f>IF(A1085="","",ROUND((A1085+cfgAjusteMES/1440)*48,0))</f>
        <v>0</v>
      </c>
      <c r="D1085" s="26">
        <f>IF(C1085="","",INT((C1085-cfgDeslocamento)/4))</f>
        <v>0</v>
      </c>
      <c r="E1085" s="26">
        <f>IF(C1085="","",MOD(C1085-cfgDeslocamento,4)+1)</f>
        <v>0</v>
      </c>
    </row>
    <row r="1086" spans="1:5">
      <c r="A1086" s="24"/>
      <c r="B1086" s="19"/>
      <c r="C1086" s="26">
        <f>IF(A1086="","",ROUND((A1086+cfgAjusteMES/1440)*48,0))</f>
        <v>0</v>
      </c>
      <c r="D1086" s="26">
        <f>IF(C1086="","",INT((C1086-cfgDeslocamento)/4))</f>
        <v>0</v>
      </c>
      <c r="E1086" s="26">
        <f>IF(C1086="","",MOD(C1086-cfgDeslocamento,4)+1)</f>
        <v>0</v>
      </c>
    </row>
    <row r="1087" spans="1:5">
      <c r="A1087" s="24"/>
      <c r="B1087" s="19"/>
      <c r="C1087" s="26">
        <f>IF(A1087="","",ROUND((A1087+cfgAjusteMES/1440)*48,0))</f>
        <v>0</v>
      </c>
      <c r="D1087" s="26">
        <f>IF(C1087="","",INT((C1087-cfgDeslocamento)/4))</f>
        <v>0</v>
      </c>
      <c r="E1087" s="26">
        <f>IF(C1087="","",MOD(C1087-cfgDeslocamento,4)+1)</f>
        <v>0</v>
      </c>
    </row>
    <row r="1088" spans="1:5">
      <c r="A1088" s="24"/>
      <c r="B1088" s="19"/>
      <c r="C1088" s="26">
        <f>IF(A1088="","",ROUND((A1088+cfgAjusteMES/1440)*48,0))</f>
        <v>0</v>
      </c>
      <c r="D1088" s="26">
        <f>IF(C1088="","",INT((C1088-cfgDeslocamento)/4))</f>
        <v>0</v>
      </c>
      <c r="E1088" s="26">
        <f>IF(C1088="","",MOD(C1088-cfgDeslocamento,4)+1)</f>
        <v>0</v>
      </c>
    </row>
    <row r="1089" spans="1:5">
      <c r="A1089" s="24"/>
      <c r="B1089" s="19"/>
      <c r="C1089" s="26">
        <f>IF(A1089="","",ROUND((A1089+cfgAjusteMES/1440)*48,0))</f>
        <v>0</v>
      </c>
      <c r="D1089" s="26">
        <f>IF(C1089="","",INT((C1089-cfgDeslocamento)/4))</f>
        <v>0</v>
      </c>
      <c r="E1089" s="26">
        <f>IF(C1089="","",MOD(C1089-cfgDeslocamento,4)+1)</f>
        <v>0</v>
      </c>
    </row>
    <row r="1090" spans="1:5">
      <c r="A1090" s="24"/>
      <c r="B1090" s="19"/>
      <c r="C1090" s="26">
        <f>IF(A1090="","",ROUND((A1090+cfgAjusteMES/1440)*48,0))</f>
        <v>0</v>
      </c>
      <c r="D1090" s="26">
        <f>IF(C1090="","",INT((C1090-cfgDeslocamento)/4))</f>
        <v>0</v>
      </c>
      <c r="E1090" s="26">
        <f>IF(C1090="","",MOD(C1090-cfgDeslocamento,4)+1)</f>
        <v>0</v>
      </c>
    </row>
    <row r="1091" spans="1:5">
      <c r="A1091" s="24"/>
      <c r="B1091" s="19"/>
      <c r="C1091" s="26">
        <f>IF(A1091="","",ROUND((A1091+cfgAjusteMES/1440)*48,0))</f>
        <v>0</v>
      </c>
      <c r="D1091" s="26">
        <f>IF(C1091="","",INT((C1091-cfgDeslocamento)/4))</f>
        <v>0</v>
      </c>
      <c r="E1091" s="26">
        <f>IF(C1091="","",MOD(C1091-cfgDeslocamento,4)+1)</f>
        <v>0</v>
      </c>
    </row>
    <row r="1092" spans="1:5">
      <c r="A1092" s="24"/>
      <c r="B1092" s="19"/>
      <c r="C1092" s="26">
        <f>IF(A1092="","",ROUND((A1092+cfgAjusteMES/1440)*48,0))</f>
        <v>0</v>
      </c>
      <c r="D1092" s="26">
        <f>IF(C1092="","",INT((C1092-cfgDeslocamento)/4))</f>
        <v>0</v>
      </c>
      <c r="E1092" s="26">
        <f>IF(C1092="","",MOD(C1092-cfgDeslocamento,4)+1)</f>
        <v>0</v>
      </c>
    </row>
    <row r="1093" spans="1:5">
      <c r="A1093" s="24"/>
      <c r="B1093" s="19"/>
      <c r="C1093" s="26">
        <f>IF(A1093="","",ROUND((A1093+cfgAjusteMES/1440)*48,0))</f>
        <v>0</v>
      </c>
      <c r="D1093" s="26">
        <f>IF(C1093="","",INT((C1093-cfgDeslocamento)/4))</f>
        <v>0</v>
      </c>
      <c r="E1093" s="26">
        <f>IF(C1093="","",MOD(C1093-cfgDeslocamento,4)+1)</f>
        <v>0</v>
      </c>
    </row>
    <row r="1094" spans="1:5">
      <c r="A1094" s="24"/>
      <c r="B1094" s="19"/>
      <c r="C1094" s="26">
        <f>IF(A1094="","",ROUND((A1094+cfgAjusteMES/1440)*48,0))</f>
        <v>0</v>
      </c>
      <c r="D1094" s="26">
        <f>IF(C1094="","",INT((C1094-cfgDeslocamento)/4))</f>
        <v>0</v>
      </c>
      <c r="E1094" s="26">
        <f>IF(C1094="","",MOD(C1094-cfgDeslocamento,4)+1)</f>
        <v>0</v>
      </c>
    </row>
    <row r="1095" spans="1:5">
      <c r="A1095" s="24"/>
      <c r="B1095" s="19"/>
      <c r="C1095" s="26">
        <f>IF(A1095="","",ROUND((A1095+cfgAjusteMES/1440)*48,0))</f>
        <v>0</v>
      </c>
      <c r="D1095" s="26">
        <f>IF(C1095="","",INT((C1095-cfgDeslocamento)/4))</f>
        <v>0</v>
      </c>
      <c r="E1095" s="26">
        <f>IF(C1095="","",MOD(C1095-cfgDeslocamento,4)+1)</f>
        <v>0</v>
      </c>
    </row>
    <row r="1096" spans="1:5">
      <c r="A1096" s="24"/>
      <c r="B1096" s="19"/>
      <c r="C1096" s="26">
        <f>IF(A1096="","",ROUND((A1096+cfgAjusteMES/1440)*48,0))</f>
        <v>0</v>
      </c>
      <c r="D1096" s="26">
        <f>IF(C1096="","",INT((C1096-cfgDeslocamento)/4))</f>
        <v>0</v>
      </c>
      <c r="E1096" s="26">
        <f>IF(C1096="","",MOD(C1096-cfgDeslocamento,4)+1)</f>
        <v>0</v>
      </c>
    </row>
    <row r="1097" spans="1:5">
      <c r="A1097" s="24"/>
      <c r="B1097" s="19"/>
      <c r="C1097" s="26">
        <f>IF(A1097="","",ROUND((A1097+cfgAjusteMES/1440)*48,0))</f>
        <v>0</v>
      </c>
      <c r="D1097" s="26">
        <f>IF(C1097="","",INT((C1097-cfgDeslocamento)/4))</f>
        <v>0</v>
      </c>
      <c r="E1097" s="26">
        <f>IF(C1097="","",MOD(C1097-cfgDeslocamento,4)+1)</f>
        <v>0</v>
      </c>
    </row>
    <row r="1098" spans="1:5">
      <c r="A1098" s="24"/>
      <c r="B1098" s="19"/>
      <c r="C1098" s="26">
        <f>IF(A1098="","",ROUND((A1098+cfgAjusteMES/1440)*48,0))</f>
        <v>0</v>
      </c>
      <c r="D1098" s="26">
        <f>IF(C1098="","",INT((C1098-cfgDeslocamento)/4))</f>
        <v>0</v>
      </c>
      <c r="E1098" s="26">
        <f>IF(C1098="","",MOD(C1098-cfgDeslocamento,4)+1)</f>
        <v>0</v>
      </c>
    </row>
    <row r="1099" spans="1:5">
      <c r="A1099" s="24"/>
      <c r="B1099" s="19"/>
      <c r="C1099" s="26">
        <f>IF(A1099="","",ROUND((A1099+cfgAjusteMES/1440)*48,0))</f>
        <v>0</v>
      </c>
      <c r="D1099" s="26">
        <f>IF(C1099="","",INT((C1099-cfgDeslocamento)/4))</f>
        <v>0</v>
      </c>
      <c r="E1099" s="26">
        <f>IF(C1099="","",MOD(C1099-cfgDeslocamento,4)+1)</f>
        <v>0</v>
      </c>
    </row>
    <row r="1100" spans="1:5">
      <c r="A1100" s="24"/>
      <c r="B1100" s="19"/>
      <c r="C1100" s="26">
        <f>IF(A1100="","",ROUND((A1100+cfgAjusteMES/1440)*48,0))</f>
        <v>0</v>
      </c>
      <c r="D1100" s="26">
        <f>IF(C1100="","",INT((C1100-cfgDeslocamento)/4))</f>
        <v>0</v>
      </c>
      <c r="E1100" s="26">
        <f>IF(C1100="","",MOD(C1100-cfgDeslocamento,4)+1)</f>
        <v>0</v>
      </c>
    </row>
    <row r="1101" spans="1:5">
      <c r="A1101" s="24"/>
      <c r="B1101" s="19"/>
      <c r="C1101" s="26">
        <f>IF(A1101="","",ROUND((A1101+cfgAjusteMES/1440)*48,0))</f>
        <v>0</v>
      </c>
      <c r="D1101" s="26">
        <f>IF(C1101="","",INT((C1101-cfgDeslocamento)/4))</f>
        <v>0</v>
      </c>
      <c r="E1101" s="26">
        <f>IF(C1101="","",MOD(C1101-cfgDeslocamento,4)+1)</f>
        <v>0</v>
      </c>
    </row>
    <row r="1102" spans="1:5">
      <c r="A1102" s="24"/>
      <c r="B1102" s="19"/>
      <c r="C1102" s="26">
        <f>IF(A1102="","",ROUND((A1102+cfgAjusteMES/1440)*48,0))</f>
        <v>0</v>
      </c>
      <c r="D1102" s="26">
        <f>IF(C1102="","",INT((C1102-cfgDeslocamento)/4))</f>
        <v>0</v>
      </c>
      <c r="E1102" s="26">
        <f>IF(C1102="","",MOD(C1102-cfgDeslocamento,4)+1)</f>
        <v>0</v>
      </c>
    </row>
    <row r="1103" spans="1:5">
      <c r="A1103" s="24"/>
      <c r="B1103" s="19"/>
      <c r="C1103" s="26">
        <f>IF(A1103="","",ROUND((A1103+cfgAjusteMES/1440)*48,0))</f>
        <v>0</v>
      </c>
      <c r="D1103" s="26">
        <f>IF(C1103="","",INT((C1103-cfgDeslocamento)/4))</f>
        <v>0</v>
      </c>
      <c r="E1103" s="26">
        <f>IF(C1103="","",MOD(C1103-cfgDeslocamento,4)+1)</f>
        <v>0</v>
      </c>
    </row>
    <row r="1104" spans="1:5">
      <c r="A1104" s="24"/>
      <c r="B1104" s="19"/>
      <c r="C1104" s="26">
        <f>IF(A1104="","",ROUND((A1104+cfgAjusteMES/1440)*48,0))</f>
        <v>0</v>
      </c>
      <c r="D1104" s="26">
        <f>IF(C1104="","",INT((C1104-cfgDeslocamento)/4))</f>
        <v>0</v>
      </c>
      <c r="E1104" s="26">
        <f>IF(C1104="","",MOD(C1104-cfgDeslocamento,4)+1)</f>
        <v>0</v>
      </c>
    </row>
    <row r="1105" spans="1:5">
      <c r="A1105" s="24"/>
      <c r="B1105" s="19"/>
      <c r="C1105" s="26">
        <f>IF(A1105="","",ROUND((A1105+cfgAjusteMES/1440)*48,0))</f>
        <v>0</v>
      </c>
      <c r="D1105" s="26">
        <f>IF(C1105="","",INT((C1105-cfgDeslocamento)/4))</f>
        <v>0</v>
      </c>
      <c r="E1105" s="26">
        <f>IF(C1105="","",MOD(C1105-cfgDeslocamento,4)+1)</f>
        <v>0</v>
      </c>
    </row>
    <row r="1106" spans="1:5">
      <c r="A1106" s="24"/>
      <c r="B1106" s="19"/>
      <c r="C1106" s="26">
        <f>IF(A1106="","",ROUND((A1106+cfgAjusteMES/1440)*48,0))</f>
        <v>0</v>
      </c>
      <c r="D1106" s="26">
        <f>IF(C1106="","",INT((C1106-cfgDeslocamento)/4))</f>
        <v>0</v>
      </c>
      <c r="E1106" s="26">
        <f>IF(C1106="","",MOD(C1106-cfgDeslocamento,4)+1)</f>
        <v>0</v>
      </c>
    </row>
    <row r="1107" spans="1:5">
      <c r="A1107" s="24"/>
      <c r="B1107" s="19"/>
      <c r="C1107" s="26">
        <f>IF(A1107="","",ROUND((A1107+cfgAjusteMES/1440)*48,0))</f>
        <v>0</v>
      </c>
      <c r="D1107" s="26">
        <f>IF(C1107="","",INT((C1107-cfgDeslocamento)/4))</f>
        <v>0</v>
      </c>
      <c r="E1107" s="26">
        <f>IF(C1107="","",MOD(C1107-cfgDeslocamento,4)+1)</f>
        <v>0</v>
      </c>
    </row>
    <row r="1108" spans="1:5">
      <c r="A1108" s="24"/>
      <c r="B1108" s="19"/>
      <c r="C1108" s="26">
        <f>IF(A1108="","",ROUND((A1108+cfgAjusteMES/1440)*48,0))</f>
        <v>0</v>
      </c>
      <c r="D1108" s="26">
        <f>IF(C1108="","",INT((C1108-cfgDeslocamento)/4))</f>
        <v>0</v>
      </c>
      <c r="E1108" s="26">
        <f>IF(C1108="","",MOD(C1108-cfgDeslocamento,4)+1)</f>
        <v>0</v>
      </c>
    </row>
    <row r="1109" spans="1:5">
      <c r="A1109" s="24"/>
      <c r="B1109" s="19"/>
      <c r="C1109" s="26">
        <f>IF(A1109="","",ROUND((A1109+cfgAjusteMES/1440)*48,0))</f>
        <v>0</v>
      </c>
      <c r="D1109" s="26">
        <f>IF(C1109="","",INT((C1109-cfgDeslocamento)/4))</f>
        <v>0</v>
      </c>
      <c r="E1109" s="26">
        <f>IF(C1109="","",MOD(C1109-cfgDeslocamento,4)+1)</f>
        <v>0</v>
      </c>
    </row>
    <row r="1110" spans="1:5">
      <c r="A1110" s="24"/>
      <c r="B1110" s="19"/>
      <c r="C1110" s="26">
        <f>IF(A1110="","",ROUND((A1110+cfgAjusteMES/1440)*48,0))</f>
        <v>0</v>
      </c>
      <c r="D1110" s="26">
        <f>IF(C1110="","",INT((C1110-cfgDeslocamento)/4))</f>
        <v>0</v>
      </c>
      <c r="E1110" s="26">
        <f>IF(C1110="","",MOD(C1110-cfgDeslocamento,4)+1)</f>
        <v>0</v>
      </c>
    </row>
    <row r="1111" spans="1:5">
      <c r="A1111" s="24"/>
      <c r="B1111" s="19"/>
      <c r="C1111" s="26">
        <f>IF(A1111="","",ROUND((A1111+cfgAjusteMES/1440)*48,0))</f>
        <v>0</v>
      </c>
      <c r="D1111" s="26">
        <f>IF(C1111="","",INT((C1111-cfgDeslocamento)/4))</f>
        <v>0</v>
      </c>
      <c r="E1111" s="26">
        <f>IF(C1111="","",MOD(C1111-cfgDeslocamento,4)+1)</f>
        <v>0</v>
      </c>
    </row>
    <row r="1112" spans="1:5">
      <c r="A1112" s="24"/>
      <c r="B1112" s="19"/>
      <c r="C1112" s="26">
        <f>IF(A1112="","",ROUND((A1112+cfgAjusteMES/1440)*48,0))</f>
        <v>0</v>
      </c>
      <c r="D1112" s="26">
        <f>IF(C1112="","",INT((C1112-cfgDeslocamento)/4))</f>
        <v>0</v>
      </c>
      <c r="E1112" s="26">
        <f>IF(C1112="","",MOD(C1112-cfgDeslocamento,4)+1)</f>
        <v>0</v>
      </c>
    </row>
    <row r="1113" spans="1:5">
      <c r="A1113" s="24"/>
      <c r="B1113" s="19"/>
      <c r="C1113" s="26">
        <f>IF(A1113="","",ROUND((A1113+cfgAjusteMES/1440)*48,0))</f>
        <v>0</v>
      </c>
      <c r="D1113" s="26">
        <f>IF(C1113="","",INT((C1113-cfgDeslocamento)/4))</f>
        <v>0</v>
      </c>
      <c r="E1113" s="26">
        <f>IF(C1113="","",MOD(C1113-cfgDeslocamento,4)+1)</f>
        <v>0</v>
      </c>
    </row>
    <row r="1114" spans="1:5">
      <c r="A1114" s="24"/>
      <c r="B1114" s="19"/>
      <c r="C1114" s="26">
        <f>IF(A1114="","",ROUND((A1114+cfgAjusteMES/1440)*48,0))</f>
        <v>0</v>
      </c>
      <c r="D1114" s="26">
        <f>IF(C1114="","",INT((C1114-cfgDeslocamento)/4))</f>
        <v>0</v>
      </c>
      <c r="E1114" s="26">
        <f>IF(C1114="","",MOD(C1114-cfgDeslocamento,4)+1)</f>
        <v>0</v>
      </c>
    </row>
    <row r="1115" spans="1:5">
      <c r="A1115" s="24"/>
      <c r="B1115" s="19"/>
      <c r="C1115" s="26">
        <f>IF(A1115="","",ROUND((A1115+cfgAjusteMES/1440)*48,0))</f>
        <v>0</v>
      </c>
      <c r="D1115" s="26">
        <f>IF(C1115="","",INT((C1115-cfgDeslocamento)/4))</f>
        <v>0</v>
      </c>
      <c r="E1115" s="26">
        <f>IF(C1115="","",MOD(C1115-cfgDeslocamento,4)+1)</f>
        <v>0</v>
      </c>
    </row>
    <row r="1116" spans="1:5">
      <c r="A1116" s="24"/>
      <c r="B1116" s="19"/>
      <c r="C1116" s="26">
        <f>IF(A1116="","",ROUND((A1116+cfgAjusteMES/1440)*48,0))</f>
        <v>0</v>
      </c>
      <c r="D1116" s="26">
        <f>IF(C1116="","",INT((C1116-cfgDeslocamento)/4))</f>
        <v>0</v>
      </c>
      <c r="E1116" s="26">
        <f>IF(C1116="","",MOD(C1116-cfgDeslocamento,4)+1)</f>
        <v>0</v>
      </c>
    </row>
    <row r="1117" spans="1:5">
      <c r="A1117" s="24"/>
      <c r="B1117" s="19"/>
      <c r="C1117" s="26">
        <f>IF(A1117="","",ROUND((A1117+cfgAjusteMES/1440)*48,0))</f>
        <v>0</v>
      </c>
      <c r="D1117" s="26">
        <f>IF(C1117="","",INT((C1117-cfgDeslocamento)/4))</f>
        <v>0</v>
      </c>
      <c r="E1117" s="26">
        <f>IF(C1117="","",MOD(C1117-cfgDeslocamento,4)+1)</f>
        <v>0</v>
      </c>
    </row>
    <row r="1118" spans="1:5">
      <c r="A1118" s="24"/>
      <c r="B1118" s="19"/>
      <c r="C1118" s="26">
        <f>IF(A1118="","",ROUND((A1118+cfgAjusteMES/1440)*48,0))</f>
        <v>0</v>
      </c>
      <c r="D1118" s="26">
        <f>IF(C1118="","",INT((C1118-cfgDeslocamento)/4))</f>
        <v>0</v>
      </c>
      <c r="E1118" s="26">
        <f>IF(C1118="","",MOD(C1118-cfgDeslocamento,4)+1)</f>
        <v>0</v>
      </c>
    </row>
    <row r="1119" spans="1:5">
      <c r="A1119" s="24"/>
      <c r="B1119" s="19"/>
      <c r="C1119" s="26">
        <f>IF(A1119="","",ROUND((A1119+cfgAjusteMES/1440)*48,0))</f>
        <v>0</v>
      </c>
      <c r="D1119" s="26">
        <f>IF(C1119="","",INT((C1119-cfgDeslocamento)/4))</f>
        <v>0</v>
      </c>
      <c r="E1119" s="26">
        <f>IF(C1119="","",MOD(C1119-cfgDeslocamento,4)+1)</f>
        <v>0</v>
      </c>
    </row>
    <row r="1120" spans="1:5">
      <c r="A1120" s="24"/>
      <c r="B1120" s="19"/>
      <c r="C1120" s="26">
        <f>IF(A1120="","",ROUND((A1120+cfgAjusteMES/1440)*48,0))</f>
        <v>0</v>
      </c>
      <c r="D1120" s="26">
        <f>IF(C1120="","",INT((C1120-cfgDeslocamento)/4))</f>
        <v>0</v>
      </c>
      <c r="E1120" s="26">
        <f>IF(C1120="","",MOD(C1120-cfgDeslocamento,4)+1)</f>
        <v>0</v>
      </c>
    </row>
    <row r="1121" spans="1:5">
      <c r="A1121" s="24"/>
      <c r="B1121" s="19"/>
      <c r="C1121" s="26">
        <f>IF(A1121="","",ROUND((A1121+cfgAjusteMES/1440)*48,0))</f>
        <v>0</v>
      </c>
      <c r="D1121" s="26">
        <f>IF(C1121="","",INT((C1121-cfgDeslocamento)/4))</f>
        <v>0</v>
      </c>
      <c r="E1121" s="26">
        <f>IF(C1121="","",MOD(C1121-cfgDeslocamento,4)+1)</f>
        <v>0</v>
      </c>
    </row>
    <row r="1122" spans="1:5">
      <c r="A1122" s="24"/>
      <c r="B1122" s="19"/>
      <c r="C1122" s="26">
        <f>IF(A1122="","",ROUND((A1122+cfgAjusteMES/1440)*48,0))</f>
        <v>0</v>
      </c>
      <c r="D1122" s="26">
        <f>IF(C1122="","",INT((C1122-cfgDeslocamento)/4))</f>
        <v>0</v>
      </c>
      <c r="E1122" s="26">
        <f>IF(C1122="","",MOD(C1122-cfgDeslocamento,4)+1)</f>
        <v>0</v>
      </c>
    </row>
    <row r="1123" spans="1:5">
      <c r="A1123" s="24"/>
      <c r="B1123" s="19"/>
      <c r="C1123" s="26">
        <f>IF(A1123="","",ROUND((A1123+cfgAjusteMES/1440)*48,0))</f>
        <v>0</v>
      </c>
      <c r="D1123" s="26">
        <f>IF(C1123="","",INT((C1123-cfgDeslocamento)/4))</f>
        <v>0</v>
      </c>
      <c r="E1123" s="26">
        <f>IF(C1123="","",MOD(C1123-cfgDeslocamento,4)+1)</f>
        <v>0</v>
      </c>
    </row>
    <row r="1124" spans="1:5">
      <c r="A1124" s="24"/>
      <c r="B1124" s="19"/>
      <c r="C1124" s="26">
        <f>IF(A1124="","",ROUND((A1124+cfgAjusteMES/1440)*48,0))</f>
        <v>0</v>
      </c>
      <c r="D1124" s="26">
        <f>IF(C1124="","",INT((C1124-cfgDeslocamento)/4))</f>
        <v>0</v>
      </c>
      <c r="E1124" s="26">
        <f>IF(C1124="","",MOD(C1124-cfgDeslocamento,4)+1)</f>
        <v>0</v>
      </c>
    </row>
    <row r="1125" spans="1:5">
      <c r="A1125" s="24"/>
      <c r="B1125" s="19"/>
      <c r="C1125" s="26">
        <f>IF(A1125="","",ROUND((A1125+cfgAjusteMES/1440)*48,0))</f>
        <v>0</v>
      </c>
      <c r="D1125" s="26">
        <f>IF(C1125="","",INT((C1125-cfgDeslocamento)/4))</f>
        <v>0</v>
      </c>
      <c r="E1125" s="26">
        <f>IF(C1125="","",MOD(C1125-cfgDeslocamento,4)+1)</f>
        <v>0</v>
      </c>
    </row>
    <row r="1126" spans="1:5">
      <c r="A1126" s="24"/>
      <c r="B1126" s="19"/>
      <c r="C1126" s="26">
        <f>IF(A1126="","",ROUND((A1126+cfgAjusteMES/1440)*48,0))</f>
        <v>0</v>
      </c>
      <c r="D1126" s="26">
        <f>IF(C1126="","",INT((C1126-cfgDeslocamento)/4))</f>
        <v>0</v>
      </c>
      <c r="E1126" s="26">
        <f>IF(C1126="","",MOD(C1126-cfgDeslocamento,4)+1)</f>
        <v>0</v>
      </c>
    </row>
    <row r="1127" spans="1:5">
      <c r="A1127" s="24"/>
      <c r="B1127" s="19"/>
      <c r="C1127" s="26">
        <f>IF(A1127="","",ROUND((A1127+cfgAjusteMES/1440)*48,0))</f>
        <v>0</v>
      </c>
      <c r="D1127" s="26">
        <f>IF(C1127="","",INT((C1127-cfgDeslocamento)/4))</f>
        <v>0</v>
      </c>
      <c r="E1127" s="26">
        <f>IF(C1127="","",MOD(C1127-cfgDeslocamento,4)+1)</f>
        <v>0</v>
      </c>
    </row>
    <row r="1128" spans="1:5">
      <c r="A1128" s="24"/>
      <c r="B1128" s="19"/>
      <c r="C1128" s="26">
        <f>IF(A1128="","",ROUND((A1128+cfgAjusteMES/1440)*48,0))</f>
        <v>0</v>
      </c>
      <c r="D1128" s="26">
        <f>IF(C1128="","",INT((C1128-cfgDeslocamento)/4))</f>
        <v>0</v>
      </c>
      <c r="E1128" s="26">
        <f>IF(C1128="","",MOD(C1128-cfgDeslocamento,4)+1)</f>
        <v>0</v>
      </c>
    </row>
    <row r="1129" spans="1:5">
      <c r="A1129" s="24"/>
      <c r="B1129" s="19"/>
      <c r="C1129" s="26">
        <f>IF(A1129="","",ROUND((A1129+cfgAjusteMES/1440)*48,0))</f>
        <v>0</v>
      </c>
      <c r="D1129" s="26">
        <f>IF(C1129="","",INT((C1129-cfgDeslocamento)/4))</f>
        <v>0</v>
      </c>
      <c r="E1129" s="26">
        <f>IF(C1129="","",MOD(C1129-cfgDeslocamento,4)+1)</f>
        <v>0</v>
      </c>
    </row>
    <row r="1130" spans="1:5">
      <c r="A1130" s="24"/>
      <c r="B1130" s="19"/>
      <c r="C1130" s="26">
        <f>IF(A1130="","",ROUND((A1130+cfgAjusteMES/1440)*48,0))</f>
        <v>0</v>
      </c>
      <c r="D1130" s="26">
        <f>IF(C1130="","",INT((C1130-cfgDeslocamento)/4))</f>
        <v>0</v>
      </c>
      <c r="E1130" s="26">
        <f>IF(C1130="","",MOD(C1130-cfgDeslocamento,4)+1)</f>
        <v>0</v>
      </c>
    </row>
    <row r="1131" spans="1:5">
      <c r="A1131" s="24"/>
      <c r="B1131" s="19"/>
      <c r="C1131" s="26">
        <f>IF(A1131="","",ROUND((A1131+cfgAjusteMES/1440)*48,0))</f>
        <v>0</v>
      </c>
      <c r="D1131" s="26">
        <f>IF(C1131="","",INT((C1131-cfgDeslocamento)/4))</f>
        <v>0</v>
      </c>
      <c r="E1131" s="26">
        <f>IF(C1131="","",MOD(C1131-cfgDeslocamento,4)+1)</f>
        <v>0</v>
      </c>
    </row>
    <row r="1132" spans="1:5">
      <c r="A1132" s="24"/>
      <c r="B1132" s="19"/>
      <c r="C1132" s="26">
        <f>IF(A1132="","",ROUND((A1132+cfgAjusteMES/1440)*48,0))</f>
        <v>0</v>
      </c>
      <c r="D1132" s="26">
        <f>IF(C1132="","",INT((C1132-cfgDeslocamento)/4))</f>
        <v>0</v>
      </c>
      <c r="E1132" s="26">
        <f>IF(C1132="","",MOD(C1132-cfgDeslocamento,4)+1)</f>
        <v>0</v>
      </c>
    </row>
    <row r="1133" spans="1:5">
      <c r="A1133" s="24"/>
      <c r="B1133" s="19"/>
      <c r="C1133" s="26">
        <f>IF(A1133="","",ROUND((A1133+cfgAjusteMES/1440)*48,0))</f>
        <v>0</v>
      </c>
      <c r="D1133" s="26">
        <f>IF(C1133="","",INT((C1133-cfgDeslocamento)/4))</f>
        <v>0</v>
      </c>
      <c r="E1133" s="26">
        <f>IF(C1133="","",MOD(C1133-cfgDeslocamento,4)+1)</f>
        <v>0</v>
      </c>
    </row>
    <row r="1134" spans="1:5">
      <c r="A1134" s="24"/>
      <c r="B1134" s="19"/>
      <c r="C1134" s="26">
        <f>IF(A1134="","",ROUND((A1134+cfgAjusteMES/1440)*48,0))</f>
        <v>0</v>
      </c>
      <c r="D1134" s="26">
        <f>IF(C1134="","",INT((C1134-cfgDeslocamento)/4))</f>
        <v>0</v>
      </c>
      <c r="E1134" s="26">
        <f>IF(C1134="","",MOD(C1134-cfgDeslocamento,4)+1)</f>
        <v>0</v>
      </c>
    </row>
    <row r="1135" spans="1:5">
      <c r="A1135" s="24"/>
      <c r="B1135" s="19"/>
      <c r="C1135" s="26">
        <f>IF(A1135="","",ROUND((A1135+cfgAjusteMES/1440)*48,0))</f>
        <v>0</v>
      </c>
      <c r="D1135" s="26">
        <f>IF(C1135="","",INT((C1135-cfgDeslocamento)/4))</f>
        <v>0</v>
      </c>
      <c r="E1135" s="26">
        <f>IF(C1135="","",MOD(C1135-cfgDeslocamento,4)+1)</f>
        <v>0</v>
      </c>
    </row>
    <row r="1136" spans="1:5">
      <c r="A1136" s="24"/>
      <c r="B1136" s="19"/>
      <c r="C1136" s="26">
        <f>IF(A1136="","",ROUND((A1136+cfgAjusteMES/1440)*48,0))</f>
        <v>0</v>
      </c>
      <c r="D1136" s="26">
        <f>IF(C1136="","",INT((C1136-cfgDeslocamento)/4))</f>
        <v>0</v>
      </c>
      <c r="E1136" s="26">
        <f>IF(C1136="","",MOD(C1136-cfgDeslocamento,4)+1)</f>
        <v>0</v>
      </c>
    </row>
    <row r="1137" spans="1:5">
      <c r="A1137" s="24"/>
      <c r="B1137" s="19"/>
      <c r="C1137" s="26">
        <f>IF(A1137="","",ROUND((A1137+cfgAjusteMES/1440)*48,0))</f>
        <v>0</v>
      </c>
      <c r="D1137" s="26">
        <f>IF(C1137="","",INT((C1137-cfgDeslocamento)/4))</f>
        <v>0</v>
      </c>
      <c r="E1137" s="26">
        <f>IF(C1137="","",MOD(C1137-cfgDeslocamento,4)+1)</f>
        <v>0</v>
      </c>
    </row>
    <row r="1138" spans="1:5">
      <c r="A1138" s="24"/>
      <c r="B1138" s="19"/>
      <c r="C1138" s="26">
        <f>IF(A1138="","",ROUND((A1138+cfgAjusteMES/1440)*48,0))</f>
        <v>0</v>
      </c>
      <c r="D1138" s="26">
        <f>IF(C1138="","",INT((C1138-cfgDeslocamento)/4))</f>
        <v>0</v>
      </c>
      <c r="E1138" s="26">
        <f>IF(C1138="","",MOD(C1138-cfgDeslocamento,4)+1)</f>
        <v>0</v>
      </c>
    </row>
    <row r="1139" spans="1:5">
      <c r="A1139" s="24"/>
      <c r="B1139" s="19"/>
      <c r="C1139" s="26">
        <f>IF(A1139="","",ROUND((A1139+cfgAjusteMES/1440)*48,0))</f>
        <v>0</v>
      </c>
      <c r="D1139" s="26">
        <f>IF(C1139="","",INT((C1139-cfgDeslocamento)/4))</f>
        <v>0</v>
      </c>
      <c r="E1139" s="26">
        <f>IF(C1139="","",MOD(C1139-cfgDeslocamento,4)+1)</f>
        <v>0</v>
      </c>
    </row>
    <row r="1140" spans="1:5">
      <c r="A1140" s="24"/>
      <c r="B1140" s="19"/>
      <c r="C1140" s="26">
        <f>IF(A1140="","",ROUND((A1140+cfgAjusteMES/1440)*48,0))</f>
        <v>0</v>
      </c>
      <c r="D1140" s="26">
        <f>IF(C1140="","",INT((C1140-cfgDeslocamento)/4))</f>
        <v>0</v>
      </c>
      <c r="E1140" s="26">
        <f>IF(C1140="","",MOD(C1140-cfgDeslocamento,4)+1)</f>
        <v>0</v>
      </c>
    </row>
    <row r="1141" spans="1:5">
      <c r="A1141" s="24"/>
      <c r="B1141" s="19"/>
      <c r="C1141" s="26">
        <f>IF(A1141="","",ROUND((A1141+cfgAjusteMES/1440)*48,0))</f>
        <v>0</v>
      </c>
      <c r="D1141" s="26">
        <f>IF(C1141="","",INT((C1141-cfgDeslocamento)/4))</f>
        <v>0</v>
      </c>
      <c r="E1141" s="26">
        <f>IF(C1141="","",MOD(C1141-cfgDeslocamento,4)+1)</f>
        <v>0</v>
      </c>
    </row>
    <row r="1142" spans="1:5">
      <c r="A1142" s="24"/>
      <c r="B1142" s="19"/>
      <c r="C1142" s="26">
        <f>IF(A1142="","",ROUND((A1142+cfgAjusteMES/1440)*48,0))</f>
        <v>0</v>
      </c>
      <c r="D1142" s="26">
        <f>IF(C1142="","",INT((C1142-cfgDeslocamento)/4))</f>
        <v>0</v>
      </c>
      <c r="E1142" s="26">
        <f>IF(C1142="","",MOD(C1142-cfgDeslocamento,4)+1)</f>
        <v>0</v>
      </c>
    </row>
    <row r="1143" spans="1:5">
      <c r="A1143" s="24"/>
      <c r="B1143" s="19"/>
      <c r="C1143" s="26">
        <f>IF(A1143="","",ROUND((A1143+cfgAjusteMES/1440)*48,0))</f>
        <v>0</v>
      </c>
      <c r="D1143" s="26">
        <f>IF(C1143="","",INT((C1143-cfgDeslocamento)/4))</f>
        <v>0</v>
      </c>
      <c r="E1143" s="26">
        <f>IF(C1143="","",MOD(C1143-cfgDeslocamento,4)+1)</f>
        <v>0</v>
      </c>
    </row>
    <row r="1144" spans="1:5">
      <c r="A1144" s="24"/>
      <c r="B1144" s="19"/>
      <c r="C1144" s="26">
        <f>IF(A1144="","",ROUND((A1144+cfgAjusteMES/1440)*48,0))</f>
        <v>0</v>
      </c>
      <c r="D1144" s="26">
        <f>IF(C1144="","",INT((C1144-cfgDeslocamento)/4))</f>
        <v>0</v>
      </c>
      <c r="E1144" s="26">
        <f>IF(C1144="","",MOD(C1144-cfgDeslocamento,4)+1)</f>
        <v>0</v>
      </c>
    </row>
    <row r="1145" spans="1:5">
      <c r="A1145" s="24"/>
      <c r="B1145" s="19"/>
      <c r="C1145" s="26">
        <f>IF(A1145="","",ROUND((A1145+cfgAjusteMES/1440)*48,0))</f>
        <v>0</v>
      </c>
      <c r="D1145" s="26">
        <f>IF(C1145="","",INT((C1145-cfgDeslocamento)/4))</f>
        <v>0</v>
      </c>
      <c r="E1145" s="26">
        <f>IF(C1145="","",MOD(C1145-cfgDeslocamento,4)+1)</f>
        <v>0</v>
      </c>
    </row>
    <row r="1146" spans="1:5">
      <c r="A1146" s="24"/>
      <c r="B1146" s="19"/>
      <c r="C1146" s="26">
        <f>IF(A1146="","",ROUND((A1146+cfgAjusteMES/1440)*48,0))</f>
        <v>0</v>
      </c>
      <c r="D1146" s="26">
        <f>IF(C1146="","",INT((C1146-cfgDeslocamento)/4))</f>
        <v>0</v>
      </c>
      <c r="E1146" s="26">
        <f>IF(C1146="","",MOD(C1146-cfgDeslocamento,4)+1)</f>
        <v>0</v>
      </c>
    </row>
    <row r="1147" spans="1:5">
      <c r="A1147" s="24"/>
      <c r="B1147" s="19"/>
      <c r="C1147" s="26">
        <f>IF(A1147="","",ROUND((A1147+cfgAjusteMES/1440)*48,0))</f>
        <v>0</v>
      </c>
      <c r="D1147" s="26">
        <f>IF(C1147="","",INT((C1147-cfgDeslocamento)/4))</f>
        <v>0</v>
      </c>
      <c r="E1147" s="26">
        <f>IF(C1147="","",MOD(C1147-cfgDeslocamento,4)+1)</f>
        <v>0</v>
      </c>
    </row>
    <row r="1148" spans="1:5">
      <c r="A1148" s="24"/>
      <c r="B1148" s="19"/>
      <c r="C1148" s="26">
        <f>IF(A1148="","",ROUND((A1148+cfgAjusteMES/1440)*48,0))</f>
        <v>0</v>
      </c>
      <c r="D1148" s="26">
        <f>IF(C1148="","",INT((C1148-cfgDeslocamento)/4))</f>
        <v>0</v>
      </c>
      <c r="E1148" s="26">
        <f>IF(C1148="","",MOD(C1148-cfgDeslocamento,4)+1)</f>
        <v>0</v>
      </c>
    </row>
    <row r="1149" spans="1:5">
      <c r="A1149" s="24"/>
      <c r="B1149" s="19"/>
      <c r="C1149" s="26">
        <f>IF(A1149="","",ROUND((A1149+cfgAjusteMES/1440)*48,0))</f>
        <v>0</v>
      </c>
      <c r="D1149" s="26">
        <f>IF(C1149="","",INT((C1149-cfgDeslocamento)/4))</f>
        <v>0</v>
      </c>
      <c r="E1149" s="26">
        <f>IF(C1149="","",MOD(C1149-cfgDeslocamento,4)+1)</f>
        <v>0</v>
      </c>
    </row>
    <row r="1150" spans="1:5">
      <c r="A1150" s="24"/>
      <c r="B1150" s="19"/>
      <c r="C1150" s="26">
        <f>IF(A1150="","",ROUND((A1150+cfgAjusteMES/1440)*48,0))</f>
        <v>0</v>
      </c>
      <c r="D1150" s="26">
        <f>IF(C1150="","",INT((C1150-cfgDeslocamento)/4))</f>
        <v>0</v>
      </c>
      <c r="E1150" s="26">
        <f>IF(C1150="","",MOD(C1150-cfgDeslocamento,4)+1)</f>
        <v>0</v>
      </c>
    </row>
    <row r="1151" spans="1:5">
      <c r="A1151" s="24"/>
      <c r="B1151" s="19"/>
      <c r="C1151" s="26">
        <f>IF(A1151="","",ROUND((A1151+cfgAjusteMES/1440)*48,0))</f>
        <v>0</v>
      </c>
      <c r="D1151" s="26">
        <f>IF(C1151="","",INT((C1151-cfgDeslocamento)/4))</f>
        <v>0</v>
      </c>
      <c r="E1151" s="26">
        <f>IF(C1151="","",MOD(C1151-cfgDeslocamento,4)+1)</f>
        <v>0</v>
      </c>
    </row>
    <row r="1152" spans="1:5">
      <c r="A1152" s="24"/>
      <c r="B1152" s="19"/>
      <c r="C1152" s="26">
        <f>IF(A1152="","",ROUND((A1152+cfgAjusteMES/1440)*48,0))</f>
        <v>0</v>
      </c>
      <c r="D1152" s="26">
        <f>IF(C1152="","",INT((C1152-cfgDeslocamento)/4))</f>
        <v>0</v>
      </c>
      <c r="E1152" s="26">
        <f>IF(C1152="","",MOD(C1152-cfgDeslocamento,4)+1)</f>
        <v>0</v>
      </c>
    </row>
    <row r="1153" spans="1:5">
      <c r="A1153" s="24"/>
      <c r="B1153" s="19"/>
      <c r="C1153" s="26">
        <f>IF(A1153="","",ROUND((A1153+cfgAjusteMES/1440)*48,0))</f>
        <v>0</v>
      </c>
      <c r="D1153" s="26">
        <f>IF(C1153="","",INT((C1153-cfgDeslocamento)/4))</f>
        <v>0</v>
      </c>
      <c r="E1153" s="26">
        <f>IF(C1153="","",MOD(C1153-cfgDeslocamento,4)+1)</f>
        <v>0</v>
      </c>
    </row>
    <row r="1154" spans="1:5">
      <c r="A1154" s="24"/>
      <c r="B1154" s="19"/>
      <c r="C1154" s="26">
        <f>IF(A1154="","",ROUND((A1154+cfgAjusteMES/1440)*48,0))</f>
        <v>0</v>
      </c>
      <c r="D1154" s="26">
        <f>IF(C1154="","",INT((C1154-cfgDeslocamento)/4))</f>
        <v>0</v>
      </c>
      <c r="E1154" s="26">
        <f>IF(C1154="","",MOD(C1154-cfgDeslocamento,4)+1)</f>
        <v>0</v>
      </c>
    </row>
    <row r="1155" spans="1:5">
      <c r="A1155" s="24"/>
      <c r="B1155" s="19"/>
      <c r="C1155" s="26">
        <f>IF(A1155="","",ROUND((A1155+cfgAjusteMES/1440)*48,0))</f>
        <v>0</v>
      </c>
      <c r="D1155" s="26">
        <f>IF(C1155="","",INT((C1155-cfgDeslocamento)/4))</f>
        <v>0</v>
      </c>
      <c r="E1155" s="26">
        <f>IF(C1155="","",MOD(C1155-cfgDeslocamento,4)+1)</f>
        <v>0</v>
      </c>
    </row>
    <row r="1156" spans="1:5">
      <c r="A1156" s="24"/>
      <c r="B1156" s="19"/>
      <c r="C1156" s="26">
        <f>IF(A1156="","",ROUND((A1156+cfgAjusteMES/1440)*48,0))</f>
        <v>0</v>
      </c>
      <c r="D1156" s="26">
        <f>IF(C1156="","",INT((C1156-cfgDeslocamento)/4))</f>
        <v>0</v>
      </c>
      <c r="E1156" s="26">
        <f>IF(C1156="","",MOD(C1156-cfgDeslocamento,4)+1)</f>
        <v>0</v>
      </c>
    </row>
    <row r="1157" spans="1:5">
      <c r="A1157" s="24"/>
      <c r="B1157" s="19"/>
      <c r="C1157" s="26">
        <f>IF(A1157="","",ROUND((A1157+cfgAjusteMES/1440)*48,0))</f>
        <v>0</v>
      </c>
      <c r="D1157" s="26">
        <f>IF(C1157="","",INT((C1157-cfgDeslocamento)/4))</f>
        <v>0</v>
      </c>
      <c r="E1157" s="26">
        <f>IF(C1157="","",MOD(C1157-cfgDeslocamento,4)+1)</f>
        <v>0</v>
      </c>
    </row>
    <row r="1158" spans="1:5">
      <c r="A1158" s="24"/>
      <c r="B1158" s="19"/>
      <c r="C1158" s="26">
        <f>IF(A1158="","",ROUND((A1158+cfgAjusteMES/1440)*48,0))</f>
        <v>0</v>
      </c>
      <c r="D1158" s="26">
        <f>IF(C1158="","",INT((C1158-cfgDeslocamento)/4))</f>
        <v>0</v>
      </c>
      <c r="E1158" s="26">
        <f>IF(C1158="","",MOD(C1158-cfgDeslocamento,4)+1)</f>
        <v>0</v>
      </c>
    </row>
    <row r="1159" spans="1:5">
      <c r="A1159" s="24"/>
      <c r="B1159" s="19"/>
      <c r="C1159" s="26">
        <f>IF(A1159="","",ROUND((A1159+cfgAjusteMES/1440)*48,0))</f>
        <v>0</v>
      </c>
      <c r="D1159" s="26">
        <f>IF(C1159="","",INT((C1159-cfgDeslocamento)/4))</f>
        <v>0</v>
      </c>
      <c r="E1159" s="26">
        <f>IF(C1159="","",MOD(C1159-cfgDeslocamento,4)+1)</f>
        <v>0</v>
      </c>
    </row>
    <row r="1160" spans="1:5">
      <c r="A1160" s="24"/>
      <c r="B1160" s="19"/>
      <c r="C1160" s="26">
        <f>IF(A1160="","",ROUND((A1160+cfgAjusteMES/1440)*48,0))</f>
        <v>0</v>
      </c>
      <c r="D1160" s="26">
        <f>IF(C1160="","",INT((C1160-cfgDeslocamento)/4))</f>
        <v>0</v>
      </c>
      <c r="E1160" s="26">
        <f>IF(C1160="","",MOD(C1160-cfgDeslocamento,4)+1)</f>
        <v>0</v>
      </c>
    </row>
    <row r="1161" spans="1:5">
      <c r="A1161" s="24"/>
      <c r="B1161" s="19"/>
      <c r="C1161" s="26">
        <f>IF(A1161="","",ROUND((A1161+cfgAjusteMES/1440)*48,0))</f>
        <v>0</v>
      </c>
      <c r="D1161" s="26">
        <f>IF(C1161="","",INT((C1161-cfgDeslocamento)/4))</f>
        <v>0</v>
      </c>
      <c r="E1161" s="26">
        <f>IF(C1161="","",MOD(C1161-cfgDeslocamento,4)+1)</f>
        <v>0</v>
      </c>
    </row>
    <row r="1162" spans="1:5">
      <c r="A1162" s="24"/>
      <c r="B1162" s="19"/>
      <c r="C1162" s="26">
        <f>IF(A1162="","",ROUND((A1162+cfgAjusteMES/1440)*48,0))</f>
        <v>0</v>
      </c>
      <c r="D1162" s="26">
        <f>IF(C1162="","",INT((C1162-cfgDeslocamento)/4))</f>
        <v>0</v>
      </c>
      <c r="E1162" s="26">
        <f>IF(C1162="","",MOD(C1162-cfgDeslocamento,4)+1)</f>
        <v>0</v>
      </c>
    </row>
    <row r="1163" spans="1:5">
      <c r="A1163" s="24"/>
      <c r="B1163" s="19"/>
      <c r="C1163" s="26">
        <f>IF(A1163="","",ROUND((A1163+cfgAjusteMES/1440)*48,0))</f>
        <v>0</v>
      </c>
      <c r="D1163" s="26">
        <f>IF(C1163="","",INT((C1163-cfgDeslocamento)/4))</f>
        <v>0</v>
      </c>
      <c r="E1163" s="26">
        <f>IF(C1163="","",MOD(C1163-cfgDeslocamento,4)+1)</f>
        <v>0</v>
      </c>
    </row>
    <row r="1164" spans="1:5">
      <c r="A1164" s="24"/>
      <c r="B1164" s="19"/>
      <c r="C1164" s="26">
        <f>IF(A1164="","",ROUND((A1164+cfgAjusteMES/1440)*48,0))</f>
        <v>0</v>
      </c>
      <c r="D1164" s="26">
        <f>IF(C1164="","",INT((C1164-cfgDeslocamento)/4))</f>
        <v>0</v>
      </c>
      <c r="E1164" s="26">
        <f>IF(C1164="","",MOD(C1164-cfgDeslocamento,4)+1)</f>
        <v>0</v>
      </c>
    </row>
    <row r="1165" spans="1:5">
      <c r="A1165" s="24"/>
      <c r="B1165" s="19"/>
      <c r="C1165" s="26">
        <f>IF(A1165="","",ROUND((A1165+cfgAjusteMES/1440)*48,0))</f>
        <v>0</v>
      </c>
      <c r="D1165" s="26">
        <f>IF(C1165="","",INT((C1165-cfgDeslocamento)/4))</f>
        <v>0</v>
      </c>
      <c r="E1165" s="26">
        <f>IF(C1165="","",MOD(C1165-cfgDeslocamento,4)+1)</f>
        <v>0</v>
      </c>
    </row>
    <row r="1166" spans="1:5">
      <c r="A1166" s="24"/>
      <c r="B1166" s="19"/>
      <c r="C1166" s="26">
        <f>IF(A1166="","",ROUND((A1166+cfgAjusteMES/1440)*48,0))</f>
        <v>0</v>
      </c>
      <c r="D1166" s="26">
        <f>IF(C1166="","",INT((C1166-cfgDeslocamento)/4))</f>
        <v>0</v>
      </c>
      <c r="E1166" s="26">
        <f>IF(C1166="","",MOD(C1166-cfgDeslocamento,4)+1)</f>
        <v>0</v>
      </c>
    </row>
    <row r="1167" spans="1:5">
      <c r="A1167" s="24"/>
      <c r="B1167" s="19"/>
      <c r="C1167" s="26">
        <f>IF(A1167="","",ROUND((A1167+cfgAjusteMES/1440)*48,0))</f>
        <v>0</v>
      </c>
      <c r="D1167" s="26">
        <f>IF(C1167="","",INT((C1167-cfgDeslocamento)/4))</f>
        <v>0</v>
      </c>
      <c r="E1167" s="26">
        <f>IF(C1167="","",MOD(C1167-cfgDeslocamento,4)+1)</f>
        <v>0</v>
      </c>
    </row>
    <row r="1168" spans="1:5">
      <c r="A1168" s="24"/>
      <c r="B1168" s="19"/>
      <c r="C1168" s="26">
        <f>IF(A1168="","",ROUND((A1168+cfgAjusteMES/1440)*48,0))</f>
        <v>0</v>
      </c>
      <c r="D1168" s="26">
        <f>IF(C1168="","",INT((C1168-cfgDeslocamento)/4))</f>
        <v>0</v>
      </c>
      <c r="E1168" s="26">
        <f>IF(C1168="","",MOD(C1168-cfgDeslocamento,4)+1)</f>
        <v>0</v>
      </c>
    </row>
    <row r="1169" spans="1:5">
      <c r="A1169" s="24"/>
      <c r="B1169" s="19"/>
      <c r="C1169" s="26">
        <f>IF(A1169="","",ROUND((A1169+cfgAjusteMES/1440)*48,0))</f>
        <v>0</v>
      </c>
      <c r="D1169" s="26">
        <f>IF(C1169="","",INT((C1169-cfgDeslocamento)/4))</f>
        <v>0</v>
      </c>
      <c r="E1169" s="26">
        <f>IF(C1169="","",MOD(C1169-cfgDeslocamento,4)+1)</f>
        <v>0</v>
      </c>
    </row>
    <row r="1170" spans="1:5">
      <c r="A1170" s="24"/>
      <c r="B1170" s="19"/>
      <c r="C1170" s="26">
        <f>IF(A1170="","",ROUND((A1170+cfgAjusteMES/1440)*48,0))</f>
        <v>0</v>
      </c>
      <c r="D1170" s="26">
        <f>IF(C1170="","",INT((C1170-cfgDeslocamento)/4))</f>
        <v>0</v>
      </c>
      <c r="E1170" s="26">
        <f>IF(C1170="","",MOD(C1170-cfgDeslocamento,4)+1)</f>
        <v>0</v>
      </c>
    </row>
    <row r="1171" spans="1:5">
      <c r="A1171" s="24"/>
      <c r="B1171" s="19"/>
      <c r="C1171" s="26">
        <f>IF(A1171="","",ROUND((A1171+cfgAjusteMES/1440)*48,0))</f>
        <v>0</v>
      </c>
      <c r="D1171" s="26">
        <f>IF(C1171="","",INT((C1171-cfgDeslocamento)/4))</f>
        <v>0</v>
      </c>
      <c r="E1171" s="26">
        <f>IF(C1171="","",MOD(C1171-cfgDeslocamento,4)+1)</f>
        <v>0</v>
      </c>
    </row>
    <row r="1172" spans="1:5">
      <c r="A1172" s="24"/>
      <c r="B1172" s="19"/>
      <c r="C1172" s="26">
        <f>IF(A1172="","",ROUND((A1172+cfgAjusteMES/1440)*48,0))</f>
        <v>0</v>
      </c>
      <c r="D1172" s="26">
        <f>IF(C1172="","",INT((C1172-cfgDeslocamento)/4))</f>
        <v>0</v>
      </c>
      <c r="E1172" s="26">
        <f>IF(C1172="","",MOD(C1172-cfgDeslocamento,4)+1)</f>
        <v>0</v>
      </c>
    </row>
    <row r="1173" spans="1:5">
      <c r="A1173" s="24"/>
      <c r="B1173" s="19"/>
      <c r="C1173" s="26">
        <f>IF(A1173="","",ROUND((A1173+cfgAjusteMES/1440)*48,0))</f>
        <v>0</v>
      </c>
      <c r="D1173" s="26">
        <f>IF(C1173="","",INT((C1173-cfgDeslocamento)/4))</f>
        <v>0</v>
      </c>
      <c r="E1173" s="26">
        <f>IF(C1173="","",MOD(C1173-cfgDeslocamento,4)+1)</f>
        <v>0</v>
      </c>
    </row>
    <row r="1174" spans="1:5">
      <c r="A1174" s="24"/>
      <c r="B1174" s="19"/>
      <c r="C1174" s="26">
        <f>IF(A1174="","",ROUND((A1174+cfgAjusteMES/1440)*48,0))</f>
        <v>0</v>
      </c>
      <c r="D1174" s="26">
        <f>IF(C1174="","",INT((C1174-cfgDeslocamento)/4))</f>
        <v>0</v>
      </c>
      <c r="E1174" s="26">
        <f>IF(C1174="","",MOD(C1174-cfgDeslocamento,4)+1)</f>
        <v>0</v>
      </c>
    </row>
    <row r="1175" spans="1:5">
      <c r="A1175" s="24"/>
      <c r="B1175" s="19"/>
      <c r="C1175" s="26">
        <f>IF(A1175="","",ROUND((A1175+cfgAjusteMES/1440)*48,0))</f>
        <v>0</v>
      </c>
      <c r="D1175" s="26">
        <f>IF(C1175="","",INT((C1175-cfgDeslocamento)/4))</f>
        <v>0</v>
      </c>
      <c r="E1175" s="26">
        <f>IF(C1175="","",MOD(C1175-cfgDeslocamento,4)+1)</f>
        <v>0</v>
      </c>
    </row>
    <row r="1176" spans="1:5">
      <c r="A1176" s="24"/>
      <c r="B1176" s="19"/>
      <c r="C1176" s="26">
        <f>IF(A1176="","",ROUND((A1176+cfgAjusteMES/1440)*48,0))</f>
        <v>0</v>
      </c>
      <c r="D1176" s="26">
        <f>IF(C1176="","",INT((C1176-cfgDeslocamento)/4))</f>
        <v>0</v>
      </c>
      <c r="E1176" s="26">
        <f>IF(C1176="","",MOD(C1176-cfgDeslocamento,4)+1)</f>
        <v>0</v>
      </c>
    </row>
    <row r="1177" spans="1:5">
      <c r="A1177" s="24"/>
      <c r="B1177" s="19"/>
      <c r="C1177" s="26">
        <f>IF(A1177="","",ROUND((A1177+cfgAjusteMES/1440)*48,0))</f>
        <v>0</v>
      </c>
      <c r="D1177" s="26">
        <f>IF(C1177="","",INT((C1177-cfgDeslocamento)/4))</f>
        <v>0</v>
      </c>
      <c r="E1177" s="26">
        <f>IF(C1177="","",MOD(C1177-cfgDeslocamento,4)+1)</f>
        <v>0</v>
      </c>
    </row>
    <row r="1178" spans="1:5">
      <c r="A1178" s="24"/>
      <c r="B1178" s="19"/>
      <c r="C1178" s="26">
        <f>IF(A1178="","",ROUND((A1178+cfgAjusteMES/1440)*48,0))</f>
        <v>0</v>
      </c>
      <c r="D1178" s="26">
        <f>IF(C1178="","",INT((C1178-cfgDeslocamento)/4))</f>
        <v>0</v>
      </c>
      <c r="E1178" s="26">
        <f>IF(C1178="","",MOD(C1178-cfgDeslocamento,4)+1)</f>
        <v>0</v>
      </c>
    </row>
    <row r="1179" spans="1:5">
      <c r="A1179" s="24"/>
      <c r="B1179" s="19"/>
      <c r="C1179" s="26">
        <f>IF(A1179="","",ROUND((A1179+cfgAjusteMES/1440)*48,0))</f>
        <v>0</v>
      </c>
      <c r="D1179" s="26">
        <f>IF(C1179="","",INT((C1179-cfgDeslocamento)/4))</f>
        <v>0</v>
      </c>
      <c r="E1179" s="26">
        <f>IF(C1179="","",MOD(C1179-cfgDeslocamento,4)+1)</f>
        <v>0</v>
      </c>
    </row>
    <row r="1180" spans="1:5">
      <c r="A1180" s="24"/>
      <c r="B1180" s="19"/>
      <c r="C1180" s="26">
        <f>IF(A1180="","",ROUND((A1180+cfgAjusteMES/1440)*48,0))</f>
        <v>0</v>
      </c>
      <c r="D1180" s="26">
        <f>IF(C1180="","",INT((C1180-cfgDeslocamento)/4))</f>
        <v>0</v>
      </c>
      <c r="E1180" s="26">
        <f>IF(C1180="","",MOD(C1180-cfgDeslocamento,4)+1)</f>
        <v>0</v>
      </c>
    </row>
    <row r="1181" spans="1:5">
      <c r="A1181" s="24"/>
      <c r="B1181" s="19"/>
      <c r="C1181" s="26">
        <f>IF(A1181="","",ROUND((A1181+cfgAjusteMES/1440)*48,0))</f>
        <v>0</v>
      </c>
      <c r="D1181" s="26">
        <f>IF(C1181="","",INT((C1181-cfgDeslocamento)/4))</f>
        <v>0</v>
      </c>
      <c r="E1181" s="26">
        <f>IF(C1181="","",MOD(C1181-cfgDeslocamento,4)+1)</f>
        <v>0</v>
      </c>
    </row>
    <row r="1182" spans="1:5">
      <c r="A1182" s="24"/>
      <c r="B1182" s="19"/>
      <c r="C1182" s="26">
        <f>IF(A1182="","",ROUND((A1182+cfgAjusteMES/1440)*48,0))</f>
        <v>0</v>
      </c>
      <c r="D1182" s="26">
        <f>IF(C1182="","",INT((C1182-cfgDeslocamento)/4))</f>
        <v>0</v>
      </c>
      <c r="E1182" s="26">
        <f>IF(C1182="","",MOD(C1182-cfgDeslocamento,4)+1)</f>
        <v>0</v>
      </c>
    </row>
    <row r="1183" spans="1:5">
      <c r="A1183" s="24"/>
      <c r="B1183" s="19"/>
      <c r="C1183" s="26">
        <f>IF(A1183="","",ROUND((A1183+cfgAjusteMES/1440)*48,0))</f>
        <v>0</v>
      </c>
      <c r="D1183" s="26">
        <f>IF(C1183="","",INT((C1183-cfgDeslocamento)/4))</f>
        <v>0</v>
      </c>
      <c r="E1183" s="26">
        <f>IF(C1183="","",MOD(C1183-cfgDeslocamento,4)+1)</f>
        <v>0</v>
      </c>
    </row>
    <row r="1184" spans="1:5">
      <c r="A1184" s="24"/>
      <c r="B1184" s="19"/>
      <c r="C1184" s="26">
        <f>IF(A1184="","",ROUND((A1184+cfgAjusteMES/1440)*48,0))</f>
        <v>0</v>
      </c>
      <c r="D1184" s="26">
        <f>IF(C1184="","",INT((C1184-cfgDeslocamento)/4))</f>
        <v>0</v>
      </c>
      <c r="E1184" s="26">
        <f>IF(C1184="","",MOD(C1184-cfgDeslocamento,4)+1)</f>
        <v>0</v>
      </c>
    </row>
    <row r="1185" spans="1:5">
      <c r="A1185" s="24"/>
      <c r="B1185" s="19"/>
      <c r="C1185" s="26">
        <f>IF(A1185="","",ROUND((A1185+cfgAjusteMES/1440)*48,0))</f>
        <v>0</v>
      </c>
      <c r="D1185" s="26">
        <f>IF(C1185="","",INT((C1185-cfgDeslocamento)/4))</f>
        <v>0</v>
      </c>
      <c r="E1185" s="26">
        <f>IF(C1185="","",MOD(C1185-cfgDeslocamento,4)+1)</f>
        <v>0</v>
      </c>
    </row>
    <row r="1186" spans="1:5">
      <c r="A1186" s="24"/>
      <c r="B1186" s="19"/>
      <c r="C1186" s="26">
        <f>IF(A1186="","",ROUND((A1186+cfgAjusteMES/1440)*48,0))</f>
        <v>0</v>
      </c>
      <c r="D1186" s="26">
        <f>IF(C1186="","",INT((C1186-cfgDeslocamento)/4))</f>
        <v>0</v>
      </c>
      <c r="E1186" s="26">
        <f>IF(C1186="","",MOD(C1186-cfgDeslocamento,4)+1)</f>
        <v>0</v>
      </c>
    </row>
    <row r="1187" spans="1:5">
      <c r="A1187" s="24"/>
      <c r="B1187" s="19"/>
      <c r="C1187" s="26">
        <f>IF(A1187="","",ROUND((A1187+cfgAjusteMES/1440)*48,0))</f>
        <v>0</v>
      </c>
      <c r="D1187" s="26">
        <f>IF(C1187="","",INT((C1187-cfgDeslocamento)/4))</f>
        <v>0</v>
      </c>
      <c r="E1187" s="26">
        <f>IF(C1187="","",MOD(C1187-cfgDeslocamento,4)+1)</f>
        <v>0</v>
      </c>
    </row>
    <row r="1188" spans="1:5">
      <c r="A1188" s="24"/>
      <c r="B1188" s="19"/>
      <c r="C1188" s="26">
        <f>IF(A1188="","",ROUND((A1188+cfgAjusteMES/1440)*48,0))</f>
        <v>0</v>
      </c>
      <c r="D1188" s="26">
        <f>IF(C1188="","",INT((C1188-cfgDeslocamento)/4))</f>
        <v>0</v>
      </c>
      <c r="E1188" s="26">
        <f>IF(C1188="","",MOD(C1188-cfgDeslocamento,4)+1)</f>
        <v>0</v>
      </c>
    </row>
    <row r="1189" spans="1:5">
      <c r="A1189" s="24"/>
      <c r="B1189" s="19"/>
      <c r="C1189" s="26">
        <f>IF(A1189="","",ROUND((A1189+cfgAjusteMES/1440)*48,0))</f>
        <v>0</v>
      </c>
      <c r="D1189" s="26">
        <f>IF(C1189="","",INT((C1189-cfgDeslocamento)/4))</f>
        <v>0</v>
      </c>
      <c r="E1189" s="26">
        <f>IF(C1189="","",MOD(C1189-cfgDeslocamento,4)+1)</f>
        <v>0</v>
      </c>
    </row>
    <row r="1190" spans="1:5">
      <c r="A1190" s="24"/>
      <c r="B1190" s="19"/>
      <c r="C1190" s="26">
        <f>IF(A1190="","",ROUND((A1190+cfgAjusteMES/1440)*48,0))</f>
        <v>0</v>
      </c>
      <c r="D1190" s="26">
        <f>IF(C1190="","",INT((C1190-cfgDeslocamento)/4))</f>
        <v>0</v>
      </c>
      <c r="E1190" s="26">
        <f>IF(C1190="","",MOD(C1190-cfgDeslocamento,4)+1)</f>
        <v>0</v>
      </c>
    </row>
    <row r="1191" spans="1:5">
      <c r="A1191" s="24"/>
      <c r="B1191" s="19"/>
      <c r="C1191" s="26">
        <f>IF(A1191="","",ROUND((A1191+cfgAjusteMES/1440)*48,0))</f>
        <v>0</v>
      </c>
      <c r="D1191" s="26">
        <f>IF(C1191="","",INT((C1191-cfgDeslocamento)/4))</f>
        <v>0</v>
      </c>
      <c r="E1191" s="26">
        <f>IF(C1191="","",MOD(C1191-cfgDeslocamento,4)+1)</f>
        <v>0</v>
      </c>
    </row>
    <row r="1192" spans="1:5">
      <c r="A1192" s="24"/>
      <c r="B1192" s="19"/>
      <c r="C1192" s="26">
        <f>IF(A1192="","",ROUND((A1192+cfgAjusteMES/1440)*48,0))</f>
        <v>0</v>
      </c>
      <c r="D1192" s="26">
        <f>IF(C1192="","",INT((C1192-cfgDeslocamento)/4))</f>
        <v>0</v>
      </c>
      <c r="E1192" s="26">
        <f>IF(C1192="","",MOD(C1192-cfgDeslocamento,4)+1)</f>
        <v>0</v>
      </c>
    </row>
    <row r="1193" spans="1:5">
      <c r="A1193" s="24"/>
      <c r="B1193" s="19"/>
      <c r="C1193" s="26">
        <f>IF(A1193="","",ROUND((A1193+cfgAjusteMES/1440)*48,0))</f>
        <v>0</v>
      </c>
      <c r="D1193" s="26">
        <f>IF(C1193="","",INT((C1193-cfgDeslocamento)/4))</f>
        <v>0</v>
      </c>
      <c r="E1193" s="26">
        <f>IF(C1193="","",MOD(C1193-cfgDeslocamento,4)+1)</f>
        <v>0</v>
      </c>
    </row>
    <row r="1194" spans="1:5">
      <c r="A1194" s="24"/>
      <c r="B1194" s="19"/>
      <c r="C1194" s="26">
        <f>IF(A1194="","",ROUND((A1194+cfgAjusteMES/1440)*48,0))</f>
        <v>0</v>
      </c>
      <c r="D1194" s="26">
        <f>IF(C1194="","",INT((C1194-cfgDeslocamento)/4))</f>
        <v>0</v>
      </c>
      <c r="E1194" s="26">
        <f>IF(C1194="","",MOD(C1194-cfgDeslocamento,4)+1)</f>
        <v>0</v>
      </c>
    </row>
    <row r="1195" spans="1:5">
      <c r="A1195" s="24"/>
      <c r="B1195" s="19"/>
      <c r="C1195" s="26">
        <f>IF(A1195="","",ROUND((A1195+cfgAjusteMES/1440)*48,0))</f>
        <v>0</v>
      </c>
      <c r="D1195" s="26">
        <f>IF(C1195="","",INT((C1195-cfgDeslocamento)/4))</f>
        <v>0</v>
      </c>
      <c r="E1195" s="26">
        <f>IF(C1195="","",MOD(C1195-cfgDeslocamento,4)+1)</f>
        <v>0</v>
      </c>
    </row>
    <row r="1196" spans="1:5">
      <c r="A1196" s="24"/>
      <c r="B1196" s="19"/>
      <c r="C1196" s="26">
        <f>IF(A1196="","",ROUND((A1196+cfgAjusteMES/1440)*48,0))</f>
        <v>0</v>
      </c>
      <c r="D1196" s="26">
        <f>IF(C1196="","",INT((C1196-cfgDeslocamento)/4))</f>
        <v>0</v>
      </c>
      <c r="E1196" s="26">
        <f>IF(C1196="","",MOD(C1196-cfgDeslocamento,4)+1)</f>
        <v>0</v>
      </c>
    </row>
    <row r="1197" spans="1:5">
      <c r="A1197" s="24"/>
      <c r="B1197" s="19"/>
      <c r="C1197" s="26">
        <f>IF(A1197="","",ROUND((A1197+cfgAjusteMES/1440)*48,0))</f>
        <v>0</v>
      </c>
      <c r="D1197" s="26">
        <f>IF(C1197="","",INT((C1197-cfgDeslocamento)/4))</f>
        <v>0</v>
      </c>
      <c r="E1197" s="26">
        <f>IF(C1197="","",MOD(C1197-cfgDeslocamento,4)+1)</f>
        <v>0</v>
      </c>
    </row>
    <row r="1198" spans="1:5">
      <c r="A1198" s="24"/>
      <c r="B1198" s="19"/>
      <c r="C1198" s="26">
        <f>IF(A1198="","",ROUND((A1198+cfgAjusteMES/1440)*48,0))</f>
        <v>0</v>
      </c>
      <c r="D1198" s="26">
        <f>IF(C1198="","",INT((C1198-cfgDeslocamento)/4))</f>
        <v>0</v>
      </c>
      <c r="E1198" s="26">
        <f>IF(C1198="","",MOD(C1198-cfgDeslocamento,4)+1)</f>
        <v>0</v>
      </c>
    </row>
    <row r="1199" spans="1:5">
      <c r="A1199" s="24"/>
      <c r="B1199" s="19"/>
      <c r="C1199" s="26">
        <f>IF(A1199="","",ROUND((A1199+cfgAjusteMES/1440)*48,0))</f>
        <v>0</v>
      </c>
      <c r="D1199" s="26">
        <f>IF(C1199="","",INT((C1199-cfgDeslocamento)/4))</f>
        <v>0</v>
      </c>
      <c r="E1199" s="26">
        <f>IF(C1199="","",MOD(C1199-cfgDeslocamento,4)+1)</f>
        <v>0</v>
      </c>
    </row>
    <row r="1200" spans="1:5">
      <c r="A1200" s="24"/>
      <c r="B1200" s="19"/>
      <c r="C1200" s="26">
        <f>IF(A1200="","",ROUND((A1200+cfgAjusteMES/1440)*48,0))</f>
        <v>0</v>
      </c>
      <c r="D1200" s="26">
        <f>IF(C1200="","",INT((C1200-cfgDeslocamento)/4))</f>
        <v>0</v>
      </c>
      <c r="E1200" s="26">
        <f>IF(C1200="","",MOD(C1200-cfgDeslocamento,4)+1)</f>
        <v>0</v>
      </c>
    </row>
    <row r="1201" spans="1:5">
      <c r="A1201" s="24"/>
      <c r="B1201" s="19"/>
      <c r="C1201" s="26">
        <f>IF(A1201="","",ROUND((A1201+cfgAjusteMES/1440)*48,0))</f>
        <v>0</v>
      </c>
      <c r="D1201" s="26">
        <f>IF(C1201="","",INT((C1201-cfgDeslocamento)/4))</f>
        <v>0</v>
      </c>
      <c r="E1201" s="26">
        <f>IF(C1201="","",MOD(C1201-cfgDeslocamento,4)+1)</f>
        <v>0</v>
      </c>
    </row>
    <row r="1202" spans="1:5">
      <c r="A1202" s="24"/>
      <c r="B1202" s="19"/>
      <c r="C1202" s="26">
        <f>IF(A1202="","",ROUND((A1202+cfgAjusteMES/1440)*48,0))</f>
        <v>0</v>
      </c>
      <c r="D1202" s="26">
        <f>IF(C1202="","",INT((C1202-cfgDeslocamento)/4))</f>
        <v>0</v>
      </c>
      <c r="E1202" s="26">
        <f>IF(C1202="","",MOD(C1202-cfgDeslocamento,4)+1)</f>
        <v>0</v>
      </c>
    </row>
    <row r="1203" spans="1:5">
      <c r="A1203" s="24"/>
      <c r="B1203" s="19"/>
      <c r="C1203" s="26">
        <f>IF(A1203="","",ROUND((A1203+cfgAjusteMES/1440)*48,0))</f>
        <v>0</v>
      </c>
      <c r="D1203" s="26">
        <f>IF(C1203="","",INT((C1203-cfgDeslocamento)/4))</f>
        <v>0</v>
      </c>
      <c r="E1203" s="26">
        <f>IF(C1203="","",MOD(C1203-cfgDeslocamento,4)+1)</f>
        <v>0</v>
      </c>
    </row>
    <row r="1204" spans="1:5">
      <c r="A1204" s="24"/>
      <c r="B1204" s="19"/>
      <c r="C1204" s="26">
        <f>IF(A1204="","",ROUND((A1204+cfgAjusteMES/1440)*48,0))</f>
        <v>0</v>
      </c>
      <c r="D1204" s="26">
        <f>IF(C1204="","",INT((C1204-cfgDeslocamento)/4))</f>
        <v>0</v>
      </c>
      <c r="E1204" s="26">
        <f>IF(C1204="","",MOD(C1204-cfgDeslocamento,4)+1)</f>
        <v>0</v>
      </c>
    </row>
    <row r="1205" spans="1:5">
      <c r="A1205" s="24"/>
      <c r="B1205" s="19"/>
      <c r="C1205" s="26">
        <f>IF(A1205="","",ROUND((A1205+cfgAjusteMES/1440)*48,0))</f>
        <v>0</v>
      </c>
      <c r="D1205" s="26">
        <f>IF(C1205="","",INT((C1205-cfgDeslocamento)/4))</f>
        <v>0</v>
      </c>
      <c r="E1205" s="26">
        <f>IF(C1205="","",MOD(C1205-cfgDeslocamento,4)+1)</f>
        <v>0</v>
      </c>
    </row>
    <row r="1206" spans="1:5">
      <c r="A1206" s="24"/>
      <c r="B1206" s="19"/>
      <c r="C1206" s="26">
        <f>IF(A1206="","",ROUND((A1206+cfgAjusteMES/1440)*48,0))</f>
        <v>0</v>
      </c>
      <c r="D1206" s="26">
        <f>IF(C1206="","",INT((C1206-cfgDeslocamento)/4))</f>
        <v>0</v>
      </c>
      <c r="E1206" s="26">
        <f>IF(C1206="","",MOD(C1206-cfgDeslocamento,4)+1)</f>
        <v>0</v>
      </c>
    </row>
    <row r="1207" spans="1:5">
      <c r="A1207" s="24"/>
      <c r="B1207" s="19"/>
      <c r="C1207" s="26">
        <f>IF(A1207="","",ROUND((A1207+cfgAjusteMES/1440)*48,0))</f>
        <v>0</v>
      </c>
      <c r="D1207" s="26">
        <f>IF(C1207="","",INT((C1207-cfgDeslocamento)/4))</f>
        <v>0</v>
      </c>
      <c r="E1207" s="26">
        <f>IF(C1207="","",MOD(C1207-cfgDeslocamento,4)+1)</f>
        <v>0</v>
      </c>
    </row>
    <row r="1208" spans="1:5">
      <c r="A1208" s="24"/>
      <c r="B1208" s="19"/>
      <c r="C1208" s="26">
        <f>IF(A1208="","",ROUND((A1208+cfgAjusteMES/1440)*48,0))</f>
        <v>0</v>
      </c>
      <c r="D1208" s="26">
        <f>IF(C1208="","",INT((C1208-cfgDeslocamento)/4))</f>
        <v>0</v>
      </c>
      <c r="E1208" s="26">
        <f>IF(C1208="","",MOD(C1208-cfgDeslocamento,4)+1)</f>
        <v>0</v>
      </c>
    </row>
    <row r="1209" spans="1:5">
      <c r="A1209" s="24"/>
      <c r="B1209" s="19"/>
      <c r="C1209" s="26">
        <f>IF(A1209="","",ROUND((A1209+cfgAjusteMES/1440)*48,0))</f>
        <v>0</v>
      </c>
      <c r="D1209" s="26">
        <f>IF(C1209="","",INT((C1209-cfgDeslocamento)/4))</f>
        <v>0</v>
      </c>
      <c r="E1209" s="26">
        <f>IF(C1209="","",MOD(C1209-cfgDeslocamento,4)+1)</f>
        <v>0</v>
      </c>
    </row>
    <row r="1210" spans="1:5">
      <c r="A1210" s="24"/>
      <c r="B1210" s="19"/>
      <c r="C1210" s="26">
        <f>IF(A1210="","",ROUND((A1210+cfgAjusteMES/1440)*48,0))</f>
        <v>0</v>
      </c>
      <c r="D1210" s="26">
        <f>IF(C1210="","",INT((C1210-cfgDeslocamento)/4))</f>
        <v>0</v>
      </c>
      <c r="E1210" s="26">
        <f>IF(C1210="","",MOD(C1210-cfgDeslocamento,4)+1)</f>
        <v>0</v>
      </c>
    </row>
    <row r="1211" spans="1:5">
      <c r="A1211" s="24"/>
      <c r="B1211" s="19"/>
      <c r="C1211" s="26">
        <f>IF(A1211="","",ROUND((A1211+cfgAjusteMES/1440)*48,0))</f>
        <v>0</v>
      </c>
      <c r="D1211" s="26">
        <f>IF(C1211="","",INT((C1211-cfgDeslocamento)/4))</f>
        <v>0</v>
      </c>
      <c r="E1211" s="26">
        <f>IF(C1211="","",MOD(C1211-cfgDeslocamento,4)+1)</f>
        <v>0</v>
      </c>
    </row>
    <row r="1212" spans="1:5">
      <c r="A1212" s="24"/>
      <c r="B1212" s="19"/>
      <c r="C1212" s="26">
        <f>IF(A1212="","",ROUND((A1212+cfgAjusteMES/1440)*48,0))</f>
        <v>0</v>
      </c>
      <c r="D1212" s="26">
        <f>IF(C1212="","",INT((C1212-cfgDeslocamento)/4))</f>
        <v>0</v>
      </c>
      <c r="E1212" s="26">
        <f>IF(C1212="","",MOD(C1212-cfgDeslocamento,4)+1)</f>
        <v>0</v>
      </c>
    </row>
    <row r="1213" spans="1:5">
      <c r="A1213" s="24"/>
      <c r="B1213" s="19"/>
      <c r="C1213" s="26">
        <f>IF(A1213="","",ROUND((A1213+cfgAjusteMES/1440)*48,0))</f>
        <v>0</v>
      </c>
      <c r="D1213" s="26">
        <f>IF(C1213="","",INT((C1213-cfgDeslocamento)/4))</f>
        <v>0</v>
      </c>
      <c r="E1213" s="26">
        <f>IF(C1213="","",MOD(C1213-cfgDeslocamento,4)+1)</f>
        <v>0</v>
      </c>
    </row>
    <row r="1214" spans="1:5">
      <c r="A1214" s="24"/>
      <c r="B1214" s="19"/>
      <c r="C1214" s="26">
        <f>IF(A1214="","",ROUND((A1214+cfgAjusteMES/1440)*48,0))</f>
        <v>0</v>
      </c>
      <c r="D1214" s="26">
        <f>IF(C1214="","",INT((C1214-cfgDeslocamento)/4))</f>
        <v>0</v>
      </c>
      <c r="E1214" s="26">
        <f>IF(C1214="","",MOD(C1214-cfgDeslocamento,4)+1)</f>
        <v>0</v>
      </c>
    </row>
    <row r="1215" spans="1:5">
      <c r="A1215" s="24"/>
      <c r="B1215" s="19"/>
      <c r="C1215" s="26">
        <f>IF(A1215="","",ROUND((A1215+cfgAjusteMES/1440)*48,0))</f>
        <v>0</v>
      </c>
      <c r="D1215" s="26">
        <f>IF(C1215="","",INT((C1215-cfgDeslocamento)/4))</f>
        <v>0</v>
      </c>
      <c r="E1215" s="26">
        <f>IF(C1215="","",MOD(C1215-cfgDeslocamento,4)+1)</f>
        <v>0</v>
      </c>
    </row>
    <row r="1216" spans="1:5">
      <c r="A1216" s="24"/>
      <c r="B1216" s="19"/>
      <c r="C1216" s="26">
        <f>IF(A1216="","",ROUND((A1216+cfgAjusteMES/1440)*48,0))</f>
        <v>0</v>
      </c>
      <c r="D1216" s="26">
        <f>IF(C1216="","",INT((C1216-cfgDeslocamento)/4))</f>
        <v>0</v>
      </c>
      <c r="E1216" s="26">
        <f>IF(C1216="","",MOD(C1216-cfgDeslocamento,4)+1)</f>
        <v>0</v>
      </c>
    </row>
    <row r="1217" spans="1:5">
      <c r="A1217" s="24"/>
      <c r="B1217" s="19"/>
      <c r="C1217" s="26">
        <f>IF(A1217="","",ROUND((A1217+cfgAjusteMES/1440)*48,0))</f>
        <v>0</v>
      </c>
      <c r="D1217" s="26">
        <f>IF(C1217="","",INT((C1217-cfgDeslocamento)/4))</f>
        <v>0</v>
      </c>
      <c r="E1217" s="26">
        <f>IF(C1217="","",MOD(C1217-cfgDeslocamento,4)+1)</f>
        <v>0</v>
      </c>
    </row>
    <row r="1218" spans="1:5">
      <c r="A1218" s="24"/>
      <c r="B1218" s="19"/>
      <c r="C1218" s="26">
        <f>IF(A1218="","",ROUND((A1218+cfgAjusteMES/1440)*48,0))</f>
        <v>0</v>
      </c>
      <c r="D1218" s="26">
        <f>IF(C1218="","",INT((C1218-cfgDeslocamento)/4))</f>
        <v>0</v>
      </c>
      <c r="E1218" s="26">
        <f>IF(C1218="","",MOD(C1218-cfgDeslocamento,4)+1)</f>
        <v>0</v>
      </c>
    </row>
    <row r="1219" spans="1:5">
      <c r="A1219" s="24"/>
      <c r="B1219" s="19"/>
      <c r="C1219" s="26">
        <f>IF(A1219="","",ROUND((A1219+cfgAjusteMES/1440)*48,0))</f>
        <v>0</v>
      </c>
      <c r="D1219" s="26">
        <f>IF(C1219="","",INT((C1219-cfgDeslocamento)/4))</f>
        <v>0</v>
      </c>
      <c r="E1219" s="26">
        <f>IF(C1219="","",MOD(C1219-cfgDeslocamento,4)+1)</f>
        <v>0</v>
      </c>
    </row>
    <row r="1220" spans="1:5">
      <c r="A1220" s="24"/>
      <c r="B1220" s="19"/>
      <c r="C1220" s="26">
        <f>IF(A1220="","",ROUND((A1220+cfgAjusteMES/1440)*48,0))</f>
        <v>0</v>
      </c>
      <c r="D1220" s="26">
        <f>IF(C1220="","",INT((C1220-cfgDeslocamento)/4))</f>
        <v>0</v>
      </c>
      <c r="E1220" s="26">
        <f>IF(C1220="","",MOD(C1220-cfgDeslocamento,4)+1)</f>
        <v>0</v>
      </c>
    </row>
    <row r="1221" spans="1:5">
      <c r="A1221" s="24"/>
      <c r="B1221" s="19"/>
      <c r="C1221" s="26">
        <f>IF(A1221="","",ROUND((A1221+cfgAjusteMES/1440)*48,0))</f>
        <v>0</v>
      </c>
      <c r="D1221" s="26">
        <f>IF(C1221="","",INT((C1221-cfgDeslocamento)/4))</f>
        <v>0</v>
      </c>
      <c r="E1221" s="26">
        <f>IF(C1221="","",MOD(C1221-cfgDeslocamento,4)+1)</f>
        <v>0</v>
      </c>
    </row>
    <row r="1222" spans="1:5">
      <c r="A1222" s="24"/>
      <c r="B1222" s="19"/>
      <c r="C1222" s="26">
        <f>IF(A1222="","",ROUND((A1222+cfgAjusteMES/1440)*48,0))</f>
        <v>0</v>
      </c>
      <c r="D1222" s="26">
        <f>IF(C1222="","",INT((C1222-cfgDeslocamento)/4))</f>
        <v>0</v>
      </c>
      <c r="E1222" s="26">
        <f>IF(C1222="","",MOD(C1222-cfgDeslocamento,4)+1)</f>
        <v>0</v>
      </c>
    </row>
    <row r="1223" spans="1:5">
      <c r="A1223" s="24"/>
      <c r="B1223" s="19"/>
      <c r="C1223" s="26">
        <f>IF(A1223="","",ROUND((A1223+cfgAjusteMES/1440)*48,0))</f>
        <v>0</v>
      </c>
      <c r="D1223" s="26">
        <f>IF(C1223="","",INT((C1223-cfgDeslocamento)/4))</f>
        <v>0</v>
      </c>
      <c r="E1223" s="26">
        <f>IF(C1223="","",MOD(C1223-cfgDeslocamento,4)+1)</f>
        <v>0</v>
      </c>
    </row>
    <row r="1224" spans="1:5">
      <c r="A1224" s="24"/>
      <c r="B1224" s="19"/>
      <c r="C1224" s="26">
        <f>IF(A1224="","",ROUND((A1224+cfgAjusteMES/1440)*48,0))</f>
        <v>0</v>
      </c>
      <c r="D1224" s="26">
        <f>IF(C1224="","",INT((C1224-cfgDeslocamento)/4))</f>
        <v>0</v>
      </c>
      <c r="E1224" s="26">
        <f>IF(C1224="","",MOD(C1224-cfgDeslocamento,4)+1)</f>
        <v>0</v>
      </c>
    </row>
    <row r="1225" spans="1:5">
      <c r="A1225" s="24"/>
      <c r="B1225" s="19"/>
      <c r="C1225" s="26">
        <f>IF(A1225="","",ROUND((A1225+cfgAjusteMES/1440)*48,0))</f>
        <v>0</v>
      </c>
      <c r="D1225" s="26">
        <f>IF(C1225="","",INT((C1225-cfgDeslocamento)/4))</f>
        <v>0</v>
      </c>
      <c r="E1225" s="26">
        <f>IF(C1225="","",MOD(C1225-cfgDeslocamento,4)+1)</f>
        <v>0</v>
      </c>
    </row>
    <row r="1226" spans="1:5">
      <c r="A1226" s="24"/>
      <c r="B1226" s="19"/>
      <c r="C1226" s="26">
        <f>IF(A1226="","",ROUND((A1226+cfgAjusteMES/1440)*48,0))</f>
        <v>0</v>
      </c>
      <c r="D1226" s="26">
        <f>IF(C1226="","",INT((C1226-cfgDeslocamento)/4))</f>
        <v>0</v>
      </c>
      <c r="E1226" s="26">
        <f>IF(C1226="","",MOD(C1226-cfgDeslocamento,4)+1)</f>
        <v>0</v>
      </c>
    </row>
    <row r="1227" spans="1:5">
      <c r="A1227" s="24"/>
      <c r="B1227" s="19"/>
      <c r="C1227" s="26">
        <f>IF(A1227="","",ROUND((A1227+cfgAjusteMES/1440)*48,0))</f>
        <v>0</v>
      </c>
      <c r="D1227" s="26">
        <f>IF(C1227="","",INT((C1227-cfgDeslocamento)/4))</f>
        <v>0</v>
      </c>
      <c r="E1227" s="26">
        <f>IF(C1227="","",MOD(C1227-cfgDeslocamento,4)+1)</f>
        <v>0</v>
      </c>
    </row>
    <row r="1228" spans="1:5">
      <c r="A1228" s="24"/>
      <c r="B1228" s="19"/>
      <c r="C1228" s="26">
        <f>IF(A1228="","",ROUND((A1228+cfgAjusteMES/1440)*48,0))</f>
        <v>0</v>
      </c>
      <c r="D1228" s="26">
        <f>IF(C1228="","",INT((C1228-cfgDeslocamento)/4))</f>
        <v>0</v>
      </c>
      <c r="E1228" s="26">
        <f>IF(C1228="","",MOD(C1228-cfgDeslocamento,4)+1)</f>
        <v>0</v>
      </c>
    </row>
    <row r="1229" spans="1:5">
      <c r="A1229" s="24"/>
      <c r="B1229" s="19"/>
      <c r="C1229" s="26">
        <f>IF(A1229="","",ROUND((A1229+cfgAjusteMES/1440)*48,0))</f>
        <v>0</v>
      </c>
      <c r="D1229" s="26">
        <f>IF(C1229="","",INT((C1229-cfgDeslocamento)/4))</f>
        <v>0</v>
      </c>
      <c r="E1229" s="26">
        <f>IF(C1229="","",MOD(C1229-cfgDeslocamento,4)+1)</f>
        <v>0</v>
      </c>
    </row>
    <row r="1230" spans="1:5">
      <c r="A1230" s="24"/>
      <c r="B1230" s="19"/>
      <c r="C1230" s="26">
        <f>IF(A1230="","",ROUND((A1230+cfgAjusteMES/1440)*48,0))</f>
        <v>0</v>
      </c>
      <c r="D1230" s="26">
        <f>IF(C1230="","",INT((C1230-cfgDeslocamento)/4))</f>
        <v>0</v>
      </c>
      <c r="E1230" s="26">
        <f>IF(C1230="","",MOD(C1230-cfgDeslocamento,4)+1)</f>
        <v>0</v>
      </c>
    </row>
    <row r="1231" spans="1:5">
      <c r="A1231" s="24"/>
      <c r="B1231" s="19"/>
      <c r="C1231" s="26">
        <f>IF(A1231="","",ROUND((A1231+cfgAjusteMES/1440)*48,0))</f>
        <v>0</v>
      </c>
      <c r="D1231" s="26">
        <f>IF(C1231="","",INT((C1231-cfgDeslocamento)/4))</f>
        <v>0</v>
      </c>
      <c r="E1231" s="26">
        <f>IF(C1231="","",MOD(C1231-cfgDeslocamento,4)+1)</f>
        <v>0</v>
      </c>
    </row>
    <row r="1232" spans="1:5">
      <c r="A1232" s="24"/>
      <c r="B1232" s="19"/>
      <c r="C1232" s="26">
        <f>IF(A1232="","",ROUND((A1232+cfgAjusteMES/1440)*48,0))</f>
        <v>0</v>
      </c>
      <c r="D1232" s="26">
        <f>IF(C1232="","",INT((C1232-cfgDeslocamento)/4))</f>
        <v>0</v>
      </c>
      <c r="E1232" s="26">
        <f>IF(C1232="","",MOD(C1232-cfgDeslocamento,4)+1)</f>
        <v>0</v>
      </c>
    </row>
    <row r="1233" spans="1:5">
      <c r="A1233" s="24"/>
      <c r="B1233" s="19"/>
      <c r="C1233" s="26">
        <f>IF(A1233="","",ROUND((A1233+cfgAjusteMES/1440)*48,0))</f>
        <v>0</v>
      </c>
      <c r="D1233" s="26">
        <f>IF(C1233="","",INT((C1233-cfgDeslocamento)/4))</f>
        <v>0</v>
      </c>
      <c r="E1233" s="26">
        <f>IF(C1233="","",MOD(C1233-cfgDeslocamento,4)+1)</f>
        <v>0</v>
      </c>
    </row>
    <row r="1234" spans="1:5">
      <c r="A1234" s="24"/>
      <c r="B1234" s="19"/>
      <c r="C1234" s="26">
        <f>IF(A1234="","",ROUND((A1234+cfgAjusteMES/1440)*48,0))</f>
        <v>0</v>
      </c>
      <c r="D1234" s="26">
        <f>IF(C1234="","",INT((C1234-cfgDeslocamento)/4))</f>
        <v>0</v>
      </c>
      <c r="E1234" s="26">
        <f>IF(C1234="","",MOD(C1234-cfgDeslocamento,4)+1)</f>
        <v>0</v>
      </c>
    </row>
    <row r="1235" spans="1:5">
      <c r="A1235" s="24"/>
      <c r="B1235" s="19"/>
      <c r="C1235" s="26">
        <f>IF(A1235="","",ROUND((A1235+cfgAjusteMES/1440)*48,0))</f>
        <v>0</v>
      </c>
      <c r="D1235" s="26">
        <f>IF(C1235="","",INT((C1235-cfgDeslocamento)/4))</f>
        <v>0</v>
      </c>
      <c r="E1235" s="26">
        <f>IF(C1235="","",MOD(C1235-cfgDeslocamento,4)+1)</f>
        <v>0</v>
      </c>
    </row>
    <row r="1236" spans="1:5">
      <c r="A1236" s="24"/>
      <c r="B1236" s="19"/>
      <c r="C1236" s="26">
        <f>IF(A1236="","",ROUND((A1236+cfgAjusteMES/1440)*48,0))</f>
        <v>0</v>
      </c>
      <c r="D1236" s="26">
        <f>IF(C1236="","",INT((C1236-cfgDeslocamento)/4))</f>
        <v>0</v>
      </c>
      <c r="E1236" s="26">
        <f>IF(C1236="","",MOD(C1236-cfgDeslocamento,4)+1)</f>
        <v>0</v>
      </c>
    </row>
    <row r="1237" spans="1:5">
      <c r="A1237" s="24"/>
      <c r="B1237" s="19"/>
      <c r="C1237" s="26">
        <f>IF(A1237="","",ROUND((A1237+cfgAjusteMES/1440)*48,0))</f>
        <v>0</v>
      </c>
      <c r="D1237" s="26">
        <f>IF(C1237="","",INT((C1237-cfgDeslocamento)/4))</f>
        <v>0</v>
      </c>
      <c r="E1237" s="26">
        <f>IF(C1237="","",MOD(C1237-cfgDeslocamento,4)+1)</f>
        <v>0</v>
      </c>
    </row>
    <row r="1238" spans="1:5">
      <c r="A1238" s="24"/>
      <c r="B1238" s="19"/>
      <c r="C1238" s="26">
        <f>IF(A1238="","",ROUND((A1238+cfgAjusteMES/1440)*48,0))</f>
        <v>0</v>
      </c>
      <c r="D1238" s="26">
        <f>IF(C1238="","",INT((C1238-cfgDeslocamento)/4))</f>
        <v>0</v>
      </c>
      <c r="E1238" s="26">
        <f>IF(C1238="","",MOD(C1238-cfgDeslocamento,4)+1)</f>
        <v>0</v>
      </c>
    </row>
    <row r="1239" spans="1:5">
      <c r="A1239" s="24"/>
      <c r="B1239" s="19"/>
      <c r="C1239" s="26">
        <f>IF(A1239="","",ROUND((A1239+cfgAjusteMES/1440)*48,0))</f>
        <v>0</v>
      </c>
      <c r="D1239" s="26">
        <f>IF(C1239="","",INT((C1239-cfgDeslocamento)/4))</f>
        <v>0</v>
      </c>
      <c r="E1239" s="26">
        <f>IF(C1239="","",MOD(C1239-cfgDeslocamento,4)+1)</f>
        <v>0</v>
      </c>
    </row>
    <row r="1240" spans="1:5">
      <c r="A1240" s="24"/>
      <c r="B1240" s="19"/>
      <c r="C1240" s="26">
        <f>IF(A1240="","",ROUND((A1240+cfgAjusteMES/1440)*48,0))</f>
        <v>0</v>
      </c>
      <c r="D1240" s="26">
        <f>IF(C1240="","",INT((C1240-cfgDeslocamento)/4))</f>
        <v>0</v>
      </c>
      <c r="E1240" s="26">
        <f>IF(C1240="","",MOD(C1240-cfgDeslocamento,4)+1)</f>
        <v>0</v>
      </c>
    </row>
    <row r="1241" spans="1:5">
      <c r="A1241" s="24"/>
      <c r="B1241" s="19"/>
      <c r="C1241" s="26">
        <f>IF(A1241="","",ROUND((A1241+cfgAjusteMES/1440)*48,0))</f>
        <v>0</v>
      </c>
      <c r="D1241" s="26">
        <f>IF(C1241="","",INT((C1241-cfgDeslocamento)/4))</f>
        <v>0</v>
      </c>
      <c r="E1241" s="26">
        <f>IF(C1241="","",MOD(C1241-cfgDeslocamento,4)+1)</f>
        <v>0</v>
      </c>
    </row>
    <row r="1242" spans="1:5">
      <c r="A1242" s="24"/>
      <c r="B1242" s="19"/>
      <c r="C1242" s="26">
        <f>IF(A1242="","",ROUND((A1242+cfgAjusteMES/1440)*48,0))</f>
        <v>0</v>
      </c>
      <c r="D1242" s="26">
        <f>IF(C1242="","",INT((C1242-cfgDeslocamento)/4))</f>
        <v>0</v>
      </c>
      <c r="E1242" s="26">
        <f>IF(C1242="","",MOD(C1242-cfgDeslocamento,4)+1)</f>
        <v>0</v>
      </c>
    </row>
    <row r="1243" spans="1:5">
      <c r="A1243" s="24"/>
      <c r="B1243" s="19"/>
      <c r="C1243" s="26">
        <f>IF(A1243="","",ROUND((A1243+cfgAjusteMES/1440)*48,0))</f>
        <v>0</v>
      </c>
      <c r="D1243" s="26">
        <f>IF(C1243="","",INT((C1243-cfgDeslocamento)/4))</f>
        <v>0</v>
      </c>
      <c r="E1243" s="26">
        <f>IF(C1243="","",MOD(C1243-cfgDeslocamento,4)+1)</f>
        <v>0</v>
      </c>
    </row>
    <row r="1244" spans="1:5">
      <c r="A1244" s="24"/>
      <c r="B1244" s="19"/>
      <c r="C1244" s="26">
        <f>IF(A1244="","",ROUND((A1244+cfgAjusteMES/1440)*48,0))</f>
        <v>0</v>
      </c>
      <c r="D1244" s="26">
        <f>IF(C1244="","",INT((C1244-cfgDeslocamento)/4))</f>
        <v>0</v>
      </c>
      <c r="E1244" s="26">
        <f>IF(C1244="","",MOD(C1244-cfgDeslocamento,4)+1)</f>
        <v>0</v>
      </c>
    </row>
    <row r="1245" spans="1:5">
      <c r="A1245" s="24"/>
      <c r="B1245" s="19"/>
      <c r="C1245" s="26">
        <f>IF(A1245="","",ROUND((A1245+cfgAjusteMES/1440)*48,0))</f>
        <v>0</v>
      </c>
      <c r="D1245" s="26">
        <f>IF(C1245="","",INT((C1245-cfgDeslocamento)/4))</f>
        <v>0</v>
      </c>
      <c r="E1245" s="26">
        <f>IF(C1245="","",MOD(C1245-cfgDeslocamento,4)+1)</f>
        <v>0</v>
      </c>
    </row>
    <row r="1246" spans="1:5">
      <c r="A1246" s="24"/>
      <c r="B1246" s="19"/>
      <c r="C1246" s="26">
        <f>IF(A1246="","",ROUND((A1246+cfgAjusteMES/1440)*48,0))</f>
        <v>0</v>
      </c>
      <c r="D1246" s="26">
        <f>IF(C1246="","",INT((C1246-cfgDeslocamento)/4))</f>
        <v>0</v>
      </c>
      <c r="E1246" s="26">
        <f>IF(C1246="","",MOD(C1246-cfgDeslocamento,4)+1)</f>
        <v>0</v>
      </c>
    </row>
    <row r="1247" spans="1:5">
      <c r="A1247" s="24"/>
      <c r="B1247" s="19"/>
      <c r="C1247" s="26">
        <f>IF(A1247="","",ROUND((A1247+cfgAjusteMES/1440)*48,0))</f>
        <v>0</v>
      </c>
      <c r="D1247" s="26">
        <f>IF(C1247="","",INT((C1247-cfgDeslocamento)/4))</f>
        <v>0</v>
      </c>
      <c r="E1247" s="26">
        <f>IF(C1247="","",MOD(C1247-cfgDeslocamento,4)+1)</f>
        <v>0</v>
      </c>
    </row>
    <row r="1248" spans="1:5">
      <c r="A1248" s="24"/>
      <c r="B1248" s="19"/>
      <c r="C1248" s="26">
        <f>IF(A1248="","",ROUND((A1248+cfgAjusteMES/1440)*48,0))</f>
        <v>0</v>
      </c>
      <c r="D1248" s="26">
        <f>IF(C1248="","",INT((C1248-cfgDeslocamento)/4))</f>
        <v>0</v>
      </c>
      <c r="E1248" s="26">
        <f>IF(C1248="","",MOD(C1248-cfgDeslocamento,4)+1)</f>
        <v>0</v>
      </c>
    </row>
    <row r="1249" spans="1:5">
      <c r="A1249" s="24"/>
      <c r="B1249" s="19"/>
      <c r="C1249" s="26">
        <f>IF(A1249="","",ROUND((A1249+cfgAjusteMES/1440)*48,0))</f>
        <v>0</v>
      </c>
      <c r="D1249" s="26">
        <f>IF(C1249="","",INT((C1249-cfgDeslocamento)/4))</f>
        <v>0</v>
      </c>
      <c r="E1249" s="26">
        <f>IF(C1249="","",MOD(C1249-cfgDeslocamento,4)+1)</f>
        <v>0</v>
      </c>
    </row>
    <row r="1250" spans="1:5">
      <c r="A1250" s="24"/>
      <c r="B1250" s="19"/>
      <c r="C1250" s="26">
        <f>IF(A1250="","",ROUND((A1250+cfgAjusteMES/1440)*48,0))</f>
        <v>0</v>
      </c>
      <c r="D1250" s="26">
        <f>IF(C1250="","",INT((C1250-cfgDeslocamento)/4))</f>
        <v>0</v>
      </c>
      <c r="E1250" s="26">
        <f>IF(C1250="","",MOD(C1250-cfgDeslocamento,4)+1)</f>
        <v>0</v>
      </c>
    </row>
    <row r="1251" spans="1:5">
      <c r="A1251" s="24"/>
      <c r="B1251" s="19"/>
      <c r="C1251" s="26">
        <f>IF(A1251="","",ROUND((A1251+cfgAjusteMES/1440)*48,0))</f>
        <v>0</v>
      </c>
      <c r="D1251" s="26">
        <f>IF(C1251="","",INT((C1251-cfgDeslocamento)/4))</f>
        <v>0</v>
      </c>
      <c r="E1251" s="26">
        <f>IF(C1251="","",MOD(C1251-cfgDeslocamento,4)+1)</f>
        <v>0</v>
      </c>
    </row>
    <row r="1252" spans="1:5">
      <c r="A1252" s="24"/>
      <c r="B1252" s="19"/>
      <c r="C1252" s="26">
        <f>IF(A1252="","",ROUND((A1252+cfgAjusteMES/1440)*48,0))</f>
        <v>0</v>
      </c>
      <c r="D1252" s="26">
        <f>IF(C1252="","",INT((C1252-cfgDeslocamento)/4))</f>
        <v>0</v>
      </c>
      <c r="E1252" s="26">
        <f>IF(C1252="","",MOD(C1252-cfgDeslocamento,4)+1)</f>
        <v>0</v>
      </c>
    </row>
    <row r="1253" spans="1:5">
      <c r="A1253" s="24"/>
      <c r="B1253" s="19"/>
      <c r="C1253" s="26">
        <f>IF(A1253="","",ROUND((A1253+cfgAjusteMES/1440)*48,0))</f>
        <v>0</v>
      </c>
      <c r="D1253" s="26">
        <f>IF(C1253="","",INT((C1253-cfgDeslocamento)/4))</f>
        <v>0</v>
      </c>
      <c r="E1253" s="26">
        <f>IF(C1253="","",MOD(C1253-cfgDeslocamento,4)+1)</f>
        <v>0</v>
      </c>
    </row>
    <row r="1254" spans="1:5">
      <c r="A1254" s="24"/>
      <c r="B1254" s="19"/>
      <c r="C1254" s="26">
        <f>IF(A1254="","",ROUND((A1254+cfgAjusteMES/1440)*48,0))</f>
        <v>0</v>
      </c>
      <c r="D1254" s="26">
        <f>IF(C1254="","",INT((C1254-cfgDeslocamento)/4))</f>
        <v>0</v>
      </c>
      <c r="E1254" s="26">
        <f>IF(C1254="","",MOD(C1254-cfgDeslocamento,4)+1)</f>
        <v>0</v>
      </c>
    </row>
    <row r="1255" spans="1:5">
      <c r="A1255" s="24"/>
      <c r="B1255" s="19"/>
      <c r="C1255" s="26">
        <f>IF(A1255="","",ROUND((A1255+cfgAjusteMES/1440)*48,0))</f>
        <v>0</v>
      </c>
      <c r="D1255" s="26">
        <f>IF(C1255="","",INT((C1255-cfgDeslocamento)/4))</f>
        <v>0</v>
      </c>
      <c r="E1255" s="26">
        <f>IF(C1255="","",MOD(C1255-cfgDeslocamento,4)+1)</f>
        <v>0</v>
      </c>
    </row>
    <row r="1256" spans="1:5">
      <c r="A1256" s="24"/>
      <c r="B1256" s="19"/>
      <c r="C1256" s="26">
        <f>IF(A1256="","",ROUND((A1256+cfgAjusteMES/1440)*48,0))</f>
        <v>0</v>
      </c>
      <c r="D1256" s="26">
        <f>IF(C1256="","",INT((C1256-cfgDeslocamento)/4))</f>
        <v>0</v>
      </c>
      <c r="E1256" s="26">
        <f>IF(C1256="","",MOD(C1256-cfgDeslocamento,4)+1)</f>
        <v>0</v>
      </c>
    </row>
    <row r="1257" spans="1:5">
      <c r="A1257" s="24"/>
      <c r="B1257" s="19"/>
      <c r="C1257" s="26">
        <f>IF(A1257="","",ROUND((A1257+cfgAjusteMES/1440)*48,0))</f>
        <v>0</v>
      </c>
      <c r="D1257" s="26">
        <f>IF(C1257="","",INT((C1257-cfgDeslocamento)/4))</f>
        <v>0</v>
      </c>
      <c r="E1257" s="26">
        <f>IF(C1257="","",MOD(C1257-cfgDeslocamento,4)+1)</f>
        <v>0</v>
      </c>
    </row>
    <row r="1258" spans="1:5">
      <c r="A1258" s="24"/>
      <c r="B1258" s="19"/>
      <c r="C1258" s="26">
        <f>IF(A1258="","",ROUND((A1258+cfgAjusteMES/1440)*48,0))</f>
        <v>0</v>
      </c>
      <c r="D1258" s="26">
        <f>IF(C1258="","",INT((C1258-cfgDeslocamento)/4))</f>
        <v>0</v>
      </c>
      <c r="E1258" s="26">
        <f>IF(C1258="","",MOD(C1258-cfgDeslocamento,4)+1)</f>
        <v>0</v>
      </c>
    </row>
    <row r="1259" spans="1:5">
      <c r="A1259" s="24"/>
      <c r="B1259" s="19"/>
      <c r="C1259" s="26">
        <f>IF(A1259="","",ROUND((A1259+cfgAjusteMES/1440)*48,0))</f>
        <v>0</v>
      </c>
      <c r="D1259" s="26">
        <f>IF(C1259="","",INT((C1259-cfgDeslocamento)/4))</f>
        <v>0</v>
      </c>
      <c r="E1259" s="26">
        <f>IF(C1259="","",MOD(C1259-cfgDeslocamento,4)+1)</f>
        <v>0</v>
      </c>
    </row>
    <row r="1260" spans="1:5">
      <c r="A1260" s="24"/>
      <c r="B1260" s="19"/>
      <c r="C1260" s="26">
        <f>IF(A1260="","",ROUND((A1260+cfgAjusteMES/1440)*48,0))</f>
        <v>0</v>
      </c>
      <c r="D1260" s="26">
        <f>IF(C1260="","",INT((C1260-cfgDeslocamento)/4))</f>
        <v>0</v>
      </c>
      <c r="E1260" s="26">
        <f>IF(C1260="","",MOD(C1260-cfgDeslocamento,4)+1)</f>
        <v>0</v>
      </c>
    </row>
    <row r="1261" spans="1:5">
      <c r="A1261" s="24"/>
      <c r="B1261" s="19"/>
      <c r="C1261" s="26">
        <f>IF(A1261="","",ROUND((A1261+cfgAjusteMES/1440)*48,0))</f>
        <v>0</v>
      </c>
      <c r="D1261" s="26">
        <f>IF(C1261="","",INT((C1261-cfgDeslocamento)/4))</f>
        <v>0</v>
      </c>
      <c r="E1261" s="26">
        <f>IF(C1261="","",MOD(C1261-cfgDeslocamento,4)+1)</f>
        <v>0</v>
      </c>
    </row>
    <row r="1262" spans="1:5">
      <c r="A1262" s="24"/>
      <c r="B1262" s="19"/>
      <c r="C1262" s="26">
        <f>IF(A1262="","",ROUND((A1262+cfgAjusteMES/1440)*48,0))</f>
        <v>0</v>
      </c>
      <c r="D1262" s="26">
        <f>IF(C1262="","",INT((C1262-cfgDeslocamento)/4))</f>
        <v>0</v>
      </c>
      <c r="E1262" s="26">
        <f>IF(C1262="","",MOD(C1262-cfgDeslocamento,4)+1)</f>
        <v>0</v>
      </c>
    </row>
    <row r="1263" spans="1:5">
      <c r="A1263" s="24"/>
      <c r="B1263" s="19"/>
      <c r="C1263" s="26">
        <f>IF(A1263="","",ROUND((A1263+cfgAjusteMES/1440)*48,0))</f>
        <v>0</v>
      </c>
      <c r="D1263" s="26">
        <f>IF(C1263="","",INT((C1263-cfgDeslocamento)/4))</f>
        <v>0</v>
      </c>
      <c r="E1263" s="26">
        <f>IF(C1263="","",MOD(C1263-cfgDeslocamento,4)+1)</f>
        <v>0</v>
      </c>
    </row>
    <row r="1264" spans="1:5">
      <c r="A1264" s="24"/>
      <c r="B1264" s="19"/>
      <c r="C1264" s="26">
        <f>IF(A1264="","",ROUND((A1264+cfgAjusteMES/1440)*48,0))</f>
        <v>0</v>
      </c>
      <c r="D1264" s="26">
        <f>IF(C1264="","",INT((C1264-cfgDeslocamento)/4))</f>
        <v>0</v>
      </c>
      <c r="E1264" s="26">
        <f>IF(C1264="","",MOD(C1264-cfgDeslocamento,4)+1)</f>
        <v>0</v>
      </c>
    </row>
    <row r="1265" spans="1:5">
      <c r="A1265" s="24"/>
      <c r="B1265" s="19"/>
      <c r="C1265" s="26">
        <f>IF(A1265="","",ROUND((A1265+cfgAjusteMES/1440)*48,0))</f>
        <v>0</v>
      </c>
      <c r="D1265" s="26">
        <f>IF(C1265="","",INT((C1265-cfgDeslocamento)/4))</f>
        <v>0</v>
      </c>
      <c r="E1265" s="26">
        <f>IF(C1265="","",MOD(C1265-cfgDeslocamento,4)+1)</f>
        <v>0</v>
      </c>
    </row>
    <row r="1266" spans="1:5">
      <c r="A1266" s="24"/>
      <c r="B1266" s="19"/>
      <c r="C1266" s="26">
        <f>IF(A1266="","",ROUND((A1266+cfgAjusteMES/1440)*48,0))</f>
        <v>0</v>
      </c>
      <c r="D1266" s="26">
        <f>IF(C1266="","",INT((C1266-cfgDeslocamento)/4))</f>
        <v>0</v>
      </c>
      <c r="E1266" s="26">
        <f>IF(C1266="","",MOD(C1266-cfgDeslocamento,4)+1)</f>
        <v>0</v>
      </c>
    </row>
    <row r="1267" spans="1:5">
      <c r="A1267" s="24"/>
      <c r="B1267" s="19"/>
      <c r="C1267" s="26">
        <f>IF(A1267="","",ROUND((A1267+cfgAjusteMES/1440)*48,0))</f>
        <v>0</v>
      </c>
      <c r="D1267" s="26">
        <f>IF(C1267="","",INT((C1267-cfgDeslocamento)/4))</f>
        <v>0</v>
      </c>
      <c r="E1267" s="26">
        <f>IF(C1267="","",MOD(C1267-cfgDeslocamento,4)+1)</f>
        <v>0</v>
      </c>
    </row>
    <row r="1268" spans="1:5">
      <c r="A1268" s="24"/>
      <c r="B1268" s="19"/>
      <c r="C1268" s="26">
        <f>IF(A1268="","",ROUND((A1268+cfgAjusteMES/1440)*48,0))</f>
        <v>0</v>
      </c>
      <c r="D1268" s="26">
        <f>IF(C1268="","",INT((C1268-cfgDeslocamento)/4))</f>
        <v>0</v>
      </c>
      <c r="E1268" s="26">
        <f>IF(C1268="","",MOD(C1268-cfgDeslocamento,4)+1)</f>
        <v>0</v>
      </c>
    </row>
    <row r="1269" spans="1:5">
      <c r="A1269" s="24"/>
      <c r="B1269" s="19"/>
      <c r="C1269" s="26">
        <f>IF(A1269="","",ROUND((A1269+cfgAjusteMES/1440)*48,0))</f>
        <v>0</v>
      </c>
      <c r="D1269" s="26">
        <f>IF(C1269="","",INT((C1269-cfgDeslocamento)/4))</f>
        <v>0</v>
      </c>
      <c r="E1269" s="26">
        <f>IF(C1269="","",MOD(C1269-cfgDeslocamento,4)+1)</f>
        <v>0</v>
      </c>
    </row>
    <row r="1270" spans="1:5">
      <c r="A1270" s="24"/>
      <c r="B1270" s="19"/>
      <c r="C1270" s="26">
        <f>IF(A1270="","",ROUND((A1270+cfgAjusteMES/1440)*48,0))</f>
        <v>0</v>
      </c>
      <c r="D1270" s="26">
        <f>IF(C1270="","",INT((C1270-cfgDeslocamento)/4))</f>
        <v>0</v>
      </c>
      <c r="E1270" s="26">
        <f>IF(C1270="","",MOD(C1270-cfgDeslocamento,4)+1)</f>
        <v>0</v>
      </c>
    </row>
    <row r="1271" spans="1:5">
      <c r="A1271" s="24"/>
      <c r="B1271" s="19"/>
      <c r="C1271" s="26">
        <f>IF(A1271="","",ROUND((A1271+cfgAjusteMES/1440)*48,0))</f>
        <v>0</v>
      </c>
      <c r="D1271" s="26">
        <f>IF(C1271="","",INT((C1271-cfgDeslocamento)/4))</f>
        <v>0</v>
      </c>
      <c r="E1271" s="26">
        <f>IF(C1271="","",MOD(C1271-cfgDeslocamento,4)+1)</f>
        <v>0</v>
      </c>
    </row>
    <row r="1272" spans="1:5">
      <c r="A1272" s="24"/>
      <c r="B1272" s="19"/>
      <c r="C1272" s="26">
        <f>IF(A1272="","",ROUND((A1272+cfgAjusteMES/1440)*48,0))</f>
        <v>0</v>
      </c>
      <c r="D1272" s="26">
        <f>IF(C1272="","",INT((C1272-cfgDeslocamento)/4))</f>
        <v>0</v>
      </c>
      <c r="E1272" s="26">
        <f>IF(C1272="","",MOD(C1272-cfgDeslocamento,4)+1)</f>
        <v>0</v>
      </c>
    </row>
    <row r="1273" spans="1:5">
      <c r="A1273" s="24"/>
      <c r="B1273" s="19"/>
      <c r="C1273" s="26">
        <f>IF(A1273="","",ROUND((A1273+cfgAjusteMES/1440)*48,0))</f>
        <v>0</v>
      </c>
      <c r="D1273" s="26">
        <f>IF(C1273="","",INT((C1273-cfgDeslocamento)/4))</f>
        <v>0</v>
      </c>
      <c r="E1273" s="26">
        <f>IF(C1273="","",MOD(C1273-cfgDeslocamento,4)+1)</f>
        <v>0</v>
      </c>
    </row>
    <row r="1274" spans="1:5">
      <c r="A1274" s="24"/>
      <c r="B1274" s="19"/>
      <c r="C1274" s="26">
        <f>IF(A1274="","",ROUND((A1274+cfgAjusteMES/1440)*48,0))</f>
        <v>0</v>
      </c>
      <c r="D1274" s="26">
        <f>IF(C1274="","",INT((C1274-cfgDeslocamento)/4))</f>
        <v>0</v>
      </c>
      <c r="E1274" s="26">
        <f>IF(C1274="","",MOD(C1274-cfgDeslocamento,4)+1)</f>
        <v>0</v>
      </c>
    </row>
    <row r="1275" spans="1:5">
      <c r="A1275" s="24"/>
      <c r="B1275" s="19"/>
      <c r="C1275" s="26">
        <f>IF(A1275="","",ROUND((A1275+cfgAjusteMES/1440)*48,0))</f>
        <v>0</v>
      </c>
      <c r="D1275" s="26">
        <f>IF(C1275="","",INT((C1275-cfgDeslocamento)/4))</f>
        <v>0</v>
      </c>
      <c r="E1275" s="26">
        <f>IF(C1275="","",MOD(C1275-cfgDeslocamento,4)+1)</f>
        <v>0</v>
      </c>
    </row>
    <row r="1276" spans="1:5">
      <c r="A1276" s="24"/>
      <c r="B1276" s="19"/>
      <c r="C1276" s="26">
        <f>IF(A1276="","",ROUND((A1276+cfgAjusteMES/1440)*48,0))</f>
        <v>0</v>
      </c>
      <c r="D1276" s="26">
        <f>IF(C1276="","",INT((C1276-cfgDeslocamento)/4))</f>
        <v>0</v>
      </c>
      <c r="E1276" s="26">
        <f>IF(C1276="","",MOD(C1276-cfgDeslocamento,4)+1)</f>
        <v>0</v>
      </c>
    </row>
    <row r="1277" spans="1:5">
      <c r="A1277" s="24"/>
      <c r="B1277" s="19"/>
      <c r="C1277" s="26">
        <f>IF(A1277="","",ROUND((A1277+cfgAjusteMES/1440)*48,0))</f>
        <v>0</v>
      </c>
      <c r="D1277" s="26">
        <f>IF(C1277="","",INT((C1277-cfgDeslocamento)/4))</f>
        <v>0</v>
      </c>
      <c r="E1277" s="26">
        <f>IF(C1277="","",MOD(C1277-cfgDeslocamento,4)+1)</f>
        <v>0</v>
      </c>
    </row>
    <row r="1278" spans="1:5">
      <c r="A1278" s="24"/>
      <c r="B1278" s="19"/>
      <c r="C1278" s="26">
        <f>IF(A1278="","",ROUND((A1278+cfgAjusteMES/1440)*48,0))</f>
        <v>0</v>
      </c>
      <c r="D1278" s="26">
        <f>IF(C1278="","",INT((C1278-cfgDeslocamento)/4))</f>
        <v>0</v>
      </c>
      <c r="E1278" s="26">
        <f>IF(C1278="","",MOD(C1278-cfgDeslocamento,4)+1)</f>
        <v>0</v>
      </c>
    </row>
    <row r="1279" spans="1:5">
      <c r="A1279" s="24"/>
      <c r="B1279" s="19"/>
      <c r="C1279" s="26">
        <f>IF(A1279="","",ROUND((A1279+cfgAjusteMES/1440)*48,0))</f>
        <v>0</v>
      </c>
      <c r="D1279" s="26">
        <f>IF(C1279="","",INT((C1279-cfgDeslocamento)/4))</f>
        <v>0</v>
      </c>
      <c r="E1279" s="26">
        <f>IF(C1279="","",MOD(C1279-cfgDeslocamento,4)+1)</f>
        <v>0</v>
      </c>
    </row>
    <row r="1280" spans="1:5">
      <c r="A1280" s="24"/>
      <c r="B1280" s="19"/>
      <c r="C1280" s="26">
        <f>IF(A1280="","",ROUND((A1280+cfgAjusteMES/1440)*48,0))</f>
        <v>0</v>
      </c>
      <c r="D1280" s="26">
        <f>IF(C1280="","",INT((C1280-cfgDeslocamento)/4))</f>
        <v>0</v>
      </c>
      <c r="E1280" s="26">
        <f>IF(C1280="","",MOD(C1280-cfgDeslocamento,4)+1)</f>
        <v>0</v>
      </c>
    </row>
    <row r="1281" spans="1:5">
      <c r="A1281" s="24"/>
      <c r="B1281" s="19"/>
      <c r="C1281" s="26">
        <f>IF(A1281="","",ROUND((A1281+cfgAjusteMES/1440)*48,0))</f>
        <v>0</v>
      </c>
      <c r="D1281" s="26">
        <f>IF(C1281="","",INT((C1281-cfgDeslocamento)/4))</f>
        <v>0</v>
      </c>
      <c r="E1281" s="26">
        <f>IF(C1281="","",MOD(C1281-cfgDeslocamento,4)+1)</f>
        <v>0</v>
      </c>
    </row>
    <row r="1282" spans="1:5">
      <c r="A1282" s="24"/>
      <c r="B1282" s="19"/>
      <c r="C1282" s="26">
        <f>IF(A1282="","",ROUND((A1282+cfgAjusteMES/1440)*48,0))</f>
        <v>0</v>
      </c>
      <c r="D1282" s="26">
        <f>IF(C1282="","",INT((C1282-cfgDeslocamento)/4))</f>
        <v>0</v>
      </c>
      <c r="E1282" s="26">
        <f>IF(C1282="","",MOD(C1282-cfgDeslocamento,4)+1)</f>
        <v>0</v>
      </c>
    </row>
    <row r="1283" spans="1:5">
      <c r="A1283" s="24"/>
      <c r="B1283" s="19"/>
      <c r="C1283" s="26">
        <f>IF(A1283="","",ROUND((A1283+cfgAjusteMES/1440)*48,0))</f>
        <v>0</v>
      </c>
      <c r="D1283" s="26">
        <f>IF(C1283="","",INT((C1283-cfgDeslocamento)/4))</f>
        <v>0</v>
      </c>
      <c r="E1283" s="26">
        <f>IF(C1283="","",MOD(C1283-cfgDeslocamento,4)+1)</f>
        <v>0</v>
      </c>
    </row>
    <row r="1284" spans="1:5">
      <c r="A1284" s="24"/>
      <c r="B1284" s="19"/>
      <c r="C1284" s="26">
        <f>IF(A1284="","",ROUND((A1284+cfgAjusteMES/1440)*48,0))</f>
        <v>0</v>
      </c>
      <c r="D1284" s="26">
        <f>IF(C1284="","",INT((C1284-cfgDeslocamento)/4))</f>
        <v>0</v>
      </c>
      <c r="E1284" s="26">
        <f>IF(C1284="","",MOD(C1284-cfgDeslocamento,4)+1)</f>
        <v>0</v>
      </c>
    </row>
    <row r="1285" spans="1:5">
      <c r="A1285" s="24"/>
      <c r="B1285" s="19"/>
      <c r="C1285" s="26">
        <f>IF(A1285="","",ROUND((A1285+cfgAjusteMES/1440)*48,0))</f>
        <v>0</v>
      </c>
      <c r="D1285" s="26">
        <f>IF(C1285="","",INT((C1285-cfgDeslocamento)/4))</f>
        <v>0</v>
      </c>
      <c r="E1285" s="26">
        <f>IF(C1285="","",MOD(C1285-cfgDeslocamento,4)+1)</f>
        <v>0</v>
      </c>
    </row>
    <row r="1286" spans="1:5">
      <c r="A1286" s="24"/>
      <c r="B1286" s="19"/>
      <c r="C1286" s="26">
        <f>IF(A1286="","",ROUND((A1286+cfgAjusteMES/1440)*48,0))</f>
        <v>0</v>
      </c>
      <c r="D1286" s="26">
        <f>IF(C1286="","",INT((C1286-cfgDeslocamento)/4))</f>
        <v>0</v>
      </c>
      <c r="E1286" s="26">
        <f>IF(C1286="","",MOD(C1286-cfgDeslocamento,4)+1)</f>
        <v>0</v>
      </c>
    </row>
    <row r="1287" spans="1:5">
      <c r="A1287" s="24"/>
      <c r="B1287" s="19"/>
      <c r="C1287" s="26">
        <f>IF(A1287="","",ROUND((A1287+cfgAjusteMES/1440)*48,0))</f>
        <v>0</v>
      </c>
      <c r="D1287" s="26">
        <f>IF(C1287="","",INT((C1287-cfgDeslocamento)/4))</f>
        <v>0</v>
      </c>
      <c r="E1287" s="26">
        <f>IF(C1287="","",MOD(C1287-cfgDeslocamento,4)+1)</f>
        <v>0</v>
      </c>
    </row>
    <row r="1288" spans="1:5">
      <c r="A1288" s="24"/>
      <c r="B1288" s="19"/>
      <c r="C1288" s="26">
        <f>IF(A1288="","",ROUND((A1288+cfgAjusteMES/1440)*48,0))</f>
        <v>0</v>
      </c>
      <c r="D1288" s="26">
        <f>IF(C1288="","",INT((C1288-cfgDeslocamento)/4))</f>
        <v>0</v>
      </c>
      <c r="E1288" s="26">
        <f>IF(C1288="","",MOD(C1288-cfgDeslocamento,4)+1)</f>
        <v>0</v>
      </c>
    </row>
    <row r="1289" spans="1:5">
      <c r="A1289" s="24"/>
      <c r="B1289" s="19"/>
      <c r="C1289" s="26">
        <f>IF(A1289="","",ROUND((A1289+cfgAjusteMES/1440)*48,0))</f>
        <v>0</v>
      </c>
      <c r="D1289" s="26">
        <f>IF(C1289="","",INT((C1289-cfgDeslocamento)/4))</f>
        <v>0</v>
      </c>
      <c r="E1289" s="26">
        <f>IF(C1289="","",MOD(C1289-cfgDeslocamento,4)+1)</f>
        <v>0</v>
      </c>
    </row>
    <row r="1290" spans="1:5">
      <c r="A1290" s="24"/>
      <c r="B1290" s="19"/>
      <c r="C1290" s="26">
        <f>IF(A1290="","",ROUND((A1290+cfgAjusteMES/1440)*48,0))</f>
        <v>0</v>
      </c>
      <c r="D1290" s="26">
        <f>IF(C1290="","",INT((C1290-cfgDeslocamento)/4))</f>
        <v>0</v>
      </c>
      <c r="E1290" s="26">
        <f>IF(C1290="","",MOD(C1290-cfgDeslocamento,4)+1)</f>
        <v>0</v>
      </c>
    </row>
    <row r="1291" spans="1:5">
      <c r="A1291" s="24"/>
      <c r="B1291" s="19"/>
      <c r="C1291" s="26">
        <f>IF(A1291="","",ROUND((A1291+cfgAjusteMES/1440)*48,0))</f>
        <v>0</v>
      </c>
      <c r="D1291" s="26">
        <f>IF(C1291="","",INT((C1291-cfgDeslocamento)/4))</f>
        <v>0</v>
      </c>
      <c r="E1291" s="26">
        <f>IF(C1291="","",MOD(C1291-cfgDeslocamento,4)+1)</f>
        <v>0</v>
      </c>
    </row>
    <row r="1292" spans="1:5">
      <c r="A1292" s="24"/>
      <c r="B1292" s="19"/>
      <c r="C1292" s="26">
        <f>IF(A1292="","",ROUND((A1292+cfgAjusteMES/1440)*48,0))</f>
        <v>0</v>
      </c>
      <c r="D1292" s="26">
        <f>IF(C1292="","",INT((C1292-cfgDeslocamento)/4))</f>
        <v>0</v>
      </c>
      <c r="E1292" s="26">
        <f>IF(C1292="","",MOD(C1292-cfgDeslocamento,4)+1)</f>
        <v>0</v>
      </c>
    </row>
    <row r="1293" spans="1:5">
      <c r="A1293" s="24"/>
      <c r="B1293" s="19"/>
      <c r="C1293" s="26">
        <f>IF(A1293="","",ROUND((A1293+cfgAjusteMES/1440)*48,0))</f>
        <v>0</v>
      </c>
      <c r="D1293" s="26">
        <f>IF(C1293="","",INT((C1293-cfgDeslocamento)/4))</f>
        <v>0</v>
      </c>
      <c r="E1293" s="26">
        <f>IF(C1293="","",MOD(C1293-cfgDeslocamento,4)+1)</f>
        <v>0</v>
      </c>
    </row>
    <row r="1294" spans="1:5">
      <c r="A1294" s="24"/>
      <c r="B1294" s="19"/>
      <c r="C1294" s="26">
        <f>IF(A1294="","",ROUND((A1294+cfgAjusteMES/1440)*48,0))</f>
        <v>0</v>
      </c>
      <c r="D1294" s="26">
        <f>IF(C1294="","",INT((C1294-cfgDeslocamento)/4))</f>
        <v>0</v>
      </c>
      <c r="E1294" s="26">
        <f>IF(C1294="","",MOD(C1294-cfgDeslocamento,4)+1)</f>
        <v>0</v>
      </c>
    </row>
    <row r="1295" spans="1:5">
      <c r="A1295" s="24"/>
      <c r="B1295" s="19"/>
      <c r="C1295" s="26">
        <f>IF(A1295="","",ROUND((A1295+cfgAjusteMES/1440)*48,0))</f>
        <v>0</v>
      </c>
      <c r="D1295" s="26">
        <f>IF(C1295="","",INT((C1295-cfgDeslocamento)/4))</f>
        <v>0</v>
      </c>
      <c r="E1295" s="26">
        <f>IF(C1295="","",MOD(C1295-cfgDeslocamento,4)+1)</f>
        <v>0</v>
      </c>
    </row>
    <row r="1296" spans="1:5">
      <c r="A1296" s="24"/>
      <c r="B1296" s="19"/>
      <c r="C1296" s="26">
        <f>IF(A1296="","",ROUND((A1296+cfgAjusteMES/1440)*48,0))</f>
        <v>0</v>
      </c>
      <c r="D1296" s="26">
        <f>IF(C1296="","",INT((C1296-cfgDeslocamento)/4))</f>
        <v>0</v>
      </c>
      <c r="E1296" s="26">
        <f>IF(C1296="","",MOD(C1296-cfgDeslocamento,4)+1)</f>
        <v>0</v>
      </c>
    </row>
    <row r="1297" spans="1:5">
      <c r="A1297" s="24"/>
      <c r="B1297" s="19"/>
      <c r="C1297" s="26">
        <f>IF(A1297="","",ROUND((A1297+cfgAjusteMES/1440)*48,0))</f>
        <v>0</v>
      </c>
      <c r="D1297" s="26">
        <f>IF(C1297="","",INT((C1297-cfgDeslocamento)/4))</f>
        <v>0</v>
      </c>
      <c r="E1297" s="26">
        <f>IF(C1297="","",MOD(C1297-cfgDeslocamento,4)+1)</f>
        <v>0</v>
      </c>
    </row>
    <row r="1298" spans="1:5">
      <c r="A1298" s="24"/>
      <c r="B1298" s="19"/>
      <c r="C1298" s="26">
        <f>IF(A1298="","",ROUND((A1298+cfgAjusteMES/1440)*48,0))</f>
        <v>0</v>
      </c>
      <c r="D1298" s="26">
        <f>IF(C1298="","",INT((C1298-cfgDeslocamento)/4))</f>
        <v>0</v>
      </c>
      <c r="E1298" s="26">
        <f>IF(C1298="","",MOD(C1298-cfgDeslocamento,4)+1)</f>
        <v>0</v>
      </c>
    </row>
    <row r="1299" spans="1:5">
      <c r="A1299" s="24"/>
      <c r="B1299" s="19"/>
      <c r="C1299" s="26">
        <f>IF(A1299="","",ROUND((A1299+cfgAjusteMES/1440)*48,0))</f>
        <v>0</v>
      </c>
      <c r="D1299" s="26">
        <f>IF(C1299="","",INT((C1299-cfgDeslocamento)/4))</f>
        <v>0</v>
      </c>
      <c r="E1299" s="26">
        <f>IF(C1299="","",MOD(C1299-cfgDeslocamento,4)+1)</f>
        <v>0</v>
      </c>
    </row>
    <row r="1300" spans="1:5">
      <c r="A1300" s="24"/>
      <c r="B1300" s="19"/>
      <c r="C1300" s="26">
        <f>IF(A1300="","",ROUND((A1300+cfgAjusteMES/1440)*48,0))</f>
        <v>0</v>
      </c>
      <c r="D1300" s="26">
        <f>IF(C1300="","",INT((C1300-cfgDeslocamento)/4))</f>
        <v>0</v>
      </c>
      <c r="E1300" s="26">
        <f>IF(C1300="","",MOD(C1300-cfgDeslocamento,4)+1)</f>
        <v>0</v>
      </c>
    </row>
    <row r="1301" spans="1:5">
      <c r="A1301" s="24"/>
      <c r="B1301" s="19"/>
      <c r="C1301" s="26">
        <f>IF(A1301="","",ROUND((A1301+cfgAjusteMES/1440)*48,0))</f>
        <v>0</v>
      </c>
      <c r="D1301" s="26">
        <f>IF(C1301="","",INT((C1301-cfgDeslocamento)/4))</f>
        <v>0</v>
      </c>
      <c r="E1301" s="26">
        <f>IF(C1301="","",MOD(C1301-cfgDeslocamento,4)+1)</f>
        <v>0</v>
      </c>
    </row>
    <row r="1302" spans="1:5">
      <c r="A1302" s="24"/>
      <c r="B1302" s="19"/>
      <c r="C1302" s="26">
        <f>IF(A1302="","",ROUND((A1302+cfgAjusteMES/1440)*48,0))</f>
        <v>0</v>
      </c>
      <c r="D1302" s="26">
        <f>IF(C1302="","",INT((C1302-cfgDeslocamento)/4))</f>
        <v>0</v>
      </c>
      <c r="E1302" s="26">
        <f>IF(C1302="","",MOD(C1302-cfgDeslocamento,4)+1)</f>
        <v>0</v>
      </c>
    </row>
    <row r="1303" spans="1:5">
      <c r="A1303" s="24"/>
      <c r="B1303" s="19"/>
      <c r="C1303" s="26">
        <f>IF(A1303="","",ROUND((A1303+cfgAjusteMES/1440)*48,0))</f>
        <v>0</v>
      </c>
      <c r="D1303" s="26">
        <f>IF(C1303="","",INT((C1303-cfgDeslocamento)/4))</f>
        <v>0</v>
      </c>
      <c r="E1303" s="26">
        <f>IF(C1303="","",MOD(C1303-cfgDeslocamento,4)+1)</f>
        <v>0</v>
      </c>
    </row>
    <row r="1304" spans="1:5">
      <c r="A1304" s="24"/>
      <c r="B1304" s="19"/>
      <c r="C1304" s="26">
        <f>IF(A1304="","",ROUND((A1304+cfgAjusteMES/1440)*48,0))</f>
        <v>0</v>
      </c>
      <c r="D1304" s="26">
        <f>IF(C1304="","",INT((C1304-cfgDeslocamento)/4))</f>
        <v>0</v>
      </c>
      <c r="E1304" s="26">
        <f>IF(C1304="","",MOD(C1304-cfgDeslocamento,4)+1)</f>
        <v>0</v>
      </c>
    </row>
    <row r="1305" spans="1:5">
      <c r="A1305" s="24"/>
      <c r="B1305" s="19"/>
      <c r="C1305" s="26">
        <f>IF(A1305="","",ROUND((A1305+cfgAjusteMES/1440)*48,0))</f>
        <v>0</v>
      </c>
      <c r="D1305" s="26">
        <f>IF(C1305="","",INT((C1305-cfgDeslocamento)/4))</f>
        <v>0</v>
      </c>
      <c r="E1305" s="26">
        <f>IF(C1305="","",MOD(C1305-cfgDeslocamento,4)+1)</f>
        <v>0</v>
      </c>
    </row>
    <row r="1306" spans="1:5">
      <c r="A1306" s="24"/>
      <c r="B1306" s="19"/>
      <c r="C1306" s="26">
        <f>IF(A1306="","",ROUND((A1306+cfgAjusteMES/1440)*48,0))</f>
        <v>0</v>
      </c>
      <c r="D1306" s="26">
        <f>IF(C1306="","",INT((C1306-cfgDeslocamento)/4))</f>
        <v>0</v>
      </c>
      <c r="E1306" s="26">
        <f>IF(C1306="","",MOD(C1306-cfgDeslocamento,4)+1)</f>
        <v>0</v>
      </c>
    </row>
    <row r="1307" spans="1:5">
      <c r="A1307" s="24"/>
      <c r="B1307" s="19"/>
      <c r="C1307" s="26">
        <f>IF(A1307="","",ROUND((A1307+cfgAjusteMES/1440)*48,0))</f>
        <v>0</v>
      </c>
      <c r="D1307" s="26">
        <f>IF(C1307="","",INT((C1307-cfgDeslocamento)/4))</f>
        <v>0</v>
      </c>
      <c r="E1307" s="26">
        <f>IF(C1307="","",MOD(C1307-cfgDeslocamento,4)+1)</f>
        <v>0</v>
      </c>
    </row>
    <row r="1308" spans="1:5">
      <c r="A1308" s="24"/>
      <c r="B1308" s="19"/>
      <c r="C1308" s="26">
        <f>IF(A1308="","",ROUND((A1308+cfgAjusteMES/1440)*48,0))</f>
        <v>0</v>
      </c>
      <c r="D1308" s="26">
        <f>IF(C1308="","",INT((C1308-cfgDeslocamento)/4))</f>
        <v>0</v>
      </c>
      <c r="E1308" s="26">
        <f>IF(C1308="","",MOD(C1308-cfgDeslocamento,4)+1)</f>
        <v>0</v>
      </c>
    </row>
    <row r="1309" spans="1:5">
      <c r="A1309" s="24"/>
      <c r="B1309" s="19"/>
      <c r="C1309" s="26">
        <f>IF(A1309="","",ROUND((A1309+cfgAjusteMES/1440)*48,0))</f>
        <v>0</v>
      </c>
      <c r="D1309" s="26">
        <f>IF(C1309="","",INT((C1309-cfgDeslocamento)/4))</f>
        <v>0</v>
      </c>
      <c r="E1309" s="26">
        <f>IF(C1309="","",MOD(C1309-cfgDeslocamento,4)+1)</f>
        <v>0</v>
      </c>
    </row>
    <row r="1310" spans="1:5">
      <c r="A1310" s="24"/>
      <c r="B1310" s="19"/>
      <c r="C1310" s="26">
        <f>IF(A1310="","",ROUND((A1310+cfgAjusteMES/1440)*48,0))</f>
        <v>0</v>
      </c>
      <c r="D1310" s="26">
        <f>IF(C1310="","",INT((C1310-cfgDeslocamento)/4))</f>
        <v>0</v>
      </c>
      <c r="E1310" s="26">
        <f>IF(C1310="","",MOD(C1310-cfgDeslocamento,4)+1)</f>
        <v>0</v>
      </c>
    </row>
    <row r="1311" spans="1:5">
      <c r="A1311" s="24"/>
      <c r="B1311" s="19"/>
      <c r="C1311" s="26">
        <f>IF(A1311="","",ROUND((A1311+cfgAjusteMES/1440)*48,0))</f>
        <v>0</v>
      </c>
      <c r="D1311" s="26">
        <f>IF(C1311="","",INT((C1311-cfgDeslocamento)/4))</f>
        <v>0</v>
      </c>
      <c r="E1311" s="26">
        <f>IF(C1311="","",MOD(C1311-cfgDeslocamento,4)+1)</f>
        <v>0</v>
      </c>
    </row>
    <row r="1312" spans="1:5">
      <c r="A1312" s="24"/>
      <c r="B1312" s="19"/>
      <c r="C1312" s="26">
        <f>IF(A1312="","",ROUND((A1312+cfgAjusteMES/1440)*48,0))</f>
        <v>0</v>
      </c>
      <c r="D1312" s="26">
        <f>IF(C1312="","",INT((C1312-cfgDeslocamento)/4))</f>
        <v>0</v>
      </c>
      <c r="E1312" s="26">
        <f>IF(C1312="","",MOD(C1312-cfgDeslocamento,4)+1)</f>
        <v>0</v>
      </c>
    </row>
    <row r="1313" spans="1:5">
      <c r="A1313" s="24"/>
      <c r="B1313" s="19"/>
      <c r="C1313" s="26">
        <f>IF(A1313="","",ROUND((A1313+cfgAjusteMES/1440)*48,0))</f>
        <v>0</v>
      </c>
      <c r="D1313" s="26">
        <f>IF(C1313="","",INT((C1313-cfgDeslocamento)/4))</f>
        <v>0</v>
      </c>
      <c r="E1313" s="26">
        <f>IF(C1313="","",MOD(C1313-cfgDeslocamento,4)+1)</f>
        <v>0</v>
      </c>
    </row>
    <row r="1314" spans="1:5">
      <c r="A1314" s="24"/>
      <c r="B1314" s="19"/>
      <c r="C1314" s="26">
        <f>IF(A1314="","",ROUND((A1314+cfgAjusteMES/1440)*48,0))</f>
        <v>0</v>
      </c>
      <c r="D1314" s="26">
        <f>IF(C1314="","",INT((C1314-cfgDeslocamento)/4))</f>
        <v>0</v>
      </c>
      <c r="E1314" s="26">
        <f>IF(C1314="","",MOD(C1314-cfgDeslocamento,4)+1)</f>
        <v>0</v>
      </c>
    </row>
    <row r="1315" spans="1:5">
      <c r="A1315" s="24"/>
      <c r="B1315" s="19"/>
      <c r="C1315" s="26">
        <f>IF(A1315="","",ROUND((A1315+cfgAjusteMES/1440)*48,0))</f>
        <v>0</v>
      </c>
      <c r="D1315" s="26">
        <f>IF(C1315="","",INT((C1315-cfgDeslocamento)/4))</f>
        <v>0</v>
      </c>
      <c r="E1315" s="26">
        <f>IF(C1315="","",MOD(C1315-cfgDeslocamento,4)+1)</f>
        <v>0</v>
      </c>
    </row>
    <row r="1316" spans="1:5">
      <c r="A1316" s="24"/>
      <c r="B1316" s="19"/>
      <c r="C1316" s="26">
        <f>IF(A1316="","",ROUND((A1316+cfgAjusteMES/1440)*48,0))</f>
        <v>0</v>
      </c>
      <c r="D1316" s="26">
        <f>IF(C1316="","",INT((C1316-cfgDeslocamento)/4))</f>
        <v>0</v>
      </c>
      <c r="E1316" s="26">
        <f>IF(C1316="","",MOD(C1316-cfgDeslocamento,4)+1)</f>
        <v>0</v>
      </c>
    </row>
    <row r="1317" spans="1:5">
      <c r="A1317" s="24"/>
      <c r="B1317" s="19"/>
      <c r="C1317" s="26">
        <f>IF(A1317="","",ROUND((A1317+cfgAjusteMES/1440)*48,0))</f>
        <v>0</v>
      </c>
      <c r="D1317" s="26">
        <f>IF(C1317="","",INT((C1317-cfgDeslocamento)/4))</f>
        <v>0</v>
      </c>
      <c r="E1317" s="26">
        <f>IF(C1317="","",MOD(C1317-cfgDeslocamento,4)+1)</f>
        <v>0</v>
      </c>
    </row>
    <row r="1318" spans="1:5">
      <c r="A1318" s="24"/>
      <c r="B1318" s="19"/>
      <c r="C1318" s="26">
        <f>IF(A1318="","",ROUND((A1318+cfgAjusteMES/1440)*48,0))</f>
        <v>0</v>
      </c>
      <c r="D1318" s="26">
        <f>IF(C1318="","",INT((C1318-cfgDeslocamento)/4))</f>
        <v>0</v>
      </c>
      <c r="E1318" s="26">
        <f>IF(C1318="","",MOD(C1318-cfgDeslocamento,4)+1)</f>
        <v>0</v>
      </c>
    </row>
    <row r="1319" spans="1:5">
      <c r="A1319" s="24"/>
      <c r="B1319" s="19"/>
      <c r="C1319" s="26">
        <f>IF(A1319="","",ROUND((A1319+cfgAjusteMES/1440)*48,0))</f>
        <v>0</v>
      </c>
      <c r="D1319" s="26">
        <f>IF(C1319="","",INT((C1319-cfgDeslocamento)/4))</f>
        <v>0</v>
      </c>
      <c r="E1319" s="26">
        <f>IF(C1319="","",MOD(C1319-cfgDeslocamento,4)+1)</f>
        <v>0</v>
      </c>
    </row>
    <row r="1320" spans="1:5">
      <c r="A1320" s="24"/>
      <c r="B1320" s="19"/>
      <c r="C1320" s="26">
        <f>IF(A1320="","",ROUND((A1320+cfgAjusteMES/1440)*48,0))</f>
        <v>0</v>
      </c>
      <c r="D1320" s="26">
        <f>IF(C1320="","",INT((C1320-cfgDeslocamento)/4))</f>
        <v>0</v>
      </c>
      <c r="E1320" s="26">
        <f>IF(C1320="","",MOD(C1320-cfgDeslocamento,4)+1)</f>
        <v>0</v>
      </c>
    </row>
    <row r="1321" spans="1:5">
      <c r="A1321" s="24"/>
      <c r="B1321" s="19"/>
      <c r="C1321" s="26">
        <f>IF(A1321="","",ROUND((A1321+cfgAjusteMES/1440)*48,0))</f>
        <v>0</v>
      </c>
      <c r="D1321" s="26">
        <f>IF(C1321="","",INT((C1321-cfgDeslocamento)/4))</f>
        <v>0</v>
      </c>
      <c r="E1321" s="26">
        <f>IF(C1321="","",MOD(C1321-cfgDeslocamento,4)+1)</f>
        <v>0</v>
      </c>
    </row>
    <row r="1322" spans="1:5">
      <c r="A1322" s="24"/>
      <c r="B1322" s="19"/>
      <c r="C1322" s="26">
        <f>IF(A1322="","",ROUND((A1322+cfgAjusteMES/1440)*48,0))</f>
        <v>0</v>
      </c>
      <c r="D1322" s="26">
        <f>IF(C1322="","",INT((C1322-cfgDeslocamento)/4))</f>
        <v>0</v>
      </c>
      <c r="E1322" s="26">
        <f>IF(C1322="","",MOD(C1322-cfgDeslocamento,4)+1)</f>
        <v>0</v>
      </c>
    </row>
    <row r="1323" spans="1:5">
      <c r="A1323" s="24"/>
      <c r="B1323" s="19"/>
      <c r="C1323" s="26">
        <f>IF(A1323="","",ROUND((A1323+cfgAjusteMES/1440)*48,0))</f>
        <v>0</v>
      </c>
      <c r="D1323" s="26">
        <f>IF(C1323="","",INT((C1323-cfgDeslocamento)/4))</f>
        <v>0</v>
      </c>
      <c r="E1323" s="26">
        <f>IF(C1323="","",MOD(C1323-cfgDeslocamento,4)+1)</f>
        <v>0</v>
      </c>
    </row>
    <row r="1324" spans="1:5">
      <c r="A1324" s="24"/>
      <c r="B1324" s="19"/>
      <c r="C1324" s="26">
        <f>IF(A1324="","",ROUND((A1324+cfgAjusteMES/1440)*48,0))</f>
        <v>0</v>
      </c>
      <c r="D1324" s="26">
        <f>IF(C1324="","",INT((C1324-cfgDeslocamento)/4))</f>
        <v>0</v>
      </c>
      <c r="E1324" s="26">
        <f>IF(C1324="","",MOD(C1324-cfgDeslocamento,4)+1)</f>
        <v>0</v>
      </c>
    </row>
    <row r="1325" spans="1:5">
      <c r="A1325" s="24"/>
      <c r="B1325" s="19"/>
      <c r="C1325" s="26">
        <f>IF(A1325="","",ROUND((A1325+cfgAjusteMES/1440)*48,0))</f>
        <v>0</v>
      </c>
      <c r="D1325" s="26">
        <f>IF(C1325="","",INT((C1325-cfgDeslocamento)/4))</f>
        <v>0</v>
      </c>
      <c r="E1325" s="26">
        <f>IF(C1325="","",MOD(C1325-cfgDeslocamento,4)+1)</f>
        <v>0</v>
      </c>
    </row>
    <row r="1326" spans="1:5">
      <c r="A1326" s="24"/>
      <c r="B1326" s="19"/>
      <c r="C1326" s="26">
        <f>IF(A1326="","",ROUND((A1326+cfgAjusteMES/1440)*48,0))</f>
        <v>0</v>
      </c>
      <c r="D1326" s="26">
        <f>IF(C1326="","",INT((C1326-cfgDeslocamento)/4))</f>
        <v>0</v>
      </c>
      <c r="E1326" s="26">
        <f>IF(C1326="","",MOD(C1326-cfgDeslocamento,4)+1)</f>
        <v>0</v>
      </c>
    </row>
    <row r="1327" spans="1:5">
      <c r="A1327" s="24"/>
      <c r="B1327" s="19"/>
      <c r="C1327" s="26">
        <f>IF(A1327="","",ROUND((A1327+cfgAjusteMES/1440)*48,0))</f>
        <v>0</v>
      </c>
      <c r="D1327" s="26">
        <f>IF(C1327="","",INT((C1327-cfgDeslocamento)/4))</f>
        <v>0</v>
      </c>
      <c r="E1327" s="26">
        <f>IF(C1327="","",MOD(C1327-cfgDeslocamento,4)+1)</f>
        <v>0</v>
      </c>
    </row>
    <row r="1328" spans="1:5">
      <c r="A1328" s="24"/>
      <c r="B1328" s="19"/>
      <c r="C1328" s="26">
        <f>IF(A1328="","",ROUND((A1328+cfgAjusteMES/1440)*48,0))</f>
        <v>0</v>
      </c>
      <c r="D1328" s="26">
        <f>IF(C1328="","",INT((C1328-cfgDeslocamento)/4))</f>
        <v>0</v>
      </c>
      <c r="E1328" s="26">
        <f>IF(C1328="","",MOD(C1328-cfgDeslocamento,4)+1)</f>
        <v>0</v>
      </c>
    </row>
    <row r="1329" spans="1:5">
      <c r="A1329" s="24"/>
      <c r="B1329" s="19"/>
      <c r="C1329" s="26">
        <f>IF(A1329="","",ROUND((A1329+cfgAjusteMES/1440)*48,0))</f>
        <v>0</v>
      </c>
      <c r="D1329" s="26">
        <f>IF(C1329="","",INT((C1329-cfgDeslocamento)/4))</f>
        <v>0</v>
      </c>
      <c r="E1329" s="26">
        <f>IF(C1329="","",MOD(C1329-cfgDeslocamento,4)+1)</f>
        <v>0</v>
      </c>
    </row>
    <row r="1330" spans="1:5">
      <c r="A1330" s="24"/>
      <c r="B1330" s="19"/>
      <c r="C1330" s="26">
        <f>IF(A1330="","",ROUND((A1330+cfgAjusteMES/1440)*48,0))</f>
        <v>0</v>
      </c>
      <c r="D1330" s="26">
        <f>IF(C1330="","",INT((C1330-cfgDeslocamento)/4))</f>
        <v>0</v>
      </c>
      <c r="E1330" s="26">
        <f>IF(C1330="","",MOD(C1330-cfgDeslocamento,4)+1)</f>
        <v>0</v>
      </c>
    </row>
    <row r="1331" spans="1:5">
      <c r="A1331" s="24"/>
      <c r="B1331" s="19"/>
      <c r="C1331" s="26">
        <f>IF(A1331="","",ROUND((A1331+cfgAjusteMES/1440)*48,0))</f>
        <v>0</v>
      </c>
      <c r="D1331" s="26">
        <f>IF(C1331="","",INT((C1331-cfgDeslocamento)/4))</f>
        <v>0</v>
      </c>
      <c r="E1331" s="26">
        <f>IF(C1331="","",MOD(C1331-cfgDeslocamento,4)+1)</f>
        <v>0</v>
      </c>
    </row>
    <row r="1332" spans="1:5">
      <c r="A1332" s="24"/>
      <c r="B1332" s="19"/>
      <c r="C1332" s="26">
        <f>IF(A1332="","",ROUND((A1332+cfgAjusteMES/1440)*48,0))</f>
        <v>0</v>
      </c>
      <c r="D1332" s="26">
        <f>IF(C1332="","",INT((C1332-cfgDeslocamento)/4))</f>
        <v>0</v>
      </c>
      <c r="E1332" s="26">
        <f>IF(C1332="","",MOD(C1332-cfgDeslocamento,4)+1)</f>
        <v>0</v>
      </c>
    </row>
    <row r="1333" spans="1:5">
      <c r="A1333" s="24"/>
      <c r="B1333" s="19"/>
      <c r="C1333" s="26">
        <f>IF(A1333="","",ROUND((A1333+cfgAjusteMES/1440)*48,0))</f>
        <v>0</v>
      </c>
      <c r="D1333" s="26">
        <f>IF(C1333="","",INT((C1333-cfgDeslocamento)/4))</f>
        <v>0</v>
      </c>
      <c r="E1333" s="26">
        <f>IF(C1333="","",MOD(C1333-cfgDeslocamento,4)+1)</f>
        <v>0</v>
      </c>
    </row>
    <row r="1334" spans="1:5">
      <c r="A1334" s="24"/>
      <c r="B1334" s="19"/>
      <c r="C1334" s="26">
        <f>IF(A1334="","",ROUND((A1334+cfgAjusteMES/1440)*48,0))</f>
        <v>0</v>
      </c>
      <c r="D1334" s="26">
        <f>IF(C1334="","",INT((C1334-cfgDeslocamento)/4))</f>
        <v>0</v>
      </c>
      <c r="E1334" s="26">
        <f>IF(C1334="","",MOD(C1334-cfgDeslocamento,4)+1)</f>
        <v>0</v>
      </c>
    </row>
    <row r="1335" spans="1:5">
      <c r="A1335" s="24"/>
      <c r="B1335" s="19"/>
      <c r="C1335" s="26">
        <f>IF(A1335="","",ROUND((A1335+cfgAjusteMES/1440)*48,0))</f>
        <v>0</v>
      </c>
      <c r="D1335" s="26">
        <f>IF(C1335="","",INT((C1335-cfgDeslocamento)/4))</f>
        <v>0</v>
      </c>
      <c r="E1335" s="26">
        <f>IF(C1335="","",MOD(C1335-cfgDeslocamento,4)+1)</f>
        <v>0</v>
      </c>
    </row>
    <row r="1336" spans="1:5">
      <c r="A1336" s="24"/>
      <c r="B1336" s="19"/>
      <c r="C1336" s="26">
        <f>IF(A1336="","",ROUND((A1336+cfgAjusteMES/1440)*48,0))</f>
        <v>0</v>
      </c>
      <c r="D1336" s="26">
        <f>IF(C1336="","",INT((C1336-cfgDeslocamento)/4))</f>
        <v>0</v>
      </c>
      <c r="E1336" s="26">
        <f>IF(C1336="","",MOD(C1336-cfgDeslocamento,4)+1)</f>
        <v>0</v>
      </c>
    </row>
    <row r="1337" spans="1:5">
      <c r="A1337" s="24"/>
      <c r="B1337" s="19"/>
      <c r="C1337" s="26">
        <f>IF(A1337="","",ROUND((A1337+cfgAjusteMES/1440)*48,0))</f>
        <v>0</v>
      </c>
      <c r="D1337" s="26">
        <f>IF(C1337="","",INT((C1337-cfgDeslocamento)/4))</f>
        <v>0</v>
      </c>
      <c r="E1337" s="26">
        <f>IF(C1337="","",MOD(C1337-cfgDeslocamento,4)+1)</f>
        <v>0</v>
      </c>
    </row>
    <row r="1338" spans="1:5">
      <c r="A1338" s="24"/>
      <c r="B1338" s="19"/>
      <c r="C1338" s="26">
        <f>IF(A1338="","",ROUND((A1338+cfgAjusteMES/1440)*48,0))</f>
        <v>0</v>
      </c>
      <c r="D1338" s="26">
        <f>IF(C1338="","",INT((C1338-cfgDeslocamento)/4))</f>
        <v>0</v>
      </c>
      <c r="E1338" s="26">
        <f>IF(C1338="","",MOD(C1338-cfgDeslocamento,4)+1)</f>
        <v>0</v>
      </c>
    </row>
    <row r="1339" spans="1:5">
      <c r="A1339" s="24"/>
      <c r="B1339" s="19"/>
      <c r="C1339" s="26">
        <f>IF(A1339="","",ROUND((A1339+cfgAjusteMES/1440)*48,0))</f>
        <v>0</v>
      </c>
      <c r="D1339" s="26">
        <f>IF(C1339="","",INT((C1339-cfgDeslocamento)/4))</f>
        <v>0</v>
      </c>
      <c r="E1339" s="26">
        <f>IF(C1339="","",MOD(C1339-cfgDeslocamento,4)+1)</f>
        <v>0</v>
      </c>
    </row>
    <row r="1340" spans="1:5">
      <c r="A1340" s="24"/>
      <c r="B1340" s="19"/>
      <c r="C1340" s="26">
        <f>IF(A1340="","",ROUND((A1340+cfgAjusteMES/1440)*48,0))</f>
        <v>0</v>
      </c>
      <c r="D1340" s="26">
        <f>IF(C1340="","",INT((C1340-cfgDeslocamento)/4))</f>
        <v>0</v>
      </c>
      <c r="E1340" s="26">
        <f>IF(C1340="","",MOD(C1340-cfgDeslocamento,4)+1)</f>
        <v>0</v>
      </c>
    </row>
    <row r="1341" spans="1:5">
      <c r="A1341" s="24"/>
      <c r="B1341" s="19"/>
      <c r="C1341" s="26">
        <f>IF(A1341="","",ROUND((A1341+cfgAjusteMES/1440)*48,0))</f>
        <v>0</v>
      </c>
      <c r="D1341" s="26">
        <f>IF(C1341="","",INT((C1341-cfgDeslocamento)/4))</f>
        <v>0</v>
      </c>
      <c r="E1341" s="26">
        <f>IF(C1341="","",MOD(C1341-cfgDeslocamento,4)+1)</f>
        <v>0</v>
      </c>
    </row>
    <row r="1342" spans="1:5">
      <c r="A1342" s="24"/>
      <c r="B1342" s="19"/>
      <c r="C1342" s="26">
        <f>IF(A1342="","",ROUND((A1342+cfgAjusteMES/1440)*48,0))</f>
        <v>0</v>
      </c>
      <c r="D1342" s="26">
        <f>IF(C1342="","",INT((C1342-cfgDeslocamento)/4))</f>
        <v>0</v>
      </c>
      <c r="E1342" s="26">
        <f>IF(C1342="","",MOD(C1342-cfgDeslocamento,4)+1)</f>
        <v>0</v>
      </c>
    </row>
    <row r="1343" spans="1:5">
      <c r="A1343" s="24"/>
      <c r="B1343" s="19"/>
      <c r="C1343" s="26">
        <f>IF(A1343="","",ROUND((A1343+cfgAjusteMES/1440)*48,0))</f>
        <v>0</v>
      </c>
      <c r="D1343" s="26">
        <f>IF(C1343="","",INT((C1343-cfgDeslocamento)/4))</f>
        <v>0</v>
      </c>
      <c r="E1343" s="26">
        <f>IF(C1343="","",MOD(C1343-cfgDeslocamento,4)+1)</f>
        <v>0</v>
      </c>
    </row>
    <row r="1344" spans="1:5">
      <c r="A1344" s="24"/>
      <c r="B1344" s="19"/>
      <c r="C1344" s="26">
        <f>IF(A1344="","",ROUND((A1344+cfgAjusteMES/1440)*48,0))</f>
        <v>0</v>
      </c>
      <c r="D1344" s="26">
        <f>IF(C1344="","",INT((C1344-cfgDeslocamento)/4))</f>
        <v>0</v>
      </c>
      <c r="E1344" s="26">
        <f>IF(C1344="","",MOD(C1344-cfgDeslocamento,4)+1)</f>
        <v>0</v>
      </c>
    </row>
    <row r="1345" spans="1:5">
      <c r="A1345" s="24"/>
      <c r="B1345" s="19"/>
      <c r="C1345" s="26">
        <f>IF(A1345="","",ROUND((A1345+cfgAjusteMES/1440)*48,0))</f>
        <v>0</v>
      </c>
      <c r="D1345" s="26">
        <f>IF(C1345="","",INT((C1345-cfgDeslocamento)/4))</f>
        <v>0</v>
      </c>
      <c r="E1345" s="26">
        <f>IF(C1345="","",MOD(C1345-cfgDeslocamento,4)+1)</f>
        <v>0</v>
      </c>
    </row>
    <row r="1346" spans="1:5">
      <c r="A1346" s="24"/>
      <c r="B1346" s="19"/>
      <c r="C1346" s="26">
        <f>IF(A1346="","",ROUND((A1346+cfgAjusteMES/1440)*48,0))</f>
        <v>0</v>
      </c>
      <c r="D1346" s="26">
        <f>IF(C1346="","",INT((C1346-cfgDeslocamento)/4))</f>
        <v>0</v>
      </c>
      <c r="E1346" s="26">
        <f>IF(C1346="","",MOD(C1346-cfgDeslocamento,4)+1)</f>
        <v>0</v>
      </c>
    </row>
    <row r="1347" spans="1:5">
      <c r="A1347" s="24"/>
      <c r="B1347" s="19"/>
      <c r="C1347" s="26">
        <f>IF(A1347="","",ROUND((A1347+cfgAjusteMES/1440)*48,0))</f>
        <v>0</v>
      </c>
      <c r="D1347" s="26">
        <f>IF(C1347="","",INT((C1347-cfgDeslocamento)/4))</f>
        <v>0</v>
      </c>
      <c r="E1347" s="26">
        <f>IF(C1347="","",MOD(C1347-cfgDeslocamento,4)+1)</f>
        <v>0</v>
      </c>
    </row>
    <row r="1348" spans="1:5">
      <c r="A1348" s="24"/>
      <c r="B1348" s="19"/>
      <c r="C1348" s="26">
        <f>IF(A1348="","",ROUND((A1348+cfgAjusteMES/1440)*48,0))</f>
        <v>0</v>
      </c>
      <c r="D1348" s="26">
        <f>IF(C1348="","",INT((C1348-cfgDeslocamento)/4))</f>
        <v>0</v>
      </c>
      <c r="E1348" s="26">
        <f>IF(C1348="","",MOD(C1348-cfgDeslocamento,4)+1)</f>
        <v>0</v>
      </c>
    </row>
    <row r="1349" spans="1:5">
      <c r="A1349" s="24"/>
      <c r="B1349" s="19"/>
      <c r="C1349" s="26">
        <f>IF(A1349="","",ROUND((A1349+cfgAjusteMES/1440)*48,0))</f>
        <v>0</v>
      </c>
      <c r="D1349" s="26">
        <f>IF(C1349="","",INT((C1349-cfgDeslocamento)/4))</f>
        <v>0</v>
      </c>
      <c r="E1349" s="26">
        <f>IF(C1349="","",MOD(C1349-cfgDeslocamento,4)+1)</f>
        <v>0</v>
      </c>
    </row>
    <row r="1350" spans="1:5">
      <c r="A1350" s="24"/>
      <c r="B1350" s="19"/>
      <c r="C1350" s="26">
        <f>IF(A1350="","",ROUND((A1350+cfgAjusteMES/1440)*48,0))</f>
        <v>0</v>
      </c>
      <c r="D1350" s="26">
        <f>IF(C1350="","",INT((C1350-cfgDeslocamento)/4))</f>
        <v>0</v>
      </c>
      <c r="E1350" s="26">
        <f>IF(C1350="","",MOD(C1350-cfgDeslocamento,4)+1)</f>
        <v>0</v>
      </c>
    </row>
    <row r="1351" spans="1:5">
      <c r="A1351" s="24"/>
      <c r="B1351" s="19"/>
      <c r="C1351" s="26">
        <f>IF(A1351="","",ROUND((A1351+cfgAjusteMES/1440)*48,0))</f>
        <v>0</v>
      </c>
      <c r="D1351" s="26">
        <f>IF(C1351="","",INT((C1351-cfgDeslocamento)/4))</f>
        <v>0</v>
      </c>
      <c r="E1351" s="26">
        <f>IF(C1351="","",MOD(C1351-cfgDeslocamento,4)+1)</f>
        <v>0</v>
      </c>
    </row>
    <row r="1352" spans="1:5">
      <c r="A1352" s="24"/>
      <c r="B1352" s="19"/>
      <c r="C1352" s="26">
        <f>IF(A1352="","",ROUND((A1352+cfgAjusteMES/1440)*48,0))</f>
        <v>0</v>
      </c>
      <c r="D1352" s="26">
        <f>IF(C1352="","",INT((C1352-cfgDeslocamento)/4))</f>
        <v>0</v>
      </c>
      <c r="E1352" s="26">
        <f>IF(C1352="","",MOD(C1352-cfgDeslocamento,4)+1)</f>
        <v>0</v>
      </c>
    </row>
    <row r="1353" spans="1:5">
      <c r="A1353" s="24"/>
      <c r="B1353" s="19"/>
      <c r="C1353" s="26">
        <f>IF(A1353="","",ROUND((A1353+cfgAjusteMES/1440)*48,0))</f>
        <v>0</v>
      </c>
      <c r="D1353" s="26">
        <f>IF(C1353="","",INT((C1353-cfgDeslocamento)/4))</f>
        <v>0</v>
      </c>
      <c r="E1353" s="26">
        <f>IF(C1353="","",MOD(C1353-cfgDeslocamento,4)+1)</f>
        <v>0</v>
      </c>
    </row>
    <row r="1354" spans="1:5">
      <c r="A1354" s="24"/>
      <c r="B1354" s="19"/>
      <c r="C1354" s="26">
        <f>IF(A1354="","",ROUND((A1354+cfgAjusteMES/1440)*48,0))</f>
        <v>0</v>
      </c>
      <c r="D1354" s="26">
        <f>IF(C1354="","",INT((C1354-cfgDeslocamento)/4))</f>
        <v>0</v>
      </c>
      <c r="E1354" s="26">
        <f>IF(C1354="","",MOD(C1354-cfgDeslocamento,4)+1)</f>
        <v>0</v>
      </c>
    </row>
    <row r="1355" spans="1:5">
      <c r="A1355" s="24"/>
      <c r="B1355" s="19"/>
      <c r="C1355" s="26">
        <f>IF(A1355="","",ROUND((A1355+cfgAjusteMES/1440)*48,0))</f>
        <v>0</v>
      </c>
      <c r="D1355" s="26">
        <f>IF(C1355="","",INT((C1355-cfgDeslocamento)/4))</f>
        <v>0</v>
      </c>
      <c r="E1355" s="26">
        <f>IF(C1355="","",MOD(C1355-cfgDeslocamento,4)+1)</f>
        <v>0</v>
      </c>
    </row>
    <row r="1356" spans="1:5">
      <c r="A1356" s="24"/>
      <c r="B1356" s="19"/>
      <c r="C1356" s="26">
        <f>IF(A1356="","",ROUND((A1356+cfgAjusteMES/1440)*48,0))</f>
        <v>0</v>
      </c>
      <c r="D1356" s="26">
        <f>IF(C1356="","",INT((C1356-cfgDeslocamento)/4))</f>
        <v>0</v>
      </c>
      <c r="E1356" s="26">
        <f>IF(C1356="","",MOD(C1356-cfgDeslocamento,4)+1)</f>
        <v>0</v>
      </c>
    </row>
    <row r="1357" spans="1:5">
      <c r="A1357" s="24"/>
      <c r="B1357" s="19"/>
      <c r="C1357" s="26">
        <f>IF(A1357="","",ROUND((A1357+cfgAjusteMES/1440)*48,0))</f>
        <v>0</v>
      </c>
      <c r="D1357" s="26">
        <f>IF(C1357="","",INT((C1357-cfgDeslocamento)/4))</f>
        <v>0</v>
      </c>
      <c r="E1357" s="26">
        <f>IF(C1357="","",MOD(C1357-cfgDeslocamento,4)+1)</f>
        <v>0</v>
      </c>
    </row>
    <row r="1358" spans="1:5">
      <c r="A1358" s="24"/>
      <c r="B1358" s="19"/>
      <c r="C1358" s="26">
        <f>IF(A1358="","",ROUND((A1358+cfgAjusteMES/1440)*48,0))</f>
        <v>0</v>
      </c>
      <c r="D1358" s="26">
        <f>IF(C1358="","",INT((C1358-cfgDeslocamento)/4))</f>
        <v>0</v>
      </c>
      <c r="E1358" s="26">
        <f>IF(C1358="","",MOD(C1358-cfgDeslocamento,4)+1)</f>
        <v>0</v>
      </c>
    </row>
    <row r="1359" spans="1:5">
      <c r="A1359" s="24"/>
      <c r="B1359" s="19"/>
      <c r="C1359" s="26">
        <f>IF(A1359="","",ROUND((A1359+cfgAjusteMES/1440)*48,0))</f>
        <v>0</v>
      </c>
      <c r="D1359" s="26">
        <f>IF(C1359="","",INT((C1359-cfgDeslocamento)/4))</f>
        <v>0</v>
      </c>
      <c r="E1359" s="26">
        <f>IF(C1359="","",MOD(C1359-cfgDeslocamento,4)+1)</f>
        <v>0</v>
      </c>
    </row>
    <row r="1360" spans="1:5">
      <c r="A1360" s="24"/>
      <c r="B1360" s="19"/>
      <c r="C1360" s="26">
        <f>IF(A1360="","",ROUND((A1360+cfgAjusteMES/1440)*48,0))</f>
        <v>0</v>
      </c>
      <c r="D1360" s="26">
        <f>IF(C1360="","",INT((C1360-cfgDeslocamento)/4))</f>
        <v>0</v>
      </c>
      <c r="E1360" s="26">
        <f>IF(C1360="","",MOD(C1360-cfgDeslocamento,4)+1)</f>
        <v>0</v>
      </c>
    </row>
    <row r="1361" spans="1:5">
      <c r="A1361" s="24"/>
      <c r="B1361" s="19"/>
      <c r="C1361" s="26">
        <f>IF(A1361="","",ROUND((A1361+cfgAjusteMES/1440)*48,0))</f>
        <v>0</v>
      </c>
      <c r="D1361" s="26">
        <f>IF(C1361="","",INT((C1361-cfgDeslocamento)/4))</f>
        <v>0</v>
      </c>
      <c r="E1361" s="26">
        <f>IF(C1361="","",MOD(C1361-cfgDeslocamento,4)+1)</f>
        <v>0</v>
      </c>
    </row>
    <row r="1362" spans="1:5">
      <c r="A1362" s="24"/>
      <c r="B1362" s="19"/>
      <c r="C1362" s="26">
        <f>IF(A1362="","",ROUND((A1362+cfgAjusteMES/1440)*48,0))</f>
        <v>0</v>
      </c>
      <c r="D1362" s="26">
        <f>IF(C1362="","",INT((C1362-cfgDeslocamento)/4))</f>
        <v>0</v>
      </c>
      <c r="E1362" s="26">
        <f>IF(C1362="","",MOD(C1362-cfgDeslocamento,4)+1)</f>
        <v>0</v>
      </c>
    </row>
    <row r="1363" spans="1:5">
      <c r="A1363" s="24"/>
      <c r="B1363" s="19"/>
      <c r="C1363" s="26">
        <f>IF(A1363="","",ROUND((A1363+cfgAjusteMES/1440)*48,0))</f>
        <v>0</v>
      </c>
      <c r="D1363" s="26">
        <f>IF(C1363="","",INT((C1363-cfgDeslocamento)/4))</f>
        <v>0</v>
      </c>
      <c r="E1363" s="26">
        <f>IF(C1363="","",MOD(C1363-cfgDeslocamento,4)+1)</f>
        <v>0</v>
      </c>
    </row>
    <row r="1364" spans="1:5">
      <c r="A1364" s="24"/>
      <c r="B1364" s="19"/>
      <c r="C1364" s="26">
        <f>IF(A1364="","",ROUND((A1364+cfgAjusteMES/1440)*48,0))</f>
        <v>0</v>
      </c>
      <c r="D1364" s="26">
        <f>IF(C1364="","",INT((C1364-cfgDeslocamento)/4))</f>
        <v>0</v>
      </c>
      <c r="E1364" s="26">
        <f>IF(C1364="","",MOD(C1364-cfgDeslocamento,4)+1)</f>
        <v>0</v>
      </c>
    </row>
    <row r="1365" spans="1:5">
      <c r="A1365" s="24"/>
      <c r="B1365" s="19"/>
      <c r="C1365" s="26">
        <f>IF(A1365="","",ROUND((A1365+cfgAjusteMES/1440)*48,0))</f>
        <v>0</v>
      </c>
      <c r="D1365" s="26">
        <f>IF(C1365="","",INT((C1365-cfgDeslocamento)/4))</f>
        <v>0</v>
      </c>
      <c r="E1365" s="26">
        <f>IF(C1365="","",MOD(C1365-cfgDeslocamento,4)+1)</f>
        <v>0</v>
      </c>
    </row>
    <row r="1366" spans="1:5">
      <c r="A1366" s="24"/>
      <c r="B1366" s="19"/>
      <c r="C1366" s="26">
        <f>IF(A1366="","",ROUND((A1366+cfgAjusteMES/1440)*48,0))</f>
        <v>0</v>
      </c>
      <c r="D1366" s="26">
        <f>IF(C1366="","",INT((C1366-cfgDeslocamento)/4))</f>
        <v>0</v>
      </c>
      <c r="E1366" s="26">
        <f>IF(C1366="","",MOD(C1366-cfgDeslocamento,4)+1)</f>
        <v>0</v>
      </c>
    </row>
    <row r="1367" spans="1:5">
      <c r="A1367" s="24"/>
      <c r="B1367" s="19"/>
      <c r="C1367" s="26">
        <f>IF(A1367="","",ROUND((A1367+cfgAjusteMES/1440)*48,0))</f>
        <v>0</v>
      </c>
      <c r="D1367" s="26">
        <f>IF(C1367="","",INT((C1367-cfgDeslocamento)/4))</f>
        <v>0</v>
      </c>
      <c r="E1367" s="26">
        <f>IF(C1367="","",MOD(C1367-cfgDeslocamento,4)+1)</f>
        <v>0</v>
      </c>
    </row>
    <row r="1368" spans="1:5">
      <c r="A1368" s="24"/>
      <c r="B1368" s="19"/>
      <c r="C1368" s="26">
        <f>IF(A1368="","",ROUND((A1368+cfgAjusteMES/1440)*48,0))</f>
        <v>0</v>
      </c>
      <c r="D1368" s="26">
        <f>IF(C1368="","",INT((C1368-cfgDeslocamento)/4))</f>
        <v>0</v>
      </c>
      <c r="E1368" s="26">
        <f>IF(C1368="","",MOD(C1368-cfgDeslocamento,4)+1)</f>
        <v>0</v>
      </c>
    </row>
    <row r="1369" spans="1:5">
      <c r="A1369" s="24"/>
      <c r="B1369" s="19"/>
      <c r="C1369" s="26">
        <f>IF(A1369="","",ROUND((A1369+cfgAjusteMES/1440)*48,0))</f>
        <v>0</v>
      </c>
      <c r="D1369" s="26">
        <f>IF(C1369="","",INT((C1369-cfgDeslocamento)/4))</f>
        <v>0</v>
      </c>
      <c r="E1369" s="26">
        <f>IF(C1369="","",MOD(C1369-cfgDeslocamento,4)+1)</f>
        <v>0</v>
      </c>
    </row>
    <row r="1370" spans="1:5">
      <c r="A1370" s="24"/>
      <c r="B1370" s="19"/>
      <c r="C1370" s="26">
        <f>IF(A1370="","",ROUND((A1370+cfgAjusteMES/1440)*48,0))</f>
        <v>0</v>
      </c>
      <c r="D1370" s="26">
        <f>IF(C1370="","",INT((C1370-cfgDeslocamento)/4))</f>
        <v>0</v>
      </c>
      <c r="E1370" s="26">
        <f>IF(C1370="","",MOD(C1370-cfgDeslocamento,4)+1)</f>
        <v>0</v>
      </c>
    </row>
    <row r="1371" spans="1:5">
      <c r="A1371" s="24"/>
      <c r="B1371" s="19"/>
      <c r="C1371" s="26">
        <f>IF(A1371="","",ROUND((A1371+cfgAjusteMES/1440)*48,0))</f>
        <v>0</v>
      </c>
      <c r="D1371" s="26">
        <f>IF(C1371="","",INT((C1371-cfgDeslocamento)/4))</f>
        <v>0</v>
      </c>
      <c r="E1371" s="26">
        <f>IF(C1371="","",MOD(C1371-cfgDeslocamento,4)+1)</f>
        <v>0</v>
      </c>
    </row>
    <row r="1372" spans="1:5">
      <c r="A1372" s="24"/>
      <c r="B1372" s="19"/>
      <c r="C1372" s="26">
        <f>IF(A1372="","",ROUND((A1372+cfgAjusteMES/1440)*48,0))</f>
        <v>0</v>
      </c>
      <c r="D1372" s="26">
        <f>IF(C1372="","",INT((C1372-cfgDeslocamento)/4))</f>
        <v>0</v>
      </c>
      <c r="E1372" s="26">
        <f>IF(C1372="","",MOD(C1372-cfgDeslocamento,4)+1)</f>
        <v>0</v>
      </c>
    </row>
    <row r="1373" spans="1:5">
      <c r="A1373" s="24"/>
      <c r="B1373" s="19"/>
      <c r="C1373" s="26">
        <f>IF(A1373="","",ROUND((A1373+cfgAjusteMES/1440)*48,0))</f>
        <v>0</v>
      </c>
      <c r="D1373" s="26">
        <f>IF(C1373="","",INT((C1373-cfgDeslocamento)/4))</f>
        <v>0</v>
      </c>
      <c r="E1373" s="26">
        <f>IF(C1373="","",MOD(C1373-cfgDeslocamento,4)+1)</f>
        <v>0</v>
      </c>
    </row>
    <row r="1374" spans="1:5">
      <c r="A1374" s="24"/>
      <c r="B1374" s="19"/>
      <c r="C1374" s="26">
        <f>IF(A1374="","",ROUND((A1374+cfgAjusteMES/1440)*48,0))</f>
        <v>0</v>
      </c>
      <c r="D1374" s="26">
        <f>IF(C1374="","",INT((C1374-cfgDeslocamento)/4))</f>
        <v>0</v>
      </c>
      <c r="E1374" s="26">
        <f>IF(C1374="","",MOD(C1374-cfgDeslocamento,4)+1)</f>
        <v>0</v>
      </c>
    </row>
    <row r="1375" spans="1:5">
      <c r="A1375" s="24"/>
      <c r="B1375" s="19"/>
      <c r="C1375" s="26">
        <f>IF(A1375="","",ROUND((A1375+cfgAjusteMES/1440)*48,0))</f>
        <v>0</v>
      </c>
      <c r="D1375" s="26">
        <f>IF(C1375="","",INT((C1375-cfgDeslocamento)/4))</f>
        <v>0</v>
      </c>
      <c r="E1375" s="26">
        <f>IF(C1375="","",MOD(C1375-cfgDeslocamento,4)+1)</f>
        <v>0</v>
      </c>
    </row>
    <row r="1376" spans="1:5">
      <c r="A1376" s="24"/>
      <c r="B1376" s="19"/>
      <c r="C1376" s="26">
        <f>IF(A1376="","",ROUND((A1376+cfgAjusteMES/1440)*48,0))</f>
        <v>0</v>
      </c>
      <c r="D1376" s="26">
        <f>IF(C1376="","",INT((C1376-cfgDeslocamento)/4))</f>
        <v>0</v>
      </c>
      <c r="E1376" s="26">
        <f>IF(C1376="","",MOD(C1376-cfgDeslocamento,4)+1)</f>
        <v>0</v>
      </c>
    </row>
    <row r="1377" spans="1:5">
      <c r="A1377" s="24"/>
      <c r="B1377" s="19"/>
      <c r="C1377" s="26">
        <f>IF(A1377="","",ROUND((A1377+cfgAjusteMES/1440)*48,0))</f>
        <v>0</v>
      </c>
      <c r="D1377" s="26">
        <f>IF(C1377="","",INT((C1377-cfgDeslocamento)/4))</f>
        <v>0</v>
      </c>
      <c r="E1377" s="26">
        <f>IF(C1377="","",MOD(C1377-cfgDeslocamento,4)+1)</f>
        <v>0</v>
      </c>
    </row>
    <row r="1378" spans="1:5">
      <c r="A1378" s="24"/>
      <c r="B1378" s="19"/>
      <c r="C1378" s="26">
        <f>IF(A1378="","",ROUND((A1378+cfgAjusteMES/1440)*48,0))</f>
        <v>0</v>
      </c>
      <c r="D1378" s="26">
        <f>IF(C1378="","",INT((C1378-cfgDeslocamento)/4))</f>
        <v>0</v>
      </c>
      <c r="E1378" s="26">
        <f>IF(C1378="","",MOD(C1378-cfgDeslocamento,4)+1)</f>
        <v>0</v>
      </c>
    </row>
    <row r="1379" spans="1:5">
      <c r="A1379" s="24"/>
      <c r="B1379" s="19"/>
      <c r="C1379" s="26">
        <f>IF(A1379="","",ROUND((A1379+cfgAjusteMES/1440)*48,0))</f>
        <v>0</v>
      </c>
      <c r="D1379" s="26">
        <f>IF(C1379="","",INT((C1379-cfgDeslocamento)/4))</f>
        <v>0</v>
      </c>
      <c r="E1379" s="26">
        <f>IF(C1379="","",MOD(C1379-cfgDeslocamento,4)+1)</f>
        <v>0</v>
      </c>
    </row>
    <row r="1380" spans="1:5">
      <c r="A1380" s="24"/>
      <c r="B1380" s="19"/>
      <c r="C1380" s="26">
        <f>IF(A1380="","",ROUND((A1380+cfgAjusteMES/1440)*48,0))</f>
        <v>0</v>
      </c>
      <c r="D1380" s="26">
        <f>IF(C1380="","",INT((C1380-cfgDeslocamento)/4))</f>
        <v>0</v>
      </c>
      <c r="E1380" s="26">
        <f>IF(C1380="","",MOD(C1380-cfgDeslocamento,4)+1)</f>
        <v>0</v>
      </c>
    </row>
    <row r="1381" spans="1:5">
      <c r="A1381" s="24"/>
      <c r="B1381" s="19"/>
      <c r="C1381" s="26">
        <f>IF(A1381="","",ROUND((A1381+cfgAjusteMES/1440)*48,0))</f>
        <v>0</v>
      </c>
      <c r="D1381" s="26">
        <f>IF(C1381="","",INT((C1381-cfgDeslocamento)/4))</f>
        <v>0</v>
      </c>
      <c r="E1381" s="26">
        <f>IF(C1381="","",MOD(C1381-cfgDeslocamento,4)+1)</f>
        <v>0</v>
      </c>
    </row>
    <row r="1382" spans="1:5">
      <c r="A1382" s="24"/>
      <c r="B1382" s="19"/>
      <c r="C1382" s="26">
        <f>IF(A1382="","",ROUND((A1382+cfgAjusteMES/1440)*48,0))</f>
        <v>0</v>
      </c>
      <c r="D1382" s="26">
        <f>IF(C1382="","",INT((C1382-cfgDeslocamento)/4))</f>
        <v>0</v>
      </c>
      <c r="E1382" s="26">
        <f>IF(C1382="","",MOD(C1382-cfgDeslocamento,4)+1)</f>
        <v>0</v>
      </c>
    </row>
    <row r="1383" spans="1:5">
      <c r="A1383" s="24"/>
      <c r="B1383" s="19"/>
      <c r="C1383" s="26">
        <f>IF(A1383="","",ROUND((A1383+cfgAjusteMES/1440)*48,0))</f>
        <v>0</v>
      </c>
      <c r="D1383" s="26">
        <f>IF(C1383="","",INT((C1383-cfgDeslocamento)/4))</f>
        <v>0</v>
      </c>
      <c r="E1383" s="26">
        <f>IF(C1383="","",MOD(C1383-cfgDeslocamento,4)+1)</f>
        <v>0</v>
      </c>
    </row>
    <row r="1384" spans="1:5">
      <c r="A1384" s="24"/>
      <c r="B1384" s="19"/>
      <c r="C1384" s="26">
        <f>IF(A1384="","",ROUND((A1384+cfgAjusteMES/1440)*48,0))</f>
        <v>0</v>
      </c>
      <c r="D1384" s="26">
        <f>IF(C1384="","",INT((C1384-cfgDeslocamento)/4))</f>
        <v>0</v>
      </c>
      <c r="E1384" s="26">
        <f>IF(C1384="","",MOD(C1384-cfgDeslocamento,4)+1)</f>
        <v>0</v>
      </c>
    </row>
    <row r="1385" spans="1:5">
      <c r="A1385" s="24"/>
      <c r="B1385" s="19"/>
      <c r="C1385" s="26">
        <f>IF(A1385="","",ROUND((A1385+cfgAjusteMES/1440)*48,0))</f>
        <v>0</v>
      </c>
      <c r="D1385" s="26">
        <f>IF(C1385="","",INT((C1385-cfgDeslocamento)/4))</f>
        <v>0</v>
      </c>
      <c r="E1385" s="26">
        <f>IF(C1385="","",MOD(C1385-cfgDeslocamento,4)+1)</f>
        <v>0</v>
      </c>
    </row>
    <row r="1386" spans="1:5">
      <c r="A1386" s="24"/>
      <c r="B1386" s="19"/>
      <c r="C1386" s="26">
        <f>IF(A1386="","",ROUND((A1386+cfgAjusteMES/1440)*48,0))</f>
        <v>0</v>
      </c>
      <c r="D1386" s="26">
        <f>IF(C1386="","",INT((C1386-cfgDeslocamento)/4))</f>
        <v>0</v>
      </c>
      <c r="E1386" s="26">
        <f>IF(C1386="","",MOD(C1386-cfgDeslocamento,4)+1)</f>
        <v>0</v>
      </c>
    </row>
    <row r="1387" spans="1:5">
      <c r="A1387" s="24"/>
      <c r="B1387" s="19"/>
      <c r="C1387" s="26">
        <f>IF(A1387="","",ROUND((A1387+cfgAjusteMES/1440)*48,0))</f>
        <v>0</v>
      </c>
      <c r="D1387" s="26">
        <f>IF(C1387="","",INT((C1387-cfgDeslocamento)/4))</f>
        <v>0</v>
      </c>
      <c r="E1387" s="26">
        <f>IF(C1387="","",MOD(C1387-cfgDeslocamento,4)+1)</f>
        <v>0</v>
      </c>
    </row>
    <row r="1388" spans="1:5">
      <c r="A1388" s="24"/>
      <c r="B1388" s="19"/>
      <c r="C1388" s="26">
        <f>IF(A1388="","",ROUND((A1388+cfgAjusteMES/1440)*48,0))</f>
        <v>0</v>
      </c>
      <c r="D1388" s="26">
        <f>IF(C1388="","",INT((C1388-cfgDeslocamento)/4))</f>
        <v>0</v>
      </c>
      <c r="E1388" s="26">
        <f>IF(C1388="","",MOD(C1388-cfgDeslocamento,4)+1)</f>
        <v>0</v>
      </c>
    </row>
    <row r="1389" spans="1:5">
      <c r="A1389" s="24"/>
      <c r="B1389" s="19"/>
      <c r="C1389" s="26">
        <f>IF(A1389="","",ROUND((A1389+cfgAjusteMES/1440)*48,0))</f>
        <v>0</v>
      </c>
      <c r="D1389" s="26">
        <f>IF(C1389="","",INT((C1389-cfgDeslocamento)/4))</f>
        <v>0</v>
      </c>
      <c r="E1389" s="26">
        <f>IF(C1389="","",MOD(C1389-cfgDeslocamento,4)+1)</f>
        <v>0</v>
      </c>
    </row>
    <row r="1390" spans="1:5">
      <c r="A1390" s="24"/>
      <c r="B1390" s="19"/>
      <c r="C1390" s="26">
        <f>IF(A1390="","",ROUND((A1390+cfgAjusteMES/1440)*48,0))</f>
        <v>0</v>
      </c>
      <c r="D1390" s="26">
        <f>IF(C1390="","",INT((C1390-cfgDeslocamento)/4))</f>
        <v>0</v>
      </c>
      <c r="E1390" s="26">
        <f>IF(C1390="","",MOD(C1390-cfgDeslocamento,4)+1)</f>
        <v>0</v>
      </c>
    </row>
    <row r="1391" spans="1:5">
      <c r="A1391" s="24"/>
      <c r="B1391" s="19"/>
      <c r="C1391" s="26">
        <f>IF(A1391="","",ROUND((A1391+cfgAjusteMES/1440)*48,0))</f>
        <v>0</v>
      </c>
      <c r="D1391" s="26">
        <f>IF(C1391="","",INT((C1391-cfgDeslocamento)/4))</f>
        <v>0</v>
      </c>
      <c r="E1391" s="26">
        <f>IF(C1391="","",MOD(C1391-cfgDeslocamento,4)+1)</f>
        <v>0</v>
      </c>
    </row>
    <row r="1392" spans="1:5">
      <c r="A1392" s="24"/>
      <c r="B1392" s="19"/>
      <c r="C1392" s="26">
        <f>IF(A1392="","",ROUND((A1392+cfgAjusteMES/1440)*48,0))</f>
        <v>0</v>
      </c>
      <c r="D1392" s="26">
        <f>IF(C1392="","",INT((C1392-cfgDeslocamento)/4))</f>
        <v>0</v>
      </c>
      <c r="E1392" s="26">
        <f>IF(C1392="","",MOD(C1392-cfgDeslocamento,4)+1)</f>
        <v>0</v>
      </c>
    </row>
    <row r="1393" spans="1:5">
      <c r="A1393" s="24"/>
      <c r="B1393" s="19"/>
      <c r="C1393" s="26">
        <f>IF(A1393="","",ROUND((A1393+cfgAjusteMES/1440)*48,0))</f>
        <v>0</v>
      </c>
      <c r="D1393" s="26">
        <f>IF(C1393="","",INT((C1393-cfgDeslocamento)/4))</f>
        <v>0</v>
      </c>
      <c r="E1393" s="26">
        <f>IF(C1393="","",MOD(C1393-cfgDeslocamento,4)+1)</f>
        <v>0</v>
      </c>
    </row>
    <row r="1394" spans="1:5">
      <c r="A1394" s="24"/>
      <c r="B1394" s="19"/>
      <c r="C1394" s="26">
        <f>IF(A1394="","",ROUND((A1394+cfgAjusteMES/1440)*48,0))</f>
        <v>0</v>
      </c>
      <c r="D1394" s="26">
        <f>IF(C1394="","",INT((C1394-cfgDeslocamento)/4))</f>
        <v>0</v>
      </c>
      <c r="E1394" s="26">
        <f>IF(C1394="","",MOD(C1394-cfgDeslocamento,4)+1)</f>
        <v>0</v>
      </c>
    </row>
    <row r="1395" spans="1:5">
      <c r="A1395" s="24"/>
      <c r="B1395" s="19"/>
      <c r="C1395" s="26">
        <f>IF(A1395="","",ROUND((A1395+cfgAjusteMES/1440)*48,0))</f>
        <v>0</v>
      </c>
      <c r="D1395" s="26">
        <f>IF(C1395="","",INT((C1395-cfgDeslocamento)/4))</f>
        <v>0</v>
      </c>
      <c r="E1395" s="26">
        <f>IF(C1395="","",MOD(C1395-cfgDeslocamento,4)+1)</f>
        <v>0</v>
      </c>
    </row>
    <row r="1396" spans="1:5">
      <c r="A1396" s="24"/>
      <c r="B1396" s="19"/>
      <c r="C1396" s="26">
        <f>IF(A1396="","",ROUND((A1396+cfgAjusteMES/1440)*48,0))</f>
        <v>0</v>
      </c>
      <c r="D1396" s="26">
        <f>IF(C1396="","",INT((C1396-cfgDeslocamento)/4))</f>
        <v>0</v>
      </c>
      <c r="E1396" s="26">
        <f>IF(C1396="","",MOD(C1396-cfgDeslocamento,4)+1)</f>
        <v>0</v>
      </c>
    </row>
    <row r="1397" spans="1:5">
      <c r="A1397" s="24"/>
      <c r="B1397" s="19"/>
      <c r="C1397" s="26">
        <f>IF(A1397="","",ROUND((A1397+cfgAjusteMES/1440)*48,0))</f>
        <v>0</v>
      </c>
      <c r="D1397" s="26">
        <f>IF(C1397="","",INT((C1397-cfgDeslocamento)/4))</f>
        <v>0</v>
      </c>
      <c r="E1397" s="26">
        <f>IF(C1397="","",MOD(C1397-cfgDeslocamento,4)+1)</f>
        <v>0</v>
      </c>
    </row>
    <row r="1398" spans="1:5">
      <c r="A1398" s="24"/>
      <c r="B1398" s="19"/>
      <c r="C1398" s="26">
        <f>IF(A1398="","",ROUND((A1398+cfgAjusteMES/1440)*48,0))</f>
        <v>0</v>
      </c>
      <c r="D1398" s="26">
        <f>IF(C1398="","",INT((C1398-cfgDeslocamento)/4))</f>
        <v>0</v>
      </c>
      <c r="E1398" s="26">
        <f>IF(C1398="","",MOD(C1398-cfgDeslocamento,4)+1)</f>
        <v>0</v>
      </c>
    </row>
    <row r="1399" spans="1:5">
      <c r="A1399" s="24"/>
      <c r="B1399" s="19"/>
      <c r="C1399" s="26">
        <f>IF(A1399="","",ROUND((A1399+cfgAjusteMES/1440)*48,0))</f>
        <v>0</v>
      </c>
      <c r="D1399" s="26">
        <f>IF(C1399="","",INT((C1399-cfgDeslocamento)/4))</f>
        <v>0</v>
      </c>
      <c r="E1399" s="26">
        <f>IF(C1399="","",MOD(C1399-cfgDeslocamento,4)+1)</f>
        <v>0</v>
      </c>
    </row>
    <row r="1400" spans="1:5">
      <c r="A1400" s="24"/>
      <c r="B1400" s="19"/>
      <c r="C1400" s="26">
        <f>IF(A1400="","",ROUND((A1400+cfgAjusteMES/1440)*48,0))</f>
        <v>0</v>
      </c>
      <c r="D1400" s="26">
        <f>IF(C1400="","",INT((C1400-cfgDeslocamento)/4))</f>
        <v>0</v>
      </c>
      <c r="E1400" s="26">
        <f>IF(C1400="","",MOD(C1400-cfgDeslocamento,4)+1)</f>
        <v>0</v>
      </c>
    </row>
    <row r="1401" spans="1:5">
      <c r="A1401" s="24"/>
      <c r="B1401" s="19"/>
      <c r="C1401" s="26">
        <f>IF(A1401="","",ROUND((A1401+cfgAjusteMES/1440)*48,0))</f>
        <v>0</v>
      </c>
      <c r="D1401" s="26">
        <f>IF(C1401="","",INT((C1401-cfgDeslocamento)/4))</f>
        <v>0</v>
      </c>
      <c r="E1401" s="26">
        <f>IF(C1401="","",MOD(C1401-cfgDeslocamento,4)+1)</f>
        <v>0</v>
      </c>
    </row>
    <row r="1402" spans="1:5">
      <c r="A1402" s="24"/>
      <c r="B1402" s="19"/>
      <c r="C1402" s="26">
        <f>IF(A1402="","",ROUND((A1402+cfgAjusteMES/1440)*48,0))</f>
        <v>0</v>
      </c>
      <c r="D1402" s="26">
        <f>IF(C1402="","",INT((C1402-cfgDeslocamento)/4))</f>
        <v>0</v>
      </c>
      <c r="E1402" s="26">
        <f>IF(C1402="","",MOD(C1402-cfgDeslocamento,4)+1)</f>
        <v>0</v>
      </c>
    </row>
    <row r="1403" spans="1:5">
      <c r="A1403" s="24"/>
      <c r="B1403" s="19"/>
      <c r="C1403" s="26">
        <f>IF(A1403="","",ROUND((A1403+cfgAjusteMES/1440)*48,0))</f>
        <v>0</v>
      </c>
      <c r="D1403" s="26">
        <f>IF(C1403="","",INT((C1403-cfgDeslocamento)/4))</f>
        <v>0</v>
      </c>
      <c r="E1403" s="26">
        <f>IF(C1403="","",MOD(C1403-cfgDeslocamento,4)+1)</f>
        <v>0</v>
      </c>
    </row>
    <row r="1404" spans="1:5">
      <c r="A1404" s="24"/>
      <c r="B1404" s="19"/>
      <c r="C1404" s="26">
        <f>IF(A1404="","",ROUND((A1404+cfgAjusteMES/1440)*48,0))</f>
        <v>0</v>
      </c>
      <c r="D1404" s="26">
        <f>IF(C1404="","",INT((C1404-cfgDeslocamento)/4))</f>
        <v>0</v>
      </c>
      <c r="E1404" s="26">
        <f>IF(C1404="","",MOD(C1404-cfgDeslocamento,4)+1)</f>
        <v>0</v>
      </c>
    </row>
    <row r="1405" spans="1:5">
      <c r="A1405" s="24"/>
      <c r="B1405" s="19"/>
      <c r="C1405" s="26">
        <f>IF(A1405="","",ROUND((A1405+cfgAjusteMES/1440)*48,0))</f>
        <v>0</v>
      </c>
      <c r="D1405" s="26">
        <f>IF(C1405="","",INT((C1405-cfgDeslocamento)/4))</f>
        <v>0</v>
      </c>
      <c r="E1405" s="26">
        <f>IF(C1405="","",MOD(C1405-cfgDeslocamento,4)+1)</f>
        <v>0</v>
      </c>
    </row>
    <row r="1406" spans="1:5">
      <c r="A1406" s="24"/>
      <c r="B1406" s="19"/>
      <c r="C1406" s="26">
        <f>IF(A1406="","",ROUND((A1406+cfgAjusteMES/1440)*48,0))</f>
        <v>0</v>
      </c>
      <c r="D1406" s="26">
        <f>IF(C1406="","",INT((C1406-cfgDeslocamento)/4))</f>
        <v>0</v>
      </c>
      <c r="E1406" s="26">
        <f>IF(C1406="","",MOD(C1406-cfgDeslocamento,4)+1)</f>
        <v>0</v>
      </c>
    </row>
    <row r="1407" spans="1:5">
      <c r="A1407" s="24"/>
      <c r="B1407" s="19"/>
      <c r="C1407" s="26">
        <f>IF(A1407="","",ROUND((A1407+cfgAjusteMES/1440)*48,0))</f>
        <v>0</v>
      </c>
      <c r="D1407" s="26">
        <f>IF(C1407="","",INT((C1407-cfgDeslocamento)/4))</f>
        <v>0</v>
      </c>
      <c r="E1407" s="26">
        <f>IF(C1407="","",MOD(C1407-cfgDeslocamento,4)+1)</f>
        <v>0</v>
      </c>
    </row>
    <row r="1408" spans="1:5">
      <c r="A1408" s="24"/>
      <c r="B1408" s="19"/>
      <c r="C1408" s="26">
        <f>IF(A1408="","",ROUND((A1408+cfgAjusteMES/1440)*48,0))</f>
        <v>0</v>
      </c>
      <c r="D1408" s="26">
        <f>IF(C1408="","",INT((C1408-cfgDeslocamento)/4))</f>
        <v>0</v>
      </c>
      <c r="E1408" s="26">
        <f>IF(C1408="","",MOD(C1408-cfgDeslocamento,4)+1)</f>
        <v>0</v>
      </c>
    </row>
    <row r="1409" spans="1:5">
      <c r="A1409" s="24"/>
      <c r="B1409" s="19"/>
      <c r="C1409" s="26">
        <f>IF(A1409="","",ROUND((A1409+cfgAjusteMES/1440)*48,0))</f>
        <v>0</v>
      </c>
      <c r="D1409" s="26">
        <f>IF(C1409="","",INT((C1409-cfgDeslocamento)/4))</f>
        <v>0</v>
      </c>
      <c r="E1409" s="26">
        <f>IF(C1409="","",MOD(C1409-cfgDeslocamento,4)+1)</f>
        <v>0</v>
      </c>
    </row>
    <row r="1410" spans="1:5">
      <c r="A1410" s="24"/>
      <c r="B1410" s="19"/>
      <c r="C1410" s="26">
        <f>IF(A1410="","",ROUND((A1410+cfgAjusteMES/1440)*48,0))</f>
        <v>0</v>
      </c>
      <c r="D1410" s="26">
        <f>IF(C1410="","",INT((C1410-cfgDeslocamento)/4))</f>
        <v>0</v>
      </c>
      <c r="E1410" s="26">
        <f>IF(C1410="","",MOD(C1410-cfgDeslocamento,4)+1)</f>
        <v>0</v>
      </c>
    </row>
    <row r="1411" spans="1:5">
      <c r="A1411" s="24"/>
      <c r="B1411" s="19"/>
      <c r="C1411" s="26">
        <f>IF(A1411="","",ROUND((A1411+cfgAjusteMES/1440)*48,0))</f>
        <v>0</v>
      </c>
      <c r="D1411" s="26">
        <f>IF(C1411="","",INT((C1411-cfgDeslocamento)/4))</f>
        <v>0</v>
      </c>
      <c r="E1411" s="26">
        <f>IF(C1411="","",MOD(C1411-cfgDeslocamento,4)+1)</f>
        <v>0</v>
      </c>
    </row>
    <row r="1412" spans="1:5">
      <c r="A1412" s="24"/>
      <c r="B1412" s="19"/>
      <c r="C1412" s="26">
        <f>IF(A1412="","",ROUND((A1412+cfgAjusteMES/1440)*48,0))</f>
        <v>0</v>
      </c>
      <c r="D1412" s="26">
        <f>IF(C1412="","",INT((C1412-cfgDeslocamento)/4))</f>
        <v>0</v>
      </c>
      <c r="E1412" s="26">
        <f>IF(C1412="","",MOD(C1412-cfgDeslocamento,4)+1)</f>
        <v>0</v>
      </c>
    </row>
    <row r="1413" spans="1:5">
      <c r="A1413" s="24"/>
      <c r="B1413" s="19"/>
      <c r="C1413" s="26">
        <f>IF(A1413="","",ROUND((A1413+cfgAjusteMES/1440)*48,0))</f>
        <v>0</v>
      </c>
      <c r="D1413" s="26">
        <f>IF(C1413="","",INT((C1413-cfgDeslocamento)/4))</f>
        <v>0</v>
      </c>
      <c r="E1413" s="26">
        <f>IF(C1413="","",MOD(C1413-cfgDeslocamento,4)+1)</f>
        <v>0</v>
      </c>
    </row>
    <row r="1414" spans="1:5">
      <c r="A1414" s="24"/>
      <c r="B1414" s="19"/>
      <c r="C1414" s="26">
        <f>IF(A1414="","",ROUND((A1414+cfgAjusteMES/1440)*48,0))</f>
        <v>0</v>
      </c>
      <c r="D1414" s="26">
        <f>IF(C1414="","",INT((C1414-cfgDeslocamento)/4))</f>
        <v>0</v>
      </c>
      <c r="E1414" s="26">
        <f>IF(C1414="","",MOD(C1414-cfgDeslocamento,4)+1)</f>
        <v>0</v>
      </c>
    </row>
    <row r="1415" spans="1:5">
      <c r="A1415" s="24"/>
      <c r="B1415" s="19"/>
      <c r="C1415" s="26">
        <f>IF(A1415="","",ROUND((A1415+cfgAjusteMES/1440)*48,0))</f>
        <v>0</v>
      </c>
      <c r="D1415" s="26">
        <f>IF(C1415="","",INT((C1415-cfgDeslocamento)/4))</f>
        <v>0</v>
      </c>
      <c r="E1415" s="26">
        <f>IF(C1415="","",MOD(C1415-cfgDeslocamento,4)+1)</f>
        <v>0</v>
      </c>
    </row>
    <row r="1416" spans="1:5">
      <c r="A1416" s="24"/>
      <c r="B1416" s="19"/>
      <c r="C1416" s="26">
        <f>IF(A1416="","",ROUND((A1416+cfgAjusteMES/1440)*48,0))</f>
        <v>0</v>
      </c>
      <c r="D1416" s="26">
        <f>IF(C1416="","",INT((C1416-cfgDeslocamento)/4))</f>
        <v>0</v>
      </c>
      <c r="E1416" s="26">
        <f>IF(C1416="","",MOD(C1416-cfgDeslocamento,4)+1)</f>
        <v>0</v>
      </c>
    </row>
    <row r="1417" spans="1:5">
      <c r="A1417" s="24"/>
      <c r="B1417" s="19"/>
      <c r="C1417" s="26">
        <f>IF(A1417="","",ROUND((A1417+cfgAjusteMES/1440)*48,0))</f>
        <v>0</v>
      </c>
      <c r="D1417" s="26">
        <f>IF(C1417="","",INT((C1417-cfgDeslocamento)/4))</f>
        <v>0</v>
      </c>
      <c r="E1417" s="26">
        <f>IF(C1417="","",MOD(C1417-cfgDeslocamento,4)+1)</f>
        <v>0</v>
      </c>
    </row>
    <row r="1418" spans="1:5">
      <c r="A1418" s="24"/>
      <c r="B1418" s="19"/>
      <c r="C1418" s="26">
        <f>IF(A1418="","",ROUND((A1418+cfgAjusteMES/1440)*48,0))</f>
        <v>0</v>
      </c>
      <c r="D1418" s="26">
        <f>IF(C1418="","",INT((C1418-cfgDeslocamento)/4))</f>
        <v>0</v>
      </c>
      <c r="E1418" s="26">
        <f>IF(C1418="","",MOD(C1418-cfgDeslocamento,4)+1)</f>
        <v>0</v>
      </c>
    </row>
    <row r="1419" spans="1:5">
      <c r="A1419" s="24"/>
      <c r="B1419" s="19"/>
      <c r="C1419" s="26">
        <f>IF(A1419="","",ROUND((A1419+cfgAjusteMES/1440)*48,0))</f>
        <v>0</v>
      </c>
      <c r="D1419" s="26">
        <f>IF(C1419="","",INT((C1419-cfgDeslocamento)/4))</f>
        <v>0</v>
      </c>
      <c r="E1419" s="26">
        <f>IF(C1419="","",MOD(C1419-cfgDeslocamento,4)+1)</f>
        <v>0</v>
      </c>
    </row>
    <row r="1420" spans="1:5">
      <c r="A1420" s="24"/>
      <c r="B1420" s="19"/>
      <c r="C1420" s="26">
        <f>IF(A1420="","",ROUND((A1420+cfgAjusteMES/1440)*48,0))</f>
        <v>0</v>
      </c>
      <c r="D1420" s="26">
        <f>IF(C1420="","",INT((C1420-cfgDeslocamento)/4))</f>
        <v>0</v>
      </c>
      <c r="E1420" s="26">
        <f>IF(C1420="","",MOD(C1420-cfgDeslocamento,4)+1)</f>
        <v>0</v>
      </c>
    </row>
    <row r="1421" spans="1:5">
      <c r="A1421" s="24"/>
      <c r="B1421" s="19"/>
      <c r="C1421" s="26">
        <f>IF(A1421="","",ROUND((A1421+cfgAjusteMES/1440)*48,0))</f>
        <v>0</v>
      </c>
      <c r="D1421" s="26">
        <f>IF(C1421="","",INT((C1421-cfgDeslocamento)/4))</f>
        <v>0</v>
      </c>
      <c r="E1421" s="26">
        <f>IF(C1421="","",MOD(C1421-cfgDeslocamento,4)+1)</f>
        <v>0</v>
      </c>
    </row>
    <row r="1422" spans="1:5">
      <c r="A1422" s="24"/>
      <c r="B1422" s="19"/>
      <c r="C1422" s="26">
        <f>IF(A1422="","",ROUND((A1422+cfgAjusteMES/1440)*48,0))</f>
        <v>0</v>
      </c>
      <c r="D1422" s="26">
        <f>IF(C1422="","",INT((C1422-cfgDeslocamento)/4))</f>
        <v>0</v>
      </c>
      <c r="E1422" s="26">
        <f>IF(C1422="","",MOD(C1422-cfgDeslocamento,4)+1)</f>
        <v>0</v>
      </c>
    </row>
    <row r="1423" spans="1:5">
      <c r="A1423" s="24"/>
      <c r="B1423" s="19"/>
      <c r="C1423" s="26">
        <f>IF(A1423="","",ROUND((A1423+cfgAjusteMES/1440)*48,0))</f>
        <v>0</v>
      </c>
      <c r="D1423" s="26">
        <f>IF(C1423="","",INT((C1423-cfgDeslocamento)/4))</f>
        <v>0</v>
      </c>
      <c r="E1423" s="26">
        <f>IF(C1423="","",MOD(C1423-cfgDeslocamento,4)+1)</f>
        <v>0</v>
      </c>
    </row>
    <row r="1424" spans="1:5">
      <c r="A1424" s="24"/>
      <c r="B1424" s="19"/>
      <c r="C1424" s="26">
        <f>IF(A1424="","",ROUND((A1424+cfgAjusteMES/1440)*48,0))</f>
        <v>0</v>
      </c>
      <c r="D1424" s="26">
        <f>IF(C1424="","",INT((C1424-cfgDeslocamento)/4))</f>
        <v>0</v>
      </c>
      <c r="E1424" s="26">
        <f>IF(C1424="","",MOD(C1424-cfgDeslocamento,4)+1)</f>
        <v>0</v>
      </c>
    </row>
    <row r="1425" spans="1:5">
      <c r="A1425" s="24"/>
      <c r="B1425" s="19"/>
      <c r="C1425" s="26">
        <f>IF(A1425="","",ROUND((A1425+cfgAjusteMES/1440)*48,0))</f>
        <v>0</v>
      </c>
      <c r="D1425" s="26">
        <f>IF(C1425="","",INT((C1425-cfgDeslocamento)/4))</f>
        <v>0</v>
      </c>
      <c r="E1425" s="26">
        <f>IF(C1425="","",MOD(C1425-cfgDeslocamento,4)+1)</f>
        <v>0</v>
      </c>
    </row>
    <row r="1426" spans="1:5">
      <c r="A1426" s="24"/>
      <c r="B1426" s="19"/>
      <c r="C1426" s="26">
        <f>IF(A1426="","",ROUND((A1426+cfgAjusteMES/1440)*48,0))</f>
        <v>0</v>
      </c>
      <c r="D1426" s="26">
        <f>IF(C1426="","",INT((C1426-cfgDeslocamento)/4))</f>
        <v>0</v>
      </c>
      <c r="E1426" s="26">
        <f>IF(C1426="","",MOD(C1426-cfgDeslocamento,4)+1)</f>
        <v>0</v>
      </c>
    </row>
    <row r="1427" spans="1:5">
      <c r="A1427" s="24"/>
      <c r="B1427" s="19"/>
      <c r="C1427" s="26">
        <f>IF(A1427="","",ROUND((A1427+cfgAjusteMES/1440)*48,0))</f>
        <v>0</v>
      </c>
      <c r="D1427" s="26">
        <f>IF(C1427="","",INT((C1427-cfgDeslocamento)/4))</f>
        <v>0</v>
      </c>
      <c r="E1427" s="26">
        <f>IF(C1427="","",MOD(C1427-cfgDeslocamento,4)+1)</f>
        <v>0</v>
      </c>
    </row>
    <row r="1428" spans="1:5">
      <c r="A1428" s="24"/>
      <c r="B1428" s="19"/>
      <c r="C1428" s="26">
        <f>IF(A1428="","",ROUND((A1428+cfgAjusteMES/1440)*48,0))</f>
        <v>0</v>
      </c>
      <c r="D1428" s="26">
        <f>IF(C1428="","",INT((C1428-cfgDeslocamento)/4))</f>
        <v>0</v>
      </c>
      <c r="E1428" s="26">
        <f>IF(C1428="","",MOD(C1428-cfgDeslocamento,4)+1)</f>
        <v>0</v>
      </c>
    </row>
    <row r="1429" spans="1:5">
      <c r="A1429" s="24"/>
      <c r="B1429" s="19"/>
      <c r="C1429" s="26">
        <f>IF(A1429="","",ROUND((A1429+cfgAjusteMES/1440)*48,0))</f>
        <v>0</v>
      </c>
      <c r="D1429" s="26">
        <f>IF(C1429="","",INT((C1429-cfgDeslocamento)/4))</f>
        <v>0</v>
      </c>
      <c r="E1429" s="26">
        <f>IF(C1429="","",MOD(C1429-cfgDeslocamento,4)+1)</f>
        <v>0</v>
      </c>
    </row>
    <row r="1430" spans="1:5">
      <c r="A1430" s="24"/>
      <c r="B1430" s="19"/>
      <c r="C1430" s="26">
        <f>IF(A1430="","",ROUND((A1430+cfgAjusteMES/1440)*48,0))</f>
        <v>0</v>
      </c>
      <c r="D1430" s="26">
        <f>IF(C1430="","",INT((C1430-cfgDeslocamento)/4))</f>
        <v>0</v>
      </c>
      <c r="E1430" s="26">
        <f>IF(C1430="","",MOD(C1430-cfgDeslocamento,4)+1)</f>
        <v>0</v>
      </c>
    </row>
    <row r="1431" spans="1:5">
      <c r="A1431" s="24"/>
      <c r="B1431" s="19"/>
      <c r="C1431" s="26">
        <f>IF(A1431="","",ROUND((A1431+cfgAjusteMES/1440)*48,0))</f>
        <v>0</v>
      </c>
      <c r="D1431" s="26">
        <f>IF(C1431="","",INT((C1431-cfgDeslocamento)/4))</f>
        <v>0</v>
      </c>
      <c r="E1431" s="26">
        <f>IF(C1431="","",MOD(C1431-cfgDeslocamento,4)+1)</f>
        <v>0</v>
      </c>
    </row>
    <row r="1432" spans="1:5">
      <c r="A1432" s="24"/>
      <c r="B1432" s="19"/>
      <c r="C1432" s="26">
        <f>IF(A1432="","",ROUND((A1432+cfgAjusteMES/1440)*48,0))</f>
        <v>0</v>
      </c>
      <c r="D1432" s="26">
        <f>IF(C1432="","",INT((C1432-cfgDeslocamento)/4))</f>
        <v>0</v>
      </c>
      <c r="E1432" s="26">
        <f>IF(C1432="","",MOD(C1432-cfgDeslocamento,4)+1)</f>
        <v>0</v>
      </c>
    </row>
    <row r="1433" spans="1:5">
      <c r="A1433" s="24"/>
      <c r="B1433" s="19"/>
      <c r="C1433" s="26">
        <f>IF(A1433="","",ROUND((A1433+cfgAjusteMES/1440)*48,0))</f>
        <v>0</v>
      </c>
      <c r="D1433" s="26">
        <f>IF(C1433="","",INT((C1433-cfgDeslocamento)/4))</f>
        <v>0</v>
      </c>
      <c r="E1433" s="26">
        <f>IF(C1433="","",MOD(C1433-cfgDeslocamento,4)+1)</f>
        <v>0</v>
      </c>
    </row>
    <row r="1434" spans="1:5">
      <c r="A1434" s="24"/>
      <c r="B1434" s="19"/>
      <c r="C1434" s="26">
        <f>IF(A1434="","",ROUND((A1434+cfgAjusteMES/1440)*48,0))</f>
        <v>0</v>
      </c>
      <c r="D1434" s="26">
        <f>IF(C1434="","",INT((C1434-cfgDeslocamento)/4))</f>
        <v>0</v>
      </c>
      <c r="E1434" s="26">
        <f>IF(C1434="","",MOD(C1434-cfgDeslocamento,4)+1)</f>
        <v>0</v>
      </c>
    </row>
    <row r="1435" spans="1:5">
      <c r="A1435" s="24"/>
      <c r="B1435" s="19"/>
      <c r="C1435" s="26">
        <f>IF(A1435="","",ROUND((A1435+cfgAjusteMES/1440)*48,0))</f>
        <v>0</v>
      </c>
      <c r="D1435" s="26">
        <f>IF(C1435="","",INT((C1435-cfgDeslocamento)/4))</f>
        <v>0</v>
      </c>
      <c r="E1435" s="26">
        <f>IF(C1435="","",MOD(C1435-cfgDeslocamento,4)+1)</f>
        <v>0</v>
      </c>
    </row>
    <row r="1436" spans="1:5">
      <c r="A1436" s="24"/>
      <c r="B1436" s="19"/>
      <c r="C1436" s="26">
        <f>IF(A1436="","",ROUND((A1436+cfgAjusteMES/1440)*48,0))</f>
        <v>0</v>
      </c>
      <c r="D1436" s="26">
        <f>IF(C1436="","",INT((C1436-cfgDeslocamento)/4))</f>
        <v>0</v>
      </c>
      <c r="E1436" s="26">
        <f>IF(C1436="","",MOD(C1436-cfgDeslocamento,4)+1)</f>
        <v>0</v>
      </c>
    </row>
    <row r="1437" spans="1:5">
      <c r="A1437" s="24"/>
      <c r="B1437" s="19"/>
      <c r="C1437" s="26">
        <f>IF(A1437="","",ROUND((A1437+cfgAjusteMES/1440)*48,0))</f>
        <v>0</v>
      </c>
      <c r="D1437" s="26">
        <f>IF(C1437="","",INT((C1437-cfgDeslocamento)/4))</f>
        <v>0</v>
      </c>
      <c r="E1437" s="26">
        <f>IF(C1437="","",MOD(C1437-cfgDeslocamento,4)+1)</f>
        <v>0</v>
      </c>
    </row>
    <row r="1438" spans="1:5">
      <c r="A1438" s="24"/>
      <c r="B1438" s="19"/>
      <c r="C1438" s="26">
        <f>IF(A1438="","",ROUND((A1438+cfgAjusteMES/1440)*48,0))</f>
        <v>0</v>
      </c>
      <c r="D1438" s="26">
        <f>IF(C1438="","",INT((C1438-cfgDeslocamento)/4))</f>
        <v>0</v>
      </c>
      <c r="E1438" s="26">
        <f>IF(C1438="","",MOD(C1438-cfgDeslocamento,4)+1)</f>
        <v>0</v>
      </c>
    </row>
    <row r="1439" spans="1:5">
      <c r="A1439" s="24"/>
      <c r="B1439" s="19"/>
      <c r="C1439" s="26">
        <f>IF(A1439="","",ROUND((A1439+cfgAjusteMES/1440)*48,0))</f>
        <v>0</v>
      </c>
      <c r="D1439" s="26">
        <f>IF(C1439="","",INT((C1439-cfgDeslocamento)/4))</f>
        <v>0</v>
      </c>
      <c r="E1439" s="26">
        <f>IF(C1439="","",MOD(C1439-cfgDeslocamento,4)+1)</f>
        <v>0</v>
      </c>
    </row>
    <row r="1440" spans="1:5">
      <c r="A1440" s="24"/>
      <c r="B1440" s="19"/>
      <c r="C1440" s="26">
        <f>IF(A1440="","",ROUND((A1440+cfgAjusteMES/1440)*48,0))</f>
        <v>0</v>
      </c>
      <c r="D1440" s="26">
        <f>IF(C1440="","",INT((C1440-cfgDeslocamento)/4))</f>
        <v>0</v>
      </c>
      <c r="E1440" s="26">
        <f>IF(C1440="","",MOD(C1440-cfgDeslocamento,4)+1)</f>
        <v>0</v>
      </c>
    </row>
    <row r="1441" spans="1:5">
      <c r="A1441" s="24"/>
      <c r="B1441" s="19"/>
      <c r="C1441" s="26">
        <f>IF(A1441="","",ROUND((A1441+cfgAjusteMES/1440)*48,0))</f>
        <v>0</v>
      </c>
      <c r="D1441" s="26">
        <f>IF(C1441="","",INT((C1441-cfgDeslocamento)/4))</f>
        <v>0</v>
      </c>
      <c r="E1441" s="26">
        <f>IF(C1441="","",MOD(C1441-cfgDeslocamento,4)+1)</f>
        <v>0</v>
      </c>
    </row>
    <row r="1442" spans="1:5">
      <c r="A1442" s="24"/>
      <c r="B1442" s="19"/>
      <c r="C1442" s="26">
        <f>IF(A1442="","",ROUND((A1442+cfgAjusteMES/1440)*48,0))</f>
        <v>0</v>
      </c>
      <c r="D1442" s="26">
        <f>IF(C1442="","",INT((C1442-cfgDeslocamento)/4))</f>
        <v>0</v>
      </c>
      <c r="E1442" s="26">
        <f>IF(C1442="","",MOD(C1442-cfgDeslocamento,4)+1)</f>
        <v>0</v>
      </c>
    </row>
    <row r="1443" spans="1:5">
      <c r="A1443" s="24"/>
      <c r="B1443" s="19"/>
      <c r="C1443" s="26">
        <f>IF(A1443="","",ROUND((A1443+cfgAjusteMES/1440)*48,0))</f>
        <v>0</v>
      </c>
      <c r="D1443" s="26">
        <f>IF(C1443="","",INT((C1443-cfgDeslocamento)/4))</f>
        <v>0</v>
      </c>
      <c r="E1443" s="26">
        <f>IF(C1443="","",MOD(C1443-cfgDeslocamento,4)+1)</f>
        <v>0</v>
      </c>
    </row>
    <row r="1444" spans="1:5">
      <c r="A1444" s="24"/>
      <c r="B1444" s="19"/>
      <c r="C1444" s="26">
        <f>IF(A1444="","",ROUND((A1444+cfgAjusteMES/1440)*48,0))</f>
        <v>0</v>
      </c>
      <c r="D1444" s="26">
        <f>IF(C1444="","",INT((C1444-cfgDeslocamento)/4))</f>
        <v>0</v>
      </c>
      <c r="E1444" s="26">
        <f>IF(C1444="","",MOD(C1444-cfgDeslocamento,4)+1)</f>
        <v>0</v>
      </c>
    </row>
    <row r="1445" spans="1:5">
      <c r="A1445" s="24"/>
      <c r="B1445" s="19"/>
      <c r="C1445" s="26">
        <f>IF(A1445="","",ROUND((A1445+cfgAjusteMES/1440)*48,0))</f>
        <v>0</v>
      </c>
      <c r="D1445" s="26">
        <f>IF(C1445="","",INT((C1445-cfgDeslocamento)/4))</f>
        <v>0</v>
      </c>
      <c r="E1445" s="26">
        <f>IF(C1445="","",MOD(C1445-cfgDeslocamento,4)+1)</f>
        <v>0</v>
      </c>
    </row>
    <row r="1446" spans="1:5">
      <c r="A1446" s="24"/>
      <c r="B1446" s="19"/>
      <c r="C1446" s="26">
        <f>IF(A1446="","",ROUND((A1446+cfgAjusteMES/1440)*48,0))</f>
        <v>0</v>
      </c>
      <c r="D1446" s="26">
        <f>IF(C1446="","",INT((C1446-cfgDeslocamento)/4))</f>
        <v>0</v>
      </c>
      <c r="E1446" s="26">
        <f>IF(C1446="","",MOD(C1446-cfgDeslocamento,4)+1)</f>
        <v>0</v>
      </c>
    </row>
    <row r="1447" spans="1:5">
      <c r="A1447" s="24"/>
      <c r="B1447" s="19"/>
      <c r="C1447" s="26">
        <f>IF(A1447="","",ROUND((A1447+cfgAjusteMES/1440)*48,0))</f>
        <v>0</v>
      </c>
      <c r="D1447" s="26">
        <f>IF(C1447="","",INT((C1447-cfgDeslocamento)/4))</f>
        <v>0</v>
      </c>
      <c r="E1447" s="26">
        <f>IF(C1447="","",MOD(C1447-cfgDeslocamento,4)+1)</f>
        <v>0</v>
      </c>
    </row>
    <row r="1448" spans="1:5">
      <c r="A1448" s="24"/>
      <c r="B1448" s="19"/>
      <c r="C1448" s="26">
        <f>IF(A1448="","",ROUND((A1448+cfgAjusteMES/1440)*48,0))</f>
        <v>0</v>
      </c>
      <c r="D1448" s="26">
        <f>IF(C1448="","",INT((C1448-cfgDeslocamento)/4))</f>
        <v>0</v>
      </c>
      <c r="E1448" s="26">
        <f>IF(C1448="","",MOD(C1448-cfgDeslocamento,4)+1)</f>
        <v>0</v>
      </c>
    </row>
    <row r="1449" spans="1:5">
      <c r="A1449" s="24"/>
      <c r="B1449" s="19"/>
      <c r="C1449" s="26">
        <f>IF(A1449="","",ROUND((A1449+cfgAjusteMES/1440)*48,0))</f>
        <v>0</v>
      </c>
      <c r="D1449" s="26">
        <f>IF(C1449="","",INT((C1449-cfgDeslocamento)/4))</f>
        <v>0</v>
      </c>
      <c r="E1449" s="26">
        <f>IF(C1449="","",MOD(C1449-cfgDeslocamento,4)+1)</f>
        <v>0</v>
      </c>
    </row>
    <row r="1450" spans="1:5">
      <c r="A1450" s="24"/>
      <c r="B1450" s="19"/>
      <c r="C1450" s="26">
        <f>IF(A1450="","",ROUND((A1450+cfgAjusteMES/1440)*48,0))</f>
        <v>0</v>
      </c>
      <c r="D1450" s="26">
        <f>IF(C1450="","",INT((C1450-cfgDeslocamento)/4))</f>
        <v>0</v>
      </c>
      <c r="E1450" s="26">
        <f>IF(C1450="","",MOD(C1450-cfgDeslocamento,4)+1)</f>
        <v>0</v>
      </c>
    </row>
    <row r="1451" spans="1:5">
      <c r="A1451" s="24"/>
      <c r="B1451" s="19"/>
      <c r="C1451" s="26">
        <f>IF(A1451="","",ROUND((A1451+cfgAjusteMES/1440)*48,0))</f>
        <v>0</v>
      </c>
      <c r="D1451" s="26">
        <f>IF(C1451="","",INT((C1451-cfgDeslocamento)/4))</f>
        <v>0</v>
      </c>
      <c r="E1451" s="26">
        <f>IF(C1451="","",MOD(C1451-cfgDeslocamento,4)+1)</f>
        <v>0</v>
      </c>
    </row>
    <row r="1452" spans="1:5">
      <c r="A1452" s="24"/>
      <c r="B1452" s="19"/>
      <c r="C1452" s="26">
        <f>IF(A1452="","",ROUND((A1452+cfgAjusteMES/1440)*48,0))</f>
        <v>0</v>
      </c>
      <c r="D1452" s="26">
        <f>IF(C1452="","",INT((C1452-cfgDeslocamento)/4))</f>
        <v>0</v>
      </c>
      <c r="E1452" s="26">
        <f>IF(C1452="","",MOD(C1452-cfgDeslocamento,4)+1)</f>
        <v>0</v>
      </c>
    </row>
    <row r="1453" spans="1:5">
      <c r="A1453" s="24"/>
      <c r="B1453" s="19"/>
      <c r="C1453" s="26">
        <f>IF(A1453="","",ROUND((A1453+cfgAjusteMES/1440)*48,0))</f>
        <v>0</v>
      </c>
      <c r="D1453" s="26">
        <f>IF(C1453="","",INT((C1453-cfgDeslocamento)/4))</f>
        <v>0</v>
      </c>
      <c r="E1453" s="26">
        <f>IF(C1453="","",MOD(C1453-cfgDeslocamento,4)+1)</f>
        <v>0</v>
      </c>
    </row>
    <row r="1454" spans="1:5">
      <c r="A1454" s="24"/>
      <c r="B1454" s="19"/>
      <c r="C1454" s="26">
        <f>IF(A1454="","",ROUND((A1454+cfgAjusteMES/1440)*48,0))</f>
        <v>0</v>
      </c>
      <c r="D1454" s="26">
        <f>IF(C1454="","",INT((C1454-cfgDeslocamento)/4))</f>
        <v>0</v>
      </c>
      <c r="E1454" s="26">
        <f>IF(C1454="","",MOD(C1454-cfgDeslocamento,4)+1)</f>
        <v>0</v>
      </c>
    </row>
    <row r="1455" spans="1:5">
      <c r="A1455" s="24"/>
      <c r="B1455" s="19"/>
      <c r="C1455" s="26">
        <f>IF(A1455="","",ROUND((A1455+cfgAjusteMES/1440)*48,0))</f>
        <v>0</v>
      </c>
      <c r="D1455" s="26">
        <f>IF(C1455="","",INT((C1455-cfgDeslocamento)/4))</f>
        <v>0</v>
      </c>
      <c r="E1455" s="26">
        <f>IF(C1455="","",MOD(C1455-cfgDeslocamento,4)+1)</f>
        <v>0</v>
      </c>
    </row>
    <row r="1456" spans="1:5">
      <c r="A1456" s="24"/>
      <c r="B1456" s="19"/>
      <c r="C1456" s="26">
        <f>IF(A1456="","",ROUND((A1456+cfgAjusteMES/1440)*48,0))</f>
        <v>0</v>
      </c>
      <c r="D1456" s="26">
        <f>IF(C1456="","",INT((C1456-cfgDeslocamento)/4))</f>
        <v>0</v>
      </c>
      <c r="E1456" s="26">
        <f>IF(C1456="","",MOD(C1456-cfgDeslocamento,4)+1)</f>
        <v>0</v>
      </c>
    </row>
    <row r="1457" spans="1:5">
      <c r="A1457" s="24"/>
      <c r="B1457" s="19"/>
      <c r="C1457" s="26">
        <f>IF(A1457="","",ROUND((A1457+cfgAjusteMES/1440)*48,0))</f>
        <v>0</v>
      </c>
      <c r="D1457" s="26">
        <f>IF(C1457="","",INT((C1457-cfgDeslocamento)/4))</f>
        <v>0</v>
      </c>
      <c r="E1457" s="26">
        <f>IF(C1457="","",MOD(C1457-cfgDeslocamento,4)+1)</f>
        <v>0</v>
      </c>
    </row>
    <row r="1458" spans="1:5">
      <c r="A1458" s="24"/>
      <c r="B1458" s="19"/>
      <c r="C1458" s="26">
        <f>IF(A1458="","",ROUND((A1458+cfgAjusteMES/1440)*48,0))</f>
        <v>0</v>
      </c>
      <c r="D1458" s="26">
        <f>IF(C1458="","",INT((C1458-cfgDeslocamento)/4))</f>
        <v>0</v>
      </c>
      <c r="E1458" s="26">
        <f>IF(C1458="","",MOD(C1458-cfgDeslocamento,4)+1)</f>
        <v>0</v>
      </c>
    </row>
    <row r="1459" spans="1:5">
      <c r="A1459" s="24"/>
      <c r="B1459" s="19"/>
      <c r="C1459" s="26">
        <f>IF(A1459="","",ROUND((A1459+cfgAjusteMES/1440)*48,0))</f>
        <v>0</v>
      </c>
      <c r="D1459" s="26">
        <f>IF(C1459="","",INT((C1459-cfgDeslocamento)/4))</f>
        <v>0</v>
      </c>
      <c r="E1459" s="26">
        <f>IF(C1459="","",MOD(C1459-cfgDeslocamento,4)+1)</f>
        <v>0</v>
      </c>
    </row>
    <row r="1460" spans="1:5">
      <c r="A1460" s="24"/>
      <c r="B1460" s="19"/>
      <c r="C1460" s="26">
        <f>IF(A1460="","",ROUND((A1460+cfgAjusteMES/1440)*48,0))</f>
        <v>0</v>
      </c>
      <c r="D1460" s="26">
        <f>IF(C1460="","",INT((C1460-cfgDeslocamento)/4))</f>
        <v>0</v>
      </c>
      <c r="E1460" s="26">
        <f>IF(C1460="","",MOD(C1460-cfgDeslocamento,4)+1)</f>
        <v>0</v>
      </c>
    </row>
    <row r="1461" spans="1:5">
      <c r="A1461" s="24"/>
      <c r="B1461" s="19"/>
      <c r="C1461" s="26">
        <f>IF(A1461="","",ROUND((A1461+cfgAjusteMES/1440)*48,0))</f>
        <v>0</v>
      </c>
      <c r="D1461" s="26">
        <f>IF(C1461="","",INT((C1461-cfgDeslocamento)/4))</f>
        <v>0</v>
      </c>
      <c r="E1461" s="26">
        <f>IF(C1461="","",MOD(C1461-cfgDeslocamento,4)+1)</f>
        <v>0</v>
      </c>
    </row>
    <row r="1462" spans="1:5">
      <c r="A1462" s="24"/>
      <c r="B1462" s="19"/>
      <c r="C1462" s="26">
        <f>IF(A1462="","",ROUND((A1462+cfgAjusteMES/1440)*48,0))</f>
        <v>0</v>
      </c>
      <c r="D1462" s="26">
        <f>IF(C1462="","",INT((C1462-cfgDeslocamento)/4))</f>
        <v>0</v>
      </c>
      <c r="E1462" s="26">
        <f>IF(C1462="","",MOD(C1462-cfgDeslocamento,4)+1)</f>
        <v>0</v>
      </c>
    </row>
    <row r="1463" spans="1:5">
      <c r="A1463" s="24"/>
      <c r="B1463" s="19"/>
      <c r="C1463" s="26">
        <f>IF(A1463="","",ROUND((A1463+cfgAjusteMES/1440)*48,0))</f>
        <v>0</v>
      </c>
      <c r="D1463" s="26">
        <f>IF(C1463="","",INT((C1463-cfgDeslocamento)/4))</f>
        <v>0</v>
      </c>
      <c r="E1463" s="26">
        <f>IF(C1463="","",MOD(C1463-cfgDeslocamento,4)+1)</f>
        <v>0</v>
      </c>
    </row>
    <row r="1464" spans="1:5">
      <c r="A1464" s="24"/>
      <c r="B1464" s="19"/>
      <c r="C1464" s="26">
        <f>IF(A1464="","",ROUND((A1464+cfgAjusteMES/1440)*48,0))</f>
        <v>0</v>
      </c>
      <c r="D1464" s="26">
        <f>IF(C1464="","",INT((C1464-cfgDeslocamento)/4))</f>
        <v>0</v>
      </c>
      <c r="E1464" s="26">
        <f>IF(C1464="","",MOD(C1464-cfgDeslocamento,4)+1)</f>
        <v>0</v>
      </c>
    </row>
    <row r="1465" spans="1:5">
      <c r="A1465" s="24"/>
      <c r="B1465" s="19"/>
      <c r="C1465" s="26">
        <f>IF(A1465="","",ROUND((A1465+cfgAjusteMES/1440)*48,0))</f>
        <v>0</v>
      </c>
      <c r="D1465" s="26">
        <f>IF(C1465="","",INT((C1465-cfgDeslocamento)/4))</f>
        <v>0</v>
      </c>
      <c r="E1465" s="26">
        <f>IF(C1465="","",MOD(C1465-cfgDeslocamento,4)+1)</f>
        <v>0</v>
      </c>
    </row>
    <row r="1466" spans="1:5">
      <c r="A1466" s="24"/>
      <c r="B1466" s="19"/>
      <c r="C1466" s="26">
        <f>IF(A1466="","",ROUND((A1466+cfgAjusteMES/1440)*48,0))</f>
        <v>0</v>
      </c>
      <c r="D1466" s="26">
        <f>IF(C1466="","",INT((C1466-cfgDeslocamento)/4))</f>
        <v>0</v>
      </c>
      <c r="E1466" s="26">
        <f>IF(C1466="","",MOD(C1466-cfgDeslocamento,4)+1)</f>
        <v>0</v>
      </c>
    </row>
    <row r="1467" spans="1:5">
      <c r="A1467" s="24"/>
      <c r="B1467" s="19"/>
      <c r="C1467" s="26">
        <f>IF(A1467="","",ROUND((A1467+cfgAjusteMES/1440)*48,0))</f>
        <v>0</v>
      </c>
      <c r="D1467" s="26">
        <f>IF(C1467="","",INT((C1467-cfgDeslocamento)/4))</f>
        <v>0</v>
      </c>
      <c r="E1467" s="26">
        <f>IF(C1467="","",MOD(C1467-cfgDeslocamento,4)+1)</f>
        <v>0</v>
      </c>
    </row>
    <row r="1468" spans="1:5">
      <c r="A1468" s="24"/>
      <c r="B1468" s="19"/>
      <c r="C1468" s="26">
        <f>IF(A1468="","",ROUND((A1468+cfgAjusteMES/1440)*48,0))</f>
        <v>0</v>
      </c>
      <c r="D1468" s="26">
        <f>IF(C1468="","",INT((C1468-cfgDeslocamento)/4))</f>
        <v>0</v>
      </c>
      <c r="E1468" s="26">
        <f>IF(C1468="","",MOD(C1468-cfgDeslocamento,4)+1)</f>
        <v>0</v>
      </c>
    </row>
    <row r="1469" spans="1:5">
      <c r="A1469" s="24"/>
      <c r="B1469" s="19"/>
      <c r="C1469" s="26">
        <f>IF(A1469="","",ROUND((A1469+cfgAjusteMES/1440)*48,0))</f>
        <v>0</v>
      </c>
      <c r="D1469" s="26">
        <f>IF(C1469="","",INT((C1469-cfgDeslocamento)/4))</f>
        <v>0</v>
      </c>
      <c r="E1469" s="26">
        <f>IF(C1469="","",MOD(C1469-cfgDeslocamento,4)+1)</f>
        <v>0</v>
      </c>
    </row>
    <row r="1470" spans="1:5">
      <c r="A1470" s="24"/>
      <c r="B1470" s="19"/>
      <c r="C1470" s="26">
        <f>IF(A1470="","",ROUND((A1470+cfgAjusteMES/1440)*48,0))</f>
        <v>0</v>
      </c>
      <c r="D1470" s="26">
        <f>IF(C1470="","",INT((C1470-cfgDeslocamento)/4))</f>
        <v>0</v>
      </c>
      <c r="E1470" s="26">
        <f>IF(C1470="","",MOD(C1470-cfgDeslocamento,4)+1)</f>
        <v>0</v>
      </c>
    </row>
    <row r="1471" spans="1:5">
      <c r="A1471" s="24"/>
      <c r="B1471" s="19"/>
      <c r="C1471" s="26">
        <f>IF(A1471="","",ROUND((A1471+cfgAjusteMES/1440)*48,0))</f>
        <v>0</v>
      </c>
      <c r="D1471" s="26">
        <f>IF(C1471="","",INT((C1471-cfgDeslocamento)/4))</f>
        <v>0</v>
      </c>
      <c r="E1471" s="26">
        <f>IF(C1471="","",MOD(C1471-cfgDeslocamento,4)+1)</f>
        <v>0</v>
      </c>
    </row>
    <row r="1472" spans="1:5">
      <c r="A1472" s="24"/>
      <c r="B1472" s="19"/>
      <c r="C1472" s="26">
        <f>IF(A1472="","",ROUND((A1472+cfgAjusteMES/1440)*48,0))</f>
        <v>0</v>
      </c>
      <c r="D1472" s="26">
        <f>IF(C1472="","",INT((C1472-cfgDeslocamento)/4))</f>
        <v>0</v>
      </c>
      <c r="E1472" s="26">
        <f>IF(C1472="","",MOD(C1472-cfgDeslocamento,4)+1)</f>
        <v>0</v>
      </c>
    </row>
    <row r="1473" spans="1:5">
      <c r="A1473" s="24"/>
      <c r="B1473" s="19"/>
      <c r="C1473" s="26">
        <f>IF(A1473="","",ROUND((A1473+cfgAjusteMES/1440)*48,0))</f>
        <v>0</v>
      </c>
      <c r="D1473" s="26">
        <f>IF(C1473="","",INT((C1473-cfgDeslocamento)/4))</f>
        <v>0</v>
      </c>
      <c r="E1473" s="26">
        <f>IF(C1473="","",MOD(C1473-cfgDeslocamento,4)+1)</f>
        <v>0</v>
      </c>
    </row>
    <row r="1474" spans="1:5">
      <c r="A1474" s="24"/>
      <c r="B1474" s="19"/>
      <c r="C1474" s="26">
        <f>IF(A1474="","",ROUND((A1474+cfgAjusteMES/1440)*48,0))</f>
        <v>0</v>
      </c>
      <c r="D1474" s="26">
        <f>IF(C1474="","",INT((C1474-cfgDeslocamento)/4))</f>
        <v>0</v>
      </c>
      <c r="E1474" s="26">
        <f>IF(C1474="","",MOD(C1474-cfgDeslocamento,4)+1)</f>
        <v>0</v>
      </c>
    </row>
    <row r="1475" spans="1:5">
      <c r="A1475" s="24"/>
      <c r="B1475" s="19"/>
      <c r="C1475" s="26">
        <f>IF(A1475="","",ROUND((A1475+cfgAjusteMES/1440)*48,0))</f>
        <v>0</v>
      </c>
      <c r="D1475" s="26">
        <f>IF(C1475="","",INT((C1475-cfgDeslocamento)/4))</f>
        <v>0</v>
      </c>
      <c r="E1475" s="26">
        <f>IF(C1475="","",MOD(C1475-cfgDeslocamento,4)+1)</f>
        <v>0</v>
      </c>
    </row>
    <row r="1476" spans="1:5">
      <c r="A1476" s="24"/>
      <c r="B1476" s="19"/>
      <c r="C1476" s="26">
        <f>IF(A1476="","",ROUND((A1476+cfgAjusteMES/1440)*48,0))</f>
        <v>0</v>
      </c>
      <c r="D1476" s="26">
        <f>IF(C1476="","",INT((C1476-cfgDeslocamento)/4))</f>
        <v>0</v>
      </c>
      <c r="E1476" s="26">
        <f>IF(C1476="","",MOD(C1476-cfgDeslocamento,4)+1)</f>
        <v>0</v>
      </c>
    </row>
    <row r="1477" spans="1:5">
      <c r="A1477" s="24"/>
      <c r="B1477" s="19"/>
      <c r="C1477" s="26">
        <f>IF(A1477="","",ROUND((A1477+cfgAjusteMES/1440)*48,0))</f>
        <v>0</v>
      </c>
      <c r="D1477" s="26">
        <f>IF(C1477="","",INT((C1477-cfgDeslocamento)/4))</f>
        <v>0</v>
      </c>
      <c r="E1477" s="26">
        <f>IF(C1477="","",MOD(C1477-cfgDeslocamento,4)+1)</f>
        <v>0</v>
      </c>
    </row>
    <row r="1478" spans="1:5">
      <c r="A1478" s="24"/>
      <c r="B1478" s="19"/>
      <c r="C1478" s="26">
        <f>IF(A1478="","",ROUND((A1478+cfgAjusteMES/1440)*48,0))</f>
        <v>0</v>
      </c>
      <c r="D1478" s="26">
        <f>IF(C1478="","",INT((C1478-cfgDeslocamento)/4))</f>
        <v>0</v>
      </c>
      <c r="E1478" s="26">
        <f>IF(C1478="","",MOD(C1478-cfgDeslocamento,4)+1)</f>
        <v>0</v>
      </c>
    </row>
    <row r="1479" spans="1:5">
      <c r="A1479" s="24"/>
      <c r="B1479" s="19"/>
      <c r="C1479" s="26">
        <f>IF(A1479="","",ROUND((A1479+cfgAjusteMES/1440)*48,0))</f>
        <v>0</v>
      </c>
      <c r="D1479" s="26">
        <f>IF(C1479="","",INT((C1479-cfgDeslocamento)/4))</f>
        <v>0</v>
      </c>
      <c r="E1479" s="26">
        <f>IF(C1479="","",MOD(C1479-cfgDeslocamento,4)+1)</f>
        <v>0</v>
      </c>
    </row>
    <row r="1480" spans="1:5">
      <c r="A1480" s="24"/>
      <c r="B1480" s="19"/>
      <c r="C1480" s="26">
        <f>IF(A1480="","",ROUND((A1480+cfgAjusteMES/1440)*48,0))</f>
        <v>0</v>
      </c>
      <c r="D1480" s="26">
        <f>IF(C1480="","",INT((C1480-cfgDeslocamento)/4))</f>
        <v>0</v>
      </c>
      <c r="E1480" s="26">
        <f>IF(C1480="","",MOD(C1480-cfgDeslocamento,4)+1)</f>
        <v>0</v>
      </c>
    </row>
    <row r="1481" spans="1:5">
      <c r="A1481" s="24"/>
      <c r="B1481" s="19"/>
      <c r="C1481" s="26">
        <f>IF(A1481="","",ROUND((A1481+cfgAjusteMES/1440)*48,0))</f>
        <v>0</v>
      </c>
      <c r="D1481" s="26">
        <f>IF(C1481="","",INT((C1481-cfgDeslocamento)/4))</f>
        <v>0</v>
      </c>
      <c r="E1481" s="26">
        <f>IF(C1481="","",MOD(C1481-cfgDeslocamento,4)+1)</f>
        <v>0</v>
      </c>
    </row>
    <row r="1482" spans="1:5">
      <c r="A1482" s="24"/>
      <c r="B1482" s="19"/>
      <c r="C1482" s="26">
        <f>IF(A1482="","",ROUND((A1482+cfgAjusteMES/1440)*48,0))</f>
        <v>0</v>
      </c>
      <c r="D1482" s="26">
        <f>IF(C1482="","",INT((C1482-cfgDeslocamento)/4))</f>
        <v>0</v>
      </c>
      <c r="E1482" s="26">
        <f>IF(C1482="","",MOD(C1482-cfgDeslocamento,4)+1)</f>
        <v>0</v>
      </c>
    </row>
    <row r="1483" spans="1:5">
      <c r="A1483" s="24"/>
      <c r="B1483" s="19"/>
      <c r="C1483" s="26">
        <f>IF(A1483="","",ROUND((A1483+cfgAjusteMES/1440)*48,0))</f>
        <v>0</v>
      </c>
      <c r="D1483" s="26">
        <f>IF(C1483="","",INT((C1483-cfgDeslocamento)/4))</f>
        <v>0</v>
      </c>
      <c r="E1483" s="26">
        <f>IF(C1483="","",MOD(C1483-cfgDeslocamento,4)+1)</f>
        <v>0</v>
      </c>
    </row>
    <row r="1484" spans="1:5">
      <c r="A1484" s="24"/>
      <c r="B1484" s="19"/>
      <c r="C1484" s="26">
        <f>IF(A1484="","",ROUND((A1484+cfgAjusteMES/1440)*48,0))</f>
        <v>0</v>
      </c>
      <c r="D1484" s="26">
        <f>IF(C1484="","",INT((C1484-cfgDeslocamento)/4))</f>
        <v>0</v>
      </c>
      <c r="E1484" s="26">
        <f>IF(C1484="","",MOD(C1484-cfgDeslocamento,4)+1)</f>
        <v>0</v>
      </c>
    </row>
    <row r="1485" spans="1:5">
      <c r="A1485" s="24"/>
      <c r="B1485" s="19"/>
      <c r="C1485" s="26">
        <f>IF(A1485="","",ROUND((A1485+cfgAjusteMES/1440)*48,0))</f>
        <v>0</v>
      </c>
      <c r="D1485" s="26">
        <f>IF(C1485="","",INT((C1485-cfgDeslocamento)/4))</f>
        <v>0</v>
      </c>
      <c r="E1485" s="26">
        <f>IF(C1485="","",MOD(C1485-cfgDeslocamento,4)+1)</f>
        <v>0</v>
      </c>
    </row>
    <row r="1486" spans="1:5">
      <c r="A1486" s="24"/>
      <c r="B1486" s="19"/>
      <c r="C1486" s="26">
        <f>IF(A1486="","",ROUND((A1486+cfgAjusteMES/1440)*48,0))</f>
        <v>0</v>
      </c>
      <c r="D1486" s="26">
        <f>IF(C1486="","",INT((C1486-cfgDeslocamento)/4))</f>
        <v>0</v>
      </c>
      <c r="E1486" s="26">
        <f>IF(C1486="","",MOD(C1486-cfgDeslocamento,4)+1)</f>
        <v>0</v>
      </c>
    </row>
    <row r="1487" spans="1:5">
      <c r="A1487" s="24"/>
      <c r="B1487" s="19"/>
      <c r="C1487" s="26">
        <f>IF(A1487="","",ROUND((A1487+cfgAjusteMES/1440)*48,0))</f>
        <v>0</v>
      </c>
      <c r="D1487" s="26">
        <f>IF(C1487="","",INT((C1487-cfgDeslocamento)/4))</f>
        <v>0</v>
      </c>
      <c r="E1487" s="26">
        <f>IF(C1487="","",MOD(C1487-cfgDeslocamento,4)+1)</f>
        <v>0</v>
      </c>
    </row>
    <row r="1488" spans="1:5">
      <c r="A1488" s="24"/>
      <c r="B1488" s="19"/>
      <c r="C1488" s="26">
        <f>IF(A1488="","",ROUND((A1488+cfgAjusteMES/1440)*48,0))</f>
        <v>0</v>
      </c>
      <c r="D1488" s="26">
        <f>IF(C1488="","",INT((C1488-cfgDeslocamento)/4))</f>
        <v>0</v>
      </c>
      <c r="E1488" s="26">
        <f>IF(C1488="","",MOD(C1488-cfgDeslocamento,4)+1)</f>
        <v>0</v>
      </c>
    </row>
    <row r="1489" spans="1:5">
      <c r="A1489" s="24"/>
      <c r="B1489" s="19"/>
      <c r="C1489" s="26">
        <f>IF(A1489="","",ROUND((A1489+cfgAjusteMES/1440)*48,0))</f>
        <v>0</v>
      </c>
      <c r="D1489" s="26">
        <f>IF(C1489="","",INT((C1489-cfgDeslocamento)/4))</f>
        <v>0</v>
      </c>
      <c r="E1489" s="26">
        <f>IF(C1489="","",MOD(C1489-cfgDeslocamento,4)+1)</f>
        <v>0</v>
      </c>
    </row>
    <row r="1490" spans="1:5">
      <c r="A1490" s="24"/>
      <c r="B1490" s="19"/>
      <c r="C1490" s="26">
        <f>IF(A1490="","",ROUND((A1490+cfgAjusteMES/1440)*48,0))</f>
        <v>0</v>
      </c>
      <c r="D1490" s="26">
        <f>IF(C1490="","",INT((C1490-cfgDeslocamento)/4))</f>
        <v>0</v>
      </c>
      <c r="E1490" s="26">
        <f>IF(C1490="","",MOD(C1490-cfgDeslocamento,4)+1)</f>
        <v>0</v>
      </c>
    </row>
    <row r="1491" spans="1:5">
      <c r="A1491" s="24"/>
      <c r="B1491" s="19"/>
      <c r="C1491" s="26">
        <f>IF(A1491="","",ROUND((A1491+cfgAjusteMES/1440)*48,0))</f>
        <v>0</v>
      </c>
      <c r="D1491" s="26">
        <f>IF(C1491="","",INT((C1491-cfgDeslocamento)/4))</f>
        <v>0</v>
      </c>
      <c r="E1491" s="26">
        <f>IF(C1491="","",MOD(C1491-cfgDeslocamento,4)+1)</f>
        <v>0</v>
      </c>
    </row>
    <row r="1492" spans="1:5">
      <c r="A1492" s="24"/>
      <c r="B1492" s="19"/>
      <c r="C1492" s="26">
        <f>IF(A1492="","",ROUND((A1492+cfgAjusteMES/1440)*48,0))</f>
        <v>0</v>
      </c>
      <c r="D1492" s="26">
        <f>IF(C1492="","",INT((C1492-cfgDeslocamento)/4))</f>
        <v>0</v>
      </c>
      <c r="E1492" s="26">
        <f>IF(C1492="","",MOD(C1492-cfgDeslocamento,4)+1)</f>
        <v>0</v>
      </c>
    </row>
    <row r="1493" spans="1:5">
      <c r="A1493" s="24"/>
      <c r="B1493" s="19"/>
      <c r="C1493" s="26">
        <f>IF(A1493="","",ROUND((A1493+cfgAjusteMES/1440)*48,0))</f>
        <v>0</v>
      </c>
      <c r="D1493" s="26">
        <f>IF(C1493="","",INT((C1493-cfgDeslocamento)/4))</f>
        <v>0</v>
      </c>
      <c r="E1493" s="26">
        <f>IF(C1493="","",MOD(C1493-cfgDeslocamento,4)+1)</f>
        <v>0</v>
      </c>
    </row>
    <row r="1494" spans="1:5">
      <c r="A1494" s="24"/>
      <c r="B1494" s="19"/>
      <c r="C1494" s="26">
        <f>IF(A1494="","",ROUND((A1494+cfgAjusteMES/1440)*48,0))</f>
        <v>0</v>
      </c>
      <c r="D1494" s="26">
        <f>IF(C1494="","",INT((C1494-cfgDeslocamento)/4))</f>
        <v>0</v>
      </c>
      <c r="E1494" s="26">
        <f>IF(C1494="","",MOD(C1494-cfgDeslocamento,4)+1)</f>
        <v>0</v>
      </c>
    </row>
    <row r="1495" spans="1:5">
      <c r="A1495" s="24"/>
      <c r="B1495" s="19"/>
      <c r="C1495" s="26">
        <f>IF(A1495="","",ROUND((A1495+cfgAjusteMES/1440)*48,0))</f>
        <v>0</v>
      </c>
      <c r="D1495" s="26">
        <f>IF(C1495="","",INT((C1495-cfgDeslocamento)/4))</f>
        <v>0</v>
      </c>
      <c r="E1495" s="26">
        <f>IF(C1495="","",MOD(C1495-cfgDeslocamento,4)+1)</f>
        <v>0</v>
      </c>
    </row>
    <row r="1496" spans="1:5">
      <c r="A1496" s="24"/>
      <c r="B1496" s="19"/>
      <c r="C1496" s="26">
        <f>IF(A1496="","",ROUND((A1496+cfgAjusteMES/1440)*48,0))</f>
        <v>0</v>
      </c>
      <c r="D1496" s="26">
        <f>IF(C1496="","",INT((C1496-cfgDeslocamento)/4))</f>
        <v>0</v>
      </c>
      <c r="E1496" s="26">
        <f>IF(C1496="","",MOD(C1496-cfgDeslocamento,4)+1)</f>
        <v>0</v>
      </c>
    </row>
    <row r="1497" spans="1:5">
      <c r="A1497" s="24"/>
      <c r="B1497" s="19"/>
      <c r="C1497" s="26">
        <f>IF(A1497="","",ROUND((A1497+cfgAjusteMES/1440)*48,0))</f>
        <v>0</v>
      </c>
      <c r="D1497" s="26">
        <f>IF(C1497="","",INT((C1497-cfgDeslocamento)/4))</f>
        <v>0</v>
      </c>
      <c r="E1497" s="26">
        <f>IF(C1497="","",MOD(C1497-cfgDeslocamento,4)+1)</f>
        <v>0</v>
      </c>
    </row>
    <row r="1498" spans="1:5">
      <c r="A1498" s="24"/>
      <c r="B1498" s="19"/>
      <c r="C1498" s="26">
        <f>IF(A1498="","",ROUND((A1498+cfgAjusteMES/1440)*48,0))</f>
        <v>0</v>
      </c>
      <c r="D1498" s="26">
        <f>IF(C1498="","",INT((C1498-cfgDeslocamento)/4))</f>
        <v>0</v>
      </c>
      <c r="E1498" s="26">
        <f>IF(C1498="","",MOD(C1498-cfgDeslocamento,4)+1)</f>
        <v>0</v>
      </c>
    </row>
    <row r="1499" spans="1:5">
      <c r="A1499" s="24"/>
      <c r="B1499" s="19"/>
      <c r="C1499" s="26">
        <f>IF(A1499="","",ROUND((A1499+cfgAjusteMES/1440)*48,0))</f>
        <v>0</v>
      </c>
      <c r="D1499" s="26">
        <f>IF(C1499="","",INT((C1499-cfgDeslocamento)/4))</f>
        <v>0</v>
      </c>
      <c r="E1499" s="26">
        <f>IF(C1499="","",MOD(C1499-cfgDeslocamento,4)+1)</f>
        <v>0</v>
      </c>
    </row>
    <row r="1500" spans="1:5">
      <c r="A1500" s="24"/>
      <c r="B1500" s="19"/>
      <c r="C1500" s="26">
        <f>IF(A1500="","",ROUND((A1500+cfgAjusteMES/1440)*48,0))</f>
        <v>0</v>
      </c>
      <c r="D1500" s="26">
        <f>IF(C1500="","",INT((C1500-cfgDeslocamento)/4))</f>
        <v>0</v>
      </c>
      <c r="E1500" s="26">
        <f>IF(C1500="","",MOD(C1500-cfgDeslocamento,4)+1)</f>
        <v>0</v>
      </c>
    </row>
    <row r="1501" spans="1:5">
      <c r="A1501" s="24"/>
      <c r="B1501" s="19"/>
      <c r="C1501" s="26">
        <f>IF(A1501="","",ROUND((A1501+cfgAjusteMES/1440)*48,0))</f>
        <v>0</v>
      </c>
      <c r="D1501" s="26">
        <f>IF(C1501="","",INT((C1501-cfgDeslocamento)/4))</f>
        <v>0</v>
      </c>
      <c r="E1501" s="26">
        <f>IF(C1501="","",MOD(C1501-cfgDeslocamento,4)+1)</f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rrelacao"/>
  <dimension ref="A1:U15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7.7109375" customWidth="1"/>
    <col min="2" max="2" width="15.7109375" customWidth="1"/>
    <col min="3" max="3" width="13.7109375" customWidth="1"/>
    <col min="4" max="7" width="10.7109375" customWidth="1"/>
    <col min="8" max="8" width="11.7109375" customWidth="1"/>
    <col min="9" max="10" width="14.7109375" customWidth="1"/>
    <col min="11" max="11" width="26.7109375" customWidth="1"/>
    <col min="12" max="12" width="11.7109375" customWidth="1"/>
    <col min="13" max="13" width="12.7109375" customWidth="1"/>
    <col min="14" max="21" width="8.7109375" hidden="1" customWidth="1"/>
  </cols>
  <sheetData>
    <row r="1" spans="1:21" ht="42" customHeight="1">
      <c r="A1" s="16" t="s">
        <v>67</v>
      </c>
      <c r="B1" s="16" t="s">
        <v>68</v>
      </c>
      <c r="C1" s="16" t="s">
        <v>69</v>
      </c>
      <c r="D1" s="16" t="s">
        <v>70</v>
      </c>
      <c r="E1" s="16" t="s">
        <v>71</v>
      </c>
      <c r="F1" s="16" t="s">
        <v>72</v>
      </c>
      <c r="G1" s="16" t="s">
        <v>73</v>
      </c>
      <c r="H1" s="16" t="s">
        <v>74</v>
      </c>
      <c r="I1" s="16" t="s">
        <v>75</v>
      </c>
      <c r="J1" s="16" t="s">
        <v>76</v>
      </c>
      <c r="K1" s="16" t="s">
        <v>77</v>
      </c>
      <c r="L1" s="16" t="s">
        <v>78</v>
      </c>
      <c r="M1" s="16" t="s">
        <v>79</v>
      </c>
      <c r="N1" s="16" t="s">
        <v>80</v>
      </c>
      <c r="O1" s="16" t="s">
        <v>81</v>
      </c>
      <c r="P1" s="16" t="s">
        <v>82</v>
      </c>
      <c r="Q1" s="16" t="s">
        <v>83</v>
      </c>
      <c r="R1" s="16" t="s">
        <v>84</v>
      </c>
      <c r="S1" s="16" t="s">
        <v>85</v>
      </c>
      <c r="T1" s="16" t="s">
        <v>86</v>
      </c>
      <c r="U1" s="16" t="s">
        <v>87</v>
      </c>
    </row>
    <row r="2" spans="1:21">
      <c r="A2" s="25">
        <f>IF(MES!A2="","",MES!C2/48)</f>
        <v>0</v>
      </c>
      <c r="B2" s="26">
        <f>IF(A2="","",TEXT((N2*4+cfgDeslocamento)/48,"hh:mm")&amp;" a "&amp;TEXT(A2,"hh:mm"))</f>
        <v>0</v>
      </c>
      <c r="C2" s="27">
        <f>IF(A2="","",MES!B2)</f>
        <v>0</v>
      </c>
      <c r="D2" s="27">
        <f>IF(A2="","",IFERROR(AVERAGEIFS(Prensa!$B$2:$B$5001,Prensa!$E$2:$E$5001,N2,Prensa!$F$2:$F$5001,1,Prensa!$G$2:$G$5001,1),""))</f>
        <v>0</v>
      </c>
      <c r="E2" s="27">
        <f>IF(A2="","",IFERROR(AVERAGEIFS(Prensa!$B$2:$B$5001,Prensa!$E$2:$E$5001,N2,Prensa!$F$2:$F$5001,2,Prensa!$G$2:$G$5001,1),""))</f>
        <v>0</v>
      </c>
      <c r="F2" s="27">
        <f>IF(A2="","",IFERROR(AVERAGEIFS(Prensa!$B$2:$B$5001,Prensa!$E$2:$E$5001,N2,Prensa!$F$2:$F$5001,3,Prensa!$G$2:$G$5001,1),""))</f>
        <v>0</v>
      </c>
      <c r="G2" s="27">
        <f>IF(A2="","",IFERROR(AVERAGEIFS(Prensa!$B$2:$B$5001,Prensa!$E$2:$E$5001,N2,Prensa!$F$2:$F$5001,4,Prensa!$G$2:$G$5001,1),""))</f>
        <v>0</v>
      </c>
      <c r="H2" s="26">
        <f>IF(A2="","",COUNT(D2:G2))</f>
        <v>0</v>
      </c>
      <c r="I2" s="27">
        <f>IF(A2="","",IF(H2=0,"",AVERAGE(D2:G2)))</f>
        <v>0</v>
      </c>
      <c r="J2" s="27">
        <f>IF(OR(I2="",C2=""),"",I2-C2)</f>
        <v>0</v>
      </c>
      <c r="K2" s="26">
        <f>IF(A2="","",IF(MES!E2&lt;&gt;4,"Horário do MES fora do padrão",IF(H2&lt;cfgMinCortes,"Cortes insuficientes","Válida")))</f>
        <v>0</v>
      </c>
      <c r="L2" s="27">
        <f>IF(K2="Válida",ABS(J2),"")</f>
        <v>0</v>
      </c>
      <c r="M2" s="26">
        <f>IF(K2="Válida",IF(L2&lt;=cfgTolerancia,"Sim","Não"),"")</f>
        <v>0</v>
      </c>
      <c r="N2" s="26">
        <f>IF(A2="","",MES!D2)</f>
        <v>0</v>
      </c>
      <c r="O2" s="25">
        <f>IF(K2="Válida",A2,NA())</f>
        <v>0</v>
      </c>
      <c r="P2" s="27">
        <f>IF(K2="Válida",C2,NA())</f>
        <v>0</v>
      </c>
      <c r="Q2" s="27">
        <f>IF(K2="Válida",I2,NA())</f>
        <v>0</v>
      </c>
      <c r="R2" s="27">
        <f>IF(K2="Válida",J2,NA())</f>
        <v>0</v>
      </c>
      <c r="S2" s="27">
        <f>IF(K2="Válida",C2,"")</f>
        <v>0</v>
      </c>
      <c r="T2" s="27">
        <f>IF(K2="Válida",I2,"")</f>
        <v>0</v>
      </c>
      <c r="U2" s="27">
        <f>IF(K2="Válida",J2,"")</f>
        <v>0</v>
      </c>
    </row>
    <row r="3" spans="1:21">
      <c r="A3" s="25">
        <f>IF(MES!A3="","",MES!C3/48)</f>
        <v>0</v>
      </c>
      <c r="B3" s="26">
        <f>IF(A3="","",TEXT((N3*4+cfgDeslocamento)/48,"hh:mm")&amp;" a "&amp;TEXT(A3,"hh:mm"))</f>
        <v>0</v>
      </c>
      <c r="C3" s="27">
        <f>IF(A3="","",MES!B3)</f>
        <v>0</v>
      </c>
      <c r="D3" s="27">
        <f>IF(A3="","",IFERROR(AVERAGEIFS(Prensa!$B$2:$B$5001,Prensa!$E$2:$E$5001,N3,Prensa!$F$2:$F$5001,1,Prensa!$G$2:$G$5001,1),""))</f>
        <v>0</v>
      </c>
      <c r="E3" s="27">
        <f>IF(A3="","",IFERROR(AVERAGEIFS(Prensa!$B$2:$B$5001,Prensa!$E$2:$E$5001,N3,Prensa!$F$2:$F$5001,2,Prensa!$G$2:$G$5001,1),""))</f>
        <v>0</v>
      </c>
      <c r="F3" s="27">
        <f>IF(A3="","",IFERROR(AVERAGEIFS(Prensa!$B$2:$B$5001,Prensa!$E$2:$E$5001,N3,Prensa!$F$2:$F$5001,3,Prensa!$G$2:$G$5001,1),""))</f>
        <v>0</v>
      </c>
      <c r="G3" s="27">
        <f>IF(A3="","",IFERROR(AVERAGEIFS(Prensa!$B$2:$B$5001,Prensa!$E$2:$E$5001,N3,Prensa!$F$2:$F$5001,4,Prensa!$G$2:$G$5001,1),""))</f>
        <v>0</v>
      </c>
      <c r="H3" s="26">
        <f>IF(A3="","",COUNT(D3:G3))</f>
        <v>0</v>
      </c>
      <c r="I3" s="27">
        <f>IF(A3="","",IF(H3=0,"",AVERAGE(D3:G3)))</f>
        <v>0</v>
      </c>
      <c r="J3" s="27">
        <f>IF(OR(I3="",C3=""),"",I3-C3)</f>
        <v>0</v>
      </c>
      <c r="K3" s="26">
        <f>IF(A3="","",IF(MES!E3&lt;&gt;4,"Horário do MES fora do padrão",IF(H3&lt;cfgMinCortes,"Cortes insuficientes","Válida")))</f>
        <v>0</v>
      </c>
      <c r="L3" s="27">
        <f>IF(K3="Válida",ABS(J3),"")</f>
        <v>0</v>
      </c>
      <c r="M3" s="26">
        <f>IF(K3="Válida",IF(L3&lt;=cfgTolerancia,"Sim","Não"),"")</f>
        <v>0</v>
      </c>
      <c r="N3" s="26">
        <f>IF(A3="","",MES!D3)</f>
        <v>0</v>
      </c>
      <c r="O3" s="25">
        <f>IF(K3="Válida",A3,NA())</f>
        <v>0</v>
      </c>
      <c r="P3" s="27">
        <f>IF(K3="Válida",C3,NA())</f>
        <v>0</v>
      </c>
      <c r="Q3" s="27">
        <f>IF(K3="Válida",I3,NA())</f>
        <v>0</v>
      </c>
      <c r="R3" s="27">
        <f>IF(K3="Válida",J3,NA())</f>
        <v>0</v>
      </c>
      <c r="S3" s="27">
        <f>IF(K3="Válida",C3,"")</f>
        <v>0</v>
      </c>
      <c r="T3" s="27">
        <f>IF(K3="Válida",I3,"")</f>
        <v>0</v>
      </c>
      <c r="U3" s="27">
        <f>IF(K3="Válida",J3,"")</f>
        <v>0</v>
      </c>
    </row>
    <row r="4" spans="1:21">
      <c r="A4" s="25">
        <f>IF(MES!A4="","",MES!C4/48)</f>
        <v>0</v>
      </c>
      <c r="B4" s="26">
        <f>IF(A4="","",TEXT((N4*4+cfgDeslocamento)/48,"hh:mm")&amp;" a "&amp;TEXT(A4,"hh:mm"))</f>
        <v>0</v>
      </c>
      <c r="C4" s="27">
        <f>IF(A4="","",MES!B4)</f>
        <v>0</v>
      </c>
      <c r="D4" s="27">
        <f>IF(A4="","",IFERROR(AVERAGEIFS(Prensa!$B$2:$B$5001,Prensa!$E$2:$E$5001,N4,Prensa!$F$2:$F$5001,1,Prensa!$G$2:$G$5001,1),""))</f>
        <v>0</v>
      </c>
      <c r="E4" s="27">
        <f>IF(A4="","",IFERROR(AVERAGEIFS(Prensa!$B$2:$B$5001,Prensa!$E$2:$E$5001,N4,Prensa!$F$2:$F$5001,2,Prensa!$G$2:$G$5001,1),""))</f>
        <v>0</v>
      </c>
      <c r="F4" s="27">
        <f>IF(A4="","",IFERROR(AVERAGEIFS(Prensa!$B$2:$B$5001,Prensa!$E$2:$E$5001,N4,Prensa!$F$2:$F$5001,3,Prensa!$G$2:$G$5001,1),""))</f>
        <v>0</v>
      </c>
      <c r="G4" s="27">
        <f>IF(A4="","",IFERROR(AVERAGEIFS(Prensa!$B$2:$B$5001,Prensa!$E$2:$E$5001,N4,Prensa!$F$2:$F$5001,4,Prensa!$G$2:$G$5001,1),""))</f>
        <v>0</v>
      </c>
      <c r="H4" s="26">
        <f>IF(A4="","",COUNT(D4:G4))</f>
        <v>0</v>
      </c>
      <c r="I4" s="27">
        <f>IF(A4="","",IF(H4=0,"",AVERAGE(D4:G4)))</f>
        <v>0</v>
      </c>
      <c r="J4" s="27">
        <f>IF(OR(I4="",C4=""),"",I4-C4)</f>
        <v>0</v>
      </c>
      <c r="K4" s="26">
        <f>IF(A4="","",IF(MES!E4&lt;&gt;4,"Horário do MES fora do padrão",IF(H4&lt;cfgMinCortes,"Cortes insuficientes","Válida")))</f>
        <v>0</v>
      </c>
      <c r="L4" s="27">
        <f>IF(K4="Válida",ABS(J4),"")</f>
        <v>0</v>
      </c>
      <c r="M4" s="26">
        <f>IF(K4="Válida",IF(L4&lt;=cfgTolerancia,"Sim","Não"),"")</f>
        <v>0</v>
      </c>
      <c r="N4" s="26">
        <f>IF(A4="","",MES!D4)</f>
        <v>0</v>
      </c>
      <c r="O4" s="25">
        <f>IF(K4="Válida",A4,NA())</f>
        <v>0</v>
      </c>
      <c r="P4" s="27">
        <f>IF(K4="Válida",C4,NA())</f>
        <v>0</v>
      </c>
      <c r="Q4" s="27">
        <f>IF(K4="Válida",I4,NA())</f>
        <v>0</v>
      </c>
      <c r="R4" s="27">
        <f>IF(K4="Válida",J4,NA())</f>
        <v>0</v>
      </c>
      <c r="S4" s="27">
        <f>IF(K4="Válida",C4,"")</f>
        <v>0</v>
      </c>
      <c r="T4" s="27">
        <f>IF(K4="Válida",I4,"")</f>
        <v>0</v>
      </c>
      <c r="U4" s="27">
        <f>IF(K4="Válida",J4,"")</f>
        <v>0</v>
      </c>
    </row>
    <row r="5" spans="1:21">
      <c r="A5" s="25">
        <f>IF(MES!A5="","",MES!C5/48)</f>
        <v>0</v>
      </c>
      <c r="B5" s="26">
        <f>IF(A5="","",TEXT((N5*4+cfgDeslocamento)/48,"hh:mm")&amp;" a "&amp;TEXT(A5,"hh:mm"))</f>
        <v>0</v>
      </c>
      <c r="C5" s="27">
        <f>IF(A5="","",MES!B5)</f>
        <v>0</v>
      </c>
      <c r="D5" s="27">
        <f>IF(A5="","",IFERROR(AVERAGEIFS(Prensa!$B$2:$B$5001,Prensa!$E$2:$E$5001,N5,Prensa!$F$2:$F$5001,1,Prensa!$G$2:$G$5001,1),""))</f>
        <v>0</v>
      </c>
      <c r="E5" s="27">
        <f>IF(A5="","",IFERROR(AVERAGEIFS(Prensa!$B$2:$B$5001,Prensa!$E$2:$E$5001,N5,Prensa!$F$2:$F$5001,2,Prensa!$G$2:$G$5001,1),""))</f>
        <v>0</v>
      </c>
      <c r="F5" s="27">
        <f>IF(A5="","",IFERROR(AVERAGEIFS(Prensa!$B$2:$B$5001,Prensa!$E$2:$E$5001,N5,Prensa!$F$2:$F$5001,3,Prensa!$G$2:$G$5001,1),""))</f>
        <v>0</v>
      </c>
      <c r="G5" s="27">
        <f>IF(A5="","",IFERROR(AVERAGEIFS(Prensa!$B$2:$B$5001,Prensa!$E$2:$E$5001,N5,Prensa!$F$2:$F$5001,4,Prensa!$G$2:$G$5001,1),""))</f>
        <v>0</v>
      </c>
      <c r="H5" s="26">
        <f>IF(A5="","",COUNT(D5:G5))</f>
        <v>0</v>
      </c>
      <c r="I5" s="27">
        <f>IF(A5="","",IF(H5=0,"",AVERAGE(D5:G5)))</f>
        <v>0</v>
      </c>
      <c r="J5" s="27">
        <f>IF(OR(I5="",C5=""),"",I5-C5)</f>
        <v>0</v>
      </c>
      <c r="K5" s="26">
        <f>IF(A5="","",IF(MES!E5&lt;&gt;4,"Horário do MES fora do padrão",IF(H5&lt;cfgMinCortes,"Cortes insuficientes","Válida")))</f>
        <v>0</v>
      </c>
      <c r="L5" s="27">
        <f>IF(K5="Válida",ABS(J5),"")</f>
        <v>0</v>
      </c>
      <c r="M5" s="26">
        <f>IF(K5="Válida",IF(L5&lt;=cfgTolerancia,"Sim","Não"),"")</f>
        <v>0</v>
      </c>
      <c r="N5" s="26">
        <f>IF(A5="","",MES!D5)</f>
        <v>0</v>
      </c>
      <c r="O5" s="25">
        <f>IF(K5="Válida",A5,NA())</f>
        <v>0</v>
      </c>
      <c r="P5" s="27">
        <f>IF(K5="Válida",C5,NA())</f>
        <v>0</v>
      </c>
      <c r="Q5" s="27">
        <f>IF(K5="Válida",I5,NA())</f>
        <v>0</v>
      </c>
      <c r="R5" s="27">
        <f>IF(K5="Válida",J5,NA())</f>
        <v>0</v>
      </c>
      <c r="S5" s="27">
        <f>IF(K5="Válida",C5,"")</f>
        <v>0</v>
      </c>
      <c r="T5" s="27">
        <f>IF(K5="Válida",I5,"")</f>
        <v>0</v>
      </c>
      <c r="U5" s="27">
        <f>IF(K5="Válida",J5,"")</f>
        <v>0</v>
      </c>
    </row>
    <row r="6" spans="1:21">
      <c r="A6" s="25">
        <f>IF(MES!A6="","",MES!C6/48)</f>
        <v>0</v>
      </c>
      <c r="B6" s="26">
        <f>IF(A6="","",TEXT((N6*4+cfgDeslocamento)/48,"hh:mm")&amp;" a "&amp;TEXT(A6,"hh:mm"))</f>
        <v>0</v>
      </c>
      <c r="C6" s="27">
        <f>IF(A6="","",MES!B6)</f>
        <v>0</v>
      </c>
      <c r="D6" s="27">
        <f>IF(A6="","",IFERROR(AVERAGEIFS(Prensa!$B$2:$B$5001,Prensa!$E$2:$E$5001,N6,Prensa!$F$2:$F$5001,1,Prensa!$G$2:$G$5001,1),""))</f>
        <v>0</v>
      </c>
      <c r="E6" s="27">
        <f>IF(A6="","",IFERROR(AVERAGEIFS(Prensa!$B$2:$B$5001,Prensa!$E$2:$E$5001,N6,Prensa!$F$2:$F$5001,2,Prensa!$G$2:$G$5001,1),""))</f>
        <v>0</v>
      </c>
      <c r="F6" s="27">
        <f>IF(A6="","",IFERROR(AVERAGEIFS(Prensa!$B$2:$B$5001,Prensa!$E$2:$E$5001,N6,Prensa!$F$2:$F$5001,3,Prensa!$G$2:$G$5001,1),""))</f>
        <v>0</v>
      </c>
      <c r="G6" s="27">
        <f>IF(A6="","",IFERROR(AVERAGEIFS(Prensa!$B$2:$B$5001,Prensa!$E$2:$E$5001,N6,Prensa!$F$2:$F$5001,4,Prensa!$G$2:$G$5001,1),""))</f>
        <v>0</v>
      </c>
      <c r="H6" s="26">
        <f>IF(A6="","",COUNT(D6:G6))</f>
        <v>0</v>
      </c>
      <c r="I6" s="27">
        <f>IF(A6="","",IF(H6=0,"",AVERAGE(D6:G6)))</f>
        <v>0</v>
      </c>
      <c r="J6" s="27">
        <f>IF(OR(I6="",C6=""),"",I6-C6)</f>
        <v>0</v>
      </c>
      <c r="K6" s="26">
        <f>IF(A6="","",IF(MES!E6&lt;&gt;4,"Horário do MES fora do padrão",IF(H6&lt;cfgMinCortes,"Cortes insuficientes","Válida")))</f>
        <v>0</v>
      </c>
      <c r="L6" s="27">
        <f>IF(K6="Válida",ABS(J6),"")</f>
        <v>0</v>
      </c>
      <c r="M6" s="26">
        <f>IF(K6="Válida",IF(L6&lt;=cfgTolerancia,"Sim","Não"),"")</f>
        <v>0</v>
      </c>
      <c r="N6" s="26">
        <f>IF(A6="","",MES!D6)</f>
        <v>0</v>
      </c>
      <c r="O6" s="25">
        <f>IF(K6="Válida",A6,NA())</f>
        <v>0</v>
      </c>
      <c r="P6" s="27">
        <f>IF(K6="Válida",C6,NA())</f>
        <v>0</v>
      </c>
      <c r="Q6" s="27">
        <f>IF(K6="Válida",I6,NA())</f>
        <v>0</v>
      </c>
      <c r="R6" s="27">
        <f>IF(K6="Válida",J6,NA())</f>
        <v>0</v>
      </c>
      <c r="S6" s="27">
        <f>IF(K6="Válida",C6,"")</f>
        <v>0</v>
      </c>
      <c r="T6" s="27">
        <f>IF(K6="Válida",I6,"")</f>
        <v>0</v>
      </c>
      <c r="U6" s="27">
        <f>IF(K6="Válida",J6,"")</f>
        <v>0</v>
      </c>
    </row>
    <row r="7" spans="1:21">
      <c r="A7" s="25">
        <f>IF(MES!A7="","",MES!C7/48)</f>
        <v>0</v>
      </c>
      <c r="B7" s="26">
        <f>IF(A7="","",TEXT((N7*4+cfgDeslocamento)/48,"hh:mm")&amp;" a "&amp;TEXT(A7,"hh:mm"))</f>
        <v>0</v>
      </c>
      <c r="C7" s="27">
        <f>IF(A7="","",MES!B7)</f>
        <v>0</v>
      </c>
      <c r="D7" s="27">
        <f>IF(A7="","",IFERROR(AVERAGEIFS(Prensa!$B$2:$B$5001,Prensa!$E$2:$E$5001,N7,Prensa!$F$2:$F$5001,1,Prensa!$G$2:$G$5001,1),""))</f>
        <v>0</v>
      </c>
      <c r="E7" s="27">
        <f>IF(A7="","",IFERROR(AVERAGEIFS(Prensa!$B$2:$B$5001,Prensa!$E$2:$E$5001,N7,Prensa!$F$2:$F$5001,2,Prensa!$G$2:$G$5001,1),""))</f>
        <v>0</v>
      </c>
      <c r="F7" s="27">
        <f>IF(A7="","",IFERROR(AVERAGEIFS(Prensa!$B$2:$B$5001,Prensa!$E$2:$E$5001,N7,Prensa!$F$2:$F$5001,3,Prensa!$G$2:$G$5001,1),""))</f>
        <v>0</v>
      </c>
      <c r="G7" s="27">
        <f>IF(A7="","",IFERROR(AVERAGEIFS(Prensa!$B$2:$B$5001,Prensa!$E$2:$E$5001,N7,Prensa!$F$2:$F$5001,4,Prensa!$G$2:$G$5001,1),""))</f>
        <v>0</v>
      </c>
      <c r="H7" s="26">
        <f>IF(A7="","",COUNT(D7:G7))</f>
        <v>0</v>
      </c>
      <c r="I7" s="27">
        <f>IF(A7="","",IF(H7=0,"",AVERAGE(D7:G7)))</f>
        <v>0</v>
      </c>
      <c r="J7" s="27">
        <f>IF(OR(I7="",C7=""),"",I7-C7)</f>
        <v>0</v>
      </c>
      <c r="K7" s="26">
        <f>IF(A7="","",IF(MES!E7&lt;&gt;4,"Horário do MES fora do padrão",IF(H7&lt;cfgMinCortes,"Cortes insuficientes","Válida")))</f>
        <v>0</v>
      </c>
      <c r="L7" s="27">
        <f>IF(K7="Válida",ABS(J7),"")</f>
        <v>0</v>
      </c>
      <c r="M7" s="26">
        <f>IF(K7="Válida",IF(L7&lt;=cfgTolerancia,"Sim","Não"),"")</f>
        <v>0</v>
      </c>
      <c r="N7" s="26">
        <f>IF(A7="","",MES!D7)</f>
        <v>0</v>
      </c>
      <c r="O7" s="25">
        <f>IF(K7="Válida",A7,NA())</f>
        <v>0</v>
      </c>
      <c r="P7" s="27">
        <f>IF(K7="Válida",C7,NA())</f>
        <v>0</v>
      </c>
      <c r="Q7" s="27">
        <f>IF(K7="Válida",I7,NA())</f>
        <v>0</v>
      </c>
      <c r="R7" s="27">
        <f>IF(K7="Válida",J7,NA())</f>
        <v>0</v>
      </c>
      <c r="S7" s="27">
        <f>IF(K7="Válida",C7,"")</f>
        <v>0</v>
      </c>
      <c r="T7" s="27">
        <f>IF(K7="Válida",I7,"")</f>
        <v>0</v>
      </c>
      <c r="U7" s="27">
        <f>IF(K7="Válida",J7,"")</f>
        <v>0</v>
      </c>
    </row>
    <row r="8" spans="1:21">
      <c r="A8" s="25">
        <f>IF(MES!A8="","",MES!C8/48)</f>
        <v>0</v>
      </c>
      <c r="B8" s="26">
        <f>IF(A8="","",TEXT((N8*4+cfgDeslocamento)/48,"hh:mm")&amp;" a "&amp;TEXT(A8,"hh:mm"))</f>
        <v>0</v>
      </c>
      <c r="C8" s="27">
        <f>IF(A8="","",MES!B8)</f>
        <v>0</v>
      </c>
      <c r="D8" s="27">
        <f>IF(A8="","",IFERROR(AVERAGEIFS(Prensa!$B$2:$B$5001,Prensa!$E$2:$E$5001,N8,Prensa!$F$2:$F$5001,1,Prensa!$G$2:$G$5001,1),""))</f>
        <v>0</v>
      </c>
      <c r="E8" s="27">
        <f>IF(A8="","",IFERROR(AVERAGEIFS(Prensa!$B$2:$B$5001,Prensa!$E$2:$E$5001,N8,Prensa!$F$2:$F$5001,2,Prensa!$G$2:$G$5001,1),""))</f>
        <v>0</v>
      </c>
      <c r="F8" s="27">
        <f>IF(A8="","",IFERROR(AVERAGEIFS(Prensa!$B$2:$B$5001,Prensa!$E$2:$E$5001,N8,Prensa!$F$2:$F$5001,3,Prensa!$G$2:$G$5001,1),""))</f>
        <v>0</v>
      </c>
      <c r="G8" s="27">
        <f>IF(A8="","",IFERROR(AVERAGEIFS(Prensa!$B$2:$B$5001,Prensa!$E$2:$E$5001,N8,Prensa!$F$2:$F$5001,4,Prensa!$G$2:$G$5001,1),""))</f>
        <v>0</v>
      </c>
      <c r="H8" s="26">
        <f>IF(A8="","",COUNT(D8:G8))</f>
        <v>0</v>
      </c>
      <c r="I8" s="27">
        <f>IF(A8="","",IF(H8=0,"",AVERAGE(D8:G8)))</f>
        <v>0</v>
      </c>
      <c r="J8" s="27">
        <f>IF(OR(I8="",C8=""),"",I8-C8)</f>
        <v>0</v>
      </c>
      <c r="K8" s="26">
        <f>IF(A8="","",IF(MES!E8&lt;&gt;4,"Horário do MES fora do padrão",IF(H8&lt;cfgMinCortes,"Cortes insuficientes","Válida")))</f>
        <v>0</v>
      </c>
      <c r="L8" s="27">
        <f>IF(K8="Válida",ABS(J8),"")</f>
        <v>0</v>
      </c>
      <c r="M8" s="26">
        <f>IF(K8="Válida",IF(L8&lt;=cfgTolerancia,"Sim","Não"),"")</f>
        <v>0</v>
      </c>
      <c r="N8" s="26">
        <f>IF(A8="","",MES!D8)</f>
        <v>0</v>
      </c>
      <c r="O8" s="25">
        <f>IF(K8="Válida",A8,NA())</f>
        <v>0</v>
      </c>
      <c r="P8" s="27">
        <f>IF(K8="Válida",C8,NA())</f>
        <v>0</v>
      </c>
      <c r="Q8" s="27">
        <f>IF(K8="Válida",I8,NA())</f>
        <v>0</v>
      </c>
      <c r="R8" s="27">
        <f>IF(K8="Válida",J8,NA())</f>
        <v>0</v>
      </c>
      <c r="S8" s="27">
        <f>IF(K8="Válida",C8,"")</f>
        <v>0</v>
      </c>
      <c r="T8" s="27">
        <f>IF(K8="Válida",I8,"")</f>
        <v>0</v>
      </c>
      <c r="U8" s="27">
        <f>IF(K8="Válida",J8,"")</f>
        <v>0</v>
      </c>
    </row>
    <row r="9" spans="1:21">
      <c r="A9" s="25">
        <f>IF(MES!A9="","",MES!C9/48)</f>
        <v>0</v>
      </c>
      <c r="B9" s="26">
        <f>IF(A9="","",TEXT((N9*4+cfgDeslocamento)/48,"hh:mm")&amp;" a "&amp;TEXT(A9,"hh:mm"))</f>
        <v>0</v>
      </c>
      <c r="C9" s="27">
        <f>IF(A9="","",MES!B9)</f>
        <v>0</v>
      </c>
      <c r="D9" s="27">
        <f>IF(A9="","",IFERROR(AVERAGEIFS(Prensa!$B$2:$B$5001,Prensa!$E$2:$E$5001,N9,Prensa!$F$2:$F$5001,1,Prensa!$G$2:$G$5001,1),""))</f>
        <v>0</v>
      </c>
      <c r="E9" s="27">
        <f>IF(A9="","",IFERROR(AVERAGEIFS(Prensa!$B$2:$B$5001,Prensa!$E$2:$E$5001,N9,Prensa!$F$2:$F$5001,2,Prensa!$G$2:$G$5001,1),""))</f>
        <v>0</v>
      </c>
      <c r="F9" s="27">
        <f>IF(A9="","",IFERROR(AVERAGEIFS(Prensa!$B$2:$B$5001,Prensa!$E$2:$E$5001,N9,Prensa!$F$2:$F$5001,3,Prensa!$G$2:$G$5001,1),""))</f>
        <v>0</v>
      </c>
      <c r="G9" s="27">
        <f>IF(A9="","",IFERROR(AVERAGEIFS(Prensa!$B$2:$B$5001,Prensa!$E$2:$E$5001,N9,Prensa!$F$2:$F$5001,4,Prensa!$G$2:$G$5001,1),""))</f>
        <v>0</v>
      </c>
      <c r="H9" s="26">
        <f>IF(A9="","",COUNT(D9:G9))</f>
        <v>0</v>
      </c>
      <c r="I9" s="27">
        <f>IF(A9="","",IF(H9=0,"",AVERAGE(D9:G9)))</f>
        <v>0</v>
      </c>
      <c r="J9" s="27">
        <f>IF(OR(I9="",C9=""),"",I9-C9)</f>
        <v>0</v>
      </c>
      <c r="K9" s="26">
        <f>IF(A9="","",IF(MES!E9&lt;&gt;4,"Horário do MES fora do padrão",IF(H9&lt;cfgMinCortes,"Cortes insuficientes","Válida")))</f>
        <v>0</v>
      </c>
      <c r="L9" s="27">
        <f>IF(K9="Válida",ABS(J9),"")</f>
        <v>0</v>
      </c>
      <c r="M9" s="26">
        <f>IF(K9="Válida",IF(L9&lt;=cfgTolerancia,"Sim","Não"),"")</f>
        <v>0</v>
      </c>
      <c r="N9" s="26">
        <f>IF(A9="","",MES!D9)</f>
        <v>0</v>
      </c>
      <c r="O9" s="25">
        <f>IF(K9="Válida",A9,NA())</f>
        <v>0</v>
      </c>
      <c r="P9" s="27">
        <f>IF(K9="Válida",C9,NA())</f>
        <v>0</v>
      </c>
      <c r="Q9" s="27">
        <f>IF(K9="Válida",I9,NA())</f>
        <v>0</v>
      </c>
      <c r="R9" s="27">
        <f>IF(K9="Válida",J9,NA())</f>
        <v>0</v>
      </c>
      <c r="S9" s="27">
        <f>IF(K9="Válida",C9,"")</f>
        <v>0</v>
      </c>
      <c r="T9" s="27">
        <f>IF(K9="Válida",I9,"")</f>
        <v>0</v>
      </c>
      <c r="U9" s="27">
        <f>IF(K9="Válida",J9,"")</f>
        <v>0</v>
      </c>
    </row>
    <row r="10" spans="1:21">
      <c r="A10" s="25">
        <f>IF(MES!A10="","",MES!C10/48)</f>
        <v>0</v>
      </c>
      <c r="B10" s="26">
        <f>IF(A10="","",TEXT((N10*4+cfgDeslocamento)/48,"hh:mm")&amp;" a "&amp;TEXT(A10,"hh:mm"))</f>
        <v>0</v>
      </c>
      <c r="C10" s="27">
        <f>IF(A10="","",MES!B10)</f>
        <v>0</v>
      </c>
      <c r="D10" s="27">
        <f>IF(A10="","",IFERROR(AVERAGEIFS(Prensa!$B$2:$B$5001,Prensa!$E$2:$E$5001,N10,Prensa!$F$2:$F$5001,1,Prensa!$G$2:$G$5001,1),""))</f>
        <v>0</v>
      </c>
      <c r="E10" s="27">
        <f>IF(A10="","",IFERROR(AVERAGEIFS(Prensa!$B$2:$B$5001,Prensa!$E$2:$E$5001,N10,Prensa!$F$2:$F$5001,2,Prensa!$G$2:$G$5001,1),""))</f>
        <v>0</v>
      </c>
      <c r="F10" s="27">
        <f>IF(A10="","",IFERROR(AVERAGEIFS(Prensa!$B$2:$B$5001,Prensa!$E$2:$E$5001,N10,Prensa!$F$2:$F$5001,3,Prensa!$G$2:$G$5001,1),""))</f>
        <v>0</v>
      </c>
      <c r="G10" s="27">
        <f>IF(A10="","",IFERROR(AVERAGEIFS(Prensa!$B$2:$B$5001,Prensa!$E$2:$E$5001,N10,Prensa!$F$2:$F$5001,4,Prensa!$G$2:$G$5001,1),""))</f>
        <v>0</v>
      </c>
      <c r="H10" s="26">
        <f>IF(A10="","",COUNT(D10:G10))</f>
        <v>0</v>
      </c>
      <c r="I10" s="27">
        <f>IF(A10="","",IF(H10=0,"",AVERAGE(D10:G10)))</f>
        <v>0</v>
      </c>
      <c r="J10" s="27">
        <f>IF(OR(I10="",C10=""),"",I10-C10)</f>
        <v>0</v>
      </c>
      <c r="K10" s="26">
        <f>IF(A10="","",IF(MES!E10&lt;&gt;4,"Horário do MES fora do padrão",IF(H10&lt;cfgMinCortes,"Cortes insuficientes","Válida")))</f>
        <v>0</v>
      </c>
      <c r="L10" s="27">
        <f>IF(K10="Válida",ABS(J10),"")</f>
        <v>0</v>
      </c>
      <c r="M10" s="26">
        <f>IF(K10="Válida",IF(L10&lt;=cfgTolerancia,"Sim","Não"),"")</f>
        <v>0</v>
      </c>
      <c r="N10" s="26">
        <f>IF(A10="","",MES!D10)</f>
        <v>0</v>
      </c>
      <c r="O10" s="25">
        <f>IF(K10="Válida",A10,NA())</f>
        <v>0</v>
      </c>
      <c r="P10" s="27">
        <f>IF(K10="Válida",C10,NA())</f>
        <v>0</v>
      </c>
      <c r="Q10" s="27">
        <f>IF(K10="Válida",I10,NA())</f>
        <v>0</v>
      </c>
      <c r="R10" s="27">
        <f>IF(K10="Válida",J10,NA())</f>
        <v>0</v>
      </c>
      <c r="S10" s="27">
        <f>IF(K10="Válida",C10,"")</f>
        <v>0</v>
      </c>
      <c r="T10" s="27">
        <f>IF(K10="Válida",I10,"")</f>
        <v>0</v>
      </c>
      <c r="U10" s="27">
        <f>IF(K10="Válida",J10,"")</f>
        <v>0</v>
      </c>
    </row>
    <row r="11" spans="1:21">
      <c r="A11" s="25">
        <f>IF(MES!A11="","",MES!C11/48)</f>
        <v>0</v>
      </c>
      <c r="B11" s="26">
        <f>IF(A11="","",TEXT((N11*4+cfgDeslocamento)/48,"hh:mm")&amp;" a "&amp;TEXT(A11,"hh:mm"))</f>
        <v>0</v>
      </c>
      <c r="C11" s="27">
        <f>IF(A11="","",MES!B11)</f>
        <v>0</v>
      </c>
      <c r="D11" s="27">
        <f>IF(A11="","",IFERROR(AVERAGEIFS(Prensa!$B$2:$B$5001,Prensa!$E$2:$E$5001,N11,Prensa!$F$2:$F$5001,1,Prensa!$G$2:$G$5001,1),""))</f>
        <v>0</v>
      </c>
      <c r="E11" s="27">
        <f>IF(A11="","",IFERROR(AVERAGEIFS(Prensa!$B$2:$B$5001,Prensa!$E$2:$E$5001,N11,Prensa!$F$2:$F$5001,2,Prensa!$G$2:$G$5001,1),""))</f>
        <v>0</v>
      </c>
      <c r="F11" s="27">
        <f>IF(A11="","",IFERROR(AVERAGEIFS(Prensa!$B$2:$B$5001,Prensa!$E$2:$E$5001,N11,Prensa!$F$2:$F$5001,3,Prensa!$G$2:$G$5001,1),""))</f>
        <v>0</v>
      </c>
      <c r="G11" s="27">
        <f>IF(A11="","",IFERROR(AVERAGEIFS(Prensa!$B$2:$B$5001,Prensa!$E$2:$E$5001,N11,Prensa!$F$2:$F$5001,4,Prensa!$G$2:$G$5001,1),""))</f>
        <v>0</v>
      </c>
      <c r="H11" s="26">
        <f>IF(A11="","",COUNT(D11:G11))</f>
        <v>0</v>
      </c>
      <c r="I11" s="27">
        <f>IF(A11="","",IF(H11=0,"",AVERAGE(D11:G11)))</f>
        <v>0</v>
      </c>
      <c r="J11" s="27">
        <f>IF(OR(I11="",C11=""),"",I11-C11)</f>
        <v>0</v>
      </c>
      <c r="K11" s="26">
        <f>IF(A11="","",IF(MES!E11&lt;&gt;4,"Horário do MES fora do padrão",IF(H11&lt;cfgMinCortes,"Cortes insuficientes","Válida")))</f>
        <v>0</v>
      </c>
      <c r="L11" s="27">
        <f>IF(K11="Válida",ABS(J11),"")</f>
        <v>0</v>
      </c>
      <c r="M11" s="26">
        <f>IF(K11="Válida",IF(L11&lt;=cfgTolerancia,"Sim","Não"),"")</f>
        <v>0</v>
      </c>
      <c r="N11" s="26">
        <f>IF(A11="","",MES!D11)</f>
        <v>0</v>
      </c>
      <c r="O11" s="25">
        <f>IF(K11="Válida",A11,NA())</f>
        <v>0</v>
      </c>
      <c r="P11" s="27">
        <f>IF(K11="Válida",C11,NA())</f>
        <v>0</v>
      </c>
      <c r="Q11" s="27">
        <f>IF(K11="Válida",I11,NA())</f>
        <v>0</v>
      </c>
      <c r="R11" s="27">
        <f>IF(K11="Válida",J11,NA())</f>
        <v>0</v>
      </c>
      <c r="S11" s="27">
        <f>IF(K11="Válida",C11,"")</f>
        <v>0</v>
      </c>
      <c r="T11" s="27">
        <f>IF(K11="Válida",I11,"")</f>
        <v>0</v>
      </c>
      <c r="U11" s="27">
        <f>IF(K11="Válida",J11,"")</f>
        <v>0</v>
      </c>
    </row>
    <row r="12" spans="1:21">
      <c r="A12" s="25">
        <f>IF(MES!A12="","",MES!C12/48)</f>
        <v>0</v>
      </c>
      <c r="B12" s="26">
        <f>IF(A12="","",TEXT((N12*4+cfgDeslocamento)/48,"hh:mm")&amp;" a "&amp;TEXT(A12,"hh:mm"))</f>
        <v>0</v>
      </c>
      <c r="C12" s="27">
        <f>IF(A12="","",MES!B12)</f>
        <v>0</v>
      </c>
      <c r="D12" s="27">
        <f>IF(A12="","",IFERROR(AVERAGEIFS(Prensa!$B$2:$B$5001,Prensa!$E$2:$E$5001,N12,Prensa!$F$2:$F$5001,1,Prensa!$G$2:$G$5001,1),""))</f>
        <v>0</v>
      </c>
      <c r="E12" s="27">
        <f>IF(A12="","",IFERROR(AVERAGEIFS(Prensa!$B$2:$B$5001,Prensa!$E$2:$E$5001,N12,Prensa!$F$2:$F$5001,2,Prensa!$G$2:$G$5001,1),""))</f>
        <v>0</v>
      </c>
      <c r="F12" s="27">
        <f>IF(A12="","",IFERROR(AVERAGEIFS(Prensa!$B$2:$B$5001,Prensa!$E$2:$E$5001,N12,Prensa!$F$2:$F$5001,3,Prensa!$G$2:$G$5001,1),""))</f>
        <v>0</v>
      </c>
      <c r="G12" s="27">
        <f>IF(A12="","",IFERROR(AVERAGEIFS(Prensa!$B$2:$B$5001,Prensa!$E$2:$E$5001,N12,Prensa!$F$2:$F$5001,4,Prensa!$G$2:$G$5001,1),""))</f>
        <v>0</v>
      </c>
      <c r="H12" s="26">
        <f>IF(A12="","",COUNT(D12:G12))</f>
        <v>0</v>
      </c>
      <c r="I12" s="27">
        <f>IF(A12="","",IF(H12=0,"",AVERAGE(D12:G12)))</f>
        <v>0</v>
      </c>
      <c r="J12" s="27">
        <f>IF(OR(I12="",C12=""),"",I12-C12)</f>
        <v>0</v>
      </c>
      <c r="K12" s="26">
        <f>IF(A12="","",IF(MES!E12&lt;&gt;4,"Horário do MES fora do padrão",IF(H12&lt;cfgMinCortes,"Cortes insuficientes","Válida")))</f>
        <v>0</v>
      </c>
      <c r="L12" s="27">
        <f>IF(K12="Válida",ABS(J12),"")</f>
        <v>0</v>
      </c>
      <c r="M12" s="26">
        <f>IF(K12="Válida",IF(L12&lt;=cfgTolerancia,"Sim","Não"),"")</f>
        <v>0</v>
      </c>
      <c r="N12" s="26">
        <f>IF(A12="","",MES!D12)</f>
        <v>0</v>
      </c>
      <c r="O12" s="25">
        <f>IF(K12="Válida",A12,NA())</f>
        <v>0</v>
      </c>
      <c r="P12" s="27">
        <f>IF(K12="Válida",C12,NA())</f>
        <v>0</v>
      </c>
      <c r="Q12" s="27">
        <f>IF(K12="Válida",I12,NA())</f>
        <v>0</v>
      </c>
      <c r="R12" s="27">
        <f>IF(K12="Válida",J12,NA())</f>
        <v>0</v>
      </c>
      <c r="S12" s="27">
        <f>IF(K12="Válida",C12,"")</f>
        <v>0</v>
      </c>
      <c r="T12" s="27">
        <f>IF(K12="Válida",I12,"")</f>
        <v>0</v>
      </c>
      <c r="U12" s="27">
        <f>IF(K12="Válida",J12,"")</f>
        <v>0</v>
      </c>
    </row>
    <row r="13" spans="1:21">
      <c r="A13" s="25">
        <f>IF(MES!A13="","",MES!C13/48)</f>
        <v>0</v>
      </c>
      <c r="B13" s="26">
        <f>IF(A13="","",TEXT((N13*4+cfgDeslocamento)/48,"hh:mm")&amp;" a "&amp;TEXT(A13,"hh:mm"))</f>
        <v>0</v>
      </c>
      <c r="C13" s="27">
        <f>IF(A13="","",MES!B13)</f>
        <v>0</v>
      </c>
      <c r="D13" s="27">
        <f>IF(A13="","",IFERROR(AVERAGEIFS(Prensa!$B$2:$B$5001,Prensa!$E$2:$E$5001,N13,Prensa!$F$2:$F$5001,1,Prensa!$G$2:$G$5001,1),""))</f>
        <v>0</v>
      </c>
      <c r="E13" s="27">
        <f>IF(A13="","",IFERROR(AVERAGEIFS(Prensa!$B$2:$B$5001,Prensa!$E$2:$E$5001,N13,Prensa!$F$2:$F$5001,2,Prensa!$G$2:$G$5001,1),""))</f>
        <v>0</v>
      </c>
      <c r="F13" s="27">
        <f>IF(A13="","",IFERROR(AVERAGEIFS(Prensa!$B$2:$B$5001,Prensa!$E$2:$E$5001,N13,Prensa!$F$2:$F$5001,3,Prensa!$G$2:$G$5001,1),""))</f>
        <v>0</v>
      </c>
      <c r="G13" s="27">
        <f>IF(A13="","",IFERROR(AVERAGEIFS(Prensa!$B$2:$B$5001,Prensa!$E$2:$E$5001,N13,Prensa!$F$2:$F$5001,4,Prensa!$G$2:$G$5001,1),""))</f>
        <v>0</v>
      </c>
      <c r="H13" s="26">
        <f>IF(A13="","",COUNT(D13:G13))</f>
        <v>0</v>
      </c>
      <c r="I13" s="27">
        <f>IF(A13="","",IF(H13=0,"",AVERAGE(D13:G13)))</f>
        <v>0</v>
      </c>
      <c r="J13" s="27">
        <f>IF(OR(I13="",C13=""),"",I13-C13)</f>
        <v>0</v>
      </c>
      <c r="K13" s="26">
        <f>IF(A13="","",IF(MES!E13&lt;&gt;4,"Horário do MES fora do padrão",IF(H13&lt;cfgMinCortes,"Cortes insuficientes","Válida")))</f>
        <v>0</v>
      </c>
      <c r="L13" s="27">
        <f>IF(K13="Válida",ABS(J13),"")</f>
        <v>0</v>
      </c>
      <c r="M13" s="26">
        <f>IF(K13="Válida",IF(L13&lt;=cfgTolerancia,"Sim","Não"),"")</f>
        <v>0</v>
      </c>
      <c r="N13" s="26">
        <f>IF(A13="","",MES!D13)</f>
        <v>0</v>
      </c>
      <c r="O13" s="25">
        <f>IF(K13="Válida",A13,NA())</f>
        <v>0</v>
      </c>
      <c r="P13" s="27">
        <f>IF(K13="Válida",C13,NA())</f>
        <v>0</v>
      </c>
      <c r="Q13" s="27">
        <f>IF(K13="Válida",I13,NA())</f>
        <v>0</v>
      </c>
      <c r="R13" s="27">
        <f>IF(K13="Válida",J13,NA())</f>
        <v>0</v>
      </c>
      <c r="S13" s="27">
        <f>IF(K13="Válida",C13,"")</f>
        <v>0</v>
      </c>
      <c r="T13" s="27">
        <f>IF(K13="Válida",I13,"")</f>
        <v>0</v>
      </c>
      <c r="U13" s="27">
        <f>IF(K13="Válida",J13,"")</f>
        <v>0</v>
      </c>
    </row>
    <row r="14" spans="1:21">
      <c r="A14" s="25">
        <f>IF(MES!A14="","",MES!C14/48)</f>
        <v>0</v>
      </c>
      <c r="B14" s="26">
        <f>IF(A14="","",TEXT((N14*4+cfgDeslocamento)/48,"hh:mm")&amp;" a "&amp;TEXT(A14,"hh:mm"))</f>
        <v>0</v>
      </c>
      <c r="C14" s="27">
        <f>IF(A14="","",MES!B14)</f>
        <v>0</v>
      </c>
      <c r="D14" s="27">
        <f>IF(A14="","",IFERROR(AVERAGEIFS(Prensa!$B$2:$B$5001,Prensa!$E$2:$E$5001,N14,Prensa!$F$2:$F$5001,1,Prensa!$G$2:$G$5001,1),""))</f>
        <v>0</v>
      </c>
      <c r="E14" s="27">
        <f>IF(A14="","",IFERROR(AVERAGEIFS(Prensa!$B$2:$B$5001,Prensa!$E$2:$E$5001,N14,Prensa!$F$2:$F$5001,2,Prensa!$G$2:$G$5001,1),""))</f>
        <v>0</v>
      </c>
      <c r="F14" s="27">
        <f>IF(A14="","",IFERROR(AVERAGEIFS(Prensa!$B$2:$B$5001,Prensa!$E$2:$E$5001,N14,Prensa!$F$2:$F$5001,3,Prensa!$G$2:$G$5001,1),""))</f>
        <v>0</v>
      </c>
      <c r="G14" s="27">
        <f>IF(A14="","",IFERROR(AVERAGEIFS(Prensa!$B$2:$B$5001,Prensa!$E$2:$E$5001,N14,Prensa!$F$2:$F$5001,4,Prensa!$G$2:$G$5001,1),""))</f>
        <v>0</v>
      </c>
      <c r="H14" s="26">
        <f>IF(A14="","",COUNT(D14:G14))</f>
        <v>0</v>
      </c>
      <c r="I14" s="27">
        <f>IF(A14="","",IF(H14=0,"",AVERAGE(D14:G14)))</f>
        <v>0</v>
      </c>
      <c r="J14" s="27">
        <f>IF(OR(I14="",C14=""),"",I14-C14)</f>
        <v>0</v>
      </c>
      <c r="K14" s="26">
        <f>IF(A14="","",IF(MES!E14&lt;&gt;4,"Horário do MES fora do padrão",IF(H14&lt;cfgMinCortes,"Cortes insuficientes","Válida")))</f>
        <v>0</v>
      </c>
      <c r="L14" s="27">
        <f>IF(K14="Válida",ABS(J14),"")</f>
        <v>0</v>
      </c>
      <c r="M14" s="26">
        <f>IF(K14="Válida",IF(L14&lt;=cfgTolerancia,"Sim","Não"),"")</f>
        <v>0</v>
      </c>
      <c r="N14" s="26">
        <f>IF(A14="","",MES!D14)</f>
        <v>0</v>
      </c>
      <c r="O14" s="25">
        <f>IF(K14="Válida",A14,NA())</f>
        <v>0</v>
      </c>
      <c r="P14" s="27">
        <f>IF(K14="Válida",C14,NA())</f>
        <v>0</v>
      </c>
      <c r="Q14" s="27">
        <f>IF(K14="Válida",I14,NA())</f>
        <v>0</v>
      </c>
      <c r="R14" s="27">
        <f>IF(K14="Válida",J14,NA())</f>
        <v>0</v>
      </c>
      <c r="S14" s="27">
        <f>IF(K14="Válida",C14,"")</f>
        <v>0</v>
      </c>
      <c r="T14" s="27">
        <f>IF(K14="Válida",I14,"")</f>
        <v>0</v>
      </c>
      <c r="U14" s="27">
        <f>IF(K14="Válida",J14,"")</f>
        <v>0</v>
      </c>
    </row>
    <row r="15" spans="1:21">
      <c r="A15" s="25">
        <f>IF(MES!A15="","",MES!C15/48)</f>
        <v>0</v>
      </c>
      <c r="B15" s="26">
        <f>IF(A15="","",TEXT((N15*4+cfgDeslocamento)/48,"hh:mm")&amp;" a "&amp;TEXT(A15,"hh:mm"))</f>
        <v>0</v>
      </c>
      <c r="C15" s="27">
        <f>IF(A15="","",MES!B15)</f>
        <v>0</v>
      </c>
      <c r="D15" s="27">
        <f>IF(A15="","",IFERROR(AVERAGEIFS(Prensa!$B$2:$B$5001,Prensa!$E$2:$E$5001,N15,Prensa!$F$2:$F$5001,1,Prensa!$G$2:$G$5001,1),""))</f>
        <v>0</v>
      </c>
      <c r="E15" s="27">
        <f>IF(A15="","",IFERROR(AVERAGEIFS(Prensa!$B$2:$B$5001,Prensa!$E$2:$E$5001,N15,Prensa!$F$2:$F$5001,2,Prensa!$G$2:$G$5001,1),""))</f>
        <v>0</v>
      </c>
      <c r="F15" s="27">
        <f>IF(A15="","",IFERROR(AVERAGEIFS(Prensa!$B$2:$B$5001,Prensa!$E$2:$E$5001,N15,Prensa!$F$2:$F$5001,3,Prensa!$G$2:$G$5001,1),""))</f>
        <v>0</v>
      </c>
      <c r="G15" s="27">
        <f>IF(A15="","",IFERROR(AVERAGEIFS(Prensa!$B$2:$B$5001,Prensa!$E$2:$E$5001,N15,Prensa!$F$2:$F$5001,4,Prensa!$G$2:$G$5001,1),""))</f>
        <v>0</v>
      </c>
      <c r="H15" s="26">
        <f>IF(A15="","",COUNT(D15:G15))</f>
        <v>0</v>
      </c>
      <c r="I15" s="27">
        <f>IF(A15="","",IF(H15=0,"",AVERAGE(D15:G15)))</f>
        <v>0</v>
      </c>
      <c r="J15" s="27">
        <f>IF(OR(I15="",C15=""),"",I15-C15)</f>
        <v>0</v>
      </c>
      <c r="K15" s="26">
        <f>IF(A15="","",IF(MES!E15&lt;&gt;4,"Horário do MES fora do padrão",IF(H15&lt;cfgMinCortes,"Cortes insuficientes","Válida")))</f>
        <v>0</v>
      </c>
      <c r="L15" s="27">
        <f>IF(K15="Válida",ABS(J15),"")</f>
        <v>0</v>
      </c>
      <c r="M15" s="26">
        <f>IF(K15="Válida",IF(L15&lt;=cfgTolerancia,"Sim","Não"),"")</f>
        <v>0</v>
      </c>
      <c r="N15" s="26">
        <f>IF(A15="","",MES!D15)</f>
        <v>0</v>
      </c>
      <c r="O15" s="25">
        <f>IF(K15="Válida",A15,NA())</f>
        <v>0</v>
      </c>
      <c r="P15" s="27">
        <f>IF(K15="Válida",C15,NA())</f>
        <v>0</v>
      </c>
      <c r="Q15" s="27">
        <f>IF(K15="Válida",I15,NA())</f>
        <v>0</v>
      </c>
      <c r="R15" s="27">
        <f>IF(K15="Válida",J15,NA())</f>
        <v>0</v>
      </c>
      <c r="S15" s="27">
        <f>IF(K15="Válida",C15,"")</f>
        <v>0</v>
      </c>
      <c r="T15" s="27">
        <f>IF(K15="Válida",I15,"")</f>
        <v>0</v>
      </c>
      <c r="U15" s="27">
        <f>IF(K15="Válida",J15,"")</f>
        <v>0</v>
      </c>
    </row>
    <row r="16" spans="1:21">
      <c r="A16" s="25">
        <f>IF(MES!A16="","",MES!C16/48)</f>
        <v>0</v>
      </c>
      <c r="B16" s="26">
        <f>IF(A16="","",TEXT((N16*4+cfgDeslocamento)/48,"hh:mm")&amp;" a "&amp;TEXT(A16,"hh:mm"))</f>
        <v>0</v>
      </c>
      <c r="C16" s="27">
        <f>IF(A16="","",MES!B16)</f>
        <v>0</v>
      </c>
      <c r="D16" s="27">
        <f>IF(A16="","",IFERROR(AVERAGEIFS(Prensa!$B$2:$B$5001,Prensa!$E$2:$E$5001,N16,Prensa!$F$2:$F$5001,1,Prensa!$G$2:$G$5001,1),""))</f>
        <v>0</v>
      </c>
      <c r="E16" s="27">
        <f>IF(A16="","",IFERROR(AVERAGEIFS(Prensa!$B$2:$B$5001,Prensa!$E$2:$E$5001,N16,Prensa!$F$2:$F$5001,2,Prensa!$G$2:$G$5001,1),""))</f>
        <v>0</v>
      </c>
      <c r="F16" s="27">
        <f>IF(A16="","",IFERROR(AVERAGEIFS(Prensa!$B$2:$B$5001,Prensa!$E$2:$E$5001,N16,Prensa!$F$2:$F$5001,3,Prensa!$G$2:$G$5001,1),""))</f>
        <v>0</v>
      </c>
      <c r="G16" s="27">
        <f>IF(A16="","",IFERROR(AVERAGEIFS(Prensa!$B$2:$B$5001,Prensa!$E$2:$E$5001,N16,Prensa!$F$2:$F$5001,4,Prensa!$G$2:$G$5001,1),""))</f>
        <v>0</v>
      </c>
      <c r="H16" s="26">
        <f>IF(A16="","",COUNT(D16:G16))</f>
        <v>0</v>
      </c>
      <c r="I16" s="27">
        <f>IF(A16="","",IF(H16=0,"",AVERAGE(D16:G16)))</f>
        <v>0</v>
      </c>
      <c r="J16" s="27">
        <f>IF(OR(I16="",C16=""),"",I16-C16)</f>
        <v>0</v>
      </c>
      <c r="K16" s="26">
        <f>IF(A16="","",IF(MES!E16&lt;&gt;4,"Horário do MES fora do padrão",IF(H16&lt;cfgMinCortes,"Cortes insuficientes","Válida")))</f>
        <v>0</v>
      </c>
      <c r="L16" s="27">
        <f>IF(K16="Válida",ABS(J16),"")</f>
        <v>0</v>
      </c>
      <c r="M16" s="26">
        <f>IF(K16="Válida",IF(L16&lt;=cfgTolerancia,"Sim","Não"),"")</f>
        <v>0</v>
      </c>
      <c r="N16" s="26">
        <f>IF(A16="","",MES!D16)</f>
        <v>0</v>
      </c>
      <c r="O16" s="25">
        <f>IF(K16="Válida",A16,NA())</f>
        <v>0</v>
      </c>
      <c r="P16" s="27">
        <f>IF(K16="Válida",C16,NA())</f>
        <v>0</v>
      </c>
      <c r="Q16" s="27">
        <f>IF(K16="Válida",I16,NA())</f>
        <v>0</v>
      </c>
      <c r="R16" s="27">
        <f>IF(K16="Válida",J16,NA())</f>
        <v>0</v>
      </c>
      <c r="S16" s="27">
        <f>IF(K16="Válida",C16,"")</f>
        <v>0</v>
      </c>
      <c r="T16" s="27">
        <f>IF(K16="Válida",I16,"")</f>
        <v>0</v>
      </c>
      <c r="U16" s="27">
        <f>IF(K16="Válida",J16,"")</f>
        <v>0</v>
      </c>
    </row>
    <row r="17" spans="1:21">
      <c r="A17" s="25">
        <f>IF(MES!A17="","",MES!C17/48)</f>
        <v>0</v>
      </c>
      <c r="B17" s="26">
        <f>IF(A17="","",TEXT((N17*4+cfgDeslocamento)/48,"hh:mm")&amp;" a "&amp;TEXT(A17,"hh:mm"))</f>
        <v>0</v>
      </c>
      <c r="C17" s="27">
        <f>IF(A17="","",MES!B17)</f>
        <v>0</v>
      </c>
      <c r="D17" s="27">
        <f>IF(A17="","",IFERROR(AVERAGEIFS(Prensa!$B$2:$B$5001,Prensa!$E$2:$E$5001,N17,Prensa!$F$2:$F$5001,1,Prensa!$G$2:$G$5001,1),""))</f>
        <v>0</v>
      </c>
      <c r="E17" s="27">
        <f>IF(A17="","",IFERROR(AVERAGEIFS(Prensa!$B$2:$B$5001,Prensa!$E$2:$E$5001,N17,Prensa!$F$2:$F$5001,2,Prensa!$G$2:$G$5001,1),""))</f>
        <v>0</v>
      </c>
      <c r="F17" s="27">
        <f>IF(A17="","",IFERROR(AVERAGEIFS(Prensa!$B$2:$B$5001,Prensa!$E$2:$E$5001,N17,Prensa!$F$2:$F$5001,3,Prensa!$G$2:$G$5001,1),""))</f>
        <v>0</v>
      </c>
      <c r="G17" s="27">
        <f>IF(A17="","",IFERROR(AVERAGEIFS(Prensa!$B$2:$B$5001,Prensa!$E$2:$E$5001,N17,Prensa!$F$2:$F$5001,4,Prensa!$G$2:$G$5001,1),""))</f>
        <v>0</v>
      </c>
      <c r="H17" s="26">
        <f>IF(A17="","",COUNT(D17:G17))</f>
        <v>0</v>
      </c>
      <c r="I17" s="27">
        <f>IF(A17="","",IF(H17=0,"",AVERAGE(D17:G17)))</f>
        <v>0</v>
      </c>
      <c r="J17" s="27">
        <f>IF(OR(I17="",C17=""),"",I17-C17)</f>
        <v>0</v>
      </c>
      <c r="K17" s="26">
        <f>IF(A17="","",IF(MES!E17&lt;&gt;4,"Horário do MES fora do padrão",IF(H17&lt;cfgMinCortes,"Cortes insuficientes","Válida")))</f>
        <v>0</v>
      </c>
      <c r="L17" s="27">
        <f>IF(K17="Válida",ABS(J17),"")</f>
        <v>0</v>
      </c>
      <c r="M17" s="26">
        <f>IF(K17="Válida",IF(L17&lt;=cfgTolerancia,"Sim","Não"),"")</f>
        <v>0</v>
      </c>
      <c r="N17" s="26">
        <f>IF(A17="","",MES!D17)</f>
        <v>0</v>
      </c>
      <c r="O17" s="25">
        <f>IF(K17="Válida",A17,NA())</f>
        <v>0</v>
      </c>
      <c r="P17" s="27">
        <f>IF(K17="Válida",C17,NA())</f>
        <v>0</v>
      </c>
      <c r="Q17" s="27">
        <f>IF(K17="Válida",I17,NA())</f>
        <v>0</v>
      </c>
      <c r="R17" s="27">
        <f>IF(K17="Válida",J17,NA())</f>
        <v>0</v>
      </c>
      <c r="S17" s="27">
        <f>IF(K17="Válida",C17,"")</f>
        <v>0</v>
      </c>
      <c r="T17" s="27">
        <f>IF(K17="Válida",I17,"")</f>
        <v>0</v>
      </c>
      <c r="U17" s="27">
        <f>IF(K17="Válida",J17,"")</f>
        <v>0</v>
      </c>
    </row>
    <row r="18" spans="1:21">
      <c r="A18" s="25">
        <f>IF(MES!A18="","",MES!C18/48)</f>
        <v>0</v>
      </c>
      <c r="B18" s="26">
        <f>IF(A18="","",TEXT((N18*4+cfgDeslocamento)/48,"hh:mm")&amp;" a "&amp;TEXT(A18,"hh:mm"))</f>
        <v>0</v>
      </c>
      <c r="C18" s="27">
        <f>IF(A18="","",MES!B18)</f>
        <v>0</v>
      </c>
      <c r="D18" s="27">
        <f>IF(A18="","",IFERROR(AVERAGEIFS(Prensa!$B$2:$B$5001,Prensa!$E$2:$E$5001,N18,Prensa!$F$2:$F$5001,1,Prensa!$G$2:$G$5001,1),""))</f>
        <v>0</v>
      </c>
      <c r="E18" s="27">
        <f>IF(A18="","",IFERROR(AVERAGEIFS(Prensa!$B$2:$B$5001,Prensa!$E$2:$E$5001,N18,Prensa!$F$2:$F$5001,2,Prensa!$G$2:$G$5001,1),""))</f>
        <v>0</v>
      </c>
      <c r="F18" s="27">
        <f>IF(A18="","",IFERROR(AVERAGEIFS(Prensa!$B$2:$B$5001,Prensa!$E$2:$E$5001,N18,Prensa!$F$2:$F$5001,3,Prensa!$G$2:$G$5001,1),""))</f>
        <v>0</v>
      </c>
      <c r="G18" s="27">
        <f>IF(A18="","",IFERROR(AVERAGEIFS(Prensa!$B$2:$B$5001,Prensa!$E$2:$E$5001,N18,Prensa!$F$2:$F$5001,4,Prensa!$G$2:$G$5001,1),""))</f>
        <v>0</v>
      </c>
      <c r="H18" s="26">
        <f>IF(A18="","",COUNT(D18:G18))</f>
        <v>0</v>
      </c>
      <c r="I18" s="27">
        <f>IF(A18="","",IF(H18=0,"",AVERAGE(D18:G18)))</f>
        <v>0</v>
      </c>
      <c r="J18" s="27">
        <f>IF(OR(I18="",C18=""),"",I18-C18)</f>
        <v>0</v>
      </c>
      <c r="K18" s="26">
        <f>IF(A18="","",IF(MES!E18&lt;&gt;4,"Horário do MES fora do padrão",IF(H18&lt;cfgMinCortes,"Cortes insuficientes","Válida")))</f>
        <v>0</v>
      </c>
      <c r="L18" s="27">
        <f>IF(K18="Válida",ABS(J18),"")</f>
        <v>0</v>
      </c>
      <c r="M18" s="26">
        <f>IF(K18="Válida",IF(L18&lt;=cfgTolerancia,"Sim","Não"),"")</f>
        <v>0</v>
      </c>
      <c r="N18" s="26">
        <f>IF(A18="","",MES!D18)</f>
        <v>0</v>
      </c>
      <c r="O18" s="25">
        <f>IF(K18="Válida",A18,NA())</f>
        <v>0</v>
      </c>
      <c r="P18" s="27">
        <f>IF(K18="Válida",C18,NA())</f>
        <v>0</v>
      </c>
      <c r="Q18" s="27">
        <f>IF(K18="Válida",I18,NA())</f>
        <v>0</v>
      </c>
      <c r="R18" s="27">
        <f>IF(K18="Válida",J18,NA())</f>
        <v>0</v>
      </c>
      <c r="S18" s="27">
        <f>IF(K18="Válida",C18,"")</f>
        <v>0</v>
      </c>
      <c r="T18" s="27">
        <f>IF(K18="Válida",I18,"")</f>
        <v>0</v>
      </c>
      <c r="U18" s="27">
        <f>IF(K18="Válida",J18,"")</f>
        <v>0</v>
      </c>
    </row>
    <row r="19" spans="1:21">
      <c r="A19" s="25">
        <f>IF(MES!A19="","",MES!C19/48)</f>
        <v>0</v>
      </c>
      <c r="B19" s="26">
        <f>IF(A19="","",TEXT((N19*4+cfgDeslocamento)/48,"hh:mm")&amp;" a "&amp;TEXT(A19,"hh:mm"))</f>
        <v>0</v>
      </c>
      <c r="C19" s="27">
        <f>IF(A19="","",MES!B19)</f>
        <v>0</v>
      </c>
      <c r="D19" s="27">
        <f>IF(A19="","",IFERROR(AVERAGEIFS(Prensa!$B$2:$B$5001,Prensa!$E$2:$E$5001,N19,Prensa!$F$2:$F$5001,1,Prensa!$G$2:$G$5001,1),""))</f>
        <v>0</v>
      </c>
      <c r="E19" s="27">
        <f>IF(A19="","",IFERROR(AVERAGEIFS(Prensa!$B$2:$B$5001,Prensa!$E$2:$E$5001,N19,Prensa!$F$2:$F$5001,2,Prensa!$G$2:$G$5001,1),""))</f>
        <v>0</v>
      </c>
      <c r="F19" s="27">
        <f>IF(A19="","",IFERROR(AVERAGEIFS(Prensa!$B$2:$B$5001,Prensa!$E$2:$E$5001,N19,Prensa!$F$2:$F$5001,3,Prensa!$G$2:$G$5001,1),""))</f>
        <v>0</v>
      </c>
      <c r="G19" s="27">
        <f>IF(A19="","",IFERROR(AVERAGEIFS(Prensa!$B$2:$B$5001,Prensa!$E$2:$E$5001,N19,Prensa!$F$2:$F$5001,4,Prensa!$G$2:$G$5001,1),""))</f>
        <v>0</v>
      </c>
      <c r="H19" s="26">
        <f>IF(A19="","",COUNT(D19:G19))</f>
        <v>0</v>
      </c>
      <c r="I19" s="27">
        <f>IF(A19="","",IF(H19=0,"",AVERAGE(D19:G19)))</f>
        <v>0</v>
      </c>
      <c r="J19" s="27">
        <f>IF(OR(I19="",C19=""),"",I19-C19)</f>
        <v>0</v>
      </c>
      <c r="K19" s="26">
        <f>IF(A19="","",IF(MES!E19&lt;&gt;4,"Horário do MES fora do padrão",IF(H19&lt;cfgMinCortes,"Cortes insuficientes","Válida")))</f>
        <v>0</v>
      </c>
      <c r="L19" s="27">
        <f>IF(K19="Válida",ABS(J19),"")</f>
        <v>0</v>
      </c>
      <c r="M19" s="26">
        <f>IF(K19="Válida",IF(L19&lt;=cfgTolerancia,"Sim","Não"),"")</f>
        <v>0</v>
      </c>
      <c r="N19" s="26">
        <f>IF(A19="","",MES!D19)</f>
        <v>0</v>
      </c>
      <c r="O19" s="25">
        <f>IF(K19="Válida",A19,NA())</f>
        <v>0</v>
      </c>
      <c r="P19" s="27">
        <f>IF(K19="Válida",C19,NA())</f>
        <v>0</v>
      </c>
      <c r="Q19" s="27">
        <f>IF(K19="Válida",I19,NA())</f>
        <v>0</v>
      </c>
      <c r="R19" s="27">
        <f>IF(K19="Válida",J19,NA())</f>
        <v>0</v>
      </c>
      <c r="S19" s="27">
        <f>IF(K19="Válida",C19,"")</f>
        <v>0</v>
      </c>
      <c r="T19" s="27">
        <f>IF(K19="Válida",I19,"")</f>
        <v>0</v>
      </c>
      <c r="U19" s="27">
        <f>IF(K19="Válida",J19,"")</f>
        <v>0</v>
      </c>
    </row>
    <row r="20" spans="1:21">
      <c r="A20" s="25">
        <f>IF(MES!A20="","",MES!C20/48)</f>
        <v>0</v>
      </c>
      <c r="B20" s="26">
        <f>IF(A20="","",TEXT((N20*4+cfgDeslocamento)/48,"hh:mm")&amp;" a "&amp;TEXT(A20,"hh:mm"))</f>
        <v>0</v>
      </c>
      <c r="C20" s="27">
        <f>IF(A20="","",MES!B20)</f>
        <v>0</v>
      </c>
      <c r="D20" s="27">
        <f>IF(A20="","",IFERROR(AVERAGEIFS(Prensa!$B$2:$B$5001,Prensa!$E$2:$E$5001,N20,Prensa!$F$2:$F$5001,1,Prensa!$G$2:$G$5001,1),""))</f>
        <v>0</v>
      </c>
      <c r="E20" s="27">
        <f>IF(A20="","",IFERROR(AVERAGEIFS(Prensa!$B$2:$B$5001,Prensa!$E$2:$E$5001,N20,Prensa!$F$2:$F$5001,2,Prensa!$G$2:$G$5001,1),""))</f>
        <v>0</v>
      </c>
      <c r="F20" s="27">
        <f>IF(A20="","",IFERROR(AVERAGEIFS(Prensa!$B$2:$B$5001,Prensa!$E$2:$E$5001,N20,Prensa!$F$2:$F$5001,3,Prensa!$G$2:$G$5001,1),""))</f>
        <v>0</v>
      </c>
      <c r="G20" s="27">
        <f>IF(A20="","",IFERROR(AVERAGEIFS(Prensa!$B$2:$B$5001,Prensa!$E$2:$E$5001,N20,Prensa!$F$2:$F$5001,4,Prensa!$G$2:$G$5001,1),""))</f>
        <v>0</v>
      </c>
      <c r="H20" s="26">
        <f>IF(A20="","",COUNT(D20:G20))</f>
        <v>0</v>
      </c>
      <c r="I20" s="27">
        <f>IF(A20="","",IF(H20=0,"",AVERAGE(D20:G20)))</f>
        <v>0</v>
      </c>
      <c r="J20" s="27">
        <f>IF(OR(I20="",C20=""),"",I20-C20)</f>
        <v>0</v>
      </c>
      <c r="K20" s="26">
        <f>IF(A20="","",IF(MES!E20&lt;&gt;4,"Horário do MES fora do padrão",IF(H20&lt;cfgMinCortes,"Cortes insuficientes","Válida")))</f>
        <v>0</v>
      </c>
      <c r="L20" s="27">
        <f>IF(K20="Válida",ABS(J20),"")</f>
        <v>0</v>
      </c>
      <c r="M20" s="26">
        <f>IF(K20="Válida",IF(L20&lt;=cfgTolerancia,"Sim","Não"),"")</f>
        <v>0</v>
      </c>
      <c r="N20" s="26">
        <f>IF(A20="","",MES!D20)</f>
        <v>0</v>
      </c>
      <c r="O20" s="25">
        <f>IF(K20="Válida",A20,NA())</f>
        <v>0</v>
      </c>
      <c r="P20" s="27">
        <f>IF(K20="Válida",C20,NA())</f>
        <v>0</v>
      </c>
      <c r="Q20" s="27">
        <f>IF(K20="Válida",I20,NA())</f>
        <v>0</v>
      </c>
      <c r="R20" s="27">
        <f>IF(K20="Válida",J20,NA())</f>
        <v>0</v>
      </c>
      <c r="S20" s="27">
        <f>IF(K20="Válida",C20,"")</f>
        <v>0</v>
      </c>
      <c r="T20" s="27">
        <f>IF(K20="Válida",I20,"")</f>
        <v>0</v>
      </c>
      <c r="U20" s="27">
        <f>IF(K20="Válida",J20,"")</f>
        <v>0</v>
      </c>
    </row>
    <row r="21" spans="1:21">
      <c r="A21" s="25">
        <f>IF(MES!A21="","",MES!C21/48)</f>
        <v>0</v>
      </c>
      <c r="B21" s="26">
        <f>IF(A21="","",TEXT((N21*4+cfgDeslocamento)/48,"hh:mm")&amp;" a "&amp;TEXT(A21,"hh:mm"))</f>
        <v>0</v>
      </c>
      <c r="C21" s="27">
        <f>IF(A21="","",MES!B21)</f>
        <v>0</v>
      </c>
      <c r="D21" s="27">
        <f>IF(A21="","",IFERROR(AVERAGEIFS(Prensa!$B$2:$B$5001,Prensa!$E$2:$E$5001,N21,Prensa!$F$2:$F$5001,1,Prensa!$G$2:$G$5001,1),""))</f>
        <v>0</v>
      </c>
      <c r="E21" s="27">
        <f>IF(A21="","",IFERROR(AVERAGEIFS(Prensa!$B$2:$B$5001,Prensa!$E$2:$E$5001,N21,Prensa!$F$2:$F$5001,2,Prensa!$G$2:$G$5001,1),""))</f>
        <v>0</v>
      </c>
      <c r="F21" s="27">
        <f>IF(A21="","",IFERROR(AVERAGEIFS(Prensa!$B$2:$B$5001,Prensa!$E$2:$E$5001,N21,Prensa!$F$2:$F$5001,3,Prensa!$G$2:$G$5001,1),""))</f>
        <v>0</v>
      </c>
      <c r="G21" s="27">
        <f>IF(A21="","",IFERROR(AVERAGEIFS(Prensa!$B$2:$B$5001,Prensa!$E$2:$E$5001,N21,Prensa!$F$2:$F$5001,4,Prensa!$G$2:$G$5001,1),""))</f>
        <v>0</v>
      </c>
      <c r="H21" s="26">
        <f>IF(A21="","",COUNT(D21:G21))</f>
        <v>0</v>
      </c>
      <c r="I21" s="27">
        <f>IF(A21="","",IF(H21=0,"",AVERAGE(D21:G21)))</f>
        <v>0</v>
      </c>
      <c r="J21" s="27">
        <f>IF(OR(I21="",C21=""),"",I21-C21)</f>
        <v>0</v>
      </c>
      <c r="K21" s="26">
        <f>IF(A21="","",IF(MES!E21&lt;&gt;4,"Horário do MES fora do padrão",IF(H21&lt;cfgMinCortes,"Cortes insuficientes","Válida")))</f>
        <v>0</v>
      </c>
      <c r="L21" s="27">
        <f>IF(K21="Válida",ABS(J21),"")</f>
        <v>0</v>
      </c>
      <c r="M21" s="26">
        <f>IF(K21="Válida",IF(L21&lt;=cfgTolerancia,"Sim","Não"),"")</f>
        <v>0</v>
      </c>
      <c r="N21" s="26">
        <f>IF(A21="","",MES!D21)</f>
        <v>0</v>
      </c>
      <c r="O21" s="25">
        <f>IF(K21="Válida",A21,NA())</f>
        <v>0</v>
      </c>
      <c r="P21" s="27">
        <f>IF(K21="Válida",C21,NA())</f>
        <v>0</v>
      </c>
      <c r="Q21" s="27">
        <f>IF(K21="Válida",I21,NA())</f>
        <v>0</v>
      </c>
      <c r="R21" s="27">
        <f>IF(K21="Válida",J21,NA())</f>
        <v>0</v>
      </c>
      <c r="S21" s="27">
        <f>IF(K21="Válida",C21,"")</f>
        <v>0</v>
      </c>
      <c r="T21" s="27">
        <f>IF(K21="Válida",I21,"")</f>
        <v>0</v>
      </c>
      <c r="U21" s="27">
        <f>IF(K21="Válida",J21,"")</f>
        <v>0</v>
      </c>
    </row>
    <row r="22" spans="1:21">
      <c r="A22" s="25">
        <f>IF(MES!A22="","",MES!C22/48)</f>
        <v>0</v>
      </c>
      <c r="B22" s="26">
        <f>IF(A22="","",TEXT((N22*4+cfgDeslocamento)/48,"hh:mm")&amp;" a "&amp;TEXT(A22,"hh:mm"))</f>
        <v>0</v>
      </c>
      <c r="C22" s="27">
        <f>IF(A22="","",MES!B22)</f>
        <v>0</v>
      </c>
      <c r="D22" s="27">
        <f>IF(A22="","",IFERROR(AVERAGEIFS(Prensa!$B$2:$B$5001,Prensa!$E$2:$E$5001,N22,Prensa!$F$2:$F$5001,1,Prensa!$G$2:$G$5001,1),""))</f>
        <v>0</v>
      </c>
      <c r="E22" s="27">
        <f>IF(A22="","",IFERROR(AVERAGEIFS(Prensa!$B$2:$B$5001,Prensa!$E$2:$E$5001,N22,Prensa!$F$2:$F$5001,2,Prensa!$G$2:$G$5001,1),""))</f>
        <v>0</v>
      </c>
      <c r="F22" s="27">
        <f>IF(A22="","",IFERROR(AVERAGEIFS(Prensa!$B$2:$B$5001,Prensa!$E$2:$E$5001,N22,Prensa!$F$2:$F$5001,3,Prensa!$G$2:$G$5001,1),""))</f>
        <v>0</v>
      </c>
      <c r="G22" s="27">
        <f>IF(A22="","",IFERROR(AVERAGEIFS(Prensa!$B$2:$B$5001,Prensa!$E$2:$E$5001,N22,Prensa!$F$2:$F$5001,4,Prensa!$G$2:$G$5001,1),""))</f>
        <v>0</v>
      </c>
      <c r="H22" s="26">
        <f>IF(A22="","",COUNT(D22:G22))</f>
        <v>0</v>
      </c>
      <c r="I22" s="27">
        <f>IF(A22="","",IF(H22=0,"",AVERAGE(D22:G22)))</f>
        <v>0</v>
      </c>
      <c r="J22" s="27">
        <f>IF(OR(I22="",C22=""),"",I22-C22)</f>
        <v>0</v>
      </c>
      <c r="K22" s="26">
        <f>IF(A22="","",IF(MES!E22&lt;&gt;4,"Horário do MES fora do padrão",IF(H22&lt;cfgMinCortes,"Cortes insuficientes","Válida")))</f>
        <v>0</v>
      </c>
      <c r="L22" s="27">
        <f>IF(K22="Válida",ABS(J22),"")</f>
        <v>0</v>
      </c>
      <c r="M22" s="26">
        <f>IF(K22="Válida",IF(L22&lt;=cfgTolerancia,"Sim","Não"),"")</f>
        <v>0</v>
      </c>
      <c r="N22" s="26">
        <f>IF(A22="","",MES!D22)</f>
        <v>0</v>
      </c>
      <c r="O22" s="25">
        <f>IF(K22="Válida",A22,NA())</f>
        <v>0</v>
      </c>
      <c r="P22" s="27">
        <f>IF(K22="Válida",C22,NA())</f>
        <v>0</v>
      </c>
      <c r="Q22" s="27">
        <f>IF(K22="Válida",I22,NA())</f>
        <v>0</v>
      </c>
      <c r="R22" s="27">
        <f>IF(K22="Válida",J22,NA())</f>
        <v>0</v>
      </c>
      <c r="S22" s="27">
        <f>IF(K22="Válida",C22,"")</f>
        <v>0</v>
      </c>
      <c r="T22" s="27">
        <f>IF(K22="Válida",I22,"")</f>
        <v>0</v>
      </c>
      <c r="U22" s="27">
        <f>IF(K22="Válida",J22,"")</f>
        <v>0</v>
      </c>
    </row>
    <row r="23" spans="1:21">
      <c r="A23" s="25">
        <f>IF(MES!A23="","",MES!C23/48)</f>
        <v>0</v>
      </c>
      <c r="B23" s="26">
        <f>IF(A23="","",TEXT((N23*4+cfgDeslocamento)/48,"hh:mm")&amp;" a "&amp;TEXT(A23,"hh:mm"))</f>
        <v>0</v>
      </c>
      <c r="C23" s="27">
        <f>IF(A23="","",MES!B23)</f>
        <v>0</v>
      </c>
      <c r="D23" s="27">
        <f>IF(A23="","",IFERROR(AVERAGEIFS(Prensa!$B$2:$B$5001,Prensa!$E$2:$E$5001,N23,Prensa!$F$2:$F$5001,1,Prensa!$G$2:$G$5001,1),""))</f>
        <v>0</v>
      </c>
      <c r="E23" s="27">
        <f>IF(A23="","",IFERROR(AVERAGEIFS(Prensa!$B$2:$B$5001,Prensa!$E$2:$E$5001,N23,Prensa!$F$2:$F$5001,2,Prensa!$G$2:$G$5001,1),""))</f>
        <v>0</v>
      </c>
      <c r="F23" s="27">
        <f>IF(A23="","",IFERROR(AVERAGEIFS(Prensa!$B$2:$B$5001,Prensa!$E$2:$E$5001,N23,Prensa!$F$2:$F$5001,3,Prensa!$G$2:$G$5001,1),""))</f>
        <v>0</v>
      </c>
      <c r="G23" s="27">
        <f>IF(A23="","",IFERROR(AVERAGEIFS(Prensa!$B$2:$B$5001,Prensa!$E$2:$E$5001,N23,Prensa!$F$2:$F$5001,4,Prensa!$G$2:$G$5001,1),""))</f>
        <v>0</v>
      </c>
      <c r="H23" s="26">
        <f>IF(A23="","",COUNT(D23:G23))</f>
        <v>0</v>
      </c>
      <c r="I23" s="27">
        <f>IF(A23="","",IF(H23=0,"",AVERAGE(D23:G23)))</f>
        <v>0</v>
      </c>
      <c r="J23" s="27">
        <f>IF(OR(I23="",C23=""),"",I23-C23)</f>
        <v>0</v>
      </c>
      <c r="K23" s="26">
        <f>IF(A23="","",IF(MES!E23&lt;&gt;4,"Horário do MES fora do padrão",IF(H23&lt;cfgMinCortes,"Cortes insuficientes","Válida")))</f>
        <v>0</v>
      </c>
      <c r="L23" s="27">
        <f>IF(K23="Válida",ABS(J23),"")</f>
        <v>0</v>
      </c>
      <c r="M23" s="26">
        <f>IF(K23="Válida",IF(L23&lt;=cfgTolerancia,"Sim","Não"),"")</f>
        <v>0</v>
      </c>
      <c r="N23" s="26">
        <f>IF(A23="","",MES!D23)</f>
        <v>0</v>
      </c>
      <c r="O23" s="25">
        <f>IF(K23="Válida",A23,NA())</f>
        <v>0</v>
      </c>
      <c r="P23" s="27">
        <f>IF(K23="Válida",C23,NA())</f>
        <v>0</v>
      </c>
      <c r="Q23" s="27">
        <f>IF(K23="Válida",I23,NA())</f>
        <v>0</v>
      </c>
      <c r="R23" s="27">
        <f>IF(K23="Válida",J23,NA())</f>
        <v>0</v>
      </c>
      <c r="S23" s="27">
        <f>IF(K23="Válida",C23,"")</f>
        <v>0</v>
      </c>
      <c r="T23" s="27">
        <f>IF(K23="Válida",I23,"")</f>
        <v>0</v>
      </c>
      <c r="U23" s="27">
        <f>IF(K23="Válida",J23,"")</f>
        <v>0</v>
      </c>
    </row>
    <row r="24" spans="1:21">
      <c r="A24" s="25">
        <f>IF(MES!A24="","",MES!C24/48)</f>
        <v>0</v>
      </c>
      <c r="B24" s="26">
        <f>IF(A24="","",TEXT((N24*4+cfgDeslocamento)/48,"hh:mm")&amp;" a "&amp;TEXT(A24,"hh:mm"))</f>
        <v>0</v>
      </c>
      <c r="C24" s="27">
        <f>IF(A24="","",MES!B24)</f>
        <v>0</v>
      </c>
      <c r="D24" s="27">
        <f>IF(A24="","",IFERROR(AVERAGEIFS(Prensa!$B$2:$B$5001,Prensa!$E$2:$E$5001,N24,Prensa!$F$2:$F$5001,1,Prensa!$G$2:$G$5001,1),""))</f>
        <v>0</v>
      </c>
      <c r="E24" s="27">
        <f>IF(A24="","",IFERROR(AVERAGEIFS(Prensa!$B$2:$B$5001,Prensa!$E$2:$E$5001,N24,Prensa!$F$2:$F$5001,2,Prensa!$G$2:$G$5001,1),""))</f>
        <v>0</v>
      </c>
      <c r="F24" s="27">
        <f>IF(A24="","",IFERROR(AVERAGEIFS(Prensa!$B$2:$B$5001,Prensa!$E$2:$E$5001,N24,Prensa!$F$2:$F$5001,3,Prensa!$G$2:$G$5001,1),""))</f>
        <v>0</v>
      </c>
      <c r="G24" s="27">
        <f>IF(A24="","",IFERROR(AVERAGEIFS(Prensa!$B$2:$B$5001,Prensa!$E$2:$E$5001,N24,Prensa!$F$2:$F$5001,4,Prensa!$G$2:$G$5001,1),""))</f>
        <v>0</v>
      </c>
      <c r="H24" s="26">
        <f>IF(A24="","",COUNT(D24:G24))</f>
        <v>0</v>
      </c>
      <c r="I24" s="27">
        <f>IF(A24="","",IF(H24=0,"",AVERAGE(D24:G24)))</f>
        <v>0</v>
      </c>
      <c r="J24" s="27">
        <f>IF(OR(I24="",C24=""),"",I24-C24)</f>
        <v>0</v>
      </c>
      <c r="K24" s="26">
        <f>IF(A24="","",IF(MES!E24&lt;&gt;4,"Horário do MES fora do padrão",IF(H24&lt;cfgMinCortes,"Cortes insuficientes","Válida")))</f>
        <v>0</v>
      </c>
      <c r="L24" s="27">
        <f>IF(K24="Válida",ABS(J24),"")</f>
        <v>0</v>
      </c>
      <c r="M24" s="26">
        <f>IF(K24="Válida",IF(L24&lt;=cfgTolerancia,"Sim","Não"),"")</f>
        <v>0</v>
      </c>
      <c r="N24" s="26">
        <f>IF(A24="","",MES!D24)</f>
        <v>0</v>
      </c>
      <c r="O24" s="25">
        <f>IF(K24="Válida",A24,NA())</f>
        <v>0</v>
      </c>
      <c r="P24" s="27">
        <f>IF(K24="Válida",C24,NA())</f>
        <v>0</v>
      </c>
      <c r="Q24" s="27">
        <f>IF(K24="Válida",I24,NA())</f>
        <v>0</v>
      </c>
      <c r="R24" s="27">
        <f>IF(K24="Válida",J24,NA())</f>
        <v>0</v>
      </c>
      <c r="S24" s="27">
        <f>IF(K24="Válida",C24,"")</f>
        <v>0</v>
      </c>
      <c r="T24" s="27">
        <f>IF(K24="Válida",I24,"")</f>
        <v>0</v>
      </c>
      <c r="U24" s="27">
        <f>IF(K24="Válida",J24,"")</f>
        <v>0</v>
      </c>
    </row>
    <row r="25" spans="1:21">
      <c r="A25" s="25">
        <f>IF(MES!A25="","",MES!C25/48)</f>
        <v>0</v>
      </c>
      <c r="B25" s="26">
        <f>IF(A25="","",TEXT((N25*4+cfgDeslocamento)/48,"hh:mm")&amp;" a "&amp;TEXT(A25,"hh:mm"))</f>
        <v>0</v>
      </c>
      <c r="C25" s="27">
        <f>IF(A25="","",MES!B25)</f>
        <v>0</v>
      </c>
      <c r="D25" s="27">
        <f>IF(A25="","",IFERROR(AVERAGEIFS(Prensa!$B$2:$B$5001,Prensa!$E$2:$E$5001,N25,Prensa!$F$2:$F$5001,1,Prensa!$G$2:$G$5001,1),""))</f>
        <v>0</v>
      </c>
      <c r="E25" s="27">
        <f>IF(A25="","",IFERROR(AVERAGEIFS(Prensa!$B$2:$B$5001,Prensa!$E$2:$E$5001,N25,Prensa!$F$2:$F$5001,2,Prensa!$G$2:$G$5001,1),""))</f>
        <v>0</v>
      </c>
      <c r="F25" s="27">
        <f>IF(A25="","",IFERROR(AVERAGEIFS(Prensa!$B$2:$B$5001,Prensa!$E$2:$E$5001,N25,Prensa!$F$2:$F$5001,3,Prensa!$G$2:$G$5001,1),""))</f>
        <v>0</v>
      </c>
      <c r="G25" s="27">
        <f>IF(A25="","",IFERROR(AVERAGEIFS(Prensa!$B$2:$B$5001,Prensa!$E$2:$E$5001,N25,Prensa!$F$2:$F$5001,4,Prensa!$G$2:$G$5001,1),""))</f>
        <v>0</v>
      </c>
      <c r="H25" s="26">
        <f>IF(A25="","",COUNT(D25:G25))</f>
        <v>0</v>
      </c>
      <c r="I25" s="27">
        <f>IF(A25="","",IF(H25=0,"",AVERAGE(D25:G25)))</f>
        <v>0</v>
      </c>
      <c r="J25" s="27">
        <f>IF(OR(I25="",C25=""),"",I25-C25)</f>
        <v>0</v>
      </c>
      <c r="K25" s="26">
        <f>IF(A25="","",IF(MES!E25&lt;&gt;4,"Horário do MES fora do padrão",IF(H25&lt;cfgMinCortes,"Cortes insuficientes","Válida")))</f>
        <v>0</v>
      </c>
      <c r="L25" s="27">
        <f>IF(K25="Válida",ABS(J25),"")</f>
        <v>0</v>
      </c>
      <c r="M25" s="26">
        <f>IF(K25="Válida",IF(L25&lt;=cfgTolerancia,"Sim","Não"),"")</f>
        <v>0</v>
      </c>
      <c r="N25" s="26">
        <f>IF(A25="","",MES!D25)</f>
        <v>0</v>
      </c>
      <c r="O25" s="25">
        <f>IF(K25="Válida",A25,NA())</f>
        <v>0</v>
      </c>
      <c r="P25" s="27">
        <f>IF(K25="Válida",C25,NA())</f>
        <v>0</v>
      </c>
      <c r="Q25" s="27">
        <f>IF(K25="Válida",I25,NA())</f>
        <v>0</v>
      </c>
      <c r="R25" s="27">
        <f>IF(K25="Válida",J25,NA())</f>
        <v>0</v>
      </c>
      <c r="S25" s="27">
        <f>IF(K25="Válida",C25,"")</f>
        <v>0</v>
      </c>
      <c r="T25" s="27">
        <f>IF(K25="Válida",I25,"")</f>
        <v>0</v>
      </c>
      <c r="U25" s="27">
        <f>IF(K25="Válida",J25,"")</f>
        <v>0</v>
      </c>
    </row>
    <row r="26" spans="1:21">
      <c r="A26" s="25">
        <f>IF(MES!A26="","",MES!C26/48)</f>
        <v>0</v>
      </c>
      <c r="B26" s="26">
        <f>IF(A26="","",TEXT((N26*4+cfgDeslocamento)/48,"hh:mm")&amp;" a "&amp;TEXT(A26,"hh:mm"))</f>
        <v>0</v>
      </c>
      <c r="C26" s="27">
        <f>IF(A26="","",MES!B26)</f>
        <v>0</v>
      </c>
      <c r="D26" s="27">
        <f>IF(A26="","",IFERROR(AVERAGEIFS(Prensa!$B$2:$B$5001,Prensa!$E$2:$E$5001,N26,Prensa!$F$2:$F$5001,1,Prensa!$G$2:$G$5001,1),""))</f>
        <v>0</v>
      </c>
      <c r="E26" s="27">
        <f>IF(A26="","",IFERROR(AVERAGEIFS(Prensa!$B$2:$B$5001,Prensa!$E$2:$E$5001,N26,Prensa!$F$2:$F$5001,2,Prensa!$G$2:$G$5001,1),""))</f>
        <v>0</v>
      </c>
      <c r="F26" s="27">
        <f>IF(A26="","",IFERROR(AVERAGEIFS(Prensa!$B$2:$B$5001,Prensa!$E$2:$E$5001,N26,Prensa!$F$2:$F$5001,3,Prensa!$G$2:$G$5001,1),""))</f>
        <v>0</v>
      </c>
      <c r="G26" s="27">
        <f>IF(A26="","",IFERROR(AVERAGEIFS(Prensa!$B$2:$B$5001,Prensa!$E$2:$E$5001,N26,Prensa!$F$2:$F$5001,4,Prensa!$G$2:$G$5001,1),""))</f>
        <v>0</v>
      </c>
      <c r="H26" s="26">
        <f>IF(A26="","",COUNT(D26:G26))</f>
        <v>0</v>
      </c>
      <c r="I26" s="27">
        <f>IF(A26="","",IF(H26=0,"",AVERAGE(D26:G26)))</f>
        <v>0</v>
      </c>
      <c r="J26" s="27">
        <f>IF(OR(I26="",C26=""),"",I26-C26)</f>
        <v>0</v>
      </c>
      <c r="K26" s="26">
        <f>IF(A26="","",IF(MES!E26&lt;&gt;4,"Horário do MES fora do padrão",IF(H26&lt;cfgMinCortes,"Cortes insuficientes","Válida")))</f>
        <v>0</v>
      </c>
      <c r="L26" s="27">
        <f>IF(K26="Válida",ABS(J26),"")</f>
        <v>0</v>
      </c>
      <c r="M26" s="26">
        <f>IF(K26="Válida",IF(L26&lt;=cfgTolerancia,"Sim","Não"),"")</f>
        <v>0</v>
      </c>
      <c r="N26" s="26">
        <f>IF(A26="","",MES!D26)</f>
        <v>0</v>
      </c>
      <c r="O26" s="25">
        <f>IF(K26="Válida",A26,NA())</f>
        <v>0</v>
      </c>
      <c r="P26" s="27">
        <f>IF(K26="Válida",C26,NA())</f>
        <v>0</v>
      </c>
      <c r="Q26" s="27">
        <f>IF(K26="Válida",I26,NA())</f>
        <v>0</v>
      </c>
      <c r="R26" s="27">
        <f>IF(K26="Válida",J26,NA())</f>
        <v>0</v>
      </c>
      <c r="S26" s="27">
        <f>IF(K26="Válida",C26,"")</f>
        <v>0</v>
      </c>
      <c r="T26" s="27">
        <f>IF(K26="Válida",I26,"")</f>
        <v>0</v>
      </c>
      <c r="U26" s="27">
        <f>IF(K26="Válida",J26,"")</f>
        <v>0</v>
      </c>
    </row>
    <row r="27" spans="1:21">
      <c r="A27" s="25">
        <f>IF(MES!A27="","",MES!C27/48)</f>
        <v>0</v>
      </c>
      <c r="B27" s="26">
        <f>IF(A27="","",TEXT((N27*4+cfgDeslocamento)/48,"hh:mm")&amp;" a "&amp;TEXT(A27,"hh:mm"))</f>
        <v>0</v>
      </c>
      <c r="C27" s="27">
        <f>IF(A27="","",MES!B27)</f>
        <v>0</v>
      </c>
      <c r="D27" s="27">
        <f>IF(A27="","",IFERROR(AVERAGEIFS(Prensa!$B$2:$B$5001,Prensa!$E$2:$E$5001,N27,Prensa!$F$2:$F$5001,1,Prensa!$G$2:$G$5001,1),""))</f>
        <v>0</v>
      </c>
      <c r="E27" s="27">
        <f>IF(A27="","",IFERROR(AVERAGEIFS(Prensa!$B$2:$B$5001,Prensa!$E$2:$E$5001,N27,Prensa!$F$2:$F$5001,2,Prensa!$G$2:$G$5001,1),""))</f>
        <v>0</v>
      </c>
      <c r="F27" s="27">
        <f>IF(A27="","",IFERROR(AVERAGEIFS(Prensa!$B$2:$B$5001,Prensa!$E$2:$E$5001,N27,Prensa!$F$2:$F$5001,3,Prensa!$G$2:$G$5001,1),""))</f>
        <v>0</v>
      </c>
      <c r="G27" s="27">
        <f>IF(A27="","",IFERROR(AVERAGEIFS(Prensa!$B$2:$B$5001,Prensa!$E$2:$E$5001,N27,Prensa!$F$2:$F$5001,4,Prensa!$G$2:$G$5001,1),""))</f>
        <v>0</v>
      </c>
      <c r="H27" s="26">
        <f>IF(A27="","",COUNT(D27:G27))</f>
        <v>0</v>
      </c>
      <c r="I27" s="27">
        <f>IF(A27="","",IF(H27=0,"",AVERAGE(D27:G27)))</f>
        <v>0</v>
      </c>
      <c r="J27" s="27">
        <f>IF(OR(I27="",C27=""),"",I27-C27)</f>
        <v>0</v>
      </c>
      <c r="K27" s="26">
        <f>IF(A27="","",IF(MES!E27&lt;&gt;4,"Horário do MES fora do padrão",IF(H27&lt;cfgMinCortes,"Cortes insuficientes","Válida")))</f>
        <v>0</v>
      </c>
      <c r="L27" s="27">
        <f>IF(K27="Válida",ABS(J27),"")</f>
        <v>0</v>
      </c>
      <c r="M27" s="26">
        <f>IF(K27="Válida",IF(L27&lt;=cfgTolerancia,"Sim","Não"),"")</f>
        <v>0</v>
      </c>
      <c r="N27" s="26">
        <f>IF(A27="","",MES!D27)</f>
        <v>0</v>
      </c>
      <c r="O27" s="25">
        <f>IF(K27="Válida",A27,NA())</f>
        <v>0</v>
      </c>
      <c r="P27" s="27">
        <f>IF(K27="Válida",C27,NA())</f>
        <v>0</v>
      </c>
      <c r="Q27" s="27">
        <f>IF(K27="Válida",I27,NA())</f>
        <v>0</v>
      </c>
      <c r="R27" s="27">
        <f>IF(K27="Válida",J27,NA())</f>
        <v>0</v>
      </c>
      <c r="S27" s="27">
        <f>IF(K27="Válida",C27,"")</f>
        <v>0</v>
      </c>
      <c r="T27" s="27">
        <f>IF(K27="Válida",I27,"")</f>
        <v>0</v>
      </c>
      <c r="U27" s="27">
        <f>IF(K27="Válida",J27,"")</f>
        <v>0</v>
      </c>
    </row>
    <row r="28" spans="1:21">
      <c r="A28" s="25">
        <f>IF(MES!A28="","",MES!C28/48)</f>
        <v>0</v>
      </c>
      <c r="B28" s="26">
        <f>IF(A28="","",TEXT((N28*4+cfgDeslocamento)/48,"hh:mm")&amp;" a "&amp;TEXT(A28,"hh:mm"))</f>
        <v>0</v>
      </c>
      <c r="C28" s="27">
        <f>IF(A28="","",MES!B28)</f>
        <v>0</v>
      </c>
      <c r="D28" s="27">
        <f>IF(A28="","",IFERROR(AVERAGEIFS(Prensa!$B$2:$B$5001,Prensa!$E$2:$E$5001,N28,Prensa!$F$2:$F$5001,1,Prensa!$G$2:$G$5001,1),""))</f>
        <v>0</v>
      </c>
      <c r="E28" s="27">
        <f>IF(A28="","",IFERROR(AVERAGEIFS(Prensa!$B$2:$B$5001,Prensa!$E$2:$E$5001,N28,Prensa!$F$2:$F$5001,2,Prensa!$G$2:$G$5001,1),""))</f>
        <v>0</v>
      </c>
      <c r="F28" s="27">
        <f>IF(A28="","",IFERROR(AVERAGEIFS(Prensa!$B$2:$B$5001,Prensa!$E$2:$E$5001,N28,Prensa!$F$2:$F$5001,3,Prensa!$G$2:$G$5001,1),""))</f>
        <v>0</v>
      </c>
      <c r="G28" s="27">
        <f>IF(A28="","",IFERROR(AVERAGEIFS(Prensa!$B$2:$B$5001,Prensa!$E$2:$E$5001,N28,Prensa!$F$2:$F$5001,4,Prensa!$G$2:$G$5001,1),""))</f>
        <v>0</v>
      </c>
      <c r="H28" s="26">
        <f>IF(A28="","",COUNT(D28:G28))</f>
        <v>0</v>
      </c>
      <c r="I28" s="27">
        <f>IF(A28="","",IF(H28=0,"",AVERAGE(D28:G28)))</f>
        <v>0</v>
      </c>
      <c r="J28" s="27">
        <f>IF(OR(I28="",C28=""),"",I28-C28)</f>
        <v>0</v>
      </c>
      <c r="K28" s="26">
        <f>IF(A28="","",IF(MES!E28&lt;&gt;4,"Horário do MES fora do padrão",IF(H28&lt;cfgMinCortes,"Cortes insuficientes","Válida")))</f>
        <v>0</v>
      </c>
      <c r="L28" s="27">
        <f>IF(K28="Válida",ABS(J28),"")</f>
        <v>0</v>
      </c>
      <c r="M28" s="26">
        <f>IF(K28="Válida",IF(L28&lt;=cfgTolerancia,"Sim","Não"),"")</f>
        <v>0</v>
      </c>
      <c r="N28" s="26">
        <f>IF(A28="","",MES!D28)</f>
        <v>0</v>
      </c>
      <c r="O28" s="25">
        <f>IF(K28="Válida",A28,NA())</f>
        <v>0</v>
      </c>
      <c r="P28" s="27">
        <f>IF(K28="Válida",C28,NA())</f>
        <v>0</v>
      </c>
      <c r="Q28" s="27">
        <f>IF(K28="Válida",I28,NA())</f>
        <v>0</v>
      </c>
      <c r="R28" s="27">
        <f>IF(K28="Válida",J28,NA())</f>
        <v>0</v>
      </c>
      <c r="S28" s="27">
        <f>IF(K28="Válida",C28,"")</f>
        <v>0</v>
      </c>
      <c r="T28" s="27">
        <f>IF(K28="Válida",I28,"")</f>
        <v>0</v>
      </c>
      <c r="U28" s="27">
        <f>IF(K28="Válida",J28,"")</f>
        <v>0</v>
      </c>
    </row>
    <row r="29" spans="1:21">
      <c r="A29" s="25">
        <f>IF(MES!A29="","",MES!C29/48)</f>
        <v>0</v>
      </c>
      <c r="B29" s="26">
        <f>IF(A29="","",TEXT((N29*4+cfgDeslocamento)/48,"hh:mm")&amp;" a "&amp;TEXT(A29,"hh:mm"))</f>
        <v>0</v>
      </c>
      <c r="C29" s="27">
        <f>IF(A29="","",MES!B29)</f>
        <v>0</v>
      </c>
      <c r="D29" s="27">
        <f>IF(A29="","",IFERROR(AVERAGEIFS(Prensa!$B$2:$B$5001,Prensa!$E$2:$E$5001,N29,Prensa!$F$2:$F$5001,1,Prensa!$G$2:$G$5001,1),""))</f>
        <v>0</v>
      </c>
      <c r="E29" s="27">
        <f>IF(A29="","",IFERROR(AVERAGEIFS(Prensa!$B$2:$B$5001,Prensa!$E$2:$E$5001,N29,Prensa!$F$2:$F$5001,2,Prensa!$G$2:$G$5001,1),""))</f>
        <v>0</v>
      </c>
      <c r="F29" s="27">
        <f>IF(A29="","",IFERROR(AVERAGEIFS(Prensa!$B$2:$B$5001,Prensa!$E$2:$E$5001,N29,Prensa!$F$2:$F$5001,3,Prensa!$G$2:$G$5001,1),""))</f>
        <v>0</v>
      </c>
      <c r="G29" s="27">
        <f>IF(A29="","",IFERROR(AVERAGEIFS(Prensa!$B$2:$B$5001,Prensa!$E$2:$E$5001,N29,Prensa!$F$2:$F$5001,4,Prensa!$G$2:$G$5001,1),""))</f>
        <v>0</v>
      </c>
      <c r="H29" s="26">
        <f>IF(A29="","",COUNT(D29:G29))</f>
        <v>0</v>
      </c>
      <c r="I29" s="27">
        <f>IF(A29="","",IF(H29=0,"",AVERAGE(D29:G29)))</f>
        <v>0</v>
      </c>
      <c r="J29" s="27">
        <f>IF(OR(I29="",C29=""),"",I29-C29)</f>
        <v>0</v>
      </c>
      <c r="K29" s="26">
        <f>IF(A29="","",IF(MES!E29&lt;&gt;4,"Horário do MES fora do padrão",IF(H29&lt;cfgMinCortes,"Cortes insuficientes","Válida")))</f>
        <v>0</v>
      </c>
      <c r="L29" s="27">
        <f>IF(K29="Válida",ABS(J29),"")</f>
        <v>0</v>
      </c>
      <c r="M29" s="26">
        <f>IF(K29="Válida",IF(L29&lt;=cfgTolerancia,"Sim","Não"),"")</f>
        <v>0</v>
      </c>
      <c r="N29" s="26">
        <f>IF(A29="","",MES!D29)</f>
        <v>0</v>
      </c>
      <c r="O29" s="25">
        <f>IF(K29="Válida",A29,NA())</f>
        <v>0</v>
      </c>
      <c r="P29" s="27">
        <f>IF(K29="Válida",C29,NA())</f>
        <v>0</v>
      </c>
      <c r="Q29" s="27">
        <f>IF(K29="Válida",I29,NA())</f>
        <v>0</v>
      </c>
      <c r="R29" s="27">
        <f>IF(K29="Válida",J29,NA())</f>
        <v>0</v>
      </c>
      <c r="S29" s="27">
        <f>IF(K29="Válida",C29,"")</f>
        <v>0</v>
      </c>
      <c r="T29" s="27">
        <f>IF(K29="Válida",I29,"")</f>
        <v>0</v>
      </c>
      <c r="U29" s="27">
        <f>IF(K29="Válida",J29,"")</f>
        <v>0</v>
      </c>
    </row>
    <row r="30" spans="1:21">
      <c r="A30" s="25">
        <f>IF(MES!A30="","",MES!C30/48)</f>
        <v>0</v>
      </c>
      <c r="B30" s="26">
        <f>IF(A30="","",TEXT((N30*4+cfgDeslocamento)/48,"hh:mm")&amp;" a "&amp;TEXT(A30,"hh:mm"))</f>
        <v>0</v>
      </c>
      <c r="C30" s="27">
        <f>IF(A30="","",MES!B30)</f>
        <v>0</v>
      </c>
      <c r="D30" s="27">
        <f>IF(A30="","",IFERROR(AVERAGEIFS(Prensa!$B$2:$B$5001,Prensa!$E$2:$E$5001,N30,Prensa!$F$2:$F$5001,1,Prensa!$G$2:$G$5001,1),""))</f>
        <v>0</v>
      </c>
      <c r="E30" s="27">
        <f>IF(A30="","",IFERROR(AVERAGEIFS(Prensa!$B$2:$B$5001,Prensa!$E$2:$E$5001,N30,Prensa!$F$2:$F$5001,2,Prensa!$G$2:$G$5001,1),""))</f>
        <v>0</v>
      </c>
      <c r="F30" s="27">
        <f>IF(A30="","",IFERROR(AVERAGEIFS(Prensa!$B$2:$B$5001,Prensa!$E$2:$E$5001,N30,Prensa!$F$2:$F$5001,3,Prensa!$G$2:$G$5001,1),""))</f>
        <v>0</v>
      </c>
      <c r="G30" s="27">
        <f>IF(A30="","",IFERROR(AVERAGEIFS(Prensa!$B$2:$B$5001,Prensa!$E$2:$E$5001,N30,Prensa!$F$2:$F$5001,4,Prensa!$G$2:$G$5001,1),""))</f>
        <v>0</v>
      </c>
      <c r="H30" s="26">
        <f>IF(A30="","",COUNT(D30:G30))</f>
        <v>0</v>
      </c>
      <c r="I30" s="27">
        <f>IF(A30="","",IF(H30=0,"",AVERAGE(D30:G30)))</f>
        <v>0</v>
      </c>
      <c r="J30" s="27">
        <f>IF(OR(I30="",C30=""),"",I30-C30)</f>
        <v>0</v>
      </c>
      <c r="K30" s="26">
        <f>IF(A30="","",IF(MES!E30&lt;&gt;4,"Horário do MES fora do padrão",IF(H30&lt;cfgMinCortes,"Cortes insuficientes","Válida")))</f>
        <v>0</v>
      </c>
      <c r="L30" s="27">
        <f>IF(K30="Válida",ABS(J30),"")</f>
        <v>0</v>
      </c>
      <c r="M30" s="26">
        <f>IF(K30="Válida",IF(L30&lt;=cfgTolerancia,"Sim","Não"),"")</f>
        <v>0</v>
      </c>
      <c r="N30" s="26">
        <f>IF(A30="","",MES!D30)</f>
        <v>0</v>
      </c>
      <c r="O30" s="25">
        <f>IF(K30="Válida",A30,NA())</f>
        <v>0</v>
      </c>
      <c r="P30" s="27">
        <f>IF(K30="Válida",C30,NA())</f>
        <v>0</v>
      </c>
      <c r="Q30" s="27">
        <f>IF(K30="Válida",I30,NA())</f>
        <v>0</v>
      </c>
      <c r="R30" s="27">
        <f>IF(K30="Válida",J30,NA())</f>
        <v>0</v>
      </c>
      <c r="S30" s="27">
        <f>IF(K30="Válida",C30,"")</f>
        <v>0</v>
      </c>
      <c r="T30" s="27">
        <f>IF(K30="Válida",I30,"")</f>
        <v>0</v>
      </c>
      <c r="U30" s="27">
        <f>IF(K30="Válida",J30,"")</f>
        <v>0</v>
      </c>
    </row>
    <row r="31" spans="1:21">
      <c r="A31" s="25">
        <f>IF(MES!A31="","",MES!C31/48)</f>
        <v>0</v>
      </c>
      <c r="B31" s="26">
        <f>IF(A31="","",TEXT((N31*4+cfgDeslocamento)/48,"hh:mm")&amp;" a "&amp;TEXT(A31,"hh:mm"))</f>
        <v>0</v>
      </c>
      <c r="C31" s="27">
        <f>IF(A31="","",MES!B31)</f>
        <v>0</v>
      </c>
      <c r="D31" s="27">
        <f>IF(A31="","",IFERROR(AVERAGEIFS(Prensa!$B$2:$B$5001,Prensa!$E$2:$E$5001,N31,Prensa!$F$2:$F$5001,1,Prensa!$G$2:$G$5001,1),""))</f>
        <v>0</v>
      </c>
      <c r="E31" s="27">
        <f>IF(A31="","",IFERROR(AVERAGEIFS(Prensa!$B$2:$B$5001,Prensa!$E$2:$E$5001,N31,Prensa!$F$2:$F$5001,2,Prensa!$G$2:$G$5001,1),""))</f>
        <v>0</v>
      </c>
      <c r="F31" s="27">
        <f>IF(A31="","",IFERROR(AVERAGEIFS(Prensa!$B$2:$B$5001,Prensa!$E$2:$E$5001,N31,Prensa!$F$2:$F$5001,3,Prensa!$G$2:$G$5001,1),""))</f>
        <v>0</v>
      </c>
      <c r="G31" s="27">
        <f>IF(A31="","",IFERROR(AVERAGEIFS(Prensa!$B$2:$B$5001,Prensa!$E$2:$E$5001,N31,Prensa!$F$2:$F$5001,4,Prensa!$G$2:$G$5001,1),""))</f>
        <v>0</v>
      </c>
      <c r="H31" s="26">
        <f>IF(A31="","",COUNT(D31:G31))</f>
        <v>0</v>
      </c>
      <c r="I31" s="27">
        <f>IF(A31="","",IF(H31=0,"",AVERAGE(D31:G31)))</f>
        <v>0</v>
      </c>
      <c r="J31" s="27">
        <f>IF(OR(I31="",C31=""),"",I31-C31)</f>
        <v>0</v>
      </c>
      <c r="K31" s="26">
        <f>IF(A31="","",IF(MES!E31&lt;&gt;4,"Horário do MES fora do padrão",IF(H31&lt;cfgMinCortes,"Cortes insuficientes","Válida")))</f>
        <v>0</v>
      </c>
      <c r="L31" s="27">
        <f>IF(K31="Válida",ABS(J31),"")</f>
        <v>0</v>
      </c>
      <c r="M31" s="26">
        <f>IF(K31="Válida",IF(L31&lt;=cfgTolerancia,"Sim","Não"),"")</f>
        <v>0</v>
      </c>
      <c r="N31" s="26">
        <f>IF(A31="","",MES!D31)</f>
        <v>0</v>
      </c>
      <c r="O31" s="25">
        <f>IF(K31="Válida",A31,NA())</f>
        <v>0</v>
      </c>
      <c r="P31" s="27">
        <f>IF(K31="Válida",C31,NA())</f>
        <v>0</v>
      </c>
      <c r="Q31" s="27">
        <f>IF(K31="Válida",I31,NA())</f>
        <v>0</v>
      </c>
      <c r="R31" s="27">
        <f>IF(K31="Válida",J31,NA())</f>
        <v>0</v>
      </c>
      <c r="S31" s="27">
        <f>IF(K31="Válida",C31,"")</f>
        <v>0</v>
      </c>
      <c r="T31" s="27">
        <f>IF(K31="Válida",I31,"")</f>
        <v>0</v>
      </c>
      <c r="U31" s="27">
        <f>IF(K31="Válida",J31,"")</f>
        <v>0</v>
      </c>
    </row>
    <row r="32" spans="1:21">
      <c r="A32" s="25">
        <f>IF(MES!A32="","",MES!C32/48)</f>
        <v>0</v>
      </c>
      <c r="B32" s="26">
        <f>IF(A32="","",TEXT((N32*4+cfgDeslocamento)/48,"hh:mm")&amp;" a "&amp;TEXT(A32,"hh:mm"))</f>
        <v>0</v>
      </c>
      <c r="C32" s="27">
        <f>IF(A32="","",MES!B32)</f>
        <v>0</v>
      </c>
      <c r="D32" s="27">
        <f>IF(A32="","",IFERROR(AVERAGEIFS(Prensa!$B$2:$B$5001,Prensa!$E$2:$E$5001,N32,Prensa!$F$2:$F$5001,1,Prensa!$G$2:$G$5001,1),""))</f>
        <v>0</v>
      </c>
      <c r="E32" s="27">
        <f>IF(A32="","",IFERROR(AVERAGEIFS(Prensa!$B$2:$B$5001,Prensa!$E$2:$E$5001,N32,Prensa!$F$2:$F$5001,2,Prensa!$G$2:$G$5001,1),""))</f>
        <v>0</v>
      </c>
      <c r="F32" s="27">
        <f>IF(A32="","",IFERROR(AVERAGEIFS(Prensa!$B$2:$B$5001,Prensa!$E$2:$E$5001,N32,Prensa!$F$2:$F$5001,3,Prensa!$G$2:$G$5001,1),""))</f>
        <v>0</v>
      </c>
      <c r="G32" s="27">
        <f>IF(A32="","",IFERROR(AVERAGEIFS(Prensa!$B$2:$B$5001,Prensa!$E$2:$E$5001,N32,Prensa!$F$2:$F$5001,4,Prensa!$G$2:$G$5001,1),""))</f>
        <v>0</v>
      </c>
      <c r="H32" s="26">
        <f>IF(A32="","",COUNT(D32:G32))</f>
        <v>0</v>
      </c>
      <c r="I32" s="27">
        <f>IF(A32="","",IF(H32=0,"",AVERAGE(D32:G32)))</f>
        <v>0</v>
      </c>
      <c r="J32" s="27">
        <f>IF(OR(I32="",C32=""),"",I32-C32)</f>
        <v>0</v>
      </c>
      <c r="K32" s="26">
        <f>IF(A32="","",IF(MES!E32&lt;&gt;4,"Horário do MES fora do padrão",IF(H32&lt;cfgMinCortes,"Cortes insuficientes","Válida")))</f>
        <v>0</v>
      </c>
      <c r="L32" s="27">
        <f>IF(K32="Válida",ABS(J32),"")</f>
        <v>0</v>
      </c>
      <c r="M32" s="26">
        <f>IF(K32="Válida",IF(L32&lt;=cfgTolerancia,"Sim","Não"),"")</f>
        <v>0</v>
      </c>
      <c r="N32" s="26">
        <f>IF(A32="","",MES!D32)</f>
        <v>0</v>
      </c>
      <c r="O32" s="25">
        <f>IF(K32="Válida",A32,NA())</f>
        <v>0</v>
      </c>
      <c r="P32" s="27">
        <f>IF(K32="Válida",C32,NA())</f>
        <v>0</v>
      </c>
      <c r="Q32" s="27">
        <f>IF(K32="Válida",I32,NA())</f>
        <v>0</v>
      </c>
      <c r="R32" s="27">
        <f>IF(K32="Válida",J32,NA())</f>
        <v>0</v>
      </c>
      <c r="S32" s="27">
        <f>IF(K32="Válida",C32,"")</f>
        <v>0</v>
      </c>
      <c r="T32" s="27">
        <f>IF(K32="Válida",I32,"")</f>
        <v>0</v>
      </c>
      <c r="U32" s="27">
        <f>IF(K32="Válida",J32,"")</f>
        <v>0</v>
      </c>
    </row>
    <row r="33" spans="1:21">
      <c r="A33" s="25">
        <f>IF(MES!A33="","",MES!C33/48)</f>
        <v>0</v>
      </c>
      <c r="B33" s="26">
        <f>IF(A33="","",TEXT((N33*4+cfgDeslocamento)/48,"hh:mm")&amp;" a "&amp;TEXT(A33,"hh:mm"))</f>
        <v>0</v>
      </c>
      <c r="C33" s="27">
        <f>IF(A33="","",MES!B33)</f>
        <v>0</v>
      </c>
      <c r="D33" s="27">
        <f>IF(A33="","",IFERROR(AVERAGEIFS(Prensa!$B$2:$B$5001,Prensa!$E$2:$E$5001,N33,Prensa!$F$2:$F$5001,1,Prensa!$G$2:$G$5001,1),""))</f>
        <v>0</v>
      </c>
      <c r="E33" s="27">
        <f>IF(A33="","",IFERROR(AVERAGEIFS(Prensa!$B$2:$B$5001,Prensa!$E$2:$E$5001,N33,Prensa!$F$2:$F$5001,2,Prensa!$G$2:$G$5001,1),""))</f>
        <v>0</v>
      </c>
      <c r="F33" s="27">
        <f>IF(A33="","",IFERROR(AVERAGEIFS(Prensa!$B$2:$B$5001,Prensa!$E$2:$E$5001,N33,Prensa!$F$2:$F$5001,3,Prensa!$G$2:$G$5001,1),""))</f>
        <v>0</v>
      </c>
      <c r="G33" s="27">
        <f>IF(A33="","",IFERROR(AVERAGEIFS(Prensa!$B$2:$B$5001,Prensa!$E$2:$E$5001,N33,Prensa!$F$2:$F$5001,4,Prensa!$G$2:$G$5001,1),""))</f>
        <v>0</v>
      </c>
      <c r="H33" s="26">
        <f>IF(A33="","",COUNT(D33:G33))</f>
        <v>0</v>
      </c>
      <c r="I33" s="27">
        <f>IF(A33="","",IF(H33=0,"",AVERAGE(D33:G33)))</f>
        <v>0</v>
      </c>
      <c r="J33" s="27">
        <f>IF(OR(I33="",C33=""),"",I33-C33)</f>
        <v>0</v>
      </c>
      <c r="K33" s="26">
        <f>IF(A33="","",IF(MES!E33&lt;&gt;4,"Horário do MES fora do padrão",IF(H33&lt;cfgMinCortes,"Cortes insuficientes","Válida")))</f>
        <v>0</v>
      </c>
      <c r="L33" s="27">
        <f>IF(K33="Válida",ABS(J33),"")</f>
        <v>0</v>
      </c>
      <c r="M33" s="26">
        <f>IF(K33="Válida",IF(L33&lt;=cfgTolerancia,"Sim","Não"),"")</f>
        <v>0</v>
      </c>
      <c r="N33" s="26">
        <f>IF(A33="","",MES!D33)</f>
        <v>0</v>
      </c>
      <c r="O33" s="25">
        <f>IF(K33="Válida",A33,NA())</f>
        <v>0</v>
      </c>
      <c r="P33" s="27">
        <f>IF(K33="Válida",C33,NA())</f>
        <v>0</v>
      </c>
      <c r="Q33" s="27">
        <f>IF(K33="Válida",I33,NA())</f>
        <v>0</v>
      </c>
      <c r="R33" s="27">
        <f>IF(K33="Válida",J33,NA())</f>
        <v>0</v>
      </c>
      <c r="S33" s="27">
        <f>IF(K33="Válida",C33,"")</f>
        <v>0</v>
      </c>
      <c r="T33" s="27">
        <f>IF(K33="Válida",I33,"")</f>
        <v>0</v>
      </c>
      <c r="U33" s="27">
        <f>IF(K33="Válida",J33,"")</f>
        <v>0</v>
      </c>
    </row>
    <row r="34" spans="1:21">
      <c r="A34" s="25">
        <f>IF(MES!A34="","",MES!C34/48)</f>
        <v>0</v>
      </c>
      <c r="B34" s="26">
        <f>IF(A34="","",TEXT((N34*4+cfgDeslocamento)/48,"hh:mm")&amp;" a "&amp;TEXT(A34,"hh:mm"))</f>
        <v>0</v>
      </c>
      <c r="C34" s="27">
        <f>IF(A34="","",MES!B34)</f>
        <v>0</v>
      </c>
      <c r="D34" s="27">
        <f>IF(A34="","",IFERROR(AVERAGEIFS(Prensa!$B$2:$B$5001,Prensa!$E$2:$E$5001,N34,Prensa!$F$2:$F$5001,1,Prensa!$G$2:$G$5001,1),""))</f>
        <v>0</v>
      </c>
      <c r="E34" s="27">
        <f>IF(A34="","",IFERROR(AVERAGEIFS(Prensa!$B$2:$B$5001,Prensa!$E$2:$E$5001,N34,Prensa!$F$2:$F$5001,2,Prensa!$G$2:$G$5001,1),""))</f>
        <v>0</v>
      </c>
      <c r="F34" s="27">
        <f>IF(A34="","",IFERROR(AVERAGEIFS(Prensa!$B$2:$B$5001,Prensa!$E$2:$E$5001,N34,Prensa!$F$2:$F$5001,3,Prensa!$G$2:$G$5001,1),""))</f>
        <v>0</v>
      </c>
      <c r="G34" s="27">
        <f>IF(A34="","",IFERROR(AVERAGEIFS(Prensa!$B$2:$B$5001,Prensa!$E$2:$E$5001,N34,Prensa!$F$2:$F$5001,4,Prensa!$G$2:$G$5001,1),""))</f>
        <v>0</v>
      </c>
      <c r="H34" s="26">
        <f>IF(A34="","",COUNT(D34:G34))</f>
        <v>0</v>
      </c>
      <c r="I34" s="27">
        <f>IF(A34="","",IF(H34=0,"",AVERAGE(D34:G34)))</f>
        <v>0</v>
      </c>
      <c r="J34" s="27">
        <f>IF(OR(I34="",C34=""),"",I34-C34)</f>
        <v>0</v>
      </c>
      <c r="K34" s="26">
        <f>IF(A34="","",IF(MES!E34&lt;&gt;4,"Horário do MES fora do padrão",IF(H34&lt;cfgMinCortes,"Cortes insuficientes","Válida")))</f>
        <v>0</v>
      </c>
      <c r="L34" s="27">
        <f>IF(K34="Válida",ABS(J34),"")</f>
        <v>0</v>
      </c>
      <c r="M34" s="26">
        <f>IF(K34="Válida",IF(L34&lt;=cfgTolerancia,"Sim","Não"),"")</f>
        <v>0</v>
      </c>
      <c r="N34" s="26">
        <f>IF(A34="","",MES!D34)</f>
        <v>0</v>
      </c>
      <c r="O34" s="25">
        <f>IF(K34="Válida",A34,NA())</f>
        <v>0</v>
      </c>
      <c r="P34" s="27">
        <f>IF(K34="Válida",C34,NA())</f>
        <v>0</v>
      </c>
      <c r="Q34" s="27">
        <f>IF(K34="Válida",I34,NA())</f>
        <v>0</v>
      </c>
      <c r="R34" s="27">
        <f>IF(K34="Válida",J34,NA())</f>
        <v>0</v>
      </c>
      <c r="S34" s="27">
        <f>IF(K34="Válida",C34,"")</f>
        <v>0</v>
      </c>
      <c r="T34" s="27">
        <f>IF(K34="Válida",I34,"")</f>
        <v>0</v>
      </c>
      <c r="U34" s="27">
        <f>IF(K34="Válida",J34,"")</f>
        <v>0</v>
      </c>
    </row>
    <row r="35" spans="1:21">
      <c r="A35" s="25">
        <f>IF(MES!A35="","",MES!C35/48)</f>
        <v>0</v>
      </c>
      <c r="B35" s="26">
        <f>IF(A35="","",TEXT((N35*4+cfgDeslocamento)/48,"hh:mm")&amp;" a "&amp;TEXT(A35,"hh:mm"))</f>
        <v>0</v>
      </c>
      <c r="C35" s="27">
        <f>IF(A35="","",MES!B35)</f>
        <v>0</v>
      </c>
      <c r="D35" s="27">
        <f>IF(A35="","",IFERROR(AVERAGEIFS(Prensa!$B$2:$B$5001,Prensa!$E$2:$E$5001,N35,Prensa!$F$2:$F$5001,1,Prensa!$G$2:$G$5001,1),""))</f>
        <v>0</v>
      </c>
      <c r="E35" s="27">
        <f>IF(A35="","",IFERROR(AVERAGEIFS(Prensa!$B$2:$B$5001,Prensa!$E$2:$E$5001,N35,Prensa!$F$2:$F$5001,2,Prensa!$G$2:$G$5001,1),""))</f>
        <v>0</v>
      </c>
      <c r="F35" s="27">
        <f>IF(A35="","",IFERROR(AVERAGEIFS(Prensa!$B$2:$B$5001,Prensa!$E$2:$E$5001,N35,Prensa!$F$2:$F$5001,3,Prensa!$G$2:$G$5001,1),""))</f>
        <v>0</v>
      </c>
      <c r="G35" s="27">
        <f>IF(A35="","",IFERROR(AVERAGEIFS(Prensa!$B$2:$B$5001,Prensa!$E$2:$E$5001,N35,Prensa!$F$2:$F$5001,4,Prensa!$G$2:$G$5001,1),""))</f>
        <v>0</v>
      </c>
      <c r="H35" s="26">
        <f>IF(A35="","",COUNT(D35:G35))</f>
        <v>0</v>
      </c>
      <c r="I35" s="27">
        <f>IF(A35="","",IF(H35=0,"",AVERAGE(D35:G35)))</f>
        <v>0</v>
      </c>
      <c r="J35" s="27">
        <f>IF(OR(I35="",C35=""),"",I35-C35)</f>
        <v>0</v>
      </c>
      <c r="K35" s="26">
        <f>IF(A35="","",IF(MES!E35&lt;&gt;4,"Horário do MES fora do padrão",IF(H35&lt;cfgMinCortes,"Cortes insuficientes","Válida")))</f>
        <v>0</v>
      </c>
      <c r="L35" s="27">
        <f>IF(K35="Válida",ABS(J35),"")</f>
        <v>0</v>
      </c>
      <c r="M35" s="26">
        <f>IF(K35="Válida",IF(L35&lt;=cfgTolerancia,"Sim","Não"),"")</f>
        <v>0</v>
      </c>
      <c r="N35" s="26">
        <f>IF(A35="","",MES!D35)</f>
        <v>0</v>
      </c>
      <c r="O35" s="25">
        <f>IF(K35="Válida",A35,NA())</f>
        <v>0</v>
      </c>
      <c r="P35" s="27">
        <f>IF(K35="Válida",C35,NA())</f>
        <v>0</v>
      </c>
      <c r="Q35" s="27">
        <f>IF(K35="Válida",I35,NA())</f>
        <v>0</v>
      </c>
      <c r="R35" s="27">
        <f>IF(K35="Válida",J35,NA())</f>
        <v>0</v>
      </c>
      <c r="S35" s="27">
        <f>IF(K35="Válida",C35,"")</f>
        <v>0</v>
      </c>
      <c r="T35" s="27">
        <f>IF(K35="Válida",I35,"")</f>
        <v>0</v>
      </c>
      <c r="U35" s="27">
        <f>IF(K35="Válida",J35,"")</f>
        <v>0</v>
      </c>
    </row>
    <row r="36" spans="1:21">
      <c r="A36" s="25">
        <f>IF(MES!A36="","",MES!C36/48)</f>
        <v>0</v>
      </c>
      <c r="B36" s="26">
        <f>IF(A36="","",TEXT((N36*4+cfgDeslocamento)/48,"hh:mm")&amp;" a "&amp;TEXT(A36,"hh:mm"))</f>
        <v>0</v>
      </c>
      <c r="C36" s="27">
        <f>IF(A36="","",MES!B36)</f>
        <v>0</v>
      </c>
      <c r="D36" s="27">
        <f>IF(A36="","",IFERROR(AVERAGEIFS(Prensa!$B$2:$B$5001,Prensa!$E$2:$E$5001,N36,Prensa!$F$2:$F$5001,1,Prensa!$G$2:$G$5001,1),""))</f>
        <v>0</v>
      </c>
      <c r="E36" s="27">
        <f>IF(A36="","",IFERROR(AVERAGEIFS(Prensa!$B$2:$B$5001,Prensa!$E$2:$E$5001,N36,Prensa!$F$2:$F$5001,2,Prensa!$G$2:$G$5001,1),""))</f>
        <v>0</v>
      </c>
      <c r="F36" s="27">
        <f>IF(A36="","",IFERROR(AVERAGEIFS(Prensa!$B$2:$B$5001,Prensa!$E$2:$E$5001,N36,Prensa!$F$2:$F$5001,3,Prensa!$G$2:$G$5001,1),""))</f>
        <v>0</v>
      </c>
      <c r="G36" s="27">
        <f>IF(A36="","",IFERROR(AVERAGEIFS(Prensa!$B$2:$B$5001,Prensa!$E$2:$E$5001,N36,Prensa!$F$2:$F$5001,4,Prensa!$G$2:$G$5001,1),""))</f>
        <v>0</v>
      </c>
      <c r="H36" s="26">
        <f>IF(A36="","",COUNT(D36:G36))</f>
        <v>0</v>
      </c>
      <c r="I36" s="27">
        <f>IF(A36="","",IF(H36=0,"",AVERAGE(D36:G36)))</f>
        <v>0</v>
      </c>
      <c r="J36" s="27">
        <f>IF(OR(I36="",C36=""),"",I36-C36)</f>
        <v>0</v>
      </c>
      <c r="K36" s="26">
        <f>IF(A36="","",IF(MES!E36&lt;&gt;4,"Horário do MES fora do padrão",IF(H36&lt;cfgMinCortes,"Cortes insuficientes","Válida")))</f>
        <v>0</v>
      </c>
      <c r="L36" s="27">
        <f>IF(K36="Válida",ABS(J36),"")</f>
        <v>0</v>
      </c>
      <c r="M36" s="26">
        <f>IF(K36="Válida",IF(L36&lt;=cfgTolerancia,"Sim","Não"),"")</f>
        <v>0</v>
      </c>
      <c r="N36" s="26">
        <f>IF(A36="","",MES!D36)</f>
        <v>0</v>
      </c>
      <c r="O36" s="25">
        <f>IF(K36="Válida",A36,NA())</f>
        <v>0</v>
      </c>
      <c r="P36" s="27">
        <f>IF(K36="Válida",C36,NA())</f>
        <v>0</v>
      </c>
      <c r="Q36" s="27">
        <f>IF(K36="Válida",I36,NA())</f>
        <v>0</v>
      </c>
      <c r="R36" s="27">
        <f>IF(K36="Válida",J36,NA())</f>
        <v>0</v>
      </c>
      <c r="S36" s="27">
        <f>IF(K36="Válida",C36,"")</f>
        <v>0</v>
      </c>
      <c r="T36" s="27">
        <f>IF(K36="Válida",I36,"")</f>
        <v>0</v>
      </c>
      <c r="U36" s="27">
        <f>IF(K36="Válida",J36,"")</f>
        <v>0</v>
      </c>
    </row>
    <row r="37" spans="1:21">
      <c r="A37" s="25">
        <f>IF(MES!A37="","",MES!C37/48)</f>
        <v>0</v>
      </c>
      <c r="B37" s="26">
        <f>IF(A37="","",TEXT((N37*4+cfgDeslocamento)/48,"hh:mm")&amp;" a "&amp;TEXT(A37,"hh:mm"))</f>
        <v>0</v>
      </c>
      <c r="C37" s="27">
        <f>IF(A37="","",MES!B37)</f>
        <v>0</v>
      </c>
      <c r="D37" s="27">
        <f>IF(A37="","",IFERROR(AVERAGEIFS(Prensa!$B$2:$B$5001,Prensa!$E$2:$E$5001,N37,Prensa!$F$2:$F$5001,1,Prensa!$G$2:$G$5001,1),""))</f>
        <v>0</v>
      </c>
      <c r="E37" s="27">
        <f>IF(A37="","",IFERROR(AVERAGEIFS(Prensa!$B$2:$B$5001,Prensa!$E$2:$E$5001,N37,Prensa!$F$2:$F$5001,2,Prensa!$G$2:$G$5001,1),""))</f>
        <v>0</v>
      </c>
      <c r="F37" s="27">
        <f>IF(A37="","",IFERROR(AVERAGEIFS(Prensa!$B$2:$B$5001,Prensa!$E$2:$E$5001,N37,Prensa!$F$2:$F$5001,3,Prensa!$G$2:$G$5001,1),""))</f>
        <v>0</v>
      </c>
      <c r="G37" s="27">
        <f>IF(A37="","",IFERROR(AVERAGEIFS(Prensa!$B$2:$B$5001,Prensa!$E$2:$E$5001,N37,Prensa!$F$2:$F$5001,4,Prensa!$G$2:$G$5001,1),""))</f>
        <v>0</v>
      </c>
      <c r="H37" s="26">
        <f>IF(A37="","",COUNT(D37:G37))</f>
        <v>0</v>
      </c>
      <c r="I37" s="27">
        <f>IF(A37="","",IF(H37=0,"",AVERAGE(D37:G37)))</f>
        <v>0</v>
      </c>
      <c r="J37" s="27">
        <f>IF(OR(I37="",C37=""),"",I37-C37)</f>
        <v>0</v>
      </c>
      <c r="K37" s="26">
        <f>IF(A37="","",IF(MES!E37&lt;&gt;4,"Horário do MES fora do padrão",IF(H37&lt;cfgMinCortes,"Cortes insuficientes","Válida")))</f>
        <v>0</v>
      </c>
      <c r="L37" s="27">
        <f>IF(K37="Válida",ABS(J37),"")</f>
        <v>0</v>
      </c>
      <c r="M37" s="26">
        <f>IF(K37="Válida",IF(L37&lt;=cfgTolerancia,"Sim","Não"),"")</f>
        <v>0</v>
      </c>
      <c r="N37" s="26">
        <f>IF(A37="","",MES!D37)</f>
        <v>0</v>
      </c>
      <c r="O37" s="25">
        <f>IF(K37="Válida",A37,NA())</f>
        <v>0</v>
      </c>
      <c r="P37" s="27">
        <f>IF(K37="Válida",C37,NA())</f>
        <v>0</v>
      </c>
      <c r="Q37" s="27">
        <f>IF(K37="Válida",I37,NA())</f>
        <v>0</v>
      </c>
      <c r="R37" s="27">
        <f>IF(K37="Válida",J37,NA())</f>
        <v>0</v>
      </c>
      <c r="S37" s="27">
        <f>IF(K37="Válida",C37,"")</f>
        <v>0</v>
      </c>
      <c r="T37" s="27">
        <f>IF(K37="Válida",I37,"")</f>
        <v>0</v>
      </c>
      <c r="U37" s="27">
        <f>IF(K37="Válida",J37,"")</f>
        <v>0</v>
      </c>
    </row>
    <row r="38" spans="1:21">
      <c r="A38" s="25">
        <f>IF(MES!A38="","",MES!C38/48)</f>
        <v>0</v>
      </c>
      <c r="B38" s="26">
        <f>IF(A38="","",TEXT((N38*4+cfgDeslocamento)/48,"hh:mm")&amp;" a "&amp;TEXT(A38,"hh:mm"))</f>
        <v>0</v>
      </c>
      <c r="C38" s="27">
        <f>IF(A38="","",MES!B38)</f>
        <v>0</v>
      </c>
      <c r="D38" s="27">
        <f>IF(A38="","",IFERROR(AVERAGEIFS(Prensa!$B$2:$B$5001,Prensa!$E$2:$E$5001,N38,Prensa!$F$2:$F$5001,1,Prensa!$G$2:$G$5001,1),""))</f>
        <v>0</v>
      </c>
      <c r="E38" s="27">
        <f>IF(A38="","",IFERROR(AVERAGEIFS(Prensa!$B$2:$B$5001,Prensa!$E$2:$E$5001,N38,Prensa!$F$2:$F$5001,2,Prensa!$G$2:$G$5001,1),""))</f>
        <v>0</v>
      </c>
      <c r="F38" s="27">
        <f>IF(A38="","",IFERROR(AVERAGEIFS(Prensa!$B$2:$B$5001,Prensa!$E$2:$E$5001,N38,Prensa!$F$2:$F$5001,3,Prensa!$G$2:$G$5001,1),""))</f>
        <v>0</v>
      </c>
      <c r="G38" s="27">
        <f>IF(A38="","",IFERROR(AVERAGEIFS(Prensa!$B$2:$B$5001,Prensa!$E$2:$E$5001,N38,Prensa!$F$2:$F$5001,4,Prensa!$G$2:$G$5001,1),""))</f>
        <v>0</v>
      </c>
      <c r="H38" s="26">
        <f>IF(A38="","",COUNT(D38:G38))</f>
        <v>0</v>
      </c>
      <c r="I38" s="27">
        <f>IF(A38="","",IF(H38=0,"",AVERAGE(D38:G38)))</f>
        <v>0</v>
      </c>
      <c r="J38" s="27">
        <f>IF(OR(I38="",C38=""),"",I38-C38)</f>
        <v>0</v>
      </c>
      <c r="K38" s="26">
        <f>IF(A38="","",IF(MES!E38&lt;&gt;4,"Horário do MES fora do padrão",IF(H38&lt;cfgMinCortes,"Cortes insuficientes","Válida")))</f>
        <v>0</v>
      </c>
      <c r="L38" s="27">
        <f>IF(K38="Válida",ABS(J38),"")</f>
        <v>0</v>
      </c>
      <c r="M38" s="26">
        <f>IF(K38="Válida",IF(L38&lt;=cfgTolerancia,"Sim","Não"),"")</f>
        <v>0</v>
      </c>
      <c r="N38" s="26">
        <f>IF(A38="","",MES!D38)</f>
        <v>0</v>
      </c>
      <c r="O38" s="25">
        <f>IF(K38="Válida",A38,NA())</f>
        <v>0</v>
      </c>
      <c r="P38" s="27">
        <f>IF(K38="Válida",C38,NA())</f>
        <v>0</v>
      </c>
      <c r="Q38" s="27">
        <f>IF(K38="Válida",I38,NA())</f>
        <v>0</v>
      </c>
      <c r="R38" s="27">
        <f>IF(K38="Válida",J38,NA())</f>
        <v>0</v>
      </c>
      <c r="S38" s="27">
        <f>IF(K38="Válida",C38,"")</f>
        <v>0</v>
      </c>
      <c r="T38" s="27">
        <f>IF(K38="Válida",I38,"")</f>
        <v>0</v>
      </c>
      <c r="U38" s="27">
        <f>IF(K38="Válida",J38,"")</f>
        <v>0</v>
      </c>
    </row>
    <row r="39" spans="1:21">
      <c r="A39" s="25">
        <f>IF(MES!A39="","",MES!C39/48)</f>
        <v>0</v>
      </c>
      <c r="B39" s="26">
        <f>IF(A39="","",TEXT((N39*4+cfgDeslocamento)/48,"hh:mm")&amp;" a "&amp;TEXT(A39,"hh:mm"))</f>
        <v>0</v>
      </c>
      <c r="C39" s="27">
        <f>IF(A39="","",MES!B39)</f>
        <v>0</v>
      </c>
      <c r="D39" s="27">
        <f>IF(A39="","",IFERROR(AVERAGEIFS(Prensa!$B$2:$B$5001,Prensa!$E$2:$E$5001,N39,Prensa!$F$2:$F$5001,1,Prensa!$G$2:$G$5001,1),""))</f>
        <v>0</v>
      </c>
      <c r="E39" s="27">
        <f>IF(A39="","",IFERROR(AVERAGEIFS(Prensa!$B$2:$B$5001,Prensa!$E$2:$E$5001,N39,Prensa!$F$2:$F$5001,2,Prensa!$G$2:$G$5001,1),""))</f>
        <v>0</v>
      </c>
      <c r="F39" s="27">
        <f>IF(A39="","",IFERROR(AVERAGEIFS(Prensa!$B$2:$B$5001,Prensa!$E$2:$E$5001,N39,Prensa!$F$2:$F$5001,3,Prensa!$G$2:$G$5001,1),""))</f>
        <v>0</v>
      </c>
      <c r="G39" s="27">
        <f>IF(A39="","",IFERROR(AVERAGEIFS(Prensa!$B$2:$B$5001,Prensa!$E$2:$E$5001,N39,Prensa!$F$2:$F$5001,4,Prensa!$G$2:$G$5001,1),""))</f>
        <v>0</v>
      </c>
      <c r="H39" s="26">
        <f>IF(A39="","",COUNT(D39:G39))</f>
        <v>0</v>
      </c>
      <c r="I39" s="27">
        <f>IF(A39="","",IF(H39=0,"",AVERAGE(D39:G39)))</f>
        <v>0</v>
      </c>
      <c r="J39" s="27">
        <f>IF(OR(I39="",C39=""),"",I39-C39)</f>
        <v>0</v>
      </c>
      <c r="K39" s="26">
        <f>IF(A39="","",IF(MES!E39&lt;&gt;4,"Horário do MES fora do padrão",IF(H39&lt;cfgMinCortes,"Cortes insuficientes","Válida")))</f>
        <v>0</v>
      </c>
      <c r="L39" s="27">
        <f>IF(K39="Válida",ABS(J39),"")</f>
        <v>0</v>
      </c>
      <c r="M39" s="26">
        <f>IF(K39="Válida",IF(L39&lt;=cfgTolerancia,"Sim","Não"),"")</f>
        <v>0</v>
      </c>
      <c r="N39" s="26">
        <f>IF(A39="","",MES!D39)</f>
        <v>0</v>
      </c>
      <c r="O39" s="25">
        <f>IF(K39="Válida",A39,NA())</f>
        <v>0</v>
      </c>
      <c r="P39" s="27">
        <f>IF(K39="Válida",C39,NA())</f>
        <v>0</v>
      </c>
      <c r="Q39" s="27">
        <f>IF(K39="Válida",I39,NA())</f>
        <v>0</v>
      </c>
      <c r="R39" s="27">
        <f>IF(K39="Válida",J39,NA())</f>
        <v>0</v>
      </c>
      <c r="S39" s="27">
        <f>IF(K39="Válida",C39,"")</f>
        <v>0</v>
      </c>
      <c r="T39" s="27">
        <f>IF(K39="Válida",I39,"")</f>
        <v>0</v>
      </c>
      <c r="U39" s="27">
        <f>IF(K39="Válida",J39,"")</f>
        <v>0</v>
      </c>
    </row>
    <row r="40" spans="1:21">
      <c r="A40" s="25">
        <f>IF(MES!A40="","",MES!C40/48)</f>
        <v>0</v>
      </c>
      <c r="B40" s="26">
        <f>IF(A40="","",TEXT((N40*4+cfgDeslocamento)/48,"hh:mm")&amp;" a "&amp;TEXT(A40,"hh:mm"))</f>
        <v>0</v>
      </c>
      <c r="C40" s="27">
        <f>IF(A40="","",MES!B40)</f>
        <v>0</v>
      </c>
      <c r="D40" s="27">
        <f>IF(A40="","",IFERROR(AVERAGEIFS(Prensa!$B$2:$B$5001,Prensa!$E$2:$E$5001,N40,Prensa!$F$2:$F$5001,1,Prensa!$G$2:$G$5001,1),""))</f>
        <v>0</v>
      </c>
      <c r="E40" s="27">
        <f>IF(A40="","",IFERROR(AVERAGEIFS(Prensa!$B$2:$B$5001,Prensa!$E$2:$E$5001,N40,Prensa!$F$2:$F$5001,2,Prensa!$G$2:$G$5001,1),""))</f>
        <v>0</v>
      </c>
      <c r="F40" s="27">
        <f>IF(A40="","",IFERROR(AVERAGEIFS(Prensa!$B$2:$B$5001,Prensa!$E$2:$E$5001,N40,Prensa!$F$2:$F$5001,3,Prensa!$G$2:$G$5001,1),""))</f>
        <v>0</v>
      </c>
      <c r="G40" s="27">
        <f>IF(A40="","",IFERROR(AVERAGEIFS(Prensa!$B$2:$B$5001,Prensa!$E$2:$E$5001,N40,Prensa!$F$2:$F$5001,4,Prensa!$G$2:$G$5001,1),""))</f>
        <v>0</v>
      </c>
      <c r="H40" s="26">
        <f>IF(A40="","",COUNT(D40:G40))</f>
        <v>0</v>
      </c>
      <c r="I40" s="27">
        <f>IF(A40="","",IF(H40=0,"",AVERAGE(D40:G40)))</f>
        <v>0</v>
      </c>
      <c r="J40" s="27">
        <f>IF(OR(I40="",C40=""),"",I40-C40)</f>
        <v>0</v>
      </c>
      <c r="K40" s="26">
        <f>IF(A40="","",IF(MES!E40&lt;&gt;4,"Horário do MES fora do padrão",IF(H40&lt;cfgMinCortes,"Cortes insuficientes","Válida")))</f>
        <v>0</v>
      </c>
      <c r="L40" s="27">
        <f>IF(K40="Válida",ABS(J40),"")</f>
        <v>0</v>
      </c>
      <c r="M40" s="26">
        <f>IF(K40="Válida",IF(L40&lt;=cfgTolerancia,"Sim","Não"),"")</f>
        <v>0</v>
      </c>
      <c r="N40" s="26">
        <f>IF(A40="","",MES!D40)</f>
        <v>0</v>
      </c>
      <c r="O40" s="25">
        <f>IF(K40="Válida",A40,NA())</f>
        <v>0</v>
      </c>
      <c r="P40" s="27">
        <f>IF(K40="Válida",C40,NA())</f>
        <v>0</v>
      </c>
      <c r="Q40" s="27">
        <f>IF(K40="Válida",I40,NA())</f>
        <v>0</v>
      </c>
      <c r="R40" s="27">
        <f>IF(K40="Válida",J40,NA())</f>
        <v>0</v>
      </c>
      <c r="S40" s="27">
        <f>IF(K40="Válida",C40,"")</f>
        <v>0</v>
      </c>
      <c r="T40" s="27">
        <f>IF(K40="Válida",I40,"")</f>
        <v>0</v>
      </c>
      <c r="U40" s="27">
        <f>IF(K40="Válida",J40,"")</f>
        <v>0</v>
      </c>
    </row>
    <row r="41" spans="1:21">
      <c r="A41" s="25">
        <f>IF(MES!A41="","",MES!C41/48)</f>
        <v>0</v>
      </c>
      <c r="B41" s="26">
        <f>IF(A41="","",TEXT((N41*4+cfgDeslocamento)/48,"hh:mm")&amp;" a "&amp;TEXT(A41,"hh:mm"))</f>
        <v>0</v>
      </c>
      <c r="C41" s="27">
        <f>IF(A41="","",MES!B41)</f>
        <v>0</v>
      </c>
      <c r="D41" s="27">
        <f>IF(A41="","",IFERROR(AVERAGEIFS(Prensa!$B$2:$B$5001,Prensa!$E$2:$E$5001,N41,Prensa!$F$2:$F$5001,1,Prensa!$G$2:$G$5001,1),""))</f>
        <v>0</v>
      </c>
      <c r="E41" s="27">
        <f>IF(A41="","",IFERROR(AVERAGEIFS(Prensa!$B$2:$B$5001,Prensa!$E$2:$E$5001,N41,Prensa!$F$2:$F$5001,2,Prensa!$G$2:$G$5001,1),""))</f>
        <v>0</v>
      </c>
      <c r="F41" s="27">
        <f>IF(A41="","",IFERROR(AVERAGEIFS(Prensa!$B$2:$B$5001,Prensa!$E$2:$E$5001,N41,Prensa!$F$2:$F$5001,3,Prensa!$G$2:$G$5001,1),""))</f>
        <v>0</v>
      </c>
      <c r="G41" s="27">
        <f>IF(A41="","",IFERROR(AVERAGEIFS(Prensa!$B$2:$B$5001,Prensa!$E$2:$E$5001,N41,Prensa!$F$2:$F$5001,4,Prensa!$G$2:$G$5001,1),""))</f>
        <v>0</v>
      </c>
      <c r="H41" s="26">
        <f>IF(A41="","",COUNT(D41:G41))</f>
        <v>0</v>
      </c>
      <c r="I41" s="27">
        <f>IF(A41="","",IF(H41=0,"",AVERAGE(D41:G41)))</f>
        <v>0</v>
      </c>
      <c r="J41" s="27">
        <f>IF(OR(I41="",C41=""),"",I41-C41)</f>
        <v>0</v>
      </c>
      <c r="K41" s="26">
        <f>IF(A41="","",IF(MES!E41&lt;&gt;4,"Horário do MES fora do padrão",IF(H41&lt;cfgMinCortes,"Cortes insuficientes","Válida")))</f>
        <v>0</v>
      </c>
      <c r="L41" s="27">
        <f>IF(K41="Válida",ABS(J41),"")</f>
        <v>0</v>
      </c>
      <c r="M41" s="26">
        <f>IF(K41="Válida",IF(L41&lt;=cfgTolerancia,"Sim","Não"),"")</f>
        <v>0</v>
      </c>
      <c r="N41" s="26">
        <f>IF(A41="","",MES!D41)</f>
        <v>0</v>
      </c>
      <c r="O41" s="25">
        <f>IF(K41="Válida",A41,NA())</f>
        <v>0</v>
      </c>
      <c r="P41" s="27">
        <f>IF(K41="Válida",C41,NA())</f>
        <v>0</v>
      </c>
      <c r="Q41" s="27">
        <f>IF(K41="Válida",I41,NA())</f>
        <v>0</v>
      </c>
      <c r="R41" s="27">
        <f>IF(K41="Válida",J41,NA())</f>
        <v>0</v>
      </c>
      <c r="S41" s="27">
        <f>IF(K41="Válida",C41,"")</f>
        <v>0</v>
      </c>
      <c r="T41" s="27">
        <f>IF(K41="Válida",I41,"")</f>
        <v>0</v>
      </c>
      <c r="U41" s="27">
        <f>IF(K41="Válida",J41,"")</f>
        <v>0</v>
      </c>
    </row>
    <row r="42" spans="1:21">
      <c r="A42" s="25">
        <f>IF(MES!A42="","",MES!C42/48)</f>
        <v>0</v>
      </c>
      <c r="B42" s="26">
        <f>IF(A42="","",TEXT((N42*4+cfgDeslocamento)/48,"hh:mm")&amp;" a "&amp;TEXT(A42,"hh:mm"))</f>
        <v>0</v>
      </c>
      <c r="C42" s="27">
        <f>IF(A42="","",MES!B42)</f>
        <v>0</v>
      </c>
      <c r="D42" s="27">
        <f>IF(A42="","",IFERROR(AVERAGEIFS(Prensa!$B$2:$B$5001,Prensa!$E$2:$E$5001,N42,Prensa!$F$2:$F$5001,1,Prensa!$G$2:$G$5001,1),""))</f>
        <v>0</v>
      </c>
      <c r="E42" s="27">
        <f>IF(A42="","",IFERROR(AVERAGEIFS(Prensa!$B$2:$B$5001,Prensa!$E$2:$E$5001,N42,Prensa!$F$2:$F$5001,2,Prensa!$G$2:$G$5001,1),""))</f>
        <v>0</v>
      </c>
      <c r="F42" s="27">
        <f>IF(A42="","",IFERROR(AVERAGEIFS(Prensa!$B$2:$B$5001,Prensa!$E$2:$E$5001,N42,Prensa!$F$2:$F$5001,3,Prensa!$G$2:$G$5001,1),""))</f>
        <v>0</v>
      </c>
      <c r="G42" s="27">
        <f>IF(A42="","",IFERROR(AVERAGEIFS(Prensa!$B$2:$B$5001,Prensa!$E$2:$E$5001,N42,Prensa!$F$2:$F$5001,4,Prensa!$G$2:$G$5001,1),""))</f>
        <v>0</v>
      </c>
      <c r="H42" s="26">
        <f>IF(A42="","",COUNT(D42:G42))</f>
        <v>0</v>
      </c>
      <c r="I42" s="27">
        <f>IF(A42="","",IF(H42=0,"",AVERAGE(D42:G42)))</f>
        <v>0</v>
      </c>
      <c r="J42" s="27">
        <f>IF(OR(I42="",C42=""),"",I42-C42)</f>
        <v>0</v>
      </c>
      <c r="K42" s="26">
        <f>IF(A42="","",IF(MES!E42&lt;&gt;4,"Horário do MES fora do padrão",IF(H42&lt;cfgMinCortes,"Cortes insuficientes","Válida")))</f>
        <v>0</v>
      </c>
      <c r="L42" s="27">
        <f>IF(K42="Válida",ABS(J42),"")</f>
        <v>0</v>
      </c>
      <c r="M42" s="26">
        <f>IF(K42="Válida",IF(L42&lt;=cfgTolerancia,"Sim","Não"),"")</f>
        <v>0</v>
      </c>
      <c r="N42" s="26">
        <f>IF(A42="","",MES!D42)</f>
        <v>0</v>
      </c>
      <c r="O42" s="25">
        <f>IF(K42="Válida",A42,NA())</f>
        <v>0</v>
      </c>
      <c r="P42" s="27">
        <f>IF(K42="Válida",C42,NA())</f>
        <v>0</v>
      </c>
      <c r="Q42" s="27">
        <f>IF(K42="Válida",I42,NA())</f>
        <v>0</v>
      </c>
      <c r="R42" s="27">
        <f>IF(K42="Válida",J42,NA())</f>
        <v>0</v>
      </c>
      <c r="S42" s="27">
        <f>IF(K42="Válida",C42,"")</f>
        <v>0</v>
      </c>
      <c r="T42" s="27">
        <f>IF(K42="Válida",I42,"")</f>
        <v>0</v>
      </c>
      <c r="U42" s="27">
        <f>IF(K42="Válida",J42,"")</f>
        <v>0</v>
      </c>
    </row>
    <row r="43" spans="1:21">
      <c r="A43" s="25">
        <f>IF(MES!A43="","",MES!C43/48)</f>
        <v>0</v>
      </c>
      <c r="B43" s="26">
        <f>IF(A43="","",TEXT((N43*4+cfgDeslocamento)/48,"hh:mm")&amp;" a "&amp;TEXT(A43,"hh:mm"))</f>
        <v>0</v>
      </c>
      <c r="C43" s="27">
        <f>IF(A43="","",MES!B43)</f>
        <v>0</v>
      </c>
      <c r="D43" s="27">
        <f>IF(A43="","",IFERROR(AVERAGEIFS(Prensa!$B$2:$B$5001,Prensa!$E$2:$E$5001,N43,Prensa!$F$2:$F$5001,1,Prensa!$G$2:$G$5001,1),""))</f>
        <v>0</v>
      </c>
      <c r="E43" s="27">
        <f>IF(A43="","",IFERROR(AVERAGEIFS(Prensa!$B$2:$B$5001,Prensa!$E$2:$E$5001,N43,Prensa!$F$2:$F$5001,2,Prensa!$G$2:$G$5001,1),""))</f>
        <v>0</v>
      </c>
      <c r="F43" s="27">
        <f>IF(A43="","",IFERROR(AVERAGEIFS(Prensa!$B$2:$B$5001,Prensa!$E$2:$E$5001,N43,Prensa!$F$2:$F$5001,3,Prensa!$G$2:$G$5001,1),""))</f>
        <v>0</v>
      </c>
      <c r="G43" s="27">
        <f>IF(A43="","",IFERROR(AVERAGEIFS(Prensa!$B$2:$B$5001,Prensa!$E$2:$E$5001,N43,Prensa!$F$2:$F$5001,4,Prensa!$G$2:$G$5001,1),""))</f>
        <v>0</v>
      </c>
      <c r="H43" s="26">
        <f>IF(A43="","",COUNT(D43:G43))</f>
        <v>0</v>
      </c>
      <c r="I43" s="27">
        <f>IF(A43="","",IF(H43=0,"",AVERAGE(D43:G43)))</f>
        <v>0</v>
      </c>
      <c r="J43" s="27">
        <f>IF(OR(I43="",C43=""),"",I43-C43)</f>
        <v>0</v>
      </c>
      <c r="K43" s="26">
        <f>IF(A43="","",IF(MES!E43&lt;&gt;4,"Horário do MES fora do padrão",IF(H43&lt;cfgMinCortes,"Cortes insuficientes","Válida")))</f>
        <v>0</v>
      </c>
      <c r="L43" s="27">
        <f>IF(K43="Válida",ABS(J43),"")</f>
        <v>0</v>
      </c>
      <c r="M43" s="26">
        <f>IF(K43="Válida",IF(L43&lt;=cfgTolerancia,"Sim","Não"),"")</f>
        <v>0</v>
      </c>
      <c r="N43" s="26">
        <f>IF(A43="","",MES!D43)</f>
        <v>0</v>
      </c>
      <c r="O43" s="25">
        <f>IF(K43="Válida",A43,NA())</f>
        <v>0</v>
      </c>
      <c r="P43" s="27">
        <f>IF(K43="Válida",C43,NA())</f>
        <v>0</v>
      </c>
      <c r="Q43" s="27">
        <f>IF(K43="Válida",I43,NA())</f>
        <v>0</v>
      </c>
      <c r="R43" s="27">
        <f>IF(K43="Válida",J43,NA())</f>
        <v>0</v>
      </c>
      <c r="S43" s="27">
        <f>IF(K43="Válida",C43,"")</f>
        <v>0</v>
      </c>
      <c r="T43" s="27">
        <f>IF(K43="Válida",I43,"")</f>
        <v>0</v>
      </c>
      <c r="U43" s="27">
        <f>IF(K43="Válida",J43,"")</f>
        <v>0</v>
      </c>
    </row>
    <row r="44" spans="1:21">
      <c r="A44" s="25">
        <f>IF(MES!A44="","",MES!C44/48)</f>
        <v>0</v>
      </c>
      <c r="B44" s="26">
        <f>IF(A44="","",TEXT((N44*4+cfgDeslocamento)/48,"hh:mm")&amp;" a "&amp;TEXT(A44,"hh:mm"))</f>
        <v>0</v>
      </c>
      <c r="C44" s="27">
        <f>IF(A44="","",MES!B44)</f>
        <v>0</v>
      </c>
      <c r="D44" s="27">
        <f>IF(A44="","",IFERROR(AVERAGEIFS(Prensa!$B$2:$B$5001,Prensa!$E$2:$E$5001,N44,Prensa!$F$2:$F$5001,1,Prensa!$G$2:$G$5001,1),""))</f>
        <v>0</v>
      </c>
      <c r="E44" s="27">
        <f>IF(A44="","",IFERROR(AVERAGEIFS(Prensa!$B$2:$B$5001,Prensa!$E$2:$E$5001,N44,Prensa!$F$2:$F$5001,2,Prensa!$G$2:$G$5001,1),""))</f>
        <v>0</v>
      </c>
      <c r="F44" s="27">
        <f>IF(A44="","",IFERROR(AVERAGEIFS(Prensa!$B$2:$B$5001,Prensa!$E$2:$E$5001,N44,Prensa!$F$2:$F$5001,3,Prensa!$G$2:$G$5001,1),""))</f>
        <v>0</v>
      </c>
      <c r="G44" s="27">
        <f>IF(A44="","",IFERROR(AVERAGEIFS(Prensa!$B$2:$B$5001,Prensa!$E$2:$E$5001,N44,Prensa!$F$2:$F$5001,4,Prensa!$G$2:$G$5001,1),""))</f>
        <v>0</v>
      </c>
      <c r="H44" s="26">
        <f>IF(A44="","",COUNT(D44:G44))</f>
        <v>0</v>
      </c>
      <c r="I44" s="27">
        <f>IF(A44="","",IF(H44=0,"",AVERAGE(D44:G44)))</f>
        <v>0</v>
      </c>
      <c r="J44" s="27">
        <f>IF(OR(I44="",C44=""),"",I44-C44)</f>
        <v>0</v>
      </c>
      <c r="K44" s="26">
        <f>IF(A44="","",IF(MES!E44&lt;&gt;4,"Horário do MES fora do padrão",IF(H44&lt;cfgMinCortes,"Cortes insuficientes","Válida")))</f>
        <v>0</v>
      </c>
      <c r="L44" s="27">
        <f>IF(K44="Válida",ABS(J44),"")</f>
        <v>0</v>
      </c>
      <c r="M44" s="26">
        <f>IF(K44="Válida",IF(L44&lt;=cfgTolerancia,"Sim","Não"),"")</f>
        <v>0</v>
      </c>
      <c r="N44" s="26">
        <f>IF(A44="","",MES!D44)</f>
        <v>0</v>
      </c>
      <c r="O44" s="25">
        <f>IF(K44="Válida",A44,NA())</f>
        <v>0</v>
      </c>
      <c r="P44" s="27">
        <f>IF(K44="Válida",C44,NA())</f>
        <v>0</v>
      </c>
      <c r="Q44" s="27">
        <f>IF(K44="Válida",I44,NA())</f>
        <v>0</v>
      </c>
      <c r="R44" s="27">
        <f>IF(K44="Válida",J44,NA())</f>
        <v>0</v>
      </c>
      <c r="S44" s="27">
        <f>IF(K44="Válida",C44,"")</f>
        <v>0</v>
      </c>
      <c r="T44" s="27">
        <f>IF(K44="Válida",I44,"")</f>
        <v>0</v>
      </c>
      <c r="U44" s="27">
        <f>IF(K44="Válida",J44,"")</f>
        <v>0</v>
      </c>
    </row>
    <row r="45" spans="1:21">
      <c r="A45" s="25">
        <f>IF(MES!A45="","",MES!C45/48)</f>
        <v>0</v>
      </c>
      <c r="B45" s="26">
        <f>IF(A45="","",TEXT((N45*4+cfgDeslocamento)/48,"hh:mm")&amp;" a "&amp;TEXT(A45,"hh:mm"))</f>
        <v>0</v>
      </c>
      <c r="C45" s="27">
        <f>IF(A45="","",MES!B45)</f>
        <v>0</v>
      </c>
      <c r="D45" s="27">
        <f>IF(A45="","",IFERROR(AVERAGEIFS(Prensa!$B$2:$B$5001,Prensa!$E$2:$E$5001,N45,Prensa!$F$2:$F$5001,1,Prensa!$G$2:$G$5001,1),""))</f>
        <v>0</v>
      </c>
      <c r="E45" s="27">
        <f>IF(A45="","",IFERROR(AVERAGEIFS(Prensa!$B$2:$B$5001,Prensa!$E$2:$E$5001,N45,Prensa!$F$2:$F$5001,2,Prensa!$G$2:$G$5001,1),""))</f>
        <v>0</v>
      </c>
      <c r="F45" s="27">
        <f>IF(A45="","",IFERROR(AVERAGEIFS(Prensa!$B$2:$B$5001,Prensa!$E$2:$E$5001,N45,Prensa!$F$2:$F$5001,3,Prensa!$G$2:$G$5001,1),""))</f>
        <v>0</v>
      </c>
      <c r="G45" s="27">
        <f>IF(A45="","",IFERROR(AVERAGEIFS(Prensa!$B$2:$B$5001,Prensa!$E$2:$E$5001,N45,Prensa!$F$2:$F$5001,4,Prensa!$G$2:$G$5001,1),""))</f>
        <v>0</v>
      </c>
      <c r="H45" s="26">
        <f>IF(A45="","",COUNT(D45:G45))</f>
        <v>0</v>
      </c>
      <c r="I45" s="27">
        <f>IF(A45="","",IF(H45=0,"",AVERAGE(D45:G45)))</f>
        <v>0</v>
      </c>
      <c r="J45" s="27">
        <f>IF(OR(I45="",C45=""),"",I45-C45)</f>
        <v>0</v>
      </c>
      <c r="K45" s="26">
        <f>IF(A45="","",IF(MES!E45&lt;&gt;4,"Horário do MES fora do padrão",IF(H45&lt;cfgMinCortes,"Cortes insuficientes","Válida")))</f>
        <v>0</v>
      </c>
      <c r="L45" s="27">
        <f>IF(K45="Válida",ABS(J45),"")</f>
        <v>0</v>
      </c>
      <c r="M45" s="26">
        <f>IF(K45="Válida",IF(L45&lt;=cfgTolerancia,"Sim","Não"),"")</f>
        <v>0</v>
      </c>
      <c r="N45" s="26">
        <f>IF(A45="","",MES!D45)</f>
        <v>0</v>
      </c>
      <c r="O45" s="25">
        <f>IF(K45="Válida",A45,NA())</f>
        <v>0</v>
      </c>
      <c r="P45" s="27">
        <f>IF(K45="Válida",C45,NA())</f>
        <v>0</v>
      </c>
      <c r="Q45" s="27">
        <f>IF(K45="Válida",I45,NA())</f>
        <v>0</v>
      </c>
      <c r="R45" s="27">
        <f>IF(K45="Válida",J45,NA())</f>
        <v>0</v>
      </c>
      <c r="S45" s="27">
        <f>IF(K45="Válida",C45,"")</f>
        <v>0</v>
      </c>
      <c r="T45" s="27">
        <f>IF(K45="Válida",I45,"")</f>
        <v>0</v>
      </c>
      <c r="U45" s="27">
        <f>IF(K45="Válida",J45,"")</f>
        <v>0</v>
      </c>
    </row>
    <row r="46" spans="1:21">
      <c r="A46" s="25">
        <f>IF(MES!A46="","",MES!C46/48)</f>
        <v>0</v>
      </c>
      <c r="B46" s="26">
        <f>IF(A46="","",TEXT((N46*4+cfgDeslocamento)/48,"hh:mm")&amp;" a "&amp;TEXT(A46,"hh:mm"))</f>
        <v>0</v>
      </c>
      <c r="C46" s="27">
        <f>IF(A46="","",MES!B46)</f>
        <v>0</v>
      </c>
      <c r="D46" s="27">
        <f>IF(A46="","",IFERROR(AVERAGEIFS(Prensa!$B$2:$B$5001,Prensa!$E$2:$E$5001,N46,Prensa!$F$2:$F$5001,1,Prensa!$G$2:$G$5001,1),""))</f>
        <v>0</v>
      </c>
      <c r="E46" s="27">
        <f>IF(A46="","",IFERROR(AVERAGEIFS(Prensa!$B$2:$B$5001,Prensa!$E$2:$E$5001,N46,Prensa!$F$2:$F$5001,2,Prensa!$G$2:$G$5001,1),""))</f>
        <v>0</v>
      </c>
      <c r="F46" s="27">
        <f>IF(A46="","",IFERROR(AVERAGEIFS(Prensa!$B$2:$B$5001,Prensa!$E$2:$E$5001,N46,Prensa!$F$2:$F$5001,3,Prensa!$G$2:$G$5001,1),""))</f>
        <v>0</v>
      </c>
      <c r="G46" s="27">
        <f>IF(A46="","",IFERROR(AVERAGEIFS(Prensa!$B$2:$B$5001,Prensa!$E$2:$E$5001,N46,Prensa!$F$2:$F$5001,4,Prensa!$G$2:$G$5001,1),""))</f>
        <v>0</v>
      </c>
      <c r="H46" s="26">
        <f>IF(A46="","",COUNT(D46:G46))</f>
        <v>0</v>
      </c>
      <c r="I46" s="27">
        <f>IF(A46="","",IF(H46=0,"",AVERAGE(D46:G46)))</f>
        <v>0</v>
      </c>
      <c r="J46" s="27">
        <f>IF(OR(I46="",C46=""),"",I46-C46)</f>
        <v>0</v>
      </c>
      <c r="K46" s="26">
        <f>IF(A46="","",IF(MES!E46&lt;&gt;4,"Horário do MES fora do padrão",IF(H46&lt;cfgMinCortes,"Cortes insuficientes","Válida")))</f>
        <v>0</v>
      </c>
      <c r="L46" s="27">
        <f>IF(K46="Válida",ABS(J46),"")</f>
        <v>0</v>
      </c>
      <c r="M46" s="26">
        <f>IF(K46="Válida",IF(L46&lt;=cfgTolerancia,"Sim","Não"),"")</f>
        <v>0</v>
      </c>
      <c r="N46" s="26">
        <f>IF(A46="","",MES!D46)</f>
        <v>0</v>
      </c>
      <c r="O46" s="25">
        <f>IF(K46="Válida",A46,NA())</f>
        <v>0</v>
      </c>
      <c r="P46" s="27">
        <f>IF(K46="Válida",C46,NA())</f>
        <v>0</v>
      </c>
      <c r="Q46" s="27">
        <f>IF(K46="Válida",I46,NA())</f>
        <v>0</v>
      </c>
      <c r="R46" s="27">
        <f>IF(K46="Válida",J46,NA())</f>
        <v>0</v>
      </c>
      <c r="S46" s="27">
        <f>IF(K46="Válida",C46,"")</f>
        <v>0</v>
      </c>
      <c r="T46" s="27">
        <f>IF(K46="Válida",I46,"")</f>
        <v>0</v>
      </c>
      <c r="U46" s="27">
        <f>IF(K46="Válida",J46,"")</f>
        <v>0</v>
      </c>
    </row>
    <row r="47" spans="1:21">
      <c r="A47" s="25">
        <f>IF(MES!A47="","",MES!C47/48)</f>
        <v>0</v>
      </c>
      <c r="B47" s="26">
        <f>IF(A47="","",TEXT((N47*4+cfgDeslocamento)/48,"hh:mm")&amp;" a "&amp;TEXT(A47,"hh:mm"))</f>
        <v>0</v>
      </c>
      <c r="C47" s="27">
        <f>IF(A47="","",MES!B47)</f>
        <v>0</v>
      </c>
      <c r="D47" s="27">
        <f>IF(A47="","",IFERROR(AVERAGEIFS(Prensa!$B$2:$B$5001,Prensa!$E$2:$E$5001,N47,Prensa!$F$2:$F$5001,1,Prensa!$G$2:$G$5001,1),""))</f>
        <v>0</v>
      </c>
      <c r="E47" s="27">
        <f>IF(A47="","",IFERROR(AVERAGEIFS(Prensa!$B$2:$B$5001,Prensa!$E$2:$E$5001,N47,Prensa!$F$2:$F$5001,2,Prensa!$G$2:$G$5001,1),""))</f>
        <v>0</v>
      </c>
      <c r="F47" s="27">
        <f>IF(A47="","",IFERROR(AVERAGEIFS(Prensa!$B$2:$B$5001,Prensa!$E$2:$E$5001,N47,Prensa!$F$2:$F$5001,3,Prensa!$G$2:$G$5001,1),""))</f>
        <v>0</v>
      </c>
      <c r="G47" s="27">
        <f>IF(A47="","",IFERROR(AVERAGEIFS(Prensa!$B$2:$B$5001,Prensa!$E$2:$E$5001,N47,Prensa!$F$2:$F$5001,4,Prensa!$G$2:$G$5001,1),""))</f>
        <v>0</v>
      </c>
      <c r="H47" s="26">
        <f>IF(A47="","",COUNT(D47:G47))</f>
        <v>0</v>
      </c>
      <c r="I47" s="27">
        <f>IF(A47="","",IF(H47=0,"",AVERAGE(D47:G47)))</f>
        <v>0</v>
      </c>
      <c r="J47" s="27">
        <f>IF(OR(I47="",C47=""),"",I47-C47)</f>
        <v>0</v>
      </c>
      <c r="K47" s="26">
        <f>IF(A47="","",IF(MES!E47&lt;&gt;4,"Horário do MES fora do padrão",IF(H47&lt;cfgMinCortes,"Cortes insuficientes","Válida")))</f>
        <v>0</v>
      </c>
      <c r="L47" s="27">
        <f>IF(K47="Válida",ABS(J47),"")</f>
        <v>0</v>
      </c>
      <c r="M47" s="26">
        <f>IF(K47="Válida",IF(L47&lt;=cfgTolerancia,"Sim","Não"),"")</f>
        <v>0</v>
      </c>
      <c r="N47" s="26">
        <f>IF(A47="","",MES!D47)</f>
        <v>0</v>
      </c>
      <c r="O47" s="25">
        <f>IF(K47="Válida",A47,NA())</f>
        <v>0</v>
      </c>
      <c r="P47" s="27">
        <f>IF(K47="Válida",C47,NA())</f>
        <v>0</v>
      </c>
      <c r="Q47" s="27">
        <f>IF(K47="Válida",I47,NA())</f>
        <v>0</v>
      </c>
      <c r="R47" s="27">
        <f>IF(K47="Válida",J47,NA())</f>
        <v>0</v>
      </c>
      <c r="S47" s="27">
        <f>IF(K47="Válida",C47,"")</f>
        <v>0</v>
      </c>
      <c r="T47" s="27">
        <f>IF(K47="Válida",I47,"")</f>
        <v>0</v>
      </c>
      <c r="U47" s="27">
        <f>IF(K47="Válida",J47,"")</f>
        <v>0</v>
      </c>
    </row>
    <row r="48" spans="1:21">
      <c r="A48" s="25">
        <f>IF(MES!A48="","",MES!C48/48)</f>
        <v>0</v>
      </c>
      <c r="B48" s="26">
        <f>IF(A48="","",TEXT((N48*4+cfgDeslocamento)/48,"hh:mm")&amp;" a "&amp;TEXT(A48,"hh:mm"))</f>
        <v>0</v>
      </c>
      <c r="C48" s="27">
        <f>IF(A48="","",MES!B48)</f>
        <v>0</v>
      </c>
      <c r="D48" s="27">
        <f>IF(A48="","",IFERROR(AVERAGEIFS(Prensa!$B$2:$B$5001,Prensa!$E$2:$E$5001,N48,Prensa!$F$2:$F$5001,1,Prensa!$G$2:$G$5001,1),""))</f>
        <v>0</v>
      </c>
      <c r="E48" s="27">
        <f>IF(A48="","",IFERROR(AVERAGEIFS(Prensa!$B$2:$B$5001,Prensa!$E$2:$E$5001,N48,Prensa!$F$2:$F$5001,2,Prensa!$G$2:$G$5001,1),""))</f>
        <v>0</v>
      </c>
      <c r="F48" s="27">
        <f>IF(A48="","",IFERROR(AVERAGEIFS(Prensa!$B$2:$B$5001,Prensa!$E$2:$E$5001,N48,Prensa!$F$2:$F$5001,3,Prensa!$G$2:$G$5001,1),""))</f>
        <v>0</v>
      </c>
      <c r="G48" s="27">
        <f>IF(A48="","",IFERROR(AVERAGEIFS(Prensa!$B$2:$B$5001,Prensa!$E$2:$E$5001,N48,Prensa!$F$2:$F$5001,4,Prensa!$G$2:$G$5001,1),""))</f>
        <v>0</v>
      </c>
      <c r="H48" s="26">
        <f>IF(A48="","",COUNT(D48:G48))</f>
        <v>0</v>
      </c>
      <c r="I48" s="27">
        <f>IF(A48="","",IF(H48=0,"",AVERAGE(D48:G48)))</f>
        <v>0</v>
      </c>
      <c r="J48" s="27">
        <f>IF(OR(I48="",C48=""),"",I48-C48)</f>
        <v>0</v>
      </c>
      <c r="K48" s="26">
        <f>IF(A48="","",IF(MES!E48&lt;&gt;4,"Horário do MES fora do padrão",IF(H48&lt;cfgMinCortes,"Cortes insuficientes","Válida")))</f>
        <v>0</v>
      </c>
      <c r="L48" s="27">
        <f>IF(K48="Válida",ABS(J48),"")</f>
        <v>0</v>
      </c>
      <c r="M48" s="26">
        <f>IF(K48="Válida",IF(L48&lt;=cfgTolerancia,"Sim","Não"),"")</f>
        <v>0</v>
      </c>
      <c r="N48" s="26">
        <f>IF(A48="","",MES!D48)</f>
        <v>0</v>
      </c>
      <c r="O48" s="25">
        <f>IF(K48="Válida",A48,NA())</f>
        <v>0</v>
      </c>
      <c r="P48" s="27">
        <f>IF(K48="Válida",C48,NA())</f>
        <v>0</v>
      </c>
      <c r="Q48" s="27">
        <f>IF(K48="Válida",I48,NA())</f>
        <v>0</v>
      </c>
      <c r="R48" s="27">
        <f>IF(K48="Válida",J48,NA())</f>
        <v>0</v>
      </c>
      <c r="S48" s="27">
        <f>IF(K48="Válida",C48,"")</f>
        <v>0</v>
      </c>
      <c r="T48" s="27">
        <f>IF(K48="Válida",I48,"")</f>
        <v>0</v>
      </c>
      <c r="U48" s="27">
        <f>IF(K48="Válida",J48,"")</f>
        <v>0</v>
      </c>
    </row>
    <row r="49" spans="1:21">
      <c r="A49" s="25">
        <f>IF(MES!A49="","",MES!C49/48)</f>
        <v>0</v>
      </c>
      <c r="B49" s="26">
        <f>IF(A49="","",TEXT((N49*4+cfgDeslocamento)/48,"hh:mm")&amp;" a "&amp;TEXT(A49,"hh:mm"))</f>
        <v>0</v>
      </c>
      <c r="C49" s="27">
        <f>IF(A49="","",MES!B49)</f>
        <v>0</v>
      </c>
      <c r="D49" s="27">
        <f>IF(A49="","",IFERROR(AVERAGEIFS(Prensa!$B$2:$B$5001,Prensa!$E$2:$E$5001,N49,Prensa!$F$2:$F$5001,1,Prensa!$G$2:$G$5001,1),""))</f>
        <v>0</v>
      </c>
      <c r="E49" s="27">
        <f>IF(A49="","",IFERROR(AVERAGEIFS(Prensa!$B$2:$B$5001,Prensa!$E$2:$E$5001,N49,Prensa!$F$2:$F$5001,2,Prensa!$G$2:$G$5001,1),""))</f>
        <v>0</v>
      </c>
      <c r="F49" s="27">
        <f>IF(A49="","",IFERROR(AVERAGEIFS(Prensa!$B$2:$B$5001,Prensa!$E$2:$E$5001,N49,Prensa!$F$2:$F$5001,3,Prensa!$G$2:$G$5001,1),""))</f>
        <v>0</v>
      </c>
      <c r="G49" s="27">
        <f>IF(A49="","",IFERROR(AVERAGEIFS(Prensa!$B$2:$B$5001,Prensa!$E$2:$E$5001,N49,Prensa!$F$2:$F$5001,4,Prensa!$G$2:$G$5001,1),""))</f>
        <v>0</v>
      </c>
      <c r="H49" s="26">
        <f>IF(A49="","",COUNT(D49:G49))</f>
        <v>0</v>
      </c>
      <c r="I49" s="27">
        <f>IF(A49="","",IF(H49=0,"",AVERAGE(D49:G49)))</f>
        <v>0</v>
      </c>
      <c r="J49" s="27">
        <f>IF(OR(I49="",C49=""),"",I49-C49)</f>
        <v>0</v>
      </c>
      <c r="K49" s="26">
        <f>IF(A49="","",IF(MES!E49&lt;&gt;4,"Horário do MES fora do padrão",IF(H49&lt;cfgMinCortes,"Cortes insuficientes","Válida")))</f>
        <v>0</v>
      </c>
      <c r="L49" s="27">
        <f>IF(K49="Válida",ABS(J49),"")</f>
        <v>0</v>
      </c>
      <c r="M49" s="26">
        <f>IF(K49="Válida",IF(L49&lt;=cfgTolerancia,"Sim","Não"),"")</f>
        <v>0</v>
      </c>
      <c r="N49" s="26">
        <f>IF(A49="","",MES!D49)</f>
        <v>0</v>
      </c>
      <c r="O49" s="25">
        <f>IF(K49="Válida",A49,NA())</f>
        <v>0</v>
      </c>
      <c r="P49" s="27">
        <f>IF(K49="Válida",C49,NA())</f>
        <v>0</v>
      </c>
      <c r="Q49" s="27">
        <f>IF(K49="Válida",I49,NA())</f>
        <v>0</v>
      </c>
      <c r="R49" s="27">
        <f>IF(K49="Válida",J49,NA())</f>
        <v>0</v>
      </c>
      <c r="S49" s="27">
        <f>IF(K49="Válida",C49,"")</f>
        <v>0</v>
      </c>
      <c r="T49" s="27">
        <f>IF(K49="Válida",I49,"")</f>
        <v>0</v>
      </c>
      <c r="U49" s="27">
        <f>IF(K49="Válida",J49,"")</f>
        <v>0</v>
      </c>
    </row>
    <row r="50" spans="1:21">
      <c r="A50" s="25">
        <f>IF(MES!A50="","",MES!C50/48)</f>
        <v>0</v>
      </c>
      <c r="B50" s="26">
        <f>IF(A50="","",TEXT((N50*4+cfgDeslocamento)/48,"hh:mm")&amp;" a "&amp;TEXT(A50,"hh:mm"))</f>
        <v>0</v>
      </c>
      <c r="C50" s="27">
        <f>IF(A50="","",MES!B50)</f>
        <v>0</v>
      </c>
      <c r="D50" s="27">
        <f>IF(A50="","",IFERROR(AVERAGEIFS(Prensa!$B$2:$B$5001,Prensa!$E$2:$E$5001,N50,Prensa!$F$2:$F$5001,1,Prensa!$G$2:$G$5001,1),""))</f>
        <v>0</v>
      </c>
      <c r="E50" s="27">
        <f>IF(A50="","",IFERROR(AVERAGEIFS(Prensa!$B$2:$B$5001,Prensa!$E$2:$E$5001,N50,Prensa!$F$2:$F$5001,2,Prensa!$G$2:$G$5001,1),""))</f>
        <v>0</v>
      </c>
      <c r="F50" s="27">
        <f>IF(A50="","",IFERROR(AVERAGEIFS(Prensa!$B$2:$B$5001,Prensa!$E$2:$E$5001,N50,Prensa!$F$2:$F$5001,3,Prensa!$G$2:$G$5001,1),""))</f>
        <v>0</v>
      </c>
      <c r="G50" s="27">
        <f>IF(A50="","",IFERROR(AVERAGEIFS(Prensa!$B$2:$B$5001,Prensa!$E$2:$E$5001,N50,Prensa!$F$2:$F$5001,4,Prensa!$G$2:$G$5001,1),""))</f>
        <v>0</v>
      </c>
      <c r="H50" s="26">
        <f>IF(A50="","",COUNT(D50:G50))</f>
        <v>0</v>
      </c>
      <c r="I50" s="27">
        <f>IF(A50="","",IF(H50=0,"",AVERAGE(D50:G50)))</f>
        <v>0</v>
      </c>
      <c r="J50" s="27">
        <f>IF(OR(I50="",C50=""),"",I50-C50)</f>
        <v>0</v>
      </c>
      <c r="K50" s="26">
        <f>IF(A50="","",IF(MES!E50&lt;&gt;4,"Horário do MES fora do padrão",IF(H50&lt;cfgMinCortes,"Cortes insuficientes","Válida")))</f>
        <v>0</v>
      </c>
      <c r="L50" s="27">
        <f>IF(K50="Válida",ABS(J50),"")</f>
        <v>0</v>
      </c>
      <c r="M50" s="26">
        <f>IF(K50="Válida",IF(L50&lt;=cfgTolerancia,"Sim","Não"),"")</f>
        <v>0</v>
      </c>
      <c r="N50" s="26">
        <f>IF(A50="","",MES!D50)</f>
        <v>0</v>
      </c>
      <c r="O50" s="25">
        <f>IF(K50="Válida",A50,NA())</f>
        <v>0</v>
      </c>
      <c r="P50" s="27">
        <f>IF(K50="Válida",C50,NA())</f>
        <v>0</v>
      </c>
      <c r="Q50" s="27">
        <f>IF(K50="Válida",I50,NA())</f>
        <v>0</v>
      </c>
      <c r="R50" s="27">
        <f>IF(K50="Válida",J50,NA())</f>
        <v>0</v>
      </c>
      <c r="S50" s="27">
        <f>IF(K50="Válida",C50,"")</f>
        <v>0</v>
      </c>
      <c r="T50" s="27">
        <f>IF(K50="Válida",I50,"")</f>
        <v>0</v>
      </c>
      <c r="U50" s="27">
        <f>IF(K50="Válida",J50,"")</f>
        <v>0</v>
      </c>
    </row>
    <row r="51" spans="1:21">
      <c r="A51" s="25">
        <f>IF(MES!A51="","",MES!C51/48)</f>
        <v>0</v>
      </c>
      <c r="B51" s="26">
        <f>IF(A51="","",TEXT((N51*4+cfgDeslocamento)/48,"hh:mm")&amp;" a "&amp;TEXT(A51,"hh:mm"))</f>
        <v>0</v>
      </c>
      <c r="C51" s="27">
        <f>IF(A51="","",MES!B51)</f>
        <v>0</v>
      </c>
      <c r="D51" s="27">
        <f>IF(A51="","",IFERROR(AVERAGEIFS(Prensa!$B$2:$B$5001,Prensa!$E$2:$E$5001,N51,Prensa!$F$2:$F$5001,1,Prensa!$G$2:$G$5001,1),""))</f>
        <v>0</v>
      </c>
      <c r="E51" s="27">
        <f>IF(A51="","",IFERROR(AVERAGEIFS(Prensa!$B$2:$B$5001,Prensa!$E$2:$E$5001,N51,Prensa!$F$2:$F$5001,2,Prensa!$G$2:$G$5001,1),""))</f>
        <v>0</v>
      </c>
      <c r="F51" s="27">
        <f>IF(A51="","",IFERROR(AVERAGEIFS(Prensa!$B$2:$B$5001,Prensa!$E$2:$E$5001,N51,Prensa!$F$2:$F$5001,3,Prensa!$G$2:$G$5001,1),""))</f>
        <v>0</v>
      </c>
      <c r="G51" s="27">
        <f>IF(A51="","",IFERROR(AVERAGEIFS(Prensa!$B$2:$B$5001,Prensa!$E$2:$E$5001,N51,Prensa!$F$2:$F$5001,4,Prensa!$G$2:$G$5001,1),""))</f>
        <v>0</v>
      </c>
      <c r="H51" s="26">
        <f>IF(A51="","",COUNT(D51:G51))</f>
        <v>0</v>
      </c>
      <c r="I51" s="27">
        <f>IF(A51="","",IF(H51=0,"",AVERAGE(D51:G51)))</f>
        <v>0</v>
      </c>
      <c r="J51" s="27">
        <f>IF(OR(I51="",C51=""),"",I51-C51)</f>
        <v>0</v>
      </c>
      <c r="K51" s="26">
        <f>IF(A51="","",IF(MES!E51&lt;&gt;4,"Horário do MES fora do padrão",IF(H51&lt;cfgMinCortes,"Cortes insuficientes","Válida")))</f>
        <v>0</v>
      </c>
      <c r="L51" s="27">
        <f>IF(K51="Válida",ABS(J51),"")</f>
        <v>0</v>
      </c>
      <c r="M51" s="26">
        <f>IF(K51="Válida",IF(L51&lt;=cfgTolerancia,"Sim","Não"),"")</f>
        <v>0</v>
      </c>
      <c r="N51" s="26">
        <f>IF(A51="","",MES!D51)</f>
        <v>0</v>
      </c>
      <c r="O51" s="25">
        <f>IF(K51="Válida",A51,NA())</f>
        <v>0</v>
      </c>
      <c r="P51" s="27">
        <f>IF(K51="Válida",C51,NA())</f>
        <v>0</v>
      </c>
      <c r="Q51" s="27">
        <f>IF(K51="Válida",I51,NA())</f>
        <v>0</v>
      </c>
      <c r="R51" s="27">
        <f>IF(K51="Válida",J51,NA())</f>
        <v>0</v>
      </c>
      <c r="S51" s="27">
        <f>IF(K51="Válida",C51,"")</f>
        <v>0</v>
      </c>
      <c r="T51" s="27">
        <f>IF(K51="Válida",I51,"")</f>
        <v>0</v>
      </c>
      <c r="U51" s="27">
        <f>IF(K51="Válida",J51,"")</f>
        <v>0</v>
      </c>
    </row>
    <row r="52" spans="1:21">
      <c r="A52" s="25">
        <f>IF(MES!A52="","",MES!C52/48)</f>
        <v>0</v>
      </c>
      <c r="B52" s="26">
        <f>IF(A52="","",TEXT((N52*4+cfgDeslocamento)/48,"hh:mm")&amp;" a "&amp;TEXT(A52,"hh:mm"))</f>
        <v>0</v>
      </c>
      <c r="C52" s="27">
        <f>IF(A52="","",MES!B52)</f>
        <v>0</v>
      </c>
      <c r="D52" s="27">
        <f>IF(A52="","",IFERROR(AVERAGEIFS(Prensa!$B$2:$B$5001,Prensa!$E$2:$E$5001,N52,Prensa!$F$2:$F$5001,1,Prensa!$G$2:$G$5001,1),""))</f>
        <v>0</v>
      </c>
      <c r="E52" s="27">
        <f>IF(A52="","",IFERROR(AVERAGEIFS(Prensa!$B$2:$B$5001,Prensa!$E$2:$E$5001,N52,Prensa!$F$2:$F$5001,2,Prensa!$G$2:$G$5001,1),""))</f>
        <v>0</v>
      </c>
      <c r="F52" s="27">
        <f>IF(A52="","",IFERROR(AVERAGEIFS(Prensa!$B$2:$B$5001,Prensa!$E$2:$E$5001,N52,Prensa!$F$2:$F$5001,3,Prensa!$G$2:$G$5001,1),""))</f>
        <v>0</v>
      </c>
      <c r="G52" s="27">
        <f>IF(A52="","",IFERROR(AVERAGEIFS(Prensa!$B$2:$B$5001,Prensa!$E$2:$E$5001,N52,Prensa!$F$2:$F$5001,4,Prensa!$G$2:$G$5001,1),""))</f>
        <v>0</v>
      </c>
      <c r="H52" s="26">
        <f>IF(A52="","",COUNT(D52:G52))</f>
        <v>0</v>
      </c>
      <c r="I52" s="27">
        <f>IF(A52="","",IF(H52=0,"",AVERAGE(D52:G52)))</f>
        <v>0</v>
      </c>
      <c r="J52" s="27">
        <f>IF(OR(I52="",C52=""),"",I52-C52)</f>
        <v>0</v>
      </c>
      <c r="K52" s="26">
        <f>IF(A52="","",IF(MES!E52&lt;&gt;4,"Horário do MES fora do padrão",IF(H52&lt;cfgMinCortes,"Cortes insuficientes","Válida")))</f>
        <v>0</v>
      </c>
      <c r="L52" s="27">
        <f>IF(K52="Válida",ABS(J52),"")</f>
        <v>0</v>
      </c>
      <c r="M52" s="26">
        <f>IF(K52="Válida",IF(L52&lt;=cfgTolerancia,"Sim","Não"),"")</f>
        <v>0</v>
      </c>
      <c r="N52" s="26">
        <f>IF(A52="","",MES!D52)</f>
        <v>0</v>
      </c>
      <c r="O52" s="25">
        <f>IF(K52="Válida",A52,NA())</f>
        <v>0</v>
      </c>
      <c r="P52" s="27">
        <f>IF(K52="Válida",C52,NA())</f>
        <v>0</v>
      </c>
      <c r="Q52" s="27">
        <f>IF(K52="Válida",I52,NA())</f>
        <v>0</v>
      </c>
      <c r="R52" s="27">
        <f>IF(K52="Válida",J52,NA())</f>
        <v>0</v>
      </c>
      <c r="S52" s="27">
        <f>IF(K52="Válida",C52,"")</f>
        <v>0</v>
      </c>
      <c r="T52" s="27">
        <f>IF(K52="Válida",I52,"")</f>
        <v>0</v>
      </c>
      <c r="U52" s="27">
        <f>IF(K52="Válida",J52,"")</f>
        <v>0</v>
      </c>
    </row>
    <row r="53" spans="1:21">
      <c r="A53" s="25">
        <f>IF(MES!A53="","",MES!C53/48)</f>
        <v>0</v>
      </c>
      <c r="B53" s="26">
        <f>IF(A53="","",TEXT((N53*4+cfgDeslocamento)/48,"hh:mm")&amp;" a "&amp;TEXT(A53,"hh:mm"))</f>
        <v>0</v>
      </c>
      <c r="C53" s="27">
        <f>IF(A53="","",MES!B53)</f>
        <v>0</v>
      </c>
      <c r="D53" s="27">
        <f>IF(A53="","",IFERROR(AVERAGEIFS(Prensa!$B$2:$B$5001,Prensa!$E$2:$E$5001,N53,Prensa!$F$2:$F$5001,1,Prensa!$G$2:$G$5001,1),""))</f>
        <v>0</v>
      </c>
      <c r="E53" s="27">
        <f>IF(A53="","",IFERROR(AVERAGEIFS(Prensa!$B$2:$B$5001,Prensa!$E$2:$E$5001,N53,Prensa!$F$2:$F$5001,2,Prensa!$G$2:$G$5001,1),""))</f>
        <v>0</v>
      </c>
      <c r="F53" s="27">
        <f>IF(A53="","",IFERROR(AVERAGEIFS(Prensa!$B$2:$B$5001,Prensa!$E$2:$E$5001,N53,Prensa!$F$2:$F$5001,3,Prensa!$G$2:$G$5001,1),""))</f>
        <v>0</v>
      </c>
      <c r="G53" s="27">
        <f>IF(A53="","",IFERROR(AVERAGEIFS(Prensa!$B$2:$B$5001,Prensa!$E$2:$E$5001,N53,Prensa!$F$2:$F$5001,4,Prensa!$G$2:$G$5001,1),""))</f>
        <v>0</v>
      </c>
      <c r="H53" s="26">
        <f>IF(A53="","",COUNT(D53:G53))</f>
        <v>0</v>
      </c>
      <c r="I53" s="27">
        <f>IF(A53="","",IF(H53=0,"",AVERAGE(D53:G53)))</f>
        <v>0</v>
      </c>
      <c r="J53" s="27">
        <f>IF(OR(I53="",C53=""),"",I53-C53)</f>
        <v>0</v>
      </c>
      <c r="K53" s="26">
        <f>IF(A53="","",IF(MES!E53&lt;&gt;4,"Horário do MES fora do padrão",IF(H53&lt;cfgMinCortes,"Cortes insuficientes","Válida")))</f>
        <v>0</v>
      </c>
      <c r="L53" s="27">
        <f>IF(K53="Válida",ABS(J53),"")</f>
        <v>0</v>
      </c>
      <c r="M53" s="26">
        <f>IF(K53="Válida",IF(L53&lt;=cfgTolerancia,"Sim","Não"),"")</f>
        <v>0</v>
      </c>
      <c r="N53" s="26">
        <f>IF(A53="","",MES!D53)</f>
        <v>0</v>
      </c>
      <c r="O53" s="25">
        <f>IF(K53="Válida",A53,NA())</f>
        <v>0</v>
      </c>
      <c r="P53" s="27">
        <f>IF(K53="Válida",C53,NA())</f>
        <v>0</v>
      </c>
      <c r="Q53" s="27">
        <f>IF(K53="Válida",I53,NA())</f>
        <v>0</v>
      </c>
      <c r="R53" s="27">
        <f>IF(K53="Válida",J53,NA())</f>
        <v>0</v>
      </c>
      <c r="S53" s="27">
        <f>IF(K53="Válida",C53,"")</f>
        <v>0</v>
      </c>
      <c r="T53" s="27">
        <f>IF(K53="Válida",I53,"")</f>
        <v>0</v>
      </c>
      <c r="U53" s="27">
        <f>IF(K53="Válida",J53,"")</f>
        <v>0</v>
      </c>
    </row>
    <row r="54" spans="1:21">
      <c r="A54" s="25">
        <f>IF(MES!A54="","",MES!C54/48)</f>
        <v>0</v>
      </c>
      <c r="B54" s="26">
        <f>IF(A54="","",TEXT((N54*4+cfgDeslocamento)/48,"hh:mm")&amp;" a "&amp;TEXT(A54,"hh:mm"))</f>
        <v>0</v>
      </c>
      <c r="C54" s="27">
        <f>IF(A54="","",MES!B54)</f>
        <v>0</v>
      </c>
      <c r="D54" s="27">
        <f>IF(A54="","",IFERROR(AVERAGEIFS(Prensa!$B$2:$B$5001,Prensa!$E$2:$E$5001,N54,Prensa!$F$2:$F$5001,1,Prensa!$G$2:$G$5001,1),""))</f>
        <v>0</v>
      </c>
      <c r="E54" s="27">
        <f>IF(A54="","",IFERROR(AVERAGEIFS(Prensa!$B$2:$B$5001,Prensa!$E$2:$E$5001,N54,Prensa!$F$2:$F$5001,2,Prensa!$G$2:$G$5001,1),""))</f>
        <v>0</v>
      </c>
      <c r="F54" s="27">
        <f>IF(A54="","",IFERROR(AVERAGEIFS(Prensa!$B$2:$B$5001,Prensa!$E$2:$E$5001,N54,Prensa!$F$2:$F$5001,3,Prensa!$G$2:$G$5001,1),""))</f>
        <v>0</v>
      </c>
      <c r="G54" s="27">
        <f>IF(A54="","",IFERROR(AVERAGEIFS(Prensa!$B$2:$B$5001,Prensa!$E$2:$E$5001,N54,Prensa!$F$2:$F$5001,4,Prensa!$G$2:$G$5001,1),""))</f>
        <v>0</v>
      </c>
      <c r="H54" s="26">
        <f>IF(A54="","",COUNT(D54:G54))</f>
        <v>0</v>
      </c>
      <c r="I54" s="27">
        <f>IF(A54="","",IF(H54=0,"",AVERAGE(D54:G54)))</f>
        <v>0</v>
      </c>
      <c r="J54" s="27">
        <f>IF(OR(I54="",C54=""),"",I54-C54)</f>
        <v>0</v>
      </c>
      <c r="K54" s="26">
        <f>IF(A54="","",IF(MES!E54&lt;&gt;4,"Horário do MES fora do padrão",IF(H54&lt;cfgMinCortes,"Cortes insuficientes","Válida")))</f>
        <v>0</v>
      </c>
      <c r="L54" s="27">
        <f>IF(K54="Válida",ABS(J54),"")</f>
        <v>0</v>
      </c>
      <c r="M54" s="26">
        <f>IF(K54="Válida",IF(L54&lt;=cfgTolerancia,"Sim","Não"),"")</f>
        <v>0</v>
      </c>
      <c r="N54" s="26">
        <f>IF(A54="","",MES!D54)</f>
        <v>0</v>
      </c>
      <c r="O54" s="25">
        <f>IF(K54="Válida",A54,NA())</f>
        <v>0</v>
      </c>
      <c r="P54" s="27">
        <f>IF(K54="Válida",C54,NA())</f>
        <v>0</v>
      </c>
      <c r="Q54" s="27">
        <f>IF(K54="Válida",I54,NA())</f>
        <v>0</v>
      </c>
      <c r="R54" s="27">
        <f>IF(K54="Válida",J54,NA())</f>
        <v>0</v>
      </c>
      <c r="S54" s="27">
        <f>IF(K54="Válida",C54,"")</f>
        <v>0</v>
      </c>
      <c r="T54" s="27">
        <f>IF(K54="Válida",I54,"")</f>
        <v>0</v>
      </c>
      <c r="U54" s="27">
        <f>IF(K54="Válida",J54,"")</f>
        <v>0</v>
      </c>
    </row>
    <row r="55" spans="1:21">
      <c r="A55" s="25">
        <f>IF(MES!A55="","",MES!C55/48)</f>
        <v>0</v>
      </c>
      <c r="B55" s="26">
        <f>IF(A55="","",TEXT((N55*4+cfgDeslocamento)/48,"hh:mm")&amp;" a "&amp;TEXT(A55,"hh:mm"))</f>
        <v>0</v>
      </c>
      <c r="C55" s="27">
        <f>IF(A55="","",MES!B55)</f>
        <v>0</v>
      </c>
      <c r="D55" s="27">
        <f>IF(A55="","",IFERROR(AVERAGEIFS(Prensa!$B$2:$B$5001,Prensa!$E$2:$E$5001,N55,Prensa!$F$2:$F$5001,1,Prensa!$G$2:$G$5001,1),""))</f>
        <v>0</v>
      </c>
      <c r="E55" s="27">
        <f>IF(A55="","",IFERROR(AVERAGEIFS(Prensa!$B$2:$B$5001,Prensa!$E$2:$E$5001,N55,Prensa!$F$2:$F$5001,2,Prensa!$G$2:$G$5001,1),""))</f>
        <v>0</v>
      </c>
      <c r="F55" s="27">
        <f>IF(A55="","",IFERROR(AVERAGEIFS(Prensa!$B$2:$B$5001,Prensa!$E$2:$E$5001,N55,Prensa!$F$2:$F$5001,3,Prensa!$G$2:$G$5001,1),""))</f>
        <v>0</v>
      </c>
      <c r="G55" s="27">
        <f>IF(A55="","",IFERROR(AVERAGEIFS(Prensa!$B$2:$B$5001,Prensa!$E$2:$E$5001,N55,Prensa!$F$2:$F$5001,4,Prensa!$G$2:$G$5001,1),""))</f>
        <v>0</v>
      </c>
      <c r="H55" s="26">
        <f>IF(A55="","",COUNT(D55:G55))</f>
        <v>0</v>
      </c>
      <c r="I55" s="27">
        <f>IF(A55="","",IF(H55=0,"",AVERAGE(D55:G55)))</f>
        <v>0</v>
      </c>
      <c r="J55" s="27">
        <f>IF(OR(I55="",C55=""),"",I55-C55)</f>
        <v>0</v>
      </c>
      <c r="K55" s="26">
        <f>IF(A55="","",IF(MES!E55&lt;&gt;4,"Horário do MES fora do padrão",IF(H55&lt;cfgMinCortes,"Cortes insuficientes","Válida")))</f>
        <v>0</v>
      </c>
      <c r="L55" s="27">
        <f>IF(K55="Válida",ABS(J55),"")</f>
        <v>0</v>
      </c>
      <c r="M55" s="26">
        <f>IF(K55="Válida",IF(L55&lt;=cfgTolerancia,"Sim","Não"),"")</f>
        <v>0</v>
      </c>
      <c r="N55" s="26">
        <f>IF(A55="","",MES!D55)</f>
        <v>0</v>
      </c>
      <c r="O55" s="25">
        <f>IF(K55="Válida",A55,NA())</f>
        <v>0</v>
      </c>
      <c r="P55" s="27">
        <f>IF(K55="Válida",C55,NA())</f>
        <v>0</v>
      </c>
      <c r="Q55" s="27">
        <f>IF(K55="Válida",I55,NA())</f>
        <v>0</v>
      </c>
      <c r="R55" s="27">
        <f>IF(K55="Válida",J55,NA())</f>
        <v>0</v>
      </c>
      <c r="S55" s="27">
        <f>IF(K55="Válida",C55,"")</f>
        <v>0</v>
      </c>
      <c r="T55" s="27">
        <f>IF(K55="Válida",I55,"")</f>
        <v>0</v>
      </c>
      <c r="U55" s="27">
        <f>IF(K55="Válida",J55,"")</f>
        <v>0</v>
      </c>
    </row>
    <row r="56" spans="1:21">
      <c r="A56" s="25">
        <f>IF(MES!A56="","",MES!C56/48)</f>
        <v>0</v>
      </c>
      <c r="B56" s="26">
        <f>IF(A56="","",TEXT((N56*4+cfgDeslocamento)/48,"hh:mm")&amp;" a "&amp;TEXT(A56,"hh:mm"))</f>
        <v>0</v>
      </c>
      <c r="C56" s="27">
        <f>IF(A56="","",MES!B56)</f>
        <v>0</v>
      </c>
      <c r="D56" s="27">
        <f>IF(A56="","",IFERROR(AVERAGEIFS(Prensa!$B$2:$B$5001,Prensa!$E$2:$E$5001,N56,Prensa!$F$2:$F$5001,1,Prensa!$G$2:$G$5001,1),""))</f>
        <v>0</v>
      </c>
      <c r="E56" s="27">
        <f>IF(A56="","",IFERROR(AVERAGEIFS(Prensa!$B$2:$B$5001,Prensa!$E$2:$E$5001,N56,Prensa!$F$2:$F$5001,2,Prensa!$G$2:$G$5001,1),""))</f>
        <v>0</v>
      </c>
      <c r="F56" s="27">
        <f>IF(A56="","",IFERROR(AVERAGEIFS(Prensa!$B$2:$B$5001,Prensa!$E$2:$E$5001,N56,Prensa!$F$2:$F$5001,3,Prensa!$G$2:$G$5001,1),""))</f>
        <v>0</v>
      </c>
      <c r="G56" s="27">
        <f>IF(A56="","",IFERROR(AVERAGEIFS(Prensa!$B$2:$B$5001,Prensa!$E$2:$E$5001,N56,Prensa!$F$2:$F$5001,4,Prensa!$G$2:$G$5001,1),""))</f>
        <v>0</v>
      </c>
      <c r="H56" s="26">
        <f>IF(A56="","",COUNT(D56:G56))</f>
        <v>0</v>
      </c>
      <c r="I56" s="27">
        <f>IF(A56="","",IF(H56=0,"",AVERAGE(D56:G56)))</f>
        <v>0</v>
      </c>
      <c r="J56" s="27">
        <f>IF(OR(I56="",C56=""),"",I56-C56)</f>
        <v>0</v>
      </c>
      <c r="K56" s="26">
        <f>IF(A56="","",IF(MES!E56&lt;&gt;4,"Horário do MES fora do padrão",IF(H56&lt;cfgMinCortes,"Cortes insuficientes","Válida")))</f>
        <v>0</v>
      </c>
      <c r="L56" s="27">
        <f>IF(K56="Válida",ABS(J56),"")</f>
        <v>0</v>
      </c>
      <c r="M56" s="26">
        <f>IF(K56="Válida",IF(L56&lt;=cfgTolerancia,"Sim","Não"),"")</f>
        <v>0</v>
      </c>
      <c r="N56" s="26">
        <f>IF(A56="","",MES!D56)</f>
        <v>0</v>
      </c>
      <c r="O56" s="25">
        <f>IF(K56="Válida",A56,NA())</f>
        <v>0</v>
      </c>
      <c r="P56" s="27">
        <f>IF(K56="Válida",C56,NA())</f>
        <v>0</v>
      </c>
      <c r="Q56" s="27">
        <f>IF(K56="Válida",I56,NA())</f>
        <v>0</v>
      </c>
      <c r="R56" s="27">
        <f>IF(K56="Válida",J56,NA())</f>
        <v>0</v>
      </c>
      <c r="S56" s="27">
        <f>IF(K56="Válida",C56,"")</f>
        <v>0</v>
      </c>
      <c r="T56" s="27">
        <f>IF(K56="Válida",I56,"")</f>
        <v>0</v>
      </c>
      <c r="U56" s="27">
        <f>IF(K56="Válida",J56,"")</f>
        <v>0</v>
      </c>
    </row>
    <row r="57" spans="1:21">
      <c r="A57" s="25">
        <f>IF(MES!A57="","",MES!C57/48)</f>
        <v>0</v>
      </c>
      <c r="B57" s="26">
        <f>IF(A57="","",TEXT((N57*4+cfgDeslocamento)/48,"hh:mm")&amp;" a "&amp;TEXT(A57,"hh:mm"))</f>
        <v>0</v>
      </c>
      <c r="C57" s="27">
        <f>IF(A57="","",MES!B57)</f>
        <v>0</v>
      </c>
      <c r="D57" s="27">
        <f>IF(A57="","",IFERROR(AVERAGEIFS(Prensa!$B$2:$B$5001,Prensa!$E$2:$E$5001,N57,Prensa!$F$2:$F$5001,1,Prensa!$G$2:$G$5001,1),""))</f>
        <v>0</v>
      </c>
      <c r="E57" s="27">
        <f>IF(A57="","",IFERROR(AVERAGEIFS(Prensa!$B$2:$B$5001,Prensa!$E$2:$E$5001,N57,Prensa!$F$2:$F$5001,2,Prensa!$G$2:$G$5001,1),""))</f>
        <v>0</v>
      </c>
      <c r="F57" s="27">
        <f>IF(A57="","",IFERROR(AVERAGEIFS(Prensa!$B$2:$B$5001,Prensa!$E$2:$E$5001,N57,Prensa!$F$2:$F$5001,3,Prensa!$G$2:$G$5001,1),""))</f>
        <v>0</v>
      </c>
      <c r="G57" s="27">
        <f>IF(A57="","",IFERROR(AVERAGEIFS(Prensa!$B$2:$B$5001,Prensa!$E$2:$E$5001,N57,Prensa!$F$2:$F$5001,4,Prensa!$G$2:$G$5001,1),""))</f>
        <v>0</v>
      </c>
      <c r="H57" s="26">
        <f>IF(A57="","",COUNT(D57:G57))</f>
        <v>0</v>
      </c>
      <c r="I57" s="27">
        <f>IF(A57="","",IF(H57=0,"",AVERAGE(D57:G57)))</f>
        <v>0</v>
      </c>
      <c r="J57" s="27">
        <f>IF(OR(I57="",C57=""),"",I57-C57)</f>
        <v>0</v>
      </c>
      <c r="K57" s="26">
        <f>IF(A57="","",IF(MES!E57&lt;&gt;4,"Horário do MES fora do padrão",IF(H57&lt;cfgMinCortes,"Cortes insuficientes","Válida")))</f>
        <v>0</v>
      </c>
      <c r="L57" s="27">
        <f>IF(K57="Válida",ABS(J57),"")</f>
        <v>0</v>
      </c>
      <c r="M57" s="26">
        <f>IF(K57="Válida",IF(L57&lt;=cfgTolerancia,"Sim","Não"),"")</f>
        <v>0</v>
      </c>
      <c r="N57" s="26">
        <f>IF(A57="","",MES!D57)</f>
        <v>0</v>
      </c>
      <c r="O57" s="25">
        <f>IF(K57="Válida",A57,NA())</f>
        <v>0</v>
      </c>
      <c r="P57" s="27">
        <f>IF(K57="Válida",C57,NA())</f>
        <v>0</v>
      </c>
      <c r="Q57" s="27">
        <f>IF(K57="Válida",I57,NA())</f>
        <v>0</v>
      </c>
      <c r="R57" s="27">
        <f>IF(K57="Válida",J57,NA())</f>
        <v>0</v>
      </c>
      <c r="S57" s="27">
        <f>IF(K57="Válida",C57,"")</f>
        <v>0</v>
      </c>
      <c r="T57" s="27">
        <f>IF(K57="Válida",I57,"")</f>
        <v>0</v>
      </c>
      <c r="U57" s="27">
        <f>IF(K57="Válida",J57,"")</f>
        <v>0</v>
      </c>
    </row>
    <row r="58" spans="1:21">
      <c r="A58" s="25">
        <f>IF(MES!A58="","",MES!C58/48)</f>
        <v>0</v>
      </c>
      <c r="B58" s="26">
        <f>IF(A58="","",TEXT((N58*4+cfgDeslocamento)/48,"hh:mm")&amp;" a "&amp;TEXT(A58,"hh:mm"))</f>
        <v>0</v>
      </c>
      <c r="C58" s="27">
        <f>IF(A58="","",MES!B58)</f>
        <v>0</v>
      </c>
      <c r="D58" s="27">
        <f>IF(A58="","",IFERROR(AVERAGEIFS(Prensa!$B$2:$B$5001,Prensa!$E$2:$E$5001,N58,Prensa!$F$2:$F$5001,1,Prensa!$G$2:$G$5001,1),""))</f>
        <v>0</v>
      </c>
      <c r="E58" s="27">
        <f>IF(A58="","",IFERROR(AVERAGEIFS(Prensa!$B$2:$B$5001,Prensa!$E$2:$E$5001,N58,Prensa!$F$2:$F$5001,2,Prensa!$G$2:$G$5001,1),""))</f>
        <v>0</v>
      </c>
      <c r="F58" s="27">
        <f>IF(A58="","",IFERROR(AVERAGEIFS(Prensa!$B$2:$B$5001,Prensa!$E$2:$E$5001,N58,Prensa!$F$2:$F$5001,3,Prensa!$G$2:$G$5001,1),""))</f>
        <v>0</v>
      </c>
      <c r="G58" s="27">
        <f>IF(A58="","",IFERROR(AVERAGEIFS(Prensa!$B$2:$B$5001,Prensa!$E$2:$E$5001,N58,Prensa!$F$2:$F$5001,4,Prensa!$G$2:$G$5001,1),""))</f>
        <v>0</v>
      </c>
      <c r="H58" s="26">
        <f>IF(A58="","",COUNT(D58:G58))</f>
        <v>0</v>
      </c>
      <c r="I58" s="27">
        <f>IF(A58="","",IF(H58=0,"",AVERAGE(D58:G58)))</f>
        <v>0</v>
      </c>
      <c r="J58" s="27">
        <f>IF(OR(I58="",C58=""),"",I58-C58)</f>
        <v>0</v>
      </c>
      <c r="K58" s="26">
        <f>IF(A58="","",IF(MES!E58&lt;&gt;4,"Horário do MES fora do padrão",IF(H58&lt;cfgMinCortes,"Cortes insuficientes","Válida")))</f>
        <v>0</v>
      </c>
      <c r="L58" s="27">
        <f>IF(K58="Válida",ABS(J58),"")</f>
        <v>0</v>
      </c>
      <c r="M58" s="26">
        <f>IF(K58="Válida",IF(L58&lt;=cfgTolerancia,"Sim","Não"),"")</f>
        <v>0</v>
      </c>
      <c r="N58" s="26">
        <f>IF(A58="","",MES!D58)</f>
        <v>0</v>
      </c>
      <c r="O58" s="25">
        <f>IF(K58="Válida",A58,NA())</f>
        <v>0</v>
      </c>
      <c r="P58" s="27">
        <f>IF(K58="Válida",C58,NA())</f>
        <v>0</v>
      </c>
      <c r="Q58" s="27">
        <f>IF(K58="Válida",I58,NA())</f>
        <v>0</v>
      </c>
      <c r="R58" s="27">
        <f>IF(K58="Válida",J58,NA())</f>
        <v>0</v>
      </c>
      <c r="S58" s="27">
        <f>IF(K58="Válida",C58,"")</f>
        <v>0</v>
      </c>
      <c r="T58" s="27">
        <f>IF(K58="Válida",I58,"")</f>
        <v>0</v>
      </c>
      <c r="U58" s="27">
        <f>IF(K58="Válida",J58,"")</f>
        <v>0</v>
      </c>
    </row>
    <row r="59" spans="1:21">
      <c r="A59" s="25">
        <f>IF(MES!A59="","",MES!C59/48)</f>
        <v>0</v>
      </c>
      <c r="B59" s="26">
        <f>IF(A59="","",TEXT((N59*4+cfgDeslocamento)/48,"hh:mm")&amp;" a "&amp;TEXT(A59,"hh:mm"))</f>
        <v>0</v>
      </c>
      <c r="C59" s="27">
        <f>IF(A59="","",MES!B59)</f>
        <v>0</v>
      </c>
      <c r="D59" s="27">
        <f>IF(A59="","",IFERROR(AVERAGEIFS(Prensa!$B$2:$B$5001,Prensa!$E$2:$E$5001,N59,Prensa!$F$2:$F$5001,1,Prensa!$G$2:$G$5001,1),""))</f>
        <v>0</v>
      </c>
      <c r="E59" s="27">
        <f>IF(A59="","",IFERROR(AVERAGEIFS(Prensa!$B$2:$B$5001,Prensa!$E$2:$E$5001,N59,Prensa!$F$2:$F$5001,2,Prensa!$G$2:$G$5001,1),""))</f>
        <v>0</v>
      </c>
      <c r="F59" s="27">
        <f>IF(A59="","",IFERROR(AVERAGEIFS(Prensa!$B$2:$B$5001,Prensa!$E$2:$E$5001,N59,Prensa!$F$2:$F$5001,3,Prensa!$G$2:$G$5001,1),""))</f>
        <v>0</v>
      </c>
      <c r="G59" s="27">
        <f>IF(A59="","",IFERROR(AVERAGEIFS(Prensa!$B$2:$B$5001,Prensa!$E$2:$E$5001,N59,Prensa!$F$2:$F$5001,4,Prensa!$G$2:$G$5001,1),""))</f>
        <v>0</v>
      </c>
      <c r="H59" s="26">
        <f>IF(A59="","",COUNT(D59:G59))</f>
        <v>0</v>
      </c>
      <c r="I59" s="27">
        <f>IF(A59="","",IF(H59=0,"",AVERAGE(D59:G59)))</f>
        <v>0</v>
      </c>
      <c r="J59" s="27">
        <f>IF(OR(I59="",C59=""),"",I59-C59)</f>
        <v>0</v>
      </c>
      <c r="K59" s="26">
        <f>IF(A59="","",IF(MES!E59&lt;&gt;4,"Horário do MES fora do padrão",IF(H59&lt;cfgMinCortes,"Cortes insuficientes","Válida")))</f>
        <v>0</v>
      </c>
      <c r="L59" s="27">
        <f>IF(K59="Válida",ABS(J59),"")</f>
        <v>0</v>
      </c>
      <c r="M59" s="26">
        <f>IF(K59="Válida",IF(L59&lt;=cfgTolerancia,"Sim","Não"),"")</f>
        <v>0</v>
      </c>
      <c r="N59" s="26">
        <f>IF(A59="","",MES!D59)</f>
        <v>0</v>
      </c>
      <c r="O59" s="25">
        <f>IF(K59="Válida",A59,NA())</f>
        <v>0</v>
      </c>
      <c r="P59" s="27">
        <f>IF(K59="Válida",C59,NA())</f>
        <v>0</v>
      </c>
      <c r="Q59" s="27">
        <f>IF(K59="Válida",I59,NA())</f>
        <v>0</v>
      </c>
      <c r="R59" s="27">
        <f>IF(K59="Válida",J59,NA())</f>
        <v>0</v>
      </c>
      <c r="S59" s="27">
        <f>IF(K59="Válida",C59,"")</f>
        <v>0</v>
      </c>
      <c r="T59" s="27">
        <f>IF(K59="Válida",I59,"")</f>
        <v>0</v>
      </c>
      <c r="U59" s="27">
        <f>IF(K59="Válida",J59,"")</f>
        <v>0</v>
      </c>
    </row>
    <row r="60" spans="1:21">
      <c r="A60" s="25">
        <f>IF(MES!A60="","",MES!C60/48)</f>
        <v>0</v>
      </c>
      <c r="B60" s="26">
        <f>IF(A60="","",TEXT((N60*4+cfgDeslocamento)/48,"hh:mm")&amp;" a "&amp;TEXT(A60,"hh:mm"))</f>
        <v>0</v>
      </c>
      <c r="C60" s="27">
        <f>IF(A60="","",MES!B60)</f>
        <v>0</v>
      </c>
      <c r="D60" s="27">
        <f>IF(A60="","",IFERROR(AVERAGEIFS(Prensa!$B$2:$B$5001,Prensa!$E$2:$E$5001,N60,Prensa!$F$2:$F$5001,1,Prensa!$G$2:$G$5001,1),""))</f>
        <v>0</v>
      </c>
      <c r="E60" s="27">
        <f>IF(A60="","",IFERROR(AVERAGEIFS(Prensa!$B$2:$B$5001,Prensa!$E$2:$E$5001,N60,Prensa!$F$2:$F$5001,2,Prensa!$G$2:$G$5001,1),""))</f>
        <v>0</v>
      </c>
      <c r="F60" s="27">
        <f>IF(A60="","",IFERROR(AVERAGEIFS(Prensa!$B$2:$B$5001,Prensa!$E$2:$E$5001,N60,Prensa!$F$2:$F$5001,3,Prensa!$G$2:$G$5001,1),""))</f>
        <v>0</v>
      </c>
      <c r="G60" s="27">
        <f>IF(A60="","",IFERROR(AVERAGEIFS(Prensa!$B$2:$B$5001,Prensa!$E$2:$E$5001,N60,Prensa!$F$2:$F$5001,4,Prensa!$G$2:$G$5001,1),""))</f>
        <v>0</v>
      </c>
      <c r="H60" s="26">
        <f>IF(A60="","",COUNT(D60:G60))</f>
        <v>0</v>
      </c>
      <c r="I60" s="27">
        <f>IF(A60="","",IF(H60=0,"",AVERAGE(D60:G60)))</f>
        <v>0</v>
      </c>
      <c r="J60" s="27">
        <f>IF(OR(I60="",C60=""),"",I60-C60)</f>
        <v>0</v>
      </c>
      <c r="K60" s="26">
        <f>IF(A60="","",IF(MES!E60&lt;&gt;4,"Horário do MES fora do padrão",IF(H60&lt;cfgMinCortes,"Cortes insuficientes","Válida")))</f>
        <v>0</v>
      </c>
      <c r="L60" s="27">
        <f>IF(K60="Válida",ABS(J60),"")</f>
        <v>0</v>
      </c>
      <c r="M60" s="26">
        <f>IF(K60="Válida",IF(L60&lt;=cfgTolerancia,"Sim","Não"),"")</f>
        <v>0</v>
      </c>
      <c r="N60" s="26">
        <f>IF(A60="","",MES!D60)</f>
        <v>0</v>
      </c>
      <c r="O60" s="25">
        <f>IF(K60="Válida",A60,NA())</f>
        <v>0</v>
      </c>
      <c r="P60" s="27">
        <f>IF(K60="Válida",C60,NA())</f>
        <v>0</v>
      </c>
      <c r="Q60" s="27">
        <f>IF(K60="Válida",I60,NA())</f>
        <v>0</v>
      </c>
      <c r="R60" s="27">
        <f>IF(K60="Válida",J60,NA())</f>
        <v>0</v>
      </c>
      <c r="S60" s="27">
        <f>IF(K60="Válida",C60,"")</f>
        <v>0</v>
      </c>
      <c r="T60" s="27">
        <f>IF(K60="Válida",I60,"")</f>
        <v>0</v>
      </c>
      <c r="U60" s="27">
        <f>IF(K60="Válida",J60,"")</f>
        <v>0</v>
      </c>
    </row>
    <row r="61" spans="1:21">
      <c r="A61" s="25">
        <f>IF(MES!A61="","",MES!C61/48)</f>
        <v>0</v>
      </c>
      <c r="B61" s="26">
        <f>IF(A61="","",TEXT((N61*4+cfgDeslocamento)/48,"hh:mm")&amp;" a "&amp;TEXT(A61,"hh:mm"))</f>
        <v>0</v>
      </c>
      <c r="C61" s="27">
        <f>IF(A61="","",MES!B61)</f>
        <v>0</v>
      </c>
      <c r="D61" s="27">
        <f>IF(A61="","",IFERROR(AVERAGEIFS(Prensa!$B$2:$B$5001,Prensa!$E$2:$E$5001,N61,Prensa!$F$2:$F$5001,1,Prensa!$G$2:$G$5001,1),""))</f>
        <v>0</v>
      </c>
      <c r="E61" s="27">
        <f>IF(A61="","",IFERROR(AVERAGEIFS(Prensa!$B$2:$B$5001,Prensa!$E$2:$E$5001,N61,Prensa!$F$2:$F$5001,2,Prensa!$G$2:$G$5001,1),""))</f>
        <v>0</v>
      </c>
      <c r="F61" s="27">
        <f>IF(A61="","",IFERROR(AVERAGEIFS(Prensa!$B$2:$B$5001,Prensa!$E$2:$E$5001,N61,Prensa!$F$2:$F$5001,3,Prensa!$G$2:$G$5001,1),""))</f>
        <v>0</v>
      </c>
      <c r="G61" s="27">
        <f>IF(A61="","",IFERROR(AVERAGEIFS(Prensa!$B$2:$B$5001,Prensa!$E$2:$E$5001,N61,Prensa!$F$2:$F$5001,4,Prensa!$G$2:$G$5001,1),""))</f>
        <v>0</v>
      </c>
      <c r="H61" s="26">
        <f>IF(A61="","",COUNT(D61:G61))</f>
        <v>0</v>
      </c>
      <c r="I61" s="27">
        <f>IF(A61="","",IF(H61=0,"",AVERAGE(D61:G61)))</f>
        <v>0</v>
      </c>
      <c r="J61" s="27">
        <f>IF(OR(I61="",C61=""),"",I61-C61)</f>
        <v>0</v>
      </c>
      <c r="K61" s="26">
        <f>IF(A61="","",IF(MES!E61&lt;&gt;4,"Horário do MES fora do padrão",IF(H61&lt;cfgMinCortes,"Cortes insuficientes","Válida")))</f>
        <v>0</v>
      </c>
      <c r="L61" s="27">
        <f>IF(K61="Válida",ABS(J61),"")</f>
        <v>0</v>
      </c>
      <c r="M61" s="26">
        <f>IF(K61="Válida",IF(L61&lt;=cfgTolerancia,"Sim","Não"),"")</f>
        <v>0</v>
      </c>
      <c r="N61" s="26">
        <f>IF(A61="","",MES!D61)</f>
        <v>0</v>
      </c>
      <c r="O61" s="25">
        <f>IF(K61="Válida",A61,NA())</f>
        <v>0</v>
      </c>
      <c r="P61" s="27">
        <f>IF(K61="Válida",C61,NA())</f>
        <v>0</v>
      </c>
      <c r="Q61" s="27">
        <f>IF(K61="Válida",I61,NA())</f>
        <v>0</v>
      </c>
      <c r="R61" s="27">
        <f>IF(K61="Válida",J61,NA())</f>
        <v>0</v>
      </c>
      <c r="S61" s="27">
        <f>IF(K61="Válida",C61,"")</f>
        <v>0</v>
      </c>
      <c r="T61" s="27">
        <f>IF(K61="Válida",I61,"")</f>
        <v>0</v>
      </c>
      <c r="U61" s="27">
        <f>IF(K61="Válida",J61,"")</f>
        <v>0</v>
      </c>
    </row>
    <row r="62" spans="1:21">
      <c r="A62" s="25">
        <f>IF(MES!A62="","",MES!C62/48)</f>
        <v>0</v>
      </c>
      <c r="B62" s="26">
        <f>IF(A62="","",TEXT((N62*4+cfgDeslocamento)/48,"hh:mm")&amp;" a "&amp;TEXT(A62,"hh:mm"))</f>
        <v>0</v>
      </c>
      <c r="C62" s="27">
        <f>IF(A62="","",MES!B62)</f>
        <v>0</v>
      </c>
      <c r="D62" s="27">
        <f>IF(A62="","",IFERROR(AVERAGEIFS(Prensa!$B$2:$B$5001,Prensa!$E$2:$E$5001,N62,Prensa!$F$2:$F$5001,1,Prensa!$G$2:$G$5001,1),""))</f>
        <v>0</v>
      </c>
      <c r="E62" s="27">
        <f>IF(A62="","",IFERROR(AVERAGEIFS(Prensa!$B$2:$B$5001,Prensa!$E$2:$E$5001,N62,Prensa!$F$2:$F$5001,2,Prensa!$G$2:$G$5001,1),""))</f>
        <v>0</v>
      </c>
      <c r="F62" s="27">
        <f>IF(A62="","",IFERROR(AVERAGEIFS(Prensa!$B$2:$B$5001,Prensa!$E$2:$E$5001,N62,Prensa!$F$2:$F$5001,3,Prensa!$G$2:$G$5001,1),""))</f>
        <v>0</v>
      </c>
      <c r="G62" s="27">
        <f>IF(A62="","",IFERROR(AVERAGEIFS(Prensa!$B$2:$B$5001,Prensa!$E$2:$E$5001,N62,Prensa!$F$2:$F$5001,4,Prensa!$G$2:$G$5001,1),""))</f>
        <v>0</v>
      </c>
      <c r="H62" s="26">
        <f>IF(A62="","",COUNT(D62:G62))</f>
        <v>0</v>
      </c>
      <c r="I62" s="27">
        <f>IF(A62="","",IF(H62=0,"",AVERAGE(D62:G62)))</f>
        <v>0</v>
      </c>
      <c r="J62" s="27">
        <f>IF(OR(I62="",C62=""),"",I62-C62)</f>
        <v>0</v>
      </c>
      <c r="K62" s="26">
        <f>IF(A62="","",IF(MES!E62&lt;&gt;4,"Horário do MES fora do padrão",IF(H62&lt;cfgMinCortes,"Cortes insuficientes","Válida")))</f>
        <v>0</v>
      </c>
      <c r="L62" s="27">
        <f>IF(K62="Válida",ABS(J62),"")</f>
        <v>0</v>
      </c>
      <c r="M62" s="26">
        <f>IF(K62="Válida",IF(L62&lt;=cfgTolerancia,"Sim","Não"),"")</f>
        <v>0</v>
      </c>
      <c r="N62" s="26">
        <f>IF(A62="","",MES!D62)</f>
        <v>0</v>
      </c>
      <c r="O62" s="25">
        <f>IF(K62="Válida",A62,NA())</f>
        <v>0</v>
      </c>
      <c r="P62" s="27">
        <f>IF(K62="Válida",C62,NA())</f>
        <v>0</v>
      </c>
      <c r="Q62" s="27">
        <f>IF(K62="Válida",I62,NA())</f>
        <v>0</v>
      </c>
      <c r="R62" s="27">
        <f>IF(K62="Válida",J62,NA())</f>
        <v>0</v>
      </c>
      <c r="S62" s="27">
        <f>IF(K62="Válida",C62,"")</f>
        <v>0</v>
      </c>
      <c r="T62" s="27">
        <f>IF(K62="Válida",I62,"")</f>
        <v>0</v>
      </c>
      <c r="U62" s="27">
        <f>IF(K62="Válida",J62,"")</f>
        <v>0</v>
      </c>
    </row>
    <row r="63" spans="1:21">
      <c r="A63" s="25">
        <f>IF(MES!A63="","",MES!C63/48)</f>
        <v>0</v>
      </c>
      <c r="B63" s="26">
        <f>IF(A63="","",TEXT((N63*4+cfgDeslocamento)/48,"hh:mm")&amp;" a "&amp;TEXT(A63,"hh:mm"))</f>
        <v>0</v>
      </c>
      <c r="C63" s="27">
        <f>IF(A63="","",MES!B63)</f>
        <v>0</v>
      </c>
      <c r="D63" s="27">
        <f>IF(A63="","",IFERROR(AVERAGEIFS(Prensa!$B$2:$B$5001,Prensa!$E$2:$E$5001,N63,Prensa!$F$2:$F$5001,1,Prensa!$G$2:$G$5001,1),""))</f>
        <v>0</v>
      </c>
      <c r="E63" s="27">
        <f>IF(A63="","",IFERROR(AVERAGEIFS(Prensa!$B$2:$B$5001,Prensa!$E$2:$E$5001,N63,Prensa!$F$2:$F$5001,2,Prensa!$G$2:$G$5001,1),""))</f>
        <v>0</v>
      </c>
      <c r="F63" s="27">
        <f>IF(A63="","",IFERROR(AVERAGEIFS(Prensa!$B$2:$B$5001,Prensa!$E$2:$E$5001,N63,Prensa!$F$2:$F$5001,3,Prensa!$G$2:$G$5001,1),""))</f>
        <v>0</v>
      </c>
      <c r="G63" s="27">
        <f>IF(A63="","",IFERROR(AVERAGEIFS(Prensa!$B$2:$B$5001,Prensa!$E$2:$E$5001,N63,Prensa!$F$2:$F$5001,4,Prensa!$G$2:$G$5001,1),""))</f>
        <v>0</v>
      </c>
      <c r="H63" s="26">
        <f>IF(A63="","",COUNT(D63:G63))</f>
        <v>0</v>
      </c>
      <c r="I63" s="27">
        <f>IF(A63="","",IF(H63=0,"",AVERAGE(D63:G63)))</f>
        <v>0</v>
      </c>
      <c r="J63" s="27">
        <f>IF(OR(I63="",C63=""),"",I63-C63)</f>
        <v>0</v>
      </c>
      <c r="K63" s="26">
        <f>IF(A63="","",IF(MES!E63&lt;&gt;4,"Horário do MES fora do padrão",IF(H63&lt;cfgMinCortes,"Cortes insuficientes","Válida")))</f>
        <v>0</v>
      </c>
      <c r="L63" s="27">
        <f>IF(K63="Válida",ABS(J63),"")</f>
        <v>0</v>
      </c>
      <c r="M63" s="26">
        <f>IF(K63="Válida",IF(L63&lt;=cfgTolerancia,"Sim","Não"),"")</f>
        <v>0</v>
      </c>
      <c r="N63" s="26">
        <f>IF(A63="","",MES!D63)</f>
        <v>0</v>
      </c>
      <c r="O63" s="25">
        <f>IF(K63="Válida",A63,NA())</f>
        <v>0</v>
      </c>
      <c r="P63" s="27">
        <f>IF(K63="Válida",C63,NA())</f>
        <v>0</v>
      </c>
      <c r="Q63" s="27">
        <f>IF(K63="Válida",I63,NA())</f>
        <v>0</v>
      </c>
      <c r="R63" s="27">
        <f>IF(K63="Válida",J63,NA())</f>
        <v>0</v>
      </c>
      <c r="S63" s="27">
        <f>IF(K63="Válida",C63,"")</f>
        <v>0</v>
      </c>
      <c r="T63" s="27">
        <f>IF(K63="Válida",I63,"")</f>
        <v>0</v>
      </c>
      <c r="U63" s="27">
        <f>IF(K63="Válida",J63,"")</f>
        <v>0</v>
      </c>
    </row>
    <row r="64" spans="1:21">
      <c r="A64" s="25">
        <f>IF(MES!A64="","",MES!C64/48)</f>
        <v>0</v>
      </c>
      <c r="B64" s="26">
        <f>IF(A64="","",TEXT((N64*4+cfgDeslocamento)/48,"hh:mm")&amp;" a "&amp;TEXT(A64,"hh:mm"))</f>
        <v>0</v>
      </c>
      <c r="C64" s="27">
        <f>IF(A64="","",MES!B64)</f>
        <v>0</v>
      </c>
      <c r="D64" s="27">
        <f>IF(A64="","",IFERROR(AVERAGEIFS(Prensa!$B$2:$B$5001,Prensa!$E$2:$E$5001,N64,Prensa!$F$2:$F$5001,1,Prensa!$G$2:$G$5001,1),""))</f>
        <v>0</v>
      </c>
      <c r="E64" s="27">
        <f>IF(A64="","",IFERROR(AVERAGEIFS(Prensa!$B$2:$B$5001,Prensa!$E$2:$E$5001,N64,Prensa!$F$2:$F$5001,2,Prensa!$G$2:$G$5001,1),""))</f>
        <v>0</v>
      </c>
      <c r="F64" s="27">
        <f>IF(A64="","",IFERROR(AVERAGEIFS(Prensa!$B$2:$B$5001,Prensa!$E$2:$E$5001,N64,Prensa!$F$2:$F$5001,3,Prensa!$G$2:$G$5001,1),""))</f>
        <v>0</v>
      </c>
      <c r="G64" s="27">
        <f>IF(A64="","",IFERROR(AVERAGEIFS(Prensa!$B$2:$B$5001,Prensa!$E$2:$E$5001,N64,Prensa!$F$2:$F$5001,4,Prensa!$G$2:$G$5001,1),""))</f>
        <v>0</v>
      </c>
      <c r="H64" s="26">
        <f>IF(A64="","",COUNT(D64:G64))</f>
        <v>0</v>
      </c>
      <c r="I64" s="27">
        <f>IF(A64="","",IF(H64=0,"",AVERAGE(D64:G64)))</f>
        <v>0</v>
      </c>
      <c r="J64" s="27">
        <f>IF(OR(I64="",C64=""),"",I64-C64)</f>
        <v>0</v>
      </c>
      <c r="K64" s="26">
        <f>IF(A64="","",IF(MES!E64&lt;&gt;4,"Horário do MES fora do padrão",IF(H64&lt;cfgMinCortes,"Cortes insuficientes","Válida")))</f>
        <v>0</v>
      </c>
      <c r="L64" s="27">
        <f>IF(K64="Válida",ABS(J64),"")</f>
        <v>0</v>
      </c>
      <c r="M64" s="26">
        <f>IF(K64="Válida",IF(L64&lt;=cfgTolerancia,"Sim","Não"),"")</f>
        <v>0</v>
      </c>
      <c r="N64" s="26">
        <f>IF(A64="","",MES!D64)</f>
        <v>0</v>
      </c>
      <c r="O64" s="25">
        <f>IF(K64="Válida",A64,NA())</f>
        <v>0</v>
      </c>
      <c r="P64" s="27">
        <f>IF(K64="Válida",C64,NA())</f>
        <v>0</v>
      </c>
      <c r="Q64" s="27">
        <f>IF(K64="Válida",I64,NA())</f>
        <v>0</v>
      </c>
      <c r="R64" s="27">
        <f>IF(K64="Válida",J64,NA())</f>
        <v>0</v>
      </c>
      <c r="S64" s="27">
        <f>IF(K64="Válida",C64,"")</f>
        <v>0</v>
      </c>
      <c r="T64" s="27">
        <f>IF(K64="Válida",I64,"")</f>
        <v>0</v>
      </c>
      <c r="U64" s="27">
        <f>IF(K64="Válida",J64,"")</f>
        <v>0</v>
      </c>
    </row>
    <row r="65" spans="1:21">
      <c r="A65" s="25">
        <f>IF(MES!A65="","",MES!C65/48)</f>
        <v>0</v>
      </c>
      <c r="B65" s="26">
        <f>IF(A65="","",TEXT((N65*4+cfgDeslocamento)/48,"hh:mm")&amp;" a "&amp;TEXT(A65,"hh:mm"))</f>
        <v>0</v>
      </c>
      <c r="C65" s="27">
        <f>IF(A65="","",MES!B65)</f>
        <v>0</v>
      </c>
      <c r="D65" s="27">
        <f>IF(A65="","",IFERROR(AVERAGEIFS(Prensa!$B$2:$B$5001,Prensa!$E$2:$E$5001,N65,Prensa!$F$2:$F$5001,1,Prensa!$G$2:$G$5001,1),""))</f>
        <v>0</v>
      </c>
      <c r="E65" s="27">
        <f>IF(A65="","",IFERROR(AVERAGEIFS(Prensa!$B$2:$B$5001,Prensa!$E$2:$E$5001,N65,Prensa!$F$2:$F$5001,2,Prensa!$G$2:$G$5001,1),""))</f>
        <v>0</v>
      </c>
      <c r="F65" s="27">
        <f>IF(A65="","",IFERROR(AVERAGEIFS(Prensa!$B$2:$B$5001,Prensa!$E$2:$E$5001,N65,Prensa!$F$2:$F$5001,3,Prensa!$G$2:$G$5001,1),""))</f>
        <v>0</v>
      </c>
      <c r="G65" s="27">
        <f>IF(A65="","",IFERROR(AVERAGEIFS(Prensa!$B$2:$B$5001,Prensa!$E$2:$E$5001,N65,Prensa!$F$2:$F$5001,4,Prensa!$G$2:$G$5001,1),""))</f>
        <v>0</v>
      </c>
      <c r="H65" s="26">
        <f>IF(A65="","",COUNT(D65:G65))</f>
        <v>0</v>
      </c>
      <c r="I65" s="27">
        <f>IF(A65="","",IF(H65=0,"",AVERAGE(D65:G65)))</f>
        <v>0</v>
      </c>
      <c r="J65" s="27">
        <f>IF(OR(I65="",C65=""),"",I65-C65)</f>
        <v>0</v>
      </c>
      <c r="K65" s="26">
        <f>IF(A65="","",IF(MES!E65&lt;&gt;4,"Horário do MES fora do padrão",IF(H65&lt;cfgMinCortes,"Cortes insuficientes","Válida")))</f>
        <v>0</v>
      </c>
      <c r="L65" s="27">
        <f>IF(K65="Válida",ABS(J65),"")</f>
        <v>0</v>
      </c>
      <c r="M65" s="26">
        <f>IF(K65="Válida",IF(L65&lt;=cfgTolerancia,"Sim","Não"),"")</f>
        <v>0</v>
      </c>
      <c r="N65" s="26">
        <f>IF(A65="","",MES!D65)</f>
        <v>0</v>
      </c>
      <c r="O65" s="25">
        <f>IF(K65="Válida",A65,NA())</f>
        <v>0</v>
      </c>
      <c r="P65" s="27">
        <f>IF(K65="Válida",C65,NA())</f>
        <v>0</v>
      </c>
      <c r="Q65" s="27">
        <f>IF(K65="Válida",I65,NA())</f>
        <v>0</v>
      </c>
      <c r="R65" s="27">
        <f>IF(K65="Válida",J65,NA())</f>
        <v>0</v>
      </c>
      <c r="S65" s="27">
        <f>IF(K65="Válida",C65,"")</f>
        <v>0</v>
      </c>
      <c r="T65" s="27">
        <f>IF(K65="Válida",I65,"")</f>
        <v>0</v>
      </c>
      <c r="U65" s="27">
        <f>IF(K65="Válida",J65,"")</f>
        <v>0</v>
      </c>
    </row>
    <row r="66" spans="1:21">
      <c r="A66" s="25">
        <f>IF(MES!A66="","",MES!C66/48)</f>
        <v>0</v>
      </c>
      <c r="B66" s="26">
        <f>IF(A66="","",TEXT((N66*4+cfgDeslocamento)/48,"hh:mm")&amp;" a "&amp;TEXT(A66,"hh:mm"))</f>
        <v>0</v>
      </c>
      <c r="C66" s="27">
        <f>IF(A66="","",MES!B66)</f>
        <v>0</v>
      </c>
      <c r="D66" s="27">
        <f>IF(A66="","",IFERROR(AVERAGEIFS(Prensa!$B$2:$B$5001,Prensa!$E$2:$E$5001,N66,Prensa!$F$2:$F$5001,1,Prensa!$G$2:$G$5001,1),""))</f>
        <v>0</v>
      </c>
      <c r="E66" s="27">
        <f>IF(A66="","",IFERROR(AVERAGEIFS(Prensa!$B$2:$B$5001,Prensa!$E$2:$E$5001,N66,Prensa!$F$2:$F$5001,2,Prensa!$G$2:$G$5001,1),""))</f>
        <v>0</v>
      </c>
      <c r="F66" s="27">
        <f>IF(A66="","",IFERROR(AVERAGEIFS(Prensa!$B$2:$B$5001,Prensa!$E$2:$E$5001,N66,Prensa!$F$2:$F$5001,3,Prensa!$G$2:$G$5001,1),""))</f>
        <v>0</v>
      </c>
      <c r="G66" s="27">
        <f>IF(A66="","",IFERROR(AVERAGEIFS(Prensa!$B$2:$B$5001,Prensa!$E$2:$E$5001,N66,Prensa!$F$2:$F$5001,4,Prensa!$G$2:$G$5001,1),""))</f>
        <v>0</v>
      </c>
      <c r="H66" s="26">
        <f>IF(A66="","",COUNT(D66:G66))</f>
        <v>0</v>
      </c>
      <c r="I66" s="27">
        <f>IF(A66="","",IF(H66=0,"",AVERAGE(D66:G66)))</f>
        <v>0</v>
      </c>
      <c r="J66" s="27">
        <f>IF(OR(I66="",C66=""),"",I66-C66)</f>
        <v>0</v>
      </c>
      <c r="K66" s="26">
        <f>IF(A66="","",IF(MES!E66&lt;&gt;4,"Horário do MES fora do padrão",IF(H66&lt;cfgMinCortes,"Cortes insuficientes","Válida")))</f>
        <v>0</v>
      </c>
      <c r="L66" s="27">
        <f>IF(K66="Válida",ABS(J66),"")</f>
        <v>0</v>
      </c>
      <c r="M66" s="26">
        <f>IF(K66="Válida",IF(L66&lt;=cfgTolerancia,"Sim","Não"),"")</f>
        <v>0</v>
      </c>
      <c r="N66" s="26">
        <f>IF(A66="","",MES!D66)</f>
        <v>0</v>
      </c>
      <c r="O66" s="25">
        <f>IF(K66="Válida",A66,NA())</f>
        <v>0</v>
      </c>
      <c r="P66" s="27">
        <f>IF(K66="Válida",C66,NA())</f>
        <v>0</v>
      </c>
      <c r="Q66" s="27">
        <f>IF(K66="Válida",I66,NA())</f>
        <v>0</v>
      </c>
      <c r="R66" s="27">
        <f>IF(K66="Válida",J66,NA())</f>
        <v>0</v>
      </c>
      <c r="S66" s="27">
        <f>IF(K66="Válida",C66,"")</f>
        <v>0</v>
      </c>
      <c r="T66" s="27">
        <f>IF(K66="Válida",I66,"")</f>
        <v>0</v>
      </c>
      <c r="U66" s="27">
        <f>IF(K66="Válida",J66,"")</f>
        <v>0</v>
      </c>
    </row>
    <row r="67" spans="1:21">
      <c r="A67" s="25">
        <f>IF(MES!A67="","",MES!C67/48)</f>
        <v>0</v>
      </c>
      <c r="B67" s="26">
        <f>IF(A67="","",TEXT((N67*4+cfgDeslocamento)/48,"hh:mm")&amp;" a "&amp;TEXT(A67,"hh:mm"))</f>
        <v>0</v>
      </c>
      <c r="C67" s="27">
        <f>IF(A67="","",MES!B67)</f>
        <v>0</v>
      </c>
      <c r="D67" s="27">
        <f>IF(A67="","",IFERROR(AVERAGEIFS(Prensa!$B$2:$B$5001,Prensa!$E$2:$E$5001,N67,Prensa!$F$2:$F$5001,1,Prensa!$G$2:$G$5001,1),""))</f>
        <v>0</v>
      </c>
      <c r="E67" s="27">
        <f>IF(A67="","",IFERROR(AVERAGEIFS(Prensa!$B$2:$B$5001,Prensa!$E$2:$E$5001,N67,Prensa!$F$2:$F$5001,2,Prensa!$G$2:$G$5001,1),""))</f>
        <v>0</v>
      </c>
      <c r="F67" s="27">
        <f>IF(A67="","",IFERROR(AVERAGEIFS(Prensa!$B$2:$B$5001,Prensa!$E$2:$E$5001,N67,Prensa!$F$2:$F$5001,3,Prensa!$G$2:$G$5001,1),""))</f>
        <v>0</v>
      </c>
      <c r="G67" s="27">
        <f>IF(A67="","",IFERROR(AVERAGEIFS(Prensa!$B$2:$B$5001,Prensa!$E$2:$E$5001,N67,Prensa!$F$2:$F$5001,4,Prensa!$G$2:$G$5001,1),""))</f>
        <v>0</v>
      </c>
      <c r="H67" s="26">
        <f>IF(A67="","",COUNT(D67:G67))</f>
        <v>0</v>
      </c>
      <c r="I67" s="27">
        <f>IF(A67="","",IF(H67=0,"",AVERAGE(D67:G67)))</f>
        <v>0</v>
      </c>
      <c r="J67" s="27">
        <f>IF(OR(I67="",C67=""),"",I67-C67)</f>
        <v>0</v>
      </c>
      <c r="K67" s="26">
        <f>IF(A67="","",IF(MES!E67&lt;&gt;4,"Horário do MES fora do padrão",IF(H67&lt;cfgMinCortes,"Cortes insuficientes","Válida")))</f>
        <v>0</v>
      </c>
      <c r="L67" s="27">
        <f>IF(K67="Válida",ABS(J67),"")</f>
        <v>0</v>
      </c>
      <c r="M67" s="26">
        <f>IF(K67="Válida",IF(L67&lt;=cfgTolerancia,"Sim","Não"),"")</f>
        <v>0</v>
      </c>
      <c r="N67" s="26">
        <f>IF(A67="","",MES!D67)</f>
        <v>0</v>
      </c>
      <c r="O67" s="25">
        <f>IF(K67="Válida",A67,NA())</f>
        <v>0</v>
      </c>
      <c r="P67" s="27">
        <f>IF(K67="Válida",C67,NA())</f>
        <v>0</v>
      </c>
      <c r="Q67" s="27">
        <f>IF(K67="Válida",I67,NA())</f>
        <v>0</v>
      </c>
      <c r="R67" s="27">
        <f>IF(K67="Válida",J67,NA())</f>
        <v>0</v>
      </c>
      <c r="S67" s="27">
        <f>IF(K67="Válida",C67,"")</f>
        <v>0</v>
      </c>
      <c r="T67" s="27">
        <f>IF(K67="Válida",I67,"")</f>
        <v>0</v>
      </c>
      <c r="U67" s="27">
        <f>IF(K67="Válida",J67,"")</f>
        <v>0</v>
      </c>
    </row>
    <row r="68" spans="1:21">
      <c r="A68" s="25">
        <f>IF(MES!A68="","",MES!C68/48)</f>
        <v>0</v>
      </c>
      <c r="B68" s="26">
        <f>IF(A68="","",TEXT((N68*4+cfgDeslocamento)/48,"hh:mm")&amp;" a "&amp;TEXT(A68,"hh:mm"))</f>
        <v>0</v>
      </c>
      <c r="C68" s="27">
        <f>IF(A68="","",MES!B68)</f>
        <v>0</v>
      </c>
      <c r="D68" s="27">
        <f>IF(A68="","",IFERROR(AVERAGEIFS(Prensa!$B$2:$B$5001,Prensa!$E$2:$E$5001,N68,Prensa!$F$2:$F$5001,1,Prensa!$G$2:$G$5001,1),""))</f>
        <v>0</v>
      </c>
      <c r="E68" s="27">
        <f>IF(A68="","",IFERROR(AVERAGEIFS(Prensa!$B$2:$B$5001,Prensa!$E$2:$E$5001,N68,Prensa!$F$2:$F$5001,2,Prensa!$G$2:$G$5001,1),""))</f>
        <v>0</v>
      </c>
      <c r="F68" s="27">
        <f>IF(A68="","",IFERROR(AVERAGEIFS(Prensa!$B$2:$B$5001,Prensa!$E$2:$E$5001,N68,Prensa!$F$2:$F$5001,3,Prensa!$G$2:$G$5001,1),""))</f>
        <v>0</v>
      </c>
      <c r="G68" s="27">
        <f>IF(A68="","",IFERROR(AVERAGEIFS(Prensa!$B$2:$B$5001,Prensa!$E$2:$E$5001,N68,Prensa!$F$2:$F$5001,4,Prensa!$G$2:$G$5001,1),""))</f>
        <v>0</v>
      </c>
      <c r="H68" s="26">
        <f>IF(A68="","",COUNT(D68:G68))</f>
        <v>0</v>
      </c>
      <c r="I68" s="27">
        <f>IF(A68="","",IF(H68=0,"",AVERAGE(D68:G68)))</f>
        <v>0</v>
      </c>
      <c r="J68" s="27">
        <f>IF(OR(I68="",C68=""),"",I68-C68)</f>
        <v>0</v>
      </c>
      <c r="K68" s="26">
        <f>IF(A68="","",IF(MES!E68&lt;&gt;4,"Horário do MES fora do padrão",IF(H68&lt;cfgMinCortes,"Cortes insuficientes","Válida")))</f>
        <v>0</v>
      </c>
      <c r="L68" s="27">
        <f>IF(K68="Válida",ABS(J68),"")</f>
        <v>0</v>
      </c>
      <c r="M68" s="26">
        <f>IF(K68="Válida",IF(L68&lt;=cfgTolerancia,"Sim","Não"),"")</f>
        <v>0</v>
      </c>
      <c r="N68" s="26">
        <f>IF(A68="","",MES!D68)</f>
        <v>0</v>
      </c>
      <c r="O68" s="25">
        <f>IF(K68="Válida",A68,NA())</f>
        <v>0</v>
      </c>
      <c r="P68" s="27">
        <f>IF(K68="Válida",C68,NA())</f>
        <v>0</v>
      </c>
      <c r="Q68" s="27">
        <f>IF(K68="Válida",I68,NA())</f>
        <v>0</v>
      </c>
      <c r="R68" s="27">
        <f>IF(K68="Válida",J68,NA())</f>
        <v>0</v>
      </c>
      <c r="S68" s="27">
        <f>IF(K68="Válida",C68,"")</f>
        <v>0</v>
      </c>
      <c r="T68" s="27">
        <f>IF(K68="Válida",I68,"")</f>
        <v>0</v>
      </c>
      <c r="U68" s="27">
        <f>IF(K68="Válida",J68,"")</f>
        <v>0</v>
      </c>
    </row>
    <row r="69" spans="1:21">
      <c r="A69" s="25">
        <f>IF(MES!A69="","",MES!C69/48)</f>
        <v>0</v>
      </c>
      <c r="B69" s="26">
        <f>IF(A69="","",TEXT((N69*4+cfgDeslocamento)/48,"hh:mm")&amp;" a "&amp;TEXT(A69,"hh:mm"))</f>
        <v>0</v>
      </c>
      <c r="C69" s="27">
        <f>IF(A69="","",MES!B69)</f>
        <v>0</v>
      </c>
      <c r="D69" s="27">
        <f>IF(A69="","",IFERROR(AVERAGEIFS(Prensa!$B$2:$B$5001,Prensa!$E$2:$E$5001,N69,Prensa!$F$2:$F$5001,1,Prensa!$G$2:$G$5001,1),""))</f>
        <v>0</v>
      </c>
      <c r="E69" s="27">
        <f>IF(A69="","",IFERROR(AVERAGEIFS(Prensa!$B$2:$B$5001,Prensa!$E$2:$E$5001,N69,Prensa!$F$2:$F$5001,2,Prensa!$G$2:$G$5001,1),""))</f>
        <v>0</v>
      </c>
      <c r="F69" s="27">
        <f>IF(A69="","",IFERROR(AVERAGEIFS(Prensa!$B$2:$B$5001,Prensa!$E$2:$E$5001,N69,Prensa!$F$2:$F$5001,3,Prensa!$G$2:$G$5001,1),""))</f>
        <v>0</v>
      </c>
      <c r="G69" s="27">
        <f>IF(A69="","",IFERROR(AVERAGEIFS(Prensa!$B$2:$B$5001,Prensa!$E$2:$E$5001,N69,Prensa!$F$2:$F$5001,4,Prensa!$G$2:$G$5001,1),""))</f>
        <v>0</v>
      </c>
      <c r="H69" s="26">
        <f>IF(A69="","",COUNT(D69:G69))</f>
        <v>0</v>
      </c>
      <c r="I69" s="27">
        <f>IF(A69="","",IF(H69=0,"",AVERAGE(D69:G69)))</f>
        <v>0</v>
      </c>
      <c r="J69" s="27">
        <f>IF(OR(I69="",C69=""),"",I69-C69)</f>
        <v>0</v>
      </c>
      <c r="K69" s="26">
        <f>IF(A69="","",IF(MES!E69&lt;&gt;4,"Horário do MES fora do padrão",IF(H69&lt;cfgMinCortes,"Cortes insuficientes","Válida")))</f>
        <v>0</v>
      </c>
      <c r="L69" s="27">
        <f>IF(K69="Válida",ABS(J69),"")</f>
        <v>0</v>
      </c>
      <c r="M69" s="26">
        <f>IF(K69="Válida",IF(L69&lt;=cfgTolerancia,"Sim","Não"),"")</f>
        <v>0</v>
      </c>
      <c r="N69" s="26">
        <f>IF(A69="","",MES!D69)</f>
        <v>0</v>
      </c>
      <c r="O69" s="25">
        <f>IF(K69="Válida",A69,NA())</f>
        <v>0</v>
      </c>
      <c r="P69" s="27">
        <f>IF(K69="Válida",C69,NA())</f>
        <v>0</v>
      </c>
      <c r="Q69" s="27">
        <f>IF(K69="Válida",I69,NA())</f>
        <v>0</v>
      </c>
      <c r="R69" s="27">
        <f>IF(K69="Válida",J69,NA())</f>
        <v>0</v>
      </c>
      <c r="S69" s="27">
        <f>IF(K69="Válida",C69,"")</f>
        <v>0</v>
      </c>
      <c r="T69" s="27">
        <f>IF(K69="Válida",I69,"")</f>
        <v>0</v>
      </c>
      <c r="U69" s="27">
        <f>IF(K69="Válida",J69,"")</f>
        <v>0</v>
      </c>
    </row>
    <row r="70" spans="1:21">
      <c r="A70" s="25">
        <f>IF(MES!A70="","",MES!C70/48)</f>
        <v>0</v>
      </c>
      <c r="B70" s="26">
        <f>IF(A70="","",TEXT((N70*4+cfgDeslocamento)/48,"hh:mm")&amp;" a "&amp;TEXT(A70,"hh:mm"))</f>
        <v>0</v>
      </c>
      <c r="C70" s="27">
        <f>IF(A70="","",MES!B70)</f>
        <v>0</v>
      </c>
      <c r="D70" s="27">
        <f>IF(A70="","",IFERROR(AVERAGEIFS(Prensa!$B$2:$B$5001,Prensa!$E$2:$E$5001,N70,Prensa!$F$2:$F$5001,1,Prensa!$G$2:$G$5001,1),""))</f>
        <v>0</v>
      </c>
      <c r="E70" s="27">
        <f>IF(A70="","",IFERROR(AVERAGEIFS(Prensa!$B$2:$B$5001,Prensa!$E$2:$E$5001,N70,Prensa!$F$2:$F$5001,2,Prensa!$G$2:$G$5001,1),""))</f>
        <v>0</v>
      </c>
      <c r="F70" s="27">
        <f>IF(A70="","",IFERROR(AVERAGEIFS(Prensa!$B$2:$B$5001,Prensa!$E$2:$E$5001,N70,Prensa!$F$2:$F$5001,3,Prensa!$G$2:$G$5001,1),""))</f>
        <v>0</v>
      </c>
      <c r="G70" s="27">
        <f>IF(A70="","",IFERROR(AVERAGEIFS(Prensa!$B$2:$B$5001,Prensa!$E$2:$E$5001,N70,Prensa!$F$2:$F$5001,4,Prensa!$G$2:$G$5001,1),""))</f>
        <v>0</v>
      </c>
      <c r="H70" s="26">
        <f>IF(A70="","",COUNT(D70:G70))</f>
        <v>0</v>
      </c>
      <c r="I70" s="27">
        <f>IF(A70="","",IF(H70=0,"",AVERAGE(D70:G70)))</f>
        <v>0</v>
      </c>
      <c r="J70" s="27">
        <f>IF(OR(I70="",C70=""),"",I70-C70)</f>
        <v>0</v>
      </c>
      <c r="K70" s="26">
        <f>IF(A70="","",IF(MES!E70&lt;&gt;4,"Horário do MES fora do padrão",IF(H70&lt;cfgMinCortes,"Cortes insuficientes","Válida")))</f>
        <v>0</v>
      </c>
      <c r="L70" s="27">
        <f>IF(K70="Válida",ABS(J70),"")</f>
        <v>0</v>
      </c>
      <c r="M70" s="26">
        <f>IF(K70="Válida",IF(L70&lt;=cfgTolerancia,"Sim","Não"),"")</f>
        <v>0</v>
      </c>
      <c r="N70" s="26">
        <f>IF(A70="","",MES!D70)</f>
        <v>0</v>
      </c>
      <c r="O70" s="25">
        <f>IF(K70="Válida",A70,NA())</f>
        <v>0</v>
      </c>
      <c r="P70" s="27">
        <f>IF(K70="Válida",C70,NA())</f>
        <v>0</v>
      </c>
      <c r="Q70" s="27">
        <f>IF(K70="Válida",I70,NA())</f>
        <v>0</v>
      </c>
      <c r="R70" s="27">
        <f>IF(K70="Válida",J70,NA())</f>
        <v>0</v>
      </c>
      <c r="S70" s="27">
        <f>IF(K70="Válida",C70,"")</f>
        <v>0</v>
      </c>
      <c r="T70" s="27">
        <f>IF(K70="Válida",I70,"")</f>
        <v>0</v>
      </c>
      <c r="U70" s="27">
        <f>IF(K70="Válida",J70,"")</f>
        <v>0</v>
      </c>
    </row>
    <row r="71" spans="1:21">
      <c r="A71" s="25">
        <f>IF(MES!A71="","",MES!C71/48)</f>
        <v>0</v>
      </c>
      <c r="B71" s="26">
        <f>IF(A71="","",TEXT((N71*4+cfgDeslocamento)/48,"hh:mm")&amp;" a "&amp;TEXT(A71,"hh:mm"))</f>
        <v>0</v>
      </c>
      <c r="C71" s="27">
        <f>IF(A71="","",MES!B71)</f>
        <v>0</v>
      </c>
      <c r="D71" s="27">
        <f>IF(A71="","",IFERROR(AVERAGEIFS(Prensa!$B$2:$B$5001,Prensa!$E$2:$E$5001,N71,Prensa!$F$2:$F$5001,1,Prensa!$G$2:$G$5001,1),""))</f>
        <v>0</v>
      </c>
      <c r="E71" s="27">
        <f>IF(A71="","",IFERROR(AVERAGEIFS(Prensa!$B$2:$B$5001,Prensa!$E$2:$E$5001,N71,Prensa!$F$2:$F$5001,2,Prensa!$G$2:$G$5001,1),""))</f>
        <v>0</v>
      </c>
      <c r="F71" s="27">
        <f>IF(A71="","",IFERROR(AVERAGEIFS(Prensa!$B$2:$B$5001,Prensa!$E$2:$E$5001,N71,Prensa!$F$2:$F$5001,3,Prensa!$G$2:$G$5001,1),""))</f>
        <v>0</v>
      </c>
      <c r="G71" s="27">
        <f>IF(A71="","",IFERROR(AVERAGEIFS(Prensa!$B$2:$B$5001,Prensa!$E$2:$E$5001,N71,Prensa!$F$2:$F$5001,4,Prensa!$G$2:$G$5001,1),""))</f>
        <v>0</v>
      </c>
      <c r="H71" s="26">
        <f>IF(A71="","",COUNT(D71:G71))</f>
        <v>0</v>
      </c>
      <c r="I71" s="27">
        <f>IF(A71="","",IF(H71=0,"",AVERAGE(D71:G71)))</f>
        <v>0</v>
      </c>
      <c r="J71" s="27">
        <f>IF(OR(I71="",C71=""),"",I71-C71)</f>
        <v>0</v>
      </c>
      <c r="K71" s="26">
        <f>IF(A71="","",IF(MES!E71&lt;&gt;4,"Horário do MES fora do padrão",IF(H71&lt;cfgMinCortes,"Cortes insuficientes","Válida")))</f>
        <v>0</v>
      </c>
      <c r="L71" s="27">
        <f>IF(K71="Válida",ABS(J71),"")</f>
        <v>0</v>
      </c>
      <c r="M71" s="26">
        <f>IF(K71="Válida",IF(L71&lt;=cfgTolerancia,"Sim","Não"),"")</f>
        <v>0</v>
      </c>
      <c r="N71" s="26">
        <f>IF(A71="","",MES!D71)</f>
        <v>0</v>
      </c>
      <c r="O71" s="25">
        <f>IF(K71="Válida",A71,NA())</f>
        <v>0</v>
      </c>
      <c r="P71" s="27">
        <f>IF(K71="Válida",C71,NA())</f>
        <v>0</v>
      </c>
      <c r="Q71" s="27">
        <f>IF(K71="Válida",I71,NA())</f>
        <v>0</v>
      </c>
      <c r="R71" s="27">
        <f>IF(K71="Válida",J71,NA())</f>
        <v>0</v>
      </c>
      <c r="S71" s="27">
        <f>IF(K71="Válida",C71,"")</f>
        <v>0</v>
      </c>
      <c r="T71" s="27">
        <f>IF(K71="Válida",I71,"")</f>
        <v>0</v>
      </c>
      <c r="U71" s="27">
        <f>IF(K71="Válida",J71,"")</f>
        <v>0</v>
      </c>
    </row>
    <row r="72" spans="1:21">
      <c r="A72" s="25">
        <f>IF(MES!A72="","",MES!C72/48)</f>
        <v>0</v>
      </c>
      <c r="B72" s="26">
        <f>IF(A72="","",TEXT((N72*4+cfgDeslocamento)/48,"hh:mm")&amp;" a "&amp;TEXT(A72,"hh:mm"))</f>
        <v>0</v>
      </c>
      <c r="C72" s="27">
        <f>IF(A72="","",MES!B72)</f>
        <v>0</v>
      </c>
      <c r="D72" s="27">
        <f>IF(A72="","",IFERROR(AVERAGEIFS(Prensa!$B$2:$B$5001,Prensa!$E$2:$E$5001,N72,Prensa!$F$2:$F$5001,1,Prensa!$G$2:$G$5001,1),""))</f>
        <v>0</v>
      </c>
      <c r="E72" s="27">
        <f>IF(A72="","",IFERROR(AVERAGEIFS(Prensa!$B$2:$B$5001,Prensa!$E$2:$E$5001,N72,Prensa!$F$2:$F$5001,2,Prensa!$G$2:$G$5001,1),""))</f>
        <v>0</v>
      </c>
      <c r="F72" s="27">
        <f>IF(A72="","",IFERROR(AVERAGEIFS(Prensa!$B$2:$B$5001,Prensa!$E$2:$E$5001,N72,Prensa!$F$2:$F$5001,3,Prensa!$G$2:$G$5001,1),""))</f>
        <v>0</v>
      </c>
      <c r="G72" s="27">
        <f>IF(A72="","",IFERROR(AVERAGEIFS(Prensa!$B$2:$B$5001,Prensa!$E$2:$E$5001,N72,Prensa!$F$2:$F$5001,4,Prensa!$G$2:$G$5001,1),""))</f>
        <v>0</v>
      </c>
      <c r="H72" s="26">
        <f>IF(A72="","",COUNT(D72:G72))</f>
        <v>0</v>
      </c>
      <c r="I72" s="27">
        <f>IF(A72="","",IF(H72=0,"",AVERAGE(D72:G72)))</f>
        <v>0</v>
      </c>
      <c r="J72" s="27">
        <f>IF(OR(I72="",C72=""),"",I72-C72)</f>
        <v>0</v>
      </c>
      <c r="K72" s="26">
        <f>IF(A72="","",IF(MES!E72&lt;&gt;4,"Horário do MES fora do padrão",IF(H72&lt;cfgMinCortes,"Cortes insuficientes","Válida")))</f>
        <v>0</v>
      </c>
      <c r="L72" s="27">
        <f>IF(K72="Válida",ABS(J72),"")</f>
        <v>0</v>
      </c>
      <c r="M72" s="26">
        <f>IF(K72="Válida",IF(L72&lt;=cfgTolerancia,"Sim","Não"),"")</f>
        <v>0</v>
      </c>
      <c r="N72" s="26">
        <f>IF(A72="","",MES!D72)</f>
        <v>0</v>
      </c>
      <c r="O72" s="25">
        <f>IF(K72="Válida",A72,NA())</f>
        <v>0</v>
      </c>
      <c r="P72" s="27">
        <f>IF(K72="Válida",C72,NA())</f>
        <v>0</v>
      </c>
      <c r="Q72" s="27">
        <f>IF(K72="Válida",I72,NA())</f>
        <v>0</v>
      </c>
      <c r="R72" s="27">
        <f>IF(K72="Válida",J72,NA())</f>
        <v>0</v>
      </c>
      <c r="S72" s="27">
        <f>IF(K72="Válida",C72,"")</f>
        <v>0</v>
      </c>
      <c r="T72" s="27">
        <f>IF(K72="Válida",I72,"")</f>
        <v>0</v>
      </c>
      <c r="U72" s="27">
        <f>IF(K72="Válida",J72,"")</f>
        <v>0</v>
      </c>
    </row>
    <row r="73" spans="1:21">
      <c r="A73" s="25">
        <f>IF(MES!A73="","",MES!C73/48)</f>
        <v>0</v>
      </c>
      <c r="B73" s="26">
        <f>IF(A73="","",TEXT((N73*4+cfgDeslocamento)/48,"hh:mm")&amp;" a "&amp;TEXT(A73,"hh:mm"))</f>
        <v>0</v>
      </c>
      <c r="C73" s="27">
        <f>IF(A73="","",MES!B73)</f>
        <v>0</v>
      </c>
      <c r="D73" s="27">
        <f>IF(A73="","",IFERROR(AVERAGEIFS(Prensa!$B$2:$B$5001,Prensa!$E$2:$E$5001,N73,Prensa!$F$2:$F$5001,1,Prensa!$G$2:$G$5001,1),""))</f>
        <v>0</v>
      </c>
      <c r="E73" s="27">
        <f>IF(A73="","",IFERROR(AVERAGEIFS(Prensa!$B$2:$B$5001,Prensa!$E$2:$E$5001,N73,Prensa!$F$2:$F$5001,2,Prensa!$G$2:$G$5001,1),""))</f>
        <v>0</v>
      </c>
      <c r="F73" s="27">
        <f>IF(A73="","",IFERROR(AVERAGEIFS(Prensa!$B$2:$B$5001,Prensa!$E$2:$E$5001,N73,Prensa!$F$2:$F$5001,3,Prensa!$G$2:$G$5001,1),""))</f>
        <v>0</v>
      </c>
      <c r="G73" s="27">
        <f>IF(A73="","",IFERROR(AVERAGEIFS(Prensa!$B$2:$B$5001,Prensa!$E$2:$E$5001,N73,Prensa!$F$2:$F$5001,4,Prensa!$G$2:$G$5001,1),""))</f>
        <v>0</v>
      </c>
      <c r="H73" s="26">
        <f>IF(A73="","",COUNT(D73:G73))</f>
        <v>0</v>
      </c>
      <c r="I73" s="27">
        <f>IF(A73="","",IF(H73=0,"",AVERAGE(D73:G73)))</f>
        <v>0</v>
      </c>
      <c r="J73" s="27">
        <f>IF(OR(I73="",C73=""),"",I73-C73)</f>
        <v>0</v>
      </c>
      <c r="K73" s="26">
        <f>IF(A73="","",IF(MES!E73&lt;&gt;4,"Horário do MES fora do padrão",IF(H73&lt;cfgMinCortes,"Cortes insuficientes","Válida")))</f>
        <v>0</v>
      </c>
      <c r="L73" s="27">
        <f>IF(K73="Válida",ABS(J73),"")</f>
        <v>0</v>
      </c>
      <c r="M73" s="26">
        <f>IF(K73="Válida",IF(L73&lt;=cfgTolerancia,"Sim","Não"),"")</f>
        <v>0</v>
      </c>
      <c r="N73" s="26">
        <f>IF(A73="","",MES!D73)</f>
        <v>0</v>
      </c>
      <c r="O73" s="25">
        <f>IF(K73="Válida",A73,NA())</f>
        <v>0</v>
      </c>
      <c r="P73" s="27">
        <f>IF(K73="Válida",C73,NA())</f>
        <v>0</v>
      </c>
      <c r="Q73" s="27">
        <f>IF(K73="Válida",I73,NA())</f>
        <v>0</v>
      </c>
      <c r="R73" s="27">
        <f>IF(K73="Válida",J73,NA())</f>
        <v>0</v>
      </c>
      <c r="S73" s="27">
        <f>IF(K73="Válida",C73,"")</f>
        <v>0</v>
      </c>
      <c r="T73" s="27">
        <f>IF(K73="Válida",I73,"")</f>
        <v>0</v>
      </c>
      <c r="U73" s="27">
        <f>IF(K73="Válida",J73,"")</f>
        <v>0</v>
      </c>
    </row>
    <row r="74" spans="1:21">
      <c r="A74" s="25">
        <f>IF(MES!A74="","",MES!C74/48)</f>
        <v>0</v>
      </c>
      <c r="B74" s="26">
        <f>IF(A74="","",TEXT((N74*4+cfgDeslocamento)/48,"hh:mm")&amp;" a "&amp;TEXT(A74,"hh:mm"))</f>
        <v>0</v>
      </c>
      <c r="C74" s="27">
        <f>IF(A74="","",MES!B74)</f>
        <v>0</v>
      </c>
      <c r="D74" s="27">
        <f>IF(A74="","",IFERROR(AVERAGEIFS(Prensa!$B$2:$B$5001,Prensa!$E$2:$E$5001,N74,Prensa!$F$2:$F$5001,1,Prensa!$G$2:$G$5001,1),""))</f>
        <v>0</v>
      </c>
      <c r="E74" s="27">
        <f>IF(A74="","",IFERROR(AVERAGEIFS(Prensa!$B$2:$B$5001,Prensa!$E$2:$E$5001,N74,Prensa!$F$2:$F$5001,2,Prensa!$G$2:$G$5001,1),""))</f>
        <v>0</v>
      </c>
      <c r="F74" s="27">
        <f>IF(A74="","",IFERROR(AVERAGEIFS(Prensa!$B$2:$B$5001,Prensa!$E$2:$E$5001,N74,Prensa!$F$2:$F$5001,3,Prensa!$G$2:$G$5001,1),""))</f>
        <v>0</v>
      </c>
      <c r="G74" s="27">
        <f>IF(A74="","",IFERROR(AVERAGEIFS(Prensa!$B$2:$B$5001,Prensa!$E$2:$E$5001,N74,Prensa!$F$2:$F$5001,4,Prensa!$G$2:$G$5001,1),""))</f>
        <v>0</v>
      </c>
      <c r="H74" s="26">
        <f>IF(A74="","",COUNT(D74:G74))</f>
        <v>0</v>
      </c>
      <c r="I74" s="27">
        <f>IF(A74="","",IF(H74=0,"",AVERAGE(D74:G74)))</f>
        <v>0</v>
      </c>
      <c r="J74" s="27">
        <f>IF(OR(I74="",C74=""),"",I74-C74)</f>
        <v>0</v>
      </c>
      <c r="K74" s="26">
        <f>IF(A74="","",IF(MES!E74&lt;&gt;4,"Horário do MES fora do padrão",IF(H74&lt;cfgMinCortes,"Cortes insuficientes","Válida")))</f>
        <v>0</v>
      </c>
      <c r="L74" s="27">
        <f>IF(K74="Válida",ABS(J74),"")</f>
        <v>0</v>
      </c>
      <c r="M74" s="26">
        <f>IF(K74="Válida",IF(L74&lt;=cfgTolerancia,"Sim","Não"),"")</f>
        <v>0</v>
      </c>
      <c r="N74" s="26">
        <f>IF(A74="","",MES!D74)</f>
        <v>0</v>
      </c>
      <c r="O74" s="25">
        <f>IF(K74="Válida",A74,NA())</f>
        <v>0</v>
      </c>
      <c r="P74" s="27">
        <f>IF(K74="Válida",C74,NA())</f>
        <v>0</v>
      </c>
      <c r="Q74" s="27">
        <f>IF(K74="Válida",I74,NA())</f>
        <v>0</v>
      </c>
      <c r="R74" s="27">
        <f>IF(K74="Válida",J74,NA())</f>
        <v>0</v>
      </c>
      <c r="S74" s="27">
        <f>IF(K74="Válida",C74,"")</f>
        <v>0</v>
      </c>
      <c r="T74" s="27">
        <f>IF(K74="Válida",I74,"")</f>
        <v>0</v>
      </c>
      <c r="U74" s="27">
        <f>IF(K74="Válida",J74,"")</f>
        <v>0</v>
      </c>
    </row>
    <row r="75" spans="1:21">
      <c r="A75" s="25">
        <f>IF(MES!A75="","",MES!C75/48)</f>
        <v>0</v>
      </c>
      <c r="B75" s="26">
        <f>IF(A75="","",TEXT((N75*4+cfgDeslocamento)/48,"hh:mm")&amp;" a "&amp;TEXT(A75,"hh:mm"))</f>
        <v>0</v>
      </c>
      <c r="C75" s="27">
        <f>IF(A75="","",MES!B75)</f>
        <v>0</v>
      </c>
      <c r="D75" s="27">
        <f>IF(A75="","",IFERROR(AVERAGEIFS(Prensa!$B$2:$B$5001,Prensa!$E$2:$E$5001,N75,Prensa!$F$2:$F$5001,1,Prensa!$G$2:$G$5001,1),""))</f>
        <v>0</v>
      </c>
      <c r="E75" s="27">
        <f>IF(A75="","",IFERROR(AVERAGEIFS(Prensa!$B$2:$B$5001,Prensa!$E$2:$E$5001,N75,Prensa!$F$2:$F$5001,2,Prensa!$G$2:$G$5001,1),""))</f>
        <v>0</v>
      </c>
      <c r="F75" s="27">
        <f>IF(A75="","",IFERROR(AVERAGEIFS(Prensa!$B$2:$B$5001,Prensa!$E$2:$E$5001,N75,Prensa!$F$2:$F$5001,3,Prensa!$G$2:$G$5001,1),""))</f>
        <v>0</v>
      </c>
      <c r="G75" s="27">
        <f>IF(A75="","",IFERROR(AVERAGEIFS(Prensa!$B$2:$B$5001,Prensa!$E$2:$E$5001,N75,Prensa!$F$2:$F$5001,4,Prensa!$G$2:$G$5001,1),""))</f>
        <v>0</v>
      </c>
      <c r="H75" s="26">
        <f>IF(A75="","",COUNT(D75:G75))</f>
        <v>0</v>
      </c>
      <c r="I75" s="27">
        <f>IF(A75="","",IF(H75=0,"",AVERAGE(D75:G75)))</f>
        <v>0</v>
      </c>
      <c r="J75" s="27">
        <f>IF(OR(I75="",C75=""),"",I75-C75)</f>
        <v>0</v>
      </c>
      <c r="K75" s="26">
        <f>IF(A75="","",IF(MES!E75&lt;&gt;4,"Horário do MES fora do padrão",IF(H75&lt;cfgMinCortes,"Cortes insuficientes","Válida")))</f>
        <v>0</v>
      </c>
      <c r="L75" s="27">
        <f>IF(K75="Válida",ABS(J75),"")</f>
        <v>0</v>
      </c>
      <c r="M75" s="26">
        <f>IF(K75="Válida",IF(L75&lt;=cfgTolerancia,"Sim","Não"),"")</f>
        <v>0</v>
      </c>
      <c r="N75" s="26">
        <f>IF(A75="","",MES!D75)</f>
        <v>0</v>
      </c>
      <c r="O75" s="25">
        <f>IF(K75="Válida",A75,NA())</f>
        <v>0</v>
      </c>
      <c r="P75" s="27">
        <f>IF(K75="Válida",C75,NA())</f>
        <v>0</v>
      </c>
      <c r="Q75" s="27">
        <f>IF(K75="Válida",I75,NA())</f>
        <v>0</v>
      </c>
      <c r="R75" s="27">
        <f>IF(K75="Válida",J75,NA())</f>
        <v>0</v>
      </c>
      <c r="S75" s="27">
        <f>IF(K75="Válida",C75,"")</f>
        <v>0</v>
      </c>
      <c r="T75" s="27">
        <f>IF(K75="Válida",I75,"")</f>
        <v>0</v>
      </c>
      <c r="U75" s="27">
        <f>IF(K75="Válida",J75,"")</f>
        <v>0</v>
      </c>
    </row>
    <row r="76" spans="1:21">
      <c r="A76" s="25">
        <f>IF(MES!A76="","",MES!C76/48)</f>
        <v>0</v>
      </c>
      <c r="B76" s="26">
        <f>IF(A76="","",TEXT((N76*4+cfgDeslocamento)/48,"hh:mm")&amp;" a "&amp;TEXT(A76,"hh:mm"))</f>
        <v>0</v>
      </c>
      <c r="C76" s="27">
        <f>IF(A76="","",MES!B76)</f>
        <v>0</v>
      </c>
      <c r="D76" s="27">
        <f>IF(A76="","",IFERROR(AVERAGEIFS(Prensa!$B$2:$B$5001,Prensa!$E$2:$E$5001,N76,Prensa!$F$2:$F$5001,1,Prensa!$G$2:$G$5001,1),""))</f>
        <v>0</v>
      </c>
      <c r="E76" s="27">
        <f>IF(A76="","",IFERROR(AVERAGEIFS(Prensa!$B$2:$B$5001,Prensa!$E$2:$E$5001,N76,Prensa!$F$2:$F$5001,2,Prensa!$G$2:$G$5001,1),""))</f>
        <v>0</v>
      </c>
      <c r="F76" s="27">
        <f>IF(A76="","",IFERROR(AVERAGEIFS(Prensa!$B$2:$B$5001,Prensa!$E$2:$E$5001,N76,Prensa!$F$2:$F$5001,3,Prensa!$G$2:$G$5001,1),""))</f>
        <v>0</v>
      </c>
      <c r="G76" s="27">
        <f>IF(A76="","",IFERROR(AVERAGEIFS(Prensa!$B$2:$B$5001,Prensa!$E$2:$E$5001,N76,Prensa!$F$2:$F$5001,4,Prensa!$G$2:$G$5001,1),""))</f>
        <v>0</v>
      </c>
      <c r="H76" s="26">
        <f>IF(A76="","",COUNT(D76:G76))</f>
        <v>0</v>
      </c>
      <c r="I76" s="27">
        <f>IF(A76="","",IF(H76=0,"",AVERAGE(D76:G76)))</f>
        <v>0</v>
      </c>
      <c r="J76" s="27">
        <f>IF(OR(I76="",C76=""),"",I76-C76)</f>
        <v>0</v>
      </c>
      <c r="K76" s="26">
        <f>IF(A76="","",IF(MES!E76&lt;&gt;4,"Horário do MES fora do padrão",IF(H76&lt;cfgMinCortes,"Cortes insuficientes","Válida")))</f>
        <v>0</v>
      </c>
      <c r="L76" s="27">
        <f>IF(K76="Válida",ABS(J76),"")</f>
        <v>0</v>
      </c>
      <c r="M76" s="26">
        <f>IF(K76="Válida",IF(L76&lt;=cfgTolerancia,"Sim","Não"),"")</f>
        <v>0</v>
      </c>
      <c r="N76" s="26">
        <f>IF(A76="","",MES!D76)</f>
        <v>0</v>
      </c>
      <c r="O76" s="25">
        <f>IF(K76="Válida",A76,NA())</f>
        <v>0</v>
      </c>
      <c r="P76" s="27">
        <f>IF(K76="Válida",C76,NA())</f>
        <v>0</v>
      </c>
      <c r="Q76" s="27">
        <f>IF(K76="Válida",I76,NA())</f>
        <v>0</v>
      </c>
      <c r="R76" s="27">
        <f>IF(K76="Válida",J76,NA())</f>
        <v>0</v>
      </c>
      <c r="S76" s="27">
        <f>IF(K76="Válida",C76,"")</f>
        <v>0</v>
      </c>
      <c r="T76" s="27">
        <f>IF(K76="Válida",I76,"")</f>
        <v>0</v>
      </c>
      <c r="U76" s="27">
        <f>IF(K76="Válida",J76,"")</f>
        <v>0</v>
      </c>
    </row>
    <row r="77" spans="1:21">
      <c r="A77" s="25">
        <f>IF(MES!A77="","",MES!C77/48)</f>
        <v>0</v>
      </c>
      <c r="B77" s="26">
        <f>IF(A77="","",TEXT((N77*4+cfgDeslocamento)/48,"hh:mm")&amp;" a "&amp;TEXT(A77,"hh:mm"))</f>
        <v>0</v>
      </c>
      <c r="C77" s="27">
        <f>IF(A77="","",MES!B77)</f>
        <v>0</v>
      </c>
      <c r="D77" s="27">
        <f>IF(A77="","",IFERROR(AVERAGEIFS(Prensa!$B$2:$B$5001,Prensa!$E$2:$E$5001,N77,Prensa!$F$2:$F$5001,1,Prensa!$G$2:$G$5001,1),""))</f>
        <v>0</v>
      </c>
      <c r="E77" s="27">
        <f>IF(A77="","",IFERROR(AVERAGEIFS(Prensa!$B$2:$B$5001,Prensa!$E$2:$E$5001,N77,Prensa!$F$2:$F$5001,2,Prensa!$G$2:$G$5001,1),""))</f>
        <v>0</v>
      </c>
      <c r="F77" s="27">
        <f>IF(A77="","",IFERROR(AVERAGEIFS(Prensa!$B$2:$B$5001,Prensa!$E$2:$E$5001,N77,Prensa!$F$2:$F$5001,3,Prensa!$G$2:$G$5001,1),""))</f>
        <v>0</v>
      </c>
      <c r="G77" s="27">
        <f>IF(A77="","",IFERROR(AVERAGEIFS(Prensa!$B$2:$B$5001,Prensa!$E$2:$E$5001,N77,Prensa!$F$2:$F$5001,4,Prensa!$G$2:$G$5001,1),""))</f>
        <v>0</v>
      </c>
      <c r="H77" s="26">
        <f>IF(A77="","",COUNT(D77:G77))</f>
        <v>0</v>
      </c>
      <c r="I77" s="27">
        <f>IF(A77="","",IF(H77=0,"",AVERAGE(D77:G77)))</f>
        <v>0</v>
      </c>
      <c r="J77" s="27">
        <f>IF(OR(I77="",C77=""),"",I77-C77)</f>
        <v>0</v>
      </c>
      <c r="K77" s="26">
        <f>IF(A77="","",IF(MES!E77&lt;&gt;4,"Horário do MES fora do padrão",IF(H77&lt;cfgMinCortes,"Cortes insuficientes","Válida")))</f>
        <v>0</v>
      </c>
      <c r="L77" s="27">
        <f>IF(K77="Válida",ABS(J77),"")</f>
        <v>0</v>
      </c>
      <c r="M77" s="26">
        <f>IF(K77="Válida",IF(L77&lt;=cfgTolerancia,"Sim","Não"),"")</f>
        <v>0</v>
      </c>
      <c r="N77" s="26">
        <f>IF(A77="","",MES!D77)</f>
        <v>0</v>
      </c>
      <c r="O77" s="25">
        <f>IF(K77="Válida",A77,NA())</f>
        <v>0</v>
      </c>
      <c r="P77" s="27">
        <f>IF(K77="Válida",C77,NA())</f>
        <v>0</v>
      </c>
      <c r="Q77" s="27">
        <f>IF(K77="Válida",I77,NA())</f>
        <v>0</v>
      </c>
      <c r="R77" s="27">
        <f>IF(K77="Válida",J77,NA())</f>
        <v>0</v>
      </c>
      <c r="S77" s="27">
        <f>IF(K77="Válida",C77,"")</f>
        <v>0</v>
      </c>
      <c r="T77" s="27">
        <f>IF(K77="Válida",I77,"")</f>
        <v>0</v>
      </c>
      <c r="U77" s="27">
        <f>IF(K77="Válida",J77,"")</f>
        <v>0</v>
      </c>
    </row>
    <row r="78" spans="1:21">
      <c r="A78" s="25">
        <f>IF(MES!A78="","",MES!C78/48)</f>
        <v>0</v>
      </c>
      <c r="B78" s="26">
        <f>IF(A78="","",TEXT((N78*4+cfgDeslocamento)/48,"hh:mm")&amp;" a "&amp;TEXT(A78,"hh:mm"))</f>
        <v>0</v>
      </c>
      <c r="C78" s="27">
        <f>IF(A78="","",MES!B78)</f>
        <v>0</v>
      </c>
      <c r="D78" s="27">
        <f>IF(A78="","",IFERROR(AVERAGEIFS(Prensa!$B$2:$B$5001,Prensa!$E$2:$E$5001,N78,Prensa!$F$2:$F$5001,1,Prensa!$G$2:$G$5001,1),""))</f>
        <v>0</v>
      </c>
      <c r="E78" s="27">
        <f>IF(A78="","",IFERROR(AVERAGEIFS(Prensa!$B$2:$B$5001,Prensa!$E$2:$E$5001,N78,Prensa!$F$2:$F$5001,2,Prensa!$G$2:$G$5001,1),""))</f>
        <v>0</v>
      </c>
      <c r="F78" s="27">
        <f>IF(A78="","",IFERROR(AVERAGEIFS(Prensa!$B$2:$B$5001,Prensa!$E$2:$E$5001,N78,Prensa!$F$2:$F$5001,3,Prensa!$G$2:$G$5001,1),""))</f>
        <v>0</v>
      </c>
      <c r="G78" s="27">
        <f>IF(A78="","",IFERROR(AVERAGEIFS(Prensa!$B$2:$B$5001,Prensa!$E$2:$E$5001,N78,Prensa!$F$2:$F$5001,4,Prensa!$G$2:$G$5001,1),""))</f>
        <v>0</v>
      </c>
      <c r="H78" s="26">
        <f>IF(A78="","",COUNT(D78:G78))</f>
        <v>0</v>
      </c>
      <c r="I78" s="27">
        <f>IF(A78="","",IF(H78=0,"",AVERAGE(D78:G78)))</f>
        <v>0</v>
      </c>
      <c r="J78" s="27">
        <f>IF(OR(I78="",C78=""),"",I78-C78)</f>
        <v>0</v>
      </c>
      <c r="K78" s="26">
        <f>IF(A78="","",IF(MES!E78&lt;&gt;4,"Horário do MES fora do padrão",IF(H78&lt;cfgMinCortes,"Cortes insuficientes","Válida")))</f>
        <v>0</v>
      </c>
      <c r="L78" s="27">
        <f>IF(K78="Válida",ABS(J78),"")</f>
        <v>0</v>
      </c>
      <c r="M78" s="26">
        <f>IF(K78="Válida",IF(L78&lt;=cfgTolerancia,"Sim","Não"),"")</f>
        <v>0</v>
      </c>
      <c r="N78" s="26">
        <f>IF(A78="","",MES!D78)</f>
        <v>0</v>
      </c>
      <c r="O78" s="25">
        <f>IF(K78="Válida",A78,NA())</f>
        <v>0</v>
      </c>
      <c r="P78" s="27">
        <f>IF(K78="Válida",C78,NA())</f>
        <v>0</v>
      </c>
      <c r="Q78" s="27">
        <f>IF(K78="Válida",I78,NA())</f>
        <v>0</v>
      </c>
      <c r="R78" s="27">
        <f>IF(K78="Válida",J78,NA())</f>
        <v>0</v>
      </c>
      <c r="S78" s="27">
        <f>IF(K78="Válida",C78,"")</f>
        <v>0</v>
      </c>
      <c r="T78" s="27">
        <f>IF(K78="Válida",I78,"")</f>
        <v>0</v>
      </c>
      <c r="U78" s="27">
        <f>IF(K78="Válida",J78,"")</f>
        <v>0</v>
      </c>
    </row>
    <row r="79" spans="1:21">
      <c r="A79" s="25">
        <f>IF(MES!A79="","",MES!C79/48)</f>
        <v>0</v>
      </c>
      <c r="B79" s="26">
        <f>IF(A79="","",TEXT((N79*4+cfgDeslocamento)/48,"hh:mm")&amp;" a "&amp;TEXT(A79,"hh:mm"))</f>
        <v>0</v>
      </c>
      <c r="C79" s="27">
        <f>IF(A79="","",MES!B79)</f>
        <v>0</v>
      </c>
      <c r="D79" s="27">
        <f>IF(A79="","",IFERROR(AVERAGEIFS(Prensa!$B$2:$B$5001,Prensa!$E$2:$E$5001,N79,Prensa!$F$2:$F$5001,1,Prensa!$G$2:$G$5001,1),""))</f>
        <v>0</v>
      </c>
      <c r="E79" s="27">
        <f>IF(A79="","",IFERROR(AVERAGEIFS(Prensa!$B$2:$B$5001,Prensa!$E$2:$E$5001,N79,Prensa!$F$2:$F$5001,2,Prensa!$G$2:$G$5001,1),""))</f>
        <v>0</v>
      </c>
      <c r="F79" s="27">
        <f>IF(A79="","",IFERROR(AVERAGEIFS(Prensa!$B$2:$B$5001,Prensa!$E$2:$E$5001,N79,Prensa!$F$2:$F$5001,3,Prensa!$G$2:$G$5001,1),""))</f>
        <v>0</v>
      </c>
      <c r="G79" s="27">
        <f>IF(A79="","",IFERROR(AVERAGEIFS(Prensa!$B$2:$B$5001,Prensa!$E$2:$E$5001,N79,Prensa!$F$2:$F$5001,4,Prensa!$G$2:$G$5001,1),""))</f>
        <v>0</v>
      </c>
      <c r="H79" s="26">
        <f>IF(A79="","",COUNT(D79:G79))</f>
        <v>0</v>
      </c>
      <c r="I79" s="27">
        <f>IF(A79="","",IF(H79=0,"",AVERAGE(D79:G79)))</f>
        <v>0</v>
      </c>
      <c r="J79" s="27">
        <f>IF(OR(I79="",C79=""),"",I79-C79)</f>
        <v>0</v>
      </c>
      <c r="K79" s="26">
        <f>IF(A79="","",IF(MES!E79&lt;&gt;4,"Horário do MES fora do padrão",IF(H79&lt;cfgMinCortes,"Cortes insuficientes","Válida")))</f>
        <v>0</v>
      </c>
      <c r="L79" s="27">
        <f>IF(K79="Válida",ABS(J79),"")</f>
        <v>0</v>
      </c>
      <c r="M79" s="26">
        <f>IF(K79="Válida",IF(L79&lt;=cfgTolerancia,"Sim","Não"),"")</f>
        <v>0</v>
      </c>
      <c r="N79" s="26">
        <f>IF(A79="","",MES!D79)</f>
        <v>0</v>
      </c>
      <c r="O79" s="25">
        <f>IF(K79="Válida",A79,NA())</f>
        <v>0</v>
      </c>
      <c r="P79" s="27">
        <f>IF(K79="Válida",C79,NA())</f>
        <v>0</v>
      </c>
      <c r="Q79" s="27">
        <f>IF(K79="Válida",I79,NA())</f>
        <v>0</v>
      </c>
      <c r="R79" s="27">
        <f>IF(K79="Válida",J79,NA())</f>
        <v>0</v>
      </c>
      <c r="S79" s="27">
        <f>IF(K79="Válida",C79,"")</f>
        <v>0</v>
      </c>
      <c r="T79" s="27">
        <f>IF(K79="Válida",I79,"")</f>
        <v>0</v>
      </c>
      <c r="U79" s="27">
        <f>IF(K79="Válida",J79,"")</f>
        <v>0</v>
      </c>
    </row>
    <row r="80" spans="1:21">
      <c r="A80" s="25">
        <f>IF(MES!A80="","",MES!C80/48)</f>
        <v>0</v>
      </c>
      <c r="B80" s="26">
        <f>IF(A80="","",TEXT((N80*4+cfgDeslocamento)/48,"hh:mm")&amp;" a "&amp;TEXT(A80,"hh:mm"))</f>
        <v>0</v>
      </c>
      <c r="C80" s="27">
        <f>IF(A80="","",MES!B80)</f>
        <v>0</v>
      </c>
      <c r="D80" s="27">
        <f>IF(A80="","",IFERROR(AVERAGEIFS(Prensa!$B$2:$B$5001,Prensa!$E$2:$E$5001,N80,Prensa!$F$2:$F$5001,1,Prensa!$G$2:$G$5001,1),""))</f>
        <v>0</v>
      </c>
      <c r="E80" s="27">
        <f>IF(A80="","",IFERROR(AVERAGEIFS(Prensa!$B$2:$B$5001,Prensa!$E$2:$E$5001,N80,Prensa!$F$2:$F$5001,2,Prensa!$G$2:$G$5001,1),""))</f>
        <v>0</v>
      </c>
      <c r="F80" s="27">
        <f>IF(A80="","",IFERROR(AVERAGEIFS(Prensa!$B$2:$B$5001,Prensa!$E$2:$E$5001,N80,Prensa!$F$2:$F$5001,3,Prensa!$G$2:$G$5001,1),""))</f>
        <v>0</v>
      </c>
      <c r="G80" s="27">
        <f>IF(A80="","",IFERROR(AVERAGEIFS(Prensa!$B$2:$B$5001,Prensa!$E$2:$E$5001,N80,Prensa!$F$2:$F$5001,4,Prensa!$G$2:$G$5001,1),""))</f>
        <v>0</v>
      </c>
      <c r="H80" s="26">
        <f>IF(A80="","",COUNT(D80:G80))</f>
        <v>0</v>
      </c>
      <c r="I80" s="27">
        <f>IF(A80="","",IF(H80=0,"",AVERAGE(D80:G80)))</f>
        <v>0</v>
      </c>
      <c r="J80" s="27">
        <f>IF(OR(I80="",C80=""),"",I80-C80)</f>
        <v>0</v>
      </c>
      <c r="K80" s="26">
        <f>IF(A80="","",IF(MES!E80&lt;&gt;4,"Horário do MES fora do padrão",IF(H80&lt;cfgMinCortes,"Cortes insuficientes","Válida")))</f>
        <v>0</v>
      </c>
      <c r="L80" s="27">
        <f>IF(K80="Válida",ABS(J80),"")</f>
        <v>0</v>
      </c>
      <c r="M80" s="26">
        <f>IF(K80="Válida",IF(L80&lt;=cfgTolerancia,"Sim","Não"),"")</f>
        <v>0</v>
      </c>
      <c r="N80" s="26">
        <f>IF(A80="","",MES!D80)</f>
        <v>0</v>
      </c>
      <c r="O80" s="25">
        <f>IF(K80="Válida",A80,NA())</f>
        <v>0</v>
      </c>
      <c r="P80" s="27">
        <f>IF(K80="Válida",C80,NA())</f>
        <v>0</v>
      </c>
      <c r="Q80" s="27">
        <f>IF(K80="Válida",I80,NA())</f>
        <v>0</v>
      </c>
      <c r="R80" s="27">
        <f>IF(K80="Válida",J80,NA())</f>
        <v>0</v>
      </c>
      <c r="S80" s="27">
        <f>IF(K80="Válida",C80,"")</f>
        <v>0</v>
      </c>
      <c r="T80" s="27">
        <f>IF(K80="Válida",I80,"")</f>
        <v>0</v>
      </c>
      <c r="U80" s="27">
        <f>IF(K80="Válida",J80,"")</f>
        <v>0</v>
      </c>
    </row>
    <row r="81" spans="1:21">
      <c r="A81" s="25">
        <f>IF(MES!A81="","",MES!C81/48)</f>
        <v>0</v>
      </c>
      <c r="B81" s="26">
        <f>IF(A81="","",TEXT((N81*4+cfgDeslocamento)/48,"hh:mm")&amp;" a "&amp;TEXT(A81,"hh:mm"))</f>
        <v>0</v>
      </c>
      <c r="C81" s="27">
        <f>IF(A81="","",MES!B81)</f>
        <v>0</v>
      </c>
      <c r="D81" s="27">
        <f>IF(A81="","",IFERROR(AVERAGEIFS(Prensa!$B$2:$B$5001,Prensa!$E$2:$E$5001,N81,Prensa!$F$2:$F$5001,1,Prensa!$G$2:$G$5001,1),""))</f>
        <v>0</v>
      </c>
      <c r="E81" s="27">
        <f>IF(A81="","",IFERROR(AVERAGEIFS(Prensa!$B$2:$B$5001,Prensa!$E$2:$E$5001,N81,Prensa!$F$2:$F$5001,2,Prensa!$G$2:$G$5001,1),""))</f>
        <v>0</v>
      </c>
      <c r="F81" s="27">
        <f>IF(A81="","",IFERROR(AVERAGEIFS(Prensa!$B$2:$B$5001,Prensa!$E$2:$E$5001,N81,Prensa!$F$2:$F$5001,3,Prensa!$G$2:$G$5001,1),""))</f>
        <v>0</v>
      </c>
      <c r="G81" s="27">
        <f>IF(A81="","",IFERROR(AVERAGEIFS(Prensa!$B$2:$B$5001,Prensa!$E$2:$E$5001,N81,Prensa!$F$2:$F$5001,4,Prensa!$G$2:$G$5001,1),""))</f>
        <v>0</v>
      </c>
      <c r="H81" s="26">
        <f>IF(A81="","",COUNT(D81:G81))</f>
        <v>0</v>
      </c>
      <c r="I81" s="27">
        <f>IF(A81="","",IF(H81=0,"",AVERAGE(D81:G81)))</f>
        <v>0</v>
      </c>
      <c r="J81" s="27">
        <f>IF(OR(I81="",C81=""),"",I81-C81)</f>
        <v>0</v>
      </c>
      <c r="K81" s="26">
        <f>IF(A81="","",IF(MES!E81&lt;&gt;4,"Horário do MES fora do padrão",IF(H81&lt;cfgMinCortes,"Cortes insuficientes","Válida")))</f>
        <v>0</v>
      </c>
      <c r="L81" s="27">
        <f>IF(K81="Válida",ABS(J81),"")</f>
        <v>0</v>
      </c>
      <c r="M81" s="26">
        <f>IF(K81="Válida",IF(L81&lt;=cfgTolerancia,"Sim","Não"),"")</f>
        <v>0</v>
      </c>
      <c r="N81" s="26">
        <f>IF(A81="","",MES!D81)</f>
        <v>0</v>
      </c>
      <c r="O81" s="25">
        <f>IF(K81="Válida",A81,NA())</f>
        <v>0</v>
      </c>
      <c r="P81" s="27">
        <f>IF(K81="Válida",C81,NA())</f>
        <v>0</v>
      </c>
      <c r="Q81" s="27">
        <f>IF(K81="Válida",I81,NA())</f>
        <v>0</v>
      </c>
      <c r="R81" s="27">
        <f>IF(K81="Válida",J81,NA())</f>
        <v>0</v>
      </c>
      <c r="S81" s="27">
        <f>IF(K81="Válida",C81,"")</f>
        <v>0</v>
      </c>
      <c r="T81" s="27">
        <f>IF(K81="Válida",I81,"")</f>
        <v>0</v>
      </c>
      <c r="U81" s="27">
        <f>IF(K81="Válida",J81,"")</f>
        <v>0</v>
      </c>
    </row>
    <row r="82" spans="1:21">
      <c r="A82" s="25">
        <f>IF(MES!A82="","",MES!C82/48)</f>
        <v>0</v>
      </c>
      <c r="B82" s="26">
        <f>IF(A82="","",TEXT((N82*4+cfgDeslocamento)/48,"hh:mm")&amp;" a "&amp;TEXT(A82,"hh:mm"))</f>
        <v>0</v>
      </c>
      <c r="C82" s="27">
        <f>IF(A82="","",MES!B82)</f>
        <v>0</v>
      </c>
      <c r="D82" s="27">
        <f>IF(A82="","",IFERROR(AVERAGEIFS(Prensa!$B$2:$B$5001,Prensa!$E$2:$E$5001,N82,Prensa!$F$2:$F$5001,1,Prensa!$G$2:$G$5001,1),""))</f>
        <v>0</v>
      </c>
      <c r="E82" s="27">
        <f>IF(A82="","",IFERROR(AVERAGEIFS(Prensa!$B$2:$B$5001,Prensa!$E$2:$E$5001,N82,Prensa!$F$2:$F$5001,2,Prensa!$G$2:$G$5001,1),""))</f>
        <v>0</v>
      </c>
      <c r="F82" s="27">
        <f>IF(A82="","",IFERROR(AVERAGEIFS(Prensa!$B$2:$B$5001,Prensa!$E$2:$E$5001,N82,Prensa!$F$2:$F$5001,3,Prensa!$G$2:$G$5001,1),""))</f>
        <v>0</v>
      </c>
      <c r="G82" s="27">
        <f>IF(A82="","",IFERROR(AVERAGEIFS(Prensa!$B$2:$B$5001,Prensa!$E$2:$E$5001,N82,Prensa!$F$2:$F$5001,4,Prensa!$G$2:$G$5001,1),""))</f>
        <v>0</v>
      </c>
      <c r="H82" s="26">
        <f>IF(A82="","",COUNT(D82:G82))</f>
        <v>0</v>
      </c>
      <c r="I82" s="27">
        <f>IF(A82="","",IF(H82=0,"",AVERAGE(D82:G82)))</f>
        <v>0</v>
      </c>
      <c r="J82" s="27">
        <f>IF(OR(I82="",C82=""),"",I82-C82)</f>
        <v>0</v>
      </c>
      <c r="K82" s="26">
        <f>IF(A82="","",IF(MES!E82&lt;&gt;4,"Horário do MES fora do padrão",IF(H82&lt;cfgMinCortes,"Cortes insuficientes","Válida")))</f>
        <v>0</v>
      </c>
      <c r="L82" s="27">
        <f>IF(K82="Válida",ABS(J82),"")</f>
        <v>0</v>
      </c>
      <c r="M82" s="26">
        <f>IF(K82="Válida",IF(L82&lt;=cfgTolerancia,"Sim","Não"),"")</f>
        <v>0</v>
      </c>
      <c r="N82" s="26">
        <f>IF(A82="","",MES!D82)</f>
        <v>0</v>
      </c>
      <c r="O82" s="25">
        <f>IF(K82="Válida",A82,NA())</f>
        <v>0</v>
      </c>
      <c r="P82" s="27">
        <f>IF(K82="Válida",C82,NA())</f>
        <v>0</v>
      </c>
      <c r="Q82" s="27">
        <f>IF(K82="Válida",I82,NA())</f>
        <v>0</v>
      </c>
      <c r="R82" s="27">
        <f>IF(K82="Válida",J82,NA())</f>
        <v>0</v>
      </c>
      <c r="S82" s="27">
        <f>IF(K82="Válida",C82,"")</f>
        <v>0</v>
      </c>
      <c r="T82" s="27">
        <f>IF(K82="Válida",I82,"")</f>
        <v>0</v>
      </c>
      <c r="U82" s="27">
        <f>IF(K82="Válida",J82,"")</f>
        <v>0</v>
      </c>
    </row>
    <row r="83" spans="1:21">
      <c r="A83" s="25">
        <f>IF(MES!A83="","",MES!C83/48)</f>
        <v>0</v>
      </c>
      <c r="B83" s="26">
        <f>IF(A83="","",TEXT((N83*4+cfgDeslocamento)/48,"hh:mm")&amp;" a "&amp;TEXT(A83,"hh:mm"))</f>
        <v>0</v>
      </c>
      <c r="C83" s="27">
        <f>IF(A83="","",MES!B83)</f>
        <v>0</v>
      </c>
      <c r="D83" s="27">
        <f>IF(A83="","",IFERROR(AVERAGEIFS(Prensa!$B$2:$B$5001,Prensa!$E$2:$E$5001,N83,Prensa!$F$2:$F$5001,1,Prensa!$G$2:$G$5001,1),""))</f>
        <v>0</v>
      </c>
      <c r="E83" s="27">
        <f>IF(A83="","",IFERROR(AVERAGEIFS(Prensa!$B$2:$B$5001,Prensa!$E$2:$E$5001,N83,Prensa!$F$2:$F$5001,2,Prensa!$G$2:$G$5001,1),""))</f>
        <v>0</v>
      </c>
      <c r="F83" s="27">
        <f>IF(A83="","",IFERROR(AVERAGEIFS(Prensa!$B$2:$B$5001,Prensa!$E$2:$E$5001,N83,Prensa!$F$2:$F$5001,3,Prensa!$G$2:$G$5001,1),""))</f>
        <v>0</v>
      </c>
      <c r="G83" s="27">
        <f>IF(A83="","",IFERROR(AVERAGEIFS(Prensa!$B$2:$B$5001,Prensa!$E$2:$E$5001,N83,Prensa!$F$2:$F$5001,4,Prensa!$G$2:$G$5001,1),""))</f>
        <v>0</v>
      </c>
      <c r="H83" s="26">
        <f>IF(A83="","",COUNT(D83:G83))</f>
        <v>0</v>
      </c>
      <c r="I83" s="27">
        <f>IF(A83="","",IF(H83=0,"",AVERAGE(D83:G83)))</f>
        <v>0</v>
      </c>
      <c r="J83" s="27">
        <f>IF(OR(I83="",C83=""),"",I83-C83)</f>
        <v>0</v>
      </c>
      <c r="K83" s="26">
        <f>IF(A83="","",IF(MES!E83&lt;&gt;4,"Horário do MES fora do padrão",IF(H83&lt;cfgMinCortes,"Cortes insuficientes","Válida")))</f>
        <v>0</v>
      </c>
      <c r="L83" s="27">
        <f>IF(K83="Válida",ABS(J83),"")</f>
        <v>0</v>
      </c>
      <c r="M83" s="26">
        <f>IF(K83="Válida",IF(L83&lt;=cfgTolerancia,"Sim","Não"),"")</f>
        <v>0</v>
      </c>
      <c r="N83" s="26">
        <f>IF(A83="","",MES!D83)</f>
        <v>0</v>
      </c>
      <c r="O83" s="25">
        <f>IF(K83="Válida",A83,NA())</f>
        <v>0</v>
      </c>
      <c r="P83" s="27">
        <f>IF(K83="Válida",C83,NA())</f>
        <v>0</v>
      </c>
      <c r="Q83" s="27">
        <f>IF(K83="Válida",I83,NA())</f>
        <v>0</v>
      </c>
      <c r="R83" s="27">
        <f>IF(K83="Válida",J83,NA())</f>
        <v>0</v>
      </c>
      <c r="S83" s="27">
        <f>IF(K83="Válida",C83,"")</f>
        <v>0</v>
      </c>
      <c r="T83" s="27">
        <f>IF(K83="Válida",I83,"")</f>
        <v>0</v>
      </c>
      <c r="U83" s="27">
        <f>IF(K83="Válida",J83,"")</f>
        <v>0</v>
      </c>
    </row>
    <row r="84" spans="1:21">
      <c r="A84" s="25">
        <f>IF(MES!A84="","",MES!C84/48)</f>
        <v>0</v>
      </c>
      <c r="B84" s="26">
        <f>IF(A84="","",TEXT((N84*4+cfgDeslocamento)/48,"hh:mm")&amp;" a "&amp;TEXT(A84,"hh:mm"))</f>
        <v>0</v>
      </c>
      <c r="C84" s="27">
        <f>IF(A84="","",MES!B84)</f>
        <v>0</v>
      </c>
      <c r="D84" s="27">
        <f>IF(A84="","",IFERROR(AVERAGEIFS(Prensa!$B$2:$B$5001,Prensa!$E$2:$E$5001,N84,Prensa!$F$2:$F$5001,1,Prensa!$G$2:$G$5001,1),""))</f>
        <v>0</v>
      </c>
      <c r="E84" s="27">
        <f>IF(A84="","",IFERROR(AVERAGEIFS(Prensa!$B$2:$B$5001,Prensa!$E$2:$E$5001,N84,Prensa!$F$2:$F$5001,2,Prensa!$G$2:$G$5001,1),""))</f>
        <v>0</v>
      </c>
      <c r="F84" s="27">
        <f>IF(A84="","",IFERROR(AVERAGEIFS(Prensa!$B$2:$B$5001,Prensa!$E$2:$E$5001,N84,Prensa!$F$2:$F$5001,3,Prensa!$G$2:$G$5001,1),""))</f>
        <v>0</v>
      </c>
      <c r="G84" s="27">
        <f>IF(A84="","",IFERROR(AVERAGEIFS(Prensa!$B$2:$B$5001,Prensa!$E$2:$E$5001,N84,Prensa!$F$2:$F$5001,4,Prensa!$G$2:$G$5001,1),""))</f>
        <v>0</v>
      </c>
      <c r="H84" s="26">
        <f>IF(A84="","",COUNT(D84:G84))</f>
        <v>0</v>
      </c>
      <c r="I84" s="27">
        <f>IF(A84="","",IF(H84=0,"",AVERAGE(D84:G84)))</f>
        <v>0</v>
      </c>
      <c r="J84" s="27">
        <f>IF(OR(I84="",C84=""),"",I84-C84)</f>
        <v>0</v>
      </c>
      <c r="K84" s="26">
        <f>IF(A84="","",IF(MES!E84&lt;&gt;4,"Horário do MES fora do padrão",IF(H84&lt;cfgMinCortes,"Cortes insuficientes","Válida")))</f>
        <v>0</v>
      </c>
      <c r="L84" s="27">
        <f>IF(K84="Válida",ABS(J84),"")</f>
        <v>0</v>
      </c>
      <c r="M84" s="26">
        <f>IF(K84="Válida",IF(L84&lt;=cfgTolerancia,"Sim","Não"),"")</f>
        <v>0</v>
      </c>
      <c r="N84" s="26">
        <f>IF(A84="","",MES!D84)</f>
        <v>0</v>
      </c>
      <c r="O84" s="25">
        <f>IF(K84="Válida",A84,NA())</f>
        <v>0</v>
      </c>
      <c r="P84" s="27">
        <f>IF(K84="Válida",C84,NA())</f>
        <v>0</v>
      </c>
      <c r="Q84" s="27">
        <f>IF(K84="Válida",I84,NA())</f>
        <v>0</v>
      </c>
      <c r="R84" s="27">
        <f>IF(K84="Válida",J84,NA())</f>
        <v>0</v>
      </c>
      <c r="S84" s="27">
        <f>IF(K84="Válida",C84,"")</f>
        <v>0</v>
      </c>
      <c r="T84" s="27">
        <f>IF(K84="Válida",I84,"")</f>
        <v>0</v>
      </c>
      <c r="U84" s="27">
        <f>IF(K84="Válida",J84,"")</f>
        <v>0</v>
      </c>
    </row>
    <row r="85" spans="1:21">
      <c r="A85" s="25">
        <f>IF(MES!A85="","",MES!C85/48)</f>
        <v>0</v>
      </c>
      <c r="B85" s="26">
        <f>IF(A85="","",TEXT((N85*4+cfgDeslocamento)/48,"hh:mm")&amp;" a "&amp;TEXT(A85,"hh:mm"))</f>
        <v>0</v>
      </c>
      <c r="C85" s="27">
        <f>IF(A85="","",MES!B85)</f>
        <v>0</v>
      </c>
      <c r="D85" s="27">
        <f>IF(A85="","",IFERROR(AVERAGEIFS(Prensa!$B$2:$B$5001,Prensa!$E$2:$E$5001,N85,Prensa!$F$2:$F$5001,1,Prensa!$G$2:$G$5001,1),""))</f>
        <v>0</v>
      </c>
      <c r="E85" s="27">
        <f>IF(A85="","",IFERROR(AVERAGEIFS(Prensa!$B$2:$B$5001,Prensa!$E$2:$E$5001,N85,Prensa!$F$2:$F$5001,2,Prensa!$G$2:$G$5001,1),""))</f>
        <v>0</v>
      </c>
      <c r="F85" s="27">
        <f>IF(A85="","",IFERROR(AVERAGEIFS(Prensa!$B$2:$B$5001,Prensa!$E$2:$E$5001,N85,Prensa!$F$2:$F$5001,3,Prensa!$G$2:$G$5001,1),""))</f>
        <v>0</v>
      </c>
      <c r="G85" s="27">
        <f>IF(A85="","",IFERROR(AVERAGEIFS(Prensa!$B$2:$B$5001,Prensa!$E$2:$E$5001,N85,Prensa!$F$2:$F$5001,4,Prensa!$G$2:$G$5001,1),""))</f>
        <v>0</v>
      </c>
      <c r="H85" s="26">
        <f>IF(A85="","",COUNT(D85:G85))</f>
        <v>0</v>
      </c>
      <c r="I85" s="27">
        <f>IF(A85="","",IF(H85=0,"",AVERAGE(D85:G85)))</f>
        <v>0</v>
      </c>
      <c r="J85" s="27">
        <f>IF(OR(I85="",C85=""),"",I85-C85)</f>
        <v>0</v>
      </c>
      <c r="K85" s="26">
        <f>IF(A85="","",IF(MES!E85&lt;&gt;4,"Horário do MES fora do padrão",IF(H85&lt;cfgMinCortes,"Cortes insuficientes","Válida")))</f>
        <v>0</v>
      </c>
      <c r="L85" s="27">
        <f>IF(K85="Válida",ABS(J85),"")</f>
        <v>0</v>
      </c>
      <c r="M85" s="26">
        <f>IF(K85="Válida",IF(L85&lt;=cfgTolerancia,"Sim","Não"),"")</f>
        <v>0</v>
      </c>
      <c r="N85" s="26">
        <f>IF(A85="","",MES!D85)</f>
        <v>0</v>
      </c>
      <c r="O85" s="25">
        <f>IF(K85="Válida",A85,NA())</f>
        <v>0</v>
      </c>
      <c r="P85" s="27">
        <f>IF(K85="Válida",C85,NA())</f>
        <v>0</v>
      </c>
      <c r="Q85" s="27">
        <f>IF(K85="Válida",I85,NA())</f>
        <v>0</v>
      </c>
      <c r="R85" s="27">
        <f>IF(K85="Válida",J85,NA())</f>
        <v>0</v>
      </c>
      <c r="S85" s="27">
        <f>IF(K85="Válida",C85,"")</f>
        <v>0</v>
      </c>
      <c r="T85" s="27">
        <f>IF(K85="Válida",I85,"")</f>
        <v>0</v>
      </c>
      <c r="U85" s="27">
        <f>IF(K85="Válida",J85,"")</f>
        <v>0</v>
      </c>
    </row>
    <row r="86" spans="1:21">
      <c r="A86" s="25">
        <f>IF(MES!A86="","",MES!C86/48)</f>
        <v>0</v>
      </c>
      <c r="B86" s="26">
        <f>IF(A86="","",TEXT((N86*4+cfgDeslocamento)/48,"hh:mm")&amp;" a "&amp;TEXT(A86,"hh:mm"))</f>
        <v>0</v>
      </c>
      <c r="C86" s="27">
        <f>IF(A86="","",MES!B86)</f>
        <v>0</v>
      </c>
      <c r="D86" s="27">
        <f>IF(A86="","",IFERROR(AVERAGEIFS(Prensa!$B$2:$B$5001,Prensa!$E$2:$E$5001,N86,Prensa!$F$2:$F$5001,1,Prensa!$G$2:$G$5001,1),""))</f>
        <v>0</v>
      </c>
      <c r="E86" s="27">
        <f>IF(A86="","",IFERROR(AVERAGEIFS(Prensa!$B$2:$B$5001,Prensa!$E$2:$E$5001,N86,Prensa!$F$2:$F$5001,2,Prensa!$G$2:$G$5001,1),""))</f>
        <v>0</v>
      </c>
      <c r="F86" s="27">
        <f>IF(A86="","",IFERROR(AVERAGEIFS(Prensa!$B$2:$B$5001,Prensa!$E$2:$E$5001,N86,Prensa!$F$2:$F$5001,3,Prensa!$G$2:$G$5001,1),""))</f>
        <v>0</v>
      </c>
      <c r="G86" s="27">
        <f>IF(A86="","",IFERROR(AVERAGEIFS(Prensa!$B$2:$B$5001,Prensa!$E$2:$E$5001,N86,Prensa!$F$2:$F$5001,4,Prensa!$G$2:$G$5001,1),""))</f>
        <v>0</v>
      </c>
      <c r="H86" s="26">
        <f>IF(A86="","",COUNT(D86:G86))</f>
        <v>0</v>
      </c>
      <c r="I86" s="27">
        <f>IF(A86="","",IF(H86=0,"",AVERAGE(D86:G86)))</f>
        <v>0</v>
      </c>
      <c r="J86" s="27">
        <f>IF(OR(I86="",C86=""),"",I86-C86)</f>
        <v>0</v>
      </c>
      <c r="K86" s="26">
        <f>IF(A86="","",IF(MES!E86&lt;&gt;4,"Horário do MES fora do padrão",IF(H86&lt;cfgMinCortes,"Cortes insuficientes","Válida")))</f>
        <v>0</v>
      </c>
      <c r="L86" s="27">
        <f>IF(K86="Válida",ABS(J86),"")</f>
        <v>0</v>
      </c>
      <c r="M86" s="26">
        <f>IF(K86="Válida",IF(L86&lt;=cfgTolerancia,"Sim","Não"),"")</f>
        <v>0</v>
      </c>
      <c r="N86" s="26">
        <f>IF(A86="","",MES!D86)</f>
        <v>0</v>
      </c>
      <c r="O86" s="25">
        <f>IF(K86="Válida",A86,NA())</f>
        <v>0</v>
      </c>
      <c r="P86" s="27">
        <f>IF(K86="Válida",C86,NA())</f>
        <v>0</v>
      </c>
      <c r="Q86" s="27">
        <f>IF(K86="Válida",I86,NA())</f>
        <v>0</v>
      </c>
      <c r="R86" s="27">
        <f>IF(K86="Válida",J86,NA())</f>
        <v>0</v>
      </c>
      <c r="S86" s="27">
        <f>IF(K86="Válida",C86,"")</f>
        <v>0</v>
      </c>
      <c r="T86" s="27">
        <f>IF(K86="Válida",I86,"")</f>
        <v>0</v>
      </c>
      <c r="U86" s="27">
        <f>IF(K86="Válida",J86,"")</f>
        <v>0</v>
      </c>
    </row>
    <row r="87" spans="1:21">
      <c r="A87" s="25">
        <f>IF(MES!A87="","",MES!C87/48)</f>
        <v>0</v>
      </c>
      <c r="B87" s="26">
        <f>IF(A87="","",TEXT((N87*4+cfgDeslocamento)/48,"hh:mm")&amp;" a "&amp;TEXT(A87,"hh:mm"))</f>
        <v>0</v>
      </c>
      <c r="C87" s="27">
        <f>IF(A87="","",MES!B87)</f>
        <v>0</v>
      </c>
      <c r="D87" s="27">
        <f>IF(A87="","",IFERROR(AVERAGEIFS(Prensa!$B$2:$B$5001,Prensa!$E$2:$E$5001,N87,Prensa!$F$2:$F$5001,1,Prensa!$G$2:$G$5001,1),""))</f>
        <v>0</v>
      </c>
      <c r="E87" s="27">
        <f>IF(A87="","",IFERROR(AVERAGEIFS(Prensa!$B$2:$B$5001,Prensa!$E$2:$E$5001,N87,Prensa!$F$2:$F$5001,2,Prensa!$G$2:$G$5001,1),""))</f>
        <v>0</v>
      </c>
      <c r="F87" s="27">
        <f>IF(A87="","",IFERROR(AVERAGEIFS(Prensa!$B$2:$B$5001,Prensa!$E$2:$E$5001,N87,Prensa!$F$2:$F$5001,3,Prensa!$G$2:$G$5001,1),""))</f>
        <v>0</v>
      </c>
      <c r="G87" s="27">
        <f>IF(A87="","",IFERROR(AVERAGEIFS(Prensa!$B$2:$B$5001,Prensa!$E$2:$E$5001,N87,Prensa!$F$2:$F$5001,4,Prensa!$G$2:$G$5001,1),""))</f>
        <v>0</v>
      </c>
      <c r="H87" s="26">
        <f>IF(A87="","",COUNT(D87:G87))</f>
        <v>0</v>
      </c>
      <c r="I87" s="27">
        <f>IF(A87="","",IF(H87=0,"",AVERAGE(D87:G87)))</f>
        <v>0</v>
      </c>
      <c r="J87" s="27">
        <f>IF(OR(I87="",C87=""),"",I87-C87)</f>
        <v>0</v>
      </c>
      <c r="K87" s="26">
        <f>IF(A87="","",IF(MES!E87&lt;&gt;4,"Horário do MES fora do padrão",IF(H87&lt;cfgMinCortes,"Cortes insuficientes","Válida")))</f>
        <v>0</v>
      </c>
      <c r="L87" s="27">
        <f>IF(K87="Válida",ABS(J87),"")</f>
        <v>0</v>
      </c>
      <c r="M87" s="26">
        <f>IF(K87="Válida",IF(L87&lt;=cfgTolerancia,"Sim","Não"),"")</f>
        <v>0</v>
      </c>
      <c r="N87" s="26">
        <f>IF(A87="","",MES!D87)</f>
        <v>0</v>
      </c>
      <c r="O87" s="25">
        <f>IF(K87="Válida",A87,NA())</f>
        <v>0</v>
      </c>
      <c r="P87" s="27">
        <f>IF(K87="Válida",C87,NA())</f>
        <v>0</v>
      </c>
      <c r="Q87" s="27">
        <f>IF(K87="Válida",I87,NA())</f>
        <v>0</v>
      </c>
      <c r="R87" s="27">
        <f>IF(K87="Válida",J87,NA())</f>
        <v>0</v>
      </c>
      <c r="S87" s="27">
        <f>IF(K87="Válida",C87,"")</f>
        <v>0</v>
      </c>
      <c r="T87" s="27">
        <f>IF(K87="Válida",I87,"")</f>
        <v>0</v>
      </c>
      <c r="U87" s="27">
        <f>IF(K87="Válida",J87,"")</f>
        <v>0</v>
      </c>
    </row>
    <row r="88" spans="1:21">
      <c r="A88" s="25">
        <f>IF(MES!A88="","",MES!C88/48)</f>
        <v>0</v>
      </c>
      <c r="B88" s="26">
        <f>IF(A88="","",TEXT((N88*4+cfgDeslocamento)/48,"hh:mm")&amp;" a "&amp;TEXT(A88,"hh:mm"))</f>
        <v>0</v>
      </c>
      <c r="C88" s="27">
        <f>IF(A88="","",MES!B88)</f>
        <v>0</v>
      </c>
      <c r="D88" s="27">
        <f>IF(A88="","",IFERROR(AVERAGEIFS(Prensa!$B$2:$B$5001,Prensa!$E$2:$E$5001,N88,Prensa!$F$2:$F$5001,1,Prensa!$G$2:$G$5001,1),""))</f>
        <v>0</v>
      </c>
      <c r="E88" s="27">
        <f>IF(A88="","",IFERROR(AVERAGEIFS(Prensa!$B$2:$B$5001,Prensa!$E$2:$E$5001,N88,Prensa!$F$2:$F$5001,2,Prensa!$G$2:$G$5001,1),""))</f>
        <v>0</v>
      </c>
      <c r="F88" s="27">
        <f>IF(A88="","",IFERROR(AVERAGEIFS(Prensa!$B$2:$B$5001,Prensa!$E$2:$E$5001,N88,Prensa!$F$2:$F$5001,3,Prensa!$G$2:$G$5001,1),""))</f>
        <v>0</v>
      </c>
      <c r="G88" s="27">
        <f>IF(A88="","",IFERROR(AVERAGEIFS(Prensa!$B$2:$B$5001,Prensa!$E$2:$E$5001,N88,Prensa!$F$2:$F$5001,4,Prensa!$G$2:$G$5001,1),""))</f>
        <v>0</v>
      </c>
      <c r="H88" s="26">
        <f>IF(A88="","",COUNT(D88:G88))</f>
        <v>0</v>
      </c>
      <c r="I88" s="27">
        <f>IF(A88="","",IF(H88=0,"",AVERAGE(D88:G88)))</f>
        <v>0</v>
      </c>
      <c r="J88" s="27">
        <f>IF(OR(I88="",C88=""),"",I88-C88)</f>
        <v>0</v>
      </c>
      <c r="K88" s="26">
        <f>IF(A88="","",IF(MES!E88&lt;&gt;4,"Horário do MES fora do padrão",IF(H88&lt;cfgMinCortes,"Cortes insuficientes","Válida")))</f>
        <v>0</v>
      </c>
      <c r="L88" s="27">
        <f>IF(K88="Válida",ABS(J88),"")</f>
        <v>0</v>
      </c>
      <c r="M88" s="26">
        <f>IF(K88="Válida",IF(L88&lt;=cfgTolerancia,"Sim","Não"),"")</f>
        <v>0</v>
      </c>
      <c r="N88" s="26">
        <f>IF(A88="","",MES!D88)</f>
        <v>0</v>
      </c>
      <c r="O88" s="25">
        <f>IF(K88="Válida",A88,NA())</f>
        <v>0</v>
      </c>
      <c r="P88" s="27">
        <f>IF(K88="Válida",C88,NA())</f>
        <v>0</v>
      </c>
      <c r="Q88" s="27">
        <f>IF(K88="Válida",I88,NA())</f>
        <v>0</v>
      </c>
      <c r="R88" s="27">
        <f>IF(K88="Válida",J88,NA())</f>
        <v>0</v>
      </c>
      <c r="S88" s="27">
        <f>IF(K88="Válida",C88,"")</f>
        <v>0</v>
      </c>
      <c r="T88" s="27">
        <f>IF(K88="Válida",I88,"")</f>
        <v>0</v>
      </c>
      <c r="U88" s="27">
        <f>IF(K88="Válida",J88,"")</f>
        <v>0</v>
      </c>
    </row>
    <row r="89" spans="1:21">
      <c r="A89" s="25">
        <f>IF(MES!A89="","",MES!C89/48)</f>
        <v>0</v>
      </c>
      <c r="B89" s="26">
        <f>IF(A89="","",TEXT((N89*4+cfgDeslocamento)/48,"hh:mm")&amp;" a "&amp;TEXT(A89,"hh:mm"))</f>
        <v>0</v>
      </c>
      <c r="C89" s="27">
        <f>IF(A89="","",MES!B89)</f>
        <v>0</v>
      </c>
      <c r="D89" s="27">
        <f>IF(A89="","",IFERROR(AVERAGEIFS(Prensa!$B$2:$B$5001,Prensa!$E$2:$E$5001,N89,Prensa!$F$2:$F$5001,1,Prensa!$G$2:$G$5001,1),""))</f>
        <v>0</v>
      </c>
      <c r="E89" s="27">
        <f>IF(A89="","",IFERROR(AVERAGEIFS(Prensa!$B$2:$B$5001,Prensa!$E$2:$E$5001,N89,Prensa!$F$2:$F$5001,2,Prensa!$G$2:$G$5001,1),""))</f>
        <v>0</v>
      </c>
      <c r="F89" s="27">
        <f>IF(A89="","",IFERROR(AVERAGEIFS(Prensa!$B$2:$B$5001,Prensa!$E$2:$E$5001,N89,Prensa!$F$2:$F$5001,3,Prensa!$G$2:$G$5001,1),""))</f>
        <v>0</v>
      </c>
      <c r="G89" s="27">
        <f>IF(A89="","",IFERROR(AVERAGEIFS(Prensa!$B$2:$B$5001,Prensa!$E$2:$E$5001,N89,Prensa!$F$2:$F$5001,4,Prensa!$G$2:$G$5001,1),""))</f>
        <v>0</v>
      </c>
      <c r="H89" s="26">
        <f>IF(A89="","",COUNT(D89:G89))</f>
        <v>0</v>
      </c>
      <c r="I89" s="27">
        <f>IF(A89="","",IF(H89=0,"",AVERAGE(D89:G89)))</f>
        <v>0</v>
      </c>
      <c r="J89" s="27">
        <f>IF(OR(I89="",C89=""),"",I89-C89)</f>
        <v>0</v>
      </c>
      <c r="K89" s="26">
        <f>IF(A89="","",IF(MES!E89&lt;&gt;4,"Horário do MES fora do padrão",IF(H89&lt;cfgMinCortes,"Cortes insuficientes","Válida")))</f>
        <v>0</v>
      </c>
      <c r="L89" s="27">
        <f>IF(K89="Válida",ABS(J89),"")</f>
        <v>0</v>
      </c>
      <c r="M89" s="26">
        <f>IF(K89="Válida",IF(L89&lt;=cfgTolerancia,"Sim","Não"),"")</f>
        <v>0</v>
      </c>
      <c r="N89" s="26">
        <f>IF(A89="","",MES!D89)</f>
        <v>0</v>
      </c>
      <c r="O89" s="25">
        <f>IF(K89="Válida",A89,NA())</f>
        <v>0</v>
      </c>
      <c r="P89" s="27">
        <f>IF(K89="Válida",C89,NA())</f>
        <v>0</v>
      </c>
      <c r="Q89" s="27">
        <f>IF(K89="Válida",I89,NA())</f>
        <v>0</v>
      </c>
      <c r="R89" s="27">
        <f>IF(K89="Válida",J89,NA())</f>
        <v>0</v>
      </c>
      <c r="S89" s="27">
        <f>IF(K89="Válida",C89,"")</f>
        <v>0</v>
      </c>
      <c r="T89" s="27">
        <f>IF(K89="Válida",I89,"")</f>
        <v>0</v>
      </c>
      <c r="U89" s="27">
        <f>IF(K89="Válida",J89,"")</f>
        <v>0</v>
      </c>
    </row>
    <row r="90" spans="1:21">
      <c r="A90" s="25">
        <f>IF(MES!A90="","",MES!C90/48)</f>
        <v>0</v>
      </c>
      <c r="B90" s="26">
        <f>IF(A90="","",TEXT((N90*4+cfgDeslocamento)/48,"hh:mm")&amp;" a "&amp;TEXT(A90,"hh:mm"))</f>
        <v>0</v>
      </c>
      <c r="C90" s="27">
        <f>IF(A90="","",MES!B90)</f>
        <v>0</v>
      </c>
      <c r="D90" s="27">
        <f>IF(A90="","",IFERROR(AVERAGEIFS(Prensa!$B$2:$B$5001,Prensa!$E$2:$E$5001,N90,Prensa!$F$2:$F$5001,1,Prensa!$G$2:$G$5001,1),""))</f>
        <v>0</v>
      </c>
      <c r="E90" s="27">
        <f>IF(A90="","",IFERROR(AVERAGEIFS(Prensa!$B$2:$B$5001,Prensa!$E$2:$E$5001,N90,Prensa!$F$2:$F$5001,2,Prensa!$G$2:$G$5001,1),""))</f>
        <v>0</v>
      </c>
      <c r="F90" s="27">
        <f>IF(A90="","",IFERROR(AVERAGEIFS(Prensa!$B$2:$B$5001,Prensa!$E$2:$E$5001,N90,Prensa!$F$2:$F$5001,3,Prensa!$G$2:$G$5001,1),""))</f>
        <v>0</v>
      </c>
      <c r="G90" s="27">
        <f>IF(A90="","",IFERROR(AVERAGEIFS(Prensa!$B$2:$B$5001,Prensa!$E$2:$E$5001,N90,Prensa!$F$2:$F$5001,4,Prensa!$G$2:$G$5001,1),""))</f>
        <v>0</v>
      </c>
      <c r="H90" s="26">
        <f>IF(A90="","",COUNT(D90:G90))</f>
        <v>0</v>
      </c>
      <c r="I90" s="27">
        <f>IF(A90="","",IF(H90=0,"",AVERAGE(D90:G90)))</f>
        <v>0</v>
      </c>
      <c r="J90" s="27">
        <f>IF(OR(I90="",C90=""),"",I90-C90)</f>
        <v>0</v>
      </c>
      <c r="K90" s="26">
        <f>IF(A90="","",IF(MES!E90&lt;&gt;4,"Horário do MES fora do padrão",IF(H90&lt;cfgMinCortes,"Cortes insuficientes","Válida")))</f>
        <v>0</v>
      </c>
      <c r="L90" s="27">
        <f>IF(K90="Válida",ABS(J90),"")</f>
        <v>0</v>
      </c>
      <c r="M90" s="26">
        <f>IF(K90="Válida",IF(L90&lt;=cfgTolerancia,"Sim","Não"),"")</f>
        <v>0</v>
      </c>
      <c r="N90" s="26">
        <f>IF(A90="","",MES!D90)</f>
        <v>0</v>
      </c>
      <c r="O90" s="25">
        <f>IF(K90="Válida",A90,NA())</f>
        <v>0</v>
      </c>
      <c r="P90" s="27">
        <f>IF(K90="Válida",C90,NA())</f>
        <v>0</v>
      </c>
      <c r="Q90" s="27">
        <f>IF(K90="Válida",I90,NA())</f>
        <v>0</v>
      </c>
      <c r="R90" s="27">
        <f>IF(K90="Válida",J90,NA())</f>
        <v>0</v>
      </c>
      <c r="S90" s="27">
        <f>IF(K90="Válida",C90,"")</f>
        <v>0</v>
      </c>
      <c r="T90" s="27">
        <f>IF(K90="Válida",I90,"")</f>
        <v>0</v>
      </c>
      <c r="U90" s="27">
        <f>IF(K90="Válida",J90,"")</f>
        <v>0</v>
      </c>
    </row>
    <row r="91" spans="1:21">
      <c r="A91" s="25">
        <f>IF(MES!A91="","",MES!C91/48)</f>
        <v>0</v>
      </c>
      <c r="B91" s="26">
        <f>IF(A91="","",TEXT((N91*4+cfgDeslocamento)/48,"hh:mm")&amp;" a "&amp;TEXT(A91,"hh:mm"))</f>
        <v>0</v>
      </c>
      <c r="C91" s="27">
        <f>IF(A91="","",MES!B91)</f>
        <v>0</v>
      </c>
      <c r="D91" s="27">
        <f>IF(A91="","",IFERROR(AVERAGEIFS(Prensa!$B$2:$B$5001,Prensa!$E$2:$E$5001,N91,Prensa!$F$2:$F$5001,1,Prensa!$G$2:$G$5001,1),""))</f>
        <v>0</v>
      </c>
      <c r="E91" s="27">
        <f>IF(A91="","",IFERROR(AVERAGEIFS(Prensa!$B$2:$B$5001,Prensa!$E$2:$E$5001,N91,Prensa!$F$2:$F$5001,2,Prensa!$G$2:$G$5001,1),""))</f>
        <v>0</v>
      </c>
      <c r="F91" s="27">
        <f>IF(A91="","",IFERROR(AVERAGEIFS(Prensa!$B$2:$B$5001,Prensa!$E$2:$E$5001,N91,Prensa!$F$2:$F$5001,3,Prensa!$G$2:$G$5001,1),""))</f>
        <v>0</v>
      </c>
      <c r="G91" s="27">
        <f>IF(A91="","",IFERROR(AVERAGEIFS(Prensa!$B$2:$B$5001,Prensa!$E$2:$E$5001,N91,Prensa!$F$2:$F$5001,4,Prensa!$G$2:$G$5001,1),""))</f>
        <v>0</v>
      </c>
      <c r="H91" s="26">
        <f>IF(A91="","",COUNT(D91:G91))</f>
        <v>0</v>
      </c>
      <c r="I91" s="27">
        <f>IF(A91="","",IF(H91=0,"",AVERAGE(D91:G91)))</f>
        <v>0</v>
      </c>
      <c r="J91" s="27">
        <f>IF(OR(I91="",C91=""),"",I91-C91)</f>
        <v>0</v>
      </c>
      <c r="K91" s="26">
        <f>IF(A91="","",IF(MES!E91&lt;&gt;4,"Horário do MES fora do padrão",IF(H91&lt;cfgMinCortes,"Cortes insuficientes","Válida")))</f>
        <v>0</v>
      </c>
      <c r="L91" s="27">
        <f>IF(K91="Válida",ABS(J91),"")</f>
        <v>0</v>
      </c>
      <c r="M91" s="26">
        <f>IF(K91="Válida",IF(L91&lt;=cfgTolerancia,"Sim","Não"),"")</f>
        <v>0</v>
      </c>
      <c r="N91" s="26">
        <f>IF(A91="","",MES!D91)</f>
        <v>0</v>
      </c>
      <c r="O91" s="25">
        <f>IF(K91="Válida",A91,NA())</f>
        <v>0</v>
      </c>
      <c r="P91" s="27">
        <f>IF(K91="Válida",C91,NA())</f>
        <v>0</v>
      </c>
      <c r="Q91" s="27">
        <f>IF(K91="Válida",I91,NA())</f>
        <v>0</v>
      </c>
      <c r="R91" s="27">
        <f>IF(K91="Válida",J91,NA())</f>
        <v>0</v>
      </c>
      <c r="S91" s="27">
        <f>IF(K91="Válida",C91,"")</f>
        <v>0</v>
      </c>
      <c r="T91" s="27">
        <f>IF(K91="Válida",I91,"")</f>
        <v>0</v>
      </c>
      <c r="U91" s="27">
        <f>IF(K91="Válida",J91,"")</f>
        <v>0</v>
      </c>
    </row>
    <row r="92" spans="1:21">
      <c r="A92" s="25">
        <f>IF(MES!A92="","",MES!C92/48)</f>
        <v>0</v>
      </c>
      <c r="B92" s="26">
        <f>IF(A92="","",TEXT((N92*4+cfgDeslocamento)/48,"hh:mm")&amp;" a "&amp;TEXT(A92,"hh:mm"))</f>
        <v>0</v>
      </c>
      <c r="C92" s="27">
        <f>IF(A92="","",MES!B92)</f>
        <v>0</v>
      </c>
      <c r="D92" s="27">
        <f>IF(A92="","",IFERROR(AVERAGEIFS(Prensa!$B$2:$B$5001,Prensa!$E$2:$E$5001,N92,Prensa!$F$2:$F$5001,1,Prensa!$G$2:$G$5001,1),""))</f>
        <v>0</v>
      </c>
      <c r="E92" s="27">
        <f>IF(A92="","",IFERROR(AVERAGEIFS(Prensa!$B$2:$B$5001,Prensa!$E$2:$E$5001,N92,Prensa!$F$2:$F$5001,2,Prensa!$G$2:$G$5001,1),""))</f>
        <v>0</v>
      </c>
      <c r="F92" s="27">
        <f>IF(A92="","",IFERROR(AVERAGEIFS(Prensa!$B$2:$B$5001,Prensa!$E$2:$E$5001,N92,Prensa!$F$2:$F$5001,3,Prensa!$G$2:$G$5001,1),""))</f>
        <v>0</v>
      </c>
      <c r="G92" s="27">
        <f>IF(A92="","",IFERROR(AVERAGEIFS(Prensa!$B$2:$B$5001,Prensa!$E$2:$E$5001,N92,Prensa!$F$2:$F$5001,4,Prensa!$G$2:$G$5001,1),""))</f>
        <v>0</v>
      </c>
      <c r="H92" s="26">
        <f>IF(A92="","",COUNT(D92:G92))</f>
        <v>0</v>
      </c>
      <c r="I92" s="27">
        <f>IF(A92="","",IF(H92=0,"",AVERAGE(D92:G92)))</f>
        <v>0</v>
      </c>
      <c r="J92" s="27">
        <f>IF(OR(I92="",C92=""),"",I92-C92)</f>
        <v>0</v>
      </c>
      <c r="K92" s="26">
        <f>IF(A92="","",IF(MES!E92&lt;&gt;4,"Horário do MES fora do padrão",IF(H92&lt;cfgMinCortes,"Cortes insuficientes","Válida")))</f>
        <v>0</v>
      </c>
      <c r="L92" s="27">
        <f>IF(K92="Válida",ABS(J92),"")</f>
        <v>0</v>
      </c>
      <c r="M92" s="26">
        <f>IF(K92="Válida",IF(L92&lt;=cfgTolerancia,"Sim","Não"),"")</f>
        <v>0</v>
      </c>
      <c r="N92" s="26">
        <f>IF(A92="","",MES!D92)</f>
        <v>0</v>
      </c>
      <c r="O92" s="25">
        <f>IF(K92="Válida",A92,NA())</f>
        <v>0</v>
      </c>
      <c r="P92" s="27">
        <f>IF(K92="Válida",C92,NA())</f>
        <v>0</v>
      </c>
      <c r="Q92" s="27">
        <f>IF(K92="Válida",I92,NA())</f>
        <v>0</v>
      </c>
      <c r="R92" s="27">
        <f>IF(K92="Válida",J92,NA())</f>
        <v>0</v>
      </c>
      <c r="S92" s="27">
        <f>IF(K92="Válida",C92,"")</f>
        <v>0</v>
      </c>
      <c r="T92" s="27">
        <f>IF(K92="Válida",I92,"")</f>
        <v>0</v>
      </c>
      <c r="U92" s="27">
        <f>IF(K92="Válida",J92,"")</f>
        <v>0</v>
      </c>
    </row>
    <row r="93" spans="1:21">
      <c r="A93" s="25">
        <f>IF(MES!A93="","",MES!C93/48)</f>
        <v>0</v>
      </c>
      <c r="B93" s="26">
        <f>IF(A93="","",TEXT((N93*4+cfgDeslocamento)/48,"hh:mm")&amp;" a "&amp;TEXT(A93,"hh:mm"))</f>
        <v>0</v>
      </c>
      <c r="C93" s="27">
        <f>IF(A93="","",MES!B93)</f>
        <v>0</v>
      </c>
      <c r="D93" s="27">
        <f>IF(A93="","",IFERROR(AVERAGEIFS(Prensa!$B$2:$B$5001,Prensa!$E$2:$E$5001,N93,Prensa!$F$2:$F$5001,1,Prensa!$G$2:$G$5001,1),""))</f>
        <v>0</v>
      </c>
      <c r="E93" s="27">
        <f>IF(A93="","",IFERROR(AVERAGEIFS(Prensa!$B$2:$B$5001,Prensa!$E$2:$E$5001,N93,Prensa!$F$2:$F$5001,2,Prensa!$G$2:$G$5001,1),""))</f>
        <v>0</v>
      </c>
      <c r="F93" s="27">
        <f>IF(A93="","",IFERROR(AVERAGEIFS(Prensa!$B$2:$B$5001,Prensa!$E$2:$E$5001,N93,Prensa!$F$2:$F$5001,3,Prensa!$G$2:$G$5001,1),""))</f>
        <v>0</v>
      </c>
      <c r="G93" s="27">
        <f>IF(A93="","",IFERROR(AVERAGEIFS(Prensa!$B$2:$B$5001,Prensa!$E$2:$E$5001,N93,Prensa!$F$2:$F$5001,4,Prensa!$G$2:$G$5001,1),""))</f>
        <v>0</v>
      </c>
      <c r="H93" s="26">
        <f>IF(A93="","",COUNT(D93:G93))</f>
        <v>0</v>
      </c>
      <c r="I93" s="27">
        <f>IF(A93="","",IF(H93=0,"",AVERAGE(D93:G93)))</f>
        <v>0</v>
      </c>
      <c r="J93" s="27">
        <f>IF(OR(I93="",C93=""),"",I93-C93)</f>
        <v>0</v>
      </c>
      <c r="K93" s="26">
        <f>IF(A93="","",IF(MES!E93&lt;&gt;4,"Horário do MES fora do padrão",IF(H93&lt;cfgMinCortes,"Cortes insuficientes","Válida")))</f>
        <v>0</v>
      </c>
      <c r="L93" s="27">
        <f>IF(K93="Válida",ABS(J93),"")</f>
        <v>0</v>
      </c>
      <c r="M93" s="26">
        <f>IF(K93="Válida",IF(L93&lt;=cfgTolerancia,"Sim","Não"),"")</f>
        <v>0</v>
      </c>
      <c r="N93" s="26">
        <f>IF(A93="","",MES!D93)</f>
        <v>0</v>
      </c>
      <c r="O93" s="25">
        <f>IF(K93="Válida",A93,NA())</f>
        <v>0</v>
      </c>
      <c r="P93" s="27">
        <f>IF(K93="Válida",C93,NA())</f>
        <v>0</v>
      </c>
      <c r="Q93" s="27">
        <f>IF(K93="Válida",I93,NA())</f>
        <v>0</v>
      </c>
      <c r="R93" s="27">
        <f>IF(K93="Válida",J93,NA())</f>
        <v>0</v>
      </c>
      <c r="S93" s="27">
        <f>IF(K93="Válida",C93,"")</f>
        <v>0</v>
      </c>
      <c r="T93" s="27">
        <f>IF(K93="Válida",I93,"")</f>
        <v>0</v>
      </c>
      <c r="U93" s="27">
        <f>IF(K93="Válida",J93,"")</f>
        <v>0</v>
      </c>
    </row>
    <row r="94" spans="1:21">
      <c r="A94" s="25">
        <f>IF(MES!A94="","",MES!C94/48)</f>
        <v>0</v>
      </c>
      <c r="B94" s="26">
        <f>IF(A94="","",TEXT((N94*4+cfgDeslocamento)/48,"hh:mm")&amp;" a "&amp;TEXT(A94,"hh:mm"))</f>
        <v>0</v>
      </c>
      <c r="C94" s="27">
        <f>IF(A94="","",MES!B94)</f>
        <v>0</v>
      </c>
      <c r="D94" s="27">
        <f>IF(A94="","",IFERROR(AVERAGEIFS(Prensa!$B$2:$B$5001,Prensa!$E$2:$E$5001,N94,Prensa!$F$2:$F$5001,1,Prensa!$G$2:$G$5001,1),""))</f>
        <v>0</v>
      </c>
      <c r="E94" s="27">
        <f>IF(A94="","",IFERROR(AVERAGEIFS(Prensa!$B$2:$B$5001,Prensa!$E$2:$E$5001,N94,Prensa!$F$2:$F$5001,2,Prensa!$G$2:$G$5001,1),""))</f>
        <v>0</v>
      </c>
      <c r="F94" s="27">
        <f>IF(A94="","",IFERROR(AVERAGEIFS(Prensa!$B$2:$B$5001,Prensa!$E$2:$E$5001,N94,Prensa!$F$2:$F$5001,3,Prensa!$G$2:$G$5001,1),""))</f>
        <v>0</v>
      </c>
      <c r="G94" s="27">
        <f>IF(A94="","",IFERROR(AVERAGEIFS(Prensa!$B$2:$B$5001,Prensa!$E$2:$E$5001,N94,Prensa!$F$2:$F$5001,4,Prensa!$G$2:$G$5001,1),""))</f>
        <v>0</v>
      </c>
      <c r="H94" s="26">
        <f>IF(A94="","",COUNT(D94:G94))</f>
        <v>0</v>
      </c>
      <c r="I94" s="27">
        <f>IF(A94="","",IF(H94=0,"",AVERAGE(D94:G94)))</f>
        <v>0</v>
      </c>
      <c r="J94" s="27">
        <f>IF(OR(I94="",C94=""),"",I94-C94)</f>
        <v>0</v>
      </c>
      <c r="K94" s="26">
        <f>IF(A94="","",IF(MES!E94&lt;&gt;4,"Horário do MES fora do padrão",IF(H94&lt;cfgMinCortes,"Cortes insuficientes","Válida")))</f>
        <v>0</v>
      </c>
      <c r="L94" s="27">
        <f>IF(K94="Válida",ABS(J94),"")</f>
        <v>0</v>
      </c>
      <c r="M94" s="26">
        <f>IF(K94="Válida",IF(L94&lt;=cfgTolerancia,"Sim","Não"),"")</f>
        <v>0</v>
      </c>
      <c r="N94" s="26">
        <f>IF(A94="","",MES!D94)</f>
        <v>0</v>
      </c>
      <c r="O94" s="25">
        <f>IF(K94="Válida",A94,NA())</f>
        <v>0</v>
      </c>
      <c r="P94" s="27">
        <f>IF(K94="Válida",C94,NA())</f>
        <v>0</v>
      </c>
      <c r="Q94" s="27">
        <f>IF(K94="Válida",I94,NA())</f>
        <v>0</v>
      </c>
      <c r="R94" s="27">
        <f>IF(K94="Válida",J94,NA())</f>
        <v>0</v>
      </c>
      <c r="S94" s="27">
        <f>IF(K94="Válida",C94,"")</f>
        <v>0</v>
      </c>
      <c r="T94" s="27">
        <f>IF(K94="Válida",I94,"")</f>
        <v>0</v>
      </c>
      <c r="U94" s="27">
        <f>IF(K94="Válida",J94,"")</f>
        <v>0</v>
      </c>
    </row>
    <row r="95" spans="1:21">
      <c r="A95" s="25">
        <f>IF(MES!A95="","",MES!C95/48)</f>
        <v>0</v>
      </c>
      <c r="B95" s="26">
        <f>IF(A95="","",TEXT((N95*4+cfgDeslocamento)/48,"hh:mm")&amp;" a "&amp;TEXT(A95,"hh:mm"))</f>
        <v>0</v>
      </c>
      <c r="C95" s="27">
        <f>IF(A95="","",MES!B95)</f>
        <v>0</v>
      </c>
      <c r="D95" s="27">
        <f>IF(A95="","",IFERROR(AVERAGEIFS(Prensa!$B$2:$B$5001,Prensa!$E$2:$E$5001,N95,Prensa!$F$2:$F$5001,1,Prensa!$G$2:$G$5001,1),""))</f>
        <v>0</v>
      </c>
      <c r="E95" s="27">
        <f>IF(A95="","",IFERROR(AVERAGEIFS(Prensa!$B$2:$B$5001,Prensa!$E$2:$E$5001,N95,Prensa!$F$2:$F$5001,2,Prensa!$G$2:$G$5001,1),""))</f>
        <v>0</v>
      </c>
      <c r="F95" s="27">
        <f>IF(A95="","",IFERROR(AVERAGEIFS(Prensa!$B$2:$B$5001,Prensa!$E$2:$E$5001,N95,Prensa!$F$2:$F$5001,3,Prensa!$G$2:$G$5001,1),""))</f>
        <v>0</v>
      </c>
      <c r="G95" s="27">
        <f>IF(A95="","",IFERROR(AVERAGEIFS(Prensa!$B$2:$B$5001,Prensa!$E$2:$E$5001,N95,Prensa!$F$2:$F$5001,4,Prensa!$G$2:$G$5001,1),""))</f>
        <v>0</v>
      </c>
      <c r="H95" s="26">
        <f>IF(A95="","",COUNT(D95:G95))</f>
        <v>0</v>
      </c>
      <c r="I95" s="27">
        <f>IF(A95="","",IF(H95=0,"",AVERAGE(D95:G95)))</f>
        <v>0</v>
      </c>
      <c r="J95" s="27">
        <f>IF(OR(I95="",C95=""),"",I95-C95)</f>
        <v>0</v>
      </c>
      <c r="K95" s="26">
        <f>IF(A95="","",IF(MES!E95&lt;&gt;4,"Horário do MES fora do padrão",IF(H95&lt;cfgMinCortes,"Cortes insuficientes","Válida")))</f>
        <v>0</v>
      </c>
      <c r="L95" s="27">
        <f>IF(K95="Válida",ABS(J95),"")</f>
        <v>0</v>
      </c>
      <c r="M95" s="26">
        <f>IF(K95="Válida",IF(L95&lt;=cfgTolerancia,"Sim","Não"),"")</f>
        <v>0</v>
      </c>
      <c r="N95" s="26">
        <f>IF(A95="","",MES!D95)</f>
        <v>0</v>
      </c>
      <c r="O95" s="25">
        <f>IF(K95="Válida",A95,NA())</f>
        <v>0</v>
      </c>
      <c r="P95" s="27">
        <f>IF(K95="Válida",C95,NA())</f>
        <v>0</v>
      </c>
      <c r="Q95" s="27">
        <f>IF(K95="Válida",I95,NA())</f>
        <v>0</v>
      </c>
      <c r="R95" s="27">
        <f>IF(K95="Válida",J95,NA())</f>
        <v>0</v>
      </c>
      <c r="S95" s="27">
        <f>IF(K95="Válida",C95,"")</f>
        <v>0</v>
      </c>
      <c r="T95" s="27">
        <f>IF(K95="Válida",I95,"")</f>
        <v>0</v>
      </c>
      <c r="U95" s="27">
        <f>IF(K95="Válida",J95,"")</f>
        <v>0</v>
      </c>
    </row>
    <row r="96" spans="1:21">
      <c r="A96" s="25">
        <f>IF(MES!A96="","",MES!C96/48)</f>
        <v>0</v>
      </c>
      <c r="B96" s="26">
        <f>IF(A96="","",TEXT((N96*4+cfgDeslocamento)/48,"hh:mm")&amp;" a "&amp;TEXT(A96,"hh:mm"))</f>
        <v>0</v>
      </c>
      <c r="C96" s="27">
        <f>IF(A96="","",MES!B96)</f>
        <v>0</v>
      </c>
      <c r="D96" s="27">
        <f>IF(A96="","",IFERROR(AVERAGEIFS(Prensa!$B$2:$B$5001,Prensa!$E$2:$E$5001,N96,Prensa!$F$2:$F$5001,1,Prensa!$G$2:$G$5001,1),""))</f>
        <v>0</v>
      </c>
      <c r="E96" s="27">
        <f>IF(A96="","",IFERROR(AVERAGEIFS(Prensa!$B$2:$B$5001,Prensa!$E$2:$E$5001,N96,Prensa!$F$2:$F$5001,2,Prensa!$G$2:$G$5001,1),""))</f>
        <v>0</v>
      </c>
      <c r="F96" s="27">
        <f>IF(A96="","",IFERROR(AVERAGEIFS(Prensa!$B$2:$B$5001,Prensa!$E$2:$E$5001,N96,Prensa!$F$2:$F$5001,3,Prensa!$G$2:$G$5001,1),""))</f>
        <v>0</v>
      </c>
      <c r="G96" s="27">
        <f>IF(A96="","",IFERROR(AVERAGEIFS(Prensa!$B$2:$B$5001,Prensa!$E$2:$E$5001,N96,Prensa!$F$2:$F$5001,4,Prensa!$G$2:$G$5001,1),""))</f>
        <v>0</v>
      </c>
      <c r="H96" s="26">
        <f>IF(A96="","",COUNT(D96:G96))</f>
        <v>0</v>
      </c>
      <c r="I96" s="27">
        <f>IF(A96="","",IF(H96=0,"",AVERAGE(D96:G96)))</f>
        <v>0</v>
      </c>
      <c r="J96" s="27">
        <f>IF(OR(I96="",C96=""),"",I96-C96)</f>
        <v>0</v>
      </c>
      <c r="K96" s="26">
        <f>IF(A96="","",IF(MES!E96&lt;&gt;4,"Horário do MES fora do padrão",IF(H96&lt;cfgMinCortes,"Cortes insuficientes","Válida")))</f>
        <v>0</v>
      </c>
      <c r="L96" s="27">
        <f>IF(K96="Válida",ABS(J96),"")</f>
        <v>0</v>
      </c>
      <c r="M96" s="26">
        <f>IF(K96="Válida",IF(L96&lt;=cfgTolerancia,"Sim","Não"),"")</f>
        <v>0</v>
      </c>
      <c r="N96" s="26">
        <f>IF(A96="","",MES!D96)</f>
        <v>0</v>
      </c>
      <c r="O96" s="25">
        <f>IF(K96="Válida",A96,NA())</f>
        <v>0</v>
      </c>
      <c r="P96" s="27">
        <f>IF(K96="Válida",C96,NA())</f>
        <v>0</v>
      </c>
      <c r="Q96" s="27">
        <f>IF(K96="Válida",I96,NA())</f>
        <v>0</v>
      </c>
      <c r="R96" s="27">
        <f>IF(K96="Válida",J96,NA())</f>
        <v>0</v>
      </c>
      <c r="S96" s="27">
        <f>IF(K96="Válida",C96,"")</f>
        <v>0</v>
      </c>
      <c r="T96" s="27">
        <f>IF(K96="Válida",I96,"")</f>
        <v>0</v>
      </c>
      <c r="U96" s="27">
        <f>IF(K96="Válida",J96,"")</f>
        <v>0</v>
      </c>
    </row>
    <row r="97" spans="1:21">
      <c r="A97" s="25">
        <f>IF(MES!A97="","",MES!C97/48)</f>
        <v>0</v>
      </c>
      <c r="B97" s="26">
        <f>IF(A97="","",TEXT((N97*4+cfgDeslocamento)/48,"hh:mm")&amp;" a "&amp;TEXT(A97,"hh:mm"))</f>
        <v>0</v>
      </c>
      <c r="C97" s="27">
        <f>IF(A97="","",MES!B97)</f>
        <v>0</v>
      </c>
      <c r="D97" s="27">
        <f>IF(A97="","",IFERROR(AVERAGEIFS(Prensa!$B$2:$B$5001,Prensa!$E$2:$E$5001,N97,Prensa!$F$2:$F$5001,1,Prensa!$G$2:$G$5001,1),""))</f>
        <v>0</v>
      </c>
      <c r="E97" s="27">
        <f>IF(A97="","",IFERROR(AVERAGEIFS(Prensa!$B$2:$B$5001,Prensa!$E$2:$E$5001,N97,Prensa!$F$2:$F$5001,2,Prensa!$G$2:$G$5001,1),""))</f>
        <v>0</v>
      </c>
      <c r="F97" s="27">
        <f>IF(A97="","",IFERROR(AVERAGEIFS(Prensa!$B$2:$B$5001,Prensa!$E$2:$E$5001,N97,Prensa!$F$2:$F$5001,3,Prensa!$G$2:$G$5001,1),""))</f>
        <v>0</v>
      </c>
      <c r="G97" s="27">
        <f>IF(A97="","",IFERROR(AVERAGEIFS(Prensa!$B$2:$B$5001,Prensa!$E$2:$E$5001,N97,Prensa!$F$2:$F$5001,4,Prensa!$G$2:$G$5001,1),""))</f>
        <v>0</v>
      </c>
      <c r="H97" s="26">
        <f>IF(A97="","",COUNT(D97:G97))</f>
        <v>0</v>
      </c>
      <c r="I97" s="27">
        <f>IF(A97="","",IF(H97=0,"",AVERAGE(D97:G97)))</f>
        <v>0</v>
      </c>
      <c r="J97" s="27">
        <f>IF(OR(I97="",C97=""),"",I97-C97)</f>
        <v>0</v>
      </c>
      <c r="K97" s="26">
        <f>IF(A97="","",IF(MES!E97&lt;&gt;4,"Horário do MES fora do padrão",IF(H97&lt;cfgMinCortes,"Cortes insuficientes","Válida")))</f>
        <v>0</v>
      </c>
      <c r="L97" s="27">
        <f>IF(K97="Válida",ABS(J97),"")</f>
        <v>0</v>
      </c>
      <c r="M97" s="26">
        <f>IF(K97="Válida",IF(L97&lt;=cfgTolerancia,"Sim","Não"),"")</f>
        <v>0</v>
      </c>
      <c r="N97" s="26">
        <f>IF(A97="","",MES!D97)</f>
        <v>0</v>
      </c>
      <c r="O97" s="25">
        <f>IF(K97="Válida",A97,NA())</f>
        <v>0</v>
      </c>
      <c r="P97" s="27">
        <f>IF(K97="Válida",C97,NA())</f>
        <v>0</v>
      </c>
      <c r="Q97" s="27">
        <f>IF(K97="Válida",I97,NA())</f>
        <v>0</v>
      </c>
      <c r="R97" s="27">
        <f>IF(K97="Válida",J97,NA())</f>
        <v>0</v>
      </c>
      <c r="S97" s="27">
        <f>IF(K97="Válida",C97,"")</f>
        <v>0</v>
      </c>
      <c r="T97" s="27">
        <f>IF(K97="Válida",I97,"")</f>
        <v>0</v>
      </c>
      <c r="U97" s="27">
        <f>IF(K97="Válida",J97,"")</f>
        <v>0</v>
      </c>
    </row>
    <row r="98" spans="1:21">
      <c r="A98" s="25">
        <f>IF(MES!A98="","",MES!C98/48)</f>
        <v>0</v>
      </c>
      <c r="B98" s="26">
        <f>IF(A98="","",TEXT((N98*4+cfgDeslocamento)/48,"hh:mm")&amp;" a "&amp;TEXT(A98,"hh:mm"))</f>
        <v>0</v>
      </c>
      <c r="C98" s="27">
        <f>IF(A98="","",MES!B98)</f>
        <v>0</v>
      </c>
      <c r="D98" s="27">
        <f>IF(A98="","",IFERROR(AVERAGEIFS(Prensa!$B$2:$B$5001,Prensa!$E$2:$E$5001,N98,Prensa!$F$2:$F$5001,1,Prensa!$G$2:$G$5001,1),""))</f>
        <v>0</v>
      </c>
      <c r="E98" s="27">
        <f>IF(A98="","",IFERROR(AVERAGEIFS(Prensa!$B$2:$B$5001,Prensa!$E$2:$E$5001,N98,Prensa!$F$2:$F$5001,2,Prensa!$G$2:$G$5001,1),""))</f>
        <v>0</v>
      </c>
      <c r="F98" s="27">
        <f>IF(A98="","",IFERROR(AVERAGEIFS(Prensa!$B$2:$B$5001,Prensa!$E$2:$E$5001,N98,Prensa!$F$2:$F$5001,3,Prensa!$G$2:$G$5001,1),""))</f>
        <v>0</v>
      </c>
      <c r="G98" s="27">
        <f>IF(A98="","",IFERROR(AVERAGEIFS(Prensa!$B$2:$B$5001,Prensa!$E$2:$E$5001,N98,Prensa!$F$2:$F$5001,4,Prensa!$G$2:$G$5001,1),""))</f>
        <v>0</v>
      </c>
      <c r="H98" s="26">
        <f>IF(A98="","",COUNT(D98:G98))</f>
        <v>0</v>
      </c>
      <c r="I98" s="27">
        <f>IF(A98="","",IF(H98=0,"",AVERAGE(D98:G98)))</f>
        <v>0</v>
      </c>
      <c r="J98" s="27">
        <f>IF(OR(I98="",C98=""),"",I98-C98)</f>
        <v>0</v>
      </c>
      <c r="K98" s="26">
        <f>IF(A98="","",IF(MES!E98&lt;&gt;4,"Horário do MES fora do padrão",IF(H98&lt;cfgMinCortes,"Cortes insuficientes","Válida")))</f>
        <v>0</v>
      </c>
      <c r="L98" s="27">
        <f>IF(K98="Válida",ABS(J98),"")</f>
        <v>0</v>
      </c>
      <c r="M98" s="26">
        <f>IF(K98="Válida",IF(L98&lt;=cfgTolerancia,"Sim","Não"),"")</f>
        <v>0</v>
      </c>
      <c r="N98" s="26">
        <f>IF(A98="","",MES!D98)</f>
        <v>0</v>
      </c>
      <c r="O98" s="25">
        <f>IF(K98="Válida",A98,NA())</f>
        <v>0</v>
      </c>
      <c r="P98" s="27">
        <f>IF(K98="Válida",C98,NA())</f>
        <v>0</v>
      </c>
      <c r="Q98" s="27">
        <f>IF(K98="Válida",I98,NA())</f>
        <v>0</v>
      </c>
      <c r="R98" s="27">
        <f>IF(K98="Válida",J98,NA())</f>
        <v>0</v>
      </c>
      <c r="S98" s="27">
        <f>IF(K98="Válida",C98,"")</f>
        <v>0</v>
      </c>
      <c r="T98" s="27">
        <f>IF(K98="Válida",I98,"")</f>
        <v>0</v>
      </c>
      <c r="U98" s="27">
        <f>IF(K98="Válida",J98,"")</f>
        <v>0</v>
      </c>
    </row>
    <row r="99" spans="1:21">
      <c r="A99" s="25">
        <f>IF(MES!A99="","",MES!C99/48)</f>
        <v>0</v>
      </c>
      <c r="B99" s="26">
        <f>IF(A99="","",TEXT((N99*4+cfgDeslocamento)/48,"hh:mm")&amp;" a "&amp;TEXT(A99,"hh:mm"))</f>
        <v>0</v>
      </c>
      <c r="C99" s="27">
        <f>IF(A99="","",MES!B99)</f>
        <v>0</v>
      </c>
      <c r="D99" s="27">
        <f>IF(A99="","",IFERROR(AVERAGEIFS(Prensa!$B$2:$B$5001,Prensa!$E$2:$E$5001,N99,Prensa!$F$2:$F$5001,1,Prensa!$G$2:$G$5001,1),""))</f>
        <v>0</v>
      </c>
      <c r="E99" s="27">
        <f>IF(A99="","",IFERROR(AVERAGEIFS(Prensa!$B$2:$B$5001,Prensa!$E$2:$E$5001,N99,Prensa!$F$2:$F$5001,2,Prensa!$G$2:$G$5001,1),""))</f>
        <v>0</v>
      </c>
      <c r="F99" s="27">
        <f>IF(A99="","",IFERROR(AVERAGEIFS(Prensa!$B$2:$B$5001,Prensa!$E$2:$E$5001,N99,Prensa!$F$2:$F$5001,3,Prensa!$G$2:$G$5001,1),""))</f>
        <v>0</v>
      </c>
      <c r="G99" s="27">
        <f>IF(A99="","",IFERROR(AVERAGEIFS(Prensa!$B$2:$B$5001,Prensa!$E$2:$E$5001,N99,Prensa!$F$2:$F$5001,4,Prensa!$G$2:$G$5001,1),""))</f>
        <v>0</v>
      </c>
      <c r="H99" s="26">
        <f>IF(A99="","",COUNT(D99:G99))</f>
        <v>0</v>
      </c>
      <c r="I99" s="27">
        <f>IF(A99="","",IF(H99=0,"",AVERAGE(D99:G99)))</f>
        <v>0</v>
      </c>
      <c r="J99" s="27">
        <f>IF(OR(I99="",C99=""),"",I99-C99)</f>
        <v>0</v>
      </c>
      <c r="K99" s="26">
        <f>IF(A99="","",IF(MES!E99&lt;&gt;4,"Horário do MES fora do padrão",IF(H99&lt;cfgMinCortes,"Cortes insuficientes","Válida")))</f>
        <v>0</v>
      </c>
      <c r="L99" s="27">
        <f>IF(K99="Válida",ABS(J99),"")</f>
        <v>0</v>
      </c>
      <c r="M99" s="26">
        <f>IF(K99="Válida",IF(L99&lt;=cfgTolerancia,"Sim","Não"),"")</f>
        <v>0</v>
      </c>
      <c r="N99" s="26">
        <f>IF(A99="","",MES!D99)</f>
        <v>0</v>
      </c>
      <c r="O99" s="25">
        <f>IF(K99="Válida",A99,NA())</f>
        <v>0</v>
      </c>
      <c r="P99" s="27">
        <f>IF(K99="Válida",C99,NA())</f>
        <v>0</v>
      </c>
      <c r="Q99" s="27">
        <f>IF(K99="Válida",I99,NA())</f>
        <v>0</v>
      </c>
      <c r="R99" s="27">
        <f>IF(K99="Válida",J99,NA())</f>
        <v>0</v>
      </c>
      <c r="S99" s="27">
        <f>IF(K99="Válida",C99,"")</f>
        <v>0</v>
      </c>
      <c r="T99" s="27">
        <f>IF(K99="Válida",I99,"")</f>
        <v>0</v>
      </c>
      <c r="U99" s="27">
        <f>IF(K99="Válida",J99,"")</f>
        <v>0</v>
      </c>
    </row>
    <row r="100" spans="1:21">
      <c r="A100" s="25">
        <f>IF(MES!A100="","",MES!C100/48)</f>
        <v>0</v>
      </c>
      <c r="B100" s="26">
        <f>IF(A100="","",TEXT((N100*4+cfgDeslocamento)/48,"hh:mm")&amp;" a "&amp;TEXT(A100,"hh:mm"))</f>
        <v>0</v>
      </c>
      <c r="C100" s="27">
        <f>IF(A100="","",MES!B100)</f>
        <v>0</v>
      </c>
      <c r="D100" s="27">
        <f>IF(A100="","",IFERROR(AVERAGEIFS(Prensa!$B$2:$B$5001,Prensa!$E$2:$E$5001,N100,Prensa!$F$2:$F$5001,1,Prensa!$G$2:$G$5001,1),""))</f>
        <v>0</v>
      </c>
      <c r="E100" s="27">
        <f>IF(A100="","",IFERROR(AVERAGEIFS(Prensa!$B$2:$B$5001,Prensa!$E$2:$E$5001,N100,Prensa!$F$2:$F$5001,2,Prensa!$G$2:$G$5001,1),""))</f>
        <v>0</v>
      </c>
      <c r="F100" s="27">
        <f>IF(A100="","",IFERROR(AVERAGEIFS(Prensa!$B$2:$B$5001,Prensa!$E$2:$E$5001,N100,Prensa!$F$2:$F$5001,3,Prensa!$G$2:$G$5001,1),""))</f>
        <v>0</v>
      </c>
      <c r="G100" s="27">
        <f>IF(A100="","",IFERROR(AVERAGEIFS(Prensa!$B$2:$B$5001,Prensa!$E$2:$E$5001,N100,Prensa!$F$2:$F$5001,4,Prensa!$G$2:$G$5001,1),""))</f>
        <v>0</v>
      </c>
      <c r="H100" s="26">
        <f>IF(A100="","",COUNT(D100:G100))</f>
        <v>0</v>
      </c>
      <c r="I100" s="27">
        <f>IF(A100="","",IF(H100=0,"",AVERAGE(D100:G100)))</f>
        <v>0</v>
      </c>
      <c r="J100" s="27">
        <f>IF(OR(I100="",C100=""),"",I100-C100)</f>
        <v>0</v>
      </c>
      <c r="K100" s="26">
        <f>IF(A100="","",IF(MES!E100&lt;&gt;4,"Horário do MES fora do padrão",IF(H100&lt;cfgMinCortes,"Cortes insuficientes","Válida")))</f>
        <v>0</v>
      </c>
      <c r="L100" s="27">
        <f>IF(K100="Válida",ABS(J100),"")</f>
        <v>0</v>
      </c>
      <c r="M100" s="26">
        <f>IF(K100="Válida",IF(L100&lt;=cfgTolerancia,"Sim","Não"),"")</f>
        <v>0</v>
      </c>
      <c r="N100" s="26">
        <f>IF(A100="","",MES!D100)</f>
        <v>0</v>
      </c>
      <c r="O100" s="25">
        <f>IF(K100="Válida",A100,NA())</f>
        <v>0</v>
      </c>
      <c r="P100" s="27">
        <f>IF(K100="Válida",C100,NA())</f>
        <v>0</v>
      </c>
      <c r="Q100" s="27">
        <f>IF(K100="Válida",I100,NA())</f>
        <v>0</v>
      </c>
      <c r="R100" s="27">
        <f>IF(K100="Válida",J100,NA())</f>
        <v>0</v>
      </c>
      <c r="S100" s="27">
        <f>IF(K100="Válida",C100,"")</f>
        <v>0</v>
      </c>
      <c r="T100" s="27">
        <f>IF(K100="Válida",I100,"")</f>
        <v>0</v>
      </c>
      <c r="U100" s="27">
        <f>IF(K100="Válida",J100,"")</f>
        <v>0</v>
      </c>
    </row>
    <row r="101" spans="1:21">
      <c r="A101" s="25">
        <f>IF(MES!A101="","",MES!C101/48)</f>
        <v>0</v>
      </c>
      <c r="B101" s="26">
        <f>IF(A101="","",TEXT((N101*4+cfgDeslocamento)/48,"hh:mm")&amp;" a "&amp;TEXT(A101,"hh:mm"))</f>
        <v>0</v>
      </c>
      <c r="C101" s="27">
        <f>IF(A101="","",MES!B101)</f>
        <v>0</v>
      </c>
      <c r="D101" s="27">
        <f>IF(A101="","",IFERROR(AVERAGEIFS(Prensa!$B$2:$B$5001,Prensa!$E$2:$E$5001,N101,Prensa!$F$2:$F$5001,1,Prensa!$G$2:$G$5001,1),""))</f>
        <v>0</v>
      </c>
      <c r="E101" s="27">
        <f>IF(A101="","",IFERROR(AVERAGEIFS(Prensa!$B$2:$B$5001,Prensa!$E$2:$E$5001,N101,Prensa!$F$2:$F$5001,2,Prensa!$G$2:$G$5001,1),""))</f>
        <v>0</v>
      </c>
      <c r="F101" s="27">
        <f>IF(A101="","",IFERROR(AVERAGEIFS(Prensa!$B$2:$B$5001,Prensa!$E$2:$E$5001,N101,Prensa!$F$2:$F$5001,3,Prensa!$G$2:$G$5001,1),""))</f>
        <v>0</v>
      </c>
      <c r="G101" s="27">
        <f>IF(A101="","",IFERROR(AVERAGEIFS(Prensa!$B$2:$B$5001,Prensa!$E$2:$E$5001,N101,Prensa!$F$2:$F$5001,4,Prensa!$G$2:$G$5001,1),""))</f>
        <v>0</v>
      </c>
      <c r="H101" s="26">
        <f>IF(A101="","",COUNT(D101:G101))</f>
        <v>0</v>
      </c>
      <c r="I101" s="27">
        <f>IF(A101="","",IF(H101=0,"",AVERAGE(D101:G101)))</f>
        <v>0</v>
      </c>
      <c r="J101" s="27">
        <f>IF(OR(I101="",C101=""),"",I101-C101)</f>
        <v>0</v>
      </c>
      <c r="K101" s="26">
        <f>IF(A101="","",IF(MES!E101&lt;&gt;4,"Horário do MES fora do padrão",IF(H101&lt;cfgMinCortes,"Cortes insuficientes","Válida")))</f>
        <v>0</v>
      </c>
      <c r="L101" s="27">
        <f>IF(K101="Válida",ABS(J101),"")</f>
        <v>0</v>
      </c>
      <c r="M101" s="26">
        <f>IF(K101="Válida",IF(L101&lt;=cfgTolerancia,"Sim","Não"),"")</f>
        <v>0</v>
      </c>
      <c r="N101" s="26">
        <f>IF(A101="","",MES!D101)</f>
        <v>0</v>
      </c>
      <c r="O101" s="25">
        <f>IF(K101="Válida",A101,NA())</f>
        <v>0</v>
      </c>
      <c r="P101" s="27">
        <f>IF(K101="Válida",C101,NA())</f>
        <v>0</v>
      </c>
      <c r="Q101" s="27">
        <f>IF(K101="Válida",I101,NA())</f>
        <v>0</v>
      </c>
      <c r="R101" s="27">
        <f>IF(K101="Válida",J101,NA())</f>
        <v>0</v>
      </c>
      <c r="S101" s="27">
        <f>IF(K101="Válida",C101,"")</f>
        <v>0</v>
      </c>
      <c r="T101" s="27">
        <f>IF(K101="Válida",I101,"")</f>
        <v>0</v>
      </c>
      <c r="U101" s="27">
        <f>IF(K101="Válida",J101,"")</f>
        <v>0</v>
      </c>
    </row>
    <row r="102" spans="1:21">
      <c r="A102" s="25">
        <f>IF(MES!A102="","",MES!C102/48)</f>
        <v>0</v>
      </c>
      <c r="B102" s="26">
        <f>IF(A102="","",TEXT((N102*4+cfgDeslocamento)/48,"hh:mm")&amp;" a "&amp;TEXT(A102,"hh:mm"))</f>
        <v>0</v>
      </c>
      <c r="C102" s="27">
        <f>IF(A102="","",MES!B102)</f>
        <v>0</v>
      </c>
      <c r="D102" s="27">
        <f>IF(A102="","",IFERROR(AVERAGEIFS(Prensa!$B$2:$B$5001,Prensa!$E$2:$E$5001,N102,Prensa!$F$2:$F$5001,1,Prensa!$G$2:$G$5001,1),""))</f>
        <v>0</v>
      </c>
      <c r="E102" s="27">
        <f>IF(A102="","",IFERROR(AVERAGEIFS(Prensa!$B$2:$B$5001,Prensa!$E$2:$E$5001,N102,Prensa!$F$2:$F$5001,2,Prensa!$G$2:$G$5001,1),""))</f>
        <v>0</v>
      </c>
      <c r="F102" s="27">
        <f>IF(A102="","",IFERROR(AVERAGEIFS(Prensa!$B$2:$B$5001,Prensa!$E$2:$E$5001,N102,Prensa!$F$2:$F$5001,3,Prensa!$G$2:$G$5001,1),""))</f>
        <v>0</v>
      </c>
      <c r="G102" s="27">
        <f>IF(A102="","",IFERROR(AVERAGEIFS(Prensa!$B$2:$B$5001,Prensa!$E$2:$E$5001,N102,Prensa!$F$2:$F$5001,4,Prensa!$G$2:$G$5001,1),""))</f>
        <v>0</v>
      </c>
      <c r="H102" s="26">
        <f>IF(A102="","",COUNT(D102:G102))</f>
        <v>0</v>
      </c>
      <c r="I102" s="27">
        <f>IF(A102="","",IF(H102=0,"",AVERAGE(D102:G102)))</f>
        <v>0</v>
      </c>
      <c r="J102" s="27">
        <f>IF(OR(I102="",C102=""),"",I102-C102)</f>
        <v>0</v>
      </c>
      <c r="K102" s="26">
        <f>IF(A102="","",IF(MES!E102&lt;&gt;4,"Horário do MES fora do padrão",IF(H102&lt;cfgMinCortes,"Cortes insuficientes","Válida")))</f>
        <v>0</v>
      </c>
      <c r="L102" s="27">
        <f>IF(K102="Válida",ABS(J102),"")</f>
        <v>0</v>
      </c>
      <c r="M102" s="26">
        <f>IF(K102="Válida",IF(L102&lt;=cfgTolerancia,"Sim","Não"),"")</f>
        <v>0</v>
      </c>
      <c r="N102" s="26">
        <f>IF(A102="","",MES!D102)</f>
        <v>0</v>
      </c>
      <c r="O102" s="25">
        <f>IF(K102="Válida",A102,NA())</f>
        <v>0</v>
      </c>
      <c r="P102" s="27">
        <f>IF(K102="Válida",C102,NA())</f>
        <v>0</v>
      </c>
      <c r="Q102" s="27">
        <f>IF(K102="Válida",I102,NA())</f>
        <v>0</v>
      </c>
      <c r="R102" s="27">
        <f>IF(K102="Válida",J102,NA())</f>
        <v>0</v>
      </c>
      <c r="S102" s="27">
        <f>IF(K102="Válida",C102,"")</f>
        <v>0</v>
      </c>
      <c r="T102" s="27">
        <f>IF(K102="Válida",I102,"")</f>
        <v>0</v>
      </c>
      <c r="U102" s="27">
        <f>IF(K102="Válida",J102,"")</f>
        <v>0</v>
      </c>
    </row>
    <row r="103" spans="1:21">
      <c r="A103" s="25">
        <f>IF(MES!A103="","",MES!C103/48)</f>
        <v>0</v>
      </c>
      <c r="B103" s="26">
        <f>IF(A103="","",TEXT((N103*4+cfgDeslocamento)/48,"hh:mm")&amp;" a "&amp;TEXT(A103,"hh:mm"))</f>
        <v>0</v>
      </c>
      <c r="C103" s="27">
        <f>IF(A103="","",MES!B103)</f>
        <v>0</v>
      </c>
      <c r="D103" s="27">
        <f>IF(A103="","",IFERROR(AVERAGEIFS(Prensa!$B$2:$B$5001,Prensa!$E$2:$E$5001,N103,Prensa!$F$2:$F$5001,1,Prensa!$G$2:$G$5001,1),""))</f>
        <v>0</v>
      </c>
      <c r="E103" s="27">
        <f>IF(A103="","",IFERROR(AVERAGEIFS(Prensa!$B$2:$B$5001,Prensa!$E$2:$E$5001,N103,Prensa!$F$2:$F$5001,2,Prensa!$G$2:$G$5001,1),""))</f>
        <v>0</v>
      </c>
      <c r="F103" s="27">
        <f>IF(A103="","",IFERROR(AVERAGEIFS(Prensa!$B$2:$B$5001,Prensa!$E$2:$E$5001,N103,Prensa!$F$2:$F$5001,3,Prensa!$G$2:$G$5001,1),""))</f>
        <v>0</v>
      </c>
      <c r="G103" s="27">
        <f>IF(A103="","",IFERROR(AVERAGEIFS(Prensa!$B$2:$B$5001,Prensa!$E$2:$E$5001,N103,Prensa!$F$2:$F$5001,4,Prensa!$G$2:$G$5001,1),""))</f>
        <v>0</v>
      </c>
      <c r="H103" s="26">
        <f>IF(A103="","",COUNT(D103:G103))</f>
        <v>0</v>
      </c>
      <c r="I103" s="27">
        <f>IF(A103="","",IF(H103=0,"",AVERAGE(D103:G103)))</f>
        <v>0</v>
      </c>
      <c r="J103" s="27">
        <f>IF(OR(I103="",C103=""),"",I103-C103)</f>
        <v>0</v>
      </c>
      <c r="K103" s="26">
        <f>IF(A103="","",IF(MES!E103&lt;&gt;4,"Horário do MES fora do padrão",IF(H103&lt;cfgMinCortes,"Cortes insuficientes","Válida")))</f>
        <v>0</v>
      </c>
      <c r="L103" s="27">
        <f>IF(K103="Válida",ABS(J103),"")</f>
        <v>0</v>
      </c>
      <c r="M103" s="26">
        <f>IF(K103="Válida",IF(L103&lt;=cfgTolerancia,"Sim","Não"),"")</f>
        <v>0</v>
      </c>
      <c r="N103" s="26">
        <f>IF(A103="","",MES!D103)</f>
        <v>0</v>
      </c>
      <c r="O103" s="25">
        <f>IF(K103="Válida",A103,NA())</f>
        <v>0</v>
      </c>
      <c r="P103" s="27">
        <f>IF(K103="Válida",C103,NA())</f>
        <v>0</v>
      </c>
      <c r="Q103" s="27">
        <f>IF(K103="Válida",I103,NA())</f>
        <v>0</v>
      </c>
      <c r="R103" s="27">
        <f>IF(K103="Válida",J103,NA())</f>
        <v>0</v>
      </c>
      <c r="S103" s="27">
        <f>IF(K103="Válida",C103,"")</f>
        <v>0</v>
      </c>
      <c r="T103" s="27">
        <f>IF(K103="Válida",I103,"")</f>
        <v>0</v>
      </c>
      <c r="U103" s="27">
        <f>IF(K103="Válida",J103,"")</f>
        <v>0</v>
      </c>
    </row>
    <row r="104" spans="1:21">
      <c r="A104" s="25">
        <f>IF(MES!A104="","",MES!C104/48)</f>
        <v>0</v>
      </c>
      <c r="B104" s="26">
        <f>IF(A104="","",TEXT((N104*4+cfgDeslocamento)/48,"hh:mm")&amp;" a "&amp;TEXT(A104,"hh:mm"))</f>
        <v>0</v>
      </c>
      <c r="C104" s="27">
        <f>IF(A104="","",MES!B104)</f>
        <v>0</v>
      </c>
      <c r="D104" s="27">
        <f>IF(A104="","",IFERROR(AVERAGEIFS(Prensa!$B$2:$B$5001,Prensa!$E$2:$E$5001,N104,Prensa!$F$2:$F$5001,1,Prensa!$G$2:$G$5001,1),""))</f>
        <v>0</v>
      </c>
      <c r="E104" s="27">
        <f>IF(A104="","",IFERROR(AVERAGEIFS(Prensa!$B$2:$B$5001,Prensa!$E$2:$E$5001,N104,Prensa!$F$2:$F$5001,2,Prensa!$G$2:$G$5001,1),""))</f>
        <v>0</v>
      </c>
      <c r="F104" s="27">
        <f>IF(A104="","",IFERROR(AVERAGEIFS(Prensa!$B$2:$B$5001,Prensa!$E$2:$E$5001,N104,Prensa!$F$2:$F$5001,3,Prensa!$G$2:$G$5001,1),""))</f>
        <v>0</v>
      </c>
      <c r="G104" s="27">
        <f>IF(A104="","",IFERROR(AVERAGEIFS(Prensa!$B$2:$B$5001,Prensa!$E$2:$E$5001,N104,Prensa!$F$2:$F$5001,4,Prensa!$G$2:$G$5001,1),""))</f>
        <v>0</v>
      </c>
      <c r="H104" s="26">
        <f>IF(A104="","",COUNT(D104:G104))</f>
        <v>0</v>
      </c>
      <c r="I104" s="27">
        <f>IF(A104="","",IF(H104=0,"",AVERAGE(D104:G104)))</f>
        <v>0</v>
      </c>
      <c r="J104" s="27">
        <f>IF(OR(I104="",C104=""),"",I104-C104)</f>
        <v>0</v>
      </c>
      <c r="K104" s="26">
        <f>IF(A104="","",IF(MES!E104&lt;&gt;4,"Horário do MES fora do padrão",IF(H104&lt;cfgMinCortes,"Cortes insuficientes","Válida")))</f>
        <v>0</v>
      </c>
      <c r="L104" s="27">
        <f>IF(K104="Válida",ABS(J104),"")</f>
        <v>0</v>
      </c>
      <c r="M104" s="26">
        <f>IF(K104="Válida",IF(L104&lt;=cfgTolerancia,"Sim","Não"),"")</f>
        <v>0</v>
      </c>
      <c r="N104" s="26">
        <f>IF(A104="","",MES!D104)</f>
        <v>0</v>
      </c>
      <c r="O104" s="25">
        <f>IF(K104="Válida",A104,NA())</f>
        <v>0</v>
      </c>
      <c r="P104" s="27">
        <f>IF(K104="Válida",C104,NA())</f>
        <v>0</v>
      </c>
      <c r="Q104" s="27">
        <f>IF(K104="Válida",I104,NA())</f>
        <v>0</v>
      </c>
      <c r="R104" s="27">
        <f>IF(K104="Válida",J104,NA())</f>
        <v>0</v>
      </c>
      <c r="S104" s="27">
        <f>IF(K104="Válida",C104,"")</f>
        <v>0</v>
      </c>
      <c r="T104" s="27">
        <f>IF(K104="Válida",I104,"")</f>
        <v>0</v>
      </c>
      <c r="U104" s="27">
        <f>IF(K104="Válida",J104,"")</f>
        <v>0</v>
      </c>
    </row>
    <row r="105" spans="1:21">
      <c r="A105" s="25">
        <f>IF(MES!A105="","",MES!C105/48)</f>
        <v>0</v>
      </c>
      <c r="B105" s="26">
        <f>IF(A105="","",TEXT((N105*4+cfgDeslocamento)/48,"hh:mm")&amp;" a "&amp;TEXT(A105,"hh:mm"))</f>
        <v>0</v>
      </c>
      <c r="C105" s="27">
        <f>IF(A105="","",MES!B105)</f>
        <v>0</v>
      </c>
      <c r="D105" s="27">
        <f>IF(A105="","",IFERROR(AVERAGEIFS(Prensa!$B$2:$B$5001,Prensa!$E$2:$E$5001,N105,Prensa!$F$2:$F$5001,1,Prensa!$G$2:$G$5001,1),""))</f>
        <v>0</v>
      </c>
      <c r="E105" s="27">
        <f>IF(A105="","",IFERROR(AVERAGEIFS(Prensa!$B$2:$B$5001,Prensa!$E$2:$E$5001,N105,Prensa!$F$2:$F$5001,2,Prensa!$G$2:$G$5001,1),""))</f>
        <v>0</v>
      </c>
      <c r="F105" s="27">
        <f>IF(A105="","",IFERROR(AVERAGEIFS(Prensa!$B$2:$B$5001,Prensa!$E$2:$E$5001,N105,Prensa!$F$2:$F$5001,3,Prensa!$G$2:$G$5001,1),""))</f>
        <v>0</v>
      </c>
      <c r="G105" s="27">
        <f>IF(A105="","",IFERROR(AVERAGEIFS(Prensa!$B$2:$B$5001,Prensa!$E$2:$E$5001,N105,Prensa!$F$2:$F$5001,4,Prensa!$G$2:$G$5001,1),""))</f>
        <v>0</v>
      </c>
      <c r="H105" s="26">
        <f>IF(A105="","",COUNT(D105:G105))</f>
        <v>0</v>
      </c>
      <c r="I105" s="27">
        <f>IF(A105="","",IF(H105=0,"",AVERAGE(D105:G105)))</f>
        <v>0</v>
      </c>
      <c r="J105" s="27">
        <f>IF(OR(I105="",C105=""),"",I105-C105)</f>
        <v>0</v>
      </c>
      <c r="K105" s="26">
        <f>IF(A105="","",IF(MES!E105&lt;&gt;4,"Horário do MES fora do padrão",IF(H105&lt;cfgMinCortes,"Cortes insuficientes","Válida")))</f>
        <v>0</v>
      </c>
      <c r="L105" s="27">
        <f>IF(K105="Válida",ABS(J105),"")</f>
        <v>0</v>
      </c>
      <c r="M105" s="26">
        <f>IF(K105="Válida",IF(L105&lt;=cfgTolerancia,"Sim","Não"),"")</f>
        <v>0</v>
      </c>
      <c r="N105" s="26">
        <f>IF(A105="","",MES!D105)</f>
        <v>0</v>
      </c>
      <c r="O105" s="25">
        <f>IF(K105="Válida",A105,NA())</f>
        <v>0</v>
      </c>
      <c r="P105" s="27">
        <f>IF(K105="Válida",C105,NA())</f>
        <v>0</v>
      </c>
      <c r="Q105" s="27">
        <f>IF(K105="Válida",I105,NA())</f>
        <v>0</v>
      </c>
      <c r="R105" s="27">
        <f>IF(K105="Válida",J105,NA())</f>
        <v>0</v>
      </c>
      <c r="S105" s="27">
        <f>IF(K105="Válida",C105,"")</f>
        <v>0</v>
      </c>
      <c r="T105" s="27">
        <f>IF(K105="Válida",I105,"")</f>
        <v>0</v>
      </c>
      <c r="U105" s="27">
        <f>IF(K105="Válida",J105,"")</f>
        <v>0</v>
      </c>
    </row>
    <row r="106" spans="1:21">
      <c r="A106" s="25">
        <f>IF(MES!A106="","",MES!C106/48)</f>
        <v>0</v>
      </c>
      <c r="B106" s="26">
        <f>IF(A106="","",TEXT((N106*4+cfgDeslocamento)/48,"hh:mm")&amp;" a "&amp;TEXT(A106,"hh:mm"))</f>
        <v>0</v>
      </c>
      <c r="C106" s="27">
        <f>IF(A106="","",MES!B106)</f>
        <v>0</v>
      </c>
      <c r="D106" s="27">
        <f>IF(A106="","",IFERROR(AVERAGEIFS(Prensa!$B$2:$B$5001,Prensa!$E$2:$E$5001,N106,Prensa!$F$2:$F$5001,1,Prensa!$G$2:$G$5001,1),""))</f>
        <v>0</v>
      </c>
      <c r="E106" s="27">
        <f>IF(A106="","",IFERROR(AVERAGEIFS(Prensa!$B$2:$B$5001,Prensa!$E$2:$E$5001,N106,Prensa!$F$2:$F$5001,2,Prensa!$G$2:$G$5001,1),""))</f>
        <v>0</v>
      </c>
      <c r="F106" s="27">
        <f>IF(A106="","",IFERROR(AVERAGEIFS(Prensa!$B$2:$B$5001,Prensa!$E$2:$E$5001,N106,Prensa!$F$2:$F$5001,3,Prensa!$G$2:$G$5001,1),""))</f>
        <v>0</v>
      </c>
      <c r="G106" s="27">
        <f>IF(A106="","",IFERROR(AVERAGEIFS(Prensa!$B$2:$B$5001,Prensa!$E$2:$E$5001,N106,Prensa!$F$2:$F$5001,4,Prensa!$G$2:$G$5001,1),""))</f>
        <v>0</v>
      </c>
      <c r="H106" s="26">
        <f>IF(A106="","",COUNT(D106:G106))</f>
        <v>0</v>
      </c>
      <c r="I106" s="27">
        <f>IF(A106="","",IF(H106=0,"",AVERAGE(D106:G106)))</f>
        <v>0</v>
      </c>
      <c r="J106" s="27">
        <f>IF(OR(I106="",C106=""),"",I106-C106)</f>
        <v>0</v>
      </c>
      <c r="K106" s="26">
        <f>IF(A106="","",IF(MES!E106&lt;&gt;4,"Horário do MES fora do padrão",IF(H106&lt;cfgMinCortes,"Cortes insuficientes","Válida")))</f>
        <v>0</v>
      </c>
      <c r="L106" s="27">
        <f>IF(K106="Válida",ABS(J106),"")</f>
        <v>0</v>
      </c>
      <c r="M106" s="26">
        <f>IF(K106="Válida",IF(L106&lt;=cfgTolerancia,"Sim","Não"),"")</f>
        <v>0</v>
      </c>
      <c r="N106" s="26">
        <f>IF(A106="","",MES!D106)</f>
        <v>0</v>
      </c>
      <c r="O106" s="25">
        <f>IF(K106="Válida",A106,NA())</f>
        <v>0</v>
      </c>
      <c r="P106" s="27">
        <f>IF(K106="Válida",C106,NA())</f>
        <v>0</v>
      </c>
      <c r="Q106" s="27">
        <f>IF(K106="Válida",I106,NA())</f>
        <v>0</v>
      </c>
      <c r="R106" s="27">
        <f>IF(K106="Válida",J106,NA())</f>
        <v>0</v>
      </c>
      <c r="S106" s="27">
        <f>IF(K106="Válida",C106,"")</f>
        <v>0</v>
      </c>
      <c r="T106" s="27">
        <f>IF(K106="Válida",I106,"")</f>
        <v>0</v>
      </c>
      <c r="U106" s="27">
        <f>IF(K106="Válida",J106,"")</f>
        <v>0</v>
      </c>
    </row>
    <row r="107" spans="1:21">
      <c r="A107" s="25">
        <f>IF(MES!A107="","",MES!C107/48)</f>
        <v>0</v>
      </c>
      <c r="B107" s="26">
        <f>IF(A107="","",TEXT((N107*4+cfgDeslocamento)/48,"hh:mm")&amp;" a "&amp;TEXT(A107,"hh:mm"))</f>
        <v>0</v>
      </c>
      <c r="C107" s="27">
        <f>IF(A107="","",MES!B107)</f>
        <v>0</v>
      </c>
      <c r="D107" s="27">
        <f>IF(A107="","",IFERROR(AVERAGEIFS(Prensa!$B$2:$B$5001,Prensa!$E$2:$E$5001,N107,Prensa!$F$2:$F$5001,1,Prensa!$G$2:$G$5001,1),""))</f>
        <v>0</v>
      </c>
      <c r="E107" s="27">
        <f>IF(A107="","",IFERROR(AVERAGEIFS(Prensa!$B$2:$B$5001,Prensa!$E$2:$E$5001,N107,Prensa!$F$2:$F$5001,2,Prensa!$G$2:$G$5001,1),""))</f>
        <v>0</v>
      </c>
      <c r="F107" s="27">
        <f>IF(A107="","",IFERROR(AVERAGEIFS(Prensa!$B$2:$B$5001,Prensa!$E$2:$E$5001,N107,Prensa!$F$2:$F$5001,3,Prensa!$G$2:$G$5001,1),""))</f>
        <v>0</v>
      </c>
      <c r="G107" s="27">
        <f>IF(A107="","",IFERROR(AVERAGEIFS(Prensa!$B$2:$B$5001,Prensa!$E$2:$E$5001,N107,Prensa!$F$2:$F$5001,4,Prensa!$G$2:$G$5001,1),""))</f>
        <v>0</v>
      </c>
      <c r="H107" s="26">
        <f>IF(A107="","",COUNT(D107:G107))</f>
        <v>0</v>
      </c>
      <c r="I107" s="27">
        <f>IF(A107="","",IF(H107=0,"",AVERAGE(D107:G107)))</f>
        <v>0</v>
      </c>
      <c r="J107" s="27">
        <f>IF(OR(I107="",C107=""),"",I107-C107)</f>
        <v>0</v>
      </c>
      <c r="K107" s="26">
        <f>IF(A107="","",IF(MES!E107&lt;&gt;4,"Horário do MES fora do padrão",IF(H107&lt;cfgMinCortes,"Cortes insuficientes","Válida")))</f>
        <v>0</v>
      </c>
      <c r="L107" s="27">
        <f>IF(K107="Válida",ABS(J107),"")</f>
        <v>0</v>
      </c>
      <c r="M107" s="26">
        <f>IF(K107="Válida",IF(L107&lt;=cfgTolerancia,"Sim","Não"),"")</f>
        <v>0</v>
      </c>
      <c r="N107" s="26">
        <f>IF(A107="","",MES!D107)</f>
        <v>0</v>
      </c>
      <c r="O107" s="25">
        <f>IF(K107="Válida",A107,NA())</f>
        <v>0</v>
      </c>
      <c r="P107" s="27">
        <f>IF(K107="Válida",C107,NA())</f>
        <v>0</v>
      </c>
      <c r="Q107" s="27">
        <f>IF(K107="Válida",I107,NA())</f>
        <v>0</v>
      </c>
      <c r="R107" s="27">
        <f>IF(K107="Válida",J107,NA())</f>
        <v>0</v>
      </c>
      <c r="S107" s="27">
        <f>IF(K107="Válida",C107,"")</f>
        <v>0</v>
      </c>
      <c r="T107" s="27">
        <f>IF(K107="Válida",I107,"")</f>
        <v>0</v>
      </c>
      <c r="U107" s="27">
        <f>IF(K107="Válida",J107,"")</f>
        <v>0</v>
      </c>
    </row>
    <row r="108" spans="1:21">
      <c r="A108" s="25">
        <f>IF(MES!A108="","",MES!C108/48)</f>
        <v>0</v>
      </c>
      <c r="B108" s="26">
        <f>IF(A108="","",TEXT((N108*4+cfgDeslocamento)/48,"hh:mm")&amp;" a "&amp;TEXT(A108,"hh:mm"))</f>
        <v>0</v>
      </c>
      <c r="C108" s="27">
        <f>IF(A108="","",MES!B108)</f>
        <v>0</v>
      </c>
      <c r="D108" s="27">
        <f>IF(A108="","",IFERROR(AVERAGEIFS(Prensa!$B$2:$B$5001,Prensa!$E$2:$E$5001,N108,Prensa!$F$2:$F$5001,1,Prensa!$G$2:$G$5001,1),""))</f>
        <v>0</v>
      </c>
      <c r="E108" s="27">
        <f>IF(A108="","",IFERROR(AVERAGEIFS(Prensa!$B$2:$B$5001,Prensa!$E$2:$E$5001,N108,Prensa!$F$2:$F$5001,2,Prensa!$G$2:$G$5001,1),""))</f>
        <v>0</v>
      </c>
      <c r="F108" s="27">
        <f>IF(A108="","",IFERROR(AVERAGEIFS(Prensa!$B$2:$B$5001,Prensa!$E$2:$E$5001,N108,Prensa!$F$2:$F$5001,3,Prensa!$G$2:$G$5001,1),""))</f>
        <v>0</v>
      </c>
      <c r="G108" s="27">
        <f>IF(A108="","",IFERROR(AVERAGEIFS(Prensa!$B$2:$B$5001,Prensa!$E$2:$E$5001,N108,Prensa!$F$2:$F$5001,4,Prensa!$G$2:$G$5001,1),""))</f>
        <v>0</v>
      </c>
      <c r="H108" s="26">
        <f>IF(A108="","",COUNT(D108:G108))</f>
        <v>0</v>
      </c>
      <c r="I108" s="27">
        <f>IF(A108="","",IF(H108=0,"",AVERAGE(D108:G108)))</f>
        <v>0</v>
      </c>
      <c r="J108" s="27">
        <f>IF(OR(I108="",C108=""),"",I108-C108)</f>
        <v>0</v>
      </c>
      <c r="K108" s="26">
        <f>IF(A108="","",IF(MES!E108&lt;&gt;4,"Horário do MES fora do padrão",IF(H108&lt;cfgMinCortes,"Cortes insuficientes","Válida")))</f>
        <v>0</v>
      </c>
      <c r="L108" s="27">
        <f>IF(K108="Válida",ABS(J108),"")</f>
        <v>0</v>
      </c>
      <c r="M108" s="26">
        <f>IF(K108="Válida",IF(L108&lt;=cfgTolerancia,"Sim","Não"),"")</f>
        <v>0</v>
      </c>
      <c r="N108" s="26">
        <f>IF(A108="","",MES!D108)</f>
        <v>0</v>
      </c>
      <c r="O108" s="25">
        <f>IF(K108="Válida",A108,NA())</f>
        <v>0</v>
      </c>
      <c r="P108" s="27">
        <f>IF(K108="Válida",C108,NA())</f>
        <v>0</v>
      </c>
      <c r="Q108" s="27">
        <f>IF(K108="Válida",I108,NA())</f>
        <v>0</v>
      </c>
      <c r="R108" s="27">
        <f>IF(K108="Válida",J108,NA())</f>
        <v>0</v>
      </c>
      <c r="S108" s="27">
        <f>IF(K108="Válida",C108,"")</f>
        <v>0</v>
      </c>
      <c r="T108" s="27">
        <f>IF(K108="Válida",I108,"")</f>
        <v>0</v>
      </c>
      <c r="U108" s="27">
        <f>IF(K108="Válida",J108,"")</f>
        <v>0</v>
      </c>
    </row>
    <row r="109" spans="1:21">
      <c r="A109" s="25">
        <f>IF(MES!A109="","",MES!C109/48)</f>
        <v>0</v>
      </c>
      <c r="B109" s="26">
        <f>IF(A109="","",TEXT((N109*4+cfgDeslocamento)/48,"hh:mm")&amp;" a "&amp;TEXT(A109,"hh:mm"))</f>
        <v>0</v>
      </c>
      <c r="C109" s="27">
        <f>IF(A109="","",MES!B109)</f>
        <v>0</v>
      </c>
      <c r="D109" s="27">
        <f>IF(A109="","",IFERROR(AVERAGEIFS(Prensa!$B$2:$B$5001,Prensa!$E$2:$E$5001,N109,Prensa!$F$2:$F$5001,1,Prensa!$G$2:$G$5001,1),""))</f>
        <v>0</v>
      </c>
      <c r="E109" s="27">
        <f>IF(A109="","",IFERROR(AVERAGEIFS(Prensa!$B$2:$B$5001,Prensa!$E$2:$E$5001,N109,Prensa!$F$2:$F$5001,2,Prensa!$G$2:$G$5001,1),""))</f>
        <v>0</v>
      </c>
      <c r="F109" s="27">
        <f>IF(A109="","",IFERROR(AVERAGEIFS(Prensa!$B$2:$B$5001,Prensa!$E$2:$E$5001,N109,Prensa!$F$2:$F$5001,3,Prensa!$G$2:$G$5001,1),""))</f>
        <v>0</v>
      </c>
      <c r="G109" s="27">
        <f>IF(A109="","",IFERROR(AVERAGEIFS(Prensa!$B$2:$B$5001,Prensa!$E$2:$E$5001,N109,Prensa!$F$2:$F$5001,4,Prensa!$G$2:$G$5001,1),""))</f>
        <v>0</v>
      </c>
      <c r="H109" s="26">
        <f>IF(A109="","",COUNT(D109:G109))</f>
        <v>0</v>
      </c>
      <c r="I109" s="27">
        <f>IF(A109="","",IF(H109=0,"",AVERAGE(D109:G109)))</f>
        <v>0</v>
      </c>
      <c r="J109" s="27">
        <f>IF(OR(I109="",C109=""),"",I109-C109)</f>
        <v>0</v>
      </c>
      <c r="K109" s="26">
        <f>IF(A109="","",IF(MES!E109&lt;&gt;4,"Horário do MES fora do padrão",IF(H109&lt;cfgMinCortes,"Cortes insuficientes","Válida")))</f>
        <v>0</v>
      </c>
      <c r="L109" s="27">
        <f>IF(K109="Válida",ABS(J109),"")</f>
        <v>0</v>
      </c>
      <c r="M109" s="26">
        <f>IF(K109="Válida",IF(L109&lt;=cfgTolerancia,"Sim","Não"),"")</f>
        <v>0</v>
      </c>
      <c r="N109" s="26">
        <f>IF(A109="","",MES!D109)</f>
        <v>0</v>
      </c>
      <c r="O109" s="25">
        <f>IF(K109="Válida",A109,NA())</f>
        <v>0</v>
      </c>
      <c r="P109" s="27">
        <f>IF(K109="Válida",C109,NA())</f>
        <v>0</v>
      </c>
      <c r="Q109" s="27">
        <f>IF(K109="Válida",I109,NA())</f>
        <v>0</v>
      </c>
      <c r="R109" s="27">
        <f>IF(K109="Válida",J109,NA())</f>
        <v>0</v>
      </c>
      <c r="S109" s="27">
        <f>IF(K109="Válida",C109,"")</f>
        <v>0</v>
      </c>
      <c r="T109" s="27">
        <f>IF(K109="Válida",I109,"")</f>
        <v>0</v>
      </c>
      <c r="U109" s="27">
        <f>IF(K109="Válida",J109,"")</f>
        <v>0</v>
      </c>
    </row>
    <row r="110" spans="1:21">
      <c r="A110" s="25">
        <f>IF(MES!A110="","",MES!C110/48)</f>
        <v>0</v>
      </c>
      <c r="B110" s="26">
        <f>IF(A110="","",TEXT((N110*4+cfgDeslocamento)/48,"hh:mm")&amp;" a "&amp;TEXT(A110,"hh:mm"))</f>
        <v>0</v>
      </c>
      <c r="C110" s="27">
        <f>IF(A110="","",MES!B110)</f>
        <v>0</v>
      </c>
      <c r="D110" s="27">
        <f>IF(A110="","",IFERROR(AVERAGEIFS(Prensa!$B$2:$B$5001,Prensa!$E$2:$E$5001,N110,Prensa!$F$2:$F$5001,1,Prensa!$G$2:$G$5001,1),""))</f>
        <v>0</v>
      </c>
      <c r="E110" s="27">
        <f>IF(A110="","",IFERROR(AVERAGEIFS(Prensa!$B$2:$B$5001,Prensa!$E$2:$E$5001,N110,Prensa!$F$2:$F$5001,2,Prensa!$G$2:$G$5001,1),""))</f>
        <v>0</v>
      </c>
      <c r="F110" s="27">
        <f>IF(A110="","",IFERROR(AVERAGEIFS(Prensa!$B$2:$B$5001,Prensa!$E$2:$E$5001,N110,Prensa!$F$2:$F$5001,3,Prensa!$G$2:$G$5001,1),""))</f>
        <v>0</v>
      </c>
      <c r="G110" s="27">
        <f>IF(A110="","",IFERROR(AVERAGEIFS(Prensa!$B$2:$B$5001,Prensa!$E$2:$E$5001,N110,Prensa!$F$2:$F$5001,4,Prensa!$G$2:$G$5001,1),""))</f>
        <v>0</v>
      </c>
      <c r="H110" s="26">
        <f>IF(A110="","",COUNT(D110:G110))</f>
        <v>0</v>
      </c>
      <c r="I110" s="27">
        <f>IF(A110="","",IF(H110=0,"",AVERAGE(D110:G110)))</f>
        <v>0</v>
      </c>
      <c r="J110" s="27">
        <f>IF(OR(I110="",C110=""),"",I110-C110)</f>
        <v>0</v>
      </c>
      <c r="K110" s="26">
        <f>IF(A110="","",IF(MES!E110&lt;&gt;4,"Horário do MES fora do padrão",IF(H110&lt;cfgMinCortes,"Cortes insuficientes","Válida")))</f>
        <v>0</v>
      </c>
      <c r="L110" s="27">
        <f>IF(K110="Válida",ABS(J110),"")</f>
        <v>0</v>
      </c>
      <c r="M110" s="26">
        <f>IF(K110="Válida",IF(L110&lt;=cfgTolerancia,"Sim","Não"),"")</f>
        <v>0</v>
      </c>
      <c r="N110" s="26">
        <f>IF(A110="","",MES!D110)</f>
        <v>0</v>
      </c>
      <c r="O110" s="25">
        <f>IF(K110="Válida",A110,NA())</f>
        <v>0</v>
      </c>
      <c r="P110" s="27">
        <f>IF(K110="Válida",C110,NA())</f>
        <v>0</v>
      </c>
      <c r="Q110" s="27">
        <f>IF(K110="Válida",I110,NA())</f>
        <v>0</v>
      </c>
      <c r="R110" s="27">
        <f>IF(K110="Válida",J110,NA())</f>
        <v>0</v>
      </c>
      <c r="S110" s="27">
        <f>IF(K110="Válida",C110,"")</f>
        <v>0</v>
      </c>
      <c r="T110" s="27">
        <f>IF(K110="Válida",I110,"")</f>
        <v>0</v>
      </c>
      <c r="U110" s="27">
        <f>IF(K110="Válida",J110,"")</f>
        <v>0</v>
      </c>
    </row>
    <row r="111" spans="1:21">
      <c r="A111" s="25">
        <f>IF(MES!A111="","",MES!C111/48)</f>
        <v>0</v>
      </c>
      <c r="B111" s="26">
        <f>IF(A111="","",TEXT((N111*4+cfgDeslocamento)/48,"hh:mm")&amp;" a "&amp;TEXT(A111,"hh:mm"))</f>
        <v>0</v>
      </c>
      <c r="C111" s="27">
        <f>IF(A111="","",MES!B111)</f>
        <v>0</v>
      </c>
      <c r="D111" s="27">
        <f>IF(A111="","",IFERROR(AVERAGEIFS(Prensa!$B$2:$B$5001,Prensa!$E$2:$E$5001,N111,Prensa!$F$2:$F$5001,1,Prensa!$G$2:$G$5001,1),""))</f>
        <v>0</v>
      </c>
      <c r="E111" s="27">
        <f>IF(A111="","",IFERROR(AVERAGEIFS(Prensa!$B$2:$B$5001,Prensa!$E$2:$E$5001,N111,Prensa!$F$2:$F$5001,2,Prensa!$G$2:$G$5001,1),""))</f>
        <v>0</v>
      </c>
      <c r="F111" s="27">
        <f>IF(A111="","",IFERROR(AVERAGEIFS(Prensa!$B$2:$B$5001,Prensa!$E$2:$E$5001,N111,Prensa!$F$2:$F$5001,3,Prensa!$G$2:$G$5001,1),""))</f>
        <v>0</v>
      </c>
      <c r="G111" s="27">
        <f>IF(A111="","",IFERROR(AVERAGEIFS(Prensa!$B$2:$B$5001,Prensa!$E$2:$E$5001,N111,Prensa!$F$2:$F$5001,4,Prensa!$G$2:$G$5001,1),""))</f>
        <v>0</v>
      </c>
      <c r="H111" s="26">
        <f>IF(A111="","",COUNT(D111:G111))</f>
        <v>0</v>
      </c>
      <c r="I111" s="27">
        <f>IF(A111="","",IF(H111=0,"",AVERAGE(D111:G111)))</f>
        <v>0</v>
      </c>
      <c r="J111" s="27">
        <f>IF(OR(I111="",C111=""),"",I111-C111)</f>
        <v>0</v>
      </c>
      <c r="K111" s="26">
        <f>IF(A111="","",IF(MES!E111&lt;&gt;4,"Horário do MES fora do padrão",IF(H111&lt;cfgMinCortes,"Cortes insuficientes","Válida")))</f>
        <v>0</v>
      </c>
      <c r="L111" s="27">
        <f>IF(K111="Válida",ABS(J111),"")</f>
        <v>0</v>
      </c>
      <c r="M111" s="26">
        <f>IF(K111="Válida",IF(L111&lt;=cfgTolerancia,"Sim","Não"),"")</f>
        <v>0</v>
      </c>
      <c r="N111" s="26">
        <f>IF(A111="","",MES!D111)</f>
        <v>0</v>
      </c>
      <c r="O111" s="25">
        <f>IF(K111="Válida",A111,NA())</f>
        <v>0</v>
      </c>
      <c r="P111" s="27">
        <f>IF(K111="Válida",C111,NA())</f>
        <v>0</v>
      </c>
      <c r="Q111" s="27">
        <f>IF(K111="Válida",I111,NA())</f>
        <v>0</v>
      </c>
      <c r="R111" s="27">
        <f>IF(K111="Válida",J111,NA())</f>
        <v>0</v>
      </c>
      <c r="S111" s="27">
        <f>IF(K111="Válida",C111,"")</f>
        <v>0</v>
      </c>
      <c r="T111" s="27">
        <f>IF(K111="Válida",I111,"")</f>
        <v>0</v>
      </c>
      <c r="U111" s="27">
        <f>IF(K111="Válida",J111,"")</f>
        <v>0</v>
      </c>
    </row>
    <row r="112" spans="1:21">
      <c r="A112" s="25">
        <f>IF(MES!A112="","",MES!C112/48)</f>
        <v>0</v>
      </c>
      <c r="B112" s="26">
        <f>IF(A112="","",TEXT((N112*4+cfgDeslocamento)/48,"hh:mm")&amp;" a "&amp;TEXT(A112,"hh:mm"))</f>
        <v>0</v>
      </c>
      <c r="C112" s="27">
        <f>IF(A112="","",MES!B112)</f>
        <v>0</v>
      </c>
      <c r="D112" s="27">
        <f>IF(A112="","",IFERROR(AVERAGEIFS(Prensa!$B$2:$B$5001,Prensa!$E$2:$E$5001,N112,Prensa!$F$2:$F$5001,1,Prensa!$G$2:$G$5001,1),""))</f>
        <v>0</v>
      </c>
      <c r="E112" s="27">
        <f>IF(A112="","",IFERROR(AVERAGEIFS(Prensa!$B$2:$B$5001,Prensa!$E$2:$E$5001,N112,Prensa!$F$2:$F$5001,2,Prensa!$G$2:$G$5001,1),""))</f>
        <v>0</v>
      </c>
      <c r="F112" s="27">
        <f>IF(A112="","",IFERROR(AVERAGEIFS(Prensa!$B$2:$B$5001,Prensa!$E$2:$E$5001,N112,Prensa!$F$2:$F$5001,3,Prensa!$G$2:$G$5001,1),""))</f>
        <v>0</v>
      </c>
      <c r="G112" s="27">
        <f>IF(A112="","",IFERROR(AVERAGEIFS(Prensa!$B$2:$B$5001,Prensa!$E$2:$E$5001,N112,Prensa!$F$2:$F$5001,4,Prensa!$G$2:$G$5001,1),""))</f>
        <v>0</v>
      </c>
      <c r="H112" s="26">
        <f>IF(A112="","",COUNT(D112:G112))</f>
        <v>0</v>
      </c>
      <c r="I112" s="27">
        <f>IF(A112="","",IF(H112=0,"",AVERAGE(D112:G112)))</f>
        <v>0</v>
      </c>
      <c r="J112" s="27">
        <f>IF(OR(I112="",C112=""),"",I112-C112)</f>
        <v>0</v>
      </c>
      <c r="K112" s="26">
        <f>IF(A112="","",IF(MES!E112&lt;&gt;4,"Horário do MES fora do padrão",IF(H112&lt;cfgMinCortes,"Cortes insuficientes","Válida")))</f>
        <v>0</v>
      </c>
      <c r="L112" s="27">
        <f>IF(K112="Válida",ABS(J112),"")</f>
        <v>0</v>
      </c>
      <c r="M112" s="26">
        <f>IF(K112="Válida",IF(L112&lt;=cfgTolerancia,"Sim","Não"),"")</f>
        <v>0</v>
      </c>
      <c r="N112" s="26">
        <f>IF(A112="","",MES!D112)</f>
        <v>0</v>
      </c>
      <c r="O112" s="25">
        <f>IF(K112="Válida",A112,NA())</f>
        <v>0</v>
      </c>
      <c r="P112" s="27">
        <f>IF(K112="Válida",C112,NA())</f>
        <v>0</v>
      </c>
      <c r="Q112" s="27">
        <f>IF(K112="Válida",I112,NA())</f>
        <v>0</v>
      </c>
      <c r="R112" s="27">
        <f>IF(K112="Válida",J112,NA())</f>
        <v>0</v>
      </c>
      <c r="S112" s="27">
        <f>IF(K112="Válida",C112,"")</f>
        <v>0</v>
      </c>
      <c r="T112" s="27">
        <f>IF(K112="Válida",I112,"")</f>
        <v>0</v>
      </c>
      <c r="U112" s="27">
        <f>IF(K112="Válida",J112,"")</f>
        <v>0</v>
      </c>
    </row>
    <row r="113" spans="1:21">
      <c r="A113" s="25">
        <f>IF(MES!A113="","",MES!C113/48)</f>
        <v>0</v>
      </c>
      <c r="B113" s="26">
        <f>IF(A113="","",TEXT((N113*4+cfgDeslocamento)/48,"hh:mm")&amp;" a "&amp;TEXT(A113,"hh:mm"))</f>
        <v>0</v>
      </c>
      <c r="C113" s="27">
        <f>IF(A113="","",MES!B113)</f>
        <v>0</v>
      </c>
      <c r="D113" s="27">
        <f>IF(A113="","",IFERROR(AVERAGEIFS(Prensa!$B$2:$B$5001,Prensa!$E$2:$E$5001,N113,Prensa!$F$2:$F$5001,1,Prensa!$G$2:$G$5001,1),""))</f>
        <v>0</v>
      </c>
      <c r="E113" s="27">
        <f>IF(A113="","",IFERROR(AVERAGEIFS(Prensa!$B$2:$B$5001,Prensa!$E$2:$E$5001,N113,Prensa!$F$2:$F$5001,2,Prensa!$G$2:$G$5001,1),""))</f>
        <v>0</v>
      </c>
      <c r="F113" s="27">
        <f>IF(A113="","",IFERROR(AVERAGEIFS(Prensa!$B$2:$B$5001,Prensa!$E$2:$E$5001,N113,Prensa!$F$2:$F$5001,3,Prensa!$G$2:$G$5001,1),""))</f>
        <v>0</v>
      </c>
      <c r="G113" s="27">
        <f>IF(A113="","",IFERROR(AVERAGEIFS(Prensa!$B$2:$B$5001,Prensa!$E$2:$E$5001,N113,Prensa!$F$2:$F$5001,4,Prensa!$G$2:$G$5001,1),""))</f>
        <v>0</v>
      </c>
      <c r="H113" s="26">
        <f>IF(A113="","",COUNT(D113:G113))</f>
        <v>0</v>
      </c>
      <c r="I113" s="27">
        <f>IF(A113="","",IF(H113=0,"",AVERAGE(D113:G113)))</f>
        <v>0</v>
      </c>
      <c r="J113" s="27">
        <f>IF(OR(I113="",C113=""),"",I113-C113)</f>
        <v>0</v>
      </c>
      <c r="K113" s="26">
        <f>IF(A113="","",IF(MES!E113&lt;&gt;4,"Horário do MES fora do padrão",IF(H113&lt;cfgMinCortes,"Cortes insuficientes","Válida")))</f>
        <v>0</v>
      </c>
      <c r="L113" s="27">
        <f>IF(K113="Válida",ABS(J113),"")</f>
        <v>0</v>
      </c>
      <c r="M113" s="26">
        <f>IF(K113="Válida",IF(L113&lt;=cfgTolerancia,"Sim","Não"),"")</f>
        <v>0</v>
      </c>
      <c r="N113" s="26">
        <f>IF(A113="","",MES!D113)</f>
        <v>0</v>
      </c>
      <c r="O113" s="25">
        <f>IF(K113="Válida",A113,NA())</f>
        <v>0</v>
      </c>
      <c r="P113" s="27">
        <f>IF(K113="Válida",C113,NA())</f>
        <v>0</v>
      </c>
      <c r="Q113" s="27">
        <f>IF(K113="Válida",I113,NA())</f>
        <v>0</v>
      </c>
      <c r="R113" s="27">
        <f>IF(K113="Válida",J113,NA())</f>
        <v>0</v>
      </c>
      <c r="S113" s="27">
        <f>IF(K113="Válida",C113,"")</f>
        <v>0</v>
      </c>
      <c r="T113" s="27">
        <f>IF(K113="Válida",I113,"")</f>
        <v>0</v>
      </c>
      <c r="U113" s="27">
        <f>IF(K113="Válida",J113,"")</f>
        <v>0</v>
      </c>
    </row>
    <row r="114" spans="1:21">
      <c r="A114" s="25">
        <f>IF(MES!A114="","",MES!C114/48)</f>
        <v>0</v>
      </c>
      <c r="B114" s="26">
        <f>IF(A114="","",TEXT((N114*4+cfgDeslocamento)/48,"hh:mm")&amp;" a "&amp;TEXT(A114,"hh:mm"))</f>
        <v>0</v>
      </c>
      <c r="C114" s="27">
        <f>IF(A114="","",MES!B114)</f>
        <v>0</v>
      </c>
      <c r="D114" s="27">
        <f>IF(A114="","",IFERROR(AVERAGEIFS(Prensa!$B$2:$B$5001,Prensa!$E$2:$E$5001,N114,Prensa!$F$2:$F$5001,1,Prensa!$G$2:$G$5001,1),""))</f>
        <v>0</v>
      </c>
      <c r="E114" s="27">
        <f>IF(A114="","",IFERROR(AVERAGEIFS(Prensa!$B$2:$B$5001,Prensa!$E$2:$E$5001,N114,Prensa!$F$2:$F$5001,2,Prensa!$G$2:$G$5001,1),""))</f>
        <v>0</v>
      </c>
      <c r="F114" s="27">
        <f>IF(A114="","",IFERROR(AVERAGEIFS(Prensa!$B$2:$B$5001,Prensa!$E$2:$E$5001,N114,Prensa!$F$2:$F$5001,3,Prensa!$G$2:$G$5001,1),""))</f>
        <v>0</v>
      </c>
      <c r="G114" s="27">
        <f>IF(A114="","",IFERROR(AVERAGEIFS(Prensa!$B$2:$B$5001,Prensa!$E$2:$E$5001,N114,Prensa!$F$2:$F$5001,4,Prensa!$G$2:$G$5001,1),""))</f>
        <v>0</v>
      </c>
      <c r="H114" s="26">
        <f>IF(A114="","",COUNT(D114:G114))</f>
        <v>0</v>
      </c>
      <c r="I114" s="27">
        <f>IF(A114="","",IF(H114=0,"",AVERAGE(D114:G114)))</f>
        <v>0</v>
      </c>
      <c r="J114" s="27">
        <f>IF(OR(I114="",C114=""),"",I114-C114)</f>
        <v>0</v>
      </c>
      <c r="K114" s="26">
        <f>IF(A114="","",IF(MES!E114&lt;&gt;4,"Horário do MES fora do padrão",IF(H114&lt;cfgMinCortes,"Cortes insuficientes","Válida")))</f>
        <v>0</v>
      </c>
      <c r="L114" s="27">
        <f>IF(K114="Válida",ABS(J114),"")</f>
        <v>0</v>
      </c>
      <c r="M114" s="26">
        <f>IF(K114="Válida",IF(L114&lt;=cfgTolerancia,"Sim","Não"),"")</f>
        <v>0</v>
      </c>
      <c r="N114" s="26">
        <f>IF(A114="","",MES!D114)</f>
        <v>0</v>
      </c>
      <c r="O114" s="25">
        <f>IF(K114="Válida",A114,NA())</f>
        <v>0</v>
      </c>
      <c r="P114" s="27">
        <f>IF(K114="Válida",C114,NA())</f>
        <v>0</v>
      </c>
      <c r="Q114" s="27">
        <f>IF(K114="Válida",I114,NA())</f>
        <v>0</v>
      </c>
      <c r="R114" s="27">
        <f>IF(K114="Válida",J114,NA())</f>
        <v>0</v>
      </c>
      <c r="S114" s="27">
        <f>IF(K114="Válida",C114,"")</f>
        <v>0</v>
      </c>
      <c r="T114" s="27">
        <f>IF(K114="Válida",I114,"")</f>
        <v>0</v>
      </c>
      <c r="U114" s="27">
        <f>IF(K114="Válida",J114,"")</f>
        <v>0</v>
      </c>
    </row>
    <row r="115" spans="1:21">
      <c r="A115" s="25">
        <f>IF(MES!A115="","",MES!C115/48)</f>
        <v>0</v>
      </c>
      <c r="B115" s="26">
        <f>IF(A115="","",TEXT((N115*4+cfgDeslocamento)/48,"hh:mm")&amp;" a "&amp;TEXT(A115,"hh:mm"))</f>
        <v>0</v>
      </c>
      <c r="C115" s="27">
        <f>IF(A115="","",MES!B115)</f>
        <v>0</v>
      </c>
      <c r="D115" s="27">
        <f>IF(A115="","",IFERROR(AVERAGEIFS(Prensa!$B$2:$B$5001,Prensa!$E$2:$E$5001,N115,Prensa!$F$2:$F$5001,1,Prensa!$G$2:$G$5001,1),""))</f>
        <v>0</v>
      </c>
      <c r="E115" s="27">
        <f>IF(A115="","",IFERROR(AVERAGEIFS(Prensa!$B$2:$B$5001,Prensa!$E$2:$E$5001,N115,Prensa!$F$2:$F$5001,2,Prensa!$G$2:$G$5001,1),""))</f>
        <v>0</v>
      </c>
      <c r="F115" s="27">
        <f>IF(A115="","",IFERROR(AVERAGEIFS(Prensa!$B$2:$B$5001,Prensa!$E$2:$E$5001,N115,Prensa!$F$2:$F$5001,3,Prensa!$G$2:$G$5001,1),""))</f>
        <v>0</v>
      </c>
      <c r="G115" s="27">
        <f>IF(A115="","",IFERROR(AVERAGEIFS(Prensa!$B$2:$B$5001,Prensa!$E$2:$E$5001,N115,Prensa!$F$2:$F$5001,4,Prensa!$G$2:$G$5001,1),""))</f>
        <v>0</v>
      </c>
      <c r="H115" s="26">
        <f>IF(A115="","",COUNT(D115:G115))</f>
        <v>0</v>
      </c>
      <c r="I115" s="27">
        <f>IF(A115="","",IF(H115=0,"",AVERAGE(D115:G115)))</f>
        <v>0</v>
      </c>
      <c r="J115" s="27">
        <f>IF(OR(I115="",C115=""),"",I115-C115)</f>
        <v>0</v>
      </c>
      <c r="K115" s="26">
        <f>IF(A115="","",IF(MES!E115&lt;&gt;4,"Horário do MES fora do padrão",IF(H115&lt;cfgMinCortes,"Cortes insuficientes","Válida")))</f>
        <v>0</v>
      </c>
      <c r="L115" s="27">
        <f>IF(K115="Válida",ABS(J115),"")</f>
        <v>0</v>
      </c>
      <c r="M115" s="26">
        <f>IF(K115="Válida",IF(L115&lt;=cfgTolerancia,"Sim","Não"),"")</f>
        <v>0</v>
      </c>
      <c r="N115" s="26">
        <f>IF(A115="","",MES!D115)</f>
        <v>0</v>
      </c>
      <c r="O115" s="25">
        <f>IF(K115="Válida",A115,NA())</f>
        <v>0</v>
      </c>
      <c r="P115" s="27">
        <f>IF(K115="Válida",C115,NA())</f>
        <v>0</v>
      </c>
      <c r="Q115" s="27">
        <f>IF(K115="Válida",I115,NA())</f>
        <v>0</v>
      </c>
      <c r="R115" s="27">
        <f>IF(K115="Válida",J115,NA())</f>
        <v>0</v>
      </c>
      <c r="S115" s="27">
        <f>IF(K115="Válida",C115,"")</f>
        <v>0</v>
      </c>
      <c r="T115" s="27">
        <f>IF(K115="Válida",I115,"")</f>
        <v>0</v>
      </c>
      <c r="U115" s="27">
        <f>IF(K115="Válida",J115,"")</f>
        <v>0</v>
      </c>
    </row>
    <row r="116" spans="1:21">
      <c r="A116" s="25">
        <f>IF(MES!A116="","",MES!C116/48)</f>
        <v>0</v>
      </c>
      <c r="B116" s="26">
        <f>IF(A116="","",TEXT((N116*4+cfgDeslocamento)/48,"hh:mm")&amp;" a "&amp;TEXT(A116,"hh:mm"))</f>
        <v>0</v>
      </c>
      <c r="C116" s="27">
        <f>IF(A116="","",MES!B116)</f>
        <v>0</v>
      </c>
      <c r="D116" s="27">
        <f>IF(A116="","",IFERROR(AVERAGEIFS(Prensa!$B$2:$B$5001,Prensa!$E$2:$E$5001,N116,Prensa!$F$2:$F$5001,1,Prensa!$G$2:$G$5001,1),""))</f>
        <v>0</v>
      </c>
      <c r="E116" s="27">
        <f>IF(A116="","",IFERROR(AVERAGEIFS(Prensa!$B$2:$B$5001,Prensa!$E$2:$E$5001,N116,Prensa!$F$2:$F$5001,2,Prensa!$G$2:$G$5001,1),""))</f>
        <v>0</v>
      </c>
      <c r="F116" s="27">
        <f>IF(A116="","",IFERROR(AVERAGEIFS(Prensa!$B$2:$B$5001,Prensa!$E$2:$E$5001,N116,Prensa!$F$2:$F$5001,3,Prensa!$G$2:$G$5001,1),""))</f>
        <v>0</v>
      </c>
      <c r="G116" s="27">
        <f>IF(A116="","",IFERROR(AVERAGEIFS(Prensa!$B$2:$B$5001,Prensa!$E$2:$E$5001,N116,Prensa!$F$2:$F$5001,4,Prensa!$G$2:$G$5001,1),""))</f>
        <v>0</v>
      </c>
      <c r="H116" s="26">
        <f>IF(A116="","",COUNT(D116:G116))</f>
        <v>0</v>
      </c>
      <c r="I116" s="27">
        <f>IF(A116="","",IF(H116=0,"",AVERAGE(D116:G116)))</f>
        <v>0</v>
      </c>
      <c r="J116" s="27">
        <f>IF(OR(I116="",C116=""),"",I116-C116)</f>
        <v>0</v>
      </c>
      <c r="K116" s="26">
        <f>IF(A116="","",IF(MES!E116&lt;&gt;4,"Horário do MES fora do padrão",IF(H116&lt;cfgMinCortes,"Cortes insuficientes","Válida")))</f>
        <v>0</v>
      </c>
      <c r="L116" s="27">
        <f>IF(K116="Válida",ABS(J116),"")</f>
        <v>0</v>
      </c>
      <c r="M116" s="26">
        <f>IF(K116="Válida",IF(L116&lt;=cfgTolerancia,"Sim","Não"),"")</f>
        <v>0</v>
      </c>
      <c r="N116" s="26">
        <f>IF(A116="","",MES!D116)</f>
        <v>0</v>
      </c>
      <c r="O116" s="25">
        <f>IF(K116="Válida",A116,NA())</f>
        <v>0</v>
      </c>
      <c r="P116" s="27">
        <f>IF(K116="Válida",C116,NA())</f>
        <v>0</v>
      </c>
      <c r="Q116" s="27">
        <f>IF(K116="Válida",I116,NA())</f>
        <v>0</v>
      </c>
      <c r="R116" s="27">
        <f>IF(K116="Válida",J116,NA())</f>
        <v>0</v>
      </c>
      <c r="S116" s="27">
        <f>IF(K116="Válida",C116,"")</f>
        <v>0</v>
      </c>
      <c r="T116" s="27">
        <f>IF(K116="Válida",I116,"")</f>
        <v>0</v>
      </c>
      <c r="U116" s="27">
        <f>IF(K116="Válida",J116,"")</f>
        <v>0</v>
      </c>
    </row>
    <row r="117" spans="1:21">
      <c r="A117" s="25">
        <f>IF(MES!A117="","",MES!C117/48)</f>
        <v>0</v>
      </c>
      <c r="B117" s="26">
        <f>IF(A117="","",TEXT((N117*4+cfgDeslocamento)/48,"hh:mm")&amp;" a "&amp;TEXT(A117,"hh:mm"))</f>
        <v>0</v>
      </c>
      <c r="C117" s="27">
        <f>IF(A117="","",MES!B117)</f>
        <v>0</v>
      </c>
      <c r="D117" s="27">
        <f>IF(A117="","",IFERROR(AVERAGEIFS(Prensa!$B$2:$B$5001,Prensa!$E$2:$E$5001,N117,Prensa!$F$2:$F$5001,1,Prensa!$G$2:$G$5001,1),""))</f>
        <v>0</v>
      </c>
      <c r="E117" s="27">
        <f>IF(A117="","",IFERROR(AVERAGEIFS(Prensa!$B$2:$B$5001,Prensa!$E$2:$E$5001,N117,Prensa!$F$2:$F$5001,2,Prensa!$G$2:$G$5001,1),""))</f>
        <v>0</v>
      </c>
      <c r="F117" s="27">
        <f>IF(A117="","",IFERROR(AVERAGEIFS(Prensa!$B$2:$B$5001,Prensa!$E$2:$E$5001,N117,Prensa!$F$2:$F$5001,3,Prensa!$G$2:$G$5001,1),""))</f>
        <v>0</v>
      </c>
      <c r="G117" s="27">
        <f>IF(A117="","",IFERROR(AVERAGEIFS(Prensa!$B$2:$B$5001,Prensa!$E$2:$E$5001,N117,Prensa!$F$2:$F$5001,4,Prensa!$G$2:$G$5001,1),""))</f>
        <v>0</v>
      </c>
      <c r="H117" s="26">
        <f>IF(A117="","",COUNT(D117:G117))</f>
        <v>0</v>
      </c>
      <c r="I117" s="27">
        <f>IF(A117="","",IF(H117=0,"",AVERAGE(D117:G117)))</f>
        <v>0</v>
      </c>
      <c r="J117" s="27">
        <f>IF(OR(I117="",C117=""),"",I117-C117)</f>
        <v>0</v>
      </c>
      <c r="K117" s="26">
        <f>IF(A117="","",IF(MES!E117&lt;&gt;4,"Horário do MES fora do padrão",IF(H117&lt;cfgMinCortes,"Cortes insuficientes","Válida")))</f>
        <v>0</v>
      </c>
      <c r="L117" s="27">
        <f>IF(K117="Válida",ABS(J117),"")</f>
        <v>0</v>
      </c>
      <c r="M117" s="26">
        <f>IF(K117="Válida",IF(L117&lt;=cfgTolerancia,"Sim","Não"),"")</f>
        <v>0</v>
      </c>
      <c r="N117" s="26">
        <f>IF(A117="","",MES!D117)</f>
        <v>0</v>
      </c>
      <c r="O117" s="25">
        <f>IF(K117="Válida",A117,NA())</f>
        <v>0</v>
      </c>
      <c r="P117" s="27">
        <f>IF(K117="Válida",C117,NA())</f>
        <v>0</v>
      </c>
      <c r="Q117" s="27">
        <f>IF(K117="Válida",I117,NA())</f>
        <v>0</v>
      </c>
      <c r="R117" s="27">
        <f>IF(K117="Válida",J117,NA())</f>
        <v>0</v>
      </c>
      <c r="S117" s="27">
        <f>IF(K117="Válida",C117,"")</f>
        <v>0</v>
      </c>
      <c r="T117" s="27">
        <f>IF(K117="Válida",I117,"")</f>
        <v>0</v>
      </c>
      <c r="U117" s="27">
        <f>IF(K117="Válida",J117,"")</f>
        <v>0</v>
      </c>
    </row>
    <row r="118" spans="1:21">
      <c r="A118" s="25">
        <f>IF(MES!A118="","",MES!C118/48)</f>
        <v>0</v>
      </c>
      <c r="B118" s="26">
        <f>IF(A118="","",TEXT((N118*4+cfgDeslocamento)/48,"hh:mm")&amp;" a "&amp;TEXT(A118,"hh:mm"))</f>
        <v>0</v>
      </c>
      <c r="C118" s="27">
        <f>IF(A118="","",MES!B118)</f>
        <v>0</v>
      </c>
      <c r="D118" s="27">
        <f>IF(A118="","",IFERROR(AVERAGEIFS(Prensa!$B$2:$B$5001,Prensa!$E$2:$E$5001,N118,Prensa!$F$2:$F$5001,1,Prensa!$G$2:$G$5001,1),""))</f>
        <v>0</v>
      </c>
      <c r="E118" s="27">
        <f>IF(A118="","",IFERROR(AVERAGEIFS(Prensa!$B$2:$B$5001,Prensa!$E$2:$E$5001,N118,Prensa!$F$2:$F$5001,2,Prensa!$G$2:$G$5001,1),""))</f>
        <v>0</v>
      </c>
      <c r="F118" s="27">
        <f>IF(A118="","",IFERROR(AVERAGEIFS(Prensa!$B$2:$B$5001,Prensa!$E$2:$E$5001,N118,Prensa!$F$2:$F$5001,3,Prensa!$G$2:$G$5001,1),""))</f>
        <v>0</v>
      </c>
      <c r="G118" s="27">
        <f>IF(A118="","",IFERROR(AVERAGEIFS(Prensa!$B$2:$B$5001,Prensa!$E$2:$E$5001,N118,Prensa!$F$2:$F$5001,4,Prensa!$G$2:$G$5001,1),""))</f>
        <v>0</v>
      </c>
      <c r="H118" s="26">
        <f>IF(A118="","",COUNT(D118:G118))</f>
        <v>0</v>
      </c>
      <c r="I118" s="27">
        <f>IF(A118="","",IF(H118=0,"",AVERAGE(D118:G118)))</f>
        <v>0</v>
      </c>
      <c r="J118" s="27">
        <f>IF(OR(I118="",C118=""),"",I118-C118)</f>
        <v>0</v>
      </c>
      <c r="K118" s="26">
        <f>IF(A118="","",IF(MES!E118&lt;&gt;4,"Horário do MES fora do padrão",IF(H118&lt;cfgMinCortes,"Cortes insuficientes","Válida")))</f>
        <v>0</v>
      </c>
      <c r="L118" s="27">
        <f>IF(K118="Válida",ABS(J118),"")</f>
        <v>0</v>
      </c>
      <c r="M118" s="26">
        <f>IF(K118="Válida",IF(L118&lt;=cfgTolerancia,"Sim","Não"),"")</f>
        <v>0</v>
      </c>
      <c r="N118" s="26">
        <f>IF(A118="","",MES!D118)</f>
        <v>0</v>
      </c>
      <c r="O118" s="25">
        <f>IF(K118="Válida",A118,NA())</f>
        <v>0</v>
      </c>
      <c r="P118" s="27">
        <f>IF(K118="Válida",C118,NA())</f>
        <v>0</v>
      </c>
      <c r="Q118" s="27">
        <f>IF(K118="Válida",I118,NA())</f>
        <v>0</v>
      </c>
      <c r="R118" s="27">
        <f>IF(K118="Válida",J118,NA())</f>
        <v>0</v>
      </c>
      <c r="S118" s="27">
        <f>IF(K118="Válida",C118,"")</f>
        <v>0</v>
      </c>
      <c r="T118" s="27">
        <f>IF(K118="Válida",I118,"")</f>
        <v>0</v>
      </c>
      <c r="U118" s="27">
        <f>IF(K118="Válida",J118,"")</f>
        <v>0</v>
      </c>
    </row>
    <row r="119" spans="1:21">
      <c r="A119" s="25">
        <f>IF(MES!A119="","",MES!C119/48)</f>
        <v>0</v>
      </c>
      <c r="B119" s="26">
        <f>IF(A119="","",TEXT((N119*4+cfgDeslocamento)/48,"hh:mm")&amp;" a "&amp;TEXT(A119,"hh:mm"))</f>
        <v>0</v>
      </c>
      <c r="C119" s="27">
        <f>IF(A119="","",MES!B119)</f>
        <v>0</v>
      </c>
      <c r="D119" s="27">
        <f>IF(A119="","",IFERROR(AVERAGEIFS(Prensa!$B$2:$B$5001,Prensa!$E$2:$E$5001,N119,Prensa!$F$2:$F$5001,1,Prensa!$G$2:$G$5001,1),""))</f>
        <v>0</v>
      </c>
      <c r="E119" s="27">
        <f>IF(A119="","",IFERROR(AVERAGEIFS(Prensa!$B$2:$B$5001,Prensa!$E$2:$E$5001,N119,Prensa!$F$2:$F$5001,2,Prensa!$G$2:$G$5001,1),""))</f>
        <v>0</v>
      </c>
      <c r="F119" s="27">
        <f>IF(A119="","",IFERROR(AVERAGEIFS(Prensa!$B$2:$B$5001,Prensa!$E$2:$E$5001,N119,Prensa!$F$2:$F$5001,3,Prensa!$G$2:$G$5001,1),""))</f>
        <v>0</v>
      </c>
      <c r="G119" s="27">
        <f>IF(A119="","",IFERROR(AVERAGEIFS(Prensa!$B$2:$B$5001,Prensa!$E$2:$E$5001,N119,Prensa!$F$2:$F$5001,4,Prensa!$G$2:$G$5001,1),""))</f>
        <v>0</v>
      </c>
      <c r="H119" s="26">
        <f>IF(A119="","",COUNT(D119:G119))</f>
        <v>0</v>
      </c>
      <c r="I119" s="27">
        <f>IF(A119="","",IF(H119=0,"",AVERAGE(D119:G119)))</f>
        <v>0</v>
      </c>
      <c r="J119" s="27">
        <f>IF(OR(I119="",C119=""),"",I119-C119)</f>
        <v>0</v>
      </c>
      <c r="K119" s="26">
        <f>IF(A119="","",IF(MES!E119&lt;&gt;4,"Horário do MES fora do padrão",IF(H119&lt;cfgMinCortes,"Cortes insuficientes","Válida")))</f>
        <v>0</v>
      </c>
      <c r="L119" s="27">
        <f>IF(K119="Válida",ABS(J119),"")</f>
        <v>0</v>
      </c>
      <c r="M119" s="26">
        <f>IF(K119="Válida",IF(L119&lt;=cfgTolerancia,"Sim","Não"),"")</f>
        <v>0</v>
      </c>
      <c r="N119" s="26">
        <f>IF(A119="","",MES!D119)</f>
        <v>0</v>
      </c>
      <c r="O119" s="25">
        <f>IF(K119="Válida",A119,NA())</f>
        <v>0</v>
      </c>
      <c r="P119" s="27">
        <f>IF(K119="Válida",C119,NA())</f>
        <v>0</v>
      </c>
      <c r="Q119" s="27">
        <f>IF(K119="Válida",I119,NA())</f>
        <v>0</v>
      </c>
      <c r="R119" s="27">
        <f>IF(K119="Válida",J119,NA())</f>
        <v>0</v>
      </c>
      <c r="S119" s="27">
        <f>IF(K119="Válida",C119,"")</f>
        <v>0</v>
      </c>
      <c r="T119" s="27">
        <f>IF(K119="Válida",I119,"")</f>
        <v>0</v>
      </c>
      <c r="U119" s="27">
        <f>IF(K119="Válida",J119,"")</f>
        <v>0</v>
      </c>
    </row>
    <row r="120" spans="1:21">
      <c r="A120" s="25">
        <f>IF(MES!A120="","",MES!C120/48)</f>
        <v>0</v>
      </c>
      <c r="B120" s="26">
        <f>IF(A120="","",TEXT((N120*4+cfgDeslocamento)/48,"hh:mm")&amp;" a "&amp;TEXT(A120,"hh:mm"))</f>
        <v>0</v>
      </c>
      <c r="C120" s="27">
        <f>IF(A120="","",MES!B120)</f>
        <v>0</v>
      </c>
      <c r="D120" s="27">
        <f>IF(A120="","",IFERROR(AVERAGEIFS(Prensa!$B$2:$B$5001,Prensa!$E$2:$E$5001,N120,Prensa!$F$2:$F$5001,1,Prensa!$G$2:$G$5001,1),""))</f>
        <v>0</v>
      </c>
      <c r="E120" s="27">
        <f>IF(A120="","",IFERROR(AVERAGEIFS(Prensa!$B$2:$B$5001,Prensa!$E$2:$E$5001,N120,Prensa!$F$2:$F$5001,2,Prensa!$G$2:$G$5001,1),""))</f>
        <v>0</v>
      </c>
      <c r="F120" s="27">
        <f>IF(A120="","",IFERROR(AVERAGEIFS(Prensa!$B$2:$B$5001,Prensa!$E$2:$E$5001,N120,Prensa!$F$2:$F$5001,3,Prensa!$G$2:$G$5001,1),""))</f>
        <v>0</v>
      </c>
      <c r="G120" s="27">
        <f>IF(A120="","",IFERROR(AVERAGEIFS(Prensa!$B$2:$B$5001,Prensa!$E$2:$E$5001,N120,Prensa!$F$2:$F$5001,4,Prensa!$G$2:$G$5001,1),""))</f>
        <v>0</v>
      </c>
      <c r="H120" s="26">
        <f>IF(A120="","",COUNT(D120:G120))</f>
        <v>0</v>
      </c>
      <c r="I120" s="27">
        <f>IF(A120="","",IF(H120=0,"",AVERAGE(D120:G120)))</f>
        <v>0</v>
      </c>
      <c r="J120" s="27">
        <f>IF(OR(I120="",C120=""),"",I120-C120)</f>
        <v>0</v>
      </c>
      <c r="K120" s="26">
        <f>IF(A120="","",IF(MES!E120&lt;&gt;4,"Horário do MES fora do padrão",IF(H120&lt;cfgMinCortes,"Cortes insuficientes","Válida")))</f>
        <v>0</v>
      </c>
      <c r="L120" s="27">
        <f>IF(K120="Válida",ABS(J120),"")</f>
        <v>0</v>
      </c>
      <c r="M120" s="26">
        <f>IF(K120="Válida",IF(L120&lt;=cfgTolerancia,"Sim","Não"),"")</f>
        <v>0</v>
      </c>
      <c r="N120" s="26">
        <f>IF(A120="","",MES!D120)</f>
        <v>0</v>
      </c>
      <c r="O120" s="25">
        <f>IF(K120="Válida",A120,NA())</f>
        <v>0</v>
      </c>
      <c r="P120" s="27">
        <f>IF(K120="Válida",C120,NA())</f>
        <v>0</v>
      </c>
      <c r="Q120" s="27">
        <f>IF(K120="Válida",I120,NA())</f>
        <v>0</v>
      </c>
      <c r="R120" s="27">
        <f>IF(K120="Válida",J120,NA())</f>
        <v>0</v>
      </c>
      <c r="S120" s="27">
        <f>IF(K120="Válida",C120,"")</f>
        <v>0</v>
      </c>
      <c r="T120" s="27">
        <f>IF(K120="Válida",I120,"")</f>
        <v>0</v>
      </c>
      <c r="U120" s="27">
        <f>IF(K120="Válida",J120,"")</f>
        <v>0</v>
      </c>
    </row>
    <row r="121" spans="1:21">
      <c r="A121" s="25">
        <f>IF(MES!A121="","",MES!C121/48)</f>
        <v>0</v>
      </c>
      <c r="B121" s="26">
        <f>IF(A121="","",TEXT((N121*4+cfgDeslocamento)/48,"hh:mm")&amp;" a "&amp;TEXT(A121,"hh:mm"))</f>
        <v>0</v>
      </c>
      <c r="C121" s="27">
        <f>IF(A121="","",MES!B121)</f>
        <v>0</v>
      </c>
      <c r="D121" s="27">
        <f>IF(A121="","",IFERROR(AVERAGEIFS(Prensa!$B$2:$B$5001,Prensa!$E$2:$E$5001,N121,Prensa!$F$2:$F$5001,1,Prensa!$G$2:$G$5001,1),""))</f>
        <v>0</v>
      </c>
      <c r="E121" s="27">
        <f>IF(A121="","",IFERROR(AVERAGEIFS(Prensa!$B$2:$B$5001,Prensa!$E$2:$E$5001,N121,Prensa!$F$2:$F$5001,2,Prensa!$G$2:$G$5001,1),""))</f>
        <v>0</v>
      </c>
      <c r="F121" s="27">
        <f>IF(A121="","",IFERROR(AVERAGEIFS(Prensa!$B$2:$B$5001,Prensa!$E$2:$E$5001,N121,Prensa!$F$2:$F$5001,3,Prensa!$G$2:$G$5001,1),""))</f>
        <v>0</v>
      </c>
      <c r="G121" s="27">
        <f>IF(A121="","",IFERROR(AVERAGEIFS(Prensa!$B$2:$B$5001,Prensa!$E$2:$E$5001,N121,Prensa!$F$2:$F$5001,4,Prensa!$G$2:$G$5001,1),""))</f>
        <v>0</v>
      </c>
      <c r="H121" s="26">
        <f>IF(A121="","",COUNT(D121:G121))</f>
        <v>0</v>
      </c>
      <c r="I121" s="27">
        <f>IF(A121="","",IF(H121=0,"",AVERAGE(D121:G121)))</f>
        <v>0</v>
      </c>
      <c r="J121" s="27">
        <f>IF(OR(I121="",C121=""),"",I121-C121)</f>
        <v>0</v>
      </c>
      <c r="K121" s="26">
        <f>IF(A121="","",IF(MES!E121&lt;&gt;4,"Horário do MES fora do padrão",IF(H121&lt;cfgMinCortes,"Cortes insuficientes","Válida")))</f>
        <v>0</v>
      </c>
      <c r="L121" s="27">
        <f>IF(K121="Válida",ABS(J121),"")</f>
        <v>0</v>
      </c>
      <c r="M121" s="26">
        <f>IF(K121="Válida",IF(L121&lt;=cfgTolerancia,"Sim","Não"),"")</f>
        <v>0</v>
      </c>
      <c r="N121" s="26">
        <f>IF(A121="","",MES!D121)</f>
        <v>0</v>
      </c>
      <c r="O121" s="25">
        <f>IF(K121="Válida",A121,NA())</f>
        <v>0</v>
      </c>
      <c r="P121" s="27">
        <f>IF(K121="Válida",C121,NA())</f>
        <v>0</v>
      </c>
      <c r="Q121" s="27">
        <f>IF(K121="Válida",I121,NA())</f>
        <v>0</v>
      </c>
      <c r="R121" s="27">
        <f>IF(K121="Válida",J121,NA())</f>
        <v>0</v>
      </c>
      <c r="S121" s="27">
        <f>IF(K121="Válida",C121,"")</f>
        <v>0</v>
      </c>
      <c r="T121" s="27">
        <f>IF(K121="Válida",I121,"")</f>
        <v>0</v>
      </c>
      <c r="U121" s="27">
        <f>IF(K121="Válida",J121,"")</f>
        <v>0</v>
      </c>
    </row>
    <row r="122" spans="1:21">
      <c r="A122" s="25">
        <f>IF(MES!A122="","",MES!C122/48)</f>
        <v>0</v>
      </c>
      <c r="B122" s="26">
        <f>IF(A122="","",TEXT((N122*4+cfgDeslocamento)/48,"hh:mm")&amp;" a "&amp;TEXT(A122,"hh:mm"))</f>
        <v>0</v>
      </c>
      <c r="C122" s="27">
        <f>IF(A122="","",MES!B122)</f>
        <v>0</v>
      </c>
      <c r="D122" s="27">
        <f>IF(A122="","",IFERROR(AVERAGEIFS(Prensa!$B$2:$B$5001,Prensa!$E$2:$E$5001,N122,Prensa!$F$2:$F$5001,1,Prensa!$G$2:$G$5001,1),""))</f>
        <v>0</v>
      </c>
      <c r="E122" s="27">
        <f>IF(A122="","",IFERROR(AVERAGEIFS(Prensa!$B$2:$B$5001,Prensa!$E$2:$E$5001,N122,Prensa!$F$2:$F$5001,2,Prensa!$G$2:$G$5001,1),""))</f>
        <v>0</v>
      </c>
      <c r="F122" s="27">
        <f>IF(A122="","",IFERROR(AVERAGEIFS(Prensa!$B$2:$B$5001,Prensa!$E$2:$E$5001,N122,Prensa!$F$2:$F$5001,3,Prensa!$G$2:$G$5001,1),""))</f>
        <v>0</v>
      </c>
      <c r="G122" s="27">
        <f>IF(A122="","",IFERROR(AVERAGEIFS(Prensa!$B$2:$B$5001,Prensa!$E$2:$E$5001,N122,Prensa!$F$2:$F$5001,4,Prensa!$G$2:$G$5001,1),""))</f>
        <v>0</v>
      </c>
      <c r="H122" s="26">
        <f>IF(A122="","",COUNT(D122:G122))</f>
        <v>0</v>
      </c>
      <c r="I122" s="27">
        <f>IF(A122="","",IF(H122=0,"",AVERAGE(D122:G122)))</f>
        <v>0</v>
      </c>
      <c r="J122" s="27">
        <f>IF(OR(I122="",C122=""),"",I122-C122)</f>
        <v>0</v>
      </c>
      <c r="K122" s="26">
        <f>IF(A122="","",IF(MES!E122&lt;&gt;4,"Horário do MES fora do padrão",IF(H122&lt;cfgMinCortes,"Cortes insuficientes","Válida")))</f>
        <v>0</v>
      </c>
      <c r="L122" s="27">
        <f>IF(K122="Válida",ABS(J122),"")</f>
        <v>0</v>
      </c>
      <c r="M122" s="26">
        <f>IF(K122="Válida",IF(L122&lt;=cfgTolerancia,"Sim","Não"),"")</f>
        <v>0</v>
      </c>
      <c r="N122" s="26">
        <f>IF(A122="","",MES!D122)</f>
        <v>0</v>
      </c>
      <c r="O122" s="25">
        <f>IF(K122="Válida",A122,NA())</f>
        <v>0</v>
      </c>
      <c r="P122" s="27">
        <f>IF(K122="Válida",C122,NA())</f>
        <v>0</v>
      </c>
      <c r="Q122" s="27">
        <f>IF(K122="Válida",I122,NA())</f>
        <v>0</v>
      </c>
      <c r="R122" s="27">
        <f>IF(K122="Válida",J122,NA())</f>
        <v>0</v>
      </c>
      <c r="S122" s="27">
        <f>IF(K122="Válida",C122,"")</f>
        <v>0</v>
      </c>
      <c r="T122" s="27">
        <f>IF(K122="Válida",I122,"")</f>
        <v>0</v>
      </c>
      <c r="U122" s="27">
        <f>IF(K122="Válida",J122,"")</f>
        <v>0</v>
      </c>
    </row>
    <row r="123" spans="1:21">
      <c r="A123" s="25">
        <f>IF(MES!A123="","",MES!C123/48)</f>
        <v>0</v>
      </c>
      <c r="B123" s="26">
        <f>IF(A123="","",TEXT((N123*4+cfgDeslocamento)/48,"hh:mm")&amp;" a "&amp;TEXT(A123,"hh:mm"))</f>
        <v>0</v>
      </c>
      <c r="C123" s="27">
        <f>IF(A123="","",MES!B123)</f>
        <v>0</v>
      </c>
      <c r="D123" s="27">
        <f>IF(A123="","",IFERROR(AVERAGEIFS(Prensa!$B$2:$B$5001,Prensa!$E$2:$E$5001,N123,Prensa!$F$2:$F$5001,1,Prensa!$G$2:$G$5001,1),""))</f>
        <v>0</v>
      </c>
      <c r="E123" s="27">
        <f>IF(A123="","",IFERROR(AVERAGEIFS(Prensa!$B$2:$B$5001,Prensa!$E$2:$E$5001,N123,Prensa!$F$2:$F$5001,2,Prensa!$G$2:$G$5001,1),""))</f>
        <v>0</v>
      </c>
      <c r="F123" s="27">
        <f>IF(A123="","",IFERROR(AVERAGEIFS(Prensa!$B$2:$B$5001,Prensa!$E$2:$E$5001,N123,Prensa!$F$2:$F$5001,3,Prensa!$G$2:$G$5001,1),""))</f>
        <v>0</v>
      </c>
      <c r="G123" s="27">
        <f>IF(A123="","",IFERROR(AVERAGEIFS(Prensa!$B$2:$B$5001,Prensa!$E$2:$E$5001,N123,Prensa!$F$2:$F$5001,4,Prensa!$G$2:$G$5001,1),""))</f>
        <v>0</v>
      </c>
      <c r="H123" s="26">
        <f>IF(A123="","",COUNT(D123:G123))</f>
        <v>0</v>
      </c>
      <c r="I123" s="27">
        <f>IF(A123="","",IF(H123=0,"",AVERAGE(D123:G123)))</f>
        <v>0</v>
      </c>
      <c r="J123" s="27">
        <f>IF(OR(I123="",C123=""),"",I123-C123)</f>
        <v>0</v>
      </c>
      <c r="K123" s="26">
        <f>IF(A123="","",IF(MES!E123&lt;&gt;4,"Horário do MES fora do padrão",IF(H123&lt;cfgMinCortes,"Cortes insuficientes","Válida")))</f>
        <v>0</v>
      </c>
      <c r="L123" s="27">
        <f>IF(K123="Válida",ABS(J123),"")</f>
        <v>0</v>
      </c>
      <c r="M123" s="26">
        <f>IF(K123="Válida",IF(L123&lt;=cfgTolerancia,"Sim","Não"),"")</f>
        <v>0</v>
      </c>
      <c r="N123" s="26">
        <f>IF(A123="","",MES!D123)</f>
        <v>0</v>
      </c>
      <c r="O123" s="25">
        <f>IF(K123="Válida",A123,NA())</f>
        <v>0</v>
      </c>
      <c r="P123" s="27">
        <f>IF(K123="Válida",C123,NA())</f>
        <v>0</v>
      </c>
      <c r="Q123" s="27">
        <f>IF(K123="Válida",I123,NA())</f>
        <v>0</v>
      </c>
      <c r="R123" s="27">
        <f>IF(K123="Válida",J123,NA())</f>
        <v>0</v>
      </c>
      <c r="S123" s="27">
        <f>IF(K123="Válida",C123,"")</f>
        <v>0</v>
      </c>
      <c r="T123" s="27">
        <f>IF(K123="Válida",I123,"")</f>
        <v>0</v>
      </c>
      <c r="U123" s="27">
        <f>IF(K123="Válida",J123,"")</f>
        <v>0</v>
      </c>
    </row>
    <row r="124" spans="1:21">
      <c r="A124" s="25">
        <f>IF(MES!A124="","",MES!C124/48)</f>
        <v>0</v>
      </c>
      <c r="B124" s="26">
        <f>IF(A124="","",TEXT((N124*4+cfgDeslocamento)/48,"hh:mm")&amp;" a "&amp;TEXT(A124,"hh:mm"))</f>
        <v>0</v>
      </c>
      <c r="C124" s="27">
        <f>IF(A124="","",MES!B124)</f>
        <v>0</v>
      </c>
      <c r="D124" s="27">
        <f>IF(A124="","",IFERROR(AVERAGEIFS(Prensa!$B$2:$B$5001,Prensa!$E$2:$E$5001,N124,Prensa!$F$2:$F$5001,1,Prensa!$G$2:$G$5001,1),""))</f>
        <v>0</v>
      </c>
      <c r="E124" s="27">
        <f>IF(A124="","",IFERROR(AVERAGEIFS(Prensa!$B$2:$B$5001,Prensa!$E$2:$E$5001,N124,Prensa!$F$2:$F$5001,2,Prensa!$G$2:$G$5001,1),""))</f>
        <v>0</v>
      </c>
      <c r="F124" s="27">
        <f>IF(A124="","",IFERROR(AVERAGEIFS(Prensa!$B$2:$B$5001,Prensa!$E$2:$E$5001,N124,Prensa!$F$2:$F$5001,3,Prensa!$G$2:$G$5001,1),""))</f>
        <v>0</v>
      </c>
      <c r="G124" s="27">
        <f>IF(A124="","",IFERROR(AVERAGEIFS(Prensa!$B$2:$B$5001,Prensa!$E$2:$E$5001,N124,Prensa!$F$2:$F$5001,4,Prensa!$G$2:$G$5001,1),""))</f>
        <v>0</v>
      </c>
      <c r="H124" s="26">
        <f>IF(A124="","",COUNT(D124:G124))</f>
        <v>0</v>
      </c>
      <c r="I124" s="27">
        <f>IF(A124="","",IF(H124=0,"",AVERAGE(D124:G124)))</f>
        <v>0</v>
      </c>
      <c r="J124" s="27">
        <f>IF(OR(I124="",C124=""),"",I124-C124)</f>
        <v>0</v>
      </c>
      <c r="K124" s="26">
        <f>IF(A124="","",IF(MES!E124&lt;&gt;4,"Horário do MES fora do padrão",IF(H124&lt;cfgMinCortes,"Cortes insuficientes","Válida")))</f>
        <v>0</v>
      </c>
      <c r="L124" s="27">
        <f>IF(K124="Válida",ABS(J124),"")</f>
        <v>0</v>
      </c>
      <c r="M124" s="26">
        <f>IF(K124="Válida",IF(L124&lt;=cfgTolerancia,"Sim","Não"),"")</f>
        <v>0</v>
      </c>
      <c r="N124" s="26">
        <f>IF(A124="","",MES!D124)</f>
        <v>0</v>
      </c>
      <c r="O124" s="25">
        <f>IF(K124="Válida",A124,NA())</f>
        <v>0</v>
      </c>
      <c r="P124" s="27">
        <f>IF(K124="Válida",C124,NA())</f>
        <v>0</v>
      </c>
      <c r="Q124" s="27">
        <f>IF(K124="Válida",I124,NA())</f>
        <v>0</v>
      </c>
      <c r="R124" s="27">
        <f>IF(K124="Válida",J124,NA())</f>
        <v>0</v>
      </c>
      <c r="S124" s="27">
        <f>IF(K124="Válida",C124,"")</f>
        <v>0</v>
      </c>
      <c r="T124" s="27">
        <f>IF(K124="Válida",I124,"")</f>
        <v>0</v>
      </c>
      <c r="U124" s="27">
        <f>IF(K124="Válida",J124,"")</f>
        <v>0</v>
      </c>
    </row>
    <row r="125" spans="1:21">
      <c r="A125" s="25">
        <f>IF(MES!A125="","",MES!C125/48)</f>
        <v>0</v>
      </c>
      <c r="B125" s="26">
        <f>IF(A125="","",TEXT((N125*4+cfgDeslocamento)/48,"hh:mm")&amp;" a "&amp;TEXT(A125,"hh:mm"))</f>
        <v>0</v>
      </c>
      <c r="C125" s="27">
        <f>IF(A125="","",MES!B125)</f>
        <v>0</v>
      </c>
      <c r="D125" s="27">
        <f>IF(A125="","",IFERROR(AVERAGEIFS(Prensa!$B$2:$B$5001,Prensa!$E$2:$E$5001,N125,Prensa!$F$2:$F$5001,1,Prensa!$G$2:$G$5001,1),""))</f>
        <v>0</v>
      </c>
      <c r="E125" s="27">
        <f>IF(A125="","",IFERROR(AVERAGEIFS(Prensa!$B$2:$B$5001,Prensa!$E$2:$E$5001,N125,Prensa!$F$2:$F$5001,2,Prensa!$G$2:$G$5001,1),""))</f>
        <v>0</v>
      </c>
      <c r="F125" s="27">
        <f>IF(A125="","",IFERROR(AVERAGEIFS(Prensa!$B$2:$B$5001,Prensa!$E$2:$E$5001,N125,Prensa!$F$2:$F$5001,3,Prensa!$G$2:$G$5001,1),""))</f>
        <v>0</v>
      </c>
      <c r="G125" s="27">
        <f>IF(A125="","",IFERROR(AVERAGEIFS(Prensa!$B$2:$B$5001,Prensa!$E$2:$E$5001,N125,Prensa!$F$2:$F$5001,4,Prensa!$G$2:$G$5001,1),""))</f>
        <v>0</v>
      </c>
      <c r="H125" s="26">
        <f>IF(A125="","",COUNT(D125:G125))</f>
        <v>0</v>
      </c>
      <c r="I125" s="27">
        <f>IF(A125="","",IF(H125=0,"",AVERAGE(D125:G125)))</f>
        <v>0</v>
      </c>
      <c r="J125" s="27">
        <f>IF(OR(I125="",C125=""),"",I125-C125)</f>
        <v>0</v>
      </c>
      <c r="K125" s="26">
        <f>IF(A125="","",IF(MES!E125&lt;&gt;4,"Horário do MES fora do padrão",IF(H125&lt;cfgMinCortes,"Cortes insuficientes","Válida")))</f>
        <v>0</v>
      </c>
      <c r="L125" s="27">
        <f>IF(K125="Válida",ABS(J125),"")</f>
        <v>0</v>
      </c>
      <c r="M125" s="26">
        <f>IF(K125="Válida",IF(L125&lt;=cfgTolerancia,"Sim","Não"),"")</f>
        <v>0</v>
      </c>
      <c r="N125" s="26">
        <f>IF(A125="","",MES!D125)</f>
        <v>0</v>
      </c>
      <c r="O125" s="25">
        <f>IF(K125="Válida",A125,NA())</f>
        <v>0</v>
      </c>
      <c r="P125" s="27">
        <f>IF(K125="Válida",C125,NA())</f>
        <v>0</v>
      </c>
      <c r="Q125" s="27">
        <f>IF(K125="Válida",I125,NA())</f>
        <v>0</v>
      </c>
      <c r="R125" s="27">
        <f>IF(K125="Válida",J125,NA())</f>
        <v>0</v>
      </c>
      <c r="S125" s="27">
        <f>IF(K125="Válida",C125,"")</f>
        <v>0</v>
      </c>
      <c r="T125" s="27">
        <f>IF(K125="Válida",I125,"")</f>
        <v>0</v>
      </c>
      <c r="U125" s="27">
        <f>IF(K125="Válida",J125,"")</f>
        <v>0</v>
      </c>
    </row>
    <row r="126" spans="1:21">
      <c r="A126" s="25">
        <f>IF(MES!A126="","",MES!C126/48)</f>
        <v>0</v>
      </c>
      <c r="B126" s="26">
        <f>IF(A126="","",TEXT((N126*4+cfgDeslocamento)/48,"hh:mm")&amp;" a "&amp;TEXT(A126,"hh:mm"))</f>
        <v>0</v>
      </c>
      <c r="C126" s="27">
        <f>IF(A126="","",MES!B126)</f>
        <v>0</v>
      </c>
      <c r="D126" s="27">
        <f>IF(A126="","",IFERROR(AVERAGEIFS(Prensa!$B$2:$B$5001,Prensa!$E$2:$E$5001,N126,Prensa!$F$2:$F$5001,1,Prensa!$G$2:$G$5001,1),""))</f>
        <v>0</v>
      </c>
      <c r="E126" s="27">
        <f>IF(A126="","",IFERROR(AVERAGEIFS(Prensa!$B$2:$B$5001,Prensa!$E$2:$E$5001,N126,Prensa!$F$2:$F$5001,2,Prensa!$G$2:$G$5001,1),""))</f>
        <v>0</v>
      </c>
      <c r="F126" s="27">
        <f>IF(A126="","",IFERROR(AVERAGEIFS(Prensa!$B$2:$B$5001,Prensa!$E$2:$E$5001,N126,Prensa!$F$2:$F$5001,3,Prensa!$G$2:$G$5001,1),""))</f>
        <v>0</v>
      </c>
      <c r="G126" s="27">
        <f>IF(A126="","",IFERROR(AVERAGEIFS(Prensa!$B$2:$B$5001,Prensa!$E$2:$E$5001,N126,Prensa!$F$2:$F$5001,4,Prensa!$G$2:$G$5001,1),""))</f>
        <v>0</v>
      </c>
      <c r="H126" s="26">
        <f>IF(A126="","",COUNT(D126:G126))</f>
        <v>0</v>
      </c>
      <c r="I126" s="27">
        <f>IF(A126="","",IF(H126=0,"",AVERAGE(D126:G126)))</f>
        <v>0</v>
      </c>
      <c r="J126" s="27">
        <f>IF(OR(I126="",C126=""),"",I126-C126)</f>
        <v>0</v>
      </c>
      <c r="K126" s="26">
        <f>IF(A126="","",IF(MES!E126&lt;&gt;4,"Horário do MES fora do padrão",IF(H126&lt;cfgMinCortes,"Cortes insuficientes","Válida")))</f>
        <v>0</v>
      </c>
      <c r="L126" s="27">
        <f>IF(K126="Válida",ABS(J126),"")</f>
        <v>0</v>
      </c>
      <c r="M126" s="26">
        <f>IF(K126="Válida",IF(L126&lt;=cfgTolerancia,"Sim","Não"),"")</f>
        <v>0</v>
      </c>
      <c r="N126" s="26">
        <f>IF(A126="","",MES!D126)</f>
        <v>0</v>
      </c>
      <c r="O126" s="25">
        <f>IF(K126="Válida",A126,NA())</f>
        <v>0</v>
      </c>
      <c r="P126" s="27">
        <f>IF(K126="Válida",C126,NA())</f>
        <v>0</v>
      </c>
      <c r="Q126" s="27">
        <f>IF(K126="Válida",I126,NA())</f>
        <v>0</v>
      </c>
      <c r="R126" s="27">
        <f>IF(K126="Válida",J126,NA())</f>
        <v>0</v>
      </c>
      <c r="S126" s="27">
        <f>IF(K126="Válida",C126,"")</f>
        <v>0</v>
      </c>
      <c r="T126" s="27">
        <f>IF(K126="Válida",I126,"")</f>
        <v>0</v>
      </c>
      <c r="U126" s="27">
        <f>IF(K126="Válida",J126,"")</f>
        <v>0</v>
      </c>
    </row>
    <row r="127" spans="1:21">
      <c r="A127" s="25">
        <f>IF(MES!A127="","",MES!C127/48)</f>
        <v>0</v>
      </c>
      <c r="B127" s="26">
        <f>IF(A127="","",TEXT((N127*4+cfgDeslocamento)/48,"hh:mm")&amp;" a "&amp;TEXT(A127,"hh:mm"))</f>
        <v>0</v>
      </c>
      <c r="C127" s="27">
        <f>IF(A127="","",MES!B127)</f>
        <v>0</v>
      </c>
      <c r="D127" s="27">
        <f>IF(A127="","",IFERROR(AVERAGEIFS(Prensa!$B$2:$B$5001,Prensa!$E$2:$E$5001,N127,Prensa!$F$2:$F$5001,1,Prensa!$G$2:$G$5001,1),""))</f>
        <v>0</v>
      </c>
      <c r="E127" s="27">
        <f>IF(A127="","",IFERROR(AVERAGEIFS(Prensa!$B$2:$B$5001,Prensa!$E$2:$E$5001,N127,Prensa!$F$2:$F$5001,2,Prensa!$G$2:$G$5001,1),""))</f>
        <v>0</v>
      </c>
      <c r="F127" s="27">
        <f>IF(A127="","",IFERROR(AVERAGEIFS(Prensa!$B$2:$B$5001,Prensa!$E$2:$E$5001,N127,Prensa!$F$2:$F$5001,3,Prensa!$G$2:$G$5001,1),""))</f>
        <v>0</v>
      </c>
      <c r="G127" s="27">
        <f>IF(A127="","",IFERROR(AVERAGEIFS(Prensa!$B$2:$B$5001,Prensa!$E$2:$E$5001,N127,Prensa!$F$2:$F$5001,4,Prensa!$G$2:$G$5001,1),""))</f>
        <v>0</v>
      </c>
      <c r="H127" s="26">
        <f>IF(A127="","",COUNT(D127:G127))</f>
        <v>0</v>
      </c>
      <c r="I127" s="27">
        <f>IF(A127="","",IF(H127=0,"",AVERAGE(D127:G127)))</f>
        <v>0</v>
      </c>
      <c r="J127" s="27">
        <f>IF(OR(I127="",C127=""),"",I127-C127)</f>
        <v>0</v>
      </c>
      <c r="K127" s="26">
        <f>IF(A127="","",IF(MES!E127&lt;&gt;4,"Horário do MES fora do padrão",IF(H127&lt;cfgMinCortes,"Cortes insuficientes","Válida")))</f>
        <v>0</v>
      </c>
      <c r="L127" s="27">
        <f>IF(K127="Válida",ABS(J127),"")</f>
        <v>0</v>
      </c>
      <c r="M127" s="26">
        <f>IF(K127="Válida",IF(L127&lt;=cfgTolerancia,"Sim","Não"),"")</f>
        <v>0</v>
      </c>
      <c r="N127" s="26">
        <f>IF(A127="","",MES!D127)</f>
        <v>0</v>
      </c>
      <c r="O127" s="25">
        <f>IF(K127="Válida",A127,NA())</f>
        <v>0</v>
      </c>
      <c r="P127" s="27">
        <f>IF(K127="Válida",C127,NA())</f>
        <v>0</v>
      </c>
      <c r="Q127" s="27">
        <f>IF(K127="Válida",I127,NA())</f>
        <v>0</v>
      </c>
      <c r="R127" s="27">
        <f>IF(K127="Válida",J127,NA())</f>
        <v>0</v>
      </c>
      <c r="S127" s="27">
        <f>IF(K127="Válida",C127,"")</f>
        <v>0</v>
      </c>
      <c r="T127" s="27">
        <f>IF(K127="Válida",I127,"")</f>
        <v>0</v>
      </c>
      <c r="U127" s="27">
        <f>IF(K127="Válida",J127,"")</f>
        <v>0</v>
      </c>
    </row>
    <row r="128" spans="1:21">
      <c r="A128" s="25">
        <f>IF(MES!A128="","",MES!C128/48)</f>
        <v>0</v>
      </c>
      <c r="B128" s="26">
        <f>IF(A128="","",TEXT((N128*4+cfgDeslocamento)/48,"hh:mm")&amp;" a "&amp;TEXT(A128,"hh:mm"))</f>
        <v>0</v>
      </c>
      <c r="C128" s="27">
        <f>IF(A128="","",MES!B128)</f>
        <v>0</v>
      </c>
      <c r="D128" s="27">
        <f>IF(A128="","",IFERROR(AVERAGEIFS(Prensa!$B$2:$B$5001,Prensa!$E$2:$E$5001,N128,Prensa!$F$2:$F$5001,1,Prensa!$G$2:$G$5001,1),""))</f>
        <v>0</v>
      </c>
      <c r="E128" s="27">
        <f>IF(A128="","",IFERROR(AVERAGEIFS(Prensa!$B$2:$B$5001,Prensa!$E$2:$E$5001,N128,Prensa!$F$2:$F$5001,2,Prensa!$G$2:$G$5001,1),""))</f>
        <v>0</v>
      </c>
      <c r="F128" s="27">
        <f>IF(A128="","",IFERROR(AVERAGEIFS(Prensa!$B$2:$B$5001,Prensa!$E$2:$E$5001,N128,Prensa!$F$2:$F$5001,3,Prensa!$G$2:$G$5001,1),""))</f>
        <v>0</v>
      </c>
      <c r="G128" s="27">
        <f>IF(A128="","",IFERROR(AVERAGEIFS(Prensa!$B$2:$B$5001,Prensa!$E$2:$E$5001,N128,Prensa!$F$2:$F$5001,4,Prensa!$G$2:$G$5001,1),""))</f>
        <v>0</v>
      </c>
      <c r="H128" s="26">
        <f>IF(A128="","",COUNT(D128:G128))</f>
        <v>0</v>
      </c>
      <c r="I128" s="27">
        <f>IF(A128="","",IF(H128=0,"",AVERAGE(D128:G128)))</f>
        <v>0</v>
      </c>
      <c r="J128" s="27">
        <f>IF(OR(I128="",C128=""),"",I128-C128)</f>
        <v>0</v>
      </c>
      <c r="K128" s="26">
        <f>IF(A128="","",IF(MES!E128&lt;&gt;4,"Horário do MES fora do padrão",IF(H128&lt;cfgMinCortes,"Cortes insuficientes","Válida")))</f>
        <v>0</v>
      </c>
      <c r="L128" s="27">
        <f>IF(K128="Válida",ABS(J128),"")</f>
        <v>0</v>
      </c>
      <c r="M128" s="26">
        <f>IF(K128="Válida",IF(L128&lt;=cfgTolerancia,"Sim","Não"),"")</f>
        <v>0</v>
      </c>
      <c r="N128" s="26">
        <f>IF(A128="","",MES!D128)</f>
        <v>0</v>
      </c>
      <c r="O128" s="25">
        <f>IF(K128="Válida",A128,NA())</f>
        <v>0</v>
      </c>
      <c r="P128" s="27">
        <f>IF(K128="Válida",C128,NA())</f>
        <v>0</v>
      </c>
      <c r="Q128" s="27">
        <f>IF(K128="Válida",I128,NA())</f>
        <v>0</v>
      </c>
      <c r="R128" s="27">
        <f>IF(K128="Válida",J128,NA())</f>
        <v>0</v>
      </c>
      <c r="S128" s="27">
        <f>IF(K128="Válida",C128,"")</f>
        <v>0</v>
      </c>
      <c r="T128" s="27">
        <f>IF(K128="Válida",I128,"")</f>
        <v>0</v>
      </c>
      <c r="U128" s="27">
        <f>IF(K128="Válida",J128,"")</f>
        <v>0</v>
      </c>
    </row>
    <row r="129" spans="1:21">
      <c r="A129" s="25">
        <f>IF(MES!A129="","",MES!C129/48)</f>
        <v>0</v>
      </c>
      <c r="B129" s="26">
        <f>IF(A129="","",TEXT((N129*4+cfgDeslocamento)/48,"hh:mm")&amp;" a "&amp;TEXT(A129,"hh:mm"))</f>
        <v>0</v>
      </c>
      <c r="C129" s="27">
        <f>IF(A129="","",MES!B129)</f>
        <v>0</v>
      </c>
      <c r="D129" s="27">
        <f>IF(A129="","",IFERROR(AVERAGEIFS(Prensa!$B$2:$B$5001,Prensa!$E$2:$E$5001,N129,Prensa!$F$2:$F$5001,1,Prensa!$G$2:$G$5001,1),""))</f>
        <v>0</v>
      </c>
      <c r="E129" s="27">
        <f>IF(A129="","",IFERROR(AVERAGEIFS(Prensa!$B$2:$B$5001,Prensa!$E$2:$E$5001,N129,Prensa!$F$2:$F$5001,2,Prensa!$G$2:$G$5001,1),""))</f>
        <v>0</v>
      </c>
      <c r="F129" s="27">
        <f>IF(A129="","",IFERROR(AVERAGEIFS(Prensa!$B$2:$B$5001,Prensa!$E$2:$E$5001,N129,Prensa!$F$2:$F$5001,3,Prensa!$G$2:$G$5001,1),""))</f>
        <v>0</v>
      </c>
      <c r="G129" s="27">
        <f>IF(A129="","",IFERROR(AVERAGEIFS(Prensa!$B$2:$B$5001,Prensa!$E$2:$E$5001,N129,Prensa!$F$2:$F$5001,4,Prensa!$G$2:$G$5001,1),""))</f>
        <v>0</v>
      </c>
      <c r="H129" s="26">
        <f>IF(A129="","",COUNT(D129:G129))</f>
        <v>0</v>
      </c>
      <c r="I129" s="27">
        <f>IF(A129="","",IF(H129=0,"",AVERAGE(D129:G129)))</f>
        <v>0</v>
      </c>
      <c r="J129" s="27">
        <f>IF(OR(I129="",C129=""),"",I129-C129)</f>
        <v>0</v>
      </c>
      <c r="K129" s="26">
        <f>IF(A129="","",IF(MES!E129&lt;&gt;4,"Horário do MES fora do padrão",IF(H129&lt;cfgMinCortes,"Cortes insuficientes","Válida")))</f>
        <v>0</v>
      </c>
      <c r="L129" s="27">
        <f>IF(K129="Válida",ABS(J129),"")</f>
        <v>0</v>
      </c>
      <c r="M129" s="26">
        <f>IF(K129="Válida",IF(L129&lt;=cfgTolerancia,"Sim","Não"),"")</f>
        <v>0</v>
      </c>
      <c r="N129" s="26">
        <f>IF(A129="","",MES!D129)</f>
        <v>0</v>
      </c>
      <c r="O129" s="25">
        <f>IF(K129="Válida",A129,NA())</f>
        <v>0</v>
      </c>
      <c r="P129" s="27">
        <f>IF(K129="Válida",C129,NA())</f>
        <v>0</v>
      </c>
      <c r="Q129" s="27">
        <f>IF(K129="Válida",I129,NA())</f>
        <v>0</v>
      </c>
      <c r="R129" s="27">
        <f>IF(K129="Válida",J129,NA())</f>
        <v>0</v>
      </c>
      <c r="S129" s="27">
        <f>IF(K129="Válida",C129,"")</f>
        <v>0</v>
      </c>
      <c r="T129" s="27">
        <f>IF(K129="Válida",I129,"")</f>
        <v>0</v>
      </c>
      <c r="U129" s="27">
        <f>IF(K129="Válida",J129,"")</f>
        <v>0</v>
      </c>
    </row>
    <row r="130" spans="1:21">
      <c r="A130" s="25">
        <f>IF(MES!A130="","",MES!C130/48)</f>
        <v>0</v>
      </c>
      <c r="B130" s="26">
        <f>IF(A130="","",TEXT((N130*4+cfgDeslocamento)/48,"hh:mm")&amp;" a "&amp;TEXT(A130,"hh:mm"))</f>
        <v>0</v>
      </c>
      <c r="C130" s="27">
        <f>IF(A130="","",MES!B130)</f>
        <v>0</v>
      </c>
      <c r="D130" s="27">
        <f>IF(A130="","",IFERROR(AVERAGEIFS(Prensa!$B$2:$B$5001,Prensa!$E$2:$E$5001,N130,Prensa!$F$2:$F$5001,1,Prensa!$G$2:$G$5001,1),""))</f>
        <v>0</v>
      </c>
      <c r="E130" s="27">
        <f>IF(A130="","",IFERROR(AVERAGEIFS(Prensa!$B$2:$B$5001,Prensa!$E$2:$E$5001,N130,Prensa!$F$2:$F$5001,2,Prensa!$G$2:$G$5001,1),""))</f>
        <v>0</v>
      </c>
      <c r="F130" s="27">
        <f>IF(A130="","",IFERROR(AVERAGEIFS(Prensa!$B$2:$B$5001,Prensa!$E$2:$E$5001,N130,Prensa!$F$2:$F$5001,3,Prensa!$G$2:$G$5001,1),""))</f>
        <v>0</v>
      </c>
      <c r="G130" s="27">
        <f>IF(A130="","",IFERROR(AVERAGEIFS(Prensa!$B$2:$B$5001,Prensa!$E$2:$E$5001,N130,Prensa!$F$2:$F$5001,4,Prensa!$G$2:$G$5001,1),""))</f>
        <v>0</v>
      </c>
      <c r="H130" s="26">
        <f>IF(A130="","",COUNT(D130:G130))</f>
        <v>0</v>
      </c>
      <c r="I130" s="27">
        <f>IF(A130="","",IF(H130=0,"",AVERAGE(D130:G130)))</f>
        <v>0</v>
      </c>
      <c r="J130" s="27">
        <f>IF(OR(I130="",C130=""),"",I130-C130)</f>
        <v>0</v>
      </c>
      <c r="K130" s="26">
        <f>IF(A130="","",IF(MES!E130&lt;&gt;4,"Horário do MES fora do padrão",IF(H130&lt;cfgMinCortes,"Cortes insuficientes","Válida")))</f>
        <v>0</v>
      </c>
      <c r="L130" s="27">
        <f>IF(K130="Válida",ABS(J130),"")</f>
        <v>0</v>
      </c>
      <c r="M130" s="26">
        <f>IF(K130="Válida",IF(L130&lt;=cfgTolerancia,"Sim","Não"),"")</f>
        <v>0</v>
      </c>
      <c r="N130" s="26">
        <f>IF(A130="","",MES!D130)</f>
        <v>0</v>
      </c>
      <c r="O130" s="25">
        <f>IF(K130="Válida",A130,NA())</f>
        <v>0</v>
      </c>
      <c r="P130" s="27">
        <f>IF(K130="Válida",C130,NA())</f>
        <v>0</v>
      </c>
      <c r="Q130" s="27">
        <f>IF(K130="Válida",I130,NA())</f>
        <v>0</v>
      </c>
      <c r="R130" s="27">
        <f>IF(K130="Válida",J130,NA())</f>
        <v>0</v>
      </c>
      <c r="S130" s="27">
        <f>IF(K130="Válida",C130,"")</f>
        <v>0</v>
      </c>
      <c r="T130" s="27">
        <f>IF(K130="Válida",I130,"")</f>
        <v>0</v>
      </c>
      <c r="U130" s="27">
        <f>IF(K130="Válida",J130,"")</f>
        <v>0</v>
      </c>
    </row>
    <row r="131" spans="1:21">
      <c r="A131" s="25">
        <f>IF(MES!A131="","",MES!C131/48)</f>
        <v>0</v>
      </c>
      <c r="B131" s="26">
        <f>IF(A131="","",TEXT((N131*4+cfgDeslocamento)/48,"hh:mm")&amp;" a "&amp;TEXT(A131,"hh:mm"))</f>
        <v>0</v>
      </c>
      <c r="C131" s="27">
        <f>IF(A131="","",MES!B131)</f>
        <v>0</v>
      </c>
      <c r="D131" s="27">
        <f>IF(A131="","",IFERROR(AVERAGEIFS(Prensa!$B$2:$B$5001,Prensa!$E$2:$E$5001,N131,Prensa!$F$2:$F$5001,1,Prensa!$G$2:$G$5001,1),""))</f>
        <v>0</v>
      </c>
      <c r="E131" s="27">
        <f>IF(A131="","",IFERROR(AVERAGEIFS(Prensa!$B$2:$B$5001,Prensa!$E$2:$E$5001,N131,Prensa!$F$2:$F$5001,2,Prensa!$G$2:$G$5001,1),""))</f>
        <v>0</v>
      </c>
      <c r="F131" s="27">
        <f>IF(A131="","",IFERROR(AVERAGEIFS(Prensa!$B$2:$B$5001,Prensa!$E$2:$E$5001,N131,Prensa!$F$2:$F$5001,3,Prensa!$G$2:$G$5001,1),""))</f>
        <v>0</v>
      </c>
      <c r="G131" s="27">
        <f>IF(A131="","",IFERROR(AVERAGEIFS(Prensa!$B$2:$B$5001,Prensa!$E$2:$E$5001,N131,Prensa!$F$2:$F$5001,4,Prensa!$G$2:$G$5001,1),""))</f>
        <v>0</v>
      </c>
      <c r="H131" s="26">
        <f>IF(A131="","",COUNT(D131:G131))</f>
        <v>0</v>
      </c>
      <c r="I131" s="27">
        <f>IF(A131="","",IF(H131=0,"",AVERAGE(D131:G131)))</f>
        <v>0</v>
      </c>
      <c r="J131" s="27">
        <f>IF(OR(I131="",C131=""),"",I131-C131)</f>
        <v>0</v>
      </c>
      <c r="K131" s="26">
        <f>IF(A131="","",IF(MES!E131&lt;&gt;4,"Horário do MES fora do padrão",IF(H131&lt;cfgMinCortes,"Cortes insuficientes","Válida")))</f>
        <v>0</v>
      </c>
      <c r="L131" s="27">
        <f>IF(K131="Válida",ABS(J131),"")</f>
        <v>0</v>
      </c>
      <c r="M131" s="26">
        <f>IF(K131="Válida",IF(L131&lt;=cfgTolerancia,"Sim","Não"),"")</f>
        <v>0</v>
      </c>
      <c r="N131" s="26">
        <f>IF(A131="","",MES!D131)</f>
        <v>0</v>
      </c>
      <c r="O131" s="25">
        <f>IF(K131="Válida",A131,NA())</f>
        <v>0</v>
      </c>
      <c r="P131" s="27">
        <f>IF(K131="Válida",C131,NA())</f>
        <v>0</v>
      </c>
      <c r="Q131" s="27">
        <f>IF(K131="Válida",I131,NA())</f>
        <v>0</v>
      </c>
      <c r="R131" s="27">
        <f>IF(K131="Válida",J131,NA())</f>
        <v>0</v>
      </c>
      <c r="S131" s="27">
        <f>IF(K131="Válida",C131,"")</f>
        <v>0</v>
      </c>
      <c r="T131" s="27">
        <f>IF(K131="Válida",I131,"")</f>
        <v>0</v>
      </c>
      <c r="U131" s="27">
        <f>IF(K131="Válida",J131,"")</f>
        <v>0</v>
      </c>
    </row>
    <row r="132" spans="1:21">
      <c r="A132" s="25">
        <f>IF(MES!A132="","",MES!C132/48)</f>
        <v>0</v>
      </c>
      <c r="B132" s="26">
        <f>IF(A132="","",TEXT((N132*4+cfgDeslocamento)/48,"hh:mm")&amp;" a "&amp;TEXT(A132,"hh:mm"))</f>
        <v>0</v>
      </c>
      <c r="C132" s="27">
        <f>IF(A132="","",MES!B132)</f>
        <v>0</v>
      </c>
      <c r="D132" s="27">
        <f>IF(A132="","",IFERROR(AVERAGEIFS(Prensa!$B$2:$B$5001,Prensa!$E$2:$E$5001,N132,Prensa!$F$2:$F$5001,1,Prensa!$G$2:$G$5001,1),""))</f>
        <v>0</v>
      </c>
      <c r="E132" s="27">
        <f>IF(A132="","",IFERROR(AVERAGEIFS(Prensa!$B$2:$B$5001,Prensa!$E$2:$E$5001,N132,Prensa!$F$2:$F$5001,2,Prensa!$G$2:$G$5001,1),""))</f>
        <v>0</v>
      </c>
      <c r="F132" s="27">
        <f>IF(A132="","",IFERROR(AVERAGEIFS(Prensa!$B$2:$B$5001,Prensa!$E$2:$E$5001,N132,Prensa!$F$2:$F$5001,3,Prensa!$G$2:$G$5001,1),""))</f>
        <v>0</v>
      </c>
      <c r="G132" s="27">
        <f>IF(A132="","",IFERROR(AVERAGEIFS(Prensa!$B$2:$B$5001,Prensa!$E$2:$E$5001,N132,Prensa!$F$2:$F$5001,4,Prensa!$G$2:$G$5001,1),""))</f>
        <v>0</v>
      </c>
      <c r="H132" s="26">
        <f>IF(A132="","",COUNT(D132:G132))</f>
        <v>0</v>
      </c>
      <c r="I132" s="27">
        <f>IF(A132="","",IF(H132=0,"",AVERAGE(D132:G132)))</f>
        <v>0</v>
      </c>
      <c r="J132" s="27">
        <f>IF(OR(I132="",C132=""),"",I132-C132)</f>
        <v>0</v>
      </c>
      <c r="K132" s="26">
        <f>IF(A132="","",IF(MES!E132&lt;&gt;4,"Horário do MES fora do padrão",IF(H132&lt;cfgMinCortes,"Cortes insuficientes","Válida")))</f>
        <v>0</v>
      </c>
      <c r="L132" s="27">
        <f>IF(K132="Válida",ABS(J132),"")</f>
        <v>0</v>
      </c>
      <c r="M132" s="26">
        <f>IF(K132="Válida",IF(L132&lt;=cfgTolerancia,"Sim","Não"),"")</f>
        <v>0</v>
      </c>
      <c r="N132" s="26">
        <f>IF(A132="","",MES!D132)</f>
        <v>0</v>
      </c>
      <c r="O132" s="25">
        <f>IF(K132="Válida",A132,NA())</f>
        <v>0</v>
      </c>
      <c r="P132" s="27">
        <f>IF(K132="Válida",C132,NA())</f>
        <v>0</v>
      </c>
      <c r="Q132" s="27">
        <f>IF(K132="Válida",I132,NA())</f>
        <v>0</v>
      </c>
      <c r="R132" s="27">
        <f>IF(K132="Válida",J132,NA())</f>
        <v>0</v>
      </c>
      <c r="S132" s="27">
        <f>IF(K132="Válida",C132,"")</f>
        <v>0</v>
      </c>
      <c r="T132" s="27">
        <f>IF(K132="Válida",I132,"")</f>
        <v>0</v>
      </c>
      <c r="U132" s="27">
        <f>IF(K132="Válida",J132,"")</f>
        <v>0</v>
      </c>
    </row>
    <row r="133" spans="1:21">
      <c r="A133" s="25">
        <f>IF(MES!A133="","",MES!C133/48)</f>
        <v>0</v>
      </c>
      <c r="B133" s="26">
        <f>IF(A133="","",TEXT((N133*4+cfgDeslocamento)/48,"hh:mm")&amp;" a "&amp;TEXT(A133,"hh:mm"))</f>
        <v>0</v>
      </c>
      <c r="C133" s="27">
        <f>IF(A133="","",MES!B133)</f>
        <v>0</v>
      </c>
      <c r="D133" s="27">
        <f>IF(A133="","",IFERROR(AVERAGEIFS(Prensa!$B$2:$B$5001,Prensa!$E$2:$E$5001,N133,Prensa!$F$2:$F$5001,1,Prensa!$G$2:$G$5001,1),""))</f>
        <v>0</v>
      </c>
      <c r="E133" s="27">
        <f>IF(A133="","",IFERROR(AVERAGEIFS(Prensa!$B$2:$B$5001,Prensa!$E$2:$E$5001,N133,Prensa!$F$2:$F$5001,2,Prensa!$G$2:$G$5001,1),""))</f>
        <v>0</v>
      </c>
      <c r="F133" s="27">
        <f>IF(A133="","",IFERROR(AVERAGEIFS(Prensa!$B$2:$B$5001,Prensa!$E$2:$E$5001,N133,Prensa!$F$2:$F$5001,3,Prensa!$G$2:$G$5001,1),""))</f>
        <v>0</v>
      </c>
      <c r="G133" s="27">
        <f>IF(A133="","",IFERROR(AVERAGEIFS(Prensa!$B$2:$B$5001,Prensa!$E$2:$E$5001,N133,Prensa!$F$2:$F$5001,4,Prensa!$G$2:$G$5001,1),""))</f>
        <v>0</v>
      </c>
      <c r="H133" s="26">
        <f>IF(A133="","",COUNT(D133:G133))</f>
        <v>0</v>
      </c>
      <c r="I133" s="27">
        <f>IF(A133="","",IF(H133=0,"",AVERAGE(D133:G133)))</f>
        <v>0</v>
      </c>
      <c r="J133" s="27">
        <f>IF(OR(I133="",C133=""),"",I133-C133)</f>
        <v>0</v>
      </c>
      <c r="K133" s="26">
        <f>IF(A133="","",IF(MES!E133&lt;&gt;4,"Horário do MES fora do padrão",IF(H133&lt;cfgMinCortes,"Cortes insuficientes","Válida")))</f>
        <v>0</v>
      </c>
      <c r="L133" s="27">
        <f>IF(K133="Válida",ABS(J133),"")</f>
        <v>0</v>
      </c>
      <c r="M133" s="26">
        <f>IF(K133="Válida",IF(L133&lt;=cfgTolerancia,"Sim","Não"),"")</f>
        <v>0</v>
      </c>
      <c r="N133" s="26">
        <f>IF(A133="","",MES!D133)</f>
        <v>0</v>
      </c>
      <c r="O133" s="25">
        <f>IF(K133="Válida",A133,NA())</f>
        <v>0</v>
      </c>
      <c r="P133" s="27">
        <f>IF(K133="Válida",C133,NA())</f>
        <v>0</v>
      </c>
      <c r="Q133" s="27">
        <f>IF(K133="Válida",I133,NA())</f>
        <v>0</v>
      </c>
      <c r="R133" s="27">
        <f>IF(K133="Válida",J133,NA())</f>
        <v>0</v>
      </c>
      <c r="S133" s="27">
        <f>IF(K133="Válida",C133,"")</f>
        <v>0</v>
      </c>
      <c r="T133" s="27">
        <f>IF(K133="Válida",I133,"")</f>
        <v>0</v>
      </c>
      <c r="U133" s="27">
        <f>IF(K133="Válida",J133,"")</f>
        <v>0</v>
      </c>
    </row>
    <row r="134" spans="1:21">
      <c r="A134" s="25">
        <f>IF(MES!A134="","",MES!C134/48)</f>
        <v>0</v>
      </c>
      <c r="B134" s="26">
        <f>IF(A134="","",TEXT((N134*4+cfgDeslocamento)/48,"hh:mm")&amp;" a "&amp;TEXT(A134,"hh:mm"))</f>
        <v>0</v>
      </c>
      <c r="C134" s="27">
        <f>IF(A134="","",MES!B134)</f>
        <v>0</v>
      </c>
      <c r="D134" s="27">
        <f>IF(A134="","",IFERROR(AVERAGEIFS(Prensa!$B$2:$B$5001,Prensa!$E$2:$E$5001,N134,Prensa!$F$2:$F$5001,1,Prensa!$G$2:$G$5001,1),""))</f>
        <v>0</v>
      </c>
      <c r="E134" s="27">
        <f>IF(A134="","",IFERROR(AVERAGEIFS(Prensa!$B$2:$B$5001,Prensa!$E$2:$E$5001,N134,Prensa!$F$2:$F$5001,2,Prensa!$G$2:$G$5001,1),""))</f>
        <v>0</v>
      </c>
      <c r="F134" s="27">
        <f>IF(A134="","",IFERROR(AVERAGEIFS(Prensa!$B$2:$B$5001,Prensa!$E$2:$E$5001,N134,Prensa!$F$2:$F$5001,3,Prensa!$G$2:$G$5001,1),""))</f>
        <v>0</v>
      </c>
      <c r="G134" s="27">
        <f>IF(A134="","",IFERROR(AVERAGEIFS(Prensa!$B$2:$B$5001,Prensa!$E$2:$E$5001,N134,Prensa!$F$2:$F$5001,4,Prensa!$G$2:$G$5001,1),""))</f>
        <v>0</v>
      </c>
      <c r="H134" s="26">
        <f>IF(A134="","",COUNT(D134:G134))</f>
        <v>0</v>
      </c>
      <c r="I134" s="27">
        <f>IF(A134="","",IF(H134=0,"",AVERAGE(D134:G134)))</f>
        <v>0</v>
      </c>
      <c r="J134" s="27">
        <f>IF(OR(I134="",C134=""),"",I134-C134)</f>
        <v>0</v>
      </c>
      <c r="K134" s="26">
        <f>IF(A134="","",IF(MES!E134&lt;&gt;4,"Horário do MES fora do padrão",IF(H134&lt;cfgMinCortes,"Cortes insuficientes","Válida")))</f>
        <v>0</v>
      </c>
      <c r="L134" s="27">
        <f>IF(K134="Válida",ABS(J134),"")</f>
        <v>0</v>
      </c>
      <c r="M134" s="26">
        <f>IF(K134="Válida",IF(L134&lt;=cfgTolerancia,"Sim","Não"),"")</f>
        <v>0</v>
      </c>
      <c r="N134" s="26">
        <f>IF(A134="","",MES!D134)</f>
        <v>0</v>
      </c>
      <c r="O134" s="25">
        <f>IF(K134="Válida",A134,NA())</f>
        <v>0</v>
      </c>
      <c r="P134" s="27">
        <f>IF(K134="Válida",C134,NA())</f>
        <v>0</v>
      </c>
      <c r="Q134" s="27">
        <f>IF(K134="Válida",I134,NA())</f>
        <v>0</v>
      </c>
      <c r="R134" s="27">
        <f>IF(K134="Válida",J134,NA())</f>
        <v>0</v>
      </c>
      <c r="S134" s="27">
        <f>IF(K134="Válida",C134,"")</f>
        <v>0</v>
      </c>
      <c r="T134" s="27">
        <f>IF(K134="Válida",I134,"")</f>
        <v>0</v>
      </c>
      <c r="U134" s="27">
        <f>IF(K134="Válida",J134,"")</f>
        <v>0</v>
      </c>
    </row>
    <row r="135" spans="1:21">
      <c r="A135" s="25">
        <f>IF(MES!A135="","",MES!C135/48)</f>
        <v>0</v>
      </c>
      <c r="B135" s="26">
        <f>IF(A135="","",TEXT((N135*4+cfgDeslocamento)/48,"hh:mm")&amp;" a "&amp;TEXT(A135,"hh:mm"))</f>
        <v>0</v>
      </c>
      <c r="C135" s="27">
        <f>IF(A135="","",MES!B135)</f>
        <v>0</v>
      </c>
      <c r="D135" s="27">
        <f>IF(A135="","",IFERROR(AVERAGEIFS(Prensa!$B$2:$B$5001,Prensa!$E$2:$E$5001,N135,Prensa!$F$2:$F$5001,1,Prensa!$G$2:$G$5001,1),""))</f>
        <v>0</v>
      </c>
      <c r="E135" s="27">
        <f>IF(A135="","",IFERROR(AVERAGEIFS(Prensa!$B$2:$B$5001,Prensa!$E$2:$E$5001,N135,Prensa!$F$2:$F$5001,2,Prensa!$G$2:$G$5001,1),""))</f>
        <v>0</v>
      </c>
      <c r="F135" s="27">
        <f>IF(A135="","",IFERROR(AVERAGEIFS(Prensa!$B$2:$B$5001,Prensa!$E$2:$E$5001,N135,Prensa!$F$2:$F$5001,3,Prensa!$G$2:$G$5001,1),""))</f>
        <v>0</v>
      </c>
      <c r="G135" s="27">
        <f>IF(A135="","",IFERROR(AVERAGEIFS(Prensa!$B$2:$B$5001,Prensa!$E$2:$E$5001,N135,Prensa!$F$2:$F$5001,4,Prensa!$G$2:$G$5001,1),""))</f>
        <v>0</v>
      </c>
      <c r="H135" s="26">
        <f>IF(A135="","",COUNT(D135:G135))</f>
        <v>0</v>
      </c>
      <c r="I135" s="27">
        <f>IF(A135="","",IF(H135=0,"",AVERAGE(D135:G135)))</f>
        <v>0</v>
      </c>
      <c r="J135" s="27">
        <f>IF(OR(I135="",C135=""),"",I135-C135)</f>
        <v>0</v>
      </c>
      <c r="K135" s="26">
        <f>IF(A135="","",IF(MES!E135&lt;&gt;4,"Horário do MES fora do padrão",IF(H135&lt;cfgMinCortes,"Cortes insuficientes","Válida")))</f>
        <v>0</v>
      </c>
      <c r="L135" s="27">
        <f>IF(K135="Válida",ABS(J135),"")</f>
        <v>0</v>
      </c>
      <c r="M135" s="26">
        <f>IF(K135="Válida",IF(L135&lt;=cfgTolerancia,"Sim","Não"),"")</f>
        <v>0</v>
      </c>
      <c r="N135" s="26">
        <f>IF(A135="","",MES!D135)</f>
        <v>0</v>
      </c>
      <c r="O135" s="25">
        <f>IF(K135="Válida",A135,NA())</f>
        <v>0</v>
      </c>
      <c r="P135" s="27">
        <f>IF(K135="Válida",C135,NA())</f>
        <v>0</v>
      </c>
      <c r="Q135" s="27">
        <f>IF(K135="Válida",I135,NA())</f>
        <v>0</v>
      </c>
      <c r="R135" s="27">
        <f>IF(K135="Válida",J135,NA())</f>
        <v>0</v>
      </c>
      <c r="S135" s="27">
        <f>IF(K135="Válida",C135,"")</f>
        <v>0</v>
      </c>
      <c r="T135" s="27">
        <f>IF(K135="Válida",I135,"")</f>
        <v>0</v>
      </c>
      <c r="U135" s="27">
        <f>IF(K135="Válida",J135,"")</f>
        <v>0</v>
      </c>
    </row>
    <row r="136" spans="1:21">
      <c r="A136" s="25">
        <f>IF(MES!A136="","",MES!C136/48)</f>
        <v>0</v>
      </c>
      <c r="B136" s="26">
        <f>IF(A136="","",TEXT((N136*4+cfgDeslocamento)/48,"hh:mm")&amp;" a "&amp;TEXT(A136,"hh:mm"))</f>
        <v>0</v>
      </c>
      <c r="C136" s="27">
        <f>IF(A136="","",MES!B136)</f>
        <v>0</v>
      </c>
      <c r="D136" s="27">
        <f>IF(A136="","",IFERROR(AVERAGEIFS(Prensa!$B$2:$B$5001,Prensa!$E$2:$E$5001,N136,Prensa!$F$2:$F$5001,1,Prensa!$G$2:$G$5001,1),""))</f>
        <v>0</v>
      </c>
      <c r="E136" s="27">
        <f>IF(A136="","",IFERROR(AVERAGEIFS(Prensa!$B$2:$B$5001,Prensa!$E$2:$E$5001,N136,Prensa!$F$2:$F$5001,2,Prensa!$G$2:$G$5001,1),""))</f>
        <v>0</v>
      </c>
      <c r="F136" s="27">
        <f>IF(A136="","",IFERROR(AVERAGEIFS(Prensa!$B$2:$B$5001,Prensa!$E$2:$E$5001,N136,Prensa!$F$2:$F$5001,3,Prensa!$G$2:$G$5001,1),""))</f>
        <v>0</v>
      </c>
      <c r="G136" s="27">
        <f>IF(A136="","",IFERROR(AVERAGEIFS(Prensa!$B$2:$B$5001,Prensa!$E$2:$E$5001,N136,Prensa!$F$2:$F$5001,4,Prensa!$G$2:$G$5001,1),""))</f>
        <v>0</v>
      </c>
      <c r="H136" s="26">
        <f>IF(A136="","",COUNT(D136:G136))</f>
        <v>0</v>
      </c>
      <c r="I136" s="27">
        <f>IF(A136="","",IF(H136=0,"",AVERAGE(D136:G136)))</f>
        <v>0</v>
      </c>
      <c r="J136" s="27">
        <f>IF(OR(I136="",C136=""),"",I136-C136)</f>
        <v>0</v>
      </c>
      <c r="K136" s="26">
        <f>IF(A136="","",IF(MES!E136&lt;&gt;4,"Horário do MES fora do padrão",IF(H136&lt;cfgMinCortes,"Cortes insuficientes","Válida")))</f>
        <v>0</v>
      </c>
      <c r="L136" s="27">
        <f>IF(K136="Válida",ABS(J136),"")</f>
        <v>0</v>
      </c>
      <c r="M136" s="26">
        <f>IF(K136="Válida",IF(L136&lt;=cfgTolerancia,"Sim","Não"),"")</f>
        <v>0</v>
      </c>
      <c r="N136" s="26">
        <f>IF(A136="","",MES!D136)</f>
        <v>0</v>
      </c>
      <c r="O136" s="25">
        <f>IF(K136="Válida",A136,NA())</f>
        <v>0</v>
      </c>
      <c r="P136" s="27">
        <f>IF(K136="Válida",C136,NA())</f>
        <v>0</v>
      </c>
      <c r="Q136" s="27">
        <f>IF(K136="Válida",I136,NA())</f>
        <v>0</v>
      </c>
      <c r="R136" s="27">
        <f>IF(K136="Válida",J136,NA())</f>
        <v>0</v>
      </c>
      <c r="S136" s="27">
        <f>IF(K136="Válida",C136,"")</f>
        <v>0</v>
      </c>
      <c r="T136" s="27">
        <f>IF(K136="Válida",I136,"")</f>
        <v>0</v>
      </c>
      <c r="U136" s="27">
        <f>IF(K136="Válida",J136,"")</f>
        <v>0</v>
      </c>
    </row>
    <row r="137" spans="1:21">
      <c r="A137" s="25">
        <f>IF(MES!A137="","",MES!C137/48)</f>
        <v>0</v>
      </c>
      <c r="B137" s="26">
        <f>IF(A137="","",TEXT((N137*4+cfgDeslocamento)/48,"hh:mm")&amp;" a "&amp;TEXT(A137,"hh:mm"))</f>
        <v>0</v>
      </c>
      <c r="C137" s="27">
        <f>IF(A137="","",MES!B137)</f>
        <v>0</v>
      </c>
      <c r="D137" s="27">
        <f>IF(A137="","",IFERROR(AVERAGEIFS(Prensa!$B$2:$B$5001,Prensa!$E$2:$E$5001,N137,Prensa!$F$2:$F$5001,1,Prensa!$G$2:$G$5001,1),""))</f>
        <v>0</v>
      </c>
      <c r="E137" s="27">
        <f>IF(A137="","",IFERROR(AVERAGEIFS(Prensa!$B$2:$B$5001,Prensa!$E$2:$E$5001,N137,Prensa!$F$2:$F$5001,2,Prensa!$G$2:$G$5001,1),""))</f>
        <v>0</v>
      </c>
      <c r="F137" s="27">
        <f>IF(A137="","",IFERROR(AVERAGEIFS(Prensa!$B$2:$B$5001,Prensa!$E$2:$E$5001,N137,Prensa!$F$2:$F$5001,3,Prensa!$G$2:$G$5001,1),""))</f>
        <v>0</v>
      </c>
      <c r="G137" s="27">
        <f>IF(A137="","",IFERROR(AVERAGEIFS(Prensa!$B$2:$B$5001,Prensa!$E$2:$E$5001,N137,Prensa!$F$2:$F$5001,4,Prensa!$G$2:$G$5001,1),""))</f>
        <v>0</v>
      </c>
      <c r="H137" s="26">
        <f>IF(A137="","",COUNT(D137:G137))</f>
        <v>0</v>
      </c>
      <c r="I137" s="27">
        <f>IF(A137="","",IF(H137=0,"",AVERAGE(D137:G137)))</f>
        <v>0</v>
      </c>
      <c r="J137" s="27">
        <f>IF(OR(I137="",C137=""),"",I137-C137)</f>
        <v>0</v>
      </c>
      <c r="K137" s="26">
        <f>IF(A137="","",IF(MES!E137&lt;&gt;4,"Horário do MES fora do padrão",IF(H137&lt;cfgMinCortes,"Cortes insuficientes","Válida")))</f>
        <v>0</v>
      </c>
      <c r="L137" s="27">
        <f>IF(K137="Válida",ABS(J137),"")</f>
        <v>0</v>
      </c>
      <c r="M137" s="26">
        <f>IF(K137="Válida",IF(L137&lt;=cfgTolerancia,"Sim","Não"),"")</f>
        <v>0</v>
      </c>
      <c r="N137" s="26">
        <f>IF(A137="","",MES!D137)</f>
        <v>0</v>
      </c>
      <c r="O137" s="25">
        <f>IF(K137="Válida",A137,NA())</f>
        <v>0</v>
      </c>
      <c r="P137" s="27">
        <f>IF(K137="Válida",C137,NA())</f>
        <v>0</v>
      </c>
      <c r="Q137" s="27">
        <f>IF(K137="Válida",I137,NA())</f>
        <v>0</v>
      </c>
      <c r="R137" s="27">
        <f>IF(K137="Válida",J137,NA())</f>
        <v>0</v>
      </c>
      <c r="S137" s="27">
        <f>IF(K137="Válida",C137,"")</f>
        <v>0</v>
      </c>
      <c r="T137" s="27">
        <f>IF(K137="Válida",I137,"")</f>
        <v>0</v>
      </c>
      <c r="U137" s="27">
        <f>IF(K137="Válida",J137,"")</f>
        <v>0</v>
      </c>
    </row>
    <row r="138" spans="1:21">
      <c r="A138" s="25">
        <f>IF(MES!A138="","",MES!C138/48)</f>
        <v>0</v>
      </c>
      <c r="B138" s="26">
        <f>IF(A138="","",TEXT((N138*4+cfgDeslocamento)/48,"hh:mm")&amp;" a "&amp;TEXT(A138,"hh:mm"))</f>
        <v>0</v>
      </c>
      <c r="C138" s="27">
        <f>IF(A138="","",MES!B138)</f>
        <v>0</v>
      </c>
      <c r="D138" s="27">
        <f>IF(A138="","",IFERROR(AVERAGEIFS(Prensa!$B$2:$B$5001,Prensa!$E$2:$E$5001,N138,Prensa!$F$2:$F$5001,1,Prensa!$G$2:$G$5001,1),""))</f>
        <v>0</v>
      </c>
      <c r="E138" s="27">
        <f>IF(A138="","",IFERROR(AVERAGEIFS(Prensa!$B$2:$B$5001,Prensa!$E$2:$E$5001,N138,Prensa!$F$2:$F$5001,2,Prensa!$G$2:$G$5001,1),""))</f>
        <v>0</v>
      </c>
      <c r="F138" s="27">
        <f>IF(A138="","",IFERROR(AVERAGEIFS(Prensa!$B$2:$B$5001,Prensa!$E$2:$E$5001,N138,Prensa!$F$2:$F$5001,3,Prensa!$G$2:$G$5001,1),""))</f>
        <v>0</v>
      </c>
      <c r="G138" s="27">
        <f>IF(A138="","",IFERROR(AVERAGEIFS(Prensa!$B$2:$B$5001,Prensa!$E$2:$E$5001,N138,Prensa!$F$2:$F$5001,4,Prensa!$G$2:$G$5001,1),""))</f>
        <v>0</v>
      </c>
      <c r="H138" s="26">
        <f>IF(A138="","",COUNT(D138:G138))</f>
        <v>0</v>
      </c>
      <c r="I138" s="27">
        <f>IF(A138="","",IF(H138=0,"",AVERAGE(D138:G138)))</f>
        <v>0</v>
      </c>
      <c r="J138" s="27">
        <f>IF(OR(I138="",C138=""),"",I138-C138)</f>
        <v>0</v>
      </c>
      <c r="K138" s="26">
        <f>IF(A138="","",IF(MES!E138&lt;&gt;4,"Horário do MES fora do padrão",IF(H138&lt;cfgMinCortes,"Cortes insuficientes","Válida")))</f>
        <v>0</v>
      </c>
      <c r="L138" s="27">
        <f>IF(K138="Válida",ABS(J138),"")</f>
        <v>0</v>
      </c>
      <c r="M138" s="26">
        <f>IF(K138="Válida",IF(L138&lt;=cfgTolerancia,"Sim","Não"),"")</f>
        <v>0</v>
      </c>
      <c r="N138" s="26">
        <f>IF(A138="","",MES!D138)</f>
        <v>0</v>
      </c>
      <c r="O138" s="25">
        <f>IF(K138="Válida",A138,NA())</f>
        <v>0</v>
      </c>
      <c r="P138" s="27">
        <f>IF(K138="Válida",C138,NA())</f>
        <v>0</v>
      </c>
      <c r="Q138" s="27">
        <f>IF(K138="Válida",I138,NA())</f>
        <v>0</v>
      </c>
      <c r="R138" s="27">
        <f>IF(K138="Válida",J138,NA())</f>
        <v>0</v>
      </c>
      <c r="S138" s="27">
        <f>IF(K138="Válida",C138,"")</f>
        <v>0</v>
      </c>
      <c r="T138" s="27">
        <f>IF(K138="Válida",I138,"")</f>
        <v>0</v>
      </c>
      <c r="U138" s="27">
        <f>IF(K138="Válida",J138,"")</f>
        <v>0</v>
      </c>
    </row>
    <row r="139" spans="1:21">
      <c r="A139" s="25">
        <f>IF(MES!A139="","",MES!C139/48)</f>
        <v>0</v>
      </c>
      <c r="B139" s="26">
        <f>IF(A139="","",TEXT((N139*4+cfgDeslocamento)/48,"hh:mm")&amp;" a "&amp;TEXT(A139,"hh:mm"))</f>
        <v>0</v>
      </c>
      <c r="C139" s="27">
        <f>IF(A139="","",MES!B139)</f>
        <v>0</v>
      </c>
      <c r="D139" s="27">
        <f>IF(A139="","",IFERROR(AVERAGEIFS(Prensa!$B$2:$B$5001,Prensa!$E$2:$E$5001,N139,Prensa!$F$2:$F$5001,1,Prensa!$G$2:$G$5001,1),""))</f>
        <v>0</v>
      </c>
      <c r="E139" s="27">
        <f>IF(A139="","",IFERROR(AVERAGEIFS(Prensa!$B$2:$B$5001,Prensa!$E$2:$E$5001,N139,Prensa!$F$2:$F$5001,2,Prensa!$G$2:$G$5001,1),""))</f>
        <v>0</v>
      </c>
      <c r="F139" s="27">
        <f>IF(A139="","",IFERROR(AVERAGEIFS(Prensa!$B$2:$B$5001,Prensa!$E$2:$E$5001,N139,Prensa!$F$2:$F$5001,3,Prensa!$G$2:$G$5001,1),""))</f>
        <v>0</v>
      </c>
      <c r="G139" s="27">
        <f>IF(A139="","",IFERROR(AVERAGEIFS(Prensa!$B$2:$B$5001,Prensa!$E$2:$E$5001,N139,Prensa!$F$2:$F$5001,4,Prensa!$G$2:$G$5001,1),""))</f>
        <v>0</v>
      </c>
      <c r="H139" s="26">
        <f>IF(A139="","",COUNT(D139:G139))</f>
        <v>0</v>
      </c>
      <c r="I139" s="27">
        <f>IF(A139="","",IF(H139=0,"",AVERAGE(D139:G139)))</f>
        <v>0</v>
      </c>
      <c r="J139" s="27">
        <f>IF(OR(I139="",C139=""),"",I139-C139)</f>
        <v>0</v>
      </c>
      <c r="K139" s="26">
        <f>IF(A139="","",IF(MES!E139&lt;&gt;4,"Horário do MES fora do padrão",IF(H139&lt;cfgMinCortes,"Cortes insuficientes","Válida")))</f>
        <v>0</v>
      </c>
      <c r="L139" s="27">
        <f>IF(K139="Válida",ABS(J139),"")</f>
        <v>0</v>
      </c>
      <c r="M139" s="26">
        <f>IF(K139="Válida",IF(L139&lt;=cfgTolerancia,"Sim","Não"),"")</f>
        <v>0</v>
      </c>
      <c r="N139" s="26">
        <f>IF(A139="","",MES!D139)</f>
        <v>0</v>
      </c>
      <c r="O139" s="25">
        <f>IF(K139="Válida",A139,NA())</f>
        <v>0</v>
      </c>
      <c r="P139" s="27">
        <f>IF(K139="Válida",C139,NA())</f>
        <v>0</v>
      </c>
      <c r="Q139" s="27">
        <f>IF(K139="Válida",I139,NA())</f>
        <v>0</v>
      </c>
      <c r="R139" s="27">
        <f>IF(K139="Válida",J139,NA())</f>
        <v>0</v>
      </c>
      <c r="S139" s="27">
        <f>IF(K139="Válida",C139,"")</f>
        <v>0</v>
      </c>
      <c r="T139" s="27">
        <f>IF(K139="Válida",I139,"")</f>
        <v>0</v>
      </c>
      <c r="U139" s="27">
        <f>IF(K139="Válida",J139,"")</f>
        <v>0</v>
      </c>
    </row>
    <row r="140" spans="1:21">
      <c r="A140" s="25">
        <f>IF(MES!A140="","",MES!C140/48)</f>
        <v>0</v>
      </c>
      <c r="B140" s="26">
        <f>IF(A140="","",TEXT((N140*4+cfgDeslocamento)/48,"hh:mm")&amp;" a "&amp;TEXT(A140,"hh:mm"))</f>
        <v>0</v>
      </c>
      <c r="C140" s="27">
        <f>IF(A140="","",MES!B140)</f>
        <v>0</v>
      </c>
      <c r="D140" s="27">
        <f>IF(A140="","",IFERROR(AVERAGEIFS(Prensa!$B$2:$B$5001,Prensa!$E$2:$E$5001,N140,Prensa!$F$2:$F$5001,1,Prensa!$G$2:$G$5001,1),""))</f>
        <v>0</v>
      </c>
      <c r="E140" s="27">
        <f>IF(A140="","",IFERROR(AVERAGEIFS(Prensa!$B$2:$B$5001,Prensa!$E$2:$E$5001,N140,Prensa!$F$2:$F$5001,2,Prensa!$G$2:$G$5001,1),""))</f>
        <v>0</v>
      </c>
      <c r="F140" s="27">
        <f>IF(A140="","",IFERROR(AVERAGEIFS(Prensa!$B$2:$B$5001,Prensa!$E$2:$E$5001,N140,Prensa!$F$2:$F$5001,3,Prensa!$G$2:$G$5001,1),""))</f>
        <v>0</v>
      </c>
      <c r="G140" s="27">
        <f>IF(A140="","",IFERROR(AVERAGEIFS(Prensa!$B$2:$B$5001,Prensa!$E$2:$E$5001,N140,Prensa!$F$2:$F$5001,4,Prensa!$G$2:$G$5001,1),""))</f>
        <v>0</v>
      </c>
      <c r="H140" s="26">
        <f>IF(A140="","",COUNT(D140:G140))</f>
        <v>0</v>
      </c>
      <c r="I140" s="27">
        <f>IF(A140="","",IF(H140=0,"",AVERAGE(D140:G140)))</f>
        <v>0</v>
      </c>
      <c r="J140" s="27">
        <f>IF(OR(I140="",C140=""),"",I140-C140)</f>
        <v>0</v>
      </c>
      <c r="K140" s="26">
        <f>IF(A140="","",IF(MES!E140&lt;&gt;4,"Horário do MES fora do padrão",IF(H140&lt;cfgMinCortes,"Cortes insuficientes","Válida")))</f>
        <v>0</v>
      </c>
      <c r="L140" s="27">
        <f>IF(K140="Válida",ABS(J140),"")</f>
        <v>0</v>
      </c>
      <c r="M140" s="26">
        <f>IF(K140="Válida",IF(L140&lt;=cfgTolerancia,"Sim","Não"),"")</f>
        <v>0</v>
      </c>
      <c r="N140" s="26">
        <f>IF(A140="","",MES!D140)</f>
        <v>0</v>
      </c>
      <c r="O140" s="25">
        <f>IF(K140="Válida",A140,NA())</f>
        <v>0</v>
      </c>
      <c r="P140" s="27">
        <f>IF(K140="Válida",C140,NA())</f>
        <v>0</v>
      </c>
      <c r="Q140" s="27">
        <f>IF(K140="Válida",I140,NA())</f>
        <v>0</v>
      </c>
      <c r="R140" s="27">
        <f>IF(K140="Válida",J140,NA())</f>
        <v>0</v>
      </c>
      <c r="S140" s="27">
        <f>IF(K140="Válida",C140,"")</f>
        <v>0</v>
      </c>
      <c r="T140" s="27">
        <f>IF(K140="Válida",I140,"")</f>
        <v>0</v>
      </c>
      <c r="U140" s="27">
        <f>IF(K140="Válida",J140,"")</f>
        <v>0</v>
      </c>
    </row>
    <row r="141" spans="1:21">
      <c r="A141" s="25">
        <f>IF(MES!A141="","",MES!C141/48)</f>
        <v>0</v>
      </c>
      <c r="B141" s="26">
        <f>IF(A141="","",TEXT((N141*4+cfgDeslocamento)/48,"hh:mm")&amp;" a "&amp;TEXT(A141,"hh:mm"))</f>
        <v>0</v>
      </c>
      <c r="C141" s="27">
        <f>IF(A141="","",MES!B141)</f>
        <v>0</v>
      </c>
      <c r="D141" s="27">
        <f>IF(A141="","",IFERROR(AVERAGEIFS(Prensa!$B$2:$B$5001,Prensa!$E$2:$E$5001,N141,Prensa!$F$2:$F$5001,1,Prensa!$G$2:$G$5001,1),""))</f>
        <v>0</v>
      </c>
      <c r="E141" s="27">
        <f>IF(A141="","",IFERROR(AVERAGEIFS(Prensa!$B$2:$B$5001,Prensa!$E$2:$E$5001,N141,Prensa!$F$2:$F$5001,2,Prensa!$G$2:$G$5001,1),""))</f>
        <v>0</v>
      </c>
      <c r="F141" s="27">
        <f>IF(A141="","",IFERROR(AVERAGEIFS(Prensa!$B$2:$B$5001,Prensa!$E$2:$E$5001,N141,Prensa!$F$2:$F$5001,3,Prensa!$G$2:$G$5001,1),""))</f>
        <v>0</v>
      </c>
      <c r="G141" s="27">
        <f>IF(A141="","",IFERROR(AVERAGEIFS(Prensa!$B$2:$B$5001,Prensa!$E$2:$E$5001,N141,Prensa!$F$2:$F$5001,4,Prensa!$G$2:$G$5001,1),""))</f>
        <v>0</v>
      </c>
      <c r="H141" s="26">
        <f>IF(A141="","",COUNT(D141:G141))</f>
        <v>0</v>
      </c>
      <c r="I141" s="27">
        <f>IF(A141="","",IF(H141=0,"",AVERAGE(D141:G141)))</f>
        <v>0</v>
      </c>
      <c r="J141" s="27">
        <f>IF(OR(I141="",C141=""),"",I141-C141)</f>
        <v>0</v>
      </c>
      <c r="K141" s="26">
        <f>IF(A141="","",IF(MES!E141&lt;&gt;4,"Horário do MES fora do padrão",IF(H141&lt;cfgMinCortes,"Cortes insuficientes","Válida")))</f>
        <v>0</v>
      </c>
      <c r="L141" s="27">
        <f>IF(K141="Válida",ABS(J141),"")</f>
        <v>0</v>
      </c>
      <c r="M141" s="26">
        <f>IF(K141="Válida",IF(L141&lt;=cfgTolerancia,"Sim","Não"),"")</f>
        <v>0</v>
      </c>
      <c r="N141" s="26">
        <f>IF(A141="","",MES!D141)</f>
        <v>0</v>
      </c>
      <c r="O141" s="25">
        <f>IF(K141="Válida",A141,NA())</f>
        <v>0</v>
      </c>
      <c r="P141" s="27">
        <f>IF(K141="Válida",C141,NA())</f>
        <v>0</v>
      </c>
      <c r="Q141" s="27">
        <f>IF(K141="Válida",I141,NA())</f>
        <v>0</v>
      </c>
      <c r="R141" s="27">
        <f>IF(K141="Válida",J141,NA())</f>
        <v>0</v>
      </c>
      <c r="S141" s="27">
        <f>IF(K141="Válida",C141,"")</f>
        <v>0</v>
      </c>
      <c r="T141" s="27">
        <f>IF(K141="Válida",I141,"")</f>
        <v>0</v>
      </c>
      <c r="U141" s="27">
        <f>IF(K141="Válida",J141,"")</f>
        <v>0</v>
      </c>
    </row>
    <row r="142" spans="1:21">
      <c r="A142" s="25">
        <f>IF(MES!A142="","",MES!C142/48)</f>
        <v>0</v>
      </c>
      <c r="B142" s="26">
        <f>IF(A142="","",TEXT((N142*4+cfgDeslocamento)/48,"hh:mm")&amp;" a "&amp;TEXT(A142,"hh:mm"))</f>
        <v>0</v>
      </c>
      <c r="C142" s="27">
        <f>IF(A142="","",MES!B142)</f>
        <v>0</v>
      </c>
      <c r="D142" s="27">
        <f>IF(A142="","",IFERROR(AVERAGEIFS(Prensa!$B$2:$B$5001,Prensa!$E$2:$E$5001,N142,Prensa!$F$2:$F$5001,1,Prensa!$G$2:$G$5001,1),""))</f>
        <v>0</v>
      </c>
      <c r="E142" s="27">
        <f>IF(A142="","",IFERROR(AVERAGEIFS(Prensa!$B$2:$B$5001,Prensa!$E$2:$E$5001,N142,Prensa!$F$2:$F$5001,2,Prensa!$G$2:$G$5001,1),""))</f>
        <v>0</v>
      </c>
      <c r="F142" s="27">
        <f>IF(A142="","",IFERROR(AVERAGEIFS(Prensa!$B$2:$B$5001,Prensa!$E$2:$E$5001,N142,Prensa!$F$2:$F$5001,3,Prensa!$G$2:$G$5001,1),""))</f>
        <v>0</v>
      </c>
      <c r="G142" s="27">
        <f>IF(A142="","",IFERROR(AVERAGEIFS(Prensa!$B$2:$B$5001,Prensa!$E$2:$E$5001,N142,Prensa!$F$2:$F$5001,4,Prensa!$G$2:$G$5001,1),""))</f>
        <v>0</v>
      </c>
      <c r="H142" s="26">
        <f>IF(A142="","",COUNT(D142:G142))</f>
        <v>0</v>
      </c>
      <c r="I142" s="27">
        <f>IF(A142="","",IF(H142=0,"",AVERAGE(D142:G142)))</f>
        <v>0</v>
      </c>
      <c r="J142" s="27">
        <f>IF(OR(I142="",C142=""),"",I142-C142)</f>
        <v>0</v>
      </c>
      <c r="K142" s="26">
        <f>IF(A142="","",IF(MES!E142&lt;&gt;4,"Horário do MES fora do padrão",IF(H142&lt;cfgMinCortes,"Cortes insuficientes","Válida")))</f>
        <v>0</v>
      </c>
      <c r="L142" s="27">
        <f>IF(K142="Válida",ABS(J142),"")</f>
        <v>0</v>
      </c>
      <c r="M142" s="26">
        <f>IF(K142="Válida",IF(L142&lt;=cfgTolerancia,"Sim","Não"),"")</f>
        <v>0</v>
      </c>
      <c r="N142" s="26">
        <f>IF(A142="","",MES!D142)</f>
        <v>0</v>
      </c>
      <c r="O142" s="25">
        <f>IF(K142="Válida",A142,NA())</f>
        <v>0</v>
      </c>
      <c r="P142" s="27">
        <f>IF(K142="Válida",C142,NA())</f>
        <v>0</v>
      </c>
      <c r="Q142" s="27">
        <f>IF(K142="Válida",I142,NA())</f>
        <v>0</v>
      </c>
      <c r="R142" s="27">
        <f>IF(K142="Válida",J142,NA())</f>
        <v>0</v>
      </c>
      <c r="S142" s="27">
        <f>IF(K142="Válida",C142,"")</f>
        <v>0</v>
      </c>
      <c r="T142" s="27">
        <f>IF(K142="Válida",I142,"")</f>
        <v>0</v>
      </c>
      <c r="U142" s="27">
        <f>IF(K142="Válida",J142,"")</f>
        <v>0</v>
      </c>
    </row>
    <row r="143" spans="1:21">
      <c r="A143" s="25">
        <f>IF(MES!A143="","",MES!C143/48)</f>
        <v>0</v>
      </c>
      <c r="B143" s="26">
        <f>IF(A143="","",TEXT((N143*4+cfgDeslocamento)/48,"hh:mm")&amp;" a "&amp;TEXT(A143,"hh:mm"))</f>
        <v>0</v>
      </c>
      <c r="C143" s="27">
        <f>IF(A143="","",MES!B143)</f>
        <v>0</v>
      </c>
      <c r="D143" s="27">
        <f>IF(A143="","",IFERROR(AVERAGEIFS(Prensa!$B$2:$B$5001,Prensa!$E$2:$E$5001,N143,Prensa!$F$2:$F$5001,1,Prensa!$G$2:$G$5001,1),""))</f>
        <v>0</v>
      </c>
      <c r="E143" s="27">
        <f>IF(A143="","",IFERROR(AVERAGEIFS(Prensa!$B$2:$B$5001,Prensa!$E$2:$E$5001,N143,Prensa!$F$2:$F$5001,2,Prensa!$G$2:$G$5001,1),""))</f>
        <v>0</v>
      </c>
      <c r="F143" s="27">
        <f>IF(A143="","",IFERROR(AVERAGEIFS(Prensa!$B$2:$B$5001,Prensa!$E$2:$E$5001,N143,Prensa!$F$2:$F$5001,3,Prensa!$G$2:$G$5001,1),""))</f>
        <v>0</v>
      </c>
      <c r="G143" s="27">
        <f>IF(A143="","",IFERROR(AVERAGEIFS(Prensa!$B$2:$B$5001,Prensa!$E$2:$E$5001,N143,Prensa!$F$2:$F$5001,4,Prensa!$G$2:$G$5001,1),""))</f>
        <v>0</v>
      </c>
      <c r="H143" s="26">
        <f>IF(A143="","",COUNT(D143:G143))</f>
        <v>0</v>
      </c>
      <c r="I143" s="27">
        <f>IF(A143="","",IF(H143=0,"",AVERAGE(D143:G143)))</f>
        <v>0</v>
      </c>
      <c r="J143" s="27">
        <f>IF(OR(I143="",C143=""),"",I143-C143)</f>
        <v>0</v>
      </c>
      <c r="K143" s="26">
        <f>IF(A143="","",IF(MES!E143&lt;&gt;4,"Horário do MES fora do padrão",IF(H143&lt;cfgMinCortes,"Cortes insuficientes","Válida")))</f>
        <v>0</v>
      </c>
      <c r="L143" s="27">
        <f>IF(K143="Válida",ABS(J143),"")</f>
        <v>0</v>
      </c>
      <c r="M143" s="26">
        <f>IF(K143="Válida",IF(L143&lt;=cfgTolerancia,"Sim","Não"),"")</f>
        <v>0</v>
      </c>
      <c r="N143" s="26">
        <f>IF(A143="","",MES!D143)</f>
        <v>0</v>
      </c>
      <c r="O143" s="25">
        <f>IF(K143="Válida",A143,NA())</f>
        <v>0</v>
      </c>
      <c r="P143" s="27">
        <f>IF(K143="Válida",C143,NA())</f>
        <v>0</v>
      </c>
      <c r="Q143" s="27">
        <f>IF(K143="Válida",I143,NA())</f>
        <v>0</v>
      </c>
      <c r="R143" s="27">
        <f>IF(K143="Válida",J143,NA())</f>
        <v>0</v>
      </c>
      <c r="S143" s="27">
        <f>IF(K143="Válida",C143,"")</f>
        <v>0</v>
      </c>
      <c r="T143" s="27">
        <f>IF(K143="Válida",I143,"")</f>
        <v>0</v>
      </c>
      <c r="U143" s="27">
        <f>IF(K143="Válida",J143,"")</f>
        <v>0</v>
      </c>
    </row>
    <row r="144" spans="1:21">
      <c r="A144" s="25">
        <f>IF(MES!A144="","",MES!C144/48)</f>
        <v>0</v>
      </c>
      <c r="B144" s="26">
        <f>IF(A144="","",TEXT((N144*4+cfgDeslocamento)/48,"hh:mm")&amp;" a "&amp;TEXT(A144,"hh:mm"))</f>
        <v>0</v>
      </c>
      <c r="C144" s="27">
        <f>IF(A144="","",MES!B144)</f>
        <v>0</v>
      </c>
      <c r="D144" s="27">
        <f>IF(A144="","",IFERROR(AVERAGEIFS(Prensa!$B$2:$B$5001,Prensa!$E$2:$E$5001,N144,Prensa!$F$2:$F$5001,1,Prensa!$G$2:$G$5001,1),""))</f>
        <v>0</v>
      </c>
      <c r="E144" s="27">
        <f>IF(A144="","",IFERROR(AVERAGEIFS(Prensa!$B$2:$B$5001,Prensa!$E$2:$E$5001,N144,Prensa!$F$2:$F$5001,2,Prensa!$G$2:$G$5001,1),""))</f>
        <v>0</v>
      </c>
      <c r="F144" s="27">
        <f>IF(A144="","",IFERROR(AVERAGEIFS(Prensa!$B$2:$B$5001,Prensa!$E$2:$E$5001,N144,Prensa!$F$2:$F$5001,3,Prensa!$G$2:$G$5001,1),""))</f>
        <v>0</v>
      </c>
      <c r="G144" s="27">
        <f>IF(A144="","",IFERROR(AVERAGEIFS(Prensa!$B$2:$B$5001,Prensa!$E$2:$E$5001,N144,Prensa!$F$2:$F$5001,4,Prensa!$G$2:$G$5001,1),""))</f>
        <v>0</v>
      </c>
      <c r="H144" s="26">
        <f>IF(A144="","",COUNT(D144:G144))</f>
        <v>0</v>
      </c>
      <c r="I144" s="27">
        <f>IF(A144="","",IF(H144=0,"",AVERAGE(D144:G144)))</f>
        <v>0</v>
      </c>
      <c r="J144" s="27">
        <f>IF(OR(I144="",C144=""),"",I144-C144)</f>
        <v>0</v>
      </c>
      <c r="K144" s="26">
        <f>IF(A144="","",IF(MES!E144&lt;&gt;4,"Horário do MES fora do padrão",IF(H144&lt;cfgMinCortes,"Cortes insuficientes","Válida")))</f>
        <v>0</v>
      </c>
      <c r="L144" s="27">
        <f>IF(K144="Válida",ABS(J144),"")</f>
        <v>0</v>
      </c>
      <c r="M144" s="26">
        <f>IF(K144="Válida",IF(L144&lt;=cfgTolerancia,"Sim","Não"),"")</f>
        <v>0</v>
      </c>
      <c r="N144" s="26">
        <f>IF(A144="","",MES!D144)</f>
        <v>0</v>
      </c>
      <c r="O144" s="25">
        <f>IF(K144="Válida",A144,NA())</f>
        <v>0</v>
      </c>
      <c r="P144" s="27">
        <f>IF(K144="Válida",C144,NA())</f>
        <v>0</v>
      </c>
      <c r="Q144" s="27">
        <f>IF(K144="Válida",I144,NA())</f>
        <v>0</v>
      </c>
      <c r="R144" s="27">
        <f>IF(K144="Válida",J144,NA())</f>
        <v>0</v>
      </c>
      <c r="S144" s="27">
        <f>IF(K144="Válida",C144,"")</f>
        <v>0</v>
      </c>
      <c r="T144" s="27">
        <f>IF(K144="Válida",I144,"")</f>
        <v>0</v>
      </c>
      <c r="U144" s="27">
        <f>IF(K144="Válida",J144,"")</f>
        <v>0</v>
      </c>
    </row>
    <row r="145" spans="1:21">
      <c r="A145" s="25">
        <f>IF(MES!A145="","",MES!C145/48)</f>
        <v>0</v>
      </c>
      <c r="B145" s="26">
        <f>IF(A145="","",TEXT((N145*4+cfgDeslocamento)/48,"hh:mm")&amp;" a "&amp;TEXT(A145,"hh:mm"))</f>
        <v>0</v>
      </c>
      <c r="C145" s="27">
        <f>IF(A145="","",MES!B145)</f>
        <v>0</v>
      </c>
      <c r="D145" s="27">
        <f>IF(A145="","",IFERROR(AVERAGEIFS(Prensa!$B$2:$B$5001,Prensa!$E$2:$E$5001,N145,Prensa!$F$2:$F$5001,1,Prensa!$G$2:$G$5001,1),""))</f>
        <v>0</v>
      </c>
      <c r="E145" s="27">
        <f>IF(A145="","",IFERROR(AVERAGEIFS(Prensa!$B$2:$B$5001,Prensa!$E$2:$E$5001,N145,Prensa!$F$2:$F$5001,2,Prensa!$G$2:$G$5001,1),""))</f>
        <v>0</v>
      </c>
      <c r="F145" s="27">
        <f>IF(A145="","",IFERROR(AVERAGEIFS(Prensa!$B$2:$B$5001,Prensa!$E$2:$E$5001,N145,Prensa!$F$2:$F$5001,3,Prensa!$G$2:$G$5001,1),""))</f>
        <v>0</v>
      </c>
      <c r="G145" s="27">
        <f>IF(A145="","",IFERROR(AVERAGEIFS(Prensa!$B$2:$B$5001,Prensa!$E$2:$E$5001,N145,Prensa!$F$2:$F$5001,4,Prensa!$G$2:$G$5001,1),""))</f>
        <v>0</v>
      </c>
      <c r="H145" s="26">
        <f>IF(A145="","",COUNT(D145:G145))</f>
        <v>0</v>
      </c>
      <c r="I145" s="27">
        <f>IF(A145="","",IF(H145=0,"",AVERAGE(D145:G145)))</f>
        <v>0</v>
      </c>
      <c r="J145" s="27">
        <f>IF(OR(I145="",C145=""),"",I145-C145)</f>
        <v>0</v>
      </c>
      <c r="K145" s="26">
        <f>IF(A145="","",IF(MES!E145&lt;&gt;4,"Horário do MES fora do padrão",IF(H145&lt;cfgMinCortes,"Cortes insuficientes","Válida")))</f>
        <v>0</v>
      </c>
      <c r="L145" s="27">
        <f>IF(K145="Válida",ABS(J145),"")</f>
        <v>0</v>
      </c>
      <c r="M145" s="26">
        <f>IF(K145="Válida",IF(L145&lt;=cfgTolerancia,"Sim","Não"),"")</f>
        <v>0</v>
      </c>
      <c r="N145" s="26">
        <f>IF(A145="","",MES!D145)</f>
        <v>0</v>
      </c>
      <c r="O145" s="25">
        <f>IF(K145="Válida",A145,NA())</f>
        <v>0</v>
      </c>
      <c r="P145" s="27">
        <f>IF(K145="Válida",C145,NA())</f>
        <v>0</v>
      </c>
      <c r="Q145" s="27">
        <f>IF(K145="Válida",I145,NA())</f>
        <v>0</v>
      </c>
      <c r="R145" s="27">
        <f>IF(K145="Válida",J145,NA())</f>
        <v>0</v>
      </c>
      <c r="S145" s="27">
        <f>IF(K145="Válida",C145,"")</f>
        <v>0</v>
      </c>
      <c r="T145" s="27">
        <f>IF(K145="Válida",I145,"")</f>
        <v>0</v>
      </c>
      <c r="U145" s="27">
        <f>IF(K145="Válida",J145,"")</f>
        <v>0</v>
      </c>
    </row>
    <row r="146" spans="1:21">
      <c r="A146" s="25">
        <f>IF(MES!A146="","",MES!C146/48)</f>
        <v>0</v>
      </c>
      <c r="B146" s="26">
        <f>IF(A146="","",TEXT((N146*4+cfgDeslocamento)/48,"hh:mm")&amp;" a "&amp;TEXT(A146,"hh:mm"))</f>
        <v>0</v>
      </c>
      <c r="C146" s="27">
        <f>IF(A146="","",MES!B146)</f>
        <v>0</v>
      </c>
      <c r="D146" s="27">
        <f>IF(A146="","",IFERROR(AVERAGEIFS(Prensa!$B$2:$B$5001,Prensa!$E$2:$E$5001,N146,Prensa!$F$2:$F$5001,1,Prensa!$G$2:$G$5001,1),""))</f>
        <v>0</v>
      </c>
      <c r="E146" s="27">
        <f>IF(A146="","",IFERROR(AVERAGEIFS(Prensa!$B$2:$B$5001,Prensa!$E$2:$E$5001,N146,Prensa!$F$2:$F$5001,2,Prensa!$G$2:$G$5001,1),""))</f>
        <v>0</v>
      </c>
      <c r="F146" s="27">
        <f>IF(A146="","",IFERROR(AVERAGEIFS(Prensa!$B$2:$B$5001,Prensa!$E$2:$E$5001,N146,Prensa!$F$2:$F$5001,3,Prensa!$G$2:$G$5001,1),""))</f>
        <v>0</v>
      </c>
      <c r="G146" s="27">
        <f>IF(A146="","",IFERROR(AVERAGEIFS(Prensa!$B$2:$B$5001,Prensa!$E$2:$E$5001,N146,Prensa!$F$2:$F$5001,4,Prensa!$G$2:$G$5001,1),""))</f>
        <v>0</v>
      </c>
      <c r="H146" s="26">
        <f>IF(A146="","",COUNT(D146:G146))</f>
        <v>0</v>
      </c>
      <c r="I146" s="27">
        <f>IF(A146="","",IF(H146=0,"",AVERAGE(D146:G146)))</f>
        <v>0</v>
      </c>
      <c r="J146" s="27">
        <f>IF(OR(I146="",C146=""),"",I146-C146)</f>
        <v>0</v>
      </c>
      <c r="K146" s="26">
        <f>IF(A146="","",IF(MES!E146&lt;&gt;4,"Horário do MES fora do padrão",IF(H146&lt;cfgMinCortes,"Cortes insuficientes","Válida")))</f>
        <v>0</v>
      </c>
      <c r="L146" s="27">
        <f>IF(K146="Válida",ABS(J146),"")</f>
        <v>0</v>
      </c>
      <c r="M146" s="26">
        <f>IF(K146="Válida",IF(L146&lt;=cfgTolerancia,"Sim","Não"),"")</f>
        <v>0</v>
      </c>
      <c r="N146" s="26">
        <f>IF(A146="","",MES!D146)</f>
        <v>0</v>
      </c>
      <c r="O146" s="25">
        <f>IF(K146="Válida",A146,NA())</f>
        <v>0</v>
      </c>
      <c r="P146" s="27">
        <f>IF(K146="Válida",C146,NA())</f>
        <v>0</v>
      </c>
      <c r="Q146" s="27">
        <f>IF(K146="Válida",I146,NA())</f>
        <v>0</v>
      </c>
      <c r="R146" s="27">
        <f>IF(K146="Válida",J146,NA())</f>
        <v>0</v>
      </c>
      <c r="S146" s="27">
        <f>IF(K146="Válida",C146,"")</f>
        <v>0</v>
      </c>
      <c r="T146" s="27">
        <f>IF(K146="Válida",I146,"")</f>
        <v>0</v>
      </c>
      <c r="U146" s="27">
        <f>IF(K146="Válida",J146,"")</f>
        <v>0</v>
      </c>
    </row>
    <row r="147" spans="1:21">
      <c r="A147" s="25">
        <f>IF(MES!A147="","",MES!C147/48)</f>
        <v>0</v>
      </c>
      <c r="B147" s="26">
        <f>IF(A147="","",TEXT((N147*4+cfgDeslocamento)/48,"hh:mm")&amp;" a "&amp;TEXT(A147,"hh:mm"))</f>
        <v>0</v>
      </c>
      <c r="C147" s="27">
        <f>IF(A147="","",MES!B147)</f>
        <v>0</v>
      </c>
      <c r="D147" s="27">
        <f>IF(A147="","",IFERROR(AVERAGEIFS(Prensa!$B$2:$B$5001,Prensa!$E$2:$E$5001,N147,Prensa!$F$2:$F$5001,1,Prensa!$G$2:$G$5001,1),""))</f>
        <v>0</v>
      </c>
      <c r="E147" s="27">
        <f>IF(A147="","",IFERROR(AVERAGEIFS(Prensa!$B$2:$B$5001,Prensa!$E$2:$E$5001,N147,Prensa!$F$2:$F$5001,2,Prensa!$G$2:$G$5001,1),""))</f>
        <v>0</v>
      </c>
      <c r="F147" s="27">
        <f>IF(A147="","",IFERROR(AVERAGEIFS(Prensa!$B$2:$B$5001,Prensa!$E$2:$E$5001,N147,Prensa!$F$2:$F$5001,3,Prensa!$G$2:$G$5001,1),""))</f>
        <v>0</v>
      </c>
      <c r="G147" s="27">
        <f>IF(A147="","",IFERROR(AVERAGEIFS(Prensa!$B$2:$B$5001,Prensa!$E$2:$E$5001,N147,Prensa!$F$2:$F$5001,4,Prensa!$G$2:$G$5001,1),""))</f>
        <v>0</v>
      </c>
      <c r="H147" s="26">
        <f>IF(A147="","",COUNT(D147:G147))</f>
        <v>0</v>
      </c>
      <c r="I147" s="27">
        <f>IF(A147="","",IF(H147=0,"",AVERAGE(D147:G147)))</f>
        <v>0</v>
      </c>
      <c r="J147" s="27">
        <f>IF(OR(I147="",C147=""),"",I147-C147)</f>
        <v>0</v>
      </c>
      <c r="K147" s="26">
        <f>IF(A147="","",IF(MES!E147&lt;&gt;4,"Horário do MES fora do padrão",IF(H147&lt;cfgMinCortes,"Cortes insuficientes","Válida")))</f>
        <v>0</v>
      </c>
      <c r="L147" s="27">
        <f>IF(K147="Válida",ABS(J147),"")</f>
        <v>0</v>
      </c>
      <c r="M147" s="26">
        <f>IF(K147="Válida",IF(L147&lt;=cfgTolerancia,"Sim","Não"),"")</f>
        <v>0</v>
      </c>
      <c r="N147" s="26">
        <f>IF(A147="","",MES!D147)</f>
        <v>0</v>
      </c>
      <c r="O147" s="25">
        <f>IF(K147="Válida",A147,NA())</f>
        <v>0</v>
      </c>
      <c r="P147" s="27">
        <f>IF(K147="Válida",C147,NA())</f>
        <v>0</v>
      </c>
      <c r="Q147" s="27">
        <f>IF(K147="Válida",I147,NA())</f>
        <v>0</v>
      </c>
      <c r="R147" s="27">
        <f>IF(K147="Válida",J147,NA())</f>
        <v>0</v>
      </c>
      <c r="S147" s="27">
        <f>IF(K147="Válida",C147,"")</f>
        <v>0</v>
      </c>
      <c r="T147" s="27">
        <f>IF(K147="Válida",I147,"")</f>
        <v>0</v>
      </c>
      <c r="U147" s="27">
        <f>IF(K147="Válida",J147,"")</f>
        <v>0</v>
      </c>
    </row>
    <row r="148" spans="1:21">
      <c r="A148" s="25">
        <f>IF(MES!A148="","",MES!C148/48)</f>
        <v>0</v>
      </c>
      <c r="B148" s="26">
        <f>IF(A148="","",TEXT((N148*4+cfgDeslocamento)/48,"hh:mm")&amp;" a "&amp;TEXT(A148,"hh:mm"))</f>
        <v>0</v>
      </c>
      <c r="C148" s="27">
        <f>IF(A148="","",MES!B148)</f>
        <v>0</v>
      </c>
      <c r="D148" s="27">
        <f>IF(A148="","",IFERROR(AVERAGEIFS(Prensa!$B$2:$B$5001,Prensa!$E$2:$E$5001,N148,Prensa!$F$2:$F$5001,1,Prensa!$G$2:$G$5001,1),""))</f>
        <v>0</v>
      </c>
      <c r="E148" s="27">
        <f>IF(A148="","",IFERROR(AVERAGEIFS(Prensa!$B$2:$B$5001,Prensa!$E$2:$E$5001,N148,Prensa!$F$2:$F$5001,2,Prensa!$G$2:$G$5001,1),""))</f>
        <v>0</v>
      </c>
      <c r="F148" s="27">
        <f>IF(A148="","",IFERROR(AVERAGEIFS(Prensa!$B$2:$B$5001,Prensa!$E$2:$E$5001,N148,Prensa!$F$2:$F$5001,3,Prensa!$G$2:$G$5001,1),""))</f>
        <v>0</v>
      </c>
      <c r="G148" s="27">
        <f>IF(A148="","",IFERROR(AVERAGEIFS(Prensa!$B$2:$B$5001,Prensa!$E$2:$E$5001,N148,Prensa!$F$2:$F$5001,4,Prensa!$G$2:$G$5001,1),""))</f>
        <v>0</v>
      </c>
      <c r="H148" s="26">
        <f>IF(A148="","",COUNT(D148:G148))</f>
        <v>0</v>
      </c>
      <c r="I148" s="27">
        <f>IF(A148="","",IF(H148=0,"",AVERAGE(D148:G148)))</f>
        <v>0</v>
      </c>
      <c r="J148" s="27">
        <f>IF(OR(I148="",C148=""),"",I148-C148)</f>
        <v>0</v>
      </c>
      <c r="K148" s="26">
        <f>IF(A148="","",IF(MES!E148&lt;&gt;4,"Horário do MES fora do padrão",IF(H148&lt;cfgMinCortes,"Cortes insuficientes","Válida")))</f>
        <v>0</v>
      </c>
      <c r="L148" s="27">
        <f>IF(K148="Válida",ABS(J148),"")</f>
        <v>0</v>
      </c>
      <c r="M148" s="26">
        <f>IF(K148="Válida",IF(L148&lt;=cfgTolerancia,"Sim","Não"),"")</f>
        <v>0</v>
      </c>
      <c r="N148" s="26">
        <f>IF(A148="","",MES!D148)</f>
        <v>0</v>
      </c>
      <c r="O148" s="25">
        <f>IF(K148="Válida",A148,NA())</f>
        <v>0</v>
      </c>
      <c r="P148" s="27">
        <f>IF(K148="Válida",C148,NA())</f>
        <v>0</v>
      </c>
      <c r="Q148" s="27">
        <f>IF(K148="Válida",I148,NA())</f>
        <v>0</v>
      </c>
      <c r="R148" s="27">
        <f>IF(K148="Válida",J148,NA())</f>
        <v>0</v>
      </c>
      <c r="S148" s="27">
        <f>IF(K148="Válida",C148,"")</f>
        <v>0</v>
      </c>
      <c r="T148" s="27">
        <f>IF(K148="Válida",I148,"")</f>
        <v>0</v>
      </c>
      <c r="U148" s="27">
        <f>IF(K148="Válida",J148,"")</f>
        <v>0</v>
      </c>
    </row>
    <row r="149" spans="1:21">
      <c r="A149" s="25">
        <f>IF(MES!A149="","",MES!C149/48)</f>
        <v>0</v>
      </c>
      <c r="B149" s="26">
        <f>IF(A149="","",TEXT((N149*4+cfgDeslocamento)/48,"hh:mm")&amp;" a "&amp;TEXT(A149,"hh:mm"))</f>
        <v>0</v>
      </c>
      <c r="C149" s="27">
        <f>IF(A149="","",MES!B149)</f>
        <v>0</v>
      </c>
      <c r="D149" s="27">
        <f>IF(A149="","",IFERROR(AVERAGEIFS(Prensa!$B$2:$B$5001,Prensa!$E$2:$E$5001,N149,Prensa!$F$2:$F$5001,1,Prensa!$G$2:$G$5001,1),""))</f>
        <v>0</v>
      </c>
      <c r="E149" s="27">
        <f>IF(A149="","",IFERROR(AVERAGEIFS(Prensa!$B$2:$B$5001,Prensa!$E$2:$E$5001,N149,Prensa!$F$2:$F$5001,2,Prensa!$G$2:$G$5001,1),""))</f>
        <v>0</v>
      </c>
      <c r="F149" s="27">
        <f>IF(A149="","",IFERROR(AVERAGEIFS(Prensa!$B$2:$B$5001,Prensa!$E$2:$E$5001,N149,Prensa!$F$2:$F$5001,3,Prensa!$G$2:$G$5001,1),""))</f>
        <v>0</v>
      </c>
      <c r="G149" s="27">
        <f>IF(A149="","",IFERROR(AVERAGEIFS(Prensa!$B$2:$B$5001,Prensa!$E$2:$E$5001,N149,Prensa!$F$2:$F$5001,4,Prensa!$G$2:$G$5001,1),""))</f>
        <v>0</v>
      </c>
      <c r="H149" s="26">
        <f>IF(A149="","",COUNT(D149:G149))</f>
        <v>0</v>
      </c>
      <c r="I149" s="27">
        <f>IF(A149="","",IF(H149=0,"",AVERAGE(D149:G149)))</f>
        <v>0</v>
      </c>
      <c r="J149" s="27">
        <f>IF(OR(I149="",C149=""),"",I149-C149)</f>
        <v>0</v>
      </c>
      <c r="K149" s="26">
        <f>IF(A149="","",IF(MES!E149&lt;&gt;4,"Horário do MES fora do padrão",IF(H149&lt;cfgMinCortes,"Cortes insuficientes","Válida")))</f>
        <v>0</v>
      </c>
      <c r="L149" s="27">
        <f>IF(K149="Válida",ABS(J149),"")</f>
        <v>0</v>
      </c>
      <c r="M149" s="26">
        <f>IF(K149="Válida",IF(L149&lt;=cfgTolerancia,"Sim","Não"),"")</f>
        <v>0</v>
      </c>
      <c r="N149" s="26">
        <f>IF(A149="","",MES!D149)</f>
        <v>0</v>
      </c>
      <c r="O149" s="25">
        <f>IF(K149="Válida",A149,NA())</f>
        <v>0</v>
      </c>
      <c r="P149" s="27">
        <f>IF(K149="Válida",C149,NA())</f>
        <v>0</v>
      </c>
      <c r="Q149" s="27">
        <f>IF(K149="Válida",I149,NA())</f>
        <v>0</v>
      </c>
      <c r="R149" s="27">
        <f>IF(K149="Válida",J149,NA())</f>
        <v>0</v>
      </c>
      <c r="S149" s="27">
        <f>IF(K149="Válida",C149,"")</f>
        <v>0</v>
      </c>
      <c r="T149" s="27">
        <f>IF(K149="Válida",I149,"")</f>
        <v>0</v>
      </c>
      <c r="U149" s="27">
        <f>IF(K149="Válida",J149,"")</f>
        <v>0</v>
      </c>
    </row>
    <row r="150" spans="1:21">
      <c r="A150" s="25">
        <f>IF(MES!A150="","",MES!C150/48)</f>
        <v>0</v>
      </c>
      <c r="B150" s="26">
        <f>IF(A150="","",TEXT((N150*4+cfgDeslocamento)/48,"hh:mm")&amp;" a "&amp;TEXT(A150,"hh:mm"))</f>
        <v>0</v>
      </c>
      <c r="C150" s="27">
        <f>IF(A150="","",MES!B150)</f>
        <v>0</v>
      </c>
      <c r="D150" s="27">
        <f>IF(A150="","",IFERROR(AVERAGEIFS(Prensa!$B$2:$B$5001,Prensa!$E$2:$E$5001,N150,Prensa!$F$2:$F$5001,1,Prensa!$G$2:$G$5001,1),""))</f>
        <v>0</v>
      </c>
      <c r="E150" s="27">
        <f>IF(A150="","",IFERROR(AVERAGEIFS(Prensa!$B$2:$B$5001,Prensa!$E$2:$E$5001,N150,Prensa!$F$2:$F$5001,2,Prensa!$G$2:$G$5001,1),""))</f>
        <v>0</v>
      </c>
      <c r="F150" s="27">
        <f>IF(A150="","",IFERROR(AVERAGEIFS(Prensa!$B$2:$B$5001,Prensa!$E$2:$E$5001,N150,Prensa!$F$2:$F$5001,3,Prensa!$G$2:$G$5001,1),""))</f>
        <v>0</v>
      </c>
      <c r="G150" s="27">
        <f>IF(A150="","",IFERROR(AVERAGEIFS(Prensa!$B$2:$B$5001,Prensa!$E$2:$E$5001,N150,Prensa!$F$2:$F$5001,4,Prensa!$G$2:$G$5001,1),""))</f>
        <v>0</v>
      </c>
      <c r="H150" s="26">
        <f>IF(A150="","",COUNT(D150:G150))</f>
        <v>0</v>
      </c>
      <c r="I150" s="27">
        <f>IF(A150="","",IF(H150=0,"",AVERAGE(D150:G150)))</f>
        <v>0</v>
      </c>
      <c r="J150" s="27">
        <f>IF(OR(I150="",C150=""),"",I150-C150)</f>
        <v>0</v>
      </c>
      <c r="K150" s="26">
        <f>IF(A150="","",IF(MES!E150&lt;&gt;4,"Horário do MES fora do padrão",IF(H150&lt;cfgMinCortes,"Cortes insuficientes","Válida")))</f>
        <v>0</v>
      </c>
      <c r="L150" s="27">
        <f>IF(K150="Válida",ABS(J150),"")</f>
        <v>0</v>
      </c>
      <c r="M150" s="26">
        <f>IF(K150="Válida",IF(L150&lt;=cfgTolerancia,"Sim","Não"),"")</f>
        <v>0</v>
      </c>
      <c r="N150" s="26">
        <f>IF(A150="","",MES!D150)</f>
        <v>0</v>
      </c>
      <c r="O150" s="25">
        <f>IF(K150="Válida",A150,NA())</f>
        <v>0</v>
      </c>
      <c r="P150" s="27">
        <f>IF(K150="Válida",C150,NA())</f>
        <v>0</v>
      </c>
      <c r="Q150" s="27">
        <f>IF(K150="Válida",I150,NA())</f>
        <v>0</v>
      </c>
      <c r="R150" s="27">
        <f>IF(K150="Válida",J150,NA())</f>
        <v>0</v>
      </c>
      <c r="S150" s="27">
        <f>IF(K150="Válida",C150,"")</f>
        <v>0</v>
      </c>
      <c r="T150" s="27">
        <f>IF(K150="Válida",I150,"")</f>
        <v>0</v>
      </c>
      <c r="U150" s="27">
        <f>IF(K150="Válida",J150,"")</f>
        <v>0</v>
      </c>
    </row>
    <row r="151" spans="1:21">
      <c r="A151" s="25">
        <f>IF(MES!A151="","",MES!C151/48)</f>
        <v>0</v>
      </c>
      <c r="B151" s="26">
        <f>IF(A151="","",TEXT((N151*4+cfgDeslocamento)/48,"hh:mm")&amp;" a "&amp;TEXT(A151,"hh:mm"))</f>
        <v>0</v>
      </c>
      <c r="C151" s="27">
        <f>IF(A151="","",MES!B151)</f>
        <v>0</v>
      </c>
      <c r="D151" s="27">
        <f>IF(A151="","",IFERROR(AVERAGEIFS(Prensa!$B$2:$B$5001,Prensa!$E$2:$E$5001,N151,Prensa!$F$2:$F$5001,1,Prensa!$G$2:$G$5001,1),""))</f>
        <v>0</v>
      </c>
      <c r="E151" s="27">
        <f>IF(A151="","",IFERROR(AVERAGEIFS(Prensa!$B$2:$B$5001,Prensa!$E$2:$E$5001,N151,Prensa!$F$2:$F$5001,2,Prensa!$G$2:$G$5001,1),""))</f>
        <v>0</v>
      </c>
      <c r="F151" s="27">
        <f>IF(A151="","",IFERROR(AVERAGEIFS(Prensa!$B$2:$B$5001,Prensa!$E$2:$E$5001,N151,Prensa!$F$2:$F$5001,3,Prensa!$G$2:$G$5001,1),""))</f>
        <v>0</v>
      </c>
      <c r="G151" s="27">
        <f>IF(A151="","",IFERROR(AVERAGEIFS(Prensa!$B$2:$B$5001,Prensa!$E$2:$E$5001,N151,Prensa!$F$2:$F$5001,4,Prensa!$G$2:$G$5001,1),""))</f>
        <v>0</v>
      </c>
      <c r="H151" s="26">
        <f>IF(A151="","",COUNT(D151:G151))</f>
        <v>0</v>
      </c>
      <c r="I151" s="27">
        <f>IF(A151="","",IF(H151=0,"",AVERAGE(D151:G151)))</f>
        <v>0</v>
      </c>
      <c r="J151" s="27">
        <f>IF(OR(I151="",C151=""),"",I151-C151)</f>
        <v>0</v>
      </c>
      <c r="K151" s="26">
        <f>IF(A151="","",IF(MES!E151&lt;&gt;4,"Horário do MES fora do padrão",IF(H151&lt;cfgMinCortes,"Cortes insuficientes","Válida")))</f>
        <v>0</v>
      </c>
      <c r="L151" s="27">
        <f>IF(K151="Válida",ABS(J151),"")</f>
        <v>0</v>
      </c>
      <c r="M151" s="26">
        <f>IF(K151="Válida",IF(L151&lt;=cfgTolerancia,"Sim","Não"),"")</f>
        <v>0</v>
      </c>
      <c r="N151" s="26">
        <f>IF(A151="","",MES!D151)</f>
        <v>0</v>
      </c>
      <c r="O151" s="25">
        <f>IF(K151="Válida",A151,NA())</f>
        <v>0</v>
      </c>
      <c r="P151" s="27">
        <f>IF(K151="Válida",C151,NA())</f>
        <v>0</v>
      </c>
      <c r="Q151" s="27">
        <f>IF(K151="Válida",I151,NA())</f>
        <v>0</v>
      </c>
      <c r="R151" s="27">
        <f>IF(K151="Válida",J151,NA())</f>
        <v>0</v>
      </c>
      <c r="S151" s="27">
        <f>IF(K151="Válida",C151,"")</f>
        <v>0</v>
      </c>
      <c r="T151" s="27">
        <f>IF(K151="Válida",I151,"")</f>
        <v>0</v>
      </c>
      <c r="U151" s="27">
        <f>IF(K151="Válida",J151,"")</f>
        <v>0</v>
      </c>
    </row>
    <row r="152" spans="1:21">
      <c r="A152" s="25">
        <f>IF(MES!A152="","",MES!C152/48)</f>
        <v>0</v>
      </c>
      <c r="B152" s="26">
        <f>IF(A152="","",TEXT((N152*4+cfgDeslocamento)/48,"hh:mm")&amp;" a "&amp;TEXT(A152,"hh:mm"))</f>
        <v>0</v>
      </c>
      <c r="C152" s="27">
        <f>IF(A152="","",MES!B152)</f>
        <v>0</v>
      </c>
      <c r="D152" s="27">
        <f>IF(A152="","",IFERROR(AVERAGEIFS(Prensa!$B$2:$B$5001,Prensa!$E$2:$E$5001,N152,Prensa!$F$2:$F$5001,1,Prensa!$G$2:$G$5001,1),""))</f>
        <v>0</v>
      </c>
      <c r="E152" s="27">
        <f>IF(A152="","",IFERROR(AVERAGEIFS(Prensa!$B$2:$B$5001,Prensa!$E$2:$E$5001,N152,Prensa!$F$2:$F$5001,2,Prensa!$G$2:$G$5001,1),""))</f>
        <v>0</v>
      </c>
      <c r="F152" s="27">
        <f>IF(A152="","",IFERROR(AVERAGEIFS(Prensa!$B$2:$B$5001,Prensa!$E$2:$E$5001,N152,Prensa!$F$2:$F$5001,3,Prensa!$G$2:$G$5001,1),""))</f>
        <v>0</v>
      </c>
      <c r="G152" s="27">
        <f>IF(A152="","",IFERROR(AVERAGEIFS(Prensa!$B$2:$B$5001,Prensa!$E$2:$E$5001,N152,Prensa!$F$2:$F$5001,4,Prensa!$G$2:$G$5001,1),""))</f>
        <v>0</v>
      </c>
      <c r="H152" s="26">
        <f>IF(A152="","",COUNT(D152:G152))</f>
        <v>0</v>
      </c>
      <c r="I152" s="27">
        <f>IF(A152="","",IF(H152=0,"",AVERAGE(D152:G152)))</f>
        <v>0</v>
      </c>
      <c r="J152" s="27">
        <f>IF(OR(I152="",C152=""),"",I152-C152)</f>
        <v>0</v>
      </c>
      <c r="K152" s="26">
        <f>IF(A152="","",IF(MES!E152&lt;&gt;4,"Horário do MES fora do padrão",IF(H152&lt;cfgMinCortes,"Cortes insuficientes","Válida")))</f>
        <v>0</v>
      </c>
      <c r="L152" s="27">
        <f>IF(K152="Válida",ABS(J152),"")</f>
        <v>0</v>
      </c>
      <c r="M152" s="26">
        <f>IF(K152="Válida",IF(L152&lt;=cfgTolerancia,"Sim","Não"),"")</f>
        <v>0</v>
      </c>
      <c r="N152" s="26">
        <f>IF(A152="","",MES!D152)</f>
        <v>0</v>
      </c>
      <c r="O152" s="25">
        <f>IF(K152="Válida",A152,NA())</f>
        <v>0</v>
      </c>
      <c r="P152" s="27">
        <f>IF(K152="Válida",C152,NA())</f>
        <v>0</v>
      </c>
      <c r="Q152" s="27">
        <f>IF(K152="Válida",I152,NA())</f>
        <v>0</v>
      </c>
      <c r="R152" s="27">
        <f>IF(K152="Válida",J152,NA())</f>
        <v>0</v>
      </c>
      <c r="S152" s="27">
        <f>IF(K152="Válida",C152,"")</f>
        <v>0</v>
      </c>
      <c r="T152" s="27">
        <f>IF(K152="Válida",I152,"")</f>
        <v>0</v>
      </c>
      <c r="U152" s="27">
        <f>IF(K152="Válida",J152,"")</f>
        <v>0</v>
      </c>
    </row>
    <row r="153" spans="1:21">
      <c r="A153" s="25">
        <f>IF(MES!A153="","",MES!C153/48)</f>
        <v>0</v>
      </c>
      <c r="B153" s="26">
        <f>IF(A153="","",TEXT((N153*4+cfgDeslocamento)/48,"hh:mm")&amp;" a "&amp;TEXT(A153,"hh:mm"))</f>
        <v>0</v>
      </c>
      <c r="C153" s="27">
        <f>IF(A153="","",MES!B153)</f>
        <v>0</v>
      </c>
      <c r="D153" s="27">
        <f>IF(A153="","",IFERROR(AVERAGEIFS(Prensa!$B$2:$B$5001,Prensa!$E$2:$E$5001,N153,Prensa!$F$2:$F$5001,1,Prensa!$G$2:$G$5001,1),""))</f>
        <v>0</v>
      </c>
      <c r="E153" s="27">
        <f>IF(A153="","",IFERROR(AVERAGEIFS(Prensa!$B$2:$B$5001,Prensa!$E$2:$E$5001,N153,Prensa!$F$2:$F$5001,2,Prensa!$G$2:$G$5001,1),""))</f>
        <v>0</v>
      </c>
      <c r="F153" s="27">
        <f>IF(A153="","",IFERROR(AVERAGEIFS(Prensa!$B$2:$B$5001,Prensa!$E$2:$E$5001,N153,Prensa!$F$2:$F$5001,3,Prensa!$G$2:$G$5001,1),""))</f>
        <v>0</v>
      </c>
      <c r="G153" s="27">
        <f>IF(A153="","",IFERROR(AVERAGEIFS(Prensa!$B$2:$B$5001,Prensa!$E$2:$E$5001,N153,Prensa!$F$2:$F$5001,4,Prensa!$G$2:$G$5001,1),""))</f>
        <v>0</v>
      </c>
      <c r="H153" s="26">
        <f>IF(A153="","",COUNT(D153:G153))</f>
        <v>0</v>
      </c>
      <c r="I153" s="27">
        <f>IF(A153="","",IF(H153=0,"",AVERAGE(D153:G153)))</f>
        <v>0</v>
      </c>
      <c r="J153" s="27">
        <f>IF(OR(I153="",C153=""),"",I153-C153)</f>
        <v>0</v>
      </c>
      <c r="K153" s="26">
        <f>IF(A153="","",IF(MES!E153&lt;&gt;4,"Horário do MES fora do padrão",IF(H153&lt;cfgMinCortes,"Cortes insuficientes","Válida")))</f>
        <v>0</v>
      </c>
      <c r="L153" s="27">
        <f>IF(K153="Válida",ABS(J153),"")</f>
        <v>0</v>
      </c>
      <c r="M153" s="26">
        <f>IF(K153="Válida",IF(L153&lt;=cfgTolerancia,"Sim","Não"),"")</f>
        <v>0</v>
      </c>
      <c r="N153" s="26">
        <f>IF(A153="","",MES!D153)</f>
        <v>0</v>
      </c>
      <c r="O153" s="25">
        <f>IF(K153="Válida",A153,NA())</f>
        <v>0</v>
      </c>
      <c r="P153" s="27">
        <f>IF(K153="Válida",C153,NA())</f>
        <v>0</v>
      </c>
      <c r="Q153" s="27">
        <f>IF(K153="Válida",I153,NA())</f>
        <v>0</v>
      </c>
      <c r="R153" s="27">
        <f>IF(K153="Válida",J153,NA())</f>
        <v>0</v>
      </c>
      <c r="S153" s="27">
        <f>IF(K153="Válida",C153,"")</f>
        <v>0</v>
      </c>
      <c r="T153" s="27">
        <f>IF(K153="Válida",I153,"")</f>
        <v>0</v>
      </c>
      <c r="U153" s="27">
        <f>IF(K153="Válida",J153,"")</f>
        <v>0</v>
      </c>
    </row>
    <row r="154" spans="1:21">
      <c r="A154" s="25">
        <f>IF(MES!A154="","",MES!C154/48)</f>
        <v>0</v>
      </c>
      <c r="B154" s="26">
        <f>IF(A154="","",TEXT((N154*4+cfgDeslocamento)/48,"hh:mm")&amp;" a "&amp;TEXT(A154,"hh:mm"))</f>
        <v>0</v>
      </c>
      <c r="C154" s="27">
        <f>IF(A154="","",MES!B154)</f>
        <v>0</v>
      </c>
      <c r="D154" s="27">
        <f>IF(A154="","",IFERROR(AVERAGEIFS(Prensa!$B$2:$B$5001,Prensa!$E$2:$E$5001,N154,Prensa!$F$2:$F$5001,1,Prensa!$G$2:$G$5001,1),""))</f>
        <v>0</v>
      </c>
      <c r="E154" s="27">
        <f>IF(A154="","",IFERROR(AVERAGEIFS(Prensa!$B$2:$B$5001,Prensa!$E$2:$E$5001,N154,Prensa!$F$2:$F$5001,2,Prensa!$G$2:$G$5001,1),""))</f>
        <v>0</v>
      </c>
      <c r="F154" s="27">
        <f>IF(A154="","",IFERROR(AVERAGEIFS(Prensa!$B$2:$B$5001,Prensa!$E$2:$E$5001,N154,Prensa!$F$2:$F$5001,3,Prensa!$G$2:$G$5001,1),""))</f>
        <v>0</v>
      </c>
      <c r="G154" s="27">
        <f>IF(A154="","",IFERROR(AVERAGEIFS(Prensa!$B$2:$B$5001,Prensa!$E$2:$E$5001,N154,Prensa!$F$2:$F$5001,4,Prensa!$G$2:$G$5001,1),""))</f>
        <v>0</v>
      </c>
      <c r="H154" s="26">
        <f>IF(A154="","",COUNT(D154:G154))</f>
        <v>0</v>
      </c>
      <c r="I154" s="27">
        <f>IF(A154="","",IF(H154=0,"",AVERAGE(D154:G154)))</f>
        <v>0</v>
      </c>
      <c r="J154" s="27">
        <f>IF(OR(I154="",C154=""),"",I154-C154)</f>
        <v>0</v>
      </c>
      <c r="K154" s="26">
        <f>IF(A154="","",IF(MES!E154&lt;&gt;4,"Horário do MES fora do padrão",IF(H154&lt;cfgMinCortes,"Cortes insuficientes","Válida")))</f>
        <v>0</v>
      </c>
      <c r="L154" s="27">
        <f>IF(K154="Válida",ABS(J154),"")</f>
        <v>0</v>
      </c>
      <c r="M154" s="26">
        <f>IF(K154="Válida",IF(L154&lt;=cfgTolerancia,"Sim","Não"),"")</f>
        <v>0</v>
      </c>
      <c r="N154" s="26">
        <f>IF(A154="","",MES!D154)</f>
        <v>0</v>
      </c>
      <c r="O154" s="25">
        <f>IF(K154="Válida",A154,NA())</f>
        <v>0</v>
      </c>
      <c r="P154" s="27">
        <f>IF(K154="Válida",C154,NA())</f>
        <v>0</v>
      </c>
      <c r="Q154" s="27">
        <f>IF(K154="Válida",I154,NA())</f>
        <v>0</v>
      </c>
      <c r="R154" s="27">
        <f>IF(K154="Válida",J154,NA())</f>
        <v>0</v>
      </c>
      <c r="S154" s="27">
        <f>IF(K154="Válida",C154,"")</f>
        <v>0</v>
      </c>
      <c r="T154" s="27">
        <f>IF(K154="Válida",I154,"")</f>
        <v>0</v>
      </c>
      <c r="U154" s="27">
        <f>IF(K154="Válida",J154,"")</f>
        <v>0</v>
      </c>
    </row>
    <row r="155" spans="1:21">
      <c r="A155" s="25">
        <f>IF(MES!A155="","",MES!C155/48)</f>
        <v>0</v>
      </c>
      <c r="B155" s="26">
        <f>IF(A155="","",TEXT((N155*4+cfgDeslocamento)/48,"hh:mm")&amp;" a "&amp;TEXT(A155,"hh:mm"))</f>
        <v>0</v>
      </c>
      <c r="C155" s="27">
        <f>IF(A155="","",MES!B155)</f>
        <v>0</v>
      </c>
      <c r="D155" s="27">
        <f>IF(A155="","",IFERROR(AVERAGEIFS(Prensa!$B$2:$B$5001,Prensa!$E$2:$E$5001,N155,Prensa!$F$2:$F$5001,1,Prensa!$G$2:$G$5001,1),""))</f>
        <v>0</v>
      </c>
      <c r="E155" s="27">
        <f>IF(A155="","",IFERROR(AVERAGEIFS(Prensa!$B$2:$B$5001,Prensa!$E$2:$E$5001,N155,Prensa!$F$2:$F$5001,2,Prensa!$G$2:$G$5001,1),""))</f>
        <v>0</v>
      </c>
      <c r="F155" s="27">
        <f>IF(A155="","",IFERROR(AVERAGEIFS(Prensa!$B$2:$B$5001,Prensa!$E$2:$E$5001,N155,Prensa!$F$2:$F$5001,3,Prensa!$G$2:$G$5001,1),""))</f>
        <v>0</v>
      </c>
      <c r="G155" s="27">
        <f>IF(A155="","",IFERROR(AVERAGEIFS(Prensa!$B$2:$B$5001,Prensa!$E$2:$E$5001,N155,Prensa!$F$2:$F$5001,4,Prensa!$G$2:$G$5001,1),""))</f>
        <v>0</v>
      </c>
      <c r="H155" s="26">
        <f>IF(A155="","",COUNT(D155:G155))</f>
        <v>0</v>
      </c>
      <c r="I155" s="27">
        <f>IF(A155="","",IF(H155=0,"",AVERAGE(D155:G155)))</f>
        <v>0</v>
      </c>
      <c r="J155" s="27">
        <f>IF(OR(I155="",C155=""),"",I155-C155)</f>
        <v>0</v>
      </c>
      <c r="K155" s="26">
        <f>IF(A155="","",IF(MES!E155&lt;&gt;4,"Horário do MES fora do padrão",IF(H155&lt;cfgMinCortes,"Cortes insuficientes","Válida")))</f>
        <v>0</v>
      </c>
      <c r="L155" s="27">
        <f>IF(K155="Válida",ABS(J155),"")</f>
        <v>0</v>
      </c>
      <c r="M155" s="26">
        <f>IF(K155="Válida",IF(L155&lt;=cfgTolerancia,"Sim","Não"),"")</f>
        <v>0</v>
      </c>
      <c r="N155" s="26">
        <f>IF(A155="","",MES!D155)</f>
        <v>0</v>
      </c>
      <c r="O155" s="25">
        <f>IF(K155="Válida",A155,NA())</f>
        <v>0</v>
      </c>
      <c r="P155" s="27">
        <f>IF(K155="Válida",C155,NA())</f>
        <v>0</v>
      </c>
      <c r="Q155" s="27">
        <f>IF(K155="Válida",I155,NA())</f>
        <v>0</v>
      </c>
      <c r="R155" s="27">
        <f>IF(K155="Válida",J155,NA())</f>
        <v>0</v>
      </c>
      <c r="S155" s="27">
        <f>IF(K155="Válida",C155,"")</f>
        <v>0</v>
      </c>
      <c r="T155" s="27">
        <f>IF(K155="Válida",I155,"")</f>
        <v>0</v>
      </c>
      <c r="U155" s="27">
        <f>IF(K155="Válida",J155,"")</f>
        <v>0</v>
      </c>
    </row>
    <row r="156" spans="1:21">
      <c r="A156" s="25">
        <f>IF(MES!A156="","",MES!C156/48)</f>
        <v>0</v>
      </c>
      <c r="B156" s="26">
        <f>IF(A156="","",TEXT((N156*4+cfgDeslocamento)/48,"hh:mm")&amp;" a "&amp;TEXT(A156,"hh:mm"))</f>
        <v>0</v>
      </c>
      <c r="C156" s="27">
        <f>IF(A156="","",MES!B156)</f>
        <v>0</v>
      </c>
      <c r="D156" s="27">
        <f>IF(A156="","",IFERROR(AVERAGEIFS(Prensa!$B$2:$B$5001,Prensa!$E$2:$E$5001,N156,Prensa!$F$2:$F$5001,1,Prensa!$G$2:$G$5001,1),""))</f>
        <v>0</v>
      </c>
      <c r="E156" s="27">
        <f>IF(A156="","",IFERROR(AVERAGEIFS(Prensa!$B$2:$B$5001,Prensa!$E$2:$E$5001,N156,Prensa!$F$2:$F$5001,2,Prensa!$G$2:$G$5001,1),""))</f>
        <v>0</v>
      </c>
      <c r="F156" s="27">
        <f>IF(A156="","",IFERROR(AVERAGEIFS(Prensa!$B$2:$B$5001,Prensa!$E$2:$E$5001,N156,Prensa!$F$2:$F$5001,3,Prensa!$G$2:$G$5001,1),""))</f>
        <v>0</v>
      </c>
      <c r="G156" s="27">
        <f>IF(A156="","",IFERROR(AVERAGEIFS(Prensa!$B$2:$B$5001,Prensa!$E$2:$E$5001,N156,Prensa!$F$2:$F$5001,4,Prensa!$G$2:$G$5001,1),""))</f>
        <v>0</v>
      </c>
      <c r="H156" s="26">
        <f>IF(A156="","",COUNT(D156:G156))</f>
        <v>0</v>
      </c>
      <c r="I156" s="27">
        <f>IF(A156="","",IF(H156=0,"",AVERAGE(D156:G156)))</f>
        <v>0</v>
      </c>
      <c r="J156" s="27">
        <f>IF(OR(I156="",C156=""),"",I156-C156)</f>
        <v>0</v>
      </c>
      <c r="K156" s="26">
        <f>IF(A156="","",IF(MES!E156&lt;&gt;4,"Horário do MES fora do padrão",IF(H156&lt;cfgMinCortes,"Cortes insuficientes","Válida")))</f>
        <v>0</v>
      </c>
      <c r="L156" s="27">
        <f>IF(K156="Válida",ABS(J156),"")</f>
        <v>0</v>
      </c>
      <c r="M156" s="26">
        <f>IF(K156="Válida",IF(L156&lt;=cfgTolerancia,"Sim","Não"),"")</f>
        <v>0</v>
      </c>
      <c r="N156" s="26">
        <f>IF(A156="","",MES!D156)</f>
        <v>0</v>
      </c>
      <c r="O156" s="25">
        <f>IF(K156="Válida",A156,NA())</f>
        <v>0</v>
      </c>
      <c r="P156" s="27">
        <f>IF(K156="Válida",C156,NA())</f>
        <v>0</v>
      </c>
      <c r="Q156" s="27">
        <f>IF(K156="Válida",I156,NA())</f>
        <v>0</v>
      </c>
      <c r="R156" s="27">
        <f>IF(K156="Válida",J156,NA())</f>
        <v>0</v>
      </c>
      <c r="S156" s="27">
        <f>IF(K156="Válida",C156,"")</f>
        <v>0</v>
      </c>
      <c r="T156" s="27">
        <f>IF(K156="Válida",I156,"")</f>
        <v>0</v>
      </c>
      <c r="U156" s="27">
        <f>IF(K156="Válida",J156,"")</f>
        <v>0</v>
      </c>
    </row>
    <row r="157" spans="1:21">
      <c r="A157" s="25">
        <f>IF(MES!A157="","",MES!C157/48)</f>
        <v>0</v>
      </c>
      <c r="B157" s="26">
        <f>IF(A157="","",TEXT((N157*4+cfgDeslocamento)/48,"hh:mm")&amp;" a "&amp;TEXT(A157,"hh:mm"))</f>
        <v>0</v>
      </c>
      <c r="C157" s="27">
        <f>IF(A157="","",MES!B157)</f>
        <v>0</v>
      </c>
      <c r="D157" s="27">
        <f>IF(A157="","",IFERROR(AVERAGEIFS(Prensa!$B$2:$B$5001,Prensa!$E$2:$E$5001,N157,Prensa!$F$2:$F$5001,1,Prensa!$G$2:$G$5001,1),""))</f>
        <v>0</v>
      </c>
      <c r="E157" s="27">
        <f>IF(A157="","",IFERROR(AVERAGEIFS(Prensa!$B$2:$B$5001,Prensa!$E$2:$E$5001,N157,Prensa!$F$2:$F$5001,2,Prensa!$G$2:$G$5001,1),""))</f>
        <v>0</v>
      </c>
      <c r="F157" s="27">
        <f>IF(A157="","",IFERROR(AVERAGEIFS(Prensa!$B$2:$B$5001,Prensa!$E$2:$E$5001,N157,Prensa!$F$2:$F$5001,3,Prensa!$G$2:$G$5001,1),""))</f>
        <v>0</v>
      </c>
      <c r="G157" s="27">
        <f>IF(A157="","",IFERROR(AVERAGEIFS(Prensa!$B$2:$B$5001,Prensa!$E$2:$E$5001,N157,Prensa!$F$2:$F$5001,4,Prensa!$G$2:$G$5001,1),""))</f>
        <v>0</v>
      </c>
      <c r="H157" s="26">
        <f>IF(A157="","",COUNT(D157:G157))</f>
        <v>0</v>
      </c>
      <c r="I157" s="27">
        <f>IF(A157="","",IF(H157=0,"",AVERAGE(D157:G157)))</f>
        <v>0</v>
      </c>
      <c r="J157" s="27">
        <f>IF(OR(I157="",C157=""),"",I157-C157)</f>
        <v>0</v>
      </c>
      <c r="K157" s="26">
        <f>IF(A157="","",IF(MES!E157&lt;&gt;4,"Horário do MES fora do padrão",IF(H157&lt;cfgMinCortes,"Cortes insuficientes","Válida")))</f>
        <v>0</v>
      </c>
      <c r="L157" s="27">
        <f>IF(K157="Válida",ABS(J157),"")</f>
        <v>0</v>
      </c>
      <c r="M157" s="26">
        <f>IF(K157="Válida",IF(L157&lt;=cfgTolerancia,"Sim","Não"),"")</f>
        <v>0</v>
      </c>
      <c r="N157" s="26">
        <f>IF(A157="","",MES!D157)</f>
        <v>0</v>
      </c>
      <c r="O157" s="25">
        <f>IF(K157="Válida",A157,NA())</f>
        <v>0</v>
      </c>
      <c r="P157" s="27">
        <f>IF(K157="Válida",C157,NA())</f>
        <v>0</v>
      </c>
      <c r="Q157" s="27">
        <f>IF(K157="Válida",I157,NA())</f>
        <v>0</v>
      </c>
      <c r="R157" s="27">
        <f>IF(K157="Válida",J157,NA())</f>
        <v>0</v>
      </c>
      <c r="S157" s="27">
        <f>IF(K157="Válida",C157,"")</f>
        <v>0</v>
      </c>
      <c r="T157" s="27">
        <f>IF(K157="Válida",I157,"")</f>
        <v>0</v>
      </c>
      <c r="U157" s="27">
        <f>IF(K157="Válida",J157,"")</f>
        <v>0</v>
      </c>
    </row>
    <row r="158" spans="1:21">
      <c r="A158" s="25">
        <f>IF(MES!A158="","",MES!C158/48)</f>
        <v>0</v>
      </c>
      <c r="B158" s="26">
        <f>IF(A158="","",TEXT((N158*4+cfgDeslocamento)/48,"hh:mm")&amp;" a "&amp;TEXT(A158,"hh:mm"))</f>
        <v>0</v>
      </c>
      <c r="C158" s="27">
        <f>IF(A158="","",MES!B158)</f>
        <v>0</v>
      </c>
      <c r="D158" s="27">
        <f>IF(A158="","",IFERROR(AVERAGEIFS(Prensa!$B$2:$B$5001,Prensa!$E$2:$E$5001,N158,Prensa!$F$2:$F$5001,1,Prensa!$G$2:$G$5001,1),""))</f>
        <v>0</v>
      </c>
      <c r="E158" s="27">
        <f>IF(A158="","",IFERROR(AVERAGEIFS(Prensa!$B$2:$B$5001,Prensa!$E$2:$E$5001,N158,Prensa!$F$2:$F$5001,2,Prensa!$G$2:$G$5001,1),""))</f>
        <v>0</v>
      </c>
      <c r="F158" s="27">
        <f>IF(A158="","",IFERROR(AVERAGEIFS(Prensa!$B$2:$B$5001,Prensa!$E$2:$E$5001,N158,Prensa!$F$2:$F$5001,3,Prensa!$G$2:$G$5001,1),""))</f>
        <v>0</v>
      </c>
      <c r="G158" s="27">
        <f>IF(A158="","",IFERROR(AVERAGEIFS(Prensa!$B$2:$B$5001,Prensa!$E$2:$E$5001,N158,Prensa!$F$2:$F$5001,4,Prensa!$G$2:$G$5001,1),""))</f>
        <v>0</v>
      </c>
      <c r="H158" s="26">
        <f>IF(A158="","",COUNT(D158:G158))</f>
        <v>0</v>
      </c>
      <c r="I158" s="27">
        <f>IF(A158="","",IF(H158=0,"",AVERAGE(D158:G158)))</f>
        <v>0</v>
      </c>
      <c r="J158" s="27">
        <f>IF(OR(I158="",C158=""),"",I158-C158)</f>
        <v>0</v>
      </c>
      <c r="K158" s="26">
        <f>IF(A158="","",IF(MES!E158&lt;&gt;4,"Horário do MES fora do padrão",IF(H158&lt;cfgMinCortes,"Cortes insuficientes","Válida")))</f>
        <v>0</v>
      </c>
      <c r="L158" s="27">
        <f>IF(K158="Válida",ABS(J158),"")</f>
        <v>0</v>
      </c>
      <c r="M158" s="26">
        <f>IF(K158="Válida",IF(L158&lt;=cfgTolerancia,"Sim","Não"),"")</f>
        <v>0</v>
      </c>
      <c r="N158" s="26">
        <f>IF(A158="","",MES!D158)</f>
        <v>0</v>
      </c>
      <c r="O158" s="25">
        <f>IF(K158="Válida",A158,NA())</f>
        <v>0</v>
      </c>
      <c r="P158" s="27">
        <f>IF(K158="Válida",C158,NA())</f>
        <v>0</v>
      </c>
      <c r="Q158" s="27">
        <f>IF(K158="Válida",I158,NA())</f>
        <v>0</v>
      </c>
      <c r="R158" s="27">
        <f>IF(K158="Válida",J158,NA())</f>
        <v>0</v>
      </c>
      <c r="S158" s="27">
        <f>IF(K158="Válida",C158,"")</f>
        <v>0</v>
      </c>
      <c r="T158" s="27">
        <f>IF(K158="Válida",I158,"")</f>
        <v>0</v>
      </c>
      <c r="U158" s="27">
        <f>IF(K158="Válida",J158,"")</f>
        <v>0</v>
      </c>
    </row>
    <row r="159" spans="1:21">
      <c r="A159" s="25">
        <f>IF(MES!A159="","",MES!C159/48)</f>
        <v>0</v>
      </c>
      <c r="B159" s="26">
        <f>IF(A159="","",TEXT((N159*4+cfgDeslocamento)/48,"hh:mm")&amp;" a "&amp;TEXT(A159,"hh:mm"))</f>
        <v>0</v>
      </c>
      <c r="C159" s="27">
        <f>IF(A159="","",MES!B159)</f>
        <v>0</v>
      </c>
      <c r="D159" s="27">
        <f>IF(A159="","",IFERROR(AVERAGEIFS(Prensa!$B$2:$B$5001,Prensa!$E$2:$E$5001,N159,Prensa!$F$2:$F$5001,1,Prensa!$G$2:$G$5001,1),""))</f>
        <v>0</v>
      </c>
      <c r="E159" s="27">
        <f>IF(A159="","",IFERROR(AVERAGEIFS(Prensa!$B$2:$B$5001,Prensa!$E$2:$E$5001,N159,Prensa!$F$2:$F$5001,2,Prensa!$G$2:$G$5001,1),""))</f>
        <v>0</v>
      </c>
      <c r="F159" s="27">
        <f>IF(A159="","",IFERROR(AVERAGEIFS(Prensa!$B$2:$B$5001,Prensa!$E$2:$E$5001,N159,Prensa!$F$2:$F$5001,3,Prensa!$G$2:$G$5001,1),""))</f>
        <v>0</v>
      </c>
      <c r="G159" s="27">
        <f>IF(A159="","",IFERROR(AVERAGEIFS(Prensa!$B$2:$B$5001,Prensa!$E$2:$E$5001,N159,Prensa!$F$2:$F$5001,4,Prensa!$G$2:$G$5001,1),""))</f>
        <v>0</v>
      </c>
      <c r="H159" s="26">
        <f>IF(A159="","",COUNT(D159:G159))</f>
        <v>0</v>
      </c>
      <c r="I159" s="27">
        <f>IF(A159="","",IF(H159=0,"",AVERAGE(D159:G159)))</f>
        <v>0</v>
      </c>
      <c r="J159" s="27">
        <f>IF(OR(I159="",C159=""),"",I159-C159)</f>
        <v>0</v>
      </c>
      <c r="K159" s="26">
        <f>IF(A159="","",IF(MES!E159&lt;&gt;4,"Horário do MES fora do padrão",IF(H159&lt;cfgMinCortes,"Cortes insuficientes","Válida")))</f>
        <v>0</v>
      </c>
      <c r="L159" s="27">
        <f>IF(K159="Válida",ABS(J159),"")</f>
        <v>0</v>
      </c>
      <c r="M159" s="26">
        <f>IF(K159="Válida",IF(L159&lt;=cfgTolerancia,"Sim","Não"),"")</f>
        <v>0</v>
      </c>
      <c r="N159" s="26">
        <f>IF(A159="","",MES!D159)</f>
        <v>0</v>
      </c>
      <c r="O159" s="25">
        <f>IF(K159="Válida",A159,NA())</f>
        <v>0</v>
      </c>
      <c r="P159" s="27">
        <f>IF(K159="Válida",C159,NA())</f>
        <v>0</v>
      </c>
      <c r="Q159" s="27">
        <f>IF(K159="Válida",I159,NA())</f>
        <v>0</v>
      </c>
      <c r="R159" s="27">
        <f>IF(K159="Válida",J159,NA())</f>
        <v>0</v>
      </c>
      <c r="S159" s="27">
        <f>IF(K159="Válida",C159,"")</f>
        <v>0</v>
      </c>
      <c r="T159" s="27">
        <f>IF(K159="Válida",I159,"")</f>
        <v>0</v>
      </c>
      <c r="U159" s="27">
        <f>IF(K159="Válida",J159,"")</f>
        <v>0</v>
      </c>
    </row>
    <row r="160" spans="1:21">
      <c r="A160" s="25">
        <f>IF(MES!A160="","",MES!C160/48)</f>
        <v>0</v>
      </c>
      <c r="B160" s="26">
        <f>IF(A160="","",TEXT((N160*4+cfgDeslocamento)/48,"hh:mm")&amp;" a "&amp;TEXT(A160,"hh:mm"))</f>
        <v>0</v>
      </c>
      <c r="C160" s="27">
        <f>IF(A160="","",MES!B160)</f>
        <v>0</v>
      </c>
      <c r="D160" s="27">
        <f>IF(A160="","",IFERROR(AVERAGEIFS(Prensa!$B$2:$B$5001,Prensa!$E$2:$E$5001,N160,Prensa!$F$2:$F$5001,1,Prensa!$G$2:$G$5001,1),""))</f>
        <v>0</v>
      </c>
      <c r="E160" s="27">
        <f>IF(A160="","",IFERROR(AVERAGEIFS(Prensa!$B$2:$B$5001,Prensa!$E$2:$E$5001,N160,Prensa!$F$2:$F$5001,2,Prensa!$G$2:$G$5001,1),""))</f>
        <v>0</v>
      </c>
      <c r="F160" s="27">
        <f>IF(A160="","",IFERROR(AVERAGEIFS(Prensa!$B$2:$B$5001,Prensa!$E$2:$E$5001,N160,Prensa!$F$2:$F$5001,3,Prensa!$G$2:$G$5001,1),""))</f>
        <v>0</v>
      </c>
      <c r="G160" s="27">
        <f>IF(A160="","",IFERROR(AVERAGEIFS(Prensa!$B$2:$B$5001,Prensa!$E$2:$E$5001,N160,Prensa!$F$2:$F$5001,4,Prensa!$G$2:$G$5001,1),""))</f>
        <v>0</v>
      </c>
      <c r="H160" s="26">
        <f>IF(A160="","",COUNT(D160:G160))</f>
        <v>0</v>
      </c>
      <c r="I160" s="27">
        <f>IF(A160="","",IF(H160=0,"",AVERAGE(D160:G160)))</f>
        <v>0</v>
      </c>
      <c r="J160" s="27">
        <f>IF(OR(I160="",C160=""),"",I160-C160)</f>
        <v>0</v>
      </c>
      <c r="K160" s="26">
        <f>IF(A160="","",IF(MES!E160&lt;&gt;4,"Horário do MES fora do padrão",IF(H160&lt;cfgMinCortes,"Cortes insuficientes","Válida")))</f>
        <v>0</v>
      </c>
      <c r="L160" s="27">
        <f>IF(K160="Válida",ABS(J160),"")</f>
        <v>0</v>
      </c>
      <c r="M160" s="26">
        <f>IF(K160="Válida",IF(L160&lt;=cfgTolerancia,"Sim","Não"),"")</f>
        <v>0</v>
      </c>
      <c r="N160" s="26">
        <f>IF(A160="","",MES!D160)</f>
        <v>0</v>
      </c>
      <c r="O160" s="25">
        <f>IF(K160="Válida",A160,NA())</f>
        <v>0</v>
      </c>
      <c r="P160" s="27">
        <f>IF(K160="Válida",C160,NA())</f>
        <v>0</v>
      </c>
      <c r="Q160" s="27">
        <f>IF(K160="Válida",I160,NA())</f>
        <v>0</v>
      </c>
      <c r="R160" s="27">
        <f>IF(K160="Válida",J160,NA())</f>
        <v>0</v>
      </c>
      <c r="S160" s="27">
        <f>IF(K160="Válida",C160,"")</f>
        <v>0</v>
      </c>
      <c r="T160" s="27">
        <f>IF(K160="Válida",I160,"")</f>
        <v>0</v>
      </c>
      <c r="U160" s="27">
        <f>IF(K160="Válida",J160,"")</f>
        <v>0</v>
      </c>
    </row>
    <row r="161" spans="1:21">
      <c r="A161" s="25">
        <f>IF(MES!A161="","",MES!C161/48)</f>
        <v>0</v>
      </c>
      <c r="B161" s="26">
        <f>IF(A161="","",TEXT((N161*4+cfgDeslocamento)/48,"hh:mm")&amp;" a "&amp;TEXT(A161,"hh:mm"))</f>
        <v>0</v>
      </c>
      <c r="C161" s="27">
        <f>IF(A161="","",MES!B161)</f>
        <v>0</v>
      </c>
      <c r="D161" s="27">
        <f>IF(A161="","",IFERROR(AVERAGEIFS(Prensa!$B$2:$B$5001,Prensa!$E$2:$E$5001,N161,Prensa!$F$2:$F$5001,1,Prensa!$G$2:$G$5001,1),""))</f>
        <v>0</v>
      </c>
      <c r="E161" s="27">
        <f>IF(A161="","",IFERROR(AVERAGEIFS(Prensa!$B$2:$B$5001,Prensa!$E$2:$E$5001,N161,Prensa!$F$2:$F$5001,2,Prensa!$G$2:$G$5001,1),""))</f>
        <v>0</v>
      </c>
      <c r="F161" s="27">
        <f>IF(A161="","",IFERROR(AVERAGEIFS(Prensa!$B$2:$B$5001,Prensa!$E$2:$E$5001,N161,Prensa!$F$2:$F$5001,3,Prensa!$G$2:$G$5001,1),""))</f>
        <v>0</v>
      </c>
      <c r="G161" s="27">
        <f>IF(A161="","",IFERROR(AVERAGEIFS(Prensa!$B$2:$B$5001,Prensa!$E$2:$E$5001,N161,Prensa!$F$2:$F$5001,4,Prensa!$G$2:$G$5001,1),""))</f>
        <v>0</v>
      </c>
      <c r="H161" s="26">
        <f>IF(A161="","",COUNT(D161:G161))</f>
        <v>0</v>
      </c>
      <c r="I161" s="27">
        <f>IF(A161="","",IF(H161=0,"",AVERAGE(D161:G161)))</f>
        <v>0</v>
      </c>
      <c r="J161" s="27">
        <f>IF(OR(I161="",C161=""),"",I161-C161)</f>
        <v>0</v>
      </c>
      <c r="K161" s="26">
        <f>IF(A161="","",IF(MES!E161&lt;&gt;4,"Horário do MES fora do padrão",IF(H161&lt;cfgMinCortes,"Cortes insuficientes","Válida")))</f>
        <v>0</v>
      </c>
      <c r="L161" s="27">
        <f>IF(K161="Válida",ABS(J161),"")</f>
        <v>0</v>
      </c>
      <c r="M161" s="26">
        <f>IF(K161="Válida",IF(L161&lt;=cfgTolerancia,"Sim","Não"),"")</f>
        <v>0</v>
      </c>
      <c r="N161" s="26">
        <f>IF(A161="","",MES!D161)</f>
        <v>0</v>
      </c>
      <c r="O161" s="25">
        <f>IF(K161="Válida",A161,NA())</f>
        <v>0</v>
      </c>
      <c r="P161" s="27">
        <f>IF(K161="Válida",C161,NA())</f>
        <v>0</v>
      </c>
      <c r="Q161" s="27">
        <f>IF(K161="Válida",I161,NA())</f>
        <v>0</v>
      </c>
      <c r="R161" s="27">
        <f>IF(K161="Válida",J161,NA())</f>
        <v>0</v>
      </c>
      <c r="S161" s="27">
        <f>IF(K161="Válida",C161,"")</f>
        <v>0</v>
      </c>
      <c r="T161" s="27">
        <f>IF(K161="Válida",I161,"")</f>
        <v>0</v>
      </c>
      <c r="U161" s="27">
        <f>IF(K161="Válida",J161,"")</f>
        <v>0</v>
      </c>
    </row>
    <row r="162" spans="1:21">
      <c r="A162" s="25">
        <f>IF(MES!A162="","",MES!C162/48)</f>
        <v>0</v>
      </c>
      <c r="B162" s="26">
        <f>IF(A162="","",TEXT((N162*4+cfgDeslocamento)/48,"hh:mm")&amp;" a "&amp;TEXT(A162,"hh:mm"))</f>
        <v>0</v>
      </c>
      <c r="C162" s="27">
        <f>IF(A162="","",MES!B162)</f>
        <v>0</v>
      </c>
      <c r="D162" s="27">
        <f>IF(A162="","",IFERROR(AVERAGEIFS(Prensa!$B$2:$B$5001,Prensa!$E$2:$E$5001,N162,Prensa!$F$2:$F$5001,1,Prensa!$G$2:$G$5001,1),""))</f>
        <v>0</v>
      </c>
      <c r="E162" s="27">
        <f>IF(A162="","",IFERROR(AVERAGEIFS(Prensa!$B$2:$B$5001,Prensa!$E$2:$E$5001,N162,Prensa!$F$2:$F$5001,2,Prensa!$G$2:$G$5001,1),""))</f>
        <v>0</v>
      </c>
      <c r="F162" s="27">
        <f>IF(A162="","",IFERROR(AVERAGEIFS(Prensa!$B$2:$B$5001,Prensa!$E$2:$E$5001,N162,Prensa!$F$2:$F$5001,3,Prensa!$G$2:$G$5001,1),""))</f>
        <v>0</v>
      </c>
      <c r="G162" s="27">
        <f>IF(A162="","",IFERROR(AVERAGEIFS(Prensa!$B$2:$B$5001,Prensa!$E$2:$E$5001,N162,Prensa!$F$2:$F$5001,4,Prensa!$G$2:$G$5001,1),""))</f>
        <v>0</v>
      </c>
      <c r="H162" s="26">
        <f>IF(A162="","",COUNT(D162:G162))</f>
        <v>0</v>
      </c>
      <c r="I162" s="27">
        <f>IF(A162="","",IF(H162=0,"",AVERAGE(D162:G162)))</f>
        <v>0</v>
      </c>
      <c r="J162" s="27">
        <f>IF(OR(I162="",C162=""),"",I162-C162)</f>
        <v>0</v>
      </c>
      <c r="K162" s="26">
        <f>IF(A162="","",IF(MES!E162&lt;&gt;4,"Horário do MES fora do padrão",IF(H162&lt;cfgMinCortes,"Cortes insuficientes","Válida")))</f>
        <v>0</v>
      </c>
      <c r="L162" s="27">
        <f>IF(K162="Válida",ABS(J162),"")</f>
        <v>0</v>
      </c>
      <c r="M162" s="26">
        <f>IF(K162="Válida",IF(L162&lt;=cfgTolerancia,"Sim","Não"),"")</f>
        <v>0</v>
      </c>
      <c r="N162" s="26">
        <f>IF(A162="","",MES!D162)</f>
        <v>0</v>
      </c>
      <c r="O162" s="25">
        <f>IF(K162="Válida",A162,NA())</f>
        <v>0</v>
      </c>
      <c r="P162" s="27">
        <f>IF(K162="Válida",C162,NA())</f>
        <v>0</v>
      </c>
      <c r="Q162" s="27">
        <f>IF(K162="Válida",I162,NA())</f>
        <v>0</v>
      </c>
      <c r="R162" s="27">
        <f>IF(K162="Válida",J162,NA())</f>
        <v>0</v>
      </c>
      <c r="S162" s="27">
        <f>IF(K162="Válida",C162,"")</f>
        <v>0</v>
      </c>
      <c r="T162" s="27">
        <f>IF(K162="Válida",I162,"")</f>
        <v>0</v>
      </c>
      <c r="U162" s="27">
        <f>IF(K162="Válida",J162,"")</f>
        <v>0</v>
      </c>
    </row>
    <row r="163" spans="1:21">
      <c r="A163" s="25">
        <f>IF(MES!A163="","",MES!C163/48)</f>
        <v>0</v>
      </c>
      <c r="B163" s="26">
        <f>IF(A163="","",TEXT((N163*4+cfgDeslocamento)/48,"hh:mm")&amp;" a "&amp;TEXT(A163,"hh:mm"))</f>
        <v>0</v>
      </c>
      <c r="C163" s="27">
        <f>IF(A163="","",MES!B163)</f>
        <v>0</v>
      </c>
      <c r="D163" s="27">
        <f>IF(A163="","",IFERROR(AVERAGEIFS(Prensa!$B$2:$B$5001,Prensa!$E$2:$E$5001,N163,Prensa!$F$2:$F$5001,1,Prensa!$G$2:$G$5001,1),""))</f>
        <v>0</v>
      </c>
      <c r="E163" s="27">
        <f>IF(A163="","",IFERROR(AVERAGEIFS(Prensa!$B$2:$B$5001,Prensa!$E$2:$E$5001,N163,Prensa!$F$2:$F$5001,2,Prensa!$G$2:$G$5001,1),""))</f>
        <v>0</v>
      </c>
      <c r="F163" s="27">
        <f>IF(A163="","",IFERROR(AVERAGEIFS(Prensa!$B$2:$B$5001,Prensa!$E$2:$E$5001,N163,Prensa!$F$2:$F$5001,3,Prensa!$G$2:$G$5001,1),""))</f>
        <v>0</v>
      </c>
      <c r="G163" s="27">
        <f>IF(A163="","",IFERROR(AVERAGEIFS(Prensa!$B$2:$B$5001,Prensa!$E$2:$E$5001,N163,Prensa!$F$2:$F$5001,4,Prensa!$G$2:$G$5001,1),""))</f>
        <v>0</v>
      </c>
      <c r="H163" s="26">
        <f>IF(A163="","",COUNT(D163:G163))</f>
        <v>0</v>
      </c>
      <c r="I163" s="27">
        <f>IF(A163="","",IF(H163=0,"",AVERAGE(D163:G163)))</f>
        <v>0</v>
      </c>
      <c r="J163" s="27">
        <f>IF(OR(I163="",C163=""),"",I163-C163)</f>
        <v>0</v>
      </c>
      <c r="K163" s="26">
        <f>IF(A163="","",IF(MES!E163&lt;&gt;4,"Horário do MES fora do padrão",IF(H163&lt;cfgMinCortes,"Cortes insuficientes","Válida")))</f>
        <v>0</v>
      </c>
      <c r="L163" s="27">
        <f>IF(K163="Válida",ABS(J163),"")</f>
        <v>0</v>
      </c>
      <c r="M163" s="26">
        <f>IF(K163="Válida",IF(L163&lt;=cfgTolerancia,"Sim","Não"),"")</f>
        <v>0</v>
      </c>
      <c r="N163" s="26">
        <f>IF(A163="","",MES!D163)</f>
        <v>0</v>
      </c>
      <c r="O163" s="25">
        <f>IF(K163="Válida",A163,NA())</f>
        <v>0</v>
      </c>
      <c r="P163" s="27">
        <f>IF(K163="Válida",C163,NA())</f>
        <v>0</v>
      </c>
      <c r="Q163" s="27">
        <f>IF(K163="Válida",I163,NA())</f>
        <v>0</v>
      </c>
      <c r="R163" s="27">
        <f>IF(K163="Válida",J163,NA())</f>
        <v>0</v>
      </c>
      <c r="S163" s="27">
        <f>IF(K163="Válida",C163,"")</f>
        <v>0</v>
      </c>
      <c r="T163" s="27">
        <f>IF(K163="Válida",I163,"")</f>
        <v>0</v>
      </c>
      <c r="U163" s="27">
        <f>IF(K163="Válida",J163,"")</f>
        <v>0</v>
      </c>
    </row>
    <row r="164" spans="1:21">
      <c r="A164" s="25">
        <f>IF(MES!A164="","",MES!C164/48)</f>
        <v>0</v>
      </c>
      <c r="B164" s="26">
        <f>IF(A164="","",TEXT((N164*4+cfgDeslocamento)/48,"hh:mm")&amp;" a "&amp;TEXT(A164,"hh:mm"))</f>
        <v>0</v>
      </c>
      <c r="C164" s="27">
        <f>IF(A164="","",MES!B164)</f>
        <v>0</v>
      </c>
      <c r="D164" s="27">
        <f>IF(A164="","",IFERROR(AVERAGEIFS(Prensa!$B$2:$B$5001,Prensa!$E$2:$E$5001,N164,Prensa!$F$2:$F$5001,1,Prensa!$G$2:$G$5001,1),""))</f>
        <v>0</v>
      </c>
      <c r="E164" s="27">
        <f>IF(A164="","",IFERROR(AVERAGEIFS(Prensa!$B$2:$B$5001,Prensa!$E$2:$E$5001,N164,Prensa!$F$2:$F$5001,2,Prensa!$G$2:$G$5001,1),""))</f>
        <v>0</v>
      </c>
      <c r="F164" s="27">
        <f>IF(A164="","",IFERROR(AVERAGEIFS(Prensa!$B$2:$B$5001,Prensa!$E$2:$E$5001,N164,Prensa!$F$2:$F$5001,3,Prensa!$G$2:$G$5001,1),""))</f>
        <v>0</v>
      </c>
      <c r="G164" s="27">
        <f>IF(A164="","",IFERROR(AVERAGEIFS(Prensa!$B$2:$B$5001,Prensa!$E$2:$E$5001,N164,Prensa!$F$2:$F$5001,4,Prensa!$G$2:$G$5001,1),""))</f>
        <v>0</v>
      </c>
      <c r="H164" s="26">
        <f>IF(A164="","",COUNT(D164:G164))</f>
        <v>0</v>
      </c>
      <c r="I164" s="27">
        <f>IF(A164="","",IF(H164=0,"",AVERAGE(D164:G164)))</f>
        <v>0</v>
      </c>
      <c r="J164" s="27">
        <f>IF(OR(I164="",C164=""),"",I164-C164)</f>
        <v>0</v>
      </c>
      <c r="K164" s="26">
        <f>IF(A164="","",IF(MES!E164&lt;&gt;4,"Horário do MES fora do padrão",IF(H164&lt;cfgMinCortes,"Cortes insuficientes","Válida")))</f>
        <v>0</v>
      </c>
      <c r="L164" s="27">
        <f>IF(K164="Válida",ABS(J164),"")</f>
        <v>0</v>
      </c>
      <c r="M164" s="26">
        <f>IF(K164="Válida",IF(L164&lt;=cfgTolerancia,"Sim","Não"),"")</f>
        <v>0</v>
      </c>
      <c r="N164" s="26">
        <f>IF(A164="","",MES!D164)</f>
        <v>0</v>
      </c>
      <c r="O164" s="25">
        <f>IF(K164="Válida",A164,NA())</f>
        <v>0</v>
      </c>
      <c r="P164" s="27">
        <f>IF(K164="Válida",C164,NA())</f>
        <v>0</v>
      </c>
      <c r="Q164" s="27">
        <f>IF(K164="Válida",I164,NA())</f>
        <v>0</v>
      </c>
      <c r="R164" s="27">
        <f>IF(K164="Válida",J164,NA())</f>
        <v>0</v>
      </c>
      <c r="S164" s="27">
        <f>IF(K164="Válida",C164,"")</f>
        <v>0</v>
      </c>
      <c r="T164" s="27">
        <f>IF(K164="Válida",I164,"")</f>
        <v>0</v>
      </c>
      <c r="U164" s="27">
        <f>IF(K164="Válida",J164,"")</f>
        <v>0</v>
      </c>
    </row>
    <row r="165" spans="1:21">
      <c r="A165" s="25">
        <f>IF(MES!A165="","",MES!C165/48)</f>
        <v>0</v>
      </c>
      <c r="B165" s="26">
        <f>IF(A165="","",TEXT((N165*4+cfgDeslocamento)/48,"hh:mm")&amp;" a "&amp;TEXT(A165,"hh:mm"))</f>
        <v>0</v>
      </c>
      <c r="C165" s="27">
        <f>IF(A165="","",MES!B165)</f>
        <v>0</v>
      </c>
      <c r="D165" s="27">
        <f>IF(A165="","",IFERROR(AVERAGEIFS(Prensa!$B$2:$B$5001,Prensa!$E$2:$E$5001,N165,Prensa!$F$2:$F$5001,1,Prensa!$G$2:$G$5001,1),""))</f>
        <v>0</v>
      </c>
      <c r="E165" s="27">
        <f>IF(A165="","",IFERROR(AVERAGEIFS(Prensa!$B$2:$B$5001,Prensa!$E$2:$E$5001,N165,Prensa!$F$2:$F$5001,2,Prensa!$G$2:$G$5001,1),""))</f>
        <v>0</v>
      </c>
      <c r="F165" s="27">
        <f>IF(A165="","",IFERROR(AVERAGEIFS(Prensa!$B$2:$B$5001,Prensa!$E$2:$E$5001,N165,Prensa!$F$2:$F$5001,3,Prensa!$G$2:$G$5001,1),""))</f>
        <v>0</v>
      </c>
      <c r="G165" s="27">
        <f>IF(A165="","",IFERROR(AVERAGEIFS(Prensa!$B$2:$B$5001,Prensa!$E$2:$E$5001,N165,Prensa!$F$2:$F$5001,4,Prensa!$G$2:$G$5001,1),""))</f>
        <v>0</v>
      </c>
      <c r="H165" s="26">
        <f>IF(A165="","",COUNT(D165:G165))</f>
        <v>0</v>
      </c>
      <c r="I165" s="27">
        <f>IF(A165="","",IF(H165=0,"",AVERAGE(D165:G165)))</f>
        <v>0</v>
      </c>
      <c r="J165" s="27">
        <f>IF(OR(I165="",C165=""),"",I165-C165)</f>
        <v>0</v>
      </c>
      <c r="K165" s="26">
        <f>IF(A165="","",IF(MES!E165&lt;&gt;4,"Horário do MES fora do padrão",IF(H165&lt;cfgMinCortes,"Cortes insuficientes","Válida")))</f>
        <v>0</v>
      </c>
      <c r="L165" s="27">
        <f>IF(K165="Válida",ABS(J165),"")</f>
        <v>0</v>
      </c>
      <c r="M165" s="26">
        <f>IF(K165="Válida",IF(L165&lt;=cfgTolerancia,"Sim","Não"),"")</f>
        <v>0</v>
      </c>
      <c r="N165" s="26">
        <f>IF(A165="","",MES!D165)</f>
        <v>0</v>
      </c>
      <c r="O165" s="25">
        <f>IF(K165="Válida",A165,NA())</f>
        <v>0</v>
      </c>
      <c r="P165" s="27">
        <f>IF(K165="Válida",C165,NA())</f>
        <v>0</v>
      </c>
      <c r="Q165" s="27">
        <f>IF(K165="Válida",I165,NA())</f>
        <v>0</v>
      </c>
      <c r="R165" s="27">
        <f>IF(K165="Válida",J165,NA())</f>
        <v>0</v>
      </c>
      <c r="S165" s="27">
        <f>IF(K165="Válida",C165,"")</f>
        <v>0</v>
      </c>
      <c r="T165" s="27">
        <f>IF(K165="Válida",I165,"")</f>
        <v>0</v>
      </c>
      <c r="U165" s="27">
        <f>IF(K165="Válida",J165,"")</f>
        <v>0</v>
      </c>
    </row>
    <row r="166" spans="1:21">
      <c r="A166" s="25">
        <f>IF(MES!A166="","",MES!C166/48)</f>
        <v>0</v>
      </c>
      <c r="B166" s="26">
        <f>IF(A166="","",TEXT((N166*4+cfgDeslocamento)/48,"hh:mm")&amp;" a "&amp;TEXT(A166,"hh:mm"))</f>
        <v>0</v>
      </c>
      <c r="C166" s="27">
        <f>IF(A166="","",MES!B166)</f>
        <v>0</v>
      </c>
      <c r="D166" s="27">
        <f>IF(A166="","",IFERROR(AVERAGEIFS(Prensa!$B$2:$B$5001,Prensa!$E$2:$E$5001,N166,Prensa!$F$2:$F$5001,1,Prensa!$G$2:$G$5001,1),""))</f>
        <v>0</v>
      </c>
      <c r="E166" s="27">
        <f>IF(A166="","",IFERROR(AVERAGEIFS(Prensa!$B$2:$B$5001,Prensa!$E$2:$E$5001,N166,Prensa!$F$2:$F$5001,2,Prensa!$G$2:$G$5001,1),""))</f>
        <v>0</v>
      </c>
      <c r="F166" s="27">
        <f>IF(A166="","",IFERROR(AVERAGEIFS(Prensa!$B$2:$B$5001,Prensa!$E$2:$E$5001,N166,Prensa!$F$2:$F$5001,3,Prensa!$G$2:$G$5001,1),""))</f>
        <v>0</v>
      </c>
      <c r="G166" s="27">
        <f>IF(A166="","",IFERROR(AVERAGEIFS(Prensa!$B$2:$B$5001,Prensa!$E$2:$E$5001,N166,Prensa!$F$2:$F$5001,4,Prensa!$G$2:$G$5001,1),""))</f>
        <v>0</v>
      </c>
      <c r="H166" s="26">
        <f>IF(A166="","",COUNT(D166:G166))</f>
        <v>0</v>
      </c>
      <c r="I166" s="27">
        <f>IF(A166="","",IF(H166=0,"",AVERAGE(D166:G166)))</f>
        <v>0</v>
      </c>
      <c r="J166" s="27">
        <f>IF(OR(I166="",C166=""),"",I166-C166)</f>
        <v>0</v>
      </c>
      <c r="K166" s="26">
        <f>IF(A166="","",IF(MES!E166&lt;&gt;4,"Horário do MES fora do padrão",IF(H166&lt;cfgMinCortes,"Cortes insuficientes","Válida")))</f>
        <v>0</v>
      </c>
      <c r="L166" s="27">
        <f>IF(K166="Válida",ABS(J166),"")</f>
        <v>0</v>
      </c>
      <c r="M166" s="26">
        <f>IF(K166="Válida",IF(L166&lt;=cfgTolerancia,"Sim","Não"),"")</f>
        <v>0</v>
      </c>
      <c r="N166" s="26">
        <f>IF(A166="","",MES!D166)</f>
        <v>0</v>
      </c>
      <c r="O166" s="25">
        <f>IF(K166="Válida",A166,NA())</f>
        <v>0</v>
      </c>
      <c r="P166" s="27">
        <f>IF(K166="Válida",C166,NA())</f>
        <v>0</v>
      </c>
      <c r="Q166" s="27">
        <f>IF(K166="Válida",I166,NA())</f>
        <v>0</v>
      </c>
      <c r="R166" s="27">
        <f>IF(K166="Válida",J166,NA())</f>
        <v>0</v>
      </c>
      <c r="S166" s="27">
        <f>IF(K166="Válida",C166,"")</f>
        <v>0</v>
      </c>
      <c r="T166" s="27">
        <f>IF(K166="Válida",I166,"")</f>
        <v>0</v>
      </c>
      <c r="U166" s="27">
        <f>IF(K166="Válida",J166,"")</f>
        <v>0</v>
      </c>
    </row>
    <row r="167" spans="1:21">
      <c r="A167" s="25">
        <f>IF(MES!A167="","",MES!C167/48)</f>
        <v>0</v>
      </c>
      <c r="B167" s="26">
        <f>IF(A167="","",TEXT((N167*4+cfgDeslocamento)/48,"hh:mm")&amp;" a "&amp;TEXT(A167,"hh:mm"))</f>
        <v>0</v>
      </c>
      <c r="C167" s="27">
        <f>IF(A167="","",MES!B167)</f>
        <v>0</v>
      </c>
      <c r="D167" s="27">
        <f>IF(A167="","",IFERROR(AVERAGEIFS(Prensa!$B$2:$B$5001,Prensa!$E$2:$E$5001,N167,Prensa!$F$2:$F$5001,1,Prensa!$G$2:$G$5001,1),""))</f>
        <v>0</v>
      </c>
      <c r="E167" s="27">
        <f>IF(A167="","",IFERROR(AVERAGEIFS(Prensa!$B$2:$B$5001,Prensa!$E$2:$E$5001,N167,Prensa!$F$2:$F$5001,2,Prensa!$G$2:$G$5001,1),""))</f>
        <v>0</v>
      </c>
      <c r="F167" s="27">
        <f>IF(A167="","",IFERROR(AVERAGEIFS(Prensa!$B$2:$B$5001,Prensa!$E$2:$E$5001,N167,Prensa!$F$2:$F$5001,3,Prensa!$G$2:$G$5001,1),""))</f>
        <v>0</v>
      </c>
      <c r="G167" s="27">
        <f>IF(A167="","",IFERROR(AVERAGEIFS(Prensa!$B$2:$B$5001,Prensa!$E$2:$E$5001,N167,Prensa!$F$2:$F$5001,4,Prensa!$G$2:$G$5001,1),""))</f>
        <v>0</v>
      </c>
      <c r="H167" s="26">
        <f>IF(A167="","",COUNT(D167:G167))</f>
        <v>0</v>
      </c>
      <c r="I167" s="27">
        <f>IF(A167="","",IF(H167=0,"",AVERAGE(D167:G167)))</f>
        <v>0</v>
      </c>
      <c r="J167" s="27">
        <f>IF(OR(I167="",C167=""),"",I167-C167)</f>
        <v>0</v>
      </c>
      <c r="K167" s="26">
        <f>IF(A167="","",IF(MES!E167&lt;&gt;4,"Horário do MES fora do padrão",IF(H167&lt;cfgMinCortes,"Cortes insuficientes","Válida")))</f>
        <v>0</v>
      </c>
      <c r="L167" s="27">
        <f>IF(K167="Válida",ABS(J167),"")</f>
        <v>0</v>
      </c>
      <c r="M167" s="26">
        <f>IF(K167="Válida",IF(L167&lt;=cfgTolerancia,"Sim","Não"),"")</f>
        <v>0</v>
      </c>
      <c r="N167" s="26">
        <f>IF(A167="","",MES!D167)</f>
        <v>0</v>
      </c>
      <c r="O167" s="25">
        <f>IF(K167="Válida",A167,NA())</f>
        <v>0</v>
      </c>
      <c r="P167" s="27">
        <f>IF(K167="Válida",C167,NA())</f>
        <v>0</v>
      </c>
      <c r="Q167" s="27">
        <f>IF(K167="Válida",I167,NA())</f>
        <v>0</v>
      </c>
      <c r="R167" s="27">
        <f>IF(K167="Válida",J167,NA())</f>
        <v>0</v>
      </c>
      <c r="S167" s="27">
        <f>IF(K167="Válida",C167,"")</f>
        <v>0</v>
      </c>
      <c r="T167" s="27">
        <f>IF(K167="Válida",I167,"")</f>
        <v>0</v>
      </c>
      <c r="U167" s="27">
        <f>IF(K167="Válida",J167,"")</f>
        <v>0</v>
      </c>
    </row>
    <row r="168" spans="1:21">
      <c r="A168" s="25">
        <f>IF(MES!A168="","",MES!C168/48)</f>
        <v>0</v>
      </c>
      <c r="B168" s="26">
        <f>IF(A168="","",TEXT((N168*4+cfgDeslocamento)/48,"hh:mm")&amp;" a "&amp;TEXT(A168,"hh:mm"))</f>
        <v>0</v>
      </c>
      <c r="C168" s="27">
        <f>IF(A168="","",MES!B168)</f>
        <v>0</v>
      </c>
      <c r="D168" s="27">
        <f>IF(A168="","",IFERROR(AVERAGEIFS(Prensa!$B$2:$B$5001,Prensa!$E$2:$E$5001,N168,Prensa!$F$2:$F$5001,1,Prensa!$G$2:$G$5001,1),""))</f>
        <v>0</v>
      </c>
      <c r="E168" s="27">
        <f>IF(A168="","",IFERROR(AVERAGEIFS(Prensa!$B$2:$B$5001,Prensa!$E$2:$E$5001,N168,Prensa!$F$2:$F$5001,2,Prensa!$G$2:$G$5001,1),""))</f>
        <v>0</v>
      </c>
      <c r="F168" s="27">
        <f>IF(A168="","",IFERROR(AVERAGEIFS(Prensa!$B$2:$B$5001,Prensa!$E$2:$E$5001,N168,Prensa!$F$2:$F$5001,3,Prensa!$G$2:$G$5001,1),""))</f>
        <v>0</v>
      </c>
      <c r="G168" s="27">
        <f>IF(A168="","",IFERROR(AVERAGEIFS(Prensa!$B$2:$B$5001,Prensa!$E$2:$E$5001,N168,Prensa!$F$2:$F$5001,4,Prensa!$G$2:$G$5001,1),""))</f>
        <v>0</v>
      </c>
      <c r="H168" s="26">
        <f>IF(A168="","",COUNT(D168:G168))</f>
        <v>0</v>
      </c>
      <c r="I168" s="27">
        <f>IF(A168="","",IF(H168=0,"",AVERAGE(D168:G168)))</f>
        <v>0</v>
      </c>
      <c r="J168" s="27">
        <f>IF(OR(I168="",C168=""),"",I168-C168)</f>
        <v>0</v>
      </c>
      <c r="K168" s="26">
        <f>IF(A168="","",IF(MES!E168&lt;&gt;4,"Horário do MES fora do padrão",IF(H168&lt;cfgMinCortes,"Cortes insuficientes","Válida")))</f>
        <v>0</v>
      </c>
      <c r="L168" s="27">
        <f>IF(K168="Válida",ABS(J168),"")</f>
        <v>0</v>
      </c>
      <c r="M168" s="26">
        <f>IF(K168="Válida",IF(L168&lt;=cfgTolerancia,"Sim","Não"),"")</f>
        <v>0</v>
      </c>
      <c r="N168" s="26">
        <f>IF(A168="","",MES!D168)</f>
        <v>0</v>
      </c>
      <c r="O168" s="25">
        <f>IF(K168="Válida",A168,NA())</f>
        <v>0</v>
      </c>
      <c r="P168" s="27">
        <f>IF(K168="Válida",C168,NA())</f>
        <v>0</v>
      </c>
      <c r="Q168" s="27">
        <f>IF(K168="Válida",I168,NA())</f>
        <v>0</v>
      </c>
      <c r="R168" s="27">
        <f>IF(K168="Válida",J168,NA())</f>
        <v>0</v>
      </c>
      <c r="S168" s="27">
        <f>IF(K168="Válida",C168,"")</f>
        <v>0</v>
      </c>
      <c r="T168" s="27">
        <f>IF(K168="Válida",I168,"")</f>
        <v>0</v>
      </c>
      <c r="U168" s="27">
        <f>IF(K168="Válida",J168,"")</f>
        <v>0</v>
      </c>
    </row>
    <row r="169" spans="1:21">
      <c r="A169" s="25">
        <f>IF(MES!A169="","",MES!C169/48)</f>
        <v>0</v>
      </c>
      <c r="B169" s="26">
        <f>IF(A169="","",TEXT((N169*4+cfgDeslocamento)/48,"hh:mm")&amp;" a "&amp;TEXT(A169,"hh:mm"))</f>
        <v>0</v>
      </c>
      <c r="C169" s="27">
        <f>IF(A169="","",MES!B169)</f>
        <v>0</v>
      </c>
      <c r="D169" s="27">
        <f>IF(A169="","",IFERROR(AVERAGEIFS(Prensa!$B$2:$B$5001,Prensa!$E$2:$E$5001,N169,Prensa!$F$2:$F$5001,1,Prensa!$G$2:$G$5001,1),""))</f>
        <v>0</v>
      </c>
      <c r="E169" s="27">
        <f>IF(A169="","",IFERROR(AVERAGEIFS(Prensa!$B$2:$B$5001,Prensa!$E$2:$E$5001,N169,Prensa!$F$2:$F$5001,2,Prensa!$G$2:$G$5001,1),""))</f>
        <v>0</v>
      </c>
      <c r="F169" s="27">
        <f>IF(A169="","",IFERROR(AVERAGEIFS(Prensa!$B$2:$B$5001,Prensa!$E$2:$E$5001,N169,Prensa!$F$2:$F$5001,3,Prensa!$G$2:$G$5001,1),""))</f>
        <v>0</v>
      </c>
      <c r="G169" s="27">
        <f>IF(A169="","",IFERROR(AVERAGEIFS(Prensa!$B$2:$B$5001,Prensa!$E$2:$E$5001,N169,Prensa!$F$2:$F$5001,4,Prensa!$G$2:$G$5001,1),""))</f>
        <v>0</v>
      </c>
      <c r="H169" s="26">
        <f>IF(A169="","",COUNT(D169:G169))</f>
        <v>0</v>
      </c>
      <c r="I169" s="27">
        <f>IF(A169="","",IF(H169=0,"",AVERAGE(D169:G169)))</f>
        <v>0</v>
      </c>
      <c r="J169" s="27">
        <f>IF(OR(I169="",C169=""),"",I169-C169)</f>
        <v>0</v>
      </c>
      <c r="K169" s="26">
        <f>IF(A169="","",IF(MES!E169&lt;&gt;4,"Horário do MES fora do padrão",IF(H169&lt;cfgMinCortes,"Cortes insuficientes","Válida")))</f>
        <v>0</v>
      </c>
      <c r="L169" s="27">
        <f>IF(K169="Válida",ABS(J169),"")</f>
        <v>0</v>
      </c>
      <c r="M169" s="26">
        <f>IF(K169="Válida",IF(L169&lt;=cfgTolerancia,"Sim","Não"),"")</f>
        <v>0</v>
      </c>
      <c r="N169" s="26">
        <f>IF(A169="","",MES!D169)</f>
        <v>0</v>
      </c>
      <c r="O169" s="25">
        <f>IF(K169="Válida",A169,NA())</f>
        <v>0</v>
      </c>
      <c r="P169" s="27">
        <f>IF(K169="Válida",C169,NA())</f>
        <v>0</v>
      </c>
      <c r="Q169" s="27">
        <f>IF(K169="Válida",I169,NA())</f>
        <v>0</v>
      </c>
      <c r="R169" s="27">
        <f>IF(K169="Válida",J169,NA())</f>
        <v>0</v>
      </c>
      <c r="S169" s="27">
        <f>IF(K169="Válida",C169,"")</f>
        <v>0</v>
      </c>
      <c r="T169" s="27">
        <f>IF(K169="Válida",I169,"")</f>
        <v>0</v>
      </c>
      <c r="U169" s="27">
        <f>IF(K169="Válida",J169,"")</f>
        <v>0</v>
      </c>
    </row>
    <row r="170" spans="1:21">
      <c r="A170" s="25">
        <f>IF(MES!A170="","",MES!C170/48)</f>
        <v>0</v>
      </c>
      <c r="B170" s="26">
        <f>IF(A170="","",TEXT((N170*4+cfgDeslocamento)/48,"hh:mm")&amp;" a "&amp;TEXT(A170,"hh:mm"))</f>
        <v>0</v>
      </c>
      <c r="C170" s="27">
        <f>IF(A170="","",MES!B170)</f>
        <v>0</v>
      </c>
      <c r="D170" s="27">
        <f>IF(A170="","",IFERROR(AVERAGEIFS(Prensa!$B$2:$B$5001,Prensa!$E$2:$E$5001,N170,Prensa!$F$2:$F$5001,1,Prensa!$G$2:$G$5001,1),""))</f>
        <v>0</v>
      </c>
      <c r="E170" s="27">
        <f>IF(A170="","",IFERROR(AVERAGEIFS(Prensa!$B$2:$B$5001,Prensa!$E$2:$E$5001,N170,Prensa!$F$2:$F$5001,2,Prensa!$G$2:$G$5001,1),""))</f>
        <v>0</v>
      </c>
      <c r="F170" s="27">
        <f>IF(A170="","",IFERROR(AVERAGEIFS(Prensa!$B$2:$B$5001,Prensa!$E$2:$E$5001,N170,Prensa!$F$2:$F$5001,3,Prensa!$G$2:$G$5001,1),""))</f>
        <v>0</v>
      </c>
      <c r="G170" s="27">
        <f>IF(A170="","",IFERROR(AVERAGEIFS(Prensa!$B$2:$B$5001,Prensa!$E$2:$E$5001,N170,Prensa!$F$2:$F$5001,4,Prensa!$G$2:$G$5001,1),""))</f>
        <v>0</v>
      </c>
      <c r="H170" s="26">
        <f>IF(A170="","",COUNT(D170:G170))</f>
        <v>0</v>
      </c>
      <c r="I170" s="27">
        <f>IF(A170="","",IF(H170=0,"",AVERAGE(D170:G170)))</f>
        <v>0</v>
      </c>
      <c r="J170" s="27">
        <f>IF(OR(I170="",C170=""),"",I170-C170)</f>
        <v>0</v>
      </c>
      <c r="K170" s="26">
        <f>IF(A170="","",IF(MES!E170&lt;&gt;4,"Horário do MES fora do padrão",IF(H170&lt;cfgMinCortes,"Cortes insuficientes","Válida")))</f>
        <v>0</v>
      </c>
      <c r="L170" s="27">
        <f>IF(K170="Válida",ABS(J170),"")</f>
        <v>0</v>
      </c>
      <c r="M170" s="26">
        <f>IF(K170="Válida",IF(L170&lt;=cfgTolerancia,"Sim","Não"),"")</f>
        <v>0</v>
      </c>
      <c r="N170" s="26">
        <f>IF(A170="","",MES!D170)</f>
        <v>0</v>
      </c>
      <c r="O170" s="25">
        <f>IF(K170="Válida",A170,NA())</f>
        <v>0</v>
      </c>
      <c r="P170" s="27">
        <f>IF(K170="Válida",C170,NA())</f>
        <v>0</v>
      </c>
      <c r="Q170" s="27">
        <f>IF(K170="Válida",I170,NA())</f>
        <v>0</v>
      </c>
      <c r="R170" s="27">
        <f>IF(K170="Válida",J170,NA())</f>
        <v>0</v>
      </c>
      <c r="S170" s="27">
        <f>IF(K170="Válida",C170,"")</f>
        <v>0</v>
      </c>
      <c r="T170" s="27">
        <f>IF(K170="Válida",I170,"")</f>
        <v>0</v>
      </c>
      <c r="U170" s="27">
        <f>IF(K170="Válida",J170,"")</f>
        <v>0</v>
      </c>
    </row>
    <row r="171" spans="1:21">
      <c r="A171" s="25">
        <f>IF(MES!A171="","",MES!C171/48)</f>
        <v>0</v>
      </c>
      <c r="B171" s="26">
        <f>IF(A171="","",TEXT((N171*4+cfgDeslocamento)/48,"hh:mm")&amp;" a "&amp;TEXT(A171,"hh:mm"))</f>
        <v>0</v>
      </c>
      <c r="C171" s="27">
        <f>IF(A171="","",MES!B171)</f>
        <v>0</v>
      </c>
      <c r="D171" s="27">
        <f>IF(A171="","",IFERROR(AVERAGEIFS(Prensa!$B$2:$B$5001,Prensa!$E$2:$E$5001,N171,Prensa!$F$2:$F$5001,1,Prensa!$G$2:$G$5001,1),""))</f>
        <v>0</v>
      </c>
      <c r="E171" s="27">
        <f>IF(A171="","",IFERROR(AVERAGEIFS(Prensa!$B$2:$B$5001,Prensa!$E$2:$E$5001,N171,Prensa!$F$2:$F$5001,2,Prensa!$G$2:$G$5001,1),""))</f>
        <v>0</v>
      </c>
      <c r="F171" s="27">
        <f>IF(A171="","",IFERROR(AVERAGEIFS(Prensa!$B$2:$B$5001,Prensa!$E$2:$E$5001,N171,Prensa!$F$2:$F$5001,3,Prensa!$G$2:$G$5001,1),""))</f>
        <v>0</v>
      </c>
      <c r="G171" s="27">
        <f>IF(A171="","",IFERROR(AVERAGEIFS(Prensa!$B$2:$B$5001,Prensa!$E$2:$E$5001,N171,Prensa!$F$2:$F$5001,4,Prensa!$G$2:$G$5001,1),""))</f>
        <v>0</v>
      </c>
      <c r="H171" s="26">
        <f>IF(A171="","",COUNT(D171:G171))</f>
        <v>0</v>
      </c>
      <c r="I171" s="27">
        <f>IF(A171="","",IF(H171=0,"",AVERAGE(D171:G171)))</f>
        <v>0</v>
      </c>
      <c r="J171" s="27">
        <f>IF(OR(I171="",C171=""),"",I171-C171)</f>
        <v>0</v>
      </c>
      <c r="K171" s="26">
        <f>IF(A171="","",IF(MES!E171&lt;&gt;4,"Horário do MES fora do padrão",IF(H171&lt;cfgMinCortes,"Cortes insuficientes","Válida")))</f>
        <v>0</v>
      </c>
      <c r="L171" s="27">
        <f>IF(K171="Válida",ABS(J171),"")</f>
        <v>0</v>
      </c>
      <c r="M171" s="26">
        <f>IF(K171="Válida",IF(L171&lt;=cfgTolerancia,"Sim","Não"),"")</f>
        <v>0</v>
      </c>
      <c r="N171" s="26">
        <f>IF(A171="","",MES!D171)</f>
        <v>0</v>
      </c>
      <c r="O171" s="25">
        <f>IF(K171="Válida",A171,NA())</f>
        <v>0</v>
      </c>
      <c r="P171" s="27">
        <f>IF(K171="Válida",C171,NA())</f>
        <v>0</v>
      </c>
      <c r="Q171" s="27">
        <f>IF(K171="Válida",I171,NA())</f>
        <v>0</v>
      </c>
      <c r="R171" s="27">
        <f>IF(K171="Válida",J171,NA())</f>
        <v>0</v>
      </c>
      <c r="S171" s="27">
        <f>IF(K171="Válida",C171,"")</f>
        <v>0</v>
      </c>
      <c r="T171" s="27">
        <f>IF(K171="Válida",I171,"")</f>
        <v>0</v>
      </c>
      <c r="U171" s="27">
        <f>IF(K171="Válida",J171,"")</f>
        <v>0</v>
      </c>
    </row>
    <row r="172" spans="1:21">
      <c r="A172" s="25">
        <f>IF(MES!A172="","",MES!C172/48)</f>
        <v>0</v>
      </c>
      <c r="B172" s="26">
        <f>IF(A172="","",TEXT((N172*4+cfgDeslocamento)/48,"hh:mm")&amp;" a "&amp;TEXT(A172,"hh:mm"))</f>
        <v>0</v>
      </c>
      <c r="C172" s="27">
        <f>IF(A172="","",MES!B172)</f>
        <v>0</v>
      </c>
      <c r="D172" s="27">
        <f>IF(A172="","",IFERROR(AVERAGEIFS(Prensa!$B$2:$B$5001,Prensa!$E$2:$E$5001,N172,Prensa!$F$2:$F$5001,1,Prensa!$G$2:$G$5001,1),""))</f>
        <v>0</v>
      </c>
      <c r="E172" s="27">
        <f>IF(A172="","",IFERROR(AVERAGEIFS(Prensa!$B$2:$B$5001,Prensa!$E$2:$E$5001,N172,Prensa!$F$2:$F$5001,2,Prensa!$G$2:$G$5001,1),""))</f>
        <v>0</v>
      </c>
      <c r="F172" s="27">
        <f>IF(A172="","",IFERROR(AVERAGEIFS(Prensa!$B$2:$B$5001,Prensa!$E$2:$E$5001,N172,Prensa!$F$2:$F$5001,3,Prensa!$G$2:$G$5001,1),""))</f>
        <v>0</v>
      </c>
      <c r="G172" s="27">
        <f>IF(A172="","",IFERROR(AVERAGEIFS(Prensa!$B$2:$B$5001,Prensa!$E$2:$E$5001,N172,Prensa!$F$2:$F$5001,4,Prensa!$G$2:$G$5001,1),""))</f>
        <v>0</v>
      </c>
      <c r="H172" s="26">
        <f>IF(A172="","",COUNT(D172:G172))</f>
        <v>0</v>
      </c>
      <c r="I172" s="27">
        <f>IF(A172="","",IF(H172=0,"",AVERAGE(D172:G172)))</f>
        <v>0</v>
      </c>
      <c r="J172" s="27">
        <f>IF(OR(I172="",C172=""),"",I172-C172)</f>
        <v>0</v>
      </c>
      <c r="K172" s="26">
        <f>IF(A172="","",IF(MES!E172&lt;&gt;4,"Horário do MES fora do padrão",IF(H172&lt;cfgMinCortes,"Cortes insuficientes","Válida")))</f>
        <v>0</v>
      </c>
      <c r="L172" s="27">
        <f>IF(K172="Válida",ABS(J172),"")</f>
        <v>0</v>
      </c>
      <c r="M172" s="26">
        <f>IF(K172="Válida",IF(L172&lt;=cfgTolerancia,"Sim","Não"),"")</f>
        <v>0</v>
      </c>
      <c r="N172" s="26">
        <f>IF(A172="","",MES!D172)</f>
        <v>0</v>
      </c>
      <c r="O172" s="25">
        <f>IF(K172="Válida",A172,NA())</f>
        <v>0</v>
      </c>
      <c r="P172" s="27">
        <f>IF(K172="Válida",C172,NA())</f>
        <v>0</v>
      </c>
      <c r="Q172" s="27">
        <f>IF(K172="Válida",I172,NA())</f>
        <v>0</v>
      </c>
      <c r="R172" s="27">
        <f>IF(K172="Válida",J172,NA())</f>
        <v>0</v>
      </c>
      <c r="S172" s="27">
        <f>IF(K172="Válida",C172,"")</f>
        <v>0</v>
      </c>
      <c r="T172" s="27">
        <f>IF(K172="Válida",I172,"")</f>
        <v>0</v>
      </c>
      <c r="U172" s="27">
        <f>IF(K172="Válida",J172,"")</f>
        <v>0</v>
      </c>
    </row>
    <row r="173" spans="1:21">
      <c r="A173" s="25">
        <f>IF(MES!A173="","",MES!C173/48)</f>
        <v>0</v>
      </c>
      <c r="B173" s="26">
        <f>IF(A173="","",TEXT((N173*4+cfgDeslocamento)/48,"hh:mm")&amp;" a "&amp;TEXT(A173,"hh:mm"))</f>
        <v>0</v>
      </c>
      <c r="C173" s="27">
        <f>IF(A173="","",MES!B173)</f>
        <v>0</v>
      </c>
      <c r="D173" s="27">
        <f>IF(A173="","",IFERROR(AVERAGEIFS(Prensa!$B$2:$B$5001,Prensa!$E$2:$E$5001,N173,Prensa!$F$2:$F$5001,1,Prensa!$G$2:$G$5001,1),""))</f>
        <v>0</v>
      </c>
      <c r="E173" s="27">
        <f>IF(A173="","",IFERROR(AVERAGEIFS(Prensa!$B$2:$B$5001,Prensa!$E$2:$E$5001,N173,Prensa!$F$2:$F$5001,2,Prensa!$G$2:$G$5001,1),""))</f>
        <v>0</v>
      </c>
      <c r="F173" s="27">
        <f>IF(A173="","",IFERROR(AVERAGEIFS(Prensa!$B$2:$B$5001,Prensa!$E$2:$E$5001,N173,Prensa!$F$2:$F$5001,3,Prensa!$G$2:$G$5001,1),""))</f>
        <v>0</v>
      </c>
      <c r="G173" s="27">
        <f>IF(A173="","",IFERROR(AVERAGEIFS(Prensa!$B$2:$B$5001,Prensa!$E$2:$E$5001,N173,Prensa!$F$2:$F$5001,4,Prensa!$G$2:$G$5001,1),""))</f>
        <v>0</v>
      </c>
      <c r="H173" s="26">
        <f>IF(A173="","",COUNT(D173:G173))</f>
        <v>0</v>
      </c>
      <c r="I173" s="27">
        <f>IF(A173="","",IF(H173=0,"",AVERAGE(D173:G173)))</f>
        <v>0</v>
      </c>
      <c r="J173" s="27">
        <f>IF(OR(I173="",C173=""),"",I173-C173)</f>
        <v>0</v>
      </c>
      <c r="K173" s="26">
        <f>IF(A173="","",IF(MES!E173&lt;&gt;4,"Horário do MES fora do padrão",IF(H173&lt;cfgMinCortes,"Cortes insuficientes","Válida")))</f>
        <v>0</v>
      </c>
      <c r="L173" s="27">
        <f>IF(K173="Válida",ABS(J173),"")</f>
        <v>0</v>
      </c>
      <c r="M173" s="26">
        <f>IF(K173="Válida",IF(L173&lt;=cfgTolerancia,"Sim","Não"),"")</f>
        <v>0</v>
      </c>
      <c r="N173" s="26">
        <f>IF(A173="","",MES!D173)</f>
        <v>0</v>
      </c>
      <c r="O173" s="25">
        <f>IF(K173="Válida",A173,NA())</f>
        <v>0</v>
      </c>
      <c r="P173" s="27">
        <f>IF(K173="Válida",C173,NA())</f>
        <v>0</v>
      </c>
      <c r="Q173" s="27">
        <f>IF(K173="Válida",I173,NA())</f>
        <v>0</v>
      </c>
      <c r="R173" s="27">
        <f>IF(K173="Válida",J173,NA())</f>
        <v>0</v>
      </c>
      <c r="S173" s="27">
        <f>IF(K173="Válida",C173,"")</f>
        <v>0</v>
      </c>
      <c r="T173" s="27">
        <f>IF(K173="Válida",I173,"")</f>
        <v>0</v>
      </c>
      <c r="U173" s="27">
        <f>IF(K173="Válida",J173,"")</f>
        <v>0</v>
      </c>
    </row>
    <row r="174" spans="1:21">
      <c r="A174" s="25">
        <f>IF(MES!A174="","",MES!C174/48)</f>
        <v>0</v>
      </c>
      <c r="B174" s="26">
        <f>IF(A174="","",TEXT((N174*4+cfgDeslocamento)/48,"hh:mm")&amp;" a "&amp;TEXT(A174,"hh:mm"))</f>
        <v>0</v>
      </c>
      <c r="C174" s="27">
        <f>IF(A174="","",MES!B174)</f>
        <v>0</v>
      </c>
      <c r="D174" s="27">
        <f>IF(A174="","",IFERROR(AVERAGEIFS(Prensa!$B$2:$B$5001,Prensa!$E$2:$E$5001,N174,Prensa!$F$2:$F$5001,1,Prensa!$G$2:$G$5001,1),""))</f>
        <v>0</v>
      </c>
      <c r="E174" s="27">
        <f>IF(A174="","",IFERROR(AVERAGEIFS(Prensa!$B$2:$B$5001,Prensa!$E$2:$E$5001,N174,Prensa!$F$2:$F$5001,2,Prensa!$G$2:$G$5001,1),""))</f>
        <v>0</v>
      </c>
      <c r="F174" s="27">
        <f>IF(A174="","",IFERROR(AVERAGEIFS(Prensa!$B$2:$B$5001,Prensa!$E$2:$E$5001,N174,Prensa!$F$2:$F$5001,3,Prensa!$G$2:$G$5001,1),""))</f>
        <v>0</v>
      </c>
      <c r="G174" s="27">
        <f>IF(A174="","",IFERROR(AVERAGEIFS(Prensa!$B$2:$B$5001,Prensa!$E$2:$E$5001,N174,Prensa!$F$2:$F$5001,4,Prensa!$G$2:$G$5001,1),""))</f>
        <v>0</v>
      </c>
      <c r="H174" s="26">
        <f>IF(A174="","",COUNT(D174:G174))</f>
        <v>0</v>
      </c>
      <c r="I174" s="27">
        <f>IF(A174="","",IF(H174=0,"",AVERAGE(D174:G174)))</f>
        <v>0</v>
      </c>
      <c r="J174" s="27">
        <f>IF(OR(I174="",C174=""),"",I174-C174)</f>
        <v>0</v>
      </c>
      <c r="K174" s="26">
        <f>IF(A174="","",IF(MES!E174&lt;&gt;4,"Horário do MES fora do padrão",IF(H174&lt;cfgMinCortes,"Cortes insuficientes","Válida")))</f>
        <v>0</v>
      </c>
      <c r="L174" s="27">
        <f>IF(K174="Válida",ABS(J174),"")</f>
        <v>0</v>
      </c>
      <c r="M174" s="26">
        <f>IF(K174="Válida",IF(L174&lt;=cfgTolerancia,"Sim","Não"),"")</f>
        <v>0</v>
      </c>
      <c r="N174" s="26">
        <f>IF(A174="","",MES!D174)</f>
        <v>0</v>
      </c>
      <c r="O174" s="25">
        <f>IF(K174="Válida",A174,NA())</f>
        <v>0</v>
      </c>
      <c r="P174" s="27">
        <f>IF(K174="Válida",C174,NA())</f>
        <v>0</v>
      </c>
      <c r="Q174" s="27">
        <f>IF(K174="Válida",I174,NA())</f>
        <v>0</v>
      </c>
      <c r="R174" s="27">
        <f>IF(K174="Válida",J174,NA())</f>
        <v>0</v>
      </c>
      <c r="S174" s="27">
        <f>IF(K174="Válida",C174,"")</f>
        <v>0</v>
      </c>
      <c r="T174" s="27">
        <f>IF(K174="Válida",I174,"")</f>
        <v>0</v>
      </c>
      <c r="U174" s="27">
        <f>IF(K174="Válida",J174,"")</f>
        <v>0</v>
      </c>
    </row>
    <row r="175" spans="1:21">
      <c r="A175" s="25">
        <f>IF(MES!A175="","",MES!C175/48)</f>
        <v>0</v>
      </c>
      <c r="B175" s="26">
        <f>IF(A175="","",TEXT((N175*4+cfgDeslocamento)/48,"hh:mm")&amp;" a "&amp;TEXT(A175,"hh:mm"))</f>
        <v>0</v>
      </c>
      <c r="C175" s="27">
        <f>IF(A175="","",MES!B175)</f>
        <v>0</v>
      </c>
      <c r="D175" s="27">
        <f>IF(A175="","",IFERROR(AVERAGEIFS(Prensa!$B$2:$B$5001,Prensa!$E$2:$E$5001,N175,Prensa!$F$2:$F$5001,1,Prensa!$G$2:$G$5001,1),""))</f>
        <v>0</v>
      </c>
      <c r="E175" s="27">
        <f>IF(A175="","",IFERROR(AVERAGEIFS(Prensa!$B$2:$B$5001,Prensa!$E$2:$E$5001,N175,Prensa!$F$2:$F$5001,2,Prensa!$G$2:$G$5001,1),""))</f>
        <v>0</v>
      </c>
      <c r="F175" s="27">
        <f>IF(A175="","",IFERROR(AVERAGEIFS(Prensa!$B$2:$B$5001,Prensa!$E$2:$E$5001,N175,Prensa!$F$2:$F$5001,3,Prensa!$G$2:$G$5001,1),""))</f>
        <v>0</v>
      </c>
      <c r="G175" s="27">
        <f>IF(A175="","",IFERROR(AVERAGEIFS(Prensa!$B$2:$B$5001,Prensa!$E$2:$E$5001,N175,Prensa!$F$2:$F$5001,4,Prensa!$G$2:$G$5001,1),""))</f>
        <v>0</v>
      </c>
      <c r="H175" s="26">
        <f>IF(A175="","",COUNT(D175:G175))</f>
        <v>0</v>
      </c>
      <c r="I175" s="27">
        <f>IF(A175="","",IF(H175=0,"",AVERAGE(D175:G175)))</f>
        <v>0</v>
      </c>
      <c r="J175" s="27">
        <f>IF(OR(I175="",C175=""),"",I175-C175)</f>
        <v>0</v>
      </c>
      <c r="K175" s="26">
        <f>IF(A175="","",IF(MES!E175&lt;&gt;4,"Horário do MES fora do padrão",IF(H175&lt;cfgMinCortes,"Cortes insuficientes","Válida")))</f>
        <v>0</v>
      </c>
      <c r="L175" s="27">
        <f>IF(K175="Válida",ABS(J175),"")</f>
        <v>0</v>
      </c>
      <c r="M175" s="26">
        <f>IF(K175="Válida",IF(L175&lt;=cfgTolerancia,"Sim","Não"),"")</f>
        <v>0</v>
      </c>
      <c r="N175" s="26">
        <f>IF(A175="","",MES!D175)</f>
        <v>0</v>
      </c>
      <c r="O175" s="25">
        <f>IF(K175="Válida",A175,NA())</f>
        <v>0</v>
      </c>
      <c r="P175" s="27">
        <f>IF(K175="Válida",C175,NA())</f>
        <v>0</v>
      </c>
      <c r="Q175" s="27">
        <f>IF(K175="Válida",I175,NA())</f>
        <v>0</v>
      </c>
      <c r="R175" s="27">
        <f>IF(K175="Válida",J175,NA())</f>
        <v>0</v>
      </c>
      <c r="S175" s="27">
        <f>IF(K175="Válida",C175,"")</f>
        <v>0</v>
      </c>
      <c r="T175" s="27">
        <f>IF(K175="Válida",I175,"")</f>
        <v>0</v>
      </c>
      <c r="U175" s="27">
        <f>IF(K175="Válida",J175,"")</f>
        <v>0</v>
      </c>
    </row>
    <row r="176" spans="1:21">
      <c r="A176" s="25">
        <f>IF(MES!A176="","",MES!C176/48)</f>
        <v>0</v>
      </c>
      <c r="B176" s="26">
        <f>IF(A176="","",TEXT((N176*4+cfgDeslocamento)/48,"hh:mm")&amp;" a "&amp;TEXT(A176,"hh:mm"))</f>
        <v>0</v>
      </c>
      <c r="C176" s="27">
        <f>IF(A176="","",MES!B176)</f>
        <v>0</v>
      </c>
      <c r="D176" s="27">
        <f>IF(A176="","",IFERROR(AVERAGEIFS(Prensa!$B$2:$B$5001,Prensa!$E$2:$E$5001,N176,Prensa!$F$2:$F$5001,1,Prensa!$G$2:$G$5001,1),""))</f>
        <v>0</v>
      </c>
      <c r="E176" s="27">
        <f>IF(A176="","",IFERROR(AVERAGEIFS(Prensa!$B$2:$B$5001,Prensa!$E$2:$E$5001,N176,Prensa!$F$2:$F$5001,2,Prensa!$G$2:$G$5001,1),""))</f>
        <v>0</v>
      </c>
      <c r="F176" s="27">
        <f>IF(A176="","",IFERROR(AVERAGEIFS(Prensa!$B$2:$B$5001,Prensa!$E$2:$E$5001,N176,Prensa!$F$2:$F$5001,3,Prensa!$G$2:$G$5001,1),""))</f>
        <v>0</v>
      </c>
      <c r="G176" s="27">
        <f>IF(A176="","",IFERROR(AVERAGEIFS(Prensa!$B$2:$B$5001,Prensa!$E$2:$E$5001,N176,Prensa!$F$2:$F$5001,4,Prensa!$G$2:$G$5001,1),""))</f>
        <v>0</v>
      </c>
      <c r="H176" s="26">
        <f>IF(A176="","",COUNT(D176:G176))</f>
        <v>0</v>
      </c>
      <c r="I176" s="27">
        <f>IF(A176="","",IF(H176=0,"",AVERAGE(D176:G176)))</f>
        <v>0</v>
      </c>
      <c r="J176" s="27">
        <f>IF(OR(I176="",C176=""),"",I176-C176)</f>
        <v>0</v>
      </c>
      <c r="K176" s="26">
        <f>IF(A176="","",IF(MES!E176&lt;&gt;4,"Horário do MES fora do padrão",IF(H176&lt;cfgMinCortes,"Cortes insuficientes","Válida")))</f>
        <v>0</v>
      </c>
      <c r="L176" s="27">
        <f>IF(K176="Válida",ABS(J176),"")</f>
        <v>0</v>
      </c>
      <c r="M176" s="26">
        <f>IF(K176="Válida",IF(L176&lt;=cfgTolerancia,"Sim","Não"),"")</f>
        <v>0</v>
      </c>
      <c r="N176" s="26">
        <f>IF(A176="","",MES!D176)</f>
        <v>0</v>
      </c>
      <c r="O176" s="25">
        <f>IF(K176="Válida",A176,NA())</f>
        <v>0</v>
      </c>
      <c r="P176" s="27">
        <f>IF(K176="Válida",C176,NA())</f>
        <v>0</v>
      </c>
      <c r="Q176" s="27">
        <f>IF(K176="Válida",I176,NA())</f>
        <v>0</v>
      </c>
      <c r="R176" s="27">
        <f>IF(K176="Válida",J176,NA())</f>
        <v>0</v>
      </c>
      <c r="S176" s="27">
        <f>IF(K176="Válida",C176,"")</f>
        <v>0</v>
      </c>
      <c r="T176" s="27">
        <f>IF(K176="Válida",I176,"")</f>
        <v>0</v>
      </c>
      <c r="U176" s="27">
        <f>IF(K176="Válida",J176,"")</f>
        <v>0</v>
      </c>
    </row>
    <row r="177" spans="1:21">
      <c r="A177" s="25">
        <f>IF(MES!A177="","",MES!C177/48)</f>
        <v>0</v>
      </c>
      <c r="B177" s="26">
        <f>IF(A177="","",TEXT((N177*4+cfgDeslocamento)/48,"hh:mm")&amp;" a "&amp;TEXT(A177,"hh:mm"))</f>
        <v>0</v>
      </c>
      <c r="C177" s="27">
        <f>IF(A177="","",MES!B177)</f>
        <v>0</v>
      </c>
      <c r="D177" s="27">
        <f>IF(A177="","",IFERROR(AVERAGEIFS(Prensa!$B$2:$B$5001,Prensa!$E$2:$E$5001,N177,Prensa!$F$2:$F$5001,1,Prensa!$G$2:$G$5001,1),""))</f>
        <v>0</v>
      </c>
      <c r="E177" s="27">
        <f>IF(A177="","",IFERROR(AVERAGEIFS(Prensa!$B$2:$B$5001,Prensa!$E$2:$E$5001,N177,Prensa!$F$2:$F$5001,2,Prensa!$G$2:$G$5001,1),""))</f>
        <v>0</v>
      </c>
      <c r="F177" s="27">
        <f>IF(A177="","",IFERROR(AVERAGEIFS(Prensa!$B$2:$B$5001,Prensa!$E$2:$E$5001,N177,Prensa!$F$2:$F$5001,3,Prensa!$G$2:$G$5001,1),""))</f>
        <v>0</v>
      </c>
      <c r="G177" s="27">
        <f>IF(A177="","",IFERROR(AVERAGEIFS(Prensa!$B$2:$B$5001,Prensa!$E$2:$E$5001,N177,Prensa!$F$2:$F$5001,4,Prensa!$G$2:$G$5001,1),""))</f>
        <v>0</v>
      </c>
      <c r="H177" s="26">
        <f>IF(A177="","",COUNT(D177:G177))</f>
        <v>0</v>
      </c>
      <c r="I177" s="27">
        <f>IF(A177="","",IF(H177=0,"",AVERAGE(D177:G177)))</f>
        <v>0</v>
      </c>
      <c r="J177" s="27">
        <f>IF(OR(I177="",C177=""),"",I177-C177)</f>
        <v>0</v>
      </c>
      <c r="K177" s="26">
        <f>IF(A177="","",IF(MES!E177&lt;&gt;4,"Horário do MES fora do padrão",IF(H177&lt;cfgMinCortes,"Cortes insuficientes","Válida")))</f>
        <v>0</v>
      </c>
      <c r="L177" s="27">
        <f>IF(K177="Válida",ABS(J177),"")</f>
        <v>0</v>
      </c>
      <c r="M177" s="26">
        <f>IF(K177="Válida",IF(L177&lt;=cfgTolerancia,"Sim","Não"),"")</f>
        <v>0</v>
      </c>
      <c r="N177" s="26">
        <f>IF(A177="","",MES!D177)</f>
        <v>0</v>
      </c>
      <c r="O177" s="25">
        <f>IF(K177="Válida",A177,NA())</f>
        <v>0</v>
      </c>
      <c r="P177" s="27">
        <f>IF(K177="Válida",C177,NA())</f>
        <v>0</v>
      </c>
      <c r="Q177" s="27">
        <f>IF(K177="Válida",I177,NA())</f>
        <v>0</v>
      </c>
      <c r="R177" s="27">
        <f>IF(K177="Válida",J177,NA())</f>
        <v>0</v>
      </c>
      <c r="S177" s="27">
        <f>IF(K177="Válida",C177,"")</f>
        <v>0</v>
      </c>
      <c r="T177" s="27">
        <f>IF(K177="Válida",I177,"")</f>
        <v>0</v>
      </c>
      <c r="U177" s="27">
        <f>IF(K177="Válida",J177,"")</f>
        <v>0</v>
      </c>
    </row>
    <row r="178" spans="1:21">
      <c r="A178" s="25">
        <f>IF(MES!A178="","",MES!C178/48)</f>
        <v>0</v>
      </c>
      <c r="B178" s="26">
        <f>IF(A178="","",TEXT((N178*4+cfgDeslocamento)/48,"hh:mm")&amp;" a "&amp;TEXT(A178,"hh:mm"))</f>
        <v>0</v>
      </c>
      <c r="C178" s="27">
        <f>IF(A178="","",MES!B178)</f>
        <v>0</v>
      </c>
      <c r="D178" s="27">
        <f>IF(A178="","",IFERROR(AVERAGEIFS(Prensa!$B$2:$B$5001,Prensa!$E$2:$E$5001,N178,Prensa!$F$2:$F$5001,1,Prensa!$G$2:$G$5001,1),""))</f>
        <v>0</v>
      </c>
      <c r="E178" s="27">
        <f>IF(A178="","",IFERROR(AVERAGEIFS(Prensa!$B$2:$B$5001,Prensa!$E$2:$E$5001,N178,Prensa!$F$2:$F$5001,2,Prensa!$G$2:$G$5001,1),""))</f>
        <v>0</v>
      </c>
      <c r="F178" s="27">
        <f>IF(A178="","",IFERROR(AVERAGEIFS(Prensa!$B$2:$B$5001,Prensa!$E$2:$E$5001,N178,Prensa!$F$2:$F$5001,3,Prensa!$G$2:$G$5001,1),""))</f>
        <v>0</v>
      </c>
      <c r="G178" s="27">
        <f>IF(A178="","",IFERROR(AVERAGEIFS(Prensa!$B$2:$B$5001,Prensa!$E$2:$E$5001,N178,Prensa!$F$2:$F$5001,4,Prensa!$G$2:$G$5001,1),""))</f>
        <v>0</v>
      </c>
      <c r="H178" s="26">
        <f>IF(A178="","",COUNT(D178:G178))</f>
        <v>0</v>
      </c>
      <c r="I178" s="27">
        <f>IF(A178="","",IF(H178=0,"",AVERAGE(D178:G178)))</f>
        <v>0</v>
      </c>
      <c r="J178" s="27">
        <f>IF(OR(I178="",C178=""),"",I178-C178)</f>
        <v>0</v>
      </c>
      <c r="K178" s="26">
        <f>IF(A178="","",IF(MES!E178&lt;&gt;4,"Horário do MES fora do padrão",IF(H178&lt;cfgMinCortes,"Cortes insuficientes","Válida")))</f>
        <v>0</v>
      </c>
      <c r="L178" s="27">
        <f>IF(K178="Válida",ABS(J178),"")</f>
        <v>0</v>
      </c>
      <c r="M178" s="26">
        <f>IF(K178="Válida",IF(L178&lt;=cfgTolerancia,"Sim","Não"),"")</f>
        <v>0</v>
      </c>
      <c r="N178" s="26">
        <f>IF(A178="","",MES!D178)</f>
        <v>0</v>
      </c>
      <c r="O178" s="25">
        <f>IF(K178="Válida",A178,NA())</f>
        <v>0</v>
      </c>
      <c r="P178" s="27">
        <f>IF(K178="Válida",C178,NA())</f>
        <v>0</v>
      </c>
      <c r="Q178" s="27">
        <f>IF(K178="Válida",I178,NA())</f>
        <v>0</v>
      </c>
      <c r="R178" s="27">
        <f>IF(K178="Válida",J178,NA())</f>
        <v>0</v>
      </c>
      <c r="S178" s="27">
        <f>IF(K178="Válida",C178,"")</f>
        <v>0</v>
      </c>
      <c r="T178" s="27">
        <f>IF(K178="Válida",I178,"")</f>
        <v>0</v>
      </c>
      <c r="U178" s="27">
        <f>IF(K178="Válida",J178,"")</f>
        <v>0</v>
      </c>
    </row>
    <row r="179" spans="1:21">
      <c r="A179" s="25">
        <f>IF(MES!A179="","",MES!C179/48)</f>
        <v>0</v>
      </c>
      <c r="B179" s="26">
        <f>IF(A179="","",TEXT((N179*4+cfgDeslocamento)/48,"hh:mm")&amp;" a "&amp;TEXT(A179,"hh:mm"))</f>
        <v>0</v>
      </c>
      <c r="C179" s="27">
        <f>IF(A179="","",MES!B179)</f>
        <v>0</v>
      </c>
      <c r="D179" s="27">
        <f>IF(A179="","",IFERROR(AVERAGEIFS(Prensa!$B$2:$B$5001,Prensa!$E$2:$E$5001,N179,Prensa!$F$2:$F$5001,1,Prensa!$G$2:$G$5001,1),""))</f>
        <v>0</v>
      </c>
      <c r="E179" s="27">
        <f>IF(A179="","",IFERROR(AVERAGEIFS(Prensa!$B$2:$B$5001,Prensa!$E$2:$E$5001,N179,Prensa!$F$2:$F$5001,2,Prensa!$G$2:$G$5001,1),""))</f>
        <v>0</v>
      </c>
      <c r="F179" s="27">
        <f>IF(A179="","",IFERROR(AVERAGEIFS(Prensa!$B$2:$B$5001,Prensa!$E$2:$E$5001,N179,Prensa!$F$2:$F$5001,3,Prensa!$G$2:$G$5001,1),""))</f>
        <v>0</v>
      </c>
      <c r="G179" s="27">
        <f>IF(A179="","",IFERROR(AVERAGEIFS(Prensa!$B$2:$B$5001,Prensa!$E$2:$E$5001,N179,Prensa!$F$2:$F$5001,4,Prensa!$G$2:$G$5001,1),""))</f>
        <v>0</v>
      </c>
      <c r="H179" s="26">
        <f>IF(A179="","",COUNT(D179:G179))</f>
        <v>0</v>
      </c>
      <c r="I179" s="27">
        <f>IF(A179="","",IF(H179=0,"",AVERAGE(D179:G179)))</f>
        <v>0</v>
      </c>
      <c r="J179" s="27">
        <f>IF(OR(I179="",C179=""),"",I179-C179)</f>
        <v>0</v>
      </c>
      <c r="K179" s="26">
        <f>IF(A179="","",IF(MES!E179&lt;&gt;4,"Horário do MES fora do padrão",IF(H179&lt;cfgMinCortes,"Cortes insuficientes","Válida")))</f>
        <v>0</v>
      </c>
      <c r="L179" s="27">
        <f>IF(K179="Válida",ABS(J179),"")</f>
        <v>0</v>
      </c>
      <c r="M179" s="26">
        <f>IF(K179="Válida",IF(L179&lt;=cfgTolerancia,"Sim","Não"),"")</f>
        <v>0</v>
      </c>
      <c r="N179" s="26">
        <f>IF(A179="","",MES!D179)</f>
        <v>0</v>
      </c>
      <c r="O179" s="25">
        <f>IF(K179="Válida",A179,NA())</f>
        <v>0</v>
      </c>
      <c r="P179" s="27">
        <f>IF(K179="Válida",C179,NA())</f>
        <v>0</v>
      </c>
      <c r="Q179" s="27">
        <f>IF(K179="Válida",I179,NA())</f>
        <v>0</v>
      </c>
      <c r="R179" s="27">
        <f>IF(K179="Válida",J179,NA())</f>
        <v>0</v>
      </c>
      <c r="S179" s="27">
        <f>IF(K179="Válida",C179,"")</f>
        <v>0</v>
      </c>
      <c r="T179" s="27">
        <f>IF(K179="Válida",I179,"")</f>
        <v>0</v>
      </c>
      <c r="U179" s="27">
        <f>IF(K179="Válida",J179,"")</f>
        <v>0</v>
      </c>
    </row>
    <row r="180" spans="1:21">
      <c r="A180" s="25">
        <f>IF(MES!A180="","",MES!C180/48)</f>
        <v>0</v>
      </c>
      <c r="B180" s="26">
        <f>IF(A180="","",TEXT((N180*4+cfgDeslocamento)/48,"hh:mm")&amp;" a "&amp;TEXT(A180,"hh:mm"))</f>
        <v>0</v>
      </c>
      <c r="C180" s="27">
        <f>IF(A180="","",MES!B180)</f>
        <v>0</v>
      </c>
      <c r="D180" s="27">
        <f>IF(A180="","",IFERROR(AVERAGEIFS(Prensa!$B$2:$B$5001,Prensa!$E$2:$E$5001,N180,Prensa!$F$2:$F$5001,1,Prensa!$G$2:$G$5001,1),""))</f>
        <v>0</v>
      </c>
      <c r="E180" s="27">
        <f>IF(A180="","",IFERROR(AVERAGEIFS(Prensa!$B$2:$B$5001,Prensa!$E$2:$E$5001,N180,Prensa!$F$2:$F$5001,2,Prensa!$G$2:$G$5001,1),""))</f>
        <v>0</v>
      </c>
      <c r="F180" s="27">
        <f>IF(A180="","",IFERROR(AVERAGEIFS(Prensa!$B$2:$B$5001,Prensa!$E$2:$E$5001,N180,Prensa!$F$2:$F$5001,3,Prensa!$G$2:$G$5001,1),""))</f>
        <v>0</v>
      </c>
      <c r="G180" s="27">
        <f>IF(A180="","",IFERROR(AVERAGEIFS(Prensa!$B$2:$B$5001,Prensa!$E$2:$E$5001,N180,Prensa!$F$2:$F$5001,4,Prensa!$G$2:$G$5001,1),""))</f>
        <v>0</v>
      </c>
      <c r="H180" s="26">
        <f>IF(A180="","",COUNT(D180:G180))</f>
        <v>0</v>
      </c>
      <c r="I180" s="27">
        <f>IF(A180="","",IF(H180=0,"",AVERAGE(D180:G180)))</f>
        <v>0</v>
      </c>
      <c r="J180" s="27">
        <f>IF(OR(I180="",C180=""),"",I180-C180)</f>
        <v>0</v>
      </c>
      <c r="K180" s="26">
        <f>IF(A180="","",IF(MES!E180&lt;&gt;4,"Horário do MES fora do padrão",IF(H180&lt;cfgMinCortes,"Cortes insuficientes","Válida")))</f>
        <v>0</v>
      </c>
      <c r="L180" s="27">
        <f>IF(K180="Válida",ABS(J180),"")</f>
        <v>0</v>
      </c>
      <c r="M180" s="26">
        <f>IF(K180="Válida",IF(L180&lt;=cfgTolerancia,"Sim","Não"),"")</f>
        <v>0</v>
      </c>
      <c r="N180" s="26">
        <f>IF(A180="","",MES!D180)</f>
        <v>0</v>
      </c>
      <c r="O180" s="25">
        <f>IF(K180="Válida",A180,NA())</f>
        <v>0</v>
      </c>
      <c r="P180" s="27">
        <f>IF(K180="Válida",C180,NA())</f>
        <v>0</v>
      </c>
      <c r="Q180" s="27">
        <f>IF(K180="Válida",I180,NA())</f>
        <v>0</v>
      </c>
      <c r="R180" s="27">
        <f>IF(K180="Válida",J180,NA())</f>
        <v>0</v>
      </c>
      <c r="S180" s="27">
        <f>IF(K180="Válida",C180,"")</f>
        <v>0</v>
      </c>
      <c r="T180" s="27">
        <f>IF(K180="Válida",I180,"")</f>
        <v>0</v>
      </c>
      <c r="U180" s="27">
        <f>IF(K180="Válida",J180,"")</f>
        <v>0</v>
      </c>
    </row>
    <row r="181" spans="1:21">
      <c r="A181" s="25">
        <f>IF(MES!A181="","",MES!C181/48)</f>
        <v>0</v>
      </c>
      <c r="B181" s="26">
        <f>IF(A181="","",TEXT((N181*4+cfgDeslocamento)/48,"hh:mm")&amp;" a "&amp;TEXT(A181,"hh:mm"))</f>
        <v>0</v>
      </c>
      <c r="C181" s="27">
        <f>IF(A181="","",MES!B181)</f>
        <v>0</v>
      </c>
      <c r="D181" s="27">
        <f>IF(A181="","",IFERROR(AVERAGEIFS(Prensa!$B$2:$B$5001,Prensa!$E$2:$E$5001,N181,Prensa!$F$2:$F$5001,1,Prensa!$G$2:$G$5001,1),""))</f>
        <v>0</v>
      </c>
      <c r="E181" s="27">
        <f>IF(A181="","",IFERROR(AVERAGEIFS(Prensa!$B$2:$B$5001,Prensa!$E$2:$E$5001,N181,Prensa!$F$2:$F$5001,2,Prensa!$G$2:$G$5001,1),""))</f>
        <v>0</v>
      </c>
      <c r="F181" s="27">
        <f>IF(A181="","",IFERROR(AVERAGEIFS(Prensa!$B$2:$B$5001,Prensa!$E$2:$E$5001,N181,Prensa!$F$2:$F$5001,3,Prensa!$G$2:$G$5001,1),""))</f>
        <v>0</v>
      </c>
      <c r="G181" s="27">
        <f>IF(A181="","",IFERROR(AVERAGEIFS(Prensa!$B$2:$B$5001,Prensa!$E$2:$E$5001,N181,Prensa!$F$2:$F$5001,4,Prensa!$G$2:$G$5001,1),""))</f>
        <v>0</v>
      </c>
      <c r="H181" s="26">
        <f>IF(A181="","",COUNT(D181:G181))</f>
        <v>0</v>
      </c>
      <c r="I181" s="27">
        <f>IF(A181="","",IF(H181=0,"",AVERAGE(D181:G181)))</f>
        <v>0</v>
      </c>
      <c r="J181" s="27">
        <f>IF(OR(I181="",C181=""),"",I181-C181)</f>
        <v>0</v>
      </c>
      <c r="K181" s="26">
        <f>IF(A181="","",IF(MES!E181&lt;&gt;4,"Horário do MES fora do padrão",IF(H181&lt;cfgMinCortes,"Cortes insuficientes","Válida")))</f>
        <v>0</v>
      </c>
      <c r="L181" s="27">
        <f>IF(K181="Válida",ABS(J181),"")</f>
        <v>0</v>
      </c>
      <c r="M181" s="26">
        <f>IF(K181="Válida",IF(L181&lt;=cfgTolerancia,"Sim","Não"),"")</f>
        <v>0</v>
      </c>
      <c r="N181" s="26">
        <f>IF(A181="","",MES!D181)</f>
        <v>0</v>
      </c>
      <c r="O181" s="25">
        <f>IF(K181="Válida",A181,NA())</f>
        <v>0</v>
      </c>
      <c r="P181" s="27">
        <f>IF(K181="Válida",C181,NA())</f>
        <v>0</v>
      </c>
      <c r="Q181" s="27">
        <f>IF(K181="Válida",I181,NA())</f>
        <v>0</v>
      </c>
      <c r="R181" s="27">
        <f>IF(K181="Válida",J181,NA())</f>
        <v>0</v>
      </c>
      <c r="S181" s="27">
        <f>IF(K181="Válida",C181,"")</f>
        <v>0</v>
      </c>
      <c r="T181" s="27">
        <f>IF(K181="Válida",I181,"")</f>
        <v>0</v>
      </c>
      <c r="U181" s="27">
        <f>IF(K181="Válida",J181,"")</f>
        <v>0</v>
      </c>
    </row>
    <row r="182" spans="1:21">
      <c r="A182" s="25">
        <f>IF(MES!A182="","",MES!C182/48)</f>
        <v>0</v>
      </c>
      <c r="B182" s="26">
        <f>IF(A182="","",TEXT((N182*4+cfgDeslocamento)/48,"hh:mm")&amp;" a "&amp;TEXT(A182,"hh:mm"))</f>
        <v>0</v>
      </c>
      <c r="C182" s="27">
        <f>IF(A182="","",MES!B182)</f>
        <v>0</v>
      </c>
      <c r="D182" s="27">
        <f>IF(A182="","",IFERROR(AVERAGEIFS(Prensa!$B$2:$B$5001,Prensa!$E$2:$E$5001,N182,Prensa!$F$2:$F$5001,1,Prensa!$G$2:$G$5001,1),""))</f>
        <v>0</v>
      </c>
      <c r="E182" s="27">
        <f>IF(A182="","",IFERROR(AVERAGEIFS(Prensa!$B$2:$B$5001,Prensa!$E$2:$E$5001,N182,Prensa!$F$2:$F$5001,2,Prensa!$G$2:$G$5001,1),""))</f>
        <v>0</v>
      </c>
      <c r="F182" s="27">
        <f>IF(A182="","",IFERROR(AVERAGEIFS(Prensa!$B$2:$B$5001,Prensa!$E$2:$E$5001,N182,Prensa!$F$2:$F$5001,3,Prensa!$G$2:$G$5001,1),""))</f>
        <v>0</v>
      </c>
      <c r="G182" s="27">
        <f>IF(A182="","",IFERROR(AVERAGEIFS(Prensa!$B$2:$B$5001,Prensa!$E$2:$E$5001,N182,Prensa!$F$2:$F$5001,4,Prensa!$G$2:$G$5001,1),""))</f>
        <v>0</v>
      </c>
      <c r="H182" s="26">
        <f>IF(A182="","",COUNT(D182:G182))</f>
        <v>0</v>
      </c>
      <c r="I182" s="27">
        <f>IF(A182="","",IF(H182=0,"",AVERAGE(D182:G182)))</f>
        <v>0</v>
      </c>
      <c r="J182" s="27">
        <f>IF(OR(I182="",C182=""),"",I182-C182)</f>
        <v>0</v>
      </c>
      <c r="K182" s="26">
        <f>IF(A182="","",IF(MES!E182&lt;&gt;4,"Horário do MES fora do padrão",IF(H182&lt;cfgMinCortes,"Cortes insuficientes","Válida")))</f>
        <v>0</v>
      </c>
      <c r="L182" s="27">
        <f>IF(K182="Válida",ABS(J182),"")</f>
        <v>0</v>
      </c>
      <c r="M182" s="26">
        <f>IF(K182="Válida",IF(L182&lt;=cfgTolerancia,"Sim","Não"),"")</f>
        <v>0</v>
      </c>
      <c r="N182" s="26">
        <f>IF(A182="","",MES!D182)</f>
        <v>0</v>
      </c>
      <c r="O182" s="25">
        <f>IF(K182="Válida",A182,NA())</f>
        <v>0</v>
      </c>
      <c r="P182" s="27">
        <f>IF(K182="Válida",C182,NA())</f>
        <v>0</v>
      </c>
      <c r="Q182" s="27">
        <f>IF(K182="Válida",I182,NA())</f>
        <v>0</v>
      </c>
      <c r="R182" s="27">
        <f>IF(K182="Válida",J182,NA())</f>
        <v>0</v>
      </c>
      <c r="S182" s="27">
        <f>IF(K182="Válida",C182,"")</f>
        <v>0</v>
      </c>
      <c r="T182" s="27">
        <f>IF(K182="Válida",I182,"")</f>
        <v>0</v>
      </c>
      <c r="U182" s="27">
        <f>IF(K182="Válida",J182,"")</f>
        <v>0</v>
      </c>
    </row>
    <row r="183" spans="1:21">
      <c r="A183" s="25">
        <f>IF(MES!A183="","",MES!C183/48)</f>
        <v>0</v>
      </c>
      <c r="B183" s="26">
        <f>IF(A183="","",TEXT((N183*4+cfgDeslocamento)/48,"hh:mm")&amp;" a "&amp;TEXT(A183,"hh:mm"))</f>
        <v>0</v>
      </c>
      <c r="C183" s="27">
        <f>IF(A183="","",MES!B183)</f>
        <v>0</v>
      </c>
      <c r="D183" s="27">
        <f>IF(A183="","",IFERROR(AVERAGEIFS(Prensa!$B$2:$B$5001,Prensa!$E$2:$E$5001,N183,Prensa!$F$2:$F$5001,1,Prensa!$G$2:$G$5001,1),""))</f>
        <v>0</v>
      </c>
      <c r="E183" s="27">
        <f>IF(A183="","",IFERROR(AVERAGEIFS(Prensa!$B$2:$B$5001,Prensa!$E$2:$E$5001,N183,Prensa!$F$2:$F$5001,2,Prensa!$G$2:$G$5001,1),""))</f>
        <v>0</v>
      </c>
      <c r="F183" s="27">
        <f>IF(A183="","",IFERROR(AVERAGEIFS(Prensa!$B$2:$B$5001,Prensa!$E$2:$E$5001,N183,Prensa!$F$2:$F$5001,3,Prensa!$G$2:$G$5001,1),""))</f>
        <v>0</v>
      </c>
      <c r="G183" s="27">
        <f>IF(A183="","",IFERROR(AVERAGEIFS(Prensa!$B$2:$B$5001,Prensa!$E$2:$E$5001,N183,Prensa!$F$2:$F$5001,4,Prensa!$G$2:$G$5001,1),""))</f>
        <v>0</v>
      </c>
      <c r="H183" s="26">
        <f>IF(A183="","",COUNT(D183:G183))</f>
        <v>0</v>
      </c>
      <c r="I183" s="27">
        <f>IF(A183="","",IF(H183=0,"",AVERAGE(D183:G183)))</f>
        <v>0</v>
      </c>
      <c r="J183" s="27">
        <f>IF(OR(I183="",C183=""),"",I183-C183)</f>
        <v>0</v>
      </c>
      <c r="K183" s="26">
        <f>IF(A183="","",IF(MES!E183&lt;&gt;4,"Horário do MES fora do padrão",IF(H183&lt;cfgMinCortes,"Cortes insuficientes","Válida")))</f>
        <v>0</v>
      </c>
      <c r="L183" s="27">
        <f>IF(K183="Válida",ABS(J183),"")</f>
        <v>0</v>
      </c>
      <c r="M183" s="26">
        <f>IF(K183="Válida",IF(L183&lt;=cfgTolerancia,"Sim","Não"),"")</f>
        <v>0</v>
      </c>
      <c r="N183" s="26">
        <f>IF(A183="","",MES!D183)</f>
        <v>0</v>
      </c>
      <c r="O183" s="25">
        <f>IF(K183="Válida",A183,NA())</f>
        <v>0</v>
      </c>
      <c r="P183" s="27">
        <f>IF(K183="Válida",C183,NA())</f>
        <v>0</v>
      </c>
      <c r="Q183" s="27">
        <f>IF(K183="Válida",I183,NA())</f>
        <v>0</v>
      </c>
      <c r="R183" s="27">
        <f>IF(K183="Válida",J183,NA())</f>
        <v>0</v>
      </c>
      <c r="S183" s="27">
        <f>IF(K183="Válida",C183,"")</f>
        <v>0</v>
      </c>
      <c r="T183" s="27">
        <f>IF(K183="Válida",I183,"")</f>
        <v>0</v>
      </c>
      <c r="U183" s="27">
        <f>IF(K183="Válida",J183,"")</f>
        <v>0</v>
      </c>
    </row>
    <row r="184" spans="1:21">
      <c r="A184" s="25">
        <f>IF(MES!A184="","",MES!C184/48)</f>
        <v>0</v>
      </c>
      <c r="B184" s="26">
        <f>IF(A184="","",TEXT((N184*4+cfgDeslocamento)/48,"hh:mm")&amp;" a "&amp;TEXT(A184,"hh:mm"))</f>
        <v>0</v>
      </c>
      <c r="C184" s="27">
        <f>IF(A184="","",MES!B184)</f>
        <v>0</v>
      </c>
      <c r="D184" s="27">
        <f>IF(A184="","",IFERROR(AVERAGEIFS(Prensa!$B$2:$B$5001,Prensa!$E$2:$E$5001,N184,Prensa!$F$2:$F$5001,1,Prensa!$G$2:$G$5001,1),""))</f>
        <v>0</v>
      </c>
      <c r="E184" s="27">
        <f>IF(A184="","",IFERROR(AVERAGEIFS(Prensa!$B$2:$B$5001,Prensa!$E$2:$E$5001,N184,Prensa!$F$2:$F$5001,2,Prensa!$G$2:$G$5001,1),""))</f>
        <v>0</v>
      </c>
      <c r="F184" s="27">
        <f>IF(A184="","",IFERROR(AVERAGEIFS(Prensa!$B$2:$B$5001,Prensa!$E$2:$E$5001,N184,Prensa!$F$2:$F$5001,3,Prensa!$G$2:$G$5001,1),""))</f>
        <v>0</v>
      </c>
      <c r="G184" s="27">
        <f>IF(A184="","",IFERROR(AVERAGEIFS(Prensa!$B$2:$B$5001,Prensa!$E$2:$E$5001,N184,Prensa!$F$2:$F$5001,4,Prensa!$G$2:$G$5001,1),""))</f>
        <v>0</v>
      </c>
      <c r="H184" s="26">
        <f>IF(A184="","",COUNT(D184:G184))</f>
        <v>0</v>
      </c>
      <c r="I184" s="27">
        <f>IF(A184="","",IF(H184=0,"",AVERAGE(D184:G184)))</f>
        <v>0</v>
      </c>
      <c r="J184" s="27">
        <f>IF(OR(I184="",C184=""),"",I184-C184)</f>
        <v>0</v>
      </c>
      <c r="K184" s="26">
        <f>IF(A184="","",IF(MES!E184&lt;&gt;4,"Horário do MES fora do padrão",IF(H184&lt;cfgMinCortes,"Cortes insuficientes","Válida")))</f>
        <v>0</v>
      </c>
      <c r="L184" s="27">
        <f>IF(K184="Válida",ABS(J184),"")</f>
        <v>0</v>
      </c>
      <c r="M184" s="26">
        <f>IF(K184="Válida",IF(L184&lt;=cfgTolerancia,"Sim","Não"),"")</f>
        <v>0</v>
      </c>
      <c r="N184" s="26">
        <f>IF(A184="","",MES!D184)</f>
        <v>0</v>
      </c>
      <c r="O184" s="25">
        <f>IF(K184="Válida",A184,NA())</f>
        <v>0</v>
      </c>
      <c r="P184" s="27">
        <f>IF(K184="Válida",C184,NA())</f>
        <v>0</v>
      </c>
      <c r="Q184" s="27">
        <f>IF(K184="Válida",I184,NA())</f>
        <v>0</v>
      </c>
      <c r="R184" s="27">
        <f>IF(K184="Válida",J184,NA())</f>
        <v>0</v>
      </c>
      <c r="S184" s="27">
        <f>IF(K184="Válida",C184,"")</f>
        <v>0</v>
      </c>
      <c r="T184" s="27">
        <f>IF(K184="Válida",I184,"")</f>
        <v>0</v>
      </c>
      <c r="U184" s="27">
        <f>IF(K184="Válida",J184,"")</f>
        <v>0</v>
      </c>
    </row>
    <row r="185" spans="1:21">
      <c r="A185" s="25">
        <f>IF(MES!A185="","",MES!C185/48)</f>
        <v>0</v>
      </c>
      <c r="B185" s="26">
        <f>IF(A185="","",TEXT((N185*4+cfgDeslocamento)/48,"hh:mm")&amp;" a "&amp;TEXT(A185,"hh:mm"))</f>
        <v>0</v>
      </c>
      <c r="C185" s="27">
        <f>IF(A185="","",MES!B185)</f>
        <v>0</v>
      </c>
      <c r="D185" s="27">
        <f>IF(A185="","",IFERROR(AVERAGEIFS(Prensa!$B$2:$B$5001,Prensa!$E$2:$E$5001,N185,Prensa!$F$2:$F$5001,1,Prensa!$G$2:$G$5001,1),""))</f>
        <v>0</v>
      </c>
      <c r="E185" s="27">
        <f>IF(A185="","",IFERROR(AVERAGEIFS(Prensa!$B$2:$B$5001,Prensa!$E$2:$E$5001,N185,Prensa!$F$2:$F$5001,2,Prensa!$G$2:$G$5001,1),""))</f>
        <v>0</v>
      </c>
      <c r="F185" s="27">
        <f>IF(A185="","",IFERROR(AVERAGEIFS(Prensa!$B$2:$B$5001,Prensa!$E$2:$E$5001,N185,Prensa!$F$2:$F$5001,3,Prensa!$G$2:$G$5001,1),""))</f>
        <v>0</v>
      </c>
      <c r="G185" s="27">
        <f>IF(A185="","",IFERROR(AVERAGEIFS(Prensa!$B$2:$B$5001,Prensa!$E$2:$E$5001,N185,Prensa!$F$2:$F$5001,4,Prensa!$G$2:$G$5001,1),""))</f>
        <v>0</v>
      </c>
      <c r="H185" s="26">
        <f>IF(A185="","",COUNT(D185:G185))</f>
        <v>0</v>
      </c>
      <c r="I185" s="27">
        <f>IF(A185="","",IF(H185=0,"",AVERAGE(D185:G185)))</f>
        <v>0</v>
      </c>
      <c r="J185" s="27">
        <f>IF(OR(I185="",C185=""),"",I185-C185)</f>
        <v>0</v>
      </c>
      <c r="K185" s="26">
        <f>IF(A185="","",IF(MES!E185&lt;&gt;4,"Horário do MES fora do padrão",IF(H185&lt;cfgMinCortes,"Cortes insuficientes","Válida")))</f>
        <v>0</v>
      </c>
      <c r="L185" s="27">
        <f>IF(K185="Válida",ABS(J185),"")</f>
        <v>0</v>
      </c>
      <c r="M185" s="26">
        <f>IF(K185="Válida",IF(L185&lt;=cfgTolerancia,"Sim","Não"),"")</f>
        <v>0</v>
      </c>
      <c r="N185" s="26">
        <f>IF(A185="","",MES!D185)</f>
        <v>0</v>
      </c>
      <c r="O185" s="25">
        <f>IF(K185="Válida",A185,NA())</f>
        <v>0</v>
      </c>
      <c r="P185" s="27">
        <f>IF(K185="Válida",C185,NA())</f>
        <v>0</v>
      </c>
      <c r="Q185" s="27">
        <f>IF(K185="Válida",I185,NA())</f>
        <v>0</v>
      </c>
      <c r="R185" s="27">
        <f>IF(K185="Válida",J185,NA())</f>
        <v>0</v>
      </c>
      <c r="S185" s="27">
        <f>IF(K185="Válida",C185,"")</f>
        <v>0</v>
      </c>
      <c r="T185" s="27">
        <f>IF(K185="Válida",I185,"")</f>
        <v>0</v>
      </c>
      <c r="U185" s="27">
        <f>IF(K185="Válida",J185,"")</f>
        <v>0</v>
      </c>
    </row>
    <row r="186" spans="1:21">
      <c r="A186" s="25">
        <f>IF(MES!A186="","",MES!C186/48)</f>
        <v>0</v>
      </c>
      <c r="B186" s="26">
        <f>IF(A186="","",TEXT((N186*4+cfgDeslocamento)/48,"hh:mm")&amp;" a "&amp;TEXT(A186,"hh:mm"))</f>
        <v>0</v>
      </c>
      <c r="C186" s="27">
        <f>IF(A186="","",MES!B186)</f>
        <v>0</v>
      </c>
      <c r="D186" s="27">
        <f>IF(A186="","",IFERROR(AVERAGEIFS(Prensa!$B$2:$B$5001,Prensa!$E$2:$E$5001,N186,Prensa!$F$2:$F$5001,1,Prensa!$G$2:$G$5001,1),""))</f>
        <v>0</v>
      </c>
      <c r="E186" s="27">
        <f>IF(A186="","",IFERROR(AVERAGEIFS(Prensa!$B$2:$B$5001,Prensa!$E$2:$E$5001,N186,Prensa!$F$2:$F$5001,2,Prensa!$G$2:$G$5001,1),""))</f>
        <v>0</v>
      </c>
      <c r="F186" s="27">
        <f>IF(A186="","",IFERROR(AVERAGEIFS(Prensa!$B$2:$B$5001,Prensa!$E$2:$E$5001,N186,Prensa!$F$2:$F$5001,3,Prensa!$G$2:$G$5001,1),""))</f>
        <v>0</v>
      </c>
      <c r="G186" s="27">
        <f>IF(A186="","",IFERROR(AVERAGEIFS(Prensa!$B$2:$B$5001,Prensa!$E$2:$E$5001,N186,Prensa!$F$2:$F$5001,4,Prensa!$G$2:$G$5001,1),""))</f>
        <v>0</v>
      </c>
      <c r="H186" s="26">
        <f>IF(A186="","",COUNT(D186:G186))</f>
        <v>0</v>
      </c>
      <c r="I186" s="27">
        <f>IF(A186="","",IF(H186=0,"",AVERAGE(D186:G186)))</f>
        <v>0</v>
      </c>
      <c r="J186" s="27">
        <f>IF(OR(I186="",C186=""),"",I186-C186)</f>
        <v>0</v>
      </c>
      <c r="K186" s="26">
        <f>IF(A186="","",IF(MES!E186&lt;&gt;4,"Horário do MES fora do padrão",IF(H186&lt;cfgMinCortes,"Cortes insuficientes","Válida")))</f>
        <v>0</v>
      </c>
      <c r="L186" s="27">
        <f>IF(K186="Válida",ABS(J186),"")</f>
        <v>0</v>
      </c>
      <c r="M186" s="26">
        <f>IF(K186="Válida",IF(L186&lt;=cfgTolerancia,"Sim","Não"),"")</f>
        <v>0</v>
      </c>
      <c r="N186" s="26">
        <f>IF(A186="","",MES!D186)</f>
        <v>0</v>
      </c>
      <c r="O186" s="25">
        <f>IF(K186="Válida",A186,NA())</f>
        <v>0</v>
      </c>
      <c r="P186" s="27">
        <f>IF(K186="Válida",C186,NA())</f>
        <v>0</v>
      </c>
      <c r="Q186" s="27">
        <f>IF(K186="Válida",I186,NA())</f>
        <v>0</v>
      </c>
      <c r="R186" s="27">
        <f>IF(K186="Válida",J186,NA())</f>
        <v>0</v>
      </c>
      <c r="S186" s="27">
        <f>IF(K186="Válida",C186,"")</f>
        <v>0</v>
      </c>
      <c r="T186" s="27">
        <f>IF(K186="Válida",I186,"")</f>
        <v>0</v>
      </c>
      <c r="U186" s="27">
        <f>IF(K186="Válida",J186,"")</f>
        <v>0</v>
      </c>
    </row>
    <row r="187" spans="1:21">
      <c r="A187" s="25">
        <f>IF(MES!A187="","",MES!C187/48)</f>
        <v>0</v>
      </c>
      <c r="B187" s="26">
        <f>IF(A187="","",TEXT((N187*4+cfgDeslocamento)/48,"hh:mm")&amp;" a "&amp;TEXT(A187,"hh:mm"))</f>
        <v>0</v>
      </c>
      <c r="C187" s="27">
        <f>IF(A187="","",MES!B187)</f>
        <v>0</v>
      </c>
      <c r="D187" s="27">
        <f>IF(A187="","",IFERROR(AVERAGEIFS(Prensa!$B$2:$B$5001,Prensa!$E$2:$E$5001,N187,Prensa!$F$2:$F$5001,1,Prensa!$G$2:$G$5001,1),""))</f>
        <v>0</v>
      </c>
      <c r="E187" s="27">
        <f>IF(A187="","",IFERROR(AVERAGEIFS(Prensa!$B$2:$B$5001,Prensa!$E$2:$E$5001,N187,Prensa!$F$2:$F$5001,2,Prensa!$G$2:$G$5001,1),""))</f>
        <v>0</v>
      </c>
      <c r="F187" s="27">
        <f>IF(A187="","",IFERROR(AVERAGEIFS(Prensa!$B$2:$B$5001,Prensa!$E$2:$E$5001,N187,Prensa!$F$2:$F$5001,3,Prensa!$G$2:$G$5001,1),""))</f>
        <v>0</v>
      </c>
      <c r="G187" s="27">
        <f>IF(A187="","",IFERROR(AVERAGEIFS(Prensa!$B$2:$B$5001,Prensa!$E$2:$E$5001,N187,Prensa!$F$2:$F$5001,4,Prensa!$G$2:$G$5001,1),""))</f>
        <v>0</v>
      </c>
      <c r="H187" s="26">
        <f>IF(A187="","",COUNT(D187:G187))</f>
        <v>0</v>
      </c>
      <c r="I187" s="27">
        <f>IF(A187="","",IF(H187=0,"",AVERAGE(D187:G187)))</f>
        <v>0</v>
      </c>
      <c r="J187" s="27">
        <f>IF(OR(I187="",C187=""),"",I187-C187)</f>
        <v>0</v>
      </c>
      <c r="K187" s="26">
        <f>IF(A187="","",IF(MES!E187&lt;&gt;4,"Horário do MES fora do padrão",IF(H187&lt;cfgMinCortes,"Cortes insuficientes","Válida")))</f>
        <v>0</v>
      </c>
      <c r="L187" s="27">
        <f>IF(K187="Válida",ABS(J187),"")</f>
        <v>0</v>
      </c>
      <c r="M187" s="26">
        <f>IF(K187="Válida",IF(L187&lt;=cfgTolerancia,"Sim","Não"),"")</f>
        <v>0</v>
      </c>
      <c r="N187" s="26">
        <f>IF(A187="","",MES!D187)</f>
        <v>0</v>
      </c>
      <c r="O187" s="25">
        <f>IF(K187="Válida",A187,NA())</f>
        <v>0</v>
      </c>
      <c r="P187" s="27">
        <f>IF(K187="Válida",C187,NA())</f>
        <v>0</v>
      </c>
      <c r="Q187" s="27">
        <f>IF(K187="Válida",I187,NA())</f>
        <v>0</v>
      </c>
      <c r="R187" s="27">
        <f>IF(K187="Válida",J187,NA())</f>
        <v>0</v>
      </c>
      <c r="S187" s="27">
        <f>IF(K187="Válida",C187,"")</f>
        <v>0</v>
      </c>
      <c r="T187" s="27">
        <f>IF(K187="Válida",I187,"")</f>
        <v>0</v>
      </c>
      <c r="U187" s="27">
        <f>IF(K187="Válida",J187,"")</f>
        <v>0</v>
      </c>
    </row>
    <row r="188" spans="1:21">
      <c r="A188" s="25">
        <f>IF(MES!A188="","",MES!C188/48)</f>
        <v>0</v>
      </c>
      <c r="B188" s="26">
        <f>IF(A188="","",TEXT((N188*4+cfgDeslocamento)/48,"hh:mm")&amp;" a "&amp;TEXT(A188,"hh:mm"))</f>
        <v>0</v>
      </c>
      <c r="C188" s="27">
        <f>IF(A188="","",MES!B188)</f>
        <v>0</v>
      </c>
      <c r="D188" s="27">
        <f>IF(A188="","",IFERROR(AVERAGEIFS(Prensa!$B$2:$B$5001,Prensa!$E$2:$E$5001,N188,Prensa!$F$2:$F$5001,1,Prensa!$G$2:$G$5001,1),""))</f>
        <v>0</v>
      </c>
      <c r="E188" s="27">
        <f>IF(A188="","",IFERROR(AVERAGEIFS(Prensa!$B$2:$B$5001,Prensa!$E$2:$E$5001,N188,Prensa!$F$2:$F$5001,2,Prensa!$G$2:$G$5001,1),""))</f>
        <v>0</v>
      </c>
      <c r="F188" s="27">
        <f>IF(A188="","",IFERROR(AVERAGEIFS(Prensa!$B$2:$B$5001,Prensa!$E$2:$E$5001,N188,Prensa!$F$2:$F$5001,3,Prensa!$G$2:$G$5001,1),""))</f>
        <v>0</v>
      </c>
      <c r="G188" s="27">
        <f>IF(A188="","",IFERROR(AVERAGEIFS(Prensa!$B$2:$B$5001,Prensa!$E$2:$E$5001,N188,Prensa!$F$2:$F$5001,4,Prensa!$G$2:$G$5001,1),""))</f>
        <v>0</v>
      </c>
      <c r="H188" s="26">
        <f>IF(A188="","",COUNT(D188:G188))</f>
        <v>0</v>
      </c>
      <c r="I188" s="27">
        <f>IF(A188="","",IF(H188=0,"",AVERAGE(D188:G188)))</f>
        <v>0</v>
      </c>
      <c r="J188" s="27">
        <f>IF(OR(I188="",C188=""),"",I188-C188)</f>
        <v>0</v>
      </c>
      <c r="K188" s="26">
        <f>IF(A188="","",IF(MES!E188&lt;&gt;4,"Horário do MES fora do padrão",IF(H188&lt;cfgMinCortes,"Cortes insuficientes","Válida")))</f>
        <v>0</v>
      </c>
      <c r="L188" s="27">
        <f>IF(K188="Válida",ABS(J188),"")</f>
        <v>0</v>
      </c>
      <c r="M188" s="26">
        <f>IF(K188="Válida",IF(L188&lt;=cfgTolerancia,"Sim","Não"),"")</f>
        <v>0</v>
      </c>
      <c r="N188" s="26">
        <f>IF(A188="","",MES!D188)</f>
        <v>0</v>
      </c>
      <c r="O188" s="25">
        <f>IF(K188="Válida",A188,NA())</f>
        <v>0</v>
      </c>
      <c r="P188" s="27">
        <f>IF(K188="Válida",C188,NA())</f>
        <v>0</v>
      </c>
      <c r="Q188" s="27">
        <f>IF(K188="Válida",I188,NA())</f>
        <v>0</v>
      </c>
      <c r="R188" s="27">
        <f>IF(K188="Válida",J188,NA())</f>
        <v>0</v>
      </c>
      <c r="S188" s="27">
        <f>IF(K188="Válida",C188,"")</f>
        <v>0</v>
      </c>
      <c r="T188" s="27">
        <f>IF(K188="Válida",I188,"")</f>
        <v>0</v>
      </c>
      <c r="U188" s="27">
        <f>IF(K188="Válida",J188,"")</f>
        <v>0</v>
      </c>
    </row>
    <row r="189" spans="1:21">
      <c r="A189" s="25">
        <f>IF(MES!A189="","",MES!C189/48)</f>
        <v>0</v>
      </c>
      <c r="B189" s="26">
        <f>IF(A189="","",TEXT((N189*4+cfgDeslocamento)/48,"hh:mm")&amp;" a "&amp;TEXT(A189,"hh:mm"))</f>
        <v>0</v>
      </c>
      <c r="C189" s="27">
        <f>IF(A189="","",MES!B189)</f>
        <v>0</v>
      </c>
      <c r="D189" s="27">
        <f>IF(A189="","",IFERROR(AVERAGEIFS(Prensa!$B$2:$B$5001,Prensa!$E$2:$E$5001,N189,Prensa!$F$2:$F$5001,1,Prensa!$G$2:$G$5001,1),""))</f>
        <v>0</v>
      </c>
      <c r="E189" s="27">
        <f>IF(A189="","",IFERROR(AVERAGEIFS(Prensa!$B$2:$B$5001,Prensa!$E$2:$E$5001,N189,Prensa!$F$2:$F$5001,2,Prensa!$G$2:$G$5001,1),""))</f>
        <v>0</v>
      </c>
      <c r="F189" s="27">
        <f>IF(A189="","",IFERROR(AVERAGEIFS(Prensa!$B$2:$B$5001,Prensa!$E$2:$E$5001,N189,Prensa!$F$2:$F$5001,3,Prensa!$G$2:$G$5001,1),""))</f>
        <v>0</v>
      </c>
      <c r="G189" s="27">
        <f>IF(A189="","",IFERROR(AVERAGEIFS(Prensa!$B$2:$B$5001,Prensa!$E$2:$E$5001,N189,Prensa!$F$2:$F$5001,4,Prensa!$G$2:$G$5001,1),""))</f>
        <v>0</v>
      </c>
      <c r="H189" s="26">
        <f>IF(A189="","",COUNT(D189:G189))</f>
        <v>0</v>
      </c>
      <c r="I189" s="27">
        <f>IF(A189="","",IF(H189=0,"",AVERAGE(D189:G189)))</f>
        <v>0</v>
      </c>
      <c r="J189" s="27">
        <f>IF(OR(I189="",C189=""),"",I189-C189)</f>
        <v>0</v>
      </c>
      <c r="K189" s="26">
        <f>IF(A189="","",IF(MES!E189&lt;&gt;4,"Horário do MES fora do padrão",IF(H189&lt;cfgMinCortes,"Cortes insuficientes","Válida")))</f>
        <v>0</v>
      </c>
      <c r="L189" s="27">
        <f>IF(K189="Válida",ABS(J189),"")</f>
        <v>0</v>
      </c>
      <c r="M189" s="26">
        <f>IF(K189="Válida",IF(L189&lt;=cfgTolerancia,"Sim","Não"),"")</f>
        <v>0</v>
      </c>
      <c r="N189" s="26">
        <f>IF(A189="","",MES!D189)</f>
        <v>0</v>
      </c>
      <c r="O189" s="25">
        <f>IF(K189="Válida",A189,NA())</f>
        <v>0</v>
      </c>
      <c r="P189" s="27">
        <f>IF(K189="Válida",C189,NA())</f>
        <v>0</v>
      </c>
      <c r="Q189" s="27">
        <f>IF(K189="Válida",I189,NA())</f>
        <v>0</v>
      </c>
      <c r="R189" s="27">
        <f>IF(K189="Válida",J189,NA())</f>
        <v>0</v>
      </c>
      <c r="S189" s="27">
        <f>IF(K189="Válida",C189,"")</f>
        <v>0</v>
      </c>
      <c r="T189" s="27">
        <f>IF(K189="Válida",I189,"")</f>
        <v>0</v>
      </c>
      <c r="U189" s="27">
        <f>IF(K189="Válida",J189,"")</f>
        <v>0</v>
      </c>
    </row>
    <row r="190" spans="1:21">
      <c r="A190" s="25">
        <f>IF(MES!A190="","",MES!C190/48)</f>
        <v>0</v>
      </c>
      <c r="B190" s="26">
        <f>IF(A190="","",TEXT((N190*4+cfgDeslocamento)/48,"hh:mm")&amp;" a "&amp;TEXT(A190,"hh:mm"))</f>
        <v>0</v>
      </c>
      <c r="C190" s="27">
        <f>IF(A190="","",MES!B190)</f>
        <v>0</v>
      </c>
      <c r="D190" s="27">
        <f>IF(A190="","",IFERROR(AVERAGEIFS(Prensa!$B$2:$B$5001,Prensa!$E$2:$E$5001,N190,Prensa!$F$2:$F$5001,1,Prensa!$G$2:$G$5001,1),""))</f>
        <v>0</v>
      </c>
      <c r="E190" s="27">
        <f>IF(A190="","",IFERROR(AVERAGEIFS(Prensa!$B$2:$B$5001,Prensa!$E$2:$E$5001,N190,Prensa!$F$2:$F$5001,2,Prensa!$G$2:$G$5001,1),""))</f>
        <v>0</v>
      </c>
      <c r="F190" s="27">
        <f>IF(A190="","",IFERROR(AVERAGEIFS(Prensa!$B$2:$B$5001,Prensa!$E$2:$E$5001,N190,Prensa!$F$2:$F$5001,3,Prensa!$G$2:$G$5001,1),""))</f>
        <v>0</v>
      </c>
      <c r="G190" s="27">
        <f>IF(A190="","",IFERROR(AVERAGEIFS(Prensa!$B$2:$B$5001,Prensa!$E$2:$E$5001,N190,Prensa!$F$2:$F$5001,4,Prensa!$G$2:$G$5001,1),""))</f>
        <v>0</v>
      </c>
      <c r="H190" s="26">
        <f>IF(A190="","",COUNT(D190:G190))</f>
        <v>0</v>
      </c>
      <c r="I190" s="27">
        <f>IF(A190="","",IF(H190=0,"",AVERAGE(D190:G190)))</f>
        <v>0</v>
      </c>
      <c r="J190" s="27">
        <f>IF(OR(I190="",C190=""),"",I190-C190)</f>
        <v>0</v>
      </c>
      <c r="K190" s="26">
        <f>IF(A190="","",IF(MES!E190&lt;&gt;4,"Horário do MES fora do padrão",IF(H190&lt;cfgMinCortes,"Cortes insuficientes","Válida")))</f>
        <v>0</v>
      </c>
      <c r="L190" s="27">
        <f>IF(K190="Válida",ABS(J190),"")</f>
        <v>0</v>
      </c>
      <c r="M190" s="26">
        <f>IF(K190="Válida",IF(L190&lt;=cfgTolerancia,"Sim","Não"),"")</f>
        <v>0</v>
      </c>
      <c r="N190" s="26">
        <f>IF(A190="","",MES!D190)</f>
        <v>0</v>
      </c>
      <c r="O190" s="25">
        <f>IF(K190="Válida",A190,NA())</f>
        <v>0</v>
      </c>
      <c r="P190" s="27">
        <f>IF(K190="Válida",C190,NA())</f>
        <v>0</v>
      </c>
      <c r="Q190" s="27">
        <f>IF(K190="Válida",I190,NA())</f>
        <v>0</v>
      </c>
      <c r="R190" s="27">
        <f>IF(K190="Válida",J190,NA())</f>
        <v>0</v>
      </c>
      <c r="S190" s="27">
        <f>IF(K190="Válida",C190,"")</f>
        <v>0</v>
      </c>
      <c r="T190" s="27">
        <f>IF(K190="Válida",I190,"")</f>
        <v>0</v>
      </c>
      <c r="U190" s="27">
        <f>IF(K190="Válida",J190,"")</f>
        <v>0</v>
      </c>
    </row>
    <row r="191" spans="1:21">
      <c r="A191" s="25">
        <f>IF(MES!A191="","",MES!C191/48)</f>
        <v>0</v>
      </c>
      <c r="B191" s="26">
        <f>IF(A191="","",TEXT((N191*4+cfgDeslocamento)/48,"hh:mm")&amp;" a "&amp;TEXT(A191,"hh:mm"))</f>
        <v>0</v>
      </c>
      <c r="C191" s="27">
        <f>IF(A191="","",MES!B191)</f>
        <v>0</v>
      </c>
      <c r="D191" s="27">
        <f>IF(A191="","",IFERROR(AVERAGEIFS(Prensa!$B$2:$B$5001,Prensa!$E$2:$E$5001,N191,Prensa!$F$2:$F$5001,1,Prensa!$G$2:$G$5001,1),""))</f>
        <v>0</v>
      </c>
      <c r="E191" s="27">
        <f>IF(A191="","",IFERROR(AVERAGEIFS(Prensa!$B$2:$B$5001,Prensa!$E$2:$E$5001,N191,Prensa!$F$2:$F$5001,2,Prensa!$G$2:$G$5001,1),""))</f>
        <v>0</v>
      </c>
      <c r="F191" s="27">
        <f>IF(A191="","",IFERROR(AVERAGEIFS(Prensa!$B$2:$B$5001,Prensa!$E$2:$E$5001,N191,Prensa!$F$2:$F$5001,3,Prensa!$G$2:$G$5001,1),""))</f>
        <v>0</v>
      </c>
      <c r="G191" s="27">
        <f>IF(A191="","",IFERROR(AVERAGEIFS(Prensa!$B$2:$B$5001,Prensa!$E$2:$E$5001,N191,Prensa!$F$2:$F$5001,4,Prensa!$G$2:$G$5001,1),""))</f>
        <v>0</v>
      </c>
      <c r="H191" s="26">
        <f>IF(A191="","",COUNT(D191:G191))</f>
        <v>0</v>
      </c>
      <c r="I191" s="27">
        <f>IF(A191="","",IF(H191=0,"",AVERAGE(D191:G191)))</f>
        <v>0</v>
      </c>
      <c r="J191" s="27">
        <f>IF(OR(I191="",C191=""),"",I191-C191)</f>
        <v>0</v>
      </c>
      <c r="K191" s="26">
        <f>IF(A191="","",IF(MES!E191&lt;&gt;4,"Horário do MES fora do padrão",IF(H191&lt;cfgMinCortes,"Cortes insuficientes","Válida")))</f>
        <v>0</v>
      </c>
      <c r="L191" s="27">
        <f>IF(K191="Válida",ABS(J191),"")</f>
        <v>0</v>
      </c>
      <c r="M191" s="26">
        <f>IF(K191="Válida",IF(L191&lt;=cfgTolerancia,"Sim","Não"),"")</f>
        <v>0</v>
      </c>
      <c r="N191" s="26">
        <f>IF(A191="","",MES!D191)</f>
        <v>0</v>
      </c>
      <c r="O191" s="25">
        <f>IF(K191="Válida",A191,NA())</f>
        <v>0</v>
      </c>
      <c r="P191" s="27">
        <f>IF(K191="Válida",C191,NA())</f>
        <v>0</v>
      </c>
      <c r="Q191" s="27">
        <f>IF(K191="Válida",I191,NA())</f>
        <v>0</v>
      </c>
      <c r="R191" s="27">
        <f>IF(K191="Válida",J191,NA())</f>
        <v>0</v>
      </c>
      <c r="S191" s="27">
        <f>IF(K191="Válida",C191,"")</f>
        <v>0</v>
      </c>
      <c r="T191" s="27">
        <f>IF(K191="Válida",I191,"")</f>
        <v>0</v>
      </c>
      <c r="U191" s="27">
        <f>IF(K191="Válida",J191,"")</f>
        <v>0</v>
      </c>
    </row>
    <row r="192" spans="1:21">
      <c r="A192" s="25">
        <f>IF(MES!A192="","",MES!C192/48)</f>
        <v>0</v>
      </c>
      <c r="B192" s="26">
        <f>IF(A192="","",TEXT((N192*4+cfgDeslocamento)/48,"hh:mm")&amp;" a "&amp;TEXT(A192,"hh:mm"))</f>
        <v>0</v>
      </c>
      <c r="C192" s="27">
        <f>IF(A192="","",MES!B192)</f>
        <v>0</v>
      </c>
      <c r="D192" s="27">
        <f>IF(A192="","",IFERROR(AVERAGEIFS(Prensa!$B$2:$B$5001,Prensa!$E$2:$E$5001,N192,Prensa!$F$2:$F$5001,1,Prensa!$G$2:$G$5001,1),""))</f>
        <v>0</v>
      </c>
      <c r="E192" s="27">
        <f>IF(A192="","",IFERROR(AVERAGEIFS(Prensa!$B$2:$B$5001,Prensa!$E$2:$E$5001,N192,Prensa!$F$2:$F$5001,2,Prensa!$G$2:$G$5001,1),""))</f>
        <v>0</v>
      </c>
      <c r="F192" s="27">
        <f>IF(A192="","",IFERROR(AVERAGEIFS(Prensa!$B$2:$B$5001,Prensa!$E$2:$E$5001,N192,Prensa!$F$2:$F$5001,3,Prensa!$G$2:$G$5001,1),""))</f>
        <v>0</v>
      </c>
      <c r="G192" s="27">
        <f>IF(A192="","",IFERROR(AVERAGEIFS(Prensa!$B$2:$B$5001,Prensa!$E$2:$E$5001,N192,Prensa!$F$2:$F$5001,4,Prensa!$G$2:$G$5001,1),""))</f>
        <v>0</v>
      </c>
      <c r="H192" s="26">
        <f>IF(A192="","",COUNT(D192:G192))</f>
        <v>0</v>
      </c>
      <c r="I192" s="27">
        <f>IF(A192="","",IF(H192=0,"",AVERAGE(D192:G192)))</f>
        <v>0</v>
      </c>
      <c r="J192" s="27">
        <f>IF(OR(I192="",C192=""),"",I192-C192)</f>
        <v>0</v>
      </c>
      <c r="K192" s="26">
        <f>IF(A192="","",IF(MES!E192&lt;&gt;4,"Horário do MES fora do padrão",IF(H192&lt;cfgMinCortes,"Cortes insuficientes","Válida")))</f>
        <v>0</v>
      </c>
      <c r="L192" s="27">
        <f>IF(K192="Válida",ABS(J192),"")</f>
        <v>0</v>
      </c>
      <c r="M192" s="26">
        <f>IF(K192="Válida",IF(L192&lt;=cfgTolerancia,"Sim","Não"),"")</f>
        <v>0</v>
      </c>
      <c r="N192" s="26">
        <f>IF(A192="","",MES!D192)</f>
        <v>0</v>
      </c>
      <c r="O192" s="25">
        <f>IF(K192="Válida",A192,NA())</f>
        <v>0</v>
      </c>
      <c r="P192" s="27">
        <f>IF(K192="Válida",C192,NA())</f>
        <v>0</v>
      </c>
      <c r="Q192" s="27">
        <f>IF(K192="Válida",I192,NA())</f>
        <v>0</v>
      </c>
      <c r="R192" s="27">
        <f>IF(K192="Válida",J192,NA())</f>
        <v>0</v>
      </c>
      <c r="S192" s="27">
        <f>IF(K192="Válida",C192,"")</f>
        <v>0</v>
      </c>
      <c r="T192" s="27">
        <f>IF(K192="Válida",I192,"")</f>
        <v>0</v>
      </c>
      <c r="U192" s="27">
        <f>IF(K192="Válida",J192,"")</f>
        <v>0</v>
      </c>
    </row>
    <row r="193" spans="1:21">
      <c r="A193" s="25">
        <f>IF(MES!A193="","",MES!C193/48)</f>
        <v>0</v>
      </c>
      <c r="B193" s="26">
        <f>IF(A193="","",TEXT((N193*4+cfgDeslocamento)/48,"hh:mm")&amp;" a "&amp;TEXT(A193,"hh:mm"))</f>
        <v>0</v>
      </c>
      <c r="C193" s="27">
        <f>IF(A193="","",MES!B193)</f>
        <v>0</v>
      </c>
      <c r="D193" s="27">
        <f>IF(A193="","",IFERROR(AVERAGEIFS(Prensa!$B$2:$B$5001,Prensa!$E$2:$E$5001,N193,Prensa!$F$2:$F$5001,1,Prensa!$G$2:$G$5001,1),""))</f>
        <v>0</v>
      </c>
      <c r="E193" s="27">
        <f>IF(A193="","",IFERROR(AVERAGEIFS(Prensa!$B$2:$B$5001,Prensa!$E$2:$E$5001,N193,Prensa!$F$2:$F$5001,2,Prensa!$G$2:$G$5001,1),""))</f>
        <v>0</v>
      </c>
      <c r="F193" s="27">
        <f>IF(A193="","",IFERROR(AVERAGEIFS(Prensa!$B$2:$B$5001,Prensa!$E$2:$E$5001,N193,Prensa!$F$2:$F$5001,3,Prensa!$G$2:$G$5001,1),""))</f>
        <v>0</v>
      </c>
      <c r="G193" s="27">
        <f>IF(A193="","",IFERROR(AVERAGEIFS(Prensa!$B$2:$B$5001,Prensa!$E$2:$E$5001,N193,Prensa!$F$2:$F$5001,4,Prensa!$G$2:$G$5001,1),""))</f>
        <v>0</v>
      </c>
      <c r="H193" s="26">
        <f>IF(A193="","",COUNT(D193:G193))</f>
        <v>0</v>
      </c>
      <c r="I193" s="27">
        <f>IF(A193="","",IF(H193=0,"",AVERAGE(D193:G193)))</f>
        <v>0</v>
      </c>
      <c r="J193" s="27">
        <f>IF(OR(I193="",C193=""),"",I193-C193)</f>
        <v>0</v>
      </c>
      <c r="K193" s="26">
        <f>IF(A193="","",IF(MES!E193&lt;&gt;4,"Horário do MES fora do padrão",IF(H193&lt;cfgMinCortes,"Cortes insuficientes","Válida")))</f>
        <v>0</v>
      </c>
      <c r="L193" s="27">
        <f>IF(K193="Válida",ABS(J193),"")</f>
        <v>0</v>
      </c>
      <c r="M193" s="26">
        <f>IF(K193="Válida",IF(L193&lt;=cfgTolerancia,"Sim","Não"),"")</f>
        <v>0</v>
      </c>
      <c r="N193" s="26">
        <f>IF(A193="","",MES!D193)</f>
        <v>0</v>
      </c>
      <c r="O193" s="25">
        <f>IF(K193="Válida",A193,NA())</f>
        <v>0</v>
      </c>
      <c r="P193" s="27">
        <f>IF(K193="Válida",C193,NA())</f>
        <v>0</v>
      </c>
      <c r="Q193" s="27">
        <f>IF(K193="Válida",I193,NA())</f>
        <v>0</v>
      </c>
      <c r="R193" s="27">
        <f>IF(K193="Válida",J193,NA())</f>
        <v>0</v>
      </c>
      <c r="S193" s="27">
        <f>IF(K193="Válida",C193,"")</f>
        <v>0</v>
      </c>
      <c r="T193" s="27">
        <f>IF(K193="Válida",I193,"")</f>
        <v>0</v>
      </c>
      <c r="U193" s="27">
        <f>IF(K193="Válida",J193,"")</f>
        <v>0</v>
      </c>
    </row>
    <row r="194" spans="1:21">
      <c r="A194" s="25">
        <f>IF(MES!A194="","",MES!C194/48)</f>
        <v>0</v>
      </c>
      <c r="B194" s="26">
        <f>IF(A194="","",TEXT((N194*4+cfgDeslocamento)/48,"hh:mm")&amp;" a "&amp;TEXT(A194,"hh:mm"))</f>
        <v>0</v>
      </c>
      <c r="C194" s="27">
        <f>IF(A194="","",MES!B194)</f>
        <v>0</v>
      </c>
      <c r="D194" s="27">
        <f>IF(A194="","",IFERROR(AVERAGEIFS(Prensa!$B$2:$B$5001,Prensa!$E$2:$E$5001,N194,Prensa!$F$2:$F$5001,1,Prensa!$G$2:$G$5001,1),""))</f>
        <v>0</v>
      </c>
      <c r="E194" s="27">
        <f>IF(A194="","",IFERROR(AVERAGEIFS(Prensa!$B$2:$B$5001,Prensa!$E$2:$E$5001,N194,Prensa!$F$2:$F$5001,2,Prensa!$G$2:$G$5001,1),""))</f>
        <v>0</v>
      </c>
      <c r="F194" s="27">
        <f>IF(A194="","",IFERROR(AVERAGEIFS(Prensa!$B$2:$B$5001,Prensa!$E$2:$E$5001,N194,Prensa!$F$2:$F$5001,3,Prensa!$G$2:$G$5001,1),""))</f>
        <v>0</v>
      </c>
      <c r="G194" s="27">
        <f>IF(A194="","",IFERROR(AVERAGEIFS(Prensa!$B$2:$B$5001,Prensa!$E$2:$E$5001,N194,Prensa!$F$2:$F$5001,4,Prensa!$G$2:$G$5001,1),""))</f>
        <v>0</v>
      </c>
      <c r="H194" s="26">
        <f>IF(A194="","",COUNT(D194:G194))</f>
        <v>0</v>
      </c>
      <c r="I194" s="27">
        <f>IF(A194="","",IF(H194=0,"",AVERAGE(D194:G194)))</f>
        <v>0</v>
      </c>
      <c r="J194" s="27">
        <f>IF(OR(I194="",C194=""),"",I194-C194)</f>
        <v>0</v>
      </c>
      <c r="K194" s="26">
        <f>IF(A194="","",IF(MES!E194&lt;&gt;4,"Horário do MES fora do padrão",IF(H194&lt;cfgMinCortes,"Cortes insuficientes","Válida")))</f>
        <v>0</v>
      </c>
      <c r="L194" s="27">
        <f>IF(K194="Válida",ABS(J194),"")</f>
        <v>0</v>
      </c>
      <c r="M194" s="26">
        <f>IF(K194="Válida",IF(L194&lt;=cfgTolerancia,"Sim","Não"),"")</f>
        <v>0</v>
      </c>
      <c r="N194" s="26">
        <f>IF(A194="","",MES!D194)</f>
        <v>0</v>
      </c>
      <c r="O194" s="25">
        <f>IF(K194="Válida",A194,NA())</f>
        <v>0</v>
      </c>
      <c r="P194" s="27">
        <f>IF(K194="Válida",C194,NA())</f>
        <v>0</v>
      </c>
      <c r="Q194" s="27">
        <f>IF(K194="Válida",I194,NA())</f>
        <v>0</v>
      </c>
      <c r="R194" s="27">
        <f>IF(K194="Válida",J194,NA())</f>
        <v>0</v>
      </c>
      <c r="S194" s="27">
        <f>IF(K194="Válida",C194,"")</f>
        <v>0</v>
      </c>
      <c r="T194" s="27">
        <f>IF(K194="Válida",I194,"")</f>
        <v>0</v>
      </c>
      <c r="U194" s="27">
        <f>IF(K194="Válida",J194,"")</f>
        <v>0</v>
      </c>
    </row>
    <row r="195" spans="1:21">
      <c r="A195" s="25">
        <f>IF(MES!A195="","",MES!C195/48)</f>
        <v>0</v>
      </c>
      <c r="B195" s="26">
        <f>IF(A195="","",TEXT((N195*4+cfgDeslocamento)/48,"hh:mm")&amp;" a "&amp;TEXT(A195,"hh:mm"))</f>
        <v>0</v>
      </c>
      <c r="C195" s="27">
        <f>IF(A195="","",MES!B195)</f>
        <v>0</v>
      </c>
      <c r="D195" s="27">
        <f>IF(A195="","",IFERROR(AVERAGEIFS(Prensa!$B$2:$B$5001,Prensa!$E$2:$E$5001,N195,Prensa!$F$2:$F$5001,1,Prensa!$G$2:$G$5001,1),""))</f>
        <v>0</v>
      </c>
      <c r="E195" s="27">
        <f>IF(A195="","",IFERROR(AVERAGEIFS(Prensa!$B$2:$B$5001,Prensa!$E$2:$E$5001,N195,Prensa!$F$2:$F$5001,2,Prensa!$G$2:$G$5001,1),""))</f>
        <v>0</v>
      </c>
      <c r="F195" s="27">
        <f>IF(A195="","",IFERROR(AVERAGEIFS(Prensa!$B$2:$B$5001,Prensa!$E$2:$E$5001,N195,Prensa!$F$2:$F$5001,3,Prensa!$G$2:$G$5001,1),""))</f>
        <v>0</v>
      </c>
      <c r="G195" s="27">
        <f>IF(A195="","",IFERROR(AVERAGEIFS(Prensa!$B$2:$B$5001,Prensa!$E$2:$E$5001,N195,Prensa!$F$2:$F$5001,4,Prensa!$G$2:$G$5001,1),""))</f>
        <v>0</v>
      </c>
      <c r="H195" s="26">
        <f>IF(A195="","",COUNT(D195:G195))</f>
        <v>0</v>
      </c>
      <c r="I195" s="27">
        <f>IF(A195="","",IF(H195=0,"",AVERAGE(D195:G195)))</f>
        <v>0</v>
      </c>
      <c r="J195" s="27">
        <f>IF(OR(I195="",C195=""),"",I195-C195)</f>
        <v>0</v>
      </c>
      <c r="K195" s="26">
        <f>IF(A195="","",IF(MES!E195&lt;&gt;4,"Horário do MES fora do padrão",IF(H195&lt;cfgMinCortes,"Cortes insuficientes","Válida")))</f>
        <v>0</v>
      </c>
      <c r="L195" s="27">
        <f>IF(K195="Válida",ABS(J195),"")</f>
        <v>0</v>
      </c>
      <c r="M195" s="26">
        <f>IF(K195="Válida",IF(L195&lt;=cfgTolerancia,"Sim","Não"),"")</f>
        <v>0</v>
      </c>
      <c r="N195" s="26">
        <f>IF(A195="","",MES!D195)</f>
        <v>0</v>
      </c>
      <c r="O195" s="25">
        <f>IF(K195="Válida",A195,NA())</f>
        <v>0</v>
      </c>
      <c r="P195" s="27">
        <f>IF(K195="Válida",C195,NA())</f>
        <v>0</v>
      </c>
      <c r="Q195" s="27">
        <f>IF(K195="Válida",I195,NA())</f>
        <v>0</v>
      </c>
      <c r="R195" s="27">
        <f>IF(K195="Válida",J195,NA())</f>
        <v>0</v>
      </c>
      <c r="S195" s="27">
        <f>IF(K195="Válida",C195,"")</f>
        <v>0</v>
      </c>
      <c r="T195" s="27">
        <f>IF(K195="Válida",I195,"")</f>
        <v>0</v>
      </c>
      <c r="U195" s="27">
        <f>IF(K195="Válida",J195,"")</f>
        <v>0</v>
      </c>
    </row>
    <row r="196" spans="1:21">
      <c r="A196" s="25">
        <f>IF(MES!A196="","",MES!C196/48)</f>
        <v>0</v>
      </c>
      <c r="B196" s="26">
        <f>IF(A196="","",TEXT((N196*4+cfgDeslocamento)/48,"hh:mm")&amp;" a "&amp;TEXT(A196,"hh:mm"))</f>
        <v>0</v>
      </c>
      <c r="C196" s="27">
        <f>IF(A196="","",MES!B196)</f>
        <v>0</v>
      </c>
      <c r="D196" s="27">
        <f>IF(A196="","",IFERROR(AVERAGEIFS(Prensa!$B$2:$B$5001,Prensa!$E$2:$E$5001,N196,Prensa!$F$2:$F$5001,1,Prensa!$G$2:$G$5001,1),""))</f>
        <v>0</v>
      </c>
      <c r="E196" s="27">
        <f>IF(A196="","",IFERROR(AVERAGEIFS(Prensa!$B$2:$B$5001,Prensa!$E$2:$E$5001,N196,Prensa!$F$2:$F$5001,2,Prensa!$G$2:$G$5001,1),""))</f>
        <v>0</v>
      </c>
      <c r="F196" s="27">
        <f>IF(A196="","",IFERROR(AVERAGEIFS(Prensa!$B$2:$B$5001,Prensa!$E$2:$E$5001,N196,Prensa!$F$2:$F$5001,3,Prensa!$G$2:$G$5001,1),""))</f>
        <v>0</v>
      </c>
      <c r="G196" s="27">
        <f>IF(A196="","",IFERROR(AVERAGEIFS(Prensa!$B$2:$B$5001,Prensa!$E$2:$E$5001,N196,Prensa!$F$2:$F$5001,4,Prensa!$G$2:$G$5001,1),""))</f>
        <v>0</v>
      </c>
      <c r="H196" s="26">
        <f>IF(A196="","",COUNT(D196:G196))</f>
        <v>0</v>
      </c>
      <c r="I196" s="27">
        <f>IF(A196="","",IF(H196=0,"",AVERAGE(D196:G196)))</f>
        <v>0</v>
      </c>
      <c r="J196" s="27">
        <f>IF(OR(I196="",C196=""),"",I196-C196)</f>
        <v>0</v>
      </c>
      <c r="K196" s="26">
        <f>IF(A196="","",IF(MES!E196&lt;&gt;4,"Horário do MES fora do padrão",IF(H196&lt;cfgMinCortes,"Cortes insuficientes","Válida")))</f>
        <v>0</v>
      </c>
      <c r="L196" s="27">
        <f>IF(K196="Válida",ABS(J196),"")</f>
        <v>0</v>
      </c>
      <c r="M196" s="26">
        <f>IF(K196="Válida",IF(L196&lt;=cfgTolerancia,"Sim","Não"),"")</f>
        <v>0</v>
      </c>
      <c r="N196" s="26">
        <f>IF(A196="","",MES!D196)</f>
        <v>0</v>
      </c>
      <c r="O196" s="25">
        <f>IF(K196="Válida",A196,NA())</f>
        <v>0</v>
      </c>
      <c r="P196" s="27">
        <f>IF(K196="Válida",C196,NA())</f>
        <v>0</v>
      </c>
      <c r="Q196" s="27">
        <f>IF(K196="Válida",I196,NA())</f>
        <v>0</v>
      </c>
      <c r="R196" s="27">
        <f>IF(K196="Válida",J196,NA())</f>
        <v>0</v>
      </c>
      <c r="S196" s="27">
        <f>IF(K196="Válida",C196,"")</f>
        <v>0</v>
      </c>
      <c r="T196" s="27">
        <f>IF(K196="Válida",I196,"")</f>
        <v>0</v>
      </c>
      <c r="U196" s="27">
        <f>IF(K196="Válida",J196,"")</f>
        <v>0</v>
      </c>
    </row>
    <row r="197" spans="1:21">
      <c r="A197" s="25">
        <f>IF(MES!A197="","",MES!C197/48)</f>
        <v>0</v>
      </c>
      <c r="B197" s="26">
        <f>IF(A197="","",TEXT((N197*4+cfgDeslocamento)/48,"hh:mm")&amp;" a "&amp;TEXT(A197,"hh:mm"))</f>
        <v>0</v>
      </c>
      <c r="C197" s="27">
        <f>IF(A197="","",MES!B197)</f>
        <v>0</v>
      </c>
      <c r="D197" s="27">
        <f>IF(A197="","",IFERROR(AVERAGEIFS(Prensa!$B$2:$B$5001,Prensa!$E$2:$E$5001,N197,Prensa!$F$2:$F$5001,1,Prensa!$G$2:$G$5001,1),""))</f>
        <v>0</v>
      </c>
      <c r="E197" s="27">
        <f>IF(A197="","",IFERROR(AVERAGEIFS(Prensa!$B$2:$B$5001,Prensa!$E$2:$E$5001,N197,Prensa!$F$2:$F$5001,2,Prensa!$G$2:$G$5001,1),""))</f>
        <v>0</v>
      </c>
      <c r="F197" s="27">
        <f>IF(A197="","",IFERROR(AVERAGEIFS(Prensa!$B$2:$B$5001,Prensa!$E$2:$E$5001,N197,Prensa!$F$2:$F$5001,3,Prensa!$G$2:$G$5001,1),""))</f>
        <v>0</v>
      </c>
      <c r="G197" s="27">
        <f>IF(A197="","",IFERROR(AVERAGEIFS(Prensa!$B$2:$B$5001,Prensa!$E$2:$E$5001,N197,Prensa!$F$2:$F$5001,4,Prensa!$G$2:$G$5001,1),""))</f>
        <v>0</v>
      </c>
      <c r="H197" s="26">
        <f>IF(A197="","",COUNT(D197:G197))</f>
        <v>0</v>
      </c>
      <c r="I197" s="27">
        <f>IF(A197="","",IF(H197=0,"",AVERAGE(D197:G197)))</f>
        <v>0</v>
      </c>
      <c r="J197" s="27">
        <f>IF(OR(I197="",C197=""),"",I197-C197)</f>
        <v>0</v>
      </c>
      <c r="K197" s="26">
        <f>IF(A197="","",IF(MES!E197&lt;&gt;4,"Horário do MES fora do padrão",IF(H197&lt;cfgMinCortes,"Cortes insuficientes","Válida")))</f>
        <v>0</v>
      </c>
      <c r="L197" s="27">
        <f>IF(K197="Válida",ABS(J197),"")</f>
        <v>0</v>
      </c>
      <c r="M197" s="26">
        <f>IF(K197="Válida",IF(L197&lt;=cfgTolerancia,"Sim","Não"),"")</f>
        <v>0</v>
      </c>
      <c r="N197" s="26">
        <f>IF(A197="","",MES!D197)</f>
        <v>0</v>
      </c>
      <c r="O197" s="25">
        <f>IF(K197="Válida",A197,NA())</f>
        <v>0</v>
      </c>
      <c r="P197" s="27">
        <f>IF(K197="Válida",C197,NA())</f>
        <v>0</v>
      </c>
      <c r="Q197" s="27">
        <f>IF(K197="Válida",I197,NA())</f>
        <v>0</v>
      </c>
      <c r="R197" s="27">
        <f>IF(K197="Válida",J197,NA())</f>
        <v>0</v>
      </c>
      <c r="S197" s="27">
        <f>IF(K197="Válida",C197,"")</f>
        <v>0</v>
      </c>
      <c r="T197" s="27">
        <f>IF(K197="Válida",I197,"")</f>
        <v>0</v>
      </c>
      <c r="U197" s="27">
        <f>IF(K197="Válida",J197,"")</f>
        <v>0</v>
      </c>
    </row>
    <row r="198" spans="1:21">
      <c r="A198" s="25">
        <f>IF(MES!A198="","",MES!C198/48)</f>
        <v>0</v>
      </c>
      <c r="B198" s="26">
        <f>IF(A198="","",TEXT((N198*4+cfgDeslocamento)/48,"hh:mm")&amp;" a "&amp;TEXT(A198,"hh:mm"))</f>
        <v>0</v>
      </c>
      <c r="C198" s="27">
        <f>IF(A198="","",MES!B198)</f>
        <v>0</v>
      </c>
      <c r="D198" s="27">
        <f>IF(A198="","",IFERROR(AVERAGEIFS(Prensa!$B$2:$B$5001,Prensa!$E$2:$E$5001,N198,Prensa!$F$2:$F$5001,1,Prensa!$G$2:$G$5001,1),""))</f>
        <v>0</v>
      </c>
      <c r="E198" s="27">
        <f>IF(A198="","",IFERROR(AVERAGEIFS(Prensa!$B$2:$B$5001,Prensa!$E$2:$E$5001,N198,Prensa!$F$2:$F$5001,2,Prensa!$G$2:$G$5001,1),""))</f>
        <v>0</v>
      </c>
      <c r="F198" s="27">
        <f>IF(A198="","",IFERROR(AVERAGEIFS(Prensa!$B$2:$B$5001,Prensa!$E$2:$E$5001,N198,Prensa!$F$2:$F$5001,3,Prensa!$G$2:$G$5001,1),""))</f>
        <v>0</v>
      </c>
      <c r="G198" s="27">
        <f>IF(A198="","",IFERROR(AVERAGEIFS(Prensa!$B$2:$B$5001,Prensa!$E$2:$E$5001,N198,Prensa!$F$2:$F$5001,4,Prensa!$G$2:$G$5001,1),""))</f>
        <v>0</v>
      </c>
      <c r="H198" s="26">
        <f>IF(A198="","",COUNT(D198:G198))</f>
        <v>0</v>
      </c>
      <c r="I198" s="27">
        <f>IF(A198="","",IF(H198=0,"",AVERAGE(D198:G198)))</f>
        <v>0</v>
      </c>
      <c r="J198" s="27">
        <f>IF(OR(I198="",C198=""),"",I198-C198)</f>
        <v>0</v>
      </c>
      <c r="K198" s="26">
        <f>IF(A198="","",IF(MES!E198&lt;&gt;4,"Horário do MES fora do padrão",IF(H198&lt;cfgMinCortes,"Cortes insuficientes","Válida")))</f>
        <v>0</v>
      </c>
      <c r="L198" s="27">
        <f>IF(K198="Válida",ABS(J198),"")</f>
        <v>0</v>
      </c>
      <c r="M198" s="26">
        <f>IF(K198="Válida",IF(L198&lt;=cfgTolerancia,"Sim","Não"),"")</f>
        <v>0</v>
      </c>
      <c r="N198" s="26">
        <f>IF(A198="","",MES!D198)</f>
        <v>0</v>
      </c>
      <c r="O198" s="25">
        <f>IF(K198="Válida",A198,NA())</f>
        <v>0</v>
      </c>
      <c r="P198" s="27">
        <f>IF(K198="Válida",C198,NA())</f>
        <v>0</v>
      </c>
      <c r="Q198" s="27">
        <f>IF(K198="Válida",I198,NA())</f>
        <v>0</v>
      </c>
      <c r="R198" s="27">
        <f>IF(K198="Válida",J198,NA())</f>
        <v>0</v>
      </c>
      <c r="S198" s="27">
        <f>IF(K198="Válida",C198,"")</f>
        <v>0</v>
      </c>
      <c r="T198" s="27">
        <f>IF(K198="Válida",I198,"")</f>
        <v>0</v>
      </c>
      <c r="U198" s="27">
        <f>IF(K198="Válida",J198,"")</f>
        <v>0</v>
      </c>
    </row>
    <row r="199" spans="1:21">
      <c r="A199" s="25">
        <f>IF(MES!A199="","",MES!C199/48)</f>
        <v>0</v>
      </c>
      <c r="B199" s="26">
        <f>IF(A199="","",TEXT((N199*4+cfgDeslocamento)/48,"hh:mm")&amp;" a "&amp;TEXT(A199,"hh:mm"))</f>
        <v>0</v>
      </c>
      <c r="C199" s="27">
        <f>IF(A199="","",MES!B199)</f>
        <v>0</v>
      </c>
      <c r="D199" s="27">
        <f>IF(A199="","",IFERROR(AVERAGEIFS(Prensa!$B$2:$B$5001,Prensa!$E$2:$E$5001,N199,Prensa!$F$2:$F$5001,1,Prensa!$G$2:$G$5001,1),""))</f>
        <v>0</v>
      </c>
      <c r="E199" s="27">
        <f>IF(A199="","",IFERROR(AVERAGEIFS(Prensa!$B$2:$B$5001,Prensa!$E$2:$E$5001,N199,Prensa!$F$2:$F$5001,2,Prensa!$G$2:$G$5001,1),""))</f>
        <v>0</v>
      </c>
      <c r="F199" s="27">
        <f>IF(A199="","",IFERROR(AVERAGEIFS(Prensa!$B$2:$B$5001,Prensa!$E$2:$E$5001,N199,Prensa!$F$2:$F$5001,3,Prensa!$G$2:$G$5001,1),""))</f>
        <v>0</v>
      </c>
      <c r="G199" s="27">
        <f>IF(A199="","",IFERROR(AVERAGEIFS(Prensa!$B$2:$B$5001,Prensa!$E$2:$E$5001,N199,Prensa!$F$2:$F$5001,4,Prensa!$G$2:$G$5001,1),""))</f>
        <v>0</v>
      </c>
      <c r="H199" s="26">
        <f>IF(A199="","",COUNT(D199:G199))</f>
        <v>0</v>
      </c>
      <c r="I199" s="27">
        <f>IF(A199="","",IF(H199=0,"",AVERAGE(D199:G199)))</f>
        <v>0</v>
      </c>
      <c r="J199" s="27">
        <f>IF(OR(I199="",C199=""),"",I199-C199)</f>
        <v>0</v>
      </c>
      <c r="K199" s="26">
        <f>IF(A199="","",IF(MES!E199&lt;&gt;4,"Horário do MES fora do padrão",IF(H199&lt;cfgMinCortes,"Cortes insuficientes","Válida")))</f>
        <v>0</v>
      </c>
      <c r="L199" s="27">
        <f>IF(K199="Válida",ABS(J199),"")</f>
        <v>0</v>
      </c>
      <c r="M199" s="26">
        <f>IF(K199="Válida",IF(L199&lt;=cfgTolerancia,"Sim","Não"),"")</f>
        <v>0</v>
      </c>
      <c r="N199" s="26">
        <f>IF(A199="","",MES!D199)</f>
        <v>0</v>
      </c>
      <c r="O199" s="25">
        <f>IF(K199="Válida",A199,NA())</f>
        <v>0</v>
      </c>
      <c r="P199" s="27">
        <f>IF(K199="Válida",C199,NA())</f>
        <v>0</v>
      </c>
      <c r="Q199" s="27">
        <f>IF(K199="Válida",I199,NA())</f>
        <v>0</v>
      </c>
      <c r="R199" s="27">
        <f>IF(K199="Válida",J199,NA())</f>
        <v>0</v>
      </c>
      <c r="S199" s="27">
        <f>IF(K199="Válida",C199,"")</f>
        <v>0</v>
      </c>
      <c r="T199" s="27">
        <f>IF(K199="Válida",I199,"")</f>
        <v>0</v>
      </c>
      <c r="U199" s="27">
        <f>IF(K199="Válida",J199,"")</f>
        <v>0</v>
      </c>
    </row>
    <row r="200" spans="1:21">
      <c r="A200" s="25">
        <f>IF(MES!A200="","",MES!C200/48)</f>
        <v>0</v>
      </c>
      <c r="B200" s="26">
        <f>IF(A200="","",TEXT((N200*4+cfgDeslocamento)/48,"hh:mm")&amp;" a "&amp;TEXT(A200,"hh:mm"))</f>
        <v>0</v>
      </c>
      <c r="C200" s="27">
        <f>IF(A200="","",MES!B200)</f>
        <v>0</v>
      </c>
      <c r="D200" s="27">
        <f>IF(A200="","",IFERROR(AVERAGEIFS(Prensa!$B$2:$B$5001,Prensa!$E$2:$E$5001,N200,Prensa!$F$2:$F$5001,1,Prensa!$G$2:$G$5001,1),""))</f>
        <v>0</v>
      </c>
      <c r="E200" s="27">
        <f>IF(A200="","",IFERROR(AVERAGEIFS(Prensa!$B$2:$B$5001,Prensa!$E$2:$E$5001,N200,Prensa!$F$2:$F$5001,2,Prensa!$G$2:$G$5001,1),""))</f>
        <v>0</v>
      </c>
      <c r="F200" s="27">
        <f>IF(A200="","",IFERROR(AVERAGEIFS(Prensa!$B$2:$B$5001,Prensa!$E$2:$E$5001,N200,Prensa!$F$2:$F$5001,3,Prensa!$G$2:$G$5001,1),""))</f>
        <v>0</v>
      </c>
      <c r="G200" s="27">
        <f>IF(A200="","",IFERROR(AVERAGEIFS(Prensa!$B$2:$B$5001,Prensa!$E$2:$E$5001,N200,Prensa!$F$2:$F$5001,4,Prensa!$G$2:$G$5001,1),""))</f>
        <v>0</v>
      </c>
      <c r="H200" s="26">
        <f>IF(A200="","",COUNT(D200:G200))</f>
        <v>0</v>
      </c>
      <c r="I200" s="27">
        <f>IF(A200="","",IF(H200=0,"",AVERAGE(D200:G200)))</f>
        <v>0</v>
      </c>
      <c r="J200" s="27">
        <f>IF(OR(I200="",C200=""),"",I200-C200)</f>
        <v>0</v>
      </c>
      <c r="K200" s="26">
        <f>IF(A200="","",IF(MES!E200&lt;&gt;4,"Horário do MES fora do padrão",IF(H200&lt;cfgMinCortes,"Cortes insuficientes","Válida")))</f>
        <v>0</v>
      </c>
      <c r="L200" s="27">
        <f>IF(K200="Válida",ABS(J200),"")</f>
        <v>0</v>
      </c>
      <c r="M200" s="26">
        <f>IF(K200="Válida",IF(L200&lt;=cfgTolerancia,"Sim","Não"),"")</f>
        <v>0</v>
      </c>
      <c r="N200" s="26">
        <f>IF(A200="","",MES!D200)</f>
        <v>0</v>
      </c>
      <c r="O200" s="25">
        <f>IF(K200="Válida",A200,NA())</f>
        <v>0</v>
      </c>
      <c r="P200" s="27">
        <f>IF(K200="Válida",C200,NA())</f>
        <v>0</v>
      </c>
      <c r="Q200" s="27">
        <f>IF(K200="Válida",I200,NA())</f>
        <v>0</v>
      </c>
      <c r="R200" s="27">
        <f>IF(K200="Válida",J200,NA())</f>
        <v>0</v>
      </c>
      <c r="S200" s="27">
        <f>IF(K200="Válida",C200,"")</f>
        <v>0</v>
      </c>
      <c r="T200" s="27">
        <f>IF(K200="Válida",I200,"")</f>
        <v>0</v>
      </c>
      <c r="U200" s="27">
        <f>IF(K200="Válida",J200,"")</f>
        <v>0</v>
      </c>
    </row>
    <row r="201" spans="1:21">
      <c r="A201" s="25">
        <f>IF(MES!A201="","",MES!C201/48)</f>
        <v>0</v>
      </c>
      <c r="B201" s="26">
        <f>IF(A201="","",TEXT((N201*4+cfgDeslocamento)/48,"hh:mm")&amp;" a "&amp;TEXT(A201,"hh:mm"))</f>
        <v>0</v>
      </c>
      <c r="C201" s="27">
        <f>IF(A201="","",MES!B201)</f>
        <v>0</v>
      </c>
      <c r="D201" s="27">
        <f>IF(A201="","",IFERROR(AVERAGEIFS(Prensa!$B$2:$B$5001,Prensa!$E$2:$E$5001,N201,Prensa!$F$2:$F$5001,1,Prensa!$G$2:$G$5001,1),""))</f>
        <v>0</v>
      </c>
      <c r="E201" s="27">
        <f>IF(A201="","",IFERROR(AVERAGEIFS(Prensa!$B$2:$B$5001,Prensa!$E$2:$E$5001,N201,Prensa!$F$2:$F$5001,2,Prensa!$G$2:$G$5001,1),""))</f>
        <v>0</v>
      </c>
      <c r="F201" s="27">
        <f>IF(A201="","",IFERROR(AVERAGEIFS(Prensa!$B$2:$B$5001,Prensa!$E$2:$E$5001,N201,Prensa!$F$2:$F$5001,3,Prensa!$G$2:$G$5001,1),""))</f>
        <v>0</v>
      </c>
      <c r="G201" s="27">
        <f>IF(A201="","",IFERROR(AVERAGEIFS(Prensa!$B$2:$B$5001,Prensa!$E$2:$E$5001,N201,Prensa!$F$2:$F$5001,4,Prensa!$G$2:$G$5001,1),""))</f>
        <v>0</v>
      </c>
      <c r="H201" s="26">
        <f>IF(A201="","",COUNT(D201:G201))</f>
        <v>0</v>
      </c>
      <c r="I201" s="27">
        <f>IF(A201="","",IF(H201=0,"",AVERAGE(D201:G201)))</f>
        <v>0</v>
      </c>
      <c r="J201" s="27">
        <f>IF(OR(I201="",C201=""),"",I201-C201)</f>
        <v>0</v>
      </c>
      <c r="K201" s="26">
        <f>IF(A201="","",IF(MES!E201&lt;&gt;4,"Horário do MES fora do padrão",IF(H201&lt;cfgMinCortes,"Cortes insuficientes","Válida")))</f>
        <v>0</v>
      </c>
      <c r="L201" s="27">
        <f>IF(K201="Válida",ABS(J201),"")</f>
        <v>0</v>
      </c>
      <c r="M201" s="26">
        <f>IF(K201="Válida",IF(L201&lt;=cfgTolerancia,"Sim","Não"),"")</f>
        <v>0</v>
      </c>
      <c r="N201" s="26">
        <f>IF(A201="","",MES!D201)</f>
        <v>0</v>
      </c>
      <c r="O201" s="25">
        <f>IF(K201="Válida",A201,NA())</f>
        <v>0</v>
      </c>
      <c r="P201" s="27">
        <f>IF(K201="Válida",C201,NA())</f>
        <v>0</v>
      </c>
      <c r="Q201" s="27">
        <f>IF(K201="Válida",I201,NA())</f>
        <v>0</v>
      </c>
      <c r="R201" s="27">
        <f>IF(K201="Válida",J201,NA())</f>
        <v>0</v>
      </c>
      <c r="S201" s="27">
        <f>IF(K201="Válida",C201,"")</f>
        <v>0</v>
      </c>
      <c r="T201" s="27">
        <f>IF(K201="Válida",I201,"")</f>
        <v>0</v>
      </c>
      <c r="U201" s="27">
        <f>IF(K201="Válida",J201,"")</f>
        <v>0</v>
      </c>
    </row>
    <row r="202" spans="1:21">
      <c r="A202" s="25">
        <f>IF(MES!A202="","",MES!C202/48)</f>
        <v>0</v>
      </c>
      <c r="B202" s="26">
        <f>IF(A202="","",TEXT((N202*4+cfgDeslocamento)/48,"hh:mm")&amp;" a "&amp;TEXT(A202,"hh:mm"))</f>
        <v>0</v>
      </c>
      <c r="C202" s="27">
        <f>IF(A202="","",MES!B202)</f>
        <v>0</v>
      </c>
      <c r="D202" s="27">
        <f>IF(A202="","",IFERROR(AVERAGEIFS(Prensa!$B$2:$B$5001,Prensa!$E$2:$E$5001,N202,Prensa!$F$2:$F$5001,1,Prensa!$G$2:$G$5001,1),""))</f>
        <v>0</v>
      </c>
      <c r="E202" s="27">
        <f>IF(A202="","",IFERROR(AVERAGEIFS(Prensa!$B$2:$B$5001,Prensa!$E$2:$E$5001,N202,Prensa!$F$2:$F$5001,2,Prensa!$G$2:$G$5001,1),""))</f>
        <v>0</v>
      </c>
      <c r="F202" s="27">
        <f>IF(A202="","",IFERROR(AVERAGEIFS(Prensa!$B$2:$B$5001,Prensa!$E$2:$E$5001,N202,Prensa!$F$2:$F$5001,3,Prensa!$G$2:$G$5001,1),""))</f>
        <v>0</v>
      </c>
      <c r="G202" s="27">
        <f>IF(A202="","",IFERROR(AVERAGEIFS(Prensa!$B$2:$B$5001,Prensa!$E$2:$E$5001,N202,Prensa!$F$2:$F$5001,4,Prensa!$G$2:$G$5001,1),""))</f>
        <v>0</v>
      </c>
      <c r="H202" s="26">
        <f>IF(A202="","",COUNT(D202:G202))</f>
        <v>0</v>
      </c>
      <c r="I202" s="27">
        <f>IF(A202="","",IF(H202=0,"",AVERAGE(D202:G202)))</f>
        <v>0</v>
      </c>
      <c r="J202" s="27">
        <f>IF(OR(I202="",C202=""),"",I202-C202)</f>
        <v>0</v>
      </c>
      <c r="K202" s="26">
        <f>IF(A202="","",IF(MES!E202&lt;&gt;4,"Horário do MES fora do padrão",IF(H202&lt;cfgMinCortes,"Cortes insuficientes","Válida")))</f>
        <v>0</v>
      </c>
      <c r="L202" s="27">
        <f>IF(K202="Válida",ABS(J202),"")</f>
        <v>0</v>
      </c>
      <c r="M202" s="26">
        <f>IF(K202="Válida",IF(L202&lt;=cfgTolerancia,"Sim","Não"),"")</f>
        <v>0</v>
      </c>
      <c r="N202" s="26">
        <f>IF(A202="","",MES!D202)</f>
        <v>0</v>
      </c>
      <c r="O202" s="25">
        <f>IF(K202="Válida",A202,NA())</f>
        <v>0</v>
      </c>
      <c r="P202" s="27">
        <f>IF(K202="Válida",C202,NA())</f>
        <v>0</v>
      </c>
      <c r="Q202" s="27">
        <f>IF(K202="Válida",I202,NA())</f>
        <v>0</v>
      </c>
      <c r="R202" s="27">
        <f>IF(K202="Válida",J202,NA())</f>
        <v>0</v>
      </c>
      <c r="S202" s="27">
        <f>IF(K202="Válida",C202,"")</f>
        <v>0</v>
      </c>
      <c r="T202" s="27">
        <f>IF(K202="Válida",I202,"")</f>
        <v>0</v>
      </c>
      <c r="U202" s="27">
        <f>IF(K202="Válida",J202,"")</f>
        <v>0</v>
      </c>
    </row>
    <row r="203" spans="1:21">
      <c r="A203" s="25">
        <f>IF(MES!A203="","",MES!C203/48)</f>
        <v>0</v>
      </c>
      <c r="B203" s="26">
        <f>IF(A203="","",TEXT((N203*4+cfgDeslocamento)/48,"hh:mm")&amp;" a "&amp;TEXT(A203,"hh:mm"))</f>
        <v>0</v>
      </c>
      <c r="C203" s="27">
        <f>IF(A203="","",MES!B203)</f>
        <v>0</v>
      </c>
      <c r="D203" s="27">
        <f>IF(A203="","",IFERROR(AVERAGEIFS(Prensa!$B$2:$B$5001,Prensa!$E$2:$E$5001,N203,Prensa!$F$2:$F$5001,1,Prensa!$G$2:$G$5001,1),""))</f>
        <v>0</v>
      </c>
      <c r="E203" s="27">
        <f>IF(A203="","",IFERROR(AVERAGEIFS(Prensa!$B$2:$B$5001,Prensa!$E$2:$E$5001,N203,Prensa!$F$2:$F$5001,2,Prensa!$G$2:$G$5001,1),""))</f>
        <v>0</v>
      </c>
      <c r="F203" s="27">
        <f>IF(A203="","",IFERROR(AVERAGEIFS(Prensa!$B$2:$B$5001,Prensa!$E$2:$E$5001,N203,Prensa!$F$2:$F$5001,3,Prensa!$G$2:$G$5001,1),""))</f>
        <v>0</v>
      </c>
      <c r="G203" s="27">
        <f>IF(A203="","",IFERROR(AVERAGEIFS(Prensa!$B$2:$B$5001,Prensa!$E$2:$E$5001,N203,Prensa!$F$2:$F$5001,4,Prensa!$G$2:$G$5001,1),""))</f>
        <v>0</v>
      </c>
      <c r="H203" s="26">
        <f>IF(A203="","",COUNT(D203:G203))</f>
        <v>0</v>
      </c>
      <c r="I203" s="27">
        <f>IF(A203="","",IF(H203=0,"",AVERAGE(D203:G203)))</f>
        <v>0</v>
      </c>
      <c r="J203" s="27">
        <f>IF(OR(I203="",C203=""),"",I203-C203)</f>
        <v>0</v>
      </c>
      <c r="K203" s="26">
        <f>IF(A203="","",IF(MES!E203&lt;&gt;4,"Horário do MES fora do padrão",IF(H203&lt;cfgMinCortes,"Cortes insuficientes","Válida")))</f>
        <v>0</v>
      </c>
      <c r="L203" s="27">
        <f>IF(K203="Válida",ABS(J203),"")</f>
        <v>0</v>
      </c>
      <c r="M203" s="26">
        <f>IF(K203="Válida",IF(L203&lt;=cfgTolerancia,"Sim","Não"),"")</f>
        <v>0</v>
      </c>
      <c r="N203" s="26">
        <f>IF(A203="","",MES!D203)</f>
        <v>0</v>
      </c>
      <c r="O203" s="25">
        <f>IF(K203="Válida",A203,NA())</f>
        <v>0</v>
      </c>
      <c r="P203" s="27">
        <f>IF(K203="Válida",C203,NA())</f>
        <v>0</v>
      </c>
      <c r="Q203" s="27">
        <f>IF(K203="Válida",I203,NA())</f>
        <v>0</v>
      </c>
      <c r="R203" s="27">
        <f>IF(K203="Válida",J203,NA())</f>
        <v>0</v>
      </c>
      <c r="S203" s="27">
        <f>IF(K203="Válida",C203,"")</f>
        <v>0</v>
      </c>
      <c r="T203" s="27">
        <f>IF(K203="Válida",I203,"")</f>
        <v>0</v>
      </c>
      <c r="U203" s="27">
        <f>IF(K203="Válida",J203,"")</f>
        <v>0</v>
      </c>
    </row>
    <row r="204" spans="1:21">
      <c r="A204" s="25">
        <f>IF(MES!A204="","",MES!C204/48)</f>
        <v>0</v>
      </c>
      <c r="B204" s="26">
        <f>IF(A204="","",TEXT((N204*4+cfgDeslocamento)/48,"hh:mm")&amp;" a "&amp;TEXT(A204,"hh:mm"))</f>
        <v>0</v>
      </c>
      <c r="C204" s="27">
        <f>IF(A204="","",MES!B204)</f>
        <v>0</v>
      </c>
      <c r="D204" s="27">
        <f>IF(A204="","",IFERROR(AVERAGEIFS(Prensa!$B$2:$B$5001,Prensa!$E$2:$E$5001,N204,Prensa!$F$2:$F$5001,1,Prensa!$G$2:$G$5001,1),""))</f>
        <v>0</v>
      </c>
      <c r="E204" s="27">
        <f>IF(A204="","",IFERROR(AVERAGEIFS(Prensa!$B$2:$B$5001,Prensa!$E$2:$E$5001,N204,Prensa!$F$2:$F$5001,2,Prensa!$G$2:$G$5001,1),""))</f>
        <v>0</v>
      </c>
      <c r="F204" s="27">
        <f>IF(A204="","",IFERROR(AVERAGEIFS(Prensa!$B$2:$B$5001,Prensa!$E$2:$E$5001,N204,Prensa!$F$2:$F$5001,3,Prensa!$G$2:$G$5001,1),""))</f>
        <v>0</v>
      </c>
      <c r="G204" s="27">
        <f>IF(A204="","",IFERROR(AVERAGEIFS(Prensa!$B$2:$B$5001,Prensa!$E$2:$E$5001,N204,Prensa!$F$2:$F$5001,4,Prensa!$G$2:$G$5001,1),""))</f>
        <v>0</v>
      </c>
      <c r="H204" s="26">
        <f>IF(A204="","",COUNT(D204:G204))</f>
        <v>0</v>
      </c>
      <c r="I204" s="27">
        <f>IF(A204="","",IF(H204=0,"",AVERAGE(D204:G204)))</f>
        <v>0</v>
      </c>
      <c r="J204" s="27">
        <f>IF(OR(I204="",C204=""),"",I204-C204)</f>
        <v>0</v>
      </c>
      <c r="K204" s="26">
        <f>IF(A204="","",IF(MES!E204&lt;&gt;4,"Horário do MES fora do padrão",IF(H204&lt;cfgMinCortes,"Cortes insuficientes","Válida")))</f>
        <v>0</v>
      </c>
      <c r="L204" s="27">
        <f>IF(K204="Válida",ABS(J204),"")</f>
        <v>0</v>
      </c>
      <c r="M204" s="26">
        <f>IF(K204="Válida",IF(L204&lt;=cfgTolerancia,"Sim","Não"),"")</f>
        <v>0</v>
      </c>
      <c r="N204" s="26">
        <f>IF(A204="","",MES!D204)</f>
        <v>0</v>
      </c>
      <c r="O204" s="25">
        <f>IF(K204="Válida",A204,NA())</f>
        <v>0</v>
      </c>
      <c r="P204" s="27">
        <f>IF(K204="Válida",C204,NA())</f>
        <v>0</v>
      </c>
      <c r="Q204" s="27">
        <f>IF(K204="Válida",I204,NA())</f>
        <v>0</v>
      </c>
      <c r="R204" s="27">
        <f>IF(K204="Válida",J204,NA())</f>
        <v>0</v>
      </c>
      <c r="S204" s="27">
        <f>IF(K204="Válida",C204,"")</f>
        <v>0</v>
      </c>
      <c r="T204" s="27">
        <f>IF(K204="Válida",I204,"")</f>
        <v>0</v>
      </c>
      <c r="U204" s="27">
        <f>IF(K204="Válida",J204,"")</f>
        <v>0</v>
      </c>
    </row>
    <row r="205" spans="1:21">
      <c r="A205" s="25">
        <f>IF(MES!A205="","",MES!C205/48)</f>
        <v>0</v>
      </c>
      <c r="B205" s="26">
        <f>IF(A205="","",TEXT((N205*4+cfgDeslocamento)/48,"hh:mm")&amp;" a "&amp;TEXT(A205,"hh:mm"))</f>
        <v>0</v>
      </c>
      <c r="C205" s="27">
        <f>IF(A205="","",MES!B205)</f>
        <v>0</v>
      </c>
      <c r="D205" s="27">
        <f>IF(A205="","",IFERROR(AVERAGEIFS(Prensa!$B$2:$B$5001,Prensa!$E$2:$E$5001,N205,Prensa!$F$2:$F$5001,1,Prensa!$G$2:$G$5001,1),""))</f>
        <v>0</v>
      </c>
      <c r="E205" s="27">
        <f>IF(A205="","",IFERROR(AVERAGEIFS(Prensa!$B$2:$B$5001,Prensa!$E$2:$E$5001,N205,Prensa!$F$2:$F$5001,2,Prensa!$G$2:$G$5001,1),""))</f>
        <v>0</v>
      </c>
      <c r="F205" s="27">
        <f>IF(A205="","",IFERROR(AVERAGEIFS(Prensa!$B$2:$B$5001,Prensa!$E$2:$E$5001,N205,Prensa!$F$2:$F$5001,3,Prensa!$G$2:$G$5001,1),""))</f>
        <v>0</v>
      </c>
      <c r="G205" s="27">
        <f>IF(A205="","",IFERROR(AVERAGEIFS(Prensa!$B$2:$B$5001,Prensa!$E$2:$E$5001,N205,Prensa!$F$2:$F$5001,4,Prensa!$G$2:$G$5001,1),""))</f>
        <v>0</v>
      </c>
      <c r="H205" s="26">
        <f>IF(A205="","",COUNT(D205:G205))</f>
        <v>0</v>
      </c>
      <c r="I205" s="27">
        <f>IF(A205="","",IF(H205=0,"",AVERAGE(D205:G205)))</f>
        <v>0</v>
      </c>
      <c r="J205" s="27">
        <f>IF(OR(I205="",C205=""),"",I205-C205)</f>
        <v>0</v>
      </c>
      <c r="K205" s="26">
        <f>IF(A205="","",IF(MES!E205&lt;&gt;4,"Horário do MES fora do padrão",IF(H205&lt;cfgMinCortes,"Cortes insuficientes","Válida")))</f>
        <v>0</v>
      </c>
      <c r="L205" s="27">
        <f>IF(K205="Válida",ABS(J205),"")</f>
        <v>0</v>
      </c>
      <c r="M205" s="26">
        <f>IF(K205="Válida",IF(L205&lt;=cfgTolerancia,"Sim","Não"),"")</f>
        <v>0</v>
      </c>
      <c r="N205" s="26">
        <f>IF(A205="","",MES!D205)</f>
        <v>0</v>
      </c>
      <c r="O205" s="25">
        <f>IF(K205="Válida",A205,NA())</f>
        <v>0</v>
      </c>
      <c r="P205" s="27">
        <f>IF(K205="Válida",C205,NA())</f>
        <v>0</v>
      </c>
      <c r="Q205" s="27">
        <f>IF(K205="Válida",I205,NA())</f>
        <v>0</v>
      </c>
      <c r="R205" s="27">
        <f>IF(K205="Válida",J205,NA())</f>
        <v>0</v>
      </c>
      <c r="S205" s="27">
        <f>IF(K205="Válida",C205,"")</f>
        <v>0</v>
      </c>
      <c r="T205" s="27">
        <f>IF(K205="Válida",I205,"")</f>
        <v>0</v>
      </c>
      <c r="U205" s="27">
        <f>IF(K205="Válida",J205,"")</f>
        <v>0</v>
      </c>
    </row>
    <row r="206" spans="1:21">
      <c r="A206" s="25">
        <f>IF(MES!A206="","",MES!C206/48)</f>
        <v>0</v>
      </c>
      <c r="B206" s="26">
        <f>IF(A206="","",TEXT((N206*4+cfgDeslocamento)/48,"hh:mm")&amp;" a "&amp;TEXT(A206,"hh:mm"))</f>
        <v>0</v>
      </c>
      <c r="C206" s="27">
        <f>IF(A206="","",MES!B206)</f>
        <v>0</v>
      </c>
      <c r="D206" s="27">
        <f>IF(A206="","",IFERROR(AVERAGEIFS(Prensa!$B$2:$B$5001,Prensa!$E$2:$E$5001,N206,Prensa!$F$2:$F$5001,1,Prensa!$G$2:$G$5001,1),""))</f>
        <v>0</v>
      </c>
      <c r="E206" s="27">
        <f>IF(A206="","",IFERROR(AVERAGEIFS(Prensa!$B$2:$B$5001,Prensa!$E$2:$E$5001,N206,Prensa!$F$2:$F$5001,2,Prensa!$G$2:$G$5001,1),""))</f>
        <v>0</v>
      </c>
      <c r="F206" s="27">
        <f>IF(A206="","",IFERROR(AVERAGEIFS(Prensa!$B$2:$B$5001,Prensa!$E$2:$E$5001,N206,Prensa!$F$2:$F$5001,3,Prensa!$G$2:$G$5001,1),""))</f>
        <v>0</v>
      </c>
      <c r="G206" s="27">
        <f>IF(A206="","",IFERROR(AVERAGEIFS(Prensa!$B$2:$B$5001,Prensa!$E$2:$E$5001,N206,Prensa!$F$2:$F$5001,4,Prensa!$G$2:$G$5001,1),""))</f>
        <v>0</v>
      </c>
      <c r="H206" s="26">
        <f>IF(A206="","",COUNT(D206:G206))</f>
        <v>0</v>
      </c>
      <c r="I206" s="27">
        <f>IF(A206="","",IF(H206=0,"",AVERAGE(D206:G206)))</f>
        <v>0</v>
      </c>
      <c r="J206" s="27">
        <f>IF(OR(I206="",C206=""),"",I206-C206)</f>
        <v>0</v>
      </c>
      <c r="K206" s="26">
        <f>IF(A206="","",IF(MES!E206&lt;&gt;4,"Horário do MES fora do padrão",IF(H206&lt;cfgMinCortes,"Cortes insuficientes","Válida")))</f>
        <v>0</v>
      </c>
      <c r="L206" s="27">
        <f>IF(K206="Válida",ABS(J206),"")</f>
        <v>0</v>
      </c>
      <c r="M206" s="26">
        <f>IF(K206="Válida",IF(L206&lt;=cfgTolerancia,"Sim","Não"),"")</f>
        <v>0</v>
      </c>
      <c r="N206" s="26">
        <f>IF(A206="","",MES!D206)</f>
        <v>0</v>
      </c>
      <c r="O206" s="25">
        <f>IF(K206="Válida",A206,NA())</f>
        <v>0</v>
      </c>
      <c r="P206" s="27">
        <f>IF(K206="Válida",C206,NA())</f>
        <v>0</v>
      </c>
      <c r="Q206" s="27">
        <f>IF(K206="Válida",I206,NA())</f>
        <v>0</v>
      </c>
      <c r="R206" s="27">
        <f>IF(K206="Válida",J206,NA())</f>
        <v>0</v>
      </c>
      <c r="S206" s="27">
        <f>IF(K206="Válida",C206,"")</f>
        <v>0</v>
      </c>
      <c r="T206" s="27">
        <f>IF(K206="Válida",I206,"")</f>
        <v>0</v>
      </c>
      <c r="U206" s="27">
        <f>IF(K206="Válida",J206,"")</f>
        <v>0</v>
      </c>
    </row>
    <row r="207" spans="1:21">
      <c r="A207" s="25">
        <f>IF(MES!A207="","",MES!C207/48)</f>
        <v>0</v>
      </c>
      <c r="B207" s="26">
        <f>IF(A207="","",TEXT((N207*4+cfgDeslocamento)/48,"hh:mm")&amp;" a "&amp;TEXT(A207,"hh:mm"))</f>
        <v>0</v>
      </c>
      <c r="C207" s="27">
        <f>IF(A207="","",MES!B207)</f>
        <v>0</v>
      </c>
      <c r="D207" s="27">
        <f>IF(A207="","",IFERROR(AVERAGEIFS(Prensa!$B$2:$B$5001,Prensa!$E$2:$E$5001,N207,Prensa!$F$2:$F$5001,1,Prensa!$G$2:$G$5001,1),""))</f>
        <v>0</v>
      </c>
      <c r="E207" s="27">
        <f>IF(A207="","",IFERROR(AVERAGEIFS(Prensa!$B$2:$B$5001,Prensa!$E$2:$E$5001,N207,Prensa!$F$2:$F$5001,2,Prensa!$G$2:$G$5001,1),""))</f>
        <v>0</v>
      </c>
      <c r="F207" s="27">
        <f>IF(A207="","",IFERROR(AVERAGEIFS(Prensa!$B$2:$B$5001,Prensa!$E$2:$E$5001,N207,Prensa!$F$2:$F$5001,3,Prensa!$G$2:$G$5001,1),""))</f>
        <v>0</v>
      </c>
      <c r="G207" s="27">
        <f>IF(A207="","",IFERROR(AVERAGEIFS(Prensa!$B$2:$B$5001,Prensa!$E$2:$E$5001,N207,Prensa!$F$2:$F$5001,4,Prensa!$G$2:$G$5001,1),""))</f>
        <v>0</v>
      </c>
      <c r="H207" s="26">
        <f>IF(A207="","",COUNT(D207:G207))</f>
        <v>0</v>
      </c>
      <c r="I207" s="27">
        <f>IF(A207="","",IF(H207=0,"",AVERAGE(D207:G207)))</f>
        <v>0</v>
      </c>
      <c r="J207" s="27">
        <f>IF(OR(I207="",C207=""),"",I207-C207)</f>
        <v>0</v>
      </c>
      <c r="K207" s="26">
        <f>IF(A207="","",IF(MES!E207&lt;&gt;4,"Horário do MES fora do padrão",IF(H207&lt;cfgMinCortes,"Cortes insuficientes","Válida")))</f>
        <v>0</v>
      </c>
      <c r="L207" s="27">
        <f>IF(K207="Válida",ABS(J207),"")</f>
        <v>0</v>
      </c>
      <c r="M207" s="26">
        <f>IF(K207="Válida",IF(L207&lt;=cfgTolerancia,"Sim","Não"),"")</f>
        <v>0</v>
      </c>
      <c r="N207" s="26">
        <f>IF(A207="","",MES!D207)</f>
        <v>0</v>
      </c>
      <c r="O207" s="25">
        <f>IF(K207="Válida",A207,NA())</f>
        <v>0</v>
      </c>
      <c r="P207" s="27">
        <f>IF(K207="Válida",C207,NA())</f>
        <v>0</v>
      </c>
      <c r="Q207" s="27">
        <f>IF(K207="Válida",I207,NA())</f>
        <v>0</v>
      </c>
      <c r="R207" s="27">
        <f>IF(K207="Válida",J207,NA())</f>
        <v>0</v>
      </c>
      <c r="S207" s="27">
        <f>IF(K207="Válida",C207,"")</f>
        <v>0</v>
      </c>
      <c r="T207" s="27">
        <f>IF(K207="Válida",I207,"")</f>
        <v>0</v>
      </c>
      <c r="U207" s="27">
        <f>IF(K207="Válida",J207,"")</f>
        <v>0</v>
      </c>
    </row>
    <row r="208" spans="1:21">
      <c r="A208" s="25">
        <f>IF(MES!A208="","",MES!C208/48)</f>
        <v>0</v>
      </c>
      <c r="B208" s="26">
        <f>IF(A208="","",TEXT((N208*4+cfgDeslocamento)/48,"hh:mm")&amp;" a "&amp;TEXT(A208,"hh:mm"))</f>
        <v>0</v>
      </c>
      <c r="C208" s="27">
        <f>IF(A208="","",MES!B208)</f>
        <v>0</v>
      </c>
      <c r="D208" s="27">
        <f>IF(A208="","",IFERROR(AVERAGEIFS(Prensa!$B$2:$B$5001,Prensa!$E$2:$E$5001,N208,Prensa!$F$2:$F$5001,1,Prensa!$G$2:$G$5001,1),""))</f>
        <v>0</v>
      </c>
      <c r="E208" s="27">
        <f>IF(A208="","",IFERROR(AVERAGEIFS(Prensa!$B$2:$B$5001,Prensa!$E$2:$E$5001,N208,Prensa!$F$2:$F$5001,2,Prensa!$G$2:$G$5001,1),""))</f>
        <v>0</v>
      </c>
      <c r="F208" s="27">
        <f>IF(A208="","",IFERROR(AVERAGEIFS(Prensa!$B$2:$B$5001,Prensa!$E$2:$E$5001,N208,Prensa!$F$2:$F$5001,3,Prensa!$G$2:$G$5001,1),""))</f>
        <v>0</v>
      </c>
      <c r="G208" s="27">
        <f>IF(A208="","",IFERROR(AVERAGEIFS(Prensa!$B$2:$B$5001,Prensa!$E$2:$E$5001,N208,Prensa!$F$2:$F$5001,4,Prensa!$G$2:$G$5001,1),""))</f>
        <v>0</v>
      </c>
      <c r="H208" s="26">
        <f>IF(A208="","",COUNT(D208:G208))</f>
        <v>0</v>
      </c>
      <c r="I208" s="27">
        <f>IF(A208="","",IF(H208=0,"",AVERAGE(D208:G208)))</f>
        <v>0</v>
      </c>
      <c r="J208" s="27">
        <f>IF(OR(I208="",C208=""),"",I208-C208)</f>
        <v>0</v>
      </c>
      <c r="K208" s="26">
        <f>IF(A208="","",IF(MES!E208&lt;&gt;4,"Horário do MES fora do padrão",IF(H208&lt;cfgMinCortes,"Cortes insuficientes","Válida")))</f>
        <v>0</v>
      </c>
      <c r="L208" s="27">
        <f>IF(K208="Válida",ABS(J208),"")</f>
        <v>0</v>
      </c>
      <c r="M208" s="26">
        <f>IF(K208="Válida",IF(L208&lt;=cfgTolerancia,"Sim","Não"),"")</f>
        <v>0</v>
      </c>
      <c r="N208" s="26">
        <f>IF(A208="","",MES!D208)</f>
        <v>0</v>
      </c>
      <c r="O208" s="25">
        <f>IF(K208="Válida",A208,NA())</f>
        <v>0</v>
      </c>
      <c r="P208" s="27">
        <f>IF(K208="Válida",C208,NA())</f>
        <v>0</v>
      </c>
      <c r="Q208" s="27">
        <f>IF(K208="Válida",I208,NA())</f>
        <v>0</v>
      </c>
      <c r="R208" s="27">
        <f>IF(K208="Válida",J208,NA())</f>
        <v>0</v>
      </c>
      <c r="S208" s="27">
        <f>IF(K208="Válida",C208,"")</f>
        <v>0</v>
      </c>
      <c r="T208" s="27">
        <f>IF(K208="Válida",I208,"")</f>
        <v>0</v>
      </c>
      <c r="U208" s="27">
        <f>IF(K208="Válida",J208,"")</f>
        <v>0</v>
      </c>
    </row>
    <row r="209" spans="1:21">
      <c r="A209" s="25">
        <f>IF(MES!A209="","",MES!C209/48)</f>
        <v>0</v>
      </c>
      <c r="B209" s="26">
        <f>IF(A209="","",TEXT((N209*4+cfgDeslocamento)/48,"hh:mm")&amp;" a "&amp;TEXT(A209,"hh:mm"))</f>
        <v>0</v>
      </c>
      <c r="C209" s="27">
        <f>IF(A209="","",MES!B209)</f>
        <v>0</v>
      </c>
      <c r="D209" s="27">
        <f>IF(A209="","",IFERROR(AVERAGEIFS(Prensa!$B$2:$B$5001,Prensa!$E$2:$E$5001,N209,Prensa!$F$2:$F$5001,1,Prensa!$G$2:$G$5001,1),""))</f>
        <v>0</v>
      </c>
      <c r="E209" s="27">
        <f>IF(A209="","",IFERROR(AVERAGEIFS(Prensa!$B$2:$B$5001,Prensa!$E$2:$E$5001,N209,Prensa!$F$2:$F$5001,2,Prensa!$G$2:$G$5001,1),""))</f>
        <v>0</v>
      </c>
      <c r="F209" s="27">
        <f>IF(A209="","",IFERROR(AVERAGEIFS(Prensa!$B$2:$B$5001,Prensa!$E$2:$E$5001,N209,Prensa!$F$2:$F$5001,3,Prensa!$G$2:$G$5001,1),""))</f>
        <v>0</v>
      </c>
      <c r="G209" s="27">
        <f>IF(A209="","",IFERROR(AVERAGEIFS(Prensa!$B$2:$B$5001,Prensa!$E$2:$E$5001,N209,Prensa!$F$2:$F$5001,4,Prensa!$G$2:$G$5001,1),""))</f>
        <v>0</v>
      </c>
      <c r="H209" s="26">
        <f>IF(A209="","",COUNT(D209:G209))</f>
        <v>0</v>
      </c>
      <c r="I209" s="27">
        <f>IF(A209="","",IF(H209=0,"",AVERAGE(D209:G209)))</f>
        <v>0</v>
      </c>
      <c r="J209" s="27">
        <f>IF(OR(I209="",C209=""),"",I209-C209)</f>
        <v>0</v>
      </c>
      <c r="K209" s="26">
        <f>IF(A209="","",IF(MES!E209&lt;&gt;4,"Horário do MES fora do padrão",IF(H209&lt;cfgMinCortes,"Cortes insuficientes","Válida")))</f>
        <v>0</v>
      </c>
      <c r="L209" s="27">
        <f>IF(K209="Válida",ABS(J209),"")</f>
        <v>0</v>
      </c>
      <c r="M209" s="26">
        <f>IF(K209="Válida",IF(L209&lt;=cfgTolerancia,"Sim","Não"),"")</f>
        <v>0</v>
      </c>
      <c r="N209" s="26">
        <f>IF(A209="","",MES!D209)</f>
        <v>0</v>
      </c>
      <c r="O209" s="25">
        <f>IF(K209="Válida",A209,NA())</f>
        <v>0</v>
      </c>
      <c r="P209" s="27">
        <f>IF(K209="Válida",C209,NA())</f>
        <v>0</v>
      </c>
      <c r="Q209" s="27">
        <f>IF(K209="Válida",I209,NA())</f>
        <v>0</v>
      </c>
      <c r="R209" s="27">
        <f>IF(K209="Válida",J209,NA())</f>
        <v>0</v>
      </c>
      <c r="S209" s="27">
        <f>IF(K209="Válida",C209,"")</f>
        <v>0</v>
      </c>
      <c r="T209" s="27">
        <f>IF(K209="Válida",I209,"")</f>
        <v>0</v>
      </c>
      <c r="U209" s="27">
        <f>IF(K209="Válida",J209,"")</f>
        <v>0</v>
      </c>
    </row>
    <row r="210" spans="1:21">
      <c r="A210" s="25">
        <f>IF(MES!A210="","",MES!C210/48)</f>
        <v>0</v>
      </c>
      <c r="B210" s="26">
        <f>IF(A210="","",TEXT((N210*4+cfgDeslocamento)/48,"hh:mm")&amp;" a "&amp;TEXT(A210,"hh:mm"))</f>
        <v>0</v>
      </c>
      <c r="C210" s="27">
        <f>IF(A210="","",MES!B210)</f>
        <v>0</v>
      </c>
      <c r="D210" s="27">
        <f>IF(A210="","",IFERROR(AVERAGEIFS(Prensa!$B$2:$B$5001,Prensa!$E$2:$E$5001,N210,Prensa!$F$2:$F$5001,1,Prensa!$G$2:$G$5001,1),""))</f>
        <v>0</v>
      </c>
      <c r="E210" s="27">
        <f>IF(A210="","",IFERROR(AVERAGEIFS(Prensa!$B$2:$B$5001,Prensa!$E$2:$E$5001,N210,Prensa!$F$2:$F$5001,2,Prensa!$G$2:$G$5001,1),""))</f>
        <v>0</v>
      </c>
      <c r="F210" s="27">
        <f>IF(A210="","",IFERROR(AVERAGEIFS(Prensa!$B$2:$B$5001,Prensa!$E$2:$E$5001,N210,Prensa!$F$2:$F$5001,3,Prensa!$G$2:$G$5001,1),""))</f>
        <v>0</v>
      </c>
      <c r="G210" s="27">
        <f>IF(A210="","",IFERROR(AVERAGEIFS(Prensa!$B$2:$B$5001,Prensa!$E$2:$E$5001,N210,Prensa!$F$2:$F$5001,4,Prensa!$G$2:$G$5001,1),""))</f>
        <v>0</v>
      </c>
      <c r="H210" s="26">
        <f>IF(A210="","",COUNT(D210:G210))</f>
        <v>0</v>
      </c>
      <c r="I210" s="27">
        <f>IF(A210="","",IF(H210=0,"",AVERAGE(D210:G210)))</f>
        <v>0</v>
      </c>
      <c r="J210" s="27">
        <f>IF(OR(I210="",C210=""),"",I210-C210)</f>
        <v>0</v>
      </c>
      <c r="K210" s="26">
        <f>IF(A210="","",IF(MES!E210&lt;&gt;4,"Horário do MES fora do padrão",IF(H210&lt;cfgMinCortes,"Cortes insuficientes","Válida")))</f>
        <v>0</v>
      </c>
      <c r="L210" s="27">
        <f>IF(K210="Válida",ABS(J210),"")</f>
        <v>0</v>
      </c>
      <c r="M210" s="26">
        <f>IF(K210="Válida",IF(L210&lt;=cfgTolerancia,"Sim","Não"),"")</f>
        <v>0</v>
      </c>
      <c r="N210" s="26">
        <f>IF(A210="","",MES!D210)</f>
        <v>0</v>
      </c>
      <c r="O210" s="25">
        <f>IF(K210="Válida",A210,NA())</f>
        <v>0</v>
      </c>
      <c r="P210" s="27">
        <f>IF(K210="Válida",C210,NA())</f>
        <v>0</v>
      </c>
      <c r="Q210" s="27">
        <f>IF(K210="Válida",I210,NA())</f>
        <v>0</v>
      </c>
      <c r="R210" s="27">
        <f>IF(K210="Válida",J210,NA())</f>
        <v>0</v>
      </c>
      <c r="S210" s="27">
        <f>IF(K210="Válida",C210,"")</f>
        <v>0</v>
      </c>
      <c r="T210" s="27">
        <f>IF(K210="Válida",I210,"")</f>
        <v>0</v>
      </c>
      <c r="U210" s="27">
        <f>IF(K210="Válida",J210,"")</f>
        <v>0</v>
      </c>
    </row>
    <row r="211" spans="1:21">
      <c r="A211" s="25">
        <f>IF(MES!A211="","",MES!C211/48)</f>
        <v>0</v>
      </c>
      <c r="B211" s="26">
        <f>IF(A211="","",TEXT((N211*4+cfgDeslocamento)/48,"hh:mm")&amp;" a "&amp;TEXT(A211,"hh:mm"))</f>
        <v>0</v>
      </c>
      <c r="C211" s="27">
        <f>IF(A211="","",MES!B211)</f>
        <v>0</v>
      </c>
      <c r="D211" s="27">
        <f>IF(A211="","",IFERROR(AVERAGEIFS(Prensa!$B$2:$B$5001,Prensa!$E$2:$E$5001,N211,Prensa!$F$2:$F$5001,1,Prensa!$G$2:$G$5001,1),""))</f>
        <v>0</v>
      </c>
      <c r="E211" s="27">
        <f>IF(A211="","",IFERROR(AVERAGEIFS(Prensa!$B$2:$B$5001,Prensa!$E$2:$E$5001,N211,Prensa!$F$2:$F$5001,2,Prensa!$G$2:$G$5001,1),""))</f>
        <v>0</v>
      </c>
      <c r="F211" s="27">
        <f>IF(A211="","",IFERROR(AVERAGEIFS(Prensa!$B$2:$B$5001,Prensa!$E$2:$E$5001,N211,Prensa!$F$2:$F$5001,3,Prensa!$G$2:$G$5001,1),""))</f>
        <v>0</v>
      </c>
      <c r="G211" s="27">
        <f>IF(A211="","",IFERROR(AVERAGEIFS(Prensa!$B$2:$B$5001,Prensa!$E$2:$E$5001,N211,Prensa!$F$2:$F$5001,4,Prensa!$G$2:$G$5001,1),""))</f>
        <v>0</v>
      </c>
      <c r="H211" s="26">
        <f>IF(A211="","",COUNT(D211:G211))</f>
        <v>0</v>
      </c>
      <c r="I211" s="27">
        <f>IF(A211="","",IF(H211=0,"",AVERAGE(D211:G211)))</f>
        <v>0</v>
      </c>
      <c r="J211" s="27">
        <f>IF(OR(I211="",C211=""),"",I211-C211)</f>
        <v>0</v>
      </c>
      <c r="K211" s="26">
        <f>IF(A211="","",IF(MES!E211&lt;&gt;4,"Horário do MES fora do padrão",IF(H211&lt;cfgMinCortes,"Cortes insuficientes","Válida")))</f>
        <v>0</v>
      </c>
      <c r="L211" s="27">
        <f>IF(K211="Válida",ABS(J211),"")</f>
        <v>0</v>
      </c>
      <c r="M211" s="26">
        <f>IF(K211="Válida",IF(L211&lt;=cfgTolerancia,"Sim","Não"),"")</f>
        <v>0</v>
      </c>
      <c r="N211" s="26">
        <f>IF(A211="","",MES!D211)</f>
        <v>0</v>
      </c>
      <c r="O211" s="25">
        <f>IF(K211="Válida",A211,NA())</f>
        <v>0</v>
      </c>
      <c r="P211" s="27">
        <f>IF(K211="Válida",C211,NA())</f>
        <v>0</v>
      </c>
      <c r="Q211" s="27">
        <f>IF(K211="Válida",I211,NA())</f>
        <v>0</v>
      </c>
      <c r="R211" s="27">
        <f>IF(K211="Válida",J211,NA())</f>
        <v>0</v>
      </c>
      <c r="S211" s="27">
        <f>IF(K211="Válida",C211,"")</f>
        <v>0</v>
      </c>
      <c r="T211" s="27">
        <f>IF(K211="Válida",I211,"")</f>
        <v>0</v>
      </c>
      <c r="U211" s="27">
        <f>IF(K211="Válida",J211,"")</f>
        <v>0</v>
      </c>
    </row>
    <row r="212" spans="1:21">
      <c r="A212" s="25">
        <f>IF(MES!A212="","",MES!C212/48)</f>
        <v>0</v>
      </c>
      <c r="B212" s="26">
        <f>IF(A212="","",TEXT((N212*4+cfgDeslocamento)/48,"hh:mm")&amp;" a "&amp;TEXT(A212,"hh:mm"))</f>
        <v>0</v>
      </c>
      <c r="C212" s="27">
        <f>IF(A212="","",MES!B212)</f>
        <v>0</v>
      </c>
      <c r="D212" s="27">
        <f>IF(A212="","",IFERROR(AVERAGEIFS(Prensa!$B$2:$B$5001,Prensa!$E$2:$E$5001,N212,Prensa!$F$2:$F$5001,1,Prensa!$G$2:$G$5001,1),""))</f>
        <v>0</v>
      </c>
      <c r="E212" s="27">
        <f>IF(A212="","",IFERROR(AVERAGEIFS(Prensa!$B$2:$B$5001,Prensa!$E$2:$E$5001,N212,Prensa!$F$2:$F$5001,2,Prensa!$G$2:$G$5001,1),""))</f>
        <v>0</v>
      </c>
      <c r="F212" s="27">
        <f>IF(A212="","",IFERROR(AVERAGEIFS(Prensa!$B$2:$B$5001,Prensa!$E$2:$E$5001,N212,Prensa!$F$2:$F$5001,3,Prensa!$G$2:$G$5001,1),""))</f>
        <v>0</v>
      </c>
      <c r="G212" s="27">
        <f>IF(A212="","",IFERROR(AVERAGEIFS(Prensa!$B$2:$B$5001,Prensa!$E$2:$E$5001,N212,Prensa!$F$2:$F$5001,4,Prensa!$G$2:$G$5001,1),""))</f>
        <v>0</v>
      </c>
      <c r="H212" s="26">
        <f>IF(A212="","",COUNT(D212:G212))</f>
        <v>0</v>
      </c>
      <c r="I212" s="27">
        <f>IF(A212="","",IF(H212=0,"",AVERAGE(D212:G212)))</f>
        <v>0</v>
      </c>
      <c r="J212" s="27">
        <f>IF(OR(I212="",C212=""),"",I212-C212)</f>
        <v>0</v>
      </c>
      <c r="K212" s="26">
        <f>IF(A212="","",IF(MES!E212&lt;&gt;4,"Horário do MES fora do padrão",IF(H212&lt;cfgMinCortes,"Cortes insuficientes","Válida")))</f>
        <v>0</v>
      </c>
      <c r="L212" s="27">
        <f>IF(K212="Válida",ABS(J212),"")</f>
        <v>0</v>
      </c>
      <c r="M212" s="26">
        <f>IF(K212="Válida",IF(L212&lt;=cfgTolerancia,"Sim","Não"),"")</f>
        <v>0</v>
      </c>
      <c r="N212" s="26">
        <f>IF(A212="","",MES!D212)</f>
        <v>0</v>
      </c>
      <c r="O212" s="25">
        <f>IF(K212="Válida",A212,NA())</f>
        <v>0</v>
      </c>
      <c r="P212" s="27">
        <f>IF(K212="Válida",C212,NA())</f>
        <v>0</v>
      </c>
      <c r="Q212" s="27">
        <f>IF(K212="Válida",I212,NA())</f>
        <v>0</v>
      </c>
      <c r="R212" s="27">
        <f>IF(K212="Válida",J212,NA())</f>
        <v>0</v>
      </c>
      <c r="S212" s="27">
        <f>IF(K212="Válida",C212,"")</f>
        <v>0</v>
      </c>
      <c r="T212" s="27">
        <f>IF(K212="Válida",I212,"")</f>
        <v>0</v>
      </c>
      <c r="U212" s="27">
        <f>IF(K212="Válida",J212,"")</f>
        <v>0</v>
      </c>
    </row>
    <row r="213" spans="1:21">
      <c r="A213" s="25">
        <f>IF(MES!A213="","",MES!C213/48)</f>
        <v>0</v>
      </c>
      <c r="B213" s="26">
        <f>IF(A213="","",TEXT((N213*4+cfgDeslocamento)/48,"hh:mm")&amp;" a "&amp;TEXT(A213,"hh:mm"))</f>
        <v>0</v>
      </c>
      <c r="C213" s="27">
        <f>IF(A213="","",MES!B213)</f>
        <v>0</v>
      </c>
      <c r="D213" s="27">
        <f>IF(A213="","",IFERROR(AVERAGEIFS(Prensa!$B$2:$B$5001,Prensa!$E$2:$E$5001,N213,Prensa!$F$2:$F$5001,1,Prensa!$G$2:$G$5001,1),""))</f>
        <v>0</v>
      </c>
      <c r="E213" s="27">
        <f>IF(A213="","",IFERROR(AVERAGEIFS(Prensa!$B$2:$B$5001,Prensa!$E$2:$E$5001,N213,Prensa!$F$2:$F$5001,2,Prensa!$G$2:$G$5001,1),""))</f>
        <v>0</v>
      </c>
      <c r="F213" s="27">
        <f>IF(A213="","",IFERROR(AVERAGEIFS(Prensa!$B$2:$B$5001,Prensa!$E$2:$E$5001,N213,Prensa!$F$2:$F$5001,3,Prensa!$G$2:$G$5001,1),""))</f>
        <v>0</v>
      </c>
      <c r="G213" s="27">
        <f>IF(A213="","",IFERROR(AVERAGEIFS(Prensa!$B$2:$B$5001,Prensa!$E$2:$E$5001,N213,Prensa!$F$2:$F$5001,4,Prensa!$G$2:$G$5001,1),""))</f>
        <v>0</v>
      </c>
      <c r="H213" s="26">
        <f>IF(A213="","",COUNT(D213:G213))</f>
        <v>0</v>
      </c>
      <c r="I213" s="27">
        <f>IF(A213="","",IF(H213=0,"",AVERAGE(D213:G213)))</f>
        <v>0</v>
      </c>
      <c r="J213" s="27">
        <f>IF(OR(I213="",C213=""),"",I213-C213)</f>
        <v>0</v>
      </c>
      <c r="K213" s="26">
        <f>IF(A213="","",IF(MES!E213&lt;&gt;4,"Horário do MES fora do padrão",IF(H213&lt;cfgMinCortes,"Cortes insuficientes","Válida")))</f>
        <v>0</v>
      </c>
      <c r="L213" s="27">
        <f>IF(K213="Válida",ABS(J213),"")</f>
        <v>0</v>
      </c>
      <c r="M213" s="26">
        <f>IF(K213="Válida",IF(L213&lt;=cfgTolerancia,"Sim","Não"),"")</f>
        <v>0</v>
      </c>
      <c r="N213" s="26">
        <f>IF(A213="","",MES!D213)</f>
        <v>0</v>
      </c>
      <c r="O213" s="25">
        <f>IF(K213="Válida",A213,NA())</f>
        <v>0</v>
      </c>
      <c r="P213" s="27">
        <f>IF(K213="Válida",C213,NA())</f>
        <v>0</v>
      </c>
      <c r="Q213" s="27">
        <f>IF(K213="Válida",I213,NA())</f>
        <v>0</v>
      </c>
      <c r="R213" s="27">
        <f>IF(K213="Válida",J213,NA())</f>
        <v>0</v>
      </c>
      <c r="S213" s="27">
        <f>IF(K213="Válida",C213,"")</f>
        <v>0</v>
      </c>
      <c r="T213" s="27">
        <f>IF(K213="Válida",I213,"")</f>
        <v>0</v>
      </c>
      <c r="U213" s="27">
        <f>IF(K213="Válida",J213,"")</f>
        <v>0</v>
      </c>
    </row>
    <row r="214" spans="1:21">
      <c r="A214" s="25">
        <f>IF(MES!A214="","",MES!C214/48)</f>
        <v>0</v>
      </c>
      <c r="B214" s="26">
        <f>IF(A214="","",TEXT((N214*4+cfgDeslocamento)/48,"hh:mm")&amp;" a "&amp;TEXT(A214,"hh:mm"))</f>
        <v>0</v>
      </c>
      <c r="C214" s="27">
        <f>IF(A214="","",MES!B214)</f>
        <v>0</v>
      </c>
      <c r="D214" s="27">
        <f>IF(A214="","",IFERROR(AVERAGEIFS(Prensa!$B$2:$B$5001,Prensa!$E$2:$E$5001,N214,Prensa!$F$2:$F$5001,1,Prensa!$G$2:$G$5001,1),""))</f>
        <v>0</v>
      </c>
      <c r="E214" s="27">
        <f>IF(A214="","",IFERROR(AVERAGEIFS(Prensa!$B$2:$B$5001,Prensa!$E$2:$E$5001,N214,Prensa!$F$2:$F$5001,2,Prensa!$G$2:$G$5001,1),""))</f>
        <v>0</v>
      </c>
      <c r="F214" s="27">
        <f>IF(A214="","",IFERROR(AVERAGEIFS(Prensa!$B$2:$B$5001,Prensa!$E$2:$E$5001,N214,Prensa!$F$2:$F$5001,3,Prensa!$G$2:$G$5001,1),""))</f>
        <v>0</v>
      </c>
      <c r="G214" s="27">
        <f>IF(A214="","",IFERROR(AVERAGEIFS(Prensa!$B$2:$B$5001,Prensa!$E$2:$E$5001,N214,Prensa!$F$2:$F$5001,4,Prensa!$G$2:$G$5001,1),""))</f>
        <v>0</v>
      </c>
      <c r="H214" s="26">
        <f>IF(A214="","",COUNT(D214:G214))</f>
        <v>0</v>
      </c>
      <c r="I214" s="27">
        <f>IF(A214="","",IF(H214=0,"",AVERAGE(D214:G214)))</f>
        <v>0</v>
      </c>
      <c r="J214" s="27">
        <f>IF(OR(I214="",C214=""),"",I214-C214)</f>
        <v>0</v>
      </c>
      <c r="K214" s="26">
        <f>IF(A214="","",IF(MES!E214&lt;&gt;4,"Horário do MES fora do padrão",IF(H214&lt;cfgMinCortes,"Cortes insuficientes","Válida")))</f>
        <v>0</v>
      </c>
      <c r="L214" s="27">
        <f>IF(K214="Válida",ABS(J214),"")</f>
        <v>0</v>
      </c>
      <c r="M214" s="26">
        <f>IF(K214="Válida",IF(L214&lt;=cfgTolerancia,"Sim","Não"),"")</f>
        <v>0</v>
      </c>
      <c r="N214" s="26">
        <f>IF(A214="","",MES!D214)</f>
        <v>0</v>
      </c>
      <c r="O214" s="25">
        <f>IF(K214="Válida",A214,NA())</f>
        <v>0</v>
      </c>
      <c r="P214" s="27">
        <f>IF(K214="Válida",C214,NA())</f>
        <v>0</v>
      </c>
      <c r="Q214" s="27">
        <f>IF(K214="Válida",I214,NA())</f>
        <v>0</v>
      </c>
      <c r="R214" s="27">
        <f>IF(K214="Válida",J214,NA())</f>
        <v>0</v>
      </c>
      <c r="S214" s="27">
        <f>IF(K214="Válida",C214,"")</f>
        <v>0</v>
      </c>
      <c r="T214" s="27">
        <f>IF(K214="Válida",I214,"")</f>
        <v>0</v>
      </c>
      <c r="U214" s="27">
        <f>IF(K214="Válida",J214,"")</f>
        <v>0</v>
      </c>
    </row>
    <row r="215" spans="1:21">
      <c r="A215" s="25">
        <f>IF(MES!A215="","",MES!C215/48)</f>
        <v>0</v>
      </c>
      <c r="B215" s="26">
        <f>IF(A215="","",TEXT((N215*4+cfgDeslocamento)/48,"hh:mm")&amp;" a "&amp;TEXT(A215,"hh:mm"))</f>
        <v>0</v>
      </c>
      <c r="C215" s="27">
        <f>IF(A215="","",MES!B215)</f>
        <v>0</v>
      </c>
      <c r="D215" s="27">
        <f>IF(A215="","",IFERROR(AVERAGEIFS(Prensa!$B$2:$B$5001,Prensa!$E$2:$E$5001,N215,Prensa!$F$2:$F$5001,1,Prensa!$G$2:$G$5001,1),""))</f>
        <v>0</v>
      </c>
      <c r="E215" s="27">
        <f>IF(A215="","",IFERROR(AVERAGEIFS(Prensa!$B$2:$B$5001,Prensa!$E$2:$E$5001,N215,Prensa!$F$2:$F$5001,2,Prensa!$G$2:$G$5001,1),""))</f>
        <v>0</v>
      </c>
      <c r="F215" s="27">
        <f>IF(A215="","",IFERROR(AVERAGEIFS(Prensa!$B$2:$B$5001,Prensa!$E$2:$E$5001,N215,Prensa!$F$2:$F$5001,3,Prensa!$G$2:$G$5001,1),""))</f>
        <v>0</v>
      </c>
      <c r="G215" s="27">
        <f>IF(A215="","",IFERROR(AVERAGEIFS(Prensa!$B$2:$B$5001,Prensa!$E$2:$E$5001,N215,Prensa!$F$2:$F$5001,4,Prensa!$G$2:$G$5001,1),""))</f>
        <v>0</v>
      </c>
      <c r="H215" s="26">
        <f>IF(A215="","",COUNT(D215:G215))</f>
        <v>0</v>
      </c>
      <c r="I215" s="27">
        <f>IF(A215="","",IF(H215=0,"",AVERAGE(D215:G215)))</f>
        <v>0</v>
      </c>
      <c r="J215" s="27">
        <f>IF(OR(I215="",C215=""),"",I215-C215)</f>
        <v>0</v>
      </c>
      <c r="K215" s="26">
        <f>IF(A215="","",IF(MES!E215&lt;&gt;4,"Horário do MES fora do padrão",IF(H215&lt;cfgMinCortes,"Cortes insuficientes","Válida")))</f>
        <v>0</v>
      </c>
      <c r="L215" s="27">
        <f>IF(K215="Válida",ABS(J215),"")</f>
        <v>0</v>
      </c>
      <c r="M215" s="26">
        <f>IF(K215="Válida",IF(L215&lt;=cfgTolerancia,"Sim","Não"),"")</f>
        <v>0</v>
      </c>
      <c r="N215" s="26">
        <f>IF(A215="","",MES!D215)</f>
        <v>0</v>
      </c>
      <c r="O215" s="25">
        <f>IF(K215="Válida",A215,NA())</f>
        <v>0</v>
      </c>
      <c r="P215" s="27">
        <f>IF(K215="Válida",C215,NA())</f>
        <v>0</v>
      </c>
      <c r="Q215" s="27">
        <f>IF(K215="Válida",I215,NA())</f>
        <v>0</v>
      </c>
      <c r="R215" s="27">
        <f>IF(K215="Válida",J215,NA())</f>
        <v>0</v>
      </c>
      <c r="S215" s="27">
        <f>IF(K215="Válida",C215,"")</f>
        <v>0</v>
      </c>
      <c r="T215" s="27">
        <f>IF(K215="Válida",I215,"")</f>
        <v>0</v>
      </c>
      <c r="U215" s="27">
        <f>IF(K215="Válida",J215,"")</f>
        <v>0</v>
      </c>
    </row>
    <row r="216" spans="1:21">
      <c r="A216" s="25">
        <f>IF(MES!A216="","",MES!C216/48)</f>
        <v>0</v>
      </c>
      <c r="B216" s="26">
        <f>IF(A216="","",TEXT((N216*4+cfgDeslocamento)/48,"hh:mm")&amp;" a "&amp;TEXT(A216,"hh:mm"))</f>
        <v>0</v>
      </c>
      <c r="C216" s="27">
        <f>IF(A216="","",MES!B216)</f>
        <v>0</v>
      </c>
      <c r="D216" s="27">
        <f>IF(A216="","",IFERROR(AVERAGEIFS(Prensa!$B$2:$B$5001,Prensa!$E$2:$E$5001,N216,Prensa!$F$2:$F$5001,1,Prensa!$G$2:$G$5001,1),""))</f>
        <v>0</v>
      </c>
      <c r="E216" s="27">
        <f>IF(A216="","",IFERROR(AVERAGEIFS(Prensa!$B$2:$B$5001,Prensa!$E$2:$E$5001,N216,Prensa!$F$2:$F$5001,2,Prensa!$G$2:$G$5001,1),""))</f>
        <v>0</v>
      </c>
      <c r="F216" s="27">
        <f>IF(A216="","",IFERROR(AVERAGEIFS(Prensa!$B$2:$B$5001,Prensa!$E$2:$E$5001,N216,Prensa!$F$2:$F$5001,3,Prensa!$G$2:$G$5001,1),""))</f>
        <v>0</v>
      </c>
      <c r="G216" s="27">
        <f>IF(A216="","",IFERROR(AVERAGEIFS(Prensa!$B$2:$B$5001,Prensa!$E$2:$E$5001,N216,Prensa!$F$2:$F$5001,4,Prensa!$G$2:$G$5001,1),""))</f>
        <v>0</v>
      </c>
      <c r="H216" s="26">
        <f>IF(A216="","",COUNT(D216:G216))</f>
        <v>0</v>
      </c>
      <c r="I216" s="27">
        <f>IF(A216="","",IF(H216=0,"",AVERAGE(D216:G216)))</f>
        <v>0</v>
      </c>
      <c r="J216" s="27">
        <f>IF(OR(I216="",C216=""),"",I216-C216)</f>
        <v>0</v>
      </c>
      <c r="K216" s="26">
        <f>IF(A216="","",IF(MES!E216&lt;&gt;4,"Horário do MES fora do padrão",IF(H216&lt;cfgMinCortes,"Cortes insuficientes","Válida")))</f>
        <v>0</v>
      </c>
      <c r="L216" s="27">
        <f>IF(K216="Válida",ABS(J216),"")</f>
        <v>0</v>
      </c>
      <c r="M216" s="26">
        <f>IF(K216="Válida",IF(L216&lt;=cfgTolerancia,"Sim","Não"),"")</f>
        <v>0</v>
      </c>
      <c r="N216" s="26">
        <f>IF(A216="","",MES!D216)</f>
        <v>0</v>
      </c>
      <c r="O216" s="25">
        <f>IF(K216="Válida",A216,NA())</f>
        <v>0</v>
      </c>
      <c r="P216" s="27">
        <f>IF(K216="Válida",C216,NA())</f>
        <v>0</v>
      </c>
      <c r="Q216" s="27">
        <f>IF(K216="Válida",I216,NA())</f>
        <v>0</v>
      </c>
      <c r="R216" s="27">
        <f>IF(K216="Válida",J216,NA())</f>
        <v>0</v>
      </c>
      <c r="S216" s="27">
        <f>IF(K216="Válida",C216,"")</f>
        <v>0</v>
      </c>
      <c r="T216" s="27">
        <f>IF(K216="Válida",I216,"")</f>
        <v>0</v>
      </c>
      <c r="U216" s="27">
        <f>IF(K216="Válida",J216,"")</f>
        <v>0</v>
      </c>
    </row>
    <row r="217" spans="1:21">
      <c r="A217" s="25">
        <f>IF(MES!A217="","",MES!C217/48)</f>
        <v>0</v>
      </c>
      <c r="B217" s="26">
        <f>IF(A217="","",TEXT((N217*4+cfgDeslocamento)/48,"hh:mm")&amp;" a "&amp;TEXT(A217,"hh:mm"))</f>
        <v>0</v>
      </c>
      <c r="C217" s="27">
        <f>IF(A217="","",MES!B217)</f>
        <v>0</v>
      </c>
      <c r="D217" s="27">
        <f>IF(A217="","",IFERROR(AVERAGEIFS(Prensa!$B$2:$B$5001,Prensa!$E$2:$E$5001,N217,Prensa!$F$2:$F$5001,1,Prensa!$G$2:$G$5001,1),""))</f>
        <v>0</v>
      </c>
      <c r="E217" s="27">
        <f>IF(A217="","",IFERROR(AVERAGEIFS(Prensa!$B$2:$B$5001,Prensa!$E$2:$E$5001,N217,Prensa!$F$2:$F$5001,2,Prensa!$G$2:$G$5001,1),""))</f>
        <v>0</v>
      </c>
      <c r="F217" s="27">
        <f>IF(A217="","",IFERROR(AVERAGEIFS(Prensa!$B$2:$B$5001,Prensa!$E$2:$E$5001,N217,Prensa!$F$2:$F$5001,3,Prensa!$G$2:$G$5001,1),""))</f>
        <v>0</v>
      </c>
      <c r="G217" s="27">
        <f>IF(A217="","",IFERROR(AVERAGEIFS(Prensa!$B$2:$B$5001,Prensa!$E$2:$E$5001,N217,Prensa!$F$2:$F$5001,4,Prensa!$G$2:$G$5001,1),""))</f>
        <v>0</v>
      </c>
      <c r="H217" s="26">
        <f>IF(A217="","",COUNT(D217:G217))</f>
        <v>0</v>
      </c>
      <c r="I217" s="27">
        <f>IF(A217="","",IF(H217=0,"",AVERAGE(D217:G217)))</f>
        <v>0</v>
      </c>
      <c r="J217" s="27">
        <f>IF(OR(I217="",C217=""),"",I217-C217)</f>
        <v>0</v>
      </c>
      <c r="K217" s="26">
        <f>IF(A217="","",IF(MES!E217&lt;&gt;4,"Horário do MES fora do padrão",IF(H217&lt;cfgMinCortes,"Cortes insuficientes","Válida")))</f>
        <v>0</v>
      </c>
      <c r="L217" s="27">
        <f>IF(K217="Válida",ABS(J217),"")</f>
        <v>0</v>
      </c>
      <c r="M217" s="26">
        <f>IF(K217="Válida",IF(L217&lt;=cfgTolerancia,"Sim","Não"),"")</f>
        <v>0</v>
      </c>
      <c r="N217" s="26">
        <f>IF(A217="","",MES!D217)</f>
        <v>0</v>
      </c>
      <c r="O217" s="25">
        <f>IF(K217="Válida",A217,NA())</f>
        <v>0</v>
      </c>
      <c r="P217" s="27">
        <f>IF(K217="Válida",C217,NA())</f>
        <v>0</v>
      </c>
      <c r="Q217" s="27">
        <f>IF(K217="Válida",I217,NA())</f>
        <v>0</v>
      </c>
      <c r="R217" s="27">
        <f>IF(K217="Válida",J217,NA())</f>
        <v>0</v>
      </c>
      <c r="S217" s="27">
        <f>IF(K217="Válida",C217,"")</f>
        <v>0</v>
      </c>
      <c r="T217" s="27">
        <f>IF(K217="Válida",I217,"")</f>
        <v>0</v>
      </c>
      <c r="U217" s="27">
        <f>IF(K217="Válida",J217,"")</f>
        <v>0</v>
      </c>
    </row>
    <row r="218" spans="1:21">
      <c r="A218" s="25">
        <f>IF(MES!A218="","",MES!C218/48)</f>
        <v>0</v>
      </c>
      <c r="B218" s="26">
        <f>IF(A218="","",TEXT((N218*4+cfgDeslocamento)/48,"hh:mm")&amp;" a "&amp;TEXT(A218,"hh:mm"))</f>
        <v>0</v>
      </c>
      <c r="C218" s="27">
        <f>IF(A218="","",MES!B218)</f>
        <v>0</v>
      </c>
      <c r="D218" s="27">
        <f>IF(A218="","",IFERROR(AVERAGEIFS(Prensa!$B$2:$B$5001,Prensa!$E$2:$E$5001,N218,Prensa!$F$2:$F$5001,1,Prensa!$G$2:$G$5001,1),""))</f>
        <v>0</v>
      </c>
      <c r="E218" s="27">
        <f>IF(A218="","",IFERROR(AVERAGEIFS(Prensa!$B$2:$B$5001,Prensa!$E$2:$E$5001,N218,Prensa!$F$2:$F$5001,2,Prensa!$G$2:$G$5001,1),""))</f>
        <v>0</v>
      </c>
      <c r="F218" s="27">
        <f>IF(A218="","",IFERROR(AVERAGEIFS(Prensa!$B$2:$B$5001,Prensa!$E$2:$E$5001,N218,Prensa!$F$2:$F$5001,3,Prensa!$G$2:$G$5001,1),""))</f>
        <v>0</v>
      </c>
      <c r="G218" s="27">
        <f>IF(A218="","",IFERROR(AVERAGEIFS(Prensa!$B$2:$B$5001,Prensa!$E$2:$E$5001,N218,Prensa!$F$2:$F$5001,4,Prensa!$G$2:$G$5001,1),""))</f>
        <v>0</v>
      </c>
      <c r="H218" s="26">
        <f>IF(A218="","",COUNT(D218:G218))</f>
        <v>0</v>
      </c>
      <c r="I218" s="27">
        <f>IF(A218="","",IF(H218=0,"",AVERAGE(D218:G218)))</f>
        <v>0</v>
      </c>
      <c r="J218" s="27">
        <f>IF(OR(I218="",C218=""),"",I218-C218)</f>
        <v>0</v>
      </c>
      <c r="K218" s="26">
        <f>IF(A218="","",IF(MES!E218&lt;&gt;4,"Horário do MES fora do padrão",IF(H218&lt;cfgMinCortes,"Cortes insuficientes","Válida")))</f>
        <v>0</v>
      </c>
      <c r="L218" s="27">
        <f>IF(K218="Válida",ABS(J218),"")</f>
        <v>0</v>
      </c>
      <c r="M218" s="26">
        <f>IF(K218="Válida",IF(L218&lt;=cfgTolerancia,"Sim","Não"),"")</f>
        <v>0</v>
      </c>
      <c r="N218" s="26">
        <f>IF(A218="","",MES!D218)</f>
        <v>0</v>
      </c>
      <c r="O218" s="25">
        <f>IF(K218="Válida",A218,NA())</f>
        <v>0</v>
      </c>
      <c r="P218" s="27">
        <f>IF(K218="Válida",C218,NA())</f>
        <v>0</v>
      </c>
      <c r="Q218" s="27">
        <f>IF(K218="Válida",I218,NA())</f>
        <v>0</v>
      </c>
      <c r="R218" s="27">
        <f>IF(K218="Válida",J218,NA())</f>
        <v>0</v>
      </c>
      <c r="S218" s="27">
        <f>IF(K218="Válida",C218,"")</f>
        <v>0</v>
      </c>
      <c r="T218" s="27">
        <f>IF(K218="Válida",I218,"")</f>
        <v>0</v>
      </c>
      <c r="U218" s="27">
        <f>IF(K218="Válida",J218,"")</f>
        <v>0</v>
      </c>
    </row>
    <row r="219" spans="1:21">
      <c r="A219" s="25">
        <f>IF(MES!A219="","",MES!C219/48)</f>
        <v>0</v>
      </c>
      <c r="B219" s="26">
        <f>IF(A219="","",TEXT((N219*4+cfgDeslocamento)/48,"hh:mm")&amp;" a "&amp;TEXT(A219,"hh:mm"))</f>
        <v>0</v>
      </c>
      <c r="C219" s="27">
        <f>IF(A219="","",MES!B219)</f>
        <v>0</v>
      </c>
      <c r="D219" s="27">
        <f>IF(A219="","",IFERROR(AVERAGEIFS(Prensa!$B$2:$B$5001,Prensa!$E$2:$E$5001,N219,Prensa!$F$2:$F$5001,1,Prensa!$G$2:$G$5001,1),""))</f>
        <v>0</v>
      </c>
      <c r="E219" s="27">
        <f>IF(A219="","",IFERROR(AVERAGEIFS(Prensa!$B$2:$B$5001,Prensa!$E$2:$E$5001,N219,Prensa!$F$2:$F$5001,2,Prensa!$G$2:$G$5001,1),""))</f>
        <v>0</v>
      </c>
      <c r="F219" s="27">
        <f>IF(A219="","",IFERROR(AVERAGEIFS(Prensa!$B$2:$B$5001,Prensa!$E$2:$E$5001,N219,Prensa!$F$2:$F$5001,3,Prensa!$G$2:$G$5001,1),""))</f>
        <v>0</v>
      </c>
      <c r="G219" s="27">
        <f>IF(A219="","",IFERROR(AVERAGEIFS(Prensa!$B$2:$B$5001,Prensa!$E$2:$E$5001,N219,Prensa!$F$2:$F$5001,4,Prensa!$G$2:$G$5001,1),""))</f>
        <v>0</v>
      </c>
      <c r="H219" s="26">
        <f>IF(A219="","",COUNT(D219:G219))</f>
        <v>0</v>
      </c>
      <c r="I219" s="27">
        <f>IF(A219="","",IF(H219=0,"",AVERAGE(D219:G219)))</f>
        <v>0</v>
      </c>
      <c r="J219" s="27">
        <f>IF(OR(I219="",C219=""),"",I219-C219)</f>
        <v>0</v>
      </c>
      <c r="K219" s="26">
        <f>IF(A219="","",IF(MES!E219&lt;&gt;4,"Horário do MES fora do padrão",IF(H219&lt;cfgMinCortes,"Cortes insuficientes","Válida")))</f>
        <v>0</v>
      </c>
      <c r="L219" s="27">
        <f>IF(K219="Válida",ABS(J219),"")</f>
        <v>0</v>
      </c>
      <c r="M219" s="26">
        <f>IF(K219="Válida",IF(L219&lt;=cfgTolerancia,"Sim","Não"),"")</f>
        <v>0</v>
      </c>
      <c r="N219" s="26">
        <f>IF(A219="","",MES!D219)</f>
        <v>0</v>
      </c>
      <c r="O219" s="25">
        <f>IF(K219="Válida",A219,NA())</f>
        <v>0</v>
      </c>
      <c r="P219" s="27">
        <f>IF(K219="Válida",C219,NA())</f>
        <v>0</v>
      </c>
      <c r="Q219" s="27">
        <f>IF(K219="Válida",I219,NA())</f>
        <v>0</v>
      </c>
      <c r="R219" s="27">
        <f>IF(K219="Válida",J219,NA())</f>
        <v>0</v>
      </c>
      <c r="S219" s="27">
        <f>IF(K219="Válida",C219,"")</f>
        <v>0</v>
      </c>
      <c r="T219" s="27">
        <f>IF(K219="Válida",I219,"")</f>
        <v>0</v>
      </c>
      <c r="U219" s="27">
        <f>IF(K219="Válida",J219,"")</f>
        <v>0</v>
      </c>
    </row>
    <row r="220" spans="1:21">
      <c r="A220" s="25">
        <f>IF(MES!A220="","",MES!C220/48)</f>
        <v>0</v>
      </c>
      <c r="B220" s="26">
        <f>IF(A220="","",TEXT((N220*4+cfgDeslocamento)/48,"hh:mm")&amp;" a "&amp;TEXT(A220,"hh:mm"))</f>
        <v>0</v>
      </c>
      <c r="C220" s="27">
        <f>IF(A220="","",MES!B220)</f>
        <v>0</v>
      </c>
      <c r="D220" s="27">
        <f>IF(A220="","",IFERROR(AVERAGEIFS(Prensa!$B$2:$B$5001,Prensa!$E$2:$E$5001,N220,Prensa!$F$2:$F$5001,1,Prensa!$G$2:$G$5001,1),""))</f>
        <v>0</v>
      </c>
      <c r="E220" s="27">
        <f>IF(A220="","",IFERROR(AVERAGEIFS(Prensa!$B$2:$B$5001,Prensa!$E$2:$E$5001,N220,Prensa!$F$2:$F$5001,2,Prensa!$G$2:$G$5001,1),""))</f>
        <v>0</v>
      </c>
      <c r="F220" s="27">
        <f>IF(A220="","",IFERROR(AVERAGEIFS(Prensa!$B$2:$B$5001,Prensa!$E$2:$E$5001,N220,Prensa!$F$2:$F$5001,3,Prensa!$G$2:$G$5001,1),""))</f>
        <v>0</v>
      </c>
      <c r="G220" s="27">
        <f>IF(A220="","",IFERROR(AVERAGEIFS(Prensa!$B$2:$B$5001,Prensa!$E$2:$E$5001,N220,Prensa!$F$2:$F$5001,4,Prensa!$G$2:$G$5001,1),""))</f>
        <v>0</v>
      </c>
      <c r="H220" s="26">
        <f>IF(A220="","",COUNT(D220:G220))</f>
        <v>0</v>
      </c>
      <c r="I220" s="27">
        <f>IF(A220="","",IF(H220=0,"",AVERAGE(D220:G220)))</f>
        <v>0</v>
      </c>
      <c r="J220" s="27">
        <f>IF(OR(I220="",C220=""),"",I220-C220)</f>
        <v>0</v>
      </c>
      <c r="K220" s="26">
        <f>IF(A220="","",IF(MES!E220&lt;&gt;4,"Horário do MES fora do padrão",IF(H220&lt;cfgMinCortes,"Cortes insuficientes","Válida")))</f>
        <v>0</v>
      </c>
      <c r="L220" s="27">
        <f>IF(K220="Válida",ABS(J220),"")</f>
        <v>0</v>
      </c>
      <c r="M220" s="26">
        <f>IF(K220="Válida",IF(L220&lt;=cfgTolerancia,"Sim","Não"),"")</f>
        <v>0</v>
      </c>
      <c r="N220" s="26">
        <f>IF(A220="","",MES!D220)</f>
        <v>0</v>
      </c>
      <c r="O220" s="25">
        <f>IF(K220="Válida",A220,NA())</f>
        <v>0</v>
      </c>
      <c r="P220" s="27">
        <f>IF(K220="Válida",C220,NA())</f>
        <v>0</v>
      </c>
      <c r="Q220" s="27">
        <f>IF(K220="Válida",I220,NA())</f>
        <v>0</v>
      </c>
      <c r="R220" s="27">
        <f>IF(K220="Válida",J220,NA())</f>
        <v>0</v>
      </c>
      <c r="S220" s="27">
        <f>IF(K220="Válida",C220,"")</f>
        <v>0</v>
      </c>
      <c r="T220" s="27">
        <f>IF(K220="Válida",I220,"")</f>
        <v>0</v>
      </c>
      <c r="U220" s="27">
        <f>IF(K220="Válida",J220,"")</f>
        <v>0</v>
      </c>
    </row>
    <row r="221" spans="1:21">
      <c r="A221" s="25">
        <f>IF(MES!A221="","",MES!C221/48)</f>
        <v>0</v>
      </c>
      <c r="B221" s="26">
        <f>IF(A221="","",TEXT((N221*4+cfgDeslocamento)/48,"hh:mm")&amp;" a "&amp;TEXT(A221,"hh:mm"))</f>
        <v>0</v>
      </c>
      <c r="C221" s="27">
        <f>IF(A221="","",MES!B221)</f>
        <v>0</v>
      </c>
      <c r="D221" s="27">
        <f>IF(A221="","",IFERROR(AVERAGEIFS(Prensa!$B$2:$B$5001,Prensa!$E$2:$E$5001,N221,Prensa!$F$2:$F$5001,1,Prensa!$G$2:$G$5001,1),""))</f>
        <v>0</v>
      </c>
      <c r="E221" s="27">
        <f>IF(A221="","",IFERROR(AVERAGEIFS(Prensa!$B$2:$B$5001,Prensa!$E$2:$E$5001,N221,Prensa!$F$2:$F$5001,2,Prensa!$G$2:$G$5001,1),""))</f>
        <v>0</v>
      </c>
      <c r="F221" s="27">
        <f>IF(A221="","",IFERROR(AVERAGEIFS(Prensa!$B$2:$B$5001,Prensa!$E$2:$E$5001,N221,Prensa!$F$2:$F$5001,3,Prensa!$G$2:$G$5001,1),""))</f>
        <v>0</v>
      </c>
      <c r="G221" s="27">
        <f>IF(A221="","",IFERROR(AVERAGEIFS(Prensa!$B$2:$B$5001,Prensa!$E$2:$E$5001,N221,Prensa!$F$2:$F$5001,4,Prensa!$G$2:$G$5001,1),""))</f>
        <v>0</v>
      </c>
      <c r="H221" s="26">
        <f>IF(A221="","",COUNT(D221:G221))</f>
        <v>0</v>
      </c>
      <c r="I221" s="27">
        <f>IF(A221="","",IF(H221=0,"",AVERAGE(D221:G221)))</f>
        <v>0</v>
      </c>
      <c r="J221" s="27">
        <f>IF(OR(I221="",C221=""),"",I221-C221)</f>
        <v>0</v>
      </c>
      <c r="K221" s="26">
        <f>IF(A221="","",IF(MES!E221&lt;&gt;4,"Horário do MES fora do padrão",IF(H221&lt;cfgMinCortes,"Cortes insuficientes","Válida")))</f>
        <v>0</v>
      </c>
      <c r="L221" s="27">
        <f>IF(K221="Válida",ABS(J221),"")</f>
        <v>0</v>
      </c>
      <c r="M221" s="26">
        <f>IF(K221="Válida",IF(L221&lt;=cfgTolerancia,"Sim","Não"),"")</f>
        <v>0</v>
      </c>
      <c r="N221" s="26">
        <f>IF(A221="","",MES!D221)</f>
        <v>0</v>
      </c>
      <c r="O221" s="25">
        <f>IF(K221="Válida",A221,NA())</f>
        <v>0</v>
      </c>
      <c r="P221" s="27">
        <f>IF(K221="Válida",C221,NA())</f>
        <v>0</v>
      </c>
      <c r="Q221" s="27">
        <f>IF(K221="Válida",I221,NA())</f>
        <v>0</v>
      </c>
      <c r="R221" s="27">
        <f>IF(K221="Válida",J221,NA())</f>
        <v>0</v>
      </c>
      <c r="S221" s="27">
        <f>IF(K221="Válida",C221,"")</f>
        <v>0</v>
      </c>
      <c r="T221" s="27">
        <f>IF(K221="Válida",I221,"")</f>
        <v>0</v>
      </c>
      <c r="U221" s="27">
        <f>IF(K221="Válida",J221,"")</f>
        <v>0</v>
      </c>
    </row>
    <row r="222" spans="1:21">
      <c r="A222" s="25">
        <f>IF(MES!A222="","",MES!C222/48)</f>
        <v>0</v>
      </c>
      <c r="B222" s="26">
        <f>IF(A222="","",TEXT((N222*4+cfgDeslocamento)/48,"hh:mm")&amp;" a "&amp;TEXT(A222,"hh:mm"))</f>
        <v>0</v>
      </c>
      <c r="C222" s="27">
        <f>IF(A222="","",MES!B222)</f>
        <v>0</v>
      </c>
      <c r="D222" s="27">
        <f>IF(A222="","",IFERROR(AVERAGEIFS(Prensa!$B$2:$B$5001,Prensa!$E$2:$E$5001,N222,Prensa!$F$2:$F$5001,1,Prensa!$G$2:$G$5001,1),""))</f>
        <v>0</v>
      </c>
      <c r="E222" s="27">
        <f>IF(A222="","",IFERROR(AVERAGEIFS(Prensa!$B$2:$B$5001,Prensa!$E$2:$E$5001,N222,Prensa!$F$2:$F$5001,2,Prensa!$G$2:$G$5001,1),""))</f>
        <v>0</v>
      </c>
      <c r="F222" s="27">
        <f>IF(A222="","",IFERROR(AVERAGEIFS(Prensa!$B$2:$B$5001,Prensa!$E$2:$E$5001,N222,Prensa!$F$2:$F$5001,3,Prensa!$G$2:$G$5001,1),""))</f>
        <v>0</v>
      </c>
      <c r="G222" s="27">
        <f>IF(A222="","",IFERROR(AVERAGEIFS(Prensa!$B$2:$B$5001,Prensa!$E$2:$E$5001,N222,Prensa!$F$2:$F$5001,4,Prensa!$G$2:$G$5001,1),""))</f>
        <v>0</v>
      </c>
      <c r="H222" s="26">
        <f>IF(A222="","",COUNT(D222:G222))</f>
        <v>0</v>
      </c>
      <c r="I222" s="27">
        <f>IF(A222="","",IF(H222=0,"",AVERAGE(D222:G222)))</f>
        <v>0</v>
      </c>
      <c r="J222" s="27">
        <f>IF(OR(I222="",C222=""),"",I222-C222)</f>
        <v>0</v>
      </c>
      <c r="K222" s="26">
        <f>IF(A222="","",IF(MES!E222&lt;&gt;4,"Horário do MES fora do padrão",IF(H222&lt;cfgMinCortes,"Cortes insuficientes","Válida")))</f>
        <v>0</v>
      </c>
      <c r="L222" s="27">
        <f>IF(K222="Válida",ABS(J222),"")</f>
        <v>0</v>
      </c>
      <c r="M222" s="26">
        <f>IF(K222="Válida",IF(L222&lt;=cfgTolerancia,"Sim","Não"),"")</f>
        <v>0</v>
      </c>
      <c r="N222" s="26">
        <f>IF(A222="","",MES!D222)</f>
        <v>0</v>
      </c>
      <c r="O222" s="25">
        <f>IF(K222="Válida",A222,NA())</f>
        <v>0</v>
      </c>
      <c r="P222" s="27">
        <f>IF(K222="Válida",C222,NA())</f>
        <v>0</v>
      </c>
      <c r="Q222" s="27">
        <f>IF(K222="Válida",I222,NA())</f>
        <v>0</v>
      </c>
      <c r="R222" s="27">
        <f>IF(K222="Válida",J222,NA())</f>
        <v>0</v>
      </c>
      <c r="S222" s="27">
        <f>IF(K222="Válida",C222,"")</f>
        <v>0</v>
      </c>
      <c r="T222" s="27">
        <f>IF(K222="Válida",I222,"")</f>
        <v>0</v>
      </c>
      <c r="U222" s="27">
        <f>IF(K222="Válida",J222,"")</f>
        <v>0</v>
      </c>
    </row>
    <row r="223" spans="1:21">
      <c r="A223" s="25">
        <f>IF(MES!A223="","",MES!C223/48)</f>
        <v>0</v>
      </c>
      <c r="B223" s="26">
        <f>IF(A223="","",TEXT((N223*4+cfgDeslocamento)/48,"hh:mm")&amp;" a "&amp;TEXT(A223,"hh:mm"))</f>
        <v>0</v>
      </c>
      <c r="C223" s="27">
        <f>IF(A223="","",MES!B223)</f>
        <v>0</v>
      </c>
      <c r="D223" s="27">
        <f>IF(A223="","",IFERROR(AVERAGEIFS(Prensa!$B$2:$B$5001,Prensa!$E$2:$E$5001,N223,Prensa!$F$2:$F$5001,1,Prensa!$G$2:$G$5001,1),""))</f>
        <v>0</v>
      </c>
      <c r="E223" s="27">
        <f>IF(A223="","",IFERROR(AVERAGEIFS(Prensa!$B$2:$B$5001,Prensa!$E$2:$E$5001,N223,Prensa!$F$2:$F$5001,2,Prensa!$G$2:$G$5001,1),""))</f>
        <v>0</v>
      </c>
      <c r="F223" s="27">
        <f>IF(A223="","",IFERROR(AVERAGEIFS(Prensa!$B$2:$B$5001,Prensa!$E$2:$E$5001,N223,Prensa!$F$2:$F$5001,3,Prensa!$G$2:$G$5001,1),""))</f>
        <v>0</v>
      </c>
      <c r="G223" s="27">
        <f>IF(A223="","",IFERROR(AVERAGEIFS(Prensa!$B$2:$B$5001,Prensa!$E$2:$E$5001,N223,Prensa!$F$2:$F$5001,4,Prensa!$G$2:$G$5001,1),""))</f>
        <v>0</v>
      </c>
      <c r="H223" s="26">
        <f>IF(A223="","",COUNT(D223:G223))</f>
        <v>0</v>
      </c>
      <c r="I223" s="27">
        <f>IF(A223="","",IF(H223=0,"",AVERAGE(D223:G223)))</f>
        <v>0</v>
      </c>
      <c r="J223" s="27">
        <f>IF(OR(I223="",C223=""),"",I223-C223)</f>
        <v>0</v>
      </c>
      <c r="K223" s="26">
        <f>IF(A223="","",IF(MES!E223&lt;&gt;4,"Horário do MES fora do padrão",IF(H223&lt;cfgMinCortes,"Cortes insuficientes","Válida")))</f>
        <v>0</v>
      </c>
      <c r="L223" s="27">
        <f>IF(K223="Válida",ABS(J223),"")</f>
        <v>0</v>
      </c>
      <c r="M223" s="26">
        <f>IF(K223="Válida",IF(L223&lt;=cfgTolerancia,"Sim","Não"),"")</f>
        <v>0</v>
      </c>
      <c r="N223" s="26">
        <f>IF(A223="","",MES!D223)</f>
        <v>0</v>
      </c>
      <c r="O223" s="25">
        <f>IF(K223="Válida",A223,NA())</f>
        <v>0</v>
      </c>
      <c r="P223" s="27">
        <f>IF(K223="Válida",C223,NA())</f>
        <v>0</v>
      </c>
      <c r="Q223" s="27">
        <f>IF(K223="Válida",I223,NA())</f>
        <v>0</v>
      </c>
      <c r="R223" s="27">
        <f>IF(K223="Válida",J223,NA())</f>
        <v>0</v>
      </c>
      <c r="S223" s="27">
        <f>IF(K223="Válida",C223,"")</f>
        <v>0</v>
      </c>
      <c r="T223" s="27">
        <f>IF(K223="Válida",I223,"")</f>
        <v>0</v>
      </c>
      <c r="U223" s="27">
        <f>IF(K223="Válida",J223,"")</f>
        <v>0</v>
      </c>
    </row>
    <row r="224" spans="1:21">
      <c r="A224" s="25">
        <f>IF(MES!A224="","",MES!C224/48)</f>
        <v>0</v>
      </c>
      <c r="B224" s="26">
        <f>IF(A224="","",TEXT((N224*4+cfgDeslocamento)/48,"hh:mm")&amp;" a "&amp;TEXT(A224,"hh:mm"))</f>
        <v>0</v>
      </c>
      <c r="C224" s="27">
        <f>IF(A224="","",MES!B224)</f>
        <v>0</v>
      </c>
      <c r="D224" s="27">
        <f>IF(A224="","",IFERROR(AVERAGEIFS(Prensa!$B$2:$B$5001,Prensa!$E$2:$E$5001,N224,Prensa!$F$2:$F$5001,1,Prensa!$G$2:$G$5001,1),""))</f>
        <v>0</v>
      </c>
      <c r="E224" s="27">
        <f>IF(A224="","",IFERROR(AVERAGEIFS(Prensa!$B$2:$B$5001,Prensa!$E$2:$E$5001,N224,Prensa!$F$2:$F$5001,2,Prensa!$G$2:$G$5001,1),""))</f>
        <v>0</v>
      </c>
      <c r="F224" s="27">
        <f>IF(A224="","",IFERROR(AVERAGEIFS(Prensa!$B$2:$B$5001,Prensa!$E$2:$E$5001,N224,Prensa!$F$2:$F$5001,3,Prensa!$G$2:$G$5001,1),""))</f>
        <v>0</v>
      </c>
      <c r="G224" s="27">
        <f>IF(A224="","",IFERROR(AVERAGEIFS(Prensa!$B$2:$B$5001,Prensa!$E$2:$E$5001,N224,Prensa!$F$2:$F$5001,4,Prensa!$G$2:$G$5001,1),""))</f>
        <v>0</v>
      </c>
      <c r="H224" s="26">
        <f>IF(A224="","",COUNT(D224:G224))</f>
        <v>0</v>
      </c>
      <c r="I224" s="27">
        <f>IF(A224="","",IF(H224=0,"",AVERAGE(D224:G224)))</f>
        <v>0</v>
      </c>
      <c r="J224" s="27">
        <f>IF(OR(I224="",C224=""),"",I224-C224)</f>
        <v>0</v>
      </c>
      <c r="K224" s="26">
        <f>IF(A224="","",IF(MES!E224&lt;&gt;4,"Horário do MES fora do padrão",IF(H224&lt;cfgMinCortes,"Cortes insuficientes","Válida")))</f>
        <v>0</v>
      </c>
      <c r="L224" s="27">
        <f>IF(K224="Válida",ABS(J224),"")</f>
        <v>0</v>
      </c>
      <c r="M224" s="26">
        <f>IF(K224="Válida",IF(L224&lt;=cfgTolerancia,"Sim","Não"),"")</f>
        <v>0</v>
      </c>
      <c r="N224" s="26">
        <f>IF(A224="","",MES!D224)</f>
        <v>0</v>
      </c>
      <c r="O224" s="25">
        <f>IF(K224="Válida",A224,NA())</f>
        <v>0</v>
      </c>
      <c r="P224" s="27">
        <f>IF(K224="Válida",C224,NA())</f>
        <v>0</v>
      </c>
      <c r="Q224" s="27">
        <f>IF(K224="Válida",I224,NA())</f>
        <v>0</v>
      </c>
      <c r="R224" s="27">
        <f>IF(K224="Válida",J224,NA())</f>
        <v>0</v>
      </c>
      <c r="S224" s="27">
        <f>IF(K224="Válida",C224,"")</f>
        <v>0</v>
      </c>
      <c r="T224" s="27">
        <f>IF(K224="Válida",I224,"")</f>
        <v>0</v>
      </c>
      <c r="U224" s="27">
        <f>IF(K224="Válida",J224,"")</f>
        <v>0</v>
      </c>
    </row>
    <row r="225" spans="1:21">
      <c r="A225" s="25">
        <f>IF(MES!A225="","",MES!C225/48)</f>
        <v>0</v>
      </c>
      <c r="B225" s="26">
        <f>IF(A225="","",TEXT((N225*4+cfgDeslocamento)/48,"hh:mm")&amp;" a "&amp;TEXT(A225,"hh:mm"))</f>
        <v>0</v>
      </c>
      <c r="C225" s="27">
        <f>IF(A225="","",MES!B225)</f>
        <v>0</v>
      </c>
      <c r="D225" s="27">
        <f>IF(A225="","",IFERROR(AVERAGEIFS(Prensa!$B$2:$B$5001,Prensa!$E$2:$E$5001,N225,Prensa!$F$2:$F$5001,1,Prensa!$G$2:$G$5001,1),""))</f>
        <v>0</v>
      </c>
      <c r="E225" s="27">
        <f>IF(A225="","",IFERROR(AVERAGEIFS(Prensa!$B$2:$B$5001,Prensa!$E$2:$E$5001,N225,Prensa!$F$2:$F$5001,2,Prensa!$G$2:$G$5001,1),""))</f>
        <v>0</v>
      </c>
      <c r="F225" s="27">
        <f>IF(A225="","",IFERROR(AVERAGEIFS(Prensa!$B$2:$B$5001,Prensa!$E$2:$E$5001,N225,Prensa!$F$2:$F$5001,3,Prensa!$G$2:$G$5001,1),""))</f>
        <v>0</v>
      </c>
      <c r="G225" s="27">
        <f>IF(A225="","",IFERROR(AVERAGEIFS(Prensa!$B$2:$B$5001,Prensa!$E$2:$E$5001,N225,Prensa!$F$2:$F$5001,4,Prensa!$G$2:$G$5001,1),""))</f>
        <v>0</v>
      </c>
      <c r="H225" s="26">
        <f>IF(A225="","",COUNT(D225:G225))</f>
        <v>0</v>
      </c>
      <c r="I225" s="27">
        <f>IF(A225="","",IF(H225=0,"",AVERAGE(D225:G225)))</f>
        <v>0</v>
      </c>
      <c r="J225" s="27">
        <f>IF(OR(I225="",C225=""),"",I225-C225)</f>
        <v>0</v>
      </c>
      <c r="K225" s="26">
        <f>IF(A225="","",IF(MES!E225&lt;&gt;4,"Horário do MES fora do padrão",IF(H225&lt;cfgMinCortes,"Cortes insuficientes","Válida")))</f>
        <v>0</v>
      </c>
      <c r="L225" s="27">
        <f>IF(K225="Válida",ABS(J225),"")</f>
        <v>0</v>
      </c>
      <c r="M225" s="26">
        <f>IF(K225="Válida",IF(L225&lt;=cfgTolerancia,"Sim","Não"),"")</f>
        <v>0</v>
      </c>
      <c r="N225" s="26">
        <f>IF(A225="","",MES!D225)</f>
        <v>0</v>
      </c>
      <c r="O225" s="25">
        <f>IF(K225="Válida",A225,NA())</f>
        <v>0</v>
      </c>
      <c r="P225" s="27">
        <f>IF(K225="Válida",C225,NA())</f>
        <v>0</v>
      </c>
      <c r="Q225" s="27">
        <f>IF(K225="Válida",I225,NA())</f>
        <v>0</v>
      </c>
      <c r="R225" s="27">
        <f>IF(K225="Válida",J225,NA())</f>
        <v>0</v>
      </c>
      <c r="S225" s="27">
        <f>IF(K225="Válida",C225,"")</f>
        <v>0</v>
      </c>
      <c r="T225" s="27">
        <f>IF(K225="Válida",I225,"")</f>
        <v>0</v>
      </c>
      <c r="U225" s="27">
        <f>IF(K225="Válida",J225,"")</f>
        <v>0</v>
      </c>
    </row>
    <row r="226" spans="1:21">
      <c r="A226" s="25">
        <f>IF(MES!A226="","",MES!C226/48)</f>
        <v>0</v>
      </c>
      <c r="B226" s="26">
        <f>IF(A226="","",TEXT((N226*4+cfgDeslocamento)/48,"hh:mm")&amp;" a "&amp;TEXT(A226,"hh:mm"))</f>
        <v>0</v>
      </c>
      <c r="C226" s="27">
        <f>IF(A226="","",MES!B226)</f>
        <v>0</v>
      </c>
      <c r="D226" s="27">
        <f>IF(A226="","",IFERROR(AVERAGEIFS(Prensa!$B$2:$B$5001,Prensa!$E$2:$E$5001,N226,Prensa!$F$2:$F$5001,1,Prensa!$G$2:$G$5001,1),""))</f>
        <v>0</v>
      </c>
      <c r="E226" s="27">
        <f>IF(A226="","",IFERROR(AVERAGEIFS(Prensa!$B$2:$B$5001,Prensa!$E$2:$E$5001,N226,Prensa!$F$2:$F$5001,2,Prensa!$G$2:$G$5001,1),""))</f>
        <v>0</v>
      </c>
      <c r="F226" s="27">
        <f>IF(A226="","",IFERROR(AVERAGEIFS(Prensa!$B$2:$B$5001,Prensa!$E$2:$E$5001,N226,Prensa!$F$2:$F$5001,3,Prensa!$G$2:$G$5001,1),""))</f>
        <v>0</v>
      </c>
      <c r="G226" s="27">
        <f>IF(A226="","",IFERROR(AVERAGEIFS(Prensa!$B$2:$B$5001,Prensa!$E$2:$E$5001,N226,Prensa!$F$2:$F$5001,4,Prensa!$G$2:$G$5001,1),""))</f>
        <v>0</v>
      </c>
      <c r="H226" s="26">
        <f>IF(A226="","",COUNT(D226:G226))</f>
        <v>0</v>
      </c>
      <c r="I226" s="27">
        <f>IF(A226="","",IF(H226=0,"",AVERAGE(D226:G226)))</f>
        <v>0</v>
      </c>
      <c r="J226" s="27">
        <f>IF(OR(I226="",C226=""),"",I226-C226)</f>
        <v>0</v>
      </c>
      <c r="K226" s="26">
        <f>IF(A226="","",IF(MES!E226&lt;&gt;4,"Horário do MES fora do padrão",IF(H226&lt;cfgMinCortes,"Cortes insuficientes","Válida")))</f>
        <v>0</v>
      </c>
      <c r="L226" s="27">
        <f>IF(K226="Válida",ABS(J226),"")</f>
        <v>0</v>
      </c>
      <c r="M226" s="26">
        <f>IF(K226="Válida",IF(L226&lt;=cfgTolerancia,"Sim","Não"),"")</f>
        <v>0</v>
      </c>
      <c r="N226" s="26">
        <f>IF(A226="","",MES!D226)</f>
        <v>0</v>
      </c>
      <c r="O226" s="25">
        <f>IF(K226="Válida",A226,NA())</f>
        <v>0</v>
      </c>
      <c r="P226" s="27">
        <f>IF(K226="Válida",C226,NA())</f>
        <v>0</v>
      </c>
      <c r="Q226" s="27">
        <f>IF(K226="Válida",I226,NA())</f>
        <v>0</v>
      </c>
      <c r="R226" s="27">
        <f>IF(K226="Válida",J226,NA())</f>
        <v>0</v>
      </c>
      <c r="S226" s="27">
        <f>IF(K226="Válida",C226,"")</f>
        <v>0</v>
      </c>
      <c r="T226" s="27">
        <f>IF(K226="Válida",I226,"")</f>
        <v>0</v>
      </c>
      <c r="U226" s="27">
        <f>IF(K226="Válida",J226,"")</f>
        <v>0</v>
      </c>
    </row>
    <row r="227" spans="1:21">
      <c r="A227" s="25">
        <f>IF(MES!A227="","",MES!C227/48)</f>
        <v>0</v>
      </c>
      <c r="B227" s="26">
        <f>IF(A227="","",TEXT((N227*4+cfgDeslocamento)/48,"hh:mm")&amp;" a "&amp;TEXT(A227,"hh:mm"))</f>
        <v>0</v>
      </c>
      <c r="C227" s="27">
        <f>IF(A227="","",MES!B227)</f>
        <v>0</v>
      </c>
      <c r="D227" s="27">
        <f>IF(A227="","",IFERROR(AVERAGEIFS(Prensa!$B$2:$B$5001,Prensa!$E$2:$E$5001,N227,Prensa!$F$2:$F$5001,1,Prensa!$G$2:$G$5001,1),""))</f>
        <v>0</v>
      </c>
      <c r="E227" s="27">
        <f>IF(A227="","",IFERROR(AVERAGEIFS(Prensa!$B$2:$B$5001,Prensa!$E$2:$E$5001,N227,Prensa!$F$2:$F$5001,2,Prensa!$G$2:$G$5001,1),""))</f>
        <v>0</v>
      </c>
      <c r="F227" s="27">
        <f>IF(A227="","",IFERROR(AVERAGEIFS(Prensa!$B$2:$B$5001,Prensa!$E$2:$E$5001,N227,Prensa!$F$2:$F$5001,3,Prensa!$G$2:$G$5001,1),""))</f>
        <v>0</v>
      </c>
      <c r="G227" s="27">
        <f>IF(A227="","",IFERROR(AVERAGEIFS(Prensa!$B$2:$B$5001,Prensa!$E$2:$E$5001,N227,Prensa!$F$2:$F$5001,4,Prensa!$G$2:$G$5001,1),""))</f>
        <v>0</v>
      </c>
      <c r="H227" s="26">
        <f>IF(A227="","",COUNT(D227:G227))</f>
        <v>0</v>
      </c>
      <c r="I227" s="27">
        <f>IF(A227="","",IF(H227=0,"",AVERAGE(D227:G227)))</f>
        <v>0</v>
      </c>
      <c r="J227" s="27">
        <f>IF(OR(I227="",C227=""),"",I227-C227)</f>
        <v>0</v>
      </c>
      <c r="K227" s="26">
        <f>IF(A227="","",IF(MES!E227&lt;&gt;4,"Horário do MES fora do padrão",IF(H227&lt;cfgMinCortes,"Cortes insuficientes","Válida")))</f>
        <v>0</v>
      </c>
      <c r="L227" s="27">
        <f>IF(K227="Válida",ABS(J227),"")</f>
        <v>0</v>
      </c>
      <c r="M227" s="26">
        <f>IF(K227="Válida",IF(L227&lt;=cfgTolerancia,"Sim","Não"),"")</f>
        <v>0</v>
      </c>
      <c r="N227" s="26">
        <f>IF(A227="","",MES!D227)</f>
        <v>0</v>
      </c>
      <c r="O227" s="25">
        <f>IF(K227="Válida",A227,NA())</f>
        <v>0</v>
      </c>
      <c r="P227" s="27">
        <f>IF(K227="Válida",C227,NA())</f>
        <v>0</v>
      </c>
      <c r="Q227" s="27">
        <f>IF(K227="Válida",I227,NA())</f>
        <v>0</v>
      </c>
      <c r="R227" s="27">
        <f>IF(K227="Válida",J227,NA())</f>
        <v>0</v>
      </c>
      <c r="S227" s="27">
        <f>IF(K227="Válida",C227,"")</f>
        <v>0</v>
      </c>
      <c r="T227" s="27">
        <f>IF(K227="Válida",I227,"")</f>
        <v>0</v>
      </c>
      <c r="U227" s="27">
        <f>IF(K227="Válida",J227,"")</f>
        <v>0</v>
      </c>
    </row>
    <row r="228" spans="1:21">
      <c r="A228" s="25">
        <f>IF(MES!A228="","",MES!C228/48)</f>
        <v>0</v>
      </c>
      <c r="B228" s="26">
        <f>IF(A228="","",TEXT((N228*4+cfgDeslocamento)/48,"hh:mm")&amp;" a "&amp;TEXT(A228,"hh:mm"))</f>
        <v>0</v>
      </c>
      <c r="C228" s="27">
        <f>IF(A228="","",MES!B228)</f>
        <v>0</v>
      </c>
      <c r="D228" s="27">
        <f>IF(A228="","",IFERROR(AVERAGEIFS(Prensa!$B$2:$B$5001,Prensa!$E$2:$E$5001,N228,Prensa!$F$2:$F$5001,1,Prensa!$G$2:$G$5001,1),""))</f>
        <v>0</v>
      </c>
      <c r="E228" s="27">
        <f>IF(A228="","",IFERROR(AVERAGEIFS(Prensa!$B$2:$B$5001,Prensa!$E$2:$E$5001,N228,Prensa!$F$2:$F$5001,2,Prensa!$G$2:$G$5001,1),""))</f>
        <v>0</v>
      </c>
      <c r="F228" s="27">
        <f>IF(A228="","",IFERROR(AVERAGEIFS(Prensa!$B$2:$B$5001,Prensa!$E$2:$E$5001,N228,Prensa!$F$2:$F$5001,3,Prensa!$G$2:$G$5001,1),""))</f>
        <v>0</v>
      </c>
      <c r="G228" s="27">
        <f>IF(A228="","",IFERROR(AVERAGEIFS(Prensa!$B$2:$B$5001,Prensa!$E$2:$E$5001,N228,Prensa!$F$2:$F$5001,4,Prensa!$G$2:$G$5001,1),""))</f>
        <v>0</v>
      </c>
      <c r="H228" s="26">
        <f>IF(A228="","",COUNT(D228:G228))</f>
        <v>0</v>
      </c>
      <c r="I228" s="27">
        <f>IF(A228="","",IF(H228=0,"",AVERAGE(D228:G228)))</f>
        <v>0</v>
      </c>
      <c r="J228" s="27">
        <f>IF(OR(I228="",C228=""),"",I228-C228)</f>
        <v>0</v>
      </c>
      <c r="K228" s="26">
        <f>IF(A228="","",IF(MES!E228&lt;&gt;4,"Horário do MES fora do padrão",IF(H228&lt;cfgMinCortes,"Cortes insuficientes","Válida")))</f>
        <v>0</v>
      </c>
      <c r="L228" s="27">
        <f>IF(K228="Válida",ABS(J228),"")</f>
        <v>0</v>
      </c>
      <c r="M228" s="26">
        <f>IF(K228="Válida",IF(L228&lt;=cfgTolerancia,"Sim","Não"),"")</f>
        <v>0</v>
      </c>
      <c r="N228" s="26">
        <f>IF(A228="","",MES!D228)</f>
        <v>0</v>
      </c>
      <c r="O228" s="25">
        <f>IF(K228="Válida",A228,NA())</f>
        <v>0</v>
      </c>
      <c r="P228" s="27">
        <f>IF(K228="Válida",C228,NA())</f>
        <v>0</v>
      </c>
      <c r="Q228" s="27">
        <f>IF(K228="Válida",I228,NA())</f>
        <v>0</v>
      </c>
      <c r="R228" s="27">
        <f>IF(K228="Válida",J228,NA())</f>
        <v>0</v>
      </c>
      <c r="S228" s="27">
        <f>IF(K228="Válida",C228,"")</f>
        <v>0</v>
      </c>
      <c r="T228" s="27">
        <f>IF(K228="Válida",I228,"")</f>
        <v>0</v>
      </c>
      <c r="U228" s="27">
        <f>IF(K228="Válida",J228,"")</f>
        <v>0</v>
      </c>
    </row>
    <row r="229" spans="1:21">
      <c r="A229" s="25">
        <f>IF(MES!A229="","",MES!C229/48)</f>
        <v>0</v>
      </c>
      <c r="B229" s="26">
        <f>IF(A229="","",TEXT((N229*4+cfgDeslocamento)/48,"hh:mm")&amp;" a "&amp;TEXT(A229,"hh:mm"))</f>
        <v>0</v>
      </c>
      <c r="C229" s="27">
        <f>IF(A229="","",MES!B229)</f>
        <v>0</v>
      </c>
      <c r="D229" s="27">
        <f>IF(A229="","",IFERROR(AVERAGEIFS(Prensa!$B$2:$B$5001,Prensa!$E$2:$E$5001,N229,Prensa!$F$2:$F$5001,1,Prensa!$G$2:$G$5001,1),""))</f>
        <v>0</v>
      </c>
      <c r="E229" s="27">
        <f>IF(A229="","",IFERROR(AVERAGEIFS(Prensa!$B$2:$B$5001,Prensa!$E$2:$E$5001,N229,Prensa!$F$2:$F$5001,2,Prensa!$G$2:$G$5001,1),""))</f>
        <v>0</v>
      </c>
      <c r="F229" s="27">
        <f>IF(A229="","",IFERROR(AVERAGEIFS(Prensa!$B$2:$B$5001,Prensa!$E$2:$E$5001,N229,Prensa!$F$2:$F$5001,3,Prensa!$G$2:$G$5001,1),""))</f>
        <v>0</v>
      </c>
      <c r="G229" s="27">
        <f>IF(A229="","",IFERROR(AVERAGEIFS(Prensa!$B$2:$B$5001,Prensa!$E$2:$E$5001,N229,Prensa!$F$2:$F$5001,4,Prensa!$G$2:$G$5001,1),""))</f>
        <v>0</v>
      </c>
      <c r="H229" s="26">
        <f>IF(A229="","",COUNT(D229:G229))</f>
        <v>0</v>
      </c>
      <c r="I229" s="27">
        <f>IF(A229="","",IF(H229=0,"",AVERAGE(D229:G229)))</f>
        <v>0</v>
      </c>
      <c r="J229" s="27">
        <f>IF(OR(I229="",C229=""),"",I229-C229)</f>
        <v>0</v>
      </c>
      <c r="K229" s="26">
        <f>IF(A229="","",IF(MES!E229&lt;&gt;4,"Horário do MES fora do padrão",IF(H229&lt;cfgMinCortes,"Cortes insuficientes","Válida")))</f>
        <v>0</v>
      </c>
      <c r="L229" s="27">
        <f>IF(K229="Válida",ABS(J229),"")</f>
        <v>0</v>
      </c>
      <c r="M229" s="26">
        <f>IF(K229="Válida",IF(L229&lt;=cfgTolerancia,"Sim","Não"),"")</f>
        <v>0</v>
      </c>
      <c r="N229" s="26">
        <f>IF(A229="","",MES!D229)</f>
        <v>0</v>
      </c>
      <c r="O229" s="25">
        <f>IF(K229="Válida",A229,NA())</f>
        <v>0</v>
      </c>
      <c r="P229" s="27">
        <f>IF(K229="Válida",C229,NA())</f>
        <v>0</v>
      </c>
      <c r="Q229" s="27">
        <f>IF(K229="Válida",I229,NA())</f>
        <v>0</v>
      </c>
      <c r="R229" s="27">
        <f>IF(K229="Válida",J229,NA())</f>
        <v>0</v>
      </c>
      <c r="S229" s="27">
        <f>IF(K229="Válida",C229,"")</f>
        <v>0</v>
      </c>
      <c r="T229" s="27">
        <f>IF(K229="Válida",I229,"")</f>
        <v>0</v>
      </c>
      <c r="U229" s="27">
        <f>IF(K229="Válida",J229,"")</f>
        <v>0</v>
      </c>
    </row>
    <row r="230" spans="1:21">
      <c r="A230" s="25">
        <f>IF(MES!A230="","",MES!C230/48)</f>
        <v>0</v>
      </c>
      <c r="B230" s="26">
        <f>IF(A230="","",TEXT((N230*4+cfgDeslocamento)/48,"hh:mm")&amp;" a "&amp;TEXT(A230,"hh:mm"))</f>
        <v>0</v>
      </c>
      <c r="C230" s="27">
        <f>IF(A230="","",MES!B230)</f>
        <v>0</v>
      </c>
      <c r="D230" s="27">
        <f>IF(A230="","",IFERROR(AVERAGEIFS(Prensa!$B$2:$B$5001,Prensa!$E$2:$E$5001,N230,Prensa!$F$2:$F$5001,1,Prensa!$G$2:$G$5001,1),""))</f>
        <v>0</v>
      </c>
      <c r="E230" s="27">
        <f>IF(A230="","",IFERROR(AVERAGEIFS(Prensa!$B$2:$B$5001,Prensa!$E$2:$E$5001,N230,Prensa!$F$2:$F$5001,2,Prensa!$G$2:$G$5001,1),""))</f>
        <v>0</v>
      </c>
      <c r="F230" s="27">
        <f>IF(A230="","",IFERROR(AVERAGEIFS(Prensa!$B$2:$B$5001,Prensa!$E$2:$E$5001,N230,Prensa!$F$2:$F$5001,3,Prensa!$G$2:$G$5001,1),""))</f>
        <v>0</v>
      </c>
      <c r="G230" s="27">
        <f>IF(A230="","",IFERROR(AVERAGEIFS(Prensa!$B$2:$B$5001,Prensa!$E$2:$E$5001,N230,Prensa!$F$2:$F$5001,4,Prensa!$G$2:$G$5001,1),""))</f>
        <v>0</v>
      </c>
      <c r="H230" s="26">
        <f>IF(A230="","",COUNT(D230:G230))</f>
        <v>0</v>
      </c>
      <c r="I230" s="27">
        <f>IF(A230="","",IF(H230=0,"",AVERAGE(D230:G230)))</f>
        <v>0</v>
      </c>
      <c r="J230" s="27">
        <f>IF(OR(I230="",C230=""),"",I230-C230)</f>
        <v>0</v>
      </c>
      <c r="K230" s="26">
        <f>IF(A230="","",IF(MES!E230&lt;&gt;4,"Horário do MES fora do padrão",IF(H230&lt;cfgMinCortes,"Cortes insuficientes","Válida")))</f>
        <v>0</v>
      </c>
      <c r="L230" s="27">
        <f>IF(K230="Válida",ABS(J230),"")</f>
        <v>0</v>
      </c>
      <c r="M230" s="26">
        <f>IF(K230="Válida",IF(L230&lt;=cfgTolerancia,"Sim","Não"),"")</f>
        <v>0</v>
      </c>
      <c r="N230" s="26">
        <f>IF(A230="","",MES!D230)</f>
        <v>0</v>
      </c>
      <c r="O230" s="25">
        <f>IF(K230="Válida",A230,NA())</f>
        <v>0</v>
      </c>
      <c r="P230" s="27">
        <f>IF(K230="Válida",C230,NA())</f>
        <v>0</v>
      </c>
      <c r="Q230" s="27">
        <f>IF(K230="Válida",I230,NA())</f>
        <v>0</v>
      </c>
      <c r="R230" s="27">
        <f>IF(K230="Válida",J230,NA())</f>
        <v>0</v>
      </c>
      <c r="S230" s="27">
        <f>IF(K230="Válida",C230,"")</f>
        <v>0</v>
      </c>
      <c r="T230" s="27">
        <f>IF(K230="Válida",I230,"")</f>
        <v>0</v>
      </c>
      <c r="U230" s="27">
        <f>IF(K230="Válida",J230,"")</f>
        <v>0</v>
      </c>
    </row>
    <row r="231" spans="1:21">
      <c r="A231" s="25">
        <f>IF(MES!A231="","",MES!C231/48)</f>
        <v>0</v>
      </c>
      <c r="B231" s="26">
        <f>IF(A231="","",TEXT((N231*4+cfgDeslocamento)/48,"hh:mm")&amp;" a "&amp;TEXT(A231,"hh:mm"))</f>
        <v>0</v>
      </c>
      <c r="C231" s="27">
        <f>IF(A231="","",MES!B231)</f>
        <v>0</v>
      </c>
      <c r="D231" s="27">
        <f>IF(A231="","",IFERROR(AVERAGEIFS(Prensa!$B$2:$B$5001,Prensa!$E$2:$E$5001,N231,Prensa!$F$2:$F$5001,1,Prensa!$G$2:$G$5001,1),""))</f>
        <v>0</v>
      </c>
      <c r="E231" s="27">
        <f>IF(A231="","",IFERROR(AVERAGEIFS(Prensa!$B$2:$B$5001,Prensa!$E$2:$E$5001,N231,Prensa!$F$2:$F$5001,2,Prensa!$G$2:$G$5001,1),""))</f>
        <v>0</v>
      </c>
      <c r="F231" s="27">
        <f>IF(A231="","",IFERROR(AVERAGEIFS(Prensa!$B$2:$B$5001,Prensa!$E$2:$E$5001,N231,Prensa!$F$2:$F$5001,3,Prensa!$G$2:$G$5001,1),""))</f>
        <v>0</v>
      </c>
      <c r="G231" s="27">
        <f>IF(A231="","",IFERROR(AVERAGEIFS(Prensa!$B$2:$B$5001,Prensa!$E$2:$E$5001,N231,Prensa!$F$2:$F$5001,4,Prensa!$G$2:$G$5001,1),""))</f>
        <v>0</v>
      </c>
      <c r="H231" s="26">
        <f>IF(A231="","",COUNT(D231:G231))</f>
        <v>0</v>
      </c>
      <c r="I231" s="27">
        <f>IF(A231="","",IF(H231=0,"",AVERAGE(D231:G231)))</f>
        <v>0</v>
      </c>
      <c r="J231" s="27">
        <f>IF(OR(I231="",C231=""),"",I231-C231)</f>
        <v>0</v>
      </c>
      <c r="K231" s="26">
        <f>IF(A231="","",IF(MES!E231&lt;&gt;4,"Horário do MES fora do padrão",IF(H231&lt;cfgMinCortes,"Cortes insuficientes","Válida")))</f>
        <v>0</v>
      </c>
      <c r="L231" s="27">
        <f>IF(K231="Válida",ABS(J231),"")</f>
        <v>0</v>
      </c>
      <c r="M231" s="26">
        <f>IF(K231="Válida",IF(L231&lt;=cfgTolerancia,"Sim","Não"),"")</f>
        <v>0</v>
      </c>
      <c r="N231" s="26">
        <f>IF(A231="","",MES!D231)</f>
        <v>0</v>
      </c>
      <c r="O231" s="25">
        <f>IF(K231="Válida",A231,NA())</f>
        <v>0</v>
      </c>
      <c r="P231" s="27">
        <f>IF(K231="Válida",C231,NA())</f>
        <v>0</v>
      </c>
      <c r="Q231" s="27">
        <f>IF(K231="Válida",I231,NA())</f>
        <v>0</v>
      </c>
      <c r="R231" s="27">
        <f>IF(K231="Válida",J231,NA())</f>
        <v>0</v>
      </c>
      <c r="S231" s="27">
        <f>IF(K231="Válida",C231,"")</f>
        <v>0</v>
      </c>
      <c r="T231" s="27">
        <f>IF(K231="Válida",I231,"")</f>
        <v>0</v>
      </c>
      <c r="U231" s="27">
        <f>IF(K231="Válida",J231,"")</f>
        <v>0</v>
      </c>
    </row>
    <row r="232" spans="1:21">
      <c r="A232" s="25">
        <f>IF(MES!A232="","",MES!C232/48)</f>
        <v>0</v>
      </c>
      <c r="B232" s="26">
        <f>IF(A232="","",TEXT((N232*4+cfgDeslocamento)/48,"hh:mm")&amp;" a "&amp;TEXT(A232,"hh:mm"))</f>
        <v>0</v>
      </c>
      <c r="C232" s="27">
        <f>IF(A232="","",MES!B232)</f>
        <v>0</v>
      </c>
      <c r="D232" s="27">
        <f>IF(A232="","",IFERROR(AVERAGEIFS(Prensa!$B$2:$B$5001,Prensa!$E$2:$E$5001,N232,Prensa!$F$2:$F$5001,1,Prensa!$G$2:$G$5001,1),""))</f>
        <v>0</v>
      </c>
      <c r="E232" s="27">
        <f>IF(A232="","",IFERROR(AVERAGEIFS(Prensa!$B$2:$B$5001,Prensa!$E$2:$E$5001,N232,Prensa!$F$2:$F$5001,2,Prensa!$G$2:$G$5001,1),""))</f>
        <v>0</v>
      </c>
      <c r="F232" s="27">
        <f>IF(A232="","",IFERROR(AVERAGEIFS(Prensa!$B$2:$B$5001,Prensa!$E$2:$E$5001,N232,Prensa!$F$2:$F$5001,3,Prensa!$G$2:$G$5001,1),""))</f>
        <v>0</v>
      </c>
      <c r="G232" s="27">
        <f>IF(A232="","",IFERROR(AVERAGEIFS(Prensa!$B$2:$B$5001,Prensa!$E$2:$E$5001,N232,Prensa!$F$2:$F$5001,4,Prensa!$G$2:$G$5001,1),""))</f>
        <v>0</v>
      </c>
      <c r="H232" s="26">
        <f>IF(A232="","",COUNT(D232:G232))</f>
        <v>0</v>
      </c>
      <c r="I232" s="27">
        <f>IF(A232="","",IF(H232=0,"",AVERAGE(D232:G232)))</f>
        <v>0</v>
      </c>
      <c r="J232" s="27">
        <f>IF(OR(I232="",C232=""),"",I232-C232)</f>
        <v>0</v>
      </c>
      <c r="K232" s="26">
        <f>IF(A232="","",IF(MES!E232&lt;&gt;4,"Horário do MES fora do padrão",IF(H232&lt;cfgMinCortes,"Cortes insuficientes","Válida")))</f>
        <v>0</v>
      </c>
      <c r="L232" s="27">
        <f>IF(K232="Válida",ABS(J232),"")</f>
        <v>0</v>
      </c>
      <c r="M232" s="26">
        <f>IF(K232="Válida",IF(L232&lt;=cfgTolerancia,"Sim","Não"),"")</f>
        <v>0</v>
      </c>
      <c r="N232" s="26">
        <f>IF(A232="","",MES!D232)</f>
        <v>0</v>
      </c>
      <c r="O232" s="25">
        <f>IF(K232="Válida",A232,NA())</f>
        <v>0</v>
      </c>
      <c r="P232" s="27">
        <f>IF(K232="Válida",C232,NA())</f>
        <v>0</v>
      </c>
      <c r="Q232" s="27">
        <f>IF(K232="Válida",I232,NA())</f>
        <v>0</v>
      </c>
      <c r="R232" s="27">
        <f>IF(K232="Válida",J232,NA())</f>
        <v>0</v>
      </c>
      <c r="S232" s="27">
        <f>IF(K232="Válida",C232,"")</f>
        <v>0</v>
      </c>
      <c r="T232" s="27">
        <f>IF(K232="Válida",I232,"")</f>
        <v>0</v>
      </c>
      <c r="U232" s="27">
        <f>IF(K232="Válida",J232,"")</f>
        <v>0</v>
      </c>
    </row>
    <row r="233" spans="1:21">
      <c r="A233" s="25">
        <f>IF(MES!A233="","",MES!C233/48)</f>
        <v>0</v>
      </c>
      <c r="B233" s="26">
        <f>IF(A233="","",TEXT((N233*4+cfgDeslocamento)/48,"hh:mm")&amp;" a "&amp;TEXT(A233,"hh:mm"))</f>
        <v>0</v>
      </c>
      <c r="C233" s="27">
        <f>IF(A233="","",MES!B233)</f>
        <v>0</v>
      </c>
      <c r="D233" s="27">
        <f>IF(A233="","",IFERROR(AVERAGEIFS(Prensa!$B$2:$B$5001,Prensa!$E$2:$E$5001,N233,Prensa!$F$2:$F$5001,1,Prensa!$G$2:$G$5001,1),""))</f>
        <v>0</v>
      </c>
      <c r="E233" s="27">
        <f>IF(A233="","",IFERROR(AVERAGEIFS(Prensa!$B$2:$B$5001,Prensa!$E$2:$E$5001,N233,Prensa!$F$2:$F$5001,2,Prensa!$G$2:$G$5001,1),""))</f>
        <v>0</v>
      </c>
      <c r="F233" s="27">
        <f>IF(A233="","",IFERROR(AVERAGEIFS(Prensa!$B$2:$B$5001,Prensa!$E$2:$E$5001,N233,Prensa!$F$2:$F$5001,3,Prensa!$G$2:$G$5001,1),""))</f>
        <v>0</v>
      </c>
      <c r="G233" s="27">
        <f>IF(A233="","",IFERROR(AVERAGEIFS(Prensa!$B$2:$B$5001,Prensa!$E$2:$E$5001,N233,Prensa!$F$2:$F$5001,4,Prensa!$G$2:$G$5001,1),""))</f>
        <v>0</v>
      </c>
      <c r="H233" s="26">
        <f>IF(A233="","",COUNT(D233:G233))</f>
        <v>0</v>
      </c>
      <c r="I233" s="27">
        <f>IF(A233="","",IF(H233=0,"",AVERAGE(D233:G233)))</f>
        <v>0</v>
      </c>
      <c r="J233" s="27">
        <f>IF(OR(I233="",C233=""),"",I233-C233)</f>
        <v>0</v>
      </c>
      <c r="K233" s="26">
        <f>IF(A233="","",IF(MES!E233&lt;&gt;4,"Horário do MES fora do padrão",IF(H233&lt;cfgMinCortes,"Cortes insuficientes","Válida")))</f>
        <v>0</v>
      </c>
      <c r="L233" s="27">
        <f>IF(K233="Válida",ABS(J233),"")</f>
        <v>0</v>
      </c>
      <c r="M233" s="26">
        <f>IF(K233="Válida",IF(L233&lt;=cfgTolerancia,"Sim","Não"),"")</f>
        <v>0</v>
      </c>
      <c r="N233" s="26">
        <f>IF(A233="","",MES!D233)</f>
        <v>0</v>
      </c>
      <c r="O233" s="25">
        <f>IF(K233="Válida",A233,NA())</f>
        <v>0</v>
      </c>
      <c r="P233" s="27">
        <f>IF(K233="Válida",C233,NA())</f>
        <v>0</v>
      </c>
      <c r="Q233" s="27">
        <f>IF(K233="Válida",I233,NA())</f>
        <v>0</v>
      </c>
      <c r="R233" s="27">
        <f>IF(K233="Válida",J233,NA())</f>
        <v>0</v>
      </c>
      <c r="S233" s="27">
        <f>IF(K233="Válida",C233,"")</f>
        <v>0</v>
      </c>
      <c r="T233" s="27">
        <f>IF(K233="Válida",I233,"")</f>
        <v>0</v>
      </c>
      <c r="U233" s="27">
        <f>IF(K233="Válida",J233,"")</f>
        <v>0</v>
      </c>
    </row>
    <row r="234" spans="1:21">
      <c r="A234" s="25">
        <f>IF(MES!A234="","",MES!C234/48)</f>
        <v>0</v>
      </c>
      <c r="B234" s="26">
        <f>IF(A234="","",TEXT((N234*4+cfgDeslocamento)/48,"hh:mm")&amp;" a "&amp;TEXT(A234,"hh:mm"))</f>
        <v>0</v>
      </c>
      <c r="C234" s="27">
        <f>IF(A234="","",MES!B234)</f>
        <v>0</v>
      </c>
      <c r="D234" s="27">
        <f>IF(A234="","",IFERROR(AVERAGEIFS(Prensa!$B$2:$B$5001,Prensa!$E$2:$E$5001,N234,Prensa!$F$2:$F$5001,1,Prensa!$G$2:$G$5001,1),""))</f>
        <v>0</v>
      </c>
      <c r="E234" s="27">
        <f>IF(A234="","",IFERROR(AVERAGEIFS(Prensa!$B$2:$B$5001,Prensa!$E$2:$E$5001,N234,Prensa!$F$2:$F$5001,2,Prensa!$G$2:$G$5001,1),""))</f>
        <v>0</v>
      </c>
      <c r="F234" s="27">
        <f>IF(A234="","",IFERROR(AVERAGEIFS(Prensa!$B$2:$B$5001,Prensa!$E$2:$E$5001,N234,Prensa!$F$2:$F$5001,3,Prensa!$G$2:$G$5001,1),""))</f>
        <v>0</v>
      </c>
      <c r="G234" s="27">
        <f>IF(A234="","",IFERROR(AVERAGEIFS(Prensa!$B$2:$B$5001,Prensa!$E$2:$E$5001,N234,Prensa!$F$2:$F$5001,4,Prensa!$G$2:$G$5001,1),""))</f>
        <v>0</v>
      </c>
      <c r="H234" s="26">
        <f>IF(A234="","",COUNT(D234:G234))</f>
        <v>0</v>
      </c>
      <c r="I234" s="27">
        <f>IF(A234="","",IF(H234=0,"",AVERAGE(D234:G234)))</f>
        <v>0</v>
      </c>
      <c r="J234" s="27">
        <f>IF(OR(I234="",C234=""),"",I234-C234)</f>
        <v>0</v>
      </c>
      <c r="K234" s="26">
        <f>IF(A234="","",IF(MES!E234&lt;&gt;4,"Horário do MES fora do padrão",IF(H234&lt;cfgMinCortes,"Cortes insuficientes","Válida")))</f>
        <v>0</v>
      </c>
      <c r="L234" s="27">
        <f>IF(K234="Válida",ABS(J234),"")</f>
        <v>0</v>
      </c>
      <c r="M234" s="26">
        <f>IF(K234="Válida",IF(L234&lt;=cfgTolerancia,"Sim","Não"),"")</f>
        <v>0</v>
      </c>
      <c r="N234" s="26">
        <f>IF(A234="","",MES!D234)</f>
        <v>0</v>
      </c>
      <c r="O234" s="25">
        <f>IF(K234="Válida",A234,NA())</f>
        <v>0</v>
      </c>
      <c r="P234" s="27">
        <f>IF(K234="Válida",C234,NA())</f>
        <v>0</v>
      </c>
      <c r="Q234" s="27">
        <f>IF(K234="Válida",I234,NA())</f>
        <v>0</v>
      </c>
      <c r="R234" s="27">
        <f>IF(K234="Válida",J234,NA())</f>
        <v>0</v>
      </c>
      <c r="S234" s="27">
        <f>IF(K234="Válida",C234,"")</f>
        <v>0</v>
      </c>
      <c r="T234" s="27">
        <f>IF(K234="Válida",I234,"")</f>
        <v>0</v>
      </c>
      <c r="U234" s="27">
        <f>IF(K234="Válida",J234,"")</f>
        <v>0</v>
      </c>
    </row>
    <row r="235" spans="1:21">
      <c r="A235" s="25">
        <f>IF(MES!A235="","",MES!C235/48)</f>
        <v>0</v>
      </c>
      <c r="B235" s="26">
        <f>IF(A235="","",TEXT((N235*4+cfgDeslocamento)/48,"hh:mm")&amp;" a "&amp;TEXT(A235,"hh:mm"))</f>
        <v>0</v>
      </c>
      <c r="C235" s="27">
        <f>IF(A235="","",MES!B235)</f>
        <v>0</v>
      </c>
      <c r="D235" s="27">
        <f>IF(A235="","",IFERROR(AVERAGEIFS(Prensa!$B$2:$B$5001,Prensa!$E$2:$E$5001,N235,Prensa!$F$2:$F$5001,1,Prensa!$G$2:$G$5001,1),""))</f>
        <v>0</v>
      </c>
      <c r="E235" s="27">
        <f>IF(A235="","",IFERROR(AVERAGEIFS(Prensa!$B$2:$B$5001,Prensa!$E$2:$E$5001,N235,Prensa!$F$2:$F$5001,2,Prensa!$G$2:$G$5001,1),""))</f>
        <v>0</v>
      </c>
      <c r="F235" s="27">
        <f>IF(A235="","",IFERROR(AVERAGEIFS(Prensa!$B$2:$B$5001,Prensa!$E$2:$E$5001,N235,Prensa!$F$2:$F$5001,3,Prensa!$G$2:$G$5001,1),""))</f>
        <v>0</v>
      </c>
      <c r="G235" s="27">
        <f>IF(A235="","",IFERROR(AVERAGEIFS(Prensa!$B$2:$B$5001,Prensa!$E$2:$E$5001,N235,Prensa!$F$2:$F$5001,4,Prensa!$G$2:$G$5001,1),""))</f>
        <v>0</v>
      </c>
      <c r="H235" s="26">
        <f>IF(A235="","",COUNT(D235:G235))</f>
        <v>0</v>
      </c>
      <c r="I235" s="27">
        <f>IF(A235="","",IF(H235=0,"",AVERAGE(D235:G235)))</f>
        <v>0</v>
      </c>
      <c r="J235" s="27">
        <f>IF(OR(I235="",C235=""),"",I235-C235)</f>
        <v>0</v>
      </c>
      <c r="K235" s="26">
        <f>IF(A235="","",IF(MES!E235&lt;&gt;4,"Horário do MES fora do padrão",IF(H235&lt;cfgMinCortes,"Cortes insuficientes","Válida")))</f>
        <v>0</v>
      </c>
      <c r="L235" s="27">
        <f>IF(K235="Válida",ABS(J235),"")</f>
        <v>0</v>
      </c>
      <c r="M235" s="26">
        <f>IF(K235="Válida",IF(L235&lt;=cfgTolerancia,"Sim","Não"),"")</f>
        <v>0</v>
      </c>
      <c r="N235" s="26">
        <f>IF(A235="","",MES!D235)</f>
        <v>0</v>
      </c>
      <c r="O235" s="25">
        <f>IF(K235="Válida",A235,NA())</f>
        <v>0</v>
      </c>
      <c r="P235" s="27">
        <f>IF(K235="Válida",C235,NA())</f>
        <v>0</v>
      </c>
      <c r="Q235" s="27">
        <f>IF(K235="Válida",I235,NA())</f>
        <v>0</v>
      </c>
      <c r="R235" s="27">
        <f>IF(K235="Válida",J235,NA())</f>
        <v>0</v>
      </c>
      <c r="S235" s="27">
        <f>IF(K235="Válida",C235,"")</f>
        <v>0</v>
      </c>
      <c r="T235" s="27">
        <f>IF(K235="Válida",I235,"")</f>
        <v>0</v>
      </c>
      <c r="U235" s="27">
        <f>IF(K235="Válida",J235,"")</f>
        <v>0</v>
      </c>
    </row>
    <row r="236" spans="1:21">
      <c r="A236" s="25">
        <f>IF(MES!A236="","",MES!C236/48)</f>
        <v>0</v>
      </c>
      <c r="B236" s="26">
        <f>IF(A236="","",TEXT((N236*4+cfgDeslocamento)/48,"hh:mm")&amp;" a "&amp;TEXT(A236,"hh:mm"))</f>
        <v>0</v>
      </c>
      <c r="C236" s="27">
        <f>IF(A236="","",MES!B236)</f>
        <v>0</v>
      </c>
      <c r="D236" s="27">
        <f>IF(A236="","",IFERROR(AVERAGEIFS(Prensa!$B$2:$B$5001,Prensa!$E$2:$E$5001,N236,Prensa!$F$2:$F$5001,1,Prensa!$G$2:$G$5001,1),""))</f>
        <v>0</v>
      </c>
      <c r="E236" s="27">
        <f>IF(A236="","",IFERROR(AVERAGEIFS(Prensa!$B$2:$B$5001,Prensa!$E$2:$E$5001,N236,Prensa!$F$2:$F$5001,2,Prensa!$G$2:$G$5001,1),""))</f>
        <v>0</v>
      </c>
      <c r="F236" s="27">
        <f>IF(A236="","",IFERROR(AVERAGEIFS(Prensa!$B$2:$B$5001,Prensa!$E$2:$E$5001,N236,Prensa!$F$2:$F$5001,3,Prensa!$G$2:$G$5001,1),""))</f>
        <v>0</v>
      </c>
      <c r="G236" s="27">
        <f>IF(A236="","",IFERROR(AVERAGEIFS(Prensa!$B$2:$B$5001,Prensa!$E$2:$E$5001,N236,Prensa!$F$2:$F$5001,4,Prensa!$G$2:$G$5001,1),""))</f>
        <v>0</v>
      </c>
      <c r="H236" s="26">
        <f>IF(A236="","",COUNT(D236:G236))</f>
        <v>0</v>
      </c>
      <c r="I236" s="27">
        <f>IF(A236="","",IF(H236=0,"",AVERAGE(D236:G236)))</f>
        <v>0</v>
      </c>
      <c r="J236" s="27">
        <f>IF(OR(I236="",C236=""),"",I236-C236)</f>
        <v>0</v>
      </c>
      <c r="K236" s="26">
        <f>IF(A236="","",IF(MES!E236&lt;&gt;4,"Horário do MES fora do padrão",IF(H236&lt;cfgMinCortes,"Cortes insuficientes","Válida")))</f>
        <v>0</v>
      </c>
      <c r="L236" s="27">
        <f>IF(K236="Válida",ABS(J236),"")</f>
        <v>0</v>
      </c>
      <c r="M236" s="26">
        <f>IF(K236="Válida",IF(L236&lt;=cfgTolerancia,"Sim","Não"),"")</f>
        <v>0</v>
      </c>
      <c r="N236" s="26">
        <f>IF(A236="","",MES!D236)</f>
        <v>0</v>
      </c>
      <c r="O236" s="25">
        <f>IF(K236="Válida",A236,NA())</f>
        <v>0</v>
      </c>
      <c r="P236" s="27">
        <f>IF(K236="Válida",C236,NA())</f>
        <v>0</v>
      </c>
      <c r="Q236" s="27">
        <f>IF(K236="Válida",I236,NA())</f>
        <v>0</v>
      </c>
      <c r="R236" s="27">
        <f>IF(K236="Válida",J236,NA())</f>
        <v>0</v>
      </c>
      <c r="S236" s="27">
        <f>IF(K236="Válida",C236,"")</f>
        <v>0</v>
      </c>
      <c r="T236" s="27">
        <f>IF(K236="Válida",I236,"")</f>
        <v>0</v>
      </c>
      <c r="U236" s="27">
        <f>IF(K236="Válida",J236,"")</f>
        <v>0</v>
      </c>
    </row>
    <row r="237" spans="1:21">
      <c r="A237" s="25">
        <f>IF(MES!A237="","",MES!C237/48)</f>
        <v>0</v>
      </c>
      <c r="B237" s="26">
        <f>IF(A237="","",TEXT((N237*4+cfgDeslocamento)/48,"hh:mm")&amp;" a "&amp;TEXT(A237,"hh:mm"))</f>
        <v>0</v>
      </c>
      <c r="C237" s="27">
        <f>IF(A237="","",MES!B237)</f>
        <v>0</v>
      </c>
      <c r="D237" s="27">
        <f>IF(A237="","",IFERROR(AVERAGEIFS(Prensa!$B$2:$B$5001,Prensa!$E$2:$E$5001,N237,Prensa!$F$2:$F$5001,1,Prensa!$G$2:$G$5001,1),""))</f>
        <v>0</v>
      </c>
      <c r="E237" s="27">
        <f>IF(A237="","",IFERROR(AVERAGEIFS(Prensa!$B$2:$B$5001,Prensa!$E$2:$E$5001,N237,Prensa!$F$2:$F$5001,2,Prensa!$G$2:$G$5001,1),""))</f>
        <v>0</v>
      </c>
      <c r="F237" s="27">
        <f>IF(A237="","",IFERROR(AVERAGEIFS(Prensa!$B$2:$B$5001,Prensa!$E$2:$E$5001,N237,Prensa!$F$2:$F$5001,3,Prensa!$G$2:$G$5001,1),""))</f>
        <v>0</v>
      </c>
      <c r="G237" s="27">
        <f>IF(A237="","",IFERROR(AVERAGEIFS(Prensa!$B$2:$B$5001,Prensa!$E$2:$E$5001,N237,Prensa!$F$2:$F$5001,4,Prensa!$G$2:$G$5001,1),""))</f>
        <v>0</v>
      </c>
      <c r="H237" s="26">
        <f>IF(A237="","",COUNT(D237:G237))</f>
        <v>0</v>
      </c>
      <c r="I237" s="27">
        <f>IF(A237="","",IF(H237=0,"",AVERAGE(D237:G237)))</f>
        <v>0</v>
      </c>
      <c r="J237" s="27">
        <f>IF(OR(I237="",C237=""),"",I237-C237)</f>
        <v>0</v>
      </c>
      <c r="K237" s="26">
        <f>IF(A237="","",IF(MES!E237&lt;&gt;4,"Horário do MES fora do padrão",IF(H237&lt;cfgMinCortes,"Cortes insuficientes","Válida")))</f>
        <v>0</v>
      </c>
      <c r="L237" s="27">
        <f>IF(K237="Válida",ABS(J237),"")</f>
        <v>0</v>
      </c>
      <c r="M237" s="26">
        <f>IF(K237="Válida",IF(L237&lt;=cfgTolerancia,"Sim","Não"),"")</f>
        <v>0</v>
      </c>
      <c r="N237" s="26">
        <f>IF(A237="","",MES!D237)</f>
        <v>0</v>
      </c>
      <c r="O237" s="25">
        <f>IF(K237="Válida",A237,NA())</f>
        <v>0</v>
      </c>
      <c r="P237" s="27">
        <f>IF(K237="Válida",C237,NA())</f>
        <v>0</v>
      </c>
      <c r="Q237" s="27">
        <f>IF(K237="Válida",I237,NA())</f>
        <v>0</v>
      </c>
      <c r="R237" s="27">
        <f>IF(K237="Válida",J237,NA())</f>
        <v>0</v>
      </c>
      <c r="S237" s="27">
        <f>IF(K237="Válida",C237,"")</f>
        <v>0</v>
      </c>
      <c r="T237" s="27">
        <f>IF(K237="Válida",I237,"")</f>
        <v>0</v>
      </c>
      <c r="U237" s="27">
        <f>IF(K237="Válida",J237,"")</f>
        <v>0</v>
      </c>
    </row>
    <row r="238" spans="1:21">
      <c r="A238" s="25">
        <f>IF(MES!A238="","",MES!C238/48)</f>
        <v>0</v>
      </c>
      <c r="B238" s="26">
        <f>IF(A238="","",TEXT((N238*4+cfgDeslocamento)/48,"hh:mm")&amp;" a "&amp;TEXT(A238,"hh:mm"))</f>
        <v>0</v>
      </c>
      <c r="C238" s="27">
        <f>IF(A238="","",MES!B238)</f>
        <v>0</v>
      </c>
      <c r="D238" s="27">
        <f>IF(A238="","",IFERROR(AVERAGEIFS(Prensa!$B$2:$B$5001,Prensa!$E$2:$E$5001,N238,Prensa!$F$2:$F$5001,1,Prensa!$G$2:$G$5001,1),""))</f>
        <v>0</v>
      </c>
      <c r="E238" s="27">
        <f>IF(A238="","",IFERROR(AVERAGEIFS(Prensa!$B$2:$B$5001,Prensa!$E$2:$E$5001,N238,Prensa!$F$2:$F$5001,2,Prensa!$G$2:$G$5001,1),""))</f>
        <v>0</v>
      </c>
      <c r="F238" s="27">
        <f>IF(A238="","",IFERROR(AVERAGEIFS(Prensa!$B$2:$B$5001,Prensa!$E$2:$E$5001,N238,Prensa!$F$2:$F$5001,3,Prensa!$G$2:$G$5001,1),""))</f>
        <v>0</v>
      </c>
      <c r="G238" s="27">
        <f>IF(A238="","",IFERROR(AVERAGEIFS(Prensa!$B$2:$B$5001,Prensa!$E$2:$E$5001,N238,Prensa!$F$2:$F$5001,4,Prensa!$G$2:$G$5001,1),""))</f>
        <v>0</v>
      </c>
      <c r="H238" s="26">
        <f>IF(A238="","",COUNT(D238:G238))</f>
        <v>0</v>
      </c>
      <c r="I238" s="27">
        <f>IF(A238="","",IF(H238=0,"",AVERAGE(D238:G238)))</f>
        <v>0</v>
      </c>
      <c r="J238" s="27">
        <f>IF(OR(I238="",C238=""),"",I238-C238)</f>
        <v>0</v>
      </c>
      <c r="K238" s="26">
        <f>IF(A238="","",IF(MES!E238&lt;&gt;4,"Horário do MES fora do padrão",IF(H238&lt;cfgMinCortes,"Cortes insuficientes","Válida")))</f>
        <v>0</v>
      </c>
      <c r="L238" s="27">
        <f>IF(K238="Válida",ABS(J238),"")</f>
        <v>0</v>
      </c>
      <c r="M238" s="26">
        <f>IF(K238="Válida",IF(L238&lt;=cfgTolerancia,"Sim","Não"),"")</f>
        <v>0</v>
      </c>
      <c r="N238" s="26">
        <f>IF(A238="","",MES!D238)</f>
        <v>0</v>
      </c>
      <c r="O238" s="25">
        <f>IF(K238="Válida",A238,NA())</f>
        <v>0</v>
      </c>
      <c r="P238" s="27">
        <f>IF(K238="Válida",C238,NA())</f>
        <v>0</v>
      </c>
      <c r="Q238" s="27">
        <f>IF(K238="Válida",I238,NA())</f>
        <v>0</v>
      </c>
      <c r="R238" s="27">
        <f>IF(K238="Válida",J238,NA())</f>
        <v>0</v>
      </c>
      <c r="S238" s="27">
        <f>IF(K238="Válida",C238,"")</f>
        <v>0</v>
      </c>
      <c r="T238" s="27">
        <f>IF(K238="Válida",I238,"")</f>
        <v>0</v>
      </c>
      <c r="U238" s="27">
        <f>IF(K238="Válida",J238,"")</f>
        <v>0</v>
      </c>
    </row>
    <row r="239" spans="1:21">
      <c r="A239" s="25">
        <f>IF(MES!A239="","",MES!C239/48)</f>
        <v>0</v>
      </c>
      <c r="B239" s="26">
        <f>IF(A239="","",TEXT((N239*4+cfgDeslocamento)/48,"hh:mm")&amp;" a "&amp;TEXT(A239,"hh:mm"))</f>
        <v>0</v>
      </c>
      <c r="C239" s="27">
        <f>IF(A239="","",MES!B239)</f>
        <v>0</v>
      </c>
      <c r="D239" s="27">
        <f>IF(A239="","",IFERROR(AVERAGEIFS(Prensa!$B$2:$B$5001,Prensa!$E$2:$E$5001,N239,Prensa!$F$2:$F$5001,1,Prensa!$G$2:$G$5001,1),""))</f>
        <v>0</v>
      </c>
      <c r="E239" s="27">
        <f>IF(A239="","",IFERROR(AVERAGEIFS(Prensa!$B$2:$B$5001,Prensa!$E$2:$E$5001,N239,Prensa!$F$2:$F$5001,2,Prensa!$G$2:$G$5001,1),""))</f>
        <v>0</v>
      </c>
      <c r="F239" s="27">
        <f>IF(A239="","",IFERROR(AVERAGEIFS(Prensa!$B$2:$B$5001,Prensa!$E$2:$E$5001,N239,Prensa!$F$2:$F$5001,3,Prensa!$G$2:$G$5001,1),""))</f>
        <v>0</v>
      </c>
      <c r="G239" s="27">
        <f>IF(A239="","",IFERROR(AVERAGEIFS(Prensa!$B$2:$B$5001,Prensa!$E$2:$E$5001,N239,Prensa!$F$2:$F$5001,4,Prensa!$G$2:$G$5001,1),""))</f>
        <v>0</v>
      </c>
      <c r="H239" s="26">
        <f>IF(A239="","",COUNT(D239:G239))</f>
        <v>0</v>
      </c>
      <c r="I239" s="27">
        <f>IF(A239="","",IF(H239=0,"",AVERAGE(D239:G239)))</f>
        <v>0</v>
      </c>
      <c r="J239" s="27">
        <f>IF(OR(I239="",C239=""),"",I239-C239)</f>
        <v>0</v>
      </c>
      <c r="K239" s="26">
        <f>IF(A239="","",IF(MES!E239&lt;&gt;4,"Horário do MES fora do padrão",IF(H239&lt;cfgMinCortes,"Cortes insuficientes","Válida")))</f>
        <v>0</v>
      </c>
      <c r="L239" s="27">
        <f>IF(K239="Válida",ABS(J239),"")</f>
        <v>0</v>
      </c>
      <c r="M239" s="26">
        <f>IF(K239="Válida",IF(L239&lt;=cfgTolerancia,"Sim","Não"),"")</f>
        <v>0</v>
      </c>
      <c r="N239" s="26">
        <f>IF(A239="","",MES!D239)</f>
        <v>0</v>
      </c>
      <c r="O239" s="25">
        <f>IF(K239="Válida",A239,NA())</f>
        <v>0</v>
      </c>
      <c r="P239" s="27">
        <f>IF(K239="Válida",C239,NA())</f>
        <v>0</v>
      </c>
      <c r="Q239" s="27">
        <f>IF(K239="Válida",I239,NA())</f>
        <v>0</v>
      </c>
      <c r="R239" s="27">
        <f>IF(K239="Válida",J239,NA())</f>
        <v>0</v>
      </c>
      <c r="S239" s="27">
        <f>IF(K239="Válida",C239,"")</f>
        <v>0</v>
      </c>
      <c r="T239" s="27">
        <f>IF(K239="Válida",I239,"")</f>
        <v>0</v>
      </c>
      <c r="U239" s="27">
        <f>IF(K239="Válida",J239,"")</f>
        <v>0</v>
      </c>
    </row>
    <row r="240" spans="1:21">
      <c r="A240" s="25">
        <f>IF(MES!A240="","",MES!C240/48)</f>
        <v>0</v>
      </c>
      <c r="B240" s="26">
        <f>IF(A240="","",TEXT((N240*4+cfgDeslocamento)/48,"hh:mm")&amp;" a "&amp;TEXT(A240,"hh:mm"))</f>
        <v>0</v>
      </c>
      <c r="C240" s="27">
        <f>IF(A240="","",MES!B240)</f>
        <v>0</v>
      </c>
      <c r="D240" s="27">
        <f>IF(A240="","",IFERROR(AVERAGEIFS(Prensa!$B$2:$B$5001,Prensa!$E$2:$E$5001,N240,Prensa!$F$2:$F$5001,1,Prensa!$G$2:$G$5001,1),""))</f>
        <v>0</v>
      </c>
      <c r="E240" s="27">
        <f>IF(A240="","",IFERROR(AVERAGEIFS(Prensa!$B$2:$B$5001,Prensa!$E$2:$E$5001,N240,Prensa!$F$2:$F$5001,2,Prensa!$G$2:$G$5001,1),""))</f>
        <v>0</v>
      </c>
      <c r="F240" s="27">
        <f>IF(A240="","",IFERROR(AVERAGEIFS(Prensa!$B$2:$B$5001,Prensa!$E$2:$E$5001,N240,Prensa!$F$2:$F$5001,3,Prensa!$G$2:$G$5001,1),""))</f>
        <v>0</v>
      </c>
      <c r="G240" s="27">
        <f>IF(A240="","",IFERROR(AVERAGEIFS(Prensa!$B$2:$B$5001,Prensa!$E$2:$E$5001,N240,Prensa!$F$2:$F$5001,4,Prensa!$G$2:$G$5001,1),""))</f>
        <v>0</v>
      </c>
      <c r="H240" s="26">
        <f>IF(A240="","",COUNT(D240:G240))</f>
        <v>0</v>
      </c>
      <c r="I240" s="27">
        <f>IF(A240="","",IF(H240=0,"",AVERAGE(D240:G240)))</f>
        <v>0</v>
      </c>
      <c r="J240" s="27">
        <f>IF(OR(I240="",C240=""),"",I240-C240)</f>
        <v>0</v>
      </c>
      <c r="K240" s="26">
        <f>IF(A240="","",IF(MES!E240&lt;&gt;4,"Horário do MES fora do padrão",IF(H240&lt;cfgMinCortes,"Cortes insuficientes","Válida")))</f>
        <v>0</v>
      </c>
      <c r="L240" s="27">
        <f>IF(K240="Válida",ABS(J240),"")</f>
        <v>0</v>
      </c>
      <c r="M240" s="26">
        <f>IF(K240="Válida",IF(L240&lt;=cfgTolerancia,"Sim","Não"),"")</f>
        <v>0</v>
      </c>
      <c r="N240" s="26">
        <f>IF(A240="","",MES!D240)</f>
        <v>0</v>
      </c>
      <c r="O240" s="25">
        <f>IF(K240="Válida",A240,NA())</f>
        <v>0</v>
      </c>
      <c r="P240" s="27">
        <f>IF(K240="Válida",C240,NA())</f>
        <v>0</v>
      </c>
      <c r="Q240" s="27">
        <f>IF(K240="Válida",I240,NA())</f>
        <v>0</v>
      </c>
      <c r="R240" s="27">
        <f>IF(K240="Válida",J240,NA())</f>
        <v>0</v>
      </c>
      <c r="S240" s="27">
        <f>IF(K240="Válida",C240,"")</f>
        <v>0</v>
      </c>
      <c r="T240" s="27">
        <f>IF(K240="Válida",I240,"")</f>
        <v>0</v>
      </c>
      <c r="U240" s="27">
        <f>IF(K240="Válida",J240,"")</f>
        <v>0</v>
      </c>
    </row>
    <row r="241" spans="1:21">
      <c r="A241" s="25">
        <f>IF(MES!A241="","",MES!C241/48)</f>
        <v>0</v>
      </c>
      <c r="B241" s="26">
        <f>IF(A241="","",TEXT((N241*4+cfgDeslocamento)/48,"hh:mm")&amp;" a "&amp;TEXT(A241,"hh:mm"))</f>
        <v>0</v>
      </c>
      <c r="C241" s="27">
        <f>IF(A241="","",MES!B241)</f>
        <v>0</v>
      </c>
      <c r="D241" s="27">
        <f>IF(A241="","",IFERROR(AVERAGEIFS(Prensa!$B$2:$B$5001,Prensa!$E$2:$E$5001,N241,Prensa!$F$2:$F$5001,1,Prensa!$G$2:$G$5001,1),""))</f>
        <v>0</v>
      </c>
      <c r="E241" s="27">
        <f>IF(A241="","",IFERROR(AVERAGEIFS(Prensa!$B$2:$B$5001,Prensa!$E$2:$E$5001,N241,Prensa!$F$2:$F$5001,2,Prensa!$G$2:$G$5001,1),""))</f>
        <v>0</v>
      </c>
      <c r="F241" s="27">
        <f>IF(A241="","",IFERROR(AVERAGEIFS(Prensa!$B$2:$B$5001,Prensa!$E$2:$E$5001,N241,Prensa!$F$2:$F$5001,3,Prensa!$G$2:$G$5001,1),""))</f>
        <v>0</v>
      </c>
      <c r="G241" s="27">
        <f>IF(A241="","",IFERROR(AVERAGEIFS(Prensa!$B$2:$B$5001,Prensa!$E$2:$E$5001,N241,Prensa!$F$2:$F$5001,4,Prensa!$G$2:$G$5001,1),""))</f>
        <v>0</v>
      </c>
      <c r="H241" s="26">
        <f>IF(A241="","",COUNT(D241:G241))</f>
        <v>0</v>
      </c>
      <c r="I241" s="27">
        <f>IF(A241="","",IF(H241=0,"",AVERAGE(D241:G241)))</f>
        <v>0</v>
      </c>
      <c r="J241" s="27">
        <f>IF(OR(I241="",C241=""),"",I241-C241)</f>
        <v>0</v>
      </c>
      <c r="K241" s="26">
        <f>IF(A241="","",IF(MES!E241&lt;&gt;4,"Horário do MES fora do padrão",IF(H241&lt;cfgMinCortes,"Cortes insuficientes","Válida")))</f>
        <v>0</v>
      </c>
      <c r="L241" s="27">
        <f>IF(K241="Válida",ABS(J241),"")</f>
        <v>0</v>
      </c>
      <c r="M241" s="26">
        <f>IF(K241="Válida",IF(L241&lt;=cfgTolerancia,"Sim","Não"),"")</f>
        <v>0</v>
      </c>
      <c r="N241" s="26">
        <f>IF(A241="","",MES!D241)</f>
        <v>0</v>
      </c>
      <c r="O241" s="25">
        <f>IF(K241="Válida",A241,NA())</f>
        <v>0</v>
      </c>
      <c r="P241" s="27">
        <f>IF(K241="Válida",C241,NA())</f>
        <v>0</v>
      </c>
      <c r="Q241" s="27">
        <f>IF(K241="Válida",I241,NA())</f>
        <v>0</v>
      </c>
      <c r="R241" s="27">
        <f>IF(K241="Válida",J241,NA())</f>
        <v>0</v>
      </c>
      <c r="S241" s="27">
        <f>IF(K241="Válida",C241,"")</f>
        <v>0</v>
      </c>
      <c r="T241" s="27">
        <f>IF(K241="Válida",I241,"")</f>
        <v>0</v>
      </c>
      <c r="U241" s="27">
        <f>IF(K241="Válida",J241,"")</f>
        <v>0</v>
      </c>
    </row>
    <row r="242" spans="1:21">
      <c r="A242" s="25">
        <f>IF(MES!A242="","",MES!C242/48)</f>
        <v>0</v>
      </c>
      <c r="B242" s="26">
        <f>IF(A242="","",TEXT((N242*4+cfgDeslocamento)/48,"hh:mm")&amp;" a "&amp;TEXT(A242,"hh:mm"))</f>
        <v>0</v>
      </c>
      <c r="C242" s="27">
        <f>IF(A242="","",MES!B242)</f>
        <v>0</v>
      </c>
      <c r="D242" s="27">
        <f>IF(A242="","",IFERROR(AVERAGEIFS(Prensa!$B$2:$B$5001,Prensa!$E$2:$E$5001,N242,Prensa!$F$2:$F$5001,1,Prensa!$G$2:$G$5001,1),""))</f>
        <v>0</v>
      </c>
      <c r="E242" s="27">
        <f>IF(A242="","",IFERROR(AVERAGEIFS(Prensa!$B$2:$B$5001,Prensa!$E$2:$E$5001,N242,Prensa!$F$2:$F$5001,2,Prensa!$G$2:$G$5001,1),""))</f>
        <v>0</v>
      </c>
      <c r="F242" s="27">
        <f>IF(A242="","",IFERROR(AVERAGEIFS(Prensa!$B$2:$B$5001,Prensa!$E$2:$E$5001,N242,Prensa!$F$2:$F$5001,3,Prensa!$G$2:$G$5001,1),""))</f>
        <v>0</v>
      </c>
      <c r="G242" s="27">
        <f>IF(A242="","",IFERROR(AVERAGEIFS(Prensa!$B$2:$B$5001,Prensa!$E$2:$E$5001,N242,Prensa!$F$2:$F$5001,4,Prensa!$G$2:$G$5001,1),""))</f>
        <v>0</v>
      </c>
      <c r="H242" s="26">
        <f>IF(A242="","",COUNT(D242:G242))</f>
        <v>0</v>
      </c>
      <c r="I242" s="27">
        <f>IF(A242="","",IF(H242=0,"",AVERAGE(D242:G242)))</f>
        <v>0</v>
      </c>
      <c r="J242" s="27">
        <f>IF(OR(I242="",C242=""),"",I242-C242)</f>
        <v>0</v>
      </c>
      <c r="K242" s="26">
        <f>IF(A242="","",IF(MES!E242&lt;&gt;4,"Horário do MES fora do padrão",IF(H242&lt;cfgMinCortes,"Cortes insuficientes","Válida")))</f>
        <v>0</v>
      </c>
      <c r="L242" s="27">
        <f>IF(K242="Válida",ABS(J242),"")</f>
        <v>0</v>
      </c>
      <c r="M242" s="26">
        <f>IF(K242="Válida",IF(L242&lt;=cfgTolerancia,"Sim","Não"),"")</f>
        <v>0</v>
      </c>
      <c r="N242" s="26">
        <f>IF(A242="","",MES!D242)</f>
        <v>0</v>
      </c>
      <c r="O242" s="25">
        <f>IF(K242="Válida",A242,NA())</f>
        <v>0</v>
      </c>
      <c r="P242" s="27">
        <f>IF(K242="Válida",C242,NA())</f>
        <v>0</v>
      </c>
      <c r="Q242" s="27">
        <f>IF(K242="Válida",I242,NA())</f>
        <v>0</v>
      </c>
      <c r="R242" s="27">
        <f>IF(K242="Válida",J242,NA())</f>
        <v>0</v>
      </c>
      <c r="S242" s="27">
        <f>IF(K242="Válida",C242,"")</f>
        <v>0</v>
      </c>
      <c r="T242" s="27">
        <f>IF(K242="Válida",I242,"")</f>
        <v>0</v>
      </c>
      <c r="U242" s="27">
        <f>IF(K242="Válida",J242,"")</f>
        <v>0</v>
      </c>
    </row>
    <row r="243" spans="1:21">
      <c r="A243" s="25">
        <f>IF(MES!A243="","",MES!C243/48)</f>
        <v>0</v>
      </c>
      <c r="B243" s="26">
        <f>IF(A243="","",TEXT((N243*4+cfgDeslocamento)/48,"hh:mm")&amp;" a "&amp;TEXT(A243,"hh:mm"))</f>
        <v>0</v>
      </c>
      <c r="C243" s="27">
        <f>IF(A243="","",MES!B243)</f>
        <v>0</v>
      </c>
      <c r="D243" s="27">
        <f>IF(A243="","",IFERROR(AVERAGEIFS(Prensa!$B$2:$B$5001,Prensa!$E$2:$E$5001,N243,Prensa!$F$2:$F$5001,1,Prensa!$G$2:$G$5001,1),""))</f>
        <v>0</v>
      </c>
      <c r="E243" s="27">
        <f>IF(A243="","",IFERROR(AVERAGEIFS(Prensa!$B$2:$B$5001,Prensa!$E$2:$E$5001,N243,Prensa!$F$2:$F$5001,2,Prensa!$G$2:$G$5001,1),""))</f>
        <v>0</v>
      </c>
      <c r="F243" s="27">
        <f>IF(A243="","",IFERROR(AVERAGEIFS(Prensa!$B$2:$B$5001,Prensa!$E$2:$E$5001,N243,Prensa!$F$2:$F$5001,3,Prensa!$G$2:$G$5001,1),""))</f>
        <v>0</v>
      </c>
      <c r="G243" s="27">
        <f>IF(A243="","",IFERROR(AVERAGEIFS(Prensa!$B$2:$B$5001,Prensa!$E$2:$E$5001,N243,Prensa!$F$2:$F$5001,4,Prensa!$G$2:$G$5001,1),""))</f>
        <v>0</v>
      </c>
      <c r="H243" s="26">
        <f>IF(A243="","",COUNT(D243:G243))</f>
        <v>0</v>
      </c>
      <c r="I243" s="27">
        <f>IF(A243="","",IF(H243=0,"",AVERAGE(D243:G243)))</f>
        <v>0</v>
      </c>
      <c r="J243" s="27">
        <f>IF(OR(I243="",C243=""),"",I243-C243)</f>
        <v>0</v>
      </c>
      <c r="K243" s="26">
        <f>IF(A243="","",IF(MES!E243&lt;&gt;4,"Horário do MES fora do padrão",IF(H243&lt;cfgMinCortes,"Cortes insuficientes","Válida")))</f>
        <v>0</v>
      </c>
      <c r="L243" s="27">
        <f>IF(K243="Válida",ABS(J243),"")</f>
        <v>0</v>
      </c>
      <c r="M243" s="26">
        <f>IF(K243="Válida",IF(L243&lt;=cfgTolerancia,"Sim","Não"),"")</f>
        <v>0</v>
      </c>
      <c r="N243" s="26">
        <f>IF(A243="","",MES!D243)</f>
        <v>0</v>
      </c>
      <c r="O243" s="25">
        <f>IF(K243="Válida",A243,NA())</f>
        <v>0</v>
      </c>
      <c r="P243" s="27">
        <f>IF(K243="Válida",C243,NA())</f>
        <v>0</v>
      </c>
      <c r="Q243" s="27">
        <f>IF(K243="Válida",I243,NA())</f>
        <v>0</v>
      </c>
      <c r="R243" s="27">
        <f>IF(K243="Válida",J243,NA())</f>
        <v>0</v>
      </c>
      <c r="S243" s="27">
        <f>IF(K243="Válida",C243,"")</f>
        <v>0</v>
      </c>
      <c r="T243" s="27">
        <f>IF(K243="Válida",I243,"")</f>
        <v>0</v>
      </c>
      <c r="U243" s="27">
        <f>IF(K243="Válida",J243,"")</f>
        <v>0</v>
      </c>
    </row>
    <row r="244" spans="1:21">
      <c r="A244" s="25">
        <f>IF(MES!A244="","",MES!C244/48)</f>
        <v>0</v>
      </c>
      <c r="B244" s="26">
        <f>IF(A244="","",TEXT((N244*4+cfgDeslocamento)/48,"hh:mm")&amp;" a "&amp;TEXT(A244,"hh:mm"))</f>
        <v>0</v>
      </c>
      <c r="C244" s="27">
        <f>IF(A244="","",MES!B244)</f>
        <v>0</v>
      </c>
      <c r="D244" s="27">
        <f>IF(A244="","",IFERROR(AVERAGEIFS(Prensa!$B$2:$B$5001,Prensa!$E$2:$E$5001,N244,Prensa!$F$2:$F$5001,1,Prensa!$G$2:$G$5001,1),""))</f>
        <v>0</v>
      </c>
      <c r="E244" s="27">
        <f>IF(A244="","",IFERROR(AVERAGEIFS(Prensa!$B$2:$B$5001,Prensa!$E$2:$E$5001,N244,Prensa!$F$2:$F$5001,2,Prensa!$G$2:$G$5001,1),""))</f>
        <v>0</v>
      </c>
      <c r="F244" s="27">
        <f>IF(A244="","",IFERROR(AVERAGEIFS(Prensa!$B$2:$B$5001,Prensa!$E$2:$E$5001,N244,Prensa!$F$2:$F$5001,3,Prensa!$G$2:$G$5001,1),""))</f>
        <v>0</v>
      </c>
      <c r="G244" s="27">
        <f>IF(A244="","",IFERROR(AVERAGEIFS(Prensa!$B$2:$B$5001,Prensa!$E$2:$E$5001,N244,Prensa!$F$2:$F$5001,4,Prensa!$G$2:$G$5001,1),""))</f>
        <v>0</v>
      </c>
      <c r="H244" s="26">
        <f>IF(A244="","",COUNT(D244:G244))</f>
        <v>0</v>
      </c>
      <c r="I244" s="27">
        <f>IF(A244="","",IF(H244=0,"",AVERAGE(D244:G244)))</f>
        <v>0</v>
      </c>
      <c r="J244" s="27">
        <f>IF(OR(I244="",C244=""),"",I244-C244)</f>
        <v>0</v>
      </c>
      <c r="K244" s="26">
        <f>IF(A244="","",IF(MES!E244&lt;&gt;4,"Horário do MES fora do padrão",IF(H244&lt;cfgMinCortes,"Cortes insuficientes","Válida")))</f>
        <v>0</v>
      </c>
      <c r="L244" s="27">
        <f>IF(K244="Válida",ABS(J244),"")</f>
        <v>0</v>
      </c>
      <c r="M244" s="26">
        <f>IF(K244="Válida",IF(L244&lt;=cfgTolerancia,"Sim","Não"),"")</f>
        <v>0</v>
      </c>
      <c r="N244" s="26">
        <f>IF(A244="","",MES!D244)</f>
        <v>0</v>
      </c>
      <c r="O244" s="25">
        <f>IF(K244="Válida",A244,NA())</f>
        <v>0</v>
      </c>
      <c r="P244" s="27">
        <f>IF(K244="Válida",C244,NA())</f>
        <v>0</v>
      </c>
      <c r="Q244" s="27">
        <f>IF(K244="Válida",I244,NA())</f>
        <v>0</v>
      </c>
      <c r="R244" s="27">
        <f>IF(K244="Válida",J244,NA())</f>
        <v>0</v>
      </c>
      <c r="S244" s="27">
        <f>IF(K244="Válida",C244,"")</f>
        <v>0</v>
      </c>
      <c r="T244" s="27">
        <f>IF(K244="Válida",I244,"")</f>
        <v>0</v>
      </c>
      <c r="U244" s="27">
        <f>IF(K244="Válida",J244,"")</f>
        <v>0</v>
      </c>
    </row>
    <row r="245" spans="1:21">
      <c r="A245" s="25">
        <f>IF(MES!A245="","",MES!C245/48)</f>
        <v>0</v>
      </c>
      <c r="B245" s="26">
        <f>IF(A245="","",TEXT((N245*4+cfgDeslocamento)/48,"hh:mm")&amp;" a "&amp;TEXT(A245,"hh:mm"))</f>
        <v>0</v>
      </c>
      <c r="C245" s="27">
        <f>IF(A245="","",MES!B245)</f>
        <v>0</v>
      </c>
      <c r="D245" s="27">
        <f>IF(A245="","",IFERROR(AVERAGEIFS(Prensa!$B$2:$B$5001,Prensa!$E$2:$E$5001,N245,Prensa!$F$2:$F$5001,1,Prensa!$G$2:$G$5001,1),""))</f>
        <v>0</v>
      </c>
      <c r="E245" s="27">
        <f>IF(A245="","",IFERROR(AVERAGEIFS(Prensa!$B$2:$B$5001,Prensa!$E$2:$E$5001,N245,Prensa!$F$2:$F$5001,2,Prensa!$G$2:$G$5001,1),""))</f>
        <v>0</v>
      </c>
      <c r="F245" s="27">
        <f>IF(A245="","",IFERROR(AVERAGEIFS(Prensa!$B$2:$B$5001,Prensa!$E$2:$E$5001,N245,Prensa!$F$2:$F$5001,3,Prensa!$G$2:$G$5001,1),""))</f>
        <v>0</v>
      </c>
      <c r="G245" s="27">
        <f>IF(A245="","",IFERROR(AVERAGEIFS(Prensa!$B$2:$B$5001,Prensa!$E$2:$E$5001,N245,Prensa!$F$2:$F$5001,4,Prensa!$G$2:$G$5001,1),""))</f>
        <v>0</v>
      </c>
      <c r="H245" s="26">
        <f>IF(A245="","",COUNT(D245:G245))</f>
        <v>0</v>
      </c>
      <c r="I245" s="27">
        <f>IF(A245="","",IF(H245=0,"",AVERAGE(D245:G245)))</f>
        <v>0</v>
      </c>
      <c r="J245" s="27">
        <f>IF(OR(I245="",C245=""),"",I245-C245)</f>
        <v>0</v>
      </c>
      <c r="K245" s="26">
        <f>IF(A245="","",IF(MES!E245&lt;&gt;4,"Horário do MES fora do padrão",IF(H245&lt;cfgMinCortes,"Cortes insuficientes","Válida")))</f>
        <v>0</v>
      </c>
      <c r="L245" s="27">
        <f>IF(K245="Válida",ABS(J245),"")</f>
        <v>0</v>
      </c>
      <c r="M245" s="26">
        <f>IF(K245="Válida",IF(L245&lt;=cfgTolerancia,"Sim","Não"),"")</f>
        <v>0</v>
      </c>
      <c r="N245" s="26">
        <f>IF(A245="","",MES!D245)</f>
        <v>0</v>
      </c>
      <c r="O245" s="25">
        <f>IF(K245="Válida",A245,NA())</f>
        <v>0</v>
      </c>
      <c r="P245" s="27">
        <f>IF(K245="Válida",C245,NA())</f>
        <v>0</v>
      </c>
      <c r="Q245" s="27">
        <f>IF(K245="Válida",I245,NA())</f>
        <v>0</v>
      </c>
      <c r="R245" s="27">
        <f>IF(K245="Válida",J245,NA())</f>
        <v>0</v>
      </c>
      <c r="S245" s="27">
        <f>IF(K245="Válida",C245,"")</f>
        <v>0</v>
      </c>
      <c r="T245" s="27">
        <f>IF(K245="Válida",I245,"")</f>
        <v>0</v>
      </c>
      <c r="U245" s="27">
        <f>IF(K245="Válida",J245,"")</f>
        <v>0</v>
      </c>
    </row>
    <row r="246" spans="1:21">
      <c r="A246" s="25">
        <f>IF(MES!A246="","",MES!C246/48)</f>
        <v>0</v>
      </c>
      <c r="B246" s="26">
        <f>IF(A246="","",TEXT((N246*4+cfgDeslocamento)/48,"hh:mm")&amp;" a "&amp;TEXT(A246,"hh:mm"))</f>
        <v>0</v>
      </c>
      <c r="C246" s="27">
        <f>IF(A246="","",MES!B246)</f>
        <v>0</v>
      </c>
      <c r="D246" s="27">
        <f>IF(A246="","",IFERROR(AVERAGEIFS(Prensa!$B$2:$B$5001,Prensa!$E$2:$E$5001,N246,Prensa!$F$2:$F$5001,1,Prensa!$G$2:$G$5001,1),""))</f>
        <v>0</v>
      </c>
      <c r="E246" s="27">
        <f>IF(A246="","",IFERROR(AVERAGEIFS(Prensa!$B$2:$B$5001,Prensa!$E$2:$E$5001,N246,Prensa!$F$2:$F$5001,2,Prensa!$G$2:$G$5001,1),""))</f>
        <v>0</v>
      </c>
      <c r="F246" s="27">
        <f>IF(A246="","",IFERROR(AVERAGEIFS(Prensa!$B$2:$B$5001,Prensa!$E$2:$E$5001,N246,Prensa!$F$2:$F$5001,3,Prensa!$G$2:$G$5001,1),""))</f>
        <v>0</v>
      </c>
      <c r="G246" s="27">
        <f>IF(A246="","",IFERROR(AVERAGEIFS(Prensa!$B$2:$B$5001,Prensa!$E$2:$E$5001,N246,Prensa!$F$2:$F$5001,4,Prensa!$G$2:$G$5001,1),""))</f>
        <v>0</v>
      </c>
      <c r="H246" s="26">
        <f>IF(A246="","",COUNT(D246:G246))</f>
        <v>0</v>
      </c>
      <c r="I246" s="27">
        <f>IF(A246="","",IF(H246=0,"",AVERAGE(D246:G246)))</f>
        <v>0</v>
      </c>
      <c r="J246" s="27">
        <f>IF(OR(I246="",C246=""),"",I246-C246)</f>
        <v>0</v>
      </c>
      <c r="K246" s="26">
        <f>IF(A246="","",IF(MES!E246&lt;&gt;4,"Horário do MES fora do padrão",IF(H246&lt;cfgMinCortes,"Cortes insuficientes","Válida")))</f>
        <v>0</v>
      </c>
      <c r="L246" s="27">
        <f>IF(K246="Válida",ABS(J246),"")</f>
        <v>0</v>
      </c>
      <c r="M246" s="26">
        <f>IF(K246="Válida",IF(L246&lt;=cfgTolerancia,"Sim","Não"),"")</f>
        <v>0</v>
      </c>
      <c r="N246" s="26">
        <f>IF(A246="","",MES!D246)</f>
        <v>0</v>
      </c>
      <c r="O246" s="25">
        <f>IF(K246="Válida",A246,NA())</f>
        <v>0</v>
      </c>
      <c r="P246" s="27">
        <f>IF(K246="Válida",C246,NA())</f>
        <v>0</v>
      </c>
      <c r="Q246" s="27">
        <f>IF(K246="Válida",I246,NA())</f>
        <v>0</v>
      </c>
      <c r="R246" s="27">
        <f>IF(K246="Válida",J246,NA())</f>
        <v>0</v>
      </c>
      <c r="S246" s="27">
        <f>IF(K246="Válida",C246,"")</f>
        <v>0</v>
      </c>
      <c r="T246" s="27">
        <f>IF(K246="Válida",I246,"")</f>
        <v>0</v>
      </c>
      <c r="U246" s="27">
        <f>IF(K246="Válida",J246,"")</f>
        <v>0</v>
      </c>
    </row>
    <row r="247" spans="1:21">
      <c r="A247" s="25">
        <f>IF(MES!A247="","",MES!C247/48)</f>
        <v>0</v>
      </c>
      <c r="B247" s="26">
        <f>IF(A247="","",TEXT((N247*4+cfgDeslocamento)/48,"hh:mm")&amp;" a "&amp;TEXT(A247,"hh:mm"))</f>
        <v>0</v>
      </c>
      <c r="C247" s="27">
        <f>IF(A247="","",MES!B247)</f>
        <v>0</v>
      </c>
      <c r="D247" s="27">
        <f>IF(A247="","",IFERROR(AVERAGEIFS(Prensa!$B$2:$B$5001,Prensa!$E$2:$E$5001,N247,Prensa!$F$2:$F$5001,1,Prensa!$G$2:$G$5001,1),""))</f>
        <v>0</v>
      </c>
      <c r="E247" s="27">
        <f>IF(A247="","",IFERROR(AVERAGEIFS(Prensa!$B$2:$B$5001,Prensa!$E$2:$E$5001,N247,Prensa!$F$2:$F$5001,2,Prensa!$G$2:$G$5001,1),""))</f>
        <v>0</v>
      </c>
      <c r="F247" s="27">
        <f>IF(A247="","",IFERROR(AVERAGEIFS(Prensa!$B$2:$B$5001,Prensa!$E$2:$E$5001,N247,Prensa!$F$2:$F$5001,3,Prensa!$G$2:$G$5001,1),""))</f>
        <v>0</v>
      </c>
      <c r="G247" s="27">
        <f>IF(A247="","",IFERROR(AVERAGEIFS(Prensa!$B$2:$B$5001,Prensa!$E$2:$E$5001,N247,Prensa!$F$2:$F$5001,4,Prensa!$G$2:$G$5001,1),""))</f>
        <v>0</v>
      </c>
      <c r="H247" s="26">
        <f>IF(A247="","",COUNT(D247:G247))</f>
        <v>0</v>
      </c>
      <c r="I247" s="27">
        <f>IF(A247="","",IF(H247=0,"",AVERAGE(D247:G247)))</f>
        <v>0</v>
      </c>
      <c r="J247" s="27">
        <f>IF(OR(I247="",C247=""),"",I247-C247)</f>
        <v>0</v>
      </c>
      <c r="K247" s="26">
        <f>IF(A247="","",IF(MES!E247&lt;&gt;4,"Horário do MES fora do padrão",IF(H247&lt;cfgMinCortes,"Cortes insuficientes","Válida")))</f>
        <v>0</v>
      </c>
      <c r="L247" s="27">
        <f>IF(K247="Válida",ABS(J247),"")</f>
        <v>0</v>
      </c>
      <c r="M247" s="26">
        <f>IF(K247="Válida",IF(L247&lt;=cfgTolerancia,"Sim","Não"),"")</f>
        <v>0</v>
      </c>
      <c r="N247" s="26">
        <f>IF(A247="","",MES!D247)</f>
        <v>0</v>
      </c>
      <c r="O247" s="25">
        <f>IF(K247="Válida",A247,NA())</f>
        <v>0</v>
      </c>
      <c r="P247" s="27">
        <f>IF(K247="Válida",C247,NA())</f>
        <v>0</v>
      </c>
      <c r="Q247" s="27">
        <f>IF(K247="Válida",I247,NA())</f>
        <v>0</v>
      </c>
      <c r="R247" s="27">
        <f>IF(K247="Válida",J247,NA())</f>
        <v>0</v>
      </c>
      <c r="S247" s="27">
        <f>IF(K247="Válida",C247,"")</f>
        <v>0</v>
      </c>
      <c r="T247" s="27">
        <f>IF(K247="Válida",I247,"")</f>
        <v>0</v>
      </c>
      <c r="U247" s="27">
        <f>IF(K247="Válida",J247,"")</f>
        <v>0</v>
      </c>
    </row>
    <row r="248" spans="1:21">
      <c r="A248" s="25">
        <f>IF(MES!A248="","",MES!C248/48)</f>
        <v>0</v>
      </c>
      <c r="B248" s="26">
        <f>IF(A248="","",TEXT((N248*4+cfgDeslocamento)/48,"hh:mm")&amp;" a "&amp;TEXT(A248,"hh:mm"))</f>
        <v>0</v>
      </c>
      <c r="C248" s="27">
        <f>IF(A248="","",MES!B248)</f>
        <v>0</v>
      </c>
      <c r="D248" s="27">
        <f>IF(A248="","",IFERROR(AVERAGEIFS(Prensa!$B$2:$B$5001,Prensa!$E$2:$E$5001,N248,Prensa!$F$2:$F$5001,1,Prensa!$G$2:$G$5001,1),""))</f>
        <v>0</v>
      </c>
      <c r="E248" s="27">
        <f>IF(A248="","",IFERROR(AVERAGEIFS(Prensa!$B$2:$B$5001,Prensa!$E$2:$E$5001,N248,Prensa!$F$2:$F$5001,2,Prensa!$G$2:$G$5001,1),""))</f>
        <v>0</v>
      </c>
      <c r="F248" s="27">
        <f>IF(A248="","",IFERROR(AVERAGEIFS(Prensa!$B$2:$B$5001,Prensa!$E$2:$E$5001,N248,Prensa!$F$2:$F$5001,3,Prensa!$G$2:$G$5001,1),""))</f>
        <v>0</v>
      </c>
      <c r="G248" s="27">
        <f>IF(A248="","",IFERROR(AVERAGEIFS(Prensa!$B$2:$B$5001,Prensa!$E$2:$E$5001,N248,Prensa!$F$2:$F$5001,4,Prensa!$G$2:$G$5001,1),""))</f>
        <v>0</v>
      </c>
      <c r="H248" s="26">
        <f>IF(A248="","",COUNT(D248:G248))</f>
        <v>0</v>
      </c>
      <c r="I248" s="27">
        <f>IF(A248="","",IF(H248=0,"",AVERAGE(D248:G248)))</f>
        <v>0</v>
      </c>
      <c r="J248" s="27">
        <f>IF(OR(I248="",C248=""),"",I248-C248)</f>
        <v>0</v>
      </c>
      <c r="K248" s="26">
        <f>IF(A248="","",IF(MES!E248&lt;&gt;4,"Horário do MES fora do padrão",IF(H248&lt;cfgMinCortes,"Cortes insuficientes","Válida")))</f>
        <v>0</v>
      </c>
      <c r="L248" s="27">
        <f>IF(K248="Válida",ABS(J248),"")</f>
        <v>0</v>
      </c>
      <c r="M248" s="26">
        <f>IF(K248="Válida",IF(L248&lt;=cfgTolerancia,"Sim","Não"),"")</f>
        <v>0</v>
      </c>
      <c r="N248" s="26">
        <f>IF(A248="","",MES!D248)</f>
        <v>0</v>
      </c>
      <c r="O248" s="25">
        <f>IF(K248="Válida",A248,NA())</f>
        <v>0</v>
      </c>
      <c r="P248" s="27">
        <f>IF(K248="Válida",C248,NA())</f>
        <v>0</v>
      </c>
      <c r="Q248" s="27">
        <f>IF(K248="Válida",I248,NA())</f>
        <v>0</v>
      </c>
      <c r="R248" s="27">
        <f>IF(K248="Válida",J248,NA())</f>
        <v>0</v>
      </c>
      <c r="S248" s="27">
        <f>IF(K248="Válida",C248,"")</f>
        <v>0</v>
      </c>
      <c r="T248" s="27">
        <f>IF(K248="Válida",I248,"")</f>
        <v>0</v>
      </c>
      <c r="U248" s="27">
        <f>IF(K248="Válida",J248,"")</f>
        <v>0</v>
      </c>
    </row>
    <row r="249" spans="1:21">
      <c r="A249" s="25">
        <f>IF(MES!A249="","",MES!C249/48)</f>
        <v>0</v>
      </c>
      <c r="B249" s="26">
        <f>IF(A249="","",TEXT((N249*4+cfgDeslocamento)/48,"hh:mm")&amp;" a "&amp;TEXT(A249,"hh:mm"))</f>
        <v>0</v>
      </c>
      <c r="C249" s="27">
        <f>IF(A249="","",MES!B249)</f>
        <v>0</v>
      </c>
      <c r="D249" s="27">
        <f>IF(A249="","",IFERROR(AVERAGEIFS(Prensa!$B$2:$B$5001,Prensa!$E$2:$E$5001,N249,Prensa!$F$2:$F$5001,1,Prensa!$G$2:$G$5001,1),""))</f>
        <v>0</v>
      </c>
      <c r="E249" s="27">
        <f>IF(A249="","",IFERROR(AVERAGEIFS(Prensa!$B$2:$B$5001,Prensa!$E$2:$E$5001,N249,Prensa!$F$2:$F$5001,2,Prensa!$G$2:$G$5001,1),""))</f>
        <v>0</v>
      </c>
      <c r="F249" s="27">
        <f>IF(A249="","",IFERROR(AVERAGEIFS(Prensa!$B$2:$B$5001,Prensa!$E$2:$E$5001,N249,Prensa!$F$2:$F$5001,3,Prensa!$G$2:$G$5001,1),""))</f>
        <v>0</v>
      </c>
      <c r="G249" s="27">
        <f>IF(A249="","",IFERROR(AVERAGEIFS(Prensa!$B$2:$B$5001,Prensa!$E$2:$E$5001,N249,Prensa!$F$2:$F$5001,4,Prensa!$G$2:$G$5001,1),""))</f>
        <v>0</v>
      </c>
      <c r="H249" s="26">
        <f>IF(A249="","",COUNT(D249:G249))</f>
        <v>0</v>
      </c>
      <c r="I249" s="27">
        <f>IF(A249="","",IF(H249=0,"",AVERAGE(D249:G249)))</f>
        <v>0</v>
      </c>
      <c r="J249" s="27">
        <f>IF(OR(I249="",C249=""),"",I249-C249)</f>
        <v>0</v>
      </c>
      <c r="K249" s="26">
        <f>IF(A249="","",IF(MES!E249&lt;&gt;4,"Horário do MES fora do padrão",IF(H249&lt;cfgMinCortes,"Cortes insuficientes","Válida")))</f>
        <v>0</v>
      </c>
      <c r="L249" s="27">
        <f>IF(K249="Válida",ABS(J249),"")</f>
        <v>0</v>
      </c>
      <c r="M249" s="26">
        <f>IF(K249="Válida",IF(L249&lt;=cfgTolerancia,"Sim","Não"),"")</f>
        <v>0</v>
      </c>
      <c r="N249" s="26">
        <f>IF(A249="","",MES!D249)</f>
        <v>0</v>
      </c>
      <c r="O249" s="25">
        <f>IF(K249="Válida",A249,NA())</f>
        <v>0</v>
      </c>
      <c r="P249" s="27">
        <f>IF(K249="Válida",C249,NA())</f>
        <v>0</v>
      </c>
      <c r="Q249" s="27">
        <f>IF(K249="Válida",I249,NA())</f>
        <v>0</v>
      </c>
      <c r="R249" s="27">
        <f>IF(K249="Válida",J249,NA())</f>
        <v>0</v>
      </c>
      <c r="S249" s="27">
        <f>IF(K249="Válida",C249,"")</f>
        <v>0</v>
      </c>
      <c r="T249" s="27">
        <f>IF(K249="Válida",I249,"")</f>
        <v>0</v>
      </c>
      <c r="U249" s="27">
        <f>IF(K249="Válida",J249,"")</f>
        <v>0</v>
      </c>
    </row>
    <row r="250" spans="1:21">
      <c r="A250" s="25">
        <f>IF(MES!A250="","",MES!C250/48)</f>
        <v>0</v>
      </c>
      <c r="B250" s="26">
        <f>IF(A250="","",TEXT((N250*4+cfgDeslocamento)/48,"hh:mm")&amp;" a "&amp;TEXT(A250,"hh:mm"))</f>
        <v>0</v>
      </c>
      <c r="C250" s="27">
        <f>IF(A250="","",MES!B250)</f>
        <v>0</v>
      </c>
      <c r="D250" s="27">
        <f>IF(A250="","",IFERROR(AVERAGEIFS(Prensa!$B$2:$B$5001,Prensa!$E$2:$E$5001,N250,Prensa!$F$2:$F$5001,1,Prensa!$G$2:$G$5001,1),""))</f>
        <v>0</v>
      </c>
      <c r="E250" s="27">
        <f>IF(A250="","",IFERROR(AVERAGEIFS(Prensa!$B$2:$B$5001,Prensa!$E$2:$E$5001,N250,Prensa!$F$2:$F$5001,2,Prensa!$G$2:$G$5001,1),""))</f>
        <v>0</v>
      </c>
      <c r="F250" s="27">
        <f>IF(A250="","",IFERROR(AVERAGEIFS(Prensa!$B$2:$B$5001,Prensa!$E$2:$E$5001,N250,Prensa!$F$2:$F$5001,3,Prensa!$G$2:$G$5001,1),""))</f>
        <v>0</v>
      </c>
      <c r="G250" s="27">
        <f>IF(A250="","",IFERROR(AVERAGEIFS(Prensa!$B$2:$B$5001,Prensa!$E$2:$E$5001,N250,Prensa!$F$2:$F$5001,4,Prensa!$G$2:$G$5001,1),""))</f>
        <v>0</v>
      </c>
      <c r="H250" s="26">
        <f>IF(A250="","",COUNT(D250:G250))</f>
        <v>0</v>
      </c>
      <c r="I250" s="27">
        <f>IF(A250="","",IF(H250=0,"",AVERAGE(D250:G250)))</f>
        <v>0</v>
      </c>
      <c r="J250" s="27">
        <f>IF(OR(I250="",C250=""),"",I250-C250)</f>
        <v>0</v>
      </c>
      <c r="K250" s="26">
        <f>IF(A250="","",IF(MES!E250&lt;&gt;4,"Horário do MES fora do padrão",IF(H250&lt;cfgMinCortes,"Cortes insuficientes","Válida")))</f>
        <v>0</v>
      </c>
      <c r="L250" s="27">
        <f>IF(K250="Válida",ABS(J250),"")</f>
        <v>0</v>
      </c>
      <c r="M250" s="26">
        <f>IF(K250="Válida",IF(L250&lt;=cfgTolerancia,"Sim","Não"),"")</f>
        <v>0</v>
      </c>
      <c r="N250" s="26">
        <f>IF(A250="","",MES!D250)</f>
        <v>0</v>
      </c>
      <c r="O250" s="25">
        <f>IF(K250="Válida",A250,NA())</f>
        <v>0</v>
      </c>
      <c r="P250" s="27">
        <f>IF(K250="Válida",C250,NA())</f>
        <v>0</v>
      </c>
      <c r="Q250" s="27">
        <f>IF(K250="Válida",I250,NA())</f>
        <v>0</v>
      </c>
      <c r="R250" s="27">
        <f>IF(K250="Válida",J250,NA())</f>
        <v>0</v>
      </c>
      <c r="S250" s="27">
        <f>IF(K250="Válida",C250,"")</f>
        <v>0</v>
      </c>
      <c r="T250" s="27">
        <f>IF(K250="Válida",I250,"")</f>
        <v>0</v>
      </c>
      <c r="U250" s="27">
        <f>IF(K250="Válida",J250,"")</f>
        <v>0</v>
      </c>
    </row>
    <row r="251" spans="1:21">
      <c r="A251" s="25">
        <f>IF(MES!A251="","",MES!C251/48)</f>
        <v>0</v>
      </c>
      <c r="B251" s="26">
        <f>IF(A251="","",TEXT((N251*4+cfgDeslocamento)/48,"hh:mm")&amp;" a "&amp;TEXT(A251,"hh:mm"))</f>
        <v>0</v>
      </c>
      <c r="C251" s="27">
        <f>IF(A251="","",MES!B251)</f>
        <v>0</v>
      </c>
      <c r="D251" s="27">
        <f>IF(A251="","",IFERROR(AVERAGEIFS(Prensa!$B$2:$B$5001,Prensa!$E$2:$E$5001,N251,Prensa!$F$2:$F$5001,1,Prensa!$G$2:$G$5001,1),""))</f>
        <v>0</v>
      </c>
      <c r="E251" s="27">
        <f>IF(A251="","",IFERROR(AVERAGEIFS(Prensa!$B$2:$B$5001,Prensa!$E$2:$E$5001,N251,Prensa!$F$2:$F$5001,2,Prensa!$G$2:$G$5001,1),""))</f>
        <v>0</v>
      </c>
      <c r="F251" s="27">
        <f>IF(A251="","",IFERROR(AVERAGEIFS(Prensa!$B$2:$B$5001,Prensa!$E$2:$E$5001,N251,Prensa!$F$2:$F$5001,3,Prensa!$G$2:$G$5001,1),""))</f>
        <v>0</v>
      </c>
      <c r="G251" s="27">
        <f>IF(A251="","",IFERROR(AVERAGEIFS(Prensa!$B$2:$B$5001,Prensa!$E$2:$E$5001,N251,Prensa!$F$2:$F$5001,4,Prensa!$G$2:$G$5001,1),""))</f>
        <v>0</v>
      </c>
      <c r="H251" s="26">
        <f>IF(A251="","",COUNT(D251:G251))</f>
        <v>0</v>
      </c>
      <c r="I251" s="27">
        <f>IF(A251="","",IF(H251=0,"",AVERAGE(D251:G251)))</f>
        <v>0</v>
      </c>
      <c r="J251" s="27">
        <f>IF(OR(I251="",C251=""),"",I251-C251)</f>
        <v>0</v>
      </c>
      <c r="K251" s="26">
        <f>IF(A251="","",IF(MES!E251&lt;&gt;4,"Horário do MES fora do padrão",IF(H251&lt;cfgMinCortes,"Cortes insuficientes","Válida")))</f>
        <v>0</v>
      </c>
      <c r="L251" s="27">
        <f>IF(K251="Válida",ABS(J251),"")</f>
        <v>0</v>
      </c>
      <c r="M251" s="26">
        <f>IF(K251="Válida",IF(L251&lt;=cfgTolerancia,"Sim","Não"),"")</f>
        <v>0</v>
      </c>
      <c r="N251" s="26">
        <f>IF(A251="","",MES!D251)</f>
        <v>0</v>
      </c>
      <c r="O251" s="25">
        <f>IF(K251="Válida",A251,NA())</f>
        <v>0</v>
      </c>
      <c r="P251" s="27">
        <f>IF(K251="Válida",C251,NA())</f>
        <v>0</v>
      </c>
      <c r="Q251" s="27">
        <f>IF(K251="Válida",I251,NA())</f>
        <v>0</v>
      </c>
      <c r="R251" s="27">
        <f>IF(K251="Válida",J251,NA())</f>
        <v>0</v>
      </c>
      <c r="S251" s="27">
        <f>IF(K251="Válida",C251,"")</f>
        <v>0</v>
      </c>
      <c r="T251" s="27">
        <f>IF(K251="Válida",I251,"")</f>
        <v>0</v>
      </c>
      <c r="U251" s="27">
        <f>IF(K251="Válida",J251,"")</f>
        <v>0</v>
      </c>
    </row>
    <row r="252" spans="1:21">
      <c r="A252" s="25">
        <f>IF(MES!A252="","",MES!C252/48)</f>
        <v>0</v>
      </c>
      <c r="B252" s="26">
        <f>IF(A252="","",TEXT((N252*4+cfgDeslocamento)/48,"hh:mm")&amp;" a "&amp;TEXT(A252,"hh:mm"))</f>
        <v>0</v>
      </c>
      <c r="C252" s="27">
        <f>IF(A252="","",MES!B252)</f>
        <v>0</v>
      </c>
      <c r="D252" s="27">
        <f>IF(A252="","",IFERROR(AVERAGEIFS(Prensa!$B$2:$B$5001,Prensa!$E$2:$E$5001,N252,Prensa!$F$2:$F$5001,1,Prensa!$G$2:$G$5001,1),""))</f>
        <v>0</v>
      </c>
      <c r="E252" s="27">
        <f>IF(A252="","",IFERROR(AVERAGEIFS(Prensa!$B$2:$B$5001,Prensa!$E$2:$E$5001,N252,Prensa!$F$2:$F$5001,2,Prensa!$G$2:$G$5001,1),""))</f>
        <v>0</v>
      </c>
      <c r="F252" s="27">
        <f>IF(A252="","",IFERROR(AVERAGEIFS(Prensa!$B$2:$B$5001,Prensa!$E$2:$E$5001,N252,Prensa!$F$2:$F$5001,3,Prensa!$G$2:$G$5001,1),""))</f>
        <v>0</v>
      </c>
      <c r="G252" s="27">
        <f>IF(A252="","",IFERROR(AVERAGEIFS(Prensa!$B$2:$B$5001,Prensa!$E$2:$E$5001,N252,Prensa!$F$2:$F$5001,4,Prensa!$G$2:$G$5001,1),""))</f>
        <v>0</v>
      </c>
      <c r="H252" s="26">
        <f>IF(A252="","",COUNT(D252:G252))</f>
        <v>0</v>
      </c>
      <c r="I252" s="27">
        <f>IF(A252="","",IF(H252=0,"",AVERAGE(D252:G252)))</f>
        <v>0</v>
      </c>
      <c r="J252" s="27">
        <f>IF(OR(I252="",C252=""),"",I252-C252)</f>
        <v>0</v>
      </c>
      <c r="K252" s="26">
        <f>IF(A252="","",IF(MES!E252&lt;&gt;4,"Horário do MES fora do padrão",IF(H252&lt;cfgMinCortes,"Cortes insuficientes","Válida")))</f>
        <v>0</v>
      </c>
      <c r="L252" s="27">
        <f>IF(K252="Válida",ABS(J252),"")</f>
        <v>0</v>
      </c>
      <c r="M252" s="26">
        <f>IF(K252="Válida",IF(L252&lt;=cfgTolerancia,"Sim","Não"),"")</f>
        <v>0</v>
      </c>
      <c r="N252" s="26">
        <f>IF(A252="","",MES!D252)</f>
        <v>0</v>
      </c>
      <c r="O252" s="25">
        <f>IF(K252="Válida",A252,NA())</f>
        <v>0</v>
      </c>
      <c r="P252" s="27">
        <f>IF(K252="Válida",C252,NA())</f>
        <v>0</v>
      </c>
      <c r="Q252" s="27">
        <f>IF(K252="Válida",I252,NA())</f>
        <v>0</v>
      </c>
      <c r="R252" s="27">
        <f>IF(K252="Válida",J252,NA())</f>
        <v>0</v>
      </c>
      <c r="S252" s="27">
        <f>IF(K252="Válida",C252,"")</f>
        <v>0</v>
      </c>
      <c r="T252" s="27">
        <f>IF(K252="Válida",I252,"")</f>
        <v>0</v>
      </c>
      <c r="U252" s="27">
        <f>IF(K252="Válida",J252,"")</f>
        <v>0</v>
      </c>
    </row>
    <row r="253" spans="1:21">
      <c r="A253" s="25">
        <f>IF(MES!A253="","",MES!C253/48)</f>
        <v>0</v>
      </c>
      <c r="B253" s="26">
        <f>IF(A253="","",TEXT((N253*4+cfgDeslocamento)/48,"hh:mm")&amp;" a "&amp;TEXT(A253,"hh:mm"))</f>
        <v>0</v>
      </c>
      <c r="C253" s="27">
        <f>IF(A253="","",MES!B253)</f>
        <v>0</v>
      </c>
      <c r="D253" s="27">
        <f>IF(A253="","",IFERROR(AVERAGEIFS(Prensa!$B$2:$B$5001,Prensa!$E$2:$E$5001,N253,Prensa!$F$2:$F$5001,1,Prensa!$G$2:$G$5001,1),""))</f>
        <v>0</v>
      </c>
      <c r="E253" s="27">
        <f>IF(A253="","",IFERROR(AVERAGEIFS(Prensa!$B$2:$B$5001,Prensa!$E$2:$E$5001,N253,Prensa!$F$2:$F$5001,2,Prensa!$G$2:$G$5001,1),""))</f>
        <v>0</v>
      </c>
      <c r="F253" s="27">
        <f>IF(A253="","",IFERROR(AVERAGEIFS(Prensa!$B$2:$B$5001,Prensa!$E$2:$E$5001,N253,Prensa!$F$2:$F$5001,3,Prensa!$G$2:$G$5001,1),""))</f>
        <v>0</v>
      </c>
      <c r="G253" s="27">
        <f>IF(A253="","",IFERROR(AVERAGEIFS(Prensa!$B$2:$B$5001,Prensa!$E$2:$E$5001,N253,Prensa!$F$2:$F$5001,4,Prensa!$G$2:$G$5001,1),""))</f>
        <v>0</v>
      </c>
      <c r="H253" s="26">
        <f>IF(A253="","",COUNT(D253:G253))</f>
        <v>0</v>
      </c>
      <c r="I253" s="27">
        <f>IF(A253="","",IF(H253=0,"",AVERAGE(D253:G253)))</f>
        <v>0</v>
      </c>
      <c r="J253" s="27">
        <f>IF(OR(I253="",C253=""),"",I253-C253)</f>
        <v>0</v>
      </c>
      <c r="K253" s="26">
        <f>IF(A253="","",IF(MES!E253&lt;&gt;4,"Horário do MES fora do padrão",IF(H253&lt;cfgMinCortes,"Cortes insuficientes","Válida")))</f>
        <v>0</v>
      </c>
      <c r="L253" s="27">
        <f>IF(K253="Válida",ABS(J253),"")</f>
        <v>0</v>
      </c>
      <c r="M253" s="26">
        <f>IF(K253="Válida",IF(L253&lt;=cfgTolerancia,"Sim","Não"),"")</f>
        <v>0</v>
      </c>
      <c r="N253" s="26">
        <f>IF(A253="","",MES!D253)</f>
        <v>0</v>
      </c>
      <c r="O253" s="25">
        <f>IF(K253="Válida",A253,NA())</f>
        <v>0</v>
      </c>
      <c r="P253" s="27">
        <f>IF(K253="Válida",C253,NA())</f>
        <v>0</v>
      </c>
      <c r="Q253" s="27">
        <f>IF(K253="Válida",I253,NA())</f>
        <v>0</v>
      </c>
      <c r="R253" s="27">
        <f>IF(K253="Válida",J253,NA())</f>
        <v>0</v>
      </c>
      <c r="S253" s="27">
        <f>IF(K253="Válida",C253,"")</f>
        <v>0</v>
      </c>
      <c r="T253" s="27">
        <f>IF(K253="Válida",I253,"")</f>
        <v>0</v>
      </c>
      <c r="U253" s="27">
        <f>IF(K253="Válida",J253,"")</f>
        <v>0</v>
      </c>
    </row>
    <row r="254" spans="1:21">
      <c r="A254" s="25">
        <f>IF(MES!A254="","",MES!C254/48)</f>
        <v>0</v>
      </c>
      <c r="B254" s="26">
        <f>IF(A254="","",TEXT((N254*4+cfgDeslocamento)/48,"hh:mm")&amp;" a "&amp;TEXT(A254,"hh:mm"))</f>
        <v>0</v>
      </c>
      <c r="C254" s="27">
        <f>IF(A254="","",MES!B254)</f>
        <v>0</v>
      </c>
      <c r="D254" s="27">
        <f>IF(A254="","",IFERROR(AVERAGEIFS(Prensa!$B$2:$B$5001,Prensa!$E$2:$E$5001,N254,Prensa!$F$2:$F$5001,1,Prensa!$G$2:$G$5001,1),""))</f>
        <v>0</v>
      </c>
      <c r="E254" s="27">
        <f>IF(A254="","",IFERROR(AVERAGEIFS(Prensa!$B$2:$B$5001,Prensa!$E$2:$E$5001,N254,Prensa!$F$2:$F$5001,2,Prensa!$G$2:$G$5001,1),""))</f>
        <v>0</v>
      </c>
      <c r="F254" s="27">
        <f>IF(A254="","",IFERROR(AVERAGEIFS(Prensa!$B$2:$B$5001,Prensa!$E$2:$E$5001,N254,Prensa!$F$2:$F$5001,3,Prensa!$G$2:$G$5001,1),""))</f>
        <v>0</v>
      </c>
      <c r="G254" s="27">
        <f>IF(A254="","",IFERROR(AVERAGEIFS(Prensa!$B$2:$B$5001,Prensa!$E$2:$E$5001,N254,Prensa!$F$2:$F$5001,4,Prensa!$G$2:$G$5001,1),""))</f>
        <v>0</v>
      </c>
      <c r="H254" s="26">
        <f>IF(A254="","",COUNT(D254:G254))</f>
        <v>0</v>
      </c>
      <c r="I254" s="27">
        <f>IF(A254="","",IF(H254=0,"",AVERAGE(D254:G254)))</f>
        <v>0</v>
      </c>
      <c r="J254" s="27">
        <f>IF(OR(I254="",C254=""),"",I254-C254)</f>
        <v>0</v>
      </c>
      <c r="K254" s="26">
        <f>IF(A254="","",IF(MES!E254&lt;&gt;4,"Horário do MES fora do padrão",IF(H254&lt;cfgMinCortes,"Cortes insuficientes","Válida")))</f>
        <v>0</v>
      </c>
      <c r="L254" s="27">
        <f>IF(K254="Válida",ABS(J254),"")</f>
        <v>0</v>
      </c>
      <c r="M254" s="26">
        <f>IF(K254="Válida",IF(L254&lt;=cfgTolerancia,"Sim","Não"),"")</f>
        <v>0</v>
      </c>
      <c r="N254" s="26">
        <f>IF(A254="","",MES!D254)</f>
        <v>0</v>
      </c>
      <c r="O254" s="25">
        <f>IF(K254="Válida",A254,NA())</f>
        <v>0</v>
      </c>
      <c r="P254" s="27">
        <f>IF(K254="Válida",C254,NA())</f>
        <v>0</v>
      </c>
      <c r="Q254" s="27">
        <f>IF(K254="Válida",I254,NA())</f>
        <v>0</v>
      </c>
      <c r="R254" s="27">
        <f>IF(K254="Válida",J254,NA())</f>
        <v>0</v>
      </c>
      <c r="S254" s="27">
        <f>IF(K254="Válida",C254,"")</f>
        <v>0</v>
      </c>
      <c r="T254" s="27">
        <f>IF(K254="Válida",I254,"")</f>
        <v>0</v>
      </c>
      <c r="U254" s="27">
        <f>IF(K254="Válida",J254,"")</f>
        <v>0</v>
      </c>
    </row>
    <row r="255" spans="1:21">
      <c r="A255" s="25">
        <f>IF(MES!A255="","",MES!C255/48)</f>
        <v>0</v>
      </c>
      <c r="B255" s="26">
        <f>IF(A255="","",TEXT((N255*4+cfgDeslocamento)/48,"hh:mm")&amp;" a "&amp;TEXT(A255,"hh:mm"))</f>
        <v>0</v>
      </c>
      <c r="C255" s="27">
        <f>IF(A255="","",MES!B255)</f>
        <v>0</v>
      </c>
      <c r="D255" s="27">
        <f>IF(A255="","",IFERROR(AVERAGEIFS(Prensa!$B$2:$B$5001,Prensa!$E$2:$E$5001,N255,Prensa!$F$2:$F$5001,1,Prensa!$G$2:$G$5001,1),""))</f>
        <v>0</v>
      </c>
      <c r="E255" s="27">
        <f>IF(A255="","",IFERROR(AVERAGEIFS(Prensa!$B$2:$B$5001,Prensa!$E$2:$E$5001,N255,Prensa!$F$2:$F$5001,2,Prensa!$G$2:$G$5001,1),""))</f>
        <v>0</v>
      </c>
      <c r="F255" s="27">
        <f>IF(A255="","",IFERROR(AVERAGEIFS(Prensa!$B$2:$B$5001,Prensa!$E$2:$E$5001,N255,Prensa!$F$2:$F$5001,3,Prensa!$G$2:$G$5001,1),""))</f>
        <v>0</v>
      </c>
      <c r="G255" s="27">
        <f>IF(A255="","",IFERROR(AVERAGEIFS(Prensa!$B$2:$B$5001,Prensa!$E$2:$E$5001,N255,Prensa!$F$2:$F$5001,4,Prensa!$G$2:$G$5001,1),""))</f>
        <v>0</v>
      </c>
      <c r="H255" s="26">
        <f>IF(A255="","",COUNT(D255:G255))</f>
        <v>0</v>
      </c>
      <c r="I255" s="27">
        <f>IF(A255="","",IF(H255=0,"",AVERAGE(D255:G255)))</f>
        <v>0</v>
      </c>
      <c r="J255" s="27">
        <f>IF(OR(I255="",C255=""),"",I255-C255)</f>
        <v>0</v>
      </c>
      <c r="K255" s="26">
        <f>IF(A255="","",IF(MES!E255&lt;&gt;4,"Horário do MES fora do padrão",IF(H255&lt;cfgMinCortes,"Cortes insuficientes","Válida")))</f>
        <v>0</v>
      </c>
      <c r="L255" s="27">
        <f>IF(K255="Válida",ABS(J255),"")</f>
        <v>0</v>
      </c>
      <c r="M255" s="26">
        <f>IF(K255="Válida",IF(L255&lt;=cfgTolerancia,"Sim","Não"),"")</f>
        <v>0</v>
      </c>
      <c r="N255" s="26">
        <f>IF(A255="","",MES!D255)</f>
        <v>0</v>
      </c>
      <c r="O255" s="25">
        <f>IF(K255="Válida",A255,NA())</f>
        <v>0</v>
      </c>
      <c r="P255" s="27">
        <f>IF(K255="Válida",C255,NA())</f>
        <v>0</v>
      </c>
      <c r="Q255" s="27">
        <f>IF(K255="Válida",I255,NA())</f>
        <v>0</v>
      </c>
      <c r="R255" s="27">
        <f>IF(K255="Válida",J255,NA())</f>
        <v>0</v>
      </c>
      <c r="S255" s="27">
        <f>IF(K255="Válida",C255,"")</f>
        <v>0</v>
      </c>
      <c r="T255" s="27">
        <f>IF(K255="Válida",I255,"")</f>
        <v>0</v>
      </c>
      <c r="U255" s="27">
        <f>IF(K255="Válida",J255,"")</f>
        <v>0</v>
      </c>
    </row>
    <row r="256" spans="1:21">
      <c r="A256" s="25">
        <f>IF(MES!A256="","",MES!C256/48)</f>
        <v>0</v>
      </c>
      <c r="B256" s="26">
        <f>IF(A256="","",TEXT((N256*4+cfgDeslocamento)/48,"hh:mm")&amp;" a "&amp;TEXT(A256,"hh:mm"))</f>
        <v>0</v>
      </c>
      <c r="C256" s="27">
        <f>IF(A256="","",MES!B256)</f>
        <v>0</v>
      </c>
      <c r="D256" s="27">
        <f>IF(A256="","",IFERROR(AVERAGEIFS(Prensa!$B$2:$B$5001,Prensa!$E$2:$E$5001,N256,Prensa!$F$2:$F$5001,1,Prensa!$G$2:$G$5001,1),""))</f>
        <v>0</v>
      </c>
      <c r="E256" s="27">
        <f>IF(A256="","",IFERROR(AVERAGEIFS(Prensa!$B$2:$B$5001,Prensa!$E$2:$E$5001,N256,Prensa!$F$2:$F$5001,2,Prensa!$G$2:$G$5001,1),""))</f>
        <v>0</v>
      </c>
      <c r="F256" s="27">
        <f>IF(A256="","",IFERROR(AVERAGEIFS(Prensa!$B$2:$B$5001,Prensa!$E$2:$E$5001,N256,Prensa!$F$2:$F$5001,3,Prensa!$G$2:$G$5001,1),""))</f>
        <v>0</v>
      </c>
      <c r="G256" s="27">
        <f>IF(A256="","",IFERROR(AVERAGEIFS(Prensa!$B$2:$B$5001,Prensa!$E$2:$E$5001,N256,Prensa!$F$2:$F$5001,4,Prensa!$G$2:$G$5001,1),""))</f>
        <v>0</v>
      </c>
      <c r="H256" s="26">
        <f>IF(A256="","",COUNT(D256:G256))</f>
        <v>0</v>
      </c>
      <c r="I256" s="27">
        <f>IF(A256="","",IF(H256=0,"",AVERAGE(D256:G256)))</f>
        <v>0</v>
      </c>
      <c r="J256" s="27">
        <f>IF(OR(I256="",C256=""),"",I256-C256)</f>
        <v>0</v>
      </c>
      <c r="K256" s="26">
        <f>IF(A256="","",IF(MES!E256&lt;&gt;4,"Horário do MES fora do padrão",IF(H256&lt;cfgMinCortes,"Cortes insuficientes","Válida")))</f>
        <v>0</v>
      </c>
      <c r="L256" s="27">
        <f>IF(K256="Válida",ABS(J256),"")</f>
        <v>0</v>
      </c>
      <c r="M256" s="26">
        <f>IF(K256="Válida",IF(L256&lt;=cfgTolerancia,"Sim","Não"),"")</f>
        <v>0</v>
      </c>
      <c r="N256" s="26">
        <f>IF(A256="","",MES!D256)</f>
        <v>0</v>
      </c>
      <c r="O256" s="25">
        <f>IF(K256="Válida",A256,NA())</f>
        <v>0</v>
      </c>
      <c r="P256" s="27">
        <f>IF(K256="Válida",C256,NA())</f>
        <v>0</v>
      </c>
      <c r="Q256" s="27">
        <f>IF(K256="Válida",I256,NA())</f>
        <v>0</v>
      </c>
      <c r="R256" s="27">
        <f>IF(K256="Válida",J256,NA())</f>
        <v>0</v>
      </c>
      <c r="S256" s="27">
        <f>IF(K256="Válida",C256,"")</f>
        <v>0</v>
      </c>
      <c r="T256" s="27">
        <f>IF(K256="Válida",I256,"")</f>
        <v>0</v>
      </c>
      <c r="U256" s="27">
        <f>IF(K256="Válida",J256,"")</f>
        <v>0</v>
      </c>
    </row>
    <row r="257" spans="1:21">
      <c r="A257" s="25">
        <f>IF(MES!A257="","",MES!C257/48)</f>
        <v>0</v>
      </c>
      <c r="B257" s="26">
        <f>IF(A257="","",TEXT((N257*4+cfgDeslocamento)/48,"hh:mm")&amp;" a "&amp;TEXT(A257,"hh:mm"))</f>
        <v>0</v>
      </c>
      <c r="C257" s="27">
        <f>IF(A257="","",MES!B257)</f>
        <v>0</v>
      </c>
      <c r="D257" s="27">
        <f>IF(A257="","",IFERROR(AVERAGEIFS(Prensa!$B$2:$B$5001,Prensa!$E$2:$E$5001,N257,Prensa!$F$2:$F$5001,1,Prensa!$G$2:$G$5001,1),""))</f>
        <v>0</v>
      </c>
      <c r="E257" s="27">
        <f>IF(A257="","",IFERROR(AVERAGEIFS(Prensa!$B$2:$B$5001,Prensa!$E$2:$E$5001,N257,Prensa!$F$2:$F$5001,2,Prensa!$G$2:$G$5001,1),""))</f>
        <v>0</v>
      </c>
      <c r="F257" s="27">
        <f>IF(A257="","",IFERROR(AVERAGEIFS(Prensa!$B$2:$B$5001,Prensa!$E$2:$E$5001,N257,Prensa!$F$2:$F$5001,3,Prensa!$G$2:$G$5001,1),""))</f>
        <v>0</v>
      </c>
      <c r="G257" s="27">
        <f>IF(A257="","",IFERROR(AVERAGEIFS(Prensa!$B$2:$B$5001,Prensa!$E$2:$E$5001,N257,Prensa!$F$2:$F$5001,4,Prensa!$G$2:$G$5001,1),""))</f>
        <v>0</v>
      </c>
      <c r="H257" s="26">
        <f>IF(A257="","",COUNT(D257:G257))</f>
        <v>0</v>
      </c>
      <c r="I257" s="27">
        <f>IF(A257="","",IF(H257=0,"",AVERAGE(D257:G257)))</f>
        <v>0</v>
      </c>
      <c r="J257" s="27">
        <f>IF(OR(I257="",C257=""),"",I257-C257)</f>
        <v>0</v>
      </c>
      <c r="K257" s="26">
        <f>IF(A257="","",IF(MES!E257&lt;&gt;4,"Horário do MES fora do padrão",IF(H257&lt;cfgMinCortes,"Cortes insuficientes","Válida")))</f>
        <v>0</v>
      </c>
      <c r="L257" s="27">
        <f>IF(K257="Válida",ABS(J257),"")</f>
        <v>0</v>
      </c>
      <c r="M257" s="26">
        <f>IF(K257="Válida",IF(L257&lt;=cfgTolerancia,"Sim","Não"),"")</f>
        <v>0</v>
      </c>
      <c r="N257" s="26">
        <f>IF(A257="","",MES!D257)</f>
        <v>0</v>
      </c>
      <c r="O257" s="25">
        <f>IF(K257="Válida",A257,NA())</f>
        <v>0</v>
      </c>
      <c r="P257" s="27">
        <f>IF(K257="Válida",C257,NA())</f>
        <v>0</v>
      </c>
      <c r="Q257" s="27">
        <f>IF(K257="Válida",I257,NA())</f>
        <v>0</v>
      </c>
      <c r="R257" s="27">
        <f>IF(K257="Válida",J257,NA())</f>
        <v>0</v>
      </c>
      <c r="S257" s="27">
        <f>IF(K257="Válida",C257,"")</f>
        <v>0</v>
      </c>
      <c r="T257" s="27">
        <f>IF(K257="Válida",I257,"")</f>
        <v>0</v>
      </c>
      <c r="U257" s="27">
        <f>IF(K257="Válida",J257,"")</f>
        <v>0</v>
      </c>
    </row>
    <row r="258" spans="1:21">
      <c r="A258" s="25">
        <f>IF(MES!A258="","",MES!C258/48)</f>
        <v>0</v>
      </c>
      <c r="B258" s="26">
        <f>IF(A258="","",TEXT((N258*4+cfgDeslocamento)/48,"hh:mm")&amp;" a "&amp;TEXT(A258,"hh:mm"))</f>
        <v>0</v>
      </c>
      <c r="C258" s="27">
        <f>IF(A258="","",MES!B258)</f>
        <v>0</v>
      </c>
      <c r="D258" s="27">
        <f>IF(A258="","",IFERROR(AVERAGEIFS(Prensa!$B$2:$B$5001,Prensa!$E$2:$E$5001,N258,Prensa!$F$2:$F$5001,1,Prensa!$G$2:$G$5001,1),""))</f>
        <v>0</v>
      </c>
      <c r="E258" s="27">
        <f>IF(A258="","",IFERROR(AVERAGEIFS(Prensa!$B$2:$B$5001,Prensa!$E$2:$E$5001,N258,Prensa!$F$2:$F$5001,2,Prensa!$G$2:$G$5001,1),""))</f>
        <v>0</v>
      </c>
      <c r="F258" s="27">
        <f>IF(A258="","",IFERROR(AVERAGEIFS(Prensa!$B$2:$B$5001,Prensa!$E$2:$E$5001,N258,Prensa!$F$2:$F$5001,3,Prensa!$G$2:$G$5001,1),""))</f>
        <v>0</v>
      </c>
      <c r="G258" s="27">
        <f>IF(A258="","",IFERROR(AVERAGEIFS(Prensa!$B$2:$B$5001,Prensa!$E$2:$E$5001,N258,Prensa!$F$2:$F$5001,4,Prensa!$G$2:$G$5001,1),""))</f>
        <v>0</v>
      </c>
      <c r="H258" s="26">
        <f>IF(A258="","",COUNT(D258:G258))</f>
        <v>0</v>
      </c>
      <c r="I258" s="27">
        <f>IF(A258="","",IF(H258=0,"",AVERAGE(D258:G258)))</f>
        <v>0</v>
      </c>
      <c r="J258" s="27">
        <f>IF(OR(I258="",C258=""),"",I258-C258)</f>
        <v>0</v>
      </c>
      <c r="K258" s="26">
        <f>IF(A258="","",IF(MES!E258&lt;&gt;4,"Horário do MES fora do padrão",IF(H258&lt;cfgMinCortes,"Cortes insuficientes","Válida")))</f>
        <v>0</v>
      </c>
      <c r="L258" s="27">
        <f>IF(K258="Válida",ABS(J258),"")</f>
        <v>0</v>
      </c>
      <c r="M258" s="26">
        <f>IF(K258="Válida",IF(L258&lt;=cfgTolerancia,"Sim","Não"),"")</f>
        <v>0</v>
      </c>
      <c r="N258" s="26">
        <f>IF(A258="","",MES!D258)</f>
        <v>0</v>
      </c>
      <c r="O258" s="25">
        <f>IF(K258="Válida",A258,NA())</f>
        <v>0</v>
      </c>
      <c r="P258" s="27">
        <f>IF(K258="Válida",C258,NA())</f>
        <v>0</v>
      </c>
      <c r="Q258" s="27">
        <f>IF(K258="Válida",I258,NA())</f>
        <v>0</v>
      </c>
      <c r="R258" s="27">
        <f>IF(K258="Válida",J258,NA())</f>
        <v>0</v>
      </c>
      <c r="S258" s="27">
        <f>IF(K258="Válida",C258,"")</f>
        <v>0</v>
      </c>
      <c r="T258" s="27">
        <f>IF(K258="Válida",I258,"")</f>
        <v>0</v>
      </c>
      <c r="U258" s="27">
        <f>IF(K258="Válida",J258,"")</f>
        <v>0</v>
      </c>
    </row>
    <row r="259" spans="1:21">
      <c r="A259" s="25">
        <f>IF(MES!A259="","",MES!C259/48)</f>
        <v>0</v>
      </c>
      <c r="B259" s="26">
        <f>IF(A259="","",TEXT((N259*4+cfgDeslocamento)/48,"hh:mm")&amp;" a "&amp;TEXT(A259,"hh:mm"))</f>
        <v>0</v>
      </c>
      <c r="C259" s="27">
        <f>IF(A259="","",MES!B259)</f>
        <v>0</v>
      </c>
      <c r="D259" s="27">
        <f>IF(A259="","",IFERROR(AVERAGEIFS(Prensa!$B$2:$B$5001,Prensa!$E$2:$E$5001,N259,Prensa!$F$2:$F$5001,1,Prensa!$G$2:$G$5001,1),""))</f>
        <v>0</v>
      </c>
      <c r="E259" s="27">
        <f>IF(A259="","",IFERROR(AVERAGEIFS(Prensa!$B$2:$B$5001,Prensa!$E$2:$E$5001,N259,Prensa!$F$2:$F$5001,2,Prensa!$G$2:$G$5001,1),""))</f>
        <v>0</v>
      </c>
      <c r="F259" s="27">
        <f>IF(A259="","",IFERROR(AVERAGEIFS(Prensa!$B$2:$B$5001,Prensa!$E$2:$E$5001,N259,Prensa!$F$2:$F$5001,3,Prensa!$G$2:$G$5001,1),""))</f>
        <v>0</v>
      </c>
      <c r="G259" s="27">
        <f>IF(A259="","",IFERROR(AVERAGEIFS(Prensa!$B$2:$B$5001,Prensa!$E$2:$E$5001,N259,Prensa!$F$2:$F$5001,4,Prensa!$G$2:$G$5001,1),""))</f>
        <v>0</v>
      </c>
      <c r="H259" s="26">
        <f>IF(A259="","",COUNT(D259:G259))</f>
        <v>0</v>
      </c>
      <c r="I259" s="27">
        <f>IF(A259="","",IF(H259=0,"",AVERAGE(D259:G259)))</f>
        <v>0</v>
      </c>
      <c r="J259" s="27">
        <f>IF(OR(I259="",C259=""),"",I259-C259)</f>
        <v>0</v>
      </c>
      <c r="K259" s="26">
        <f>IF(A259="","",IF(MES!E259&lt;&gt;4,"Horário do MES fora do padrão",IF(H259&lt;cfgMinCortes,"Cortes insuficientes","Válida")))</f>
        <v>0</v>
      </c>
      <c r="L259" s="27">
        <f>IF(K259="Válida",ABS(J259),"")</f>
        <v>0</v>
      </c>
      <c r="M259" s="26">
        <f>IF(K259="Válida",IF(L259&lt;=cfgTolerancia,"Sim","Não"),"")</f>
        <v>0</v>
      </c>
      <c r="N259" s="26">
        <f>IF(A259="","",MES!D259)</f>
        <v>0</v>
      </c>
      <c r="O259" s="25">
        <f>IF(K259="Válida",A259,NA())</f>
        <v>0</v>
      </c>
      <c r="P259" s="27">
        <f>IF(K259="Válida",C259,NA())</f>
        <v>0</v>
      </c>
      <c r="Q259" s="27">
        <f>IF(K259="Válida",I259,NA())</f>
        <v>0</v>
      </c>
      <c r="R259" s="27">
        <f>IF(K259="Válida",J259,NA())</f>
        <v>0</v>
      </c>
      <c r="S259" s="27">
        <f>IF(K259="Válida",C259,"")</f>
        <v>0</v>
      </c>
      <c r="T259" s="27">
        <f>IF(K259="Válida",I259,"")</f>
        <v>0</v>
      </c>
      <c r="U259" s="27">
        <f>IF(K259="Válida",J259,"")</f>
        <v>0</v>
      </c>
    </row>
    <row r="260" spans="1:21">
      <c r="A260" s="25">
        <f>IF(MES!A260="","",MES!C260/48)</f>
        <v>0</v>
      </c>
      <c r="B260" s="26">
        <f>IF(A260="","",TEXT((N260*4+cfgDeslocamento)/48,"hh:mm")&amp;" a "&amp;TEXT(A260,"hh:mm"))</f>
        <v>0</v>
      </c>
      <c r="C260" s="27">
        <f>IF(A260="","",MES!B260)</f>
        <v>0</v>
      </c>
      <c r="D260" s="27">
        <f>IF(A260="","",IFERROR(AVERAGEIFS(Prensa!$B$2:$B$5001,Prensa!$E$2:$E$5001,N260,Prensa!$F$2:$F$5001,1,Prensa!$G$2:$G$5001,1),""))</f>
        <v>0</v>
      </c>
      <c r="E260" s="27">
        <f>IF(A260="","",IFERROR(AVERAGEIFS(Prensa!$B$2:$B$5001,Prensa!$E$2:$E$5001,N260,Prensa!$F$2:$F$5001,2,Prensa!$G$2:$G$5001,1),""))</f>
        <v>0</v>
      </c>
      <c r="F260" s="27">
        <f>IF(A260="","",IFERROR(AVERAGEIFS(Prensa!$B$2:$B$5001,Prensa!$E$2:$E$5001,N260,Prensa!$F$2:$F$5001,3,Prensa!$G$2:$G$5001,1),""))</f>
        <v>0</v>
      </c>
      <c r="G260" s="27">
        <f>IF(A260="","",IFERROR(AVERAGEIFS(Prensa!$B$2:$B$5001,Prensa!$E$2:$E$5001,N260,Prensa!$F$2:$F$5001,4,Prensa!$G$2:$G$5001,1),""))</f>
        <v>0</v>
      </c>
      <c r="H260" s="26">
        <f>IF(A260="","",COUNT(D260:G260))</f>
        <v>0</v>
      </c>
      <c r="I260" s="27">
        <f>IF(A260="","",IF(H260=0,"",AVERAGE(D260:G260)))</f>
        <v>0</v>
      </c>
      <c r="J260" s="27">
        <f>IF(OR(I260="",C260=""),"",I260-C260)</f>
        <v>0</v>
      </c>
      <c r="K260" s="26">
        <f>IF(A260="","",IF(MES!E260&lt;&gt;4,"Horário do MES fora do padrão",IF(H260&lt;cfgMinCortes,"Cortes insuficientes","Válida")))</f>
        <v>0</v>
      </c>
      <c r="L260" s="27">
        <f>IF(K260="Válida",ABS(J260),"")</f>
        <v>0</v>
      </c>
      <c r="M260" s="26">
        <f>IF(K260="Válida",IF(L260&lt;=cfgTolerancia,"Sim","Não"),"")</f>
        <v>0</v>
      </c>
      <c r="N260" s="26">
        <f>IF(A260="","",MES!D260)</f>
        <v>0</v>
      </c>
      <c r="O260" s="25">
        <f>IF(K260="Válida",A260,NA())</f>
        <v>0</v>
      </c>
      <c r="P260" s="27">
        <f>IF(K260="Válida",C260,NA())</f>
        <v>0</v>
      </c>
      <c r="Q260" s="27">
        <f>IF(K260="Válida",I260,NA())</f>
        <v>0</v>
      </c>
      <c r="R260" s="27">
        <f>IF(K260="Válida",J260,NA())</f>
        <v>0</v>
      </c>
      <c r="S260" s="27">
        <f>IF(K260="Válida",C260,"")</f>
        <v>0</v>
      </c>
      <c r="T260" s="27">
        <f>IF(K260="Válida",I260,"")</f>
        <v>0</v>
      </c>
      <c r="U260" s="27">
        <f>IF(K260="Válida",J260,"")</f>
        <v>0</v>
      </c>
    </row>
    <row r="261" spans="1:21">
      <c r="A261" s="25">
        <f>IF(MES!A261="","",MES!C261/48)</f>
        <v>0</v>
      </c>
      <c r="B261" s="26">
        <f>IF(A261="","",TEXT((N261*4+cfgDeslocamento)/48,"hh:mm")&amp;" a "&amp;TEXT(A261,"hh:mm"))</f>
        <v>0</v>
      </c>
      <c r="C261" s="27">
        <f>IF(A261="","",MES!B261)</f>
        <v>0</v>
      </c>
      <c r="D261" s="27">
        <f>IF(A261="","",IFERROR(AVERAGEIFS(Prensa!$B$2:$B$5001,Prensa!$E$2:$E$5001,N261,Prensa!$F$2:$F$5001,1,Prensa!$G$2:$G$5001,1),""))</f>
        <v>0</v>
      </c>
      <c r="E261" s="27">
        <f>IF(A261="","",IFERROR(AVERAGEIFS(Prensa!$B$2:$B$5001,Prensa!$E$2:$E$5001,N261,Prensa!$F$2:$F$5001,2,Prensa!$G$2:$G$5001,1),""))</f>
        <v>0</v>
      </c>
      <c r="F261" s="27">
        <f>IF(A261="","",IFERROR(AVERAGEIFS(Prensa!$B$2:$B$5001,Prensa!$E$2:$E$5001,N261,Prensa!$F$2:$F$5001,3,Prensa!$G$2:$G$5001,1),""))</f>
        <v>0</v>
      </c>
      <c r="G261" s="27">
        <f>IF(A261="","",IFERROR(AVERAGEIFS(Prensa!$B$2:$B$5001,Prensa!$E$2:$E$5001,N261,Prensa!$F$2:$F$5001,4,Prensa!$G$2:$G$5001,1),""))</f>
        <v>0</v>
      </c>
      <c r="H261" s="26">
        <f>IF(A261="","",COUNT(D261:G261))</f>
        <v>0</v>
      </c>
      <c r="I261" s="27">
        <f>IF(A261="","",IF(H261=0,"",AVERAGE(D261:G261)))</f>
        <v>0</v>
      </c>
      <c r="J261" s="27">
        <f>IF(OR(I261="",C261=""),"",I261-C261)</f>
        <v>0</v>
      </c>
      <c r="K261" s="26">
        <f>IF(A261="","",IF(MES!E261&lt;&gt;4,"Horário do MES fora do padrão",IF(H261&lt;cfgMinCortes,"Cortes insuficientes","Válida")))</f>
        <v>0</v>
      </c>
      <c r="L261" s="27">
        <f>IF(K261="Válida",ABS(J261),"")</f>
        <v>0</v>
      </c>
      <c r="M261" s="26">
        <f>IF(K261="Válida",IF(L261&lt;=cfgTolerancia,"Sim","Não"),"")</f>
        <v>0</v>
      </c>
      <c r="N261" s="26">
        <f>IF(A261="","",MES!D261)</f>
        <v>0</v>
      </c>
      <c r="O261" s="25">
        <f>IF(K261="Válida",A261,NA())</f>
        <v>0</v>
      </c>
      <c r="P261" s="27">
        <f>IF(K261="Válida",C261,NA())</f>
        <v>0</v>
      </c>
      <c r="Q261" s="27">
        <f>IF(K261="Válida",I261,NA())</f>
        <v>0</v>
      </c>
      <c r="R261" s="27">
        <f>IF(K261="Válida",J261,NA())</f>
        <v>0</v>
      </c>
      <c r="S261" s="27">
        <f>IF(K261="Válida",C261,"")</f>
        <v>0</v>
      </c>
      <c r="T261" s="27">
        <f>IF(K261="Válida",I261,"")</f>
        <v>0</v>
      </c>
      <c r="U261" s="27">
        <f>IF(K261="Válida",J261,"")</f>
        <v>0</v>
      </c>
    </row>
    <row r="262" spans="1:21">
      <c r="A262" s="25">
        <f>IF(MES!A262="","",MES!C262/48)</f>
        <v>0</v>
      </c>
      <c r="B262" s="26">
        <f>IF(A262="","",TEXT((N262*4+cfgDeslocamento)/48,"hh:mm")&amp;" a "&amp;TEXT(A262,"hh:mm"))</f>
        <v>0</v>
      </c>
      <c r="C262" s="27">
        <f>IF(A262="","",MES!B262)</f>
        <v>0</v>
      </c>
      <c r="D262" s="27">
        <f>IF(A262="","",IFERROR(AVERAGEIFS(Prensa!$B$2:$B$5001,Prensa!$E$2:$E$5001,N262,Prensa!$F$2:$F$5001,1,Prensa!$G$2:$G$5001,1),""))</f>
        <v>0</v>
      </c>
      <c r="E262" s="27">
        <f>IF(A262="","",IFERROR(AVERAGEIFS(Prensa!$B$2:$B$5001,Prensa!$E$2:$E$5001,N262,Prensa!$F$2:$F$5001,2,Prensa!$G$2:$G$5001,1),""))</f>
        <v>0</v>
      </c>
      <c r="F262" s="27">
        <f>IF(A262="","",IFERROR(AVERAGEIFS(Prensa!$B$2:$B$5001,Prensa!$E$2:$E$5001,N262,Prensa!$F$2:$F$5001,3,Prensa!$G$2:$G$5001,1),""))</f>
        <v>0</v>
      </c>
      <c r="G262" s="27">
        <f>IF(A262="","",IFERROR(AVERAGEIFS(Prensa!$B$2:$B$5001,Prensa!$E$2:$E$5001,N262,Prensa!$F$2:$F$5001,4,Prensa!$G$2:$G$5001,1),""))</f>
        <v>0</v>
      </c>
      <c r="H262" s="26">
        <f>IF(A262="","",COUNT(D262:G262))</f>
        <v>0</v>
      </c>
      <c r="I262" s="27">
        <f>IF(A262="","",IF(H262=0,"",AVERAGE(D262:G262)))</f>
        <v>0</v>
      </c>
      <c r="J262" s="27">
        <f>IF(OR(I262="",C262=""),"",I262-C262)</f>
        <v>0</v>
      </c>
      <c r="K262" s="26">
        <f>IF(A262="","",IF(MES!E262&lt;&gt;4,"Horário do MES fora do padrão",IF(H262&lt;cfgMinCortes,"Cortes insuficientes","Válida")))</f>
        <v>0</v>
      </c>
      <c r="L262" s="27">
        <f>IF(K262="Válida",ABS(J262),"")</f>
        <v>0</v>
      </c>
      <c r="M262" s="26">
        <f>IF(K262="Válida",IF(L262&lt;=cfgTolerancia,"Sim","Não"),"")</f>
        <v>0</v>
      </c>
      <c r="N262" s="26">
        <f>IF(A262="","",MES!D262)</f>
        <v>0</v>
      </c>
      <c r="O262" s="25">
        <f>IF(K262="Válida",A262,NA())</f>
        <v>0</v>
      </c>
      <c r="P262" s="27">
        <f>IF(K262="Válida",C262,NA())</f>
        <v>0</v>
      </c>
      <c r="Q262" s="27">
        <f>IF(K262="Válida",I262,NA())</f>
        <v>0</v>
      </c>
      <c r="R262" s="27">
        <f>IF(K262="Válida",J262,NA())</f>
        <v>0</v>
      </c>
      <c r="S262" s="27">
        <f>IF(K262="Válida",C262,"")</f>
        <v>0</v>
      </c>
      <c r="T262" s="27">
        <f>IF(K262="Válida",I262,"")</f>
        <v>0</v>
      </c>
      <c r="U262" s="27">
        <f>IF(K262="Válida",J262,"")</f>
        <v>0</v>
      </c>
    </row>
    <row r="263" spans="1:21">
      <c r="A263" s="25">
        <f>IF(MES!A263="","",MES!C263/48)</f>
        <v>0</v>
      </c>
      <c r="B263" s="26">
        <f>IF(A263="","",TEXT((N263*4+cfgDeslocamento)/48,"hh:mm")&amp;" a "&amp;TEXT(A263,"hh:mm"))</f>
        <v>0</v>
      </c>
      <c r="C263" s="27">
        <f>IF(A263="","",MES!B263)</f>
        <v>0</v>
      </c>
      <c r="D263" s="27">
        <f>IF(A263="","",IFERROR(AVERAGEIFS(Prensa!$B$2:$B$5001,Prensa!$E$2:$E$5001,N263,Prensa!$F$2:$F$5001,1,Prensa!$G$2:$G$5001,1),""))</f>
        <v>0</v>
      </c>
      <c r="E263" s="27">
        <f>IF(A263="","",IFERROR(AVERAGEIFS(Prensa!$B$2:$B$5001,Prensa!$E$2:$E$5001,N263,Prensa!$F$2:$F$5001,2,Prensa!$G$2:$G$5001,1),""))</f>
        <v>0</v>
      </c>
      <c r="F263" s="27">
        <f>IF(A263="","",IFERROR(AVERAGEIFS(Prensa!$B$2:$B$5001,Prensa!$E$2:$E$5001,N263,Prensa!$F$2:$F$5001,3,Prensa!$G$2:$G$5001,1),""))</f>
        <v>0</v>
      </c>
      <c r="G263" s="27">
        <f>IF(A263="","",IFERROR(AVERAGEIFS(Prensa!$B$2:$B$5001,Prensa!$E$2:$E$5001,N263,Prensa!$F$2:$F$5001,4,Prensa!$G$2:$G$5001,1),""))</f>
        <v>0</v>
      </c>
      <c r="H263" s="26">
        <f>IF(A263="","",COUNT(D263:G263))</f>
        <v>0</v>
      </c>
      <c r="I263" s="27">
        <f>IF(A263="","",IF(H263=0,"",AVERAGE(D263:G263)))</f>
        <v>0</v>
      </c>
      <c r="J263" s="27">
        <f>IF(OR(I263="",C263=""),"",I263-C263)</f>
        <v>0</v>
      </c>
      <c r="K263" s="26">
        <f>IF(A263="","",IF(MES!E263&lt;&gt;4,"Horário do MES fora do padrão",IF(H263&lt;cfgMinCortes,"Cortes insuficientes","Válida")))</f>
        <v>0</v>
      </c>
      <c r="L263" s="27">
        <f>IF(K263="Válida",ABS(J263),"")</f>
        <v>0</v>
      </c>
      <c r="M263" s="26">
        <f>IF(K263="Válida",IF(L263&lt;=cfgTolerancia,"Sim","Não"),"")</f>
        <v>0</v>
      </c>
      <c r="N263" s="26">
        <f>IF(A263="","",MES!D263)</f>
        <v>0</v>
      </c>
      <c r="O263" s="25">
        <f>IF(K263="Válida",A263,NA())</f>
        <v>0</v>
      </c>
      <c r="P263" s="27">
        <f>IF(K263="Válida",C263,NA())</f>
        <v>0</v>
      </c>
      <c r="Q263" s="27">
        <f>IF(K263="Válida",I263,NA())</f>
        <v>0</v>
      </c>
      <c r="R263" s="27">
        <f>IF(K263="Válida",J263,NA())</f>
        <v>0</v>
      </c>
      <c r="S263" s="27">
        <f>IF(K263="Válida",C263,"")</f>
        <v>0</v>
      </c>
      <c r="T263" s="27">
        <f>IF(K263="Válida",I263,"")</f>
        <v>0</v>
      </c>
      <c r="U263" s="27">
        <f>IF(K263="Válida",J263,"")</f>
        <v>0</v>
      </c>
    </row>
    <row r="264" spans="1:21">
      <c r="A264" s="25">
        <f>IF(MES!A264="","",MES!C264/48)</f>
        <v>0</v>
      </c>
      <c r="B264" s="26">
        <f>IF(A264="","",TEXT((N264*4+cfgDeslocamento)/48,"hh:mm")&amp;" a "&amp;TEXT(A264,"hh:mm"))</f>
        <v>0</v>
      </c>
      <c r="C264" s="27">
        <f>IF(A264="","",MES!B264)</f>
        <v>0</v>
      </c>
      <c r="D264" s="27">
        <f>IF(A264="","",IFERROR(AVERAGEIFS(Prensa!$B$2:$B$5001,Prensa!$E$2:$E$5001,N264,Prensa!$F$2:$F$5001,1,Prensa!$G$2:$G$5001,1),""))</f>
        <v>0</v>
      </c>
      <c r="E264" s="27">
        <f>IF(A264="","",IFERROR(AVERAGEIFS(Prensa!$B$2:$B$5001,Prensa!$E$2:$E$5001,N264,Prensa!$F$2:$F$5001,2,Prensa!$G$2:$G$5001,1),""))</f>
        <v>0</v>
      </c>
      <c r="F264" s="27">
        <f>IF(A264="","",IFERROR(AVERAGEIFS(Prensa!$B$2:$B$5001,Prensa!$E$2:$E$5001,N264,Prensa!$F$2:$F$5001,3,Prensa!$G$2:$G$5001,1),""))</f>
        <v>0</v>
      </c>
      <c r="G264" s="27">
        <f>IF(A264="","",IFERROR(AVERAGEIFS(Prensa!$B$2:$B$5001,Prensa!$E$2:$E$5001,N264,Prensa!$F$2:$F$5001,4,Prensa!$G$2:$G$5001,1),""))</f>
        <v>0</v>
      </c>
      <c r="H264" s="26">
        <f>IF(A264="","",COUNT(D264:G264))</f>
        <v>0</v>
      </c>
      <c r="I264" s="27">
        <f>IF(A264="","",IF(H264=0,"",AVERAGE(D264:G264)))</f>
        <v>0</v>
      </c>
      <c r="J264" s="27">
        <f>IF(OR(I264="",C264=""),"",I264-C264)</f>
        <v>0</v>
      </c>
      <c r="K264" s="26">
        <f>IF(A264="","",IF(MES!E264&lt;&gt;4,"Horário do MES fora do padrão",IF(H264&lt;cfgMinCortes,"Cortes insuficientes","Válida")))</f>
        <v>0</v>
      </c>
      <c r="L264" s="27">
        <f>IF(K264="Válida",ABS(J264),"")</f>
        <v>0</v>
      </c>
      <c r="M264" s="26">
        <f>IF(K264="Válida",IF(L264&lt;=cfgTolerancia,"Sim","Não"),"")</f>
        <v>0</v>
      </c>
      <c r="N264" s="26">
        <f>IF(A264="","",MES!D264)</f>
        <v>0</v>
      </c>
      <c r="O264" s="25">
        <f>IF(K264="Válida",A264,NA())</f>
        <v>0</v>
      </c>
      <c r="P264" s="27">
        <f>IF(K264="Válida",C264,NA())</f>
        <v>0</v>
      </c>
      <c r="Q264" s="27">
        <f>IF(K264="Válida",I264,NA())</f>
        <v>0</v>
      </c>
      <c r="R264" s="27">
        <f>IF(K264="Válida",J264,NA())</f>
        <v>0</v>
      </c>
      <c r="S264" s="27">
        <f>IF(K264="Válida",C264,"")</f>
        <v>0</v>
      </c>
      <c r="T264" s="27">
        <f>IF(K264="Válida",I264,"")</f>
        <v>0</v>
      </c>
      <c r="U264" s="27">
        <f>IF(K264="Válida",J264,"")</f>
        <v>0</v>
      </c>
    </row>
    <row r="265" spans="1:21">
      <c r="A265" s="25">
        <f>IF(MES!A265="","",MES!C265/48)</f>
        <v>0</v>
      </c>
      <c r="B265" s="26">
        <f>IF(A265="","",TEXT((N265*4+cfgDeslocamento)/48,"hh:mm")&amp;" a "&amp;TEXT(A265,"hh:mm"))</f>
        <v>0</v>
      </c>
      <c r="C265" s="27">
        <f>IF(A265="","",MES!B265)</f>
        <v>0</v>
      </c>
      <c r="D265" s="27">
        <f>IF(A265="","",IFERROR(AVERAGEIFS(Prensa!$B$2:$B$5001,Prensa!$E$2:$E$5001,N265,Prensa!$F$2:$F$5001,1,Prensa!$G$2:$G$5001,1),""))</f>
        <v>0</v>
      </c>
      <c r="E265" s="27">
        <f>IF(A265="","",IFERROR(AVERAGEIFS(Prensa!$B$2:$B$5001,Prensa!$E$2:$E$5001,N265,Prensa!$F$2:$F$5001,2,Prensa!$G$2:$G$5001,1),""))</f>
        <v>0</v>
      </c>
      <c r="F265" s="27">
        <f>IF(A265="","",IFERROR(AVERAGEIFS(Prensa!$B$2:$B$5001,Prensa!$E$2:$E$5001,N265,Prensa!$F$2:$F$5001,3,Prensa!$G$2:$G$5001,1),""))</f>
        <v>0</v>
      </c>
      <c r="G265" s="27">
        <f>IF(A265="","",IFERROR(AVERAGEIFS(Prensa!$B$2:$B$5001,Prensa!$E$2:$E$5001,N265,Prensa!$F$2:$F$5001,4,Prensa!$G$2:$G$5001,1),""))</f>
        <v>0</v>
      </c>
      <c r="H265" s="26">
        <f>IF(A265="","",COUNT(D265:G265))</f>
        <v>0</v>
      </c>
      <c r="I265" s="27">
        <f>IF(A265="","",IF(H265=0,"",AVERAGE(D265:G265)))</f>
        <v>0</v>
      </c>
      <c r="J265" s="27">
        <f>IF(OR(I265="",C265=""),"",I265-C265)</f>
        <v>0</v>
      </c>
      <c r="K265" s="26">
        <f>IF(A265="","",IF(MES!E265&lt;&gt;4,"Horário do MES fora do padrão",IF(H265&lt;cfgMinCortes,"Cortes insuficientes","Válida")))</f>
        <v>0</v>
      </c>
      <c r="L265" s="27">
        <f>IF(K265="Válida",ABS(J265),"")</f>
        <v>0</v>
      </c>
      <c r="M265" s="26">
        <f>IF(K265="Válida",IF(L265&lt;=cfgTolerancia,"Sim","Não"),"")</f>
        <v>0</v>
      </c>
      <c r="N265" s="26">
        <f>IF(A265="","",MES!D265)</f>
        <v>0</v>
      </c>
      <c r="O265" s="25">
        <f>IF(K265="Válida",A265,NA())</f>
        <v>0</v>
      </c>
      <c r="P265" s="27">
        <f>IF(K265="Válida",C265,NA())</f>
        <v>0</v>
      </c>
      <c r="Q265" s="27">
        <f>IF(K265="Válida",I265,NA())</f>
        <v>0</v>
      </c>
      <c r="R265" s="27">
        <f>IF(K265="Válida",J265,NA())</f>
        <v>0</v>
      </c>
      <c r="S265" s="27">
        <f>IF(K265="Válida",C265,"")</f>
        <v>0</v>
      </c>
      <c r="T265" s="27">
        <f>IF(K265="Válida",I265,"")</f>
        <v>0</v>
      </c>
      <c r="U265" s="27">
        <f>IF(K265="Válida",J265,"")</f>
        <v>0</v>
      </c>
    </row>
    <row r="266" spans="1:21">
      <c r="A266" s="25">
        <f>IF(MES!A266="","",MES!C266/48)</f>
        <v>0</v>
      </c>
      <c r="B266" s="26">
        <f>IF(A266="","",TEXT((N266*4+cfgDeslocamento)/48,"hh:mm")&amp;" a "&amp;TEXT(A266,"hh:mm"))</f>
        <v>0</v>
      </c>
      <c r="C266" s="27">
        <f>IF(A266="","",MES!B266)</f>
        <v>0</v>
      </c>
      <c r="D266" s="27">
        <f>IF(A266="","",IFERROR(AVERAGEIFS(Prensa!$B$2:$B$5001,Prensa!$E$2:$E$5001,N266,Prensa!$F$2:$F$5001,1,Prensa!$G$2:$G$5001,1),""))</f>
        <v>0</v>
      </c>
      <c r="E266" s="27">
        <f>IF(A266="","",IFERROR(AVERAGEIFS(Prensa!$B$2:$B$5001,Prensa!$E$2:$E$5001,N266,Prensa!$F$2:$F$5001,2,Prensa!$G$2:$G$5001,1),""))</f>
        <v>0</v>
      </c>
      <c r="F266" s="27">
        <f>IF(A266="","",IFERROR(AVERAGEIFS(Prensa!$B$2:$B$5001,Prensa!$E$2:$E$5001,N266,Prensa!$F$2:$F$5001,3,Prensa!$G$2:$G$5001,1),""))</f>
        <v>0</v>
      </c>
      <c r="G266" s="27">
        <f>IF(A266="","",IFERROR(AVERAGEIFS(Prensa!$B$2:$B$5001,Prensa!$E$2:$E$5001,N266,Prensa!$F$2:$F$5001,4,Prensa!$G$2:$G$5001,1),""))</f>
        <v>0</v>
      </c>
      <c r="H266" s="26">
        <f>IF(A266="","",COUNT(D266:G266))</f>
        <v>0</v>
      </c>
      <c r="I266" s="27">
        <f>IF(A266="","",IF(H266=0,"",AVERAGE(D266:G266)))</f>
        <v>0</v>
      </c>
      <c r="J266" s="27">
        <f>IF(OR(I266="",C266=""),"",I266-C266)</f>
        <v>0</v>
      </c>
      <c r="K266" s="26">
        <f>IF(A266="","",IF(MES!E266&lt;&gt;4,"Horário do MES fora do padrão",IF(H266&lt;cfgMinCortes,"Cortes insuficientes","Válida")))</f>
        <v>0</v>
      </c>
      <c r="L266" s="27">
        <f>IF(K266="Válida",ABS(J266),"")</f>
        <v>0</v>
      </c>
      <c r="M266" s="26">
        <f>IF(K266="Válida",IF(L266&lt;=cfgTolerancia,"Sim","Não"),"")</f>
        <v>0</v>
      </c>
      <c r="N266" s="26">
        <f>IF(A266="","",MES!D266)</f>
        <v>0</v>
      </c>
      <c r="O266" s="25">
        <f>IF(K266="Válida",A266,NA())</f>
        <v>0</v>
      </c>
      <c r="P266" s="27">
        <f>IF(K266="Válida",C266,NA())</f>
        <v>0</v>
      </c>
      <c r="Q266" s="27">
        <f>IF(K266="Válida",I266,NA())</f>
        <v>0</v>
      </c>
      <c r="R266" s="27">
        <f>IF(K266="Válida",J266,NA())</f>
        <v>0</v>
      </c>
      <c r="S266" s="27">
        <f>IF(K266="Válida",C266,"")</f>
        <v>0</v>
      </c>
      <c r="T266" s="27">
        <f>IF(K266="Válida",I266,"")</f>
        <v>0</v>
      </c>
      <c r="U266" s="27">
        <f>IF(K266="Válida",J266,"")</f>
        <v>0</v>
      </c>
    </row>
    <row r="267" spans="1:21">
      <c r="A267" s="25">
        <f>IF(MES!A267="","",MES!C267/48)</f>
        <v>0</v>
      </c>
      <c r="B267" s="26">
        <f>IF(A267="","",TEXT((N267*4+cfgDeslocamento)/48,"hh:mm")&amp;" a "&amp;TEXT(A267,"hh:mm"))</f>
        <v>0</v>
      </c>
      <c r="C267" s="27">
        <f>IF(A267="","",MES!B267)</f>
        <v>0</v>
      </c>
      <c r="D267" s="27">
        <f>IF(A267="","",IFERROR(AVERAGEIFS(Prensa!$B$2:$B$5001,Prensa!$E$2:$E$5001,N267,Prensa!$F$2:$F$5001,1,Prensa!$G$2:$G$5001,1),""))</f>
        <v>0</v>
      </c>
      <c r="E267" s="27">
        <f>IF(A267="","",IFERROR(AVERAGEIFS(Prensa!$B$2:$B$5001,Prensa!$E$2:$E$5001,N267,Prensa!$F$2:$F$5001,2,Prensa!$G$2:$G$5001,1),""))</f>
        <v>0</v>
      </c>
      <c r="F267" s="27">
        <f>IF(A267="","",IFERROR(AVERAGEIFS(Prensa!$B$2:$B$5001,Prensa!$E$2:$E$5001,N267,Prensa!$F$2:$F$5001,3,Prensa!$G$2:$G$5001,1),""))</f>
        <v>0</v>
      </c>
      <c r="G267" s="27">
        <f>IF(A267="","",IFERROR(AVERAGEIFS(Prensa!$B$2:$B$5001,Prensa!$E$2:$E$5001,N267,Prensa!$F$2:$F$5001,4,Prensa!$G$2:$G$5001,1),""))</f>
        <v>0</v>
      </c>
      <c r="H267" s="26">
        <f>IF(A267="","",COUNT(D267:G267))</f>
        <v>0</v>
      </c>
      <c r="I267" s="27">
        <f>IF(A267="","",IF(H267=0,"",AVERAGE(D267:G267)))</f>
        <v>0</v>
      </c>
      <c r="J267" s="27">
        <f>IF(OR(I267="",C267=""),"",I267-C267)</f>
        <v>0</v>
      </c>
      <c r="K267" s="26">
        <f>IF(A267="","",IF(MES!E267&lt;&gt;4,"Horário do MES fora do padrão",IF(H267&lt;cfgMinCortes,"Cortes insuficientes","Válida")))</f>
        <v>0</v>
      </c>
      <c r="L267" s="27">
        <f>IF(K267="Válida",ABS(J267),"")</f>
        <v>0</v>
      </c>
      <c r="M267" s="26">
        <f>IF(K267="Válida",IF(L267&lt;=cfgTolerancia,"Sim","Não"),"")</f>
        <v>0</v>
      </c>
      <c r="N267" s="26">
        <f>IF(A267="","",MES!D267)</f>
        <v>0</v>
      </c>
      <c r="O267" s="25">
        <f>IF(K267="Válida",A267,NA())</f>
        <v>0</v>
      </c>
      <c r="P267" s="27">
        <f>IF(K267="Válida",C267,NA())</f>
        <v>0</v>
      </c>
      <c r="Q267" s="27">
        <f>IF(K267="Válida",I267,NA())</f>
        <v>0</v>
      </c>
      <c r="R267" s="27">
        <f>IF(K267="Válida",J267,NA())</f>
        <v>0</v>
      </c>
      <c r="S267" s="27">
        <f>IF(K267="Válida",C267,"")</f>
        <v>0</v>
      </c>
      <c r="T267" s="27">
        <f>IF(K267="Válida",I267,"")</f>
        <v>0</v>
      </c>
      <c r="U267" s="27">
        <f>IF(K267="Válida",J267,"")</f>
        <v>0</v>
      </c>
    </row>
    <row r="268" spans="1:21">
      <c r="A268" s="25">
        <f>IF(MES!A268="","",MES!C268/48)</f>
        <v>0</v>
      </c>
      <c r="B268" s="26">
        <f>IF(A268="","",TEXT((N268*4+cfgDeslocamento)/48,"hh:mm")&amp;" a "&amp;TEXT(A268,"hh:mm"))</f>
        <v>0</v>
      </c>
      <c r="C268" s="27">
        <f>IF(A268="","",MES!B268)</f>
        <v>0</v>
      </c>
      <c r="D268" s="27">
        <f>IF(A268="","",IFERROR(AVERAGEIFS(Prensa!$B$2:$B$5001,Prensa!$E$2:$E$5001,N268,Prensa!$F$2:$F$5001,1,Prensa!$G$2:$G$5001,1),""))</f>
        <v>0</v>
      </c>
      <c r="E268" s="27">
        <f>IF(A268="","",IFERROR(AVERAGEIFS(Prensa!$B$2:$B$5001,Prensa!$E$2:$E$5001,N268,Prensa!$F$2:$F$5001,2,Prensa!$G$2:$G$5001,1),""))</f>
        <v>0</v>
      </c>
      <c r="F268" s="27">
        <f>IF(A268="","",IFERROR(AVERAGEIFS(Prensa!$B$2:$B$5001,Prensa!$E$2:$E$5001,N268,Prensa!$F$2:$F$5001,3,Prensa!$G$2:$G$5001,1),""))</f>
        <v>0</v>
      </c>
      <c r="G268" s="27">
        <f>IF(A268="","",IFERROR(AVERAGEIFS(Prensa!$B$2:$B$5001,Prensa!$E$2:$E$5001,N268,Prensa!$F$2:$F$5001,4,Prensa!$G$2:$G$5001,1),""))</f>
        <v>0</v>
      </c>
      <c r="H268" s="26">
        <f>IF(A268="","",COUNT(D268:G268))</f>
        <v>0</v>
      </c>
      <c r="I268" s="27">
        <f>IF(A268="","",IF(H268=0,"",AVERAGE(D268:G268)))</f>
        <v>0</v>
      </c>
      <c r="J268" s="27">
        <f>IF(OR(I268="",C268=""),"",I268-C268)</f>
        <v>0</v>
      </c>
      <c r="K268" s="26">
        <f>IF(A268="","",IF(MES!E268&lt;&gt;4,"Horário do MES fora do padrão",IF(H268&lt;cfgMinCortes,"Cortes insuficientes","Válida")))</f>
        <v>0</v>
      </c>
      <c r="L268" s="27">
        <f>IF(K268="Válida",ABS(J268),"")</f>
        <v>0</v>
      </c>
      <c r="M268" s="26">
        <f>IF(K268="Válida",IF(L268&lt;=cfgTolerancia,"Sim","Não"),"")</f>
        <v>0</v>
      </c>
      <c r="N268" s="26">
        <f>IF(A268="","",MES!D268)</f>
        <v>0</v>
      </c>
      <c r="O268" s="25">
        <f>IF(K268="Válida",A268,NA())</f>
        <v>0</v>
      </c>
      <c r="P268" s="27">
        <f>IF(K268="Válida",C268,NA())</f>
        <v>0</v>
      </c>
      <c r="Q268" s="27">
        <f>IF(K268="Válida",I268,NA())</f>
        <v>0</v>
      </c>
      <c r="R268" s="27">
        <f>IF(K268="Válida",J268,NA())</f>
        <v>0</v>
      </c>
      <c r="S268" s="27">
        <f>IF(K268="Válida",C268,"")</f>
        <v>0</v>
      </c>
      <c r="T268" s="27">
        <f>IF(K268="Válida",I268,"")</f>
        <v>0</v>
      </c>
      <c r="U268" s="27">
        <f>IF(K268="Válida",J268,"")</f>
        <v>0</v>
      </c>
    </row>
    <row r="269" spans="1:21">
      <c r="A269" s="25">
        <f>IF(MES!A269="","",MES!C269/48)</f>
        <v>0</v>
      </c>
      <c r="B269" s="26">
        <f>IF(A269="","",TEXT((N269*4+cfgDeslocamento)/48,"hh:mm")&amp;" a "&amp;TEXT(A269,"hh:mm"))</f>
        <v>0</v>
      </c>
      <c r="C269" s="27">
        <f>IF(A269="","",MES!B269)</f>
        <v>0</v>
      </c>
      <c r="D269" s="27">
        <f>IF(A269="","",IFERROR(AVERAGEIFS(Prensa!$B$2:$B$5001,Prensa!$E$2:$E$5001,N269,Prensa!$F$2:$F$5001,1,Prensa!$G$2:$G$5001,1),""))</f>
        <v>0</v>
      </c>
      <c r="E269" s="27">
        <f>IF(A269="","",IFERROR(AVERAGEIFS(Prensa!$B$2:$B$5001,Prensa!$E$2:$E$5001,N269,Prensa!$F$2:$F$5001,2,Prensa!$G$2:$G$5001,1),""))</f>
        <v>0</v>
      </c>
      <c r="F269" s="27">
        <f>IF(A269="","",IFERROR(AVERAGEIFS(Prensa!$B$2:$B$5001,Prensa!$E$2:$E$5001,N269,Prensa!$F$2:$F$5001,3,Prensa!$G$2:$G$5001,1),""))</f>
        <v>0</v>
      </c>
      <c r="G269" s="27">
        <f>IF(A269="","",IFERROR(AVERAGEIFS(Prensa!$B$2:$B$5001,Prensa!$E$2:$E$5001,N269,Prensa!$F$2:$F$5001,4,Prensa!$G$2:$G$5001,1),""))</f>
        <v>0</v>
      </c>
      <c r="H269" s="26">
        <f>IF(A269="","",COUNT(D269:G269))</f>
        <v>0</v>
      </c>
      <c r="I269" s="27">
        <f>IF(A269="","",IF(H269=0,"",AVERAGE(D269:G269)))</f>
        <v>0</v>
      </c>
      <c r="J269" s="27">
        <f>IF(OR(I269="",C269=""),"",I269-C269)</f>
        <v>0</v>
      </c>
      <c r="K269" s="26">
        <f>IF(A269="","",IF(MES!E269&lt;&gt;4,"Horário do MES fora do padrão",IF(H269&lt;cfgMinCortes,"Cortes insuficientes","Válida")))</f>
        <v>0</v>
      </c>
      <c r="L269" s="27">
        <f>IF(K269="Válida",ABS(J269),"")</f>
        <v>0</v>
      </c>
      <c r="M269" s="26">
        <f>IF(K269="Válida",IF(L269&lt;=cfgTolerancia,"Sim","Não"),"")</f>
        <v>0</v>
      </c>
      <c r="N269" s="26">
        <f>IF(A269="","",MES!D269)</f>
        <v>0</v>
      </c>
      <c r="O269" s="25">
        <f>IF(K269="Válida",A269,NA())</f>
        <v>0</v>
      </c>
      <c r="P269" s="27">
        <f>IF(K269="Válida",C269,NA())</f>
        <v>0</v>
      </c>
      <c r="Q269" s="27">
        <f>IF(K269="Válida",I269,NA())</f>
        <v>0</v>
      </c>
      <c r="R269" s="27">
        <f>IF(K269="Válida",J269,NA())</f>
        <v>0</v>
      </c>
      <c r="S269" s="27">
        <f>IF(K269="Válida",C269,"")</f>
        <v>0</v>
      </c>
      <c r="T269" s="27">
        <f>IF(K269="Válida",I269,"")</f>
        <v>0</v>
      </c>
      <c r="U269" s="27">
        <f>IF(K269="Válida",J269,"")</f>
        <v>0</v>
      </c>
    </row>
    <row r="270" spans="1:21">
      <c r="A270" s="25">
        <f>IF(MES!A270="","",MES!C270/48)</f>
        <v>0</v>
      </c>
      <c r="B270" s="26">
        <f>IF(A270="","",TEXT((N270*4+cfgDeslocamento)/48,"hh:mm")&amp;" a "&amp;TEXT(A270,"hh:mm"))</f>
        <v>0</v>
      </c>
      <c r="C270" s="27">
        <f>IF(A270="","",MES!B270)</f>
        <v>0</v>
      </c>
      <c r="D270" s="27">
        <f>IF(A270="","",IFERROR(AVERAGEIFS(Prensa!$B$2:$B$5001,Prensa!$E$2:$E$5001,N270,Prensa!$F$2:$F$5001,1,Prensa!$G$2:$G$5001,1),""))</f>
        <v>0</v>
      </c>
      <c r="E270" s="27">
        <f>IF(A270="","",IFERROR(AVERAGEIFS(Prensa!$B$2:$B$5001,Prensa!$E$2:$E$5001,N270,Prensa!$F$2:$F$5001,2,Prensa!$G$2:$G$5001,1),""))</f>
        <v>0</v>
      </c>
      <c r="F270" s="27">
        <f>IF(A270="","",IFERROR(AVERAGEIFS(Prensa!$B$2:$B$5001,Prensa!$E$2:$E$5001,N270,Prensa!$F$2:$F$5001,3,Prensa!$G$2:$G$5001,1),""))</f>
        <v>0</v>
      </c>
      <c r="G270" s="27">
        <f>IF(A270="","",IFERROR(AVERAGEIFS(Prensa!$B$2:$B$5001,Prensa!$E$2:$E$5001,N270,Prensa!$F$2:$F$5001,4,Prensa!$G$2:$G$5001,1),""))</f>
        <v>0</v>
      </c>
      <c r="H270" s="26">
        <f>IF(A270="","",COUNT(D270:G270))</f>
        <v>0</v>
      </c>
      <c r="I270" s="27">
        <f>IF(A270="","",IF(H270=0,"",AVERAGE(D270:G270)))</f>
        <v>0</v>
      </c>
      <c r="J270" s="27">
        <f>IF(OR(I270="",C270=""),"",I270-C270)</f>
        <v>0</v>
      </c>
      <c r="K270" s="26">
        <f>IF(A270="","",IF(MES!E270&lt;&gt;4,"Horário do MES fora do padrão",IF(H270&lt;cfgMinCortes,"Cortes insuficientes","Válida")))</f>
        <v>0</v>
      </c>
      <c r="L270" s="27">
        <f>IF(K270="Válida",ABS(J270),"")</f>
        <v>0</v>
      </c>
      <c r="M270" s="26">
        <f>IF(K270="Válida",IF(L270&lt;=cfgTolerancia,"Sim","Não"),"")</f>
        <v>0</v>
      </c>
      <c r="N270" s="26">
        <f>IF(A270="","",MES!D270)</f>
        <v>0</v>
      </c>
      <c r="O270" s="25">
        <f>IF(K270="Válida",A270,NA())</f>
        <v>0</v>
      </c>
      <c r="P270" s="27">
        <f>IF(K270="Válida",C270,NA())</f>
        <v>0</v>
      </c>
      <c r="Q270" s="27">
        <f>IF(K270="Válida",I270,NA())</f>
        <v>0</v>
      </c>
      <c r="R270" s="27">
        <f>IF(K270="Válida",J270,NA())</f>
        <v>0</v>
      </c>
      <c r="S270" s="27">
        <f>IF(K270="Válida",C270,"")</f>
        <v>0</v>
      </c>
      <c r="T270" s="27">
        <f>IF(K270="Válida",I270,"")</f>
        <v>0</v>
      </c>
      <c r="U270" s="27">
        <f>IF(K270="Válida",J270,"")</f>
        <v>0</v>
      </c>
    </row>
    <row r="271" spans="1:21">
      <c r="A271" s="25">
        <f>IF(MES!A271="","",MES!C271/48)</f>
        <v>0</v>
      </c>
      <c r="B271" s="26">
        <f>IF(A271="","",TEXT((N271*4+cfgDeslocamento)/48,"hh:mm")&amp;" a "&amp;TEXT(A271,"hh:mm"))</f>
        <v>0</v>
      </c>
      <c r="C271" s="27">
        <f>IF(A271="","",MES!B271)</f>
        <v>0</v>
      </c>
      <c r="D271" s="27">
        <f>IF(A271="","",IFERROR(AVERAGEIFS(Prensa!$B$2:$B$5001,Prensa!$E$2:$E$5001,N271,Prensa!$F$2:$F$5001,1,Prensa!$G$2:$G$5001,1),""))</f>
        <v>0</v>
      </c>
      <c r="E271" s="27">
        <f>IF(A271="","",IFERROR(AVERAGEIFS(Prensa!$B$2:$B$5001,Prensa!$E$2:$E$5001,N271,Prensa!$F$2:$F$5001,2,Prensa!$G$2:$G$5001,1),""))</f>
        <v>0</v>
      </c>
      <c r="F271" s="27">
        <f>IF(A271="","",IFERROR(AVERAGEIFS(Prensa!$B$2:$B$5001,Prensa!$E$2:$E$5001,N271,Prensa!$F$2:$F$5001,3,Prensa!$G$2:$G$5001,1),""))</f>
        <v>0</v>
      </c>
      <c r="G271" s="27">
        <f>IF(A271="","",IFERROR(AVERAGEIFS(Prensa!$B$2:$B$5001,Prensa!$E$2:$E$5001,N271,Prensa!$F$2:$F$5001,4,Prensa!$G$2:$G$5001,1),""))</f>
        <v>0</v>
      </c>
      <c r="H271" s="26">
        <f>IF(A271="","",COUNT(D271:G271))</f>
        <v>0</v>
      </c>
      <c r="I271" s="27">
        <f>IF(A271="","",IF(H271=0,"",AVERAGE(D271:G271)))</f>
        <v>0</v>
      </c>
      <c r="J271" s="27">
        <f>IF(OR(I271="",C271=""),"",I271-C271)</f>
        <v>0</v>
      </c>
      <c r="K271" s="26">
        <f>IF(A271="","",IF(MES!E271&lt;&gt;4,"Horário do MES fora do padrão",IF(H271&lt;cfgMinCortes,"Cortes insuficientes","Válida")))</f>
        <v>0</v>
      </c>
      <c r="L271" s="27">
        <f>IF(K271="Válida",ABS(J271),"")</f>
        <v>0</v>
      </c>
      <c r="M271" s="26">
        <f>IF(K271="Válida",IF(L271&lt;=cfgTolerancia,"Sim","Não"),"")</f>
        <v>0</v>
      </c>
      <c r="N271" s="26">
        <f>IF(A271="","",MES!D271)</f>
        <v>0</v>
      </c>
      <c r="O271" s="25">
        <f>IF(K271="Válida",A271,NA())</f>
        <v>0</v>
      </c>
      <c r="P271" s="27">
        <f>IF(K271="Válida",C271,NA())</f>
        <v>0</v>
      </c>
      <c r="Q271" s="27">
        <f>IF(K271="Válida",I271,NA())</f>
        <v>0</v>
      </c>
      <c r="R271" s="27">
        <f>IF(K271="Válida",J271,NA())</f>
        <v>0</v>
      </c>
      <c r="S271" s="27">
        <f>IF(K271="Válida",C271,"")</f>
        <v>0</v>
      </c>
      <c r="T271" s="27">
        <f>IF(K271="Válida",I271,"")</f>
        <v>0</v>
      </c>
      <c r="U271" s="27">
        <f>IF(K271="Válida",J271,"")</f>
        <v>0</v>
      </c>
    </row>
    <row r="272" spans="1:21">
      <c r="A272" s="25">
        <f>IF(MES!A272="","",MES!C272/48)</f>
        <v>0</v>
      </c>
      <c r="B272" s="26">
        <f>IF(A272="","",TEXT((N272*4+cfgDeslocamento)/48,"hh:mm")&amp;" a "&amp;TEXT(A272,"hh:mm"))</f>
        <v>0</v>
      </c>
      <c r="C272" s="27">
        <f>IF(A272="","",MES!B272)</f>
        <v>0</v>
      </c>
      <c r="D272" s="27">
        <f>IF(A272="","",IFERROR(AVERAGEIFS(Prensa!$B$2:$B$5001,Prensa!$E$2:$E$5001,N272,Prensa!$F$2:$F$5001,1,Prensa!$G$2:$G$5001,1),""))</f>
        <v>0</v>
      </c>
      <c r="E272" s="27">
        <f>IF(A272="","",IFERROR(AVERAGEIFS(Prensa!$B$2:$B$5001,Prensa!$E$2:$E$5001,N272,Prensa!$F$2:$F$5001,2,Prensa!$G$2:$G$5001,1),""))</f>
        <v>0</v>
      </c>
      <c r="F272" s="27">
        <f>IF(A272="","",IFERROR(AVERAGEIFS(Prensa!$B$2:$B$5001,Prensa!$E$2:$E$5001,N272,Prensa!$F$2:$F$5001,3,Prensa!$G$2:$G$5001,1),""))</f>
        <v>0</v>
      </c>
      <c r="G272" s="27">
        <f>IF(A272="","",IFERROR(AVERAGEIFS(Prensa!$B$2:$B$5001,Prensa!$E$2:$E$5001,N272,Prensa!$F$2:$F$5001,4,Prensa!$G$2:$G$5001,1),""))</f>
        <v>0</v>
      </c>
      <c r="H272" s="26">
        <f>IF(A272="","",COUNT(D272:G272))</f>
        <v>0</v>
      </c>
      <c r="I272" s="27">
        <f>IF(A272="","",IF(H272=0,"",AVERAGE(D272:G272)))</f>
        <v>0</v>
      </c>
      <c r="J272" s="27">
        <f>IF(OR(I272="",C272=""),"",I272-C272)</f>
        <v>0</v>
      </c>
      <c r="K272" s="26">
        <f>IF(A272="","",IF(MES!E272&lt;&gt;4,"Horário do MES fora do padrão",IF(H272&lt;cfgMinCortes,"Cortes insuficientes","Válida")))</f>
        <v>0</v>
      </c>
      <c r="L272" s="27">
        <f>IF(K272="Válida",ABS(J272),"")</f>
        <v>0</v>
      </c>
      <c r="M272" s="26">
        <f>IF(K272="Válida",IF(L272&lt;=cfgTolerancia,"Sim","Não"),"")</f>
        <v>0</v>
      </c>
      <c r="N272" s="26">
        <f>IF(A272="","",MES!D272)</f>
        <v>0</v>
      </c>
      <c r="O272" s="25">
        <f>IF(K272="Válida",A272,NA())</f>
        <v>0</v>
      </c>
      <c r="P272" s="27">
        <f>IF(K272="Válida",C272,NA())</f>
        <v>0</v>
      </c>
      <c r="Q272" s="27">
        <f>IF(K272="Válida",I272,NA())</f>
        <v>0</v>
      </c>
      <c r="R272" s="27">
        <f>IF(K272="Válida",J272,NA())</f>
        <v>0</v>
      </c>
      <c r="S272" s="27">
        <f>IF(K272="Válida",C272,"")</f>
        <v>0</v>
      </c>
      <c r="T272" s="27">
        <f>IF(K272="Válida",I272,"")</f>
        <v>0</v>
      </c>
      <c r="U272" s="27">
        <f>IF(K272="Válida",J272,"")</f>
        <v>0</v>
      </c>
    </row>
    <row r="273" spans="1:21">
      <c r="A273" s="25">
        <f>IF(MES!A273="","",MES!C273/48)</f>
        <v>0</v>
      </c>
      <c r="B273" s="26">
        <f>IF(A273="","",TEXT((N273*4+cfgDeslocamento)/48,"hh:mm")&amp;" a "&amp;TEXT(A273,"hh:mm"))</f>
        <v>0</v>
      </c>
      <c r="C273" s="27">
        <f>IF(A273="","",MES!B273)</f>
        <v>0</v>
      </c>
      <c r="D273" s="27">
        <f>IF(A273="","",IFERROR(AVERAGEIFS(Prensa!$B$2:$B$5001,Prensa!$E$2:$E$5001,N273,Prensa!$F$2:$F$5001,1,Prensa!$G$2:$G$5001,1),""))</f>
        <v>0</v>
      </c>
      <c r="E273" s="27">
        <f>IF(A273="","",IFERROR(AVERAGEIFS(Prensa!$B$2:$B$5001,Prensa!$E$2:$E$5001,N273,Prensa!$F$2:$F$5001,2,Prensa!$G$2:$G$5001,1),""))</f>
        <v>0</v>
      </c>
      <c r="F273" s="27">
        <f>IF(A273="","",IFERROR(AVERAGEIFS(Prensa!$B$2:$B$5001,Prensa!$E$2:$E$5001,N273,Prensa!$F$2:$F$5001,3,Prensa!$G$2:$G$5001,1),""))</f>
        <v>0</v>
      </c>
      <c r="G273" s="27">
        <f>IF(A273="","",IFERROR(AVERAGEIFS(Prensa!$B$2:$B$5001,Prensa!$E$2:$E$5001,N273,Prensa!$F$2:$F$5001,4,Prensa!$G$2:$G$5001,1),""))</f>
        <v>0</v>
      </c>
      <c r="H273" s="26">
        <f>IF(A273="","",COUNT(D273:G273))</f>
        <v>0</v>
      </c>
      <c r="I273" s="27">
        <f>IF(A273="","",IF(H273=0,"",AVERAGE(D273:G273)))</f>
        <v>0</v>
      </c>
      <c r="J273" s="27">
        <f>IF(OR(I273="",C273=""),"",I273-C273)</f>
        <v>0</v>
      </c>
      <c r="K273" s="26">
        <f>IF(A273="","",IF(MES!E273&lt;&gt;4,"Horário do MES fora do padrão",IF(H273&lt;cfgMinCortes,"Cortes insuficientes","Válida")))</f>
        <v>0</v>
      </c>
      <c r="L273" s="27">
        <f>IF(K273="Válida",ABS(J273),"")</f>
        <v>0</v>
      </c>
      <c r="M273" s="26">
        <f>IF(K273="Válida",IF(L273&lt;=cfgTolerancia,"Sim","Não"),"")</f>
        <v>0</v>
      </c>
      <c r="N273" s="26">
        <f>IF(A273="","",MES!D273)</f>
        <v>0</v>
      </c>
      <c r="O273" s="25">
        <f>IF(K273="Válida",A273,NA())</f>
        <v>0</v>
      </c>
      <c r="P273" s="27">
        <f>IF(K273="Válida",C273,NA())</f>
        <v>0</v>
      </c>
      <c r="Q273" s="27">
        <f>IF(K273="Válida",I273,NA())</f>
        <v>0</v>
      </c>
      <c r="R273" s="27">
        <f>IF(K273="Válida",J273,NA())</f>
        <v>0</v>
      </c>
      <c r="S273" s="27">
        <f>IF(K273="Válida",C273,"")</f>
        <v>0</v>
      </c>
      <c r="T273" s="27">
        <f>IF(K273="Válida",I273,"")</f>
        <v>0</v>
      </c>
      <c r="U273" s="27">
        <f>IF(K273="Válida",J273,"")</f>
        <v>0</v>
      </c>
    </row>
    <row r="274" spans="1:21">
      <c r="A274" s="25">
        <f>IF(MES!A274="","",MES!C274/48)</f>
        <v>0</v>
      </c>
      <c r="B274" s="26">
        <f>IF(A274="","",TEXT((N274*4+cfgDeslocamento)/48,"hh:mm")&amp;" a "&amp;TEXT(A274,"hh:mm"))</f>
        <v>0</v>
      </c>
      <c r="C274" s="27">
        <f>IF(A274="","",MES!B274)</f>
        <v>0</v>
      </c>
      <c r="D274" s="27">
        <f>IF(A274="","",IFERROR(AVERAGEIFS(Prensa!$B$2:$B$5001,Prensa!$E$2:$E$5001,N274,Prensa!$F$2:$F$5001,1,Prensa!$G$2:$G$5001,1),""))</f>
        <v>0</v>
      </c>
      <c r="E274" s="27">
        <f>IF(A274="","",IFERROR(AVERAGEIFS(Prensa!$B$2:$B$5001,Prensa!$E$2:$E$5001,N274,Prensa!$F$2:$F$5001,2,Prensa!$G$2:$G$5001,1),""))</f>
        <v>0</v>
      </c>
      <c r="F274" s="27">
        <f>IF(A274="","",IFERROR(AVERAGEIFS(Prensa!$B$2:$B$5001,Prensa!$E$2:$E$5001,N274,Prensa!$F$2:$F$5001,3,Prensa!$G$2:$G$5001,1),""))</f>
        <v>0</v>
      </c>
      <c r="G274" s="27">
        <f>IF(A274="","",IFERROR(AVERAGEIFS(Prensa!$B$2:$B$5001,Prensa!$E$2:$E$5001,N274,Prensa!$F$2:$F$5001,4,Prensa!$G$2:$G$5001,1),""))</f>
        <v>0</v>
      </c>
      <c r="H274" s="26">
        <f>IF(A274="","",COUNT(D274:G274))</f>
        <v>0</v>
      </c>
      <c r="I274" s="27">
        <f>IF(A274="","",IF(H274=0,"",AVERAGE(D274:G274)))</f>
        <v>0</v>
      </c>
      <c r="J274" s="27">
        <f>IF(OR(I274="",C274=""),"",I274-C274)</f>
        <v>0</v>
      </c>
      <c r="K274" s="26">
        <f>IF(A274="","",IF(MES!E274&lt;&gt;4,"Horário do MES fora do padrão",IF(H274&lt;cfgMinCortes,"Cortes insuficientes","Válida")))</f>
        <v>0</v>
      </c>
      <c r="L274" s="27">
        <f>IF(K274="Válida",ABS(J274),"")</f>
        <v>0</v>
      </c>
      <c r="M274" s="26">
        <f>IF(K274="Válida",IF(L274&lt;=cfgTolerancia,"Sim","Não"),"")</f>
        <v>0</v>
      </c>
      <c r="N274" s="26">
        <f>IF(A274="","",MES!D274)</f>
        <v>0</v>
      </c>
      <c r="O274" s="25">
        <f>IF(K274="Válida",A274,NA())</f>
        <v>0</v>
      </c>
      <c r="P274" s="27">
        <f>IF(K274="Válida",C274,NA())</f>
        <v>0</v>
      </c>
      <c r="Q274" s="27">
        <f>IF(K274="Válida",I274,NA())</f>
        <v>0</v>
      </c>
      <c r="R274" s="27">
        <f>IF(K274="Válida",J274,NA())</f>
        <v>0</v>
      </c>
      <c r="S274" s="27">
        <f>IF(K274="Válida",C274,"")</f>
        <v>0</v>
      </c>
      <c r="T274" s="27">
        <f>IF(K274="Válida",I274,"")</f>
        <v>0</v>
      </c>
      <c r="U274" s="27">
        <f>IF(K274="Válida",J274,"")</f>
        <v>0</v>
      </c>
    </row>
    <row r="275" spans="1:21">
      <c r="A275" s="25">
        <f>IF(MES!A275="","",MES!C275/48)</f>
        <v>0</v>
      </c>
      <c r="B275" s="26">
        <f>IF(A275="","",TEXT((N275*4+cfgDeslocamento)/48,"hh:mm")&amp;" a "&amp;TEXT(A275,"hh:mm"))</f>
        <v>0</v>
      </c>
      <c r="C275" s="27">
        <f>IF(A275="","",MES!B275)</f>
        <v>0</v>
      </c>
      <c r="D275" s="27">
        <f>IF(A275="","",IFERROR(AVERAGEIFS(Prensa!$B$2:$B$5001,Prensa!$E$2:$E$5001,N275,Prensa!$F$2:$F$5001,1,Prensa!$G$2:$G$5001,1),""))</f>
        <v>0</v>
      </c>
      <c r="E275" s="27">
        <f>IF(A275="","",IFERROR(AVERAGEIFS(Prensa!$B$2:$B$5001,Prensa!$E$2:$E$5001,N275,Prensa!$F$2:$F$5001,2,Prensa!$G$2:$G$5001,1),""))</f>
        <v>0</v>
      </c>
      <c r="F275" s="27">
        <f>IF(A275="","",IFERROR(AVERAGEIFS(Prensa!$B$2:$B$5001,Prensa!$E$2:$E$5001,N275,Prensa!$F$2:$F$5001,3,Prensa!$G$2:$G$5001,1),""))</f>
        <v>0</v>
      </c>
      <c r="G275" s="27">
        <f>IF(A275="","",IFERROR(AVERAGEIFS(Prensa!$B$2:$B$5001,Prensa!$E$2:$E$5001,N275,Prensa!$F$2:$F$5001,4,Prensa!$G$2:$G$5001,1),""))</f>
        <v>0</v>
      </c>
      <c r="H275" s="26">
        <f>IF(A275="","",COUNT(D275:G275))</f>
        <v>0</v>
      </c>
      <c r="I275" s="27">
        <f>IF(A275="","",IF(H275=0,"",AVERAGE(D275:G275)))</f>
        <v>0</v>
      </c>
      <c r="J275" s="27">
        <f>IF(OR(I275="",C275=""),"",I275-C275)</f>
        <v>0</v>
      </c>
      <c r="K275" s="26">
        <f>IF(A275="","",IF(MES!E275&lt;&gt;4,"Horário do MES fora do padrão",IF(H275&lt;cfgMinCortes,"Cortes insuficientes","Válida")))</f>
        <v>0</v>
      </c>
      <c r="L275" s="27">
        <f>IF(K275="Válida",ABS(J275),"")</f>
        <v>0</v>
      </c>
      <c r="M275" s="26">
        <f>IF(K275="Válida",IF(L275&lt;=cfgTolerancia,"Sim","Não"),"")</f>
        <v>0</v>
      </c>
      <c r="N275" s="26">
        <f>IF(A275="","",MES!D275)</f>
        <v>0</v>
      </c>
      <c r="O275" s="25">
        <f>IF(K275="Válida",A275,NA())</f>
        <v>0</v>
      </c>
      <c r="P275" s="27">
        <f>IF(K275="Válida",C275,NA())</f>
        <v>0</v>
      </c>
      <c r="Q275" s="27">
        <f>IF(K275="Válida",I275,NA())</f>
        <v>0</v>
      </c>
      <c r="R275" s="27">
        <f>IF(K275="Válida",J275,NA())</f>
        <v>0</v>
      </c>
      <c r="S275" s="27">
        <f>IF(K275="Válida",C275,"")</f>
        <v>0</v>
      </c>
      <c r="T275" s="27">
        <f>IF(K275="Válida",I275,"")</f>
        <v>0</v>
      </c>
      <c r="U275" s="27">
        <f>IF(K275="Válida",J275,"")</f>
        <v>0</v>
      </c>
    </row>
    <row r="276" spans="1:21">
      <c r="A276" s="25">
        <f>IF(MES!A276="","",MES!C276/48)</f>
        <v>0</v>
      </c>
      <c r="B276" s="26">
        <f>IF(A276="","",TEXT((N276*4+cfgDeslocamento)/48,"hh:mm")&amp;" a "&amp;TEXT(A276,"hh:mm"))</f>
        <v>0</v>
      </c>
      <c r="C276" s="27">
        <f>IF(A276="","",MES!B276)</f>
        <v>0</v>
      </c>
      <c r="D276" s="27">
        <f>IF(A276="","",IFERROR(AVERAGEIFS(Prensa!$B$2:$B$5001,Prensa!$E$2:$E$5001,N276,Prensa!$F$2:$F$5001,1,Prensa!$G$2:$G$5001,1),""))</f>
        <v>0</v>
      </c>
      <c r="E276" s="27">
        <f>IF(A276="","",IFERROR(AVERAGEIFS(Prensa!$B$2:$B$5001,Prensa!$E$2:$E$5001,N276,Prensa!$F$2:$F$5001,2,Prensa!$G$2:$G$5001,1),""))</f>
        <v>0</v>
      </c>
      <c r="F276" s="27">
        <f>IF(A276="","",IFERROR(AVERAGEIFS(Prensa!$B$2:$B$5001,Prensa!$E$2:$E$5001,N276,Prensa!$F$2:$F$5001,3,Prensa!$G$2:$G$5001,1),""))</f>
        <v>0</v>
      </c>
      <c r="G276" s="27">
        <f>IF(A276="","",IFERROR(AVERAGEIFS(Prensa!$B$2:$B$5001,Prensa!$E$2:$E$5001,N276,Prensa!$F$2:$F$5001,4,Prensa!$G$2:$G$5001,1),""))</f>
        <v>0</v>
      </c>
      <c r="H276" s="26">
        <f>IF(A276="","",COUNT(D276:G276))</f>
        <v>0</v>
      </c>
      <c r="I276" s="27">
        <f>IF(A276="","",IF(H276=0,"",AVERAGE(D276:G276)))</f>
        <v>0</v>
      </c>
      <c r="J276" s="27">
        <f>IF(OR(I276="",C276=""),"",I276-C276)</f>
        <v>0</v>
      </c>
      <c r="K276" s="26">
        <f>IF(A276="","",IF(MES!E276&lt;&gt;4,"Horário do MES fora do padrão",IF(H276&lt;cfgMinCortes,"Cortes insuficientes","Válida")))</f>
        <v>0</v>
      </c>
      <c r="L276" s="27">
        <f>IF(K276="Válida",ABS(J276),"")</f>
        <v>0</v>
      </c>
      <c r="M276" s="26">
        <f>IF(K276="Válida",IF(L276&lt;=cfgTolerancia,"Sim","Não"),"")</f>
        <v>0</v>
      </c>
      <c r="N276" s="26">
        <f>IF(A276="","",MES!D276)</f>
        <v>0</v>
      </c>
      <c r="O276" s="25">
        <f>IF(K276="Válida",A276,NA())</f>
        <v>0</v>
      </c>
      <c r="P276" s="27">
        <f>IF(K276="Válida",C276,NA())</f>
        <v>0</v>
      </c>
      <c r="Q276" s="27">
        <f>IF(K276="Válida",I276,NA())</f>
        <v>0</v>
      </c>
      <c r="R276" s="27">
        <f>IF(K276="Válida",J276,NA())</f>
        <v>0</v>
      </c>
      <c r="S276" s="27">
        <f>IF(K276="Válida",C276,"")</f>
        <v>0</v>
      </c>
      <c r="T276" s="27">
        <f>IF(K276="Válida",I276,"")</f>
        <v>0</v>
      </c>
      <c r="U276" s="27">
        <f>IF(K276="Válida",J276,"")</f>
        <v>0</v>
      </c>
    </row>
    <row r="277" spans="1:21">
      <c r="A277" s="25">
        <f>IF(MES!A277="","",MES!C277/48)</f>
        <v>0</v>
      </c>
      <c r="B277" s="26">
        <f>IF(A277="","",TEXT((N277*4+cfgDeslocamento)/48,"hh:mm")&amp;" a "&amp;TEXT(A277,"hh:mm"))</f>
        <v>0</v>
      </c>
      <c r="C277" s="27">
        <f>IF(A277="","",MES!B277)</f>
        <v>0</v>
      </c>
      <c r="D277" s="27">
        <f>IF(A277="","",IFERROR(AVERAGEIFS(Prensa!$B$2:$B$5001,Prensa!$E$2:$E$5001,N277,Prensa!$F$2:$F$5001,1,Prensa!$G$2:$G$5001,1),""))</f>
        <v>0</v>
      </c>
      <c r="E277" s="27">
        <f>IF(A277="","",IFERROR(AVERAGEIFS(Prensa!$B$2:$B$5001,Prensa!$E$2:$E$5001,N277,Prensa!$F$2:$F$5001,2,Prensa!$G$2:$G$5001,1),""))</f>
        <v>0</v>
      </c>
      <c r="F277" s="27">
        <f>IF(A277="","",IFERROR(AVERAGEIFS(Prensa!$B$2:$B$5001,Prensa!$E$2:$E$5001,N277,Prensa!$F$2:$F$5001,3,Prensa!$G$2:$G$5001,1),""))</f>
        <v>0</v>
      </c>
      <c r="G277" s="27">
        <f>IF(A277="","",IFERROR(AVERAGEIFS(Prensa!$B$2:$B$5001,Prensa!$E$2:$E$5001,N277,Prensa!$F$2:$F$5001,4,Prensa!$G$2:$G$5001,1),""))</f>
        <v>0</v>
      </c>
      <c r="H277" s="26">
        <f>IF(A277="","",COUNT(D277:G277))</f>
        <v>0</v>
      </c>
      <c r="I277" s="27">
        <f>IF(A277="","",IF(H277=0,"",AVERAGE(D277:G277)))</f>
        <v>0</v>
      </c>
      <c r="J277" s="27">
        <f>IF(OR(I277="",C277=""),"",I277-C277)</f>
        <v>0</v>
      </c>
      <c r="K277" s="26">
        <f>IF(A277="","",IF(MES!E277&lt;&gt;4,"Horário do MES fora do padrão",IF(H277&lt;cfgMinCortes,"Cortes insuficientes","Válida")))</f>
        <v>0</v>
      </c>
      <c r="L277" s="27">
        <f>IF(K277="Válida",ABS(J277),"")</f>
        <v>0</v>
      </c>
      <c r="M277" s="26">
        <f>IF(K277="Válida",IF(L277&lt;=cfgTolerancia,"Sim","Não"),"")</f>
        <v>0</v>
      </c>
      <c r="N277" s="26">
        <f>IF(A277="","",MES!D277)</f>
        <v>0</v>
      </c>
      <c r="O277" s="25">
        <f>IF(K277="Válida",A277,NA())</f>
        <v>0</v>
      </c>
      <c r="P277" s="27">
        <f>IF(K277="Válida",C277,NA())</f>
        <v>0</v>
      </c>
      <c r="Q277" s="27">
        <f>IF(K277="Válida",I277,NA())</f>
        <v>0</v>
      </c>
      <c r="R277" s="27">
        <f>IF(K277="Válida",J277,NA())</f>
        <v>0</v>
      </c>
      <c r="S277" s="27">
        <f>IF(K277="Válida",C277,"")</f>
        <v>0</v>
      </c>
      <c r="T277" s="27">
        <f>IF(K277="Válida",I277,"")</f>
        <v>0</v>
      </c>
      <c r="U277" s="27">
        <f>IF(K277="Válida",J277,"")</f>
        <v>0</v>
      </c>
    </row>
    <row r="278" spans="1:21">
      <c r="A278" s="25">
        <f>IF(MES!A278="","",MES!C278/48)</f>
        <v>0</v>
      </c>
      <c r="B278" s="26">
        <f>IF(A278="","",TEXT((N278*4+cfgDeslocamento)/48,"hh:mm")&amp;" a "&amp;TEXT(A278,"hh:mm"))</f>
        <v>0</v>
      </c>
      <c r="C278" s="27">
        <f>IF(A278="","",MES!B278)</f>
        <v>0</v>
      </c>
      <c r="D278" s="27">
        <f>IF(A278="","",IFERROR(AVERAGEIFS(Prensa!$B$2:$B$5001,Prensa!$E$2:$E$5001,N278,Prensa!$F$2:$F$5001,1,Prensa!$G$2:$G$5001,1),""))</f>
        <v>0</v>
      </c>
      <c r="E278" s="27">
        <f>IF(A278="","",IFERROR(AVERAGEIFS(Prensa!$B$2:$B$5001,Prensa!$E$2:$E$5001,N278,Prensa!$F$2:$F$5001,2,Prensa!$G$2:$G$5001,1),""))</f>
        <v>0</v>
      </c>
      <c r="F278" s="27">
        <f>IF(A278="","",IFERROR(AVERAGEIFS(Prensa!$B$2:$B$5001,Prensa!$E$2:$E$5001,N278,Prensa!$F$2:$F$5001,3,Prensa!$G$2:$G$5001,1),""))</f>
        <v>0</v>
      </c>
      <c r="G278" s="27">
        <f>IF(A278="","",IFERROR(AVERAGEIFS(Prensa!$B$2:$B$5001,Prensa!$E$2:$E$5001,N278,Prensa!$F$2:$F$5001,4,Prensa!$G$2:$G$5001,1),""))</f>
        <v>0</v>
      </c>
      <c r="H278" s="26">
        <f>IF(A278="","",COUNT(D278:G278))</f>
        <v>0</v>
      </c>
      <c r="I278" s="27">
        <f>IF(A278="","",IF(H278=0,"",AVERAGE(D278:G278)))</f>
        <v>0</v>
      </c>
      <c r="J278" s="27">
        <f>IF(OR(I278="",C278=""),"",I278-C278)</f>
        <v>0</v>
      </c>
      <c r="K278" s="26">
        <f>IF(A278="","",IF(MES!E278&lt;&gt;4,"Horário do MES fora do padrão",IF(H278&lt;cfgMinCortes,"Cortes insuficientes","Válida")))</f>
        <v>0</v>
      </c>
      <c r="L278" s="27">
        <f>IF(K278="Válida",ABS(J278),"")</f>
        <v>0</v>
      </c>
      <c r="M278" s="26">
        <f>IF(K278="Válida",IF(L278&lt;=cfgTolerancia,"Sim","Não"),"")</f>
        <v>0</v>
      </c>
      <c r="N278" s="26">
        <f>IF(A278="","",MES!D278)</f>
        <v>0</v>
      </c>
      <c r="O278" s="25">
        <f>IF(K278="Válida",A278,NA())</f>
        <v>0</v>
      </c>
      <c r="P278" s="27">
        <f>IF(K278="Válida",C278,NA())</f>
        <v>0</v>
      </c>
      <c r="Q278" s="27">
        <f>IF(K278="Válida",I278,NA())</f>
        <v>0</v>
      </c>
      <c r="R278" s="27">
        <f>IF(K278="Válida",J278,NA())</f>
        <v>0</v>
      </c>
      <c r="S278" s="27">
        <f>IF(K278="Válida",C278,"")</f>
        <v>0</v>
      </c>
      <c r="T278" s="27">
        <f>IF(K278="Válida",I278,"")</f>
        <v>0</v>
      </c>
      <c r="U278" s="27">
        <f>IF(K278="Válida",J278,"")</f>
        <v>0</v>
      </c>
    </row>
    <row r="279" spans="1:21">
      <c r="A279" s="25">
        <f>IF(MES!A279="","",MES!C279/48)</f>
        <v>0</v>
      </c>
      <c r="B279" s="26">
        <f>IF(A279="","",TEXT((N279*4+cfgDeslocamento)/48,"hh:mm")&amp;" a "&amp;TEXT(A279,"hh:mm"))</f>
        <v>0</v>
      </c>
      <c r="C279" s="27">
        <f>IF(A279="","",MES!B279)</f>
        <v>0</v>
      </c>
      <c r="D279" s="27">
        <f>IF(A279="","",IFERROR(AVERAGEIFS(Prensa!$B$2:$B$5001,Prensa!$E$2:$E$5001,N279,Prensa!$F$2:$F$5001,1,Prensa!$G$2:$G$5001,1),""))</f>
        <v>0</v>
      </c>
      <c r="E279" s="27">
        <f>IF(A279="","",IFERROR(AVERAGEIFS(Prensa!$B$2:$B$5001,Prensa!$E$2:$E$5001,N279,Prensa!$F$2:$F$5001,2,Prensa!$G$2:$G$5001,1),""))</f>
        <v>0</v>
      </c>
      <c r="F279" s="27">
        <f>IF(A279="","",IFERROR(AVERAGEIFS(Prensa!$B$2:$B$5001,Prensa!$E$2:$E$5001,N279,Prensa!$F$2:$F$5001,3,Prensa!$G$2:$G$5001,1),""))</f>
        <v>0</v>
      </c>
      <c r="G279" s="27">
        <f>IF(A279="","",IFERROR(AVERAGEIFS(Prensa!$B$2:$B$5001,Prensa!$E$2:$E$5001,N279,Prensa!$F$2:$F$5001,4,Prensa!$G$2:$G$5001,1),""))</f>
        <v>0</v>
      </c>
      <c r="H279" s="26">
        <f>IF(A279="","",COUNT(D279:G279))</f>
        <v>0</v>
      </c>
      <c r="I279" s="27">
        <f>IF(A279="","",IF(H279=0,"",AVERAGE(D279:G279)))</f>
        <v>0</v>
      </c>
      <c r="J279" s="27">
        <f>IF(OR(I279="",C279=""),"",I279-C279)</f>
        <v>0</v>
      </c>
      <c r="K279" s="26">
        <f>IF(A279="","",IF(MES!E279&lt;&gt;4,"Horário do MES fora do padrão",IF(H279&lt;cfgMinCortes,"Cortes insuficientes","Válida")))</f>
        <v>0</v>
      </c>
      <c r="L279" s="27">
        <f>IF(K279="Válida",ABS(J279),"")</f>
        <v>0</v>
      </c>
      <c r="M279" s="26">
        <f>IF(K279="Válida",IF(L279&lt;=cfgTolerancia,"Sim","Não"),"")</f>
        <v>0</v>
      </c>
      <c r="N279" s="26">
        <f>IF(A279="","",MES!D279)</f>
        <v>0</v>
      </c>
      <c r="O279" s="25">
        <f>IF(K279="Válida",A279,NA())</f>
        <v>0</v>
      </c>
      <c r="P279" s="27">
        <f>IF(K279="Válida",C279,NA())</f>
        <v>0</v>
      </c>
      <c r="Q279" s="27">
        <f>IF(K279="Válida",I279,NA())</f>
        <v>0</v>
      </c>
      <c r="R279" s="27">
        <f>IF(K279="Válida",J279,NA())</f>
        <v>0</v>
      </c>
      <c r="S279" s="27">
        <f>IF(K279="Válida",C279,"")</f>
        <v>0</v>
      </c>
      <c r="T279" s="27">
        <f>IF(K279="Válida",I279,"")</f>
        <v>0</v>
      </c>
      <c r="U279" s="27">
        <f>IF(K279="Válida",J279,"")</f>
        <v>0</v>
      </c>
    </row>
    <row r="280" spans="1:21">
      <c r="A280" s="25">
        <f>IF(MES!A280="","",MES!C280/48)</f>
        <v>0</v>
      </c>
      <c r="B280" s="26">
        <f>IF(A280="","",TEXT((N280*4+cfgDeslocamento)/48,"hh:mm")&amp;" a "&amp;TEXT(A280,"hh:mm"))</f>
        <v>0</v>
      </c>
      <c r="C280" s="27">
        <f>IF(A280="","",MES!B280)</f>
        <v>0</v>
      </c>
      <c r="D280" s="27">
        <f>IF(A280="","",IFERROR(AVERAGEIFS(Prensa!$B$2:$B$5001,Prensa!$E$2:$E$5001,N280,Prensa!$F$2:$F$5001,1,Prensa!$G$2:$G$5001,1),""))</f>
        <v>0</v>
      </c>
      <c r="E280" s="27">
        <f>IF(A280="","",IFERROR(AVERAGEIFS(Prensa!$B$2:$B$5001,Prensa!$E$2:$E$5001,N280,Prensa!$F$2:$F$5001,2,Prensa!$G$2:$G$5001,1),""))</f>
        <v>0</v>
      </c>
      <c r="F280" s="27">
        <f>IF(A280="","",IFERROR(AVERAGEIFS(Prensa!$B$2:$B$5001,Prensa!$E$2:$E$5001,N280,Prensa!$F$2:$F$5001,3,Prensa!$G$2:$G$5001,1),""))</f>
        <v>0</v>
      </c>
      <c r="G280" s="27">
        <f>IF(A280="","",IFERROR(AVERAGEIFS(Prensa!$B$2:$B$5001,Prensa!$E$2:$E$5001,N280,Prensa!$F$2:$F$5001,4,Prensa!$G$2:$G$5001,1),""))</f>
        <v>0</v>
      </c>
      <c r="H280" s="26">
        <f>IF(A280="","",COUNT(D280:G280))</f>
        <v>0</v>
      </c>
      <c r="I280" s="27">
        <f>IF(A280="","",IF(H280=0,"",AVERAGE(D280:G280)))</f>
        <v>0</v>
      </c>
      <c r="J280" s="27">
        <f>IF(OR(I280="",C280=""),"",I280-C280)</f>
        <v>0</v>
      </c>
      <c r="K280" s="26">
        <f>IF(A280="","",IF(MES!E280&lt;&gt;4,"Horário do MES fora do padrão",IF(H280&lt;cfgMinCortes,"Cortes insuficientes","Válida")))</f>
        <v>0</v>
      </c>
      <c r="L280" s="27">
        <f>IF(K280="Válida",ABS(J280),"")</f>
        <v>0</v>
      </c>
      <c r="M280" s="26">
        <f>IF(K280="Válida",IF(L280&lt;=cfgTolerancia,"Sim","Não"),"")</f>
        <v>0</v>
      </c>
      <c r="N280" s="26">
        <f>IF(A280="","",MES!D280)</f>
        <v>0</v>
      </c>
      <c r="O280" s="25">
        <f>IF(K280="Válida",A280,NA())</f>
        <v>0</v>
      </c>
      <c r="P280" s="27">
        <f>IF(K280="Válida",C280,NA())</f>
        <v>0</v>
      </c>
      <c r="Q280" s="27">
        <f>IF(K280="Válida",I280,NA())</f>
        <v>0</v>
      </c>
      <c r="R280" s="27">
        <f>IF(K280="Válida",J280,NA())</f>
        <v>0</v>
      </c>
      <c r="S280" s="27">
        <f>IF(K280="Válida",C280,"")</f>
        <v>0</v>
      </c>
      <c r="T280" s="27">
        <f>IF(K280="Válida",I280,"")</f>
        <v>0</v>
      </c>
      <c r="U280" s="27">
        <f>IF(K280="Válida",J280,"")</f>
        <v>0</v>
      </c>
    </row>
    <row r="281" spans="1:21">
      <c r="A281" s="25">
        <f>IF(MES!A281="","",MES!C281/48)</f>
        <v>0</v>
      </c>
      <c r="B281" s="26">
        <f>IF(A281="","",TEXT((N281*4+cfgDeslocamento)/48,"hh:mm")&amp;" a "&amp;TEXT(A281,"hh:mm"))</f>
        <v>0</v>
      </c>
      <c r="C281" s="27">
        <f>IF(A281="","",MES!B281)</f>
        <v>0</v>
      </c>
      <c r="D281" s="27">
        <f>IF(A281="","",IFERROR(AVERAGEIFS(Prensa!$B$2:$B$5001,Prensa!$E$2:$E$5001,N281,Prensa!$F$2:$F$5001,1,Prensa!$G$2:$G$5001,1),""))</f>
        <v>0</v>
      </c>
      <c r="E281" s="27">
        <f>IF(A281="","",IFERROR(AVERAGEIFS(Prensa!$B$2:$B$5001,Prensa!$E$2:$E$5001,N281,Prensa!$F$2:$F$5001,2,Prensa!$G$2:$G$5001,1),""))</f>
        <v>0</v>
      </c>
      <c r="F281" s="27">
        <f>IF(A281="","",IFERROR(AVERAGEIFS(Prensa!$B$2:$B$5001,Prensa!$E$2:$E$5001,N281,Prensa!$F$2:$F$5001,3,Prensa!$G$2:$G$5001,1),""))</f>
        <v>0</v>
      </c>
      <c r="G281" s="27">
        <f>IF(A281="","",IFERROR(AVERAGEIFS(Prensa!$B$2:$B$5001,Prensa!$E$2:$E$5001,N281,Prensa!$F$2:$F$5001,4,Prensa!$G$2:$G$5001,1),""))</f>
        <v>0</v>
      </c>
      <c r="H281" s="26">
        <f>IF(A281="","",COUNT(D281:G281))</f>
        <v>0</v>
      </c>
      <c r="I281" s="27">
        <f>IF(A281="","",IF(H281=0,"",AVERAGE(D281:G281)))</f>
        <v>0</v>
      </c>
      <c r="J281" s="27">
        <f>IF(OR(I281="",C281=""),"",I281-C281)</f>
        <v>0</v>
      </c>
      <c r="K281" s="26">
        <f>IF(A281="","",IF(MES!E281&lt;&gt;4,"Horário do MES fora do padrão",IF(H281&lt;cfgMinCortes,"Cortes insuficientes","Válida")))</f>
        <v>0</v>
      </c>
      <c r="L281" s="27">
        <f>IF(K281="Válida",ABS(J281),"")</f>
        <v>0</v>
      </c>
      <c r="M281" s="26">
        <f>IF(K281="Válida",IF(L281&lt;=cfgTolerancia,"Sim","Não"),"")</f>
        <v>0</v>
      </c>
      <c r="N281" s="26">
        <f>IF(A281="","",MES!D281)</f>
        <v>0</v>
      </c>
      <c r="O281" s="25">
        <f>IF(K281="Válida",A281,NA())</f>
        <v>0</v>
      </c>
      <c r="P281" s="27">
        <f>IF(K281="Válida",C281,NA())</f>
        <v>0</v>
      </c>
      <c r="Q281" s="27">
        <f>IF(K281="Válida",I281,NA())</f>
        <v>0</v>
      </c>
      <c r="R281" s="27">
        <f>IF(K281="Válida",J281,NA())</f>
        <v>0</v>
      </c>
      <c r="S281" s="27">
        <f>IF(K281="Válida",C281,"")</f>
        <v>0</v>
      </c>
      <c r="T281" s="27">
        <f>IF(K281="Válida",I281,"")</f>
        <v>0</v>
      </c>
      <c r="U281" s="27">
        <f>IF(K281="Válida",J281,"")</f>
        <v>0</v>
      </c>
    </row>
    <row r="282" spans="1:21">
      <c r="A282" s="25">
        <f>IF(MES!A282="","",MES!C282/48)</f>
        <v>0</v>
      </c>
      <c r="B282" s="26">
        <f>IF(A282="","",TEXT((N282*4+cfgDeslocamento)/48,"hh:mm")&amp;" a "&amp;TEXT(A282,"hh:mm"))</f>
        <v>0</v>
      </c>
      <c r="C282" s="27">
        <f>IF(A282="","",MES!B282)</f>
        <v>0</v>
      </c>
      <c r="D282" s="27">
        <f>IF(A282="","",IFERROR(AVERAGEIFS(Prensa!$B$2:$B$5001,Prensa!$E$2:$E$5001,N282,Prensa!$F$2:$F$5001,1,Prensa!$G$2:$G$5001,1),""))</f>
        <v>0</v>
      </c>
      <c r="E282" s="27">
        <f>IF(A282="","",IFERROR(AVERAGEIFS(Prensa!$B$2:$B$5001,Prensa!$E$2:$E$5001,N282,Prensa!$F$2:$F$5001,2,Prensa!$G$2:$G$5001,1),""))</f>
        <v>0</v>
      </c>
      <c r="F282" s="27">
        <f>IF(A282="","",IFERROR(AVERAGEIFS(Prensa!$B$2:$B$5001,Prensa!$E$2:$E$5001,N282,Prensa!$F$2:$F$5001,3,Prensa!$G$2:$G$5001,1),""))</f>
        <v>0</v>
      </c>
      <c r="G282" s="27">
        <f>IF(A282="","",IFERROR(AVERAGEIFS(Prensa!$B$2:$B$5001,Prensa!$E$2:$E$5001,N282,Prensa!$F$2:$F$5001,4,Prensa!$G$2:$G$5001,1),""))</f>
        <v>0</v>
      </c>
      <c r="H282" s="26">
        <f>IF(A282="","",COUNT(D282:G282))</f>
        <v>0</v>
      </c>
      <c r="I282" s="27">
        <f>IF(A282="","",IF(H282=0,"",AVERAGE(D282:G282)))</f>
        <v>0</v>
      </c>
      <c r="J282" s="27">
        <f>IF(OR(I282="",C282=""),"",I282-C282)</f>
        <v>0</v>
      </c>
      <c r="K282" s="26">
        <f>IF(A282="","",IF(MES!E282&lt;&gt;4,"Horário do MES fora do padrão",IF(H282&lt;cfgMinCortes,"Cortes insuficientes","Válida")))</f>
        <v>0</v>
      </c>
      <c r="L282" s="27">
        <f>IF(K282="Válida",ABS(J282),"")</f>
        <v>0</v>
      </c>
      <c r="M282" s="26">
        <f>IF(K282="Válida",IF(L282&lt;=cfgTolerancia,"Sim","Não"),"")</f>
        <v>0</v>
      </c>
      <c r="N282" s="26">
        <f>IF(A282="","",MES!D282)</f>
        <v>0</v>
      </c>
      <c r="O282" s="25">
        <f>IF(K282="Válida",A282,NA())</f>
        <v>0</v>
      </c>
      <c r="P282" s="27">
        <f>IF(K282="Válida",C282,NA())</f>
        <v>0</v>
      </c>
      <c r="Q282" s="27">
        <f>IF(K282="Válida",I282,NA())</f>
        <v>0</v>
      </c>
      <c r="R282" s="27">
        <f>IF(K282="Válida",J282,NA())</f>
        <v>0</v>
      </c>
      <c r="S282" s="27">
        <f>IF(K282="Válida",C282,"")</f>
        <v>0</v>
      </c>
      <c r="T282" s="27">
        <f>IF(K282="Válida",I282,"")</f>
        <v>0</v>
      </c>
      <c r="U282" s="27">
        <f>IF(K282="Válida",J282,"")</f>
        <v>0</v>
      </c>
    </row>
    <row r="283" spans="1:21">
      <c r="A283" s="25">
        <f>IF(MES!A283="","",MES!C283/48)</f>
        <v>0</v>
      </c>
      <c r="B283" s="26">
        <f>IF(A283="","",TEXT((N283*4+cfgDeslocamento)/48,"hh:mm")&amp;" a "&amp;TEXT(A283,"hh:mm"))</f>
        <v>0</v>
      </c>
      <c r="C283" s="27">
        <f>IF(A283="","",MES!B283)</f>
        <v>0</v>
      </c>
      <c r="D283" s="27">
        <f>IF(A283="","",IFERROR(AVERAGEIFS(Prensa!$B$2:$B$5001,Prensa!$E$2:$E$5001,N283,Prensa!$F$2:$F$5001,1,Prensa!$G$2:$G$5001,1),""))</f>
        <v>0</v>
      </c>
      <c r="E283" s="27">
        <f>IF(A283="","",IFERROR(AVERAGEIFS(Prensa!$B$2:$B$5001,Prensa!$E$2:$E$5001,N283,Prensa!$F$2:$F$5001,2,Prensa!$G$2:$G$5001,1),""))</f>
        <v>0</v>
      </c>
      <c r="F283" s="27">
        <f>IF(A283="","",IFERROR(AVERAGEIFS(Prensa!$B$2:$B$5001,Prensa!$E$2:$E$5001,N283,Prensa!$F$2:$F$5001,3,Prensa!$G$2:$G$5001,1),""))</f>
        <v>0</v>
      </c>
      <c r="G283" s="27">
        <f>IF(A283="","",IFERROR(AVERAGEIFS(Prensa!$B$2:$B$5001,Prensa!$E$2:$E$5001,N283,Prensa!$F$2:$F$5001,4,Prensa!$G$2:$G$5001,1),""))</f>
        <v>0</v>
      </c>
      <c r="H283" s="26">
        <f>IF(A283="","",COUNT(D283:G283))</f>
        <v>0</v>
      </c>
      <c r="I283" s="27">
        <f>IF(A283="","",IF(H283=0,"",AVERAGE(D283:G283)))</f>
        <v>0</v>
      </c>
      <c r="J283" s="27">
        <f>IF(OR(I283="",C283=""),"",I283-C283)</f>
        <v>0</v>
      </c>
      <c r="K283" s="26">
        <f>IF(A283="","",IF(MES!E283&lt;&gt;4,"Horário do MES fora do padrão",IF(H283&lt;cfgMinCortes,"Cortes insuficientes","Válida")))</f>
        <v>0</v>
      </c>
      <c r="L283" s="27">
        <f>IF(K283="Válida",ABS(J283),"")</f>
        <v>0</v>
      </c>
      <c r="M283" s="26">
        <f>IF(K283="Válida",IF(L283&lt;=cfgTolerancia,"Sim","Não"),"")</f>
        <v>0</v>
      </c>
      <c r="N283" s="26">
        <f>IF(A283="","",MES!D283)</f>
        <v>0</v>
      </c>
      <c r="O283" s="25">
        <f>IF(K283="Válida",A283,NA())</f>
        <v>0</v>
      </c>
      <c r="P283" s="27">
        <f>IF(K283="Válida",C283,NA())</f>
        <v>0</v>
      </c>
      <c r="Q283" s="27">
        <f>IF(K283="Válida",I283,NA())</f>
        <v>0</v>
      </c>
      <c r="R283" s="27">
        <f>IF(K283="Válida",J283,NA())</f>
        <v>0</v>
      </c>
      <c r="S283" s="27">
        <f>IF(K283="Válida",C283,"")</f>
        <v>0</v>
      </c>
      <c r="T283" s="27">
        <f>IF(K283="Válida",I283,"")</f>
        <v>0</v>
      </c>
      <c r="U283" s="27">
        <f>IF(K283="Válida",J283,"")</f>
        <v>0</v>
      </c>
    </row>
    <row r="284" spans="1:21">
      <c r="A284" s="25">
        <f>IF(MES!A284="","",MES!C284/48)</f>
        <v>0</v>
      </c>
      <c r="B284" s="26">
        <f>IF(A284="","",TEXT((N284*4+cfgDeslocamento)/48,"hh:mm")&amp;" a "&amp;TEXT(A284,"hh:mm"))</f>
        <v>0</v>
      </c>
      <c r="C284" s="27">
        <f>IF(A284="","",MES!B284)</f>
        <v>0</v>
      </c>
      <c r="D284" s="27">
        <f>IF(A284="","",IFERROR(AVERAGEIFS(Prensa!$B$2:$B$5001,Prensa!$E$2:$E$5001,N284,Prensa!$F$2:$F$5001,1,Prensa!$G$2:$G$5001,1),""))</f>
        <v>0</v>
      </c>
      <c r="E284" s="27">
        <f>IF(A284="","",IFERROR(AVERAGEIFS(Prensa!$B$2:$B$5001,Prensa!$E$2:$E$5001,N284,Prensa!$F$2:$F$5001,2,Prensa!$G$2:$G$5001,1),""))</f>
        <v>0</v>
      </c>
      <c r="F284" s="27">
        <f>IF(A284="","",IFERROR(AVERAGEIFS(Prensa!$B$2:$B$5001,Prensa!$E$2:$E$5001,N284,Prensa!$F$2:$F$5001,3,Prensa!$G$2:$G$5001,1),""))</f>
        <v>0</v>
      </c>
      <c r="G284" s="27">
        <f>IF(A284="","",IFERROR(AVERAGEIFS(Prensa!$B$2:$B$5001,Prensa!$E$2:$E$5001,N284,Prensa!$F$2:$F$5001,4,Prensa!$G$2:$G$5001,1),""))</f>
        <v>0</v>
      </c>
      <c r="H284" s="26">
        <f>IF(A284="","",COUNT(D284:G284))</f>
        <v>0</v>
      </c>
      <c r="I284" s="27">
        <f>IF(A284="","",IF(H284=0,"",AVERAGE(D284:G284)))</f>
        <v>0</v>
      </c>
      <c r="J284" s="27">
        <f>IF(OR(I284="",C284=""),"",I284-C284)</f>
        <v>0</v>
      </c>
      <c r="K284" s="26">
        <f>IF(A284="","",IF(MES!E284&lt;&gt;4,"Horário do MES fora do padrão",IF(H284&lt;cfgMinCortes,"Cortes insuficientes","Válida")))</f>
        <v>0</v>
      </c>
      <c r="L284" s="27">
        <f>IF(K284="Válida",ABS(J284),"")</f>
        <v>0</v>
      </c>
      <c r="M284" s="26">
        <f>IF(K284="Válida",IF(L284&lt;=cfgTolerancia,"Sim","Não"),"")</f>
        <v>0</v>
      </c>
      <c r="N284" s="26">
        <f>IF(A284="","",MES!D284)</f>
        <v>0</v>
      </c>
      <c r="O284" s="25">
        <f>IF(K284="Válida",A284,NA())</f>
        <v>0</v>
      </c>
      <c r="P284" s="27">
        <f>IF(K284="Válida",C284,NA())</f>
        <v>0</v>
      </c>
      <c r="Q284" s="27">
        <f>IF(K284="Válida",I284,NA())</f>
        <v>0</v>
      </c>
      <c r="R284" s="27">
        <f>IF(K284="Válida",J284,NA())</f>
        <v>0</v>
      </c>
      <c r="S284" s="27">
        <f>IF(K284="Válida",C284,"")</f>
        <v>0</v>
      </c>
      <c r="T284" s="27">
        <f>IF(K284="Válida",I284,"")</f>
        <v>0</v>
      </c>
      <c r="U284" s="27">
        <f>IF(K284="Válida",J284,"")</f>
        <v>0</v>
      </c>
    </row>
    <row r="285" spans="1:21">
      <c r="A285" s="25">
        <f>IF(MES!A285="","",MES!C285/48)</f>
        <v>0</v>
      </c>
      <c r="B285" s="26">
        <f>IF(A285="","",TEXT((N285*4+cfgDeslocamento)/48,"hh:mm")&amp;" a "&amp;TEXT(A285,"hh:mm"))</f>
        <v>0</v>
      </c>
      <c r="C285" s="27">
        <f>IF(A285="","",MES!B285)</f>
        <v>0</v>
      </c>
      <c r="D285" s="27">
        <f>IF(A285="","",IFERROR(AVERAGEIFS(Prensa!$B$2:$B$5001,Prensa!$E$2:$E$5001,N285,Prensa!$F$2:$F$5001,1,Prensa!$G$2:$G$5001,1),""))</f>
        <v>0</v>
      </c>
      <c r="E285" s="27">
        <f>IF(A285="","",IFERROR(AVERAGEIFS(Prensa!$B$2:$B$5001,Prensa!$E$2:$E$5001,N285,Prensa!$F$2:$F$5001,2,Prensa!$G$2:$G$5001,1),""))</f>
        <v>0</v>
      </c>
      <c r="F285" s="27">
        <f>IF(A285="","",IFERROR(AVERAGEIFS(Prensa!$B$2:$B$5001,Prensa!$E$2:$E$5001,N285,Prensa!$F$2:$F$5001,3,Prensa!$G$2:$G$5001,1),""))</f>
        <v>0</v>
      </c>
      <c r="G285" s="27">
        <f>IF(A285="","",IFERROR(AVERAGEIFS(Prensa!$B$2:$B$5001,Prensa!$E$2:$E$5001,N285,Prensa!$F$2:$F$5001,4,Prensa!$G$2:$G$5001,1),""))</f>
        <v>0</v>
      </c>
      <c r="H285" s="26">
        <f>IF(A285="","",COUNT(D285:G285))</f>
        <v>0</v>
      </c>
      <c r="I285" s="27">
        <f>IF(A285="","",IF(H285=0,"",AVERAGE(D285:G285)))</f>
        <v>0</v>
      </c>
      <c r="J285" s="27">
        <f>IF(OR(I285="",C285=""),"",I285-C285)</f>
        <v>0</v>
      </c>
      <c r="K285" s="26">
        <f>IF(A285="","",IF(MES!E285&lt;&gt;4,"Horário do MES fora do padrão",IF(H285&lt;cfgMinCortes,"Cortes insuficientes","Válida")))</f>
        <v>0</v>
      </c>
      <c r="L285" s="27">
        <f>IF(K285="Válida",ABS(J285),"")</f>
        <v>0</v>
      </c>
      <c r="M285" s="26">
        <f>IF(K285="Válida",IF(L285&lt;=cfgTolerancia,"Sim","Não"),"")</f>
        <v>0</v>
      </c>
      <c r="N285" s="26">
        <f>IF(A285="","",MES!D285)</f>
        <v>0</v>
      </c>
      <c r="O285" s="25">
        <f>IF(K285="Válida",A285,NA())</f>
        <v>0</v>
      </c>
      <c r="P285" s="27">
        <f>IF(K285="Válida",C285,NA())</f>
        <v>0</v>
      </c>
      <c r="Q285" s="27">
        <f>IF(K285="Válida",I285,NA())</f>
        <v>0</v>
      </c>
      <c r="R285" s="27">
        <f>IF(K285="Válida",J285,NA())</f>
        <v>0</v>
      </c>
      <c r="S285" s="27">
        <f>IF(K285="Válida",C285,"")</f>
        <v>0</v>
      </c>
      <c r="T285" s="27">
        <f>IF(K285="Válida",I285,"")</f>
        <v>0</v>
      </c>
      <c r="U285" s="27">
        <f>IF(K285="Válida",J285,"")</f>
        <v>0</v>
      </c>
    </row>
    <row r="286" spans="1:21">
      <c r="A286" s="25">
        <f>IF(MES!A286="","",MES!C286/48)</f>
        <v>0</v>
      </c>
      <c r="B286" s="26">
        <f>IF(A286="","",TEXT((N286*4+cfgDeslocamento)/48,"hh:mm")&amp;" a "&amp;TEXT(A286,"hh:mm"))</f>
        <v>0</v>
      </c>
      <c r="C286" s="27">
        <f>IF(A286="","",MES!B286)</f>
        <v>0</v>
      </c>
      <c r="D286" s="27">
        <f>IF(A286="","",IFERROR(AVERAGEIFS(Prensa!$B$2:$B$5001,Prensa!$E$2:$E$5001,N286,Prensa!$F$2:$F$5001,1,Prensa!$G$2:$G$5001,1),""))</f>
        <v>0</v>
      </c>
      <c r="E286" s="27">
        <f>IF(A286="","",IFERROR(AVERAGEIFS(Prensa!$B$2:$B$5001,Prensa!$E$2:$E$5001,N286,Prensa!$F$2:$F$5001,2,Prensa!$G$2:$G$5001,1),""))</f>
        <v>0</v>
      </c>
      <c r="F286" s="27">
        <f>IF(A286="","",IFERROR(AVERAGEIFS(Prensa!$B$2:$B$5001,Prensa!$E$2:$E$5001,N286,Prensa!$F$2:$F$5001,3,Prensa!$G$2:$G$5001,1),""))</f>
        <v>0</v>
      </c>
      <c r="G286" s="27">
        <f>IF(A286="","",IFERROR(AVERAGEIFS(Prensa!$B$2:$B$5001,Prensa!$E$2:$E$5001,N286,Prensa!$F$2:$F$5001,4,Prensa!$G$2:$G$5001,1),""))</f>
        <v>0</v>
      </c>
      <c r="H286" s="26">
        <f>IF(A286="","",COUNT(D286:G286))</f>
        <v>0</v>
      </c>
      <c r="I286" s="27">
        <f>IF(A286="","",IF(H286=0,"",AVERAGE(D286:G286)))</f>
        <v>0</v>
      </c>
      <c r="J286" s="27">
        <f>IF(OR(I286="",C286=""),"",I286-C286)</f>
        <v>0</v>
      </c>
      <c r="K286" s="26">
        <f>IF(A286="","",IF(MES!E286&lt;&gt;4,"Horário do MES fora do padrão",IF(H286&lt;cfgMinCortes,"Cortes insuficientes","Válida")))</f>
        <v>0</v>
      </c>
      <c r="L286" s="27">
        <f>IF(K286="Válida",ABS(J286),"")</f>
        <v>0</v>
      </c>
      <c r="M286" s="26">
        <f>IF(K286="Válida",IF(L286&lt;=cfgTolerancia,"Sim","Não"),"")</f>
        <v>0</v>
      </c>
      <c r="N286" s="26">
        <f>IF(A286="","",MES!D286)</f>
        <v>0</v>
      </c>
      <c r="O286" s="25">
        <f>IF(K286="Válida",A286,NA())</f>
        <v>0</v>
      </c>
      <c r="P286" s="27">
        <f>IF(K286="Válida",C286,NA())</f>
        <v>0</v>
      </c>
      <c r="Q286" s="27">
        <f>IF(K286="Válida",I286,NA())</f>
        <v>0</v>
      </c>
      <c r="R286" s="27">
        <f>IF(K286="Válida",J286,NA())</f>
        <v>0</v>
      </c>
      <c r="S286" s="27">
        <f>IF(K286="Válida",C286,"")</f>
        <v>0</v>
      </c>
      <c r="T286" s="27">
        <f>IF(K286="Válida",I286,"")</f>
        <v>0</v>
      </c>
      <c r="U286" s="27">
        <f>IF(K286="Válida",J286,"")</f>
        <v>0</v>
      </c>
    </row>
    <row r="287" spans="1:21">
      <c r="A287" s="25">
        <f>IF(MES!A287="","",MES!C287/48)</f>
        <v>0</v>
      </c>
      <c r="B287" s="26">
        <f>IF(A287="","",TEXT((N287*4+cfgDeslocamento)/48,"hh:mm")&amp;" a "&amp;TEXT(A287,"hh:mm"))</f>
        <v>0</v>
      </c>
      <c r="C287" s="27">
        <f>IF(A287="","",MES!B287)</f>
        <v>0</v>
      </c>
      <c r="D287" s="27">
        <f>IF(A287="","",IFERROR(AVERAGEIFS(Prensa!$B$2:$B$5001,Prensa!$E$2:$E$5001,N287,Prensa!$F$2:$F$5001,1,Prensa!$G$2:$G$5001,1),""))</f>
        <v>0</v>
      </c>
      <c r="E287" s="27">
        <f>IF(A287="","",IFERROR(AVERAGEIFS(Prensa!$B$2:$B$5001,Prensa!$E$2:$E$5001,N287,Prensa!$F$2:$F$5001,2,Prensa!$G$2:$G$5001,1),""))</f>
        <v>0</v>
      </c>
      <c r="F287" s="27">
        <f>IF(A287="","",IFERROR(AVERAGEIFS(Prensa!$B$2:$B$5001,Prensa!$E$2:$E$5001,N287,Prensa!$F$2:$F$5001,3,Prensa!$G$2:$G$5001,1),""))</f>
        <v>0</v>
      </c>
      <c r="G287" s="27">
        <f>IF(A287="","",IFERROR(AVERAGEIFS(Prensa!$B$2:$B$5001,Prensa!$E$2:$E$5001,N287,Prensa!$F$2:$F$5001,4,Prensa!$G$2:$G$5001,1),""))</f>
        <v>0</v>
      </c>
      <c r="H287" s="26">
        <f>IF(A287="","",COUNT(D287:G287))</f>
        <v>0</v>
      </c>
      <c r="I287" s="27">
        <f>IF(A287="","",IF(H287=0,"",AVERAGE(D287:G287)))</f>
        <v>0</v>
      </c>
      <c r="J287" s="27">
        <f>IF(OR(I287="",C287=""),"",I287-C287)</f>
        <v>0</v>
      </c>
      <c r="K287" s="26">
        <f>IF(A287="","",IF(MES!E287&lt;&gt;4,"Horário do MES fora do padrão",IF(H287&lt;cfgMinCortes,"Cortes insuficientes","Válida")))</f>
        <v>0</v>
      </c>
      <c r="L287" s="27">
        <f>IF(K287="Válida",ABS(J287),"")</f>
        <v>0</v>
      </c>
      <c r="M287" s="26">
        <f>IF(K287="Válida",IF(L287&lt;=cfgTolerancia,"Sim","Não"),"")</f>
        <v>0</v>
      </c>
      <c r="N287" s="26">
        <f>IF(A287="","",MES!D287)</f>
        <v>0</v>
      </c>
      <c r="O287" s="25">
        <f>IF(K287="Válida",A287,NA())</f>
        <v>0</v>
      </c>
      <c r="P287" s="27">
        <f>IF(K287="Válida",C287,NA())</f>
        <v>0</v>
      </c>
      <c r="Q287" s="27">
        <f>IF(K287="Válida",I287,NA())</f>
        <v>0</v>
      </c>
      <c r="R287" s="27">
        <f>IF(K287="Válida",J287,NA())</f>
        <v>0</v>
      </c>
      <c r="S287" s="27">
        <f>IF(K287="Válida",C287,"")</f>
        <v>0</v>
      </c>
      <c r="T287" s="27">
        <f>IF(K287="Válida",I287,"")</f>
        <v>0</v>
      </c>
      <c r="U287" s="27">
        <f>IF(K287="Válida",J287,"")</f>
        <v>0</v>
      </c>
    </row>
    <row r="288" spans="1:21">
      <c r="A288" s="25">
        <f>IF(MES!A288="","",MES!C288/48)</f>
        <v>0</v>
      </c>
      <c r="B288" s="26">
        <f>IF(A288="","",TEXT((N288*4+cfgDeslocamento)/48,"hh:mm")&amp;" a "&amp;TEXT(A288,"hh:mm"))</f>
        <v>0</v>
      </c>
      <c r="C288" s="27">
        <f>IF(A288="","",MES!B288)</f>
        <v>0</v>
      </c>
      <c r="D288" s="27">
        <f>IF(A288="","",IFERROR(AVERAGEIFS(Prensa!$B$2:$B$5001,Prensa!$E$2:$E$5001,N288,Prensa!$F$2:$F$5001,1,Prensa!$G$2:$G$5001,1),""))</f>
        <v>0</v>
      </c>
      <c r="E288" s="27">
        <f>IF(A288="","",IFERROR(AVERAGEIFS(Prensa!$B$2:$B$5001,Prensa!$E$2:$E$5001,N288,Prensa!$F$2:$F$5001,2,Prensa!$G$2:$G$5001,1),""))</f>
        <v>0</v>
      </c>
      <c r="F288" s="27">
        <f>IF(A288="","",IFERROR(AVERAGEIFS(Prensa!$B$2:$B$5001,Prensa!$E$2:$E$5001,N288,Prensa!$F$2:$F$5001,3,Prensa!$G$2:$G$5001,1),""))</f>
        <v>0</v>
      </c>
      <c r="G288" s="27">
        <f>IF(A288="","",IFERROR(AVERAGEIFS(Prensa!$B$2:$B$5001,Prensa!$E$2:$E$5001,N288,Prensa!$F$2:$F$5001,4,Prensa!$G$2:$G$5001,1),""))</f>
        <v>0</v>
      </c>
      <c r="H288" s="26">
        <f>IF(A288="","",COUNT(D288:G288))</f>
        <v>0</v>
      </c>
      <c r="I288" s="27">
        <f>IF(A288="","",IF(H288=0,"",AVERAGE(D288:G288)))</f>
        <v>0</v>
      </c>
      <c r="J288" s="27">
        <f>IF(OR(I288="",C288=""),"",I288-C288)</f>
        <v>0</v>
      </c>
      <c r="K288" s="26">
        <f>IF(A288="","",IF(MES!E288&lt;&gt;4,"Horário do MES fora do padrão",IF(H288&lt;cfgMinCortes,"Cortes insuficientes","Válida")))</f>
        <v>0</v>
      </c>
      <c r="L288" s="27">
        <f>IF(K288="Válida",ABS(J288),"")</f>
        <v>0</v>
      </c>
      <c r="M288" s="26">
        <f>IF(K288="Válida",IF(L288&lt;=cfgTolerancia,"Sim","Não"),"")</f>
        <v>0</v>
      </c>
      <c r="N288" s="26">
        <f>IF(A288="","",MES!D288)</f>
        <v>0</v>
      </c>
      <c r="O288" s="25">
        <f>IF(K288="Válida",A288,NA())</f>
        <v>0</v>
      </c>
      <c r="P288" s="27">
        <f>IF(K288="Válida",C288,NA())</f>
        <v>0</v>
      </c>
      <c r="Q288" s="27">
        <f>IF(K288="Válida",I288,NA())</f>
        <v>0</v>
      </c>
      <c r="R288" s="27">
        <f>IF(K288="Válida",J288,NA())</f>
        <v>0</v>
      </c>
      <c r="S288" s="27">
        <f>IF(K288="Válida",C288,"")</f>
        <v>0</v>
      </c>
      <c r="T288" s="27">
        <f>IF(K288="Válida",I288,"")</f>
        <v>0</v>
      </c>
      <c r="U288" s="27">
        <f>IF(K288="Válida",J288,"")</f>
        <v>0</v>
      </c>
    </row>
    <row r="289" spans="1:21">
      <c r="A289" s="25">
        <f>IF(MES!A289="","",MES!C289/48)</f>
        <v>0</v>
      </c>
      <c r="B289" s="26">
        <f>IF(A289="","",TEXT((N289*4+cfgDeslocamento)/48,"hh:mm")&amp;" a "&amp;TEXT(A289,"hh:mm"))</f>
        <v>0</v>
      </c>
      <c r="C289" s="27">
        <f>IF(A289="","",MES!B289)</f>
        <v>0</v>
      </c>
      <c r="D289" s="27">
        <f>IF(A289="","",IFERROR(AVERAGEIFS(Prensa!$B$2:$B$5001,Prensa!$E$2:$E$5001,N289,Prensa!$F$2:$F$5001,1,Prensa!$G$2:$G$5001,1),""))</f>
        <v>0</v>
      </c>
      <c r="E289" s="27">
        <f>IF(A289="","",IFERROR(AVERAGEIFS(Prensa!$B$2:$B$5001,Prensa!$E$2:$E$5001,N289,Prensa!$F$2:$F$5001,2,Prensa!$G$2:$G$5001,1),""))</f>
        <v>0</v>
      </c>
      <c r="F289" s="27">
        <f>IF(A289="","",IFERROR(AVERAGEIFS(Prensa!$B$2:$B$5001,Prensa!$E$2:$E$5001,N289,Prensa!$F$2:$F$5001,3,Prensa!$G$2:$G$5001,1),""))</f>
        <v>0</v>
      </c>
      <c r="G289" s="27">
        <f>IF(A289="","",IFERROR(AVERAGEIFS(Prensa!$B$2:$B$5001,Prensa!$E$2:$E$5001,N289,Prensa!$F$2:$F$5001,4,Prensa!$G$2:$G$5001,1),""))</f>
        <v>0</v>
      </c>
      <c r="H289" s="26">
        <f>IF(A289="","",COUNT(D289:G289))</f>
        <v>0</v>
      </c>
      <c r="I289" s="27">
        <f>IF(A289="","",IF(H289=0,"",AVERAGE(D289:G289)))</f>
        <v>0</v>
      </c>
      <c r="J289" s="27">
        <f>IF(OR(I289="",C289=""),"",I289-C289)</f>
        <v>0</v>
      </c>
      <c r="K289" s="26">
        <f>IF(A289="","",IF(MES!E289&lt;&gt;4,"Horário do MES fora do padrão",IF(H289&lt;cfgMinCortes,"Cortes insuficientes","Válida")))</f>
        <v>0</v>
      </c>
      <c r="L289" s="27">
        <f>IF(K289="Válida",ABS(J289),"")</f>
        <v>0</v>
      </c>
      <c r="M289" s="26">
        <f>IF(K289="Válida",IF(L289&lt;=cfgTolerancia,"Sim","Não"),"")</f>
        <v>0</v>
      </c>
      <c r="N289" s="26">
        <f>IF(A289="","",MES!D289)</f>
        <v>0</v>
      </c>
      <c r="O289" s="25">
        <f>IF(K289="Válida",A289,NA())</f>
        <v>0</v>
      </c>
      <c r="P289" s="27">
        <f>IF(K289="Válida",C289,NA())</f>
        <v>0</v>
      </c>
      <c r="Q289" s="27">
        <f>IF(K289="Válida",I289,NA())</f>
        <v>0</v>
      </c>
      <c r="R289" s="27">
        <f>IF(K289="Válida",J289,NA())</f>
        <v>0</v>
      </c>
      <c r="S289" s="27">
        <f>IF(K289="Válida",C289,"")</f>
        <v>0</v>
      </c>
      <c r="T289" s="27">
        <f>IF(K289="Válida",I289,"")</f>
        <v>0</v>
      </c>
      <c r="U289" s="27">
        <f>IF(K289="Válida",J289,"")</f>
        <v>0</v>
      </c>
    </row>
    <row r="290" spans="1:21">
      <c r="A290" s="25">
        <f>IF(MES!A290="","",MES!C290/48)</f>
        <v>0</v>
      </c>
      <c r="B290" s="26">
        <f>IF(A290="","",TEXT((N290*4+cfgDeslocamento)/48,"hh:mm")&amp;" a "&amp;TEXT(A290,"hh:mm"))</f>
        <v>0</v>
      </c>
      <c r="C290" s="27">
        <f>IF(A290="","",MES!B290)</f>
        <v>0</v>
      </c>
      <c r="D290" s="27">
        <f>IF(A290="","",IFERROR(AVERAGEIFS(Prensa!$B$2:$B$5001,Prensa!$E$2:$E$5001,N290,Prensa!$F$2:$F$5001,1,Prensa!$G$2:$G$5001,1),""))</f>
        <v>0</v>
      </c>
      <c r="E290" s="27">
        <f>IF(A290="","",IFERROR(AVERAGEIFS(Prensa!$B$2:$B$5001,Prensa!$E$2:$E$5001,N290,Prensa!$F$2:$F$5001,2,Prensa!$G$2:$G$5001,1),""))</f>
        <v>0</v>
      </c>
      <c r="F290" s="27">
        <f>IF(A290="","",IFERROR(AVERAGEIFS(Prensa!$B$2:$B$5001,Prensa!$E$2:$E$5001,N290,Prensa!$F$2:$F$5001,3,Prensa!$G$2:$G$5001,1),""))</f>
        <v>0</v>
      </c>
      <c r="G290" s="27">
        <f>IF(A290="","",IFERROR(AVERAGEIFS(Prensa!$B$2:$B$5001,Prensa!$E$2:$E$5001,N290,Prensa!$F$2:$F$5001,4,Prensa!$G$2:$G$5001,1),""))</f>
        <v>0</v>
      </c>
      <c r="H290" s="26">
        <f>IF(A290="","",COUNT(D290:G290))</f>
        <v>0</v>
      </c>
      <c r="I290" s="27">
        <f>IF(A290="","",IF(H290=0,"",AVERAGE(D290:G290)))</f>
        <v>0</v>
      </c>
      <c r="J290" s="27">
        <f>IF(OR(I290="",C290=""),"",I290-C290)</f>
        <v>0</v>
      </c>
      <c r="K290" s="26">
        <f>IF(A290="","",IF(MES!E290&lt;&gt;4,"Horário do MES fora do padrão",IF(H290&lt;cfgMinCortes,"Cortes insuficientes","Válida")))</f>
        <v>0</v>
      </c>
      <c r="L290" s="27">
        <f>IF(K290="Válida",ABS(J290),"")</f>
        <v>0</v>
      </c>
      <c r="M290" s="26">
        <f>IF(K290="Válida",IF(L290&lt;=cfgTolerancia,"Sim","Não"),"")</f>
        <v>0</v>
      </c>
      <c r="N290" s="26">
        <f>IF(A290="","",MES!D290)</f>
        <v>0</v>
      </c>
      <c r="O290" s="25">
        <f>IF(K290="Válida",A290,NA())</f>
        <v>0</v>
      </c>
      <c r="P290" s="27">
        <f>IF(K290="Válida",C290,NA())</f>
        <v>0</v>
      </c>
      <c r="Q290" s="27">
        <f>IF(K290="Válida",I290,NA())</f>
        <v>0</v>
      </c>
      <c r="R290" s="27">
        <f>IF(K290="Válida",J290,NA())</f>
        <v>0</v>
      </c>
      <c r="S290" s="27">
        <f>IF(K290="Válida",C290,"")</f>
        <v>0</v>
      </c>
      <c r="T290" s="27">
        <f>IF(K290="Válida",I290,"")</f>
        <v>0</v>
      </c>
      <c r="U290" s="27">
        <f>IF(K290="Válida",J290,"")</f>
        <v>0</v>
      </c>
    </row>
    <row r="291" spans="1:21">
      <c r="A291" s="25">
        <f>IF(MES!A291="","",MES!C291/48)</f>
        <v>0</v>
      </c>
      <c r="B291" s="26">
        <f>IF(A291="","",TEXT((N291*4+cfgDeslocamento)/48,"hh:mm")&amp;" a "&amp;TEXT(A291,"hh:mm"))</f>
        <v>0</v>
      </c>
      <c r="C291" s="27">
        <f>IF(A291="","",MES!B291)</f>
        <v>0</v>
      </c>
      <c r="D291" s="27">
        <f>IF(A291="","",IFERROR(AVERAGEIFS(Prensa!$B$2:$B$5001,Prensa!$E$2:$E$5001,N291,Prensa!$F$2:$F$5001,1,Prensa!$G$2:$G$5001,1),""))</f>
        <v>0</v>
      </c>
      <c r="E291" s="27">
        <f>IF(A291="","",IFERROR(AVERAGEIFS(Prensa!$B$2:$B$5001,Prensa!$E$2:$E$5001,N291,Prensa!$F$2:$F$5001,2,Prensa!$G$2:$G$5001,1),""))</f>
        <v>0</v>
      </c>
      <c r="F291" s="27">
        <f>IF(A291="","",IFERROR(AVERAGEIFS(Prensa!$B$2:$B$5001,Prensa!$E$2:$E$5001,N291,Prensa!$F$2:$F$5001,3,Prensa!$G$2:$G$5001,1),""))</f>
        <v>0</v>
      </c>
      <c r="G291" s="27">
        <f>IF(A291="","",IFERROR(AVERAGEIFS(Prensa!$B$2:$B$5001,Prensa!$E$2:$E$5001,N291,Prensa!$F$2:$F$5001,4,Prensa!$G$2:$G$5001,1),""))</f>
        <v>0</v>
      </c>
      <c r="H291" s="26">
        <f>IF(A291="","",COUNT(D291:G291))</f>
        <v>0</v>
      </c>
      <c r="I291" s="27">
        <f>IF(A291="","",IF(H291=0,"",AVERAGE(D291:G291)))</f>
        <v>0</v>
      </c>
      <c r="J291" s="27">
        <f>IF(OR(I291="",C291=""),"",I291-C291)</f>
        <v>0</v>
      </c>
      <c r="K291" s="26">
        <f>IF(A291="","",IF(MES!E291&lt;&gt;4,"Horário do MES fora do padrão",IF(H291&lt;cfgMinCortes,"Cortes insuficientes","Válida")))</f>
        <v>0</v>
      </c>
      <c r="L291" s="27">
        <f>IF(K291="Válida",ABS(J291),"")</f>
        <v>0</v>
      </c>
      <c r="M291" s="26">
        <f>IF(K291="Válida",IF(L291&lt;=cfgTolerancia,"Sim","Não"),"")</f>
        <v>0</v>
      </c>
      <c r="N291" s="26">
        <f>IF(A291="","",MES!D291)</f>
        <v>0</v>
      </c>
      <c r="O291" s="25">
        <f>IF(K291="Válida",A291,NA())</f>
        <v>0</v>
      </c>
      <c r="P291" s="27">
        <f>IF(K291="Válida",C291,NA())</f>
        <v>0</v>
      </c>
      <c r="Q291" s="27">
        <f>IF(K291="Válida",I291,NA())</f>
        <v>0</v>
      </c>
      <c r="R291" s="27">
        <f>IF(K291="Válida",J291,NA())</f>
        <v>0</v>
      </c>
      <c r="S291" s="27">
        <f>IF(K291="Válida",C291,"")</f>
        <v>0</v>
      </c>
      <c r="T291" s="27">
        <f>IF(K291="Válida",I291,"")</f>
        <v>0</v>
      </c>
      <c r="U291" s="27">
        <f>IF(K291="Válida",J291,"")</f>
        <v>0</v>
      </c>
    </row>
    <row r="292" spans="1:21">
      <c r="A292" s="25">
        <f>IF(MES!A292="","",MES!C292/48)</f>
        <v>0</v>
      </c>
      <c r="B292" s="26">
        <f>IF(A292="","",TEXT((N292*4+cfgDeslocamento)/48,"hh:mm")&amp;" a "&amp;TEXT(A292,"hh:mm"))</f>
        <v>0</v>
      </c>
      <c r="C292" s="27">
        <f>IF(A292="","",MES!B292)</f>
        <v>0</v>
      </c>
      <c r="D292" s="27">
        <f>IF(A292="","",IFERROR(AVERAGEIFS(Prensa!$B$2:$B$5001,Prensa!$E$2:$E$5001,N292,Prensa!$F$2:$F$5001,1,Prensa!$G$2:$G$5001,1),""))</f>
        <v>0</v>
      </c>
      <c r="E292" s="27">
        <f>IF(A292="","",IFERROR(AVERAGEIFS(Prensa!$B$2:$B$5001,Prensa!$E$2:$E$5001,N292,Prensa!$F$2:$F$5001,2,Prensa!$G$2:$G$5001,1),""))</f>
        <v>0</v>
      </c>
      <c r="F292" s="27">
        <f>IF(A292="","",IFERROR(AVERAGEIFS(Prensa!$B$2:$B$5001,Prensa!$E$2:$E$5001,N292,Prensa!$F$2:$F$5001,3,Prensa!$G$2:$G$5001,1),""))</f>
        <v>0</v>
      </c>
      <c r="G292" s="27">
        <f>IF(A292="","",IFERROR(AVERAGEIFS(Prensa!$B$2:$B$5001,Prensa!$E$2:$E$5001,N292,Prensa!$F$2:$F$5001,4,Prensa!$G$2:$G$5001,1),""))</f>
        <v>0</v>
      </c>
      <c r="H292" s="26">
        <f>IF(A292="","",COUNT(D292:G292))</f>
        <v>0</v>
      </c>
      <c r="I292" s="27">
        <f>IF(A292="","",IF(H292=0,"",AVERAGE(D292:G292)))</f>
        <v>0</v>
      </c>
      <c r="J292" s="27">
        <f>IF(OR(I292="",C292=""),"",I292-C292)</f>
        <v>0</v>
      </c>
      <c r="K292" s="26">
        <f>IF(A292="","",IF(MES!E292&lt;&gt;4,"Horário do MES fora do padrão",IF(H292&lt;cfgMinCortes,"Cortes insuficientes","Válida")))</f>
        <v>0</v>
      </c>
      <c r="L292" s="27">
        <f>IF(K292="Válida",ABS(J292),"")</f>
        <v>0</v>
      </c>
      <c r="M292" s="26">
        <f>IF(K292="Válida",IF(L292&lt;=cfgTolerancia,"Sim","Não"),"")</f>
        <v>0</v>
      </c>
      <c r="N292" s="26">
        <f>IF(A292="","",MES!D292)</f>
        <v>0</v>
      </c>
      <c r="O292" s="25">
        <f>IF(K292="Válida",A292,NA())</f>
        <v>0</v>
      </c>
      <c r="P292" s="27">
        <f>IF(K292="Válida",C292,NA())</f>
        <v>0</v>
      </c>
      <c r="Q292" s="27">
        <f>IF(K292="Válida",I292,NA())</f>
        <v>0</v>
      </c>
      <c r="R292" s="27">
        <f>IF(K292="Válida",J292,NA())</f>
        <v>0</v>
      </c>
      <c r="S292" s="27">
        <f>IF(K292="Válida",C292,"")</f>
        <v>0</v>
      </c>
      <c r="T292" s="27">
        <f>IF(K292="Válida",I292,"")</f>
        <v>0</v>
      </c>
      <c r="U292" s="27">
        <f>IF(K292="Válida",J292,"")</f>
        <v>0</v>
      </c>
    </row>
    <row r="293" spans="1:21">
      <c r="A293" s="25">
        <f>IF(MES!A293="","",MES!C293/48)</f>
        <v>0</v>
      </c>
      <c r="B293" s="26">
        <f>IF(A293="","",TEXT((N293*4+cfgDeslocamento)/48,"hh:mm")&amp;" a "&amp;TEXT(A293,"hh:mm"))</f>
        <v>0</v>
      </c>
      <c r="C293" s="27">
        <f>IF(A293="","",MES!B293)</f>
        <v>0</v>
      </c>
      <c r="D293" s="27">
        <f>IF(A293="","",IFERROR(AVERAGEIFS(Prensa!$B$2:$B$5001,Prensa!$E$2:$E$5001,N293,Prensa!$F$2:$F$5001,1,Prensa!$G$2:$G$5001,1),""))</f>
        <v>0</v>
      </c>
      <c r="E293" s="27">
        <f>IF(A293="","",IFERROR(AVERAGEIFS(Prensa!$B$2:$B$5001,Prensa!$E$2:$E$5001,N293,Prensa!$F$2:$F$5001,2,Prensa!$G$2:$G$5001,1),""))</f>
        <v>0</v>
      </c>
      <c r="F293" s="27">
        <f>IF(A293="","",IFERROR(AVERAGEIFS(Prensa!$B$2:$B$5001,Prensa!$E$2:$E$5001,N293,Prensa!$F$2:$F$5001,3,Prensa!$G$2:$G$5001,1),""))</f>
        <v>0</v>
      </c>
      <c r="G293" s="27">
        <f>IF(A293="","",IFERROR(AVERAGEIFS(Prensa!$B$2:$B$5001,Prensa!$E$2:$E$5001,N293,Prensa!$F$2:$F$5001,4,Prensa!$G$2:$G$5001,1),""))</f>
        <v>0</v>
      </c>
      <c r="H293" s="26">
        <f>IF(A293="","",COUNT(D293:G293))</f>
        <v>0</v>
      </c>
      <c r="I293" s="27">
        <f>IF(A293="","",IF(H293=0,"",AVERAGE(D293:G293)))</f>
        <v>0</v>
      </c>
      <c r="J293" s="27">
        <f>IF(OR(I293="",C293=""),"",I293-C293)</f>
        <v>0</v>
      </c>
      <c r="K293" s="26">
        <f>IF(A293="","",IF(MES!E293&lt;&gt;4,"Horário do MES fora do padrão",IF(H293&lt;cfgMinCortes,"Cortes insuficientes","Válida")))</f>
        <v>0</v>
      </c>
      <c r="L293" s="27">
        <f>IF(K293="Válida",ABS(J293),"")</f>
        <v>0</v>
      </c>
      <c r="M293" s="26">
        <f>IF(K293="Válida",IF(L293&lt;=cfgTolerancia,"Sim","Não"),"")</f>
        <v>0</v>
      </c>
      <c r="N293" s="26">
        <f>IF(A293="","",MES!D293)</f>
        <v>0</v>
      </c>
      <c r="O293" s="25">
        <f>IF(K293="Válida",A293,NA())</f>
        <v>0</v>
      </c>
      <c r="P293" s="27">
        <f>IF(K293="Válida",C293,NA())</f>
        <v>0</v>
      </c>
      <c r="Q293" s="27">
        <f>IF(K293="Válida",I293,NA())</f>
        <v>0</v>
      </c>
      <c r="R293" s="27">
        <f>IF(K293="Válida",J293,NA())</f>
        <v>0</v>
      </c>
      <c r="S293" s="27">
        <f>IF(K293="Válida",C293,"")</f>
        <v>0</v>
      </c>
      <c r="T293" s="27">
        <f>IF(K293="Válida",I293,"")</f>
        <v>0</v>
      </c>
      <c r="U293" s="27">
        <f>IF(K293="Válida",J293,"")</f>
        <v>0</v>
      </c>
    </row>
    <row r="294" spans="1:21">
      <c r="A294" s="25">
        <f>IF(MES!A294="","",MES!C294/48)</f>
        <v>0</v>
      </c>
      <c r="B294" s="26">
        <f>IF(A294="","",TEXT((N294*4+cfgDeslocamento)/48,"hh:mm")&amp;" a "&amp;TEXT(A294,"hh:mm"))</f>
        <v>0</v>
      </c>
      <c r="C294" s="27">
        <f>IF(A294="","",MES!B294)</f>
        <v>0</v>
      </c>
      <c r="D294" s="27">
        <f>IF(A294="","",IFERROR(AVERAGEIFS(Prensa!$B$2:$B$5001,Prensa!$E$2:$E$5001,N294,Prensa!$F$2:$F$5001,1,Prensa!$G$2:$G$5001,1),""))</f>
        <v>0</v>
      </c>
      <c r="E294" s="27">
        <f>IF(A294="","",IFERROR(AVERAGEIFS(Prensa!$B$2:$B$5001,Prensa!$E$2:$E$5001,N294,Prensa!$F$2:$F$5001,2,Prensa!$G$2:$G$5001,1),""))</f>
        <v>0</v>
      </c>
      <c r="F294" s="27">
        <f>IF(A294="","",IFERROR(AVERAGEIFS(Prensa!$B$2:$B$5001,Prensa!$E$2:$E$5001,N294,Prensa!$F$2:$F$5001,3,Prensa!$G$2:$G$5001,1),""))</f>
        <v>0</v>
      </c>
      <c r="G294" s="27">
        <f>IF(A294="","",IFERROR(AVERAGEIFS(Prensa!$B$2:$B$5001,Prensa!$E$2:$E$5001,N294,Prensa!$F$2:$F$5001,4,Prensa!$G$2:$G$5001,1),""))</f>
        <v>0</v>
      </c>
      <c r="H294" s="26">
        <f>IF(A294="","",COUNT(D294:G294))</f>
        <v>0</v>
      </c>
      <c r="I294" s="27">
        <f>IF(A294="","",IF(H294=0,"",AVERAGE(D294:G294)))</f>
        <v>0</v>
      </c>
      <c r="J294" s="27">
        <f>IF(OR(I294="",C294=""),"",I294-C294)</f>
        <v>0</v>
      </c>
      <c r="K294" s="26">
        <f>IF(A294="","",IF(MES!E294&lt;&gt;4,"Horário do MES fora do padrão",IF(H294&lt;cfgMinCortes,"Cortes insuficientes","Válida")))</f>
        <v>0</v>
      </c>
      <c r="L294" s="27">
        <f>IF(K294="Válida",ABS(J294),"")</f>
        <v>0</v>
      </c>
      <c r="M294" s="26">
        <f>IF(K294="Válida",IF(L294&lt;=cfgTolerancia,"Sim","Não"),"")</f>
        <v>0</v>
      </c>
      <c r="N294" s="26">
        <f>IF(A294="","",MES!D294)</f>
        <v>0</v>
      </c>
      <c r="O294" s="25">
        <f>IF(K294="Válida",A294,NA())</f>
        <v>0</v>
      </c>
      <c r="P294" s="27">
        <f>IF(K294="Válida",C294,NA())</f>
        <v>0</v>
      </c>
      <c r="Q294" s="27">
        <f>IF(K294="Válida",I294,NA())</f>
        <v>0</v>
      </c>
      <c r="R294" s="27">
        <f>IF(K294="Válida",J294,NA())</f>
        <v>0</v>
      </c>
      <c r="S294" s="27">
        <f>IF(K294="Válida",C294,"")</f>
        <v>0</v>
      </c>
      <c r="T294" s="27">
        <f>IF(K294="Válida",I294,"")</f>
        <v>0</v>
      </c>
      <c r="U294" s="27">
        <f>IF(K294="Válida",J294,"")</f>
        <v>0</v>
      </c>
    </row>
    <row r="295" spans="1:21">
      <c r="A295" s="25">
        <f>IF(MES!A295="","",MES!C295/48)</f>
        <v>0</v>
      </c>
      <c r="B295" s="26">
        <f>IF(A295="","",TEXT((N295*4+cfgDeslocamento)/48,"hh:mm")&amp;" a "&amp;TEXT(A295,"hh:mm"))</f>
        <v>0</v>
      </c>
      <c r="C295" s="27">
        <f>IF(A295="","",MES!B295)</f>
        <v>0</v>
      </c>
      <c r="D295" s="27">
        <f>IF(A295="","",IFERROR(AVERAGEIFS(Prensa!$B$2:$B$5001,Prensa!$E$2:$E$5001,N295,Prensa!$F$2:$F$5001,1,Prensa!$G$2:$G$5001,1),""))</f>
        <v>0</v>
      </c>
      <c r="E295" s="27">
        <f>IF(A295="","",IFERROR(AVERAGEIFS(Prensa!$B$2:$B$5001,Prensa!$E$2:$E$5001,N295,Prensa!$F$2:$F$5001,2,Prensa!$G$2:$G$5001,1),""))</f>
        <v>0</v>
      </c>
      <c r="F295" s="27">
        <f>IF(A295="","",IFERROR(AVERAGEIFS(Prensa!$B$2:$B$5001,Prensa!$E$2:$E$5001,N295,Prensa!$F$2:$F$5001,3,Prensa!$G$2:$G$5001,1),""))</f>
        <v>0</v>
      </c>
      <c r="G295" s="27">
        <f>IF(A295="","",IFERROR(AVERAGEIFS(Prensa!$B$2:$B$5001,Prensa!$E$2:$E$5001,N295,Prensa!$F$2:$F$5001,4,Prensa!$G$2:$G$5001,1),""))</f>
        <v>0</v>
      </c>
      <c r="H295" s="26">
        <f>IF(A295="","",COUNT(D295:G295))</f>
        <v>0</v>
      </c>
      <c r="I295" s="27">
        <f>IF(A295="","",IF(H295=0,"",AVERAGE(D295:G295)))</f>
        <v>0</v>
      </c>
      <c r="J295" s="27">
        <f>IF(OR(I295="",C295=""),"",I295-C295)</f>
        <v>0</v>
      </c>
      <c r="K295" s="26">
        <f>IF(A295="","",IF(MES!E295&lt;&gt;4,"Horário do MES fora do padrão",IF(H295&lt;cfgMinCortes,"Cortes insuficientes","Válida")))</f>
        <v>0</v>
      </c>
      <c r="L295" s="27">
        <f>IF(K295="Válida",ABS(J295),"")</f>
        <v>0</v>
      </c>
      <c r="M295" s="26">
        <f>IF(K295="Válida",IF(L295&lt;=cfgTolerancia,"Sim","Não"),"")</f>
        <v>0</v>
      </c>
      <c r="N295" s="26">
        <f>IF(A295="","",MES!D295)</f>
        <v>0</v>
      </c>
      <c r="O295" s="25">
        <f>IF(K295="Válida",A295,NA())</f>
        <v>0</v>
      </c>
      <c r="P295" s="27">
        <f>IF(K295="Válida",C295,NA())</f>
        <v>0</v>
      </c>
      <c r="Q295" s="27">
        <f>IF(K295="Válida",I295,NA())</f>
        <v>0</v>
      </c>
      <c r="R295" s="27">
        <f>IF(K295="Válida",J295,NA())</f>
        <v>0</v>
      </c>
      <c r="S295" s="27">
        <f>IF(K295="Válida",C295,"")</f>
        <v>0</v>
      </c>
      <c r="T295" s="27">
        <f>IF(K295="Válida",I295,"")</f>
        <v>0</v>
      </c>
      <c r="U295" s="27">
        <f>IF(K295="Válida",J295,"")</f>
        <v>0</v>
      </c>
    </row>
    <row r="296" spans="1:21">
      <c r="A296" s="25">
        <f>IF(MES!A296="","",MES!C296/48)</f>
        <v>0</v>
      </c>
      <c r="B296" s="26">
        <f>IF(A296="","",TEXT((N296*4+cfgDeslocamento)/48,"hh:mm")&amp;" a "&amp;TEXT(A296,"hh:mm"))</f>
        <v>0</v>
      </c>
      <c r="C296" s="27">
        <f>IF(A296="","",MES!B296)</f>
        <v>0</v>
      </c>
      <c r="D296" s="27">
        <f>IF(A296="","",IFERROR(AVERAGEIFS(Prensa!$B$2:$B$5001,Prensa!$E$2:$E$5001,N296,Prensa!$F$2:$F$5001,1,Prensa!$G$2:$G$5001,1),""))</f>
        <v>0</v>
      </c>
      <c r="E296" s="27">
        <f>IF(A296="","",IFERROR(AVERAGEIFS(Prensa!$B$2:$B$5001,Prensa!$E$2:$E$5001,N296,Prensa!$F$2:$F$5001,2,Prensa!$G$2:$G$5001,1),""))</f>
        <v>0</v>
      </c>
      <c r="F296" s="27">
        <f>IF(A296="","",IFERROR(AVERAGEIFS(Prensa!$B$2:$B$5001,Prensa!$E$2:$E$5001,N296,Prensa!$F$2:$F$5001,3,Prensa!$G$2:$G$5001,1),""))</f>
        <v>0</v>
      </c>
      <c r="G296" s="27">
        <f>IF(A296="","",IFERROR(AVERAGEIFS(Prensa!$B$2:$B$5001,Prensa!$E$2:$E$5001,N296,Prensa!$F$2:$F$5001,4,Prensa!$G$2:$G$5001,1),""))</f>
        <v>0</v>
      </c>
      <c r="H296" s="26">
        <f>IF(A296="","",COUNT(D296:G296))</f>
        <v>0</v>
      </c>
      <c r="I296" s="27">
        <f>IF(A296="","",IF(H296=0,"",AVERAGE(D296:G296)))</f>
        <v>0</v>
      </c>
      <c r="J296" s="27">
        <f>IF(OR(I296="",C296=""),"",I296-C296)</f>
        <v>0</v>
      </c>
      <c r="K296" s="26">
        <f>IF(A296="","",IF(MES!E296&lt;&gt;4,"Horário do MES fora do padrão",IF(H296&lt;cfgMinCortes,"Cortes insuficientes","Válida")))</f>
        <v>0</v>
      </c>
      <c r="L296" s="27">
        <f>IF(K296="Válida",ABS(J296),"")</f>
        <v>0</v>
      </c>
      <c r="M296" s="26">
        <f>IF(K296="Válida",IF(L296&lt;=cfgTolerancia,"Sim","Não"),"")</f>
        <v>0</v>
      </c>
      <c r="N296" s="26">
        <f>IF(A296="","",MES!D296)</f>
        <v>0</v>
      </c>
      <c r="O296" s="25">
        <f>IF(K296="Válida",A296,NA())</f>
        <v>0</v>
      </c>
      <c r="P296" s="27">
        <f>IF(K296="Válida",C296,NA())</f>
        <v>0</v>
      </c>
      <c r="Q296" s="27">
        <f>IF(K296="Válida",I296,NA())</f>
        <v>0</v>
      </c>
      <c r="R296" s="27">
        <f>IF(K296="Válida",J296,NA())</f>
        <v>0</v>
      </c>
      <c r="S296" s="27">
        <f>IF(K296="Válida",C296,"")</f>
        <v>0</v>
      </c>
      <c r="T296" s="27">
        <f>IF(K296="Válida",I296,"")</f>
        <v>0</v>
      </c>
      <c r="U296" s="27">
        <f>IF(K296="Válida",J296,"")</f>
        <v>0</v>
      </c>
    </row>
    <row r="297" spans="1:21">
      <c r="A297" s="25">
        <f>IF(MES!A297="","",MES!C297/48)</f>
        <v>0</v>
      </c>
      <c r="B297" s="26">
        <f>IF(A297="","",TEXT((N297*4+cfgDeslocamento)/48,"hh:mm")&amp;" a "&amp;TEXT(A297,"hh:mm"))</f>
        <v>0</v>
      </c>
      <c r="C297" s="27">
        <f>IF(A297="","",MES!B297)</f>
        <v>0</v>
      </c>
      <c r="D297" s="27">
        <f>IF(A297="","",IFERROR(AVERAGEIFS(Prensa!$B$2:$B$5001,Prensa!$E$2:$E$5001,N297,Prensa!$F$2:$F$5001,1,Prensa!$G$2:$G$5001,1),""))</f>
        <v>0</v>
      </c>
      <c r="E297" s="27">
        <f>IF(A297="","",IFERROR(AVERAGEIFS(Prensa!$B$2:$B$5001,Prensa!$E$2:$E$5001,N297,Prensa!$F$2:$F$5001,2,Prensa!$G$2:$G$5001,1),""))</f>
        <v>0</v>
      </c>
      <c r="F297" s="27">
        <f>IF(A297="","",IFERROR(AVERAGEIFS(Prensa!$B$2:$B$5001,Prensa!$E$2:$E$5001,N297,Prensa!$F$2:$F$5001,3,Prensa!$G$2:$G$5001,1),""))</f>
        <v>0</v>
      </c>
      <c r="G297" s="27">
        <f>IF(A297="","",IFERROR(AVERAGEIFS(Prensa!$B$2:$B$5001,Prensa!$E$2:$E$5001,N297,Prensa!$F$2:$F$5001,4,Prensa!$G$2:$G$5001,1),""))</f>
        <v>0</v>
      </c>
      <c r="H297" s="26">
        <f>IF(A297="","",COUNT(D297:G297))</f>
        <v>0</v>
      </c>
      <c r="I297" s="27">
        <f>IF(A297="","",IF(H297=0,"",AVERAGE(D297:G297)))</f>
        <v>0</v>
      </c>
      <c r="J297" s="27">
        <f>IF(OR(I297="",C297=""),"",I297-C297)</f>
        <v>0</v>
      </c>
      <c r="K297" s="26">
        <f>IF(A297="","",IF(MES!E297&lt;&gt;4,"Horário do MES fora do padrão",IF(H297&lt;cfgMinCortes,"Cortes insuficientes","Válida")))</f>
        <v>0</v>
      </c>
      <c r="L297" s="27">
        <f>IF(K297="Válida",ABS(J297),"")</f>
        <v>0</v>
      </c>
      <c r="M297" s="26">
        <f>IF(K297="Válida",IF(L297&lt;=cfgTolerancia,"Sim","Não"),"")</f>
        <v>0</v>
      </c>
      <c r="N297" s="26">
        <f>IF(A297="","",MES!D297)</f>
        <v>0</v>
      </c>
      <c r="O297" s="25">
        <f>IF(K297="Válida",A297,NA())</f>
        <v>0</v>
      </c>
      <c r="P297" s="27">
        <f>IF(K297="Válida",C297,NA())</f>
        <v>0</v>
      </c>
      <c r="Q297" s="27">
        <f>IF(K297="Válida",I297,NA())</f>
        <v>0</v>
      </c>
      <c r="R297" s="27">
        <f>IF(K297="Válida",J297,NA())</f>
        <v>0</v>
      </c>
      <c r="S297" s="27">
        <f>IF(K297="Válida",C297,"")</f>
        <v>0</v>
      </c>
      <c r="T297" s="27">
        <f>IF(K297="Válida",I297,"")</f>
        <v>0</v>
      </c>
      <c r="U297" s="27">
        <f>IF(K297="Válida",J297,"")</f>
        <v>0</v>
      </c>
    </row>
    <row r="298" spans="1:21">
      <c r="A298" s="25">
        <f>IF(MES!A298="","",MES!C298/48)</f>
        <v>0</v>
      </c>
      <c r="B298" s="26">
        <f>IF(A298="","",TEXT((N298*4+cfgDeslocamento)/48,"hh:mm")&amp;" a "&amp;TEXT(A298,"hh:mm"))</f>
        <v>0</v>
      </c>
      <c r="C298" s="27">
        <f>IF(A298="","",MES!B298)</f>
        <v>0</v>
      </c>
      <c r="D298" s="27">
        <f>IF(A298="","",IFERROR(AVERAGEIFS(Prensa!$B$2:$B$5001,Prensa!$E$2:$E$5001,N298,Prensa!$F$2:$F$5001,1,Prensa!$G$2:$G$5001,1),""))</f>
        <v>0</v>
      </c>
      <c r="E298" s="27">
        <f>IF(A298="","",IFERROR(AVERAGEIFS(Prensa!$B$2:$B$5001,Prensa!$E$2:$E$5001,N298,Prensa!$F$2:$F$5001,2,Prensa!$G$2:$G$5001,1),""))</f>
        <v>0</v>
      </c>
      <c r="F298" s="27">
        <f>IF(A298="","",IFERROR(AVERAGEIFS(Prensa!$B$2:$B$5001,Prensa!$E$2:$E$5001,N298,Prensa!$F$2:$F$5001,3,Prensa!$G$2:$G$5001,1),""))</f>
        <v>0</v>
      </c>
      <c r="G298" s="27">
        <f>IF(A298="","",IFERROR(AVERAGEIFS(Prensa!$B$2:$B$5001,Prensa!$E$2:$E$5001,N298,Prensa!$F$2:$F$5001,4,Prensa!$G$2:$G$5001,1),""))</f>
        <v>0</v>
      </c>
      <c r="H298" s="26">
        <f>IF(A298="","",COUNT(D298:G298))</f>
        <v>0</v>
      </c>
      <c r="I298" s="27">
        <f>IF(A298="","",IF(H298=0,"",AVERAGE(D298:G298)))</f>
        <v>0</v>
      </c>
      <c r="J298" s="27">
        <f>IF(OR(I298="",C298=""),"",I298-C298)</f>
        <v>0</v>
      </c>
      <c r="K298" s="26">
        <f>IF(A298="","",IF(MES!E298&lt;&gt;4,"Horário do MES fora do padrão",IF(H298&lt;cfgMinCortes,"Cortes insuficientes","Válida")))</f>
        <v>0</v>
      </c>
      <c r="L298" s="27">
        <f>IF(K298="Válida",ABS(J298),"")</f>
        <v>0</v>
      </c>
      <c r="M298" s="26">
        <f>IF(K298="Válida",IF(L298&lt;=cfgTolerancia,"Sim","Não"),"")</f>
        <v>0</v>
      </c>
      <c r="N298" s="26">
        <f>IF(A298="","",MES!D298)</f>
        <v>0</v>
      </c>
      <c r="O298" s="25">
        <f>IF(K298="Válida",A298,NA())</f>
        <v>0</v>
      </c>
      <c r="P298" s="27">
        <f>IF(K298="Válida",C298,NA())</f>
        <v>0</v>
      </c>
      <c r="Q298" s="27">
        <f>IF(K298="Válida",I298,NA())</f>
        <v>0</v>
      </c>
      <c r="R298" s="27">
        <f>IF(K298="Válida",J298,NA())</f>
        <v>0</v>
      </c>
      <c r="S298" s="27">
        <f>IF(K298="Válida",C298,"")</f>
        <v>0</v>
      </c>
      <c r="T298" s="27">
        <f>IF(K298="Válida",I298,"")</f>
        <v>0</v>
      </c>
      <c r="U298" s="27">
        <f>IF(K298="Válida",J298,"")</f>
        <v>0</v>
      </c>
    </row>
    <row r="299" spans="1:21">
      <c r="A299" s="25">
        <f>IF(MES!A299="","",MES!C299/48)</f>
        <v>0</v>
      </c>
      <c r="B299" s="26">
        <f>IF(A299="","",TEXT((N299*4+cfgDeslocamento)/48,"hh:mm")&amp;" a "&amp;TEXT(A299,"hh:mm"))</f>
        <v>0</v>
      </c>
      <c r="C299" s="27">
        <f>IF(A299="","",MES!B299)</f>
        <v>0</v>
      </c>
      <c r="D299" s="27">
        <f>IF(A299="","",IFERROR(AVERAGEIFS(Prensa!$B$2:$B$5001,Prensa!$E$2:$E$5001,N299,Prensa!$F$2:$F$5001,1,Prensa!$G$2:$G$5001,1),""))</f>
        <v>0</v>
      </c>
      <c r="E299" s="27">
        <f>IF(A299="","",IFERROR(AVERAGEIFS(Prensa!$B$2:$B$5001,Prensa!$E$2:$E$5001,N299,Prensa!$F$2:$F$5001,2,Prensa!$G$2:$G$5001,1),""))</f>
        <v>0</v>
      </c>
      <c r="F299" s="27">
        <f>IF(A299="","",IFERROR(AVERAGEIFS(Prensa!$B$2:$B$5001,Prensa!$E$2:$E$5001,N299,Prensa!$F$2:$F$5001,3,Prensa!$G$2:$G$5001,1),""))</f>
        <v>0</v>
      </c>
      <c r="G299" s="27">
        <f>IF(A299="","",IFERROR(AVERAGEIFS(Prensa!$B$2:$B$5001,Prensa!$E$2:$E$5001,N299,Prensa!$F$2:$F$5001,4,Prensa!$G$2:$G$5001,1),""))</f>
        <v>0</v>
      </c>
      <c r="H299" s="26">
        <f>IF(A299="","",COUNT(D299:G299))</f>
        <v>0</v>
      </c>
      <c r="I299" s="27">
        <f>IF(A299="","",IF(H299=0,"",AVERAGE(D299:G299)))</f>
        <v>0</v>
      </c>
      <c r="J299" s="27">
        <f>IF(OR(I299="",C299=""),"",I299-C299)</f>
        <v>0</v>
      </c>
      <c r="K299" s="26">
        <f>IF(A299="","",IF(MES!E299&lt;&gt;4,"Horário do MES fora do padrão",IF(H299&lt;cfgMinCortes,"Cortes insuficientes","Válida")))</f>
        <v>0</v>
      </c>
      <c r="L299" s="27">
        <f>IF(K299="Válida",ABS(J299),"")</f>
        <v>0</v>
      </c>
      <c r="M299" s="26">
        <f>IF(K299="Válida",IF(L299&lt;=cfgTolerancia,"Sim","Não"),"")</f>
        <v>0</v>
      </c>
      <c r="N299" s="26">
        <f>IF(A299="","",MES!D299)</f>
        <v>0</v>
      </c>
      <c r="O299" s="25">
        <f>IF(K299="Válida",A299,NA())</f>
        <v>0</v>
      </c>
      <c r="P299" s="27">
        <f>IF(K299="Válida",C299,NA())</f>
        <v>0</v>
      </c>
      <c r="Q299" s="27">
        <f>IF(K299="Válida",I299,NA())</f>
        <v>0</v>
      </c>
      <c r="R299" s="27">
        <f>IF(K299="Válida",J299,NA())</f>
        <v>0</v>
      </c>
      <c r="S299" s="27">
        <f>IF(K299="Válida",C299,"")</f>
        <v>0</v>
      </c>
      <c r="T299" s="27">
        <f>IF(K299="Válida",I299,"")</f>
        <v>0</v>
      </c>
      <c r="U299" s="27">
        <f>IF(K299="Válida",J299,"")</f>
        <v>0</v>
      </c>
    </row>
    <row r="300" spans="1:21">
      <c r="A300" s="25">
        <f>IF(MES!A300="","",MES!C300/48)</f>
        <v>0</v>
      </c>
      <c r="B300" s="26">
        <f>IF(A300="","",TEXT((N300*4+cfgDeslocamento)/48,"hh:mm")&amp;" a "&amp;TEXT(A300,"hh:mm"))</f>
        <v>0</v>
      </c>
      <c r="C300" s="27">
        <f>IF(A300="","",MES!B300)</f>
        <v>0</v>
      </c>
      <c r="D300" s="27">
        <f>IF(A300="","",IFERROR(AVERAGEIFS(Prensa!$B$2:$B$5001,Prensa!$E$2:$E$5001,N300,Prensa!$F$2:$F$5001,1,Prensa!$G$2:$G$5001,1),""))</f>
        <v>0</v>
      </c>
      <c r="E300" s="27">
        <f>IF(A300="","",IFERROR(AVERAGEIFS(Prensa!$B$2:$B$5001,Prensa!$E$2:$E$5001,N300,Prensa!$F$2:$F$5001,2,Prensa!$G$2:$G$5001,1),""))</f>
        <v>0</v>
      </c>
      <c r="F300" s="27">
        <f>IF(A300="","",IFERROR(AVERAGEIFS(Prensa!$B$2:$B$5001,Prensa!$E$2:$E$5001,N300,Prensa!$F$2:$F$5001,3,Prensa!$G$2:$G$5001,1),""))</f>
        <v>0</v>
      </c>
      <c r="G300" s="27">
        <f>IF(A300="","",IFERROR(AVERAGEIFS(Prensa!$B$2:$B$5001,Prensa!$E$2:$E$5001,N300,Prensa!$F$2:$F$5001,4,Prensa!$G$2:$G$5001,1),""))</f>
        <v>0</v>
      </c>
      <c r="H300" s="26">
        <f>IF(A300="","",COUNT(D300:G300))</f>
        <v>0</v>
      </c>
      <c r="I300" s="27">
        <f>IF(A300="","",IF(H300=0,"",AVERAGE(D300:G300)))</f>
        <v>0</v>
      </c>
      <c r="J300" s="27">
        <f>IF(OR(I300="",C300=""),"",I300-C300)</f>
        <v>0</v>
      </c>
      <c r="K300" s="26">
        <f>IF(A300="","",IF(MES!E300&lt;&gt;4,"Horário do MES fora do padrão",IF(H300&lt;cfgMinCortes,"Cortes insuficientes","Válida")))</f>
        <v>0</v>
      </c>
      <c r="L300" s="27">
        <f>IF(K300="Válida",ABS(J300),"")</f>
        <v>0</v>
      </c>
      <c r="M300" s="26">
        <f>IF(K300="Válida",IF(L300&lt;=cfgTolerancia,"Sim","Não"),"")</f>
        <v>0</v>
      </c>
      <c r="N300" s="26">
        <f>IF(A300="","",MES!D300)</f>
        <v>0</v>
      </c>
      <c r="O300" s="25">
        <f>IF(K300="Válida",A300,NA())</f>
        <v>0</v>
      </c>
      <c r="P300" s="27">
        <f>IF(K300="Válida",C300,NA())</f>
        <v>0</v>
      </c>
      <c r="Q300" s="27">
        <f>IF(K300="Válida",I300,NA())</f>
        <v>0</v>
      </c>
      <c r="R300" s="27">
        <f>IF(K300="Válida",J300,NA())</f>
        <v>0</v>
      </c>
      <c r="S300" s="27">
        <f>IF(K300="Válida",C300,"")</f>
        <v>0</v>
      </c>
      <c r="T300" s="27">
        <f>IF(K300="Válida",I300,"")</f>
        <v>0</v>
      </c>
      <c r="U300" s="27">
        <f>IF(K300="Válida",J300,"")</f>
        <v>0</v>
      </c>
    </row>
    <row r="301" spans="1:21">
      <c r="A301" s="25">
        <f>IF(MES!A301="","",MES!C301/48)</f>
        <v>0</v>
      </c>
      <c r="B301" s="26">
        <f>IF(A301="","",TEXT((N301*4+cfgDeslocamento)/48,"hh:mm")&amp;" a "&amp;TEXT(A301,"hh:mm"))</f>
        <v>0</v>
      </c>
      <c r="C301" s="27">
        <f>IF(A301="","",MES!B301)</f>
        <v>0</v>
      </c>
      <c r="D301" s="27">
        <f>IF(A301="","",IFERROR(AVERAGEIFS(Prensa!$B$2:$B$5001,Prensa!$E$2:$E$5001,N301,Prensa!$F$2:$F$5001,1,Prensa!$G$2:$G$5001,1),""))</f>
        <v>0</v>
      </c>
      <c r="E301" s="27">
        <f>IF(A301="","",IFERROR(AVERAGEIFS(Prensa!$B$2:$B$5001,Prensa!$E$2:$E$5001,N301,Prensa!$F$2:$F$5001,2,Prensa!$G$2:$G$5001,1),""))</f>
        <v>0</v>
      </c>
      <c r="F301" s="27">
        <f>IF(A301="","",IFERROR(AVERAGEIFS(Prensa!$B$2:$B$5001,Prensa!$E$2:$E$5001,N301,Prensa!$F$2:$F$5001,3,Prensa!$G$2:$G$5001,1),""))</f>
        <v>0</v>
      </c>
      <c r="G301" s="27">
        <f>IF(A301="","",IFERROR(AVERAGEIFS(Prensa!$B$2:$B$5001,Prensa!$E$2:$E$5001,N301,Prensa!$F$2:$F$5001,4,Prensa!$G$2:$G$5001,1),""))</f>
        <v>0</v>
      </c>
      <c r="H301" s="26">
        <f>IF(A301="","",COUNT(D301:G301))</f>
        <v>0</v>
      </c>
      <c r="I301" s="27">
        <f>IF(A301="","",IF(H301=0,"",AVERAGE(D301:G301)))</f>
        <v>0</v>
      </c>
      <c r="J301" s="27">
        <f>IF(OR(I301="",C301=""),"",I301-C301)</f>
        <v>0</v>
      </c>
      <c r="K301" s="26">
        <f>IF(A301="","",IF(MES!E301&lt;&gt;4,"Horário do MES fora do padrão",IF(H301&lt;cfgMinCortes,"Cortes insuficientes","Válida")))</f>
        <v>0</v>
      </c>
      <c r="L301" s="27">
        <f>IF(K301="Válida",ABS(J301),"")</f>
        <v>0</v>
      </c>
      <c r="M301" s="26">
        <f>IF(K301="Válida",IF(L301&lt;=cfgTolerancia,"Sim","Não"),"")</f>
        <v>0</v>
      </c>
      <c r="N301" s="26">
        <f>IF(A301="","",MES!D301)</f>
        <v>0</v>
      </c>
      <c r="O301" s="25">
        <f>IF(K301="Válida",A301,NA())</f>
        <v>0</v>
      </c>
      <c r="P301" s="27">
        <f>IF(K301="Válida",C301,NA())</f>
        <v>0</v>
      </c>
      <c r="Q301" s="27">
        <f>IF(K301="Válida",I301,NA())</f>
        <v>0</v>
      </c>
      <c r="R301" s="27">
        <f>IF(K301="Válida",J301,NA())</f>
        <v>0</v>
      </c>
      <c r="S301" s="27">
        <f>IF(K301="Válida",C301,"")</f>
        <v>0</v>
      </c>
      <c r="T301" s="27">
        <f>IF(K301="Válida",I301,"")</f>
        <v>0</v>
      </c>
      <c r="U301" s="27">
        <f>IF(K301="Válida",J301,"")</f>
        <v>0</v>
      </c>
    </row>
    <row r="302" spans="1:21">
      <c r="A302" s="25">
        <f>IF(MES!A302="","",MES!C302/48)</f>
        <v>0</v>
      </c>
      <c r="B302" s="26">
        <f>IF(A302="","",TEXT((N302*4+cfgDeslocamento)/48,"hh:mm")&amp;" a "&amp;TEXT(A302,"hh:mm"))</f>
        <v>0</v>
      </c>
      <c r="C302" s="27">
        <f>IF(A302="","",MES!B302)</f>
        <v>0</v>
      </c>
      <c r="D302" s="27">
        <f>IF(A302="","",IFERROR(AVERAGEIFS(Prensa!$B$2:$B$5001,Prensa!$E$2:$E$5001,N302,Prensa!$F$2:$F$5001,1,Prensa!$G$2:$G$5001,1),""))</f>
        <v>0</v>
      </c>
      <c r="E302" s="27">
        <f>IF(A302="","",IFERROR(AVERAGEIFS(Prensa!$B$2:$B$5001,Prensa!$E$2:$E$5001,N302,Prensa!$F$2:$F$5001,2,Prensa!$G$2:$G$5001,1),""))</f>
        <v>0</v>
      </c>
      <c r="F302" s="27">
        <f>IF(A302="","",IFERROR(AVERAGEIFS(Prensa!$B$2:$B$5001,Prensa!$E$2:$E$5001,N302,Prensa!$F$2:$F$5001,3,Prensa!$G$2:$G$5001,1),""))</f>
        <v>0</v>
      </c>
      <c r="G302" s="27">
        <f>IF(A302="","",IFERROR(AVERAGEIFS(Prensa!$B$2:$B$5001,Prensa!$E$2:$E$5001,N302,Prensa!$F$2:$F$5001,4,Prensa!$G$2:$G$5001,1),""))</f>
        <v>0</v>
      </c>
      <c r="H302" s="26">
        <f>IF(A302="","",COUNT(D302:G302))</f>
        <v>0</v>
      </c>
      <c r="I302" s="27">
        <f>IF(A302="","",IF(H302=0,"",AVERAGE(D302:G302)))</f>
        <v>0</v>
      </c>
      <c r="J302" s="27">
        <f>IF(OR(I302="",C302=""),"",I302-C302)</f>
        <v>0</v>
      </c>
      <c r="K302" s="26">
        <f>IF(A302="","",IF(MES!E302&lt;&gt;4,"Horário do MES fora do padrão",IF(H302&lt;cfgMinCortes,"Cortes insuficientes","Válida")))</f>
        <v>0</v>
      </c>
      <c r="L302" s="27">
        <f>IF(K302="Válida",ABS(J302),"")</f>
        <v>0</v>
      </c>
      <c r="M302" s="26">
        <f>IF(K302="Válida",IF(L302&lt;=cfgTolerancia,"Sim","Não"),"")</f>
        <v>0</v>
      </c>
      <c r="N302" s="26">
        <f>IF(A302="","",MES!D302)</f>
        <v>0</v>
      </c>
      <c r="O302" s="25">
        <f>IF(K302="Válida",A302,NA())</f>
        <v>0</v>
      </c>
      <c r="P302" s="27">
        <f>IF(K302="Válida",C302,NA())</f>
        <v>0</v>
      </c>
      <c r="Q302" s="27">
        <f>IF(K302="Válida",I302,NA())</f>
        <v>0</v>
      </c>
      <c r="R302" s="27">
        <f>IF(K302="Válida",J302,NA())</f>
        <v>0</v>
      </c>
      <c r="S302" s="27">
        <f>IF(K302="Válida",C302,"")</f>
        <v>0</v>
      </c>
      <c r="T302" s="27">
        <f>IF(K302="Válida",I302,"")</f>
        <v>0</v>
      </c>
      <c r="U302" s="27">
        <f>IF(K302="Válida",J302,"")</f>
        <v>0</v>
      </c>
    </row>
    <row r="303" spans="1:21">
      <c r="A303" s="25">
        <f>IF(MES!A303="","",MES!C303/48)</f>
        <v>0</v>
      </c>
      <c r="B303" s="26">
        <f>IF(A303="","",TEXT((N303*4+cfgDeslocamento)/48,"hh:mm")&amp;" a "&amp;TEXT(A303,"hh:mm"))</f>
        <v>0</v>
      </c>
      <c r="C303" s="27">
        <f>IF(A303="","",MES!B303)</f>
        <v>0</v>
      </c>
      <c r="D303" s="27">
        <f>IF(A303="","",IFERROR(AVERAGEIFS(Prensa!$B$2:$B$5001,Prensa!$E$2:$E$5001,N303,Prensa!$F$2:$F$5001,1,Prensa!$G$2:$G$5001,1),""))</f>
        <v>0</v>
      </c>
      <c r="E303" s="27">
        <f>IF(A303="","",IFERROR(AVERAGEIFS(Prensa!$B$2:$B$5001,Prensa!$E$2:$E$5001,N303,Prensa!$F$2:$F$5001,2,Prensa!$G$2:$G$5001,1),""))</f>
        <v>0</v>
      </c>
      <c r="F303" s="27">
        <f>IF(A303="","",IFERROR(AVERAGEIFS(Prensa!$B$2:$B$5001,Prensa!$E$2:$E$5001,N303,Prensa!$F$2:$F$5001,3,Prensa!$G$2:$G$5001,1),""))</f>
        <v>0</v>
      </c>
      <c r="G303" s="27">
        <f>IF(A303="","",IFERROR(AVERAGEIFS(Prensa!$B$2:$B$5001,Prensa!$E$2:$E$5001,N303,Prensa!$F$2:$F$5001,4,Prensa!$G$2:$G$5001,1),""))</f>
        <v>0</v>
      </c>
      <c r="H303" s="26">
        <f>IF(A303="","",COUNT(D303:G303))</f>
        <v>0</v>
      </c>
      <c r="I303" s="27">
        <f>IF(A303="","",IF(H303=0,"",AVERAGE(D303:G303)))</f>
        <v>0</v>
      </c>
      <c r="J303" s="27">
        <f>IF(OR(I303="",C303=""),"",I303-C303)</f>
        <v>0</v>
      </c>
      <c r="K303" s="26">
        <f>IF(A303="","",IF(MES!E303&lt;&gt;4,"Horário do MES fora do padrão",IF(H303&lt;cfgMinCortes,"Cortes insuficientes","Válida")))</f>
        <v>0</v>
      </c>
      <c r="L303" s="27">
        <f>IF(K303="Válida",ABS(J303),"")</f>
        <v>0</v>
      </c>
      <c r="M303" s="26">
        <f>IF(K303="Válida",IF(L303&lt;=cfgTolerancia,"Sim","Não"),"")</f>
        <v>0</v>
      </c>
      <c r="N303" s="26">
        <f>IF(A303="","",MES!D303)</f>
        <v>0</v>
      </c>
      <c r="O303" s="25">
        <f>IF(K303="Válida",A303,NA())</f>
        <v>0</v>
      </c>
      <c r="P303" s="27">
        <f>IF(K303="Válida",C303,NA())</f>
        <v>0</v>
      </c>
      <c r="Q303" s="27">
        <f>IF(K303="Válida",I303,NA())</f>
        <v>0</v>
      </c>
      <c r="R303" s="27">
        <f>IF(K303="Válida",J303,NA())</f>
        <v>0</v>
      </c>
      <c r="S303" s="27">
        <f>IF(K303="Válida",C303,"")</f>
        <v>0</v>
      </c>
      <c r="T303" s="27">
        <f>IF(K303="Válida",I303,"")</f>
        <v>0</v>
      </c>
      <c r="U303" s="27">
        <f>IF(K303="Válida",J303,"")</f>
        <v>0</v>
      </c>
    </row>
    <row r="304" spans="1:21">
      <c r="A304" s="25">
        <f>IF(MES!A304="","",MES!C304/48)</f>
        <v>0</v>
      </c>
      <c r="B304" s="26">
        <f>IF(A304="","",TEXT((N304*4+cfgDeslocamento)/48,"hh:mm")&amp;" a "&amp;TEXT(A304,"hh:mm"))</f>
        <v>0</v>
      </c>
      <c r="C304" s="27">
        <f>IF(A304="","",MES!B304)</f>
        <v>0</v>
      </c>
      <c r="D304" s="27">
        <f>IF(A304="","",IFERROR(AVERAGEIFS(Prensa!$B$2:$B$5001,Prensa!$E$2:$E$5001,N304,Prensa!$F$2:$F$5001,1,Prensa!$G$2:$G$5001,1),""))</f>
        <v>0</v>
      </c>
      <c r="E304" s="27">
        <f>IF(A304="","",IFERROR(AVERAGEIFS(Prensa!$B$2:$B$5001,Prensa!$E$2:$E$5001,N304,Prensa!$F$2:$F$5001,2,Prensa!$G$2:$G$5001,1),""))</f>
        <v>0</v>
      </c>
      <c r="F304" s="27">
        <f>IF(A304="","",IFERROR(AVERAGEIFS(Prensa!$B$2:$B$5001,Prensa!$E$2:$E$5001,N304,Prensa!$F$2:$F$5001,3,Prensa!$G$2:$G$5001,1),""))</f>
        <v>0</v>
      </c>
      <c r="G304" s="27">
        <f>IF(A304="","",IFERROR(AVERAGEIFS(Prensa!$B$2:$B$5001,Prensa!$E$2:$E$5001,N304,Prensa!$F$2:$F$5001,4,Prensa!$G$2:$G$5001,1),""))</f>
        <v>0</v>
      </c>
      <c r="H304" s="26">
        <f>IF(A304="","",COUNT(D304:G304))</f>
        <v>0</v>
      </c>
      <c r="I304" s="27">
        <f>IF(A304="","",IF(H304=0,"",AVERAGE(D304:G304)))</f>
        <v>0</v>
      </c>
      <c r="J304" s="27">
        <f>IF(OR(I304="",C304=""),"",I304-C304)</f>
        <v>0</v>
      </c>
      <c r="K304" s="26">
        <f>IF(A304="","",IF(MES!E304&lt;&gt;4,"Horário do MES fora do padrão",IF(H304&lt;cfgMinCortes,"Cortes insuficientes","Válida")))</f>
        <v>0</v>
      </c>
      <c r="L304" s="27">
        <f>IF(K304="Válida",ABS(J304),"")</f>
        <v>0</v>
      </c>
      <c r="M304" s="26">
        <f>IF(K304="Válida",IF(L304&lt;=cfgTolerancia,"Sim","Não"),"")</f>
        <v>0</v>
      </c>
      <c r="N304" s="26">
        <f>IF(A304="","",MES!D304)</f>
        <v>0</v>
      </c>
      <c r="O304" s="25">
        <f>IF(K304="Válida",A304,NA())</f>
        <v>0</v>
      </c>
      <c r="P304" s="27">
        <f>IF(K304="Válida",C304,NA())</f>
        <v>0</v>
      </c>
      <c r="Q304" s="27">
        <f>IF(K304="Válida",I304,NA())</f>
        <v>0</v>
      </c>
      <c r="R304" s="27">
        <f>IF(K304="Válida",J304,NA())</f>
        <v>0</v>
      </c>
      <c r="S304" s="27">
        <f>IF(K304="Válida",C304,"")</f>
        <v>0</v>
      </c>
      <c r="T304" s="27">
        <f>IF(K304="Válida",I304,"")</f>
        <v>0</v>
      </c>
      <c r="U304" s="27">
        <f>IF(K304="Válida",J304,"")</f>
        <v>0</v>
      </c>
    </row>
    <row r="305" spans="1:21">
      <c r="A305" s="25">
        <f>IF(MES!A305="","",MES!C305/48)</f>
        <v>0</v>
      </c>
      <c r="B305" s="26">
        <f>IF(A305="","",TEXT((N305*4+cfgDeslocamento)/48,"hh:mm")&amp;" a "&amp;TEXT(A305,"hh:mm"))</f>
        <v>0</v>
      </c>
      <c r="C305" s="27">
        <f>IF(A305="","",MES!B305)</f>
        <v>0</v>
      </c>
      <c r="D305" s="27">
        <f>IF(A305="","",IFERROR(AVERAGEIFS(Prensa!$B$2:$B$5001,Prensa!$E$2:$E$5001,N305,Prensa!$F$2:$F$5001,1,Prensa!$G$2:$G$5001,1),""))</f>
        <v>0</v>
      </c>
      <c r="E305" s="27">
        <f>IF(A305="","",IFERROR(AVERAGEIFS(Prensa!$B$2:$B$5001,Prensa!$E$2:$E$5001,N305,Prensa!$F$2:$F$5001,2,Prensa!$G$2:$G$5001,1),""))</f>
        <v>0</v>
      </c>
      <c r="F305" s="27">
        <f>IF(A305="","",IFERROR(AVERAGEIFS(Prensa!$B$2:$B$5001,Prensa!$E$2:$E$5001,N305,Prensa!$F$2:$F$5001,3,Prensa!$G$2:$G$5001,1),""))</f>
        <v>0</v>
      </c>
      <c r="G305" s="27">
        <f>IF(A305="","",IFERROR(AVERAGEIFS(Prensa!$B$2:$B$5001,Prensa!$E$2:$E$5001,N305,Prensa!$F$2:$F$5001,4,Prensa!$G$2:$G$5001,1),""))</f>
        <v>0</v>
      </c>
      <c r="H305" s="26">
        <f>IF(A305="","",COUNT(D305:G305))</f>
        <v>0</v>
      </c>
      <c r="I305" s="27">
        <f>IF(A305="","",IF(H305=0,"",AVERAGE(D305:G305)))</f>
        <v>0</v>
      </c>
      <c r="J305" s="27">
        <f>IF(OR(I305="",C305=""),"",I305-C305)</f>
        <v>0</v>
      </c>
      <c r="K305" s="26">
        <f>IF(A305="","",IF(MES!E305&lt;&gt;4,"Horário do MES fora do padrão",IF(H305&lt;cfgMinCortes,"Cortes insuficientes","Válida")))</f>
        <v>0</v>
      </c>
      <c r="L305" s="27">
        <f>IF(K305="Válida",ABS(J305),"")</f>
        <v>0</v>
      </c>
      <c r="M305" s="26">
        <f>IF(K305="Válida",IF(L305&lt;=cfgTolerancia,"Sim","Não"),"")</f>
        <v>0</v>
      </c>
      <c r="N305" s="26">
        <f>IF(A305="","",MES!D305)</f>
        <v>0</v>
      </c>
      <c r="O305" s="25">
        <f>IF(K305="Válida",A305,NA())</f>
        <v>0</v>
      </c>
      <c r="P305" s="27">
        <f>IF(K305="Válida",C305,NA())</f>
        <v>0</v>
      </c>
      <c r="Q305" s="27">
        <f>IF(K305="Válida",I305,NA())</f>
        <v>0</v>
      </c>
      <c r="R305" s="27">
        <f>IF(K305="Válida",J305,NA())</f>
        <v>0</v>
      </c>
      <c r="S305" s="27">
        <f>IF(K305="Válida",C305,"")</f>
        <v>0</v>
      </c>
      <c r="T305" s="27">
        <f>IF(K305="Válida",I305,"")</f>
        <v>0</v>
      </c>
      <c r="U305" s="27">
        <f>IF(K305="Válida",J305,"")</f>
        <v>0</v>
      </c>
    </row>
    <row r="306" spans="1:21">
      <c r="A306" s="25">
        <f>IF(MES!A306="","",MES!C306/48)</f>
        <v>0</v>
      </c>
      <c r="B306" s="26">
        <f>IF(A306="","",TEXT((N306*4+cfgDeslocamento)/48,"hh:mm")&amp;" a "&amp;TEXT(A306,"hh:mm"))</f>
        <v>0</v>
      </c>
      <c r="C306" s="27">
        <f>IF(A306="","",MES!B306)</f>
        <v>0</v>
      </c>
      <c r="D306" s="27">
        <f>IF(A306="","",IFERROR(AVERAGEIFS(Prensa!$B$2:$B$5001,Prensa!$E$2:$E$5001,N306,Prensa!$F$2:$F$5001,1,Prensa!$G$2:$G$5001,1),""))</f>
        <v>0</v>
      </c>
      <c r="E306" s="27">
        <f>IF(A306="","",IFERROR(AVERAGEIFS(Prensa!$B$2:$B$5001,Prensa!$E$2:$E$5001,N306,Prensa!$F$2:$F$5001,2,Prensa!$G$2:$G$5001,1),""))</f>
        <v>0</v>
      </c>
      <c r="F306" s="27">
        <f>IF(A306="","",IFERROR(AVERAGEIFS(Prensa!$B$2:$B$5001,Prensa!$E$2:$E$5001,N306,Prensa!$F$2:$F$5001,3,Prensa!$G$2:$G$5001,1),""))</f>
        <v>0</v>
      </c>
      <c r="G306" s="27">
        <f>IF(A306="","",IFERROR(AVERAGEIFS(Prensa!$B$2:$B$5001,Prensa!$E$2:$E$5001,N306,Prensa!$F$2:$F$5001,4,Prensa!$G$2:$G$5001,1),""))</f>
        <v>0</v>
      </c>
      <c r="H306" s="26">
        <f>IF(A306="","",COUNT(D306:G306))</f>
        <v>0</v>
      </c>
      <c r="I306" s="27">
        <f>IF(A306="","",IF(H306=0,"",AVERAGE(D306:G306)))</f>
        <v>0</v>
      </c>
      <c r="J306" s="27">
        <f>IF(OR(I306="",C306=""),"",I306-C306)</f>
        <v>0</v>
      </c>
      <c r="K306" s="26">
        <f>IF(A306="","",IF(MES!E306&lt;&gt;4,"Horário do MES fora do padrão",IF(H306&lt;cfgMinCortes,"Cortes insuficientes","Válida")))</f>
        <v>0</v>
      </c>
      <c r="L306" s="27">
        <f>IF(K306="Válida",ABS(J306),"")</f>
        <v>0</v>
      </c>
      <c r="M306" s="26">
        <f>IF(K306="Válida",IF(L306&lt;=cfgTolerancia,"Sim","Não"),"")</f>
        <v>0</v>
      </c>
      <c r="N306" s="26">
        <f>IF(A306="","",MES!D306)</f>
        <v>0</v>
      </c>
      <c r="O306" s="25">
        <f>IF(K306="Válida",A306,NA())</f>
        <v>0</v>
      </c>
      <c r="P306" s="27">
        <f>IF(K306="Válida",C306,NA())</f>
        <v>0</v>
      </c>
      <c r="Q306" s="27">
        <f>IF(K306="Válida",I306,NA())</f>
        <v>0</v>
      </c>
      <c r="R306" s="27">
        <f>IF(K306="Válida",J306,NA())</f>
        <v>0</v>
      </c>
      <c r="S306" s="27">
        <f>IF(K306="Válida",C306,"")</f>
        <v>0</v>
      </c>
      <c r="T306" s="27">
        <f>IF(K306="Válida",I306,"")</f>
        <v>0</v>
      </c>
      <c r="U306" s="27">
        <f>IF(K306="Válida",J306,"")</f>
        <v>0</v>
      </c>
    </row>
    <row r="307" spans="1:21">
      <c r="A307" s="25">
        <f>IF(MES!A307="","",MES!C307/48)</f>
        <v>0</v>
      </c>
      <c r="B307" s="26">
        <f>IF(A307="","",TEXT((N307*4+cfgDeslocamento)/48,"hh:mm")&amp;" a "&amp;TEXT(A307,"hh:mm"))</f>
        <v>0</v>
      </c>
      <c r="C307" s="27">
        <f>IF(A307="","",MES!B307)</f>
        <v>0</v>
      </c>
      <c r="D307" s="27">
        <f>IF(A307="","",IFERROR(AVERAGEIFS(Prensa!$B$2:$B$5001,Prensa!$E$2:$E$5001,N307,Prensa!$F$2:$F$5001,1,Prensa!$G$2:$G$5001,1),""))</f>
        <v>0</v>
      </c>
      <c r="E307" s="27">
        <f>IF(A307="","",IFERROR(AVERAGEIFS(Prensa!$B$2:$B$5001,Prensa!$E$2:$E$5001,N307,Prensa!$F$2:$F$5001,2,Prensa!$G$2:$G$5001,1),""))</f>
        <v>0</v>
      </c>
      <c r="F307" s="27">
        <f>IF(A307="","",IFERROR(AVERAGEIFS(Prensa!$B$2:$B$5001,Prensa!$E$2:$E$5001,N307,Prensa!$F$2:$F$5001,3,Prensa!$G$2:$G$5001,1),""))</f>
        <v>0</v>
      </c>
      <c r="G307" s="27">
        <f>IF(A307="","",IFERROR(AVERAGEIFS(Prensa!$B$2:$B$5001,Prensa!$E$2:$E$5001,N307,Prensa!$F$2:$F$5001,4,Prensa!$G$2:$G$5001,1),""))</f>
        <v>0</v>
      </c>
      <c r="H307" s="26">
        <f>IF(A307="","",COUNT(D307:G307))</f>
        <v>0</v>
      </c>
      <c r="I307" s="27">
        <f>IF(A307="","",IF(H307=0,"",AVERAGE(D307:G307)))</f>
        <v>0</v>
      </c>
      <c r="J307" s="27">
        <f>IF(OR(I307="",C307=""),"",I307-C307)</f>
        <v>0</v>
      </c>
      <c r="K307" s="26">
        <f>IF(A307="","",IF(MES!E307&lt;&gt;4,"Horário do MES fora do padrão",IF(H307&lt;cfgMinCortes,"Cortes insuficientes","Válida")))</f>
        <v>0</v>
      </c>
      <c r="L307" s="27">
        <f>IF(K307="Válida",ABS(J307),"")</f>
        <v>0</v>
      </c>
      <c r="M307" s="26">
        <f>IF(K307="Válida",IF(L307&lt;=cfgTolerancia,"Sim","Não"),"")</f>
        <v>0</v>
      </c>
      <c r="N307" s="26">
        <f>IF(A307="","",MES!D307)</f>
        <v>0</v>
      </c>
      <c r="O307" s="25">
        <f>IF(K307="Válida",A307,NA())</f>
        <v>0</v>
      </c>
      <c r="P307" s="27">
        <f>IF(K307="Válida",C307,NA())</f>
        <v>0</v>
      </c>
      <c r="Q307" s="27">
        <f>IF(K307="Válida",I307,NA())</f>
        <v>0</v>
      </c>
      <c r="R307" s="27">
        <f>IF(K307="Válida",J307,NA())</f>
        <v>0</v>
      </c>
      <c r="S307" s="27">
        <f>IF(K307="Válida",C307,"")</f>
        <v>0</v>
      </c>
      <c r="T307" s="27">
        <f>IF(K307="Válida",I307,"")</f>
        <v>0</v>
      </c>
      <c r="U307" s="27">
        <f>IF(K307="Válida",J307,"")</f>
        <v>0</v>
      </c>
    </row>
    <row r="308" spans="1:21">
      <c r="A308" s="25">
        <f>IF(MES!A308="","",MES!C308/48)</f>
        <v>0</v>
      </c>
      <c r="B308" s="26">
        <f>IF(A308="","",TEXT((N308*4+cfgDeslocamento)/48,"hh:mm")&amp;" a "&amp;TEXT(A308,"hh:mm"))</f>
        <v>0</v>
      </c>
      <c r="C308" s="27">
        <f>IF(A308="","",MES!B308)</f>
        <v>0</v>
      </c>
      <c r="D308" s="27">
        <f>IF(A308="","",IFERROR(AVERAGEIFS(Prensa!$B$2:$B$5001,Prensa!$E$2:$E$5001,N308,Prensa!$F$2:$F$5001,1,Prensa!$G$2:$G$5001,1),""))</f>
        <v>0</v>
      </c>
      <c r="E308" s="27">
        <f>IF(A308="","",IFERROR(AVERAGEIFS(Prensa!$B$2:$B$5001,Prensa!$E$2:$E$5001,N308,Prensa!$F$2:$F$5001,2,Prensa!$G$2:$G$5001,1),""))</f>
        <v>0</v>
      </c>
      <c r="F308" s="27">
        <f>IF(A308="","",IFERROR(AVERAGEIFS(Prensa!$B$2:$B$5001,Prensa!$E$2:$E$5001,N308,Prensa!$F$2:$F$5001,3,Prensa!$G$2:$G$5001,1),""))</f>
        <v>0</v>
      </c>
      <c r="G308" s="27">
        <f>IF(A308="","",IFERROR(AVERAGEIFS(Prensa!$B$2:$B$5001,Prensa!$E$2:$E$5001,N308,Prensa!$F$2:$F$5001,4,Prensa!$G$2:$G$5001,1),""))</f>
        <v>0</v>
      </c>
      <c r="H308" s="26">
        <f>IF(A308="","",COUNT(D308:G308))</f>
        <v>0</v>
      </c>
      <c r="I308" s="27">
        <f>IF(A308="","",IF(H308=0,"",AVERAGE(D308:G308)))</f>
        <v>0</v>
      </c>
      <c r="J308" s="27">
        <f>IF(OR(I308="",C308=""),"",I308-C308)</f>
        <v>0</v>
      </c>
      <c r="K308" s="26">
        <f>IF(A308="","",IF(MES!E308&lt;&gt;4,"Horário do MES fora do padrão",IF(H308&lt;cfgMinCortes,"Cortes insuficientes","Válida")))</f>
        <v>0</v>
      </c>
      <c r="L308" s="27">
        <f>IF(K308="Válida",ABS(J308),"")</f>
        <v>0</v>
      </c>
      <c r="M308" s="26">
        <f>IF(K308="Válida",IF(L308&lt;=cfgTolerancia,"Sim","Não"),"")</f>
        <v>0</v>
      </c>
      <c r="N308" s="26">
        <f>IF(A308="","",MES!D308)</f>
        <v>0</v>
      </c>
      <c r="O308" s="25">
        <f>IF(K308="Válida",A308,NA())</f>
        <v>0</v>
      </c>
      <c r="P308" s="27">
        <f>IF(K308="Válida",C308,NA())</f>
        <v>0</v>
      </c>
      <c r="Q308" s="27">
        <f>IF(K308="Válida",I308,NA())</f>
        <v>0</v>
      </c>
      <c r="R308" s="27">
        <f>IF(K308="Válida",J308,NA())</f>
        <v>0</v>
      </c>
      <c r="S308" s="27">
        <f>IF(K308="Válida",C308,"")</f>
        <v>0</v>
      </c>
      <c r="T308" s="27">
        <f>IF(K308="Válida",I308,"")</f>
        <v>0</v>
      </c>
      <c r="U308" s="27">
        <f>IF(K308="Válida",J308,"")</f>
        <v>0</v>
      </c>
    </row>
    <row r="309" spans="1:21">
      <c r="A309" s="25">
        <f>IF(MES!A309="","",MES!C309/48)</f>
        <v>0</v>
      </c>
      <c r="B309" s="26">
        <f>IF(A309="","",TEXT((N309*4+cfgDeslocamento)/48,"hh:mm")&amp;" a "&amp;TEXT(A309,"hh:mm"))</f>
        <v>0</v>
      </c>
      <c r="C309" s="27">
        <f>IF(A309="","",MES!B309)</f>
        <v>0</v>
      </c>
      <c r="D309" s="27">
        <f>IF(A309="","",IFERROR(AVERAGEIFS(Prensa!$B$2:$B$5001,Prensa!$E$2:$E$5001,N309,Prensa!$F$2:$F$5001,1,Prensa!$G$2:$G$5001,1),""))</f>
        <v>0</v>
      </c>
      <c r="E309" s="27">
        <f>IF(A309="","",IFERROR(AVERAGEIFS(Prensa!$B$2:$B$5001,Prensa!$E$2:$E$5001,N309,Prensa!$F$2:$F$5001,2,Prensa!$G$2:$G$5001,1),""))</f>
        <v>0</v>
      </c>
      <c r="F309" s="27">
        <f>IF(A309="","",IFERROR(AVERAGEIFS(Prensa!$B$2:$B$5001,Prensa!$E$2:$E$5001,N309,Prensa!$F$2:$F$5001,3,Prensa!$G$2:$G$5001,1),""))</f>
        <v>0</v>
      </c>
      <c r="G309" s="27">
        <f>IF(A309="","",IFERROR(AVERAGEIFS(Prensa!$B$2:$B$5001,Prensa!$E$2:$E$5001,N309,Prensa!$F$2:$F$5001,4,Prensa!$G$2:$G$5001,1),""))</f>
        <v>0</v>
      </c>
      <c r="H309" s="26">
        <f>IF(A309="","",COUNT(D309:G309))</f>
        <v>0</v>
      </c>
      <c r="I309" s="27">
        <f>IF(A309="","",IF(H309=0,"",AVERAGE(D309:G309)))</f>
        <v>0</v>
      </c>
      <c r="J309" s="27">
        <f>IF(OR(I309="",C309=""),"",I309-C309)</f>
        <v>0</v>
      </c>
      <c r="K309" s="26">
        <f>IF(A309="","",IF(MES!E309&lt;&gt;4,"Horário do MES fora do padrão",IF(H309&lt;cfgMinCortes,"Cortes insuficientes","Válida")))</f>
        <v>0</v>
      </c>
      <c r="L309" s="27">
        <f>IF(K309="Válida",ABS(J309),"")</f>
        <v>0</v>
      </c>
      <c r="M309" s="26">
        <f>IF(K309="Válida",IF(L309&lt;=cfgTolerancia,"Sim","Não"),"")</f>
        <v>0</v>
      </c>
      <c r="N309" s="26">
        <f>IF(A309="","",MES!D309)</f>
        <v>0</v>
      </c>
      <c r="O309" s="25">
        <f>IF(K309="Válida",A309,NA())</f>
        <v>0</v>
      </c>
      <c r="P309" s="27">
        <f>IF(K309="Válida",C309,NA())</f>
        <v>0</v>
      </c>
      <c r="Q309" s="27">
        <f>IF(K309="Válida",I309,NA())</f>
        <v>0</v>
      </c>
      <c r="R309" s="27">
        <f>IF(K309="Válida",J309,NA())</f>
        <v>0</v>
      </c>
      <c r="S309" s="27">
        <f>IF(K309="Válida",C309,"")</f>
        <v>0</v>
      </c>
      <c r="T309" s="27">
        <f>IF(K309="Válida",I309,"")</f>
        <v>0</v>
      </c>
      <c r="U309" s="27">
        <f>IF(K309="Válida",J309,"")</f>
        <v>0</v>
      </c>
    </row>
    <row r="310" spans="1:21">
      <c r="A310" s="25">
        <f>IF(MES!A310="","",MES!C310/48)</f>
        <v>0</v>
      </c>
      <c r="B310" s="26">
        <f>IF(A310="","",TEXT((N310*4+cfgDeslocamento)/48,"hh:mm")&amp;" a "&amp;TEXT(A310,"hh:mm"))</f>
        <v>0</v>
      </c>
      <c r="C310" s="27">
        <f>IF(A310="","",MES!B310)</f>
        <v>0</v>
      </c>
      <c r="D310" s="27">
        <f>IF(A310="","",IFERROR(AVERAGEIFS(Prensa!$B$2:$B$5001,Prensa!$E$2:$E$5001,N310,Prensa!$F$2:$F$5001,1,Prensa!$G$2:$G$5001,1),""))</f>
        <v>0</v>
      </c>
      <c r="E310" s="27">
        <f>IF(A310="","",IFERROR(AVERAGEIFS(Prensa!$B$2:$B$5001,Prensa!$E$2:$E$5001,N310,Prensa!$F$2:$F$5001,2,Prensa!$G$2:$G$5001,1),""))</f>
        <v>0</v>
      </c>
      <c r="F310" s="27">
        <f>IF(A310="","",IFERROR(AVERAGEIFS(Prensa!$B$2:$B$5001,Prensa!$E$2:$E$5001,N310,Prensa!$F$2:$F$5001,3,Prensa!$G$2:$G$5001,1),""))</f>
        <v>0</v>
      </c>
      <c r="G310" s="27">
        <f>IF(A310="","",IFERROR(AVERAGEIFS(Prensa!$B$2:$B$5001,Prensa!$E$2:$E$5001,N310,Prensa!$F$2:$F$5001,4,Prensa!$G$2:$G$5001,1),""))</f>
        <v>0</v>
      </c>
      <c r="H310" s="26">
        <f>IF(A310="","",COUNT(D310:G310))</f>
        <v>0</v>
      </c>
      <c r="I310" s="27">
        <f>IF(A310="","",IF(H310=0,"",AVERAGE(D310:G310)))</f>
        <v>0</v>
      </c>
      <c r="J310" s="27">
        <f>IF(OR(I310="",C310=""),"",I310-C310)</f>
        <v>0</v>
      </c>
      <c r="K310" s="26">
        <f>IF(A310="","",IF(MES!E310&lt;&gt;4,"Horário do MES fora do padrão",IF(H310&lt;cfgMinCortes,"Cortes insuficientes","Válida")))</f>
        <v>0</v>
      </c>
      <c r="L310" s="27">
        <f>IF(K310="Válida",ABS(J310),"")</f>
        <v>0</v>
      </c>
      <c r="M310" s="26">
        <f>IF(K310="Válida",IF(L310&lt;=cfgTolerancia,"Sim","Não"),"")</f>
        <v>0</v>
      </c>
      <c r="N310" s="26">
        <f>IF(A310="","",MES!D310)</f>
        <v>0</v>
      </c>
      <c r="O310" s="25">
        <f>IF(K310="Válida",A310,NA())</f>
        <v>0</v>
      </c>
      <c r="P310" s="27">
        <f>IF(K310="Válida",C310,NA())</f>
        <v>0</v>
      </c>
      <c r="Q310" s="27">
        <f>IF(K310="Válida",I310,NA())</f>
        <v>0</v>
      </c>
      <c r="R310" s="27">
        <f>IF(K310="Válida",J310,NA())</f>
        <v>0</v>
      </c>
      <c r="S310" s="27">
        <f>IF(K310="Válida",C310,"")</f>
        <v>0</v>
      </c>
      <c r="T310" s="27">
        <f>IF(K310="Válida",I310,"")</f>
        <v>0</v>
      </c>
      <c r="U310" s="27">
        <f>IF(K310="Válida",J310,"")</f>
        <v>0</v>
      </c>
    </row>
    <row r="311" spans="1:21">
      <c r="A311" s="25">
        <f>IF(MES!A311="","",MES!C311/48)</f>
        <v>0</v>
      </c>
      <c r="B311" s="26">
        <f>IF(A311="","",TEXT((N311*4+cfgDeslocamento)/48,"hh:mm")&amp;" a "&amp;TEXT(A311,"hh:mm"))</f>
        <v>0</v>
      </c>
      <c r="C311" s="27">
        <f>IF(A311="","",MES!B311)</f>
        <v>0</v>
      </c>
      <c r="D311" s="27">
        <f>IF(A311="","",IFERROR(AVERAGEIFS(Prensa!$B$2:$B$5001,Prensa!$E$2:$E$5001,N311,Prensa!$F$2:$F$5001,1,Prensa!$G$2:$G$5001,1),""))</f>
        <v>0</v>
      </c>
      <c r="E311" s="27">
        <f>IF(A311="","",IFERROR(AVERAGEIFS(Prensa!$B$2:$B$5001,Prensa!$E$2:$E$5001,N311,Prensa!$F$2:$F$5001,2,Prensa!$G$2:$G$5001,1),""))</f>
        <v>0</v>
      </c>
      <c r="F311" s="27">
        <f>IF(A311="","",IFERROR(AVERAGEIFS(Prensa!$B$2:$B$5001,Prensa!$E$2:$E$5001,N311,Prensa!$F$2:$F$5001,3,Prensa!$G$2:$G$5001,1),""))</f>
        <v>0</v>
      </c>
      <c r="G311" s="27">
        <f>IF(A311="","",IFERROR(AVERAGEIFS(Prensa!$B$2:$B$5001,Prensa!$E$2:$E$5001,N311,Prensa!$F$2:$F$5001,4,Prensa!$G$2:$G$5001,1),""))</f>
        <v>0</v>
      </c>
      <c r="H311" s="26">
        <f>IF(A311="","",COUNT(D311:G311))</f>
        <v>0</v>
      </c>
      <c r="I311" s="27">
        <f>IF(A311="","",IF(H311=0,"",AVERAGE(D311:G311)))</f>
        <v>0</v>
      </c>
      <c r="J311" s="27">
        <f>IF(OR(I311="",C311=""),"",I311-C311)</f>
        <v>0</v>
      </c>
      <c r="K311" s="26">
        <f>IF(A311="","",IF(MES!E311&lt;&gt;4,"Horário do MES fora do padrão",IF(H311&lt;cfgMinCortes,"Cortes insuficientes","Válida")))</f>
        <v>0</v>
      </c>
      <c r="L311" s="27">
        <f>IF(K311="Válida",ABS(J311),"")</f>
        <v>0</v>
      </c>
      <c r="M311" s="26">
        <f>IF(K311="Válida",IF(L311&lt;=cfgTolerancia,"Sim","Não"),"")</f>
        <v>0</v>
      </c>
      <c r="N311" s="26">
        <f>IF(A311="","",MES!D311)</f>
        <v>0</v>
      </c>
      <c r="O311" s="25">
        <f>IF(K311="Válida",A311,NA())</f>
        <v>0</v>
      </c>
      <c r="P311" s="27">
        <f>IF(K311="Válida",C311,NA())</f>
        <v>0</v>
      </c>
      <c r="Q311" s="27">
        <f>IF(K311="Válida",I311,NA())</f>
        <v>0</v>
      </c>
      <c r="R311" s="27">
        <f>IF(K311="Válida",J311,NA())</f>
        <v>0</v>
      </c>
      <c r="S311" s="27">
        <f>IF(K311="Válida",C311,"")</f>
        <v>0</v>
      </c>
      <c r="T311" s="27">
        <f>IF(K311="Válida",I311,"")</f>
        <v>0</v>
      </c>
      <c r="U311" s="27">
        <f>IF(K311="Válida",J311,"")</f>
        <v>0</v>
      </c>
    </row>
    <row r="312" spans="1:21">
      <c r="A312" s="25">
        <f>IF(MES!A312="","",MES!C312/48)</f>
        <v>0</v>
      </c>
      <c r="B312" s="26">
        <f>IF(A312="","",TEXT((N312*4+cfgDeslocamento)/48,"hh:mm")&amp;" a "&amp;TEXT(A312,"hh:mm"))</f>
        <v>0</v>
      </c>
      <c r="C312" s="27">
        <f>IF(A312="","",MES!B312)</f>
        <v>0</v>
      </c>
      <c r="D312" s="27">
        <f>IF(A312="","",IFERROR(AVERAGEIFS(Prensa!$B$2:$B$5001,Prensa!$E$2:$E$5001,N312,Prensa!$F$2:$F$5001,1,Prensa!$G$2:$G$5001,1),""))</f>
        <v>0</v>
      </c>
      <c r="E312" s="27">
        <f>IF(A312="","",IFERROR(AVERAGEIFS(Prensa!$B$2:$B$5001,Prensa!$E$2:$E$5001,N312,Prensa!$F$2:$F$5001,2,Prensa!$G$2:$G$5001,1),""))</f>
        <v>0</v>
      </c>
      <c r="F312" s="27">
        <f>IF(A312="","",IFERROR(AVERAGEIFS(Prensa!$B$2:$B$5001,Prensa!$E$2:$E$5001,N312,Prensa!$F$2:$F$5001,3,Prensa!$G$2:$G$5001,1),""))</f>
        <v>0</v>
      </c>
      <c r="G312" s="27">
        <f>IF(A312="","",IFERROR(AVERAGEIFS(Prensa!$B$2:$B$5001,Prensa!$E$2:$E$5001,N312,Prensa!$F$2:$F$5001,4,Prensa!$G$2:$G$5001,1),""))</f>
        <v>0</v>
      </c>
      <c r="H312" s="26">
        <f>IF(A312="","",COUNT(D312:G312))</f>
        <v>0</v>
      </c>
      <c r="I312" s="27">
        <f>IF(A312="","",IF(H312=0,"",AVERAGE(D312:G312)))</f>
        <v>0</v>
      </c>
      <c r="J312" s="27">
        <f>IF(OR(I312="",C312=""),"",I312-C312)</f>
        <v>0</v>
      </c>
      <c r="K312" s="26">
        <f>IF(A312="","",IF(MES!E312&lt;&gt;4,"Horário do MES fora do padrão",IF(H312&lt;cfgMinCortes,"Cortes insuficientes","Válida")))</f>
        <v>0</v>
      </c>
      <c r="L312" s="27">
        <f>IF(K312="Válida",ABS(J312),"")</f>
        <v>0</v>
      </c>
      <c r="M312" s="26">
        <f>IF(K312="Válida",IF(L312&lt;=cfgTolerancia,"Sim","Não"),"")</f>
        <v>0</v>
      </c>
      <c r="N312" s="26">
        <f>IF(A312="","",MES!D312)</f>
        <v>0</v>
      </c>
      <c r="O312" s="25">
        <f>IF(K312="Válida",A312,NA())</f>
        <v>0</v>
      </c>
      <c r="P312" s="27">
        <f>IF(K312="Válida",C312,NA())</f>
        <v>0</v>
      </c>
      <c r="Q312" s="27">
        <f>IF(K312="Válida",I312,NA())</f>
        <v>0</v>
      </c>
      <c r="R312" s="27">
        <f>IF(K312="Válida",J312,NA())</f>
        <v>0</v>
      </c>
      <c r="S312" s="27">
        <f>IF(K312="Válida",C312,"")</f>
        <v>0</v>
      </c>
      <c r="T312" s="27">
        <f>IF(K312="Válida",I312,"")</f>
        <v>0</v>
      </c>
      <c r="U312" s="27">
        <f>IF(K312="Válida",J312,"")</f>
        <v>0</v>
      </c>
    </row>
    <row r="313" spans="1:21">
      <c r="A313" s="25">
        <f>IF(MES!A313="","",MES!C313/48)</f>
        <v>0</v>
      </c>
      <c r="B313" s="26">
        <f>IF(A313="","",TEXT((N313*4+cfgDeslocamento)/48,"hh:mm")&amp;" a "&amp;TEXT(A313,"hh:mm"))</f>
        <v>0</v>
      </c>
      <c r="C313" s="27">
        <f>IF(A313="","",MES!B313)</f>
        <v>0</v>
      </c>
      <c r="D313" s="27">
        <f>IF(A313="","",IFERROR(AVERAGEIFS(Prensa!$B$2:$B$5001,Prensa!$E$2:$E$5001,N313,Prensa!$F$2:$F$5001,1,Prensa!$G$2:$G$5001,1),""))</f>
        <v>0</v>
      </c>
      <c r="E313" s="27">
        <f>IF(A313="","",IFERROR(AVERAGEIFS(Prensa!$B$2:$B$5001,Prensa!$E$2:$E$5001,N313,Prensa!$F$2:$F$5001,2,Prensa!$G$2:$G$5001,1),""))</f>
        <v>0</v>
      </c>
      <c r="F313" s="27">
        <f>IF(A313="","",IFERROR(AVERAGEIFS(Prensa!$B$2:$B$5001,Prensa!$E$2:$E$5001,N313,Prensa!$F$2:$F$5001,3,Prensa!$G$2:$G$5001,1),""))</f>
        <v>0</v>
      </c>
      <c r="G313" s="27">
        <f>IF(A313="","",IFERROR(AVERAGEIFS(Prensa!$B$2:$B$5001,Prensa!$E$2:$E$5001,N313,Prensa!$F$2:$F$5001,4,Prensa!$G$2:$G$5001,1),""))</f>
        <v>0</v>
      </c>
      <c r="H313" s="26">
        <f>IF(A313="","",COUNT(D313:G313))</f>
        <v>0</v>
      </c>
      <c r="I313" s="27">
        <f>IF(A313="","",IF(H313=0,"",AVERAGE(D313:G313)))</f>
        <v>0</v>
      </c>
      <c r="J313" s="27">
        <f>IF(OR(I313="",C313=""),"",I313-C313)</f>
        <v>0</v>
      </c>
      <c r="K313" s="26">
        <f>IF(A313="","",IF(MES!E313&lt;&gt;4,"Horário do MES fora do padrão",IF(H313&lt;cfgMinCortes,"Cortes insuficientes","Válida")))</f>
        <v>0</v>
      </c>
      <c r="L313" s="27">
        <f>IF(K313="Válida",ABS(J313),"")</f>
        <v>0</v>
      </c>
      <c r="M313" s="26">
        <f>IF(K313="Válida",IF(L313&lt;=cfgTolerancia,"Sim","Não"),"")</f>
        <v>0</v>
      </c>
      <c r="N313" s="26">
        <f>IF(A313="","",MES!D313)</f>
        <v>0</v>
      </c>
      <c r="O313" s="25">
        <f>IF(K313="Válida",A313,NA())</f>
        <v>0</v>
      </c>
      <c r="P313" s="27">
        <f>IF(K313="Válida",C313,NA())</f>
        <v>0</v>
      </c>
      <c r="Q313" s="27">
        <f>IF(K313="Válida",I313,NA())</f>
        <v>0</v>
      </c>
      <c r="R313" s="27">
        <f>IF(K313="Válida",J313,NA())</f>
        <v>0</v>
      </c>
      <c r="S313" s="27">
        <f>IF(K313="Válida",C313,"")</f>
        <v>0</v>
      </c>
      <c r="T313" s="27">
        <f>IF(K313="Válida",I313,"")</f>
        <v>0</v>
      </c>
      <c r="U313" s="27">
        <f>IF(K313="Válida",J313,"")</f>
        <v>0</v>
      </c>
    </row>
    <row r="314" spans="1:21">
      <c r="A314" s="25">
        <f>IF(MES!A314="","",MES!C314/48)</f>
        <v>0</v>
      </c>
      <c r="B314" s="26">
        <f>IF(A314="","",TEXT((N314*4+cfgDeslocamento)/48,"hh:mm")&amp;" a "&amp;TEXT(A314,"hh:mm"))</f>
        <v>0</v>
      </c>
      <c r="C314" s="27">
        <f>IF(A314="","",MES!B314)</f>
        <v>0</v>
      </c>
      <c r="D314" s="27">
        <f>IF(A314="","",IFERROR(AVERAGEIFS(Prensa!$B$2:$B$5001,Prensa!$E$2:$E$5001,N314,Prensa!$F$2:$F$5001,1,Prensa!$G$2:$G$5001,1),""))</f>
        <v>0</v>
      </c>
      <c r="E314" s="27">
        <f>IF(A314="","",IFERROR(AVERAGEIFS(Prensa!$B$2:$B$5001,Prensa!$E$2:$E$5001,N314,Prensa!$F$2:$F$5001,2,Prensa!$G$2:$G$5001,1),""))</f>
        <v>0</v>
      </c>
      <c r="F314" s="27">
        <f>IF(A314="","",IFERROR(AVERAGEIFS(Prensa!$B$2:$B$5001,Prensa!$E$2:$E$5001,N314,Prensa!$F$2:$F$5001,3,Prensa!$G$2:$G$5001,1),""))</f>
        <v>0</v>
      </c>
      <c r="G314" s="27">
        <f>IF(A314="","",IFERROR(AVERAGEIFS(Prensa!$B$2:$B$5001,Prensa!$E$2:$E$5001,N314,Prensa!$F$2:$F$5001,4,Prensa!$G$2:$G$5001,1),""))</f>
        <v>0</v>
      </c>
      <c r="H314" s="26">
        <f>IF(A314="","",COUNT(D314:G314))</f>
        <v>0</v>
      </c>
      <c r="I314" s="27">
        <f>IF(A314="","",IF(H314=0,"",AVERAGE(D314:G314)))</f>
        <v>0</v>
      </c>
      <c r="J314" s="27">
        <f>IF(OR(I314="",C314=""),"",I314-C314)</f>
        <v>0</v>
      </c>
      <c r="K314" s="26">
        <f>IF(A314="","",IF(MES!E314&lt;&gt;4,"Horário do MES fora do padrão",IF(H314&lt;cfgMinCortes,"Cortes insuficientes","Válida")))</f>
        <v>0</v>
      </c>
      <c r="L314" s="27">
        <f>IF(K314="Válida",ABS(J314),"")</f>
        <v>0</v>
      </c>
      <c r="M314" s="26">
        <f>IF(K314="Válida",IF(L314&lt;=cfgTolerancia,"Sim","Não"),"")</f>
        <v>0</v>
      </c>
      <c r="N314" s="26">
        <f>IF(A314="","",MES!D314)</f>
        <v>0</v>
      </c>
      <c r="O314" s="25">
        <f>IF(K314="Válida",A314,NA())</f>
        <v>0</v>
      </c>
      <c r="P314" s="27">
        <f>IF(K314="Válida",C314,NA())</f>
        <v>0</v>
      </c>
      <c r="Q314" s="27">
        <f>IF(K314="Válida",I314,NA())</f>
        <v>0</v>
      </c>
      <c r="R314" s="27">
        <f>IF(K314="Válida",J314,NA())</f>
        <v>0</v>
      </c>
      <c r="S314" s="27">
        <f>IF(K314="Válida",C314,"")</f>
        <v>0</v>
      </c>
      <c r="T314" s="27">
        <f>IF(K314="Válida",I314,"")</f>
        <v>0</v>
      </c>
      <c r="U314" s="27">
        <f>IF(K314="Válida",J314,"")</f>
        <v>0</v>
      </c>
    </row>
    <row r="315" spans="1:21">
      <c r="A315" s="25">
        <f>IF(MES!A315="","",MES!C315/48)</f>
        <v>0</v>
      </c>
      <c r="B315" s="26">
        <f>IF(A315="","",TEXT((N315*4+cfgDeslocamento)/48,"hh:mm")&amp;" a "&amp;TEXT(A315,"hh:mm"))</f>
        <v>0</v>
      </c>
      <c r="C315" s="27">
        <f>IF(A315="","",MES!B315)</f>
        <v>0</v>
      </c>
      <c r="D315" s="27">
        <f>IF(A315="","",IFERROR(AVERAGEIFS(Prensa!$B$2:$B$5001,Prensa!$E$2:$E$5001,N315,Prensa!$F$2:$F$5001,1,Prensa!$G$2:$G$5001,1),""))</f>
        <v>0</v>
      </c>
      <c r="E315" s="27">
        <f>IF(A315="","",IFERROR(AVERAGEIFS(Prensa!$B$2:$B$5001,Prensa!$E$2:$E$5001,N315,Prensa!$F$2:$F$5001,2,Prensa!$G$2:$G$5001,1),""))</f>
        <v>0</v>
      </c>
      <c r="F315" s="27">
        <f>IF(A315="","",IFERROR(AVERAGEIFS(Prensa!$B$2:$B$5001,Prensa!$E$2:$E$5001,N315,Prensa!$F$2:$F$5001,3,Prensa!$G$2:$G$5001,1),""))</f>
        <v>0</v>
      </c>
      <c r="G315" s="27">
        <f>IF(A315="","",IFERROR(AVERAGEIFS(Prensa!$B$2:$B$5001,Prensa!$E$2:$E$5001,N315,Prensa!$F$2:$F$5001,4,Prensa!$G$2:$G$5001,1),""))</f>
        <v>0</v>
      </c>
      <c r="H315" s="26">
        <f>IF(A315="","",COUNT(D315:G315))</f>
        <v>0</v>
      </c>
      <c r="I315" s="27">
        <f>IF(A315="","",IF(H315=0,"",AVERAGE(D315:G315)))</f>
        <v>0</v>
      </c>
      <c r="J315" s="27">
        <f>IF(OR(I315="",C315=""),"",I315-C315)</f>
        <v>0</v>
      </c>
      <c r="K315" s="26">
        <f>IF(A315="","",IF(MES!E315&lt;&gt;4,"Horário do MES fora do padrão",IF(H315&lt;cfgMinCortes,"Cortes insuficientes","Válida")))</f>
        <v>0</v>
      </c>
      <c r="L315" s="27">
        <f>IF(K315="Válida",ABS(J315),"")</f>
        <v>0</v>
      </c>
      <c r="M315" s="26">
        <f>IF(K315="Válida",IF(L315&lt;=cfgTolerancia,"Sim","Não"),"")</f>
        <v>0</v>
      </c>
      <c r="N315" s="26">
        <f>IF(A315="","",MES!D315)</f>
        <v>0</v>
      </c>
      <c r="O315" s="25">
        <f>IF(K315="Válida",A315,NA())</f>
        <v>0</v>
      </c>
      <c r="P315" s="27">
        <f>IF(K315="Válida",C315,NA())</f>
        <v>0</v>
      </c>
      <c r="Q315" s="27">
        <f>IF(K315="Válida",I315,NA())</f>
        <v>0</v>
      </c>
      <c r="R315" s="27">
        <f>IF(K315="Válida",J315,NA())</f>
        <v>0</v>
      </c>
      <c r="S315" s="27">
        <f>IF(K315="Válida",C315,"")</f>
        <v>0</v>
      </c>
      <c r="T315" s="27">
        <f>IF(K315="Válida",I315,"")</f>
        <v>0</v>
      </c>
      <c r="U315" s="27">
        <f>IF(K315="Válida",J315,"")</f>
        <v>0</v>
      </c>
    </row>
    <row r="316" spans="1:21">
      <c r="A316" s="25">
        <f>IF(MES!A316="","",MES!C316/48)</f>
        <v>0</v>
      </c>
      <c r="B316" s="26">
        <f>IF(A316="","",TEXT((N316*4+cfgDeslocamento)/48,"hh:mm")&amp;" a "&amp;TEXT(A316,"hh:mm"))</f>
        <v>0</v>
      </c>
      <c r="C316" s="27">
        <f>IF(A316="","",MES!B316)</f>
        <v>0</v>
      </c>
      <c r="D316" s="27">
        <f>IF(A316="","",IFERROR(AVERAGEIFS(Prensa!$B$2:$B$5001,Prensa!$E$2:$E$5001,N316,Prensa!$F$2:$F$5001,1,Prensa!$G$2:$G$5001,1),""))</f>
        <v>0</v>
      </c>
      <c r="E316" s="27">
        <f>IF(A316="","",IFERROR(AVERAGEIFS(Prensa!$B$2:$B$5001,Prensa!$E$2:$E$5001,N316,Prensa!$F$2:$F$5001,2,Prensa!$G$2:$G$5001,1),""))</f>
        <v>0</v>
      </c>
      <c r="F316" s="27">
        <f>IF(A316="","",IFERROR(AVERAGEIFS(Prensa!$B$2:$B$5001,Prensa!$E$2:$E$5001,N316,Prensa!$F$2:$F$5001,3,Prensa!$G$2:$G$5001,1),""))</f>
        <v>0</v>
      </c>
      <c r="G316" s="27">
        <f>IF(A316="","",IFERROR(AVERAGEIFS(Prensa!$B$2:$B$5001,Prensa!$E$2:$E$5001,N316,Prensa!$F$2:$F$5001,4,Prensa!$G$2:$G$5001,1),""))</f>
        <v>0</v>
      </c>
      <c r="H316" s="26">
        <f>IF(A316="","",COUNT(D316:G316))</f>
        <v>0</v>
      </c>
      <c r="I316" s="27">
        <f>IF(A316="","",IF(H316=0,"",AVERAGE(D316:G316)))</f>
        <v>0</v>
      </c>
      <c r="J316" s="27">
        <f>IF(OR(I316="",C316=""),"",I316-C316)</f>
        <v>0</v>
      </c>
      <c r="K316" s="26">
        <f>IF(A316="","",IF(MES!E316&lt;&gt;4,"Horário do MES fora do padrão",IF(H316&lt;cfgMinCortes,"Cortes insuficientes","Válida")))</f>
        <v>0</v>
      </c>
      <c r="L316" s="27">
        <f>IF(K316="Válida",ABS(J316),"")</f>
        <v>0</v>
      </c>
      <c r="M316" s="26">
        <f>IF(K316="Válida",IF(L316&lt;=cfgTolerancia,"Sim","Não"),"")</f>
        <v>0</v>
      </c>
      <c r="N316" s="26">
        <f>IF(A316="","",MES!D316)</f>
        <v>0</v>
      </c>
      <c r="O316" s="25">
        <f>IF(K316="Válida",A316,NA())</f>
        <v>0</v>
      </c>
      <c r="P316" s="27">
        <f>IF(K316="Válida",C316,NA())</f>
        <v>0</v>
      </c>
      <c r="Q316" s="27">
        <f>IF(K316="Válida",I316,NA())</f>
        <v>0</v>
      </c>
      <c r="R316" s="27">
        <f>IF(K316="Válida",J316,NA())</f>
        <v>0</v>
      </c>
      <c r="S316" s="27">
        <f>IF(K316="Válida",C316,"")</f>
        <v>0</v>
      </c>
      <c r="T316" s="27">
        <f>IF(K316="Válida",I316,"")</f>
        <v>0</v>
      </c>
      <c r="U316" s="27">
        <f>IF(K316="Válida",J316,"")</f>
        <v>0</v>
      </c>
    </row>
    <row r="317" spans="1:21">
      <c r="A317" s="25">
        <f>IF(MES!A317="","",MES!C317/48)</f>
        <v>0</v>
      </c>
      <c r="B317" s="26">
        <f>IF(A317="","",TEXT((N317*4+cfgDeslocamento)/48,"hh:mm")&amp;" a "&amp;TEXT(A317,"hh:mm"))</f>
        <v>0</v>
      </c>
      <c r="C317" s="27">
        <f>IF(A317="","",MES!B317)</f>
        <v>0</v>
      </c>
      <c r="D317" s="27">
        <f>IF(A317="","",IFERROR(AVERAGEIFS(Prensa!$B$2:$B$5001,Prensa!$E$2:$E$5001,N317,Prensa!$F$2:$F$5001,1,Prensa!$G$2:$G$5001,1),""))</f>
        <v>0</v>
      </c>
      <c r="E317" s="27">
        <f>IF(A317="","",IFERROR(AVERAGEIFS(Prensa!$B$2:$B$5001,Prensa!$E$2:$E$5001,N317,Prensa!$F$2:$F$5001,2,Prensa!$G$2:$G$5001,1),""))</f>
        <v>0</v>
      </c>
      <c r="F317" s="27">
        <f>IF(A317="","",IFERROR(AVERAGEIFS(Prensa!$B$2:$B$5001,Prensa!$E$2:$E$5001,N317,Prensa!$F$2:$F$5001,3,Prensa!$G$2:$G$5001,1),""))</f>
        <v>0</v>
      </c>
      <c r="G317" s="27">
        <f>IF(A317="","",IFERROR(AVERAGEIFS(Prensa!$B$2:$B$5001,Prensa!$E$2:$E$5001,N317,Prensa!$F$2:$F$5001,4,Prensa!$G$2:$G$5001,1),""))</f>
        <v>0</v>
      </c>
      <c r="H317" s="26">
        <f>IF(A317="","",COUNT(D317:G317))</f>
        <v>0</v>
      </c>
      <c r="I317" s="27">
        <f>IF(A317="","",IF(H317=0,"",AVERAGE(D317:G317)))</f>
        <v>0</v>
      </c>
      <c r="J317" s="27">
        <f>IF(OR(I317="",C317=""),"",I317-C317)</f>
        <v>0</v>
      </c>
      <c r="K317" s="26">
        <f>IF(A317="","",IF(MES!E317&lt;&gt;4,"Horário do MES fora do padrão",IF(H317&lt;cfgMinCortes,"Cortes insuficientes","Válida")))</f>
        <v>0</v>
      </c>
      <c r="L317" s="27">
        <f>IF(K317="Válida",ABS(J317),"")</f>
        <v>0</v>
      </c>
      <c r="M317" s="26">
        <f>IF(K317="Válida",IF(L317&lt;=cfgTolerancia,"Sim","Não"),"")</f>
        <v>0</v>
      </c>
      <c r="N317" s="26">
        <f>IF(A317="","",MES!D317)</f>
        <v>0</v>
      </c>
      <c r="O317" s="25">
        <f>IF(K317="Válida",A317,NA())</f>
        <v>0</v>
      </c>
      <c r="P317" s="27">
        <f>IF(K317="Válida",C317,NA())</f>
        <v>0</v>
      </c>
      <c r="Q317" s="27">
        <f>IF(K317="Válida",I317,NA())</f>
        <v>0</v>
      </c>
      <c r="R317" s="27">
        <f>IF(K317="Válida",J317,NA())</f>
        <v>0</v>
      </c>
      <c r="S317" s="27">
        <f>IF(K317="Válida",C317,"")</f>
        <v>0</v>
      </c>
      <c r="T317" s="27">
        <f>IF(K317="Válida",I317,"")</f>
        <v>0</v>
      </c>
      <c r="U317" s="27">
        <f>IF(K317="Válida",J317,"")</f>
        <v>0</v>
      </c>
    </row>
    <row r="318" spans="1:21">
      <c r="A318" s="25">
        <f>IF(MES!A318="","",MES!C318/48)</f>
        <v>0</v>
      </c>
      <c r="B318" s="26">
        <f>IF(A318="","",TEXT((N318*4+cfgDeslocamento)/48,"hh:mm")&amp;" a "&amp;TEXT(A318,"hh:mm"))</f>
        <v>0</v>
      </c>
      <c r="C318" s="27">
        <f>IF(A318="","",MES!B318)</f>
        <v>0</v>
      </c>
      <c r="D318" s="27">
        <f>IF(A318="","",IFERROR(AVERAGEIFS(Prensa!$B$2:$B$5001,Prensa!$E$2:$E$5001,N318,Prensa!$F$2:$F$5001,1,Prensa!$G$2:$G$5001,1),""))</f>
        <v>0</v>
      </c>
      <c r="E318" s="27">
        <f>IF(A318="","",IFERROR(AVERAGEIFS(Prensa!$B$2:$B$5001,Prensa!$E$2:$E$5001,N318,Prensa!$F$2:$F$5001,2,Prensa!$G$2:$G$5001,1),""))</f>
        <v>0</v>
      </c>
      <c r="F318" s="27">
        <f>IF(A318="","",IFERROR(AVERAGEIFS(Prensa!$B$2:$B$5001,Prensa!$E$2:$E$5001,N318,Prensa!$F$2:$F$5001,3,Prensa!$G$2:$G$5001,1),""))</f>
        <v>0</v>
      </c>
      <c r="G318" s="27">
        <f>IF(A318="","",IFERROR(AVERAGEIFS(Prensa!$B$2:$B$5001,Prensa!$E$2:$E$5001,N318,Prensa!$F$2:$F$5001,4,Prensa!$G$2:$G$5001,1),""))</f>
        <v>0</v>
      </c>
      <c r="H318" s="26">
        <f>IF(A318="","",COUNT(D318:G318))</f>
        <v>0</v>
      </c>
      <c r="I318" s="27">
        <f>IF(A318="","",IF(H318=0,"",AVERAGE(D318:G318)))</f>
        <v>0</v>
      </c>
      <c r="J318" s="27">
        <f>IF(OR(I318="",C318=""),"",I318-C318)</f>
        <v>0</v>
      </c>
      <c r="K318" s="26">
        <f>IF(A318="","",IF(MES!E318&lt;&gt;4,"Horário do MES fora do padrão",IF(H318&lt;cfgMinCortes,"Cortes insuficientes","Válida")))</f>
        <v>0</v>
      </c>
      <c r="L318" s="27">
        <f>IF(K318="Válida",ABS(J318),"")</f>
        <v>0</v>
      </c>
      <c r="M318" s="26">
        <f>IF(K318="Válida",IF(L318&lt;=cfgTolerancia,"Sim","Não"),"")</f>
        <v>0</v>
      </c>
      <c r="N318" s="26">
        <f>IF(A318="","",MES!D318)</f>
        <v>0</v>
      </c>
      <c r="O318" s="25">
        <f>IF(K318="Válida",A318,NA())</f>
        <v>0</v>
      </c>
      <c r="P318" s="27">
        <f>IF(K318="Válida",C318,NA())</f>
        <v>0</v>
      </c>
      <c r="Q318" s="27">
        <f>IF(K318="Válida",I318,NA())</f>
        <v>0</v>
      </c>
      <c r="R318" s="27">
        <f>IF(K318="Válida",J318,NA())</f>
        <v>0</v>
      </c>
      <c r="S318" s="27">
        <f>IF(K318="Válida",C318,"")</f>
        <v>0</v>
      </c>
      <c r="T318" s="27">
        <f>IF(K318="Válida",I318,"")</f>
        <v>0</v>
      </c>
      <c r="U318" s="27">
        <f>IF(K318="Válida",J318,"")</f>
        <v>0</v>
      </c>
    </row>
    <row r="319" spans="1:21">
      <c r="A319" s="25">
        <f>IF(MES!A319="","",MES!C319/48)</f>
        <v>0</v>
      </c>
      <c r="B319" s="26">
        <f>IF(A319="","",TEXT((N319*4+cfgDeslocamento)/48,"hh:mm")&amp;" a "&amp;TEXT(A319,"hh:mm"))</f>
        <v>0</v>
      </c>
      <c r="C319" s="27">
        <f>IF(A319="","",MES!B319)</f>
        <v>0</v>
      </c>
      <c r="D319" s="27">
        <f>IF(A319="","",IFERROR(AVERAGEIFS(Prensa!$B$2:$B$5001,Prensa!$E$2:$E$5001,N319,Prensa!$F$2:$F$5001,1,Prensa!$G$2:$G$5001,1),""))</f>
        <v>0</v>
      </c>
      <c r="E319" s="27">
        <f>IF(A319="","",IFERROR(AVERAGEIFS(Prensa!$B$2:$B$5001,Prensa!$E$2:$E$5001,N319,Prensa!$F$2:$F$5001,2,Prensa!$G$2:$G$5001,1),""))</f>
        <v>0</v>
      </c>
      <c r="F319" s="27">
        <f>IF(A319="","",IFERROR(AVERAGEIFS(Prensa!$B$2:$B$5001,Prensa!$E$2:$E$5001,N319,Prensa!$F$2:$F$5001,3,Prensa!$G$2:$G$5001,1),""))</f>
        <v>0</v>
      </c>
      <c r="G319" s="27">
        <f>IF(A319="","",IFERROR(AVERAGEIFS(Prensa!$B$2:$B$5001,Prensa!$E$2:$E$5001,N319,Prensa!$F$2:$F$5001,4,Prensa!$G$2:$G$5001,1),""))</f>
        <v>0</v>
      </c>
      <c r="H319" s="26">
        <f>IF(A319="","",COUNT(D319:G319))</f>
        <v>0</v>
      </c>
      <c r="I319" s="27">
        <f>IF(A319="","",IF(H319=0,"",AVERAGE(D319:G319)))</f>
        <v>0</v>
      </c>
      <c r="J319" s="27">
        <f>IF(OR(I319="",C319=""),"",I319-C319)</f>
        <v>0</v>
      </c>
      <c r="K319" s="26">
        <f>IF(A319="","",IF(MES!E319&lt;&gt;4,"Horário do MES fora do padrão",IF(H319&lt;cfgMinCortes,"Cortes insuficientes","Válida")))</f>
        <v>0</v>
      </c>
      <c r="L319" s="27">
        <f>IF(K319="Válida",ABS(J319),"")</f>
        <v>0</v>
      </c>
      <c r="M319" s="26">
        <f>IF(K319="Válida",IF(L319&lt;=cfgTolerancia,"Sim","Não"),"")</f>
        <v>0</v>
      </c>
      <c r="N319" s="26">
        <f>IF(A319="","",MES!D319)</f>
        <v>0</v>
      </c>
      <c r="O319" s="25">
        <f>IF(K319="Válida",A319,NA())</f>
        <v>0</v>
      </c>
      <c r="P319" s="27">
        <f>IF(K319="Válida",C319,NA())</f>
        <v>0</v>
      </c>
      <c r="Q319" s="27">
        <f>IF(K319="Válida",I319,NA())</f>
        <v>0</v>
      </c>
      <c r="R319" s="27">
        <f>IF(K319="Válida",J319,NA())</f>
        <v>0</v>
      </c>
      <c r="S319" s="27">
        <f>IF(K319="Válida",C319,"")</f>
        <v>0</v>
      </c>
      <c r="T319" s="27">
        <f>IF(K319="Válida",I319,"")</f>
        <v>0</v>
      </c>
      <c r="U319" s="27">
        <f>IF(K319="Válida",J319,"")</f>
        <v>0</v>
      </c>
    </row>
    <row r="320" spans="1:21">
      <c r="A320" s="25">
        <f>IF(MES!A320="","",MES!C320/48)</f>
        <v>0</v>
      </c>
      <c r="B320" s="26">
        <f>IF(A320="","",TEXT((N320*4+cfgDeslocamento)/48,"hh:mm")&amp;" a "&amp;TEXT(A320,"hh:mm"))</f>
        <v>0</v>
      </c>
      <c r="C320" s="27">
        <f>IF(A320="","",MES!B320)</f>
        <v>0</v>
      </c>
      <c r="D320" s="27">
        <f>IF(A320="","",IFERROR(AVERAGEIFS(Prensa!$B$2:$B$5001,Prensa!$E$2:$E$5001,N320,Prensa!$F$2:$F$5001,1,Prensa!$G$2:$G$5001,1),""))</f>
        <v>0</v>
      </c>
      <c r="E320" s="27">
        <f>IF(A320="","",IFERROR(AVERAGEIFS(Prensa!$B$2:$B$5001,Prensa!$E$2:$E$5001,N320,Prensa!$F$2:$F$5001,2,Prensa!$G$2:$G$5001,1),""))</f>
        <v>0</v>
      </c>
      <c r="F320" s="27">
        <f>IF(A320="","",IFERROR(AVERAGEIFS(Prensa!$B$2:$B$5001,Prensa!$E$2:$E$5001,N320,Prensa!$F$2:$F$5001,3,Prensa!$G$2:$G$5001,1),""))</f>
        <v>0</v>
      </c>
      <c r="G320" s="27">
        <f>IF(A320="","",IFERROR(AVERAGEIFS(Prensa!$B$2:$B$5001,Prensa!$E$2:$E$5001,N320,Prensa!$F$2:$F$5001,4,Prensa!$G$2:$G$5001,1),""))</f>
        <v>0</v>
      </c>
      <c r="H320" s="26">
        <f>IF(A320="","",COUNT(D320:G320))</f>
        <v>0</v>
      </c>
      <c r="I320" s="27">
        <f>IF(A320="","",IF(H320=0,"",AVERAGE(D320:G320)))</f>
        <v>0</v>
      </c>
      <c r="J320" s="27">
        <f>IF(OR(I320="",C320=""),"",I320-C320)</f>
        <v>0</v>
      </c>
      <c r="K320" s="26">
        <f>IF(A320="","",IF(MES!E320&lt;&gt;4,"Horário do MES fora do padrão",IF(H320&lt;cfgMinCortes,"Cortes insuficientes","Válida")))</f>
        <v>0</v>
      </c>
      <c r="L320" s="27">
        <f>IF(K320="Válida",ABS(J320),"")</f>
        <v>0</v>
      </c>
      <c r="M320" s="26">
        <f>IF(K320="Válida",IF(L320&lt;=cfgTolerancia,"Sim","Não"),"")</f>
        <v>0</v>
      </c>
      <c r="N320" s="26">
        <f>IF(A320="","",MES!D320)</f>
        <v>0</v>
      </c>
      <c r="O320" s="25">
        <f>IF(K320="Válida",A320,NA())</f>
        <v>0</v>
      </c>
      <c r="P320" s="27">
        <f>IF(K320="Válida",C320,NA())</f>
        <v>0</v>
      </c>
      <c r="Q320" s="27">
        <f>IF(K320="Válida",I320,NA())</f>
        <v>0</v>
      </c>
      <c r="R320" s="27">
        <f>IF(K320="Válida",J320,NA())</f>
        <v>0</v>
      </c>
      <c r="S320" s="27">
        <f>IF(K320="Válida",C320,"")</f>
        <v>0</v>
      </c>
      <c r="T320" s="27">
        <f>IF(K320="Válida",I320,"")</f>
        <v>0</v>
      </c>
      <c r="U320" s="27">
        <f>IF(K320="Válida",J320,"")</f>
        <v>0</v>
      </c>
    </row>
    <row r="321" spans="1:21">
      <c r="A321" s="25">
        <f>IF(MES!A321="","",MES!C321/48)</f>
        <v>0</v>
      </c>
      <c r="B321" s="26">
        <f>IF(A321="","",TEXT((N321*4+cfgDeslocamento)/48,"hh:mm")&amp;" a "&amp;TEXT(A321,"hh:mm"))</f>
        <v>0</v>
      </c>
      <c r="C321" s="27">
        <f>IF(A321="","",MES!B321)</f>
        <v>0</v>
      </c>
      <c r="D321" s="27">
        <f>IF(A321="","",IFERROR(AVERAGEIFS(Prensa!$B$2:$B$5001,Prensa!$E$2:$E$5001,N321,Prensa!$F$2:$F$5001,1,Prensa!$G$2:$G$5001,1),""))</f>
        <v>0</v>
      </c>
      <c r="E321" s="27">
        <f>IF(A321="","",IFERROR(AVERAGEIFS(Prensa!$B$2:$B$5001,Prensa!$E$2:$E$5001,N321,Prensa!$F$2:$F$5001,2,Prensa!$G$2:$G$5001,1),""))</f>
        <v>0</v>
      </c>
      <c r="F321" s="27">
        <f>IF(A321="","",IFERROR(AVERAGEIFS(Prensa!$B$2:$B$5001,Prensa!$E$2:$E$5001,N321,Prensa!$F$2:$F$5001,3,Prensa!$G$2:$G$5001,1),""))</f>
        <v>0</v>
      </c>
      <c r="G321" s="27">
        <f>IF(A321="","",IFERROR(AVERAGEIFS(Prensa!$B$2:$B$5001,Prensa!$E$2:$E$5001,N321,Prensa!$F$2:$F$5001,4,Prensa!$G$2:$G$5001,1),""))</f>
        <v>0</v>
      </c>
      <c r="H321" s="26">
        <f>IF(A321="","",COUNT(D321:G321))</f>
        <v>0</v>
      </c>
      <c r="I321" s="27">
        <f>IF(A321="","",IF(H321=0,"",AVERAGE(D321:G321)))</f>
        <v>0</v>
      </c>
      <c r="J321" s="27">
        <f>IF(OR(I321="",C321=""),"",I321-C321)</f>
        <v>0</v>
      </c>
      <c r="K321" s="26">
        <f>IF(A321="","",IF(MES!E321&lt;&gt;4,"Horário do MES fora do padrão",IF(H321&lt;cfgMinCortes,"Cortes insuficientes","Válida")))</f>
        <v>0</v>
      </c>
      <c r="L321" s="27">
        <f>IF(K321="Válida",ABS(J321),"")</f>
        <v>0</v>
      </c>
      <c r="M321" s="26">
        <f>IF(K321="Válida",IF(L321&lt;=cfgTolerancia,"Sim","Não"),"")</f>
        <v>0</v>
      </c>
      <c r="N321" s="26">
        <f>IF(A321="","",MES!D321)</f>
        <v>0</v>
      </c>
      <c r="O321" s="25">
        <f>IF(K321="Válida",A321,NA())</f>
        <v>0</v>
      </c>
      <c r="P321" s="27">
        <f>IF(K321="Válida",C321,NA())</f>
        <v>0</v>
      </c>
      <c r="Q321" s="27">
        <f>IF(K321="Válida",I321,NA())</f>
        <v>0</v>
      </c>
      <c r="R321" s="27">
        <f>IF(K321="Válida",J321,NA())</f>
        <v>0</v>
      </c>
      <c r="S321" s="27">
        <f>IF(K321="Válida",C321,"")</f>
        <v>0</v>
      </c>
      <c r="T321" s="27">
        <f>IF(K321="Válida",I321,"")</f>
        <v>0</v>
      </c>
      <c r="U321" s="27">
        <f>IF(K321="Válida",J321,"")</f>
        <v>0</v>
      </c>
    </row>
    <row r="322" spans="1:21">
      <c r="A322" s="25">
        <f>IF(MES!A322="","",MES!C322/48)</f>
        <v>0</v>
      </c>
      <c r="B322" s="26">
        <f>IF(A322="","",TEXT((N322*4+cfgDeslocamento)/48,"hh:mm")&amp;" a "&amp;TEXT(A322,"hh:mm"))</f>
        <v>0</v>
      </c>
      <c r="C322" s="27">
        <f>IF(A322="","",MES!B322)</f>
        <v>0</v>
      </c>
      <c r="D322" s="27">
        <f>IF(A322="","",IFERROR(AVERAGEIFS(Prensa!$B$2:$B$5001,Prensa!$E$2:$E$5001,N322,Prensa!$F$2:$F$5001,1,Prensa!$G$2:$G$5001,1),""))</f>
        <v>0</v>
      </c>
      <c r="E322" s="27">
        <f>IF(A322="","",IFERROR(AVERAGEIFS(Prensa!$B$2:$B$5001,Prensa!$E$2:$E$5001,N322,Prensa!$F$2:$F$5001,2,Prensa!$G$2:$G$5001,1),""))</f>
        <v>0</v>
      </c>
      <c r="F322" s="27">
        <f>IF(A322="","",IFERROR(AVERAGEIFS(Prensa!$B$2:$B$5001,Prensa!$E$2:$E$5001,N322,Prensa!$F$2:$F$5001,3,Prensa!$G$2:$G$5001,1),""))</f>
        <v>0</v>
      </c>
      <c r="G322" s="27">
        <f>IF(A322="","",IFERROR(AVERAGEIFS(Prensa!$B$2:$B$5001,Prensa!$E$2:$E$5001,N322,Prensa!$F$2:$F$5001,4,Prensa!$G$2:$G$5001,1),""))</f>
        <v>0</v>
      </c>
      <c r="H322" s="26">
        <f>IF(A322="","",COUNT(D322:G322))</f>
        <v>0</v>
      </c>
      <c r="I322" s="27">
        <f>IF(A322="","",IF(H322=0,"",AVERAGE(D322:G322)))</f>
        <v>0</v>
      </c>
      <c r="J322" s="27">
        <f>IF(OR(I322="",C322=""),"",I322-C322)</f>
        <v>0</v>
      </c>
      <c r="K322" s="26">
        <f>IF(A322="","",IF(MES!E322&lt;&gt;4,"Horário do MES fora do padrão",IF(H322&lt;cfgMinCortes,"Cortes insuficientes","Válida")))</f>
        <v>0</v>
      </c>
      <c r="L322" s="27">
        <f>IF(K322="Válida",ABS(J322),"")</f>
        <v>0</v>
      </c>
      <c r="M322" s="26">
        <f>IF(K322="Válida",IF(L322&lt;=cfgTolerancia,"Sim","Não"),"")</f>
        <v>0</v>
      </c>
      <c r="N322" s="26">
        <f>IF(A322="","",MES!D322)</f>
        <v>0</v>
      </c>
      <c r="O322" s="25">
        <f>IF(K322="Válida",A322,NA())</f>
        <v>0</v>
      </c>
      <c r="P322" s="27">
        <f>IF(K322="Válida",C322,NA())</f>
        <v>0</v>
      </c>
      <c r="Q322" s="27">
        <f>IF(K322="Válida",I322,NA())</f>
        <v>0</v>
      </c>
      <c r="R322" s="27">
        <f>IF(K322="Válida",J322,NA())</f>
        <v>0</v>
      </c>
      <c r="S322" s="27">
        <f>IF(K322="Válida",C322,"")</f>
        <v>0</v>
      </c>
      <c r="T322" s="27">
        <f>IF(K322="Válida",I322,"")</f>
        <v>0</v>
      </c>
      <c r="U322" s="27">
        <f>IF(K322="Válida",J322,"")</f>
        <v>0</v>
      </c>
    </row>
    <row r="323" spans="1:21">
      <c r="A323" s="25">
        <f>IF(MES!A323="","",MES!C323/48)</f>
        <v>0</v>
      </c>
      <c r="B323" s="26">
        <f>IF(A323="","",TEXT((N323*4+cfgDeslocamento)/48,"hh:mm")&amp;" a "&amp;TEXT(A323,"hh:mm"))</f>
        <v>0</v>
      </c>
      <c r="C323" s="27">
        <f>IF(A323="","",MES!B323)</f>
        <v>0</v>
      </c>
      <c r="D323" s="27">
        <f>IF(A323="","",IFERROR(AVERAGEIFS(Prensa!$B$2:$B$5001,Prensa!$E$2:$E$5001,N323,Prensa!$F$2:$F$5001,1,Prensa!$G$2:$G$5001,1),""))</f>
        <v>0</v>
      </c>
      <c r="E323" s="27">
        <f>IF(A323="","",IFERROR(AVERAGEIFS(Prensa!$B$2:$B$5001,Prensa!$E$2:$E$5001,N323,Prensa!$F$2:$F$5001,2,Prensa!$G$2:$G$5001,1),""))</f>
        <v>0</v>
      </c>
      <c r="F323" s="27">
        <f>IF(A323="","",IFERROR(AVERAGEIFS(Prensa!$B$2:$B$5001,Prensa!$E$2:$E$5001,N323,Prensa!$F$2:$F$5001,3,Prensa!$G$2:$G$5001,1),""))</f>
        <v>0</v>
      </c>
      <c r="G323" s="27">
        <f>IF(A323="","",IFERROR(AVERAGEIFS(Prensa!$B$2:$B$5001,Prensa!$E$2:$E$5001,N323,Prensa!$F$2:$F$5001,4,Prensa!$G$2:$G$5001,1),""))</f>
        <v>0</v>
      </c>
      <c r="H323" s="26">
        <f>IF(A323="","",COUNT(D323:G323))</f>
        <v>0</v>
      </c>
      <c r="I323" s="27">
        <f>IF(A323="","",IF(H323=0,"",AVERAGE(D323:G323)))</f>
        <v>0</v>
      </c>
      <c r="J323" s="27">
        <f>IF(OR(I323="",C323=""),"",I323-C323)</f>
        <v>0</v>
      </c>
      <c r="K323" s="26">
        <f>IF(A323="","",IF(MES!E323&lt;&gt;4,"Horário do MES fora do padrão",IF(H323&lt;cfgMinCortes,"Cortes insuficientes","Válida")))</f>
        <v>0</v>
      </c>
      <c r="L323" s="27">
        <f>IF(K323="Válida",ABS(J323),"")</f>
        <v>0</v>
      </c>
      <c r="M323" s="26">
        <f>IF(K323="Válida",IF(L323&lt;=cfgTolerancia,"Sim","Não"),"")</f>
        <v>0</v>
      </c>
      <c r="N323" s="26">
        <f>IF(A323="","",MES!D323)</f>
        <v>0</v>
      </c>
      <c r="O323" s="25">
        <f>IF(K323="Válida",A323,NA())</f>
        <v>0</v>
      </c>
      <c r="P323" s="27">
        <f>IF(K323="Válida",C323,NA())</f>
        <v>0</v>
      </c>
      <c r="Q323" s="27">
        <f>IF(K323="Válida",I323,NA())</f>
        <v>0</v>
      </c>
      <c r="R323" s="27">
        <f>IF(K323="Válida",J323,NA())</f>
        <v>0</v>
      </c>
      <c r="S323" s="27">
        <f>IF(K323="Válida",C323,"")</f>
        <v>0</v>
      </c>
      <c r="T323" s="27">
        <f>IF(K323="Válida",I323,"")</f>
        <v>0</v>
      </c>
      <c r="U323" s="27">
        <f>IF(K323="Válida",J323,"")</f>
        <v>0</v>
      </c>
    </row>
    <row r="324" spans="1:21">
      <c r="A324" s="25">
        <f>IF(MES!A324="","",MES!C324/48)</f>
        <v>0</v>
      </c>
      <c r="B324" s="26">
        <f>IF(A324="","",TEXT((N324*4+cfgDeslocamento)/48,"hh:mm")&amp;" a "&amp;TEXT(A324,"hh:mm"))</f>
        <v>0</v>
      </c>
      <c r="C324" s="27">
        <f>IF(A324="","",MES!B324)</f>
        <v>0</v>
      </c>
      <c r="D324" s="27">
        <f>IF(A324="","",IFERROR(AVERAGEIFS(Prensa!$B$2:$B$5001,Prensa!$E$2:$E$5001,N324,Prensa!$F$2:$F$5001,1,Prensa!$G$2:$G$5001,1),""))</f>
        <v>0</v>
      </c>
      <c r="E324" s="27">
        <f>IF(A324="","",IFERROR(AVERAGEIFS(Prensa!$B$2:$B$5001,Prensa!$E$2:$E$5001,N324,Prensa!$F$2:$F$5001,2,Prensa!$G$2:$G$5001,1),""))</f>
        <v>0</v>
      </c>
      <c r="F324" s="27">
        <f>IF(A324="","",IFERROR(AVERAGEIFS(Prensa!$B$2:$B$5001,Prensa!$E$2:$E$5001,N324,Prensa!$F$2:$F$5001,3,Prensa!$G$2:$G$5001,1),""))</f>
        <v>0</v>
      </c>
      <c r="G324" s="27">
        <f>IF(A324="","",IFERROR(AVERAGEIFS(Prensa!$B$2:$B$5001,Prensa!$E$2:$E$5001,N324,Prensa!$F$2:$F$5001,4,Prensa!$G$2:$G$5001,1),""))</f>
        <v>0</v>
      </c>
      <c r="H324" s="26">
        <f>IF(A324="","",COUNT(D324:G324))</f>
        <v>0</v>
      </c>
      <c r="I324" s="27">
        <f>IF(A324="","",IF(H324=0,"",AVERAGE(D324:G324)))</f>
        <v>0</v>
      </c>
      <c r="J324" s="27">
        <f>IF(OR(I324="",C324=""),"",I324-C324)</f>
        <v>0</v>
      </c>
      <c r="K324" s="26">
        <f>IF(A324="","",IF(MES!E324&lt;&gt;4,"Horário do MES fora do padrão",IF(H324&lt;cfgMinCortes,"Cortes insuficientes","Válida")))</f>
        <v>0</v>
      </c>
      <c r="L324" s="27">
        <f>IF(K324="Válida",ABS(J324),"")</f>
        <v>0</v>
      </c>
      <c r="M324" s="26">
        <f>IF(K324="Válida",IF(L324&lt;=cfgTolerancia,"Sim","Não"),"")</f>
        <v>0</v>
      </c>
      <c r="N324" s="26">
        <f>IF(A324="","",MES!D324)</f>
        <v>0</v>
      </c>
      <c r="O324" s="25">
        <f>IF(K324="Válida",A324,NA())</f>
        <v>0</v>
      </c>
      <c r="P324" s="27">
        <f>IF(K324="Válida",C324,NA())</f>
        <v>0</v>
      </c>
      <c r="Q324" s="27">
        <f>IF(K324="Válida",I324,NA())</f>
        <v>0</v>
      </c>
      <c r="R324" s="27">
        <f>IF(K324="Válida",J324,NA())</f>
        <v>0</v>
      </c>
      <c r="S324" s="27">
        <f>IF(K324="Válida",C324,"")</f>
        <v>0</v>
      </c>
      <c r="T324" s="27">
        <f>IF(K324="Válida",I324,"")</f>
        <v>0</v>
      </c>
      <c r="U324" s="27">
        <f>IF(K324="Válida",J324,"")</f>
        <v>0</v>
      </c>
    </row>
    <row r="325" spans="1:21">
      <c r="A325" s="25">
        <f>IF(MES!A325="","",MES!C325/48)</f>
        <v>0</v>
      </c>
      <c r="B325" s="26">
        <f>IF(A325="","",TEXT((N325*4+cfgDeslocamento)/48,"hh:mm")&amp;" a "&amp;TEXT(A325,"hh:mm"))</f>
        <v>0</v>
      </c>
      <c r="C325" s="27">
        <f>IF(A325="","",MES!B325)</f>
        <v>0</v>
      </c>
      <c r="D325" s="27">
        <f>IF(A325="","",IFERROR(AVERAGEIFS(Prensa!$B$2:$B$5001,Prensa!$E$2:$E$5001,N325,Prensa!$F$2:$F$5001,1,Prensa!$G$2:$G$5001,1),""))</f>
        <v>0</v>
      </c>
      <c r="E325" s="27">
        <f>IF(A325="","",IFERROR(AVERAGEIFS(Prensa!$B$2:$B$5001,Prensa!$E$2:$E$5001,N325,Prensa!$F$2:$F$5001,2,Prensa!$G$2:$G$5001,1),""))</f>
        <v>0</v>
      </c>
      <c r="F325" s="27">
        <f>IF(A325="","",IFERROR(AVERAGEIFS(Prensa!$B$2:$B$5001,Prensa!$E$2:$E$5001,N325,Prensa!$F$2:$F$5001,3,Prensa!$G$2:$G$5001,1),""))</f>
        <v>0</v>
      </c>
      <c r="G325" s="27">
        <f>IF(A325="","",IFERROR(AVERAGEIFS(Prensa!$B$2:$B$5001,Prensa!$E$2:$E$5001,N325,Prensa!$F$2:$F$5001,4,Prensa!$G$2:$G$5001,1),""))</f>
        <v>0</v>
      </c>
      <c r="H325" s="26">
        <f>IF(A325="","",COUNT(D325:G325))</f>
        <v>0</v>
      </c>
      <c r="I325" s="27">
        <f>IF(A325="","",IF(H325=0,"",AVERAGE(D325:G325)))</f>
        <v>0</v>
      </c>
      <c r="J325" s="27">
        <f>IF(OR(I325="",C325=""),"",I325-C325)</f>
        <v>0</v>
      </c>
      <c r="K325" s="26">
        <f>IF(A325="","",IF(MES!E325&lt;&gt;4,"Horário do MES fora do padrão",IF(H325&lt;cfgMinCortes,"Cortes insuficientes","Válida")))</f>
        <v>0</v>
      </c>
      <c r="L325" s="27">
        <f>IF(K325="Válida",ABS(J325),"")</f>
        <v>0</v>
      </c>
      <c r="M325" s="26">
        <f>IF(K325="Válida",IF(L325&lt;=cfgTolerancia,"Sim","Não"),"")</f>
        <v>0</v>
      </c>
      <c r="N325" s="26">
        <f>IF(A325="","",MES!D325)</f>
        <v>0</v>
      </c>
      <c r="O325" s="25">
        <f>IF(K325="Válida",A325,NA())</f>
        <v>0</v>
      </c>
      <c r="P325" s="27">
        <f>IF(K325="Válida",C325,NA())</f>
        <v>0</v>
      </c>
      <c r="Q325" s="27">
        <f>IF(K325="Válida",I325,NA())</f>
        <v>0</v>
      </c>
      <c r="R325" s="27">
        <f>IF(K325="Válida",J325,NA())</f>
        <v>0</v>
      </c>
      <c r="S325" s="27">
        <f>IF(K325="Válida",C325,"")</f>
        <v>0</v>
      </c>
      <c r="T325" s="27">
        <f>IF(K325="Válida",I325,"")</f>
        <v>0</v>
      </c>
      <c r="U325" s="27">
        <f>IF(K325="Válida",J325,"")</f>
        <v>0</v>
      </c>
    </row>
    <row r="326" spans="1:21">
      <c r="A326" s="25">
        <f>IF(MES!A326="","",MES!C326/48)</f>
        <v>0</v>
      </c>
      <c r="B326" s="26">
        <f>IF(A326="","",TEXT((N326*4+cfgDeslocamento)/48,"hh:mm")&amp;" a "&amp;TEXT(A326,"hh:mm"))</f>
        <v>0</v>
      </c>
      <c r="C326" s="27">
        <f>IF(A326="","",MES!B326)</f>
        <v>0</v>
      </c>
      <c r="D326" s="27">
        <f>IF(A326="","",IFERROR(AVERAGEIFS(Prensa!$B$2:$B$5001,Prensa!$E$2:$E$5001,N326,Prensa!$F$2:$F$5001,1,Prensa!$G$2:$G$5001,1),""))</f>
        <v>0</v>
      </c>
      <c r="E326" s="27">
        <f>IF(A326="","",IFERROR(AVERAGEIFS(Prensa!$B$2:$B$5001,Prensa!$E$2:$E$5001,N326,Prensa!$F$2:$F$5001,2,Prensa!$G$2:$G$5001,1),""))</f>
        <v>0</v>
      </c>
      <c r="F326" s="27">
        <f>IF(A326="","",IFERROR(AVERAGEIFS(Prensa!$B$2:$B$5001,Prensa!$E$2:$E$5001,N326,Prensa!$F$2:$F$5001,3,Prensa!$G$2:$G$5001,1),""))</f>
        <v>0</v>
      </c>
      <c r="G326" s="27">
        <f>IF(A326="","",IFERROR(AVERAGEIFS(Prensa!$B$2:$B$5001,Prensa!$E$2:$E$5001,N326,Prensa!$F$2:$F$5001,4,Prensa!$G$2:$G$5001,1),""))</f>
        <v>0</v>
      </c>
      <c r="H326" s="26">
        <f>IF(A326="","",COUNT(D326:G326))</f>
        <v>0</v>
      </c>
      <c r="I326" s="27">
        <f>IF(A326="","",IF(H326=0,"",AVERAGE(D326:G326)))</f>
        <v>0</v>
      </c>
      <c r="J326" s="27">
        <f>IF(OR(I326="",C326=""),"",I326-C326)</f>
        <v>0</v>
      </c>
      <c r="K326" s="26">
        <f>IF(A326="","",IF(MES!E326&lt;&gt;4,"Horário do MES fora do padrão",IF(H326&lt;cfgMinCortes,"Cortes insuficientes","Válida")))</f>
        <v>0</v>
      </c>
      <c r="L326" s="27">
        <f>IF(K326="Válida",ABS(J326),"")</f>
        <v>0</v>
      </c>
      <c r="M326" s="26">
        <f>IF(K326="Válida",IF(L326&lt;=cfgTolerancia,"Sim","Não"),"")</f>
        <v>0</v>
      </c>
      <c r="N326" s="26">
        <f>IF(A326="","",MES!D326)</f>
        <v>0</v>
      </c>
      <c r="O326" s="25">
        <f>IF(K326="Válida",A326,NA())</f>
        <v>0</v>
      </c>
      <c r="P326" s="27">
        <f>IF(K326="Válida",C326,NA())</f>
        <v>0</v>
      </c>
      <c r="Q326" s="27">
        <f>IF(K326="Válida",I326,NA())</f>
        <v>0</v>
      </c>
      <c r="R326" s="27">
        <f>IF(K326="Válida",J326,NA())</f>
        <v>0</v>
      </c>
      <c r="S326" s="27">
        <f>IF(K326="Válida",C326,"")</f>
        <v>0</v>
      </c>
      <c r="T326" s="27">
        <f>IF(K326="Válida",I326,"")</f>
        <v>0</v>
      </c>
      <c r="U326" s="27">
        <f>IF(K326="Válida",J326,"")</f>
        <v>0</v>
      </c>
    </row>
    <row r="327" spans="1:21">
      <c r="A327" s="25">
        <f>IF(MES!A327="","",MES!C327/48)</f>
        <v>0</v>
      </c>
      <c r="B327" s="26">
        <f>IF(A327="","",TEXT((N327*4+cfgDeslocamento)/48,"hh:mm")&amp;" a "&amp;TEXT(A327,"hh:mm"))</f>
        <v>0</v>
      </c>
      <c r="C327" s="27">
        <f>IF(A327="","",MES!B327)</f>
        <v>0</v>
      </c>
      <c r="D327" s="27">
        <f>IF(A327="","",IFERROR(AVERAGEIFS(Prensa!$B$2:$B$5001,Prensa!$E$2:$E$5001,N327,Prensa!$F$2:$F$5001,1,Prensa!$G$2:$G$5001,1),""))</f>
        <v>0</v>
      </c>
      <c r="E327" s="27">
        <f>IF(A327="","",IFERROR(AVERAGEIFS(Prensa!$B$2:$B$5001,Prensa!$E$2:$E$5001,N327,Prensa!$F$2:$F$5001,2,Prensa!$G$2:$G$5001,1),""))</f>
        <v>0</v>
      </c>
      <c r="F327" s="27">
        <f>IF(A327="","",IFERROR(AVERAGEIFS(Prensa!$B$2:$B$5001,Prensa!$E$2:$E$5001,N327,Prensa!$F$2:$F$5001,3,Prensa!$G$2:$G$5001,1),""))</f>
        <v>0</v>
      </c>
      <c r="G327" s="27">
        <f>IF(A327="","",IFERROR(AVERAGEIFS(Prensa!$B$2:$B$5001,Prensa!$E$2:$E$5001,N327,Prensa!$F$2:$F$5001,4,Prensa!$G$2:$G$5001,1),""))</f>
        <v>0</v>
      </c>
      <c r="H327" s="26">
        <f>IF(A327="","",COUNT(D327:G327))</f>
        <v>0</v>
      </c>
      <c r="I327" s="27">
        <f>IF(A327="","",IF(H327=0,"",AVERAGE(D327:G327)))</f>
        <v>0</v>
      </c>
      <c r="J327" s="27">
        <f>IF(OR(I327="",C327=""),"",I327-C327)</f>
        <v>0</v>
      </c>
      <c r="K327" s="26">
        <f>IF(A327="","",IF(MES!E327&lt;&gt;4,"Horário do MES fora do padrão",IF(H327&lt;cfgMinCortes,"Cortes insuficientes","Válida")))</f>
        <v>0</v>
      </c>
      <c r="L327" s="27">
        <f>IF(K327="Válida",ABS(J327),"")</f>
        <v>0</v>
      </c>
      <c r="M327" s="26">
        <f>IF(K327="Válida",IF(L327&lt;=cfgTolerancia,"Sim","Não"),"")</f>
        <v>0</v>
      </c>
      <c r="N327" s="26">
        <f>IF(A327="","",MES!D327)</f>
        <v>0</v>
      </c>
      <c r="O327" s="25">
        <f>IF(K327="Válida",A327,NA())</f>
        <v>0</v>
      </c>
      <c r="P327" s="27">
        <f>IF(K327="Válida",C327,NA())</f>
        <v>0</v>
      </c>
      <c r="Q327" s="27">
        <f>IF(K327="Válida",I327,NA())</f>
        <v>0</v>
      </c>
      <c r="R327" s="27">
        <f>IF(K327="Válida",J327,NA())</f>
        <v>0</v>
      </c>
      <c r="S327" s="27">
        <f>IF(K327="Válida",C327,"")</f>
        <v>0</v>
      </c>
      <c r="T327" s="27">
        <f>IF(K327="Válida",I327,"")</f>
        <v>0</v>
      </c>
      <c r="U327" s="27">
        <f>IF(K327="Válida",J327,"")</f>
        <v>0</v>
      </c>
    </row>
    <row r="328" spans="1:21">
      <c r="A328" s="25">
        <f>IF(MES!A328="","",MES!C328/48)</f>
        <v>0</v>
      </c>
      <c r="B328" s="26">
        <f>IF(A328="","",TEXT((N328*4+cfgDeslocamento)/48,"hh:mm")&amp;" a "&amp;TEXT(A328,"hh:mm"))</f>
        <v>0</v>
      </c>
      <c r="C328" s="27">
        <f>IF(A328="","",MES!B328)</f>
        <v>0</v>
      </c>
      <c r="D328" s="27">
        <f>IF(A328="","",IFERROR(AVERAGEIFS(Prensa!$B$2:$B$5001,Prensa!$E$2:$E$5001,N328,Prensa!$F$2:$F$5001,1,Prensa!$G$2:$G$5001,1),""))</f>
        <v>0</v>
      </c>
      <c r="E328" s="27">
        <f>IF(A328="","",IFERROR(AVERAGEIFS(Prensa!$B$2:$B$5001,Prensa!$E$2:$E$5001,N328,Prensa!$F$2:$F$5001,2,Prensa!$G$2:$G$5001,1),""))</f>
        <v>0</v>
      </c>
      <c r="F328" s="27">
        <f>IF(A328="","",IFERROR(AVERAGEIFS(Prensa!$B$2:$B$5001,Prensa!$E$2:$E$5001,N328,Prensa!$F$2:$F$5001,3,Prensa!$G$2:$G$5001,1),""))</f>
        <v>0</v>
      </c>
      <c r="G328" s="27">
        <f>IF(A328="","",IFERROR(AVERAGEIFS(Prensa!$B$2:$B$5001,Prensa!$E$2:$E$5001,N328,Prensa!$F$2:$F$5001,4,Prensa!$G$2:$G$5001,1),""))</f>
        <v>0</v>
      </c>
      <c r="H328" s="26">
        <f>IF(A328="","",COUNT(D328:G328))</f>
        <v>0</v>
      </c>
      <c r="I328" s="27">
        <f>IF(A328="","",IF(H328=0,"",AVERAGE(D328:G328)))</f>
        <v>0</v>
      </c>
      <c r="J328" s="27">
        <f>IF(OR(I328="",C328=""),"",I328-C328)</f>
        <v>0</v>
      </c>
      <c r="K328" s="26">
        <f>IF(A328="","",IF(MES!E328&lt;&gt;4,"Horário do MES fora do padrão",IF(H328&lt;cfgMinCortes,"Cortes insuficientes","Válida")))</f>
        <v>0</v>
      </c>
      <c r="L328" s="27">
        <f>IF(K328="Válida",ABS(J328),"")</f>
        <v>0</v>
      </c>
      <c r="M328" s="26">
        <f>IF(K328="Válida",IF(L328&lt;=cfgTolerancia,"Sim","Não"),"")</f>
        <v>0</v>
      </c>
      <c r="N328" s="26">
        <f>IF(A328="","",MES!D328)</f>
        <v>0</v>
      </c>
      <c r="O328" s="25">
        <f>IF(K328="Válida",A328,NA())</f>
        <v>0</v>
      </c>
      <c r="P328" s="27">
        <f>IF(K328="Válida",C328,NA())</f>
        <v>0</v>
      </c>
      <c r="Q328" s="27">
        <f>IF(K328="Válida",I328,NA())</f>
        <v>0</v>
      </c>
      <c r="R328" s="27">
        <f>IF(K328="Válida",J328,NA())</f>
        <v>0</v>
      </c>
      <c r="S328" s="27">
        <f>IF(K328="Válida",C328,"")</f>
        <v>0</v>
      </c>
      <c r="T328" s="27">
        <f>IF(K328="Válida",I328,"")</f>
        <v>0</v>
      </c>
      <c r="U328" s="27">
        <f>IF(K328="Válida",J328,"")</f>
        <v>0</v>
      </c>
    </row>
    <row r="329" spans="1:21">
      <c r="A329" s="25">
        <f>IF(MES!A329="","",MES!C329/48)</f>
        <v>0</v>
      </c>
      <c r="B329" s="26">
        <f>IF(A329="","",TEXT((N329*4+cfgDeslocamento)/48,"hh:mm")&amp;" a "&amp;TEXT(A329,"hh:mm"))</f>
        <v>0</v>
      </c>
      <c r="C329" s="27">
        <f>IF(A329="","",MES!B329)</f>
        <v>0</v>
      </c>
      <c r="D329" s="27">
        <f>IF(A329="","",IFERROR(AVERAGEIFS(Prensa!$B$2:$B$5001,Prensa!$E$2:$E$5001,N329,Prensa!$F$2:$F$5001,1,Prensa!$G$2:$G$5001,1),""))</f>
        <v>0</v>
      </c>
      <c r="E329" s="27">
        <f>IF(A329="","",IFERROR(AVERAGEIFS(Prensa!$B$2:$B$5001,Prensa!$E$2:$E$5001,N329,Prensa!$F$2:$F$5001,2,Prensa!$G$2:$G$5001,1),""))</f>
        <v>0</v>
      </c>
      <c r="F329" s="27">
        <f>IF(A329="","",IFERROR(AVERAGEIFS(Prensa!$B$2:$B$5001,Prensa!$E$2:$E$5001,N329,Prensa!$F$2:$F$5001,3,Prensa!$G$2:$G$5001,1),""))</f>
        <v>0</v>
      </c>
      <c r="G329" s="27">
        <f>IF(A329="","",IFERROR(AVERAGEIFS(Prensa!$B$2:$B$5001,Prensa!$E$2:$E$5001,N329,Prensa!$F$2:$F$5001,4,Prensa!$G$2:$G$5001,1),""))</f>
        <v>0</v>
      </c>
      <c r="H329" s="26">
        <f>IF(A329="","",COUNT(D329:G329))</f>
        <v>0</v>
      </c>
      <c r="I329" s="27">
        <f>IF(A329="","",IF(H329=0,"",AVERAGE(D329:G329)))</f>
        <v>0</v>
      </c>
      <c r="J329" s="27">
        <f>IF(OR(I329="",C329=""),"",I329-C329)</f>
        <v>0</v>
      </c>
      <c r="K329" s="26">
        <f>IF(A329="","",IF(MES!E329&lt;&gt;4,"Horário do MES fora do padrão",IF(H329&lt;cfgMinCortes,"Cortes insuficientes","Válida")))</f>
        <v>0</v>
      </c>
      <c r="L329" s="27">
        <f>IF(K329="Válida",ABS(J329),"")</f>
        <v>0</v>
      </c>
      <c r="M329" s="26">
        <f>IF(K329="Válida",IF(L329&lt;=cfgTolerancia,"Sim","Não"),"")</f>
        <v>0</v>
      </c>
      <c r="N329" s="26">
        <f>IF(A329="","",MES!D329)</f>
        <v>0</v>
      </c>
      <c r="O329" s="25">
        <f>IF(K329="Válida",A329,NA())</f>
        <v>0</v>
      </c>
      <c r="P329" s="27">
        <f>IF(K329="Válida",C329,NA())</f>
        <v>0</v>
      </c>
      <c r="Q329" s="27">
        <f>IF(K329="Válida",I329,NA())</f>
        <v>0</v>
      </c>
      <c r="R329" s="27">
        <f>IF(K329="Válida",J329,NA())</f>
        <v>0</v>
      </c>
      <c r="S329" s="27">
        <f>IF(K329="Válida",C329,"")</f>
        <v>0</v>
      </c>
      <c r="T329" s="27">
        <f>IF(K329="Válida",I329,"")</f>
        <v>0</v>
      </c>
      <c r="U329" s="27">
        <f>IF(K329="Válida",J329,"")</f>
        <v>0</v>
      </c>
    </row>
    <row r="330" spans="1:21">
      <c r="A330" s="25">
        <f>IF(MES!A330="","",MES!C330/48)</f>
        <v>0</v>
      </c>
      <c r="B330" s="26">
        <f>IF(A330="","",TEXT((N330*4+cfgDeslocamento)/48,"hh:mm")&amp;" a "&amp;TEXT(A330,"hh:mm"))</f>
        <v>0</v>
      </c>
      <c r="C330" s="27">
        <f>IF(A330="","",MES!B330)</f>
        <v>0</v>
      </c>
      <c r="D330" s="27">
        <f>IF(A330="","",IFERROR(AVERAGEIFS(Prensa!$B$2:$B$5001,Prensa!$E$2:$E$5001,N330,Prensa!$F$2:$F$5001,1,Prensa!$G$2:$G$5001,1),""))</f>
        <v>0</v>
      </c>
      <c r="E330" s="27">
        <f>IF(A330="","",IFERROR(AVERAGEIFS(Prensa!$B$2:$B$5001,Prensa!$E$2:$E$5001,N330,Prensa!$F$2:$F$5001,2,Prensa!$G$2:$G$5001,1),""))</f>
        <v>0</v>
      </c>
      <c r="F330" s="27">
        <f>IF(A330="","",IFERROR(AVERAGEIFS(Prensa!$B$2:$B$5001,Prensa!$E$2:$E$5001,N330,Prensa!$F$2:$F$5001,3,Prensa!$G$2:$G$5001,1),""))</f>
        <v>0</v>
      </c>
      <c r="G330" s="27">
        <f>IF(A330="","",IFERROR(AVERAGEIFS(Prensa!$B$2:$B$5001,Prensa!$E$2:$E$5001,N330,Prensa!$F$2:$F$5001,4,Prensa!$G$2:$G$5001,1),""))</f>
        <v>0</v>
      </c>
      <c r="H330" s="26">
        <f>IF(A330="","",COUNT(D330:G330))</f>
        <v>0</v>
      </c>
      <c r="I330" s="27">
        <f>IF(A330="","",IF(H330=0,"",AVERAGE(D330:G330)))</f>
        <v>0</v>
      </c>
      <c r="J330" s="27">
        <f>IF(OR(I330="",C330=""),"",I330-C330)</f>
        <v>0</v>
      </c>
      <c r="K330" s="26">
        <f>IF(A330="","",IF(MES!E330&lt;&gt;4,"Horário do MES fora do padrão",IF(H330&lt;cfgMinCortes,"Cortes insuficientes","Válida")))</f>
        <v>0</v>
      </c>
      <c r="L330" s="27">
        <f>IF(K330="Válida",ABS(J330),"")</f>
        <v>0</v>
      </c>
      <c r="M330" s="26">
        <f>IF(K330="Válida",IF(L330&lt;=cfgTolerancia,"Sim","Não"),"")</f>
        <v>0</v>
      </c>
      <c r="N330" s="26">
        <f>IF(A330="","",MES!D330)</f>
        <v>0</v>
      </c>
      <c r="O330" s="25">
        <f>IF(K330="Válida",A330,NA())</f>
        <v>0</v>
      </c>
      <c r="P330" s="27">
        <f>IF(K330="Válida",C330,NA())</f>
        <v>0</v>
      </c>
      <c r="Q330" s="27">
        <f>IF(K330="Válida",I330,NA())</f>
        <v>0</v>
      </c>
      <c r="R330" s="27">
        <f>IF(K330="Válida",J330,NA())</f>
        <v>0</v>
      </c>
      <c r="S330" s="27">
        <f>IF(K330="Válida",C330,"")</f>
        <v>0</v>
      </c>
      <c r="T330" s="27">
        <f>IF(K330="Válida",I330,"")</f>
        <v>0</v>
      </c>
      <c r="U330" s="27">
        <f>IF(K330="Válida",J330,"")</f>
        <v>0</v>
      </c>
    </row>
    <row r="331" spans="1:21">
      <c r="A331" s="25">
        <f>IF(MES!A331="","",MES!C331/48)</f>
        <v>0</v>
      </c>
      <c r="B331" s="26">
        <f>IF(A331="","",TEXT((N331*4+cfgDeslocamento)/48,"hh:mm")&amp;" a "&amp;TEXT(A331,"hh:mm"))</f>
        <v>0</v>
      </c>
      <c r="C331" s="27">
        <f>IF(A331="","",MES!B331)</f>
        <v>0</v>
      </c>
      <c r="D331" s="27">
        <f>IF(A331="","",IFERROR(AVERAGEIFS(Prensa!$B$2:$B$5001,Prensa!$E$2:$E$5001,N331,Prensa!$F$2:$F$5001,1,Prensa!$G$2:$G$5001,1),""))</f>
        <v>0</v>
      </c>
      <c r="E331" s="27">
        <f>IF(A331="","",IFERROR(AVERAGEIFS(Prensa!$B$2:$B$5001,Prensa!$E$2:$E$5001,N331,Prensa!$F$2:$F$5001,2,Prensa!$G$2:$G$5001,1),""))</f>
        <v>0</v>
      </c>
      <c r="F331" s="27">
        <f>IF(A331="","",IFERROR(AVERAGEIFS(Prensa!$B$2:$B$5001,Prensa!$E$2:$E$5001,N331,Prensa!$F$2:$F$5001,3,Prensa!$G$2:$G$5001,1),""))</f>
        <v>0</v>
      </c>
      <c r="G331" s="27">
        <f>IF(A331="","",IFERROR(AVERAGEIFS(Prensa!$B$2:$B$5001,Prensa!$E$2:$E$5001,N331,Prensa!$F$2:$F$5001,4,Prensa!$G$2:$G$5001,1),""))</f>
        <v>0</v>
      </c>
      <c r="H331" s="26">
        <f>IF(A331="","",COUNT(D331:G331))</f>
        <v>0</v>
      </c>
      <c r="I331" s="27">
        <f>IF(A331="","",IF(H331=0,"",AVERAGE(D331:G331)))</f>
        <v>0</v>
      </c>
      <c r="J331" s="27">
        <f>IF(OR(I331="",C331=""),"",I331-C331)</f>
        <v>0</v>
      </c>
      <c r="K331" s="26">
        <f>IF(A331="","",IF(MES!E331&lt;&gt;4,"Horário do MES fora do padrão",IF(H331&lt;cfgMinCortes,"Cortes insuficientes","Válida")))</f>
        <v>0</v>
      </c>
      <c r="L331" s="27">
        <f>IF(K331="Válida",ABS(J331),"")</f>
        <v>0</v>
      </c>
      <c r="M331" s="26">
        <f>IF(K331="Válida",IF(L331&lt;=cfgTolerancia,"Sim","Não"),"")</f>
        <v>0</v>
      </c>
      <c r="N331" s="26">
        <f>IF(A331="","",MES!D331)</f>
        <v>0</v>
      </c>
      <c r="O331" s="25">
        <f>IF(K331="Válida",A331,NA())</f>
        <v>0</v>
      </c>
      <c r="P331" s="27">
        <f>IF(K331="Válida",C331,NA())</f>
        <v>0</v>
      </c>
      <c r="Q331" s="27">
        <f>IF(K331="Válida",I331,NA())</f>
        <v>0</v>
      </c>
      <c r="R331" s="27">
        <f>IF(K331="Válida",J331,NA())</f>
        <v>0</v>
      </c>
      <c r="S331" s="27">
        <f>IF(K331="Válida",C331,"")</f>
        <v>0</v>
      </c>
      <c r="T331" s="27">
        <f>IF(K331="Válida",I331,"")</f>
        <v>0</v>
      </c>
      <c r="U331" s="27">
        <f>IF(K331="Válida",J331,"")</f>
        <v>0</v>
      </c>
    </row>
    <row r="332" spans="1:21">
      <c r="A332" s="25">
        <f>IF(MES!A332="","",MES!C332/48)</f>
        <v>0</v>
      </c>
      <c r="B332" s="26">
        <f>IF(A332="","",TEXT((N332*4+cfgDeslocamento)/48,"hh:mm")&amp;" a "&amp;TEXT(A332,"hh:mm"))</f>
        <v>0</v>
      </c>
      <c r="C332" s="27">
        <f>IF(A332="","",MES!B332)</f>
        <v>0</v>
      </c>
      <c r="D332" s="27">
        <f>IF(A332="","",IFERROR(AVERAGEIFS(Prensa!$B$2:$B$5001,Prensa!$E$2:$E$5001,N332,Prensa!$F$2:$F$5001,1,Prensa!$G$2:$G$5001,1),""))</f>
        <v>0</v>
      </c>
      <c r="E332" s="27">
        <f>IF(A332="","",IFERROR(AVERAGEIFS(Prensa!$B$2:$B$5001,Prensa!$E$2:$E$5001,N332,Prensa!$F$2:$F$5001,2,Prensa!$G$2:$G$5001,1),""))</f>
        <v>0</v>
      </c>
      <c r="F332" s="27">
        <f>IF(A332="","",IFERROR(AVERAGEIFS(Prensa!$B$2:$B$5001,Prensa!$E$2:$E$5001,N332,Prensa!$F$2:$F$5001,3,Prensa!$G$2:$G$5001,1),""))</f>
        <v>0</v>
      </c>
      <c r="G332" s="27">
        <f>IF(A332="","",IFERROR(AVERAGEIFS(Prensa!$B$2:$B$5001,Prensa!$E$2:$E$5001,N332,Prensa!$F$2:$F$5001,4,Prensa!$G$2:$G$5001,1),""))</f>
        <v>0</v>
      </c>
      <c r="H332" s="26">
        <f>IF(A332="","",COUNT(D332:G332))</f>
        <v>0</v>
      </c>
      <c r="I332" s="27">
        <f>IF(A332="","",IF(H332=0,"",AVERAGE(D332:G332)))</f>
        <v>0</v>
      </c>
      <c r="J332" s="27">
        <f>IF(OR(I332="",C332=""),"",I332-C332)</f>
        <v>0</v>
      </c>
      <c r="K332" s="26">
        <f>IF(A332="","",IF(MES!E332&lt;&gt;4,"Horário do MES fora do padrão",IF(H332&lt;cfgMinCortes,"Cortes insuficientes","Válida")))</f>
        <v>0</v>
      </c>
      <c r="L332" s="27">
        <f>IF(K332="Válida",ABS(J332),"")</f>
        <v>0</v>
      </c>
      <c r="M332" s="26">
        <f>IF(K332="Válida",IF(L332&lt;=cfgTolerancia,"Sim","Não"),"")</f>
        <v>0</v>
      </c>
      <c r="N332" s="26">
        <f>IF(A332="","",MES!D332)</f>
        <v>0</v>
      </c>
      <c r="O332" s="25">
        <f>IF(K332="Válida",A332,NA())</f>
        <v>0</v>
      </c>
      <c r="P332" s="27">
        <f>IF(K332="Válida",C332,NA())</f>
        <v>0</v>
      </c>
      <c r="Q332" s="27">
        <f>IF(K332="Válida",I332,NA())</f>
        <v>0</v>
      </c>
      <c r="R332" s="27">
        <f>IF(K332="Válida",J332,NA())</f>
        <v>0</v>
      </c>
      <c r="S332" s="27">
        <f>IF(K332="Válida",C332,"")</f>
        <v>0</v>
      </c>
      <c r="T332" s="27">
        <f>IF(K332="Válida",I332,"")</f>
        <v>0</v>
      </c>
      <c r="U332" s="27">
        <f>IF(K332="Válida",J332,"")</f>
        <v>0</v>
      </c>
    </row>
    <row r="333" spans="1:21">
      <c r="A333" s="25">
        <f>IF(MES!A333="","",MES!C333/48)</f>
        <v>0</v>
      </c>
      <c r="B333" s="26">
        <f>IF(A333="","",TEXT((N333*4+cfgDeslocamento)/48,"hh:mm")&amp;" a "&amp;TEXT(A333,"hh:mm"))</f>
        <v>0</v>
      </c>
      <c r="C333" s="27">
        <f>IF(A333="","",MES!B333)</f>
        <v>0</v>
      </c>
      <c r="D333" s="27">
        <f>IF(A333="","",IFERROR(AVERAGEIFS(Prensa!$B$2:$B$5001,Prensa!$E$2:$E$5001,N333,Prensa!$F$2:$F$5001,1,Prensa!$G$2:$G$5001,1),""))</f>
        <v>0</v>
      </c>
      <c r="E333" s="27">
        <f>IF(A333="","",IFERROR(AVERAGEIFS(Prensa!$B$2:$B$5001,Prensa!$E$2:$E$5001,N333,Prensa!$F$2:$F$5001,2,Prensa!$G$2:$G$5001,1),""))</f>
        <v>0</v>
      </c>
      <c r="F333" s="27">
        <f>IF(A333="","",IFERROR(AVERAGEIFS(Prensa!$B$2:$B$5001,Prensa!$E$2:$E$5001,N333,Prensa!$F$2:$F$5001,3,Prensa!$G$2:$G$5001,1),""))</f>
        <v>0</v>
      </c>
      <c r="G333" s="27">
        <f>IF(A333="","",IFERROR(AVERAGEIFS(Prensa!$B$2:$B$5001,Prensa!$E$2:$E$5001,N333,Prensa!$F$2:$F$5001,4,Prensa!$G$2:$G$5001,1),""))</f>
        <v>0</v>
      </c>
      <c r="H333" s="26">
        <f>IF(A333="","",COUNT(D333:G333))</f>
        <v>0</v>
      </c>
      <c r="I333" s="27">
        <f>IF(A333="","",IF(H333=0,"",AVERAGE(D333:G333)))</f>
        <v>0</v>
      </c>
      <c r="J333" s="27">
        <f>IF(OR(I333="",C333=""),"",I333-C333)</f>
        <v>0</v>
      </c>
      <c r="K333" s="26">
        <f>IF(A333="","",IF(MES!E333&lt;&gt;4,"Horário do MES fora do padrão",IF(H333&lt;cfgMinCortes,"Cortes insuficientes","Válida")))</f>
        <v>0</v>
      </c>
      <c r="L333" s="27">
        <f>IF(K333="Válida",ABS(J333),"")</f>
        <v>0</v>
      </c>
      <c r="M333" s="26">
        <f>IF(K333="Válida",IF(L333&lt;=cfgTolerancia,"Sim","Não"),"")</f>
        <v>0</v>
      </c>
      <c r="N333" s="26">
        <f>IF(A333="","",MES!D333)</f>
        <v>0</v>
      </c>
      <c r="O333" s="25">
        <f>IF(K333="Válida",A333,NA())</f>
        <v>0</v>
      </c>
      <c r="P333" s="27">
        <f>IF(K333="Válida",C333,NA())</f>
        <v>0</v>
      </c>
      <c r="Q333" s="27">
        <f>IF(K333="Válida",I333,NA())</f>
        <v>0</v>
      </c>
      <c r="R333" s="27">
        <f>IF(K333="Válida",J333,NA())</f>
        <v>0</v>
      </c>
      <c r="S333" s="27">
        <f>IF(K333="Válida",C333,"")</f>
        <v>0</v>
      </c>
      <c r="T333" s="27">
        <f>IF(K333="Válida",I333,"")</f>
        <v>0</v>
      </c>
      <c r="U333" s="27">
        <f>IF(K333="Válida",J333,"")</f>
        <v>0</v>
      </c>
    </row>
    <row r="334" spans="1:21">
      <c r="A334" s="25">
        <f>IF(MES!A334="","",MES!C334/48)</f>
        <v>0</v>
      </c>
      <c r="B334" s="26">
        <f>IF(A334="","",TEXT((N334*4+cfgDeslocamento)/48,"hh:mm")&amp;" a "&amp;TEXT(A334,"hh:mm"))</f>
        <v>0</v>
      </c>
      <c r="C334" s="27">
        <f>IF(A334="","",MES!B334)</f>
        <v>0</v>
      </c>
      <c r="D334" s="27">
        <f>IF(A334="","",IFERROR(AVERAGEIFS(Prensa!$B$2:$B$5001,Prensa!$E$2:$E$5001,N334,Prensa!$F$2:$F$5001,1,Prensa!$G$2:$G$5001,1),""))</f>
        <v>0</v>
      </c>
      <c r="E334" s="27">
        <f>IF(A334="","",IFERROR(AVERAGEIFS(Prensa!$B$2:$B$5001,Prensa!$E$2:$E$5001,N334,Prensa!$F$2:$F$5001,2,Prensa!$G$2:$G$5001,1),""))</f>
        <v>0</v>
      </c>
      <c r="F334" s="27">
        <f>IF(A334="","",IFERROR(AVERAGEIFS(Prensa!$B$2:$B$5001,Prensa!$E$2:$E$5001,N334,Prensa!$F$2:$F$5001,3,Prensa!$G$2:$G$5001,1),""))</f>
        <v>0</v>
      </c>
      <c r="G334" s="27">
        <f>IF(A334="","",IFERROR(AVERAGEIFS(Prensa!$B$2:$B$5001,Prensa!$E$2:$E$5001,N334,Prensa!$F$2:$F$5001,4,Prensa!$G$2:$G$5001,1),""))</f>
        <v>0</v>
      </c>
      <c r="H334" s="26">
        <f>IF(A334="","",COUNT(D334:G334))</f>
        <v>0</v>
      </c>
      <c r="I334" s="27">
        <f>IF(A334="","",IF(H334=0,"",AVERAGE(D334:G334)))</f>
        <v>0</v>
      </c>
      <c r="J334" s="27">
        <f>IF(OR(I334="",C334=""),"",I334-C334)</f>
        <v>0</v>
      </c>
      <c r="K334" s="26">
        <f>IF(A334="","",IF(MES!E334&lt;&gt;4,"Horário do MES fora do padrão",IF(H334&lt;cfgMinCortes,"Cortes insuficientes","Válida")))</f>
        <v>0</v>
      </c>
      <c r="L334" s="27">
        <f>IF(K334="Válida",ABS(J334),"")</f>
        <v>0</v>
      </c>
      <c r="M334" s="26">
        <f>IF(K334="Válida",IF(L334&lt;=cfgTolerancia,"Sim","Não"),"")</f>
        <v>0</v>
      </c>
      <c r="N334" s="26">
        <f>IF(A334="","",MES!D334)</f>
        <v>0</v>
      </c>
      <c r="O334" s="25">
        <f>IF(K334="Válida",A334,NA())</f>
        <v>0</v>
      </c>
      <c r="P334" s="27">
        <f>IF(K334="Válida",C334,NA())</f>
        <v>0</v>
      </c>
      <c r="Q334" s="27">
        <f>IF(K334="Válida",I334,NA())</f>
        <v>0</v>
      </c>
      <c r="R334" s="27">
        <f>IF(K334="Válida",J334,NA())</f>
        <v>0</v>
      </c>
      <c r="S334" s="27">
        <f>IF(K334="Válida",C334,"")</f>
        <v>0</v>
      </c>
      <c r="T334" s="27">
        <f>IF(K334="Válida",I334,"")</f>
        <v>0</v>
      </c>
      <c r="U334" s="27">
        <f>IF(K334="Válida",J334,"")</f>
        <v>0</v>
      </c>
    </row>
    <row r="335" spans="1:21">
      <c r="A335" s="25">
        <f>IF(MES!A335="","",MES!C335/48)</f>
        <v>0</v>
      </c>
      <c r="B335" s="26">
        <f>IF(A335="","",TEXT((N335*4+cfgDeslocamento)/48,"hh:mm")&amp;" a "&amp;TEXT(A335,"hh:mm"))</f>
        <v>0</v>
      </c>
      <c r="C335" s="27">
        <f>IF(A335="","",MES!B335)</f>
        <v>0</v>
      </c>
      <c r="D335" s="27">
        <f>IF(A335="","",IFERROR(AVERAGEIFS(Prensa!$B$2:$B$5001,Prensa!$E$2:$E$5001,N335,Prensa!$F$2:$F$5001,1,Prensa!$G$2:$G$5001,1),""))</f>
        <v>0</v>
      </c>
      <c r="E335" s="27">
        <f>IF(A335="","",IFERROR(AVERAGEIFS(Prensa!$B$2:$B$5001,Prensa!$E$2:$E$5001,N335,Prensa!$F$2:$F$5001,2,Prensa!$G$2:$G$5001,1),""))</f>
        <v>0</v>
      </c>
      <c r="F335" s="27">
        <f>IF(A335="","",IFERROR(AVERAGEIFS(Prensa!$B$2:$B$5001,Prensa!$E$2:$E$5001,N335,Prensa!$F$2:$F$5001,3,Prensa!$G$2:$G$5001,1),""))</f>
        <v>0</v>
      </c>
      <c r="G335" s="27">
        <f>IF(A335="","",IFERROR(AVERAGEIFS(Prensa!$B$2:$B$5001,Prensa!$E$2:$E$5001,N335,Prensa!$F$2:$F$5001,4,Prensa!$G$2:$G$5001,1),""))</f>
        <v>0</v>
      </c>
      <c r="H335" s="26">
        <f>IF(A335="","",COUNT(D335:G335))</f>
        <v>0</v>
      </c>
      <c r="I335" s="27">
        <f>IF(A335="","",IF(H335=0,"",AVERAGE(D335:G335)))</f>
        <v>0</v>
      </c>
      <c r="J335" s="27">
        <f>IF(OR(I335="",C335=""),"",I335-C335)</f>
        <v>0</v>
      </c>
      <c r="K335" s="26">
        <f>IF(A335="","",IF(MES!E335&lt;&gt;4,"Horário do MES fora do padrão",IF(H335&lt;cfgMinCortes,"Cortes insuficientes","Válida")))</f>
        <v>0</v>
      </c>
      <c r="L335" s="27">
        <f>IF(K335="Válida",ABS(J335),"")</f>
        <v>0</v>
      </c>
      <c r="M335" s="26">
        <f>IF(K335="Válida",IF(L335&lt;=cfgTolerancia,"Sim","Não"),"")</f>
        <v>0</v>
      </c>
      <c r="N335" s="26">
        <f>IF(A335="","",MES!D335)</f>
        <v>0</v>
      </c>
      <c r="O335" s="25">
        <f>IF(K335="Válida",A335,NA())</f>
        <v>0</v>
      </c>
      <c r="P335" s="27">
        <f>IF(K335="Válida",C335,NA())</f>
        <v>0</v>
      </c>
      <c r="Q335" s="27">
        <f>IF(K335="Válida",I335,NA())</f>
        <v>0</v>
      </c>
      <c r="R335" s="27">
        <f>IF(K335="Válida",J335,NA())</f>
        <v>0</v>
      </c>
      <c r="S335" s="27">
        <f>IF(K335="Válida",C335,"")</f>
        <v>0</v>
      </c>
      <c r="T335" s="27">
        <f>IF(K335="Válida",I335,"")</f>
        <v>0</v>
      </c>
      <c r="U335" s="27">
        <f>IF(K335="Válida",J335,"")</f>
        <v>0</v>
      </c>
    </row>
    <row r="336" spans="1:21">
      <c r="A336" s="25">
        <f>IF(MES!A336="","",MES!C336/48)</f>
        <v>0</v>
      </c>
      <c r="B336" s="26">
        <f>IF(A336="","",TEXT((N336*4+cfgDeslocamento)/48,"hh:mm")&amp;" a "&amp;TEXT(A336,"hh:mm"))</f>
        <v>0</v>
      </c>
      <c r="C336" s="27">
        <f>IF(A336="","",MES!B336)</f>
        <v>0</v>
      </c>
      <c r="D336" s="27">
        <f>IF(A336="","",IFERROR(AVERAGEIFS(Prensa!$B$2:$B$5001,Prensa!$E$2:$E$5001,N336,Prensa!$F$2:$F$5001,1,Prensa!$G$2:$G$5001,1),""))</f>
        <v>0</v>
      </c>
      <c r="E336" s="27">
        <f>IF(A336="","",IFERROR(AVERAGEIFS(Prensa!$B$2:$B$5001,Prensa!$E$2:$E$5001,N336,Prensa!$F$2:$F$5001,2,Prensa!$G$2:$G$5001,1),""))</f>
        <v>0</v>
      </c>
      <c r="F336" s="27">
        <f>IF(A336="","",IFERROR(AVERAGEIFS(Prensa!$B$2:$B$5001,Prensa!$E$2:$E$5001,N336,Prensa!$F$2:$F$5001,3,Prensa!$G$2:$G$5001,1),""))</f>
        <v>0</v>
      </c>
      <c r="G336" s="27">
        <f>IF(A336="","",IFERROR(AVERAGEIFS(Prensa!$B$2:$B$5001,Prensa!$E$2:$E$5001,N336,Prensa!$F$2:$F$5001,4,Prensa!$G$2:$G$5001,1),""))</f>
        <v>0</v>
      </c>
      <c r="H336" s="26">
        <f>IF(A336="","",COUNT(D336:G336))</f>
        <v>0</v>
      </c>
      <c r="I336" s="27">
        <f>IF(A336="","",IF(H336=0,"",AVERAGE(D336:G336)))</f>
        <v>0</v>
      </c>
      <c r="J336" s="27">
        <f>IF(OR(I336="",C336=""),"",I336-C336)</f>
        <v>0</v>
      </c>
      <c r="K336" s="26">
        <f>IF(A336="","",IF(MES!E336&lt;&gt;4,"Horário do MES fora do padrão",IF(H336&lt;cfgMinCortes,"Cortes insuficientes","Válida")))</f>
        <v>0</v>
      </c>
      <c r="L336" s="27">
        <f>IF(K336="Válida",ABS(J336),"")</f>
        <v>0</v>
      </c>
      <c r="M336" s="26">
        <f>IF(K336="Válida",IF(L336&lt;=cfgTolerancia,"Sim","Não"),"")</f>
        <v>0</v>
      </c>
      <c r="N336" s="26">
        <f>IF(A336="","",MES!D336)</f>
        <v>0</v>
      </c>
      <c r="O336" s="25">
        <f>IF(K336="Válida",A336,NA())</f>
        <v>0</v>
      </c>
      <c r="P336" s="27">
        <f>IF(K336="Válida",C336,NA())</f>
        <v>0</v>
      </c>
      <c r="Q336" s="27">
        <f>IF(K336="Válida",I336,NA())</f>
        <v>0</v>
      </c>
      <c r="R336" s="27">
        <f>IF(K336="Válida",J336,NA())</f>
        <v>0</v>
      </c>
      <c r="S336" s="27">
        <f>IF(K336="Válida",C336,"")</f>
        <v>0</v>
      </c>
      <c r="T336" s="27">
        <f>IF(K336="Válida",I336,"")</f>
        <v>0</v>
      </c>
      <c r="U336" s="27">
        <f>IF(K336="Válida",J336,"")</f>
        <v>0</v>
      </c>
    </row>
    <row r="337" spans="1:21">
      <c r="A337" s="25">
        <f>IF(MES!A337="","",MES!C337/48)</f>
        <v>0</v>
      </c>
      <c r="B337" s="26">
        <f>IF(A337="","",TEXT((N337*4+cfgDeslocamento)/48,"hh:mm")&amp;" a "&amp;TEXT(A337,"hh:mm"))</f>
        <v>0</v>
      </c>
      <c r="C337" s="27">
        <f>IF(A337="","",MES!B337)</f>
        <v>0</v>
      </c>
      <c r="D337" s="27">
        <f>IF(A337="","",IFERROR(AVERAGEIFS(Prensa!$B$2:$B$5001,Prensa!$E$2:$E$5001,N337,Prensa!$F$2:$F$5001,1,Prensa!$G$2:$G$5001,1),""))</f>
        <v>0</v>
      </c>
      <c r="E337" s="27">
        <f>IF(A337="","",IFERROR(AVERAGEIFS(Prensa!$B$2:$B$5001,Prensa!$E$2:$E$5001,N337,Prensa!$F$2:$F$5001,2,Prensa!$G$2:$G$5001,1),""))</f>
        <v>0</v>
      </c>
      <c r="F337" s="27">
        <f>IF(A337="","",IFERROR(AVERAGEIFS(Prensa!$B$2:$B$5001,Prensa!$E$2:$E$5001,N337,Prensa!$F$2:$F$5001,3,Prensa!$G$2:$G$5001,1),""))</f>
        <v>0</v>
      </c>
      <c r="G337" s="27">
        <f>IF(A337="","",IFERROR(AVERAGEIFS(Prensa!$B$2:$B$5001,Prensa!$E$2:$E$5001,N337,Prensa!$F$2:$F$5001,4,Prensa!$G$2:$G$5001,1),""))</f>
        <v>0</v>
      </c>
      <c r="H337" s="26">
        <f>IF(A337="","",COUNT(D337:G337))</f>
        <v>0</v>
      </c>
      <c r="I337" s="27">
        <f>IF(A337="","",IF(H337=0,"",AVERAGE(D337:G337)))</f>
        <v>0</v>
      </c>
      <c r="J337" s="27">
        <f>IF(OR(I337="",C337=""),"",I337-C337)</f>
        <v>0</v>
      </c>
      <c r="K337" s="26">
        <f>IF(A337="","",IF(MES!E337&lt;&gt;4,"Horário do MES fora do padrão",IF(H337&lt;cfgMinCortes,"Cortes insuficientes","Válida")))</f>
        <v>0</v>
      </c>
      <c r="L337" s="27">
        <f>IF(K337="Válida",ABS(J337),"")</f>
        <v>0</v>
      </c>
      <c r="M337" s="26">
        <f>IF(K337="Válida",IF(L337&lt;=cfgTolerancia,"Sim","Não"),"")</f>
        <v>0</v>
      </c>
      <c r="N337" s="26">
        <f>IF(A337="","",MES!D337)</f>
        <v>0</v>
      </c>
      <c r="O337" s="25">
        <f>IF(K337="Válida",A337,NA())</f>
        <v>0</v>
      </c>
      <c r="P337" s="27">
        <f>IF(K337="Válida",C337,NA())</f>
        <v>0</v>
      </c>
      <c r="Q337" s="27">
        <f>IF(K337="Válida",I337,NA())</f>
        <v>0</v>
      </c>
      <c r="R337" s="27">
        <f>IF(K337="Válida",J337,NA())</f>
        <v>0</v>
      </c>
      <c r="S337" s="27">
        <f>IF(K337="Válida",C337,"")</f>
        <v>0</v>
      </c>
      <c r="T337" s="27">
        <f>IF(K337="Válida",I337,"")</f>
        <v>0</v>
      </c>
      <c r="U337" s="27">
        <f>IF(K337="Válida",J337,"")</f>
        <v>0</v>
      </c>
    </row>
    <row r="338" spans="1:21">
      <c r="A338" s="25">
        <f>IF(MES!A338="","",MES!C338/48)</f>
        <v>0</v>
      </c>
      <c r="B338" s="26">
        <f>IF(A338="","",TEXT((N338*4+cfgDeslocamento)/48,"hh:mm")&amp;" a "&amp;TEXT(A338,"hh:mm"))</f>
        <v>0</v>
      </c>
      <c r="C338" s="27">
        <f>IF(A338="","",MES!B338)</f>
        <v>0</v>
      </c>
      <c r="D338" s="27">
        <f>IF(A338="","",IFERROR(AVERAGEIFS(Prensa!$B$2:$B$5001,Prensa!$E$2:$E$5001,N338,Prensa!$F$2:$F$5001,1,Prensa!$G$2:$G$5001,1),""))</f>
        <v>0</v>
      </c>
      <c r="E338" s="27">
        <f>IF(A338="","",IFERROR(AVERAGEIFS(Prensa!$B$2:$B$5001,Prensa!$E$2:$E$5001,N338,Prensa!$F$2:$F$5001,2,Prensa!$G$2:$G$5001,1),""))</f>
        <v>0</v>
      </c>
      <c r="F338" s="27">
        <f>IF(A338="","",IFERROR(AVERAGEIFS(Prensa!$B$2:$B$5001,Prensa!$E$2:$E$5001,N338,Prensa!$F$2:$F$5001,3,Prensa!$G$2:$G$5001,1),""))</f>
        <v>0</v>
      </c>
      <c r="G338" s="27">
        <f>IF(A338="","",IFERROR(AVERAGEIFS(Prensa!$B$2:$B$5001,Prensa!$E$2:$E$5001,N338,Prensa!$F$2:$F$5001,4,Prensa!$G$2:$G$5001,1),""))</f>
        <v>0</v>
      </c>
      <c r="H338" s="26">
        <f>IF(A338="","",COUNT(D338:G338))</f>
        <v>0</v>
      </c>
      <c r="I338" s="27">
        <f>IF(A338="","",IF(H338=0,"",AVERAGE(D338:G338)))</f>
        <v>0</v>
      </c>
      <c r="J338" s="27">
        <f>IF(OR(I338="",C338=""),"",I338-C338)</f>
        <v>0</v>
      </c>
      <c r="K338" s="26">
        <f>IF(A338="","",IF(MES!E338&lt;&gt;4,"Horário do MES fora do padrão",IF(H338&lt;cfgMinCortes,"Cortes insuficientes","Válida")))</f>
        <v>0</v>
      </c>
      <c r="L338" s="27">
        <f>IF(K338="Válida",ABS(J338),"")</f>
        <v>0</v>
      </c>
      <c r="M338" s="26">
        <f>IF(K338="Válida",IF(L338&lt;=cfgTolerancia,"Sim","Não"),"")</f>
        <v>0</v>
      </c>
      <c r="N338" s="26">
        <f>IF(A338="","",MES!D338)</f>
        <v>0</v>
      </c>
      <c r="O338" s="25">
        <f>IF(K338="Válida",A338,NA())</f>
        <v>0</v>
      </c>
      <c r="P338" s="27">
        <f>IF(K338="Válida",C338,NA())</f>
        <v>0</v>
      </c>
      <c r="Q338" s="27">
        <f>IF(K338="Válida",I338,NA())</f>
        <v>0</v>
      </c>
      <c r="R338" s="27">
        <f>IF(K338="Válida",J338,NA())</f>
        <v>0</v>
      </c>
      <c r="S338" s="27">
        <f>IF(K338="Válida",C338,"")</f>
        <v>0</v>
      </c>
      <c r="T338" s="27">
        <f>IF(K338="Válida",I338,"")</f>
        <v>0</v>
      </c>
      <c r="U338" s="27">
        <f>IF(K338="Válida",J338,"")</f>
        <v>0</v>
      </c>
    </row>
    <row r="339" spans="1:21">
      <c r="A339" s="25">
        <f>IF(MES!A339="","",MES!C339/48)</f>
        <v>0</v>
      </c>
      <c r="B339" s="26">
        <f>IF(A339="","",TEXT((N339*4+cfgDeslocamento)/48,"hh:mm")&amp;" a "&amp;TEXT(A339,"hh:mm"))</f>
        <v>0</v>
      </c>
      <c r="C339" s="27">
        <f>IF(A339="","",MES!B339)</f>
        <v>0</v>
      </c>
      <c r="D339" s="27">
        <f>IF(A339="","",IFERROR(AVERAGEIFS(Prensa!$B$2:$B$5001,Prensa!$E$2:$E$5001,N339,Prensa!$F$2:$F$5001,1,Prensa!$G$2:$G$5001,1),""))</f>
        <v>0</v>
      </c>
      <c r="E339" s="27">
        <f>IF(A339="","",IFERROR(AVERAGEIFS(Prensa!$B$2:$B$5001,Prensa!$E$2:$E$5001,N339,Prensa!$F$2:$F$5001,2,Prensa!$G$2:$G$5001,1),""))</f>
        <v>0</v>
      </c>
      <c r="F339" s="27">
        <f>IF(A339="","",IFERROR(AVERAGEIFS(Prensa!$B$2:$B$5001,Prensa!$E$2:$E$5001,N339,Prensa!$F$2:$F$5001,3,Prensa!$G$2:$G$5001,1),""))</f>
        <v>0</v>
      </c>
      <c r="G339" s="27">
        <f>IF(A339="","",IFERROR(AVERAGEIFS(Prensa!$B$2:$B$5001,Prensa!$E$2:$E$5001,N339,Prensa!$F$2:$F$5001,4,Prensa!$G$2:$G$5001,1),""))</f>
        <v>0</v>
      </c>
      <c r="H339" s="26">
        <f>IF(A339="","",COUNT(D339:G339))</f>
        <v>0</v>
      </c>
      <c r="I339" s="27">
        <f>IF(A339="","",IF(H339=0,"",AVERAGE(D339:G339)))</f>
        <v>0</v>
      </c>
      <c r="J339" s="27">
        <f>IF(OR(I339="",C339=""),"",I339-C339)</f>
        <v>0</v>
      </c>
      <c r="K339" s="26">
        <f>IF(A339="","",IF(MES!E339&lt;&gt;4,"Horário do MES fora do padrão",IF(H339&lt;cfgMinCortes,"Cortes insuficientes","Válida")))</f>
        <v>0</v>
      </c>
      <c r="L339" s="27">
        <f>IF(K339="Válida",ABS(J339),"")</f>
        <v>0</v>
      </c>
      <c r="M339" s="26">
        <f>IF(K339="Válida",IF(L339&lt;=cfgTolerancia,"Sim","Não"),"")</f>
        <v>0</v>
      </c>
      <c r="N339" s="26">
        <f>IF(A339="","",MES!D339)</f>
        <v>0</v>
      </c>
      <c r="O339" s="25">
        <f>IF(K339="Válida",A339,NA())</f>
        <v>0</v>
      </c>
      <c r="P339" s="27">
        <f>IF(K339="Válida",C339,NA())</f>
        <v>0</v>
      </c>
      <c r="Q339" s="27">
        <f>IF(K339="Válida",I339,NA())</f>
        <v>0</v>
      </c>
      <c r="R339" s="27">
        <f>IF(K339="Válida",J339,NA())</f>
        <v>0</v>
      </c>
      <c r="S339" s="27">
        <f>IF(K339="Válida",C339,"")</f>
        <v>0</v>
      </c>
      <c r="T339" s="27">
        <f>IF(K339="Válida",I339,"")</f>
        <v>0</v>
      </c>
      <c r="U339" s="27">
        <f>IF(K339="Válida",J339,"")</f>
        <v>0</v>
      </c>
    </row>
    <row r="340" spans="1:21">
      <c r="A340" s="25">
        <f>IF(MES!A340="","",MES!C340/48)</f>
        <v>0</v>
      </c>
      <c r="B340" s="26">
        <f>IF(A340="","",TEXT((N340*4+cfgDeslocamento)/48,"hh:mm")&amp;" a "&amp;TEXT(A340,"hh:mm"))</f>
        <v>0</v>
      </c>
      <c r="C340" s="27">
        <f>IF(A340="","",MES!B340)</f>
        <v>0</v>
      </c>
      <c r="D340" s="27">
        <f>IF(A340="","",IFERROR(AVERAGEIFS(Prensa!$B$2:$B$5001,Prensa!$E$2:$E$5001,N340,Prensa!$F$2:$F$5001,1,Prensa!$G$2:$G$5001,1),""))</f>
        <v>0</v>
      </c>
      <c r="E340" s="27">
        <f>IF(A340="","",IFERROR(AVERAGEIFS(Prensa!$B$2:$B$5001,Prensa!$E$2:$E$5001,N340,Prensa!$F$2:$F$5001,2,Prensa!$G$2:$G$5001,1),""))</f>
        <v>0</v>
      </c>
      <c r="F340" s="27">
        <f>IF(A340="","",IFERROR(AVERAGEIFS(Prensa!$B$2:$B$5001,Prensa!$E$2:$E$5001,N340,Prensa!$F$2:$F$5001,3,Prensa!$G$2:$G$5001,1),""))</f>
        <v>0</v>
      </c>
      <c r="G340" s="27">
        <f>IF(A340="","",IFERROR(AVERAGEIFS(Prensa!$B$2:$B$5001,Prensa!$E$2:$E$5001,N340,Prensa!$F$2:$F$5001,4,Prensa!$G$2:$G$5001,1),""))</f>
        <v>0</v>
      </c>
      <c r="H340" s="26">
        <f>IF(A340="","",COUNT(D340:G340))</f>
        <v>0</v>
      </c>
      <c r="I340" s="27">
        <f>IF(A340="","",IF(H340=0,"",AVERAGE(D340:G340)))</f>
        <v>0</v>
      </c>
      <c r="J340" s="27">
        <f>IF(OR(I340="",C340=""),"",I340-C340)</f>
        <v>0</v>
      </c>
      <c r="K340" s="26">
        <f>IF(A340="","",IF(MES!E340&lt;&gt;4,"Horário do MES fora do padrão",IF(H340&lt;cfgMinCortes,"Cortes insuficientes","Válida")))</f>
        <v>0</v>
      </c>
      <c r="L340" s="27">
        <f>IF(K340="Válida",ABS(J340),"")</f>
        <v>0</v>
      </c>
      <c r="M340" s="26">
        <f>IF(K340="Válida",IF(L340&lt;=cfgTolerancia,"Sim","Não"),"")</f>
        <v>0</v>
      </c>
      <c r="N340" s="26">
        <f>IF(A340="","",MES!D340)</f>
        <v>0</v>
      </c>
      <c r="O340" s="25">
        <f>IF(K340="Válida",A340,NA())</f>
        <v>0</v>
      </c>
      <c r="P340" s="27">
        <f>IF(K340="Válida",C340,NA())</f>
        <v>0</v>
      </c>
      <c r="Q340" s="27">
        <f>IF(K340="Válida",I340,NA())</f>
        <v>0</v>
      </c>
      <c r="R340" s="27">
        <f>IF(K340="Válida",J340,NA())</f>
        <v>0</v>
      </c>
      <c r="S340" s="27">
        <f>IF(K340="Válida",C340,"")</f>
        <v>0</v>
      </c>
      <c r="T340" s="27">
        <f>IF(K340="Válida",I340,"")</f>
        <v>0</v>
      </c>
      <c r="U340" s="27">
        <f>IF(K340="Válida",J340,"")</f>
        <v>0</v>
      </c>
    </row>
    <row r="341" spans="1:21">
      <c r="A341" s="25">
        <f>IF(MES!A341="","",MES!C341/48)</f>
        <v>0</v>
      </c>
      <c r="B341" s="26">
        <f>IF(A341="","",TEXT((N341*4+cfgDeslocamento)/48,"hh:mm")&amp;" a "&amp;TEXT(A341,"hh:mm"))</f>
        <v>0</v>
      </c>
      <c r="C341" s="27">
        <f>IF(A341="","",MES!B341)</f>
        <v>0</v>
      </c>
      <c r="D341" s="27">
        <f>IF(A341="","",IFERROR(AVERAGEIFS(Prensa!$B$2:$B$5001,Prensa!$E$2:$E$5001,N341,Prensa!$F$2:$F$5001,1,Prensa!$G$2:$G$5001,1),""))</f>
        <v>0</v>
      </c>
      <c r="E341" s="27">
        <f>IF(A341="","",IFERROR(AVERAGEIFS(Prensa!$B$2:$B$5001,Prensa!$E$2:$E$5001,N341,Prensa!$F$2:$F$5001,2,Prensa!$G$2:$G$5001,1),""))</f>
        <v>0</v>
      </c>
      <c r="F341" s="27">
        <f>IF(A341="","",IFERROR(AVERAGEIFS(Prensa!$B$2:$B$5001,Prensa!$E$2:$E$5001,N341,Prensa!$F$2:$F$5001,3,Prensa!$G$2:$G$5001,1),""))</f>
        <v>0</v>
      </c>
      <c r="G341" s="27">
        <f>IF(A341="","",IFERROR(AVERAGEIFS(Prensa!$B$2:$B$5001,Prensa!$E$2:$E$5001,N341,Prensa!$F$2:$F$5001,4,Prensa!$G$2:$G$5001,1),""))</f>
        <v>0</v>
      </c>
      <c r="H341" s="26">
        <f>IF(A341="","",COUNT(D341:G341))</f>
        <v>0</v>
      </c>
      <c r="I341" s="27">
        <f>IF(A341="","",IF(H341=0,"",AVERAGE(D341:G341)))</f>
        <v>0</v>
      </c>
      <c r="J341" s="27">
        <f>IF(OR(I341="",C341=""),"",I341-C341)</f>
        <v>0</v>
      </c>
      <c r="K341" s="26">
        <f>IF(A341="","",IF(MES!E341&lt;&gt;4,"Horário do MES fora do padrão",IF(H341&lt;cfgMinCortes,"Cortes insuficientes","Válida")))</f>
        <v>0</v>
      </c>
      <c r="L341" s="27">
        <f>IF(K341="Válida",ABS(J341),"")</f>
        <v>0</v>
      </c>
      <c r="M341" s="26">
        <f>IF(K341="Válida",IF(L341&lt;=cfgTolerancia,"Sim","Não"),"")</f>
        <v>0</v>
      </c>
      <c r="N341" s="26">
        <f>IF(A341="","",MES!D341)</f>
        <v>0</v>
      </c>
      <c r="O341" s="25">
        <f>IF(K341="Válida",A341,NA())</f>
        <v>0</v>
      </c>
      <c r="P341" s="27">
        <f>IF(K341="Válida",C341,NA())</f>
        <v>0</v>
      </c>
      <c r="Q341" s="27">
        <f>IF(K341="Válida",I341,NA())</f>
        <v>0</v>
      </c>
      <c r="R341" s="27">
        <f>IF(K341="Válida",J341,NA())</f>
        <v>0</v>
      </c>
      <c r="S341" s="27">
        <f>IF(K341="Válida",C341,"")</f>
        <v>0</v>
      </c>
      <c r="T341" s="27">
        <f>IF(K341="Válida",I341,"")</f>
        <v>0</v>
      </c>
      <c r="U341" s="27">
        <f>IF(K341="Válida",J341,"")</f>
        <v>0</v>
      </c>
    </row>
    <row r="342" spans="1:21">
      <c r="A342" s="25">
        <f>IF(MES!A342="","",MES!C342/48)</f>
        <v>0</v>
      </c>
      <c r="B342" s="26">
        <f>IF(A342="","",TEXT((N342*4+cfgDeslocamento)/48,"hh:mm")&amp;" a "&amp;TEXT(A342,"hh:mm"))</f>
        <v>0</v>
      </c>
      <c r="C342" s="27">
        <f>IF(A342="","",MES!B342)</f>
        <v>0</v>
      </c>
      <c r="D342" s="27">
        <f>IF(A342="","",IFERROR(AVERAGEIFS(Prensa!$B$2:$B$5001,Prensa!$E$2:$E$5001,N342,Prensa!$F$2:$F$5001,1,Prensa!$G$2:$G$5001,1),""))</f>
        <v>0</v>
      </c>
      <c r="E342" s="27">
        <f>IF(A342="","",IFERROR(AVERAGEIFS(Prensa!$B$2:$B$5001,Prensa!$E$2:$E$5001,N342,Prensa!$F$2:$F$5001,2,Prensa!$G$2:$G$5001,1),""))</f>
        <v>0</v>
      </c>
      <c r="F342" s="27">
        <f>IF(A342="","",IFERROR(AVERAGEIFS(Prensa!$B$2:$B$5001,Prensa!$E$2:$E$5001,N342,Prensa!$F$2:$F$5001,3,Prensa!$G$2:$G$5001,1),""))</f>
        <v>0</v>
      </c>
      <c r="G342" s="27">
        <f>IF(A342="","",IFERROR(AVERAGEIFS(Prensa!$B$2:$B$5001,Prensa!$E$2:$E$5001,N342,Prensa!$F$2:$F$5001,4,Prensa!$G$2:$G$5001,1),""))</f>
        <v>0</v>
      </c>
      <c r="H342" s="26">
        <f>IF(A342="","",COUNT(D342:G342))</f>
        <v>0</v>
      </c>
      <c r="I342" s="27">
        <f>IF(A342="","",IF(H342=0,"",AVERAGE(D342:G342)))</f>
        <v>0</v>
      </c>
      <c r="J342" s="27">
        <f>IF(OR(I342="",C342=""),"",I342-C342)</f>
        <v>0</v>
      </c>
      <c r="K342" s="26">
        <f>IF(A342="","",IF(MES!E342&lt;&gt;4,"Horário do MES fora do padrão",IF(H342&lt;cfgMinCortes,"Cortes insuficientes","Válida")))</f>
        <v>0</v>
      </c>
      <c r="L342" s="27">
        <f>IF(K342="Válida",ABS(J342),"")</f>
        <v>0</v>
      </c>
      <c r="M342" s="26">
        <f>IF(K342="Válida",IF(L342&lt;=cfgTolerancia,"Sim","Não"),"")</f>
        <v>0</v>
      </c>
      <c r="N342" s="26">
        <f>IF(A342="","",MES!D342)</f>
        <v>0</v>
      </c>
      <c r="O342" s="25">
        <f>IF(K342="Válida",A342,NA())</f>
        <v>0</v>
      </c>
      <c r="P342" s="27">
        <f>IF(K342="Válida",C342,NA())</f>
        <v>0</v>
      </c>
      <c r="Q342" s="27">
        <f>IF(K342="Válida",I342,NA())</f>
        <v>0</v>
      </c>
      <c r="R342" s="27">
        <f>IF(K342="Válida",J342,NA())</f>
        <v>0</v>
      </c>
      <c r="S342" s="27">
        <f>IF(K342="Válida",C342,"")</f>
        <v>0</v>
      </c>
      <c r="T342" s="27">
        <f>IF(K342="Válida",I342,"")</f>
        <v>0</v>
      </c>
      <c r="U342" s="27">
        <f>IF(K342="Válida",J342,"")</f>
        <v>0</v>
      </c>
    </row>
    <row r="343" spans="1:21">
      <c r="A343" s="25">
        <f>IF(MES!A343="","",MES!C343/48)</f>
        <v>0</v>
      </c>
      <c r="B343" s="26">
        <f>IF(A343="","",TEXT((N343*4+cfgDeslocamento)/48,"hh:mm")&amp;" a "&amp;TEXT(A343,"hh:mm"))</f>
        <v>0</v>
      </c>
      <c r="C343" s="27">
        <f>IF(A343="","",MES!B343)</f>
        <v>0</v>
      </c>
      <c r="D343" s="27">
        <f>IF(A343="","",IFERROR(AVERAGEIFS(Prensa!$B$2:$B$5001,Prensa!$E$2:$E$5001,N343,Prensa!$F$2:$F$5001,1,Prensa!$G$2:$G$5001,1),""))</f>
        <v>0</v>
      </c>
      <c r="E343" s="27">
        <f>IF(A343="","",IFERROR(AVERAGEIFS(Prensa!$B$2:$B$5001,Prensa!$E$2:$E$5001,N343,Prensa!$F$2:$F$5001,2,Prensa!$G$2:$G$5001,1),""))</f>
        <v>0</v>
      </c>
      <c r="F343" s="27">
        <f>IF(A343="","",IFERROR(AVERAGEIFS(Prensa!$B$2:$B$5001,Prensa!$E$2:$E$5001,N343,Prensa!$F$2:$F$5001,3,Prensa!$G$2:$G$5001,1),""))</f>
        <v>0</v>
      </c>
      <c r="G343" s="27">
        <f>IF(A343="","",IFERROR(AVERAGEIFS(Prensa!$B$2:$B$5001,Prensa!$E$2:$E$5001,N343,Prensa!$F$2:$F$5001,4,Prensa!$G$2:$G$5001,1),""))</f>
        <v>0</v>
      </c>
      <c r="H343" s="26">
        <f>IF(A343="","",COUNT(D343:G343))</f>
        <v>0</v>
      </c>
      <c r="I343" s="27">
        <f>IF(A343="","",IF(H343=0,"",AVERAGE(D343:G343)))</f>
        <v>0</v>
      </c>
      <c r="J343" s="27">
        <f>IF(OR(I343="",C343=""),"",I343-C343)</f>
        <v>0</v>
      </c>
      <c r="K343" s="26">
        <f>IF(A343="","",IF(MES!E343&lt;&gt;4,"Horário do MES fora do padrão",IF(H343&lt;cfgMinCortes,"Cortes insuficientes","Válida")))</f>
        <v>0</v>
      </c>
      <c r="L343" s="27">
        <f>IF(K343="Válida",ABS(J343),"")</f>
        <v>0</v>
      </c>
      <c r="M343" s="26">
        <f>IF(K343="Válida",IF(L343&lt;=cfgTolerancia,"Sim","Não"),"")</f>
        <v>0</v>
      </c>
      <c r="N343" s="26">
        <f>IF(A343="","",MES!D343)</f>
        <v>0</v>
      </c>
      <c r="O343" s="25">
        <f>IF(K343="Válida",A343,NA())</f>
        <v>0</v>
      </c>
      <c r="P343" s="27">
        <f>IF(K343="Válida",C343,NA())</f>
        <v>0</v>
      </c>
      <c r="Q343" s="27">
        <f>IF(K343="Válida",I343,NA())</f>
        <v>0</v>
      </c>
      <c r="R343" s="27">
        <f>IF(K343="Válida",J343,NA())</f>
        <v>0</v>
      </c>
      <c r="S343" s="27">
        <f>IF(K343="Válida",C343,"")</f>
        <v>0</v>
      </c>
      <c r="T343" s="27">
        <f>IF(K343="Válida",I343,"")</f>
        <v>0</v>
      </c>
      <c r="U343" s="27">
        <f>IF(K343="Válida",J343,"")</f>
        <v>0</v>
      </c>
    </row>
    <row r="344" spans="1:21">
      <c r="A344" s="25">
        <f>IF(MES!A344="","",MES!C344/48)</f>
        <v>0</v>
      </c>
      <c r="B344" s="26">
        <f>IF(A344="","",TEXT((N344*4+cfgDeslocamento)/48,"hh:mm")&amp;" a "&amp;TEXT(A344,"hh:mm"))</f>
        <v>0</v>
      </c>
      <c r="C344" s="27">
        <f>IF(A344="","",MES!B344)</f>
        <v>0</v>
      </c>
      <c r="D344" s="27">
        <f>IF(A344="","",IFERROR(AVERAGEIFS(Prensa!$B$2:$B$5001,Prensa!$E$2:$E$5001,N344,Prensa!$F$2:$F$5001,1,Prensa!$G$2:$G$5001,1),""))</f>
        <v>0</v>
      </c>
      <c r="E344" s="27">
        <f>IF(A344="","",IFERROR(AVERAGEIFS(Prensa!$B$2:$B$5001,Prensa!$E$2:$E$5001,N344,Prensa!$F$2:$F$5001,2,Prensa!$G$2:$G$5001,1),""))</f>
        <v>0</v>
      </c>
      <c r="F344" s="27">
        <f>IF(A344="","",IFERROR(AVERAGEIFS(Prensa!$B$2:$B$5001,Prensa!$E$2:$E$5001,N344,Prensa!$F$2:$F$5001,3,Prensa!$G$2:$G$5001,1),""))</f>
        <v>0</v>
      </c>
      <c r="G344" s="27">
        <f>IF(A344="","",IFERROR(AVERAGEIFS(Prensa!$B$2:$B$5001,Prensa!$E$2:$E$5001,N344,Prensa!$F$2:$F$5001,4,Prensa!$G$2:$G$5001,1),""))</f>
        <v>0</v>
      </c>
      <c r="H344" s="26">
        <f>IF(A344="","",COUNT(D344:G344))</f>
        <v>0</v>
      </c>
      <c r="I344" s="27">
        <f>IF(A344="","",IF(H344=0,"",AVERAGE(D344:G344)))</f>
        <v>0</v>
      </c>
      <c r="J344" s="27">
        <f>IF(OR(I344="",C344=""),"",I344-C344)</f>
        <v>0</v>
      </c>
      <c r="K344" s="26">
        <f>IF(A344="","",IF(MES!E344&lt;&gt;4,"Horário do MES fora do padrão",IF(H344&lt;cfgMinCortes,"Cortes insuficientes","Válida")))</f>
        <v>0</v>
      </c>
      <c r="L344" s="27">
        <f>IF(K344="Válida",ABS(J344),"")</f>
        <v>0</v>
      </c>
      <c r="M344" s="26">
        <f>IF(K344="Válida",IF(L344&lt;=cfgTolerancia,"Sim","Não"),"")</f>
        <v>0</v>
      </c>
      <c r="N344" s="26">
        <f>IF(A344="","",MES!D344)</f>
        <v>0</v>
      </c>
      <c r="O344" s="25">
        <f>IF(K344="Válida",A344,NA())</f>
        <v>0</v>
      </c>
      <c r="P344" s="27">
        <f>IF(K344="Válida",C344,NA())</f>
        <v>0</v>
      </c>
      <c r="Q344" s="27">
        <f>IF(K344="Válida",I344,NA())</f>
        <v>0</v>
      </c>
      <c r="R344" s="27">
        <f>IF(K344="Válida",J344,NA())</f>
        <v>0</v>
      </c>
      <c r="S344" s="27">
        <f>IF(K344="Válida",C344,"")</f>
        <v>0</v>
      </c>
      <c r="T344" s="27">
        <f>IF(K344="Válida",I344,"")</f>
        <v>0</v>
      </c>
      <c r="U344" s="27">
        <f>IF(K344="Válida",J344,"")</f>
        <v>0</v>
      </c>
    </row>
    <row r="345" spans="1:21">
      <c r="A345" s="25">
        <f>IF(MES!A345="","",MES!C345/48)</f>
        <v>0</v>
      </c>
      <c r="B345" s="26">
        <f>IF(A345="","",TEXT((N345*4+cfgDeslocamento)/48,"hh:mm")&amp;" a "&amp;TEXT(A345,"hh:mm"))</f>
        <v>0</v>
      </c>
      <c r="C345" s="27">
        <f>IF(A345="","",MES!B345)</f>
        <v>0</v>
      </c>
      <c r="D345" s="27">
        <f>IF(A345="","",IFERROR(AVERAGEIFS(Prensa!$B$2:$B$5001,Prensa!$E$2:$E$5001,N345,Prensa!$F$2:$F$5001,1,Prensa!$G$2:$G$5001,1),""))</f>
        <v>0</v>
      </c>
      <c r="E345" s="27">
        <f>IF(A345="","",IFERROR(AVERAGEIFS(Prensa!$B$2:$B$5001,Prensa!$E$2:$E$5001,N345,Prensa!$F$2:$F$5001,2,Prensa!$G$2:$G$5001,1),""))</f>
        <v>0</v>
      </c>
      <c r="F345" s="27">
        <f>IF(A345="","",IFERROR(AVERAGEIFS(Prensa!$B$2:$B$5001,Prensa!$E$2:$E$5001,N345,Prensa!$F$2:$F$5001,3,Prensa!$G$2:$G$5001,1),""))</f>
        <v>0</v>
      </c>
      <c r="G345" s="27">
        <f>IF(A345="","",IFERROR(AVERAGEIFS(Prensa!$B$2:$B$5001,Prensa!$E$2:$E$5001,N345,Prensa!$F$2:$F$5001,4,Prensa!$G$2:$G$5001,1),""))</f>
        <v>0</v>
      </c>
      <c r="H345" s="26">
        <f>IF(A345="","",COUNT(D345:G345))</f>
        <v>0</v>
      </c>
      <c r="I345" s="27">
        <f>IF(A345="","",IF(H345=0,"",AVERAGE(D345:G345)))</f>
        <v>0</v>
      </c>
      <c r="J345" s="27">
        <f>IF(OR(I345="",C345=""),"",I345-C345)</f>
        <v>0</v>
      </c>
      <c r="K345" s="26">
        <f>IF(A345="","",IF(MES!E345&lt;&gt;4,"Horário do MES fora do padrão",IF(H345&lt;cfgMinCortes,"Cortes insuficientes","Válida")))</f>
        <v>0</v>
      </c>
      <c r="L345" s="27">
        <f>IF(K345="Válida",ABS(J345),"")</f>
        <v>0</v>
      </c>
      <c r="M345" s="26">
        <f>IF(K345="Válida",IF(L345&lt;=cfgTolerancia,"Sim","Não"),"")</f>
        <v>0</v>
      </c>
      <c r="N345" s="26">
        <f>IF(A345="","",MES!D345)</f>
        <v>0</v>
      </c>
      <c r="O345" s="25">
        <f>IF(K345="Válida",A345,NA())</f>
        <v>0</v>
      </c>
      <c r="P345" s="27">
        <f>IF(K345="Válida",C345,NA())</f>
        <v>0</v>
      </c>
      <c r="Q345" s="27">
        <f>IF(K345="Válida",I345,NA())</f>
        <v>0</v>
      </c>
      <c r="R345" s="27">
        <f>IF(K345="Válida",J345,NA())</f>
        <v>0</v>
      </c>
      <c r="S345" s="27">
        <f>IF(K345="Válida",C345,"")</f>
        <v>0</v>
      </c>
      <c r="T345" s="27">
        <f>IF(K345="Válida",I345,"")</f>
        <v>0</v>
      </c>
      <c r="U345" s="27">
        <f>IF(K345="Válida",J345,"")</f>
        <v>0</v>
      </c>
    </row>
    <row r="346" spans="1:21">
      <c r="A346" s="25">
        <f>IF(MES!A346="","",MES!C346/48)</f>
        <v>0</v>
      </c>
      <c r="B346" s="26">
        <f>IF(A346="","",TEXT((N346*4+cfgDeslocamento)/48,"hh:mm")&amp;" a "&amp;TEXT(A346,"hh:mm"))</f>
        <v>0</v>
      </c>
      <c r="C346" s="27">
        <f>IF(A346="","",MES!B346)</f>
        <v>0</v>
      </c>
      <c r="D346" s="27">
        <f>IF(A346="","",IFERROR(AVERAGEIFS(Prensa!$B$2:$B$5001,Prensa!$E$2:$E$5001,N346,Prensa!$F$2:$F$5001,1,Prensa!$G$2:$G$5001,1),""))</f>
        <v>0</v>
      </c>
      <c r="E346" s="27">
        <f>IF(A346="","",IFERROR(AVERAGEIFS(Prensa!$B$2:$B$5001,Prensa!$E$2:$E$5001,N346,Prensa!$F$2:$F$5001,2,Prensa!$G$2:$G$5001,1),""))</f>
        <v>0</v>
      </c>
      <c r="F346" s="27">
        <f>IF(A346="","",IFERROR(AVERAGEIFS(Prensa!$B$2:$B$5001,Prensa!$E$2:$E$5001,N346,Prensa!$F$2:$F$5001,3,Prensa!$G$2:$G$5001,1),""))</f>
        <v>0</v>
      </c>
      <c r="G346" s="27">
        <f>IF(A346="","",IFERROR(AVERAGEIFS(Prensa!$B$2:$B$5001,Prensa!$E$2:$E$5001,N346,Prensa!$F$2:$F$5001,4,Prensa!$G$2:$G$5001,1),""))</f>
        <v>0</v>
      </c>
      <c r="H346" s="26">
        <f>IF(A346="","",COUNT(D346:G346))</f>
        <v>0</v>
      </c>
      <c r="I346" s="27">
        <f>IF(A346="","",IF(H346=0,"",AVERAGE(D346:G346)))</f>
        <v>0</v>
      </c>
      <c r="J346" s="27">
        <f>IF(OR(I346="",C346=""),"",I346-C346)</f>
        <v>0</v>
      </c>
      <c r="K346" s="26">
        <f>IF(A346="","",IF(MES!E346&lt;&gt;4,"Horário do MES fora do padrão",IF(H346&lt;cfgMinCortes,"Cortes insuficientes","Válida")))</f>
        <v>0</v>
      </c>
      <c r="L346" s="27">
        <f>IF(K346="Válida",ABS(J346),"")</f>
        <v>0</v>
      </c>
      <c r="M346" s="26">
        <f>IF(K346="Válida",IF(L346&lt;=cfgTolerancia,"Sim","Não"),"")</f>
        <v>0</v>
      </c>
      <c r="N346" s="26">
        <f>IF(A346="","",MES!D346)</f>
        <v>0</v>
      </c>
      <c r="O346" s="25">
        <f>IF(K346="Válida",A346,NA())</f>
        <v>0</v>
      </c>
      <c r="P346" s="27">
        <f>IF(K346="Válida",C346,NA())</f>
        <v>0</v>
      </c>
      <c r="Q346" s="27">
        <f>IF(K346="Válida",I346,NA())</f>
        <v>0</v>
      </c>
      <c r="R346" s="27">
        <f>IF(K346="Válida",J346,NA())</f>
        <v>0</v>
      </c>
      <c r="S346" s="27">
        <f>IF(K346="Válida",C346,"")</f>
        <v>0</v>
      </c>
      <c r="T346" s="27">
        <f>IF(K346="Válida",I346,"")</f>
        <v>0</v>
      </c>
      <c r="U346" s="27">
        <f>IF(K346="Válida",J346,"")</f>
        <v>0</v>
      </c>
    </row>
    <row r="347" spans="1:21">
      <c r="A347" s="25">
        <f>IF(MES!A347="","",MES!C347/48)</f>
        <v>0</v>
      </c>
      <c r="B347" s="26">
        <f>IF(A347="","",TEXT((N347*4+cfgDeslocamento)/48,"hh:mm")&amp;" a "&amp;TEXT(A347,"hh:mm"))</f>
        <v>0</v>
      </c>
      <c r="C347" s="27">
        <f>IF(A347="","",MES!B347)</f>
        <v>0</v>
      </c>
      <c r="D347" s="27">
        <f>IF(A347="","",IFERROR(AVERAGEIFS(Prensa!$B$2:$B$5001,Prensa!$E$2:$E$5001,N347,Prensa!$F$2:$F$5001,1,Prensa!$G$2:$G$5001,1),""))</f>
        <v>0</v>
      </c>
      <c r="E347" s="27">
        <f>IF(A347="","",IFERROR(AVERAGEIFS(Prensa!$B$2:$B$5001,Prensa!$E$2:$E$5001,N347,Prensa!$F$2:$F$5001,2,Prensa!$G$2:$G$5001,1),""))</f>
        <v>0</v>
      </c>
      <c r="F347" s="27">
        <f>IF(A347="","",IFERROR(AVERAGEIFS(Prensa!$B$2:$B$5001,Prensa!$E$2:$E$5001,N347,Prensa!$F$2:$F$5001,3,Prensa!$G$2:$G$5001,1),""))</f>
        <v>0</v>
      </c>
      <c r="G347" s="27">
        <f>IF(A347="","",IFERROR(AVERAGEIFS(Prensa!$B$2:$B$5001,Prensa!$E$2:$E$5001,N347,Prensa!$F$2:$F$5001,4,Prensa!$G$2:$G$5001,1),""))</f>
        <v>0</v>
      </c>
      <c r="H347" s="26">
        <f>IF(A347="","",COUNT(D347:G347))</f>
        <v>0</v>
      </c>
      <c r="I347" s="27">
        <f>IF(A347="","",IF(H347=0,"",AVERAGE(D347:G347)))</f>
        <v>0</v>
      </c>
      <c r="J347" s="27">
        <f>IF(OR(I347="",C347=""),"",I347-C347)</f>
        <v>0</v>
      </c>
      <c r="K347" s="26">
        <f>IF(A347="","",IF(MES!E347&lt;&gt;4,"Horário do MES fora do padrão",IF(H347&lt;cfgMinCortes,"Cortes insuficientes","Válida")))</f>
        <v>0</v>
      </c>
      <c r="L347" s="27">
        <f>IF(K347="Válida",ABS(J347),"")</f>
        <v>0</v>
      </c>
      <c r="M347" s="26">
        <f>IF(K347="Válida",IF(L347&lt;=cfgTolerancia,"Sim","Não"),"")</f>
        <v>0</v>
      </c>
      <c r="N347" s="26">
        <f>IF(A347="","",MES!D347)</f>
        <v>0</v>
      </c>
      <c r="O347" s="25">
        <f>IF(K347="Válida",A347,NA())</f>
        <v>0</v>
      </c>
      <c r="P347" s="27">
        <f>IF(K347="Válida",C347,NA())</f>
        <v>0</v>
      </c>
      <c r="Q347" s="27">
        <f>IF(K347="Válida",I347,NA())</f>
        <v>0</v>
      </c>
      <c r="R347" s="27">
        <f>IF(K347="Válida",J347,NA())</f>
        <v>0</v>
      </c>
      <c r="S347" s="27">
        <f>IF(K347="Válida",C347,"")</f>
        <v>0</v>
      </c>
      <c r="T347" s="27">
        <f>IF(K347="Válida",I347,"")</f>
        <v>0</v>
      </c>
      <c r="U347" s="27">
        <f>IF(K347="Válida",J347,"")</f>
        <v>0</v>
      </c>
    </row>
    <row r="348" spans="1:21">
      <c r="A348" s="25">
        <f>IF(MES!A348="","",MES!C348/48)</f>
        <v>0</v>
      </c>
      <c r="B348" s="26">
        <f>IF(A348="","",TEXT((N348*4+cfgDeslocamento)/48,"hh:mm")&amp;" a "&amp;TEXT(A348,"hh:mm"))</f>
        <v>0</v>
      </c>
      <c r="C348" s="27">
        <f>IF(A348="","",MES!B348)</f>
        <v>0</v>
      </c>
      <c r="D348" s="27">
        <f>IF(A348="","",IFERROR(AVERAGEIFS(Prensa!$B$2:$B$5001,Prensa!$E$2:$E$5001,N348,Prensa!$F$2:$F$5001,1,Prensa!$G$2:$G$5001,1),""))</f>
        <v>0</v>
      </c>
      <c r="E348" s="27">
        <f>IF(A348="","",IFERROR(AVERAGEIFS(Prensa!$B$2:$B$5001,Prensa!$E$2:$E$5001,N348,Prensa!$F$2:$F$5001,2,Prensa!$G$2:$G$5001,1),""))</f>
        <v>0</v>
      </c>
      <c r="F348" s="27">
        <f>IF(A348="","",IFERROR(AVERAGEIFS(Prensa!$B$2:$B$5001,Prensa!$E$2:$E$5001,N348,Prensa!$F$2:$F$5001,3,Prensa!$G$2:$G$5001,1),""))</f>
        <v>0</v>
      </c>
      <c r="G348" s="27">
        <f>IF(A348="","",IFERROR(AVERAGEIFS(Prensa!$B$2:$B$5001,Prensa!$E$2:$E$5001,N348,Prensa!$F$2:$F$5001,4,Prensa!$G$2:$G$5001,1),""))</f>
        <v>0</v>
      </c>
      <c r="H348" s="26">
        <f>IF(A348="","",COUNT(D348:G348))</f>
        <v>0</v>
      </c>
      <c r="I348" s="27">
        <f>IF(A348="","",IF(H348=0,"",AVERAGE(D348:G348)))</f>
        <v>0</v>
      </c>
      <c r="J348" s="27">
        <f>IF(OR(I348="",C348=""),"",I348-C348)</f>
        <v>0</v>
      </c>
      <c r="K348" s="26">
        <f>IF(A348="","",IF(MES!E348&lt;&gt;4,"Horário do MES fora do padrão",IF(H348&lt;cfgMinCortes,"Cortes insuficientes","Válida")))</f>
        <v>0</v>
      </c>
      <c r="L348" s="27">
        <f>IF(K348="Válida",ABS(J348),"")</f>
        <v>0</v>
      </c>
      <c r="M348" s="26">
        <f>IF(K348="Válida",IF(L348&lt;=cfgTolerancia,"Sim","Não"),"")</f>
        <v>0</v>
      </c>
      <c r="N348" s="26">
        <f>IF(A348="","",MES!D348)</f>
        <v>0</v>
      </c>
      <c r="O348" s="25">
        <f>IF(K348="Válida",A348,NA())</f>
        <v>0</v>
      </c>
      <c r="P348" s="27">
        <f>IF(K348="Válida",C348,NA())</f>
        <v>0</v>
      </c>
      <c r="Q348" s="27">
        <f>IF(K348="Válida",I348,NA())</f>
        <v>0</v>
      </c>
      <c r="R348" s="27">
        <f>IF(K348="Válida",J348,NA())</f>
        <v>0</v>
      </c>
      <c r="S348" s="27">
        <f>IF(K348="Válida",C348,"")</f>
        <v>0</v>
      </c>
      <c r="T348" s="27">
        <f>IF(K348="Válida",I348,"")</f>
        <v>0</v>
      </c>
      <c r="U348" s="27">
        <f>IF(K348="Válida",J348,"")</f>
        <v>0</v>
      </c>
    </row>
    <row r="349" spans="1:21">
      <c r="A349" s="25">
        <f>IF(MES!A349="","",MES!C349/48)</f>
        <v>0</v>
      </c>
      <c r="B349" s="26">
        <f>IF(A349="","",TEXT((N349*4+cfgDeslocamento)/48,"hh:mm")&amp;" a "&amp;TEXT(A349,"hh:mm"))</f>
        <v>0</v>
      </c>
      <c r="C349" s="27">
        <f>IF(A349="","",MES!B349)</f>
        <v>0</v>
      </c>
      <c r="D349" s="27">
        <f>IF(A349="","",IFERROR(AVERAGEIFS(Prensa!$B$2:$B$5001,Prensa!$E$2:$E$5001,N349,Prensa!$F$2:$F$5001,1,Prensa!$G$2:$G$5001,1),""))</f>
        <v>0</v>
      </c>
      <c r="E349" s="27">
        <f>IF(A349="","",IFERROR(AVERAGEIFS(Prensa!$B$2:$B$5001,Prensa!$E$2:$E$5001,N349,Prensa!$F$2:$F$5001,2,Prensa!$G$2:$G$5001,1),""))</f>
        <v>0</v>
      </c>
      <c r="F349" s="27">
        <f>IF(A349="","",IFERROR(AVERAGEIFS(Prensa!$B$2:$B$5001,Prensa!$E$2:$E$5001,N349,Prensa!$F$2:$F$5001,3,Prensa!$G$2:$G$5001,1),""))</f>
        <v>0</v>
      </c>
      <c r="G349" s="27">
        <f>IF(A349="","",IFERROR(AVERAGEIFS(Prensa!$B$2:$B$5001,Prensa!$E$2:$E$5001,N349,Prensa!$F$2:$F$5001,4,Prensa!$G$2:$G$5001,1),""))</f>
        <v>0</v>
      </c>
      <c r="H349" s="26">
        <f>IF(A349="","",COUNT(D349:G349))</f>
        <v>0</v>
      </c>
      <c r="I349" s="27">
        <f>IF(A349="","",IF(H349=0,"",AVERAGE(D349:G349)))</f>
        <v>0</v>
      </c>
      <c r="J349" s="27">
        <f>IF(OR(I349="",C349=""),"",I349-C349)</f>
        <v>0</v>
      </c>
      <c r="K349" s="26">
        <f>IF(A349="","",IF(MES!E349&lt;&gt;4,"Horário do MES fora do padrão",IF(H349&lt;cfgMinCortes,"Cortes insuficientes","Válida")))</f>
        <v>0</v>
      </c>
      <c r="L349" s="27">
        <f>IF(K349="Válida",ABS(J349),"")</f>
        <v>0</v>
      </c>
      <c r="M349" s="26">
        <f>IF(K349="Válida",IF(L349&lt;=cfgTolerancia,"Sim","Não"),"")</f>
        <v>0</v>
      </c>
      <c r="N349" s="26">
        <f>IF(A349="","",MES!D349)</f>
        <v>0</v>
      </c>
      <c r="O349" s="25">
        <f>IF(K349="Válida",A349,NA())</f>
        <v>0</v>
      </c>
      <c r="P349" s="27">
        <f>IF(K349="Válida",C349,NA())</f>
        <v>0</v>
      </c>
      <c r="Q349" s="27">
        <f>IF(K349="Válida",I349,NA())</f>
        <v>0</v>
      </c>
      <c r="R349" s="27">
        <f>IF(K349="Válida",J349,NA())</f>
        <v>0</v>
      </c>
      <c r="S349" s="27">
        <f>IF(K349="Válida",C349,"")</f>
        <v>0</v>
      </c>
      <c r="T349" s="27">
        <f>IF(K349="Válida",I349,"")</f>
        <v>0</v>
      </c>
      <c r="U349" s="27">
        <f>IF(K349="Válida",J349,"")</f>
        <v>0</v>
      </c>
    </row>
    <row r="350" spans="1:21">
      <c r="A350" s="25">
        <f>IF(MES!A350="","",MES!C350/48)</f>
        <v>0</v>
      </c>
      <c r="B350" s="26">
        <f>IF(A350="","",TEXT((N350*4+cfgDeslocamento)/48,"hh:mm")&amp;" a "&amp;TEXT(A350,"hh:mm"))</f>
        <v>0</v>
      </c>
      <c r="C350" s="27">
        <f>IF(A350="","",MES!B350)</f>
        <v>0</v>
      </c>
      <c r="D350" s="27">
        <f>IF(A350="","",IFERROR(AVERAGEIFS(Prensa!$B$2:$B$5001,Prensa!$E$2:$E$5001,N350,Prensa!$F$2:$F$5001,1,Prensa!$G$2:$G$5001,1),""))</f>
        <v>0</v>
      </c>
      <c r="E350" s="27">
        <f>IF(A350="","",IFERROR(AVERAGEIFS(Prensa!$B$2:$B$5001,Prensa!$E$2:$E$5001,N350,Prensa!$F$2:$F$5001,2,Prensa!$G$2:$G$5001,1),""))</f>
        <v>0</v>
      </c>
      <c r="F350" s="27">
        <f>IF(A350="","",IFERROR(AVERAGEIFS(Prensa!$B$2:$B$5001,Prensa!$E$2:$E$5001,N350,Prensa!$F$2:$F$5001,3,Prensa!$G$2:$G$5001,1),""))</f>
        <v>0</v>
      </c>
      <c r="G350" s="27">
        <f>IF(A350="","",IFERROR(AVERAGEIFS(Prensa!$B$2:$B$5001,Prensa!$E$2:$E$5001,N350,Prensa!$F$2:$F$5001,4,Prensa!$G$2:$G$5001,1),""))</f>
        <v>0</v>
      </c>
      <c r="H350" s="26">
        <f>IF(A350="","",COUNT(D350:G350))</f>
        <v>0</v>
      </c>
      <c r="I350" s="27">
        <f>IF(A350="","",IF(H350=0,"",AVERAGE(D350:G350)))</f>
        <v>0</v>
      </c>
      <c r="J350" s="27">
        <f>IF(OR(I350="",C350=""),"",I350-C350)</f>
        <v>0</v>
      </c>
      <c r="K350" s="26">
        <f>IF(A350="","",IF(MES!E350&lt;&gt;4,"Horário do MES fora do padrão",IF(H350&lt;cfgMinCortes,"Cortes insuficientes","Válida")))</f>
        <v>0</v>
      </c>
      <c r="L350" s="27">
        <f>IF(K350="Válida",ABS(J350),"")</f>
        <v>0</v>
      </c>
      <c r="M350" s="26">
        <f>IF(K350="Válida",IF(L350&lt;=cfgTolerancia,"Sim","Não"),"")</f>
        <v>0</v>
      </c>
      <c r="N350" s="26">
        <f>IF(A350="","",MES!D350)</f>
        <v>0</v>
      </c>
      <c r="O350" s="25">
        <f>IF(K350="Válida",A350,NA())</f>
        <v>0</v>
      </c>
      <c r="P350" s="27">
        <f>IF(K350="Válida",C350,NA())</f>
        <v>0</v>
      </c>
      <c r="Q350" s="27">
        <f>IF(K350="Válida",I350,NA())</f>
        <v>0</v>
      </c>
      <c r="R350" s="27">
        <f>IF(K350="Válida",J350,NA())</f>
        <v>0</v>
      </c>
      <c r="S350" s="27">
        <f>IF(K350="Válida",C350,"")</f>
        <v>0</v>
      </c>
      <c r="T350" s="27">
        <f>IF(K350="Válida",I350,"")</f>
        <v>0</v>
      </c>
      <c r="U350" s="27">
        <f>IF(K350="Válida",J350,"")</f>
        <v>0</v>
      </c>
    </row>
    <row r="351" spans="1:21">
      <c r="A351" s="25">
        <f>IF(MES!A351="","",MES!C351/48)</f>
        <v>0</v>
      </c>
      <c r="B351" s="26">
        <f>IF(A351="","",TEXT((N351*4+cfgDeslocamento)/48,"hh:mm")&amp;" a "&amp;TEXT(A351,"hh:mm"))</f>
        <v>0</v>
      </c>
      <c r="C351" s="27">
        <f>IF(A351="","",MES!B351)</f>
        <v>0</v>
      </c>
      <c r="D351" s="27">
        <f>IF(A351="","",IFERROR(AVERAGEIFS(Prensa!$B$2:$B$5001,Prensa!$E$2:$E$5001,N351,Prensa!$F$2:$F$5001,1,Prensa!$G$2:$G$5001,1),""))</f>
        <v>0</v>
      </c>
      <c r="E351" s="27">
        <f>IF(A351="","",IFERROR(AVERAGEIFS(Prensa!$B$2:$B$5001,Prensa!$E$2:$E$5001,N351,Prensa!$F$2:$F$5001,2,Prensa!$G$2:$G$5001,1),""))</f>
        <v>0</v>
      </c>
      <c r="F351" s="27">
        <f>IF(A351="","",IFERROR(AVERAGEIFS(Prensa!$B$2:$B$5001,Prensa!$E$2:$E$5001,N351,Prensa!$F$2:$F$5001,3,Prensa!$G$2:$G$5001,1),""))</f>
        <v>0</v>
      </c>
      <c r="G351" s="27">
        <f>IF(A351="","",IFERROR(AVERAGEIFS(Prensa!$B$2:$B$5001,Prensa!$E$2:$E$5001,N351,Prensa!$F$2:$F$5001,4,Prensa!$G$2:$G$5001,1),""))</f>
        <v>0</v>
      </c>
      <c r="H351" s="26">
        <f>IF(A351="","",COUNT(D351:G351))</f>
        <v>0</v>
      </c>
      <c r="I351" s="27">
        <f>IF(A351="","",IF(H351=0,"",AVERAGE(D351:G351)))</f>
        <v>0</v>
      </c>
      <c r="J351" s="27">
        <f>IF(OR(I351="",C351=""),"",I351-C351)</f>
        <v>0</v>
      </c>
      <c r="K351" s="26">
        <f>IF(A351="","",IF(MES!E351&lt;&gt;4,"Horário do MES fora do padrão",IF(H351&lt;cfgMinCortes,"Cortes insuficientes","Válida")))</f>
        <v>0</v>
      </c>
      <c r="L351" s="27">
        <f>IF(K351="Válida",ABS(J351),"")</f>
        <v>0</v>
      </c>
      <c r="M351" s="26">
        <f>IF(K351="Válida",IF(L351&lt;=cfgTolerancia,"Sim","Não"),"")</f>
        <v>0</v>
      </c>
      <c r="N351" s="26">
        <f>IF(A351="","",MES!D351)</f>
        <v>0</v>
      </c>
      <c r="O351" s="25">
        <f>IF(K351="Válida",A351,NA())</f>
        <v>0</v>
      </c>
      <c r="P351" s="27">
        <f>IF(K351="Válida",C351,NA())</f>
        <v>0</v>
      </c>
      <c r="Q351" s="27">
        <f>IF(K351="Válida",I351,NA())</f>
        <v>0</v>
      </c>
      <c r="R351" s="27">
        <f>IF(K351="Válida",J351,NA())</f>
        <v>0</v>
      </c>
      <c r="S351" s="27">
        <f>IF(K351="Válida",C351,"")</f>
        <v>0</v>
      </c>
      <c r="T351" s="27">
        <f>IF(K351="Válida",I351,"")</f>
        <v>0</v>
      </c>
      <c r="U351" s="27">
        <f>IF(K351="Válida",J351,"")</f>
        <v>0</v>
      </c>
    </row>
    <row r="352" spans="1:21">
      <c r="A352" s="25">
        <f>IF(MES!A352="","",MES!C352/48)</f>
        <v>0</v>
      </c>
      <c r="B352" s="26">
        <f>IF(A352="","",TEXT((N352*4+cfgDeslocamento)/48,"hh:mm")&amp;" a "&amp;TEXT(A352,"hh:mm"))</f>
        <v>0</v>
      </c>
      <c r="C352" s="27">
        <f>IF(A352="","",MES!B352)</f>
        <v>0</v>
      </c>
      <c r="D352" s="27">
        <f>IF(A352="","",IFERROR(AVERAGEIFS(Prensa!$B$2:$B$5001,Prensa!$E$2:$E$5001,N352,Prensa!$F$2:$F$5001,1,Prensa!$G$2:$G$5001,1),""))</f>
        <v>0</v>
      </c>
      <c r="E352" s="27">
        <f>IF(A352="","",IFERROR(AVERAGEIFS(Prensa!$B$2:$B$5001,Prensa!$E$2:$E$5001,N352,Prensa!$F$2:$F$5001,2,Prensa!$G$2:$G$5001,1),""))</f>
        <v>0</v>
      </c>
      <c r="F352" s="27">
        <f>IF(A352="","",IFERROR(AVERAGEIFS(Prensa!$B$2:$B$5001,Prensa!$E$2:$E$5001,N352,Prensa!$F$2:$F$5001,3,Prensa!$G$2:$G$5001,1),""))</f>
        <v>0</v>
      </c>
      <c r="G352" s="27">
        <f>IF(A352="","",IFERROR(AVERAGEIFS(Prensa!$B$2:$B$5001,Prensa!$E$2:$E$5001,N352,Prensa!$F$2:$F$5001,4,Prensa!$G$2:$G$5001,1),""))</f>
        <v>0</v>
      </c>
      <c r="H352" s="26">
        <f>IF(A352="","",COUNT(D352:G352))</f>
        <v>0</v>
      </c>
      <c r="I352" s="27">
        <f>IF(A352="","",IF(H352=0,"",AVERAGE(D352:G352)))</f>
        <v>0</v>
      </c>
      <c r="J352" s="27">
        <f>IF(OR(I352="",C352=""),"",I352-C352)</f>
        <v>0</v>
      </c>
      <c r="K352" s="26">
        <f>IF(A352="","",IF(MES!E352&lt;&gt;4,"Horário do MES fora do padrão",IF(H352&lt;cfgMinCortes,"Cortes insuficientes","Válida")))</f>
        <v>0</v>
      </c>
      <c r="L352" s="27">
        <f>IF(K352="Válida",ABS(J352),"")</f>
        <v>0</v>
      </c>
      <c r="M352" s="26">
        <f>IF(K352="Válida",IF(L352&lt;=cfgTolerancia,"Sim","Não"),"")</f>
        <v>0</v>
      </c>
      <c r="N352" s="26">
        <f>IF(A352="","",MES!D352)</f>
        <v>0</v>
      </c>
      <c r="O352" s="25">
        <f>IF(K352="Válida",A352,NA())</f>
        <v>0</v>
      </c>
      <c r="P352" s="27">
        <f>IF(K352="Válida",C352,NA())</f>
        <v>0</v>
      </c>
      <c r="Q352" s="27">
        <f>IF(K352="Válida",I352,NA())</f>
        <v>0</v>
      </c>
      <c r="R352" s="27">
        <f>IF(K352="Válida",J352,NA())</f>
        <v>0</v>
      </c>
      <c r="S352" s="27">
        <f>IF(K352="Válida",C352,"")</f>
        <v>0</v>
      </c>
      <c r="T352" s="27">
        <f>IF(K352="Válida",I352,"")</f>
        <v>0</v>
      </c>
      <c r="U352" s="27">
        <f>IF(K352="Válida",J352,"")</f>
        <v>0</v>
      </c>
    </row>
    <row r="353" spans="1:21">
      <c r="A353" s="25">
        <f>IF(MES!A353="","",MES!C353/48)</f>
        <v>0</v>
      </c>
      <c r="B353" s="26">
        <f>IF(A353="","",TEXT((N353*4+cfgDeslocamento)/48,"hh:mm")&amp;" a "&amp;TEXT(A353,"hh:mm"))</f>
        <v>0</v>
      </c>
      <c r="C353" s="27">
        <f>IF(A353="","",MES!B353)</f>
        <v>0</v>
      </c>
      <c r="D353" s="27">
        <f>IF(A353="","",IFERROR(AVERAGEIFS(Prensa!$B$2:$B$5001,Prensa!$E$2:$E$5001,N353,Prensa!$F$2:$F$5001,1,Prensa!$G$2:$G$5001,1),""))</f>
        <v>0</v>
      </c>
      <c r="E353" s="27">
        <f>IF(A353="","",IFERROR(AVERAGEIFS(Prensa!$B$2:$B$5001,Prensa!$E$2:$E$5001,N353,Prensa!$F$2:$F$5001,2,Prensa!$G$2:$G$5001,1),""))</f>
        <v>0</v>
      </c>
      <c r="F353" s="27">
        <f>IF(A353="","",IFERROR(AVERAGEIFS(Prensa!$B$2:$B$5001,Prensa!$E$2:$E$5001,N353,Prensa!$F$2:$F$5001,3,Prensa!$G$2:$G$5001,1),""))</f>
        <v>0</v>
      </c>
      <c r="G353" s="27">
        <f>IF(A353="","",IFERROR(AVERAGEIFS(Prensa!$B$2:$B$5001,Prensa!$E$2:$E$5001,N353,Prensa!$F$2:$F$5001,4,Prensa!$G$2:$G$5001,1),""))</f>
        <v>0</v>
      </c>
      <c r="H353" s="26">
        <f>IF(A353="","",COUNT(D353:G353))</f>
        <v>0</v>
      </c>
      <c r="I353" s="27">
        <f>IF(A353="","",IF(H353=0,"",AVERAGE(D353:G353)))</f>
        <v>0</v>
      </c>
      <c r="J353" s="27">
        <f>IF(OR(I353="",C353=""),"",I353-C353)</f>
        <v>0</v>
      </c>
      <c r="K353" s="26">
        <f>IF(A353="","",IF(MES!E353&lt;&gt;4,"Horário do MES fora do padrão",IF(H353&lt;cfgMinCortes,"Cortes insuficientes","Válida")))</f>
        <v>0</v>
      </c>
      <c r="L353" s="27">
        <f>IF(K353="Válida",ABS(J353),"")</f>
        <v>0</v>
      </c>
      <c r="M353" s="26">
        <f>IF(K353="Válida",IF(L353&lt;=cfgTolerancia,"Sim","Não"),"")</f>
        <v>0</v>
      </c>
      <c r="N353" s="26">
        <f>IF(A353="","",MES!D353)</f>
        <v>0</v>
      </c>
      <c r="O353" s="25">
        <f>IF(K353="Válida",A353,NA())</f>
        <v>0</v>
      </c>
      <c r="P353" s="27">
        <f>IF(K353="Válida",C353,NA())</f>
        <v>0</v>
      </c>
      <c r="Q353" s="27">
        <f>IF(K353="Válida",I353,NA())</f>
        <v>0</v>
      </c>
      <c r="R353" s="27">
        <f>IF(K353="Válida",J353,NA())</f>
        <v>0</v>
      </c>
      <c r="S353" s="27">
        <f>IF(K353="Válida",C353,"")</f>
        <v>0</v>
      </c>
      <c r="T353" s="27">
        <f>IF(K353="Válida",I353,"")</f>
        <v>0</v>
      </c>
      <c r="U353" s="27">
        <f>IF(K353="Válida",J353,"")</f>
        <v>0</v>
      </c>
    </row>
    <row r="354" spans="1:21">
      <c r="A354" s="25">
        <f>IF(MES!A354="","",MES!C354/48)</f>
        <v>0</v>
      </c>
      <c r="B354" s="26">
        <f>IF(A354="","",TEXT((N354*4+cfgDeslocamento)/48,"hh:mm")&amp;" a "&amp;TEXT(A354,"hh:mm"))</f>
        <v>0</v>
      </c>
      <c r="C354" s="27">
        <f>IF(A354="","",MES!B354)</f>
        <v>0</v>
      </c>
      <c r="D354" s="27">
        <f>IF(A354="","",IFERROR(AVERAGEIFS(Prensa!$B$2:$B$5001,Prensa!$E$2:$E$5001,N354,Prensa!$F$2:$F$5001,1,Prensa!$G$2:$G$5001,1),""))</f>
        <v>0</v>
      </c>
      <c r="E354" s="27">
        <f>IF(A354="","",IFERROR(AVERAGEIFS(Prensa!$B$2:$B$5001,Prensa!$E$2:$E$5001,N354,Prensa!$F$2:$F$5001,2,Prensa!$G$2:$G$5001,1),""))</f>
        <v>0</v>
      </c>
      <c r="F354" s="27">
        <f>IF(A354="","",IFERROR(AVERAGEIFS(Prensa!$B$2:$B$5001,Prensa!$E$2:$E$5001,N354,Prensa!$F$2:$F$5001,3,Prensa!$G$2:$G$5001,1),""))</f>
        <v>0</v>
      </c>
      <c r="G354" s="27">
        <f>IF(A354="","",IFERROR(AVERAGEIFS(Prensa!$B$2:$B$5001,Prensa!$E$2:$E$5001,N354,Prensa!$F$2:$F$5001,4,Prensa!$G$2:$G$5001,1),""))</f>
        <v>0</v>
      </c>
      <c r="H354" s="26">
        <f>IF(A354="","",COUNT(D354:G354))</f>
        <v>0</v>
      </c>
      <c r="I354" s="27">
        <f>IF(A354="","",IF(H354=0,"",AVERAGE(D354:G354)))</f>
        <v>0</v>
      </c>
      <c r="J354" s="27">
        <f>IF(OR(I354="",C354=""),"",I354-C354)</f>
        <v>0</v>
      </c>
      <c r="K354" s="26">
        <f>IF(A354="","",IF(MES!E354&lt;&gt;4,"Horário do MES fora do padrão",IF(H354&lt;cfgMinCortes,"Cortes insuficientes","Válida")))</f>
        <v>0</v>
      </c>
      <c r="L354" s="27">
        <f>IF(K354="Válida",ABS(J354),"")</f>
        <v>0</v>
      </c>
      <c r="M354" s="26">
        <f>IF(K354="Válida",IF(L354&lt;=cfgTolerancia,"Sim","Não"),"")</f>
        <v>0</v>
      </c>
      <c r="N354" s="26">
        <f>IF(A354="","",MES!D354)</f>
        <v>0</v>
      </c>
      <c r="O354" s="25">
        <f>IF(K354="Válida",A354,NA())</f>
        <v>0</v>
      </c>
      <c r="P354" s="27">
        <f>IF(K354="Válida",C354,NA())</f>
        <v>0</v>
      </c>
      <c r="Q354" s="27">
        <f>IF(K354="Válida",I354,NA())</f>
        <v>0</v>
      </c>
      <c r="R354" s="27">
        <f>IF(K354="Válida",J354,NA())</f>
        <v>0</v>
      </c>
      <c r="S354" s="27">
        <f>IF(K354="Válida",C354,"")</f>
        <v>0</v>
      </c>
      <c r="T354" s="27">
        <f>IF(K354="Válida",I354,"")</f>
        <v>0</v>
      </c>
      <c r="U354" s="27">
        <f>IF(K354="Válida",J354,"")</f>
        <v>0</v>
      </c>
    </row>
    <row r="355" spans="1:21">
      <c r="A355" s="25">
        <f>IF(MES!A355="","",MES!C355/48)</f>
        <v>0</v>
      </c>
      <c r="B355" s="26">
        <f>IF(A355="","",TEXT((N355*4+cfgDeslocamento)/48,"hh:mm")&amp;" a "&amp;TEXT(A355,"hh:mm"))</f>
        <v>0</v>
      </c>
      <c r="C355" s="27">
        <f>IF(A355="","",MES!B355)</f>
        <v>0</v>
      </c>
      <c r="D355" s="27">
        <f>IF(A355="","",IFERROR(AVERAGEIFS(Prensa!$B$2:$B$5001,Prensa!$E$2:$E$5001,N355,Prensa!$F$2:$F$5001,1,Prensa!$G$2:$G$5001,1),""))</f>
        <v>0</v>
      </c>
      <c r="E355" s="27">
        <f>IF(A355="","",IFERROR(AVERAGEIFS(Prensa!$B$2:$B$5001,Prensa!$E$2:$E$5001,N355,Prensa!$F$2:$F$5001,2,Prensa!$G$2:$G$5001,1),""))</f>
        <v>0</v>
      </c>
      <c r="F355" s="27">
        <f>IF(A355="","",IFERROR(AVERAGEIFS(Prensa!$B$2:$B$5001,Prensa!$E$2:$E$5001,N355,Prensa!$F$2:$F$5001,3,Prensa!$G$2:$G$5001,1),""))</f>
        <v>0</v>
      </c>
      <c r="G355" s="27">
        <f>IF(A355="","",IFERROR(AVERAGEIFS(Prensa!$B$2:$B$5001,Prensa!$E$2:$E$5001,N355,Prensa!$F$2:$F$5001,4,Prensa!$G$2:$G$5001,1),""))</f>
        <v>0</v>
      </c>
      <c r="H355" s="26">
        <f>IF(A355="","",COUNT(D355:G355))</f>
        <v>0</v>
      </c>
      <c r="I355" s="27">
        <f>IF(A355="","",IF(H355=0,"",AVERAGE(D355:G355)))</f>
        <v>0</v>
      </c>
      <c r="J355" s="27">
        <f>IF(OR(I355="",C355=""),"",I355-C355)</f>
        <v>0</v>
      </c>
      <c r="K355" s="26">
        <f>IF(A355="","",IF(MES!E355&lt;&gt;4,"Horário do MES fora do padrão",IF(H355&lt;cfgMinCortes,"Cortes insuficientes","Válida")))</f>
        <v>0</v>
      </c>
      <c r="L355" s="27">
        <f>IF(K355="Válida",ABS(J355),"")</f>
        <v>0</v>
      </c>
      <c r="M355" s="26">
        <f>IF(K355="Válida",IF(L355&lt;=cfgTolerancia,"Sim","Não"),"")</f>
        <v>0</v>
      </c>
      <c r="N355" s="26">
        <f>IF(A355="","",MES!D355)</f>
        <v>0</v>
      </c>
      <c r="O355" s="25">
        <f>IF(K355="Válida",A355,NA())</f>
        <v>0</v>
      </c>
      <c r="P355" s="27">
        <f>IF(K355="Válida",C355,NA())</f>
        <v>0</v>
      </c>
      <c r="Q355" s="27">
        <f>IF(K355="Válida",I355,NA())</f>
        <v>0</v>
      </c>
      <c r="R355" s="27">
        <f>IF(K355="Válida",J355,NA())</f>
        <v>0</v>
      </c>
      <c r="S355" s="27">
        <f>IF(K355="Válida",C355,"")</f>
        <v>0</v>
      </c>
      <c r="T355" s="27">
        <f>IF(K355="Válida",I355,"")</f>
        <v>0</v>
      </c>
      <c r="U355" s="27">
        <f>IF(K355="Válida",J355,"")</f>
        <v>0</v>
      </c>
    </row>
    <row r="356" spans="1:21">
      <c r="A356" s="25">
        <f>IF(MES!A356="","",MES!C356/48)</f>
        <v>0</v>
      </c>
      <c r="B356" s="26">
        <f>IF(A356="","",TEXT((N356*4+cfgDeslocamento)/48,"hh:mm")&amp;" a "&amp;TEXT(A356,"hh:mm"))</f>
        <v>0</v>
      </c>
      <c r="C356" s="27">
        <f>IF(A356="","",MES!B356)</f>
        <v>0</v>
      </c>
      <c r="D356" s="27">
        <f>IF(A356="","",IFERROR(AVERAGEIFS(Prensa!$B$2:$B$5001,Prensa!$E$2:$E$5001,N356,Prensa!$F$2:$F$5001,1,Prensa!$G$2:$G$5001,1),""))</f>
        <v>0</v>
      </c>
      <c r="E356" s="27">
        <f>IF(A356="","",IFERROR(AVERAGEIFS(Prensa!$B$2:$B$5001,Prensa!$E$2:$E$5001,N356,Prensa!$F$2:$F$5001,2,Prensa!$G$2:$G$5001,1),""))</f>
        <v>0</v>
      </c>
      <c r="F356" s="27">
        <f>IF(A356="","",IFERROR(AVERAGEIFS(Prensa!$B$2:$B$5001,Prensa!$E$2:$E$5001,N356,Prensa!$F$2:$F$5001,3,Prensa!$G$2:$G$5001,1),""))</f>
        <v>0</v>
      </c>
      <c r="G356" s="27">
        <f>IF(A356="","",IFERROR(AVERAGEIFS(Prensa!$B$2:$B$5001,Prensa!$E$2:$E$5001,N356,Prensa!$F$2:$F$5001,4,Prensa!$G$2:$G$5001,1),""))</f>
        <v>0</v>
      </c>
      <c r="H356" s="26">
        <f>IF(A356="","",COUNT(D356:G356))</f>
        <v>0</v>
      </c>
      <c r="I356" s="27">
        <f>IF(A356="","",IF(H356=0,"",AVERAGE(D356:G356)))</f>
        <v>0</v>
      </c>
      <c r="J356" s="27">
        <f>IF(OR(I356="",C356=""),"",I356-C356)</f>
        <v>0</v>
      </c>
      <c r="K356" s="26">
        <f>IF(A356="","",IF(MES!E356&lt;&gt;4,"Horário do MES fora do padrão",IF(H356&lt;cfgMinCortes,"Cortes insuficientes","Válida")))</f>
        <v>0</v>
      </c>
      <c r="L356" s="27">
        <f>IF(K356="Válida",ABS(J356),"")</f>
        <v>0</v>
      </c>
      <c r="M356" s="26">
        <f>IF(K356="Válida",IF(L356&lt;=cfgTolerancia,"Sim","Não"),"")</f>
        <v>0</v>
      </c>
      <c r="N356" s="26">
        <f>IF(A356="","",MES!D356)</f>
        <v>0</v>
      </c>
      <c r="O356" s="25">
        <f>IF(K356="Válida",A356,NA())</f>
        <v>0</v>
      </c>
      <c r="P356" s="27">
        <f>IF(K356="Válida",C356,NA())</f>
        <v>0</v>
      </c>
      <c r="Q356" s="27">
        <f>IF(K356="Válida",I356,NA())</f>
        <v>0</v>
      </c>
      <c r="R356" s="27">
        <f>IF(K356="Válida",J356,NA())</f>
        <v>0</v>
      </c>
      <c r="S356" s="27">
        <f>IF(K356="Válida",C356,"")</f>
        <v>0</v>
      </c>
      <c r="T356" s="27">
        <f>IF(K356="Válida",I356,"")</f>
        <v>0</v>
      </c>
      <c r="U356" s="27">
        <f>IF(K356="Válida",J356,"")</f>
        <v>0</v>
      </c>
    </row>
    <row r="357" spans="1:21">
      <c r="A357" s="25">
        <f>IF(MES!A357="","",MES!C357/48)</f>
        <v>0</v>
      </c>
      <c r="B357" s="26">
        <f>IF(A357="","",TEXT((N357*4+cfgDeslocamento)/48,"hh:mm")&amp;" a "&amp;TEXT(A357,"hh:mm"))</f>
        <v>0</v>
      </c>
      <c r="C357" s="27">
        <f>IF(A357="","",MES!B357)</f>
        <v>0</v>
      </c>
      <c r="D357" s="27">
        <f>IF(A357="","",IFERROR(AVERAGEIFS(Prensa!$B$2:$B$5001,Prensa!$E$2:$E$5001,N357,Prensa!$F$2:$F$5001,1,Prensa!$G$2:$G$5001,1),""))</f>
        <v>0</v>
      </c>
      <c r="E357" s="27">
        <f>IF(A357="","",IFERROR(AVERAGEIFS(Prensa!$B$2:$B$5001,Prensa!$E$2:$E$5001,N357,Prensa!$F$2:$F$5001,2,Prensa!$G$2:$G$5001,1),""))</f>
        <v>0</v>
      </c>
      <c r="F357" s="27">
        <f>IF(A357="","",IFERROR(AVERAGEIFS(Prensa!$B$2:$B$5001,Prensa!$E$2:$E$5001,N357,Prensa!$F$2:$F$5001,3,Prensa!$G$2:$G$5001,1),""))</f>
        <v>0</v>
      </c>
      <c r="G357" s="27">
        <f>IF(A357="","",IFERROR(AVERAGEIFS(Prensa!$B$2:$B$5001,Prensa!$E$2:$E$5001,N357,Prensa!$F$2:$F$5001,4,Prensa!$G$2:$G$5001,1),""))</f>
        <v>0</v>
      </c>
      <c r="H357" s="26">
        <f>IF(A357="","",COUNT(D357:G357))</f>
        <v>0</v>
      </c>
      <c r="I357" s="27">
        <f>IF(A357="","",IF(H357=0,"",AVERAGE(D357:G357)))</f>
        <v>0</v>
      </c>
      <c r="J357" s="27">
        <f>IF(OR(I357="",C357=""),"",I357-C357)</f>
        <v>0</v>
      </c>
      <c r="K357" s="26">
        <f>IF(A357="","",IF(MES!E357&lt;&gt;4,"Horário do MES fora do padrão",IF(H357&lt;cfgMinCortes,"Cortes insuficientes","Válida")))</f>
        <v>0</v>
      </c>
      <c r="L357" s="27">
        <f>IF(K357="Válida",ABS(J357),"")</f>
        <v>0</v>
      </c>
      <c r="M357" s="26">
        <f>IF(K357="Válida",IF(L357&lt;=cfgTolerancia,"Sim","Não"),"")</f>
        <v>0</v>
      </c>
      <c r="N357" s="26">
        <f>IF(A357="","",MES!D357)</f>
        <v>0</v>
      </c>
      <c r="O357" s="25">
        <f>IF(K357="Válida",A357,NA())</f>
        <v>0</v>
      </c>
      <c r="P357" s="27">
        <f>IF(K357="Válida",C357,NA())</f>
        <v>0</v>
      </c>
      <c r="Q357" s="27">
        <f>IF(K357="Válida",I357,NA())</f>
        <v>0</v>
      </c>
      <c r="R357" s="27">
        <f>IF(K357="Válida",J357,NA())</f>
        <v>0</v>
      </c>
      <c r="S357" s="27">
        <f>IF(K357="Válida",C357,"")</f>
        <v>0</v>
      </c>
      <c r="T357" s="27">
        <f>IF(K357="Válida",I357,"")</f>
        <v>0</v>
      </c>
      <c r="U357" s="27">
        <f>IF(K357="Válida",J357,"")</f>
        <v>0</v>
      </c>
    </row>
    <row r="358" spans="1:21">
      <c r="A358" s="25">
        <f>IF(MES!A358="","",MES!C358/48)</f>
        <v>0</v>
      </c>
      <c r="B358" s="26">
        <f>IF(A358="","",TEXT((N358*4+cfgDeslocamento)/48,"hh:mm")&amp;" a "&amp;TEXT(A358,"hh:mm"))</f>
        <v>0</v>
      </c>
      <c r="C358" s="27">
        <f>IF(A358="","",MES!B358)</f>
        <v>0</v>
      </c>
      <c r="D358" s="27">
        <f>IF(A358="","",IFERROR(AVERAGEIFS(Prensa!$B$2:$B$5001,Prensa!$E$2:$E$5001,N358,Prensa!$F$2:$F$5001,1,Prensa!$G$2:$G$5001,1),""))</f>
        <v>0</v>
      </c>
      <c r="E358" s="27">
        <f>IF(A358="","",IFERROR(AVERAGEIFS(Prensa!$B$2:$B$5001,Prensa!$E$2:$E$5001,N358,Prensa!$F$2:$F$5001,2,Prensa!$G$2:$G$5001,1),""))</f>
        <v>0</v>
      </c>
      <c r="F358" s="27">
        <f>IF(A358="","",IFERROR(AVERAGEIFS(Prensa!$B$2:$B$5001,Prensa!$E$2:$E$5001,N358,Prensa!$F$2:$F$5001,3,Prensa!$G$2:$G$5001,1),""))</f>
        <v>0</v>
      </c>
      <c r="G358" s="27">
        <f>IF(A358="","",IFERROR(AVERAGEIFS(Prensa!$B$2:$B$5001,Prensa!$E$2:$E$5001,N358,Prensa!$F$2:$F$5001,4,Prensa!$G$2:$G$5001,1),""))</f>
        <v>0</v>
      </c>
      <c r="H358" s="26">
        <f>IF(A358="","",COUNT(D358:G358))</f>
        <v>0</v>
      </c>
      <c r="I358" s="27">
        <f>IF(A358="","",IF(H358=0,"",AVERAGE(D358:G358)))</f>
        <v>0</v>
      </c>
      <c r="J358" s="27">
        <f>IF(OR(I358="",C358=""),"",I358-C358)</f>
        <v>0</v>
      </c>
      <c r="K358" s="26">
        <f>IF(A358="","",IF(MES!E358&lt;&gt;4,"Horário do MES fora do padrão",IF(H358&lt;cfgMinCortes,"Cortes insuficientes","Válida")))</f>
        <v>0</v>
      </c>
      <c r="L358" s="27">
        <f>IF(K358="Válida",ABS(J358),"")</f>
        <v>0</v>
      </c>
      <c r="M358" s="26">
        <f>IF(K358="Válida",IF(L358&lt;=cfgTolerancia,"Sim","Não"),"")</f>
        <v>0</v>
      </c>
      <c r="N358" s="26">
        <f>IF(A358="","",MES!D358)</f>
        <v>0</v>
      </c>
      <c r="O358" s="25">
        <f>IF(K358="Válida",A358,NA())</f>
        <v>0</v>
      </c>
      <c r="P358" s="27">
        <f>IF(K358="Válida",C358,NA())</f>
        <v>0</v>
      </c>
      <c r="Q358" s="27">
        <f>IF(K358="Válida",I358,NA())</f>
        <v>0</v>
      </c>
      <c r="R358" s="27">
        <f>IF(K358="Válida",J358,NA())</f>
        <v>0</v>
      </c>
      <c r="S358" s="27">
        <f>IF(K358="Válida",C358,"")</f>
        <v>0</v>
      </c>
      <c r="T358" s="27">
        <f>IF(K358="Válida",I358,"")</f>
        <v>0</v>
      </c>
      <c r="U358" s="27">
        <f>IF(K358="Válida",J358,"")</f>
        <v>0</v>
      </c>
    </row>
    <row r="359" spans="1:21">
      <c r="A359" s="25">
        <f>IF(MES!A359="","",MES!C359/48)</f>
        <v>0</v>
      </c>
      <c r="B359" s="26">
        <f>IF(A359="","",TEXT((N359*4+cfgDeslocamento)/48,"hh:mm")&amp;" a "&amp;TEXT(A359,"hh:mm"))</f>
        <v>0</v>
      </c>
      <c r="C359" s="27">
        <f>IF(A359="","",MES!B359)</f>
        <v>0</v>
      </c>
      <c r="D359" s="27">
        <f>IF(A359="","",IFERROR(AVERAGEIFS(Prensa!$B$2:$B$5001,Prensa!$E$2:$E$5001,N359,Prensa!$F$2:$F$5001,1,Prensa!$G$2:$G$5001,1),""))</f>
        <v>0</v>
      </c>
      <c r="E359" s="27">
        <f>IF(A359="","",IFERROR(AVERAGEIFS(Prensa!$B$2:$B$5001,Prensa!$E$2:$E$5001,N359,Prensa!$F$2:$F$5001,2,Prensa!$G$2:$G$5001,1),""))</f>
        <v>0</v>
      </c>
      <c r="F359" s="27">
        <f>IF(A359="","",IFERROR(AVERAGEIFS(Prensa!$B$2:$B$5001,Prensa!$E$2:$E$5001,N359,Prensa!$F$2:$F$5001,3,Prensa!$G$2:$G$5001,1),""))</f>
        <v>0</v>
      </c>
      <c r="G359" s="27">
        <f>IF(A359="","",IFERROR(AVERAGEIFS(Prensa!$B$2:$B$5001,Prensa!$E$2:$E$5001,N359,Prensa!$F$2:$F$5001,4,Prensa!$G$2:$G$5001,1),""))</f>
        <v>0</v>
      </c>
      <c r="H359" s="26">
        <f>IF(A359="","",COUNT(D359:G359))</f>
        <v>0</v>
      </c>
      <c r="I359" s="27">
        <f>IF(A359="","",IF(H359=0,"",AVERAGE(D359:G359)))</f>
        <v>0</v>
      </c>
      <c r="J359" s="27">
        <f>IF(OR(I359="",C359=""),"",I359-C359)</f>
        <v>0</v>
      </c>
      <c r="K359" s="26">
        <f>IF(A359="","",IF(MES!E359&lt;&gt;4,"Horário do MES fora do padrão",IF(H359&lt;cfgMinCortes,"Cortes insuficientes","Válida")))</f>
        <v>0</v>
      </c>
      <c r="L359" s="27">
        <f>IF(K359="Válida",ABS(J359),"")</f>
        <v>0</v>
      </c>
      <c r="M359" s="26">
        <f>IF(K359="Válida",IF(L359&lt;=cfgTolerancia,"Sim","Não"),"")</f>
        <v>0</v>
      </c>
      <c r="N359" s="26">
        <f>IF(A359="","",MES!D359)</f>
        <v>0</v>
      </c>
      <c r="O359" s="25">
        <f>IF(K359="Válida",A359,NA())</f>
        <v>0</v>
      </c>
      <c r="P359" s="27">
        <f>IF(K359="Válida",C359,NA())</f>
        <v>0</v>
      </c>
      <c r="Q359" s="27">
        <f>IF(K359="Válida",I359,NA())</f>
        <v>0</v>
      </c>
      <c r="R359" s="27">
        <f>IF(K359="Válida",J359,NA())</f>
        <v>0</v>
      </c>
      <c r="S359" s="27">
        <f>IF(K359="Válida",C359,"")</f>
        <v>0</v>
      </c>
      <c r="T359" s="27">
        <f>IF(K359="Válida",I359,"")</f>
        <v>0</v>
      </c>
      <c r="U359" s="27">
        <f>IF(K359="Válida",J359,"")</f>
        <v>0</v>
      </c>
    </row>
    <row r="360" spans="1:21">
      <c r="A360" s="25">
        <f>IF(MES!A360="","",MES!C360/48)</f>
        <v>0</v>
      </c>
      <c r="B360" s="26">
        <f>IF(A360="","",TEXT((N360*4+cfgDeslocamento)/48,"hh:mm")&amp;" a "&amp;TEXT(A360,"hh:mm"))</f>
        <v>0</v>
      </c>
      <c r="C360" s="27">
        <f>IF(A360="","",MES!B360)</f>
        <v>0</v>
      </c>
      <c r="D360" s="27">
        <f>IF(A360="","",IFERROR(AVERAGEIFS(Prensa!$B$2:$B$5001,Prensa!$E$2:$E$5001,N360,Prensa!$F$2:$F$5001,1,Prensa!$G$2:$G$5001,1),""))</f>
        <v>0</v>
      </c>
      <c r="E360" s="27">
        <f>IF(A360="","",IFERROR(AVERAGEIFS(Prensa!$B$2:$B$5001,Prensa!$E$2:$E$5001,N360,Prensa!$F$2:$F$5001,2,Prensa!$G$2:$G$5001,1),""))</f>
        <v>0</v>
      </c>
      <c r="F360" s="27">
        <f>IF(A360="","",IFERROR(AVERAGEIFS(Prensa!$B$2:$B$5001,Prensa!$E$2:$E$5001,N360,Prensa!$F$2:$F$5001,3,Prensa!$G$2:$G$5001,1),""))</f>
        <v>0</v>
      </c>
      <c r="G360" s="27">
        <f>IF(A360="","",IFERROR(AVERAGEIFS(Prensa!$B$2:$B$5001,Prensa!$E$2:$E$5001,N360,Prensa!$F$2:$F$5001,4,Prensa!$G$2:$G$5001,1),""))</f>
        <v>0</v>
      </c>
      <c r="H360" s="26">
        <f>IF(A360="","",COUNT(D360:G360))</f>
        <v>0</v>
      </c>
      <c r="I360" s="27">
        <f>IF(A360="","",IF(H360=0,"",AVERAGE(D360:G360)))</f>
        <v>0</v>
      </c>
      <c r="J360" s="27">
        <f>IF(OR(I360="",C360=""),"",I360-C360)</f>
        <v>0</v>
      </c>
      <c r="K360" s="26">
        <f>IF(A360="","",IF(MES!E360&lt;&gt;4,"Horário do MES fora do padrão",IF(H360&lt;cfgMinCortes,"Cortes insuficientes","Válida")))</f>
        <v>0</v>
      </c>
      <c r="L360" s="27">
        <f>IF(K360="Válida",ABS(J360),"")</f>
        <v>0</v>
      </c>
      <c r="M360" s="26">
        <f>IF(K360="Válida",IF(L360&lt;=cfgTolerancia,"Sim","Não"),"")</f>
        <v>0</v>
      </c>
      <c r="N360" s="26">
        <f>IF(A360="","",MES!D360)</f>
        <v>0</v>
      </c>
      <c r="O360" s="25">
        <f>IF(K360="Válida",A360,NA())</f>
        <v>0</v>
      </c>
      <c r="P360" s="27">
        <f>IF(K360="Válida",C360,NA())</f>
        <v>0</v>
      </c>
      <c r="Q360" s="27">
        <f>IF(K360="Válida",I360,NA())</f>
        <v>0</v>
      </c>
      <c r="R360" s="27">
        <f>IF(K360="Válida",J360,NA())</f>
        <v>0</v>
      </c>
      <c r="S360" s="27">
        <f>IF(K360="Válida",C360,"")</f>
        <v>0</v>
      </c>
      <c r="T360" s="27">
        <f>IF(K360="Válida",I360,"")</f>
        <v>0</v>
      </c>
      <c r="U360" s="27">
        <f>IF(K360="Válida",J360,"")</f>
        <v>0</v>
      </c>
    </row>
    <row r="361" spans="1:21">
      <c r="A361" s="25">
        <f>IF(MES!A361="","",MES!C361/48)</f>
        <v>0</v>
      </c>
      <c r="B361" s="26">
        <f>IF(A361="","",TEXT((N361*4+cfgDeslocamento)/48,"hh:mm")&amp;" a "&amp;TEXT(A361,"hh:mm"))</f>
        <v>0</v>
      </c>
      <c r="C361" s="27">
        <f>IF(A361="","",MES!B361)</f>
        <v>0</v>
      </c>
      <c r="D361" s="27">
        <f>IF(A361="","",IFERROR(AVERAGEIFS(Prensa!$B$2:$B$5001,Prensa!$E$2:$E$5001,N361,Prensa!$F$2:$F$5001,1,Prensa!$G$2:$G$5001,1),""))</f>
        <v>0</v>
      </c>
      <c r="E361" s="27">
        <f>IF(A361="","",IFERROR(AVERAGEIFS(Prensa!$B$2:$B$5001,Prensa!$E$2:$E$5001,N361,Prensa!$F$2:$F$5001,2,Prensa!$G$2:$G$5001,1),""))</f>
        <v>0</v>
      </c>
      <c r="F361" s="27">
        <f>IF(A361="","",IFERROR(AVERAGEIFS(Prensa!$B$2:$B$5001,Prensa!$E$2:$E$5001,N361,Prensa!$F$2:$F$5001,3,Prensa!$G$2:$G$5001,1),""))</f>
        <v>0</v>
      </c>
      <c r="G361" s="27">
        <f>IF(A361="","",IFERROR(AVERAGEIFS(Prensa!$B$2:$B$5001,Prensa!$E$2:$E$5001,N361,Prensa!$F$2:$F$5001,4,Prensa!$G$2:$G$5001,1),""))</f>
        <v>0</v>
      </c>
      <c r="H361" s="26">
        <f>IF(A361="","",COUNT(D361:G361))</f>
        <v>0</v>
      </c>
      <c r="I361" s="27">
        <f>IF(A361="","",IF(H361=0,"",AVERAGE(D361:G361)))</f>
        <v>0</v>
      </c>
      <c r="J361" s="27">
        <f>IF(OR(I361="",C361=""),"",I361-C361)</f>
        <v>0</v>
      </c>
      <c r="K361" s="26">
        <f>IF(A361="","",IF(MES!E361&lt;&gt;4,"Horário do MES fora do padrão",IF(H361&lt;cfgMinCortes,"Cortes insuficientes","Válida")))</f>
        <v>0</v>
      </c>
      <c r="L361" s="27">
        <f>IF(K361="Válida",ABS(J361),"")</f>
        <v>0</v>
      </c>
      <c r="M361" s="26">
        <f>IF(K361="Válida",IF(L361&lt;=cfgTolerancia,"Sim","Não"),"")</f>
        <v>0</v>
      </c>
      <c r="N361" s="26">
        <f>IF(A361="","",MES!D361)</f>
        <v>0</v>
      </c>
      <c r="O361" s="25">
        <f>IF(K361="Válida",A361,NA())</f>
        <v>0</v>
      </c>
      <c r="P361" s="27">
        <f>IF(K361="Válida",C361,NA())</f>
        <v>0</v>
      </c>
      <c r="Q361" s="27">
        <f>IF(K361="Válida",I361,NA())</f>
        <v>0</v>
      </c>
      <c r="R361" s="27">
        <f>IF(K361="Válida",J361,NA())</f>
        <v>0</v>
      </c>
      <c r="S361" s="27">
        <f>IF(K361="Válida",C361,"")</f>
        <v>0</v>
      </c>
      <c r="T361" s="27">
        <f>IF(K361="Válida",I361,"")</f>
        <v>0</v>
      </c>
      <c r="U361" s="27">
        <f>IF(K361="Válida",J361,"")</f>
        <v>0</v>
      </c>
    </row>
    <row r="362" spans="1:21">
      <c r="A362" s="25">
        <f>IF(MES!A362="","",MES!C362/48)</f>
        <v>0</v>
      </c>
      <c r="B362" s="26">
        <f>IF(A362="","",TEXT((N362*4+cfgDeslocamento)/48,"hh:mm")&amp;" a "&amp;TEXT(A362,"hh:mm"))</f>
        <v>0</v>
      </c>
      <c r="C362" s="27">
        <f>IF(A362="","",MES!B362)</f>
        <v>0</v>
      </c>
      <c r="D362" s="27">
        <f>IF(A362="","",IFERROR(AVERAGEIFS(Prensa!$B$2:$B$5001,Prensa!$E$2:$E$5001,N362,Prensa!$F$2:$F$5001,1,Prensa!$G$2:$G$5001,1),""))</f>
        <v>0</v>
      </c>
      <c r="E362" s="27">
        <f>IF(A362="","",IFERROR(AVERAGEIFS(Prensa!$B$2:$B$5001,Prensa!$E$2:$E$5001,N362,Prensa!$F$2:$F$5001,2,Prensa!$G$2:$G$5001,1),""))</f>
        <v>0</v>
      </c>
      <c r="F362" s="27">
        <f>IF(A362="","",IFERROR(AVERAGEIFS(Prensa!$B$2:$B$5001,Prensa!$E$2:$E$5001,N362,Prensa!$F$2:$F$5001,3,Prensa!$G$2:$G$5001,1),""))</f>
        <v>0</v>
      </c>
      <c r="G362" s="27">
        <f>IF(A362="","",IFERROR(AVERAGEIFS(Prensa!$B$2:$B$5001,Prensa!$E$2:$E$5001,N362,Prensa!$F$2:$F$5001,4,Prensa!$G$2:$G$5001,1),""))</f>
        <v>0</v>
      </c>
      <c r="H362" s="26">
        <f>IF(A362="","",COUNT(D362:G362))</f>
        <v>0</v>
      </c>
      <c r="I362" s="27">
        <f>IF(A362="","",IF(H362=0,"",AVERAGE(D362:G362)))</f>
        <v>0</v>
      </c>
      <c r="J362" s="27">
        <f>IF(OR(I362="",C362=""),"",I362-C362)</f>
        <v>0</v>
      </c>
      <c r="K362" s="26">
        <f>IF(A362="","",IF(MES!E362&lt;&gt;4,"Horário do MES fora do padrão",IF(H362&lt;cfgMinCortes,"Cortes insuficientes","Válida")))</f>
        <v>0</v>
      </c>
      <c r="L362" s="27">
        <f>IF(K362="Válida",ABS(J362),"")</f>
        <v>0</v>
      </c>
      <c r="M362" s="26">
        <f>IF(K362="Válida",IF(L362&lt;=cfgTolerancia,"Sim","Não"),"")</f>
        <v>0</v>
      </c>
      <c r="N362" s="26">
        <f>IF(A362="","",MES!D362)</f>
        <v>0</v>
      </c>
      <c r="O362" s="25">
        <f>IF(K362="Válida",A362,NA())</f>
        <v>0</v>
      </c>
      <c r="P362" s="27">
        <f>IF(K362="Válida",C362,NA())</f>
        <v>0</v>
      </c>
      <c r="Q362" s="27">
        <f>IF(K362="Válida",I362,NA())</f>
        <v>0</v>
      </c>
      <c r="R362" s="27">
        <f>IF(K362="Válida",J362,NA())</f>
        <v>0</v>
      </c>
      <c r="S362" s="27">
        <f>IF(K362="Válida",C362,"")</f>
        <v>0</v>
      </c>
      <c r="T362" s="27">
        <f>IF(K362="Válida",I362,"")</f>
        <v>0</v>
      </c>
      <c r="U362" s="27">
        <f>IF(K362="Válida",J362,"")</f>
        <v>0</v>
      </c>
    </row>
    <row r="363" spans="1:21">
      <c r="A363" s="25">
        <f>IF(MES!A363="","",MES!C363/48)</f>
        <v>0</v>
      </c>
      <c r="B363" s="26">
        <f>IF(A363="","",TEXT((N363*4+cfgDeslocamento)/48,"hh:mm")&amp;" a "&amp;TEXT(A363,"hh:mm"))</f>
        <v>0</v>
      </c>
      <c r="C363" s="27">
        <f>IF(A363="","",MES!B363)</f>
        <v>0</v>
      </c>
      <c r="D363" s="27">
        <f>IF(A363="","",IFERROR(AVERAGEIFS(Prensa!$B$2:$B$5001,Prensa!$E$2:$E$5001,N363,Prensa!$F$2:$F$5001,1,Prensa!$G$2:$G$5001,1),""))</f>
        <v>0</v>
      </c>
      <c r="E363" s="27">
        <f>IF(A363="","",IFERROR(AVERAGEIFS(Prensa!$B$2:$B$5001,Prensa!$E$2:$E$5001,N363,Prensa!$F$2:$F$5001,2,Prensa!$G$2:$G$5001,1),""))</f>
        <v>0</v>
      </c>
      <c r="F363" s="27">
        <f>IF(A363="","",IFERROR(AVERAGEIFS(Prensa!$B$2:$B$5001,Prensa!$E$2:$E$5001,N363,Prensa!$F$2:$F$5001,3,Prensa!$G$2:$G$5001,1),""))</f>
        <v>0</v>
      </c>
      <c r="G363" s="27">
        <f>IF(A363="","",IFERROR(AVERAGEIFS(Prensa!$B$2:$B$5001,Prensa!$E$2:$E$5001,N363,Prensa!$F$2:$F$5001,4,Prensa!$G$2:$G$5001,1),""))</f>
        <v>0</v>
      </c>
      <c r="H363" s="26">
        <f>IF(A363="","",COUNT(D363:G363))</f>
        <v>0</v>
      </c>
      <c r="I363" s="27">
        <f>IF(A363="","",IF(H363=0,"",AVERAGE(D363:G363)))</f>
        <v>0</v>
      </c>
      <c r="J363" s="27">
        <f>IF(OR(I363="",C363=""),"",I363-C363)</f>
        <v>0</v>
      </c>
      <c r="K363" s="26">
        <f>IF(A363="","",IF(MES!E363&lt;&gt;4,"Horário do MES fora do padrão",IF(H363&lt;cfgMinCortes,"Cortes insuficientes","Válida")))</f>
        <v>0</v>
      </c>
      <c r="L363" s="27">
        <f>IF(K363="Válida",ABS(J363),"")</f>
        <v>0</v>
      </c>
      <c r="M363" s="26">
        <f>IF(K363="Válida",IF(L363&lt;=cfgTolerancia,"Sim","Não"),"")</f>
        <v>0</v>
      </c>
      <c r="N363" s="26">
        <f>IF(A363="","",MES!D363)</f>
        <v>0</v>
      </c>
      <c r="O363" s="25">
        <f>IF(K363="Válida",A363,NA())</f>
        <v>0</v>
      </c>
      <c r="P363" s="27">
        <f>IF(K363="Válida",C363,NA())</f>
        <v>0</v>
      </c>
      <c r="Q363" s="27">
        <f>IF(K363="Válida",I363,NA())</f>
        <v>0</v>
      </c>
      <c r="R363" s="27">
        <f>IF(K363="Válida",J363,NA())</f>
        <v>0</v>
      </c>
      <c r="S363" s="27">
        <f>IF(K363="Válida",C363,"")</f>
        <v>0</v>
      </c>
      <c r="T363" s="27">
        <f>IF(K363="Válida",I363,"")</f>
        <v>0</v>
      </c>
      <c r="U363" s="27">
        <f>IF(K363="Válida",J363,"")</f>
        <v>0</v>
      </c>
    </row>
    <row r="364" spans="1:21">
      <c r="A364" s="25">
        <f>IF(MES!A364="","",MES!C364/48)</f>
        <v>0</v>
      </c>
      <c r="B364" s="26">
        <f>IF(A364="","",TEXT((N364*4+cfgDeslocamento)/48,"hh:mm")&amp;" a "&amp;TEXT(A364,"hh:mm"))</f>
        <v>0</v>
      </c>
      <c r="C364" s="27">
        <f>IF(A364="","",MES!B364)</f>
        <v>0</v>
      </c>
      <c r="D364" s="27">
        <f>IF(A364="","",IFERROR(AVERAGEIFS(Prensa!$B$2:$B$5001,Prensa!$E$2:$E$5001,N364,Prensa!$F$2:$F$5001,1,Prensa!$G$2:$G$5001,1),""))</f>
        <v>0</v>
      </c>
      <c r="E364" s="27">
        <f>IF(A364="","",IFERROR(AVERAGEIFS(Prensa!$B$2:$B$5001,Prensa!$E$2:$E$5001,N364,Prensa!$F$2:$F$5001,2,Prensa!$G$2:$G$5001,1),""))</f>
        <v>0</v>
      </c>
      <c r="F364" s="27">
        <f>IF(A364="","",IFERROR(AVERAGEIFS(Prensa!$B$2:$B$5001,Prensa!$E$2:$E$5001,N364,Prensa!$F$2:$F$5001,3,Prensa!$G$2:$G$5001,1),""))</f>
        <v>0</v>
      </c>
      <c r="G364" s="27">
        <f>IF(A364="","",IFERROR(AVERAGEIFS(Prensa!$B$2:$B$5001,Prensa!$E$2:$E$5001,N364,Prensa!$F$2:$F$5001,4,Prensa!$G$2:$G$5001,1),""))</f>
        <v>0</v>
      </c>
      <c r="H364" s="26">
        <f>IF(A364="","",COUNT(D364:G364))</f>
        <v>0</v>
      </c>
      <c r="I364" s="27">
        <f>IF(A364="","",IF(H364=0,"",AVERAGE(D364:G364)))</f>
        <v>0</v>
      </c>
      <c r="J364" s="27">
        <f>IF(OR(I364="",C364=""),"",I364-C364)</f>
        <v>0</v>
      </c>
      <c r="K364" s="26">
        <f>IF(A364="","",IF(MES!E364&lt;&gt;4,"Horário do MES fora do padrão",IF(H364&lt;cfgMinCortes,"Cortes insuficientes","Válida")))</f>
        <v>0</v>
      </c>
      <c r="L364" s="27">
        <f>IF(K364="Válida",ABS(J364),"")</f>
        <v>0</v>
      </c>
      <c r="M364" s="26">
        <f>IF(K364="Válida",IF(L364&lt;=cfgTolerancia,"Sim","Não"),"")</f>
        <v>0</v>
      </c>
      <c r="N364" s="26">
        <f>IF(A364="","",MES!D364)</f>
        <v>0</v>
      </c>
      <c r="O364" s="25">
        <f>IF(K364="Válida",A364,NA())</f>
        <v>0</v>
      </c>
      <c r="P364" s="27">
        <f>IF(K364="Válida",C364,NA())</f>
        <v>0</v>
      </c>
      <c r="Q364" s="27">
        <f>IF(K364="Válida",I364,NA())</f>
        <v>0</v>
      </c>
      <c r="R364" s="27">
        <f>IF(K364="Válida",J364,NA())</f>
        <v>0</v>
      </c>
      <c r="S364" s="27">
        <f>IF(K364="Válida",C364,"")</f>
        <v>0</v>
      </c>
      <c r="T364" s="27">
        <f>IF(K364="Válida",I364,"")</f>
        <v>0</v>
      </c>
      <c r="U364" s="27">
        <f>IF(K364="Válida",J364,"")</f>
        <v>0</v>
      </c>
    </row>
    <row r="365" spans="1:21">
      <c r="A365" s="25">
        <f>IF(MES!A365="","",MES!C365/48)</f>
        <v>0</v>
      </c>
      <c r="B365" s="26">
        <f>IF(A365="","",TEXT((N365*4+cfgDeslocamento)/48,"hh:mm")&amp;" a "&amp;TEXT(A365,"hh:mm"))</f>
        <v>0</v>
      </c>
      <c r="C365" s="27">
        <f>IF(A365="","",MES!B365)</f>
        <v>0</v>
      </c>
      <c r="D365" s="27">
        <f>IF(A365="","",IFERROR(AVERAGEIFS(Prensa!$B$2:$B$5001,Prensa!$E$2:$E$5001,N365,Prensa!$F$2:$F$5001,1,Prensa!$G$2:$G$5001,1),""))</f>
        <v>0</v>
      </c>
      <c r="E365" s="27">
        <f>IF(A365="","",IFERROR(AVERAGEIFS(Prensa!$B$2:$B$5001,Prensa!$E$2:$E$5001,N365,Prensa!$F$2:$F$5001,2,Prensa!$G$2:$G$5001,1),""))</f>
        <v>0</v>
      </c>
      <c r="F365" s="27">
        <f>IF(A365="","",IFERROR(AVERAGEIFS(Prensa!$B$2:$B$5001,Prensa!$E$2:$E$5001,N365,Prensa!$F$2:$F$5001,3,Prensa!$G$2:$G$5001,1),""))</f>
        <v>0</v>
      </c>
      <c r="G365" s="27">
        <f>IF(A365="","",IFERROR(AVERAGEIFS(Prensa!$B$2:$B$5001,Prensa!$E$2:$E$5001,N365,Prensa!$F$2:$F$5001,4,Prensa!$G$2:$G$5001,1),""))</f>
        <v>0</v>
      </c>
      <c r="H365" s="26">
        <f>IF(A365="","",COUNT(D365:G365))</f>
        <v>0</v>
      </c>
      <c r="I365" s="27">
        <f>IF(A365="","",IF(H365=0,"",AVERAGE(D365:G365)))</f>
        <v>0</v>
      </c>
      <c r="J365" s="27">
        <f>IF(OR(I365="",C365=""),"",I365-C365)</f>
        <v>0</v>
      </c>
      <c r="K365" s="26">
        <f>IF(A365="","",IF(MES!E365&lt;&gt;4,"Horário do MES fora do padrão",IF(H365&lt;cfgMinCortes,"Cortes insuficientes","Válida")))</f>
        <v>0</v>
      </c>
      <c r="L365" s="27">
        <f>IF(K365="Válida",ABS(J365),"")</f>
        <v>0</v>
      </c>
      <c r="M365" s="26">
        <f>IF(K365="Válida",IF(L365&lt;=cfgTolerancia,"Sim","Não"),"")</f>
        <v>0</v>
      </c>
      <c r="N365" s="26">
        <f>IF(A365="","",MES!D365)</f>
        <v>0</v>
      </c>
      <c r="O365" s="25">
        <f>IF(K365="Válida",A365,NA())</f>
        <v>0</v>
      </c>
      <c r="P365" s="27">
        <f>IF(K365="Válida",C365,NA())</f>
        <v>0</v>
      </c>
      <c r="Q365" s="27">
        <f>IF(K365="Válida",I365,NA())</f>
        <v>0</v>
      </c>
      <c r="R365" s="27">
        <f>IF(K365="Válida",J365,NA())</f>
        <v>0</v>
      </c>
      <c r="S365" s="27">
        <f>IF(K365="Válida",C365,"")</f>
        <v>0</v>
      </c>
      <c r="T365" s="27">
        <f>IF(K365="Válida",I365,"")</f>
        <v>0</v>
      </c>
      <c r="U365" s="27">
        <f>IF(K365="Válida",J365,"")</f>
        <v>0</v>
      </c>
    </row>
    <row r="366" spans="1:21">
      <c r="A366" s="25">
        <f>IF(MES!A366="","",MES!C366/48)</f>
        <v>0</v>
      </c>
      <c r="B366" s="26">
        <f>IF(A366="","",TEXT((N366*4+cfgDeslocamento)/48,"hh:mm")&amp;" a "&amp;TEXT(A366,"hh:mm"))</f>
        <v>0</v>
      </c>
      <c r="C366" s="27">
        <f>IF(A366="","",MES!B366)</f>
        <v>0</v>
      </c>
      <c r="D366" s="27">
        <f>IF(A366="","",IFERROR(AVERAGEIFS(Prensa!$B$2:$B$5001,Prensa!$E$2:$E$5001,N366,Prensa!$F$2:$F$5001,1,Prensa!$G$2:$G$5001,1),""))</f>
        <v>0</v>
      </c>
      <c r="E366" s="27">
        <f>IF(A366="","",IFERROR(AVERAGEIFS(Prensa!$B$2:$B$5001,Prensa!$E$2:$E$5001,N366,Prensa!$F$2:$F$5001,2,Prensa!$G$2:$G$5001,1),""))</f>
        <v>0</v>
      </c>
      <c r="F366" s="27">
        <f>IF(A366="","",IFERROR(AVERAGEIFS(Prensa!$B$2:$B$5001,Prensa!$E$2:$E$5001,N366,Prensa!$F$2:$F$5001,3,Prensa!$G$2:$G$5001,1),""))</f>
        <v>0</v>
      </c>
      <c r="G366" s="27">
        <f>IF(A366="","",IFERROR(AVERAGEIFS(Prensa!$B$2:$B$5001,Prensa!$E$2:$E$5001,N366,Prensa!$F$2:$F$5001,4,Prensa!$G$2:$G$5001,1),""))</f>
        <v>0</v>
      </c>
      <c r="H366" s="26">
        <f>IF(A366="","",COUNT(D366:G366))</f>
        <v>0</v>
      </c>
      <c r="I366" s="27">
        <f>IF(A366="","",IF(H366=0,"",AVERAGE(D366:G366)))</f>
        <v>0</v>
      </c>
      <c r="J366" s="27">
        <f>IF(OR(I366="",C366=""),"",I366-C366)</f>
        <v>0</v>
      </c>
      <c r="K366" s="26">
        <f>IF(A366="","",IF(MES!E366&lt;&gt;4,"Horário do MES fora do padrão",IF(H366&lt;cfgMinCortes,"Cortes insuficientes","Válida")))</f>
        <v>0</v>
      </c>
      <c r="L366" s="27">
        <f>IF(K366="Válida",ABS(J366),"")</f>
        <v>0</v>
      </c>
      <c r="M366" s="26">
        <f>IF(K366="Válida",IF(L366&lt;=cfgTolerancia,"Sim","Não"),"")</f>
        <v>0</v>
      </c>
      <c r="N366" s="26">
        <f>IF(A366="","",MES!D366)</f>
        <v>0</v>
      </c>
      <c r="O366" s="25">
        <f>IF(K366="Válida",A366,NA())</f>
        <v>0</v>
      </c>
      <c r="P366" s="27">
        <f>IF(K366="Válida",C366,NA())</f>
        <v>0</v>
      </c>
      <c r="Q366" s="27">
        <f>IF(K366="Válida",I366,NA())</f>
        <v>0</v>
      </c>
      <c r="R366" s="27">
        <f>IF(K366="Válida",J366,NA())</f>
        <v>0</v>
      </c>
      <c r="S366" s="27">
        <f>IF(K366="Válida",C366,"")</f>
        <v>0</v>
      </c>
      <c r="T366" s="27">
        <f>IF(K366="Válida",I366,"")</f>
        <v>0</v>
      </c>
      <c r="U366" s="27">
        <f>IF(K366="Válida",J366,"")</f>
        <v>0</v>
      </c>
    </row>
    <row r="367" spans="1:21">
      <c r="A367" s="25">
        <f>IF(MES!A367="","",MES!C367/48)</f>
        <v>0</v>
      </c>
      <c r="B367" s="26">
        <f>IF(A367="","",TEXT((N367*4+cfgDeslocamento)/48,"hh:mm")&amp;" a "&amp;TEXT(A367,"hh:mm"))</f>
        <v>0</v>
      </c>
      <c r="C367" s="27">
        <f>IF(A367="","",MES!B367)</f>
        <v>0</v>
      </c>
      <c r="D367" s="27">
        <f>IF(A367="","",IFERROR(AVERAGEIFS(Prensa!$B$2:$B$5001,Prensa!$E$2:$E$5001,N367,Prensa!$F$2:$F$5001,1,Prensa!$G$2:$G$5001,1),""))</f>
        <v>0</v>
      </c>
      <c r="E367" s="27">
        <f>IF(A367="","",IFERROR(AVERAGEIFS(Prensa!$B$2:$B$5001,Prensa!$E$2:$E$5001,N367,Prensa!$F$2:$F$5001,2,Prensa!$G$2:$G$5001,1),""))</f>
        <v>0</v>
      </c>
      <c r="F367" s="27">
        <f>IF(A367="","",IFERROR(AVERAGEIFS(Prensa!$B$2:$B$5001,Prensa!$E$2:$E$5001,N367,Prensa!$F$2:$F$5001,3,Prensa!$G$2:$G$5001,1),""))</f>
        <v>0</v>
      </c>
      <c r="G367" s="27">
        <f>IF(A367="","",IFERROR(AVERAGEIFS(Prensa!$B$2:$B$5001,Prensa!$E$2:$E$5001,N367,Prensa!$F$2:$F$5001,4,Prensa!$G$2:$G$5001,1),""))</f>
        <v>0</v>
      </c>
      <c r="H367" s="26">
        <f>IF(A367="","",COUNT(D367:G367))</f>
        <v>0</v>
      </c>
      <c r="I367" s="27">
        <f>IF(A367="","",IF(H367=0,"",AVERAGE(D367:G367)))</f>
        <v>0</v>
      </c>
      <c r="J367" s="27">
        <f>IF(OR(I367="",C367=""),"",I367-C367)</f>
        <v>0</v>
      </c>
      <c r="K367" s="26">
        <f>IF(A367="","",IF(MES!E367&lt;&gt;4,"Horário do MES fora do padrão",IF(H367&lt;cfgMinCortes,"Cortes insuficientes","Válida")))</f>
        <v>0</v>
      </c>
      <c r="L367" s="27">
        <f>IF(K367="Válida",ABS(J367),"")</f>
        <v>0</v>
      </c>
      <c r="M367" s="26">
        <f>IF(K367="Válida",IF(L367&lt;=cfgTolerancia,"Sim","Não"),"")</f>
        <v>0</v>
      </c>
      <c r="N367" s="26">
        <f>IF(A367="","",MES!D367)</f>
        <v>0</v>
      </c>
      <c r="O367" s="25">
        <f>IF(K367="Válida",A367,NA())</f>
        <v>0</v>
      </c>
      <c r="P367" s="27">
        <f>IF(K367="Válida",C367,NA())</f>
        <v>0</v>
      </c>
      <c r="Q367" s="27">
        <f>IF(K367="Válida",I367,NA())</f>
        <v>0</v>
      </c>
      <c r="R367" s="27">
        <f>IF(K367="Válida",J367,NA())</f>
        <v>0</v>
      </c>
      <c r="S367" s="27">
        <f>IF(K367="Válida",C367,"")</f>
        <v>0</v>
      </c>
      <c r="T367" s="27">
        <f>IF(K367="Válida",I367,"")</f>
        <v>0</v>
      </c>
      <c r="U367" s="27">
        <f>IF(K367="Válida",J367,"")</f>
        <v>0</v>
      </c>
    </row>
    <row r="368" spans="1:21">
      <c r="A368" s="25">
        <f>IF(MES!A368="","",MES!C368/48)</f>
        <v>0</v>
      </c>
      <c r="B368" s="26">
        <f>IF(A368="","",TEXT((N368*4+cfgDeslocamento)/48,"hh:mm")&amp;" a "&amp;TEXT(A368,"hh:mm"))</f>
        <v>0</v>
      </c>
      <c r="C368" s="27">
        <f>IF(A368="","",MES!B368)</f>
        <v>0</v>
      </c>
      <c r="D368" s="27">
        <f>IF(A368="","",IFERROR(AVERAGEIFS(Prensa!$B$2:$B$5001,Prensa!$E$2:$E$5001,N368,Prensa!$F$2:$F$5001,1,Prensa!$G$2:$G$5001,1),""))</f>
        <v>0</v>
      </c>
      <c r="E368" s="27">
        <f>IF(A368="","",IFERROR(AVERAGEIFS(Prensa!$B$2:$B$5001,Prensa!$E$2:$E$5001,N368,Prensa!$F$2:$F$5001,2,Prensa!$G$2:$G$5001,1),""))</f>
        <v>0</v>
      </c>
      <c r="F368" s="27">
        <f>IF(A368="","",IFERROR(AVERAGEIFS(Prensa!$B$2:$B$5001,Prensa!$E$2:$E$5001,N368,Prensa!$F$2:$F$5001,3,Prensa!$G$2:$G$5001,1),""))</f>
        <v>0</v>
      </c>
      <c r="G368" s="27">
        <f>IF(A368="","",IFERROR(AVERAGEIFS(Prensa!$B$2:$B$5001,Prensa!$E$2:$E$5001,N368,Prensa!$F$2:$F$5001,4,Prensa!$G$2:$G$5001,1),""))</f>
        <v>0</v>
      </c>
      <c r="H368" s="26">
        <f>IF(A368="","",COUNT(D368:G368))</f>
        <v>0</v>
      </c>
      <c r="I368" s="27">
        <f>IF(A368="","",IF(H368=0,"",AVERAGE(D368:G368)))</f>
        <v>0</v>
      </c>
      <c r="J368" s="27">
        <f>IF(OR(I368="",C368=""),"",I368-C368)</f>
        <v>0</v>
      </c>
      <c r="K368" s="26">
        <f>IF(A368="","",IF(MES!E368&lt;&gt;4,"Horário do MES fora do padrão",IF(H368&lt;cfgMinCortes,"Cortes insuficientes","Válida")))</f>
        <v>0</v>
      </c>
      <c r="L368" s="27">
        <f>IF(K368="Válida",ABS(J368),"")</f>
        <v>0</v>
      </c>
      <c r="M368" s="26">
        <f>IF(K368="Válida",IF(L368&lt;=cfgTolerancia,"Sim","Não"),"")</f>
        <v>0</v>
      </c>
      <c r="N368" s="26">
        <f>IF(A368="","",MES!D368)</f>
        <v>0</v>
      </c>
      <c r="O368" s="25">
        <f>IF(K368="Válida",A368,NA())</f>
        <v>0</v>
      </c>
      <c r="P368" s="27">
        <f>IF(K368="Válida",C368,NA())</f>
        <v>0</v>
      </c>
      <c r="Q368" s="27">
        <f>IF(K368="Válida",I368,NA())</f>
        <v>0</v>
      </c>
      <c r="R368" s="27">
        <f>IF(K368="Válida",J368,NA())</f>
        <v>0</v>
      </c>
      <c r="S368" s="27">
        <f>IF(K368="Válida",C368,"")</f>
        <v>0</v>
      </c>
      <c r="T368" s="27">
        <f>IF(K368="Válida",I368,"")</f>
        <v>0</v>
      </c>
      <c r="U368" s="27">
        <f>IF(K368="Válida",J368,"")</f>
        <v>0</v>
      </c>
    </row>
    <row r="369" spans="1:21">
      <c r="A369" s="25">
        <f>IF(MES!A369="","",MES!C369/48)</f>
        <v>0</v>
      </c>
      <c r="B369" s="26">
        <f>IF(A369="","",TEXT((N369*4+cfgDeslocamento)/48,"hh:mm")&amp;" a "&amp;TEXT(A369,"hh:mm"))</f>
        <v>0</v>
      </c>
      <c r="C369" s="27">
        <f>IF(A369="","",MES!B369)</f>
        <v>0</v>
      </c>
      <c r="D369" s="27">
        <f>IF(A369="","",IFERROR(AVERAGEIFS(Prensa!$B$2:$B$5001,Prensa!$E$2:$E$5001,N369,Prensa!$F$2:$F$5001,1,Prensa!$G$2:$G$5001,1),""))</f>
        <v>0</v>
      </c>
      <c r="E369" s="27">
        <f>IF(A369="","",IFERROR(AVERAGEIFS(Prensa!$B$2:$B$5001,Prensa!$E$2:$E$5001,N369,Prensa!$F$2:$F$5001,2,Prensa!$G$2:$G$5001,1),""))</f>
        <v>0</v>
      </c>
      <c r="F369" s="27">
        <f>IF(A369="","",IFERROR(AVERAGEIFS(Prensa!$B$2:$B$5001,Prensa!$E$2:$E$5001,N369,Prensa!$F$2:$F$5001,3,Prensa!$G$2:$G$5001,1),""))</f>
        <v>0</v>
      </c>
      <c r="G369" s="27">
        <f>IF(A369="","",IFERROR(AVERAGEIFS(Prensa!$B$2:$B$5001,Prensa!$E$2:$E$5001,N369,Prensa!$F$2:$F$5001,4,Prensa!$G$2:$G$5001,1),""))</f>
        <v>0</v>
      </c>
      <c r="H369" s="26">
        <f>IF(A369="","",COUNT(D369:G369))</f>
        <v>0</v>
      </c>
      <c r="I369" s="27">
        <f>IF(A369="","",IF(H369=0,"",AVERAGE(D369:G369)))</f>
        <v>0</v>
      </c>
      <c r="J369" s="27">
        <f>IF(OR(I369="",C369=""),"",I369-C369)</f>
        <v>0</v>
      </c>
      <c r="K369" s="26">
        <f>IF(A369="","",IF(MES!E369&lt;&gt;4,"Horário do MES fora do padrão",IF(H369&lt;cfgMinCortes,"Cortes insuficientes","Válida")))</f>
        <v>0</v>
      </c>
      <c r="L369" s="27">
        <f>IF(K369="Válida",ABS(J369),"")</f>
        <v>0</v>
      </c>
      <c r="M369" s="26">
        <f>IF(K369="Válida",IF(L369&lt;=cfgTolerancia,"Sim","Não"),"")</f>
        <v>0</v>
      </c>
      <c r="N369" s="26">
        <f>IF(A369="","",MES!D369)</f>
        <v>0</v>
      </c>
      <c r="O369" s="25">
        <f>IF(K369="Válida",A369,NA())</f>
        <v>0</v>
      </c>
      <c r="P369" s="27">
        <f>IF(K369="Válida",C369,NA())</f>
        <v>0</v>
      </c>
      <c r="Q369" s="27">
        <f>IF(K369="Válida",I369,NA())</f>
        <v>0</v>
      </c>
      <c r="R369" s="27">
        <f>IF(K369="Válida",J369,NA())</f>
        <v>0</v>
      </c>
      <c r="S369" s="27">
        <f>IF(K369="Válida",C369,"")</f>
        <v>0</v>
      </c>
      <c r="T369" s="27">
        <f>IF(K369="Válida",I369,"")</f>
        <v>0</v>
      </c>
      <c r="U369" s="27">
        <f>IF(K369="Válida",J369,"")</f>
        <v>0</v>
      </c>
    </row>
    <row r="370" spans="1:21">
      <c r="A370" s="25">
        <f>IF(MES!A370="","",MES!C370/48)</f>
        <v>0</v>
      </c>
      <c r="B370" s="26">
        <f>IF(A370="","",TEXT((N370*4+cfgDeslocamento)/48,"hh:mm")&amp;" a "&amp;TEXT(A370,"hh:mm"))</f>
        <v>0</v>
      </c>
      <c r="C370" s="27">
        <f>IF(A370="","",MES!B370)</f>
        <v>0</v>
      </c>
      <c r="D370" s="27">
        <f>IF(A370="","",IFERROR(AVERAGEIFS(Prensa!$B$2:$B$5001,Prensa!$E$2:$E$5001,N370,Prensa!$F$2:$F$5001,1,Prensa!$G$2:$G$5001,1),""))</f>
        <v>0</v>
      </c>
      <c r="E370" s="27">
        <f>IF(A370="","",IFERROR(AVERAGEIFS(Prensa!$B$2:$B$5001,Prensa!$E$2:$E$5001,N370,Prensa!$F$2:$F$5001,2,Prensa!$G$2:$G$5001,1),""))</f>
        <v>0</v>
      </c>
      <c r="F370" s="27">
        <f>IF(A370="","",IFERROR(AVERAGEIFS(Prensa!$B$2:$B$5001,Prensa!$E$2:$E$5001,N370,Prensa!$F$2:$F$5001,3,Prensa!$G$2:$G$5001,1),""))</f>
        <v>0</v>
      </c>
      <c r="G370" s="27">
        <f>IF(A370="","",IFERROR(AVERAGEIFS(Prensa!$B$2:$B$5001,Prensa!$E$2:$E$5001,N370,Prensa!$F$2:$F$5001,4,Prensa!$G$2:$G$5001,1),""))</f>
        <v>0</v>
      </c>
      <c r="H370" s="26">
        <f>IF(A370="","",COUNT(D370:G370))</f>
        <v>0</v>
      </c>
      <c r="I370" s="27">
        <f>IF(A370="","",IF(H370=0,"",AVERAGE(D370:G370)))</f>
        <v>0</v>
      </c>
      <c r="J370" s="27">
        <f>IF(OR(I370="",C370=""),"",I370-C370)</f>
        <v>0</v>
      </c>
      <c r="K370" s="26">
        <f>IF(A370="","",IF(MES!E370&lt;&gt;4,"Horário do MES fora do padrão",IF(H370&lt;cfgMinCortes,"Cortes insuficientes","Válida")))</f>
        <v>0</v>
      </c>
      <c r="L370" s="27">
        <f>IF(K370="Válida",ABS(J370),"")</f>
        <v>0</v>
      </c>
      <c r="M370" s="26">
        <f>IF(K370="Válida",IF(L370&lt;=cfgTolerancia,"Sim","Não"),"")</f>
        <v>0</v>
      </c>
      <c r="N370" s="26">
        <f>IF(A370="","",MES!D370)</f>
        <v>0</v>
      </c>
      <c r="O370" s="25">
        <f>IF(K370="Válida",A370,NA())</f>
        <v>0</v>
      </c>
      <c r="P370" s="27">
        <f>IF(K370="Válida",C370,NA())</f>
        <v>0</v>
      </c>
      <c r="Q370" s="27">
        <f>IF(K370="Válida",I370,NA())</f>
        <v>0</v>
      </c>
      <c r="R370" s="27">
        <f>IF(K370="Válida",J370,NA())</f>
        <v>0</v>
      </c>
      <c r="S370" s="27">
        <f>IF(K370="Válida",C370,"")</f>
        <v>0</v>
      </c>
      <c r="T370" s="27">
        <f>IF(K370="Válida",I370,"")</f>
        <v>0</v>
      </c>
      <c r="U370" s="27">
        <f>IF(K370="Válida",J370,"")</f>
        <v>0</v>
      </c>
    </row>
    <row r="371" spans="1:21">
      <c r="A371" s="25">
        <f>IF(MES!A371="","",MES!C371/48)</f>
        <v>0</v>
      </c>
      <c r="B371" s="26">
        <f>IF(A371="","",TEXT((N371*4+cfgDeslocamento)/48,"hh:mm")&amp;" a "&amp;TEXT(A371,"hh:mm"))</f>
        <v>0</v>
      </c>
      <c r="C371" s="27">
        <f>IF(A371="","",MES!B371)</f>
        <v>0</v>
      </c>
      <c r="D371" s="27">
        <f>IF(A371="","",IFERROR(AVERAGEIFS(Prensa!$B$2:$B$5001,Prensa!$E$2:$E$5001,N371,Prensa!$F$2:$F$5001,1,Prensa!$G$2:$G$5001,1),""))</f>
        <v>0</v>
      </c>
      <c r="E371" s="27">
        <f>IF(A371="","",IFERROR(AVERAGEIFS(Prensa!$B$2:$B$5001,Prensa!$E$2:$E$5001,N371,Prensa!$F$2:$F$5001,2,Prensa!$G$2:$G$5001,1),""))</f>
        <v>0</v>
      </c>
      <c r="F371" s="27">
        <f>IF(A371="","",IFERROR(AVERAGEIFS(Prensa!$B$2:$B$5001,Prensa!$E$2:$E$5001,N371,Prensa!$F$2:$F$5001,3,Prensa!$G$2:$G$5001,1),""))</f>
        <v>0</v>
      </c>
      <c r="G371" s="27">
        <f>IF(A371="","",IFERROR(AVERAGEIFS(Prensa!$B$2:$B$5001,Prensa!$E$2:$E$5001,N371,Prensa!$F$2:$F$5001,4,Prensa!$G$2:$G$5001,1),""))</f>
        <v>0</v>
      </c>
      <c r="H371" s="26">
        <f>IF(A371="","",COUNT(D371:G371))</f>
        <v>0</v>
      </c>
      <c r="I371" s="27">
        <f>IF(A371="","",IF(H371=0,"",AVERAGE(D371:G371)))</f>
        <v>0</v>
      </c>
      <c r="J371" s="27">
        <f>IF(OR(I371="",C371=""),"",I371-C371)</f>
        <v>0</v>
      </c>
      <c r="K371" s="26">
        <f>IF(A371="","",IF(MES!E371&lt;&gt;4,"Horário do MES fora do padrão",IF(H371&lt;cfgMinCortes,"Cortes insuficientes","Válida")))</f>
        <v>0</v>
      </c>
      <c r="L371" s="27">
        <f>IF(K371="Válida",ABS(J371),"")</f>
        <v>0</v>
      </c>
      <c r="M371" s="26">
        <f>IF(K371="Válida",IF(L371&lt;=cfgTolerancia,"Sim","Não"),"")</f>
        <v>0</v>
      </c>
      <c r="N371" s="26">
        <f>IF(A371="","",MES!D371)</f>
        <v>0</v>
      </c>
      <c r="O371" s="25">
        <f>IF(K371="Válida",A371,NA())</f>
        <v>0</v>
      </c>
      <c r="P371" s="27">
        <f>IF(K371="Válida",C371,NA())</f>
        <v>0</v>
      </c>
      <c r="Q371" s="27">
        <f>IF(K371="Válida",I371,NA())</f>
        <v>0</v>
      </c>
      <c r="R371" s="27">
        <f>IF(K371="Válida",J371,NA())</f>
        <v>0</v>
      </c>
      <c r="S371" s="27">
        <f>IF(K371="Válida",C371,"")</f>
        <v>0</v>
      </c>
      <c r="T371" s="27">
        <f>IF(K371="Válida",I371,"")</f>
        <v>0</v>
      </c>
      <c r="U371" s="27">
        <f>IF(K371="Válida",J371,"")</f>
        <v>0</v>
      </c>
    </row>
    <row r="372" spans="1:21">
      <c r="A372" s="25">
        <f>IF(MES!A372="","",MES!C372/48)</f>
        <v>0</v>
      </c>
      <c r="B372" s="26">
        <f>IF(A372="","",TEXT((N372*4+cfgDeslocamento)/48,"hh:mm")&amp;" a "&amp;TEXT(A372,"hh:mm"))</f>
        <v>0</v>
      </c>
      <c r="C372" s="27">
        <f>IF(A372="","",MES!B372)</f>
        <v>0</v>
      </c>
      <c r="D372" s="27">
        <f>IF(A372="","",IFERROR(AVERAGEIFS(Prensa!$B$2:$B$5001,Prensa!$E$2:$E$5001,N372,Prensa!$F$2:$F$5001,1,Prensa!$G$2:$G$5001,1),""))</f>
        <v>0</v>
      </c>
      <c r="E372" s="27">
        <f>IF(A372="","",IFERROR(AVERAGEIFS(Prensa!$B$2:$B$5001,Prensa!$E$2:$E$5001,N372,Prensa!$F$2:$F$5001,2,Prensa!$G$2:$G$5001,1),""))</f>
        <v>0</v>
      </c>
      <c r="F372" s="27">
        <f>IF(A372="","",IFERROR(AVERAGEIFS(Prensa!$B$2:$B$5001,Prensa!$E$2:$E$5001,N372,Prensa!$F$2:$F$5001,3,Prensa!$G$2:$G$5001,1),""))</f>
        <v>0</v>
      </c>
      <c r="G372" s="27">
        <f>IF(A372="","",IFERROR(AVERAGEIFS(Prensa!$B$2:$B$5001,Prensa!$E$2:$E$5001,N372,Prensa!$F$2:$F$5001,4,Prensa!$G$2:$G$5001,1),""))</f>
        <v>0</v>
      </c>
      <c r="H372" s="26">
        <f>IF(A372="","",COUNT(D372:G372))</f>
        <v>0</v>
      </c>
      <c r="I372" s="27">
        <f>IF(A372="","",IF(H372=0,"",AVERAGE(D372:G372)))</f>
        <v>0</v>
      </c>
      <c r="J372" s="27">
        <f>IF(OR(I372="",C372=""),"",I372-C372)</f>
        <v>0</v>
      </c>
      <c r="K372" s="26">
        <f>IF(A372="","",IF(MES!E372&lt;&gt;4,"Horário do MES fora do padrão",IF(H372&lt;cfgMinCortes,"Cortes insuficientes","Válida")))</f>
        <v>0</v>
      </c>
      <c r="L372" s="27">
        <f>IF(K372="Válida",ABS(J372),"")</f>
        <v>0</v>
      </c>
      <c r="M372" s="26">
        <f>IF(K372="Válida",IF(L372&lt;=cfgTolerancia,"Sim","Não"),"")</f>
        <v>0</v>
      </c>
      <c r="N372" s="26">
        <f>IF(A372="","",MES!D372)</f>
        <v>0</v>
      </c>
      <c r="O372" s="25">
        <f>IF(K372="Válida",A372,NA())</f>
        <v>0</v>
      </c>
      <c r="P372" s="27">
        <f>IF(K372="Válida",C372,NA())</f>
        <v>0</v>
      </c>
      <c r="Q372" s="27">
        <f>IF(K372="Válida",I372,NA())</f>
        <v>0</v>
      </c>
      <c r="R372" s="27">
        <f>IF(K372="Válida",J372,NA())</f>
        <v>0</v>
      </c>
      <c r="S372" s="27">
        <f>IF(K372="Válida",C372,"")</f>
        <v>0</v>
      </c>
      <c r="T372" s="27">
        <f>IF(K372="Válida",I372,"")</f>
        <v>0</v>
      </c>
      <c r="U372" s="27">
        <f>IF(K372="Válida",J372,"")</f>
        <v>0</v>
      </c>
    </row>
    <row r="373" spans="1:21">
      <c r="A373" s="25">
        <f>IF(MES!A373="","",MES!C373/48)</f>
        <v>0</v>
      </c>
      <c r="B373" s="26">
        <f>IF(A373="","",TEXT((N373*4+cfgDeslocamento)/48,"hh:mm")&amp;" a "&amp;TEXT(A373,"hh:mm"))</f>
        <v>0</v>
      </c>
      <c r="C373" s="27">
        <f>IF(A373="","",MES!B373)</f>
        <v>0</v>
      </c>
      <c r="D373" s="27">
        <f>IF(A373="","",IFERROR(AVERAGEIFS(Prensa!$B$2:$B$5001,Prensa!$E$2:$E$5001,N373,Prensa!$F$2:$F$5001,1,Prensa!$G$2:$G$5001,1),""))</f>
        <v>0</v>
      </c>
      <c r="E373" s="27">
        <f>IF(A373="","",IFERROR(AVERAGEIFS(Prensa!$B$2:$B$5001,Prensa!$E$2:$E$5001,N373,Prensa!$F$2:$F$5001,2,Prensa!$G$2:$G$5001,1),""))</f>
        <v>0</v>
      </c>
      <c r="F373" s="27">
        <f>IF(A373="","",IFERROR(AVERAGEIFS(Prensa!$B$2:$B$5001,Prensa!$E$2:$E$5001,N373,Prensa!$F$2:$F$5001,3,Prensa!$G$2:$G$5001,1),""))</f>
        <v>0</v>
      </c>
      <c r="G373" s="27">
        <f>IF(A373="","",IFERROR(AVERAGEIFS(Prensa!$B$2:$B$5001,Prensa!$E$2:$E$5001,N373,Prensa!$F$2:$F$5001,4,Prensa!$G$2:$G$5001,1),""))</f>
        <v>0</v>
      </c>
      <c r="H373" s="26">
        <f>IF(A373="","",COUNT(D373:G373))</f>
        <v>0</v>
      </c>
      <c r="I373" s="27">
        <f>IF(A373="","",IF(H373=0,"",AVERAGE(D373:G373)))</f>
        <v>0</v>
      </c>
      <c r="J373" s="27">
        <f>IF(OR(I373="",C373=""),"",I373-C373)</f>
        <v>0</v>
      </c>
      <c r="K373" s="26">
        <f>IF(A373="","",IF(MES!E373&lt;&gt;4,"Horário do MES fora do padrão",IF(H373&lt;cfgMinCortes,"Cortes insuficientes","Válida")))</f>
        <v>0</v>
      </c>
      <c r="L373" s="27">
        <f>IF(K373="Válida",ABS(J373),"")</f>
        <v>0</v>
      </c>
      <c r="M373" s="26">
        <f>IF(K373="Válida",IF(L373&lt;=cfgTolerancia,"Sim","Não"),"")</f>
        <v>0</v>
      </c>
      <c r="N373" s="26">
        <f>IF(A373="","",MES!D373)</f>
        <v>0</v>
      </c>
      <c r="O373" s="25">
        <f>IF(K373="Válida",A373,NA())</f>
        <v>0</v>
      </c>
      <c r="P373" s="27">
        <f>IF(K373="Válida",C373,NA())</f>
        <v>0</v>
      </c>
      <c r="Q373" s="27">
        <f>IF(K373="Válida",I373,NA())</f>
        <v>0</v>
      </c>
      <c r="R373" s="27">
        <f>IF(K373="Válida",J373,NA())</f>
        <v>0</v>
      </c>
      <c r="S373" s="27">
        <f>IF(K373="Válida",C373,"")</f>
        <v>0</v>
      </c>
      <c r="T373" s="27">
        <f>IF(K373="Válida",I373,"")</f>
        <v>0</v>
      </c>
      <c r="U373" s="27">
        <f>IF(K373="Válida",J373,"")</f>
        <v>0</v>
      </c>
    </row>
    <row r="374" spans="1:21">
      <c r="A374" s="25">
        <f>IF(MES!A374="","",MES!C374/48)</f>
        <v>0</v>
      </c>
      <c r="B374" s="26">
        <f>IF(A374="","",TEXT((N374*4+cfgDeslocamento)/48,"hh:mm")&amp;" a "&amp;TEXT(A374,"hh:mm"))</f>
        <v>0</v>
      </c>
      <c r="C374" s="27">
        <f>IF(A374="","",MES!B374)</f>
        <v>0</v>
      </c>
      <c r="D374" s="27">
        <f>IF(A374="","",IFERROR(AVERAGEIFS(Prensa!$B$2:$B$5001,Prensa!$E$2:$E$5001,N374,Prensa!$F$2:$F$5001,1,Prensa!$G$2:$G$5001,1),""))</f>
        <v>0</v>
      </c>
      <c r="E374" s="27">
        <f>IF(A374="","",IFERROR(AVERAGEIFS(Prensa!$B$2:$B$5001,Prensa!$E$2:$E$5001,N374,Prensa!$F$2:$F$5001,2,Prensa!$G$2:$G$5001,1),""))</f>
        <v>0</v>
      </c>
      <c r="F374" s="27">
        <f>IF(A374="","",IFERROR(AVERAGEIFS(Prensa!$B$2:$B$5001,Prensa!$E$2:$E$5001,N374,Prensa!$F$2:$F$5001,3,Prensa!$G$2:$G$5001,1),""))</f>
        <v>0</v>
      </c>
      <c r="G374" s="27">
        <f>IF(A374="","",IFERROR(AVERAGEIFS(Prensa!$B$2:$B$5001,Prensa!$E$2:$E$5001,N374,Prensa!$F$2:$F$5001,4,Prensa!$G$2:$G$5001,1),""))</f>
        <v>0</v>
      </c>
      <c r="H374" s="26">
        <f>IF(A374="","",COUNT(D374:G374))</f>
        <v>0</v>
      </c>
      <c r="I374" s="27">
        <f>IF(A374="","",IF(H374=0,"",AVERAGE(D374:G374)))</f>
        <v>0</v>
      </c>
      <c r="J374" s="27">
        <f>IF(OR(I374="",C374=""),"",I374-C374)</f>
        <v>0</v>
      </c>
      <c r="K374" s="26">
        <f>IF(A374="","",IF(MES!E374&lt;&gt;4,"Horário do MES fora do padrão",IF(H374&lt;cfgMinCortes,"Cortes insuficientes","Válida")))</f>
        <v>0</v>
      </c>
      <c r="L374" s="27">
        <f>IF(K374="Válida",ABS(J374),"")</f>
        <v>0</v>
      </c>
      <c r="M374" s="26">
        <f>IF(K374="Válida",IF(L374&lt;=cfgTolerancia,"Sim","Não"),"")</f>
        <v>0</v>
      </c>
      <c r="N374" s="26">
        <f>IF(A374="","",MES!D374)</f>
        <v>0</v>
      </c>
      <c r="O374" s="25">
        <f>IF(K374="Válida",A374,NA())</f>
        <v>0</v>
      </c>
      <c r="P374" s="27">
        <f>IF(K374="Válida",C374,NA())</f>
        <v>0</v>
      </c>
      <c r="Q374" s="27">
        <f>IF(K374="Válida",I374,NA())</f>
        <v>0</v>
      </c>
      <c r="R374" s="27">
        <f>IF(K374="Válida",J374,NA())</f>
        <v>0</v>
      </c>
      <c r="S374" s="27">
        <f>IF(K374="Válida",C374,"")</f>
        <v>0</v>
      </c>
      <c r="T374" s="27">
        <f>IF(K374="Válida",I374,"")</f>
        <v>0</v>
      </c>
      <c r="U374" s="27">
        <f>IF(K374="Válida",J374,"")</f>
        <v>0</v>
      </c>
    </row>
    <row r="375" spans="1:21">
      <c r="A375" s="25">
        <f>IF(MES!A375="","",MES!C375/48)</f>
        <v>0</v>
      </c>
      <c r="B375" s="26">
        <f>IF(A375="","",TEXT((N375*4+cfgDeslocamento)/48,"hh:mm")&amp;" a "&amp;TEXT(A375,"hh:mm"))</f>
        <v>0</v>
      </c>
      <c r="C375" s="27">
        <f>IF(A375="","",MES!B375)</f>
        <v>0</v>
      </c>
      <c r="D375" s="27">
        <f>IF(A375="","",IFERROR(AVERAGEIFS(Prensa!$B$2:$B$5001,Prensa!$E$2:$E$5001,N375,Prensa!$F$2:$F$5001,1,Prensa!$G$2:$G$5001,1),""))</f>
        <v>0</v>
      </c>
      <c r="E375" s="27">
        <f>IF(A375="","",IFERROR(AVERAGEIFS(Prensa!$B$2:$B$5001,Prensa!$E$2:$E$5001,N375,Prensa!$F$2:$F$5001,2,Prensa!$G$2:$G$5001,1),""))</f>
        <v>0</v>
      </c>
      <c r="F375" s="27">
        <f>IF(A375="","",IFERROR(AVERAGEIFS(Prensa!$B$2:$B$5001,Prensa!$E$2:$E$5001,N375,Prensa!$F$2:$F$5001,3,Prensa!$G$2:$G$5001,1),""))</f>
        <v>0</v>
      </c>
      <c r="G375" s="27">
        <f>IF(A375="","",IFERROR(AVERAGEIFS(Prensa!$B$2:$B$5001,Prensa!$E$2:$E$5001,N375,Prensa!$F$2:$F$5001,4,Prensa!$G$2:$G$5001,1),""))</f>
        <v>0</v>
      </c>
      <c r="H375" s="26">
        <f>IF(A375="","",COUNT(D375:G375))</f>
        <v>0</v>
      </c>
      <c r="I375" s="27">
        <f>IF(A375="","",IF(H375=0,"",AVERAGE(D375:G375)))</f>
        <v>0</v>
      </c>
      <c r="J375" s="27">
        <f>IF(OR(I375="",C375=""),"",I375-C375)</f>
        <v>0</v>
      </c>
      <c r="K375" s="26">
        <f>IF(A375="","",IF(MES!E375&lt;&gt;4,"Horário do MES fora do padrão",IF(H375&lt;cfgMinCortes,"Cortes insuficientes","Válida")))</f>
        <v>0</v>
      </c>
      <c r="L375" s="27">
        <f>IF(K375="Válida",ABS(J375),"")</f>
        <v>0</v>
      </c>
      <c r="M375" s="26">
        <f>IF(K375="Válida",IF(L375&lt;=cfgTolerancia,"Sim","Não"),"")</f>
        <v>0</v>
      </c>
      <c r="N375" s="26">
        <f>IF(A375="","",MES!D375)</f>
        <v>0</v>
      </c>
      <c r="O375" s="25">
        <f>IF(K375="Válida",A375,NA())</f>
        <v>0</v>
      </c>
      <c r="P375" s="27">
        <f>IF(K375="Válida",C375,NA())</f>
        <v>0</v>
      </c>
      <c r="Q375" s="27">
        <f>IF(K375="Válida",I375,NA())</f>
        <v>0</v>
      </c>
      <c r="R375" s="27">
        <f>IF(K375="Válida",J375,NA())</f>
        <v>0</v>
      </c>
      <c r="S375" s="27">
        <f>IF(K375="Válida",C375,"")</f>
        <v>0</v>
      </c>
      <c r="T375" s="27">
        <f>IF(K375="Válida",I375,"")</f>
        <v>0</v>
      </c>
      <c r="U375" s="27">
        <f>IF(K375="Válida",J375,"")</f>
        <v>0</v>
      </c>
    </row>
    <row r="376" spans="1:21">
      <c r="A376" s="25">
        <f>IF(MES!A376="","",MES!C376/48)</f>
        <v>0</v>
      </c>
      <c r="B376" s="26">
        <f>IF(A376="","",TEXT((N376*4+cfgDeslocamento)/48,"hh:mm")&amp;" a "&amp;TEXT(A376,"hh:mm"))</f>
        <v>0</v>
      </c>
      <c r="C376" s="27">
        <f>IF(A376="","",MES!B376)</f>
        <v>0</v>
      </c>
      <c r="D376" s="27">
        <f>IF(A376="","",IFERROR(AVERAGEIFS(Prensa!$B$2:$B$5001,Prensa!$E$2:$E$5001,N376,Prensa!$F$2:$F$5001,1,Prensa!$G$2:$G$5001,1),""))</f>
        <v>0</v>
      </c>
      <c r="E376" s="27">
        <f>IF(A376="","",IFERROR(AVERAGEIFS(Prensa!$B$2:$B$5001,Prensa!$E$2:$E$5001,N376,Prensa!$F$2:$F$5001,2,Prensa!$G$2:$G$5001,1),""))</f>
        <v>0</v>
      </c>
      <c r="F376" s="27">
        <f>IF(A376="","",IFERROR(AVERAGEIFS(Prensa!$B$2:$B$5001,Prensa!$E$2:$E$5001,N376,Prensa!$F$2:$F$5001,3,Prensa!$G$2:$G$5001,1),""))</f>
        <v>0</v>
      </c>
      <c r="G376" s="27">
        <f>IF(A376="","",IFERROR(AVERAGEIFS(Prensa!$B$2:$B$5001,Prensa!$E$2:$E$5001,N376,Prensa!$F$2:$F$5001,4,Prensa!$G$2:$G$5001,1),""))</f>
        <v>0</v>
      </c>
      <c r="H376" s="26">
        <f>IF(A376="","",COUNT(D376:G376))</f>
        <v>0</v>
      </c>
      <c r="I376" s="27">
        <f>IF(A376="","",IF(H376=0,"",AVERAGE(D376:G376)))</f>
        <v>0</v>
      </c>
      <c r="J376" s="27">
        <f>IF(OR(I376="",C376=""),"",I376-C376)</f>
        <v>0</v>
      </c>
      <c r="K376" s="26">
        <f>IF(A376="","",IF(MES!E376&lt;&gt;4,"Horário do MES fora do padrão",IF(H376&lt;cfgMinCortes,"Cortes insuficientes","Válida")))</f>
        <v>0</v>
      </c>
      <c r="L376" s="27">
        <f>IF(K376="Válida",ABS(J376),"")</f>
        <v>0</v>
      </c>
      <c r="M376" s="26">
        <f>IF(K376="Válida",IF(L376&lt;=cfgTolerancia,"Sim","Não"),"")</f>
        <v>0</v>
      </c>
      <c r="N376" s="26">
        <f>IF(A376="","",MES!D376)</f>
        <v>0</v>
      </c>
      <c r="O376" s="25">
        <f>IF(K376="Válida",A376,NA())</f>
        <v>0</v>
      </c>
      <c r="P376" s="27">
        <f>IF(K376="Válida",C376,NA())</f>
        <v>0</v>
      </c>
      <c r="Q376" s="27">
        <f>IF(K376="Válida",I376,NA())</f>
        <v>0</v>
      </c>
      <c r="R376" s="27">
        <f>IF(K376="Válida",J376,NA())</f>
        <v>0</v>
      </c>
      <c r="S376" s="27">
        <f>IF(K376="Válida",C376,"")</f>
        <v>0</v>
      </c>
      <c r="T376" s="27">
        <f>IF(K376="Válida",I376,"")</f>
        <v>0</v>
      </c>
      <c r="U376" s="27">
        <f>IF(K376="Válida",J376,"")</f>
        <v>0</v>
      </c>
    </row>
    <row r="377" spans="1:21">
      <c r="A377" s="25">
        <f>IF(MES!A377="","",MES!C377/48)</f>
        <v>0</v>
      </c>
      <c r="B377" s="26">
        <f>IF(A377="","",TEXT((N377*4+cfgDeslocamento)/48,"hh:mm")&amp;" a "&amp;TEXT(A377,"hh:mm"))</f>
        <v>0</v>
      </c>
      <c r="C377" s="27">
        <f>IF(A377="","",MES!B377)</f>
        <v>0</v>
      </c>
      <c r="D377" s="27">
        <f>IF(A377="","",IFERROR(AVERAGEIFS(Prensa!$B$2:$B$5001,Prensa!$E$2:$E$5001,N377,Prensa!$F$2:$F$5001,1,Prensa!$G$2:$G$5001,1),""))</f>
        <v>0</v>
      </c>
      <c r="E377" s="27">
        <f>IF(A377="","",IFERROR(AVERAGEIFS(Prensa!$B$2:$B$5001,Prensa!$E$2:$E$5001,N377,Prensa!$F$2:$F$5001,2,Prensa!$G$2:$G$5001,1),""))</f>
        <v>0</v>
      </c>
      <c r="F377" s="27">
        <f>IF(A377="","",IFERROR(AVERAGEIFS(Prensa!$B$2:$B$5001,Prensa!$E$2:$E$5001,N377,Prensa!$F$2:$F$5001,3,Prensa!$G$2:$G$5001,1),""))</f>
        <v>0</v>
      </c>
      <c r="G377" s="27">
        <f>IF(A377="","",IFERROR(AVERAGEIFS(Prensa!$B$2:$B$5001,Prensa!$E$2:$E$5001,N377,Prensa!$F$2:$F$5001,4,Prensa!$G$2:$G$5001,1),""))</f>
        <v>0</v>
      </c>
      <c r="H377" s="26">
        <f>IF(A377="","",COUNT(D377:G377))</f>
        <v>0</v>
      </c>
      <c r="I377" s="27">
        <f>IF(A377="","",IF(H377=0,"",AVERAGE(D377:G377)))</f>
        <v>0</v>
      </c>
      <c r="J377" s="27">
        <f>IF(OR(I377="",C377=""),"",I377-C377)</f>
        <v>0</v>
      </c>
      <c r="K377" s="26">
        <f>IF(A377="","",IF(MES!E377&lt;&gt;4,"Horário do MES fora do padrão",IF(H377&lt;cfgMinCortes,"Cortes insuficientes","Válida")))</f>
        <v>0</v>
      </c>
      <c r="L377" s="27">
        <f>IF(K377="Válida",ABS(J377),"")</f>
        <v>0</v>
      </c>
      <c r="M377" s="26">
        <f>IF(K377="Válida",IF(L377&lt;=cfgTolerancia,"Sim","Não"),"")</f>
        <v>0</v>
      </c>
      <c r="N377" s="26">
        <f>IF(A377="","",MES!D377)</f>
        <v>0</v>
      </c>
      <c r="O377" s="25">
        <f>IF(K377="Válida",A377,NA())</f>
        <v>0</v>
      </c>
      <c r="P377" s="27">
        <f>IF(K377="Válida",C377,NA())</f>
        <v>0</v>
      </c>
      <c r="Q377" s="27">
        <f>IF(K377="Válida",I377,NA())</f>
        <v>0</v>
      </c>
      <c r="R377" s="27">
        <f>IF(K377="Válida",J377,NA())</f>
        <v>0</v>
      </c>
      <c r="S377" s="27">
        <f>IF(K377="Válida",C377,"")</f>
        <v>0</v>
      </c>
      <c r="T377" s="27">
        <f>IF(K377="Válida",I377,"")</f>
        <v>0</v>
      </c>
      <c r="U377" s="27">
        <f>IF(K377="Válida",J377,"")</f>
        <v>0</v>
      </c>
    </row>
    <row r="378" spans="1:21">
      <c r="A378" s="25">
        <f>IF(MES!A378="","",MES!C378/48)</f>
        <v>0</v>
      </c>
      <c r="B378" s="26">
        <f>IF(A378="","",TEXT((N378*4+cfgDeslocamento)/48,"hh:mm")&amp;" a "&amp;TEXT(A378,"hh:mm"))</f>
        <v>0</v>
      </c>
      <c r="C378" s="27">
        <f>IF(A378="","",MES!B378)</f>
        <v>0</v>
      </c>
      <c r="D378" s="27">
        <f>IF(A378="","",IFERROR(AVERAGEIFS(Prensa!$B$2:$B$5001,Prensa!$E$2:$E$5001,N378,Prensa!$F$2:$F$5001,1,Prensa!$G$2:$G$5001,1),""))</f>
        <v>0</v>
      </c>
      <c r="E378" s="27">
        <f>IF(A378="","",IFERROR(AVERAGEIFS(Prensa!$B$2:$B$5001,Prensa!$E$2:$E$5001,N378,Prensa!$F$2:$F$5001,2,Prensa!$G$2:$G$5001,1),""))</f>
        <v>0</v>
      </c>
      <c r="F378" s="27">
        <f>IF(A378="","",IFERROR(AVERAGEIFS(Prensa!$B$2:$B$5001,Prensa!$E$2:$E$5001,N378,Prensa!$F$2:$F$5001,3,Prensa!$G$2:$G$5001,1),""))</f>
        <v>0</v>
      </c>
      <c r="G378" s="27">
        <f>IF(A378="","",IFERROR(AVERAGEIFS(Prensa!$B$2:$B$5001,Prensa!$E$2:$E$5001,N378,Prensa!$F$2:$F$5001,4,Prensa!$G$2:$G$5001,1),""))</f>
        <v>0</v>
      </c>
      <c r="H378" s="26">
        <f>IF(A378="","",COUNT(D378:G378))</f>
        <v>0</v>
      </c>
      <c r="I378" s="27">
        <f>IF(A378="","",IF(H378=0,"",AVERAGE(D378:G378)))</f>
        <v>0</v>
      </c>
      <c r="J378" s="27">
        <f>IF(OR(I378="",C378=""),"",I378-C378)</f>
        <v>0</v>
      </c>
      <c r="K378" s="26">
        <f>IF(A378="","",IF(MES!E378&lt;&gt;4,"Horário do MES fora do padrão",IF(H378&lt;cfgMinCortes,"Cortes insuficientes","Válida")))</f>
        <v>0</v>
      </c>
      <c r="L378" s="27">
        <f>IF(K378="Válida",ABS(J378),"")</f>
        <v>0</v>
      </c>
      <c r="M378" s="26">
        <f>IF(K378="Válida",IF(L378&lt;=cfgTolerancia,"Sim","Não"),"")</f>
        <v>0</v>
      </c>
      <c r="N378" s="26">
        <f>IF(A378="","",MES!D378)</f>
        <v>0</v>
      </c>
      <c r="O378" s="25">
        <f>IF(K378="Válida",A378,NA())</f>
        <v>0</v>
      </c>
      <c r="P378" s="27">
        <f>IF(K378="Válida",C378,NA())</f>
        <v>0</v>
      </c>
      <c r="Q378" s="27">
        <f>IF(K378="Válida",I378,NA())</f>
        <v>0</v>
      </c>
      <c r="R378" s="27">
        <f>IF(K378="Válida",J378,NA())</f>
        <v>0</v>
      </c>
      <c r="S378" s="27">
        <f>IF(K378="Válida",C378,"")</f>
        <v>0</v>
      </c>
      <c r="T378" s="27">
        <f>IF(K378="Válida",I378,"")</f>
        <v>0</v>
      </c>
      <c r="U378" s="27">
        <f>IF(K378="Válida",J378,"")</f>
        <v>0</v>
      </c>
    </row>
    <row r="379" spans="1:21">
      <c r="A379" s="25">
        <f>IF(MES!A379="","",MES!C379/48)</f>
        <v>0</v>
      </c>
      <c r="B379" s="26">
        <f>IF(A379="","",TEXT((N379*4+cfgDeslocamento)/48,"hh:mm")&amp;" a "&amp;TEXT(A379,"hh:mm"))</f>
        <v>0</v>
      </c>
      <c r="C379" s="27">
        <f>IF(A379="","",MES!B379)</f>
        <v>0</v>
      </c>
      <c r="D379" s="27">
        <f>IF(A379="","",IFERROR(AVERAGEIFS(Prensa!$B$2:$B$5001,Prensa!$E$2:$E$5001,N379,Prensa!$F$2:$F$5001,1,Prensa!$G$2:$G$5001,1),""))</f>
        <v>0</v>
      </c>
      <c r="E379" s="27">
        <f>IF(A379="","",IFERROR(AVERAGEIFS(Prensa!$B$2:$B$5001,Prensa!$E$2:$E$5001,N379,Prensa!$F$2:$F$5001,2,Prensa!$G$2:$G$5001,1),""))</f>
        <v>0</v>
      </c>
      <c r="F379" s="27">
        <f>IF(A379="","",IFERROR(AVERAGEIFS(Prensa!$B$2:$B$5001,Prensa!$E$2:$E$5001,N379,Prensa!$F$2:$F$5001,3,Prensa!$G$2:$G$5001,1),""))</f>
        <v>0</v>
      </c>
      <c r="G379" s="27">
        <f>IF(A379="","",IFERROR(AVERAGEIFS(Prensa!$B$2:$B$5001,Prensa!$E$2:$E$5001,N379,Prensa!$F$2:$F$5001,4,Prensa!$G$2:$G$5001,1),""))</f>
        <v>0</v>
      </c>
      <c r="H379" s="26">
        <f>IF(A379="","",COUNT(D379:G379))</f>
        <v>0</v>
      </c>
      <c r="I379" s="27">
        <f>IF(A379="","",IF(H379=0,"",AVERAGE(D379:G379)))</f>
        <v>0</v>
      </c>
      <c r="J379" s="27">
        <f>IF(OR(I379="",C379=""),"",I379-C379)</f>
        <v>0</v>
      </c>
      <c r="K379" s="26">
        <f>IF(A379="","",IF(MES!E379&lt;&gt;4,"Horário do MES fora do padrão",IF(H379&lt;cfgMinCortes,"Cortes insuficientes","Válida")))</f>
        <v>0</v>
      </c>
      <c r="L379" s="27">
        <f>IF(K379="Válida",ABS(J379),"")</f>
        <v>0</v>
      </c>
      <c r="M379" s="26">
        <f>IF(K379="Válida",IF(L379&lt;=cfgTolerancia,"Sim","Não"),"")</f>
        <v>0</v>
      </c>
      <c r="N379" s="26">
        <f>IF(A379="","",MES!D379)</f>
        <v>0</v>
      </c>
      <c r="O379" s="25">
        <f>IF(K379="Válida",A379,NA())</f>
        <v>0</v>
      </c>
      <c r="P379" s="27">
        <f>IF(K379="Válida",C379,NA())</f>
        <v>0</v>
      </c>
      <c r="Q379" s="27">
        <f>IF(K379="Válida",I379,NA())</f>
        <v>0</v>
      </c>
      <c r="R379" s="27">
        <f>IF(K379="Válida",J379,NA())</f>
        <v>0</v>
      </c>
      <c r="S379" s="27">
        <f>IF(K379="Válida",C379,"")</f>
        <v>0</v>
      </c>
      <c r="T379" s="27">
        <f>IF(K379="Válida",I379,"")</f>
        <v>0</v>
      </c>
      <c r="U379" s="27">
        <f>IF(K379="Válida",J379,"")</f>
        <v>0</v>
      </c>
    </row>
    <row r="380" spans="1:21">
      <c r="A380" s="25">
        <f>IF(MES!A380="","",MES!C380/48)</f>
        <v>0</v>
      </c>
      <c r="B380" s="26">
        <f>IF(A380="","",TEXT((N380*4+cfgDeslocamento)/48,"hh:mm")&amp;" a "&amp;TEXT(A380,"hh:mm"))</f>
        <v>0</v>
      </c>
      <c r="C380" s="27">
        <f>IF(A380="","",MES!B380)</f>
        <v>0</v>
      </c>
      <c r="D380" s="27">
        <f>IF(A380="","",IFERROR(AVERAGEIFS(Prensa!$B$2:$B$5001,Prensa!$E$2:$E$5001,N380,Prensa!$F$2:$F$5001,1,Prensa!$G$2:$G$5001,1),""))</f>
        <v>0</v>
      </c>
      <c r="E380" s="27">
        <f>IF(A380="","",IFERROR(AVERAGEIFS(Prensa!$B$2:$B$5001,Prensa!$E$2:$E$5001,N380,Prensa!$F$2:$F$5001,2,Prensa!$G$2:$G$5001,1),""))</f>
        <v>0</v>
      </c>
      <c r="F380" s="27">
        <f>IF(A380="","",IFERROR(AVERAGEIFS(Prensa!$B$2:$B$5001,Prensa!$E$2:$E$5001,N380,Prensa!$F$2:$F$5001,3,Prensa!$G$2:$G$5001,1),""))</f>
        <v>0</v>
      </c>
      <c r="G380" s="27">
        <f>IF(A380="","",IFERROR(AVERAGEIFS(Prensa!$B$2:$B$5001,Prensa!$E$2:$E$5001,N380,Prensa!$F$2:$F$5001,4,Prensa!$G$2:$G$5001,1),""))</f>
        <v>0</v>
      </c>
      <c r="H380" s="26">
        <f>IF(A380="","",COUNT(D380:G380))</f>
        <v>0</v>
      </c>
      <c r="I380" s="27">
        <f>IF(A380="","",IF(H380=0,"",AVERAGE(D380:G380)))</f>
        <v>0</v>
      </c>
      <c r="J380" s="27">
        <f>IF(OR(I380="",C380=""),"",I380-C380)</f>
        <v>0</v>
      </c>
      <c r="K380" s="26">
        <f>IF(A380="","",IF(MES!E380&lt;&gt;4,"Horário do MES fora do padrão",IF(H380&lt;cfgMinCortes,"Cortes insuficientes","Válida")))</f>
        <v>0</v>
      </c>
      <c r="L380" s="27">
        <f>IF(K380="Válida",ABS(J380),"")</f>
        <v>0</v>
      </c>
      <c r="M380" s="26">
        <f>IF(K380="Válida",IF(L380&lt;=cfgTolerancia,"Sim","Não"),"")</f>
        <v>0</v>
      </c>
      <c r="N380" s="26">
        <f>IF(A380="","",MES!D380)</f>
        <v>0</v>
      </c>
      <c r="O380" s="25">
        <f>IF(K380="Válida",A380,NA())</f>
        <v>0</v>
      </c>
      <c r="P380" s="27">
        <f>IF(K380="Válida",C380,NA())</f>
        <v>0</v>
      </c>
      <c r="Q380" s="27">
        <f>IF(K380="Válida",I380,NA())</f>
        <v>0</v>
      </c>
      <c r="R380" s="27">
        <f>IF(K380="Válida",J380,NA())</f>
        <v>0</v>
      </c>
      <c r="S380" s="27">
        <f>IF(K380="Válida",C380,"")</f>
        <v>0</v>
      </c>
      <c r="T380" s="27">
        <f>IF(K380="Válida",I380,"")</f>
        <v>0</v>
      </c>
      <c r="U380" s="27">
        <f>IF(K380="Válida",J380,"")</f>
        <v>0</v>
      </c>
    </row>
    <row r="381" spans="1:21">
      <c r="A381" s="25">
        <f>IF(MES!A381="","",MES!C381/48)</f>
        <v>0</v>
      </c>
      <c r="B381" s="26">
        <f>IF(A381="","",TEXT((N381*4+cfgDeslocamento)/48,"hh:mm")&amp;" a "&amp;TEXT(A381,"hh:mm"))</f>
        <v>0</v>
      </c>
      <c r="C381" s="27">
        <f>IF(A381="","",MES!B381)</f>
        <v>0</v>
      </c>
      <c r="D381" s="27">
        <f>IF(A381="","",IFERROR(AVERAGEIFS(Prensa!$B$2:$B$5001,Prensa!$E$2:$E$5001,N381,Prensa!$F$2:$F$5001,1,Prensa!$G$2:$G$5001,1),""))</f>
        <v>0</v>
      </c>
      <c r="E381" s="27">
        <f>IF(A381="","",IFERROR(AVERAGEIFS(Prensa!$B$2:$B$5001,Prensa!$E$2:$E$5001,N381,Prensa!$F$2:$F$5001,2,Prensa!$G$2:$G$5001,1),""))</f>
        <v>0</v>
      </c>
      <c r="F381" s="27">
        <f>IF(A381="","",IFERROR(AVERAGEIFS(Prensa!$B$2:$B$5001,Prensa!$E$2:$E$5001,N381,Prensa!$F$2:$F$5001,3,Prensa!$G$2:$G$5001,1),""))</f>
        <v>0</v>
      </c>
      <c r="G381" s="27">
        <f>IF(A381="","",IFERROR(AVERAGEIFS(Prensa!$B$2:$B$5001,Prensa!$E$2:$E$5001,N381,Prensa!$F$2:$F$5001,4,Prensa!$G$2:$G$5001,1),""))</f>
        <v>0</v>
      </c>
      <c r="H381" s="26">
        <f>IF(A381="","",COUNT(D381:G381))</f>
        <v>0</v>
      </c>
      <c r="I381" s="27">
        <f>IF(A381="","",IF(H381=0,"",AVERAGE(D381:G381)))</f>
        <v>0</v>
      </c>
      <c r="J381" s="27">
        <f>IF(OR(I381="",C381=""),"",I381-C381)</f>
        <v>0</v>
      </c>
      <c r="K381" s="26">
        <f>IF(A381="","",IF(MES!E381&lt;&gt;4,"Horário do MES fora do padrão",IF(H381&lt;cfgMinCortes,"Cortes insuficientes","Válida")))</f>
        <v>0</v>
      </c>
      <c r="L381" s="27">
        <f>IF(K381="Válida",ABS(J381),"")</f>
        <v>0</v>
      </c>
      <c r="M381" s="26">
        <f>IF(K381="Válida",IF(L381&lt;=cfgTolerancia,"Sim","Não"),"")</f>
        <v>0</v>
      </c>
      <c r="N381" s="26">
        <f>IF(A381="","",MES!D381)</f>
        <v>0</v>
      </c>
      <c r="O381" s="25">
        <f>IF(K381="Válida",A381,NA())</f>
        <v>0</v>
      </c>
      <c r="P381" s="27">
        <f>IF(K381="Válida",C381,NA())</f>
        <v>0</v>
      </c>
      <c r="Q381" s="27">
        <f>IF(K381="Válida",I381,NA())</f>
        <v>0</v>
      </c>
      <c r="R381" s="27">
        <f>IF(K381="Válida",J381,NA())</f>
        <v>0</v>
      </c>
      <c r="S381" s="27">
        <f>IF(K381="Válida",C381,"")</f>
        <v>0</v>
      </c>
      <c r="T381" s="27">
        <f>IF(K381="Válida",I381,"")</f>
        <v>0</v>
      </c>
      <c r="U381" s="27">
        <f>IF(K381="Válida",J381,"")</f>
        <v>0</v>
      </c>
    </row>
    <row r="382" spans="1:21">
      <c r="A382" s="25">
        <f>IF(MES!A382="","",MES!C382/48)</f>
        <v>0</v>
      </c>
      <c r="B382" s="26">
        <f>IF(A382="","",TEXT((N382*4+cfgDeslocamento)/48,"hh:mm")&amp;" a "&amp;TEXT(A382,"hh:mm"))</f>
        <v>0</v>
      </c>
      <c r="C382" s="27">
        <f>IF(A382="","",MES!B382)</f>
        <v>0</v>
      </c>
      <c r="D382" s="27">
        <f>IF(A382="","",IFERROR(AVERAGEIFS(Prensa!$B$2:$B$5001,Prensa!$E$2:$E$5001,N382,Prensa!$F$2:$F$5001,1,Prensa!$G$2:$G$5001,1),""))</f>
        <v>0</v>
      </c>
      <c r="E382" s="27">
        <f>IF(A382="","",IFERROR(AVERAGEIFS(Prensa!$B$2:$B$5001,Prensa!$E$2:$E$5001,N382,Prensa!$F$2:$F$5001,2,Prensa!$G$2:$G$5001,1),""))</f>
        <v>0</v>
      </c>
      <c r="F382" s="27">
        <f>IF(A382="","",IFERROR(AVERAGEIFS(Prensa!$B$2:$B$5001,Prensa!$E$2:$E$5001,N382,Prensa!$F$2:$F$5001,3,Prensa!$G$2:$G$5001,1),""))</f>
        <v>0</v>
      </c>
      <c r="G382" s="27">
        <f>IF(A382="","",IFERROR(AVERAGEIFS(Prensa!$B$2:$B$5001,Prensa!$E$2:$E$5001,N382,Prensa!$F$2:$F$5001,4,Prensa!$G$2:$G$5001,1),""))</f>
        <v>0</v>
      </c>
      <c r="H382" s="26">
        <f>IF(A382="","",COUNT(D382:G382))</f>
        <v>0</v>
      </c>
      <c r="I382" s="27">
        <f>IF(A382="","",IF(H382=0,"",AVERAGE(D382:G382)))</f>
        <v>0</v>
      </c>
      <c r="J382" s="27">
        <f>IF(OR(I382="",C382=""),"",I382-C382)</f>
        <v>0</v>
      </c>
      <c r="K382" s="26">
        <f>IF(A382="","",IF(MES!E382&lt;&gt;4,"Horário do MES fora do padrão",IF(H382&lt;cfgMinCortes,"Cortes insuficientes","Válida")))</f>
        <v>0</v>
      </c>
      <c r="L382" s="27">
        <f>IF(K382="Válida",ABS(J382),"")</f>
        <v>0</v>
      </c>
      <c r="M382" s="26">
        <f>IF(K382="Válida",IF(L382&lt;=cfgTolerancia,"Sim","Não"),"")</f>
        <v>0</v>
      </c>
      <c r="N382" s="26">
        <f>IF(A382="","",MES!D382)</f>
        <v>0</v>
      </c>
      <c r="O382" s="25">
        <f>IF(K382="Válida",A382,NA())</f>
        <v>0</v>
      </c>
      <c r="P382" s="27">
        <f>IF(K382="Válida",C382,NA())</f>
        <v>0</v>
      </c>
      <c r="Q382" s="27">
        <f>IF(K382="Válida",I382,NA())</f>
        <v>0</v>
      </c>
      <c r="R382" s="27">
        <f>IF(K382="Válida",J382,NA())</f>
        <v>0</v>
      </c>
      <c r="S382" s="27">
        <f>IF(K382="Válida",C382,"")</f>
        <v>0</v>
      </c>
      <c r="T382" s="27">
        <f>IF(K382="Válida",I382,"")</f>
        <v>0</v>
      </c>
      <c r="U382" s="27">
        <f>IF(K382="Válida",J382,"")</f>
        <v>0</v>
      </c>
    </row>
    <row r="383" spans="1:21">
      <c r="A383" s="25">
        <f>IF(MES!A383="","",MES!C383/48)</f>
        <v>0</v>
      </c>
      <c r="B383" s="26">
        <f>IF(A383="","",TEXT((N383*4+cfgDeslocamento)/48,"hh:mm")&amp;" a "&amp;TEXT(A383,"hh:mm"))</f>
        <v>0</v>
      </c>
      <c r="C383" s="27">
        <f>IF(A383="","",MES!B383)</f>
        <v>0</v>
      </c>
      <c r="D383" s="27">
        <f>IF(A383="","",IFERROR(AVERAGEIFS(Prensa!$B$2:$B$5001,Prensa!$E$2:$E$5001,N383,Prensa!$F$2:$F$5001,1,Prensa!$G$2:$G$5001,1),""))</f>
        <v>0</v>
      </c>
      <c r="E383" s="27">
        <f>IF(A383="","",IFERROR(AVERAGEIFS(Prensa!$B$2:$B$5001,Prensa!$E$2:$E$5001,N383,Prensa!$F$2:$F$5001,2,Prensa!$G$2:$G$5001,1),""))</f>
        <v>0</v>
      </c>
      <c r="F383" s="27">
        <f>IF(A383="","",IFERROR(AVERAGEIFS(Prensa!$B$2:$B$5001,Prensa!$E$2:$E$5001,N383,Prensa!$F$2:$F$5001,3,Prensa!$G$2:$G$5001,1),""))</f>
        <v>0</v>
      </c>
      <c r="G383" s="27">
        <f>IF(A383="","",IFERROR(AVERAGEIFS(Prensa!$B$2:$B$5001,Prensa!$E$2:$E$5001,N383,Prensa!$F$2:$F$5001,4,Prensa!$G$2:$G$5001,1),""))</f>
        <v>0</v>
      </c>
      <c r="H383" s="26">
        <f>IF(A383="","",COUNT(D383:G383))</f>
        <v>0</v>
      </c>
      <c r="I383" s="27">
        <f>IF(A383="","",IF(H383=0,"",AVERAGE(D383:G383)))</f>
        <v>0</v>
      </c>
      <c r="J383" s="27">
        <f>IF(OR(I383="",C383=""),"",I383-C383)</f>
        <v>0</v>
      </c>
      <c r="K383" s="26">
        <f>IF(A383="","",IF(MES!E383&lt;&gt;4,"Horário do MES fora do padrão",IF(H383&lt;cfgMinCortes,"Cortes insuficientes","Válida")))</f>
        <v>0</v>
      </c>
      <c r="L383" s="27">
        <f>IF(K383="Válida",ABS(J383),"")</f>
        <v>0</v>
      </c>
      <c r="M383" s="26">
        <f>IF(K383="Válida",IF(L383&lt;=cfgTolerancia,"Sim","Não"),"")</f>
        <v>0</v>
      </c>
      <c r="N383" s="26">
        <f>IF(A383="","",MES!D383)</f>
        <v>0</v>
      </c>
      <c r="O383" s="25">
        <f>IF(K383="Válida",A383,NA())</f>
        <v>0</v>
      </c>
      <c r="P383" s="27">
        <f>IF(K383="Válida",C383,NA())</f>
        <v>0</v>
      </c>
      <c r="Q383" s="27">
        <f>IF(K383="Válida",I383,NA())</f>
        <v>0</v>
      </c>
      <c r="R383" s="27">
        <f>IF(K383="Válida",J383,NA())</f>
        <v>0</v>
      </c>
      <c r="S383" s="27">
        <f>IF(K383="Válida",C383,"")</f>
        <v>0</v>
      </c>
      <c r="T383" s="27">
        <f>IF(K383="Válida",I383,"")</f>
        <v>0</v>
      </c>
      <c r="U383" s="27">
        <f>IF(K383="Válida",J383,"")</f>
        <v>0</v>
      </c>
    </row>
    <row r="384" spans="1:21">
      <c r="A384" s="25">
        <f>IF(MES!A384="","",MES!C384/48)</f>
        <v>0</v>
      </c>
      <c r="B384" s="26">
        <f>IF(A384="","",TEXT((N384*4+cfgDeslocamento)/48,"hh:mm")&amp;" a "&amp;TEXT(A384,"hh:mm"))</f>
        <v>0</v>
      </c>
      <c r="C384" s="27">
        <f>IF(A384="","",MES!B384)</f>
        <v>0</v>
      </c>
      <c r="D384" s="27">
        <f>IF(A384="","",IFERROR(AVERAGEIFS(Prensa!$B$2:$B$5001,Prensa!$E$2:$E$5001,N384,Prensa!$F$2:$F$5001,1,Prensa!$G$2:$G$5001,1),""))</f>
        <v>0</v>
      </c>
      <c r="E384" s="27">
        <f>IF(A384="","",IFERROR(AVERAGEIFS(Prensa!$B$2:$B$5001,Prensa!$E$2:$E$5001,N384,Prensa!$F$2:$F$5001,2,Prensa!$G$2:$G$5001,1),""))</f>
        <v>0</v>
      </c>
      <c r="F384" s="27">
        <f>IF(A384="","",IFERROR(AVERAGEIFS(Prensa!$B$2:$B$5001,Prensa!$E$2:$E$5001,N384,Prensa!$F$2:$F$5001,3,Prensa!$G$2:$G$5001,1),""))</f>
        <v>0</v>
      </c>
      <c r="G384" s="27">
        <f>IF(A384="","",IFERROR(AVERAGEIFS(Prensa!$B$2:$B$5001,Prensa!$E$2:$E$5001,N384,Prensa!$F$2:$F$5001,4,Prensa!$G$2:$G$5001,1),""))</f>
        <v>0</v>
      </c>
      <c r="H384" s="26">
        <f>IF(A384="","",COUNT(D384:G384))</f>
        <v>0</v>
      </c>
      <c r="I384" s="27">
        <f>IF(A384="","",IF(H384=0,"",AVERAGE(D384:G384)))</f>
        <v>0</v>
      </c>
      <c r="J384" s="27">
        <f>IF(OR(I384="",C384=""),"",I384-C384)</f>
        <v>0</v>
      </c>
      <c r="K384" s="26">
        <f>IF(A384="","",IF(MES!E384&lt;&gt;4,"Horário do MES fora do padrão",IF(H384&lt;cfgMinCortes,"Cortes insuficientes","Válida")))</f>
        <v>0</v>
      </c>
      <c r="L384" s="27">
        <f>IF(K384="Válida",ABS(J384),"")</f>
        <v>0</v>
      </c>
      <c r="M384" s="26">
        <f>IF(K384="Válida",IF(L384&lt;=cfgTolerancia,"Sim","Não"),"")</f>
        <v>0</v>
      </c>
      <c r="N384" s="26">
        <f>IF(A384="","",MES!D384)</f>
        <v>0</v>
      </c>
      <c r="O384" s="25">
        <f>IF(K384="Válida",A384,NA())</f>
        <v>0</v>
      </c>
      <c r="P384" s="27">
        <f>IF(K384="Válida",C384,NA())</f>
        <v>0</v>
      </c>
      <c r="Q384" s="27">
        <f>IF(K384="Válida",I384,NA())</f>
        <v>0</v>
      </c>
      <c r="R384" s="27">
        <f>IF(K384="Válida",J384,NA())</f>
        <v>0</v>
      </c>
      <c r="S384" s="27">
        <f>IF(K384="Válida",C384,"")</f>
        <v>0</v>
      </c>
      <c r="T384" s="27">
        <f>IF(K384="Válida",I384,"")</f>
        <v>0</v>
      </c>
      <c r="U384" s="27">
        <f>IF(K384="Válida",J384,"")</f>
        <v>0</v>
      </c>
    </row>
    <row r="385" spans="1:21">
      <c r="A385" s="25">
        <f>IF(MES!A385="","",MES!C385/48)</f>
        <v>0</v>
      </c>
      <c r="B385" s="26">
        <f>IF(A385="","",TEXT((N385*4+cfgDeslocamento)/48,"hh:mm")&amp;" a "&amp;TEXT(A385,"hh:mm"))</f>
        <v>0</v>
      </c>
      <c r="C385" s="27">
        <f>IF(A385="","",MES!B385)</f>
        <v>0</v>
      </c>
      <c r="D385" s="27">
        <f>IF(A385="","",IFERROR(AVERAGEIFS(Prensa!$B$2:$B$5001,Prensa!$E$2:$E$5001,N385,Prensa!$F$2:$F$5001,1,Prensa!$G$2:$G$5001,1),""))</f>
        <v>0</v>
      </c>
      <c r="E385" s="27">
        <f>IF(A385="","",IFERROR(AVERAGEIFS(Prensa!$B$2:$B$5001,Prensa!$E$2:$E$5001,N385,Prensa!$F$2:$F$5001,2,Prensa!$G$2:$G$5001,1),""))</f>
        <v>0</v>
      </c>
      <c r="F385" s="27">
        <f>IF(A385="","",IFERROR(AVERAGEIFS(Prensa!$B$2:$B$5001,Prensa!$E$2:$E$5001,N385,Prensa!$F$2:$F$5001,3,Prensa!$G$2:$G$5001,1),""))</f>
        <v>0</v>
      </c>
      <c r="G385" s="27">
        <f>IF(A385="","",IFERROR(AVERAGEIFS(Prensa!$B$2:$B$5001,Prensa!$E$2:$E$5001,N385,Prensa!$F$2:$F$5001,4,Prensa!$G$2:$G$5001,1),""))</f>
        <v>0</v>
      </c>
      <c r="H385" s="26">
        <f>IF(A385="","",COUNT(D385:G385))</f>
        <v>0</v>
      </c>
      <c r="I385" s="27">
        <f>IF(A385="","",IF(H385=0,"",AVERAGE(D385:G385)))</f>
        <v>0</v>
      </c>
      <c r="J385" s="27">
        <f>IF(OR(I385="",C385=""),"",I385-C385)</f>
        <v>0</v>
      </c>
      <c r="K385" s="26">
        <f>IF(A385="","",IF(MES!E385&lt;&gt;4,"Horário do MES fora do padrão",IF(H385&lt;cfgMinCortes,"Cortes insuficientes","Válida")))</f>
        <v>0</v>
      </c>
      <c r="L385" s="27">
        <f>IF(K385="Válida",ABS(J385),"")</f>
        <v>0</v>
      </c>
      <c r="M385" s="26">
        <f>IF(K385="Válida",IF(L385&lt;=cfgTolerancia,"Sim","Não"),"")</f>
        <v>0</v>
      </c>
      <c r="N385" s="26">
        <f>IF(A385="","",MES!D385)</f>
        <v>0</v>
      </c>
      <c r="O385" s="25">
        <f>IF(K385="Válida",A385,NA())</f>
        <v>0</v>
      </c>
      <c r="P385" s="27">
        <f>IF(K385="Válida",C385,NA())</f>
        <v>0</v>
      </c>
      <c r="Q385" s="27">
        <f>IF(K385="Válida",I385,NA())</f>
        <v>0</v>
      </c>
      <c r="R385" s="27">
        <f>IF(K385="Válida",J385,NA())</f>
        <v>0</v>
      </c>
      <c r="S385" s="27">
        <f>IF(K385="Válida",C385,"")</f>
        <v>0</v>
      </c>
      <c r="T385" s="27">
        <f>IF(K385="Válida",I385,"")</f>
        <v>0</v>
      </c>
      <c r="U385" s="27">
        <f>IF(K385="Válida",J385,"")</f>
        <v>0</v>
      </c>
    </row>
    <row r="386" spans="1:21">
      <c r="A386" s="25">
        <f>IF(MES!A386="","",MES!C386/48)</f>
        <v>0</v>
      </c>
      <c r="B386" s="26">
        <f>IF(A386="","",TEXT((N386*4+cfgDeslocamento)/48,"hh:mm")&amp;" a "&amp;TEXT(A386,"hh:mm"))</f>
        <v>0</v>
      </c>
      <c r="C386" s="27">
        <f>IF(A386="","",MES!B386)</f>
        <v>0</v>
      </c>
      <c r="D386" s="27">
        <f>IF(A386="","",IFERROR(AVERAGEIFS(Prensa!$B$2:$B$5001,Prensa!$E$2:$E$5001,N386,Prensa!$F$2:$F$5001,1,Prensa!$G$2:$G$5001,1),""))</f>
        <v>0</v>
      </c>
      <c r="E386" s="27">
        <f>IF(A386="","",IFERROR(AVERAGEIFS(Prensa!$B$2:$B$5001,Prensa!$E$2:$E$5001,N386,Prensa!$F$2:$F$5001,2,Prensa!$G$2:$G$5001,1),""))</f>
        <v>0</v>
      </c>
      <c r="F386" s="27">
        <f>IF(A386="","",IFERROR(AVERAGEIFS(Prensa!$B$2:$B$5001,Prensa!$E$2:$E$5001,N386,Prensa!$F$2:$F$5001,3,Prensa!$G$2:$G$5001,1),""))</f>
        <v>0</v>
      </c>
      <c r="G386" s="27">
        <f>IF(A386="","",IFERROR(AVERAGEIFS(Prensa!$B$2:$B$5001,Prensa!$E$2:$E$5001,N386,Prensa!$F$2:$F$5001,4,Prensa!$G$2:$G$5001,1),""))</f>
        <v>0</v>
      </c>
      <c r="H386" s="26">
        <f>IF(A386="","",COUNT(D386:G386))</f>
        <v>0</v>
      </c>
      <c r="I386" s="27">
        <f>IF(A386="","",IF(H386=0,"",AVERAGE(D386:G386)))</f>
        <v>0</v>
      </c>
      <c r="J386" s="27">
        <f>IF(OR(I386="",C386=""),"",I386-C386)</f>
        <v>0</v>
      </c>
      <c r="K386" s="26">
        <f>IF(A386="","",IF(MES!E386&lt;&gt;4,"Horário do MES fora do padrão",IF(H386&lt;cfgMinCortes,"Cortes insuficientes","Válida")))</f>
        <v>0</v>
      </c>
      <c r="L386" s="27">
        <f>IF(K386="Válida",ABS(J386),"")</f>
        <v>0</v>
      </c>
      <c r="M386" s="26">
        <f>IF(K386="Válida",IF(L386&lt;=cfgTolerancia,"Sim","Não"),"")</f>
        <v>0</v>
      </c>
      <c r="N386" s="26">
        <f>IF(A386="","",MES!D386)</f>
        <v>0</v>
      </c>
      <c r="O386" s="25">
        <f>IF(K386="Válida",A386,NA())</f>
        <v>0</v>
      </c>
      <c r="P386" s="27">
        <f>IF(K386="Válida",C386,NA())</f>
        <v>0</v>
      </c>
      <c r="Q386" s="27">
        <f>IF(K386="Válida",I386,NA())</f>
        <v>0</v>
      </c>
      <c r="R386" s="27">
        <f>IF(K386="Válida",J386,NA())</f>
        <v>0</v>
      </c>
      <c r="S386" s="27">
        <f>IF(K386="Válida",C386,"")</f>
        <v>0</v>
      </c>
      <c r="T386" s="27">
        <f>IF(K386="Válida",I386,"")</f>
        <v>0</v>
      </c>
      <c r="U386" s="27">
        <f>IF(K386="Válida",J386,"")</f>
        <v>0</v>
      </c>
    </row>
    <row r="387" spans="1:21">
      <c r="A387" s="25">
        <f>IF(MES!A387="","",MES!C387/48)</f>
        <v>0</v>
      </c>
      <c r="B387" s="26">
        <f>IF(A387="","",TEXT((N387*4+cfgDeslocamento)/48,"hh:mm")&amp;" a "&amp;TEXT(A387,"hh:mm"))</f>
        <v>0</v>
      </c>
      <c r="C387" s="27">
        <f>IF(A387="","",MES!B387)</f>
        <v>0</v>
      </c>
      <c r="D387" s="27">
        <f>IF(A387="","",IFERROR(AVERAGEIFS(Prensa!$B$2:$B$5001,Prensa!$E$2:$E$5001,N387,Prensa!$F$2:$F$5001,1,Prensa!$G$2:$G$5001,1),""))</f>
        <v>0</v>
      </c>
      <c r="E387" s="27">
        <f>IF(A387="","",IFERROR(AVERAGEIFS(Prensa!$B$2:$B$5001,Prensa!$E$2:$E$5001,N387,Prensa!$F$2:$F$5001,2,Prensa!$G$2:$G$5001,1),""))</f>
        <v>0</v>
      </c>
      <c r="F387" s="27">
        <f>IF(A387="","",IFERROR(AVERAGEIFS(Prensa!$B$2:$B$5001,Prensa!$E$2:$E$5001,N387,Prensa!$F$2:$F$5001,3,Prensa!$G$2:$G$5001,1),""))</f>
        <v>0</v>
      </c>
      <c r="G387" s="27">
        <f>IF(A387="","",IFERROR(AVERAGEIFS(Prensa!$B$2:$B$5001,Prensa!$E$2:$E$5001,N387,Prensa!$F$2:$F$5001,4,Prensa!$G$2:$G$5001,1),""))</f>
        <v>0</v>
      </c>
      <c r="H387" s="26">
        <f>IF(A387="","",COUNT(D387:G387))</f>
        <v>0</v>
      </c>
      <c r="I387" s="27">
        <f>IF(A387="","",IF(H387=0,"",AVERAGE(D387:G387)))</f>
        <v>0</v>
      </c>
      <c r="J387" s="27">
        <f>IF(OR(I387="",C387=""),"",I387-C387)</f>
        <v>0</v>
      </c>
      <c r="K387" s="26">
        <f>IF(A387="","",IF(MES!E387&lt;&gt;4,"Horário do MES fora do padrão",IF(H387&lt;cfgMinCortes,"Cortes insuficientes","Válida")))</f>
        <v>0</v>
      </c>
      <c r="L387" s="27">
        <f>IF(K387="Válida",ABS(J387),"")</f>
        <v>0</v>
      </c>
      <c r="M387" s="26">
        <f>IF(K387="Válida",IF(L387&lt;=cfgTolerancia,"Sim","Não"),"")</f>
        <v>0</v>
      </c>
      <c r="N387" s="26">
        <f>IF(A387="","",MES!D387)</f>
        <v>0</v>
      </c>
      <c r="O387" s="25">
        <f>IF(K387="Válida",A387,NA())</f>
        <v>0</v>
      </c>
      <c r="P387" s="27">
        <f>IF(K387="Válida",C387,NA())</f>
        <v>0</v>
      </c>
      <c r="Q387" s="27">
        <f>IF(K387="Válida",I387,NA())</f>
        <v>0</v>
      </c>
      <c r="R387" s="27">
        <f>IF(K387="Válida",J387,NA())</f>
        <v>0</v>
      </c>
      <c r="S387" s="27">
        <f>IF(K387="Válida",C387,"")</f>
        <v>0</v>
      </c>
      <c r="T387" s="27">
        <f>IF(K387="Válida",I387,"")</f>
        <v>0</v>
      </c>
      <c r="U387" s="27">
        <f>IF(K387="Válida",J387,"")</f>
        <v>0</v>
      </c>
    </row>
    <row r="388" spans="1:21">
      <c r="A388" s="25">
        <f>IF(MES!A388="","",MES!C388/48)</f>
        <v>0</v>
      </c>
      <c r="B388" s="26">
        <f>IF(A388="","",TEXT((N388*4+cfgDeslocamento)/48,"hh:mm")&amp;" a "&amp;TEXT(A388,"hh:mm"))</f>
        <v>0</v>
      </c>
      <c r="C388" s="27">
        <f>IF(A388="","",MES!B388)</f>
        <v>0</v>
      </c>
      <c r="D388" s="27">
        <f>IF(A388="","",IFERROR(AVERAGEIFS(Prensa!$B$2:$B$5001,Prensa!$E$2:$E$5001,N388,Prensa!$F$2:$F$5001,1,Prensa!$G$2:$G$5001,1),""))</f>
        <v>0</v>
      </c>
      <c r="E388" s="27">
        <f>IF(A388="","",IFERROR(AVERAGEIFS(Prensa!$B$2:$B$5001,Prensa!$E$2:$E$5001,N388,Prensa!$F$2:$F$5001,2,Prensa!$G$2:$G$5001,1),""))</f>
        <v>0</v>
      </c>
      <c r="F388" s="27">
        <f>IF(A388="","",IFERROR(AVERAGEIFS(Prensa!$B$2:$B$5001,Prensa!$E$2:$E$5001,N388,Prensa!$F$2:$F$5001,3,Prensa!$G$2:$G$5001,1),""))</f>
        <v>0</v>
      </c>
      <c r="G388" s="27">
        <f>IF(A388="","",IFERROR(AVERAGEIFS(Prensa!$B$2:$B$5001,Prensa!$E$2:$E$5001,N388,Prensa!$F$2:$F$5001,4,Prensa!$G$2:$G$5001,1),""))</f>
        <v>0</v>
      </c>
      <c r="H388" s="26">
        <f>IF(A388="","",COUNT(D388:G388))</f>
        <v>0</v>
      </c>
      <c r="I388" s="27">
        <f>IF(A388="","",IF(H388=0,"",AVERAGE(D388:G388)))</f>
        <v>0</v>
      </c>
      <c r="J388" s="27">
        <f>IF(OR(I388="",C388=""),"",I388-C388)</f>
        <v>0</v>
      </c>
      <c r="K388" s="26">
        <f>IF(A388="","",IF(MES!E388&lt;&gt;4,"Horário do MES fora do padrão",IF(H388&lt;cfgMinCortes,"Cortes insuficientes","Válida")))</f>
        <v>0</v>
      </c>
      <c r="L388" s="27">
        <f>IF(K388="Válida",ABS(J388),"")</f>
        <v>0</v>
      </c>
      <c r="M388" s="26">
        <f>IF(K388="Válida",IF(L388&lt;=cfgTolerancia,"Sim","Não"),"")</f>
        <v>0</v>
      </c>
      <c r="N388" s="26">
        <f>IF(A388="","",MES!D388)</f>
        <v>0</v>
      </c>
      <c r="O388" s="25">
        <f>IF(K388="Válida",A388,NA())</f>
        <v>0</v>
      </c>
      <c r="P388" s="27">
        <f>IF(K388="Válida",C388,NA())</f>
        <v>0</v>
      </c>
      <c r="Q388" s="27">
        <f>IF(K388="Válida",I388,NA())</f>
        <v>0</v>
      </c>
      <c r="R388" s="27">
        <f>IF(K388="Válida",J388,NA())</f>
        <v>0</v>
      </c>
      <c r="S388" s="27">
        <f>IF(K388="Válida",C388,"")</f>
        <v>0</v>
      </c>
      <c r="T388" s="27">
        <f>IF(K388="Válida",I388,"")</f>
        <v>0</v>
      </c>
      <c r="U388" s="27">
        <f>IF(K388="Válida",J388,"")</f>
        <v>0</v>
      </c>
    </row>
    <row r="389" spans="1:21">
      <c r="A389" s="25">
        <f>IF(MES!A389="","",MES!C389/48)</f>
        <v>0</v>
      </c>
      <c r="B389" s="26">
        <f>IF(A389="","",TEXT((N389*4+cfgDeslocamento)/48,"hh:mm")&amp;" a "&amp;TEXT(A389,"hh:mm"))</f>
        <v>0</v>
      </c>
      <c r="C389" s="27">
        <f>IF(A389="","",MES!B389)</f>
        <v>0</v>
      </c>
      <c r="D389" s="27">
        <f>IF(A389="","",IFERROR(AVERAGEIFS(Prensa!$B$2:$B$5001,Prensa!$E$2:$E$5001,N389,Prensa!$F$2:$F$5001,1,Prensa!$G$2:$G$5001,1),""))</f>
        <v>0</v>
      </c>
      <c r="E389" s="27">
        <f>IF(A389="","",IFERROR(AVERAGEIFS(Prensa!$B$2:$B$5001,Prensa!$E$2:$E$5001,N389,Prensa!$F$2:$F$5001,2,Prensa!$G$2:$G$5001,1),""))</f>
        <v>0</v>
      </c>
      <c r="F389" s="27">
        <f>IF(A389="","",IFERROR(AVERAGEIFS(Prensa!$B$2:$B$5001,Prensa!$E$2:$E$5001,N389,Prensa!$F$2:$F$5001,3,Prensa!$G$2:$G$5001,1),""))</f>
        <v>0</v>
      </c>
      <c r="G389" s="27">
        <f>IF(A389="","",IFERROR(AVERAGEIFS(Prensa!$B$2:$B$5001,Prensa!$E$2:$E$5001,N389,Prensa!$F$2:$F$5001,4,Prensa!$G$2:$G$5001,1),""))</f>
        <v>0</v>
      </c>
      <c r="H389" s="26">
        <f>IF(A389="","",COUNT(D389:G389))</f>
        <v>0</v>
      </c>
      <c r="I389" s="27">
        <f>IF(A389="","",IF(H389=0,"",AVERAGE(D389:G389)))</f>
        <v>0</v>
      </c>
      <c r="J389" s="27">
        <f>IF(OR(I389="",C389=""),"",I389-C389)</f>
        <v>0</v>
      </c>
      <c r="K389" s="26">
        <f>IF(A389="","",IF(MES!E389&lt;&gt;4,"Horário do MES fora do padrão",IF(H389&lt;cfgMinCortes,"Cortes insuficientes","Válida")))</f>
        <v>0</v>
      </c>
      <c r="L389" s="27">
        <f>IF(K389="Válida",ABS(J389),"")</f>
        <v>0</v>
      </c>
      <c r="M389" s="26">
        <f>IF(K389="Válida",IF(L389&lt;=cfgTolerancia,"Sim","Não"),"")</f>
        <v>0</v>
      </c>
      <c r="N389" s="26">
        <f>IF(A389="","",MES!D389)</f>
        <v>0</v>
      </c>
      <c r="O389" s="25">
        <f>IF(K389="Válida",A389,NA())</f>
        <v>0</v>
      </c>
      <c r="P389" s="27">
        <f>IF(K389="Válida",C389,NA())</f>
        <v>0</v>
      </c>
      <c r="Q389" s="27">
        <f>IF(K389="Válida",I389,NA())</f>
        <v>0</v>
      </c>
      <c r="R389" s="27">
        <f>IF(K389="Válida",J389,NA())</f>
        <v>0</v>
      </c>
      <c r="S389" s="27">
        <f>IF(K389="Válida",C389,"")</f>
        <v>0</v>
      </c>
      <c r="T389" s="27">
        <f>IF(K389="Válida",I389,"")</f>
        <v>0</v>
      </c>
      <c r="U389" s="27">
        <f>IF(K389="Válida",J389,"")</f>
        <v>0</v>
      </c>
    </row>
    <row r="390" spans="1:21">
      <c r="A390" s="25">
        <f>IF(MES!A390="","",MES!C390/48)</f>
        <v>0</v>
      </c>
      <c r="B390" s="26">
        <f>IF(A390="","",TEXT((N390*4+cfgDeslocamento)/48,"hh:mm")&amp;" a "&amp;TEXT(A390,"hh:mm"))</f>
        <v>0</v>
      </c>
      <c r="C390" s="27">
        <f>IF(A390="","",MES!B390)</f>
        <v>0</v>
      </c>
      <c r="D390" s="27">
        <f>IF(A390="","",IFERROR(AVERAGEIFS(Prensa!$B$2:$B$5001,Prensa!$E$2:$E$5001,N390,Prensa!$F$2:$F$5001,1,Prensa!$G$2:$G$5001,1),""))</f>
        <v>0</v>
      </c>
      <c r="E390" s="27">
        <f>IF(A390="","",IFERROR(AVERAGEIFS(Prensa!$B$2:$B$5001,Prensa!$E$2:$E$5001,N390,Prensa!$F$2:$F$5001,2,Prensa!$G$2:$G$5001,1),""))</f>
        <v>0</v>
      </c>
      <c r="F390" s="27">
        <f>IF(A390="","",IFERROR(AVERAGEIFS(Prensa!$B$2:$B$5001,Prensa!$E$2:$E$5001,N390,Prensa!$F$2:$F$5001,3,Prensa!$G$2:$G$5001,1),""))</f>
        <v>0</v>
      </c>
      <c r="G390" s="27">
        <f>IF(A390="","",IFERROR(AVERAGEIFS(Prensa!$B$2:$B$5001,Prensa!$E$2:$E$5001,N390,Prensa!$F$2:$F$5001,4,Prensa!$G$2:$G$5001,1),""))</f>
        <v>0</v>
      </c>
      <c r="H390" s="26">
        <f>IF(A390="","",COUNT(D390:G390))</f>
        <v>0</v>
      </c>
      <c r="I390" s="27">
        <f>IF(A390="","",IF(H390=0,"",AVERAGE(D390:G390)))</f>
        <v>0</v>
      </c>
      <c r="J390" s="27">
        <f>IF(OR(I390="",C390=""),"",I390-C390)</f>
        <v>0</v>
      </c>
      <c r="K390" s="26">
        <f>IF(A390="","",IF(MES!E390&lt;&gt;4,"Horário do MES fora do padrão",IF(H390&lt;cfgMinCortes,"Cortes insuficientes","Válida")))</f>
        <v>0</v>
      </c>
      <c r="L390" s="27">
        <f>IF(K390="Válida",ABS(J390),"")</f>
        <v>0</v>
      </c>
      <c r="M390" s="26">
        <f>IF(K390="Válida",IF(L390&lt;=cfgTolerancia,"Sim","Não"),"")</f>
        <v>0</v>
      </c>
      <c r="N390" s="26">
        <f>IF(A390="","",MES!D390)</f>
        <v>0</v>
      </c>
      <c r="O390" s="25">
        <f>IF(K390="Válida",A390,NA())</f>
        <v>0</v>
      </c>
      <c r="P390" s="27">
        <f>IF(K390="Válida",C390,NA())</f>
        <v>0</v>
      </c>
      <c r="Q390" s="27">
        <f>IF(K390="Válida",I390,NA())</f>
        <v>0</v>
      </c>
      <c r="R390" s="27">
        <f>IF(K390="Válida",J390,NA())</f>
        <v>0</v>
      </c>
      <c r="S390" s="27">
        <f>IF(K390="Válida",C390,"")</f>
        <v>0</v>
      </c>
      <c r="T390" s="27">
        <f>IF(K390="Válida",I390,"")</f>
        <v>0</v>
      </c>
      <c r="U390" s="27">
        <f>IF(K390="Válida",J390,"")</f>
        <v>0</v>
      </c>
    </row>
    <row r="391" spans="1:21">
      <c r="A391" s="25">
        <f>IF(MES!A391="","",MES!C391/48)</f>
        <v>0</v>
      </c>
      <c r="B391" s="26">
        <f>IF(A391="","",TEXT((N391*4+cfgDeslocamento)/48,"hh:mm")&amp;" a "&amp;TEXT(A391,"hh:mm"))</f>
        <v>0</v>
      </c>
      <c r="C391" s="27">
        <f>IF(A391="","",MES!B391)</f>
        <v>0</v>
      </c>
      <c r="D391" s="27">
        <f>IF(A391="","",IFERROR(AVERAGEIFS(Prensa!$B$2:$B$5001,Prensa!$E$2:$E$5001,N391,Prensa!$F$2:$F$5001,1,Prensa!$G$2:$G$5001,1),""))</f>
        <v>0</v>
      </c>
      <c r="E391" s="27">
        <f>IF(A391="","",IFERROR(AVERAGEIFS(Prensa!$B$2:$B$5001,Prensa!$E$2:$E$5001,N391,Prensa!$F$2:$F$5001,2,Prensa!$G$2:$G$5001,1),""))</f>
        <v>0</v>
      </c>
      <c r="F391" s="27">
        <f>IF(A391="","",IFERROR(AVERAGEIFS(Prensa!$B$2:$B$5001,Prensa!$E$2:$E$5001,N391,Prensa!$F$2:$F$5001,3,Prensa!$G$2:$G$5001,1),""))</f>
        <v>0</v>
      </c>
      <c r="G391" s="27">
        <f>IF(A391="","",IFERROR(AVERAGEIFS(Prensa!$B$2:$B$5001,Prensa!$E$2:$E$5001,N391,Prensa!$F$2:$F$5001,4,Prensa!$G$2:$G$5001,1),""))</f>
        <v>0</v>
      </c>
      <c r="H391" s="26">
        <f>IF(A391="","",COUNT(D391:G391))</f>
        <v>0</v>
      </c>
      <c r="I391" s="27">
        <f>IF(A391="","",IF(H391=0,"",AVERAGE(D391:G391)))</f>
        <v>0</v>
      </c>
      <c r="J391" s="27">
        <f>IF(OR(I391="",C391=""),"",I391-C391)</f>
        <v>0</v>
      </c>
      <c r="K391" s="26">
        <f>IF(A391="","",IF(MES!E391&lt;&gt;4,"Horário do MES fora do padrão",IF(H391&lt;cfgMinCortes,"Cortes insuficientes","Válida")))</f>
        <v>0</v>
      </c>
      <c r="L391" s="27">
        <f>IF(K391="Válida",ABS(J391),"")</f>
        <v>0</v>
      </c>
      <c r="M391" s="26">
        <f>IF(K391="Válida",IF(L391&lt;=cfgTolerancia,"Sim","Não"),"")</f>
        <v>0</v>
      </c>
      <c r="N391" s="26">
        <f>IF(A391="","",MES!D391)</f>
        <v>0</v>
      </c>
      <c r="O391" s="25">
        <f>IF(K391="Válida",A391,NA())</f>
        <v>0</v>
      </c>
      <c r="P391" s="27">
        <f>IF(K391="Válida",C391,NA())</f>
        <v>0</v>
      </c>
      <c r="Q391" s="27">
        <f>IF(K391="Válida",I391,NA())</f>
        <v>0</v>
      </c>
      <c r="R391" s="27">
        <f>IF(K391="Válida",J391,NA())</f>
        <v>0</v>
      </c>
      <c r="S391" s="27">
        <f>IF(K391="Válida",C391,"")</f>
        <v>0</v>
      </c>
      <c r="T391" s="27">
        <f>IF(K391="Válida",I391,"")</f>
        <v>0</v>
      </c>
      <c r="U391" s="27">
        <f>IF(K391="Válida",J391,"")</f>
        <v>0</v>
      </c>
    </row>
    <row r="392" spans="1:21">
      <c r="A392" s="25">
        <f>IF(MES!A392="","",MES!C392/48)</f>
        <v>0</v>
      </c>
      <c r="B392" s="26">
        <f>IF(A392="","",TEXT((N392*4+cfgDeslocamento)/48,"hh:mm")&amp;" a "&amp;TEXT(A392,"hh:mm"))</f>
        <v>0</v>
      </c>
      <c r="C392" s="27">
        <f>IF(A392="","",MES!B392)</f>
        <v>0</v>
      </c>
      <c r="D392" s="27">
        <f>IF(A392="","",IFERROR(AVERAGEIFS(Prensa!$B$2:$B$5001,Prensa!$E$2:$E$5001,N392,Prensa!$F$2:$F$5001,1,Prensa!$G$2:$G$5001,1),""))</f>
        <v>0</v>
      </c>
      <c r="E392" s="27">
        <f>IF(A392="","",IFERROR(AVERAGEIFS(Prensa!$B$2:$B$5001,Prensa!$E$2:$E$5001,N392,Prensa!$F$2:$F$5001,2,Prensa!$G$2:$G$5001,1),""))</f>
        <v>0</v>
      </c>
      <c r="F392" s="27">
        <f>IF(A392="","",IFERROR(AVERAGEIFS(Prensa!$B$2:$B$5001,Prensa!$E$2:$E$5001,N392,Prensa!$F$2:$F$5001,3,Prensa!$G$2:$G$5001,1),""))</f>
        <v>0</v>
      </c>
      <c r="G392" s="27">
        <f>IF(A392="","",IFERROR(AVERAGEIFS(Prensa!$B$2:$B$5001,Prensa!$E$2:$E$5001,N392,Prensa!$F$2:$F$5001,4,Prensa!$G$2:$G$5001,1),""))</f>
        <v>0</v>
      </c>
      <c r="H392" s="26">
        <f>IF(A392="","",COUNT(D392:G392))</f>
        <v>0</v>
      </c>
      <c r="I392" s="27">
        <f>IF(A392="","",IF(H392=0,"",AVERAGE(D392:G392)))</f>
        <v>0</v>
      </c>
      <c r="J392" s="27">
        <f>IF(OR(I392="",C392=""),"",I392-C392)</f>
        <v>0</v>
      </c>
      <c r="K392" s="26">
        <f>IF(A392="","",IF(MES!E392&lt;&gt;4,"Horário do MES fora do padrão",IF(H392&lt;cfgMinCortes,"Cortes insuficientes","Válida")))</f>
        <v>0</v>
      </c>
      <c r="L392" s="27">
        <f>IF(K392="Válida",ABS(J392),"")</f>
        <v>0</v>
      </c>
      <c r="M392" s="26">
        <f>IF(K392="Válida",IF(L392&lt;=cfgTolerancia,"Sim","Não"),"")</f>
        <v>0</v>
      </c>
      <c r="N392" s="26">
        <f>IF(A392="","",MES!D392)</f>
        <v>0</v>
      </c>
      <c r="O392" s="25">
        <f>IF(K392="Válida",A392,NA())</f>
        <v>0</v>
      </c>
      <c r="P392" s="27">
        <f>IF(K392="Válida",C392,NA())</f>
        <v>0</v>
      </c>
      <c r="Q392" s="27">
        <f>IF(K392="Válida",I392,NA())</f>
        <v>0</v>
      </c>
      <c r="R392" s="27">
        <f>IF(K392="Válida",J392,NA())</f>
        <v>0</v>
      </c>
      <c r="S392" s="27">
        <f>IF(K392="Válida",C392,"")</f>
        <v>0</v>
      </c>
      <c r="T392" s="27">
        <f>IF(K392="Válida",I392,"")</f>
        <v>0</v>
      </c>
      <c r="U392" s="27">
        <f>IF(K392="Válida",J392,"")</f>
        <v>0</v>
      </c>
    </row>
    <row r="393" spans="1:21">
      <c r="A393" s="25">
        <f>IF(MES!A393="","",MES!C393/48)</f>
        <v>0</v>
      </c>
      <c r="B393" s="26">
        <f>IF(A393="","",TEXT((N393*4+cfgDeslocamento)/48,"hh:mm")&amp;" a "&amp;TEXT(A393,"hh:mm"))</f>
        <v>0</v>
      </c>
      <c r="C393" s="27">
        <f>IF(A393="","",MES!B393)</f>
        <v>0</v>
      </c>
      <c r="D393" s="27">
        <f>IF(A393="","",IFERROR(AVERAGEIFS(Prensa!$B$2:$B$5001,Prensa!$E$2:$E$5001,N393,Prensa!$F$2:$F$5001,1,Prensa!$G$2:$G$5001,1),""))</f>
        <v>0</v>
      </c>
      <c r="E393" s="27">
        <f>IF(A393="","",IFERROR(AVERAGEIFS(Prensa!$B$2:$B$5001,Prensa!$E$2:$E$5001,N393,Prensa!$F$2:$F$5001,2,Prensa!$G$2:$G$5001,1),""))</f>
        <v>0</v>
      </c>
      <c r="F393" s="27">
        <f>IF(A393="","",IFERROR(AVERAGEIFS(Prensa!$B$2:$B$5001,Prensa!$E$2:$E$5001,N393,Prensa!$F$2:$F$5001,3,Prensa!$G$2:$G$5001,1),""))</f>
        <v>0</v>
      </c>
      <c r="G393" s="27">
        <f>IF(A393="","",IFERROR(AVERAGEIFS(Prensa!$B$2:$B$5001,Prensa!$E$2:$E$5001,N393,Prensa!$F$2:$F$5001,4,Prensa!$G$2:$G$5001,1),""))</f>
        <v>0</v>
      </c>
      <c r="H393" s="26">
        <f>IF(A393="","",COUNT(D393:G393))</f>
        <v>0</v>
      </c>
      <c r="I393" s="27">
        <f>IF(A393="","",IF(H393=0,"",AVERAGE(D393:G393)))</f>
        <v>0</v>
      </c>
      <c r="J393" s="27">
        <f>IF(OR(I393="",C393=""),"",I393-C393)</f>
        <v>0</v>
      </c>
      <c r="K393" s="26">
        <f>IF(A393="","",IF(MES!E393&lt;&gt;4,"Horário do MES fora do padrão",IF(H393&lt;cfgMinCortes,"Cortes insuficientes","Válida")))</f>
        <v>0</v>
      </c>
      <c r="L393" s="27">
        <f>IF(K393="Válida",ABS(J393),"")</f>
        <v>0</v>
      </c>
      <c r="M393" s="26">
        <f>IF(K393="Válida",IF(L393&lt;=cfgTolerancia,"Sim","Não"),"")</f>
        <v>0</v>
      </c>
      <c r="N393" s="26">
        <f>IF(A393="","",MES!D393)</f>
        <v>0</v>
      </c>
      <c r="O393" s="25">
        <f>IF(K393="Válida",A393,NA())</f>
        <v>0</v>
      </c>
      <c r="P393" s="27">
        <f>IF(K393="Válida",C393,NA())</f>
        <v>0</v>
      </c>
      <c r="Q393" s="27">
        <f>IF(K393="Válida",I393,NA())</f>
        <v>0</v>
      </c>
      <c r="R393" s="27">
        <f>IF(K393="Válida",J393,NA())</f>
        <v>0</v>
      </c>
      <c r="S393" s="27">
        <f>IF(K393="Válida",C393,"")</f>
        <v>0</v>
      </c>
      <c r="T393" s="27">
        <f>IF(K393="Válida",I393,"")</f>
        <v>0</v>
      </c>
      <c r="U393" s="27">
        <f>IF(K393="Válida",J393,"")</f>
        <v>0</v>
      </c>
    </row>
    <row r="394" spans="1:21">
      <c r="A394" s="25">
        <f>IF(MES!A394="","",MES!C394/48)</f>
        <v>0</v>
      </c>
      <c r="B394" s="26">
        <f>IF(A394="","",TEXT((N394*4+cfgDeslocamento)/48,"hh:mm")&amp;" a "&amp;TEXT(A394,"hh:mm"))</f>
        <v>0</v>
      </c>
      <c r="C394" s="27">
        <f>IF(A394="","",MES!B394)</f>
        <v>0</v>
      </c>
      <c r="D394" s="27">
        <f>IF(A394="","",IFERROR(AVERAGEIFS(Prensa!$B$2:$B$5001,Prensa!$E$2:$E$5001,N394,Prensa!$F$2:$F$5001,1,Prensa!$G$2:$G$5001,1),""))</f>
        <v>0</v>
      </c>
      <c r="E394" s="27">
        <f>IF(A394="","",IFERROR(AVERAGEIFS(Prensa!$B$2:$B$5001,Prensa!$E$2:$E$5001,N394,Prensa!$F$2:$F$5001,2,Prensa!$G$2:$G$5001,1),""))</f>
        <v>0</v>
      </c>
      <c r="F394" s="27">
        <f>IF(A394="","",IFERROR(AVERAGEIFS(Prensa!$B$2:$B$5001,Prensa!$E$2:$E$5001,N394,Prensa!$F$2:$F$5001,3,Prensa!$G$2:$G$5001,1),""))</f>
        <v>0</v>
      </c>
      <c r="G394" s="27">
        <f>IF(A394="","",IFERROR(AVERAGEIFS(Prensa!$B$2:$B$5001,Prensa!$E$2:$E$5001,N394,Prensa!$F$2:$F$5001,4,Prensa!$G$2:$G$5001,1),""))</f>
        <v>0</v>
      </c>
      <c r="H394" s="26">
        <f>IF(A394="","",COUNT(D394:G394))</f>
        <v>0</v>
      </c>
      <c r="I394" s="27">
        <f>IF(A394="","",IF(H394=0,"",AVERAGE(D394:G394)))</f>
        <v>0</v>
      </c>
      <c r="J394" s="27">
        <f>IF(OR(I394="",C394=""),"",I394-C394)</f>
        <v>0</v>
      </c>
      <c r="K394" s="26">
        <f>IF(A394="","",IF(MES!E394&lt;&gt;4,"Horário do MES fora do padrão",IF(H394&lt;cfgMinCortes,"Cortes insuficientes","Válida")))</f>
        <v>0</v>
      </c>
      <c r="L394" s="27">
        <f>IF(K394="Válida",ABS(J394),"")</f>
        <v>0</v>
      </c>
      <c r="M394" s="26">
        <f>IF(K394="Válida",IF(L394&lt;=cfgTolerancia,"Sim","Não"),"")</f>
        <v>0</v>
      </c>
      <c r="N394" s="26">
        <f>IF(A394="","",MES!D394)</f>
        <v>0</v>
      </c>
      <c r="O394" s="25">
        <f>IF(K394="Válida",A394,NA())</f>
        <v>0</v>
      </c>
      <c r="P394" s="27">
        <f>IF(K394="Válida",C394,NA())</f>
        <v>0</v>
      </c>
      <c r="Q394" s="27">
        <f>IF(K394="Válida",I394,NA())</f>
        <v>0</v>
      </c>
      <c r="R394" s="27">
        <f>IF(K394="Válida",J394,NA())</f>
        <v>0</v>
      </c>
      <c r="S394" s="27">
        <f>IF(K394="Válida",C394,"")</f>
        <v>0</v>
      </c>
      <c r="T394" s="27">
        <f>IF(K394="Válida",I394,"")</f>
        <v>0</v>
      </c>
      <c r="U394" s="27">
        <f>IF(K394="Válida",J394,"")</f>
        <v>0</v>
      </c>
    </row>
    <row r="395" spans="1:21">
      <c r="A395" s="25">
        <f>IF(MES!A395="","",MES!C395/48)</f>
        <v>0</v>
      </c>
      <c r="B395" s="26">
        <f>IF(A395="","",TEXT((N395*4+cfgDeslocamento)/48,"hh:mm")&amp;" a "&amp;TEXT(A395,"hh:mm"))</f>
        <v>0</v>
      </c>
      <c r="C395" s="27">
        <f>IF(A395="","",MES!B395)</f>
        <v>0</v>
      </c>
      <c r="D395" s="27">
        <f>IF(A395="","",IFERROR(AVERAGEIFS(Prensa!$B$2:$B$5001,Prensa!$E$2:$E$5001,N395,Prensa!$F$2:$F$5001,1,Prensa!$G$2:$G$5001,1),""))</f>
        <v>0</v>
      </c>
      <c r="E395" s="27">
        <f>IF(A395="","",IFERROR(AVERAGEIFS(Prensa!$B$2:$B$5001,Prensa!$E$2:$E$5001,N395,Prensa!$F$2:$F$5001,2,Prensa!$G$2:$G$5001,1),""))</f>
        <v>0</v>
      </c>
      <c r="F395" s="27">
        <f>IF(A395="","",IFERROR(AVERAGEIFS(Prensa!$B$2:$B$5001,Prensa!$E$2:$E$5001,N395,Prensa!$F$2:$F$5001,3,Prensa!$G$2:$G$5001,1),""))</f>
        <v>0</v>
      </c>
      <c r="G395" s="27">
        <f>IF(A395="","",IFERROR(AVERAGEIFS(Prensa!$B$2:$B$5001,Prensa!$E$2:$E$5001,N395,Prensa!$F$2:$F$5001,4,Prensa!$G$2:$G$5001,1),""))</f>
        <v>0</v>
      </c>
      <c r="H395" s="26">
        <f>IF(A395="","",COUNT(D395:G395))</f>
        <v>0</v>
      </c>
      <c r="I395" s="27">
        <f>IF(A395="","",IF(H395=0,"",AVERAGE(D395:G395)))</f>
        <v>0</v>
      </c>
      <c r="J395" s="27">
        <f>IF(OR(I395="",C395=""),"",I395-C395)</f>
        <v>0</v>
      </c>
      <c r="K395" s="26">
        <f>IF(A395="","",IF(MES!E395&lt;&gt;4,"Horário do MES fora do padrão",IF(H395&lt;cfgMinCortes,"Cortes insuficientes","Válida")))</f>
        <v>0</v>
      </c>
      <c r="L395" s="27">
        <f>IF(K395="Válida",ABS(J395),"")</f>
        <v>0</v>
      </c>
      <c r="M395" s="26">
        <f>IF(K395="Válida",IF(L395&lt;=cfgTolerancia,"Sim","Não"),"")</f>
        <v>0</v>
      </c>
      <c r="N395" s="26">
        <f>IF(A395="","",MES!D395)</f>
        <v>0</v>
      </c>
      <c r="O395" s="25">
        <f>IF(K395="Válida",A395,NA())</f>
        <v>0</v>
      </c>
      <c r="P395" s="27">
        <f>IF(K395="Válida",C395,NA())</f>
        <v>0</v>
      </c>
      <c r="Q395" s="27">
        <f>IF(K395="Válida",I395,NA())</f>
        <v>0</v>
      </c>
      <c r="R395" s="27">
        <f>IF(K395="Válida",J395,NA())</f>
        <v>0</v>
      </c>
      <c r="S395" s="27">
        <f>IF(K395="Válida",C395,"")</f>
        <v>0</v>
      </c>
      <c r="T395" s="27">
        <f>IF(K395="Válida",I395,"")</f>
        <v>0</v>
      </c>
      <c r="U395" s="27">
        <f>IF(K395="Válida",J395,"")</f>
        <v>0</v>
      </c>
    </row>
    <row r="396" spans="1:21">
      <c r="A396" s="25">
        <f>IF(MES!A396="","",MES!C396/48)</f>
        <v>0</v>
      </c>
      <c r="B396" s="26">
        <f>IF(A396="","",TEXT((N396*4+cfgDeslocamento)/48,"hh:mm")&amp;" a "&amp;TEXT(A396,"hh:mm"))</f>
        <v>0</v>
      </c>
      <c r="C396" s="27">
        <f>IF(A396="","",MES!B396)</f>
        <v>0</v>
      </c>
      <c r="D396" s="27">
        <f>IF(A396="","",IFERROR(AVERAGEIFS(Prensa!$B$2:$B$5001,Prensa!$E$2:$E$5001,N396,Prensa!$F$2:$F$5001,1,Prensa!$G$2:$G$5001,1),""))</f>
        <v>0</v>
      </c>
      <c r="E396" s="27">
        <f>IF(A396="","",IFERROR(AVERAGEIFS(Prensa!$B$2:$B$5001,Prensa!$E$2:$E$5001,N396,Prensa!$F$2:$F$5001,2,Prensa!$G$2:$G$5001,1),""))</f>
        <v>0</v>
      </c>
      <c r="F396" s="27">
        <f>IF(A396="","",IFERROR(AVERAGEIFS(Prensa!$B$2:$B$5001,Prensa!$E$2:$E$5001,N396,Prensa!$F$2:$F$5001,3,Prensa!$G$2:$G$5001,1),""))</f>
        <v>0</v>
      </c>
      <c r="G396" s="27">
        <f>IF(A396="","",IFERROR(AVERAGEIFS(Prensa!$B$2:$B$5001,Prensa!$E$2:$E$5001,N396,Prensa!$F$2:$F$5001,4,Prensa!$G$2:$G$5001,1),""))</f>
        <v>0</v>
      </c>
      <c r="H396" s="26">
        <f>IF(A396="","",COUNT(D396:G396))</f>
        <v>0</v>
      </c>
      <c r="I396" s="27">
        <f>IF(A396="","",IF(H396=0,"",AVERAGE(D396:G396)))</f>
        <v>0</v>
      </c>
      <c r="J396" s="27">
        <f>IF(OR(I396="",C396=""),"",I396-C396)</f>
        <v>0</v>
      </c>
      <c r="K396" s="26">
        <f>IF(A396="","",IF(MES!E396&lt;&gt;4,"Horário do MES fora do padrão",IF(H396&lt;cfgMinCortes,"Cortes insuficientes","Válida")))</f>
        <v>0</v>
      </c>
      <c r="L396" s="27">
        <f>IF(K396="Válida",ABS(J396),"")</f>
        <v>0</v>
      </c>
      <c r="M396" s="26">
        <f>IF(K396="Válida",IF(L396&lt;=cfgTolerancia,"Sim","Não"),"")</f>
        <v>0</v>
      </c>
      <c r="N396" s="26">
        <f>IF(A396="","",MES!D396)</f>
        <v>0</v>
      </c>
      <c r="O396" s="25">
        <f>IF(K396="Válida",A396,NA())</f>
        <v>0</v>
      </c>
      <c r="P396" s="27">
        <f>IF(K396="Válida",C396,NA())</f>
        <v>0</v>
      </c>
      <c r="Q396" s="27">
        <f>IF(K396="Válida",I396,NA())</f>
        <v>0</v>
      </c>
      <c r="R396" s="27">
        <f>IF(K396="Válida",J396,NA())</f>
        <v>0</v>
      </c>
      <c r="S396" s="27">
        <f>IF(K396="Válida",C396,"")</f>
        <v>0</v>
      </c>
      <c r="T396" s="27">
        <f>IF(K396="Válida",I396,"")</f>
        <v>0</v>
      </c>
      <c r="U396" s="27">
        <f>IF(K396="Válida",J396,"")</f>
        <v>0</v>
      </c>
    </row>
    <row r="397" spans="1:21">
      <c r="A397" s="25">
        <f>IF(MES!A397="","",MES!C397/48)</f>
        <v>0</v>
      </c>
      <c r="B397" s="26">
        <f>IF(A397="","",TEXT((N397*4+cfgDeslocamento)/48,"hh:mm")&amp;" a "&amp;TEXT(A397,"hh:mm"))</f>
        <v>0</v>
      </c>
      <c r="C397" s="27">
        <f>IF(A397="","",MES!B397)</f>
        <v>0</v>
      </c>
      <c r="D397" s="27">
        <f>IF(A397="","",IFERROR(AVERAGEIFS(Prensa!$B$2:$B$5001,Prensa!$E$2:$E$5001,N397,Prensa!$F$2:$F$5001,1,Prensa!$G$2:$G$5001,1),""))</f>
        <v>0</v>
      </c>
      <c r="E397" s="27">
        <f>IF(A397="","",IFERROR(AVERAGEIFS(Prensa!$B$2:$B$5001,Prensa!$E$2:$E$5001,N397,Prensa!$F$2:$F$5001,2,Prensa!$G$2:$G$5001,1),""))</f>
        <v>0</v>
      </c>
      <c r="F397" s="27">
        <f>IF(A397="","",IFERROR(AVERAGEIFS(Prensa!$B$2:$B$5001,Prensa!$E$2:$E$5001,N397,Prensa!$F$2:$F$5001,3,Prensa!$G$2:$G$5001,1),""))</f>
        <v>0</v>
      </c>
      <c r="G397" s="27">
        <f>IF(A397="","",IFERROR(AVERAGEIFS(Prensa!$B$2:$B$5001,Prensa!$E$2:$E$5001,N397,Prensa!$F$2:$F$5001,4,Prensa!$G$2:$G$5001,1),""))</f>
        <v>0</v>
      </c>
      <c r="H397" s="26">
        <f>IF(A397="","",COUNT(D397:G397))</f>
        <v>0</v>
      </c>
      <c r="I397" s="27">
        <f>IF(A397="","",IF(H397=0,"",AVERAGE(D397:G397)))</f>
        <v>0</v>
      </c>
      <c r="J397" s="27">
        <f>IF(OR(I397="",C397=""),"",I397-C397)</f>
        <v>0</v>
      </c>
      <c r="K397" s="26">
        <f>IF(A397="","",IF(MES!E397&lt;&gt;4,"Horário do MES fora do padrão",IF(H397&lt;cfgMinCortes,"Cortes insuficientes","Válida")))</f>
        <v>0</v>
      </c>
      <c r="L397" s="27">
        <f>IF(K397="Válida",ABS(J397),"")</f>
        <v>0</v>
      </c>
      <c r="M397" s="26">
        <f>IF(K397="Válida",IF(L397&lt;=cfgTolerancia,"Sim","Não"),"")</f>
        <v>0</v>
      </c>
      <c r="N397" s="26">
        <f>IF(A397="","",MES!D397)</f>
        <v>0</v>
      </c>
      <c r="O397" s="25">
        <f>IF(K397="Válida",A397,NA())</f>
        <v>0</v>
      </c>
      <c r="P397" s="27">
        <f>IF(K397="Válida",C397,NA())</f>
        <v>0</v>
      </c>
      <c r="Q397" s="27">
        <f>IF(K397="Válida",I397,NA())</f>
        <v>0</v>
      </c>
      <c r="R397" s="27">
        <f>IF(K397="Válida",J397,NA())</f>
        <v>0</v>
      </c>
      <c r="S397" s="27">
        <f>IF(K397="Válida",C397,"")</f>
        <v>0</v>
      </c>
      <c r="T397" s="27">
        <f>IF(K397="Válida",I397,"")</f>
        <v>0</v>
      </c>
      <c r="U397" s="27">
        <f>IF(K397="Válida",J397,"")</f>
        <v>0</v>
      </c>
    </row>
    <row r="398" spans="1:21">
      <c r="A398" s="25">
        <f>IF(MES!A398="","",MES!C398/48)</f>
        <v>0</v>
      </c>
      <c r="B398" s="26">
        <f>IF(A398="","",TEXT((N398*4+cfgDeslocamento)/48,"hh:mm")&amp;" a "&amp;TEXT(A398,"hh:mm"))</f>
        <v>0</v>
      </c>
      <c r="C398" s="27">
        <f>IF(A398="","",MES!B398)</f>
        <v>0</v>
      </c>
      <c r="D398" s="27">
        <f>IF(A398="","",IFERROR(AVERAGEIFS(Prensa!$B$2:$B$5001,Prensa!$E$2:$E$5001,N398,Prensa!$F$2:$F$5001,1,Prensa!$G$2:$G$5001,1),""))</f>
        <v>0</v>
      </c>
      <c r="E398" s="27">
        <f>IF(A398="","",IFERROR(AVERAGEIFS(Prensa!$B$2:$B$5001,Prensa!$E$2:$E$5001,N398,Prensa!$F$2:$F$5001,2,Prensa!$G$2:$G$5001,1),""))</f>
        <v>0</v>
      </c>
      <c r="F398" s="27">
        <f>IF(A398="","",IFERROR(AVERAGEIFS(Prensa!$B$2:$B$5001,Prensa!$E$2:$E$5001,N398,Prensa!$F$2:$F$5001,3,Prensa!$G$2:$G$5001,1),""))</f>
        <v>0</v>
      </c>
      <c r="G398" s="27">
        <f>IF(A398="","",IFERROR(AVERAGEIFS(Prensa!$B$2:$B$5001,Prensa!$E$2:$E$5001,N398,Prensa!$F$2:$F$5001,4,Prensa!$G$2:$G$5001,1),""))</f>
        <v>0</v>
      </c>
      <c r="H398" s="26">
        <f>IF(A398="","",COUNT(D398:G398))</f>
        <v>0</v>
      </c>
      <c r="I398" s="27">
        <f>IF(A398="","",IF(H398=0,"",AVERAGE(D398:G398)))</f>
        <v>0</v>
      </c>
      <c r="J398" s="27">
        <f>IF(OR(I398="",C398=""),"",I398-C398)</f>
        <v>0</v>
      </c>
      <c r="K398" s="26">
        <f>IF(A398="","",IF(MES!E398&lt;&gt;4,"Horário do MES fora do padrão",IF(H398&lt;cfgMinCortes,"Cortes insuficientes","Válida")))</f>
        <v>0</v>
      </c>
      <c r="L398" s="27">
        <f>IF(K398="Válida",ABS(J398),"")</f>
        <v>0</v>
      </c>
      <c r="M398" s="26">
        <f>IF(K398="Válida",IF(L398&lt;=cfgTolerancia,"Sim","Não"),"")</f>
        <v>0</v>
      </c>
      <c r="N398" s="26">
        <f>IF(A398="","",MES!D398)</f>
        <v>0</v>
      </c>
      <c r="O398" s="25">
        <f>IF(K398="Válida",A398,NA())</f>
        <v>0</v>
      </c>
      <c r="P398" s="27">
        <f>IF(K398="Válida",C398,NA())</f>
        <v>0</v>
      </c>
      <c r="Q398" s="27">
        <f>IF(K398="Válida",I398,NA())</f>
        <v>0</v>
      </c>
      <c r="R398" s="27">
        <f>IF(K398="Válida",J398,NA())</f>
        <v>0</v>
      </c>
      <c r="S398" s="27">
        <f>IF(K398="Válida",C398,"")</f>
        <v>0</v>
      </c>
      <c r="T398" s="27">
        <f>IF(K398="Válida",I398,"")</f>
        <v>0</v>
      </c>
      <c r="U398" s="27">
        <f>IF(K398="Válida",J398,"")</f>
        <v>0</v>
      </c>
    </row>
    <row r="399" spans="1:21">
      <c r="A399" s="25">
        <f>IF(MES!A399="","",MES!C399/48)</f>
        <v>0</v>
      </c>
      <c r="B399" s="26">
        <f>IF(A399="","",TEXT((N399*4+cfgDeslocamento)/48,"hh:mm")&amp;" a "&amp;TEXT(A399,"hh:mm"))</f>
        <v>0</v>
      </c>
      <c r="C399" s="27">
        <f>IF(A399="","",MES!B399)</f>
        <v>0</v>
      </c>
      <c r="D399" s="27">
        <f>IF(A399="","",IFERROR(AVERAGEIFS(Prensa!$B$2:$B$5001,Prensa!$E$2:$E$5001,N399,Prensa!$F$2:$F$5001,1,Prensa!$G$2:$G$5001,1),""))</f>
        <v>0</v>
      </c>
      <c r="E399" s="27">
        <f>IF(A399="","",IFERROR(AVERAGEIFS(Prensa!$B$2:$B$5001,Prensa!$E$2:$E$5001,N399,Prensa!$F$2:$F$5001,2,Prensa!$G$2:$G$5001,1),""))</f>
        <v>0</v>
      </c>
      <c r="F399" s="27">
        <f>IF(A399="","",IFERROR(AVERAGEIFS(Prensa!$B$2:$B$5001,Prensa!$E$2:$E$5001,N399,Prensa!$F$2:$F$5001,3,Prensa!$G$2:$G$5001,1),""))</f>
        <v>0</v>
      </c>
      <c r="G399" s="27">
        <f>IF(A399="","",IFERROR(AVERAGEIFS(Prensa!$B$2:$B$5001,Prensa!$E$2:$E$5001,N399,Prensa!$F$2:$F$5001,4,Prensa!$G$2:$G$5001,1),""))</f>
        <v>0</v>
      </c>
      <c r="H399" s="26">
        <f>IF(A399="","",COUNT(D399:G399))</f>
        <v>0</v>
      </c>
      <c r="I399" s="27">
        <f>IF(A399="","",IF(H399=0,"",AVERAGE(D399:G399)))</f>
        <v>0</v>
      </c>
      <c r="J399" s="27">
        <f>IF(OR(I399="",C399=""),"",I399-C399)</f>
        <v>0</v>
      </c>
      <c r="K399" s="26">
        <f>IF(A399="","",IF(MES!E399&lt;&gt;4,"Horário do MES fora do padrão",IF(H399&lt;cfgMinCortes,"Cortes insuficientes","Válida")))</f>
        <v>0</v>
      </c>
      <c r="L399" s="27">
        <f>IF(K399="Válida",ABS(J399),"")</f>
        <v>0</v>
      </c>
      <c r="M399" s="26">
        <f>IF(K399="Válida",IF(L399&lt;=cfgTolerancia,"Sim","Não"),"")</f>
        <v>0</v>
      </c>
      <c r="N399" s="26">
        <f>IF(A399="","",MES!D399)</f>
        <v>0</v>
      </c>
      <c r="O399" s="25">
        <f>IF(K399="Válida",A399,NA())</f>
        <v>0</v>
      </c>
      <c r="P399" s="27">
        <f>IF(K399="Válida",C399,NA())</f>
        <v>0</v>
      </c>
      <c r="Q399" s="27">
        <f>IF(K399="Válida",I399,NA())</f>
        <v>0</v>
      </c>
      <c r="R399" s="27">
        <f>IF(K399="Válida",J399,NA())</f>
        <v>0</v>
      </c>
      <c r="S399" s="27">
        <f>IF(K399="Válida",C399,"")</f>
        <v>0</v>
      </c>
      <c r="T399" s="27">
        <f>IF(K399="Válida",I399,"")</f>
        <v>0</v>
      </c>
      <c r="U399" s="27">
        <f>IF(K399="Válida",J399,"")</f>
        <v>0</v>
      </c>
    </row>
    <row r="400" spans="1:21">
      <c r="A400" s="25">
        <f>IF(MES!A400="","",MES!C400/48)</f>
        <v>0</v>
      </c>
      <c r="B400" s="26">
        <f>IF(A400="","",TEXT((N400*4+cfgDeslocamento)/48,"hh:mm")&amp;" a "&amp;TEXT(A400,"hh:mm"))</f>
        <v>0</v>
      </c>
      <c r="C400" s="27">
        <f>IF(A400="","",MES!B400)</f>
        <v>0</v>
      </c>
      <c r="D400" s="27">
        <f>IF(A400="","",IFERROR(AVERAGEIFS(Prensa!$B$2:$B$5001,Prensa!$E$2:$E$5001,N400,Prensa!$F$2:$F$5001,1,Prensa!$G$2:$G$5001,1),""))</f>
        <v>0</v>
      </c>
      <c r="E400" s="27">
        <f>IF(A400="","",IFERROR(AVERAGEIFS(Prensa!$B$2:$B$5001,Prensa!$E$2:$E$5001,N400,Prensa!$F$2:$F$5001,2,Prensa!$G$2:$G$5001,1),""))</f>
        <v>0</v>
      </c>
      <c r="F400" s="27">
        <f>IF(A400="","",IFERROR(AVERAGEIFS(Prensa!$B$2:$B$5001,Prensa!$E$2:$E$5001,N400,Prensa!$F$2:$F$5001,3,Prensa!$G$2:$G$5001,1),""))</f>
        <v>0</v>
      </c>
      <c r="G400" s="27">
        <f>IF(A400="","",IFERROR(AVERAGEIFS(Prensa!$B$2:$B$5001,Prensa!$E$2:$E$5001,N400,Prensa!$F$2:$F$5001,4,Prensa!$G$2:$G$5001,1),""))</f>
        <v>0</v>
      </c>
      <c r="H400" s="26">
        <f>IF(A400="","",COUNT(D400:G400))</f>
        <v>0</v>
      </c>
      <c r="I400" s="27">
        <f>IF(A400="","",IF(H400=0,"",AVERAGE(D400:G400)))</f>
        <v>0</v>
      </c>
      <c r="J400" s="27">
        <f>IF(OR(I400="",C400=""),"",I400-C400)</f>
        <v>0</v>
      </c>
      <c r="K400" s="26">
        <f>IF(A400="","",IF(MES!E400&lt;&gt;4,"Horário do MES fora do padrão",IF(H400&lt;cfgMinCortes,"Cortes insuficientes","Válida")))</f>
        <v>0</v>
      </c>
      <c r="L400" s="27">
        <f>IF(K400="Válida",ABS(J400),"")</f>
        <v>0</v>
      </c>
      <c r="M400" s="26">
        <f>IF(K400="Válida",IF(L400&lt;=cfgTolerancia,"Sim","Não"),"")</f>
        <v>0</v>
      </c>
      <c r="N400" s="26">
        <f>IF(A400="","",MES!D400)</f>
        <v>0</v>
      </c>
      <c r="O400" s="25">
        <f>IF(K400="Válida",A400,NA())</f>
        <v>0</v>
      </c>
      <c r="P400" s="27">
        <f>IF(K400="Válida",C400,NA())</f>
        <v>0</v>
      </c>
      <c r="Q400" s="27">
        <f>IF(K400="Válida",I400,NA())</f>
        <v>0</v>
      </c>
      <c r="R400" s="27">
        <f>IF(K400="Válida",J400,NA())</f>
        <v>0</v>
      </c>
      <c r="S400" s="27">
        <f>IF(K400="Válida",C400,"")</f>
        <v>0</v>
      </c>
      <c r="T400" s="27">
        <f>IF(K400="Válida",I400,"")</f>
        <v>0</v>
      </c>
      <c r="U400" s="27">
        <f>IF(K400="Válida",J400,"")</f>
        <v>0</v>
      </c>
    </row>
    <row r="401" spans="1:21">
      <c r="A401" s="25">
        <f>IF(MES!A401="","",MES!C401/48)</f>
        <v>0</v>
      </c>
      <c r="B401" s="26">
        <f>IF(A401="","",TEXT((N401*4+cfgDeslocamento)/48,"hh:mm")&amp;" a "&amp;TEXT(A401,"hh:mm"))</f>
        <v>0</v>
      </c>
      <c r="C401" s="27">
        <f>IF(A401="","",MES!B401)</f>
        <v>0</v>
      </c>
      <c r="D401" s="27">
        <f>IF(A401="","",IFERROR(AVERAGEIFS(Prensa!$B$2:$B$5001,Prensa!$E$2:$E$5001,N401,Prensa!$F$2:$F$5001,1,Prensa!$G$2:$G$5001,1),""))</f>
        <v>0</v>
      </c>
      <c r="E401" s="27">
        <f>IF(A401="","",IFERROR(AVERAGEIFS(Prensa!$B$2:$B$5001,Prensa!$E$2:$E$5001,N401,Prensa!$F$2:$F$5001,2,Prensa!$G$2:$G$5001,1),""))</f>
        <v>0</v>
      </c>
      <c r="F401" s="27">
        <f>IF(A401="","",IFERROR(AVERAGEIFS(Prensa!$B$2:$B$5001,Prensa!$E$2:$E$5001,N401,Prensa!$F$2:$F$5001,3,Prensa!$G$2:$G$5001,1),""))</f>
        <v>0</v>
      </c>
      <c r="G401" s="27">
        <f>IF(A401="","",IFERROR(AVERAGEIFS(Prensa!$B$2:$B$5001,Prensa!$E$2:$E$5001,N401,Prensa!$F$2:$F$5001,4,Prensa!$G$2:$G$5001,1),""))</f>
        <v>0</v>
      </c>
      <c r="H401" s="26">
        <f>IF(A401="","",COUNT(D401:G401))</f>
        <v>0</v>
      </c>
      <c r="I401" s="27">
        <f>IF(A401="","",IF(H401=0,"",AVERAGE(D401:G401)))</f>
        <v>0</v>
      </c>
      <c r="J401" s="27">
        <f>IF(OR(I401="",C401=""),"",I401-C401)</f>
        <v>0</v>
      </c>
      <c r="K401" s="26">
        <f>IF(A401="","",IF(MES!E401&lt;&gt;4,"Horário do MES fora do padrão",IF(H401&lt;cfgMinCortes,"Cortes insuficientes","Válida")))</f>
        <v>0</v>
      </c>
      <c r="L401" s="27">
        <f>IF(K401="Válida",ABS(J401),"")</f>
        <v>0</v>
      </c>
      <c r="M401" s="26">
        <f>IF(K401="Válida",IF(L401&lt;=cfgTolerancia,"Sim","Não"),"")</f>
        <v>0</v>
      </c>
      <c r="N401" s="26">
        <f>IF(A401="","",MES!D401)</f>
        <v>0</v>
      </c>
      <c r="O401" s="25">
        <f>IF(K401="Válida",A401,NA())</f>
        <v>0</v>
      </c>
      <c r="P401" s="27">
        <f>IF(K401="Válida",C401,NA())</f>
        <v>0</v>
      </c>
      <c r="Q401" s="27">
        <f>IF(K401="Válida",I401,NA())</f>
        <v>0</v>
      </c>
      <c r="R401" s="27">
        <f>IF(K401="Válida",J401,NA())</f>
        <v>0</v>
      </c>
      <c r="S401" s="27">
        <f>IF(K401="Válida",C401,"")</f>
        <v>0</v>
      </c>
      <c r="T401" s="27">
        <f>IF(K401="Válida",I401,"")</f>
        <v>0</v>
      </c>
      <c r="U401" s="27">
        <f>IF(K401="Válida",J401,"")</f>
        <v>0</v>
      </c>
    </row>
    <row r="402" spans="1:21">
      <c r="A402" s="25">
        <f>IF(MES!A402="","",MES!C402/48)</f>
        <v>0</v>
      </c>
      <c r="B402" s="26">
        <f>IF(A402="","",TEXT((N402*4+cfgDeslocamento)/48,"hh:mm")&amp;" a "&amp;TEXT(A402,"hh:mm"))</f>
        <v>0</v>
      </c>
      <c r="C402" s="27">
        <f>IF(A402="","",MES!B402)</f>
        <v>0</v>
      </c>
      <c r="D402" s="27">
        <f>IF(A402="","",IFERROR(AVERAGEIFS(Prensa!$B$2:$B$5001,Prensa!$E$2:$E$5001,N402,Prensa!$F$2:$F$5001,1,Prensa!$G$2:$G$5001,1),""))</f>
        <v>0</v>
      </c>
      <c r="E402" s="27">
        <f>IF(A402="","",IFERROR(AVERAGEIFS(Prensa!$B$2:$B$5001,Prensa!$E$2:$E$5001,N402,Prensa!$F$2:$F$5001,2,Prensa!$G$2:$G$5001,1),""))</f>
        <v>0</v>
      </c>
      <c r="F402" s="27">
        <f>IF(A402="","",IFERROR(AVERAGEIFS(Prensa!$B$2:$B$5001,Prensa!$E$2:$E$5001,N402,Prensa!$F$2:$F$5001,3,Prensa!$G$2:$G$5001,1),""))</f>
        <v>0</v>
      </c>
      <c r="G402" s="27">
        <f>IF(A402="","",IFERROR(AVERAGEIFS(Prensa!$B$2:$B$5001,Prensa!$E$2:$E$5001,N402,Prensa!$F$2:$F$5001,4,Prensa!$G$2:$G$5001,1),""))</f>
        <v>0</v>
      </c>
      <c r="H402" s="26">
        <f>IF(A402="","",COUNT(D402:G402))</f>
        <v>0</v>
      </c>
      <c r="I402" s="27">
        <f>IF(A402="","",IF(H402=0,"",AVERAGE(D402:G402)))</f>
        <v>0</v>
      </c>
      <c r="J402" s="27">
        <f>IF(OR(I402="",C402=""),"",I402-C402)</f>
        <v>0</v>
      </c>
      <c r="K402" s="26">
        <f>IF(A402="","",IF(MES!E402&lt;&gt;4,"Horário do MES fora do padrão",IF(H402&lt;cfgMinCortes,"Cortes insuficientes","Válida")))</f>
        <v>0</v>
      </c>
      <c r="L402" s="27">
        <f>IF(K402="Válida",ABS(J402),"")</f>
        <v>0</v>
      </c>
      <c r="M402" s="26">
        <f>IF(K402="Válida",IF(L402&lt;=cfgTolerancia,"Sim","Não"),"")</f>
        <v>0</v>
      </c>
      <c r="N402" s="26">
        <f>IF(A402="","",MES!D402)</f>
        <v>0</v>
      </c>
      <c r="O402" s="25">
        <f>IF(K402="Válida",A402,NA())</f>
        <v>0</v>
      </c>
      <c r="P402" s="27">
        <f>IF(K402="Válida",C402,NA())</f>
        <v>0</v>
      </c>
      <c r="Q402" s="27">
        <f>IF(K402="Válida",I402,NA())</f>
        <v>0</v>
      </c>
      <c r="R402" s="27">
        <f>IF(K402="Válida",J402,NA())</f>
        <v>0</v>
      </c>
      <c r="S402" s="27">
        <f>IF(K402="Válida",C402,"")</f>
        <v>0</v>
      </c>
      <c r="T402" s="27">
        <f>IF(K402="Válida",I402,"")</f>
        <v>0</v>
      </c>
      <c r="U402" s="27">
        <f>IF(K402="Válida",J402,"")</f>
        <v>0</v>
      </c>
    </row>
    <row r="403" spans="1:21">
      <c r="A403" s="25">
        <f>IF(MES!A403="","",MES!C403/48)</f>
        <v>0</v>
      </c>
      <c r="B403" s="26">
        <f>IF(A403="","",TEXT((N403*4+cfgDeslocamento)/48,"hh:mm")&amp;" a "&amp;TEXT(A403,"hh:mm"))</f>
        <v>0</v>
      </c>
      <c r="C403" s="27">
        <f>IF(A403="","",MES!B403)</f>
        <v>0</v>
      </c>
      <c r="D403" s="27">
        <f>IF(A403="","",IFERROR(AVERAGEIFS(Prensa!$B$2:$B$5001,Prensa!$E$2:$E$5001,N403,Prensa!$F$2:$F$5001,1,Prensa!$G$2:$G$5001,1),""))</f>
        <v>0</v>
      </c>
      <c r="E403" s="27">
        <f>IF(A403="","",IFERROR(AVERAGEIFS(Prensa!$B$2:$B$5001,Prensa!$E$2:$E$5001,N403,Prensa!$F$2:$F$5001,2,Prensa!$G$2:$G$5001,1),""))</f>
        <v>0</v>
      </c>
      <c r="F403" s="27">
        <f>IF(A403="","",IFERROR(AVERAGEIFS(Prensa!$B$2:$B$5001,Prensa!$E$2:$E$5001,N403,Prensa!$F$2:$F$5001,3,Prensa!$G$2:$G$5001,1),""))</f>
        <v>0</v>
      </c>
      <c r="G403" s="27">
        <f>IF(A403="","",IFERROR(AVERAGEIFS(Prensa!$B$2:$B$5001,Prensa!$E$2:$E$5001,N403,Prensa!$F$2:$F$5001,4,Prensa!$G$2:$G$5001,1),""))</f>
        <v>0</v>
      </c>
      <c r="H403" s="26">
        <f>IF(A403="","",COUNT(D403:G403))</f>
        <v>0</v>
      </c>
      <c r="I403" s="27">
        <f>IF(A403="","",IF(H403=0,"",AVERAGE(D403:G403)))</f>
        <v>0</v>
      </c>
      <c r="J403" s="27">
        <f>IF(OR(I403="",C403=""),"",I403-C403)</f>
        <v>0</v>
      </c>
      <c r="K403" s="26">
        <f>IF(A403="","",IF(MES!E403&lt;&gt;4,"Horário do MES fora do padrão",IF(H403&lt;cfgMinCortes,"Cortes insuficientes","Válida")))</f>
        <v>0</v>
      </c>
      <c r="L403" s="27">
        <f>IF(K403="Válida",ABS(J403),"")</f>
        <v>0</v>
      </c>
      <c r="M403" s="26">
        <f>IF(K403="Válida",IF(L403&lt;=cfgTolerancia,"Sim","Não"),"")</f>
        <v>0</v>
      </c>
      <c r="N403" s="26">
        <f>IF(A403="","",MES!D403)</f>
        <v>0</v>
      </c>
      <c r="O403" s="25">
        <f>IF(K403="Válida",A403,NA())</f>
        <v>0</v>
      </c>
      <c r="P403" s="27">
        <f>IF(K403="Válida",C403,NA())</f>
        <v>0</v>
      </c>
      <c r="Q403" s="27">
        <f>IF(K403="Válida",I403,NA())</f>
        <v>0</v>
      </c>
      <c r="R403" s="27">
        <f>IF(K403="Válida",J403,NA())</f>
        <v>0</v>
      </c>
      <c r="S403" s="27">
        <f>IF(K403="Válida",C403,"")</f>
        <v>0</v>
      </c>
      <c r="T403" s="27">
        <f>IF(K403="Válida",I403,"")</f>
        <v>0</v>
      </c>
      <c r="U403" s="27">
        <f>IF(K403="Válida",J403,"")</f>
        <v>0</v>
      </c>
    </row>
    <row r="404" spans="1:21">
      <c r="A404" s="25">
        <f>IF(MES!A404="","",MES!C404/48)</f>
        <v>0</v>
      </c>
      <c r="B404" s="26">
        <f>IF(A404="","",TEXT((N404*4+cfgDeslocamento)/48,"hh:mm")&amp;" a "&amp;TEXT(A404,"hh:mm"))</f>
        <v>0</v>
      </c>
      <c r="C404" s="27">
        <f>IF(A404="","",MES!B404)</f>
        <v>0</v>
      </c>
      <c r="D404" s="27">
        <f>IF(A404="","",IFERROR(AVERAGEIFS(Prensa!$B$2:$B$5001,Prensa!$E$2:$E$5001,N404,Prensa!$F$2:$F$5001,1,Prensa!$G$2:$G$5001,1),""))</f>
        <v>0</v>
      </c>
      <c r="E404" s="27">
        <f>IF(A404="","",IFERROR(AVERAGEIFS(Prensa!$B$2:$B$5001,Prensa!$E$2:$E$5001,N404,Prensa!$F$2:$F$5001,2,Prensa!$G$2:$G$5001,1),""))</f>
        <v>0</v>
      </c>
      <c r="F404" s="27">
        <f>IF(A404="","",IFERROR(AVERAGEIFS(Prensa!$B$2:$B$5001,Prensa!$E$2:$E$5001,N404,Prensa!$F$2:$F$5001,3,Prensa!$G$2:$G$5001,1),""))</f>
        <v>0</v>
      </c>
      <c r="G404" s="27">
        <f>IF(A404="","",IFERROR(AVERAGEIFS(Prensa!$B$2:$B$5001,Prensa!$E$2:$E$5001,N404,Prensa!$F$2:$F$5001,4,Prensa!$G$2:$G$5001,1),""))</f>
        <v>0</v>
      </c>
      <c r="H404" s="26">
        <f>IF(A404="","",COUNT(D404:G404))</f>
        <v>0</v>
      </c>
      <c r="I404" s="27">
        <f>IF(A404="","",IF(H404=0,"",AVERAGE(D404:G404)))</f>
        <v>0</v>
      </c>
      <c r="J404" s="27">
        <f>IF(OR(I404="",C404=""),"",I404-C404)</f>
        <v>0</v>
      </c>
      <c r="K404" s="26">
        <f>IF(A404="","",IF(MES!E404&lt;&gt;4,"Horário do MES fora do padrão",IF(H404&lt;cfgMinCortes,"Cortes insuficientes","Válida")))</f>
        <v>0</v>
      </c>
      <c r="L404" s="27">
        <f>IF(K404="Válida",ABS(J404),"")</f>
        <v>0</v>
      </c>
      <c r="M404" s="26">
        <f>IF(K404="Válida",IF(L404&lt;=cfgTolerancia,"Sim","Não"),"")</f>
        <v>0</v>
      </c>
      <c r="N404" s="26">
        <f>IF(A404="","",MES!D404)</f>
        <v>0</v>
      </c>
      <c r="O404" s="25">
        <f>IF(K404="Válida",A404,NA())</f>
        <v>0</v>
      </c>
      <c r="P404" s="27">
        <f>IF(K404="Válida",C404,NA())</f>
        <v>0</v>
      </c>
      <c r="Q404" s="27">
        <f>IF(K404="Válida",I404,NA())</f>
        <v>0</v>
      </c>
      <c r="R404" s="27">
        <f>IF(K404="Válida",J404,NA())</f>
        <v>0</v>
      </c>
      <c r="S404" s="27">
        <f>IF(K404="Válida",C404,"")</f>
        <v>0</v>
      </c>
      <c r="T404" s="27">
        <f>IF(K404="Válida",I404,"")</f>
        <v>0</v>
      </c>
      <c r="U404" s="27">
        <f>IF(K404="Válida",J404,"")</f>
        <v>0</v>
      </c>
    </row>
    <row r="405" spans="1:21">
      <c r="A405" s="25">
        <f>IF(MES!A405="","",MES!C405/48)</f>
        <v>0</v>
      </c>
      <c r="B405" s="26">
        <f>IF(A405="","",TEXT((N405*4+cfgDeslocamento)/48,"hh:mm")&amp;" a "&amp;TEXT(A405,"hh:mm"))</f>
        <v>0</v>
      </c>
      <c r="C405" s="27">
        <f>IF(A405="","",MES!B405)</f>
        <v>0</v>
      </c>
      <c r="D405" s="27">
        <f>IF(A405="","",IFERROR(AVERAGEIFS(Prensa!$B$2:$B$5001,Prensa!$E$2:$E$5001,N405,Prensa!$F$2:$F$5001,1,Prensa!$G$2:$G$5001,1),""))</f>
        <v>0</v>
      </c>
      <c r="E405" s="27">
        <f>IF(A405="","",IFERROR(AVERAGEIFS(Prensa!$B$2:$B$5001,Prensa!$E$2:$E$5001,N405,Prensa!$F$2:$F$5001,2,Prensa!$G$2:$G$5001,1),""))</f>
        <v>0</v>
      </c>
      <c r="F405" s="27">
        <f>IF(A405="","",IFERROR(AVERAGEIFS(Prensa!$B$2:$B$5001,Prensa!$E$2:$E$5001,N405,Prensa!$F$2:$F$5001,3,Prensa!$G$2:$G$5001,1),""))</f>
        <v>0</v>
      </c>
      <c r="G405" s="27">
        <f>IF(A405="","",IFERROR(AVERAGEIFS(Prensa!$B$2:$B$5001,Prensa!$E$2:$E$5001,N405,Prensa!$F$2:$F$5001,4,Prensa!$G$2:$G$5001,1),""))</f>
        <v>0</v>
      </c>
      <c r="H405" s="26">
        <f>IF(A405="","",COUNT(D405:G405))</f>
        <v>0</v>
      </c>
      <c r="I405" s="27">
        <f>IF(A405="","",IF(H405=0,"",AVERAGE(D405:G405)))</f>
        <v>0</v>
      </c>
      <c r="J405" s="27">
        <f>IF(OR(I405="",C405=""),"",I405-C405)</f>
        <v>0</v>
      </c>
      <c r="K405" s="26">
        <f>IF(A405="","",IF(MES!E405&lt;&gt;4,"Horário do MES fora do padrão",IF(H405&lt;cfgMinCortes,"Cortes insuficientes","Válida")))</f>
        <v>0</v>
      </c>
      <c r="L405" s="27">
        <f>IF(K405="Válida",ABS(J405),"")</f>
        <v>0</v>
      </c>
      <c r="M405" s="26">
        <f>IF(K405="Válida",IF(L405&lt;=cfgTolerancia,"Sim","Não"),"")</f>
        <v>0</v>
      </c>
      <c r="N405" s="26">
        <f>IF(A405="","",MES!D405)</f>
        <v>0</v>
      </c>
      <c r="O405" s="25">
        <f>IF(K405="Válida",A405,NA())</f>
        <v>0</v>
      </c>
      <c r="P405" s="27">
        <f>IF(K405="Válida",C405,NA())</f>
        <v>0</v>
      </c>
      <c r="Q405" s="27">
        <f>IF(K405="Válida",I405,NA())</f>
        <v>0</v>
      </c>
      <c r="R405" s="27">
        <f>IF(K405="Válida",J405,NA())</f>
        <v>0</v>
      </c>
      <c r="S405" s="27">
        <f>IF(K405="Válida",C405,"")</f>
        <v>0</v>
      </c>
      <c r="T405" s="27">
        <f>IF(K405="Válida",I405,"")</f>
        <v>0</v>
      </c>
      <c r="U405" s="27">
        <f>IF(K405="Válida",J405,"")</f>
        <v>0</v>
      </c>
    </row>
    <row r="406" spans="1:21">
      <c r="A406" s="25">
        <f>IF(MES!A406="","",MES!C406/48)</f>
        <v>0</v>
      </c>
      <c r="B406" s="26">
        <f>IF(A406="","",TEXT((N406*4+cfgDeslocamento)/48,"hh:mm")&amp;" a "&amp;TEXT(A406,"hh:mm"))</f>
        <v>0</v>
      </c>
      <c r="C406" s="27">
        <f>IF(A406="","",MES!B406)</f>
        <v>0</v>
      </c>
      <c r="D406" s="27">
        <f>IF(A406="","",IFERROR(AVERAGEIFS(Prensa!$B$2:$B$5001,Prensa!$E$2:$E$5001,N406,Prensa!$F$2:$F$5001,1,Prensa!$G$2:$G$5001,1),""))</f>
        <v>0</v>
      </c>
      <c r="E406" s="27">
        <f>IF(A406="","",IFERROR(AVERAGEIFS(Prensa!$B$2:$B$5001,Prensa!$E$2:$E$5001,N406,Prensa!$F$2:$F$5001,2,Prensa!$G$2:$G$5001,1),""))</f>
        <v>0</v>
      </c>
      <c r="F406" s="27">
        <f>IF(A406="","",IFERROR(AVERAGEIFS(Prensa!$B$2:$B$5001,Prensa!$E$2:$E$5001,N406,Prensa!$F$2:$F$5001,3,Prensa!$G$2:$G$5001,1),""))</f>
        <v>0</v>
      </c>
      <c r="G406" s="27">
        <f>IF(A406="","",IFERROR(AVERAGEIFS(Prensa!$B$2:$B$5001,Prensa!$E$2:$E$5001,N406,Prensa!$F$2:$F$5001,4,Prensa!$G$2:$G$5001,1),""))</f>
        <v>0</v>
      </c>
      <c r="H406" s="26">
        <f>IF(A406="","",COUNT(D406:G406))</f>
        <v>0</v>
      </c>
      <c r="I406" s="27">
        <f>IF(A406="","",IF(H406=0,"",AVERAGE(D406:G406)))</f>
        <v>0</v>
      </c>
      <c r="J406" s="27">
        <f>IF(OR(I406="",C406=""),"",I406-C406)</f>
        <v>0</v>
      </c>
      <c r="K406" s="26">
        <f>IF(A406="","",IF(MES!E406&lt;&gt;4,"Horário do MES fora do padrão",IF(H406&lt;cfgMinCortes,"Cortes insuficientes","Válida")))</f>
        <v>0</v>
      </c>
      <c r="L406" s="27">
        <f>IF(K406="Válida",ABS(J406),"")</f>
        <v>0</v>
      </c>
      <c r="M406" s="26">
        <f>IF(K406="Válida",IF(L406&lt;=cfgTolerancia,"Sim","Não"),"")</f>
        <v>0</v>
      </c>
      <c r="N406" s="26">
        <f>IF(A406="","",MES!D406)</f>
        <v>0</v>
      </c>
      <c r="O406" s="25">
        <f>IF(K406="Válida",A406,NA())</f>
        <v>0</v>
      </c>
      <c r="P406" s="27">
        <f>IF(K406="Válida",C406,NA())</f>
        <v>0</v>
      </c>
      <c r="Q406" s="27">
        <f>IF(K406="Válida",I406,NA())</f>
        <v>0</v>
      </c>
      <c r="R406" s="27">
        <f>IF(K406="Válida",J406,NA())</f>
        <v>0</v>
      </c>
      <c r="S406" s="27">
        <f>IF(K406="Válida",C406,"")</f>
        <v>0</v>
      </c>
      <c r="T406" s="27">
        <f>IF(K406="Válida",I406,"")</f>
        <v>0</v>
      </c>
      <c r="U406" s="27">
        <f>IF(K406="Válida",J406,"")</f>
        <v>0</v>
      </c>
    </row>
    <row r="407" spans="1:21">
      <c r="A407" s="25">
        <f>IF(MES!A407="","",MES!C407/48)</f>
        <v>0</v>
      </c>
      <c r="B407" s="26">
        <f>IF(A407="","",TEXT((N407*4+cfgDeslocamento)/48,"hh:mm")&amp;" a "&amp;TEXT(A407,"hh:mm"))</f>
        <v>0</v>
      </c>
      <c r="C407" s="27">
        <f>IF(A407="","",MES!B407)</f>
        <v>0</v>
      </c>
      <c r="D407" s="27">
        <f>IF(A407="","",IFERROR(AVERAGEIFS(Prensa!$B$2:$B$5001,Prensa!$E$2:$E$5001,N407,Prensa!$F$2:$F$5001,1,Prensa!$G$2:$G$5001,1),""))</f>
        <v>0</v>
      </c>
      <c r="E407" s="27">
        <f>IF(A407="","",IFERROR(AVERAGEIFS(Prensa!$B$2:$B$5001,Prensa!$E$2:$E$5001,N407,Prensa!$F$2:$F$5001,2,Prensa!$G$2:$G$5001,1),""))</f>
        <v>0</v>
      </c>
      <c r="F407" s="27">
        <f>IF(A407="","",IFERROR(AVERAGEIFS(Prensa!$B$2:$B$5001,Prensa!$E$2:$E$5001,N407,Prensa!$F$2:$F$5001,3,Prensa!$G$2:$G$5001,1),""))</f>
        <v>0</v>
      </c>
      <c r="G407" s="27">
        <f>IF(A407="","",IFERROR(AVERAGEIFS(Prensa!$B$2:$B$5001,Prensa!$E$2:$E$5001,N407,Prensa!$F$2:$F$5001,4,Prensa!$G$2:$G$5001,1),""))</f>
        <v>0</v>
      </c>
      <c r="H407" s="26">
        <f>IF(A407="","",COUNT(D407:G407))</f>
        <v>0</v>
      </c>
      <c r="I407" s="27">
        <f>IF(A407="","",IF(H407=0,"",AVERAGE(D407:G407)))</f>
        <v>0</v>
      </c>
      <c r="J407" s="27">
        <f>IF(OR(I407="",C407=""),"",I407-C407)</f>
        <v>0</v>
      </c>
      <c r="K407" s="26">
        <f>IF(A407="","",IF(MES!E407&lt;&gt;4,"Horário do MES fora do padrão",IF(H407&lt;cfgMinCortes,"Cortes insuficientes","Válida")))</f>
        <v>0</v>
      </c>
      <c r="L407" s="27">
        <f>IF(K407="Válida",ABS(J407),"")</f>
        <v>0</v>
      </c>
      <c r="M407" s="26">
        <f>IF(K407="Válida",IF(L407&lt;=cfgTolerancia,"Sim","Não"),"")</f>
        <v>0</v>
      </c>
      <c r="N407" s="26">
        <f>IF(A407="","",MES!D407)</f>
        <v>0</v>
      </c>
      <c r="O407" s="25">
        <f>IF(K407="Válida",A407,NA())</f>
        <v>0</v>
      </c>
      <c r="P407" s="27">
        <f>IF(K407="Válida",C407,NA())</f>
        <v>0</v>
      </c>
      <c r="Q407" s="27">
        <f>IF(K407="Válida",I407,NA())</f>
        <v>0</v>
      </c>
      <c r="R407" s="27">
        <f>IF(K407="Válida",J407,NA())</f>
        <v>0</v>
      </c>
      <c r="S407" s="27">
        <f>IF(K407="Válida",C407,"")</f>
        <v>0</v>
      </c>
      <c r="T407" s="27">
        <f>IF(K407="Válida",I407,"")</f>
        <v>0</v>
      </c>
      <c r="U407" s="27">
        <f>IF(K407="Válida",J407,"")</f>
        <v>0</v>
      </c>
    </row>
    <row r="408" spans="1:21">
      <c r="A408" s="25">
        <f>IF(MES!A408="","",MES!C408/48)</f>
        <v>0</v>
      </c>
      <c r="B408" s="26">
        <f>IF(A408="","",TEXT((N408*4+cfgDeslocamento)/48,"hh:mm")&amp;" a "&amp;TEXT(A408,"hh:mm"))</f>
        <v>0</v>
      </c>
      <c r="C408" s="27">
        <f>IF(A408="","",MES!B408)</f>
        <v>0</v>
      </c>
      <c r="D408" s="27">
        <f>IF(A408="","",IFERROR(AVERAGEIFS(Prensa!$B$2:$B$5001,Prensa!$E$2:$E$5001,N408,Prensa!$F$2:$F$5001,1,Prensa!$G$2:$G$5001,1),""))</f>
        <v>0</v>
      </c>
      <c r="E408" s="27">
        <f>IF(A408="","",IFERROR(AVERAGEIFS(Prensa!$B$2:$B$5001,Prensa!$E$2:$E$5001,N408,Prensa!$F$2:$F$5001,2,Prensa!$G$2:$G$5001,1),""))</f>
        <v>0</v>
      </c>
      <c r="F408" s="27">
        <f>IF(A408="","",IFERROR(AVERAGEIFS(Prensa!$B$2:$B$5001,Prensa!$E$2:$E$5001,N408,Prensa!$F$2:$F$5001,3,Prensa!$G$2:$G$5001,1),""))</f>
        <v>0</v>
      </c>
      <c r="G408" s="27">
        <f>IF(A408="","",IFERROR(AVERAGEIFS(Prensa!$B$2:$B$5001,Prensa!$E$2:$E$5001,N408,Prensa!$F$2:$F$5001,4,Prensa!$G$2:$G$5001,1),""))</f>
        <v>0</v>
      </c>
      <c r="H408" s="26">
        <f>IF(A408="","",COUNT(D408:G408))</f>
        <v>0</v>
      </c>
      <c r="I408" s="27">
        <f>IF(A408="","",IF(H408=0,"",AVERAGE(D408:G408)))</f>
        <v>0</v>
      </c>
      <c r="J408" s="27">
        <f>IF(OR(I408="",C408=""),"",I408-C408)</f>
        <v>0</v>
      </c>
      <c r="K408" s="26">
        <f>IF(A408="","",IF(MES!E408&lt;&gt;4,"Horário do MES fora do padrão",IF(H408&lt;cfgMinCortes,"Cortes insuficientes","Válida")))</f>
        <v>0</v>
      </c>
      <c r="L408" s="27">
        <f>IF(K408="Válida",ABS(J408),"")</f>
        <v>0</v>
      </c>
      <c r="M408" s="26">
        <f>IF(K408="Válida",IF(L408&lt;=cfgTolerancia,"Sim","Não"),"")</f>
        <v>0</v>
      </c>
      <c r="N408" s="26">
        <f>IF(A408="","",MES!D408)</f>
        <v>0</v>
      </c>
      <c r="O408" s="25">
        <f>IF(K408="Válida",A408,NA())</f>
        <v>0</v>
      </c>
      <c r="P408" s="27">
        <f>IF(K408="Válida",C408,NA())</f>
        <v>0</v>
      </c>
      <c r="Q408" s="27">
        <f>IF(K408="Válida",I408,NA())</f>
        <v>0</v>
      </c>
      <c r="R408" s="27">
        <f>IF(K408="Válida",J408,NA())</f>
        <v>0</v>
      </c>
      <c r="S408" s="27">
        <f>IF(K408="Válida",C408,"")</f>
        <v>0</v>
      </c>
      <c r="T408" s="27">
        <f>IF(K408="Válida",I408,"")</f>
        <v>0</v>
      </c>
      <c r="U408" s="27">
        <f>IF(K408="Válida",J408,"")</f>
        <v>0</v>
      </c>
    </row>
    <row r="409" spans="1:21">
      <c r="A409" s="25">
        <f>IF(MES!A409="","",MES!C409/48)</f>
        <v>0</v>
      </c>
      <c r="B409" s="26">
        <f>IF(A409="","",TEXT((N409*4+cfgDeslocamento)/48,"hh:mm")&amp;" a "&amp;TEXT(A409,"hh:mm"))</f>
        <v>0</v>
      </c>
      <c r="C409" s="27">
        <f>IF(A409="","",MES!B409)</f>
        <v>0</v>
      </c>
      <c r="D409" s="27">
        <f>IF(A409="","",IFERROR(AVERAGEIFS(Prensa!$B$2:$B$5001,Prensa!$E$2:$E$5001,N409,Prensa!$F$2:$F$5001,1,Prensa!$G$2:$G$5001,1),""))</f>
        <v>0</v>
      </c>
      <c r="E409" s="27">
        <f>IF(A409="","",IFERROR(AVERAGEIFS(Prensa!$B$2:$B$5001,Prensa!$E$2:$E$5001,N409,Prensa!$F$2:$F$5001,2,Prensa!$G$2:$G$5001,1),""))</f>
        <v>0</v>
      </c>
      <c r="F409" s="27">
        <f>IF(A409="","",IFERROR(AVERAGEIFS(Prensa!$B$2:$B$5001,Prensa!$E$2:$E$5001,N409,Prensa!$F$2:$F$5001,3,Prensa!$G$2:$G$5001,1),""))</f>
        <v>0</v>
      </c>
      <c r="G409" s="27">
        <f>IF(A409="","",IFERROR(AVERAGEIFS(Prensa!$B$2:$B$5001,Prensa!$E$2:$E$5001,N409,Prensa!$F$2:$F$5001,4,Prensa!$G$2:$G$5001,1),""))</f>
        <v>0</v>
      </c>
      <c r="H409" s="26">
        <f>IF(A409="","",COUNT(D409:G409))</f>
        <v>0</v>
      </c>
      <c r="I409" s="27">
        <f>IF(A409="","",IF(H409=0,"",AVERAGE(D409:G409)))</f>
        <v>0</v>
      </c>
      <c r="J409" s="27">
        <f>IF(OR(I409="",C409=""),"",I409-C409)</f>
        <v>0</v>
      </c>
      <c r="K409" s="26">
        <f>IF(A409="","",IF(MES!E409&lt;&gt;4,"Horário do MES fora do padrão",IF(H409&lt;cfgMinCortes,"Cortes insuficientes","Válida")))</f>
        <v>0</v>
      </c>
      <c r="L409" s="27">
        <f>IF(K409="Válida",ABS(J409),"")</f>
        <v>0</v>
      </c>
      <c r="M409" s="26">
        <f>IF(K409="Válida",IF(L409&lt;=cfgTolerancia,"Sim","Não"),"")</f>
        <v>0</v>
      </c>
      <c r="N409" s="26">
        <f>IF(A409="","",MES!D409)</f>
        <v>0</v>
      </c>
      <c r="O409" s="25">
        <f>IF(K409="Válida",A409,NA())</f>
        <v>0</v>
      </c>
      <c r="P409" s="27">
        <f>IF(K409="Válida",C409,NA())</f>
        <v>0</v>
      </c>
      <c r="Q409" s="27">
        <f>IF(K409="Válida",I409,NA())</f>
        <v>0</v>
      </c>
      <c r="R409" s="27">
        <f>IF(K409="Válida",J409,NA())</f>
        <v>0</v>
      </c>
      <c r="S409" s="27">
        <f>IF(K409="Válida",C409,"")</f>
        <v>0</v>
      </c>
      <c r="T409" s="27">
        <f>IF(K409="Válida",I409,"")</f>
        <v>0</v>
      </c>
      <c r="U409" s="27">
        <f>IF(K409="Válida",J409,"")</f>
        <v>0</v>
      </c>
    </row>
    <row r="410" spans="1:21">
      <c r="A410" s="25">
        <f>IF(MES!A410="","",MES!C410/48)</f>
        <v>0</v>
      </c>
      <c r="B410" s="26">
        <f>IF(A410="","",TEXT((N410*4+cfgDeslocamento)/48,"hh:mm")&amp;" a "&amp;TEXT(A410,"hh:mm"))</f>
        <v>0</v>
      </c>
      <c r="C410" s="27">
        <f>IF(A410="","",MES!B410)</f>
        <v>0</v>
      </c>
      <c r="D410" s="27">
        <f>IF(A410="","",IFERROR(AVERAGEIFS(Prensa!$B$2:$B$5001,Prensa!$E$2:$E$5001,N410,Prensa!$F$2:$F$5001,1,Prensa!$G$2:$G$5001,1),""))</f>
        <v>0</v>
      </c>
      <c r="E410" s="27">
        <f>IF(A410="","",IFERROR(AVERAGEIFS(Prensa!$B$2:$B$5001,Prensa!$E$2:$E$5001,N410,Prensa!$F$2:$F$5001,2,Prensa!$G$2:$G$5001,1),""))</f>
        <v>0</v>
      </c>
      <c r="F410" s="27">
        <f>IF(A410="","",IFERROR(AVERAGEIFS(Prensa!$B$2:$B$5001,Prensa!$E$2:$E$5001,N410,Prensa!$F$2:$F$5001,3,Prensa!$G$2:$G$5001,1),""))</f>
        <v>0</v>
      </c>
      <c r="G410" s="27">
        <f>IF(A410="","",IFERROR(AVERAGEIFS(Prensa!$B$2:$B$5001,Prensa!$E$2:$E$5001,N410,Prensa!$F$2:$F$5001,4,Prensa!$G$2:$G$5001,1),""))</f>
        <v>0</v>
      </c>
      <c r="H410" s="26">
        <f>IF(A410="","",COUNT(D410:G410))</f>
        <v>0</v>
      </c>
      <c r="I410" s="27">
        <f>IF(A410="","",IF(H410=0,"",AVERAGE(D410:G410)))</f>
        <v>0</v>
      </c>
      <c r="J410" s="27">
        <f>IF(OR(I410="",C410=""),"",I410-C410)</f>
        <v>0</v>
      </c>
      <c r="K410" s="26">
        <f>IF(A410="","",IF(MES!E410&lt;&gt;4,"Horário do MES fora do padrão",IF(H410&lt;cfgMinCortes,"Cortes insuficientes","Válida")))</f>
        <v>0</v>
      </c>
      <c r="L410" s="27">
        <f>IF(K410="Válida",ABS(J410),"")</f>
        <v>0</v>
      </c>
      <c r="M410" s="26">
        <f>IF(K410="Válida",IF(L410&lt;=cfgTolerancia,"Sim","Não"),"")</f>
        <v>0</v>
      </c>
      <c r="N410" s="26">
        <f>IF(A410="","",MES!D410)</f>
        <v>0</v>
      </c>
      <c r="O410" s="25">
        <f>IF(K410="Válida",A410,NA())</f>
        <v>0</v>
      </c>
      <c r="P410" s="27">
        <f>IF(K410="Válida",C410,NA())</f>
        <v>0</v>
      </c>
      <c r="Q410" s="27">
        <f>IF(K410="Válida",I410,NA())</f>
        <v>0</v>
      </c>
      <c r="R410" s="27">
        <f>IF(K410="Válida",J410,NA())</f>
        <v>0</v>
      </c>
      <c r="S410" s="27">
        <f>IF(K410="Válida",C410,"")</f>
        <v>0</v>
      </c>
      <c r="T410" s="27">
        <f>IF(K410="Válida",I410,"")</f>
        <v>0</v>
      </c>
      <c r="U410" s="27">
        <f>IF(K410="Válida",J410,"")</f>
        <v>0</v>
      </c>
    </row>
    <row r="411" spans="1:21">
      <c r="A411" s="25">
        <f>IF(MES!A411="","",MES!C411/48)</f>
        <v>0</v>
      </c>
      <c r="B411" s="26">
        <f>IF(A411="","",TEXT((N411*4+cfgDeslocamento)/48,"hh:mm")&amp;" a "&amp;TEXT(A411,"hh:mm"))</f>
        <v>0</v>
      </c>
      <c r="C411" s="27">
        <f>IF(A411="","",MES!B411)</f>
        <v>0</v>
      </c>
      <c r="D411" s="27">
        <f>IF(A411="","",IFERROR(AVERAGEIFS(Prensa!$B$2:$B$5001,Prensa!$E$2:$E$5001,N411,Prensa!$F$2:$F$5001,1,Prensa!$G$2:$G$5001,1),""))</f>
        <v>0</v>
      </c>
      <c r="E411" s="27">
        <f>IF(A411="","",IFERROR(AVERAGEIFS(Prensa!$B$2:$B$5001,Prensa!$E$2:$E$5001,N411,Prensa!$F$2:$F$5001,2,Prensa!$G$2:$G$5001,1),""))</f>
        <v>0</v>
      </c>
      <c r="F411" s="27">
        <f>IF(A411="","",IFERROR(AVERAGEIFS(Prensa!$B$2:$B$5001,Prensa!$E$2:$E$5001,N411,Prensa!$F$2:$F$5001,3,Prensa!$G$2:$G$5001,1),""))</f>
        <v>0</v>
      </c>
      <c r="G411" s="27">
        <f>IF(A411="","",IFERROR(AVERAGEIFS(Prensa!$B$2:$B$5001,Prensa!$E$2:$E$5001,N411,Prensa!$F$2:$F$5001,4,Prensa!$G$2:$G$5001,1),""))</f>
        <v>0</v>
      </c>
      <c r="H411" s="26">
        <f>IF(A411="","",COUNT(D411:G411))</f>
        <v>0</v>
      </c>
      <c r="I411" s="27">
        <f>IF(A411="","",IF(H411=0,"",AVERAGE(D411:G411)))</f>
        <v>0</v>
      </c>
      <c r="J411" s="27">
        <f>IF(OR(I411="",C411=""),"",I411-C411)</f>
        <v>0</v>
      </c>
      <c r="K411" s="26">
        <f>IF(A411="","",IF(MES!E411&lt;&gt;4,"Horário do MES fora do padrão",IF(H411&lt;cfgMinCortes,"Cortes insuficientes","Válida")))</f>
        <v>0</v>
      </c>
      <c r="L411" s="27">
        <f>IF(K411="Válida",ABS(J411),"")</f>
        <v>0</v>
      </c>
      <c r="M411" s="26">
        <f>IF(K411="Válida",IF(L411&lt;=cfgTolerancia,"Sim","Não"),"")</f>
        <v>0</v>
      </c>
      <c r="N411" s="26">
        <f>IF(A411="","",MES!D411)</f>
        <v>0</v>
      </c>
      <c r="O411" s="25">
        <f>IF(K411="Válida",A411,NA())</f>
        <v>0</v>
      </c>
      <c r="P411" s="27">
        <f>IF(K411="Válida",C411,NA())</f>
        <v>0</v>
      </c>
      <c r="Q411" s="27">
        <f>IF(K411="Válida",I411,NA())</f>
        <v>0</v>
      </c>
      <c r="R411" s="27">
        <f>IF(K411="Válida",J411,NA())</f>
        <v>0</v>
      </c>
      <c r="S411" s="27">
        <f>IF(K411="Válida",C411,"")</f>
        <v>0</v>
      </c>
      <c r="T411" s="27">
        <f>IF(K411="Válida",I411,"")</f>
        <v>0</v>
      </c>
      <c r="U411" s="27">
        <f>IF(K411="Válida",J411,"")</f>
        <v>0</v>
      </c>
    </row>
    <row r="412" spans="1:21">
      <c r="A412" s="25">
        <f>IF(MES!A412="","",MES!C412/48)</f>
        <v>0</v>
      </c>
      <c r="B412" s="26">
        <f>IF(A412="","",TEXT((N412*4+cfgDeslocamento)/48,"hh:mm")&amp;" a "&amp;TEXT(A412,"hh:mm"))</f>
        <v>0</v>
      </c>
      <c r="C412" s="27">
        <f>IF(A412="","",MES!B412)</f>
        <v>0</v>
      </c>
      <c r="D412" s="27">
        <f>IF(A412="","",IFERROR(AVERAGEIFS(Prensa!$B$2:$B$5001,Prensa!$E$2:$E$5001,N412,Prensa!$F$2:$F$5001,1,Prensa!$G$2:$G$5001,1),""))</f>
        <v>0</v>
      </c>
      <c r="E412" s="27">
        <f>IF(A412="","",IFERROR(AVERAGEIFS(Prensa!$B$2:$B$5001,Prensa!$E$2:$E$5001,N412,Prensa!$F$2:$F$5001,2,Prensa!$G$2:$G$5001,1),""))</f>
        <v>0</v>
      </c>
      <c r="F412" s="27">
        <f>IF(A412="","",IFERROR(AVERAGEIFS(Prensa!$B$2:$B$5001,Prensa!$E$2:$E$5001,N412,Prensa!$F$2:$F$5001,3,Prensa!$G$2:$G$5001,1),""))</f>
        <v>0</v>
      </c>
      <c r="G412" s="27">
        <f>IF(A412="","",IFERROR(AVERAGEIFS(Prensa!$B$2:$B$5001,Prensa!$E$2:$E$5001,N412,Prensa!$F$2:$F$5001,4,Prensa!$G$2:$G$5001,1),""))</f>
        <v>0</v>
      </c>
      <c r="H412" s="26">
        <f>IF(A412="","",COUNT(D412:G412))</f>
        <v>0</v>
      </c>
      <c r="I412" s="27">
        <f>IF(A412="","",IF(H412=0,"",AVERAGE(D412:G412)))</f>
        <v>0</v>
      </c>
      <c r="J412" s="27">
        <f>IF(OR(I412="",C412=""),"",I412-C412)</f>
        <v>0</v>
      </c>
      <c r="K412" s="26">
        <f>IF(A412="","",IF(MES!E412&lt;&gt;4,"Horário do MES fora do padrão",IF(H412&lt;cfgMinCortes,"Cortes insuficientes","Válida")))</f>
        <v>0</v>
      </c>
      <c r="L412" s="27">
        <f>IF(K412="Válida",ABS(J412),"")</f>
        <v>0</v>
      </c>
      <c r="M412" s="26">
        <f>IF(K412="Válida",IF(L412&lt;=cfgTolerancia,"Sim","Não"),"")</f>
        <v>0</v>
      </c>
      <c r="N412" s="26">
        <f>IF(A412="","",MES!D412)</f>
        <v>0</v>
      </c>
      <c r="O412" s="25">
        <f>IF(K412="Válida",A412,NA())</f>
        <v>0</v>
      </c>
      <c r="P412" s="27">
        <f>IF(K412="Válida",C412,NA())</f>
        <v>0</v>
      </c>
      <c r="Q412" s="27">
        <f>IF(K412="Válida",I412,NA())</f>
        <v>0</v>
      </c>
      <c r="R412" s="27">
        <f>IF(K412="Válida",J412,NA())</f>
        <v>0</v>
      </c>
      <c r="S412" s="27">
        <f>IF(K412="Válida",C412,"")</f>
        <v>0</v>
      </c>
      <c r="T412" s="27">
        <f>IF(K412="Válida",I412,"")</f>
        <v>0</v>
      </c>
      <c r="U412" s="27">
        <f>IF(K412="Válida",J412,"")</f>
        <v>0</v>
      </c>
    </row>
    <row r="413" spans="1:21">
      <c r="A413" s="25">
        <f>IF(MES!A413="","",MES!C413/48)</f>
        <v>0</v>
      </c>
      <c r="B413" s="26">
        <f>IF(A413="","",TEXT((N413*4+cfgDeslocamento)/48,"hh:mm")&amp;" a "&amp;TEXT(A413,"hh:mm"))</f>
        <v>0</v>
      </c>
      <c r="C413" s="27">
        <f>IF(A413="","",MES!B413)</f>
        <v>0</v>
      </c>
      <c r="D413" s="27">
        <f>IF(A413="","",IFERROR(AVERAGEIFS(Prensa!$B$2:$B$5001,Prensa!$E$2:$E$5001,N413,Prensa!$F$2:$F$5001,1,Prensa!$G$2:$G$5001,1),""))</f>
        <v>0</v>
      </c>
      <c r="E413" s="27">
        <f>IF(A413="","",IFERROR(AVERAGEIFS(Prensa!$B$2:$B$5001,Prensa!$E$2:$E$5001,N413,Prensa!$F$2:$F$5001,2,Prensa!$G$2:$G$5001,1),""))</f>
        <v>0</v>
      </c>
      <c r="F413" s="27">
        <f>IF(A413="","",IFERROR(AVERAGEIFS(Prensa!$B$2:$B$5001,Prensa!$E$2:$E$5001,N413,Prensa!$F$2:$F$5001,3,Prensa!$G$2:$G$5001,1),""))</f>
        <v>0</v>
      </c>
      <c r="G413" s="27">
        <f>IF(A413="","",IFERROR(AVERAGEIFS(Prensa!$B$2:$B$5001,Prensa!$E$2:$E$5001,N413,Prensa!$F$2:$F$5001,4,Prensa!$G$2:$G$5001,1),""))</f>
        <v>0</v>
      </c>
      <c r="H413" s="26">
        <f>IF(A413="","",COUNT(D413:G413))</f>
        <v>0</v>
      </c>
      <c r="I413" s="27">
        <f>IF(A413="","",IF(H413=0,"",AVERAGE(D413:G413)))</f>
        <v>0</v>
      </c>
      <c r="J413" s="27">
        <f>IF(OR(I413="",C413=""),"",I413-C413)</f>
        <v>0</v>
      </c>
      <c r="K413" s="26">
        <f>IF(A413="","",IF(MES!E413&lt;&gt;4,"Horário do MES fora do padrão",IF(H413&lt;cfgMinCortes,"Cortes insuficientes","Válida")))</f>
        <v>0</v>
      </c>
      <c r="L413" s="27">
        <f>IF(K413="Válida",ABS(J413),"")</f>
        <v>0</v>
      </c>
      <c r="M413" s="26">
        <f>IF(K413="Válida",IF(L413&lt;=cfgTolerancia,"Sim","Não"),"")</f>
        <v>0</v>
      </c>
      <c r="N413" s="26">
        <f>IF(A413="","",MES!D413)</f>
        <v>0</v>
      </c>
      <c r="O413" s="25">
        <f>IF(K413="Válida",A413,NA())</f>
        <v>0</v>
      </c>
      <c r="P413" s="27">
        <f>IF(K413="Válida",C413,NA())</f>
        <v>0</v>
      </c>
      <c r="Q413" s="27">
        <f>IF(K413="Válida",I413,NA())</f>
        <v>0</v>
      </c>
      <c r="R413" s="27">
        <f>IF(K413="Válida",J413,NA())</f>
        <v>0</v>
      </c>
      <c r="S413" s="27">
        <f>IF(K413="Válida",C413,"")</f>
        <v>0</v>
      </c>
      <c r="T413" s="27">
        <f>IF(K413="Válida",I413,"")</f>
        <v>0</v>
      </c>
      <c r="U413" s="27">
        <f>IF(K413="Válida",J413,"")</f>
        <v>0</v>
      </c>
    </row>
    <row r="414" spans="1:21">
      <c r="A414" s="25">
        <f>IF(MES!A414="","",MES!C414/48)</f>
        <v>0</v>
      </c>
      <c r="B414" s="26">
        <f>IF(A414="","",TEXT((N414*4+cfgDeslocamento)/48,"hh:mm")&amp;" a "&amp;TEXT(A414,"hh:mm"))</f>
        <v>0</v>
      </c>
      <c r="C414" s="27">
        <f>IF(A414="","",MES!B414)</f>
        <v>0</v>
      </c>
      <c r="D414" s="27">
        <f>IF(A414="","",IFERROR(AVERAGEIFS(Prensa!$B$2:$B$5001,Prensa!$E$2:$E$5001,N414,Prensa!$F$2:$F$5001,1,Prensa!$G$2:$G$5001,1),""))</f>
        <v>0</v>
      </c>
      <c r="E414" s="27">
        <f>IF(A414="","",IFERROR(AVERAGEIFS(Prensa!$B$2:$B$5001,Prensa!$E$2:$E$5001,N414,Prensa!$F$2:$F$5001,2,Prensa!$G$2:$G$5001,1),""))</f>
        <v>0</v>
      </c>
      <c r="F414" s="27">
        <f>IF(A414="","",IFERROR(AVERAGEIFS(Prensa!$B$2:$B$5001,Prensa!$E$2:$E$5001,N414,Prensa!$F$2:$F$5001,3,Prensa!$G$2:$G$5001,1),""))</f>
        <v>0</v>
      </c>
      <c r="G414" s="27">
        <f>IF(A414="","",IFERROR(AVERAGEIFS(Prensa!$B$2:$B$5001,Prensa!$E$2:$E$5001,N414,Prensa!$F$2:$F$5001,4,Prensa!$G$2:$G$5001,1),""))</f>
        <v>0</v>
      </c>
      <c r="H414" s="26">
        <f>IF(A414="","",COUNT(D414:G414))</f>
        <v>0</v>
      </c>
      <c r="I414" s="27">
        <f>IF(A414="","",IF(H414=0,"",AVERAGE(D414:G414)))</f>
        <v>0</v>
      </c>
      <c r="J414" s="27">
        <f>IF(OR(I414="",C414=""),"",I414-C414)</f>
        <v>0</v>
      </c>
      <c r="K414" s="26">
        <f>IF(A414="","",IF(MES!E414&lt;&gt;4,"Horário do MES fora do padrão",IF(H414&lt;cfgMinCortes,"Cortes insuficientes","Válida")))</f>
        <v>0</v>
      </c>
      <c r="L414" s="27">
        <f>IF(K414="Válida",ABS(J414),"")</f>
        <v>0</v>
      </c>
      <c r="M414" s="26">
        <f>IF(K414="Válida",IF(L414&lt;=cfgTolerancia,"Sim","Não"),"")</f>
        <v>0</v>
      </c>
      <c r="N414" s="26">
        <f>IF(A414="","",MES!D414)</f>
        <v>0</v>
      </c>
      <c r="O414" s="25">
        <f>IF(K414="Válida",A414,NA())</f>
        <v>0</v>
      </c>
      <c r="P414" s="27">
        <f>IF(K414="Válida",C414,NA())</f>
        <v>0</v>
      </c>
      <c r="Q414" s="27">
        <f>IF(K414="Válida",I414,NA())</f>
        <v>0</v>
      </c>
      <c r="R414" s="27">
        <f>IF(K414="Válida",J414,NA())</f>
        <v>0</v>
      </c>
      <c r="S414" s="27">
        <f>IF(K414="Válida",C414,"")</f>
        <v>0</v>
      </c>
      <c r="T414" s="27">
        <f>IF(K414="Válida",I414,"")</f>
        <v>0</v>
      </c>
      <c r="U414" s="27">
        <f>IF(K414="Válida",J414,"")</f>
        <v>0</v>
      </c>
    </row>
    <row r="415" spans="1:21">
      <c r="A415" s="25">
        <f>IF(MES!A415="","",MES!C415/48)</f>
        <v>0</v>
      </c>
      <c r="B415" s="26">
        <f>IF(A415="","",TEXT((N415*4+cfgDeslocamento)/48,"hh:mm")&amp;" a "&amp;TEXT(A415,"hh:mm"))</f>
        <v>0</v>
      </c>
      <c r="C415" s="27">
        <f>IF(A415="","",MES!B415)</f>
        <v>0</v>
      </c>
      <c r="D415" s="27">
        <f>IF(A415="","",IFERROR(AVERAGEIFS(Prensa!$B$2:$B$5001,Prensa!$E$2:$E$5001,N415,Prensa!$F$2:$F$5001,1,Prensa!$G$2:$G$5001,1),""))</f>
        <v>0</v>
      </c>
      <c r="E415" s="27">
        <f>IF(A415="","",IFERROR(AVERAGEIFS(Prensa!$B$2:$B$5001,Prensa!$E$2:$E$5001,N415,Prensa!$F$2:$F$5001,2,Prensa!$G$2:$G$5001,1),""))</f>
        <v>0</v>
      </c>
      <c r="F415" s="27">
        <f>IF(A415="","",IFERROR(AVERAGEIFS(Prensa!$B$2:$B$5001,Prensa!$E$2:$E$5001,N415,Prensa!$F$2:$F$5001,3,Prensa!$G$2:$G$5001,1),""))</f>
        <v>0</v>
      </c>
      <c r="G415" s="27">
        <f>IF(A415="","",IFERROR(AVERAGEIFS(Prensa!$B$2:$B$5001,Prensa!$E$2:$E$5001,N415,Prensa!$F$2:$F$5001,4,Prensa!$G$2:$G$5001,1),""))</f>
        <v>0</v>
      </c>
      <c r="H415" s="26">
        <f>IF(A415="","",COUNT(D415:G415))</f>
        <v>0</v>
      </c>
      <c r="I415" s="27">
        <f>IF(A415="","",IF(H415=0,"",AVERAGE(D415:G415)))</f>
        <v>0</v>
      </c>
      <c r="J415" s="27">
        <f>IF(OR(I415="",C415=""),"",I415-C415)</f>
        <v>0</v>
      </c>
      <c r="K415" s="26">
        <f>IF(A415="","",IF(MES!E415&lt;&gt;4,"Horário do MES fora do padrão",IF(H415&lt;cfgMinCortes,"Cortes insuficientes","Válida")))</f>
        <v>0</v>
      </c>
      <c r="L415" s="27">
        <f>IF(K415="Válida",ABS(J415),"")</f>
        <v>0</v>
      </c>
      <c r="M415" s="26">
        <f>IF(K415="Válida",IF(L415&lt;=cfgTolerancia,"Sim","Não"),"")</f>
        <v>0</v>
      </c>
      <c r="N415" s="26">
        <f>IF(A415="","",MES!D415)</f>
        <v>0</v>
      </c>
      <c r="O415" s="25">
        <f>IF(K415="Válida",A415,NA())</f>
        <v>0</v>
      </c>
      <c r="P415" s="27">
        <f>IF(K415="Válida",C415,NA())</f>
        <v>0</v>
      </c>
      <c r="Q415" s="27">
        <f>IF(K415="Válida",I415,NA())</f>
        <v>0</v>
      </c>
      <c r="R415" s="27">
        <f>IF(K415="Válida",J415,NA())</f>
        <v>0</v>
      </c>
      <c r="S415" s="27">
        <f>IF(K415="Válida",C415,"")</f>
        <v>0</v>
      </c>
      <c r="T415" s="27">
        <f>IF(K415="Válida",I415,"")</f>
        <v>0</v>
      </c>
      <c r="U415" s="27">
        <f>IF(K415="Válida",J415,"")</f>
        <v>0</v>
      </c>
    </row>
    <row r="416" spans="1:21">
      <c r="A416" s="25">
        <f>IF(MES!A416="","",MES!C416/48)</f>
        <v>0</v>
      </c>
      <c r="B416" s="26">
        <f>IF(A416="","",TEXT((N416*4+cfgDeslocamento)/48,"hh:mm")&amp;" a "&amp;TEXT(A416,"hh:mm"))</f>
        <v>0</v>
      </c>
      <c r="C416" s="27">
        <f>IF(A416="","",MES!B416)</f>
        <v>0</v>
      </c>
      <c r="D416" s="27">
        <f>IF(A416="","",IFERROR(AVERAGEIFS(Prensa!$B$2:$B$5001,Prensa!$E$2:$E$5001,N416,Prensa!$F$2:$F$5001,1,Prensa!$G$2:$G$5001,1),""))</f>
        <v>0</v>
      </c>
      <c r="E416" s="27">
        <f>IF(A416="","",IFERROR(AVERAGEIFS(Prensa!$B$2:$B$5001,Prensa!$E$2:$E$5001,N416,Prensa!$F$2:$F$5001,2,Prensa!$G$2:$G$5001,1),""))</f>
        <v>0</v>
      </c>
      <c r="F416" s="27">
        <f>IF(A416="","",IFERROR(AVERAGEIFS(Prensa!$B$2:$B$5001,Prensa!$E$2:$E$5001,N416,Prensa!$F$2:$F$5001,3,Prensa!$G$2:$G$5001,1),""))</f>
        <v>0</v>
      </c>
      <c r="G416" s="27">
        <f>IF(A416="","",IFERROR(AVERAGEIFS(Prensa!$B$2:$B$5001,Prensa!$E$2:$E$5001,N416,Prensa!$F$2:$F$5001,4,Prensa!$G$2:$G$5001,1),""))</f>
        <v>0</v>
      </c>
      <c r="H416" s="26">
        <f>IF(A416="","",COUNT(D416:G416))</f>
        <v>0</v>
      </c>
      <c r="I416" s="27">
        <f>IF(A416="","",IF(H416=0,"",AVERAGE(D416:G416)))</f>
        <v>0</v>
      </c>
      <c r="J416" s="27">
        <f>IF(OR(I416="",C416=""),"",I416-C416)</f>
        <v>0</v>
      </c>
      <c r="K416" s="26">
        <f>IF(A416="","",IF(MES!E416&lt;&gt;4,"Horário do MES fora do padrão",IF(H416&lt;cfgMinCortes,"Cortes insuficientes","Válida")))</f>
        <v>0</v>
      </c>
      <c r="L416" s="27">
        <f>IF(K416="Válida",ABS(J416),"")</f>
        <v>0</v>
      </c>
      <c r="M416" s="26">
        <f>IF(K416="Válida",IF(L416&lt;=cfgTolerancia,"Sim","Não"),"")</f>
        <v>0</v>
      </c>
      <c r="N416" s="26">
        <f>IF(A416="","",MES!D416)</f>
        <v>0</v>
      </c>
      <c r="O416" s="25">
        <f>IF(K416="Válida",A416,NA())</f>
        <v>0</v>
      </c>
      <c r="P416" s="27">
        <f>IF(K416="Válida",C416,NA())</f>
        <v>0</v>
      </c>
      <c r="Q416" s="27">
        <f>IF(K416="Válida",I416,NA())</f>
        <v>0</v>
      </c>
      <c r="R416" s="27">
        <f>IF(K416="Válida",J416,NA())</f>
        <v>0</v>
      </c>
      <c r="S416" s="27">
        <f>IF(K416="Válida",C416,"")</f>
        <v>0</v>
      </c>
      <c r="T416" s="27">
        <f>IF(K416="Válida",I416,"")</f>
        <v>0</v>
      </c>
      <c r="U416" s="27">
        <f>IF(K416="Válida",J416,"")</f>
        <v>0</v>
      </c>
    </row>
    <row r="417" spans="1:21">
      <c r="A417" s="25">
        <f>IF(MES!A417="","",MES!C417/48)</f>
        <v>0</v>
      </c>
      <c r="B417" s="26">
        <f>IF(A417="","",TEXT((N417*4+cfgDeslocamento)/48,"hh:mm")&amp;" a "&amp;TEXT(A417,"hh:mm"))</f>
        <v>0</v>
      </c>
      <c r="C417" s="27">
        <f>IF(A417="","",MES!B417)</f>
        <v>0</v>
      </c>
      <c r="D417" s="27">
        <f>IF(A417="","",IFERROR(AVERAGEIFS(Prensa!$B$2:$B$5001,Prensa!$E$2:$E$5001,N417,Prensa!$F$2:$F$5001,1,Prensa!$G$2:$G$5001,1),""))</f>
        <v>0</v>
      </c>
      <c r="E417" s="27">
        <f>IF(A417="","",IFERROR(AVERAGEIFS(Prensa!$B$2:$B$5001,Prensa!$E$2:$E$5001,N417,Prensa!$F$2:$F$5001,2,Prensa!$G$2:$G$5001,1),""))</f>
        <v>0</v>
      </c>
      <c r="F417" s="27">
        <f>IF(A417="","",IFERROR(AVERAGEIFS(Prensa!$B$2:$B$5001,Prensa!$E$2:$E$5001,N417,Prensa!$F$2:$F$5001,3,Prensa!$G$2:$G$5001,1),""))</f>
        <v>0</v>
      </c>
      <c r="G417" s="27">
        <f>IF(A417="","",IFERROR(AVERAGEIFS(Prensa!$B$2:$B$5001,Prensa!$E$2:$E$5001,N417,Prensa!$F$2:$F$5001,4,Prensa!$G$2:$G$5001,1),""))</f>
        <v>0</v>
      </c>
      <c r="H417" s="26">
        <f>IF(A417="","",COUNT(D417:G417))</f>
        <v>0</v>
      </c>
      <c r="I417" s="27">
        <f>IF(A417="","",IF(H417=0,"",AVERAGE(D417:G417)))</f>
        <v>0</v>
      </c>
      <c r="J417" s="27">
        <f>IF(OR(I417="",C417=""),"",I417-C417)</f>
        <v>0</v>
      </c>
      <c r="K417" s="26">
        <f>IF(A417="","",IF(MES!E417&lt;&gt;4,"Horário do MES fora do padrão",IF(H417&lt;cfgMinCortes,"Cortes insuficientes","Válida")))</f>
        <v>0</v>
      </c>
      <c r="L417" s="27">
        <f>IF(K417="Válida",ABS(J417),"")</f>
        <v>0</v>
      </c>
      <c r="M417" s="26">
        <f>IF(K417="Válida",IF(L417&lt;=cfgTolerancia,"Sim","Não"),"")</f>
        <v>0</v>
      </c>
      <c r="N417" s="26">
        <f>IF(A417="","",MES!D417)</f>
        <v>0</v>
      </c>
      <c r="O417" s="25">
        <f>IF(K417="Válida",A417,NA())</f>
        <v>0</v>
      </c>
      <c r="P417" s="27">
        <f>IF(K417="Válida",C417,NA())</f>
        <v>0</v>
      </c>
      <c r="Q417" s="27">
        <f>IF(K417="Válida",I417,NA())</f>
        <v>0</v>
      </c>
      <c r="R417" s="27">
        <f>IF(K417="Válida",J417,NA())</f>
        <v>0</v>
      </c>
      <c r="S417" s="27">
        <f>IF(K417="Válida",C417,"")</f>
        <v>0</v>
      </c>
      <c r="T417" s="27">
        <f>IF(K417="Válida",I417,"")</f>
        <v>0</v>
      </c>
      <c r="U417" s="27">
        <f>IF(K417="Válida",J417,"")</f>
        <v>0</v>
      </c>
    </row>
    <row r="418" spans="1:21">
      <c r="A418" s="25">
        <f>IF(MES!A418="","",MES!C418/48)</f>
        <v>0</v>
      </c>
      <c r="B418" s="26">
        <f>IF(A418="","",TEXT((N418*4+cfgDeslocamento)/48,"hh:mm")&amp;" a "&amp;TEXT(A418,"hh:mm"))</f>
        <v>0</v>
      </c>
      <c r="C418" s="27">
        <f>IF(A418="","",MES!B418)</f>
        <v>0</v>
      </c>
      <c r="D418" s="27">
        <f>IF(A418="","",IFERROR(AVERAGEIFS(Prensa!$B$2:$B$5001,Prensa!$E$2:$E$5001,N418,Prensa!$F$2:$F$5001,1,Prensa!$G$2:$G$5001,1),""))</f>
        <v>0</v>
      </c>
      <c r="E418" s="27">
        <f>IF(A418="","",IFERROR(AVERAGEIFS(Prensa!$B$2:$B$5001,Prensa!$E$2:$E$5001,N418,Prensa!$F$2:$F$5001,2,Prensa!$G$2:$G$5001,1),""))</f>
        <v>0</v>
      </c>
      <c r="F418" s="27">
        <f>IF(A418="","",IFERROR(AVERAGEIFS(Prensa!$B$2:$B$5001,Prensa!$E$2:$E$5001,N418,Prensa!$F$2:$F$5001,3,Prensa!$G$2:$G$5001,1),""))</f>
        <v>0</v>
      </c>
      <c r="G418" s="27">
        <f>IF(A418="","",IFERROR(AVERAGEIFS(Prensa!$B$2:$B$5001,Prensa!$E$2:$E$5001,N418,Prensa!$F$2:$F$5001,4,Prensa!$G$2:$G$5001,1),""))</f>
        <v>0</v>
      </c>
      <c r="H418" s="26">
        <f>IF(A418="","",COUNT(D418:G418))</f>
        <v>0</v>
      </c>
      <c r="I418" s="27">
        <f>IF(A418="","",IF(H418=0,"",AVERAGE(D418:G418)))</f>
        <v>0</v>
      </c>
      <c r="J418" s="27">
        <f>IF(OR(I418="",C418=""),"",I418-C418)</f>
        <v>0</v>
      </c>
      <c r="K418" s="26">
        <f>IF(A418="","",IF(MES!E418&lt;&gt;4,"Horário do MES fora do padrão",IF(H418&lt;cfgMinCortes,"Cortes insuficientes","Válida")))</f>
        <v>0</v>
      </c>
      <c r="L418" s="27">
        <f>IF(K418="Válida",ABS(J418),"")</f>
        <v>0</v>
      </c>
      <c r="M418" s="26">
        <f>IF(K418="Válida",IF(L418&lt;=cfgTolerancia,"Sim","Não"),"")</f>
        <v>0</v>
      </c>
      <c r="N418" s="26">
        <f>IF(A418="","",MES!D418)</f>
        <v>0</v>
      </c>
      <c r="O418" s="25">
        <f>IF(K418="Válida",A418,NA())</f>
        <v>0</v>
      </c>
      <c r="P418" s="27">
        <f>IF(K418="Válida",C418,NA())</f>
        <v>0</v>
      </c>
      <c r="Q418" s="27">
        <f>IF(K418="Válida",I418,NA())</f>
        <v>0</v>
      </c>
      <c r="R418" s="27">
        <f>IF(K418="Válida",J418,NA())</f>
        <v>0</v>
      </c>
      <c r="S418" s="27">
        <f>IF(K418="Válida",C418,"")</f>
        <v>0</v>
      </c>
      <c r="T418" s="27">
        <f>IF(K418="Válida",I418,"")</f>
        <v>0</v>
      </c>
      <c r="U418" s="27">
        <f>IF(K418="Válida",J418,"")</f>
        <v>0</v>
      </c>
    </row>
    <row r="419" spans="1:21">
      <c r="A419" s="25">
        <f>IF(MES!A419="","",MES!C419/48)</f>
        <v>0</v>
      </c>
      <c r="B419" s="26">
        <f>IF(A419="","",TEXT((N419*4+cfgDeslocamento)/48,"hh:mm")&amp;" a "&amp;TEXT(A419,"hh:mm"))</f>
        <v>0</v>
      </c>
      <c r="C419" s="27">
        <f>IF(A419="","",MES!B419)</f>
        <v>0</v>
      </c>
      <c r="D419" s="27">
        <f>IF(A419="","",IFERROR(AVERAGEIFS(Prensa!$B$2:$B$5001,Prensa!$E$2:$E$5001,N419,Prensa!$F$2:$F$5001,1,Prensa!$G$2:$G$5001,1),""))</f>
        <v>0</v>
      </c>
      <c r="E419" s="27">
        <f>IF(A419="","",IFERROR(AVERAGEIFS(Prensa!$B$2:$B$5001,Prensa!$E$2:$E$5001,N419,Prensa!$F$2:$F$5001,2,Prensa!$G$2:$G$5001,1),""))</f>
        <v>0</v>
      </c>
      <c r="F419" s="27">
        <f>IF(A419="","",IFERROR(AVERAGEIFS(Prensa!$B$2:$B$5001,Prensa!$E$2:$E$5001,N419,Prensa!$F$2:$F$5001,3,Prensa!$G$2:$G$5001,1),""))</f>
        <v>0</v>
      </c>
      <c r="G419" s="27">
        <f>IF(A419="","",IFERROR(AVERAGEIFS(Prensa!$B$2:$B$5001,Prensa!$E$2:$E$5001,N419,Prensa!$F$2:$F$5001,4,Prensa!$G$2:$G$5001,1),""))</f>
        <v>0</v>
      </c>
      <c r="H419" s="26">
        <f>IF(A419="","",COUNT(D419:G419))</f>
        <v>0</v>
      </c>
      <c r="I419" s="27">
        <f>IF(A419="","",IF(H419=0,"",AVERAGE(D419:G419)))</f>
        <v>0</v>
      </c>
      <c r="J419" s="27">
        <f>IF(OR(I419="",C419=""),"",I419-C419)</f>
        <v>0</v>
      </c>
      <c r="K419" s="26">
        <f>IF(A419="","",IF(MES!E419&lt;&gt;4,"Horário do MES fora do padrão",IF(H419&lt;cfgMinCortes,"Cortes insuficientes","Válida")))</f>
        <v>0</v>
      </c>
      <c r="L419" s="27">
        <f>IF(K419="Válida",ABS(J419),"")</f>
        <v>0</v>
      </c>
      <c r="M419" s="26">
        <f>IF(K419="Válida",IF(L419&lt;=cfgTolerancia,"Sim","Não"),"")</f>
        <v>0</v>
      </c>
      <c r="N419" s="26">
        <f>IF(A419="","",MES!D419)</f>
        <v>0</v>
      </c>
      <c r="O419" s="25">
        <f>IF(K419="Válida",A419,NA())</f>
        <v>0</v>
      </c>
      <c r="P419" s="27">
        <f>IF(K419="Válida",C419,NA())</f>
        <v>0</v>
      </c>
      <c r="Q419" s="27">
        <f>IF(K419="Válida",I419,NA())</f>
        <v>0</v>
      </c>
      <c r="R419" s="27">
        <f>IF(K419="Válida",J419,NA())</f>
        <v>0</v>
      </c>
      <c r="S419" s="27">
        <f>IF(K419="Válida",C419,"")</f>
        <v>0</v>
      </c>
      <c r="T419" s="27">
        <f>IF(K419="Válida",I419,"")</f>
        <v>0</v>
      </c>
      <c r="U419" s="27">
        <f>IF(K419="Válida",J419,"")</f>
        <v>0</v>
      </c>
    </row>
    <row r="420" spans="1:21">
      <c r="A420" s="25">
        <f>IF(MES!A420="","",MES!C420/48)</f>
        <v>0</v>
      </c>
      <c r="B420" s="26">
        <f>IF(A420="","",TEXT((N420*4+cfgDeslocamento)/48,"hh:mm")&amp;" a "&amp;TEXT(A420,"hh:mm"))</f>
        <v>0</v>
      </c>
      <c r="C420" s="27">
        <f>IF(A420="","",MES!B420)</f>
        <v>0</v>
      </c>
      <c r="D420" s="27">
        <f>IF(A420="","",IFERROR(AVERAGEIFS(Prensa!$B$2:$B$5001,Prensa!$E$2:$E$5001,N420,Prensa!$F$2:$F$5001,1,Prensa!$G$2:$G$5001,1),""))</f>
        <v>0</v>
      </c>
      <c r="E420" s="27">
        <f>IF(A420="","",IFERROR(AVERAGEIFS(Prensa!$B$2:$B$5001,Prensa!$E$2:$E$5001,N420,Prensa!$F$2:$F$5001,2,Prensa!$G$2:$G$5001,1),""))</f>
        <v>0</v>
      </c>
      <c r="F420" s="27">
        <f>IF(A420="","",IFERROR(AVERAGEIFS(Prensa!$B$2:$B$5001,Prensa!$E$2:$E$5001,N420,Prensa!$F$2:$F$5001,3,Prensa!$G$2:$G$5001,1),""))</f>
        <v>0</v>
      </c>
      <c r="G420" s="27">
        <f>IF(A420="","",IFERROR(AVERAGEIFS(Prensa!$B$2:$B$5001,Prensa!$E$2:$E$5001,N420,Prensa!$F$2:$F$5001,4,Prensa!$G$2:$G$5001,1),""))</f>
        <v>0</v>
      </c>
      <c r="H420" s="26">
        <f>IF(A420="","",COUNT(D420:G420))</f>
        <v>0</v>
      </c>
      <c r="I420" s="27">
        <f>IF(A420="","",IF(H420=0,"",AVERAGE(D420:G420)))</f>
        <v>0</v>
      </c>
      <c r="J420" s="27">
        <f>IF(OR(I420="",C420=""),"",I420-C420)</f>
        <v>0</v>
      </c>
      <c r="K420" s="26">
        <f>IF(A420="","",IF(MES!E420&lt;&gt;4,"Horário do MES fora do padrão",IF(H420&lt;cfgMinCortes,"Cortes insuficientes","Válida")))</f>
        <v>0</v>
      </c>
      <c r="L420" s="27">
        <f>IF(K420="Válida",ABS(J420),"")</f>
        <v>0</v>
      </c>
      <c r="M420" s="26">
        <f>IF(K420="Válida",IF(L420&lt;=cfgTolerancia,"Sim","Não"),"")</f>
        <v>0</v>
      </c>
      <c r="N420" s="26">
        <f>IF(A420="","",MES!D420)</f>
        <v>0</v>
      </c>
      <c r="O420" s="25">
        <f>IF(K420="Válida",A420,NA())</f>
        <v>0</v>
      </c>
      <c r="P420" s="27">
        <f>IF(K420="Válida",C420,NA())</f>
        <v>0</v>
      </c>
      <c r="Q420" s="27">
        <f>IF(K420="Válida",I420,NA())</f>
        <v>0</v>
      </c>
      <c r="R420" s="27">
        <f>IF(K420="Válida",J420,NA())</f>
        <v>0</v>
      </c>
      <c r="S420" s="27">
        <f>IF(K420="Válida",C420,"")</f>
        <v>0</v>
      </c>
      <c r="T420" s="27">
        <f>IF(K420="Válida",I420,"")</f>
        <v>0</v>
      </c>
      <c r="U420" s="27">
        <f>IF(K420="Válida",J420,"")</f>
        <v>0</v>
      </c>
    </row>
    <row r="421" spans="1:21">
      <c r="A421" s="25">
        <f>IF(MES!A421="","",MES!C421/48)</f>
        <v>0</v>
      </c>
      <c r="B421" s="26">
        <f>IF(A421="","",TEXT((N421*4+cfgDeslocamento)/48,"hh:mm")&amp;" a "&amp;TEXT(A421,"hh:mm"))</f>
        <v>0</v>
      </c>
      <c r="C421" s="27">
        <f>IF(A421="","",MES!B421)</f>
        <v>0</v>
      </c>
      <c r="D421" s="27">
        <f>IF(A421="","",IFERROR(AVERAGEIFS(Prensa!$B$2:$B$5001,Prensa!$E$2:$E$5001,N421,Prensa!$F$2:$F$5001,1,Prensa!$G$2:$G$5001,1),""))</f>
        <v>0</v>
      </c>
      <c r="E421" s="27">
        <f>IF(A421="","",IFERROR(AVERAGEIFS(Prensa!$B$2:$B$5001,Prensa!$E$2:$E$5001,N421,Prensa!$F$2:$F$5001,2,Prensa!$G$2:$G$5001,1),""))</f>
        <v>0</v>
      </c>
      <c r="F421" s="27">
        <f>IF(A421="","",IFERROR(AVERAGEIFS(Prensa!$B$2:$B$5001,Prensa!$E$2:$E$5001,N421,Prensa!$F$2:$F$5001,3,Prensa!$G$2:$G$5001,1),""))</f>
        <v>0</v>
      </c>
      <c r="G421" s="27">
        <f>IF(A421="","",IFERROR(AVERAGEIFS(Prensa!$B$2:$B$5001,Prensa!$E$2:$E$5001,N421,Prensa!$F$2:$F$5001,4,Prensa!$G$2:$G$5001,1),""))</f>
        <v>0</v>
      </c>
      <c r="H421" s="26">
        <f>IF(A421="","",COUNT(D421:G421))</f>
        <v>0</v>
      </c>
      <c r="I421" s="27">
        <f>IF(A421="","",IF(H421=0,"",AVERAGE(D421:G421)))</f>
        <v>0</v>
      </c>
      <c r="J421" s="27">
        <f>IF(OR(I421="",C421=""),"",I421-C421)</f>
        <v>0</v>
      </c>
      <c r="K421" s="26">
        <f>IF(A421="","",IF(MES!E421&lt;&gt;4,"Horário do MES fora do padrão",IF(H421&lt;cfgMinCortes,"Cortes insuficientes","Válida")))</f>
        <v>0</v>
      </c>
      <c r="L421" s="27">
        <f>IF(K421="Válida",ABS(J421),"")</f>
        <v>0</v>
      </c>
      <c r="M421" s="26">
        <f>IF(K421="Válida",IF(L421&lt;=cfgTolerancia,"Sim","Não"),"")</f>
        <v>0</v>
      </c>
      <c r="N421" s="26">
        <f>IF(A421="","",MES!D421)</f>
        <v>0</v>
      </c>
      <c r="O421" s="25">
        <f>IF(K421="Válida",A421,NA())</f>
        <v>0</v>
      </c>
      <c r="P421" s="27">
        <f>IF(K421="Válida",C421,NA())</f>
        <v>0</v>
      </c>
      <c r="Q421" s="27">
        <f>IF(K421="Válida",I421,NA())</f>
        <v>0</v>
      </c>
      <c r="R421" s="27">
        <f>IF(K421="Válida",J421,NA())</f>
        <v>0</v>
      </c>
      <c r="S421" s="27">
        <f>IF(K421="Válida",C421,"")</f>
        <v>0</v>
      </c>
      <c r="T421" s="27">
        <f>IF(K421="Válida",I421,"")</f>
        <v>0</v>
      </c>
      <c r="U421" s="27">
        <f>IF(K421="Válida",J421,"")</f>
        <v>0</v>
      </c>
    </row>
    <row r="422" spans="1:21">
      <c r="A422" s="25">
        <f>IF(MES!A422="","",MES!C422/48)</f>
        <v>0</v>
      </c>
      <c r="B422" s="26">
        <f>IF(A422="","",TEXT((N422*4+cfgDeslocamento)/48,"hh:mm")&amp;" a "&amp;TEXT(A422,"hh:mm"))</f>
        <v>0</v>
      </c>
      <c r="C422" s="27">
        <f>IF(A422="","",MES!B422)</f>
        <v>0</v>
      </c>
      <c r="D422" s="27">
        <f>IF(A422="","",IFERROR(AVERAGEIFS(Prensa!$B$2:$B$5001,Prensa!$E$2:$E$5001,N422,Prensa!$F$2:$F$5001,1,Prensa!$G$2:$G$5001,1),""))</f>
        <v>0</v>
      </c>
      <c r="E422" s="27">
        <f>IF(A422="","",IFERROR(AVERAGEIFS(Prensa!$B$2:$B$5001,Prensa!$E$2:$E$5001,N422,Prensa!$F$2:$F$5001,2,Prensa!$G$2:$G$5001,1),""))</f>
        <v>0</v>
      </c>
      <c r="F422" s="27">
        <f>IF(A422="","",IFERROR(AVERAGEIFS(Prensa!$B$2:$B$5001,Prensa!$E$2:$E$5001,N422,Prensa!$F$2:$F$5001,3,Prensa!$G$2:$G$5001,1),""))</f>
        <v>0</v>
      </c>
      <c r="G422" s="27">
        <f>IF(A422="","",IFERROR(AVERAGEIFS(Prensa!$B$2:$B$5001,Prensa!$E$2:$E$5001,N422,Prensa!$F$2:$F$5001,4,Prensa!$G$2:$G$5001,1),""))</f>
        <v>0</v>
      </c>
      <c r="H422" s="26">
        <f>IF(A422="","",COUNT(D422:G422))</f>
        <v>0</v>
      </c>
      <c r="I422" s="27">
        <f>IF(A422="","",IF(H422=0,"",AVERAGE(D422:G422)))</f>
        <v>0</v>
      </c>
      <c r="J422" s="27">
        <f>IF(OR(I422="",C422=""),"",I422-C422)</f>
        <v>0</v>
      </c>
      <c r="K422" s="26">
        <f>IF(A422="","",IF(MES!E422&lt;&gt;4,"Horário do MES fora do padrão",IF(H422&lt;cfgMinCortes,"Cortes insuficientes","Válida")))</f>
        <v>0</v>
      </c>
      <c r="L422" s="27">
        <f>IF(K422="Válida",ABS(J422),"")</f>
        <v>0</v>
      </c>
      <c r="M422" s="26">
        <f>IF(K422="Válida",IF(L422&lt;=cfgTolerancia,"Sim","Não"),"")</f>
        <v>0</v>
      </c>
      <c r="N422" s="26">
        <f>IF(A422="","",MES!D422)</f>
        <v>0</v>
      </c>
      <c r="O422" s="25">
        <f>IF(K422="Válida",A422,NA())</f>
        <v>0</v>
      </c>
      <c r="P422" s="27">
        <f>IF(K422="Válida",C422,NA())</f>
        <v>0</v>
      </c>
      <c r="Q422" s="27">
        <f>IF(K422="Válida",I422,NA())</f>
        <v>0</v>
      </c>
      <c r="R422" s="27">
        <f>IF(K422="Válida",J422,NA())</f>
        <v>0</v>
      </c>
      <c r="S422" s="27">
        <f>IF(K422="Válida",C422,"")</f>
        <v>0</v>
      </c>
      <c r="T422" s="27">
        <f>IF(K422="Válida",I422,"")</f>
        <v>0</v>
      </c>
      <c r="U422" s="27">
        <f>IF(K422="Válida",J422,"")</f>
        <v>0</v>
      </c>
    </row>
    <row r="423" spans="1:21">
      <c r="A423" s="25">
        <f>IF(MES!A423="","",MES!C423/48)</f>
        <v>0</v>
      </c>
      <c r="B423" s="26">
        <f>IF(A423="","",TEXT((N423*4+cfgDeslocamento)/48,"hh:mm")&amp;" a "&amp;TEXT(A423,"hh:mm"))</f>
        <v>0</v>
      </c>
      <c r="C423" s="27">
        <f>IF(A423="","",MES!B423)</f>
        <v>0</v>
      </c>
      <c r="D423" s="27">
        <f>IF(A423="","",IFERROR(AVERAGEIFS(Prensa!$B$2:$B$5001,Prensa!$E$2:$E$5001,N423,Prensa!$F$2:$F$5001,1,Prensa!$G$2:$G$5001,1),""))</f>
        <v>0</v>
      </c>
      <c r="E423" s="27">
        <f>IF(A423="","",IFERROR(AVERAGEIFS(Prensa!$B$2:$B$5001,Prensa!$E$2:$E$5001,N423,Prensa!$F$2:$F$5001,2,Prensa!$G$2:$G$5001,1),""))</f>
        <v>0</v>
      </c>
      <c r="F423" s="27">
        <f>IF(A423="","",IFERROR(AVERAGEIFS(Prensa!$B$2:$B$5001,Prensa!$E$2:$E$5001,N423,Prensa!$F$2:$F$5001,3,Prensa!$G$2:$G$5001,1),""))</f>
        <v>0</v>
      </c>
      <c r="G423" s="27">
        <f>IF(A423="","",IFERROR(AVERAGEIFS(Prensa!$B$2:$B$5001,Prensa!$E$2:$E$5001,N423,Prensa!$F$2:$F$5001,4,Prensa!$G$2:$G$5001,1),""))</f>
        <v>0</v>
      </c>
      <c r="H423" s="26">
        <f>IF(A423="","",COUNT(D423:G423))</f>
        <v>0</v>
      </c>
      <c r="I423" s="27">
        <f>IF(A423="","",IF(H423=0,"",AVERAGE(D423:G423)))</f>
        <v>0</v>
      </c>
      <c r="J423" s="27">
        <f>IF(OR(I423="",C423=""),"",I423-C423)</f>
        <v>0</v>
      </c>
      <c r="K423" s="26">
        <f>IF(A423="","",IF(MES!E423&lt;&gt;4,"Horário do MES fora do padrão",IF(H423&lt;cfgMinCortes,"Cortes insuficientes","Válida")))</f>
        <v>0</v>
      </c>
      <c r="L423" s="27">
        <f>IF(K423="Válida",ABS(J423),"")</f>
        <v>0</v>
      </c>
      <c r="M423" s="26">
        <f>IF(K423="Válida",IF(L423&lt;=cfgTolerancia,"Sim","Não"),"")</f>
        <v>0</v>
      </c>
      <c r="N423" s="26">
        <f>IF(A423="","",MES!D423)</f>
        <v>0</v>
      </c>
      <c r="O423" s="25">
        <f>IF(K423="Válida",A423,NA())</f>
        <v>0</v>
      </c>
      <c r="P423" s="27">
        <f>IF(K423="Válida",C423,NA())</f>
        <v>0</v>
      </c>
      <c r="Q423" s="27">
        <f>IF(K423="Válida",I423,NA())</f>
        <v>0</v>
      </c>
      <c r="R423" s="27">
        <f>IF(K423="Válida",J423,NA())</f>
        <v>0</v>
      </c>
      <c r="S423" s="27">
        <f>IF(K423="Válida",C423,"")</f>
        <v>0</v>
      </c>
      <c r="T423" s="27">
        <f>IF(K423="Válida",I423,"")</f>
        <v>0</v>
      </c>
      <c r="U423" s="27">
        <f>IF(K423="Válida",J423,"")</f>
        <v>0</v>
      </c>
    </row>
    <row r="424" spans="1:21">
      <c r="A424" s="25">
        <f>IF(MES!A424="","",MES!C424/48)</f>
        <v>0</v>
      </c>
      <c r="B424" s="26">
        <f>IF(A424="","",TEXT((N424*4+cfgDeslocamento)/48,"hh:mm")&amp;" a "&amp;TEXT(A424,"hh:mm"))</f>
        <v>0</v>
      </c>
      <c r="C424" s="27">
        <f>IF(A424="","",MES!B424)</f>
        <v>0</v>
      </c>
      <c r="D424" s="27">
        <f>IF(A424="","",IFERROR(AVERAGEIFS(Prensa!$B$2:$B$5001,Prensa!$E$2:$E$5001,N424,Prensa!$F$2:$F$5001,1,Prensa!$G$2:$G$5001,1),""))</f>
        <v>0</v>
      </c>
      <c r="E424" s="27">
        <f>IF(A424="","",IFERROR(AVERAGEIFS(Prensa!$B$2:$B$5001,Prensa!$E$2:$E$5001,N424,Prensa!$F$2:$F$5001,2,Prensa!$G$2:$G$5001,1),""))</f>
        <v>0</v>
      </c>
      <c r="F424" s="27">
        <f>IF(A424="","",IFERROR(AVERAGEIFS(Prensa!$B$2:$B$5001,Prensa!$E$2:$E$5001,N424,Prensa!$F$2:$F$5001,3,Prensa!$G$2:$G$5001,1),""))</f>
        <v>0</v>
      </c>
      <c r="G424" s="27">
        <f>IF(A424="","",IFERROR(AVERAGEIFS(Prensa!$B$2:$B$5001,Prensa!$E$2:$E$5001,N424,Prensa!$F$2:$F$5001,4,Prensa!$G$2:$G$5001,1),""))</f>
        <v>0</v>
      </c>
      <c r="H424" s="26">
        <f>IF(A424="","",COUNT(D424:G424))</f>
        <v>0</v>
      </c>
      <c r="I424" s="27">
        <f>IF(A424="","",IF(H424=0,"",AVERAGE(D424:G424)))</f>
        <v>0</v>
      </c>
      <c r="J424" s="27">
        <f>IF(OR(I424="",C424=""),"",I424-C424)</f>
        <v>0</v>
      </c>
      <c r="K424" s="26">
        <f>IF(A424="","",IF(MES!E424&lt;&gt;4,"Horário do MES fora do padrão",IF(H424&lt;cfgMinCortes,"Cortes insuficientes","Válida")))</f>
        <v>0</v>
      </c>
      <c r="L424" s="27">
        <f>IF(K424="Válida",ABS(J424),"")</f>
        <v>0</v>
      </c>
      <c r="M424" s="26">
        <f>IF(K424="Válida",IF(L424&lt;=cfgTolerancia,"Sim","Não"),"")</f>
        <v>0</v>
      </c>
      <c r="N424" s="26">
        <f>IF(A424="","",MES!D424)</f>
        <v>0</v>
      </c>
      <c r="O424" s="25">
        <f>IF(K424="Válida",A424,NA())</f>
        <v>0</v>
      </c>
      <c r="P424" s="27">
        <f>IF(K424="Válida",C424,NA())</f>
        <v>0</v>
      </c>
      <c r="Q424" s="27">
        <f>IF(K424="Válida",I424,NA())</f>
        <v>0</v>
      </c>
      <c r="R424" s="27">
        <f>IF(K424="Válida",J424,NA())</f>
        <v>0</v>
      </c>
      <c r="S424" s="27">
        <f>IF(K424="Válida",C424,"")</f>
        <v>0</v>
      </c>
      <c r="T424" s="27">
        <f>IF(K424="Válida",I424,"")</f>
        <v>0</v>
      </c>
      <c r="U424" s="27">
        <f>IF(K424="Válida",J424,"")</f>
        <v>0</v>
      </c>
    </row>
    <row r="425" spans="1:21">
      <c r="A425" s="25">
        <f>IF(MES!A425="","",MES!C425/48)</f>
        <v>0</v>
      </c>
      <c r="B425" s="26">
        <f>IF(A425="","",TEXT((N425*4+cfgDeslocamento)/48,"hh:mm")&amp;" a "&amp;TEXT(A425,"hh:mm"))</f>
        <v>0</v>
      </c>
      <c r="C425" s="27">
        <f>IF(A425="","",MES!B425)</f>
        <v>0</v>
      </c>
      <c r="D425" s="27">
        <f>IF(A425="","",IFERROR(AVERAGEIFS(Prensa!$B$2:$B$5001,Prensa!$E$2:$E$5001,N425,Prensa!$F$2:$F$5001,1,Prensa!$G$2:$G$5001,1),""))</f>
        <v>0</v>
      </c>
      <c r="E425" s="27">
        <f>IF(A425="","",IFERROR(AVERAGEIFS(Prensa!$B$2:$B$5001,Prensa!$E$2:$E$5001,N425,Prensa!$F$2:$F$5001,2,Prensa!$G$2:$G$5001,1),""))</f>
        <v>0</v>
      </c>
      <c r="F425" s="27">
        <f>IF(A425="","",IFERROR(AVERAGEIFS(Prensa!$B$2:$B$5001,Prensa!$E$2:$E$5001,N425,Prensa!$F$2:$F$5001,3,Prensa!$G$2:$G$5001,1),""))</f>
        <v>0</v>
      </c>
      <c r="G425" s="27">
        <f>IF(A425="","",IFERROR(AVERAGEIFS(Prensa!$B$2:$B$5001,Prensa!$E$2:$E$5001,N425,Prensa!$F$2:$F$5001,4,Prensa!$G$2:$G$5001,1),""))</f>
        <v>0</v>
      </c>
      <c r="H425" s="26">
        <f>IF(A425="","",COUNT(D425:G425))</f>
        <v>0</v>
      </c>
      <c r="I425" s="27">
        <f>IF(A425="","",IF(H425=0,"",AVERAGE(D425:G425)))</f>
        <v>0</v>
      </c>
      <c r="J425" s="27">
        <f>IF(OR(I425="",C425=""),"",I425-C425)</f>
        <v>0</v>
      </c>
      <c r="K425" s="26">
        <f>IF(A425="","",IF(MES!E425&lt;&gt;4,"Horário do MES fora do padrão",IF(H425&lt;cfgMinCortes,"Cortes insuficientes","Válida")))</f>
        <v>0</v>
      </c>
      <c r="L425" s="27">
        <f>IF(K425="Válida",ABS(J425),"")</f>
        <v>0</v>
      </c>
      <c r="M425" s="26">
        <f>IF(K425="Válida",IF(L425&lt;=cfgTolerancia,"Sim","Não"),"")</f>
        <v>0</v>
      </c>
      <c r="N425" s="26">
        <f>IF(A425="","",MES!D425)</f>
        <v>0</v>
      </c>
      <c r="O425" s="25">
        <f>IF(K425="Válida",A425,NA())</f>
        <v>0</v>
      </c>
      <c r="P425" s="27">
        <f>IF(K425="Válida",C425,NA())</f>
        <v>0</v>
      </c>
      <c r="Q425" s="27">
        <f>IF(K425="Válida",I425,NA())</f>
        <v>0</v>
      </c>
      <c r="R425" s="27">
        <f>IF(K425="Válida",J425,NA())</f>
        <v>0</v>
      </c>
      <c r="S425" s="27">
        <f>IF(K425="Válida",C425,"")</f>
        <v>0</v>
      </c>
      <c r="T425" s="27">
        <f>IF(K425="Válida",I425,"")</f>
        <v>0</v>
      </c>
      <c r="U425" s="27">
        <f>IF(K425="Válida",J425,"")</f>
        <v>0</v>
      </c>
    </row>
    <row r="426" spans="1:21">
      <c r="A426" s="25">
        <f>IF(MES!A426="","",MES!C426/48)</f>
        <v>0</v>
      </c>
      <c r="B426" s="26">
        <f>IF(A426="","",TEXT((N426*4+cfgDeslocamento)/48,"hh:mm")&amp;" a "&amp;TEXT(A426,"hh:mm"))</f>
        <v>0</v>
      </c>
      <c r="C426" s="27">
        <f>IF(A426="","",MES!B426)</f>
        <v>0</v>
      </c>
      <c r="D426" s="27">
        <f>IF(A426="","",IFERROR(AVERAGEIFS(Prensa!$B$2:$B$5001,Prensa!$E$2:$E$5001,N426,Prensa!$F$2:$F$5001,1,Prensa!$G$2:$G$5001,1),""))</f>
        <v>0</v>
      </c>
      <c r="E426" s="27">
        <f>IF(A426="","",IFERROR(AVERAGEIFS(Prensa!$B$2:$B$5001,Prensa!$E$2:$E$5001,N426,Prensa!$F$2:$F$5001,2,Prensa!$G$2:$G$5001,1),""))</f>
        <v>0</v>
      </c>
      <c r="F426" s="27">
        <f>IF(A426="","",IFERROR(AVERAGEIFS(Prensa!$B$2:$B$5001,Prensa!$E$2:$E$5001,N426,Prensa!$F$2:$F$5001,3,Prensa!$G$2:$G$5001,1),""))</f>
        <v>0</v>
      </c>
      <c r="G426" s="27">
        <f>IF(A426="","",IFERROR(AVERAGEIFS(Prensa!$B$2:$B$5001,Prensa!$E$2:$E$5001,N426,Prensa!$F$2:$F$5001,4,Prensa!$G$2:$G$5001,1),""))</f>
        <v>0</v>
      </c>
      <c r="H426" s="26">
        <f>IF(A426="","",COUNT(D426:G426))</f>
        <v>0</v>
      </c>
      <c r="I426" s="27">
        <f>IF(A426="","",IF(H426=0,"",AVERAGE(D426:G426)))</f>
        <v>0</v>
      </c>
      <c r="J426" s="27">
        <f>IF(OR(I426="",C426=""),"",I426-C426)</f>
        <v>0</v>
      </c>
      <c r="K426" s="26">
        <f>IF(A426="","",IF(MES!E426&lt;&gt;4,"Horário do MES fora do padrão",IF(H426&lt;cfgMinCortes,"Cortes insuficientes","Válida")))</f>
        <v>0</v>
      </c>
      <c r="L426" s="27">
        <f>IF(K426="Válida",ABS(J426),"")</f>
        <v>0</v>
      </c>
      <c r="M426" s="26">
        <f>IF(K426="Válida",IF(L426&lt;=cfgTolerancia,"Sim","Não"),"")</f>
        <v>0</v>
      </c>
      <c r="N426" s="26">
        <f>IF(A426="","",MES!D426)</f>
        <v>0</v>
      </c>
      <c r="O426" s="25">
        <f>IF(K426="Válida",A426,NA())</f>
        <v>0</v>
      </c>
      <c r="P426" s="27">
        <f>IF(K426="Válida",C426,NA())</f>
        <v>0</v>
      </c>
      <c r="Q426" s="27">
        <f>IF(K426="Válida",I426,NA())</f>
        <v>0</v>
      </c>
      <c r="R426" s="27">
        <f>IF(K426="Válida",J426,NA())</f>
        <v>0</v>
      </c>
      <c r="S426" s="27">
        <f>IF(K426="Válida",C426,"")</f>
        <v>0</v>
      </c>
      <c r="T426" s="27">
        <f>IF(K426="Válida",I426,"")</f>
        <v>0</v>
      </c>
      <c r="U426" s="27">
        <f>IF(K426="Válida",J426,"")</f>
        <v>0</v>
      </c>
    </row>
    <row r="427" spans="1:21">
      <c r="A427" s="25">
        <f>IF(MES!A427="","",MES!C427/48)</f>
        <v>0</v>
      </c>
      <c r="B427" s="26">
        <f>IF(A427="","",TEXT((N427*4+cfgDeslocamento)/48,"hh:mm")&amp;" a "&amp;TEXT(A427,"hh:mm"))</f>
        <v>0</v>
      </c>
      <c r="C427" s="27">
        <f>IF(A427="","",MES!B427)</f>
        <v>0</v>
      </c>
      <c r="D427" s="27">
        <f>IF(A427="","",IFERROR(AVERAGEIFS(Prensa!$B$2:$B$5001,Prensa!$E$2:$E$5001,N427,Prensa!$F$2:$F$5001,1,Prensa!$G$2:$G$5001,1),""))</f>
        <v>0</v>
      </c>
      <c r="E427" s="27">
        <f>IF(A427="","",IFERROR(AVERAGEIFS(Prensa!$B$2:$B$5001,Prensa!$E$2:$E$5001,N427,Prensa!$F$2:$F$5001,2,Prensa!$G$2:$G$5001,1),""))</f>
        <v>0</v>
      </c>
      <c r="F427" s="27">
        <f>IF(A427="","",IFERROR(AVERAGEIFS(Prensa!$B$2:$B$5001,Prensa!$E$2:$E$5001,N427,Prensa!$F$2:$F$5001,3,Prensa!$G$2:$G$5001,1),""))</f>
        <v>0</v>
      </c>
      <c r="G427" s="27">
        <f>IF(A427="","",IFERROR(AVERAGEIFS(Prensa!$B$2:$B$5001,Prensa!$E$2:$E$5001,N427,Prensa!$F$2:$F$5001,4,Prensa!$G$2:$G$5001,1),""))</f>
        <v>0</v>
      </c>
      <c r="H427" s="26">
        <f>IF(A427="","",COUNT(D427:G427))</f>
        <v>0</v>
      </c>
      <c r="I427" s="27">
        <f>IF(A427="","",IF(H427=0,"",AVERAGE(D427:G427)))</f>
        <v>0</v>
      </c>
      <c r="J427" s="27">
        <f>IF(OR(I427="",C427=""),"",I427-C427)</f>
        <v>0</v>
      </c>
      <c r="K427" s="26">
        <f>IF(A427="","",IF(MES!E427&lt;&gt;4,"Horário do MES fora do padrão",IF(H427&lt;cfgMinCortes,"Cortes insuficientes","Válida")))</f>
        <v>0</v>
      </c>
      <c r="L427" s="27">
        <f>IF(K427="Válida",ABS(J427),"")</f>
        <v>0</v>
      </c>
      <c r="M427" s="26">
        <f>IF(K427="Válida",IF(L427&lt;=cfgTolerancia,"Sim","Não"),"")</f>
        <v>0</v>
      </c>
      <c r="N427" s="26">
        <f>IF(A427="","",MES!D427)</f>
        <v>0</v>
      </c>
      <c r="O427" s="25">
        <f>IF(K427="Válida",A427,NA())</f>
        <v>0</v>
      </c>
      <c r="P427" s="27">
        <f>IF(K427="Válida",C427,NA())</f>
        <v>0</v>
      </c>
      <c r="Q427" s="27">
        <f>IF(K427="Válida",I427,NA())</f>
        <v>0</v>
      </c>
      <c r="R427" s="27">
        <f>IF(K427="Válida",J427,NA())</f>
        <v>0</v>
      </c>
      <c r="S427" s="27">
        <f>IF(K427="Válida",C427,"")</f>
        <v>0</v>
      </c>
      <c r="T427" s="27">
        <f>IF(K427="Válida",I427,"")</f>
        <v>0</v>
      </c>
      <c r="U427" s="27">
        <f>IF(K427="Válida",J427,"")</f>
        <v>0</v>
      </c>
    </row>
    <row r="428" spans="1:21">
      <c r="A428" s="25">
        <f>IF(MES!A428="","",MES!C428/48)</f>
        <v>0</v>
      </c>
      <c r="B428" s="26">
        <f>IF(A428="","",TEXT((N428*4+cfgDeslocamento)/48,"hh:mm")&amp;" a "&amp;TEXT(A428,"hh:mm"))</f>
        <v>0</v>
      </c>
      <c r="C428" s="27">
        <f>IF(A428="","",MES!B428)</f>
        <v>0</v>
      </c>
      <c r="D428" s="27">
        <f>IF(A428="","",IFERROR(AVERAGEIFS(Prensa!$B$2:$B$5001,Prensa!$E$2:$E$5001,N428,Prensa!$F$2:$F$5001,1,Prensa!$G$2:$G$5001,1),""))</f>
        <v>0</v>
      </c>
      <c r="E428" s="27">
        <f>IF(A428="","",IFERROR(AVERAGEIFS(Prensa!$B$2:$B$5001,Prensa!$E$2:$E$5001,N428,Prensa!$F$2:$F$5001,2,Prensa!$G$2:$G$5001,1),""))</f>
        <v>0</v>
      </c>
      <c r="F428" s="27">
        <f>IF(A428="","",IFERROR(AVERAGEIFS(Prensa!$B$2:$B$5001,Prensa!$E$2:$E$5001,N428,Prensa!$F$2:$F$5001,3,Prensa!$G$2:$G$5001,1),""))</f>
        <v>0</v>
      </c>
      <c r="G428" s="27">
        <f>IF(A428="","",IFERROR(AVERAGEIFS(Prensa!$B$2:$B$5001,Prensa!$E$2:$E$5001,N428,Prensa!$F$2:$F$5001,4,Prensa!$G$2:$G$5001,1),""))</f>
        <v>0</v>
      </c>
      <c r="H428" s="26">
        <f>IF(A428="","",COUNT(D428:G428))</f>
        <v>0</v>
      </c>
      <c r="I428" s="27">
        <f>IF(A428="","",IF(H428=0,"",AVERAGE(D428:G428)))</f>
        <v>0</v>
      </c>
      <c r="J428" s="27">
        <f>IF(OR(I428="",C428=""),"",I428-C428)</f>
        <v>0</v>
      </c>
      <c r="K428" s="26">
        <f>IF(A428="","",IF(MES!E428&lt;&gt;4,"Horário do MES fora do padrão",IF(H428&lt;cfgMinCortes,"Cortes insuficientes","Válida")))</f>
        <v>0</v>
      </c>
      <c r="L428" s="27">
        <f>IF(K428="Válida",ABS(J428),"")</f>
        <v>0</v>
      </c>
      <c r="M428" s="26">
        <f>IF(K428="Válida",IF(L428&lt;=cfgTolerancia,"Sim","Não"),"")</f>
        <v>0</v>
      </c>
      <c r="N428" s="26">
        <f>IF(A428="","",MES!D428)</f>
        <v>0</v>
      </c>
      <c r="O428" s="25">
        <f>IF(K428="Válida",A428,NA())</f>
        <v>0</v>
      </c>
      <c r="P428" s="27">
        <f>IF(K428="Válida",C428,NA())</f>
        <v>0</v>
      </c>
      <c r="Q428" s="27">
        <f>IF(K428="Válida",I428,NA())</f>
        <v>0</v>
      </c>
      <c r="R428" s="27">
        <f>IF(K428="Válida",J428,NA())</f>
        <v>0</v>
      </c>
      <c r="S428" s="27">
        <f>IF(K428="Válida",C428,"")</f>
        <v>0</v>
      </c>
      <c r="T428" s="27">
        <f>IF(K428="Válida",I428,"")</f>
        <v>0</v>
      </c>
      <c r="U428" s="27">
        <f>IF(K428="Válida",J428,"")</f>
        <v>0</v>
      </c>
    </row>
    <row r="429" spans="1:21">
      <c r="A429" s="25">
        <f>IF(MES!A429="","",MES!C429/48)</f>
        <v>0</v>
      </c>
      <c r="B429" s="26">
        <f>IF(A429="","",TEXT((N429*4+cfgDeslocamento)/48,"hh:mm")&amp;" a "&amp;TEXT(A429,"hh:mm"))</f>
        <v>0</v>
      </c>
      <c r="C429" s="27">
        <f>IF(A429="","",MES!B429)</f>
        <v>0</v>
      </c>
      <c r="D429" s="27">
        <f>IF(A429="","",IFERROR(AVERAGEIFS(Prensa!$B$2:$B$5001,Prensa!$E$2:$E$5001,N429,Prensa!$F$2:$F$5001,1,Prensa!$G$2:$G$5001,1),""))</f>
        <v>0</v>
      </c>
      <c r="E429" s="27">
        <f>IF(A429="","",IFERROR(AVERAGEIFS(Prensa!$B$2:$B$5001,Prensa!$E$2:$E$5001,N429,Prensa!$F$2:$F$5001,2,Prensa!$G$2:$G$5001,1),""))</f>
        <v>0</v>
      </c>
      <c r="F429" s="27">
        <f>IF(A429="","",IFERROR(AVERAGEIFS(Prensa!$B$2:$B$5001,Prensa!$E$2:$E$5001,N429,Prensa!$F$2:$F$5001,3,Prensa!$G$2:$G$5001,1),""))</f>
        <v>0</v>
      </c>
      <c r="G429" s="27">
        <f>IF(A429="","",IFERROR(AVERAGEIFS(Prensa!$B$2:$B$5001,Prensa!$E$2:$E$5001,N429,Prensa!$F$2:$F$5001,4,Prensa!$G$2:$G$5001,1),""))</f>
        <v>0</v>
      </c>
      <c r="H429" s="26">
        <f>IF(A429="","",COUNT(D429:G429))</f>
        <v>0</v>
      </c>
      <c r="I429" s="27">
        <f>IF(A429="","",IF(H429=0,"",AVERAGE(D429:G429)))</f>
        <v>0</v>
      </c>
      <c r="J429" s="27">
        <f>IF(OR(I429="",C429=""),"",I429-C429)</f>
        <v>0</v>
      </c>
      <c r="K429" s="26">
        <f>IF(A429="","",IF(MES!E429&lt;&gt;4,"Horário do MES fora do padrão",IF(H429&lt;cfgMinCortes,"Cortes insuficientes","Válida")))</f>
        <v>0</v>
      </c>
      <c r="L429" s="27">
        <f>IF(K429="Válida",ABS(J429),"")</f>
        <v>0</v>
      </c>
      <c r="M429" s="26">
        <f>IF(K429="Válida",IF(L429&lt;=cfgTolerancia,"Sim","Não"),"")</f>
        <v>0</v>
      </c>
      <c r="N429" s="26">
        <f>IF(A429="","",MES!D429)</f>
        <v>0</v>
      </c>
      <c r="O429" s="25">
        <f>IF(K429="Válida",A429,NA())</f>
        <v>0</v>
      </c>
      <c r="P429" s="27">
        <f>IF(K429="Válida",C429,NA())</f>
        <v>0</v>
      </c>
      <c r="Q429" s="27">
        <f>IF(K429="Válida",I429,NA())</f>
        <v>0</v>
      </c>
      <c r="R429" s="27">
        <f>IF(K429="Válida",J429,NA())</f>
        <v>0</v>
      </c>
      <c r="S429" s="27">
        <f>IF(K429="Válida",C429,"")</f>
        <v>0</v>
      </c>
      <c r="T429" s="27">
        <f>IF(K429="Válida",I429,"")</f>
        <v>0</v>
      </c>
      <c r="U429" s="27">
        <f>IF(K429="Válida",J429,"")</f>
        <v>0</v>
      </c>
    </row>
    <row r="430" spans="1:21">
      <c r="A430" s="25">
        <f>IF(MES!A430="","",MES!C430/48)</f>
        <v>0</v>
      </c>
      <c r="B430" s="26">
        <f>IF(A430="","",TEXT((N430*4+cfgDeslocamento)/48,"hh:mm")&amp;" a "&amp;TEXT(A430,"hh:mm"))</f>
        <v>0</v>
      </c>
      <c r="C430" s="27">
        <f>IF(A430="","",MES!B430)</f>
        <v>0</v>
      </c>
      <c r="D430" s="27">
        <f>IF(A430="","",IFERROR(AVERAGEIFS(Prensa!$B$2:$B$5001,Prensa!$E$2:$E$5001,N430,Prensa!$F$2:$F$5001,1,Prensa!$G$2:$G$5001,1),""))</f>
        <v>0</v>
      </c>
      <c r="E430" s="27">
        <f>IF(A430="","",IFERROR(AVERAGEIFS(Prensa!$B$2:$B$5001,Prensa!$E$2:$E$5001,N430,Prensa!$F$2:$F$5001,2,Prensa!$G$2:$G$5001,1),""))</f>
        <v>0</v>
      </c>
      <c r="F430" s="27">
        <f>IF(A430="","",IFERROR(AVERAGEIFS(Prensa!$B$2:$B$5001,Prensa!$E$2:$E$5001,N430,Prensa!$F$2:$F$5001,3,Prensa!$G$2:$G$5001,1),""))</f>
        <v>0</v>
      </c>
      <c r="G430" s="27">
        <f>IF(A430="","",IFERROR(AVERAGEIFS(Prensa!$B$2:$B$5001,Prensa!$E$2:$E$5001,N430,Prensa!$F$2:$F$5001,4,Prensa!$G$2:$G$5001,1),""))</f>
        <v>0</v>
      </c>
      <c r="H430" s="26">
        <f>IF(A430="","",COUNT(D430:G430))</f>
        <v>0</v>
      </c>
      <c r="I430" s="27">
        <f>IF(A430="","",IF(H430=0,"",AVERAGE(D430:G430)))</f>
        <v>0</v>
      </c>
      <c r="J430" s="27">
        <f>IF(OR(I430="",C430=""),"",I430-C430)</f>
        <v>0</v>
      </c>
      <c r="K430" s="26">
        <f>IF(A430="","",IF(MES!E430&lt;&gt;4,"Horário do MES fora do padrão",IF(H430&lt;cfgMinCortes,"Cortes insuficientes","Válida")))</f>
        <v>0</v>
      </c>
      <c r="L430" s="27">
        <f>IF(K430="Válida",ABS(J430),"")</f>
        <v>0</v>
      </c>
      <c r="M430" s="26">
        <f>IF(K430="Válida",IF(L430&lt;=cfgTolerancia,"Sim","Não"),"")</f>
        <v>0</v>
      </c>
      <c r="N430" s="26">
        <f>IF(A430="","",MES!D430)</f>
        <v>0</v>
      </c>
      <c r="O430" s="25">
        <f>IF(K430="Válida",A430,NA())</f>
        <v>0</v>
      </c>
      <c r="P430" s="27">
        <f>IF(K430="Válida",C430,NA())</f>
        <v>0</v>
      </c>
      <c r="Q430" s="27">
        <f>IF(K430="Válida",I430,NA())</f>
        <v>0</v>
      </c>
      <c r="R430" s="27">
        <f>IF(K430="Válida",J430,NA())</f>
        <v>0</v>
      </c>
      <c r="S430" s="27">
        <f>IF(K430="Válida",C430,"")</f>
        <v>0</v>
      </c>
      <c r="T430" s="27">
        <f>IF(K430="Válida",I430,"")</f>
        <v>0</v>
      </c>
      <c r="U430" s="27">
        <f>IF(K430="Válida",J430,"")</f>
        <v>0</v>
      </c>
    </row>
    <row r="431" spans="1:21">
      <c r="A431" s="25">
        <f>IF(MES!A431="","",MES!C431/48)</f>
        <v>0</v>
      </c>
      <c r="B431" s="26">
        <f>IF(A431="","",TEXT((N431*4+cfgDeslocamento)/48,"hh:mm")&amp;" a "&amp;TEXT(A431,"hh:mm"))</f>
        <v>0</v>
      </c>
      <c r="C431" s="27">
        <f>IF(A431="","",MES!B431)</f>
        <v>0</v>
      </c>
      <c r="D431" s="27">
        <f>IF(A431="","",IFERROR(AVERAGEIFS(Prensa!$B$2:$B$5001,Prensa!$E$2:$E$5001,N431,Prensa!$F$2:$F$5001,1,Prensa!$G$2:$G$5001,1),""))</f>
        <v>0</v>
      </c>
      <c r="E431" s="27">
        <f>IF(A431="","",IFERROR(AVERAGEIFS(Prensa!$B$2:$B$5001,Prensa!$E$2:$E$5001,N431,Prensa!$F$2:$F$5001,2,Prensa!$G$2:$G$5001,1),""))</f>
        <v>0</v>
      </c>
      <c r="F431" s="27">
        <f>IF(A431="","",IFERROR(AVERAGEIFS(Prensa!$B$2:$B$5001,Prensa!$E$2:$E$5001,N431,Prensa!$F$2:$F$5001,3,Prensa!$G$2:$G$5001,1),""))</f>
        <v>0</v>
      </c>
      <c r="G431" s="27">
        <f>IF(A431="","",IFERROR(AVERAGEIFS(Prensa!$B$2:$B$5001,Prensa!$E$2:$E$5001,N431,Prensa!$F$2:$F$5001,4,Prensa!$G$2:$G$5001,1),""))</f>
        <v>0</v>
      </c>
      <c r="H431" s="26">
        <f>IF(A431="","",COUNT(D431:G431))</f>
        <v>0</v>
      </c>
      <c r="I431" s="27">
        <f>IF(A431="","",IF(H431=0,"",AVERAGE(D431:G431)))</f>
        <v>0</v>
      </c>
      <c r="J431" s="27">
        <f>IF(OR(I431="",C431=""),"",I431-C431)</f>
        <v>0</v>
      </c>
      <c r="K431" s="26">
        <f>IF(A431="","",IF(MES!E431&lt;&gt;4,"Horário do MES fora do padrão",IF(H431&lt;cfgMinCortes,"Cortes insuficientes","Válida")))</f>
        <v>0</v>
      </c>
      <c r="L431" s="27">
        <f>IF(K431="Válida",ABS(J431),"")</f>
        <v>0</v>
      </c>
      <c r="M431" s="26">
        <f>IF(K431="Válida",IF(L431&lt;=cfgTolerancia,"Sim","Não"),"")</f>
        <v>0</v>
      </c>
      <c r="N431" s="26">
        <f>IF(A431="","",MES!D431)</f>
        <v>0</v>
      </c>
      <c r="O431" s="25">
        <f>IF(K431="Válida",A431,NA())</f>
        <v>0</v>
      </c>
      <c r="P431" s="27">
        <f>IF(K431="Válida",C431,NA())</f>
        <v>0</v>
      </c>
      <c r="Q431" s="27">
        <f>IF(K431="Válida",I431,NA())</f>
        <v>0</v>
      </c>
      <c r="R431" s="27">
        <f>IF(K431="Válida",J431,NA())</f>
        <v>0</v>
      </c>
      <c r="S431" s="27">
        <f>IF(K431="Válida",C431,"")</f>
        <v>0</v>
      </c>
      <c r="T431" s="27">
        <f>IF(K431="Válida",I431,"")</f>
        <v>0</v>
      </c>
      <c r="U431" s="27">
        <f>IF(K431="Válida",J431,"")</f>
        <v>0</v>
      </c>
    </row>
    <row r="432" spans="1:21">
      <c r="A432" s="25">
        <f>IF(MES!A432="","",MES!C432/48)</f>
        <v>0</v>
      </c>
      <c r="B432" s="26">
        <f>IF(A432="","",TEXT((N432*4+cfgDeslocamento)/48,"hh:mm")&amp;" a "&amp;TEXT(A432,"hh:mm"))</f>
        <v>0</v>
      </c>
      <c r="C432" s="27">
        <f>IF(A432="","",MES!B432)</f>
        <v>0</v>
      </c>
      <c r="D432" s="27">
        <f>IF(A432="","",IFERROR(AVERAGEIFS(Prensa!$B$2:$B$5001,Prensa!$E$2:$E$5001,N432,Prensa!$F$2:$F$5001,1,Prensa!$G$2:$G$5001,1),""))</f>
        <v>0</v>
      </c>
      <c r="E432" s="27">
        <f>IF(A432="","",IFERROR(AVERAGEIFS(Prensa!$B$2:$B$5001,Prensa!$E$2:$E$5001,N432,Prensa!$F$2:$F$5001,2,Prensa!$G$2:$G$5001,1),""))</f>
        <v>0</v>
      </c>
      <c r="F432" s="27">
        <f>IF(A432="","",IFERROR(AVERAGEIFS(Prensa!$B$2:$B$5001,Prensa!$E$2:$E$5001,N432,Prensa!$F$2:$F$5001,3,Prensa!$G$2:$G$5001,1),""))</f>
        <v>0</v>
      </c>
      <c r="G432" s="27">
        <f>IF(A432="","",IFERROR(AVERAGEIFS(Prensa!$B$2:$B$5001,Prensa!$E$2:$E$5001,N432,Prensa!$F$2:$F$5001,4,Prensa!$G$2:$G$5001,1),""))</f>
        <v>0</v>
      </c>
      <c r="H432" s="26">
        <f>IF(A432="","",COUNT(D432:G432))</f>
        <v>0</v>
      </c>
      <c r="I432" s="27">
        <f>IF(A432="","",IF(H432=0,"",AVERAGE(D432:G432)))</f>
        <v>0</v>
      </c>
      <c r="J432" s="27">
        <f>IF(OR(I432="",C432=""),"",I432-C432)</f>
        <v>0</v>
      </c>
      <c r="K432" s="26">
        <f>IF(A432="","",IF(MES!E432&lt;&gt;4,"Horário do MES fora do padrão",IF(H432&lt;cfgMinCortes,"Cortes insuficientes","Válida")))</f>
        <v>0</v>
      </c>
      <c r="L432" s="27">
        <f>IF(K432="Válida",ABS(J432),"")</f>
        <v>0</v>
      </c>
      <c r="M432" s="26">
        <f>IF(K432="Válida",IF(L432&lt;=cfgTolerancia,"Sim","Não"),"")</f>
        <v>0</v>
      </c>
      <c r="N432" s="26">
        <f>IF(A432="","",MES!D432)</f>
        <v>0</v>
      </c>
      <c r="O432" s="25">
        <f>IF(K432="Válida",A432,NA())</f>
        <v>0</v>
      </c>
      <c r="P432" s="27">
        <f>IF(K432="Válida",C432,NA())</f>
        <v>0</v>
      </c>
      <c r="Q432" s="27">
        <f>IF(K432="Válida",I432,NA())</f>
        <v>0</v>
      </c>
      <c r="R432" s="27">
        <f>IF(K432="Válida",J432,NA())</f>
        <v>0</v>
      </c>
      <c r="S432" s="27">
        <f>IF(K432="Válida",C432,"")</f>
        <v>0</v>
      </c>
      <c r="T432" s="27">
        <f>IF(K432="Válida",I432,"")</f>
        <v>0</v>
      </c>
      <c r="U432" s="27">
        <f>IF(K432="Válida",J432,"")</f>
        <v>0</v>
      </c>
    </row>
    <row r="433" spans="1:21">
      <c r="A433" s="25">
        <f>IF(MES!A433="","",MES!C433/48)</f>
        <v>0</v>
      </c>
      <c r="B433" s="26">
        <f>IF(A433="","",TEXT((N433*4+cfgDeslocamento)/48,"hh:mm")&amp;" a "&amp;TEXT(A433,"hh:mm"))</f>
        <v>0</v>
      </c>
      <c r="C433" s="27">
        <f>IF(A433="","",MES!B433)</f>
        <v>0</v>
      </c>
      <c r="D433" s="27">
        <f>IF(A433="","",IFERROR(AVERAGEIFS(Prensa!$B$2:$B$5001,Prensa!$E$2:$E$5001,N433,Prensa!$F$2:$F$5001,1,Prensa!$G$2:$G$5001,1),""))</f>
        <v>0</v>
      </c>
      <c r="E433" s="27">
        <f>IF(A433="","",IFERROR(AVERAGEIFS(Prensa!$B$2:$B$5001,Prensa!$E$2:$E$5001,N433,Prensa!$F$2:$F$5001,2,Prensa!$G$2:$G$5001,1),""))</f>
        <v>0</v>
      </c>
      <c r="F433" s="27">
        <f>IF(A433="","",IFERROR(AVERAGEIFS(Prensa!$B$2:$B$5001,Prensa!$E$2:$E$5001,N433,Prensa!$F$2:$F$5001,3,Prensa!$G$2:$G$5001,1),""))</f>
        <v>0</v>
      </c>
      <c r="G433" s="27">
        <f>IF(A433="","",IFERROR(AVERAGEIFS(Prensa!$B$2:$B$5001,Prensa!$E$2:$E$5001,N433,Prensa!$F$2:$F$5001,4,Prensa!$G$2:$G$5001,1),""))</f>
        <v>0</v>
      </c>
      <c r="H433" s="26">
        <f>IF(A433="","",COUNT(D433:G433))</f>
        <v>0</v>
      </c>
      <c r="I433" s="27">
        <f>IF(A433="","",IF(H433=0,"",AVERAGE(D433:G433)))</f>
        <v>0</v>
      </c>
      <c r="J433" s="27">
        <f>IF(OR(I433="",C433=""),"",I433-C433)</f>
        <v>0</v>
      </c>
      <c r="K433" s="26">
        <f>IF(A433="","",IF(MES!E433&lt;&gt;4,"Horário do MES fora do padrão",IF(H433&lt;cfgMinCortes,"Cortes insuficientes","Válida")))</f>
        <v>0</v>
      </c>
      <c r="L433" s="27">
        <f>IF(K433="Válida",ABS(J433),"")</f>
        <v>0</v>
      </c>
      <c r="M433" s="26">
        <f>IF(K433="Válida",IF(L433&lt;=cfgTolerancia,"Sim","Não"),"")</f>
        <v>0</v>
      </c>
      <c r="N433" s="26">
        <f>IF(A433="","",MES!D433)</f>
        <v>0</v>
      </c>
      <c r="O433" s="25">
        <f>IF(K433="Válida",A433,NA())</f>
        <v>0</v>
      </c>
      <c r="P433" s="27">
        <f>IF(K433="Válida",C433,NA())</f>
        <v>0</v>
      </c>
      <c r="Q433" s="27">
        <f>IF(K433="Válida",I433,NA())</f>
        <v>0</v>
      </c>
      <c r="R433" s="27">
        <f>IF(K433="Válida",J433,NA())</f>
        <v>0</v>
      </c>
      <c r="S433" s="27">
        <f>IF(K433="Válida",C433,"")</f>
        <v>0</v>
      </c>
      <c r="T433" s="27">
        <f>IF(K433="Válida",I433,"")</f>
        <v>0</v>
      </c>
      <c r="U433" s="27">
        <f>IF(K433="Válida",J433,"")</f>
        <v>0</v>
      </c>
    </row>
    <row r="434" spans="1:21">
      <c r="A434" s="25">
        <f>IF(MES!A434="","",MES!C434/48)</f>
        <v>0</v>
      </c>
      <c r="B434" s="26">
        <f>IF(A434="","",TEXT((N434*4+cfgDeslocamento)/48,"hh:mm")&amp;" a "&amp;TEXT(A434,"hh:mm"))</f>
        <v>0</v>
      </c>
      <c r="C434" s="27">
        <f>IF(A434="","",MES!B434)</f>
        <v>0</v>
      </c>
      <c r="D434" s="27">
        <f>IF(A434="","",IFERROR(AVERAGEIFS(Prensa!$B$2:$B$5001,Prensa!$E$2:$E$5001,N434,Prensa!$F$2:$F$5001,1,Prensa!$G$2:$G$5001,1),""))</f>
        <v>0</v>
      </c>
      <c r="E434" s="27">
        <f>IF(A434="","",IFERROR(AVERAGEIFS(Prensa!$B$2:$B$5001,Prensa!$E$2:$E$5001,N434,Prensa!$F$2:$F$5001,2,Prensa!$G$2:$G$5001,1),""))</f>
        <v>0</v>
      </c>
      <c r="F434" s="27">
        <f>IF(A434="","",IFERROR(AVERAGEIFS(Prensa!$B$2:$B$5001,Prensa!$E$2:$E$5001,N434,Prensa!$F$2:$F$5001,3,Prensa!$G$2:$G$5001,1),""))</f>
        <v>0</v>
      </c>
      <c r="G434" s="27">
        <f>IF(A434="","",IFERROR(AVERAGEIFS(Prensa!$B$2:$B$5001,Prensa!$E$2:$E$5001,N434,Prensa!$F$2:$F$5001,4,Prensa!$G$2:$G$5001,1),""))</f>
        <v>0</v>
      </c>
      <c r="H434" s="26">
        <f>IF(A434="","",COUNT(D434:G434))</f>
        <v>0</v>
      </c>
      <c r="I434" s="27">
        <f>IF(A434="","",IF(H434=0,"",AVERAGE(D434:G434)))</f>
        <v>0</v>
      </c>
      <c r="J434" s="27">
        <f>IF(OR(I434="",C434=""),"",I434-C434)</f>
        <v>0</v>
      </c>
      <c r="K434" s="26">
        <f>IF(A434="","",IF(MES!E434&lt;&gt;4,"Horário do MES fora do padrão",IF(H434&lt;cfgMinCortes,"Cortes insuficientes","Válida")))</f>
        <v>0</v>
      </c>
      <c r="L434" s="27">
        <f>IF(K434="Válida",ABS(J434),"")</f>
        <v>0</v>
      </c>
      <c r="M434" s="26">
        <f>IF(K434="Válida",IF(L434&lt;=cfgTolerancia,"Sim","Não"),"")</f>
        <v>0</v>
      </c>
      <c r="N434" s="26">
        <f>IF(A434="","",MES!D434)</f>
        <v>0</v>
      </c>
      <c r="O434" s="25">
        <f>IF(K434="Válida",A434,NA())</f>
        <v>0</v>
      </c>
      <c r="P434" s="27">
        <f>IF(K434="Válida",C434,NA())</f>
        <v>0</v>
      </c>
      <c r="Q434" s="27">
        <f>IF(K434="Válida",I434,NA())</f>
        <v>0</v>
      </c>
      <c r="R434" s="27">
        <f>IF(K434="Válida",J434,NA())</f>
        <v>0</v>
      </c>
      <c r="S434" s="27">
        <f>IF(K434="Válida",C434,"")</f>
        <v>0</v>
      </c>
      <c r="T434" s="27">
        <f>IF(K434="Válida",I434,"")</f>
        <v>0</v>
      </c>
      <c r="U434" s="27">
        <f>IF(K434="Válida",J434,"")</f>
        <v>0</v>
      </c>
    </row>
    <row r="435" spans="1:21">
      <c r="A435" s="25">
        <f>IF(MES!A435="","",MES!C435/48)</f>
        <v>0</v>
      </c>
      <c r="B435" s="26">
        <f>IF(A435="","",TEXT((N435*4+cfgDeslocamento)/48,"hh:mm")&amp;" a "&amp;TEXT(A435,"hh:mm"))</f>
        <v>0</v>
      </c>
      <c r="C435" s="27">
        <f>IF(A435="","",MES!B435)</f>
        <v>0</v>
      </c>
      <c r="D435" s="27">
        <f>IF(A435="","",IFERROR(AVERAGEIFS(Prensa!$B$2:$B$5001,Prensa!$E$2:$E$5001,N435,Prensa!$F$2:$F$5001,1,Prensa!$G$2:$G$5001,1),""))</f>
        <v>0</v>
      </c>
      <c r="E435" s="27">
        <f>IF(A435="","",IFERROR(AVERAGEIFS(Prensa!$B$2:$B$5001,Prensa!$E$2:$E$5001,N435,Prensa!$F$2:$F$5001,2,Prensa!$G$2:$G$5001,1),""))</f>
        <v>0</v>
      </c>
      <c r="F435" s="27">
        <f>IF(A435="","",IFERROR(AVERAGEIFS(Prensa!$B$2:$B$5001,Prensa!$E$2:$E$5001,N435,Prensa!$F$2:$F$5001,3,Prensa!$G$2:$G$5001,1),""))</f>
        <v>0</v>
      </c>
      <c r="G435" s="27">
        <f>IF(A435="","",IFERROR(AVERAGEIFS(Prensa!$B$2:$B$5001,Prensa!$E$2:$E$5001,N435,Prensa!$F$2:$F$5001,4,Prensa!$G$2:$G$5001,1),""))</f>
        <v>0</v>
      </c>
      <c r="H435" s="26">
        <f>IF(A435="","",COUNT(D435:G435))</f>
        <v>0</v>
      </c>
      <c r="I435" s="27">
        <f>IF(A435="","",IF(H435=0,"",AVERAGE(D435:G435)))</f>
        <v>0</v>
      </c>
      <c r="J435" s="27">
        <f>IF(OR(I435="",C435=""),"",I435-C435)</f>
        <v>0</v>
      </c>
      <c r="K435" s="26">
        <f>IF(A435="","",IF(MES!E435&lt;&gt;4,"Horário do MES fora do padrão",IF(H435&lt;cfgMinCortes,"Cortes insuficientes","Válida")))</f>
        <v>0</v>
      </c>
      <c r="L435" s="27">
        <f>IF(K435="Válida",ABS(J435),"")</f>
        <v>0</v>
      </c>
      <c r="M435" s="26">
        <f>IF(K435="Válida",IF(L435&lt;=cfgTolerancia,"Sim","Não"),"")</f>
        <v>0</v>
      </c>
      <c r="N435" s="26">
        <f>IF(A435="","",MES!D435)</f>
        <v>0</v>
      </c>
      <c r="O435" s="25">
        <f>IF(K435="Válida",A435,NA())</f>
        <v>0</v>
      </c>
      <c r="P435" s="27">
        <f>IF(K435="Válida",C435,NA())</f>
        <v>0</v>
      </c>
      <c r="Q435" s="27">
        <f>IF(K435="Válida",I435,NA())</f>
        <v>0</v>
      </c>
      <c r="R435" s="27">
        <f>IF(K435="Válida",J435,NA())</f>
        <v>0</v>
      </c>
      <c r="S435" s="27">
        <f>IF(K435="Válida",C435,"")</f>
        <v>0</v>
      </c>
      <c r="T435" s="27">
        <f>IF(K435="Válida",I435,"")</f>
        <v>0</v>
      </c>
      <c r="U435" s="27">
        <f>IF(K435="Válida",J435,"")</f>
        <v>0</v>
      </c>
    </row>
    <row r="436" spans="1:21">
      <c r="A436" s="25">
        <f>IF(MES!A436="","",MES!C436/48)</f>
        <v>0</v>
      </c>
      <c r="B436" s="26">
        <f>IF(A436="","",TEXT((N436*4+cfgDeslocamento)/48,"hh:mm")&amp;" a "&amp;TEXT(A436,"hh:mm"))</f>
        <v>0</v>
      </c>
      <c r="C436" s="27">
        <f>IF(A436="","",MES!B436)</f>
        <v>0</v>
      </c>
      <c r="D436" s="27">
        <f>IF(A436="","",IFERROR(AVERAGEIFS(Prensa!$B$2:$B$5001,Prensa!$E$2:$E$5001,N436,Prensa!$F$2:$F$5001,1,Prensa!$G$2:$G$5001,1),""))</f>
        <v>0</v>
      </c>
      <c r="E436" s="27">
        <f>IF(A436="","",IFERROR(AVERAGEIFS(Prensa!$B$2:$B$5001,Prensa!$E$2:$E$5001,N436,Prensa!$F$2:$F$5001,2,Prensa!$G$2:$G$5001,1),""))</f>
        <v>0</v>
      </c>
      <c r="F436" s="27">
        <f>IF(A436="","",IFERROR(AVERAGEIFS(Prensa!$B$2:$B$5001,Prensa!$E$2:$E$5001,N436,Prensa!$F$2:$F$5001,3,Prensa!$G$2:$G$5001,1),""))</f>
        <v>0</v>
      </c>
      <c r="G436" s="27">
        <f>IF(A436="","",IFERROR(AVERAGEIFS(Prensa!$B$2:$B$5001,Prensa!$E$2:$E$5001,N436,Prensa!$F$2:$F$5001,4,Prensa!$G$2:$G$5001,1),""))</f>
        <v>0</v>
      </c>
      <c r="H436" s="26">
        <f>IF(A436="","",COUNT(D436:G436))</f>
        <v>0</v>
      </c>
      <c r="I436" s="27">
        <f>IF(A436="","",IF(H436=0,"",AVERAGE(D436:G436)))</f>
        <v>0</v>
      </c>
      <c r="J436" s="27">
        <f>IF(OR(I436="",C436=""),"",I436-C436)</f>
        <v>0</v>
      </c>
      <c r="K436" s="26">
        <f>IF(A436="","",IF(MES!E436&lt;&gt;4,"Horário do MES fora do padrão",IF(H436&lt;cfgMinCortes,"Cortes insuficientes","Válida")))</f>
        <v>0</v>
      </c>
      <c r="L436" s="27">
        <f>IF(K436="Válida",ABS(J436),"")</f>
        <v>0</v>
      </c>
      <c r="M436" s="26">
        <f>IF(K436="Válida",IF(L436&lt;=cfgTolerancia,"Sim","Não"),"")</f>
        <v>0</v>
      </c>
      <c r="N436" s="26">
        <f>IF(A436="","",MES!D436)</f>
        <v>0</v>
      </c>
      <c r="O436" s="25">
        <f>IF(K436="Válida",A436,NA())</f>
        <v>0</v>
      </c>
      <c r="P436" s="27">
        <f>IF(K436="Válida",C436,NA())</f>
        <v>0</v>
      </c>
      <c r="Q436" s="27">
        <f>IF(K436="Válida",I436,NA())</f>
        <v>0</v>
      </c>
      <c r="R436" s="27">
        <f>IF(K436="Válida",J436,NA())</f>
        <v>0</v>
      </c>
      <c r="S436" s="27">
        <f>IF(K436="Válida",C436,"")</f>
        <v>0</v>
      </c>
      <c r="T436" s="27">
        <f>IF(K436="Válida",I436,"")</f>
        <v>0</v>
      </c>
      <c r="U436" s="27">
        <f>IF(K436="Válida",J436,"")</f>
        <v>0</v>
      </c>
    </row>
    <row r="437" spans="1:21">
      <c r="A437" s="25">
        <f>IF(MES!A437="","",MES!C437/48)</f>
        <v>0</v>
      </c>
      <c r="B437" s="26">
        <f>IF(A437="","",TEXT((N437*4+cfgDeslocamento)/48,"hh:mm")&amp;" a "&amp;TEXT(A437,"hh:mm"))</f>
        <v>0</v>
      </c>
      <c r="C437" s="27">
        <f>IF(A437="","",MES!B437)</f>
        <v>0</v>
      </c>
      <c r="D437" s="27">
        <f>IF(A437="","",IFERROR(AVERAGEIFS(Prensa!$B$2:$B$5001,Prensa!$E$2:$E$5001,N437,Prensa!$F$2:$F$5001,1,Prensa!$G$2:$G$5001,1),""))</f>
        <v>0</v>
      </c>
      <c r="E437" s="27">
        <f>IF(A437="","",IFERROR(AVERAGEIFS(Prensa!$B$2:$B$5001,Prensa!$E$2:$E$5001,N437,Prensa!$F$2:$F$5001,2,Prensa!$G$2:$G$5001,1),""))</f>
        <v>0</v>
      </c>
      <c r="F437" s="27">
        <f>IF(A437="","",IFERROR(AVERAGEIFS(Prensa!$B$2:$B$5001,Prensa!$E$2:$E$5001,N437,Prensa!$F$2:$F$5001,3,Prensa!$G$2:$G$5001,1),""))</f>
        <v>0</v>
      </c>
      <c r="G437" s="27">
        <f>IF(A437="","",IFERROR(AVERAGEIFS(Prensa!$B$2:$B$5001,Prensa!$E$2:$E$5001,N437,Prensa!$F$2:$F$5001,4,Prensa!$G$2:$G$5001,1),""))</f>
        <v>0</v>
      </c>
      <c r="H437" s="26">
        <f>IF(A437="","",COUNT(D437:G437))</f>
        <v>0</v>
      </c>
      <c r="I437" s="27">
        <f>IF(A437="","",IF(H437=0,"",AVERAGE(D437:G437)))</f>
        <v>0</v>
      </c>
      <c r="J437" s="27">
        <f>IF(OR(I437="",C437=""),"",I437-C437)</f>
        <v>0</v>
      </c>
      <c r="K437" s="26">
        <f>IF(A437="","",IF(MES!E437&lt;&gt;4,"Horário do MES fora do padrão",IF(H437&lt;cfgMinCortes,"Cortes insuficientes","Válida")))</f>
        <v>0</v>
      </c>
      <c r="L437" s="27">
        <f>IF(K437="Válida",ABS(J437),"")</f>
        <v>0</v>
      </c>
      <c r="M437" s="26">
        <f>IF(K437="Válida",IF(L437&lt;=cfgTolerancia,"Sim","Não"),"")</f>
        <v>0</v>
      </c>
      <c r="N437" s="26">
        <f>IF(A437="","",MES!D437)</f>
        <v>0</v>
      </c>
      <c r="O437" s="25">
        <f>IF(K437="Válida",A437,NA())</f>
        <v>0</v>
      </c>
      <c r="P437" s="27">
        <f>IF(K437="Válida",C437,NA())</f>
        <v>0</v>
      </c>
      <c r="Q437" s="27">
        <f>IF(K437="Válida",I437,NA())</f>
        <v>0</v>
      </c>
      <c r="R437" s="27">
        <f>IF(K437="Válida",J437,NA())</f>
        <v>0</v>
      </c>
      <c r="S437" s="27">
        <f>IF(K437="Válida",C437,"")</f>
        <v>0</v>
      </c>
      <c r="T437" s="27">
        <f>IF(K437="Válida",I437,"")</f>
        <v>0</v>
      </c>
      <c r="U437" s="27">
        <f>IF(K437="Válida",J437,"")</f>
        <v>0</v>
      </c>
    </row>
    <row r="438" spans="1:21">
      <c r="A438" s="25">
        <f>IF(MES!A438="","",MES!C438/48)</f>
        <v>0</v>
      </c>
      <c r="B438" s="26">
        <f>IF(A438="","",TEXT((N438*4+cfgDeslocamento)/48,"hh:mm")&amp;" a "&amp;TEXT(A438,"hh:mm"))</f>
        <v>0</v>
      </c>
      <c r="C438" s="27">
        <f>IF(A438="","",MES!B438)</f>
        <v>0</v>
      </c>
      <c r="D438" s="27">
        <f>IF(A438="","",IFERROR(AVERAGEIFS(Prensa!$B$2:$B$5001,Prensa!$E$2:$E$5001,N438,Prensa!$F$2:$F$5001,1,Prensa!$G$2:$G$5001,1),""))</f>
        <v>0</v>
      </c>
      <c r="E438" s="27">
        <f>IF(A438="","",IFERROR(AVERAGEIFS(Prensa!$B$2:$B$5001,Prensa!$E$2:$E$5001,N438,Prensa!$F$2:$F$5001,2,Prensa!$G$2:$G$5001,1),""))</f>
        <v>0</v>
      </c>
      <c r="F438" s="27">
        <f>IF(A438="","",IFERROR(AVERAGEIFS(Prensa!$B$2:$B$5001,Prensa!$E$2:$E$5001,N438,Prensa!$F$2:$F$5001,3,Prensa!$G$2:$G$5001,1),""))</f>
        <v>0</v>
      </c>
      <c r="G438" s="27">
        <f>IF(A438="","",IFERROR(AVERAGEIFS(Prensa!$B$2:$B$5001,Prensa!$E$2:$E$5001,N438,Prensa!$F$2:$F$5001,4,Prensa!$G$2:$G$5001,1),""))</f>
        <v>0</v>
      </c>
      <c r="H438" s="26">
        <f>IF(A438="","",COUNT(D438:G438))</f>
        <v>0</v>
      </c>
      <c r="I438" s="27">
        <f>IF(A438="","",IF(H438=0,"",AVERAGE(D438:G438)))</f>
        <v>0</v>
      </c>
      <c r="J438" s="27">
        <f>IF(OR(I438="",C438=""),"",I438-C438)</f>
        <v>0</v>
      </c>
      <c r="K438" s="26">
        <f>IF(A438="","",IF(MES!E438&lt;&gt;4,"Horário do MES fora do padrão",IF(H438&lt;cfgMinCortes,"Cortes insuficientes","Válida")))</f>
        <v>0</v>
      </c>
      <c r="L438" s="27">
        <f>IF(K438="Válida",ABS(J438),"")</f>
        <v>0</v>
      </c>
      <c r="M438" s="26">
        <f>IF(K438="Válida",IF(L438&lt;=cfgTolerancia,"Sim","Não"),"")</f>
        <v>0</v>
      </c>
      <c r="N438" s="26">
        <f>IF(A438="","",MES!D438)</f>
        <v>0</v>
      </c>
      <c r="O438" s="25">
        <f>IF(K438="Válida",A438,NA())</f>
        <v>0</v>
      </c>
      <c r="P438" s="27">
        <f>IF(K438="Válida",C438,NA())</f>
        <v>0</v>
      </c>
      <c r="Q438" s="27">
        <f>IF(K438="Válida",I438,NA())</f>
        <v>0</v>
      </c>
      <c r="R438" s="27">
        <f>IF(K438="Válida",J438,NA())</f>
        <v>0</v>
      </c>
      <c r="S438" s="27">
        <f>IF(K438="Válida",C438,"")</f>
        <v>0</v>
      </c>
      <c r="T438" s="27">
        <f>IF(K438="Válida",I438,"")</f>
        <v>0</v>
      </c>
      <c r="U438" s="27">
        <f>IF(K438="Válida",J438,"")</f>
        <v>0</v>
      </c>
    </row>
    <row r="439" spans="1:21">
      <c r="A439" s="25">
        <f>IF(MES!A439="","",MES!C439/48)</f>
        <v>0</v>
      </c>
      <c r="B439" s="26">
        <f>IF(A439="","",TEXT((N439*4+cfgDeslocamento)/48,"hh:mm")&amp;" a "&amp;TEXT(A439,"hh:mm"))</f>
        <v>0</v>
      </c>
      <c r="C439" s="27">
        <f>IF(A439="","",MES!B439)</f>
        <v>0</v>
      </c>
      <c r="D439" s="27">
        <f>IF(A439="","",IFERROR(AVERAGEIFS(Prensa!$B$2:$B$5001,Prensa!$E$2:$E$5001,N439,Prensa!$F$2:$F$5001,1,Prensa!$G$2:$G$5001,1),""))</f>
        <v>0</v>
      </c>
      <c r="E439" s="27">
        <f>IF(A439="","",IFERROR(AVERAGEIFS(Prensa!$B$2:$B$5001,Prensa!$E$2:$E$5001,N439,Prensa!$F$2:$F$5001,2,Prensa!$G$2:$G$5001,1),""))</f>
        <v>0</v>
      </c>
      <c r="F439" s="27">
        <f>IF(A439="","",IFERROR(AVERAGEIFS(Prensa!$B$2:$B$5001,Prensa!$E$2:$E$5001,N439,Prensa!$F$2:$F$5001,3,Prensa!$G$2:$G$5001,1),""))</f>
        <v>0</v>
      </c>
      <c r="G439" s="27">
        <f>IF(A439="","",IFERROR(AVERAGEIFS(Prensa!$B$2:$B$5001,Prensa!$E$2:$E$5001,N439,Prensa!$F$2:$F$5001,4,Prensa!$G$2:$G$5001,1),""))</f>
        <v>0</v>
      </c>
      <c r="H439" s="26">
        <f>IF(A439="","",COUNT(D439:G439))</f>
        <v>0</v>
      </c>
      <c r="I439" s="27">
        <f>IF(A439="","",IF(H439=0,"",AVERAGE(D439:G439)))</f>
        <v>0</v>
      </c>
      <c r="J439" s="27">
        <f>IF(OR(I439="",C439=""),"",I439-C439)</f>
        <v>0</v>
      </c>
      <c r="K439" s="26">
        <f>IF(A439="","",IF(MES!E439&lt;&gt;4,"Horário do MES fora do padrão",IF(H439&lt;cfgMinCortes,"Cortes insuficientes","Válida")))</f>
        <v>0</v>
      </c>
      <c r="L439" s="27">
        <f>IF(K439="Válida",ABS(J439),"")</f>
        <v>0</v>
      </c>
      <c r="M439" s="26">
        <f>IF(K439="Válida",IF(L439&lt;=cfgTolerancia,"Sim","Não"),"")</f>
        <v>0</v>
      </c>
      <c r="N439" s="26">
        <f>IF(A439="","",MES!D439)</f>
        <v>0</v>
      </c>
      <c r="O439" s="25">
        <f>IF(K439="Válida",A439,NA())</f>
        <v>0</v>
      </c>
      <c r="P439" s="27">
        <f>IF(K439="Válida",C439,NA())</f>
        <v>0</v>
      </c>
      <c r="Q439" s="27">
        <f>IF(K439="Válida",I439,NA())</f>
        <v>0</v>
      </c>
      <c r="R439" s="27">
        <f>IF(K439="Válida",J439,NA())</f>
        <v>0</v>
      </c>
      <c r="S439" s="27">
        <f>IF(K439="Válida",C439,"")</f>
        <v>0</v>
      </c>
      <c r="T439" s="27">
        <f>IF(K439="Válida",I439,"")</f>
        <v>0</v>
      </c>
      <c r="U439" s="27">
        <f>IF(K439="Válida",J439,"")</f>
        <v>0</v>
      </c>
    </row>
    <row r="440" spans="1:21">
      <c r="A440" s="25">
        <f>IF(MES!A440="","",MES!C440/48)</f>
        <v>0</v>
      </c>
      <c r="B440" s="26">
        <f>IF(A440="","",TEXT((N440*4+cfgDeslocamento)/48,"hh:mm")&amp;" a "&amp;TEXT(A440,"hh:mm"))</f>
        <v>0</v>
      </c>
      <c r="C440" s="27">
        <f>IF(A440="","",MES!B440)</f>
        <v>0</v>
      </c>
      <c r="D440" s="27">
        <f>IF(A440="","",IFERROR(AVERAGEIFS(Prensa!$B$2:$B$5001,Prensa!$E$2:$E$5001,N440,Prensa!$F$2:$F$5001,1,Prensa!$G$2:$G$5001,1),""))</f>
        <v>0</v>
      </c>
      <c r="E440" s="27">
        <f>IF(A440="","",IFERROR(AVERAGEIFS(Prensa!$B$2:$B$5001,Prensa!$E$2:$E$5001,N440,Prensa!$F$2:$F$5001,2,Prensa!$G$2:$G$5001,1),""))</f>
        <v>0</v>
      </c>
      <c r="F440" s="27">
        <f>IF(A440="","",IFERROR(AVERAGEIFS(Prensa!$B$2:$B$5001,Prensa!$E$2:$E$5001,N440,Prensa!$F$2:$F$5001,3,Prensa!$G$2:$G$5001,1),""))</f>
        <v>0</v>
      </c>
      <c r="G440" s="27">
        <f>IF(A440="","",IFERROR(AVERAGEIFS(Prensa!$B$2:$B$5001,Prensa!$E$2:$E$5001,N440,Prensa!$F$2:$F$5001,4,Prensa!$G$2:$G$5001,1),""))</f>
        <v>0</v>
      </c>
      <c r="H440" s="26">
        <f>IF(A440="","",COUNT(D440:G440))</f>
        <v>0</v>
      </c>
      <c r="I440" s="27">
        <f>IF(A440="","",IF(H440=0,"",AVERAGE(D440:G440)))</f>
        <v>0</v>
      </c>
      <c r="J440" s="27">
        <f>IF(OR(I440="",C440=""),"",I440-C440)</f>
        <v>0</v>
      </c>
      <c r="K440" s="26">
        <f>IF(A440="","",IF(MES!E440&lt;&gt;4,"Horário do MES fora do padrão",IF(H440&lt;cfgMinCortes,"Cortes insuficientes","Válida")))</f>
        <v>0</v>
      </c>
      <c r="L440" s="27">
        <f>IF(K440="Válida",ABS(J440),"")</f>
        <v>0</v>
      </c>
      <c r="M440" s="26">
        <f>IF(K440="Válida",IF(L440&lt;=cfgTolerancia,"Sim","Não"),"")</f>
        <v>0</v>
      </c>
      <c r="N440" s="26">
        <f>IF(A440="","",MES!D440)</f>
        <v>0</v>
      </c>
      <c r="O440" s="25">
        <f>IF(K440="Válida",A440,NA())</f>
        <v>0</v>
      </c>
      <c r="P440" s="27">
        <f>IF(K440="Válida",C440,NA())</f>
        <v>0</v>
      </c>
      <c r="Q440" s="27">
        <f>IF(K440="Válida",I440,NA())</f>
        <v>0</v>
      </c>
      <c r="R440" s="27">
        <f>IF(K440="Válida",J440,NA())</f>
        <v>0</v>
      </c>
      <c r="S440" s="27">
        <f>IF(K440="Válida",C440,"")</f>
        <v>0</v>
      </c>
      <c r="T440" s="27">
        <f>IF(K440="Válida",I440,"")</f>
        <v>0</v>
      </c>
      <c r="U440" s="27">
        <f>IF(K440="Válida",J440,"")</f>
        <v>0</v>
      </c>
    </row>
    <row r="441" spans="1:21">
      <c r="A441" s="25">
        <f>IF(MES!A441="","",MES!C441/48)</f>
        <v>0</v>
      </c>
      <c r="B441" s="26">
        <f>IF(A441="","",TEXT((N441*4+cfgDeslocamento)/48,"hh:mm")&amp;" a "&amp;TEXT(A441,"hh:mm"))</f>
        <v>0</v>
      </c>
      <c r="C441" s="27">
        <f>IF(A441="","",MES!B441)</f>
        <v>0</v>
      </c>
      <c r="D441" s="27">
        <f>IF(A441="","",IFERROR(AVERAGEIFS(Prensa!$B$2:$B$5001,Prensa!$E$2:$E$5001,N441,Prensa!$F$2:$F$5001,1,Prensa!$G$2:$G$5001,1),""))</f>
        <v>0</v>
      </c>
      <c r="E441" s="27">
        <f>IF(A441="","",IFERROR(AVERAGEIFS(Prensa!$B$2:$B$5001,Prensa!$E$2:$E$5001,N441,Prensa!$F$2:$F$5001,2,Prensa!$G$2:$G$5001,1),""))</f>
        <v>0</v>
      </c>
      <c r="F441" s="27">
        <f>IF(A441="","",IFERROR(AVERAGEIFS(Prensa!$B$2:$B$5001,Prensa!$E$2:$E$5001,N441,Prensa!$F$2:$F$5001,3,Prensa!$G$2:$G$5001,1),""))</f>
        <v>0</v>
      </c>
      <c r="G441" s="27">
        <f>IF(A441="","",IFERROR(AVERAGEIFS(Prensa!$B$2:$B$5001,Prensa!$E$2:$E$5001,N441,Prensa!$F$2:$F$5001,4,Prensa!$G$2:$G$5001,1),""))</f>
        <v>0</v>
      </c>
      <c r="H441" s="26">
        <f>IF(A441="","",COUNT(D441:G441))</f>
        <v>0</v>
      </c>
      <c r="I441" s="27">
        <f>IF(A441="","",IF(H441=0,"",AVERAGE(D441:G441)))</f>
        <v>0</v>
      </c>
      <c r="J441" s="27">
        <f>IF(OR(I441="",C441=""),"",I441-C441)</f>
        <v>0</v>
      </c>
      <c r="K441" s="26">
        <f>IF(A441="","",IF(MES!E441&lt;&gt;4,"Horário do MES fora do padrão",IF(H441&lt;cfgMinCortes,"Cortes insuficientes","Válida")))</f>
        <v>0</v>
      </c>
      <c r="L441" s="27">
        <f>IF(K441="Válida",ABS(J441),"")</f>
        <v>0</v>
      </c>
      <c r="M441" s="26">
        <f>IF(K441="Válida",IF(L441&lt;=cfgTolerancia,"Sim","Não"),"")</f>
        <v>0</v>
      </c>
      <c r="N441" s="26">
        <f>IF(A441="","",MES!D441)</f>
        <v>0</v>
      </c>
      <c r="O441" s="25">
        <f>IF(K441="Válida",A441,NA())</f>
        <v>0</v>
      </c>
      <c r="P441" s="27">
        <f>IF(K441="Válida",C441,NA())</f>
        <v>0</v>
      </c>
      <c r="Q441" s="27">
        <f>IF(K441="Válida",I441,NA())</f>
        <v>0</v>
      </c>
      <c r="R441" s="27">
        <f>IF(K441="Válida",J441,NA())</f>
        <v>0</v>
      </c>
      <c r="S441" s="27">
        <f>IF(K441="Válida",C441,"")</f>
        <v>0</v>
      </c>
      <c r="T441" s="27">
        <f>IF(K441="Válida",I441,"")</f>
        <v>0</v>
      </c>
      <c r="U441" s="27">
        <f>IF(K441="Válida",J441,"")</f>
        <v>0</v>
      </c>
    </row>
    <row r="442" spans="1:21">
      <c r="A442" s="25">
        <f>IF(MES!A442="","",MES!C442/48)</f>
        <v>0</v>
      </c>
      <c r="B442" s="26">
        <f>IF(A442="","",TEXT((N442*4+cfgDeslocamento)/48,"hh:mm")&amp;" a "&amp;TEXT(A442,"hh:mm"))</f>
        <v>0</v>
      </c>
      <c r="C442" s="27">
        <f>IF(A442="","",MES!B442)</f>
        <v>0</v>
      </c>
      <c r="D442" s="27">
        <f>IF(A442="","",IFERROR(AVERAGEIFS(Prensa!$B$2:$B$5001,Prensa!$E$2:$E$5001,N442,Prensa!$F$2:$F$5001,1,Prensa!$G$2:$G$5001,1),""))</f>
        <v>0</v>
      </c>
      <c r="E442" s="27">
        <f>IF(A442="","",IFERROR(AVERAGEIFS(Prensa!$B$2:$B$5001,Prensa!$E$2:$E$5001,N442,Prensa!$F$2:$F$5001,2,Prensa!$G$2:$G$5001,1),""))</f>
        <v>0</v>
      </c>
      <c r="F442" s="27">
        <f>IF(A442="","",IFERROR(AVERAGEIFS(Prensa!$B$2:$B$5001,Prensa!$E$2:$E$5001,N442,Prensa!$F$2:$F$5001,3,Prensa!$G$2:$G$5001,1),""))</f>
        <v>0</v>
      </c>
      <c r="G442" s="27">
        <f>IF(A442="","",IFERROR(AVERAGEIFS(Prensa!$B$2:$B$5001,Prensa!$E$2:$E$5001,N442,Prensa!$F$2:$F$5001,4,Prensa!$G$2:$G$5001,1),""))</f>
        <v>0</v>
      </c>
      <c r="H442" s="26">
        <f>IF(A442="","",COUNT(D442:G442))</f>
        <v>0</v>
      </c>
      <c r="I442" s="27">
        <f>IF(A442="","",IF(H442=0,"",AVERAGE(D442:G442)))</f>
        <v>0</v>
      </c>
      <c r="J442" s="27">
        <f>IF(OR(I442="",C442=""),"",I442-C442)</f>
        <v>0</v>
      </c>
      <c r="K442" s="26">
        <f>IF(A442="","",IF(MES!E442&lt;&gt;4,"Horário do MES fora do padrão",IF(H442&lt;cfgMinCortes,"Cortes insuficientes","Válida")))</f>
        <v>0</v>
      </c>
      <c r="L442" s="27">
        <f>IF(K442="Válida",ABS(J442),"")</f>
        <v>0</v>
      </c>
      <c r="M442" s="26">
        <f>IF(K442="Válida",IF(L442&lt;=cfgTolerancia,"Sim","Não"),"")</f>
        <v>0</v>
      </c>
      <c r="N442" s="26">
        <f>IF(A442="","",MES!D442)</f>
        <v>0</v>
      </c>
      <c r="O442" s="25">
        <f>IF(K442="Válida",A442,NA())</f>
        <v>0</v>
      </c>
      <c r="P442" s="27">
        <f>IF(K442="Válida",C442,NA())</f>
        <v>0</v>
      </c>
      <c r="Q442" s="27">
        <f>IF(K442="Válida",I442,NA())</f>
        <v>0</v>
      </c>
      <c r="R442" s="27">
        <f>IF(K442="Válida",J442,NA())</f>
        <v>0</v>
      </c>
      <c r="S442" s="27">
        <f>IF(K442="Válida",C442,"")</f>
        <v>0</v>
      </c>
      <c r="T442" s="27">
        <f>IF(K442="Válida",I442,"")</f>
        <v>0</v>
      </c>
      <c r="U442" s="27">
        <f>IF(K442="Válida",J442,"")</f>
        <v>0</v>
      </c>
    </row>
    <row r="443" spans="1:21">
      <c r="A443" s="25">
        <f>IF(MES!A443="","",MES!C443/48)</f>
        <v>0</v>
      </c>
      <c r="B443" s="26">
        <f>IF(A443="","",TEXT((N443*4+cfgDeslocamento)/48,"hh:mm")&amp;" a "&amp;TEXT(A443,"hh:mm"))</f>
        <v>0</v>
      </c>
      <c r="C443" s="27">
        <f>IF(A443="","",MES!B443)</f>
        <v>0</v>
      </c>
      <c r="D443" s="27">
        <f>IF(A443="","",IFERROR(AVERAGEIFS(Prensa!$B$2:$B$5001,Prensa!$E$2:$E$5001,N443,Prensa!$F$2:$F$5001,1,Prensa!$G$2:$G$5001,1),""))</f>
        <v>0</v>
      </c>
      <c r="E443" s="27">
        <f>IF(A443="","",IFERROR(AVERAGEIFS(Prensa!$B$2:$B$5001,Prensa!$E$2:$E$5001,N443,Prensa!$F$2:$F$5001,2,Prensa!$G$2:$G$5001,1),""))</f>
        <v>0</v>
      </c>
      <c r="F443" s="27">
        <f>IF(A443="","",IFERROR(AVERAGEIFS(Prensa!$B$2:$B$5001,Prensa!$E$2:$E$5001,N443,Prensa!$F$2:$F$5001,3,Prensa!$G$2:$G$5001,1),""))</f>
        <v>0</v>
      </c>
      <c r="G443" s="27">
        <f>IF(A443="","",IFERROR(AVERAGEIFS(Prensa!$B$2:$B$5001,Prensa!$E$2:$E$5001,N443,Prensa!$F$2:$F$5001,4,Prensa!$G$2:$G$5001,1),""))</f>
        <v>0</v>
      </c>
      <c r="H443" s="26">
        <f>IF(A443="","",COUNT(D443:G443))</f>
        <v>0</v>
      </c>
      <c r="I443" s="27">
        <f>IF(A443="","",IF(H443=0,"",AVERAGE(D443:G443)))</f>
        <v>0</v>
      </c>
      <c r="J443" s="27">
        <f>IF(OR(I443="",C443=""),"",I443-C443)</f>
        <v>0</v>
      </c>
      <c r="K443" s="26">
        <f>IF(A443="","",IF(MES!E443&lt;&gt;4,"Horário do MES fora do padrão",IF(H443&lt;cfgMinCortes,"Cortes insuficientes","Válida")))</f>
        <v>0</v>
      </c>
      <c r="L443" s="27">
        <f>IF(K443="Válida",ABS(J443),"")</f>
        <v>0</v>
      </c>
      <c r="M443" s="26">
        <f>IF(K443="Válida",IF(L443&lt;=cfgTolerancia,"Sim","Não"),"")</f>
        <v>0</v>
      </c>
      <c r="N443" s="26">
        <f>IF(A443="","",MES!D443)</f>
        <v>0</v>
      </c>
      <c r="O443" s="25">
        <f>IF(K443="Válida",A443,NA())</f>
        <v>0</v>
      </c>
      <c r="P443" s="27">
        <f>IF(K443="Válida",C443,NA())</f>
        <v>0</v>
      </c>
      <c r="Q443" s="27">
        <f>IF(K443="Válida",I443,NA())</f>
        <v>0</v>
      </c>
      <c r="R443" s="27">
        <f>IF(K443="Válida",J443,NA())</f>
        <v>0</v>
      </c>
      <c r="S443" s="27">
        <f>IF(K443="Válida",C443,"")</f>
        <v>0</v>
      </c>
      <c r="T443" s="27">
        <f>IF(K443="Válida",I443,"")</f>
        <v>0</v>
      </c>
      <c r="U443" s="27">
        <f>IF(K443="Válida",J443,"")</f>
        <v>0</v>
      </c>
    </row>
    <row r="444" spans="1:21">
      <c r="A444" s="25">
        <f>IF(MES!A444="","",MES!C444/48)</f>
        <v>0</v>
      </c>
      <c r="B444" s="26">
        <f>IF(A444="","",TEXT((N444*4+cfgDeslocamento)/48,"hh:mm")&amp;" a "&amp;TEXT(A444,"hh:mm"))</f>
        <v>0</v>
      </c>
      <c r="C444" s="27">
        <f>IF(A444="","",MES!B444)</f>
        <v>0</v>
      </c>
      <c r="D444" s="27">
        <f>IF(A444="","",IFERROR(AVERAGEIFS(Prensa!$B$2:$B$5001,Prensa!$E$2:$E$5001,N444,Prensa!$F$2:$F$5001,1,Prensa!$G$2:$G$5001,1),""))</f>
        <v>0</v>
      </c>
      <c r="E444" s="27">
        <f>IF(A444="","",IFERROR(AVERAGEIFS(Prensa!$B$2:$B$5001,Prensa!$E$2:$E$5001,N444,Prensa!$F$2:$F$5001,2,Prensa!$G$2:$G$5001,1),""))</f>
        <v>0</v>
      </c>
      <c r="F444" s="27">
        <f>IF(A444="","",IFERROR(AVERAGEIFS(Prensa!$B$2:$B$5001,Prensa!$E$2:$E$5001,N444,Prensa!$F$2:$F$5001,3,Prensa!$G$2:$G$5001,1),""))</f>
        <v>0</v>
      </c>
      <c r="G444" s="27">
        <f>IF(A444="","",IFERROR(AVERAGEIFS(Prensa!$B$2:$B$5001,Prensa!$E$2:$E$5001,N444,Prensa!$F$2:$F$5001,4,Prensa!$G$2:$G$5001,1),""))</f>
        <v>0</v>
      </c>
      <c r="H444" s="26">
        <f>IF(A444="","",COUNT(D444:G444))</f>
        <v>0</v>
      </c>
      <c r="I444" s="27">
        <f>IF(A444="","",IF(H444=0,"",AVERAGE(D444:G444)))</f>
        <v>0</v>
      </c>
      <c r="J444" s="27">
        <f>IF(OR(I444="",C444=""),"",I444-C444)</f>
        <v>0</v>
      </c>
      <c r="K444" s="26">
        <f>IF(A444="","",IF(MES!E444&lt;&gt;4,"Horário do MES fora do padrão",IF(H444&lt;cfgMinCortes,"Cortes insuficientes","Válida")))</f>
        <v>0</v>
      </c>
      <c r="L444" s="27">
        <f>IF(K444="Válida",ABS(J444),"")</f>
        <v>0</v>
      </c>
      <c r="M444" s="26">
        <f>IF(K444="Válida",IF(L444&lt;=cfgTolerancia,"Sim","Não"),"")</f>
        <v>0</v>
      </c>
      <c r="N444" s="26">
        <f>IF(A444="","",MES!D444)</f>
        <v>0</v>
      </c>
      <c r="O444" s="25">
        <f>IF(K444="Válida",A444,NA())</f>
        <v>0</v>
      </c>
      <c r="P444" s="27">
        <f>IF(K444="Válida",C444,NA())</f>
        <v>0</v>
      </c>
      <c r="Q444" s="27">
        <f>IF(K444="Válida",I444,NA())</f>
        <v>0</v>
      </c>
      <c r="R444" s="27">
        <f>IF(K444="Válida",J444,NA())</f>
        <v>0</v>
      </c>
      <c r="S444" s="27">
        <f>IF(K444="Válida",C444,"")</f>
        <v>0</v>
      </c>
      <c r="T444" s="27">
        <f>IF(K444="Válida",I444,"")</f>
        <v>0</v>
      </c>
      <c r="U444" s="27">
        <f>IF(K444="Válida",J444,"")</f>
        <v>0</v>
      </c>
    </row>
    <row r="445" spans="1:21">
      <c r="A445" s="25">
        <f>IF(MES!A445="","",MES!C445/48)</f>
        <v>0</v>
      </c>
      <c r="B445" s="26">
        <f>IF(A445="","",TEXT((N445*4+cfgDeslocamento)/48,"hh:mm")&amp;" a "&amp;TEXT(A445,"hh:mm"))</f>
        <v>0</v>
      </c>
      <c r="C445" s="27">
        <f>IF(A445="","",MES!B445)</f>
        <v>0</v>
      </c>
      <c r="D445" s="27">
        <f>IF(A445="","",IFERROR(AVERAGEIFS(Prensa!$B$2:$B$5001,Prensa!$E$2:$E$5001,N445,Prensa!$F$2:$F$5001,1,Prensa!$G$2:$G$5001,1),""))</f>
        <v>0</v>
      </c>
      <c r="E445" s="27">
        <f>IF(A445="","",IFERROR(AVERAGEIFS(Prensa!$B$2:$B$5001,Prensa!$E$2:$E$5001,N445,Prensa!$F$2:$F$5001,2,Prensa!$G$2:$G$5001,1),""))</f>
        <v>0</v>
      </c>
      <c r="F445" s="27">
        <f>IF(A445="","",IFERROR(AVERAGEIFS(Prensa!$B$2:$B$5001,Prensa!$E$2:$E$5001,N445,Prensa!$F$2:$F$5001,3,Prensa!$G$2:$G$5001,1),""))</f>
        <v>0</v>
      </c>
      <c r="G445" s="27">
        <f>IF(A445="","",IFERROR(AVERAGEIFS(Prensa!$B$2:$B$5001,Prensa!$E$2:$E$5001,N445,Prensa!$F$2:$F$5001,4,Prensa!$G$2:$G$5001,1),""))</f>
        <v>0</v>
      </c>
      <c r="H445" s="26">
        <f>IF(A445="","",COUNT(D445:G445))</f>
        <v>0</v>
      </c>
      <c r="I445" s="27">
        <f>IF(A445="","",IF(H445=0,"",AVERAGE(D445:G445)))</f>
        <v>0</v>
      </c>
      <c r="J445" s="27">
        <f>IF(OR(I445="",C445=""),"",I445-C445)</f>
        <v>0</v>
      </c>
      <c r="K445" s="26">
        <f>IF(A445="","",IF(MES!E445&lt;&gt;4,"Horário do MES fora do padrão",IF(H445&lt;cfgMinCortes,"Cortes insuficientes","Válida")))</f>
        <v>0</v>
      </c>
      <c r="L445" s="27">
        <f>IF(K445="Válida",ABS(J445),"")</f>
        <v>0</v>
      </c>
      <c r="M445" s="26">
        <f>IF(K445="Válida",IF(L445&lt;=cfgTolerancia,"Sim","Não"),"")</f>
        <v>0</v>
      </c>
      <c r="N445" s="26">
        <f>IF(A445="","",MES!D445)</f>
        <v>0</v>
      </c>
      <c r="O445" s="25">
        <f>IF(K445="Válida",A445,NA())</f>
        <v>0</v>
      </c>
      <c r="P445" s="27">
        <f>IF(K445="Válida",C445,NA())</f>
        <v>0</v>
      </c>
      <c r="Q445" s="27">
        <f>IF(K445="Válida",I445,NA())</f>
        <v>0</v>
      </c>
      <c r="R445" s="27">
        <f>IF(K445="Válida",J445,NA())</f>
        <v>0</v>
      </c>
      <c r="S445" s="27">
        <f>IF(K445="Válida",C445,"")</f>
        <v>0</v>
      </c>
      <c r="T445" s="27">
        <f>IF(K445="Válida",I445,"")</f>
        <v>0</v>
      </c>
      <c r="U445" s="27">
        <f>IF(K445="Válida",J445,"")</f>
        <v>0</v>
      </c>
    </row>
    <row r="446" spans="1:21">
      <c r="A446" s="25">
        <f>IF(MES!A446="","",MES!C446/48)</f>
        <v>0</v>
      </c>
      <c r="B446" s="26">
        <f>IF(A446="","",TEXT((N446*4+cfgDeslocamento)/48,"hh:mm")&amp;" a "&amp;TEXT(A446,"hh:mm"))</f>
        <v>0</v>
      </c>
      <c r="C446" s="27">
        <f>IF(A446="","",MES!B446)</f>
        <v>0</v>
      </c>
      <c r="D446" s="27">
        <f>IF(A446="","",IFERROR(AVERAGEIFS(Prensa!$B$2:$B$5001,Prensa!$E$2:$E$5001,N446,Prensa!$F$2:$F$5001,1,Prensa!$G$2:$G$5001,1),""))</f>
        <v>0</v>
      </c>
      <c r="E446" s="27">
        <f>IF(A446="","",IFERROR(AVERAGEIFS(Prensa!$B$2:$B$5001,Prensa!$E$2:$E$5001,N446,Prensa!$F$2:$F$5001,2,Prensa!$G$2:$G$5001,1),""))</f>
        <v>0</v>
      </c>
      <c r="F446" s="27">
        <f>IF(A446="","",IFERROR(AVERAGEIFS(Prensa!$B$2:$B$5001,Prensa!$E$2:$E$5001,N446,Prensa!$F$2:$F$5001,3,Prensa!$G$2:$G$5001,1),""))</f>
        <v>0</v>
      </c>
      <c r="G446" s="27">
        <f>IF(A446="","",IFERROR(AVERAGEIFS(Prensa!$B$2:$B$5001,Prensa!$E$2:$E$5001,N446,Prensa!$F$2:$F$5001,4,Prensa!$G$2:$G$5001,1),""))</f>
        <v>0</v>
      </c>
      <c r="H446" s="26">
        <f>IF(A446="","",COUNT(D446:G446))</f>
        <v>0</v>
      </c>
      <c r="I446" s="27">
        <f>IF(A446="","",IF(H446=0,"",AVERAGE(D446:G446)))</f>
        <v>0</v>
      </c>
      <c r="J446" s="27">
        <f>IF(OR(I446="",C446=""),"",I446-C446)</f>
        <v>0</v>
      </c>
      <c r="K446" s="26">
        <f>IF(A446="","",IF(MES!E446&lt;&gt;4,"Horário do MES fora do padrão",IF(H446&lt;cfgMinCortes,"Cortes insuficientes","Válida")))</f>
        <v>0</v>
      </c>
      <c r="L446" s="27">
        <f>IF(K446="Válida",ABS(J446),"")</f>
        <v>0</v>
      </c>
      <c r="M446" s="26">
        <f>IF(K446="Válida",IF(L446&lt;=cfgTolerancia,"Sim","Não"),"")</f>
        <v>0</v>
      </c>
      <c r="N446" s="26">
        <f>IF(A446="","",MES!D446)</f>
        <v>0</v>
      </c>
      <c r="O446" s="25">
        <f>IF(K446="Válida",A446,NA())</f>
        <v>0</v>
      </c>
      <c r="P446" s="27">
        <f>IF(K446="Válida",C446,NA())</f>
        <v>0</v>
      </c>
      <c r="Q446" s="27">
        <f>IF(K446="Válida",I446,NA())</f>
        <v>0</v>
      </c>
      <c r="R446" s="27">
        <f>IF(K446="Válida",J446,NA())</f>
        <v>0</v>
      </c>
      <c r="S446" s="27">
        <f>IF(K446="Válida",C446,"")</f>
        <v>0</v>
      </c>
      <c r="T446" s="27">
        <f>IF(K446="Válida",I446,"")</f>
        <v>0</v>
      </c>
      <c r="U446" s="27">
        <f>IF(K446="Válida",J446,"")</f>
        <v>0</v>
      </c>
    </row>
    <row r="447" spans="1:21">
      <c r="A447" s="25">
        <f>IF(MES!A447="","",MES!C447/48)</f>
        <v>0</v>
      </c>
      <c r="B447" s="26">
        <f>IF(A447="","",TEXT((N447*4+cfgDeslocamento)/48,"hh:mm")&amp;" a "&amp;TEXT(A447,"hh:mm"))</f>
        <v>0</v>
      </c>
      <c r="C447" s="27">
        <f>IF(A447="","",MES!B447)</f>
        <v>0</v>
      </c>
      <c r="D447" s="27">
        <f>IF(A447="","",IFERROR(AVERAGEIFS(Prensa!$B$2:$B$5001,Prensa!$E$2:$E$5001,N447,Prensa!$F$2:$F$5001,1,Prensa!$G$2:$G$5001,1),""))</f>
        <v>0</v>
      </c>
      <c r="E447" s="27">
        <f>IF(A447="","",IFERROR(AVERAGEIFS(Prensa!$B$2:$B$5001,Prensa!$E$2:$E$5001,N447,Prensa!$F$2:$F$5001,2,Prensa!$G$2:$G$5001,1),""))</f>
        <v>0</v>
      </c>
      <c r="F447" s="27">
        <f>IF(A447="","",IFERROR(AVERAGEIFS(Prensa!$B$2:$B$5001,Prensa!$E$2:$E$5001,N447,Prensa!$F$2:$F$5001,3,Prensa!$G$2:$G$5001,1),""))</f>
        <v>0</v>
      </c>
      <c r="G447" s="27">
        <f>IF(A447="","",IFERROR(AVERAGEIFS(Prensa!$B$2:$B$5001,Prensa!$E$2:$E$5001,N447,Prensa!$F$2:$F$5001,4,Prensa!$G$2:$G$5001,1),""))</f>
        <v>0</v>
      </c>
      <c r="H447" s="26">
        <f>IF(A447="","",COUNT(D447:G447))</f>
        <v>0</v>
      </c>
      <c r="I447" s="27">
        <f>IF(A447="","",IF(H447=0,"",AVERAGE(D447:G447)))</f>
        <v>0</v>
      </c>
      <c r="J447" s="27">
        <f>IF(OR(I447="",C447=""),"",I447-C447)</f>
        <v>0</v>
      </c>
      <c r="K447" s="26">
        <f>IF(A447="","",IF(MES!E447&lt;&gt;4,"Horário do MES fora do padrão",IF(H447&lt;cfgMinCortes,"Cortes insuficientes","Válida")))</f>
        <v>0</v>
      </c>
      <c r="L447" s="27">
        <f>IF(K447="Válida",ABS(J447),"")</f>
        <v>0</v>
      </c>
      <c r="M447" s="26">
        <f>IF(K447="Válida",IF(L447&lt;=cfgTolerancia,"Sim","Não"),"")</f>
        <v>0</v>
      </c>
      <c r="N447" s="26">
        <f>IF(A447="","",MES!D447)</f>
        <v>0</v>
      </c>
      <c r="O447" s="25">
        <f>IF(K447="Válida",A447,NA())</f>
        <v>0</v>
      </c>
      <c r="P447" s="27">
        <f>IF(K447="Válida",C447,NA())</f>
        <v>0</v>
      </c>
      <c r="Q447" s="27">
        <f>IF(K447="Válida",I447,NA())</f>
        <v>0</v>
      </c>
      <c r="R447" s="27">
        <f>IF(K447="Válida",J447,NA())</f>
        <v>0</v>
      </c>
      <c r="S447" s="27">
        <f>IF(K447="Válida",C447,"")</f>
        <v>0</v>
      </c>
      <c r="T447" s="27">
        <f>IF(K447="Válida",I447,"")</f>
        <v>0</v>
      </c>
      <c r="U447" s="27">
        <f>IF(K447="Válida",J447,"")</f>
        <v>0</v>
      </c>
    </row>
    <row r="448" spans="1:21">
      <c r="A448" s="25">
        <f>IF(MES!A448="","",MES!C448/48)</f>
        <v>0</v>
      </c>
      <c r="B448" s="26">
        <f>IF(A448="","",TEXT((N448*4+cfgDeslocamento)/48,"hh:mm")&amp;" a "&amp;TEXT(A448,"hh:mm"))</f>
        <v>0</v>
      </c>
      <c r="C448" s="27">
        <f>IF(A448="","",MES!B448)</f>
        <v>0</v>
      </c>
      <c r="D448" s="27">
        <f>IF(A448="","",IFERROR(AVERAGEIFS(Prensa!$B$2:$B$5001,Prensa!$E$2:$E$5001,N448,Prensa!$F$2:$F$5001,1,Prensa!$G$2:$G$5001,1),""))</f>
        <v>0</v>
      </c>
      <c r="E448" s="27">
        <f>IF(A448="","",IFERROR(AVERAGEIFS(Prensa!$B$2:$B$5001,Prensa!$E$2:$E$5001,N448,Prensa!$F$2:$F$5001,2,Prensa!$G$2:$G$5001,1),""))</f>
        <v>0</v>
      </c>
      <c r="F448" s="27">
        <f>IF(A448="","",IFERROR(AVERAGEIFS(Prensa!$B$2:$B$5001,Prensa!$E$2:$E$5001,N448,Prensa!$F$2:$F$5001,3,Prensa!$G$2:$G$5001,1),""))</f>
        <v>0</v>
      </c>
      <c r="G448" s="27">
        <f>IF(A448="","",IFERROR(AVERAGEIFS(Prensa!$B$2:$B$5001,Prensa!$E$2:$E$5001,N448,Prensa!$F$2:$F$5001,4,Prensa!$G$2:$G$5001,1),""))</f>
        <v>0</v>
      </c>
      <c r="H448" s="26">
        <f>IF(A448="","",COUNT(D448:G448))</f>
        <v>0</v>
      </c>
      <c r="I448" s="27">
        <f>IF(A448="","",IF(H448=0,"",AVERAGE(D448:G448)))</f>
        <v>0</v>
      </c>
      <c r="J448" s="27">
        <f>IF(OR(I448="",C448=""),"",I448-C448)</f>
        <v>0</v>
      </c>
      <c r="K448" s="26">
        <f>IF(A448="","",IF(MES!E448&lt;&gt;4,"Horário do MES fora do padrão",IF(H448&lt;cfgMinCortes,"Cortes insuficientes","Válida")))</f>
        <v>0</v>
      </c>
      <c r="L448" s="27">
        <f>IF(K448="Válida",ABS(J448),"")</f>
        <v>0</v>
      </c>
      <c r="M448" s="26">
        <f>IF(K448="Válida",IF(L448&lt;=cfgTolerancia,"Sim","Não"),"")</f>
        <v>0</v>
      </c>
      <c r="N448" s="26">
        <f>IF(A448="","",MES!D448)</f>
        <v>0</v>
      </c>
      <c r="O448" s="25">
        <f>IF(K448="Válida",A448,NA())</f>
        <v>0</v>
      </c>
      <c r="P448" s="27">
        <f>IF(K448="Válida",C448,NA())</f>
        <v>0</v>
      </c>
      <c r="Q448" s="27">
        <f>IF(K448="Válida",I448,NA())</f>
        <v>0</v>
      </c>
      <c r="R448" s="27">
        <f>IF(K448="Válida",J448,NA())</f>
        <v>0</v>
      </c>
      <c r="S448" s="27">
        <f>IF(K448="Válida",C448,"")</f>
        <v>0</v>
      </c>
      <c r="T448" s="27">
        <f>IF(K448="Válida",I448,"")</f>
        <v>0</v>
      </c>
      <c r="U448" s="27">
        <f>IF(K448="Válida",J448,"")</f>
        <v>0</v>
      </c>
    </row>
    <row r="449" spans="1:21">
      <c r="A449" s="25">
        <f>IF(MES!A449="","",MES!C449/48)</f>
        <v>0</v>
      </c>
      <c r="B449" s="26">
        <f>IF(A449="","",TEXT((N449*4+cfgDeslocamento)/48,"hh:mm")&amp;" a "&amp;TEXT(A449,"hh:mm"))</f>
        <v>0</v>
      </c>
      <c r="C449" s="27">
        <f>IF(A449="","",MES!B449)</f>
        <v>0</v>
      </c>
      <c r="D449" s="27">
        <f>IF(A449="","",IFERROR(AVERAGEIFS(Prensa!$B$2:$B$5001,Prensa!$E$2:$E$5001,N449,Prensa!$F$2:$F$5001,1,Prensa!$G$2:$G$5001,1),""))</f>
        <v>0</v>
      </c>
      <c r="E449" s="27">
        <f>IF(A449="","",IFERROR(AVERAGEIFS(Prensa!$B$2:$B$5001,Prensa!$E$2:$E$5001,N449,Prensa!$F$2:$F$5001,2,Prensa!$G$2:$G$5001,1),""))</f>
        <v>0</v>
      </c>
      <c r="F449" s="27">
        <f>IF(A449="","",IFERROR(AVERAGEIFS(Prensa!$B$2:$B$5001,Prensa!$E$2:$E$5001,N449,Prensa!$F$2:$F$5001,3,Prensa!$G$2:$G$5001,1),""))</f>
        <v>0</v>
      </c>
      <c r="G449" s="27">
        <f>IF(A449="","",IFERROR(AVERAGEIFS(Prensa!$B$2:$B$5001,Prensa!$E$2:$E$5001,N449,Prensa!$F$2:$F$5001,4,Prensa!$G$2:$G$5001,1),""))</f>
        <v>0</v>
      </c>
      <c r="H449" s="26">
        <f>IF(A449="","",COUNT(D449:G449))</f>
        <v>0</v>
      </c>
      <c r="I449" s="27">
        <f>IF(A449="","",IF(H449=0,"",AVERAGE(D449:G449)))</f>
        <v>0</v>
      </c>
      <c r="J449" s="27">
        <f>IF(OR(I449="",C449=""),"",I449-C449)</f>
        <v>0</v>
      </c>
      <c r="K449" s="26">
        <f>IF(A449="","",IF(MES!E449&lt;&gt;4,"Horário do MES fora do padrão",IF(H449&lt;cfgMinCortes,"Cortes insuficientes","Válida")))</f>
        <v>0</v>
      </c>
      <c r="L449" s="27">
        <f>IF(K449="Válida",ABS(J449),"")</f>
        <v>0</v>
      </c>
      <c r="M449" s="26">
        <f>IF(K449="Válida",IF(L449&lt;=cfgTolerancia,"Sim","Não"),"")</f>
        <v>0</v>
      </c>
      <c r="N449" s="26">
        <f>IF(A449="","",MES!D449)</f>
        <v>0</v>
      </c>
      <c r="O449" s="25">
        <f>IF(K449="Válida",A449,NA())</f>
        <v>0</v>
      </c>
      <c r="P449" s="27">
        <f>IF(K449="Válida",C449,NA())</f>
        <v>0</v>
      </c>
      <c r="Q449" s="27">
        <f>IF(K449="Válida",I449,NA())</f>
        <v>0</v>
      </c>
      <c r="R449" s="27">
        <f>IF(K449="Válida",J449,NA())</f>
        <v>0</v>
      </c>
      <c r="S449" s="27">
        <f>IF(K449="Válida",C449,"")</f>
        <v>0</v>
      </c>
      <c r="T449" s="27">
        <f>IF(K449="Válida",I449,"")</f>
        <v>0</v>
      </c>
      <c r="U449" s="27">
        <f>IF(K449="Válida",J449,"")</f>
        <v>0</v>
      </c>
    </row>
    <row r="450" spans="1:21">
      <c r="A450" s="25">
        <f>IF(MES!A450="","",MES!C450/48)</f>
        <v>0</v>
      </c>
      <c r="B450" s="26">
        <f>IF(A450="","",TEXT((N450*4+cfgDeslocamento)/48,"hh:mm")&amp;" a "&amp;TEXT(A450,"hh:mm"))</f>
        <v>0</v>
      </c>
      <c r="C450" s="27">
        <f>IF(A450="","",MES!B450)</f>
        <v>0</v>
      </c>
      <c r="D450" s="27">
        <f>IF(A450="","",IFERROR(AVERAGEIFS(Prensa!$B$2:$B$5001,Prensa!$E$2:$E$5001,N450,Prensa!$F$2:$F$5001,1,Prensa!$G$2:$G$5001,1),""))</f>
        <v>0</v>
      </c>
      <c r="E450" s="27">
        <f>IF(A450="","",IFERROR(AVERAGEIFS(Prensa!$B$2:$B$5001,Prensa!$E$2:$E$5001,N450,Prensa!$F$2:$F$5001,2,Prensa!$G$2:$G$5001,1),""))</f>
        <v>0</v>
      </c>
      <c r="F450" s="27">
        <f>IF(A450="","",IFERROR(AVERAGEIFS(Prensa!$B$2:$B$5001,Prensa!$E$2:$E$5001,N450,Prensa!$F$2:$F$5001,3,Prensa!$G$2:$G$5001,1),""))</f>
        <v>0</v>
      </c>
      <c r="G450" s="27">
        <f>IF(A450="","",IFERROR(AVERAGEIFS(Prensa!$B$2:$B$5001,Prensa!$E$2:$E$5001,N450,Prensa!$F$2:$F$5001,4,Prensa!$G$2:$G$5001,1),""))</f>
        <v>0</v>
      </c>
      <c r="H450" s="26">
        <f>IF(A450="","",COUNT(D450:G450))</f>
        <v>0</v>
      </c>
      <c r="I450" s="27">
        <f>IF(A450="","",IF(H450=0,"",AVERAGE(D450:G450)))</f>
        <v>0</v>
      </c>
      <c r="J450" s="27">
        <f>IF(OR(I450="",C450=""),"",I450-C450)</f>
        <v>0</v>
      </c>
      <c r="K450" s="26">
        <f>IF(A450="","",IF(MES!E450&lt;&gt;4,"Horário do MES fora do padrão",IF(H450&lt;cfgMinCortes,"Cortes insuficientes","Válida")))</f>
        <v>0</v>
      </c>
      <c r="L450" s="27">
        <f>IF(K450="Válida",ABS(J450),"")</f>
        <v>0</v>
      </c>
      <c r="M450" s="26">
        <f>IF(K450="Válida",IF(L450&lt;=cfgTolerancia,"Sim","Não"),"")</f>
        <v>0</v>
      </c>
      <c r="N450" s="26">
        <f>IF(A450="","",MES!D450)</f>
        <v>0</v>
      </c>
      <c r="O450" s="25">
        <f>IF(K450="Válida",A450,NA())</f>
        <v>0</v>
      </c>
      <c r="P450" s="27">
        <f>IF(K450="Válida",C450,NA())</f>
        <v>0</v>
      </c>
      <c r="Q450" s="27">
        <f>IF(K450="Válida",I450,NA())</f>
        <v>0</v>
      </c>
      <c r="R450" s="27">
        <f>IF(K450="Válida",J450,NA())</f>
        <v>0</v>
      </c>
      <c r="S450" s="27">
        <f>IF(K450="Válida",C450,"")</f>
        <v>0</v>
      </c>
      <c r="T450" s="27">
        <f>IF(K450="Válida",I450,"")</f>
        <v>0</v>
      </c>
      <c r="U450" s="27">
        <f>IF(K450="Válida",J450,"")</f>
        <v>0</v>
      </c>
    </row>
    <row r="451" spans="1:21">
      <c r="A451" s="25">
        <f>IF(MES!A451="","",MES!C451/48)</f>
        <v>0</v>
      </c>
      <c r="B451" s="26">
        <f>IF(A451="","",TEXT((N451*4+cfgDeslocamento)/48,"hh:mm")&amp;" a "&amp;TEXT(A451,"hh:mm"))</f>
        <v>0</v>
      </c>
      <c r="C451" s="27">
        <f>IF(A451="","",MES!B451)</f>
        <v>0</v>
      </c>
      <c r="D451" s="27">
        <f>IF(A451="","",IFERROR(AVERAGEIFS(Prensa!$B$2:$B$5001,Prensa!$E$2:$E$5001,N451,Prensa!$F$2:$F$5001,1,Prensa!$G$2:$G$5001,1),""))</f>
        <v>0</v>
      </c>
      <c r="E451" s="27">
        <f>IF(A451="","",IFERROR(AVERAGEIFS(Prensa!$B$2:$B$5001,Prensa!$E$2:$E$5001,N451,Prensa!$F$2:$F$5001,2,Prensa!$G$2:$G$5001,1),""))</f>
        <v>0</v>
      </c>
      <c r="F451" s="27">
        <f>IF(A451="","",IFERROR(AVERAGEIFS(Prensa!$B$2:$B$5001,Prensa!$E$2:$E$5001,N451,Prensa!$F$2:$F$5001,3,Prensa!$G$2:$G$5001,1),""))</f>
        <v>0</v>
      </c>
      <c r="G451" s="27">
        <f>IF(A451="","",IFERROR(AVERAGEIFS(Prensa!$B$2:$B$5001,Prensa!$E$2:$E$5001,N451,Prensa!$F$2:$F$5001,4,Prensa!$G$2:$G$5001,1),""))</f>
        <v>0</v>
      </c>
      <c r="H451" s="26">
        <f>IF(A451="","",COUNT(D451:G451))</f>
        <v>0</v>
      </c>
      <c r="I451" s="27">
        <f>IF(A451="","",IF(H451=0,"",AVERAGE(D451:G451)))</f>
        <v>0</v>
      </c>
      <c r="J451" s="27">
        <f>IF(OR(I451="",C451=""),"",I451-C451)</f>
        <v>0</v>
      </c>
      <c r="K451" s="26">
        <f>IF(A451="","",IF(MES!E451&lt;&gt;4,"Horário do MES fora do padrão",IF(H451&lt;cfgMinCortes,"Cortes insuficientes","Válida")))</f>
        <v>0</v>
      </c>
      <c r="L451" s="27">
        <f>IF(K451="Válida",ABS(J451),"")</f>
        <v>0</v>
      </c>
      <c r="M451" s="26">
        <f>IF(K451="Válida",IF(L451&lt;=cfgTolerancia,"Sim","Não"),"")</f>
        <v>0</v>
      </c>
      <c r="N451" s="26">
        <f>IF(A451="","",MES!D451)</f>
        <v>0</v>
      </c>
      <c r="O451" s="25">
        <f>IF(K451="Válida",A451,NA())</f>
        <v>0</v>
      </c>
      <c r="P451" s="27">
        <f>IF(K451="Válida",C451,NA())</f>
        <v>0</v>
      </c>
      <c r="Q451" s="27">
        <f>IF(K451="Válida",I451,NA())</f>
        <v>0</v>
      </c>
      <c r="R451" s="27">
        <f>IF(K451="Válida",J451,NA())</f>
        <v>0</v>
      </c>
      <c r="S451" s="27">
        <f>IF(K451="Válida",C451,"")</f>
        <v>0</v>
      </c>
      <c r="T451" s="27">
        <f>IF(K451="Válida",I451,"")</f>
        <v>0</v>
      </c>
      <c r="U451" s="27">
        <f>IF(K451="Válida",J451,"")</f>
        <v>0</v>
      </c>
    </row>
    <row r="452" spans="1:21">
      <c r="A452" s="25">
        <f>IF(MES!A452="","",MES!C452/48)</f>
        <v>0</v>
      </c>
      <c r="B452" s="26">
        <f>IF(A452="","",TEXT((N452*4+cfgDeslocamento)/48,"hh:mm")&amp;" a "&amp;TEXT(A452,"hh:mm"))</f>
        <v>0</v>
      </c>
      <c r="C452" s="27">
        <f>IF(A452="","",MES!B452)</f>
        <v>0</v>
      </c>
      <c r="D452" s="27">
        <f>IF(A452="","",IFERROR(AVERAGEIFS(Prensa!$B$2:$B$5001,Prensa!$E$2:$E$5001,N452,Prensa!$F$2:$F$5001,1,Prensa!$G$2:$G$5001,1),""))</f>
        <v>0</v>
      </c>
      <c r="E452" s="27">
        <f>IF(A452="","",IFERROR(AVERAGEIFS(Prensa!$B$2:$B$5001,Prensa!$E$2:$E$5001,N452,Prensa!$F$2:$F$5001,2,Prensa!$G$2:$G$5001,1),""))</f>
        <v>0</v>
      </c>
      <c r="F452" s="27">
        <f>IF(A452="","",IFERROR(AVERAGEIFS(Prensa!$B$2:$B$5001,Prensa!$E$2:$E$5001,N452,Prensa!$F$2:$F$5001,3,Prensa!$G$2:$G$5001,1),""))</f>
        <v>0</v>
      </c>
      <c r="G452" s="27">
        <f>IF(A452="","",IFERROR(AVERAGEIFS(Prensa!$B$2:$B$5001,Prensa!$E$2:$E$5001,N452,Prensa!$F$2:$F$5001,4,Prensa!$G$2:$G$5001,1),""))</f>
        <v>0</v>
      </c>
      <c r="H452" s="26">
        <f>IF(A452="","",COUNT(D452:G452))</f>
        <v>0</v>
      </c>
      <c r="I452" s="27">
        <f>IF(A452="","",IF(H452=0,"",AVERAGE(D452:G452)))</f>
        <v>0</v>
      </c>
      <c r="J452" s="27">
        <f>IF(OR(I452="",C452=""),"",I452-C452)</f>
        <v>0</v>
      </c>
      <c r="K452" s="26">
        <f>IF(A452="","",IF(MES!E452&lt;&gt;4,"Horário do MES fora do padrão",IF(H452&lt;cfgMinCortes,"Cortes insuficientes","Válida")))</f>
        <v>0</v>
      </c>
      <c r="L452" s="27">
        <f>IF(K452="Válida",ABS(J452),"")</f>
        <v>0</v>
      </c>
      <c r="M452" s="26">
        <f>IF(K452="Válida",IF(L452&lt;=cfgTolerancia,"Sim","Não"),"")</f>
        <v>0</v>
      </c>
      <c r="N452" s="26">
        <f>IF(A452="","",MES!D452)</f>
        <v>0</v>
      </c>
      <c r="O452" s="25">
        <f>IF(K452="Válida",A452,NA())</f>
        <v>0</v>
      </c>
      <c r="P452" s="27">
        <f>IF(K452="Válida",C452,NA())</f>
        <v>0</v>
      </c>
      <c r="Q452" s="27">
        <f>IF(K452="Válida",I452,NA())</f>
        <v>0</v>
      </c>
      <c r="R452" s="27">
        <f>IF(K452="Válida",J452,NA())</f>
        <v>0</v>
      </c>
      <c r="S452" s="27">
        <f>IF(K452="Válida",C452,"")</f>
        <v>0</v>
      </c>
      <c r="T452" s="27">
        <f>IF(K452="Válida",I452,"")</f>
        <v>0</v>
      </c>
      <c r="U452" s="27">
        <f>IF(K452="Válida",J452,"")</f>
        <v>0</v>
      </c>
    </row>
    <row r="453" spans="1:21">
      <c r="A453" s="25">
        <f>IF(MES!A453="","",MES!C453/48)</f>
        <v>0</v>
      </c>
      <c r="B453" s="26">
        <f>IF(A453="","",TEXT((N453*4+cfgDeslocamento)/48,"hh:mm")&amp;" a "&amp;TEXT(A453,"hh:mm"))</f>
        <v>0</v>
      </c>
      <c r="C453" s="27">
        <f>IF(A453="","",MES!B453)</f>
        <v>0</v>
      </c>
      <c r="D453" s="27">
        <f>IF(A453="","",IFERROR(AVERAGEIFS(Prensa!$B$2:$B$5001,Prensa!$E$2:$E$5001,N453,Prensa!$F$2:$F$5001,1,Prensa!$G$2:$G$5001,1),""))</f>
        <v>0</v>
      </c>
      <c r="E453" s="27">
        <f>IF(A453="","",IFERROR(AVERAGEIFS(Prensa!$B$2:$B$5001,Prensa!$E$2:$E$5001,N453,Prensa!$F$2:$F$5001,2,Prensa!$G$2:$G$5001,1),""))</f>
        <v>0</v>
      </c>
      <c r="F453" s="27">
        <f>IF(A453="","",IFERROR(AVERAGEIFS(Prensa!$B$2:$B$5001,Prensa!$E$2:$E$5001,N453,Prensa!$F$2:$F$5001,3,Prensa!$G$2:$G$5001,1),""))</f>
        <v>0</v>
      </c>
      <c r="G453" s="27">
        <f>IF(A453="","",IFERROR(AVERAGEIFS(Prensa!$B$2:$B$5001,Prensa!$E$2:$E$5001,N453,Prensa!$F$2:$F$5001,4,Prensa!$G$2:$G$5001,1),""))</f>
        <v>0</v>
      </c>
      <c r="H453" s="26">
        <f>IF(A453="","",COUNT(D453:G453))</f>
        <v>0</v>
      </c>
      <c r="I453" s="27">
        <f>IF(A453="","",IF(H453=0,"",AVERAGE(D453:G453)))</f>
        <v>0</v>
      </c>
      <c r="J453" s="27">
        <f>IF(OR(I453="",C453=""),"",I453-C453)</f>
        <v>0</v>
      </c>
      <c r="K453" s="26">
        <f>IF(A453="","",IF(MES!E453&lt;&gt;4,"Horário do MES fora do padrão",IF(H453&lt;cfgMinCortes,"Cortes insuficientes","Válida")))</f>
        <v>0</v>
      </c>
      <c r="L453" s="27">
        <f>IF(K453="Válida",ABS(J453),"")</f>
        <v>0</v>
      </c>
      <c r="M453" s="26">
        <f>IF(K453="Válida",IF(L453&lt;=cfgTolerancia,"Sim","Não"),"")</f>
        <v>0</v>
      </c>
      <c r="N453" s="26">
        <f>IF(A453="","",MES!D453)</f>
        <v>0</v>
      </c>
      <c r="O453" s="25">
        <f>IF(K453="Válida",A453,NA())</f>
        <v>0</v>
      </c>
      <c r="P453" s="27">
        <f>IF(K453="Válida",C453,NA())</f>
        <v>0</v>
      </c>
      <c r="Q453" s="27">
        <f>IF(K453="Válida",I453,NA())</f>
        <v>0</v>
      </c>
      <c r="R453" s="27">
        <f>IF(K453="Válida",J453,NA())</f>
        <v>0</v>
      </c>
      <c r="S453" s="27">
        <f>IF(K453="Válida",C453,"")</f>
        <v>0</v>
      </c>
      <c r="T453" s="27">
        <f>IF(K453="Válida",I453,"")</f>
        <v>0</v>
      </c>
      <c r="U453" s="27">
        <f>IF(K453="Válida",J453,"")</f>
        <v>0</v>
      </c>
    </row>
    <row r="454" spans="1:21">
      <c r="A454" s="25">
        <f>IF(MES!A454="","",MES!C454/48)</f>
        <v>0</v>
      </c>
      <c r="B454" s="26">
        <f>IF(A454="","",TEXT((N454*4+cfgDeslocamento)/48,"hh:mm")&amp;" a "&amp;TEXT(A454,"hh:mm"))</f>
        <v>0</v>
      </c>
      <c r="C454" s="27">
        <f>IF(A454="","",MES!B454)</f>
        <v>0</v>
      </c>
      <c r="D454" s="27">
        <f>IF(A454="","",IFERROR(AVERAGEIFS(Prensa!$B$2:$B$5001,Prensa!$E$2:$E$5001,N454,Prensa!$F$2:$F$5001,1,Prensa!$G$2:$G$5001,1),""))</f>
        <v>0</v>
      </c>
      <c r="E454" s="27">
        <f>IF(A454="","",IFERROR(AVERAGEIFS(Prensa!$B$2:$B$5001,Prensa!$E$2:$E$5001,N454,Prensa!$F$2:$F$5001,2,Prensa!$G$2:$G$5001,1),""))</f>
        <v>0</v>
      </c>
      <c r="F454" s="27">
        <f>IF(A454="","",IFERROR(AVERAGEIFS(Prensa!$B$2:$B$5001,Prensa!$E$2:$E$5001,N454,Prensa!$F$2:$F$5001,3,Prensa!$G$2:$G$5001,1),""))</f>
        <v>0</v>
      </c>
      <c r="G454" s="27">
        <f>IF(A454="","",IFERROR(AVERAGEIFS(Prensa!$B$2:$B$5001,Prensa!$E$2:$E$5001,N454,Prensa!$F$2:$F$5001,4,Prensa!$G$2:$G$5001,1),""))</f>
        <v>0</v>
      </c>
      <c r="H454" s="26">
        <f>IF(A454="","",COUNT(D454:G454))</f>
        <v>0</v>
      </c>
      <c r="I454" s="27">
        <f>IF(A454="","",IF(H454=0,"",AVERAGE(D454:G454)))</f>
        <v>0</v>
      </c>
      <c r="J454" s="27">
        <f>IF(OR(I454="",C454=""),"",I454-C454)</f>
        <v>0</v>
      </c>
      <c r="K454" s="26">
        <f>IF(A454="","",IF(MES!E454&lt;&gt;4,"Horário do MES fora do padrão",IF(H454&lt;cfgMinCortes,"Cortes insuficientes","Válida")))</f>
        <v>0</v>
      </c>
      <c r="L454" s="27">
        <f>IF(K454="Válida",ABS(J454),"")</f>
        <v>0</v>
      </c>
      <c r="M454" s="26">
        <f>IF(K454="Válida",IF(L454&lt;=cfgTolerancia,"Sim","Não"),"")</f>
        <v>0</v>
      </c>
      <c r="N454" s="26">
        <f>IF(A454="","",MES!D454)</f>
        <v>0</v>
      </c>
      <c r="O454" s="25">
        <f>IF(K454="Válida",A454,NA())</f>
        <v>0</v>
      </c>
      <c r="P454" s="27">
        <f>IF(K454="Válida",C454,NA())</f>
        <v>0</v>
      </c>
      <c r="Q454" s="27">
        <f>IF(K454="Válida",I454,NA())</f>
        <v>0</v>
      </c>
      <c r="R454" s="27">
        <f>IF(K454="Válida",J454,NA())</f>
        <v>0</v>
      </c>
      <c r="S454" s="27">
        <f>IF(K454="Válida",C454,"")</f>
        <v>0</v>
      </c>
      <c r="T454" s="27">
        <f>IF(K454="Válida",I454,"")</f>
        <v>0</v>
      </c>
      <c r="U454" s="27">
        <f>IF(K454="Válida",J454,"")</f>
        <v>0</v>
      </c>
    </row>
    <row r="455" spans="1:21">
      <c r="A455" s="25">
        <f>IF(MES!A455="","",MES!C455/48)</f>
        <v>0</v>
      </c>
      <c r="B455" s="26">
        <f>IF(A455="","",TEXT((N455*4+cfgDeslocamento)/48,"hh:mm")&amp;" a "&amp;TEXT(A455,"hh:mm"))</f>
        <v>0</v>
      </c>
      <c r="C455" s="27">
        <f>IF(A455="","",MES!B455)</f>
        <v>0</v>
      </c>
      <c r="D455" s="27">
        <f>IF(A455="","",IFERROR(AVERAGEIFS(Prensa!$B$2:$B$5001,Prensa!$E$2:$E$5001,N455,Prensa!$F$2:$F$5001,1,Prensa!$G$2:$G$5001,1),""))</f>
        <v>0</v>
      </c>
      <c r="E455" s="27">
        <f>IF(A455="","",IFERROR(AVERAGEIFS(Prensa!$B$2:$B$5001,Prensa!$E$2:$E$5001,N455,Prensa!$F$2:$F$5001,2,Prensa!$G$2:$G$5001,1),""))</f>
        <v>0</v>
      </c>
      <c r="F455" s="27">
        <f>IF(A455="","",IFERROR(AVERAGEIFS(Prensa!$B$2:$B$5001,Prensa!$E$2:$E$5001,N455,Prensa!$F$2:$F$5001,3,Prensa!$G$2:$G$5001,1),""))</f>
        <v>0</v>
      </c>
      <c r="G455" s="27">
        <f>IF(A455="","",IFERROR(AVERAGEIFS(Prensa!$B$2:$B$5001,Prensa!$E$2:$E$5001,N455,Prensa!$F$2:$F$5001,4,Prensa!$G$2:$G$5001,1),""))</f>
        <v>0</v>
      </c>
      <c r="H455" s="26">
        <f>IF(A455="","",COUNT(D455:G455))</f>
        <v>0</v>
      </c>
      <c r="I455" s="27">
        <f>IF(A455="","",IF(H455=0,"",AVERAGE(D455:G455)))</f>
        <v>0</v>
      </c>
      <c r="J455" s="27">
        <f>IF(OR(I455="",C455=""),"",I455-C455)</f>
        <v>0</v>
      </c>
      <c r="K455" s="26">
        <f>IF(A455="","",IF(MES!E455&lt;&gt;4,"Horário do MES fora do padrão",IF(H455&lt;cfgMinCortes,"Cortes insuficientes","Válida")))</f>
        <v>0</v>
      </c>
      <c r="L455" s="27">
        <f>IF(K455="Válida",ABS(J455),"")</f>
        <v>0</v>
      </c>
      <c r="M455" s="26">
        <f>IF(K455="Válida",IF(L455&lt;=cfgTolerancia,"Sim","Não"),"")</f>
        <v>0</v>
      </c>
      <c r="N455" s="26">
        <f>IF(A455="","",MES!D455)</f>
        <v>0</v>
      </c>
      <c r="O455" s="25">
        <f>IF(K455="Válida",A455,NA())</f>
        <v>0</v>
      </c>
      <c r="P455" s="27">
        <f>IF(K455="Válida",C455,NA())</f>
        <v>0</v>
      </c>
      <c r="Q455" s="27">
        <f>IF(K455="Válida",I455,NA())</f>
        <v>0</v>
      </c>
      <c r="R455" s="27">
        <f>IF(K455="Válida",J455,NA())</f>
        <v>0</v>
      </c>
      <c r="S455" s="27">
        <f>IF(K455="Válida",C455,"")</f>
        <v>0</v>
      </c>
      <c r="T455" s="27">
        <f>IF(K455="Válida",I455,"")</f>
        <v>0</v>
      </c>
      <c r="U455" s="27">
        <f>IF(K455="Válida",J455,"")</f>
        <v>0</v>
      </c>
    </row>
    <row r="456" spans="1:21">
      <c r="A456" s="25">
        <f>IF(MES!A456="","",MES!C456/48)</f>
        <v>0</v>
      </c>
      <c r="B456" s="26">
        <f>IF(A456="","",TEXT((N456*4+cfgDeslocamento)/48,"hh:mm")&amp;" a "&amp;TEXT(A456,"hh:mm"))</f>
        <v>0</v>
      </c>
      <c r="C456" s="27">
        <f>IF(A456="","",MES!B456)</f>
        <v>0</v>
      </c>
      <c r="D456" s="27">
        <f>IF(A456="","",IFERROR(AVERAGEIFS(Prensa!$B$2:$B$5001,Prensa!$E$2:$E$5001,N456,Prensa!$F$2:$F$5001,1,Prensa!$G$2:$G$5001,1),""))</f>
        <v>0</v>
      </c>
      <c r="E456" s="27">
        <f>IF(A456="","",IFERROR(AVERAGEIFS(Prensa!$B$2:$B$5001,Prensa!$E$2:$E$5001,N456,Prensa!$F$2:$F$5001,2,Prensa!$G$2:$G$5001,1),""))</f>
        <v>0</v>
      </c>
      <c r="F456" s="27">
        <f>IF(A456="","",IFERROR(AVERAGEIFS(Prensa!$B$2:$B$5001,Prensa!$E$2:$E$5001,N456,Prensa!$F$2:$F$5001,3,Prensa!$G$2:$G$5001,1),""))</f>
        <v>0</v>
      </c>
      <c r="G456" s="27">
        <f>IF(A456="","",IFERROR(AVERAGEIFS(Prensa!$B$2:$B$5001,Prensa!$E$2:$E$5001,N456,Prensa!$F$2:$F$5001,4,Prensa!$G$2:$G$5001,1),""))</f>
        <v>0</v>
      </c>
      <c r="H456" s="26">
        <f>IF(A456="","",COUNT(D456:G456))</f>
        <v>0</v>
      </c>
      <c r="I456" s="27">
        <f>IF(A456="","",IF(H456=0,"",AVERAGE(D456:G456)))</f>
        <v>0</v>
      </c>
      <c r="J456" s="27">
        <f>IF(OR(I456="",C456=""),"",I456-C456)</f>
        <v>0</v>
      </c>
      <c r="K456" s="26">
        <f>IF(A456="","",IF(MES!E456&lt;&gt;4,"Horário do MES fora do padrão",IF(H456&lt;cfgMinCortes,"Cortes insuficientes","Válida")))</f>
        <v>0</v>
      </c>
      <c r="L456" s="27">
        <f>IF(K456="Válida",ABS(J456),"")</f>
        <v>0</v>
      </c>
      <c r="M456" s="26">
        <f>IF(K456="Válida",IF(L456&lt;=cfgTolerancia,"Sim","Não"),"")</f>
        <v>0</v>
      </c>
      <c r="N456" s="26">
        <f>IF(A456="","",MES!D456)</f>
        <v>0</v>
      </c>
      <c r="O456" s="25">
        <f>IF(K456="Válida",A456,NA())</f>
        <v>0</v>
      </c>
      <c r="P456" s="27">
        <f>IF(K456="Válida",C456,NA())</f>
        <v>0</v>
      </c>
      <c r="Q456" s="27">
        <f>IF(K456="Válida",I456,NA())</f>
        <v>0</v>
      </c>
      <c r="R456" s="27">
        <f>IF(K456="Válida",J456,NA())</f>
        <v>0</v>
      </c>
      <c r="S456" s="27">
        <f>IF(K456="Válida",C456,"")</f>
        <v>0</v>
      </c>
      <c r="T456" s="27">
        <f>IF(K456="Válida",I456,"")</f>
        <v>0</v>
      </c>
      <c r="U456" s="27">
        <f>IF(K456="Válida",J456,"")</f>
        <v>0</v>
      </c>
    </row>
    <row r="457" spans="1:21">
      <c r="A457" s="25">
        <f>IF(MES!A457="","",MES!C457/48)</f>
        <v>0</v>
      </c>
      <c r="B457" s="26">
        <f>IF(A457="","",TEXT((N457*4+cfgDeslocamento)/48,"hh:mm")&amp;" a "&amp;TEXT(A457,"hh:mm"))</f>
        <v>0</v>
      </c>
      <c r="C457" s="27">
        <f>IF(A457="","",MES!B457)</f>
        <v>0</v>
      </c>
      <c r="D457" s="27">
        <f>IF(A457="","",IFERROR(AVERAGEIFS(Prensa!$B$2:$B$5001,Prensa!$E$2:$E$5001,N457,Prensa!$F$2:$F$5001,1,Prensa!$G$2:$G$5001,1),""))</f>
        <v>0</v>
      </c>
      <c r="E457" s="27">
        <f>IF(A457="","",IFERROR(AVERAGEIFS(Prensa!$B$2:$B$5001,Prensa!$E$2:$E$5001,N457,Prensa!$F$2:$F$5001,2,Prensa!$G$2:$G$5001,1),""))</f>
        <v>0</v>
      </c>
      <c r="F457" s="27">
        <f>IF(A457="","",IFERROR(AVERAGEIFS(Prensa!$B$2:$B$5001,Prensa!$E$2:$E$5001,N457,Prensa!$F$2:$F$5001,3,Prensa!$G$2:$G$5001,1),""))</f>
        <v>0</v>
      </c>
      <c r="G457" s="27">
        <f>IF(A457="","",IFERROR(AVERAGEIFS(Prensa!$B$2:$B$5001,Prensa!$E$2:$E$5001,N457,Prensa!$F$2:$F$5001,4,Prensa!$G$2:$G$5001,1),""))</f>
        <v>0</v>
      </c>
      <c r="H457" s="26">
        <f>IF(A457="","",COUNT(D457:G457))</f>
        <v>0</v>
      </c>
      <c r="I457" s="27">
        <f>IF(A457="","",IF(H457=0,"",AVERAGE(D457:G457)))</f>
        <v>0</v>
      </c>
      <c r="J457" s="27">
        <f>IF(OR(I457="",C457=""),"",I457-C457)</f>
        <v>0</v>
      </c>
      <c r="K457" s="26">
        <f>IF(A457="","",IF(MES!E457&lt;&gt;4,"Horário do MES fora do padrão",IF(H457&lt;cfgMinCortes,"Cortes insuficientes","Válida")))</f>
        <v>0</v>
      </c>
      <c r="L457" s="27">
        <f>IF(K457="Válida",ABS(J457),"")</f>
        <v>0</v>
      </c>
      <c r="M457" s="26">
        <f>IF(K457="Válida",IF(L457&lt;=cfgTolerancia,"Sim","Não"),"")</f>
        <v>0</v>
      </c>
      <c r="N457" s="26">
        <f>IF(A457="","",MES!D457)</f>
        <v>0</v>
      </c>
      <c r="O457" s="25">
        <f>IF(K457="Válida",A457,NA())</f>
        <v>0</v>
      </c>
      <c r="P457" s="27">
        <f>IF(K457="Válida",C457,NA())</f>
        <v>0</v>
      </c>
      <c r="Q457" s="27">
        <f>IF(K457="Válida",I457,NA())</f>
        <v>0</v>
      </c>
      <c r="R457" s="27">
        <f>IF(K457="Válida",J457,NA())</f>
        <v>0</v>
      </c>
      <c r="S457" s="27">
        <f>IF(K457="Válida",C457,"")</f>
        <v>0</v>
      </c>
      <c r="T457" s="27">
        <f>IF(K457="Válida",I457,"")</f>
        <v>0</v>
      </c>
      <c r="U457" s="27">
        <f>IF(K457="Válida",J457,"")</f>
        <v>0</v>
      </c>
    </row>
    <row r="458" spans="1:21">
      <c r="A458" s="25">
        <f>IF(MES!A458="","",MES!C458/48)</f>
        <v>0</v>
      </c>
      <c r="B458" s="26">
        <f>IF(A458="","",TEXT((N458*4+cfgDeslocamento)/48,"hh:mm")&amp;" a "&amp;TEXT(A458,"hh:mm"))</f>
        <v>0</v>
      </c>
      <c r="C458" s="27">
        <f>IF(A458="","",MES!B458)</f>
        <v>0</v>
      </c>
      <c r="D458" s="27">
        <f>IF(A458="","",IFERROR(AVERAGEIFS(Prensa!$B$2:$B$5001,Prensa!$E$2:$E$5001,N458,Prensa!$F$2:$F$5001,1,Prensa!$G$2:$G$5001,1),""))</f>
        <v>0</v>
      </c>
      <c r="E458" s="27">
        <f>IF(A458="","",IFERROR(AVERAGEIFS(Prensa!$B$2:$B$5001,Prensa!$E$2:$E$5001,N458,Prensa!$F$2:$F$5001,2,Prensa!$G$2:$G$5001,1),""))</f>
        <v>0</v>
      </c>
      <c r="F458" s="27">
        <f>IF(A458="","",IFERROR(AVERAGEIFS(Prensa!$B$2:$B$5001,Prensa!$E$2:$E$5001,N458,Prensa!$F$2:$F$5001,3,Prensa!$G$2:$G$5001,1),""))</f>
        <v>0</v>
      </c>
      <c r="G458" s="27">
        <f>IF(A458="","",IFERROR(AVERAGEIFS(Prensa!$B$2:$B$5001,Prensa!$E$2:$E$5001,N458,Prensa!$F$2:$F$5001,4,Prensa!$G$2:$G$5001,1),""))</f>
        <v>0</v>
      </c>
      <c r="H458" s="26">
        <f>IF(A458="","",COUNT(D458:G458))</f>
        <v>0</v>
      </c>
      <c r="I458" s="27">
        <f>IF(A458="","",IF(H458=0,"",AVERAGE(D458:G458)))</f>
        <v>0</v>
      </c>
      <c r="J458" s="27">
        <f>IF(OR(I458="",C458=""),"",I458-C458)</f>
        <v>0</v>
      </c>
      <c r="K458" s="26">
        <f>IF(A458="","",IF(MES!E458&lt;&gt;4,"Horário do MES fora do padrão",IF(H458&lt;cfgMinCortes,"Cortes insuficientes","Válida")))</f>
        <v>0</v>
      </c>
      <c r="L458" s="27">
        <f>IF(K458="Válida",ABS(J458),"")</f>
        <v>0</v>
      </c>
      <c r="M458" s="26">
        <f>IF(K458="Válida",IF(L458&lt;=cfgTolerancia,"Sim","Não"),"")</f>
        <v>0</v>
      </c>
      <c r="N458" s="26">
        <f>IF(A458="","",MES!D458)</f>
        <v>0</v>
      </c>
      <c r="O458" s="25">
        <f>IF(K458="Válida",A458,NA())</f>
        <v>0</v>
      </c>
      <c r="P458" s="27">
        <f>IF(K458="Válida",C458,NA())</f>
        <v>0</v>
      </c>
      <c r="Q458" s="27">
        <f>IF(K458="Válida",I458,NA())</f>
        <v>0</v>
      </c>
      <c r="R458" s="27">
        <f>IF(K458="Válida",J458,NA())</f>
        <v>0</v>
      </c>
      <c r="S458" s="27">
        <f>IF(K458="Válida",C458,"")</f>
        <v>0</v>
      </c>
      <c r="T458" s="27">
        <f>IF(K458="Válida",I458,"")</f>
        <v>0</v>
      </c>
      <c r="U458" s="27">
        <f>IF(K458="Válida",J458,"")</f>
        <v>0</v>
      </c>
    </row>
    <row r="459" spans="1:21">
      <c r="A459" s="25">
        <f>IF(MES!A459="","",MES!C459/48)</f>
        <v>0</v>
      </c>
      <c r="B459" s="26">
        <f>IF(A459="","",TEXT((N459*4+cfgDeslocamento)/48,"hh:mm")&amp;" a "&amp;TEXT(A459,"hh:mm"))</f>
        <v>0</v>
      </c>
      <c r="C459" s="27">
        <f>IF(A459="","",MES!B459)</f>
        <v>0</v>
      </c>
      <c r="D459" s="27">
        <f>IF(A459="","",IFERROR(AVERAGEIFS(Prensa!$B$2:$B$5001,Prensa!$E$2:$E$5001,N459,Prensa!$F$2:$F$5001,1,Prensa!$G$2:$G$5001,1),""))</f>
        <v>0</v>
      </c>
      <c r="E459" s="27">
        <f>IF(A459="","",IFERROR(AVERAGEIFS(Prensa!$B$2:$B$5001,Prensa!$E$2:$E$5001,N459,Prensa!$F$2:$F$5001,2,Prensa!$G$2:$G$5001,1),""))</f>
        <v>0</v>
      </c>
      <c r="F459" s="27">
        <f>IF(A459="","",IFERROR(AVERAGEIFS(Prensa!$B$2:$B$5001,Prensa!$E$2:$E$5001,N459,Prensa!$F$2:$F$5001,3,Prensa!$G$2:$G$5001,1),""))</f>
        <v>0</v>
      </c>
      <c r="G459" s="27">
        <f>IF(A459="","",IFERROR(AVERAGEIFS(Prensa!$B$2:$B$5001,Prensa!$E$2:$E$5001,N459,Prensa!$F$2:$F$5001,4,Prensa!$G$2:$G$5001,1),""))</f>
        <v>0</v>
      </c>
      <c r="H459" s="26">
        <f>IF(A459="","",COUNT(D459:G459))</f>
        <v>0</v>
      </c>
      <c r="I459" s="27">
        <f>IF(A459="","",IF(H459=0,"",AVERAGE(D459:G459)))</f>
        <v>0</v>
      </c>
      <c r="J459" s="27">
        <f>IF(OR(I459="",C459=""),"",I459-C459)</f>
        <v>0</v>
      </c>
      <c r="K459" s="26">
        <f>IF(A459="","",IF(MES!E459&lt;&gt;4,"Horário do MES fora do padrão",IF(H459&lt;cfgMinCortes,"Cortes insuficientes","Válida")))</f>
        <v>0</v>
      </c>
      <c r="L459" s="27">
        <f>IF(K459="Válida",ABS(J459),"")</f>
        <v>0</v>
      </c>
      <c r="M459" s="26">
        <f>IF(K459="Válida",IF(L459&lt;=cfgTolerancia,"Sim","Não"),"")</f>
        <v>0</v>
      </c>
      <c r="N459" s="26">
        <f>IF(A459="","",MES!D459)</f>
        <v>0</v>
      </c>
      <c r="O459" s="25">
        <f>IF(K459="Válida",A459,NA())</f>
        <v>0</v>
      </c>
      <c r="P459" s="27">
        <f>IF(K459="Válida",C459,NA())</f>
        <v>0</v>
      </c>
      <c r="Q459" s="27">
        <f>IF(K459="Válida",I459,NA())</f>
        <v>0</v>
      </c>
      <c r="R459" s="27">
        <f>IF(K459="Válida",J459,NA())</f>
        <v>0</v>
      </c>
      <c r="S459" s="27">
        <f>IF(K459="Válida",C459,"")</f>
        <v>0</v>
      </c>
      <c r="T459" s="27">
        <f>IF(K459="Válida",I459,"")</f>
        <v>0</v>
      </c>
      <c r="U459" s="27">
        <f>IF(K459="Válida",J459,"")</f>
        <v>0</v>
      </c>
    </row>
    <row r="460" spans="1:21">
      <c r="A460" s="25">
        <f>IF(MES!A460="","",MES!C460/48)</f>
        <v>0</v>
      </c>
      <c r="B460" s="26">
        <f>IF(A460="","",TEXT((N460*4+cfgDeslocamento)/48,"hh:mm")&amp;" a "&amp;TEXT(A460,"hh:mm"))</f>
        <v>0</v>
      </c>
      <c r="C460" s="27">
        <f>IF(A460="","",MES!B460)</f>
        <v>0</v>
      </c>
      <c r="D460" s="27">
        <f>IF(A460="","",IFERROR(AVERAGEIFS(Prensa!$B$2:$B$5001,Prensa!$E$2:$E$5001,N460,Prensa!$F$2:$F$5001,1,Prensa!$G$2:$G$5001,1),""))</f>
        <v>0</v>
      </c>
      <c r="E460" s="27">
        <f>IF(A460="","",IFERROR(AVERAGEIFS(Prensa!$B$2:$B$5001,Prensa!$E$2:$E$5001,N460,Prensa!$F$2:$F$5001,2,Prensa!$G$2:$G$5001,1),""))</f>
        <v>0</v>
      </c>
      <c r="F460" s="27">
        <f>IF(A460="","",IFERROR(AVERAGEIFS(Prensa!$B$2:$B$5001,Prensa!$E$2:$E$5001,N460,Prensa!$F$2:$F$5001,3,Prensa!$G$2:$G$5001,1),""))</f>
        <v>0</v>
      </c>
      <c r="G460" s="27">
        <f>IF(A460="","",IFERROR(AVERAGEIFS(Prensa!$B$2:$B$5001,Prensa!$E$2:$E$5001,N460,Prensa!$F$2:$F$5001,4,Prensa!$G$2:$G$5001,1),""))</f>
        <v>0</v>
      </c>
      <c r="H460" s="26">
        <f>IF(A460="","",COUNT(D460:G460))</f>
        <v>0</v>
      </c>
      <c r="I460" s="27">
        <f>IF(A460="","",IF(H460=0,"",AVERAGE(D460:G460)))</f>
        <v>0</v>
      </c>
      <c r="J460" s="27">
        <f>IF(OR(I460="",C460=""),"",I460-C460)</f>
        <v>0</v>
      </c>
      <c r="K460" s="26">
        <f>IF(A460="","",IF(MES!E460&lt;&gt;4,"Horário do MES fora do padrão",IF(H460&lt;cfgMinCortes,"Cortes insuficientes","Válida")))</f>
        <v>0</v>
      </c>
      <c r="L460" s="27">
        <f>IF(K460="Válida",ABS(J460),"")</f>
        <v>0</v>
      </c>
      <c r="M460" s="26">
        <f>IF(K460="Válida",IF(L460&lt;=cfgTolerancia,"Sim","Não"),"")</f>
        <v>0</v>
      </c>
      <c r="N460" s="26">
        <f>IF(A460="","",MES!D460)</f>
        <v>0</v>
      </c>
      <c r="O460" s="25">
        <f>IF(K460="Válida",A460,NA())</f>
        <v>0</v>
      </c>
      <c r="P460" s="27">
        <f>IF(K460="Válida",C460,NA())</f>
        <v>0</v>
      </c>
      <c r="Q460" s="27">
        <f>IF(K460="Válida",I460,NA())</f>
        <v>0</v>
      </c>
      <c r="R460" s="27">
        <f>IF(K460="Válida",J460,NA())</f>
        <v>0</v>
      </c>
      <c r="S460" s="27">
        <f>IF(K460="Válida",C460,"")</f>
        <v>0</v>
      </c>
      <c r="T460" s="27">
        <f>IF(K460="Válida",I460,"")</f>
        <v>0</v>
      </c>
      <c r="U460" s="27">
        <f>IF(K460="Válida",J460,"")</f>
        <v>0</v>
      </c>
    </row>
    <row r="461" spans="1:21">
      <c r="A461" s="25">
        <f>IF(MES!A461="","",MES!C461/48)</f>
        <v>0</v>
      </c>
      <c r="B461" s="26">
        <f>IF(A461="","",TEXT((N461*4+cfgDeslocamento)/48,"hh:mm")&amp;" a "&amp;TEXT(A461,"hh:mm"))</f>
        <v>0</v>
      </c>
      <c r="C461" s="27">
        <f>IF(A461="","",MES!B461)</f>
        <v>0</v>
      </c>
      <c r="D461" s="27">
        <f>IF(A461="","",IFERROR(AVERAGEIFS(Prensa!$B$2:$B$5001,Prensa!$E$2:$E$5001,N461,Prensa!$F$2:$F$5001,1,Prensa!$G$2:$G$5001,1),""))</f>
        <v>0</v>
      </c>
      <c r="E461" s="27">
        <f>IF(A461="","",IFERROR(AVERAGEIFS(Prensa!$B$2:$B$5001,Prensa!$E$2:$E$5001,N461,Prensa!$F$2:$F$5001,2,Prensa!$G$2:$G$5001,1),""))</f>
        <v>0</v>
      </c>
      <c r="F461" s="27">
        <f>IF(A461="","",IFERROR(AVERAGEIFS(Prensa!$B$2:$B$5001,Prensa!$E$2:$E$5001,N461,Prensa!$F$2:$F$5001,3,Prensa!$G$2:$G$5001,1),""))</f>
        <v>0</v>
      </c>
      <c r="G461" s="27">
        <f>IF(A461="","",IFERROR(AVERAGEIFS(Prensa!$B$2:$B$5001,Prensa!$E$2:$E$5001,N461,Prensa!$F$2:$F$5001,4,Prensa!$G$2:$G$5001,1),""))</f>
        <v>0</v>
      </c>
      <c r="H461" s="26">
        <f>IF(A461="","",COUNT(D461:G461))</f>
        <v>0</v>
      </c>
      <c r="I461" s="27">
        <f>IF(A461="","",IF(H461=0,"",AVERAGE(D461:G461)))</f>
        <v>0</v>
      </c>
      <c r="J461" s="27">
        <f>IF(OR(I461="",C461=""),"",I461-C461)</f>
        <v>0</v>
      </c>
      <c r="K461" s="26">
        <f>IF(A461="","",IF(MES!E461&lt;&gt;4,"Horário do MES fora do padrão",IF(H461&lt;cfgMinCortes,"Cortes insuficientes","Válida")))</f>
        <v>0</v>
      </c>
      <c r="L461" s="27">
        <f>IF(K461="Válida",ABS(J461),"")</f>
        <v>0</v>
      </c>
      <c r="M461" s="26">
        <f>IF(K461="Válida",IF(L461&lt;=cfgTolerancia,"Sim","Não"),"")</f>
        <v>0</v>
      </c>
      <c r="N461" s="26">
        <f>IF(A461="","",MES!D461)</f>
        <v>0</v>
      </c>
      <c r="O461" s="25">
        <f>IF(K461="Válida",A461,NA())</f>
        <v>0</v>
      </c>
      <c r="P461" s="27">
        <f>IF(K461="Válida",C461,NA())</f>
        <v>0</v>
      </c>
      <c r="Q461" s="27">
        <f>IF(K461="Válida",I461,NA())</f>
        <v>0</v>
      </c>
      <c r="R461" s="27">
        <f>IF(K461="Válida",J461,NA())</f>
        <v>0</v>
      </c>
      <c r="S461" s="27">
        <f>IF(K461="Válida",C461,"")</f>
        <v>0</v>
      </c>
      <c r="T461" s="27">
        <f>IF(K461="Válida",I461,"")</f>
        <v>0</v>
      </c>
      <c r="U461" s="27">
        <f>IF(K461="Válida",J461,"")</f>
        <v>0</v>
      </c>
    </row>
    <row r="462" spans="1:21">
      <c r="A462" s="25">
        <f>IF(MES!A462="","",MES!C462/48)</f>
        <v>0</v>
      </c>
      <c r="B462" s="26">
        <f>IF(A462="","",TEXT((N462*4+cfgDeslocamento)/48,"hh:mm")&amp;" a "&amp;TEXT(A462,"hh:mm"))</f>
        <v>0</v>
      </c>
      <c r="C462" s="27">
        <f>IF(A462="","",MES!B462)</f>
        <v>0</v>
      </c>
      <c r="D462" s="27">
        <f>IF(A462="","",IFERROR(AVERAGEIFS(Prensa!$B$2:$B$5001,Prensa!$E$2:$E$5001,N462,Prensa!$F$2:$F$5001,1,Prensa!$G$2:$G$5001,1),""))</f>
        <v>0</v>
      </c>
      <c r="E462" s="27">
        <f>IF(A462="","",IFERROR(AVERAGEIFS(Prensa!$B$2:$B$5001,Prensa!$E$2:$E$5001,N462,Prensa!$F$2:$F$5001,2,Prensa!$G$2:$G$5001,1),""))</f>
        <v>0</v>
      </c>
      <c r="F462" s="27">
        <f>IF(A462="","",IFERROR(AVERAGEIFS(Prensa!$B$2:$B$5001,Prensa!$E$2:$E$5001,N462,Prensa!$F$2:$F$5001,3,Prensa!$G$2:$G$5001,1),""))</f>
        <v>0</v>
      </c>
      <c r="G462" s="27">
        <f>IF(A462="","",IFERROR(AVERAGEIFS(Prensa!$B$2:$B$5001,Prensa!$E$2:$E$5001,N462,Prensa!$F$2:$F$5001,4,Prensa!$G$2:$G$5001,1),""))</f>
        <v>0</v>
      </c>
      <c r="H462" s="26">
        <f>IF(A462="","",COUNT(D462:G462))</f>
        <v>0</v>
      </c>
      <c r="I462" s="27">
        <f>IF(A462="","",IF(H462=0,"",AVERAGE(D462:G462)))</f>
        <v>0</v>
      </c>
      <c r="J462" s="27">
        <f>IF(OR(I462="",C462=""),"",I462-C462)</f>
        <v>0</v>
      </c>
      <c r="K462" s="26">
        <f>IF(A462="","",IF(MES!E462&lt;&gt;4,"Horário do MES fora do padrão",IF(H462&lt;cfgMinCortes,"Cortes insuficientes","Válida")))</f>
        <v>0</v>
      </c>
      <c r="L462" s="27">
        <f>IF(K462="Válida",ABS(J462),"")</f>
        <v>0</v>
      </c>
      <c r="M462" s="26">
        <f>IF(K462="Válida",IF(L462&lt;=cfgTolerancia,"Sim","Não"),"")</f>
        <v>0</v>
      </c>
      <c r="N462" s="26">
        <f>IF(A462="","",MES!D462)</f>
        <v>0</v>
      </c>
      <c r="O462" s="25">
        <f>IF(K462="Válida",A462,NA())</f>
        <v>0</v>
      </c>
      <c r="P462" s="27">
        <f>IF(K462="Válida",C462,NA())</f>
        <v>0</v>
      </c>
      <c r="Q462" s="27">
        <f>IF(K462="Válida",I462,NA())</f>
        <v>0</v>
      </c>
      <c r="R462" s="27">
        <f>IF(K462="Válida",J462,NA())</f>
        <v>0</v>
      </c>
      <c r="S462" s="27">
        <f>IF(K462="Válida",C462,"")</f>
        <v>0</v>
      </c>
      <c r="T462" s="27">
        <f>IF(K462="Válida",I462,"")</f>
        <v>0</v>
      </c>
      <c r="U462" s="27">
        <f>IF(K462="Válida",J462,"")</f>
        <v>0</v>
      </c>
    </row>
    <row r="463" spans="1:21">
      <c r="A463" s="25">
        <f>IF(MES!A463="","",MES!C463/48)</f>
        <v>0</v>
      </c>
      <c r="B463" s="26">
        <f>IF(A463="","",TEXT((N463*4+cfgDeslocamento)/48,"hh:mm")&amp;" a "&amp;TEXT(A463,"hh:mm"))</f>
        <v>0</v>
      </c>
      <c r="C463" s="27">
        <f>IF(A463="","",MES!B463)</f>
        <v>0</v>
      </c>
      <c r="D463" s="27">
        <f>IF(A463="","",IFERROR(AVERAGEIFS(Prensa!$B$2:$B$5001,Prensa!$E$2:$E$5001,N463,Prensa!$F$2:$F$5001,1,Prensa!$G$2:$G$5001,1),""))</f>
        <v>0</v>
      </c>
      <c r="E463" s="27">
        <f>IF(A463="","",IFERROR(AVERAGEIFS(Prensa!$B$2:$B$5001,Prensa!$E$2:$E$5001,N463,Prensa!$F$2:$F$5001,2,Prensa!$G$2:$G$5001,1),""))</f>
        <v>0</v>
      </c>
      <c r="F463" s="27">
        <f>IF(A463="","",IFERROR(AVERAGEIFS(Prensa!$B$2:$B$5001,Prensa!$E$2:$E$5001,N463,Prensa!$F$2:$F$5001,3,Prensa!$G$2:$G$5001,1),""))</f>
        <v>0</v>
      </c>
      <c r="G463" s="27">
        <f>IF(A463="","",IFERROR(AVERAGEIFS(Prensa!$B$2:$B$5001,Prensa!$E$2:$E$5001,N463,Prensa!$F$2:$F$5001,4,Prensa!$G$2:$G$5001,1),""))</f>
        <v>0</v>
      </c>
      <c r="H463" s="26">
        <f>IF(A463="","",COUNT(D463:G463))</f>
        <v>0</v>
      </c>
      <c r="I463" s="27">
        <f>IF(A463="","",IF(H463=0,"",AVERAGE(D463:G463)))</f>
        <v>0</v>
      </c>
      <c r="J463" s="27">
        <f>IF(OR(I463="",C463=""),"",I463-C463)</f>
        <v>0</v>
      </c>
      <c r="K463" s="26">
        <f>IF(A463="","",IF(MES!E463&lt;&gt;4,"Horário do MES fora do padrão",IF(H463&lt;cfgMinCortes,"Cortes insuficientes","Válida")))</f>
        <v>0</v>
      </c>
      <c r="L463" s="27">
        <f>IF(K463="Válida",ABS(J463),"")</f>
        <v>0</v>
      </c>
      <c r="M463" s="26">
        <f>IF(K463="Válida",IF(L463&lt;=cfgTolerancia,"Sim","Não"),"")</f>
        <v>0</v>
      </c>
      <c r="N463" s="26">
        <f>IF(A463="","",MES!D463)</f>
        <v>0</v>
      </c>
      <c r="O463" s="25">
        <f>IF(K463="Válida",A463,NA())</f>
        <v>0</v>
      </c>
      <c r="P463" s="27">
        <f>IF(K463="Válida",C463,NA())</f>
        <v>0</v>
      </c>
      <c r="Q463" s="27">
        <f>IF(K463="Válida",I463,NA())</f>
        <v>0</v>
      </c>
      <c r="R463" s="27">
        <f>IF(K463="Válida",J463,NA())</f>
        <v>0</v>
      </c>
      <c r="S463" s="27">
        <f>IF(K463="Válida",C463,"")</f>
        <v>0</v>
      </c>
      <c r="T463" s="27">
        <f>IF(K463="Válida",I463,"")</f>
        <v>0</v>
      </c>
      <c r="U463" s="27">
        <f>IF(K463="Válida",J463,"")</f>
        <v>0</v>
      </c>
    </row>
    <row r="464" spans="1:21">
      <c r="A464" s="25">
        <f>IF(MES!A464="","",MES!C464/48)</f>
        <v>0</v>
      </c>
      <c r="B464" s="26">
        <f>IF(A464="","",TEXT((N464*4+cfgDeslocamento)/48,"hh:mm")&amp;" a "&amp;TEXT(A464,"hh:mm"))</f>
        <v>0</v>
      </c>
      <c r="C464" s="27">
        <f>IF(A464="","",MES!B464)</f>
        <v>0</v>
      </c>
      <c r="D464" s="27">
        <f>IF(A464="","",IFERROR(AVERAGEIFS(Prensa!$B$2:$B$5001,Prensa!$E$2:$E$5001,N464,Prensa!$F$2:$F$5001,1,Prensa!$G$2:$G$5001,1),""))</f>
        <v>0</v>
      </c>
      <c r="E464" s="27">
        <f>IF(A464="","",IFERROR(AVERAGEIFS(Prensa!$B$2:$B$5001,Prensa!$E$2:$E$5001,N464,Prensa!$F$2:$F$5001,2,Prensa!$G$2:$G$5001,1),""))</f>
        <v>0</v>
      </c>
      <c r="F464" s="27">
        <f>IF(A464="","",IFERROR(AVERAGEIFS(Prensa!$B$2:$B$5001,Prensa!$E$2:$E$5001,N464,Prensa!$F$2:$F$5001,3,Prensa!$G$2:$G$5001,1),""))</f>
        <v>0</v>
      </c>
      <c r="G464" s="27">
        <f>IF(A464="","",IFERROR(AVERAGEIFS(Prensa!$B$2:$B$5001,Prensa!$E$2:$E$5001,N464,Prensa!$F$2:$F$5001,4,Prensa!$G$2:$G$5001,1),""))</f>
        <v>0</v>
      </c>
      <c r="H464" s="26">
        <f>IF(A464="","",COUNT(D464:G464))</f>
        <v>0</v>
      </c>
      <c r="I464" s="27">
        <f>IF(A464="","",IF(H464=0,"",AVERAGE(D464:G464)))</f>
        <v>0</v>
      </c>
      <c r="J464" s="27">
        <f>IF(OR(I464="",C464=""),"",I464-C464)</f>
        <v>0</v>
      </c>
      <c r="K464" s="26">
        <f>IF(A464="","",IF(MES!E464&lt;&gt;4,"Horário do MES fora do padrão",IF(H464&lt;cfgMinCortes,"Cortes insuficientes","Válida")))</f>
        <v>0</v>
      </c>
      <c r="L464" s="27">
        <f>IF(K464="Válida",ABS(J464),"")</f>
        <v>0</v>
      </c>
      <c r="M464" s="26">
        <f>IF(K464="Válida",IF(L464&lt;=cfgTolerancia,"Sim","Não"),"")</f>
        <v>0</v>
      </c>
      <c r="N464" s="26">
        <f>IF(A464="","",MES!D464)</f>
        <v>0</v>
      </c>
      <c r="O464" s="25">
        <f>IF(K464="Válida",A464,NA())</f>
        <v>0</v>
      </c>
      <c r="P464" s="27">
        <f>IF(K464="Válida",C464,NA())</f>
        <v>0</v>
      </c>
      <c r="Q464" s="27">
        <f>IF(K464="Válida",I464,NA())</f>
        <v>0</v>
      </c>
      <c r="R464" s="27">
        <f>IF(K464="Válida",J464,NA())</f>
        <v>0</v>
      </c>
      <c r="S464" s="27">
        <f>IF(K464="Válida",C464,"")</f>
        <v>0</v>
      </c>
      <c r="T464" s="27">
        <f>IF(K464="Válida",I464,"")</f>
        <v>0</v>
      </c>
      <c r="U464" s="27">
        <f>IF(K464="Válida",J464,"")</f>
        <v>0</v>
      </c>
    </row>
    <row r="465" spans="1:21">
      <c r="A465" s="25">
        <f>IF(MES!A465="","",MES!C465/48)</f>
        <v>0</v>
      </c>
      <c r="B465" s="26">
        <f>IF(A465="","",TEXT((N465*4+cfgDeslocamento)/48,"hh:mm")&amp;" a "&amp;TEXT(A465,"hh:mm"))</f>
        <v>0</v>
      </c>
      <c r="C465" s="27">
        <f>IF(A465="","",MES!B465)</f>
        <v>0</v>
      </c>
      <c r="D465" s="27">
        <f>IF(A465="","",IFERROR(AVERAGEIFS(Prensa!$B$2:$B$5001,Prensa!$E$2:$E$5001,N465,Prensa!$F$2:$F$5001,1,Prensa!$G$2:$G$5001,1),""))</f>
        <v>0</v>
      </c>
      <c r="E465" s="27">
        <f>IF(A465="","",IFERROR(AVERAGEIFS(Prensa!$B$2:$B$5001,Prensa!$E$2:$E$5001,N465,Prensa!$F$2:$F$5001,2,Prensa!$G$2:$G$5001,1),""))</f>
        <v>0</v>
      </c>
      <c r="F465" s="27">
        <f>IF(A465="","",IFERROR(AVERAGEIFS(Prensa!$B$2:$B$5001,Prensa!$E$2:$E$5001,N465,Prensa!$F$2:$F$5001,3,Prensa!$G$2:$G$5001,1),""))</f>
        <v>0</v>
      </c>
      <c r="G465" s="27">
        <f>IF(A465="","",IFERROR(AVERAGEIFS(Prensa!$B$2:$B$5001,Prensa!$E$2:$E$5001,N465,Prensa!$F$2:$F$5001,4,Prensa!$G$2:$G$5001,1),""))</f>
        <v>0</v>
      </c>
      <c r="H465" s="26">
        <f>IF(A465="","",COUNT(D465:G465))</f>
        <v>0</v>
      </c>
      <c r="I465" s="27">
        <f>IF(A465="","",IF(H465=0,"",AVERAGE(D465:G465)))</f>
        <v>0</v>
      </c>
      <c r="J465" s="27">
        <f>IF(OR(I465="",C465=""),"",I465-C465)</f>
        <v>0</v>
      </c>
      <c r="K465" s="26">
        <f>IF(A465="","",IF(MES!E465&lt;&gt;4,"Horário do MES fora do padrão",IF(H465&lt;cfgMinCortes,"Cortes insuficientes","Válida")))</f>
        <v>0</v>
      </c>
      <c r="L465" s="27">
        <f>IF(K465="Válida",ABS(J465),"")</f>
        <v>0</v>
      </c>
      <c r="M465" s="26">
        <f>IF(K465="Válida",IF(L465&lt;=cfgTolerancia,"Sim","Não"),"")</f>
        <v>0</v>
      </c>
      <c r="N465" s="26">
        <f>IF(A465="","",MES!D465)</f>
        <v>0</v>
      </c>
      <c r="O465" s="25">
        <f>IF(K465="Válida",A465,NA())</f>
        <v>0</v>
      </c>
      <c r="P465" s="27">
        <f>IF(K465="Válida",C465,NA())</f>
        <v>0</v>
      </c>
      <c r="Q465" s="27">
        <f>IF(K465="Válida",I465,NA())</f>
        <v>0</v>
      </c>
      <c r="R465" s="27">
        <f>IF(K465="Válida",J465,NA())</f>
        <v>0</v>
      </c>
      <c r="S465" s="27">
        <f>IF(K465="Válida",C465,"")</f>
        <v>0</v>
      </c>
      <c r="T465" s="27">
        <f>IF(K465="Válida",I465,"")</f>
        <v>0</v>
      </c>
      <c r="U465" s="27">
        <f>IF(K465="Válida",J465,"")</f>
        <v>0</v>
      </c>
    </row>
    <row r="466" spans="1:21">
      <c r="A466" s="25">
        <f>IF(MES!A466="","",MES!C466/48)</f>
        <v>0</v>
      </c>
      <c r="B466" s="26">
        <f>IF(A466="","",TEXT((N466*4+cfgDeslocamento)/48,"hh:mm")&amp;" a "&amp;TEXT(A466,"hh:mm"))</f>
        <v>0</v>
      </c>
      <c r="C466" s="27">
        <f>IF(A466="","",MES!B466)</f>
        <v>0</v>
      </c>
      <c r="D466" s="27">
        <f>IF(A466="","",IFERROR(AVERAGEIFS(Prensa!$B$2:$B$5001,Prensa!$E$2:$E$5001,N466,Prensa!$F$2:$F$5001,1,Prensa!$G$2:$G$5001,1),""))</f>
        <v>0</v>
      </c>
      <c r="E466" s="27">
        <f>IF(A466="","",IFERROR(AVERAGEIFS(Prensa!$B$2:$B$5001,Prensa!$E$2:$E$5001,N466,Prensa!$F$2:$F$5001,2,Prensa!$G$2:$G$5001,1),""))</f>
        <v>0</v>
      </c>
      <c r="F466" s="27">
        <f>IF(A466="","",IFERROR(AVERAGEIFS(Prensa!$B$2:$B$5001,Prensa!$E$2:$E$5001,N466,Prensa!$F$2:$F$5001,3,Prensa!$G$2:$G$5001,1),""))</f>
        <v>0</v>
      </c>
      <c r="G466" s="27">
        <f>IF(A466="","",IFERROR(AVERAGEIFS(Prensa!$B$2:$B$5001,Prensa!$E$2:$E$5001,N466,Prensa!$F$2:$F$5001,4,Prensa!$G$2:$G$5001,1),""))</f>
        <v>0</v>
      </c>
      <c r="H466" s="26">
        <f>IF(A466="","",COUNT(D466:G466))</f>
        <v>0</v>
      </c>
      <c r="I466" s="27">
        <f>IF(A466="","",IF(H466=0,"",AVERAGE(D466:G466)))</f>
        <v>0</v>
      </c>
      <c r="J466" s="27">
        <f>IF(OR(I466="",C466=""),"",I466-C466)</f>
        <v>0</v>
      </c>
      <c r="K466" s="26">
        <f>IF(A466="","",IF(MES!E466&lt;&gt;4,"Horário do MES fora do padrão",IF(H466&lt;cfgMinCortes,"Cortes insuficientes","Válida")))</f>
        <v>0</v>
      </c>
      <c r="L466" s="27">
        <f>IF(K466="Válida",ABS(J466),"")</f>
        <v>0</v>
      </c>
      <c r="M466" s="26">
        <f>IF(K466="Válida",IF(L466&lt;=cfgTolerancia,"Sim","Não"),"")</f>
        <v>0</v>
      </c>
      <c r="N466" s="26">
        <f>IF(A466="","",MES!D466)</f>
        <v>0</v>
      </c>
      <c r="O466" s="25">
        <f>IF(K466="Válida",A466,NA())</f>
        <v>0</v>
      </c>
      <c r="P466" s="27">
        <f>IF(K466="Válida",C466,NA())</f>
        <v>0</v>
      </c>
      <c r="Q466" s="27">
        <f>IF(K466="Válida",I466,NA())</f>
        <v>0</v>
      </c>
      <c r="R466" s="27">
        <f>IF(K466="Válida",J466,NA())</f>
        <v>0</v>
      </c>
      <c r="S466" s="27">
        <f>IF(K466="Válida",C466,"")</f>
        <v>0</v>
      </c>
      <c r="T466" s="27">
        <f>IF(K466="Válida",I466,"")</f>
        <v>0</v>
      </c>
      <c r="U466" s="27">
        <f>IF(K466="Válida",J466,"")</f>
        <v>0</v>
      </c>
    </row>
    <row r="467" spans="1:21">
      <c r="A467" s="25">
        <f>IF(MES!A467="","",MES!C467/48)</f>
        <v>0</v>
      </c>
      <c r="B467" s="26">
        <f>IF(A467="","",TEXT((N467*4+cfgDeslocamento)/48,"hh:mm")&amp;" a "&amp;TEXT(A467,"hh:mm"))</f>
        <v>0</v>
      </c>
      <c r="C467" s="27">
        <f>IF(A467="","",MES!B467)</f>
        <v>0</v>
      </c>
      <c r="D467" s="27">
        <f>IF(A467="","",IFERROR(AVERAGEIFS(Prensa!$B$2:$B$5001,Prensa!$E$2:$E$5001,N467,Prensa!$F$2:$F$5001,1,Prensa!$G$2:$G$5001,1),""))</f>
        <v>0</v>
      </c>
      <c r="E467" s="27">
        <f>IF(A467="","",IFERROR(AVERAGEIFS(Prensa!$B$2:$B$5001,Prensa!$E$2:$E$5001,N467,Prensa!$F$2:$F$5001,2,Prensa!$G$2:$G$5001,1),""))</f>
        <v>0</v>
      </c>
      <c r="F467" s="27">
        <f>IF(A467="","",IFERROR(AVERAGEIFS(Prensa!$B$2:$B$5001,Prensa!$E$2:$E$5001,N467,Prensa!$F$2:$F$5001,3,Prensa!$G$2:$G$5001,1),""))</f>
        <v>0</v>
      </c>
      <c r="G467" s="27">
        <f>IF(A467="","",IFERROR(AVERAGEIFS(Prensa!$B$2:$B$5001,Prensa!$E$2:$E$5001,N467,Prensa!$F$2:$F$5001,4,Prensa!$G$2:$G$5001,1),""))</f>
        <v>0</v>
      </c>
      <c r="H467" s="26">
        <f>IF(A467="","",COUNT(D467:G467))</f>
        <v>0</v>
      </c>
      <c r="I467" s="27">
        <f>IF(A467="","",IF(H467=0,"",AVERAGE(D467:G467)))</f>
        <v>0</v>
      </c>
      <c r="J467" s="27">
        <f>IF(OR(I467="",C467=""),"",I467-C467)</f>
        <v>0</v>
      </c>
      <c r="K467" s="26">
        <f>IF(A467="","",IF(MES!E467&lt;&gt;4,"Horário do MES fora do padrão",IF(H467&lt;cfgMinCortes,"Cortes insuficientes","Válida")))</f>
        <v>0</v>
      </c>
      <c r="L467" s="27">
        <f>IF(K467="Válida",ABS(J467),"")</f>
        <v>0</v>
      </c>
      <c r="M467" s="26">
        <f>IF(K467="Válida",IF(L467&lt;=cfgTolerancia,"Sim","Não"),"")</f>
        <v>0</v>
      </c>
      <c r="N467" s="26">
        <f>IF(A467="","",MES!D467)</f>
        <v>0</v>
      </c>
      <c r="O467" s="25">
        <f>IF(K467="Válida",A467,NA())</f>
        <v>0</v>
      </c>
      <c r="P467" s="27">
        <f>IF(K467="Válida",C467,NA())</f>
        <v>0</v>
      </c>
      <c r="Q467" s="27">
        <f>IF(K467="Válida",I467,NA())</f>
        <v>0</v>
      </c>
      <c r="R467" s="27">
        <f>IF(K467="Válida",J467,NA())</f>
        <v>0</v>
      </c>
      <c r="S467" s="27">
        <f>IF(K467="Válida",C467,"")</f>
        <v>0</v>
      </c>
      <c r="T467" s="27">
        <f>IF(K467="Válida",I467,"")</f>
        <v>0</v>
      </c>
      <c r="U467" s="27">
        <f>IF(K467="Válida",J467,"")</f>
        <v>0</v>
      </c>
    </row>
    <row r="468" spans="1:21">
      <c r="A468" s="25">
        <f>IF(MES!A468="","",MES!C468/48)</f>
        <v>0</v>
      </c>
      <c r="B468" s="26">
        <f>IF(A468="","",TEXT((N468*4+cfgDeslocamento)/48,"hh:mm")&amp;" a "&amp;TEXT(A468,"hh:mm"))</f>
        <v>0</v>
      </c>
      <c r="C468" s="27">
        <f>IF(A468="","",MES!B468)</f>
        <v>0</v>
      </c>
      <c r="D468" s="27">
        <f>IF(A468="","",IFERROR(AVERAGEIFS(Prensa!$B$2:$B$5001,Prensa!$E$2:$E$5001,N468,Prensa!$F$2:$F$5001,1,Prensa!$G$2:$G$5001,1),""))</f>
        <v>0</v>
      </c>
      <c r="E468" s="27">
        <f>IF(A468="","",IFERROR(AVERAGEIFS(Prensa!$B$2:$B$5001,Prensa!$E$2:$E$5001,N468,Prensa!$F$2:$F$5001,2,Prensa!$G$2:$G$5001,1),""))</f>
        <v>0</v>
      </c>
      <c r="F468" s="27">
        <f>IF(A468="","",IFERROR(AVERAGEIFS(Prensa!$B$2:$B$5001,Prensa!$E$2:$E$5001,N468,Prensa!$F$2:$F$5001,3,Prensa!$G$2:$G$5001,1),""))</f>
        <v>0</v>
      </c>
      <c r="G468" s="27">
        <f>IF(A468="","",IFERROR(AVERAGEIFS(Prensa!$B$2:$B$5001,Prensa!$E$2:$E$5001,N468,Prensa!$F$2:$F$5001,4,Prensa!$G$2:$G$5001,1),""))</f>
        <v>0</v>
      </c>
      <c r="H468" s="26">
        <f>IF(A468="","",COUNT(D468:G468))</f>
        <v>0</v>
      </c>
      <c r="I468" s="27">
        <f>IF(A468="","",IF(H468=0,"",AVERAGE(D468:G468)))</f>
        <v>0</v>
      </c>
      <c r="J468" s="27">
        <f>IF(OR(I468="",C468=""),"",I468-C468)</f>
        <v>0</v>
      </c>
      <c r="K468" s="26">
        <f>IF(A468="","",IF(MES!E468&lt;&gt;4,"Horário do MES fora do padrão",IF(H468&lt;cfgMinCortes,"Cortes insuficientes","Válida")))</f>
        <v>0</v>
      </c>
      <c r="L468" s="27">
        <f>IF(K468="Válida",ABS(J468),"")</f>
        <v>0</v>
      </c>
      <c r="M468" s="26">
        <f>IF(K468="Válida",IF(L468&lt;=cfgTolerancia,"Sim","Não"),"")</f>
        <v>0</v>
      </c>
      <c r="N468" s="26">
        <f>IF(A468="","",MES!D468)</f>
        <v>0</v>
      </c>
      <c r="O468" s="25">
        <f>IF(K468="Válida",A468,NA())</f>
        <v>0</v>
      </c>
      <c r="P468" s="27">
        <f>IF(K468="Válida",C468,NA())</f>
        <v>0</v>
      </c>
      <c r="Q468" s="27">
        <f>IF(K468="Válida",I468,NA())</f>
        <v>0</v>
      </c>
      <c r="R468" s="27">
        <f>IF(K468="Válida",J468,NA())</f>
        <v>0</v>
      </c>
      <c r="S468" s="27">
        <f>IF(K468="Válida",C468,"")</f>
        <v>0</v>
      </c>
      <c r="T468" s="27">
        <f>IF(K468="Válida",I468,"")</f>
        <v>0</v>
      </c>
      <c r="U468" s="27">
        <f>IF(K468="Válida",J468,"")</f>
        <v>0</v>
      </c>
    </row>
    <row r="469" spans="1:21">
      <c r="A469" s="25">
        <f>IF(MES!A469="","",MES!C469/48)</f>
        <v>0</v>
      </c>
      <c r="B469" s="26">
        <f>IF(A469="","",TEXT((N469*4+cfgDeslocamento)/48,"hh:mm")&amp;" a "&amp;TEXT(A469,"hh:mm"))</f>
        <v>0</v>
      </c>
      <c r="C469" s="27">
        <f>IF(A469="","",MES!B469)</f>
        <v>0</v>
      </c>
      <c r="D469" s="27">
        <f>IF(A469="","",IFERROR(AVERAGEIFS(Prensa!$B$2:$B$5001,Prensa!$E$2:$E$5001,N469,Prensa!$F$2:$F$5001,1,Prensa!$G$2:$G$5001,1),""))</f>
        <v>0</v>
      </c>
      <c r="E469" s="27">
        <f>IF(A469="","",IFERROR(AVERAGEIFS(Prensa!$B$2:$B$5001,Prensa!$E$2:$E$5001,N469,Prensa!$F$2:$F$5001,2,Prensa!$G$2:$G$5001,1),""))</f>
        <v>0</v>
      </c>
      <c r="F469" s="27">
        <f>IF(A469="","",IFERROR(AVERAGEIFS(Prensa!$B$2:$B$5001,Prensa!$E$2:$E$5001,N469,Prensa!$F$2:$F$5001,3,Prensa!$G$2:$G$5001,1),""))</f>
        <v>0</v>
      </c>
      <c r="G469" s="27">
        <f>IF(A469="","",IFERROR(AVERAGEIFS(Prensa!$B$2:$B$5001,Prensa!$E$2:$E$5001,N469,Prensa!$F$2:$F$5001,4,Prensa!$G$2:$G$5001,1),""))</f>
        <v>0</v>
      </c>
      <c r="H469" s="26">
        <f>IF(A469="","",COUNT(D469:G469))</f>
        <v>0</v>
      </c>
      <c r="I469" s="27">
        <f>IF(A469="","",IF(H469=0,"",AVERAGE(D469:G469)))</f>
        <v>0</v>
      </c>
      <c r="J469" s="27">
        <f>IF(OR(I469="",C469=""),"",I469-C469)</f>
        <v>0</v>
      </c>
      <c r="K469" s="26">
        <f>IF(A469="","",IF(MES!E469&lt;&gt;4,"Horário do MES fora do padrão",IF(H469&lt;cfgMinCortes,"Cortes insuficientes","Válida")))</f>
        <v>0</v>
      </c>
      <c r="L469" s="27">
        <f>IF(K469="Válida",ABS(J469),"")</f>
        <v>0</v>
      </c>
      <c r="M469" s="26">
        <f>IF(K469="Válida",IF(L469&lt;=cfgTolerancia,"Sim","Não"),"")</f>
        <v>0</v>
      </c>
      <c r="N469" s="26">
        <f>IF(A469="","",MES!D469)</f>
        <v>0</v>
      </c>
      <c r="O469" s="25">
        <f>IF(K469="Válida",A469,NA())</f>
        <v>0</v>
      </c>
      <c r="P469" s="27">
        <f>IF(K469="Válida",C469,NA())</f>
        <v>0</v>
      </c>
      <c r="Q469" s="27">
        <f>IF(K469="Válida",I469,NA())</f>
        <v>0</v>
      </c>
      <c r="R469" s="27">
        <f>IF(K469="Válida",J469,NA())</f>
        <v>0</v>
      </c>
      <c r="S469" s="27">
        <f>IF(K469="Válida",C469,"")</f>
        <v>0</v>
      </c>
      <c r="T469" s="27">
        <f>IF(K469="Válida",I469,"")</f>
        <v>0</v>
      </c>
      <c r="U469" s="27">
        <f>IF(K469="Válida",J469,"")</f>
        <v>0</v>
      </c>
    </row>
    <row r="470" spans="1:21">
      <c r="A470" s="25">
        <f>IF(MES!A470="","",MES!C470/48)</f>
        <v>0</v>
      </c>
      <c r="B470" s="26">
        <f>IF(A470="","",TEXT((N470*4+cfgDeslocamento)/48,"hh:mm")&amp;" a "&amp;TEXT(A470,"hh:mm"))</f>
        <v>0</v>
      </c>
      <c r="C470" s="27">
        <f>IF(A470="","",MES!B470)</f>
        <v>0</v>
      </c>
      <c r="D470" s="27">
        <f>IF(A470="","",IFERROR(AVERAGEIFS(Prensa!$B$2:$B$5001,Prensa!$E$2:$E$5001,N470,Prensa!$F$2:$F$5001,1,Prensa!$G$2:$G$5001,1),""))</f>
        <v>0</v>
      </c>
      <c r="E470" s="27">
        <f>IF(A470="","",IFERROR(AVERAGEIFS(Prensa!$B$2:$B$5001,Prensa!$E$2:$E$5001,N470,Prensa!$F$2:$F$5001,2,Prensa!$G$2:$G$5001,1),""))</f>
        <v>0</v>
      </c>
      <c r="F470" s="27">
        <f>IF(A470="","",IFERROR(AVERAGEIFS(Prensa!$B$2:$B$5001,Prensa!$E$2:$E$5001,N470,Prensa!$F$2:$F$5001,3,Prensa!$G$2:$G$5001,1),""))</f>
        <v>0</v>
      </c>
      <c r="G470" s="27">
        <f>IF(A470="","",IFERROR(AVERAGEIFS(Prensa!$B$2:$B$5001,Prensa!$E$2:$E$5001,N470,Prensa!$F$2:$F$5001,4,Prensa!$G$2:$G$5001,1),""))</f>
        <v>0</v>
      </c>
      <c r="H470" s="26">
        <f>IF(A470="","",COUNT(D470:G470))</f>
        <v>0</v>
      </c>
      <c r="I470" s="27">
        <f>IF(A470="","",IF(H470=0,"",AVERAGE(D470:G470)))</f>
        <v>0</v>
      </c>
      <c r="J470" s="27">
        <f>IF(OR(I470="",C470=""),"",I470-C470)</f>
        <v>0</v>
      </c>
      <c r="K470" s="26">
        <f>IF(A470="","",IF(MES!E470&lt;&gt;4,"Horário do MES fora do padrão",IF(H470&lt;cfgMinCortes,"Cortes insuficientes","Válida")))</f>
        <v>0</v>
      </c>
      <c r="L470" s="27">
        <f>IF(K470="Válida",ABS(J470),"")</f>
        <v>0</v>
      </c>
      <c r="M470" s="26">
        <f>IF(K470="Válida",IF(L470&lt;=cfgTolerancia,"Sim","Não"),"")</f>
        <v>0</v>
      </c>
      <c r="N470" s="26">
        <f>IF(A470="","",MES!D470)</f>
        <v>0</v>
      </c>
      <c r="O470" s="25">
        <f>IF(K470="Válida",A470,NA())</f>
        <v>0</v>
      </c>
      <c r="P470" s="27">
        <f>IF(K470="Válida",C470,NA())</f>
        <v>0</v>
      </c>
      <c r="Q470" s="27">
        <f>IF(K470="Válida",I470,NA())</f>
        <v>0</v>
      </c>
      <c r="R470" s="27">
        <f>IF(K470="Válida",J470,NA())</f>
        <v>0</v>
      </c>
      <c r="S470" s="27">
        <f>IF(K470="Válida",C470,"")</f>
        <v>0</v>
      </c>
      <c r="T470" s="27">
        <f>IF(K470="Válida",I470,"")</f>
        <v>0</v>
      </c>
      <c r="U470" s="27">
        <f>IF(K470="Válida",J470,"")</f>
        <v>0</v>
      </c>
    </row>
    <row r="471" spans="1:21">
      <c r="A471" s="25">
        <f>IF(MES!A471="","",MES!C471/48)</f>
        <v>0</v>
      </c>
      <c r="B471" s="26">
        <f>IF(A471="","",TEXT((N471*4+cfgDeslocamento)/48,"hh:mm")&amp;" a "&amp;TEXT(A471,"hh:mm"))</f>
        <v>0</v>
      </c>
      <c r="C471" s="27">
        <f>IF(A471="","",MES!B471)</f>
        <v>0</v>
      </c>
      <c r="D471" s="27">
        <f>IF(A471="","",IFERROR(AVERAGEIFS(Prensa!$B$2:$B$5001,Prensa!$E$2:$E$5001,N471,Prensa!$F$2:$F$5001,1,Prensa!$G$2:$G$5001,1),""))</f>
        <v>0</v>
      </c>
      <c r="E471" s="27">
        <f>IF(A471="","",IFERROR(AVERAGEIFS(Prensa!$B$2:$B$5001,Prensa!$E$2:$E$5001,N471,Prensa!$F$2:$F$5001,2,Prensa!$G$2:$G$5001,1),""))</f>
        <v>0</v>
      </c>
      <c r="F471" s="27">
        <f>IF(A471="","",IFERROR(AVERAGEIFS(Prensa!$B$2:$B$5001,Prensa!$E$2:$E$5001,N471,Prensa!$F$2:$F$5001,3,Prensa!$G$2:$G$5001,1),""))</f>
        <v>0</v>
      </c>
      <c r="G471" s="27">
        <f>IF(A471="","",IFERROR(AVERAGEIFS(Prensa!$B$2:$B$5001,Prensa!$E$2:$E$5001,N471,Prensa!$F$2:$F$5001,4,Prensa!$G$2:$G$5001,1),""))</f>
        <v>0</v>
      </c>
      <c r="H471" s="26">
        <f>IF(A471="","",COUNT(D471:G471))</f>
        <v>0</v>
      </c>
      <c r="I471" s="27">
        <f>IF(A471="","",IF(H471=0,"",AVERAGE(D471:G471)))</f>
        <v>0</v>
      </c>
      <c r="J471" s="27">
        <f>IF(OR(I471="",C471=""),"",I471-C471)</f>
        <v>0</v>
      </c>
      <c r="K471" s="26">
        <f>IF(A471="","",IF(MES!E471&lt;&gt;4,"Horário do MES fora do padrão",IF(H471&lt;cfgMinCortes,"Cortes insuficientes","Válida")))</f>
        <v>0</v>
      </c>
      <c r="L471" s="27">
        <f>IF(K471="Válida",ABS(J471),"")</f>
        <v>0</v>
      </c>
      <c r="M471" s="26">
        <f>IF(K471="Válida",IF(L471&lt;=cfgTolerancia,"Sim","Não"),"")</f>
        <v>0</v>
      </c>
      <c r="N471" s="26">
        <f>IF(A471="","",MES!D471)</f>
        <v>0</v>
      </c>
      <c r="O471" s="25">
        <f>IF(K471="Válida",A471,NA())</f>
        <v>0</v>
      </c>
      <c r="P471" s="27">
        <f>IF(K471="Válida",C471,NA())</f>
        <v>0</v>
      </c>
      <c r="Q471" s="27">
        <f>IF(K471="Válida",I471,NA())</f>
        <v>0</v>
      </c>
      <c r="R471" s="27">
        <f>IF(K471="Válida",J471,NA())</f>
        <v>0</v>
      </c>
      <c r="S471" s="27">
        <f>IF(K471="Válida",C471,"")</f>
        <v>0</v>
      </c>
      <c r="T471" s="27">
        <f>IF(K471="Válida",I471,"")</f>
        <v>0</v>
      </c>
      <c r="U471" s="27">
        <f>IF(K471="Válida",J471,"")</f>
        <v>0</v>
      </c>
    </row>
    <row r="472" spans="1:21">
      <c r="A472" s="25">
        <f>IF(MES!A472="","",MES!C472/48)</f>
        <v>0</v>
      </c>
      <c r="B472" s="26">
        <f>IF(A472="","",TEXT((N472*4+cfgDeslocamento)/48,"hh:mm")&amp;" a "&amp;TEXT(A472,"hh:mm"))</f>
        <v>0</v>
      </c>
      <c r="C472" s="27">
        <f>IF(A472="","",MES!B472)</f>
        <v>0</v>
      </c>
      <c r="D472" s="27">
        <f>IF(A472="","",IFERROR(AVERAGEIFS(Prensa!$B$2:$B$5001,Prensa!$E$2:$E$5001,N472,Prensa!$F$2:$F$5001,1,Prensa!$G$2:$G$5001,1),""))</f>
        <v>0</v>
      </c>
      <c r="E472" s="27">
        <f>IF(A472="","",IFERROR(AVERAGEIFS(Prensa!$B$2:$B$5001,Prensa!$E$2:$E$5001,N472,Prensa!$F$2:$F$5001,2,Prensa!$G$2:$G$5001,1),""))</f>
        <v>0</v>
      </c>
      <c r="F472" s="27">
        <f>IF(A472="","",IFERROR(AVERAGEIFS(Prensa!$B$2:$B$5001,Prensa!$E$2:$E$5001,N472,Prensa!$F$2:$F$5001,3,Prensa!$G$2:$G$5001,1),""))</f>
        <v>0</v>
      </c>
      <c r="G472" s="27">
        <f>IF(A472="","",IFERROR(AVERAGEIFS(Prensa!$B$2:$B$5001,Prensa!$E$2:$E$5001,N472,Prensa!$F$2:$F$5001,4,Prensa!$G$2:$G$5001,1),""))</f>
        <v>0</v>
      </c>
      <c r="H472" s="26">
        <f>IF(A472="","",COUNT(D472:G472))</f>
        <v>0</v>
      </c>
      <c r="I472" s="27">
        <f>IF(A472="","",IF(H472=0,"",AVERAGE(D472:G472)))</f>
        <v>0</v>
      </c>
      <c r="J472" s="27">
        <f>IF(OR(I472="",C472=""),"",I472-C472)</f>
        <v>0</v>
      </c>
      <c r="K472" s="26">
        <f>IF(A472="","",IF(MES!E472&lt;&gt;4,"Horário do MES fora do padrão",IF(H472&lt;cfgMinCortes,"Cortes insuficientes","Válida")))</f>
        <v>0</v>
      </c>
      <c r="L472" s="27">
        <f>IF(K472="Válida",ABS(J472),"")</f>
        <v>0</v>
      </c>
      <c r="M472" s="26">
        <f>IF(K472="Válida",IF(L472&lt;=cfgTolerancia,"Sim","Não"),"")</f>
        <v>0</v>
      </c>
      <c r="N472" s="26">
        <f>IF(A472="","",MES!D472)</f>
        <v>0</v>
      </c>
      <c r="O472" s="25">
        <f>IF(K472="Válida",A472,NA())</f>
        <v>0</v>
      </c>
      <c r="P472" s="27">
        <f>IF(K472="Válida",C472,NA())</f>
        <v>0</v>
      </c>
      <c r="Q472" s="27">
        <f>IF(K472="Válida",I472,NA())</f>
        <v>0</v>
      </c>
      <c r="R472" s="27">
        <f>IF(K472="Válida",J472,NA())</f>
        <v>0</v>
      </c>
      <c r="S472" s="27">
        <f>IF(K472="Válida",C472,"")</f>
        <v>0</v>
      </c>
      <c r="T472" s="27">
        <f>IF(K472="Válida",I472,"")</f>
        <v>0</v>
      </c>
      <c r="U472" s="27">
        <f>IF(K472="Válida",J472,"")</f>
        <v>0</v>
      </c>
    </row>
    <row r="473" spans="1:21">
      <c r="A473" s="25">
        <f>IF(MES!A473="","",MES!C473/48)</f>
        <v>0</v>
      </c>
      <c r="B473" s="26">
        <f>IF(A473="","",TEXT((N473*4+cfgDeslocamento)/48,"hh:mm")&amp;" a "&amp;TEXT(A473,"hh:mm"))</f>
        <v>0</v>
      </c>
      <c r="C473" s="27">
        <f>IF(A473="","",MES!B473)</f>
        <v>0</v>
      </c>
      <c r="D473" s="27">
        <f>IF(A473="","",IFERROR(AVERAGEIFS(Prensa!$B$2:$B$5001,Prensa!$E$2:$E$5001,N473,Prensa!$F$2:$F$5001,1,Prensa!$G$2:$G$5001,1),""))</f>
        <v>0</v>
      </c>
      <c r="E473" s="27">
        <f>IF(A473="","",IFERROR(AVERAGEIFS(Prensa!$B$2:$B$5001,Prensa!$E$2:$E$5001,N473,Prensa!$F$2:$F$5001,2,Prensa!$G$2:$G$5001,1),""))</f>
        <v>0</v>
      </c>
      <c r="F473" s="27">
        <f>IF(A473="","",IFERROR(AVERAGEIFS(Prensa!$B$2:$B$5001,Prensa!$E$2:$E$5001,N473,Prensa!$F$2:$F$5001,3,Prensa!$G$2:$G$5001,1),""))</f>
        <v>0</v>
      </c>
      <c r="G473" s="27">
        <f>IF(A473="","",IFERROR(AVERAGEIFS(Prensa!$B$2:$B$5001,Prensa!$E$2:$E$5001,N473,Prensa!$F$2:$F$5001,4,Prensa!$G$2:$G$5001,1),""))</f>
        <v>0</v>
      </c>
      <c r="H473" s="26">
        <f>IF(A473="","",COUNT(D473:G473))</f>
        <v>0</v>
      </c>
      <c r="I473" s="27">
        <f>IF(A473="","",IF(H473=0,"",AVERAGE(D473:G473)))</f>
        <v>0</v>
      </c>
      <c r="J473" s="27">
        <f>IF(OR(I473="",C473=""),"",I473-C473)</f>
        <v>0</v>
      </c>
      <c r="K473" s="26">
        <f>IF(A473="","",IF(MES!E473&lt;&gt;4,"Horário do MES fora do padrão",IF(H473&lt;cfgMinCortes,"Cortes insuficientes","Válida")))</f>
        <v>0</v>
      </c>
      <c r="L473" s="27">
        <f>IF(K473="Válida",ABS(J473),"")</f>
        <v>0</v>
      </c>
      <c r="M473" s="26">
        <f>IF(K473="Válida",IF(L473&lt;=cfgTolerancia,"Sim","Não"),"")</f>
        <v>0</v>
      </c>
      <c r="N473" s="26">
        <f>IF(A473="","",MES!D473)</f>
        <v>0</v>
      </c>
      <c r="O473" s="25">
        <f>IF(K473="Válida",A473,NA())</f>
        <v>0</v>
      </c>
      <c r="P473" s="27">
        <f>IF(K473="Válida",C473,NA())</f>
        <v>0</v>
      </c>
      <c r="Q473" s="27">
        <f>IF(K473="Válida",I473,NA())</f>
        <v>0</v>
      </c>
      <c r="R473" s="27">
        <f>IF(K473="Válida",J473,NA())</f>
        <v>0</v>
      </c>
      <c r="S473" s="27">
        <f>IF(K473="Válida",C473,"")</f>
        <v>0</v>
      </c>
      <c r="T473" s="27">
        <f>IF(K473="Válida",I473,"")</f>
        <v>0</v>
      </c>
      <c r="U473" s="27">
        <f>IF(K473="Válida",J473,"")</f>
        <v>0</v>
      </c>
    </row>
    <row r="474" spans="1:21">
      <c r="A474" s="25">
        <f>IF(MES!A474="","",MES!C474/48)</f>
        <v>0</v>
      </c>
      <c r="B474" s="26">
        <f>IF(A474="","",TEXT((N474*4+cfgDeslocamento)/48,"hh:mm")&amp;" a "&amp;TEXT(A474,"hh:mm"))</f>
        <v>0</v>
      </c>
      <c r="C474" s="27">
        <f>IF(A474="","",MES!B474)</f>
        <v>0</v>
      </c>
      <c r="D474" s="27">
        <f>IF(A474="","",IFERROR(AVERAGEIFS(Prensa!$B$2:$B$5001,Prensa!$E$2:$E$5001,N474,Prensa!$F$2:$F$5001,1,Prensa!$G$2:$G$5001,1),""))</f>
        <v>0</v>
      </c>
      <c r="E474" s="27">
        <f>IF(A474="","",IFERROR(AVERAGEIFS(Prensa!$B$2:$B$5001,Prensa!$E$2:$E$5001,N474,Prensa!$F$2:$F$5001,2,Prensa!$G$2:$G$5001,1),""))</f>
        <v>0</v>
      </c>
      <c r="F474" s="27">
        <f>IF(A474="","",IFERROR(AVERAGEIFS(Prensa!$B$2:$B$5001,Prensa!$E$2:$E$5001,N474,Prensa!$F$2:$F$5001,3,Prensa!$G$2:$G$5001,1),""))</f>
        <v>0</v>
      </c>
      <c r="G474" s="27">
        <f>IF(A474="","",IFERROR(AVERAGEIFS(Prensa!$B$2:$B$5001,Prensa!$E$2:$E$5001,N474,Prensa!$F$2:$F$5001,4,Prensa!$G$2:$G$5001,1),""))</f>
        <v>0</v>
      </c>
      <c r="H474" s="26">
        <f>IF(A474="","",COUNT(D474:G474))</f>
        <v>0</v>
      </c>
      <c r="I474" s="27">
        <f>IF(A474="","",IF(H474=0,"",AVERAGE(D474:G474)))</f>
        <v>0</v>
      </c>
      <c r="J474" s="27">
        <f>IF(OR(I474="",C474=""),"",I474-C474)</f>
        <v>0</v>
      </c>
      <c r="K474" s="26">
        <f>IF(A474="","",IF(MES!E474&lt;&gt;4,"Horário do MES fora do padrão",IF(H474&lt;cfgMinCortes,"Cortes insuficientes","Válida")))</f>
        <v>0</v>
      </c>
      <c r="L474" s="27">
        <f>IF(K474="Válida",ABS(J474),"")</f>
        <v>0</v>
      </c>
      <c r="M474" s="26">
        <f>IF(K474="Válida",IF(L474&lt;=cfgTolerancia,"Sim","Não"),"")</f>
        <v>0</v>
      </c>
      <c r="N474" s="26">
        <f>IF(A474="","",MES!D474)</f>
        <v>0</v>
      </c>
      <c r="O474" s="25">
        <f>IF(K474="Válida",A474,NA())</f>
        <v>0</v>
      </c>
      <c r="P474" s="27">
        <f>IF(K474="Válida",C474,NA())</f>
        <v>0</v>
      </c>
      <c r="Q474" s="27">
        <f>IF(K474="Válida",I474,NA())</f>
        <v>0</v>
      </c>
      <c r="R474" s="27">
        <f>IF(K474="Válida",J474,NA())</f>
        <v>0</v>
      </c>
      <c r="S474" s="27">
        <f>IF(K474="Válida",C474,"")</f>
        <v>0</v>
      </c>
      <c r="T474" s="27">
        <f>IF(K474="Válida",I474,"")</f>
        <v>0</v>
      </c>
      <c r="U474" s="27">
        <f>IF(K474="Válida",J474,"")</f>
        <v>0</v>
      </c>
    </row>
    <row r="475" spans="1:21">
      <c r="A475" s="25">
        <f>IF(MES!A475="","",MES!C475/48)</f>
        <v>0</v>
      </c>
      <c r="B475" s="26">
        <f>IF(A475="","",TEXT((N475*4+cfgDeslocamento)/48,"hh:mm")&amp;" a "&amp;TEXT(A475,"hh:mm"))</f>
        <v>0</v>
      </c>
      <c r="C475" s="27">
        <f>IF(A475="","",MES!B475)</f>
        <v>0</v>
      </c>
      <c r="D475" s="27">
        <f>IF(A475="","",IFERROR(AVERAGEIFS(Prensa!$B$2:$B$5001,Prensa!$E$2:$E$5001,N475,Prensa!$F$2:$F$5001,1,Prensa!$G$2:$G$5001,1),""))</f>
        <v>0</v>
      </c>
      <c r="E475" s="27">
        <f>IF(A475="","",IFERROR(AVERAGEIFS(Prensa!$B$2:$B$5001,Prensa!$E$2:$E$5001,N475,Prensa!$F$2:$F$5001,2,Prensa!$G$2:$G$5001,1),""))</f>
        <v>0</v>
      </c>
      <c r="F475" s="27">
        <f>IF(A475="","",IFERROR(AVERAGEIFS(Prensa!$B$2:$B$5001,Prensa!$E$2:$E$5001,N475,Prensa!$F$2:$F$5001,3,Prensa!$G$2:$G$5001,1),""))</f>
        <v>0</v>
      </c>
      <c r="G475" s="27">
        <f>IF(A475="","",IFERROR(AVERAGEIFS(Prensa!$B$2:$B$5001,Prensa!$E$2:$E$5001,N475,Prensa!$F$2:$F$5001,4,Prensa!$G$2:$G$5001,1),""))</f>
        <v>0</v>
      </c>
      <c r="H475" s="26">
        <f>IF(A475="","",COUNT(D475:G475))</f>
        <v>0</v>
      </c>
      <c r="I475" s="27">
        <f>IF(A475="","",IF(H475=0,"",AVERAGE(D475:G475)))</f>
        <v>0</v>
      </c>
      <c r="J475" s="27">
        <f>IF(OR(I475="",C475=""),"",I475-C475)</f>
        <v>0</v>
      </c>
      <c r="K475" s="26">
        <f>IF(A475="","",IF(MES!E475&lt;&gt;4,"Horário do MES fora do padrão",IF(H475&lt;cfgMinCortes,"Cortes insuficientes","Válida")))</f>
        <v>0</v>
      </c>
      <c r="L475" s="27">
        <f>IF(K475="Válida",ABS(J475),"")</f>
        <v>0</v>
      </c>
      <c r="M475" s="26">
        <f>IF(K475="Válida",IF(L475&lt;=cfgTolerancia,"Sim","Não"),"")</f>
        <v>0</v>
      </c>
      <c r="N475" s="26">
        <f>IF(A475="","",MES!D475)</f>
        <v>0</v>
      </c>
      <c r="O475" s="25">
        <f>IF(K475="Válida",A475,NA())</f>
        <v>0</v>
      </c>
      <c r="P475" s="27">
        <f>IF(K475="Válida",C475,NA())</f>
        <v>0</v>
      </c>
      <c r="Q475" s="27">
        <f>IF(K475="Válida",I475,NA())</f>
        <v>0</v>
      </c>
      <c r="R475" s="27">
        <f>IF(K475="Válida",J475,NA())</f>
        <v>0</v>
      </c>
      <c r="S475" s="27">
        <f>IF(K475="Válida",C475,"")</f>
        <v>0</v>
      </c>
      <c r="T475" s="27">
        <f>IF(K475="Válida",I475,"")</f>
        <v>0</v>
      </c>
      <c r="U475" s="27">
        <f>IF(K475="Válida",J475,"")</f>
        <v>0</v>
      </c>
    </row>
    <row r="476" spans="1:21">
      <c r="A476" s="25">
        <f>IF(MES!A476="","",MES!C476/48)</f>
        <v>0</v>
      </c>
      <c r="B476" s="26">
        <f>IF(A476="","",TEXT((N476*4+cfgDeslocamento)/48,"hh:mm")&amp;" a "&amp;TEXT(A476,"hh:mm"))</f>
        <v>0</v>
      </c>
      <c r="C476" s="27">
        <f>IF(A476="","",MES!B476)</f>
        <v>0</v>
      </c>
      <c r="D476" s="27">
        <f>IF(A476="","",IFERROR(AVERAGEIFS(Prensa!$B$2:$B$5001,Prensa!$E$2:$E$5001,N476,Prensa!$F$2:$F$5001,1,Prensa!$G$2:$G$5001,1),""))</f>
        <v>0</v>
      </c>
      <c r="E476" s="27">
        <f>IF(A476="","",IFERROR(AVERAGEIFS(Prensa!$B$2:$B$5001,Prensa!$E$2:$E$5001,N476,Prensa!$F$2:$F$5001,2,Prensa!$G$2:$G$5001,1),""))</f>
        <v>0</v>
      </c>
      <c r="F476" s="27">
        <f>IF(A476="","",IFERROR(AVERAGEIFS(Prensa!$B$2:$B$5001,Prensa!$E$2:$E$5001,N476,Prensa!$F$2:$F$5001,3,Prensa!$G$2:$G$5001,1),""))</f>
        <v>0</v>
      </c>
      <c r="G476" s="27">
        <f>IF(A476="","",IFERROR(AVERAGEIFS(Prensa!$B$2:$B$5001,Prensa!$E$2:$E$5001,N476,Prensa!$F$2:$F$5001,4,Prensa!$G$2:$G$5001,1),""))</f>
        <v>0</v>
      </c>
      <c r="H476" s="26">
        <f>IF(A476="","",COUNT(D476:G476))</f>
        <v>0</v>
      </c>
      <c r="I476" s="27">
        <f>IF(A476="","",IF(H476=0,"",AVERAGE(D476:G476)))</f>
        <v>0</v>
      </c>
      <c r="J476" s="27">
        <f>IF(OR(I476="",C476=""),"",I476-C476)</f>
        <v>0</v>
      </c>
      <c r="K476" s="26">
        <f>IF(A476="","",IF(MES!E476&lt;&gt;4,"Horário do MES fora do padrão",IF(H476&lt;cfgMinCortes,"Cortes insuficientes","Válida")))</f>
        <v>0</v>
      </c>
      <c r="L476" s="27">
        <f>IF(K476="Válida",ABS(J476),"")</f>
        <v>0</v>
      </c>
      <c r="M476" s="26">
        <f>IF(K476="Válida",IF(L476&lt;=cfgTolerancia,"Sim","Não"),"")</f>
        <v>0</v>
      </c>
      <c r="N476" s="26">
        <f>IF(A476="","",MES!D476)</f>
        <v>0</v>
      </c>
      <c r="O476" s="25">
        <f>IF(K476="Válida",A476,NA())</f>
        <v>0</v>
      </c>
      <c r="P476" s="27">
        <f>IF(K476="Válida",C476,NA())</f>
        <v>0</v>
      </c>
      <c r="Q476" s="27">
        <f>IF(K476="Válida",I476,NA())</f>
        <v>0</v>
      </c>
      <c r="R476" s="27">
        <f>IF(K476="Válida",J476,NA())</f>
        <v>0</v>
      </c>
      <c r="S476" s="27">
        <f>IF(K476="Válida",C476,"")</f>
        <v>0</v>
      </c>
      <c r="T476" s="27">
        <f>IF(K476="Válida",I476,"")</f>
        <v>0</v>
      </c>
      <c r="U476" s="27">
        <f>IF(K476="Válida",J476,"")</f>
        <v>0</v>
      </c>
    </row>
    <row r="477" spans="1:21">
      <c r="A477" s="25">
        <f>IF(MES!A477="","",MES!C477/48)</f>
        <v>0</v>
      </c>
      <c r="B477" s="26">
        <f>IF(A477="","",TEXT((N477*4+cfgDeslocamento)/48,"hh:mm")&amp;" a "&amp;TEXT(A477,"hh:mm"))</f>
        <v>0</v>
      </c>
      <c r="C477" s="27">
        <f>IF(A477="","",MES!B477)</f>
        <v>0</v>
      </c>
      <c r="D477" s="27">
        <f>IF(A477="","",IFERROR(AVERAGEIFS(Prensa!$B$2:$B$5001,Prensa!$E$2:$E$5001,N477,Prensa!$F$2:$F$5001,1,Prensa!$G$2:$G$5001,1),""))</f>
        <v>0</v>
      </c>
      <c r="E477" s="27">
        <f>IF(A477="","",IFERROR(AVERAGEIFS(Prensa!$B$2:$B$5001,Prensa!$E$2:$E$5001,N477,Prensa!$F$2:$F$5001,2,Prensa!$G$2:$G$5001,1),""))</f>
        <v>0</v>
      </c>
      <c r="F477" s="27">
        <f>IF(A477="","",IFERROR(AVERAGEIFS(Prensa!$B$2:$B$5001,Prensa!$E$2:$E$5001,N477,Prensa!$F$2:$F$5001,3,Prensa!$G$2:$G$5001,1),""))</f>
        <v>0</v>
      </c>
      <c r="G477" s="27">
        <f>IF(A477="","",IFERROR(AVERAGEIFS(Prensa!$B$2:$B$5001,Prensa!$E$2:$E$5001,N477,Prensa!$F$2:$F$5001,4,Prensa!$G$2:$G$5001,1),""))</f>
        <v>0</v>
      </c>
      <c r="H477" s="26">
        <f>IF(A477="","",COUNT(D477:G477))</f>
        <v>0</v>
      </c>
      <c r="I477" s="27">
        <f>IF(A477="","",IF(H477=0,"",AVERAGE(D477:G477)))</f>
        <v>0</v>
      </c>
      <c r="J477" s="27">
        <f>IF(OR(I477="",C477=""),"",I477-C477)</f>
        <v>0</v>
      </c>
      <c r="K477" s="26">
        <f>IF(A477="","",IF(MES!E477&lt;&gt;4,"Horário do MES fora do padrão",IF(H477&lt;cfgMinCortes,"Cortes insuficientes","Válida")))</f>
        <v>0</v>
      </c>
      <c r="L477" s="27">
        <f>IF(K477="Válida",ABS(J477),"")</f>
        <v>0</v>
      </c>
      <c r="M477" s="26">
        <f>IF(K477="Válida",IF(L477&lt;=cfgTolerancia,"Sim","Não"),"")</f>
        <v>0</v>
      </c>
      <c r="N477" s="26">
        <f>IF(A477="","",MES!D477)</f>
        <v>0</v>
      </c>
      <c r="O477" s="25">
        <f>IF(K477="Válida",A477,NA())</f>
        <v>0</v>
      </c>
      <c r="P477" s="27">
        <f>IF(K477="Válida",C477,NA())</f>
        <v>0</v>
      </c>
      <c r="Q477" s="27">
        <f>IF(K477="Válida",I477,NA())</f>
        <v>0</v>
      </c>
      <c r="R477" s="27">
        <f>IF(K477="Válida",J477,NA())</f>
        <v>0</v>
      </c>
      <c r="S477" s="27">
        <f>IF(K477="Válida",C477,"")</f>
        <v>0</v>
      </c>
      <c r="T477" s="27">
        <f>IF(K477="Válida",I477,"")</f>
        <v>0</v>
      </c>
      <c r="U477" s="27">
        <f>IF(K477="Válida",J477,"")</f>
        <v>0</v>
      </c>
    </row>
    <row r="478" spans="1:21">
      <c r="A478" s="25">
        <f>IF(MES!A478="","",MES!C478/48)</f>
        <v>0</v>
      </c>
      <c r="B478" s="26">
        <f>IF(A478="","",TEXT((N478*4+cfgDeslocamento)/48,"hh:mm")&amp;" a "&amp;TEXT(A478,"hh:mm"))</f>
        <v>0</v>
      </c>
      <c r="C478" s="27">
        <f>IF(A478="","",MES!B478)</f>
        <v>0</v>
      </c>
      <c r="D478" s="27">
        <f>IF(A478="","",IFERROR(AVERAGEIFS(Prensa!$B$2:$B$5001,Prensa!$E$2:$E$5001,N478,Prensa!$F$2:$F$5001,1,Prensa!$G$2:$G$5001,1),""))</f>
        <v>0</v>
      </c>
      <c r="E478" s="27">
        <f>IF(A478="","",IFERROR(AVERAGEIFS(Prensa!$B$2:$B$5001,Prensa!$E$2:$E$5001,N478,Prensa!$F$2:$F$5001,2,Prensa!$G$2:$G$5001,1),""))</f>
        <v>0</v>
      </c>
      <c r="F478" s="27">
        <f>IF(A478="","",IFERROR(AVERAGEIFS(Prensa!$B$2:$B$5001,Prensa!$E$2:$E$5001,N478,Prensa!$F$2:$F$5001,3,Prensa!$G$2:$G$5001,1),""))</f>
        <v>0</v>
      </c>
      <c r="G478" s="27">
        <f>IF(A478="","",IFERROR(AVERAGEIFS(Prensa!$B$2:$B$5001,Prensa!$E$2:$E$5001,N478,Prensa!$F$2:$F$5001,4,Prensa!$G$2:$G$5001,1),""))</f>
        <v>0</v>
      </c>
      <c r="H478" s="26">
        <f>IF(A478="","",COUNT(D478:G478))</f>
        <v>0</v>
      </c>
      <c r="I478" s="27">
        <f>IF(A478="","",IF(H478=0,"",AVERAGE(D478:G478)))</f>
        <v>0</v>
      </c>
      <c r="J478" s="27">
        <f>IF(OR(I478="",C478=""),"",I478-C478)</f>
        <v>0</v>
      </c>
      <c r="K478" s="26">
        <f>IF(A478="","",IF(MES!E478&lt;&gt;4,"Horário do MES fora do padrão",IF(H478&lt;cfgMinCortes,"Cortes insuficientes","Válida")))</f>
        <v>0</v>
      </c>
      <c r="L478" s="27">
        <f>IF(K478="Válida",ABS(J478),"")</f>
        <v>0</v>
      </c>
      <c r="M478" s="26">
        <f>IF(K478="Válida",IF(L478&lt;=cfgTolerancia,"Sim","Não"),"")</f>
        <v>0</v>
      </c>
      <c r="N478" s="26">
        <f>IF(A478="","",MES!D478)</f>
        <v>0</v>
      </c>
      <c r="O478" s="25">
        <f>IF(K478="Válida",A478,NA())</f>
        <v>0</v>
      </c>
      <c r="P478" s="27">
        <f>IF(K478="Válida",C478,NA())</f>
        <v>0</v>
      </c>
      <c r="Q478" s="27">
        <f>IF(K478="Válida",I478,NA())</f>
        <v>0</v>
      </c>
      <c r="R478" s="27">
        <f>IF(K478="Válida",J478,NA())</f>
        <v>0</v>
      </c>
      <c r="S478" s="27">
        <f>IF(K478="Válida",C478,"")</f>
        <v>0</v>
      </c>
      <c r="T478" s="27">
        <f>IF(K478="Válida",I478,"")</f>
        <v>0</v>
      </c>
      <c r="U478" s="27">
        <f>IF(K478="Válida",J478,"")</f>
        <v>0</v>
      </c>
    </row>
    <row r="479" spans="1:21">
      <c r="A479" s="25">
        <f>IF(MES!A479="","",MES!C479/48)</f>
        <v>0</v>
      </c>
      <c r="B479" s="26">
        <f>IF(A479="","",TEXT((N479*4+cfgDeslocamento)/48,"hh:mm")&amp;" a "&amp;TEXT(A479,"hh:mm"))</f>
        <v>0</v>
      </c>
      <c r="C479" s="27">
        <f>IF(A479="","",MES!B479)</f>
        <v>0</v>
      </c>
      <c r="D479" s="27">
        <f>IF(A479="","",IFERROR(AVERAGEIFS(Prensa!$B$2:$B$5001,Prensa!$E$2:$E$5001,N479,Prensa!$F$2:$F$5001,1,Prensa!$G$2:$G$5001,1),""))</f>
        <v>0</v>
      </c>
      <c r="E479" s="27">
        <f>IF(A479="","",IFERROR(AVERAGEIFS(Prensa!$B$2:$B$5001,Prensa!$E$2:$E$5001,N479,Prensa!$F$2:$F$5001,2,Prensa!$G$2:$G$5001,1),""))</f>
        <v>0</v>
      </c>
      <c r="F479" s="27">
        <f>IF(A479="","",IFERROR(AVERAGEIFS(Prensa!$B$2:$B$5001,Prensa!$E$2:$E$5001,N479,Prensa!$F$2:$F$5001,3,Prensa!$G$2:$G$5001,1),""))</f>
        <v>0</v>
      </c>
      <c r="G479" s="27">
        <f>IF(A479="","",IFERROR(AVERAGEIFS(Prensa!$B$2:$B$5001,Prensa!$E$2:$E$5001,N479,Prensa!$F$2:$F$5001,4,Prensa!$G$2:$G$5001,1),""))</f>
        <v>0</v>
      </c>
      <c r="H479" s="26">
        <f>IF(A479="","",COUNT(D479:G479))</f>
        <v>0</v>
      </c>
      <c r="I479" s="27">
        <f>IF(A479="","",IF(H479=0,"",AVERAGE(D479:G479)))</f>
        <v>0</v>
      </c>
      <c r="J479" s="27">
        <f>IF(OR(I479="",C479=""),"",I479-C479)</f>
        <v>0</v>
      </c>
      <c r="K479" s="26">
        <f>IF(A479="","",IF(MES!E479&lt;&gt;4,"Horário do MES fora do padrão",IF(H479&lt;cfgMinCortes,"Cortes insuficientes","Válida")))</f>
        <v>0</v>
      </c>
      <c r="L479" s="27">
        <f>IF(K479="Válida",ABS(J479),"")</f>
        <v>0</v>
      </c>
      <c r="M479" s="26">
        <f>IF(K479="Válida",IF(L479&lt;=cfgTolerancia,"Sim","Não"),"")</f>
        <v>0</v>
      </c>
      <c r="N479" s="26">
        <f>IF(A479="","",MES!D479)</f>
        <v>0</v>
      </c>
      <c r="O479" s="25">
        <f>IF(K479="Válida",A479,NA())</f>
        <v>0</v>
      </c>
      <c r="P479" s="27">
        <f>IF(K479="Válida",C479,NA())</f>
        <v>0</v>
      </c>
      <c r="Q479" s="27">
        <f>IF(K479="Válida",I479,NA())</f>
        <v>0</v>
      </c>
      <c r="R479" s="27">
        <f>IF(K479="Válida",J479,NA())</f>
        <v>0</v>
      </c>
      <c r="S479" s="27">
        <f>IF(K479="Válida",C479,"")</f>
        <v>0</v>
      </c>
      <c r="T479" s="27">
        <f>IF(K479="Válida",I479,"")</f>
        <v>0</v>
      </c>
      <c r="U479" s="27">
        <f>IF(K479="Válida",J479,"")</f>
        <v>0</v>
      </c>
    </row>
    <row r="480" spans="1:21">
      <c r="A480" s="25">
        <f>IF(MES!A480="","",MES!C480/48)</f>
        <v>0</v>
      </c>
      <c r="B480" s="26">
        <f>IF(A480="","",TEXT((N480*4+cfgDeslocamento)/48,"hh:mm")&amp;" a "&amp;TEXT(A480,"hh:mm"))</f>
        <v>0</v>
      </c>
      <c r="C480" s="27">
        <f>IF(A480="","",MES!B480)</f>
        <v>0</v>
      </c>
      <c r="D480" s="27">
        <f>IF(A480="","",IFERROR(AVERAGEIFS(Prensa!$B$2:$B$5001,Prensa!$E$2:$E$5001,N480,Prensa!$F$2:$F$5001,1,Prensa!$G$2:$G$5001,1),""))</f>
        <v>0</v>
      </c>
      <c r="E480" s="27">
        <f>IF(A480="","",IFERROR(AVERAGEIFS(Prensa!$B$2:$B$5001,Prensa!$E$2:$E$5001,N480,Prensa!$F$2:$F$5001,2,Prensa!$G$2:$G$5001,1),""))</f>
        <v>0</v>
      </c>
      <c r="F480" s="27">
        <f>IF(A480="","",IFERROR(AVERAGEIFS(Prensa!$B$2:$B$5001,Prensa!$E$2:$E$5001,N480,Prensa!$F$2:$F$5001,3,Prensa!$G$2:$G$5001,1),""))</f>
        <v>0</v>
      </c>
      <c r="G480" s="27">
        <f>IF(A480="","",IFERROR(AVERAGEIFS(Prensa!$B$2:$B$5001,Prensa!$E$2:$E$5001,N480,Prensa!$F$2:$F$5001,4,Prensa!$G$2:$G$5001,1),""))</f>
        <v>0</v>
      </c>
      <c r="H480" s="26">
        <f>IF(A480="","",COUNT(D480:G480))</f>
        <v>0</v>
      </c>
      <c r="I480" s="27">
        <f>IF(A480="","",IF(H480=0,"",AVERAGE(D480:G480)))</f>
        <v>0</v>
      </c>
      <c r="J480" s="27">
        <f>IF(OR(I480="",C480=""),"",I480-C480)</f>
        <v>0</v>
      </c>
      <c r="K480" s="26">
        <f>IF(A480="","",IF(MES!E480&lt;&gt;4,"Horário do MES fora do padrão",IF(H480&lt;cfgMinCortes,"Cortes insuficientes","Válida")))</f>
        <v>0</v>
      </c>
      <c r="L480" s="27">
        <f>IF(K480="Válida",ABS(J480),"")</f>
        <v>0</v>
      </c>
      <c r="M480" s="26">
        <f>IF(K480="Válida",IF(L480&lt;=cfgTolerancia,"Sim","Não"),"")</f>
        <v>0</v>
      </c>
      <c r="N480" s="26">
        <f>IF(A480="","",MES!D480)</f>
        <v>0</v>
      </c>
      <c r="O480" s="25">
        <f>IF(K480="Válida",A480,NA())</f>
        <v>0</v>
      </c>
      <c r="P480" s="27">
        <f>IF(K480="Válida",C480,NA())</f>
        <v>0</v>
      </c>
      <c r="Q480" s="27">
        <f>IF(K480="Válida",I480,NA())</f>
        <v>0</v>
      </c>
      <c r="R480" s="27">
        <f>IF(K480="Válida",J480,NA())</f>
        <v>0</v>
      </c>
      <c r="S480" s="27">
        <f>IF(K480="Válida",C480,"")</f>
        <v>0</v>
      </c>
      <c r="T480" s="27">
        <f>IF(K480="Válida",I480,"")</f>
        <v>0</v>
      </c>
      <c r="U480" s="27">
        <f>IF(K480="Válida",J480,"")</f>
        <v>0</v>
      </c>
    </row>
    <row r="481" spans="1:21">
      <c r="A481" s="25">
        <f>IF(MES!A481="","",MES!C481/48)</f>
        <v>0</v>
      </c>
      <c r="B481" s="26">
        <f>IF(A481="","",TEXT((N481*4+cfgDeslocamento)/48,"hh:mm")&amp;" a "&amp;TEXT(A481,"hh:mm"))</f>
        <v>0</v>
      </c>
      <c r="C481" s="27">
        <f>IF(A481="","",MES!B481)</f>
        <v>0</v>
      </c>
      <c r="D481" s="27">
        <f>IF(A481="","",IFERROR(AVERAGEIFS(Prensa!$B$2:$B$5001,Prensa!$E$2:$E$5001,N481,Prensa!$F$2:$F$5001,1,Prensa!$G$2:$G$5001,1),""))</f>
        <v>0</v>
      </c>
      <c r="E481" s="27">
        <f>IF(A481="","",IFERROR(AVERAGEIFS(Prensa!$B$2:$B$5001,Prensa!$E$2:$E$5001,N481,Prensa!$F$2:$F$5001,2,Prensa!$G$2:$G$5001,1),""))</f>
        <v>0</v>
      </c>
      <c r="F481" s="27">
        <f>IF(A481="","",IFERROR(AVERAGEIFS(Prensa!$B$2:$B$5001,Prensa!$E$2:$E$5001,N481,Prensa!$F$2:$F$5001,3,Prensa!$G$2:$G$5001,1),""))</f>
        <v>0</v>
      </c>
      <c r="G481" s="27">
        <f>IF(A481="","",IFERROR(AVERAGEIFS(Prensa!$B$2:$B$5001,Prensa!$E$2:$E$5001,N481,Prensa!$F$2:$F$5001,4,Prensa!$G$2:$G$5001,1),""))</f>
        <v>0</v>
      </c>
      <c r="H481" s="26">
        <f>IF(A481="","",COUNT(D481:G481))</f>
        <v>0</v>
      </c>
      <c r="I481" s="27">
        <f>IF(A481="","",IF(H481=0,"",AVERAGE(D481:G481)))</f>
        <v>0</v>
      </c>
      <c r="J481" s="27">
        <f>IF(OR(I481="",C481=""),"",I481-C481)</f>
        <v>0</v>
      </c>
      <c r="K481" s="26">
        <f>IF(A481="","",IF(MES!E481&lt;&gt;4,"Horário do MES fora do padrão",IF(H481&lt;cfgMinCortes,"Cortes insuficientes","Válida")))</f>
        <v>0</v>
      </c>
      <c r="L481" s="27">
        <f>IF(K481="Válida",ABS(J481),"")</f>
        <v>0</v>
      </c>
      <c r="M481" s="26">
        <f>IF(K481="Válida",IF(L481&lt;=cfgTolerancia,"Sim","Não"),"")</f>
        <v>0</v>
      </c>
      <c r="N481" s="26">
        <f>IF(A481="","",MES!D481)</f>
        <v>0</v>
      </c>
      <c r="O481" s="25">
        <f>IF(K481="Válida",A481,NA())</f>
        <v>0</v>
      </c>
      <c r="P481" s="27">
        <f>IF(K481="Válida",C481,NA())</f>
        <v>0</v>
      </c>
      <c r="Q481" s="27">
        <f>IF(K481="Válida",I481,NA())</f>
        <v>0</v>
      </c>
      <c r="R481" s="27">
        <f>IF(K481="Válida",J481,NA())</f>
        <v>0</v>
      </c>
      <c r="S481" s="27">
        <f>IF(K481="Válida",C481,"")</f>
        <v>0</v>
      </c>
      <c r="T481" s="27">
        <f>IF(K481="Válida",I481,"")</f>
        <v>0</v>
      </c>
      <c r="U481" s="27">
        <f>IF(K481="Válida",J481,"")</f>
        <v>0</v>
      </c>
    </row>
    <row r="482" spans="1:21">
      <c r="A482" s="25">
        <f>IF(MES!A482="","",MES!C482/48)</f>
        <v>0</v>
      </c>
      <c r="B482" s="26">
        <f>IF(A482="","",TEXT((N482*4+cfgDeslocamento)/48,"hh:mm")&amp;" a "&amp;TEXT(A482,"hh:mm"))</f>
        <v>0</v>
      </c>
      <c r="C482" s="27">
        <f>IF(A482="","",MES!B482)</f>
        <v>0</v>
      </c>
      <c r="D482" s="27">
        <f>IF(A482="","",IFERROR(AVERAGEIFS(Prensa!$B$2:$B$5001,Prensa!$E$2:$E$5001,N482,Prensa!$F$2:$F$5001,1,Prensa!$G$2:$G$5001,1),""))</f>
        <v>0</v>
      </c>
      <c r="E482" s="27">
        <f>IF(A482="","",IFERROR(AVERAGEIFS(Prensa!$B$2:$B$5001,Prensa!$E$2:$E$5001,N482,Prensa!$F$2:$F$5001,2,Prensa!$G$2:$G$5001,1),""))</f>
        <v>0</v>
      </c>
      <c r="F482" s="27">
        <f>IF(A482="","",IFERROR(AVERAGEIFS(Prensa!$B$2:$B$5001,Prensa!$E$2:$E$5001,N482,Prensa!$F$2:$F$5001,3,Prensa!$G$2:$G$5001,1),""))</f>
        <v>0</v>
      </c>
      <c r="G482" s="27">
        <f>IF(A482="","",IFERROR(AVERAGEIFS(Prensa!$B$2:$B$5001,Prensa!$E$2:$E$5001,N482,Prensa!$F$2:$F$5001,4,Prensa!$G$2:$G$5001,1),""))</f>
        <v>0</v>
      </c>
      <c r="H482" s="26">
        <f>IF(A482="","",COUNT(D482:G482))</f>
        <v>0</v>
      </c>
      <c r="I482" s="27">
        <f>IF(A482="","",IF(H482=0,"",AVERAGE(D482:G482)))</f>
        <v>0</v>
      </c>
      <c r="J482" s="27">
        <f>IF(OR(I482="",C482=""),"",I482-C482)</f>
        <v>0</v>
      </c>
      <c r="K482" s="26">
        <f>IF(A482="","",IF(MES!E482&lt;&gt;4,"Horário do MES fora do padrão",IF(H482&lt;cfgMinCortes,"Cortes insuficientes","Válida")))</f>
        <v>0</v>
      </c>
      <c r="L482" s="27">
        <f>IF(K482="Válida",ABS(J482),"")</f>
        <v>0</v>
      </c>
      <c r="M482" s="26">
        <f>IF(K482="Válida",IF(L482&lt;=cfgTolerancia,"Sim","Não"),"")</f>
        <v>0</v>
      </c>
      <c r="N482" s="26">
        <f>IF(A482="","",MES!D482)</f>
        <v>0</v>
      </c>
      <c r="O482" s="25">
        <f>IF(K482="Válida",A482,NA())</f>
        <v>0</v>
      </c>
      <c r="P482" s="27">
        <f>IF(K482="Válida",C482,NA())</f>
        <v>0</v>
      </c>
      <c r="Q482" s="27">
        <f>IF(K482="Válida",I482,NA())</f>
        <v>0</v>
      </c>
      <c r="R482" s="27">
        <f>IF(K482="Válida",J482,NA())</f>
        <v>0</v>
      </c>
      <c r="S482" s="27">
        <f>IF(K482="Válida",C482,"")</f>
        <v>0</v>
      </c>
      <c r="T482" s="27">
        <f>IF(K482="Válida",I482,"")</f>
        <v>0</v>
      </c>
      <c r="U482" s="27">
        <f>IF(K482="Válida",J482,"")</f>
        <v>0</v>
      </c>
    </row>
    <row r="483" spans="1:21">
      <c r="A483" s="25">
        <f>IF(MES!A483="","",MES!C483/48)</f>
        <v>0</v>
      </c>
      <c r="B483" s="26">
        <f>IF(A483="","",TEXT((N483*4+cfgDeslocamento)/48,"hh:mm")&amp;" a "&amp;TEXT(A483,"hh:mm"))</f>
        <v>0</v>
      </c>
      <c r="C483" s="27">
        <f>IF(A483="","",MES!B483)</f>
        <v>0</v>
      </c>
      <c r="D483" s="27">
        <f>IF(A483="","",IFERROR(AVERAGEIFS(Prensa!$B$2:$B$5001,Prensa!$E$2:$E$5001,N483,Prensa!$F$2:$F$5001,1,Prensa!$G$2:$G$5001,1),""))</f>
        <v>0</v>
      </c>
      <c r="E483" s="27">
        <f>IF(A483="","",IFERROR(AVERAGEIFS(Prensa!$B$2:$B$5001,Prensa!$E$2:$E$5001,N483,Prensa!$F$2:$F$5001,2,Prensa!$G$2:$G$5001,1),""))</f>
        <v>0</v>
      </c>
      <c r="F483" s="27">
        <f>IF(A483="","",IFERROR(AVERAGEIFS(Prensa!$B$2:$B$5001,Prensa!$E$2:$E$5001,N483,Prensa!$F$2:$F$5001,3,Prensa!$G$2:$G$5001,1),""))</f>
        <v>0</v>
      </c>
      <c r="G483" s="27">
        <f>IF(A483="","",IFERROR(AVERAGEIFS(Prensa!$B$2:$B$5001,Prensa!$E$2:$E$5001,N483,Prensa!$F$2:$F$5001,4,Prensa!$G$2:$G$5001,1),""))</f>
        <v>0</v>
      </c>
      <c r="H483" s="26">
        <f>IF(A483="","",COUNT(D483:G483))</f>
        <v>0</v>
      </c>
      <c r="I483" s="27">
        <f>IF(A483="","",IF(H483=0,"",AVERAGE(D483:G483)))</f>
        <v>0</v>
      </c>
      <c r="J483" s="27">
        <f>IF(OR(I483="",C483=""),"",I483-C483)</f>
        <v>0</v>
      </c>
      <c r="K483" s="26">
        <f>IF(A483="","",IF(MES!E483&lt;&gt;4,"Horário do MES fora do padrão",IF(H483&lt;cfgMinCortes,"Cortes insuficientes","Válida")))</f>
        <v>0</v>
      </c>
      <c r="L483" s="27">
        <f>IF(K483="Válida",ABS(J483),"")</f>
        <v>0</v>
      </c>
      <c r="M483" s="26">
        <f>IF(K483="Válida",IF(L483&lt;=cfgTolerancia,"Sim","Não"),"")</f>
        <v>0</v>
      </c>
      <c r="N483" s="26">
        <f>IF(A483="","",MES!D483)</f>
        <v>0</v>
      </c>
      <c r="O483" s="25">
        <f>IF(K483="Válida",A483,NA())</f>
        <v>0</v>
      </c>
      <c r="P483" s="27">
        <f>IF(K483="Válida",C483,NA())</f>
        <v>0</v>
      </c>
      <c r="Q483" s="27">
        <f>IF(K483="Válida",I483,NA())</f>
        <v>0</v>
      </c>
      <c r="R483" s="27">
        <f>IF(K483="Válida",J483,NA())</f>
        <v>0</v>
      </c>
      <c r="S483" s="27">
        <f>IF(K483="Válida",C483,"")</f>
        <v>0</v>
      </c>
      <c r="T483" s="27">
        <f>IF(K483="Válida",I483,"")</f>
        <v>0</v>
      </c>
      <c r="U483" s="27">
        <f>IF(K483="Válida",J483,"")</f>
        <v>0</v>
      </c>
    </row>
    <row r="484" spans="1:21">
      <c r="A484" s="25">
        <f>IF(MES!A484="","",MES!C484/48)</f>
        <v>0</v>
      </c>
      <c r="B484" s="26">
        <f>IF(A484="","",TEXT((N484*4+cfgDeslocamento)/48,"hh:mm")&amp;" a "&amp;TEXT(A484,"hh:mm"))</f>
        <v>0</v>
      </c>
      <c r="C484" s="27">
        <f>IF(A484="","",MES!B484)</f>
        <v>0</v>
      </c>
      <c r="D484" s="27">
        <f>IF(A484="","",IFERROR(AVERAGEIFS(Prensa!$B$2:$B$5001,Prensa!$E$2:$E$5001,N484,Prensa!$F$2:$F$5001,1,Prensa!$G$2:$G$5001,1),""))</f>
        <v>0</v>
      </c>
      <c r="E484" s="27">
        <f>IF(A484="","",IFERROR(AVERAGEIFS(Prensa!$B$2:$B$5001,Prensa!$E$2:$E$5001,N484,Prensa!$F$2:$F$5001,2,Prensa!$G$2:$G$5001,1),""))</f>
        <v>0</v>
      </c>
      <c r="F484" s="27">
        <f>IF(A484="","",IFERROR(AVERAGEIFS(Prensa!$B$2:$B$5001,Prensa!$E$2:$E$5001,N484,Prensa!$F$2:$F$5001,3,Prensa!$G$2:$G$5001,1),""))</f>
        <v>0</v>
      </c>
      <c r="G484" s="27">
        <f>IF(A484="","",IFERROR(AVERAGEIFS(Prensa!$B$2:$B$5001,Prensa!$E$2:$E$5001,N484,Prensa!$F$2:$F$5001,4,Prensa!$G$2:$G$5001,1),""))</f>
        <v>0</v>
      </c>
      <c r="H484" s="26">
        <f>IF(A484="","",COUNT(D484:G484))</f>
        <v>0</v>
      </c>
      <c r="I484" s="27">
        <f>IF(A484="","",IF(H484=0,"",AVERAGE(D484:G484)))</f>
        <v>0</v>
      </c>
      <c r="J484" s="27">
        <f>IF(OR(I484="",C484=""),"",I484-C484)</f>
        <v>0</v>
      </c>
      <c r="K484" s="26">
        <f>IF(A484="","",IF(MES!E484&lt;&gt;4,"Horário do MES fora do padrão",IF(H484&lt;cfgMinCortes,"Cortes insuficientes","Válida")))</f>
        <v>0</v>
      </c>
      <c r="L484" s="27">
        <f>IF(K484="Válida",ABS(J484),"")</f>
        <v>0</v>
      </c>
      <c r="M484" s="26">
        <f>IF(K484="Válida",IF(L484&lt;=cfgTolerancia,"Sim","Não"),"")</f>
        <v>0</v>
      </c>
      <c r="N484" s="26">
        <f>IF(A484="","",MES!D484)</f>
        <v>0</v>
      </c>
      <c r="O484" s="25">
        <f>IF(K484="Válida",A484,NA())</f>
        <v>0</v>
      </c>
      <c r="P484" s="27">
        <f>IF(K484="Válida",C484,NA())</f>
        <v>0</v>
      </c>
      <c r="Q484" s="27">
        <f>IF(K484="Válida",I484,NA())</f>
        <v>0</v>
      </c>
      <c r="R484" s="27">
        <f>IF(K484="Válida",J484,NA())</f>
        <v>0</v>
      </c>
      <c r="S484" s="27">
        <f>IF(K484="Válida",C484,"")</f>
        <v>0</v>
      </c>
      <c r="T484" s="27">
        <f>IF(K484="Válida",I484,"")</f>
        <v>0</v>
      </c>
      <c r="U484" s="27">
        <f>IF(K484="Válida",J484,"")</f>
        <v>0</v>
      </c>
    </row>
    <row r="485" spans="1:21">
      <c r="A485" s="25">
        <f>IF(MES!A485="","",MES!C485/48)</f>
        <v>0</v>
      </c>
      <c r="B485" s="26">
        <f>IF(A485="","",TEXT((N485*4+cfgDeslocamento)/48,"hh:mm")&amp;" a "&amp;TEXT(A485,"hh:mm"))</f>
        <v>0</v>
      </c>
      <c r="C485" s="27">
        <f>IF(A485="","",MES!B485)</f>
        <v>0</v>
      </c>
      <c r="D485" s="27">
        <f>IF(A485="","",IFERROR(AVERAGEIFS(Prensa!$B$2:$B$5001,Prensa!$E$2:$E$5001,N485,Prensa!$F$2:$F$5001,1,Prensa!$G$2:$G$5001,1),""))</f>
        <v>0</v>
      </c>
      <c r="E485" s="27">
        <f>IF(A485="","",IFERROR(AVERAGEIFS(Prensa!$B$2:$B$5001,Prensa!$E$2:$E$5001,N485,Prensa!$F$2:$F$5001,2,Prensa!$G$2:$G$5001,1),""))</f>
        <v>0</v>
      </c>
      <c r="F485" s="27">
        <f>IF(A485="","",IFERROR(AVERAGEIFS(Prensa!$B$2:$B$5001,Prensa!$E$2:$E$5001,N485,Prensa!$F$2:$F$5001,3,Prensa!$G$2:$G$5001,1),""))</f>
        <v>0</v>
      </c>
      <c r="G485" s="27">
        <f>IF(A485="","",IFERROR(AVERAGEIFS(Prensa!$B$2:$B$5001,Prensa!$E$2:$E$5001,N485,Prensa!$F$2:$F$5001,4,Prensa!$G$2:$G$5001,1),""))</f>
        <v>0</v>
      </c>
      <c r="H485" s="26">
        <f>IF(A485="","",COUNT(D485:G485))</f>
        <v>0</v>
      </c>
      <c r="I485" s="27">
        <f>IF(A485="","",IF(H485=0,"",AVERAGE(D485:G485)))</f>
        <v>0</v>
      </c>
      <c r="J485" s="27">
        <f>IF(OR(I485="",C485=""),"",I485-C485)</f>
        <v>0</v>
      </c>
      <c r="K485" s="26">
        <f>IF(A485="","",IF(MES!E485&lt;&gt;4,"Horário do MES fora do padrão",IF(H485&lt;cfgMinCortes,"Cortes insuficientes","Válida")))</f>
        <v>0</v>
      </c>
      <c r="L485" s="27">
        <f>IF(K485="Válida",ABS(J485),"")</f>
        <v>0</v>
      </c>
      <c r="M485" s="26">
        <f>IF(K485="Válida",IF(L485&lt;=cfgTolerancia,"Sim","Não"),"")</f>
        <v>0</v>
      </c>
      <c r="N485" s="26">
        <f>IF(A485="","",MES!D485)</f>
        <v>0</v>
      </c>
      <c r="O485" s="25">
        <f>IF(K485="Válida",A485,NA())</f>
        <v>0</v>
      </c>
      <c r="P485" s="27">
        <f>IF(K485="Válida",C485,NA())</f>
        <v>0</v>
      </c>
      <c r="Q485" s="27">
        <f>IF(K485="Válida",I485,NA())</f>
        <v>0</v>
      </c>
      <c r="R485" s="27">
        <f>IF(K485="Válida",J485,NA())</f>
        <v>0</v>
      </c>
      <c r="S485" s="27">
        <f>IF(K485="Válida",C485,"")</f>
        <v>0</v>
      </c>
      <c r="T485" s="27">
        <f>IF(K485="Válida",I485,"")</f>
        <v>0</v>
      </c>
      <c r="U485" s="27">
        <f>IF(K485="Válida",J485,"")</f>
        <v>0</v>
      </c>
    </row>
    <row r="486" spans="1:21">
      <c r="A486" s="25">
        <f>IF(MES!A486="","",MES!C486/48)</f>
        <v>0</v>
      </c>
      <c r="B486" s="26">
        <f>IF(A486="","",TEXT((N486*4+cfgDeslocamento)/48,"hh:mm")&amp;" a "&amp;TEXT(A486,"hh:mm"))</f>
        <v>0</v>
      </c>
      <c r="C486" s="27">
        <f>IF(A486="","",MES!B486)</f>
        <v>0</v>
      </c>
      <c r="D486" s="27">
        <f>IF(A486="","",IFERROR(AVERAGEIFS(Prensa!$B$2:$B$5001,Prensa!$E$2:$E$5001,N486,Prensa!$F$2:$F$5001,1,Prensa!$G$2:$G$5001,1),""))</f>
        <v>0</v>
      </c>
      <c r="E486" s="27">
        <f>IF(A486="","",IFERROR(AVERAGEIFS(Prensa!$B$2:$B$5001,Prensa!$E$2:$E$5001,N486,Prensa!$F$2:$F$5001,2,Prensa!$G$2:$G$5001,1),""))</f>
        <v>0</v>
      </c>
      <c r="F486" s="27">
        <f>IF(A486="","",IFERROR(AVERAGEIFS(Prensa!$B$2:$B$5001,Prensa!$E$2:$E$5001,N486,Prensa!$F$2:$F$5001,3,Prensa!$G$2:$G$5001,1),""))</f>
        <v>0</v>
      </c>
      <c r="G486" s="27">
        <f>IF(A486="","",IFERROR(AVERAGEIFS(Prensa!$B$2:$B$5001,Prensa!$E$2:$E$5001,N486,Prensa!$F$2:$F$5001,4,Prensa!$G$2:$G$5001,1),""))</f>
        <v>0</v>
      </c>
      <c r="H486" s="26">
        <f>IF(A486="","",COUNT(D486:G486))</f>
        <v>0</v>
      </c>
      <c r="I486" s="27">
        <f>IF(A486="","",IF(H486=0,"",AVERAGE(D486:G486)))</f>
        <v>0</v>
      </c>
      <c r="J486" s="27">
        <f>IF(OR(I486="",C486=""),"",I486-C486)</f>
        <v>0</v>
      </c>
      <c r="K486" s="26">
        <f>IF(A486="","",IF(MES!E486&lt;&gt;4,"Horário do MES fora do padrão",IF(H486&lt;cfgMinCortes,"Cortes insuficientes","Válida")))</f>
        <v>0</v>
      </c>
      <c r="L486" s="27">
        <f>IF(K486="Válida",ABS(J486),"")</f>
        <v>0</v>
      </c>
      <c r="M486" s="26">
        <f>IF(K486="Válida",IF(L486&lt;=cfgTolerancia,"Sim","Não"),"")</f>
        <v>0</v>
      </c>
      <c r="N486" s="26">
        <f>IF(A486="","",MES!D486)</f>
        <v>0</v>
      </c>
      <c r="O486" s="25">
        <f>IF(K486="Válida",A486,NA())</f>
        <v>0</v>
      </c>
      <c r="P486" s="27">
        <f>IF(K486="Válida",C486,NA())</f>
        <v>0</v>
      </c>
      <c r="Q486" s="27">
        <f>IF(K486="Válida",I486,NA())</f>
        <v>0</v>
      </c>
      <c r="R486" s="27">
        <f>IF(K486="Válida",J486,NA())</f>
        <v>0</v>
      </c>
      <c r="S486" s="27">
        <f>IF(K486="Válida",C486,"")</f>
        <v>0</v>
      </c>
      <c r="T486" s="27">
        <f>IF(K486="Válida",I486,"")</f>
        <v>0</v>
      </c>
      <c r="U486" s="27">
        <f>IF(K486="Válida",J486,"")</f>
        <v>0</v>
      </c>
    </row>
    <row r="487" spans="1:21">
      <c r="A487" s="25">
        <f>IF(MES!A487="","",MES!C487/48)</f>
        <v>0</v>
      </c>
      <c r="B487" s="26">
        <f>IF(A487="","",TEXT((N487*4+cfgDeslocamento)/48,"hh:mm")&amp;" a "&amp;TEXT(A487,"hh:mm"))</f>
        <v>0</v>
      </c>
      <c r="C487" s="27">
        <f>IF(A487="","",MES!B487)</f>
        <v>0</v>
      </c>
      <c r="D487" s="27">
        <f>IF(A487="","",IFERROR(AVERAGEIFS(Prensa!$B$2:$B$5001,Prensa!$E$2:$E$5001,N487,Prensa!$F$2:$F$5001,1,Prensa!$G$2:$G$5001,1),""))</f>
        <v>0</v>
      </c>
      <c r="E487" s="27">
        <f>IF(A487="","",IFERROR(AVERAGEIFS(Prensa!$B$2:$B$5001,Prensa!$E$2:$E$5001,N487,Prensa!$F$2:$F$5001,2,Prensa!$G$2:$G$5001,1),""))</f>
        <v>0</v>
      </c>
      <c r="F487" s="27">
        <f>IF(A487="","",IFERROR(AVERAGEIFS(Prensa!$B$2:$B$5001,Prensa!$E$2:$E$5001,N487,Prensa!$F$2:$F$5001,3,Prensa!$G$2:$G$5001,1),""))</f>
        <v>0</v>
      </c>
      <c r="G487" s="27">
        <f>IF(A487="","",IFERROR(AVERAGEIFS(Prensa!$B$2:$B$5001,Prensa!$E$2:$E$5001,N487,Prensa!$F$2:$F$5001,4,Prensa!$G$2:$G$5001,1),""))</f>
        <v>0</v>
      </c>
      <c r="H487" s="26">
        <f>IF(A487="","",COUNT(D487:G487))</f>
        <v>0</v>
      </c>
      <c r="I487" s="27">
        <f>IF(A487="","",IF(H487=0,"",AVERAGE(D487:G487)))</f>
        <v>0</v>
      </c>
      <c r="J487" s="27">
        <f>IF(OR(I487="",C487=""),"",I487-C487)</f>
        <v>0</v>
      </c>
      <c r="K487" s="26">
        <f>IF(A487="","",IF(MES!E487&lt;&gt;4,"Horário do MES fora do padrão",IF(H487&lt;cfgMinCortes,"Cortes insuficientes","Válida")))</f>
        <v>0</v>
      </c>
      <c r="L487" s="27">
        <f>IF(K487="Válida",ABS(J487),"")</f>
        <v>0</v>
      </c>
      <c r="M487" s="26">
        <f>IF(K487="Válida",IF(L487&lt;=cfgTolerancia,"Sim","Não"),"")</f>
        <v>0</v>
      </c>
      <c r="N487" s="26">
        <f>IF(A487="","",MES!D487)</f>
        <v>0</v>
      </c>
      <c r="O487" s="25">
        <f>IF(K487="Válida",A487,NA())</f>
        <v>0</v>
      </c>
      <c r="P487" s="27">
        <f>IF(K487="Válida",C487,NA())</f>
        <v>0</v>
      </c>
      <c r="Q487" s="27">
        <f>IF(K487="Válida",I487,NA())</f>
        <v>0</v>
      </c>
      <c r="R487" s="27">
        <f>IF(K487="Válida",J487,NA())</f>
        <v>0</v>
      </c>
      <c r="S487" s="27">
        <f>IF(K487="Válida",C487,"")</f>
        <v>0</v>
      </c>
      <c r="T487" s="27">
        <f>IF(K487="Válida",I487,"")</f>
        <v>0</v>
      </c>
      <c r="U487" s="27">
        <f>IF(K487="Válida",J487,"")</f>
        <v>0</v>
      </c>
    </row>
    <row r="488" spans="1:21">
      <c r="A488" s="25">
        <f>IF(MES!A488="","",MES!C488/48)</f>
        <v>0</v>
      </c>
      <c r="B488" s="26">
        <f>IF(A488="","",TEXT((N488*4+cfgDeslocamento)/48,"hh:mm")&amp;" a "&amp;TEXT(A488,"hh:mm"))</f>
        <v>0</v>
      </c>
      <c r="C488" s="27">
        <f>IF(A488="","",MES!B488)</f>
        <v>0</v>
      </c>
      <c r="D488" s="27">
        <f>IF(A488="","",IFERROR(AVERAGEIFS(Prensa!$B$2:$B$5001,Prensa!$E$2:$E$5001,N488,Prensa!$F$2:$F$5001,1,Prensa!$G$2:$G$5001,1),""))</f>
        <v>0</v>
      </c>
      <c r="E488" s="27">
        <f>IF(A488="","",IFERROR(AVERAGEIFS(Prensa!$B$2:$B$5001,Prensa!$E$2:$E$5001,N488,Prensa!$F$2:$F$5001,2,Prensa!$G$2:$G$5001,1),""))</f>
        <v>0</v>
      </c>
      <c r="F488" s="27">
        <f>IF(A488="","",IFERROR(AVERAGEIFS(Prensa!$B$2:$B$5001,Prensa!$E$2:$E$5001,N488,Prensa!$F$2:$F$5001,3,Prensa!$G$2:$G$5001,1),""))</f>
        <v>0</v>
      </c>
      <c r="G488" s="27">
        <f>IF(A488="","",IFERROR(AVERAGEIFS(Prensa!$B$2:$B$5001,Prensa!$E$2:$E$5001,N488,Prensa!$F$2:$F$5001,4,Prensa!$G$2:$G$5001,1),""))</f>
        <v>0</v>
      </c>
      <c r="H488" s="26">
        <f>IF(A488="","",COUNT(D488:G488))</f>
        <v>0</v>
      </c>
      <c r="I488" s="27">
        <f>IF(A488="","",IF(H488=0,"",AVERAGE(D488:G488)))</f>
        <v>0</v>
      </c>
      <c r="J488" s="27">
        <f>IF(OR(I488="",C488=""),"",I488-C488)</f>
        <v>0</v>
      </c>
      <c r="K488" s="26">
        <f>IF(A488="","",IF(MES!E488&lt;&gt;4,"Horário do MES fora do padrão",IF(H488&lt;cfgMinCortes,"Cortes insuficientes","Válida")))</f>
        <v>0</v>
      </c>
      <c r="L488" s="27">
        <f>IF(K488="Válida",ABS(J488),"")</f>
        <v>0</v>
      </c>
      <c r="M488" s="26">
        <f>IF(K488="Válida",IF(L488&lt;=cfgTolerancia,"Sim","Não"),"")</f>
        <v>0</v>
      </c>
      <c r="N488" s="26">
        <f>IF(A488="","",MES!D488)</f>
        <v>0</v>
      </c>
      <c r="O488" s="25">
        <f>IF(K488="Válida",A488,NA())</f>
        <v>0</v>
      </c>
      <c r="P488" s="27">
        <f>IF(K488="Válida",C488,NA())</f>
        <v>0</v>
      </c>
      <c r="Q488" s="27">
        <f>IF(K488="Válida",I488,NA())</f>
        <v>0</v>
      </c>
      <c r="R488" s="27">
        <f>IF(K488="Válida",J488,NA())</f>
        <v>0</v>
      </c>
      <c r="S488" s="27">
        <f>IF(K488="Válida",C488,"")</f>
        <v>0</v>
      </c>
      <c r="T488" s="27">
        <f>IF(K488="Válida",I488,"")</f>
        <v>0</v>
      </c>
      <c r="U488" s="27">
        <f>IF(K488="Válida",J488,"")</f>
        <v>0</v>
      </c>
    </row>
    <row r="489" spans="1:21">
      <c r="A489" s="25">
        <f>IF(MES!A489="","",MES!C489/48)</f>
        <v>0</v>
      </c>
      <c r="B489" s="26">
        <f>IF(A489="","",TEXT((N489*4+cfgDeslocamento)/48,"hh:mm")&amp;" a "&amp;TEXT(A489,"hh:mm"))</f>
        <v>0</v>
      </c>
      <c r="C489" s="27">
        <f>IF(A489="","",MES!B489)</f>
        <v>0</v>
      </c>
      <c r="D489" s="27">
        <f>IF(A489="","",IFERROR(AVERAGEIFS(Prensa!$B$2:$B$5001,Prensa!$E$2:$E$5001,N489,Prensa!$F$2:$F$5001,1,Prensa!$G$2:$G$5001,1),""))</f>
        <v>0</v>
      </c>
      <c r="E489" s="27">
        <f>IF(A489="","",IFERROR(AVERAGEIFS(Prensa!$B$2:$B$5001,Prensa!$E$2:$E$5001,N489,Prensa!$F$2:$F$5001,2,Prensa!$G$2:$G$5001,1),""))</f>
        <v>0</v>
      </c>
      <c r="F489" s="27">
        <f>IF(A489="","",IFERROR(AVERAGEIFS(Prensa!$B$2:$B$5001,Prensa!$E$2:$E$5001,N489,Prensa!$F$2:$F$5001,3,Prensa!$G$2:$G$5001,1),""))</f>
        <v>0</v>
      </c>
      <c r="G489" s="27">
        <f>IF(A489="","",IFERROR(AVERAGEIFS(Prensa!$B$2:$B$5001,Prensa!$E$2:$E$5001,N489,Prensa!$F$2:$F$5001,4,Prensa!$G$2:$G$5001,1),""))</f>
        <v>0</v>
      </c>
      <c r="H489" s="26">
        <f>IF(A489="","",COUNT(D489:G489))</f>
        <v>0</v>
      </c>
      <c r="I489" s="27">
        <f>IF(A489="","",IF(H489=0,"",AVERAGE(D489:G489)))</f>
        <v>0</v>
      </c>
      <c r="J489" s="27">
        <f>IF(OR(I489="",C489=""),"",I489-C489)</f>
        <v>0</v>
      </c>
      <c r="K489" s="26">
        <f>IF(A489="","",IF(MES!E489&lt;&gt;4,"Horário do MES fora do padrão",IF(H489&lt;cfgMinCortes,"Cortes insuficientes","Válida")))</f>
        <v>0</v>
      </c>
      <c r="L489" s="27">
        <f>IF(K489="Válida",ABS(J489),"")</f>
        <v>0</v>
      </c>
      <c r="M489" s="26">
        <f>IF(K489="Válida",IF(L489&lt;=cfgTolerancia,"Sim","Não"),"")</f>
        <v>0</v>
      </c>
      <c r="N489" s="26">
        <f>IF(A489="","",MES!D489)</f>
        <v>0</v>
      </c>
      <c r="O489" s="25">
        <f>IF(K489="Válida",A489,NA())</f>
        <v>0</v>
      </c>
      <c r="P489" s="27">
        <f>IF(K489="Válida",C489,NA())</f>
        <v>0</v>
      </c>
      <c r="Q489" s="27">
        <f>IF(K489="Válida",I489,NA())</f>
        <v>0</v>
      </c>
      <c r="R489" s="27">
        <f>IF(K489="Válida",J489,NA())</f>
        <v>0</v>
      </c>
      <c r="S489" s="27">
        <f>IF(K489="Válida",C489,"")</f>
        <v>0</v>
      </c>
      <c r="T489" s="27">
        <f>IF(K489="Válida",I489,"")</f>
        <v>0</v>
      </c>
      <c r="U489" s="27">
        <f>IF(K489="Válida",J489,"")</f>
        <v>0</v>
      </c>
    </row>
    <row r="490" spans="1:21">
      <c r="A490" s="25">
        <f>IF(MES!A490="","",MES!C490/48)</f>
        <v>0</v>
      </c>
      <c r="B490" s="26">
        <f>IF(A490="","",TEXT((N490*4+cfgDeslocamento)/48,"hh:mm")&amp;" a "&amp;TEXT(A490,"hh:mm"))</f>
        <v>0</v>
      </c>
      <c r="C490" s="27">
        <f>IF(A490="","",MES!B490)</f>
        <v>0</v>
      </c>
      <c r="D490" s="27">
        <f>IF(A490="","",IFERROR(AVERAGEIFS(Prensa!$B$2:$B$5001,Prensa!$E$2:$E$5001,N490,Prensa!$F$2:$F$5001,1,Prensa!$G$2:$G$5001,1),""))</f>
        <v>0</v>
      </c>
      <c r="E490" s="27">
        <f>IF(A490="","",IFERROR(AVERAGEIFS(Prensa!$B$2:$B$5001,Prensa!$E$2:$E$5001,N490,Prensa!$F$2:$F$5001,2,Prensa!$G$2:$G$5001,1),""))</f>
        <v>0</v>
      </c>
      <c r="F490" s="27">
        <f>IF(A490="","",IFERROR(AVERAGEIFS(Prensa!$B$2:$B$5001,Prensa!$E$2:$E$5001,N490,Prensa!$F$2:$F$5001,3,Prensa!$G$2:$G$5001,1),""))</f>
        <v>0</v>
      </c>
      <c r="G490" s="27">
        <f>IF(A490="","",IFERROR(AVERAGEIFS(Prensa!$B$2:$B$5001,Prensa!$E$2:$E$5001,N490,Prensa!$F$2:$F$5001,4,Prensa!$G$2:$G$5001,1),""))</f>
        <v>0</v>
      </c>
      <c r="H490" s="26">
        <f>IF(A490="","",COUNT(D490:G490))</f>
        <v>0</v>
      </c>
      <c r="I490" s="27">
        <f>IF(A490="","",IF(H490=0,"",AVERAGE(D490:G490)))</f>
        <v>0</v>
      </c>
      <c r="J490" s="27">
        <f>IF(OR(I490="",C490=""),"",I490-C490)</f>
        <v>0</v>
      </c>
      <c r="K490" s="26">
        <f>IF(A490="","",IF(MES!E490&lt;&gt;4,"Horário do MES fora do padrão",IF(H490&lt;cfgMinCortes,"Cortes insuficientes","Válida")))</f>
        <v>0</v>
      </c>
      <c r="L490" s="27">
        <f>IF(K490="Válida",ABS(J490),"")</f>
        <v>0</v>
      </c>
      <c r="M490" s="26">
        <f>IF(K490="Válida",IF(L490&lt;=cfgTolerancia,"Sim","Não"),"")</f>
        <v>0</v>
      </c>
      <c r="N490" s="26">
        <f>IF(A490="","",MES!D490)</f>
        <v>0</v>
      </c>
      <c r="O490" s="25">
        <f>IF(K490="Válida",A490,NA())</f>
        <v>0</v>
      </c>
      <c r="P490" s="27">
        <f>IF(K490="Válida",C490,NA())</f>
        <v>0</v>
      </c>
      <c r="Q490" s="27">
        <f>IF(K490="Válida",I490,NA())</f>
        <v>0</v>
      </c>
      <c r="R490" s="27">
        <f>IF(K490="Válida",J490,NA())</f>
        <v>0</v>
      </c>
      <c r="S490" s="27">
        <f>IF(K490="Válida",C490,"")</f>
        <v>0</v>
      </c>
      <c r="T490" s="27">
        <f>IF(K490="Válida",I490,"")</f>
        <v>0</v>
      </c>
      <c r="U490" s="27">
        <f>IF(K490="Válida",J490,"")</f>
        <v>0</v>
      </c>
    </row>
    <row r="491" spans="1:21">
      <c r="A491" s="25">
        <f>IF(MES!A491="","",MES!C491/48)</f>
        <v>0</v>
      </c>
      <c r="B491" s="26">
        <f>IF(A491="","",TEXT((N491*4+cfgDeslocamento)/48,"hh:mm")&amp;" a "&amp;TEXT(A491,"hh:mm"))</f>
        <v>0</v>
      </c>
      <c r="C491" s="27">
        <f>IF(A491="","",MES!B491)</f>
        <v>0</v>
      </c>
      <c r="D491" s="27">
        <f>IF(A491="","",IFERROR(AVERAGEIFS(Prensa!$B$2:$B$5001,Prensa!$E$2:$E$5001,N491,Prensa!$F$2:$F$5001,1,Prensa!$G$2:$G$5001,1),""))</f>
        <v>0</v>
      </c>
      <c r="E491" s="27">
        <f>IF(A491="","",IFERROR(AVERAGEIFS(Prensa!$B$2:$B$5001,Prensa!$E$2:$E$5001,N491,Prensa!$F$2:$F$5001,2,Prensa!$G$2:$G$5001,1),""))</f>
        <v>0</v>
      </c>
      <c r="F491" s="27">
        <f>IF(A491="","",IFERROR(AVERAGEIFS(Prensa!$B$2:$B$5001,Prensa!$E$2:$E$5001,N491,Prensa!$F$2:$F$5001,3,Prensa!$G$2:$G$5001,1),""))</f>
        <v>0</v>
      </c>
      <c r="G491" s="27">
        <f>IF(A491="","",IFERROR(AVERAGEIFS(Prensa!$B$2:$B$5001,Prensa!$E$2:$E$5001,N491,Prensa!$F$2:$F$5001,4,Prensa!$G$2:$G$5001,1),""))</f>
        <v>0</v>
      </c>
      <c r="H491" s="26">
        <f>IF(A491="","",COUNT(D491:G491))</f>
        <v>0</v>
      </c>
      <c r="I491" s="27">
        <f>IF(A491="","",IF(H491=0,"",AVERAGE(D491:G491)))</f>
        <v>0</v>
      </c>
      <c r="J491" s="27">
        <f>IF(OR(I491="",C491=""),"",I491-C491)</f>
        <v>0</v>
      </c>
      <c r="K491" s="26">
        <f>IF(A491="","",IF(MES!E491&lt;&gt;4,"Horário do MES fora do padrão",IF(H491&lt;cfgMinCortes,"Cortes insuficientes","Válida")))</f>
        <v>0</v>
      </c>
      <c r="L491" s="27">
        <f>IF(K491="Válida",ABS(J491),"")</f>
        <v>0</v>
      </c>
      <c r="M491" s="26">
        <f>IF(K491="Válida",IF(L491&lt;=cfgTolerancia,"Sim","Não"),"")</f>
        <v>0</v>
      </c>
      <c r="N491" s="26">
        <f>IF(A491="","",MES!D491)</f>
        <v>0</v>
      </c>
      <c r="O491" s="25">
        <f>IF(K491="Válida",A491,NA())</f>
        <v>0</v>
      </c>
      <c r="P491" s="27">
        <f>IF(K491="Válida",C491,NA())</f>
        <v>0</v>
      </c>
      <c r="Q491" s="27">
        <f>IF(K491="Válida",I491,NA())</f>
        <v>0</v>
      </c>
      <c r="R491" s="27">
        <f>IF(K491="Válida",J491,NA())</f>
        <v>0</v>
      </c>
      <c r="S491" s="27">
        <f>IF(K491="Válida",C491,"")</f>
        <v>0</v>
      </c>
      <c r="T491" s="27">
        <f>IF(K491="Válida",I491,"")</f>
        <v>0</v>
      </c>
      <c r="U491" s="27">
        <f>IF(K491="Válida",J491,"")</f>
        <v>0</v>
      </c>
    </row>
    <row r="492" spans="1:21">
      <c r="A492" s="25">
        <f>IF(MES!A492="","",MES!C492/48)</f>
        <v>0</v>
      </c>
      <c r="B492" s="26">
        <f>IF(A492="","",TEXT((N492*4+cfgDeslocamento)/48,"hh:mm")&amp;" a "&amp;TEXT(A492,"hh:mm"))</f>
        <v>0</v>
      </c>
      <c r="C492" s="27">
        <f>IF(A492="","",MES!B492)</f>
        <v>0</v>
      </c>
      <c r="D492" s="27">
        <f>IF(A492="","",IFERROR(AVERAGEIFS(Prensa!$B$2:$B$5001,Prensa!$E$2:$E$5001,N492,Prensa!$F$2:$F$5001,1,Prensa!$G$2:$G$5001,1),""))</f>
        <v>0</v>
      </c>
      <c r="E492" s="27">
        <f>IF(A492="","",IFERROR(AVERAGEIFS(Prensa!$B$2:$B$5001,Prensa!$E$2:$E$5001,N492,Prensa!$F$2:$F$5001,2,Prensa!$G$2:$G$5001,1),""))</f>
        <v>0</v>
      </c>
      <c r="F492" s="27">
        <f>IF(A492="","",IFERROR(AVERAGEIFS(Prensa!$B$2:$B$5001,Prensa!$E$2:$E$5001,N492,Prensa!$F$2:$F$5001,3,Prensa!$G$2:$G$5001,1),""))</f>
        <v>0</v>
      </c>
      <c r="G492" s="27">
        <f>IF(A492="","",IFERROR(AVERAGEIFS(Prensa!$B$2:$B$5001,Prensa!$E$2:$E$5001,N492,Prensa!$F$2:$F$5001,4,Prensa!$G$2:$G$5001,1),""))</f>
        <v>0</v>
      </c>
      <c r="H492" s="26">
        <f>IF(A492="","",COUNT(D492:G492))</f>
        <v>0</v>
      </c>
      <c r="I492" s="27">
        <f>IF(A492="","",IF(H492=0,"",AVERAGE(D492:G492)))</f>
        <v>0</v>
      </c>
      <c r="J492" s="27">
        <f>IF(OR(I492="",C492=""),"",I492-C492)</f>
        <v>0</v>
      </c>
      <c r="K492" s="26">
        <f>IF(A492="","",IF(MES!E492&lt;&gt;4,"Horário do MES fora do padrão",IF(H492&lt;cfgMinCortes,"Cortes insuficientes","Válida")))</f>
        <v>0</v>
      </c>
      <c r="L492" s="27">
        <f>IF(K492="Válida",ABS(J492),"")</f>
        <v>0</v>
      </c>
      <c r="M492" s="26">
        <f>IF(K492="Válida",IF(L492&lt;=cfgTolerancia,"Sim","Não"),"")</f>
        <v>0</v>
      </c>
      <c r="N492" s="26">
        <f>IF(A492="","",MES!D492)</f>
        <v>0</v>
      </c>
      <c r="O492" s="25">
        <f>IF(K492="Válida",A492,NA())</f>
        <v>0</v>
      </c>
      <c r="P492" s="27">
        <f>IF(K492="Válida",C492,NA())</f>
        <v>0</v>
      </c>
      <c r="Q492" s="27">
        <f>IF(K492="Válida",I492,NA())</f>
        <v>0</v>
      </c>
      <c r="R492" s="27">
        <f>IF(K492="Válida",J492,NA())</f>
        <v>0</v>
      </c>
      <c r="S492" s="27">
        <f>IF(K492="Válida",C492,"")</f>
        <v>0</v>
      </c>
      <c r="T492" s="27">
        <f>IF(K492="Válida",I492,"")</f>
        <v>0</v>
      </c>
      <c r="U492" s="27">
        <f>IF(K492="Válida",J492,"")</f>
        <v>0</v>
      </c>
    </row>
    <row r="493" spans="1:21">
      <c r="A493" s="25">
        <f>IF(MES!A493="","",MES!C493/48)</f>
        <v>0</v>
      </c>
      <c r="B493" s="26">
        <f>IF(A493="","",TEXT((N493*4+cfgDeslocamento)/48,"hh:mm")&amp;" a "&amp;TEXT(A493,"hh:mm"))</f>
        <v>0</v>
      </c>
      <c r="C493" s="27">
        <f>IF(A493="","",MES!B493)</f>
        <v>0</v>
      </c>
      <c r="D493" s="27">
        <f>IF(A493="","",IFERROR(AVERAGEIFS(Prensa!$B$2:$B$5001,Prensa!$E$2:$E$5001,N493,Prensa!$F$2:$F$5001,1,Prensa!$G$2:$G$5001,1),""))</f>
        <v>0</v>
      </c>
      <c r="E493" s="27">
        <f>IF(A493="","",IFERROR(AVERAGEIFS(Prensa!$B$2:$B$5001,Prensa!$E$2:$E$5001,N493,Prensa!$F$2:$F$5001,2,Prensa!$G$2:$G$5001,1),""))</f>
        <v>0</v>
      </c>
      <c r="F493" s="27">
        <f>IF(A493="","",IFERROR(AVERAGEIFS(Prensa!$B$2:$B$5001,Prensa!$E$2:$E$5001,N493,Prensa!$F$2:$F$5001,3,Prensa!$G$2:$G$5001,1),""))</f>
        <v>0</v>
      </c>
      <c r="G493" s="27">
        <f>IF(A493="","",IFERROR(AVERAGEIFS(Prensa!$B$2:$B$5001,Prensa!$E$2:$E$5001,N493,Prensa!$F$2:$F$5001,4,Prensa!$G$2:$G$5001,1),""))</f>
        <v>0</v>
      </c>
      <c r="H493" s="26">
        <f>IF(A493="","",COUNT(D493:G493))</f>
        <v>0</v>
      </c>
      <c r="I493" s="27">
        <f>IF(A493="","",IF(H493=0,"",AVERAGE(D493:G493)))</f>
        <v>0</v>
      </c>
      <c r="J493" s="27">
        <f>IF(OR(I493="",C493=""),"",I493-C493)</f>
        <v>0</v>
      </c>
      <c r="K493" s="26">
        <f>IF(A493="","",IF(MES!E493&lt;&gt;4,"Horário do MES fora do padrão",IF(H493&lt;cfgMinCortes,"Cortes insuficientes","Válida")))</f>
        <v>0</v>
      </c>
      <c r="L493" s="27">
        <f>IF(K493="Válida",ABS(J493),"")</f>
        <v>0</v>
      </c>
      <c r="M493" s="26">
        <f>IF(K493="Válida",IF(L493&lt;=cfgTolerancia,"Sim","Não"),"")</f>
        <v>0</v>
      </c>
      <c r="N493" s="26">
        <f>IF(A493="","",MES!D493)</f>
        <v>0</v>
      </c>
      <c r="O493" s="25">
        <f>IF(K493="Válida",A493,NA())</f>
        <v>0</v>
      </c>
      <c r="P493" s="27">
        <f>IF(K493="Válida",C493,NA())</f>
        <v>0</v>
      </c>
      <c r="Q493" s="27">
        <f>IF(K493="Válida",I493,NA())</f>
        <v>0</v>
      </c>
      <c r="R493" s="27">
        <f>IF(K493="Válida",J493,NA())</f>
        <v>0</v>
      </c>
      <c r="S493" s="27">
        <f>IF(K493="Válida",C493,"")</f>
        <v>0</v>
      </c>
      <c r="T493" s="27">
        <f>IF(K493="Válida",I493,"")</f>
        <v>0</v>
      </c>
      <c r="U493" s="27">
        <f>IF(K493="Válida",J493,"")</f>
        <v>0</v>
      </c>
    </row>
    <row r="494" spans="1:21">
      <c r="A494" s="25">
        <f>IF(MES!A494="","",MES!C494/48)</f>
        <v>0</v>
      </c>
      <c r="B494" s="26">
        <f>IF(A494="","",TEXT((N494*4+cfgDeslocamento)/48,"hh:mm")&amp;" a "&amp;TEXT(A494,"hh:mm"))</f>
        <v>0</v>
      </c>
      <c r="C494" s="27">
        <f>IF(A494="","",MES!B494)</f>
        <v>0</v>
      </c>
      <c r="D494" s="27">
        <f>IF(A494="","",IFERROR(AVERAGEIFS(Prensa!$B$2:$B$5001,Prensa!$E$2:$E$5001,N494,Prensa!$F$2:$F$5001,1,Prensa!$G$2:$G$5001,1),""))</f>
        <v>0</v>
      </c>
      <c r="E494" s="27">
        <f>IF(A494="","",IFERROR(AVERAGEIFS(Prensa!$B$2:$B$5001,Prensa!$E$2:$E$5001,N494,Prensa!$F$2:$F$5001,2,Prensa!$G$2:$G$5001,1),""))</f>
        <v>0</v>
      </c>
      <c r="F494" s="27">
        <f>IF(A494="","",IFERROR(AVERAGEIFS(Prensa!$B$2:$B$5001,Prensa!$E$2:$E$5001,N494,Prensa!$F$2:$F$5001,3,Prensa!$G$2:$G$5001,1),""))</f>
        <v>0</v>
      </c>
      <c r="G494" s="27">
        <f>IF(A494="","",IFERROR(AVERAGEIFS(Prensa!$B$2:$B$5001,Prensa!$E$2:$E$5001,N494,Prensa!$F$2:$F$5001,4,Prensa!$G$2:$G$5001,1),""))</f>
        <v>0</v>
      </c>
      <c r="H494" s="26">
        <f>IF(A494="","",COUNT(D494:G494))</f>
        <v>0</v>
      </c>
      <c r="I494" s="27">
        <f>IF(A494="","",IF(H494=0,"",AVERAGE(D494:G494)))</f>
        <v>0</v>
      </c>
      <c r="J494" s="27">
        <f>IF(OR(I494="",C494=""),"",I494-C494)</f>
        <v>0</v>
      </c>
      <c r="K494" s="26">
        <f>IF(A494="","",IF(MES!E494&lt;&gt;4,"Horário do MES fora do padrão",IF(H494&lt;cfgMinCortes,"Cortes insuficientes","Válida")))</f>
        <v>0</v>
      </c>
      <c r="L494" s="27">
        <f>IF(K494="Válida",ABS(J494),"")</f>
        <v>0</v>
      </c>
      <c r="M494" s="26">
        <f>IF(K494="Válida",IF(L494&lt;=cfgTolerancia,"Sim","Não"),"")</f>
        <v>0</v>
      </c>
      <c r="N494" s="26">
        <f>IF(A494="","",MES!D494)</f>
        <v>0</v>
      </c>
      <c r="O494" s="25">
        <f>IF(K494="Válida",A494,NA())</f>
        <v>0</v>
      </c>
      <c r="P494" s="27">
        <f>IF(K494="Válida",C494,NA())</f>
        <v>0</v>
      </c>
      <c r="Q494" s="27">
        <f>IF(K494="Válida",I494,NA())</f>
        <v>0</v>
      </c>
      <c r="R494" s="27">
        <f>IF(K494="Válida",J494,NA())</f>
        <v>0</v>
      </c>
      <c r="S494" s="27">
        <f>IF(K494="Válida",C494,"")</f>
        <v>0</v>
      </c>
      <c r="T494" s="27">
        <f>IF(K494="Válida",I494,"")</f>
        <v>0</v>
      </c>
      <c r="U494" s="27">
        <f>IF(K494="Válida",J494,"")</f>
        <v>0</v>
      </c>
    </row>
    <row r="495" spans="1:21">
      <c r="A495" s="25">
        <f>IF(MES!A495="","",MES!C495/48)</f>
        <v>0</v>
      </c>
      <c r="B495" s="26">
        <f>IF(A495="","",TEXT((N495*4+cfgDeslocamento)/48,"hh:mm")&amp;" a "&amp;TEXT(A495,"hh:mm"))</f>
        <v>0</v>
      </c>
      <c r="C495" s="27">
        <f>IF(A495="","",MES!B495)</f>
        <v>0</v>
      </c>
      <c r="D495" s="27">
        <f>IF(A495="","",IFERROR(AVERAGEIFS(Prensa!$B$2:$B$5001,Prensa!$E$2:$E$5001,N495,Prensa!$F$2:$F$5001,1,Prensa!$G$2:$G$5001,1),""))</f>
        <v>0</v>
      </c>
      <c r="E495" s="27">
        <f>IF(A495="","",IFERROR(AVERAGEIFS(Prensa!$B$2:$B$5001,Prensa!$E$2:$E$5001,N495,Prensa!$F$2:$F$5001,2,Prensa!$G$2:$G$5001,1),""))</f>
        <v>0</v>
      </c>
      <c r="F495" s="27">
        <f>IF(A495="","",IFERROR(AVERAGEIFS(Prensa!$B$2:$B$5001,Prensa!$E$2:$E$5001,N495,Prensa!$F$2:$F$5001,3,Prensa!$G$2:$G$5001,1),""))</f>
        <v>0</v>
      </c>
      <c r="G495" s="27">
        <f>IF(A495="","",IFERROR(AVERAGEIFS(Prensa!$B$2:$B$5001,Prensa!$E$2:$E$5001,N495,Prensa!$F$2:$F$5001,4,Prensa!$G$2:$G$5001,1),""))</f>
        <v>0</v>
      </c>
      <c r="H495" s="26">
        <f>IF(A495="","",COUNT(D495:G495))</f>
        <v>0</v>
      </c>
      <c r="I495" s="27">
        <f>IF(A495="","",IF(H495=0,"",AVERAGE(D495:G495)))</f>
        <v>0</v>
      </c>
      <c r="J495" s="27">
        <f>IF(OR(I495="",C495=""),"",I495-C495)</f>
        <v>0</v>
      </c>
      <c r="K495" s="26">
        <f>IF(A495="","",IF(MES!E495&lt;&gt;4,"Horário do MES fora do padrão",IF(H495&lt;cfgMinCortes,"Cortes insuficientes","Válida")))</f>
        <v>0</v>
      </c>
      <c r="L495" s="27">
        <f>IF(K495="Válida",ABS(J495),"")</f>
        <v>0</v>
      </c>
      <c r="M495" s="26">
        <f>IF(K495="Válida",IF(L495&lt;=cfgTolerancia,"Sim","Não"),"")</f>
        <v>0</v>
      </c>
      <c r="N495" s="26">
        <f>IF(A495="","",MES!D495)</f>
        <v>0</v>
      </c>
      <c r="O495" s="25">
        <f>IF(K495="Válida",A495,NA())</f>
        <v>0</v>
      </c>
      <c r="P495" s="27">
        <f>IF(K495="Válida",C495,NA())</f>
        <v>0</v>
      </c>
      <c r="Q495" s="27">
        <f>IF(K495="Válida",I495,NA())</f>
        <v>0</v>
      </c>
      <c r="R495" s="27">
        <f>IF(K495="Válida",J495,NA())</f>
        <v>0</v>
      </c>
      <c r="S495" s="27">
        <f>IF(K495="Válida",C495,"")</f>
        <v>0</v>
      </c>
      <c r="T495" s="27">
        <f>IF(K495="Válida",I495,"")</f>
        <v>0</v>
      </c>
      <c r="U495" s="27">
        <f>IF(K495="Válida",J495,"")</f>
        <v>0</v>
      </c>
    </row>
    <row r="496" spans="1:21">
      <c r="A496" s="25">
        <f>IF(MES!A496="","",MES!C496/48)</f>
        <v>0</v>
      </c>
      <c r="B496" s="26">
        <f>IF(A496="","",TEXT((N496*4+cfgDeslocamento)/48,"hh:mm")&amp;" a "&amp;TEXT(A496,"hh:mm"))</f>
        <v>0</v>
      </c>
      <c r="C496" s="27">
        <f>IF(A496="","",MES!B496)</f>
        <v>0</v>
      </c>
      <c r="D496" s="27">
        <f>IF(A496="","",IFERROR(AVERAGEIFS(Prensa!$B$2:$B$5001,Prensa!$E$2:$E$5001,N496,Prensa!$F$2:$F$5001,1,Prensa!$G$2:$G$5001,1),""))</f>
        <v>0</v>
      </c>
      <c r="E496" s="27">
        <f>IF(A496="","",IFERROR(AVERAGEIFS(Prensa!$B$2:$B$5001,Prensa!$E$2:$E$5001,N496,Prensa!$F$2:$F$5001,2,Prensa!$G$2:$G$5001,1),""))</f>
        <v>0</v>
      </c>
      <c r="F496" s="27">
        <f>IF(A496="","",IFERROR(AVERAGEIFS(Prensa!$B$2:$B$5001,Prensa!$E$2:$E$5001,N496,Prensa!$F$2:$F$5001,3,Prensa!$G$2:$G$5001,1),""))</f>
        <v>0</v>
      </c>
      <c r="G496" s="27">
        <f>IF(A496="","",IFERROR(AVERAGEIFS(Prensa!$B$2:$B$5001,Prensa!$E$2:$E$5001,N496,Prensa!$F$2:$F$5001,4,Prensa!$G$2:$G$5001,1),""))</f>
        <v>0</v>
      </c>
      <c r="H496" s="26">
        <f>IF(A496="","",COUNT(D496:G496))</f>
        <v>0</v>
      </c>
      <c r="I496" s="27">
        <f>IF(A496="","",IF(H496=0,"",AVERAGE(D496:G496)))</f>
        <v>0</v>
      </c>
      <c r="J496" s="27">
        <f>IF(OR(I496="",C496=""),"",I496-C496)</f>
        <v>0</v>
      </c>
      <c r="K496" s="26">
        <f>IF(A496="","",IF(MES!E496&lt;&gt;4,"Horário do MES fora do padrão",IF(H496&lt;cfgMinCortes,"Cortes insuficientes","Válida")))</f>
        <v>0</v>
      </c>
      <c r="L496" s="27">
        <f>IF(K496="Válida",ABS(J496),"")</f>
        <v>0</v>
      </c>
      <c r="M496" s="26">
        <f>IF(K496="Válida",IF(L496&lt;=cfgTolerancia,"Sim","Não"),"")</f>
        <v>0</v>
      </c>
      <c r="N496" s="26">
        <f>IF(A496="","",MES!D496)</f>
        <v>0</v>
      </c>
      <c r="O496" s="25">
        <f>IF(K496="Válida",A496,NA())</f>
        <v>0</v>
      </c>
      <c r="P496" s="27">
        <f>IF(K496="Válida",C496,NA())</f>
        <v>0</v>
      </c>
      <c r="Q496" s="27">
        <f>IF(K496="Válida",I496,NA())</f>
        <v>0</v>
      </c>
      <c r="R496" s="27">
        <f>IF(K496="Válida",J496,NA())</f>
        <v>0</v>
      </c>
      <c r="S496" s="27">
        <f>IF(K496="Válida",C496,"")</f>
        <v>0</v>
      </c>
      <c r="T496" s="27">
        <f>IF(K496="Válida",I496,"")</f>
        <v>0</v>
      </c>
      <c r="U496" s="27">
        <f>IF(K496="Válida",J496,"")</f>
        <v>0</v>
      </c>
    </row>
    <row r="497" spans="1:21">
      <c r="A497" s="25">
        <f>IF(MES!A497="","",MES!C497/48)</f>
        <v>0</v>
      </c>
      <c r="B497" s="26">
        <f>IF(A497="","",TEXT((N497*4+cfgDeslocamento)/48,"hh:mm")&amp;" a "&amp;TEXT(A497,"hh:mm"))</f>
        <v>0</v>
      </c>
      <c r="C497" s="27">
        <f>IF(A497="","",MES!B497)</f>
        <v>0</v>
      </c>
      <c r="D497" s="27">
        <f>IF(A497="","",IFERROR(AVERAGEIFS(Prensa!$B$2:$B$5001,Prensa!$E$2:$E$5001,N497,Prensa!$F$2:$F$5001,1,Prensa!$G$2:$G$5001,1),""))</f>
        <v>0</v>
      </c>
      <c r="E497" s="27">
        <f>IF(A497="","",IFERROR(AVERAGEIFS(Prensa!$B$2:$B$5001,Prensa!$E$2:$E$5001,N497,Prensa!$F$2:$F$5001,2,Prensa!$G$2:$G$5001,1),""))</f>
        <v>0</v>
      </c>
      <c r="F497" s="27">
        <f>IF(A497="","",IFERROR(AVERAGEIFS(Prensa!$B$2:$B$5001,Prensa!$E$2:$E$5001,N497,Prensa!$F$2:$F$5001,3,Prensa!$G$2:$G$5001,1),""))</f>
        <v>0</v>
      </c>
      <c r="G497" s="27">
        <f>IF(A497="","",IFERROR(AVERAGEIFS(Prensa!$B$2:$B$5001,Prensa!$E$2:$E$5001,N497,Prensa!$F$2:$F$5001,4,Prensa!$G$2:$G$5001,1),""))</f>
        <v>0</v>
      </c>
      <c r="H497" s="26">
        <f>IF(A497="","",COUNT(D497:G497))</f>
        <v>0</v>
      </c>
      <c r="I497" s="27">
        <f>IF(A497="","",IF(H497=0,"",AVERAGE(D497:G497)))</f>
        <v>0</v>
      </c>
      <c r="J497" s="27">
        <f>IF(OR(I497="",C497=""),"",I497-C497)</f>
        <v>0</v>
      </c>
      <c r="K497" s="26">
        <f>IF(A497="","",IF(MES!E497&lt;&gt;4,"Horário do MES fora do padrão",IF(H497&lt;cfgMinCortes,"Cortes insuficientes","Válida")))</f>
        <v>0</v>
      </c>
      <c r="L497" s="27">
        <f>IF(K497="Válida",ABS(J497),"")</f>
        <v>0</v>
      </c>
      <c r="M497" s="26">
        <f>IF(K497="Válida",IF(L497&lt;=cfgTolerancia,"Sim","Não"),"")</f>
        <v>0</v>
      </c>
      <c r="N497" s="26">
        <f>IF(A497="","",MES!D497)</f>
        <v>0</v>
      </c>
      <c r="O497" s="25">
        <f>IF(K497="Válida",A497,NA())</f>
        <v>0</v>
      </c>
      <c r="P497" s="27">
        <f>IF(K497="Válida",C497,NA())</f>
        <v>0</v>
      </c>
      <c r="Q497" s="27">
        <f>IF(K497="Válida",I497,NA())</f>
        <v>0</v>
      </c>
      <c r="R497" s="27">
        <f>IF(K497="Válida",J497,NA())</f>
        <v>0</v>
      </c>
      <c r="S497" s="27">
        <f>IF(K497="Válida",C497,"")</f>
        <v>0</v>
      </c>
      <c r="T497" s="27">
        <f>IF(K497="Válida",I497,"")</f>
        <v>0</v>
      </c>
      <c r="U497" s="27">
        <f>IF(K497="Válida",J497,"")</f>
        <v>0</v>
      </c>
    </row>
    <row r="498" spans="1:21">
      <c r="A498" s="25">
        <f>IF(MES!A498="","",MES!C498/48)</f>
        <v>0</v>
      </c>
      <c r="B498" s="26">
        <f>IF(A498="","",TEXT((N498*4+cfgDeslocamento)/48,"hh:mm")&amp;" a "&amp;TEXT(A498,"hh:mm"))</f>
        <v>0</v>
      </c>
      <c r="C498" s="27">
        <f>IF(A498="","",MES!B498)</f>
        <v>0</v>
      </c>
      <c r="D498" s="27">
        <f>IF(A498="","",IFERROR(AVERAGEIFS(Prensa!$B$2:$B$5001,Prensa!$E$2:$E$5001,N498,Prensa!$F$2:$F$5001,1,Prensa!$G$2:$G$5001,1),""))</f>
        <v>0</v>
      </c>
      <c r="E498" s="27">
        <f>IF(A498="","",IFERROR(AVERAGEIFS(Prensa!$B$2:$B$5001,Prensa!$E$2:$E$5001,N498,Prensa!$F$2:$F$5001,2,Prensa!$G$2:$G$5001,1),""))</f>
        <v>0</v>
      </c>
      <c r="F498" s="27">
        <f>IF(A498="","",IFERROR(AVERAGEIFS(Prensa!$B$2:$B$5001,Prensa!$E$2:$E$5001,N498,Prensa!$F$2:$F$5001,3,Prensa!$G$2:$G$5001,1),""))</f>
        <v>0</v>
      </c>
      <c r="G498" s="27">
        <f>IF(A498="","",IFERROR(AVERAGEIFS(Prensa!$B$2:$B$5001,Prensa!$E$2:$E$5001,N498,Prensa!$F$2:$F$5001,4,Prensa!$G$2:$G$5001,1),""))</f>
        <v>0</v>
      </c>
      <c r="H498" s="26">
        <f>IF(A498="","",COUNT(D498:G498))</f>
        <v>0</v>
      </c>
      <c r="I498" s="27">
        <f>IF(A498="","",IF(H498=0,"",AVERAGE(D498:G498)))</f>
        <v>0</v>
      </c>
      <c r="J498" s="27">
        <f>IF(OR(I498="",C498=""),"",I498-C498)</f>
        <v>0</v>
      </c>
      <c r="K498" s="26">
        <f>IF(A498="","",IF(MES!E498&lt;&gt;4,"Horário do MES fora do padrão",IF(H498&lt;cfgMinCortes,"Cortes insuficientes","Válida")))</f>
        <v>0</v>
      </c>
      <c r="L498" s="27">
        <f>IF(K498="Válida",ABS(J498),"")</f>
        <v>0</v>
      </c>
      <c r="M498" s="26">
        <f>IF(K498="Válida",IF(L498&lt;=cfgTolerancia,"Sim","Não"),"")</f>
        <v>0</v>
      </c>
      <c r="N498" s="26">
        <f>IF(A498="","",MES!D498)</f>
        <v>0</v>
      </c>
      <c r="O498" s="25">
        <f>IF(K498="Válida",A498,NA())</f>
        <v>0</v>
      </c>
      <c r="P498" s="27">
        <f>IF(K498="Válida",C498,NA())</f>
        <v>0</v>
      </c>
      <c r="Q498" s="27">
        <f>IF(K498="Válida",I498,NA())</f>
        <v>0</v>
      </c>
      <c r="R498" s="27">
        <f>IF(K498="Válida",J498,NA())</f>
        <v>0</v>
      </c>
      <c r="S498" s="27">
        <f>IF(K498="Válida",C498,"")</f>
        <v>0</v>
      </c>
      <c r="T498" s="27">
        <f>IF(K498="Válida",I498,"")</f>
        <v>0</v>
      </c>
      <c r="U498" s="27">
        <f>IF(K498="Válida",J498,"")</f>
        <v>0</v>
      </c>
    </row>
    <row r="499" spans="1:21">
      <c r="A499" s="25">
        <f>IF(MES!A499="","",MES!C499/48)</f>
        <v>0</v>
      </c>
      <c r="B499" s="26">
        <f>IF(A499="","",TEXT((N499*4+cfgDeslocamento)/48,"hh:mm")&amp;" a "&amp;TEXT(A499,"hh:mm"))</f>
        <v>0</v>
      </c>
      <c r="C499" s="27">
        <f>IF(A499="","",MES!B499)</f>
        <v>0</v>
      </c>
      <c r="D499" s="27">
        <f>IF(A499="","",IFERROR(AVERAGEIFS(Prensa!$B$2:$B$5001,Prensa!$E$2:$E$5001,N499,Prensa!$F$2:$F$5001,1,Prensa!$G$2:$G$5001,1),""))</f>
        <v>0</v>
      </c>
      <c r="E499" s="27">
        <f>IF(A499="","",IFERROR(AVERAGEIFS(Prensa!$B$2:$B$5001,Prensa!$E$2:$E$5001,N499,Prensa!$F$2:$F$5001,2,Prensa!$G$2:$G$5001,1),""))</f>
        <v>0</v>
      </c>
      <c r="F499" s="27">
        <f>IF(A499="","",IFERROR(AVERAGEIFS(Prensa!$B$2:$B$5001,Prensa!$E$2:$E$5001,N499,Prensa!$F$2:$F$5001,3,Prensa!$G$2:$G$5001,1),""))</f>
        <v>0</v>
      </c>
      <c r="G499" s="27">
        <f>IF(A499="","",IFERROR(AVERAGEIFS(Prensa!$B$2:$B$5001,Prensa!$E$2:$E$5001,N499,Prensa!$F$2:$F$5001,4,Prensa!$G$2:$G$5001,1),""))</f>
        <v>0</v>
      </c>
      <c r="H499" s="26">
        <f>IF(A499="","",COUNT(D499:G499))</f>
        <v>0</v>
      </c>
      <c r="I499" s="27">
        <f>IF(A499="","",IF(H499=0,"",AVERAGE(D499:G499)))</f>
        <v>0</v>
      </c>
      <c r="J499" s="27">
        <f>IF(OR(I499="",C499=""),"",I499-C499)</f>
        <v>0</v>
      </c>
      <c r="K499" s="26">
        <f>IF(A499="","",IF(MES!E499&lt;&gt;4,"Horário do MES fora do padrão",IF(H499&lt;cfgMinCortes,"Cortes insuficientes","Válida")))</f>
        <v>0</v>
      </c>
      <c r="L499" s="27">
        <f>IF(K499="Válida",ABS(J499),"")</f>
        <v>0</v>
      </c>
      <c r="M499" s="26">
        <f>IF(K499="Válida",IF(L499&lt;=cfgTolerancia,"Sim","Não"),"")</f>
        <v>0</v>
      </c>
      <c r="N499" s="26">
        <f>IF(A499="","",MES!D499)</f>
        <v>0</v>
      </c>
      <c r="O499" s="25">
        <f>IF(K499="Válida",A499,NA())</f>
        <v>0</v>
      </c>
      <c r="P499" s="27">
        <f>IF(K499="Válida",C499,NA())</f>
        <v>0</v>
      </c>
      <c r="Q499" s="27">
        <f>IF(K499="Válida",I499,NA())</f>
        <v>0</v>
      </c>
      <c r="R499" s="27">
        <f>IF(K499="Válida",J499,NA())</f>
        <v>0</v>
      </c>
      <c r="S499" s="27">
        <f>IF(K499="Válida",C499,"")</f>
        <v>0</v>
      </c>
      <c r="T499" s="27">
        <f>IF(K499="Válida",I499,"")</f>
        <v>0</v>
      </c>
      <c r="U499" s="27">
        <f>IF(K499="Válida",J499,"")</f>
        <v>0</v>
      </c>
    </row>
    <row r="500" spans="1:21">
      <c r="A500" s="25">
        <f>IF(MES!A500="","",MES!C500/48)</f>
        <v>0</v>
      </c>
      <c r="B500" s="26">
        <f>IF(A500="","",TEXT((N500*4+cfgDeslocamento)/48,"hh:mm")&amp;" a "&amp;TEXT(A500,"hh:mm"))</f>
        <v>0</v>
      </c>
      <c r="C500" s="27">
        <f>IF(A500="","",MES!B500)</f>
        <v>0</v>
      </c>
      <c r="D500" s="27">
        <f>IF(A500="","",IFERROR(AVERAGEIFS(Prensa!$B$2:$B$5001,Prensa!$E$2:$E$5001,N500,Prensa!$F$2:$F$5001,1,Prensa!$G$2:$G$5001,1),""))</f>
        <v>0</v>
      </c>
      <c r="E500" s="27">
        <f>IF(A500="","",IFERROR(AVERAGEIFS(Prensa!$B$2:$B$5001,Prensa!$E$2:$E$5001,N500,Prensa!$F$2:$F$5001,2,Prensa!$G$2:$G$5001,1),""))</f>
        <v>0</v>
      </c>
      <c r="F500" s="27">
        <f>IF(A500="","",IFERROR(AVERAGEIFS(Prensa!$B$2:$B$5001,Prensa!$E$2:$E$5001,N500,Prensa!$F$2:$F$5001,3,Prensa!$G$2:$G$5001,1),""))</f>
        <v>0</v>
      </c>
      <c r="G500" s="27">
        <f>IF(A500="","",IFERROR(AVERAGEIFS(Prensa!$B$2:$B$5001,Prensa!$E$2:$E$5001,N500,Prensa!$F$2:$F$5001,4,Prensa!$G$2:$G$5001,1),""))</f>
        <v>0</v>
      </c>
      <c r="H500" s="26">
        <f>IF(A500="","",COUNT(D500:G500))</f>
        <v>0</v>
      </c>
      <c r="I500" s="27">
        <f>IF(A500="","",IF(H500=0,"",AVERAGE(D500:G500)))</f>
        <v>0</v>
      </c>
      <c r="J500" s="27">
        <f>IF(OR(I500="",C500=""),"",I500-C500)</f>
        <v>0</v>
      </c>
      <c r="K500" s="26">
        <f>IF(A500="","",IF(MES!E500&lt;&gt;4,"Horário do MES fora do padrão",IF(H500&lt;cfgMinCortes,"Cortes insuficientes","Válida")))</f>
        <v>0</v>
      </c>
      <c r="L500" s="27">
        <f>IF(K500="Válida",ABS(J500),"")</f>
        <v>0</v>
      </c>
      <c r="M500" s="26">
        <f>IF(K500="Válida",IF(L500&lt;=cfgTolerancia,"Sim","Não"),"")</f>
        <v>0</v>
      </c>
      <c r="N500" s="26">
        <f>IF(A500="","",MES!D500)</f>
        <v>0</v>
      </c>
      <c r="O500" s="25">
        <f>IF(K500="Válida",A500,NA())</f>
        <v>0</v>
      </c>
      <c r="P500" s="27">
        <f>IF(K500="Válida",C500,NA())</f>
        <v>0</v>
      </c>
      <c r="Q500" s="27">
        <f>IF(K500="Válida",I500,NA())</f>
        <v>0</v>
      </c>
      <c r="R500" s="27">
        <f>IF(K500="Válida",J500,NA())</f>
        <v>0</v>
      </c>
      <c r="S500" s="27">
        <f>IF(K500="Válida",C500,"")</f>
        <v>0</v>
      </c>
      <c r="T500" s="27">
        <f>IF(K500="Válida",I500,"")</f>
        <v>0</v>
      </c>
      <c r="U500" s="27">
        <f>IF(K500="Válida",J500,"")</f>
        <v>0</v>
      </c>
    </row>
    <row r="501" spans="1:21">
      <c r="A501" s="25">
        <f>IF(MES!A501="","",MES!C501/48)</f>
        <v>0</v>
      </c>
      <c r="B501" s="26">
        <f>IF(A501="","",TEXT((N501*4+cfgDeslocamento)/48,"hh:mm")&amp;" a "&amp;TEXT(A501,"hh:mm"))</f>
        <v>0</v>
      </c>
      <c r="C501" s="27">
        <f>IF(A501="","",MES!B501)</f>
        <v>0</v>
      </c>
      <c r="D501" s="27">
        <f>IF(A501="","",IFERROR(AVERAGEIFS(Prensa!$B$2:$B$5001,Prensa!$E$2:$E$5001,N501,Prensa!$F$2:$F$5001,1,Prensa!$G$2:$G$5001,1),""))</f>
        <v>0</v>
      </c>
      <c r="E501" s="27">
        <f>IF(A501="","",IFERROR(AVERAGEIFS(Prensa!$B$2:$B$5001,Prensa!$E$2:$E$5001,N501,Prensa!$F$2:$F$5001,2,Prensa!$G$2:$G$5001,1),""))</f>
        <v>0</v>
      </c>
      <c r="F501" s="27">
        <f>IF(A501="","",IFERROR(AVERAGEIFS(Prensa!$B$2:$B$5001,Prensa!$E$2:$E$5001,N501,Prensa!$F$2:$F$5001,3,Prensa!$G$2:$G$5001,1),""))</f>
        <v>0</v>
      </c>
      <c r="G501" s="27">
        <f>IF(A501="","",IFERROR(AVERAGEIFS(Prensa!$B$2:$B$5001,Prensa!$E$2:$E$5001,N501,Prensa!$F$2:$F$5001,4,Prensa!$G$2:$G$5001,1),""))</f>
        <v>0</v>
      </c>
      <c r="H501" s="26">
        <f>IF(A501="","",COUNT(D501:G501))</f>
        <v>0</v>
      </c>
      <c r="I501" s="27">
        <f>IF(A501="","",IF(H501=0,"",AVERAGE(D501:G501)))</f>
        <v>0</v>
      </c>
      <c r="J501" s="27">
        <f>IF(OR(I501="",C501=""),"",I501-C501)</f>
        <v>0</v>
      </c>
      <c r="K501" s="26">
        <f>IF(A501="","",IF(MES!E501&lt;&gt;4,"Horário do MES fora do padrão",IF(H501&lt;cfgMinCortes,"Cortes insuficientes","Válida")))</f>
        <v>0</v>
      </c>
      <c r="L501" s="27">
        <f>IF(K501="Válida",ABS(J501),"")</f>
        <v>0</v>
      </c>
      <c r="M501" s="26">
        <f>IF(K501="Válida",IF(L501&lt;=cfgTolerancia,"Sim","Não"),"")</f>
        <v>0</v>
      </c>
      <c r="N501" s="26">
        <f>IF(A501="","",MES!D501)</f>
        <v>0</v>
      </c>
      <c r="O501" s="25">
        <f>IF(K501="Válida",A501,NA())</f>
        <v>0</v>
      </c>
      <c r="P501" s="27">
        <f>IF(K501="Válida",C501,NA())</f>
        <v>0</v>
      </c>
      <c r="Q501" s="27">
        <f>IF(K501="Válida",I501,NA())</f>
        <v>0</v>
      </c>
      <c r="R501" s="27">
        <f>IF(K501="Válida",J501,NA())</f>
        <v>0</v>
      </c>
      <c r="S501" s="27">
        <f>IF(K501="Válida",C501,"")</f>
        <v>0</v>
      </c>
      <c r="T501" s="27">
        <f>IF(K501="Válida",I501,"")</f>
        <v>0</v>
      </c>
      <c r="U501" s="27">
        <f>IF(K501="Válida",J501,"")</f>
        <v>0</v>
      </c>
    </row>
    <row r="502" spans="1:21">
      <c r="A502" s="25">
        <f>IF(MES!A502="","",MES!C502/48)</f>
        <v>0</v>
      </c>
      <c r="B502" s="26">
        <f>IF(A502="","",TEXT((N502*4+cfgDeslocamento)/48,"hh:mm")&amp;" a "&amp;TEXT(A502,"hh:mm"))</f>
        <v>0</v>
      </c>
      <c r="C502" s="27">
        <f>IF(A502="","",MES!B502)</f>
        <v>0</v>
      </c>
      <c r="D502" s="27">
        <f>IF(A502="","",IFERROR(AVERAGEIFS(Prensa!$B$2:$B$5001,Prensa!$E$2:$E$5001,N502,Prensa!$F$2:$F$5001,1,Prensa!$G$2:$G$5001,1),""))</f>
        <v>0</v>
      </c>
      <c r="E502" s="27">
        <f>IF(A502="","",IFERROR(AVERAGEIFS(Prensa!$B$2:$B$5001,Prensa!$E$2:$E$5001,N502,Prensa!$F$2:$F$5001,2,Prensa!$G$2:$G$5001,1),""))</f>
        <v>0</v>
      </c>
      <c r="F502" s="27">
        <f>IF(A502="","",IFERROR(AVERAGEIFS(Prensa!$B$2:$B$5001,Prensa!$E$2:$E$5001,N502,Prensa!$F$2:$F$5001,3,Prensa!$G$2:$G$5001,1),""))</f>
        <v>0</v>
      </c>
      <c r="G502" s="27">
        <f>IF(A502="","",IFERROR(AVERAGEIFS(Prensa!$B$2:$B$5001,Prensa!$E$2:$E$5001,N502,Prensa!$F$2:$F$5001,4,Prensa!$G$2:$G$5001,1),""))</f>
        <v>0</v>
      </c>
      <c r="H502" s="26">
        <f>IF(A502="","",COUNT(D502:G502))</f>
        <v>0</v>
      </c>
      <c r="I502" s="27">
        <f>IF(A502="","",IF(H502=0,"",AVERAGE(D502:G502)))</f>
        <v>0</v>
      </c>
      <c r="J502" s="27">
        <f>IF(OR(I502="",C502=""),"",I502-C502)</f>
        <v>0</v>
      </c>
      <c r="K502" s="26">
        <f>IF(A502="","",IF(MES!E502&lt;&gt;4,"Horário do MES fora do padrão",IF(H502&lt;cfgMinCortes,"Cortes insuficientes","Válida")))</f>
        <v>0</v>
      </c>
      <c r="L502" s="27">
        <f>IF(K502="Válida",ABS(J502),"")</f>
        <v>0</v>
      </c>
      <c r="M502" s="26">
        <f>IF(K502="Válida",IF(L502&lt;=cfgTolerancia,"Sim","Não"),"")</f>
        <v>0</v>
      </c>
      <c r="N502" s="26">
        <f>IF(A502="","",MES!D502)</f>
        <v>0</v>
      </c>
      <c r="O502" s="25">
        <f>IF(K502="Válida",A502,NA())</f>
        <v>0</v>
      </c>
      <c r="P502" s="27">
        <f>IF(K502="Válida",C502,NA())</f>
        <v>0</v>
      </c>
      <c r="Q502" s="27">
        <f>IF(K502="Válida",I502,NA())</f>
        <v>0</v>
      </c>
      <c r="R502" s="27">
        <f>IF(K502="Válida",J502,NA())</f>
        <v>0</v>
      </c>
      <c r="S502" s="27">
        <f>IF(K502="Válida",C502,"")</f>
        <v>0</v>
      </c>
      <c r="T502" s="27">
        <f>IF(K502="Válida",I502,"")</f>
        <v>0</v>
      </c>
      <c r="U502" s="27">
        <f>IF(K502="Válida",J502,"")</f>
        <v>0</v>
      </c>
    </row>
    <row r="503" spans="1:21">
      <c r="A503" s="25">
        <f>IF(MES!A503="","",MES!C503/48)</f>
        <v>0</v>
      </c>
      <c r="B503" s="26">
        <f>IF(A503="","",TEXT((N503*4+cfgDeslocamento)/48,"hh:mm")&amp;" a "&amp;TEXT(A503,"hh:mm"))</f>
        <v>0</v>
      </c>
      <c r="C503" s="27">
        <f>IF(A503="","",MES!B503)</f>
        <v>0</v>
      </c>
      <c r="D503" s="27">
        <f>IF(A503="","",IFERROR(AVERAGEIFS(Prensa!$B$2:$B$5001,Prensa!$E$2:$E$5001,N503,Prensa!$F$2:$F$5001,1,Prensa!$G$2:$G$5001,1),""))</f>
        <v>0</v>
      </c>
      <c r="E503" s="27">
        <f>IF(A503="","",IFERROR(AVERAGEIFS(Prensa!$B$2:$B$5001,Prensa!$E$2:$E$5001,N503,Prensa!$F$2:$F$5001,2,Prensa!$G$2:$G$5001,1),""))</f>
        <v>0</v>
      </c>
      <c r="F503" s="27">
        <f>IF(A503="","",IFERROR(AVERAGEIFS(Prensa!$B$2:$B$5001,Prensa!$E$2:$E$5001,N503,Prensa!$F$2:$F$5001,3,Prensa!$G$2:$G$5001,1),""))</f>
        <v>0</v>
      </c>
      <c r="G503" s="27">
        <f>IF(A503="","",IFERROR(AVERAGEIFS(Prensa!$B$2:$B$5001,Prensa!$E$2:$E$5001,N503,Prensa!$F$2:$F$5001,4,Prensa!$G$2:$G$5001,1),""))</f>
        <v>0</v>
      </c>
      <c r="H503" s="26">
        <f>IF(A503="","",COUNT(D503:G503))</f>
        <v>0</v>
      </c>
      <c r="I503" s="27">
        <f>IF(A503="","",IF(H503=0,"",AVERAGE(D503:G503)))</f>
        <v>0</v>
      </c>
      <c r="J503" s="27">
        <f>IF(OR(I503="",C503=""),"",I503-C503)</f>
        <v>0</v>
      </c>
      <c r="K503" s="26">
        <f>IF(A503="","",IF(MES!E503&lt;&gt;4,"Horário do MES fora do padrão",IF(H503&lt;cfgMinCortes,"Cortes insuficientes","Válida")))</f>
        <v>0</v>
      </c>
      <c r="L503" s="27">
        <f>IF(K503="Válida",ABS(J503),"")</f>
        <v>0</v>
      </c>
      <c r="M503" s="26">
        <f>IF(K503="Válida",IF(L503&lt;=cfgTolerancia,"Sim","Não"),"")</f>
        <v>0</v>
      </c>
      <c r="N503" s="26">
        <f>IF(A503="","",MES!D503)</f>
        <v>0</v>
      </c>
      <c r="O503" s="25">
        <f>IF(K503="Válida",A503,NA())</f>
        <v>0</v>
      </c>
      <c r="P503" s="27">
        <f>IF(K503="Válida",C503,NA())</f>
        <v>0</v>
      </c>
      <c r="Q503" s="27">
        <f>IF(K503="Válida",I503,NA())</f>
        <v>0</v>
      </c>
      <c r="R503" s="27">
        <f>IF(K503="Válida",J503,NA())</f>
        <v>0</v>
      </c>
      <c r="S503" s="27">
        <f>IF(K503="Válida",C503,"")</f>
        <v>0</v>
      </c>
      <c r="T503" s="27">
        <f>IF(K503="Válida",I503,"")</f>
        <v>0</v>
      </c>
      <c r="U503" s="27">
        <f>IF(K503="Válida",J503,"")</f>
        <v>0</v>
      </c>
    </row>
    <row r="504" spans="1:21">
      <c r="A504" s="25">
        <f>IF(MES!A504="","",MES!C504/48)</f>
        <v>0</v>
      </c>
      <c r="B504" s="26">
        <f>IF(A504="","",TEXT((N504*4+cfgDeslocamento)/48,"hh:mm")&amp;" a "&amp;TEXT(A504,"hh:mm"))</f>
        <v>0</v>
      </c>
      <c r="C504" s="27">
        <f>IF(A504="","",MES!B504)</f>
        <v>0</v>
      </c>
      <c r="D504" s="27">
        <f>IF(A504="","",IFERROR(AVERAGEIFS(Prensa!$B$2:$B$5001,Prensa!$E$2:$E$5001,N504,Prensa!$F$2:$F$5001,1,Prensa!$G$2:$G$5001,1),""))</f>
        <v>0</v>
      </c>
      <c r="E504" s="27">
        <f>IF(A504="","",IFERROR(AVERAGEIFS(Prensa!$B$2:$B$5001,Prensa!$E$2:$E$5001,N504,Prensa!$F$2:$F$5001,2,Prensa!$G$2:$G$5001,1),""))</f>
        <v>0</v>
      </c>
      <c r="F504" s="27">
        <f>IF(A504="","",IFERROR(AVERAGEIFS(Prensa!$B$2:$B$5001,Prensa!$E$2:$E$5001,N504,Prensa!$F$2:$F$5001,3,Prensa!$G$2:$G$5001,1),""))</f>
        <v>0</v>
      </c>
      <c r="G504" s="27">
        <f>IF(A504="","",IFERROR(AVERAGEIFS(Prensa!$B$2:$B$5001,Prensa!$E$2:$E$5001,N504,Prensa!$F$2:$F$5001,4,Prensa!$G$2:$G$5001,1),""))</f>
        <v>0</v>
      </c>
      <c r="H504" s="26">
        <f>IF(A504="","",COUNT(D504:G504))</f>
        <v>0</v>
      </c>
      <c r="I504" s="27">
        <f>IF(A504="","",IF(H504=0,"",AVERAGE(D504:G504)))</f>
        <v>0</v>
      </c>
      <c r="J504" s="27">
        <f>IF(OR(I504="",C504=""),"",I504-C504)</f>
        <v>0</v>
      </c>
      <c r="K504" s="26">
        <f>IF(A504="","",IF(MES!E504&lt;&gt;4,"Horário do MES fora do padrão",IF(H504&lt;cfgMinCortes,"Cortes insuficientes","Válida")))</f>
        <v>0</v>
      </c>
      <c r="L504" s="27">
        <f>IF(K504="Válida",ABS(J504),"")</f>
        <v>0</v>
      </c>
      <c r="M504" s="26">
        <f>IF(K504="Válida",IF(L504&lt;=cfgTolerancia,"Sim","Não"),"")</f>
        <v>0</v>
      </c>
      <c r="N504" s="26">
        <f>IF(A504="","",MES!D504)</f>
        <v>0</v>
      </c>
      <c r="O504" s="25">
        <f>IF(K504="Válida",A504,NA())</f>
        <v>0</v>
      </c>
      <c r="P504" s="27">
        <f>IF(K504="Válida",C504,NA())</f>
        <v>0</v>
      </c>
      <c r="Q504" s="27">
        <f>IF(K504="Válida",I504,NA())</f>
        <v>0</v>
      </c>
      <c r="R504" s="27">
        <f>IF(K504="Válida",J504,NA())</f>
        <v>0</v>
      </c>
      <c r="S504" s="27">
        <f>IF(K504="Válida",C504,"")</f>
        <v>0</v>
      </c>
      <c r="T504" s="27">
        <f>IF(K504="Válida",I504,"")</f>
        <v>0</v>
      </c>
      <c r="U504" s="27">
        <f>IF(K504="Válida",J504,"")</f>
        <v>0</v>
      </c>
    </row>
    <row r="505" spans="1:21">
      <c r="A505" s="25">
        <f>IF(MES!A505="","",MES!C505/48)</f>
        <v>0</v>
      </c>
      <c r="B505" s="26">
        <f>IF(A505="","",TEXT((N505*4+cfgDeslocamento)/48,"hh:mm")&amp;" a "&amp;TEXT(A505,"hh:mm"))</f>
        <v>0</v>
      </c>
      <c r="C505" s="27">
        <f>IF(A505="","",MES!B505)</f>
        <v>0</v>
      </c>
      <c r="D505" s="27">
        <f>IF(A505="","",IFERROR(AVERAGEIFS(Prensa!$B$2:$B$5001,Prensa!$E$2:$E$5001,N505,Prensa!$F$2:$F$5001,1,Prensa!$G$2:$G$5001,1),""))</f>
        <v>0</v>
      </c>
      <c r="E505" s="27">
        <f>IF(A505="","",IFERROR(AVERAGEIFS(Prensa!$B$2:$B$5001,Prensa!$E$2:$E$5001,N505,Prensa!$F$2:$F$5001,2,Prensa!$G$2:$G$5001,1),""))</f>
        <v>0</v>
      </c>
      <c r="F505" s="27">
        <f>IF(A505="","",IFERROR(AVERAGEIFS(Prensa!$B$2:$B$5001,Prensa!$E$2:$E$5001,N505,Prensa!$F$2:$F$5001,3,Prensa!$G$2:$G$5001,1),""))</f>
        <v>0</v>
      </c>
      <c r="G505" s="27">
        <f>IF(A505="","",IFERROR(AVERAGEIFS(Prensa!$B$2:$B$5001,Prensa!$E$2:$E$5001,N505,Prensa!$F$2:$F$5001,4,Prensa!$G$2:$G$5001,1),""))</f>
        <v>0</v>
      </c>
      <c r="H505" s="26">
        <f>IF(A505="","",COUNT(D505:G505))</f>
        <v>0</v>
      </c>
      <c r="I505" s="27">
        <f>IF(A505="","",IF(H505=0,"",AVERAGE(D505:G505)))</f>
        <v>0</v>
      </c>
      <c r="J505" s="27">
        <f>IF(OR(I505="",C505=""),"",I505-C505)</f>
        <v>0</v>
      </c>
      <c r="K505" s="26">
        <f>IF(A505="","",IF(MES!E505&lt;&gt;4,"Horário do MES fora do padrão",IF(H505&lt;cfgMinCortes,"Cortes insuficientes","Válida")))</f>
        <v>0</v>
      </c>
      <c r="L505" s="27">
        <f>IF(K505="Válida",ABS(J505),"")</f>
        <v>0</v>
      </c>
      <c r="M505" s="26">
        <f>IF(K505="Válida",IF(L505&lt;=cfgTolerancia,"Sim","Não"),"")</f>
        <v>0</v>
      </c>
      <c r="N505" s="26">
        <f>IF(A505="","",MES!D505)</f>
        <v>0</v>
      </c>
      <c r="O505" s="25">
        <f>IF(K505="Válida",A505,NA())</f>
        <v>0</v>
      </c>
      <c r="P505" s="27">
        <f>IF(K505="Válida",C505,NA())</f>
        <v>0</v>
      </c>
      <c r="Q505" s="27">
        <f>IF(K505="Válida",I505,NA())</f>
        <v>0</v>
      </c>
      <c r="R505" s="27">
        <f>IF(K505="Válida",J505,NA())</f>
        <v>0</v>
      </c>
      <c r="S505" s="27">
        <f>IF(K505="Válida",C505,"")</f>
        <v>0</v>
      </c>
      <c r="T505" s="27">
        <f>IF(K505="Válida",I505,"")</f>
        <v>0</v>
      </c>
      <c r="U505" s="27">
        <f>IF(K505="Válida",J505,"")</f>
        <v>0</v>
      </c>
    </row>
    <row r="506" spans="1:21">
      <c r="A506" s="25">
        <f>IF(MES!A506="","",MES!C506/48)</f>
        <v>0</v>
      </c>
      <c r="B506" s="26">
        <f>IF(A506="","",TEXT((N506*4+cfgDeslocamento)/48,"hh:mm")&amp;" a "&amp;TEXT(A506,"hh:mm"))</f>
        <v>0</v>
      </c>
      <c r="C506" s="27">
        <f>IF(A506="","",MES!B506)</f>
        <v>0</v>
      </c>
      <c r="D506" s="27">
        <f>IF(A506="","",IFERROR(AVERAGEIFS(Prensa!$B$2:$B$5001,Prensa!$E$2:$E$5001,N506,Prensa!$F$2:$F$5001,1,Prensa!$G$2:$G$5001,1),""))</f>
        <v>0</v>
      </c>
      <c r="E506" s="27">
        <f>IF(A506="","",IFERROR(AVERAGEIFS(Prensa!$B$2:$B$5001,Prensa!$E$2:$E$5001,N506,Prensa!$F$2:$F$5001,2,Prensa!$G$2:$G$5001,1),""))</f>
        <v>0</v>
      </c>
      <c r="F506" s="27">
        <f>IF(A506="","",IFERROR(AVERAGEIFS(Prensa!$B$2:$B$5001,Prensa!$E$2:$E$5001,N506,Prensa!$F$2:$F$5001,3,Prensa!$G$2:$G$5001,1),""))</f>
        <v>0</v>
      </c>
      <c r="G506" s="27">
        <f>IF(A506="","",IFERROR(AVERAGEIFS(Prensa!$B$2:$B$5001,Prensa!$E$2:$E$5001,N506,Prensa!$F$2:$F$5001,4,Prensa!$G$2:$G$5001,1),""))</f>
        <v>0</v>
      </c>
      <c r="H506" s="26">
        <f>IF(A506="","",COUNT(D506:G506))</f>
        <v>0</v>
      </c>
      <c r="I506" s="27">
        <f>IF(A506="","",IF(H506=0,"",AVERAGE(D506:G506)))</f>
        <v>0</v>
      </c>
      <c r="J506" s="27">
        <f>IF(OR(I506="",C506=""),"",I506-C506)</f>
        <v>0</v>
      </c>
      <c r="K506" s="26">
        <f>IF(A506="","",IF(MES!E506&lt;&gt;4,"Horário do MES fora do padrão",IF(H506&lt;cfgMinCortes,"Cortes insuficientes","Válida")))</f>
        <v>0</v>
      </c>
      <c r="L506" s="27">
        <f>IF(K506="Válida",ABS(J506),"")</f>
        <v>0</v>
      </c>
      <c r="M506" s="26">
        <f>IF(K506="Válida",IF(L506&lt;=cfgTolerancia,"Sim","Não"),"")</f>
        <v>0</v>
      </c>
      <c r="N506" s="26">
        <f>IF(A506="","",MES!D506)</f>
        <v>0</v>
      </c>
      <c r="O506" s="25">
        <f>IF(K506="Válida",A506,NA())</f>
        <v>0</v>
      </c>
      <c r="P506" s="27">
        <f>IF(K506="Válida",C506,NA())</f>
        <v>0</v>
      </c>
      <c r="Q506" s="27">
        <f>IF(K506="Válida",I506,NA())</f>
        <v>0</v>
      </c>
      <c r="R506" s="27">
        <f>IF(K506="Válida",J506,NA())</f>
        <v>0</v>
      </c>
      <c r="S506" s="27">
        <f>IF(K506="Válida",C506,"")</f>
        <v>0</v>
      </c>
      <c r="T506" s="27">
        <f>IF(K506="Válida",I506,"")</f>
        <v>0</v>
      </c>
      <c r="U506" s="27">
        <f>IF(K506="Válida",J506,"")</f>
        <v>0</v>
      </c>
    </row>
    <row r="507" spans="1:21">
      <c r="A507" s="25">
        <f>IF(MES!A507="","",MES!C507/48)</f>
        <v>0</v>
      </c>
      <c r="B507" s="26">
        <f>IF(A507="","",TEXT((N507*4+cfgDeslocamento)/48,"hh:mm")&amp;" a "&amp;TEXT(A507,"hh:mm"))</f>
        <v>0</v>
      </c>
      <c r="C507" s="27">
        <f>IF(A507="","",MES!B507)</f>
        <v>0</v>
      </c>
      <c r="D507" s="27">
        <f>IF(A507="","",IFERROR(AVERAGEIFS(Prensa!$B$2:$B$5001,Prensa!$E$2:$E$5001,N507,Prensa!$F$2:$F$5001,1,Prensa!$G$2:$G$5001,1),""))</f>
        <v>0</v>
      </c>
      <c r="E507" s="27">
        <f>IF(A507="","",IFERROR(AVERAGEIFS(Prensa!$B$2:$B$5001,Prensa!$E$2:$E$5001,N507,Prensa!$F$2:$F$5001,2,Prensa!$G$2:$G$5001,1),""))</f>
        <v>0</v>
      </c>
      <c r="F507" s="27">
        <f>IF(A507="","",IFERROR(AVERAGEIFS(Prensa!$B$2:$B$5001,Prensa!$E$2:$E$5001,N507,Prensa!$F$2:$F$5001,3,Prensa!$G$2:$G$5001,1),""))</f>
        <v>0</v>
      </c>
      <c r="G507" s="27">
        <f>IF(A507="","",IFERROR(AVERAGEIFS(Prensa!$B$2:$B$5001,Prensa!$E$2:$E$5001,N507,Prensa!$F$2:$F$5001,4,Prensa!$G$2:$G$5001,1),""))</f>
        <v>0</v>
      </c>
      <c r="H507" s="26">
        <f>IF(A507="","",COUNT(D507:G507))</f>
        <v>0</v>
      </c>
      <c r="I507" s="27">
        <f>IF(A507="","",IF(H507=0,"",AVERAGE(D507:G507)))</f>
        <v>0</v>
      </c>
      <c r="J507" s="27">
        <f>IF(OR(I507="",C507=""),"",I507-C507)</f>
        <v>0</v>
      </c>
      <c r="K507" s="26">
        <f>IF(A507="","",IF(MES!E507&lt;&gt;4,"Horário do MES fora do padrão",IF(H507&lt;cfgMinCortes,"Cortes insuficientes","Válida")))</f>
        <v>0</v>
      </c>
      <c r="L507" s="27">
        <f>IF(K507="Válida",ABS(J507),"")</f>
        <v>0</v>
      </c>
      <c r="M507" s="26">
        <f>IF(K507="Válida",IF(L507&lt;=cfgTolerancia,"Sim","Não"),"")</f>
        <v>0</v>
      </c>
      <c r="N507" s="26">
        <f>IF(A507="","",MES!D507)</f>
        <v>0</v>
      </c>
      <c r="O507" s="25">
        <f>IF(K507="Válida",A507,NA())</f>
        <v>0</v>
      </c>
      <c r="P507" s="27">
        <f>IF(K507="Válida",C507,NA())</f>
        <v>0</v>
      </c>
      <c r="Q507" s="27">
        <f>IF(K507="Válida",I507,NA())</f>
        <v>0</v>
      </c>
      <c r="R507" s="27">
        <f>IF(K507="Válida",J507,NA())</f>
        <v>0</v>
      </c>
      <c r="S507" s="27">
        <f>IF(K507="Válida",C507,"")</f>
        <v>0</v>
      </c>
      <c r="T507" s="27">
        <f>IF(K507="Válida",I507,"")</f>
        <v>0</v>
      </c>
      <c r="U507" s="27">
        <f>IF(K507="Válida",J507,"")</f>
        <v>0</v>
      </c>
    </row>
    <row r="508" spans="1:21">
      <c r="A508" s="25">
        <f>IF(MES!A508="","",MES!C508/48)</f>
        <v>0</v>
      </c>
      <c r="B508" s="26">
        <f>IF(A508="","",TEXT((N508*4+cfgDeslocamento)/48,"hh:mm")&amp;" a "&amp;TEXT(A508,"hh:mm"))</f>
        <v>0</v>
      </c>
      <c r="C508" s="27">
        <f>IF(A508="","",MES!B508)</f>
        <v>0</v>
      </c>
      <c r="D508" s="27">
        <f>IF(A508="","",IFERROR(AVERAGEIFS(Prensa!$B$2:$B$5001,Prensa!$E$2:$E$5001,N508,Prensa!$F$2:$F$5001,1,Prensa!$G$2:$G$5001,1),""))</f>
        <v>0</v>
      </c>
      <c r="E508" s="27">
        <f>IF(A508="","",IFERROR(AVERAGEIFS(Prensa!$B$2:$B$5001,Prensa!$E$2:$E$5001,N508,Prensa!$F$2:$F$5001,2,Prensa!$G$2:$G$5001,1),""))</f>
        <v>0</v>
      </c>
      <c r="F508" s="27">
        <f>IF(A508="","",IFERROR(AVERAGEIFS(Prensa!$B$2:$B$5001,Prensa!$E$2:$E$5001,N508,Prensa!$F$2:$F$5001,3,Prensa!$G$2:$G$5001,1),""))</f>
        <v>0</v>
      </c>
      <c r="G508" s="27">
        <f>IF(A508="","",IFERROR(AVERAGEIFS(Prensa!$B$2:$B$5001,Prensa!$E$2:$E$5001,N508,Prensa!$F$2:$F$5001,4,Prensa!$G$2:$G$5001,1),""))</f>
        <v>0</v>
      </c>
      <c r="H508" s="26">
        <f>IF(A508="","",COUNT(D508:G508))</f>
        <v>0</v>
      </c>
      <c r="I508" s="27">
        <f>IF(A508="","",IF(H508=0,"",AVERAGE(D508:G508)))</f>
        <v>0</v>
      </c>
      <c r="J508" s="27">
        <f>IF(OR(I508="",C508=""),"",I508-C508)</f>
        <v>0</v>
      </c>
      <c r="K508" s="26">
        <f>IF(A508="","",IF(MES!E508&lt;&gt;4,"Horário do MES fora do padrão",IF(H508&lt;cfgMinCortes,"Cortes insuficientes","Válida")))</f>
        <v>0</v>
      </c>
      <c r="L508" s="27">
        <f>IF(K508="Válida",ABS(J508),"")</f>
        <v>0</v>
      </c>
      <c r="M508" s="26">
        <f>IF(K508="Válida",IF(L508&lt;=cfgTolerancia,"Sim","Não"),"")</f>
        <v>0</v>
      </c>
      <c r="N508" s="26">
        <f>IF(A508="","",MES!D508)</f>
        <v>0</v>
      </c>
      <c r="O508" s="25">
        <f>IF(K508="Válida",A508,NA())</f>
        <v>0</v>
      </c>
      <c r="P508" s="27">
        <f>IF(K508="Válida",C508,NA())</f>
        <v>0</v>
      </c>
      <c r="Q508" s="27">
        <f>IF(K508="Válida",I508,NA())</f>
        <v>0</v>
      </c>
      <c r="R508" s="27">
        <f>IF(K508="Válida",J508,NA())</f>
        <v>0</v>
      </c>
      <c r="S508" s="27">
        <f>IF(K508="Válida",C508,"")</f>
        <v>0</v>
      </c>
      <c r="T508" s="27">
        <f>IF(K508="Válida",I508,"")</f>
        <v>0</v>
      </c>
      <c r="U508" s="27">
        <f>IF(K508="Válida",J508,"")</f>
        <v>0</v>
      </c>
    </row>
    <row r="509" spans="1:21">
      <c r="A509" s="25">
        <f>IF(MES!A509="","",MES!C509/48)</f>
        <v>0</v>
      </c>
      <c r="B509" s="26">
        <f>IF(A509="","",TEXT((N509*4+cfgDeslocamento)/48,"hh:mm")&amp;" a "&amp;TEXT(A509,"hh:mm"))</f>
        <v>0</v>
      </c>
      <c r="C509" s="27">
        <f>IF(A509="","",MES!B509)</f>
        <v>0</v>
      </c>
      <c r="D509" s="27">
        <f>IF(A509="","",IFERROR(AVERAGEIFS(Prensa!$B$2:$B$5001,Prensa!$E$2:$E$5001,N509,Prensa!$F$2:$F$5001,1,Prensa!$G$2:$G$5001,1),""))</f>
        <v>0</v>
      </c>
      <c r="E509" s="27">
        <f>IF(A509="","",IFERROR(AVERAGEIFS(Prensa!$B$2:$B$5001,Prensa!$E$2:$E$5001,N509,Prensa!$F$2:$F$5001,2,Prensa!$G$2:$G$5001,1),""))</f>
        <v>0</v>
      </c>
      <c r="F509" s="27">
        <f>IF(A509="","",IFERROR(AVERAGEIFS(Prensa!$B$2:$B$5001,Prensa!$E$2:$E$5001,N509,Prensa!$F$2:$F$5001,3,Prensa!$G$2:$G$5001,1),""))</f>
        <v>0</v>
      </c>
      <c r="G509" s="27">
        <f>IF(A509="","",IFERROR(AVERAGEIFS(Prensa!$B$2:$B$5001,Prensa!$E$2:$E$5001,N509,Prensa!$F$2:$F$5001,4,Prensa!$G$2:$G$5001,1),""))</f>
        <v>0</v>
      </c>
      <c r="H509" s="26">
        <f>IF(A509="","",COUNT(D509:G509))</f>
        <v>0</v>
      </c>
      <c r="I509" s="27">
        <f>IF(A509="","",IF(H509=0,"",AVERAGE(D509:G509)))</f>
        <v>0</v>
      </c>
      <c r="J509" s="27">
        <f>IF(OR(I509="",C509=""),"",I509-C509)</f>
        <v>0</v>
      </c>
      <c r="K509" s="26">
        <f>IF(A509="","",IF(MES!E509&lt;&gt;4,"Horário do MES fora do padrão",IF(H509&lt;cfgMinCortes,"Cortes insuficientes","Válida")))</f>
        <v>0</v>
      </c>
      <c r="L509" s="27">
        <f>IF(K509="Válida",ABS(J509),"")</f>
        <v>0</v>
      </c>
      <c r="M509" s="26">
        <f>IF(K509="Válida",IF(L509&lt;=cfgTolerancia,"Sim","Não"),"")</f>
        <v>0</v>
      </c>
      <c r="N509" s="26">
        <f>IF(A509="","",MES!D509)</f>
        <v>0</v>
      </c>
      <c r="O509" s="25">
        <f>IF(K509="Válida",A509,NA())</f>
        <v>0</v>
      </c>
      <c r="P509" s="27">
        <f>IF(K509="Válida",C509,NA())</f>
        <v>0</v>
      </c>
      <c r="Q509" s="27">
        <f>IF(K509="Válida",I509,NA())</f>
        <v>0</v>
      </c>
      <c r="R509" s="27">
        <f>IF(K509="Válida",J509,NA())</f>
        <v>0</v>
      </c>
      <c r="S509" s="27">
        <f>IF(K509="Válida",C509,"")</f>
        <v>0</v>
      </c>
      <c r="T509" s="27">
        <f>IF(K509="Válida",I509,"")</f>
        <v>0</v>
      </c>
      <c r="U509" s="27">
        <f>IF(K509="Válida",J509,"")</f>
        <v>0</v>
      </c>
    </row>
    <row r="510" spans="1:21">
      <c r="A510" s="25">
        <f>IF(MES!A510="","",MES!C510/48)</f>
        <v>0</v>
      </c>
      <c r="B510" s="26">
        <f>IF(A510="","",TEXT((N510*4+cfgDeslocamento)/48,"hh:mm")&amp;" a "&amp;TEXT(A510,"hh:mm"))</f>
        <v>0</v>
      </c>
      <c r="C510" s="27">
        <f>IF(A510="","",MES!B510)</f>
        <v>0</v>
      </c>
      <c r="D510" s="27">
        <f>IF(A510="","",IFERROR(AVERAGEIFS(Prensa!$B$2:$B$5001,Prensa!$E$2:$E$5001,N510,Prensa!$F$2:$F$5001,1,Prensa!$G$2:$G$5001,1),""))</f>
        <v>0</v>
      </c>
      <c r="E510" s="27">
        <f>IF(A510="","",IFERROR(AVERAGEIFS(Prensa!$B$2:$B$5001,Prensa!$E$2:$E$5001,N510,Prensa!$F$2:$F$5001,2,Prensa!$G$2:$G$5001,1),""))</f>
        <v>0</v>
      </c>
      <c r="F510" s="27">
        <f>IF(A510="","",IFERROR(AVERAGEIFS(Prensa!$B$2:$B$5001,Prensa!$E$2:$E$5001,N510,Prensa!$F$2:$F$5001,3,Prensa!$G$2:$G$5001,1),""))</f>
        <v>0</v>
      </c>
      <c r="G510" s="27">
        <f>IF(A510="","",IFERROR(AVERAGEIFS(Prensa!$B$2:$B$5001,Prensa!$E$2:$E$5001,N510,Prensa!$F$2:$F$5001,4,Prensa!$G$2:$G$5001,1),""))</f>
        <v>0</v>
      </c>
      <c r="H510" s="26">
        <f>IF(A510="","",COUNT(D510:G510))</f>
        <v>0</v>
      </c>
      <c r="I510" s="27">
        <f>IF(A510="","",IF(H510=0,"",AVERAGE(D510:G510)))</f>
        <v>0</v>
      </c>
      <c r="J510" s="27">
        <f>IF(OR(I510="",C510=""),"",I510-C510)</f>
        <v>0</v>
      </c>
      <c r="K510" s="26">
        <f>IF(A510="","",IF(MES!E510&lt;&gt;4,"Horário do MES fora do padrão",IF(H510&lt;cfgMinCortes,"Cortes insuficientes","Válida")))</f>
        <v>0</v>
      </c>
      <c r="L510" s="27">
        <f>IF(K510="Válida",ABS(J510),"")</f>
        <v>0</v>
      </c>
      <c r="M510" s="26">
        <f>IF(K510="Válida",IF(L510&lt;=cfgTolerancia,"Sim","Não"),"")</f>
        <v>0</v>
      </c>
      <c r="N510" s="26">
        <f>IF(A510="","",MES!D510)</f>
        <v>0</v>
      </c>
      <c r="O510" s="25">
        <f>IF(K510="Válida",A510,NA())</f>
        <v>0</v>
      </c>
      <c r="P510" s="27">
        <f>IF(K510="Válida",C510,NA())</f>
        <v>0</v>
      </c>
      <c r="Q510" s="27">
        <f>IF(K510="Válida",I510,NA())</f>
        <v>0</v>
      </c>
      <c r="R510" s="27">
        <f>IF(K510="Válida",J510,NA())</f>
        <v>0</v>
      </c>
      <c r="S510" s="27">
        <f>IF(K510="Válida",C510,"")</f>
        <v>0</v>
      </c>
      <c r="T510" s="27">
        <f>IF(K510="Válida",I510,"")</f>
        <v>0</v>
      </c>
      <c r="U510" s="27">
        <f>IF(K510="Válida",J510,"")</f>
        <v>0</v>
      </c>
    </row>
    <row r="511" spans="1:21">
      <c r="A511" s="25">
        <f>IF(MES!A511="","",MES!C511/48)</f>
        <v>0</v>
      </c>
      <c r="B511" s="26">
        <f>IF(A511="","",TEXT((N511*4+cfgDeslocamento)/48,"hh:mm")&amp;" a "&amp;TEXT(A511,"hh:mm"))</f>
        <v>0</v>
      </c>
      <c r="C511" s="27">
        <f>IF(A511="","",MES!B511)</f>
        <v>0</v>
      </c>
      <c r="D511" s="27">
        <f>IF(A511="","",IFERROR(AVERAGEIFS(Prensa!$B$2:$B$5001,Prensa!$E$2:$E$5001,N511,Prensa!$F$2:$F$5001,1,Prensa!$G$2:$G$5001,1),""))</f>
        <v>0</v>
      </c>
      <c r="E511" s="27">
        <f>IF(A511="","",IFERROR(AVERAGEIFS(Prensa!$B$2:$B$5001,Prensa!$E$2:$E$5001,N511,Prensa!$F$2:$F$5001,2,Prensa!$G$2:$G$5001,1),""))</f>
        <v>0</v>
      </c>
      <c r="F511" s="27">
        <f>IF(A511="","",IFERROR(AVERAGEIFS(Prensa!$B$2:$B$5001,Prensa!$E$2:$E$5001,N511,Prensa!$F$2:$F$5001,3,Prensa!$G$2:$G$5001,1),""))</f>
        <v>0</v>
      </c>
      <c r="G511" s="27">
        <f>IF(A511="","",IFERROR(AVERAGEIFS(Prensa!$B$2:$B$5001,Prensa!$E$2:$E$5001,N511,Prensa!$F$2:$F$5001,4,Prensa!$G$2:$G$5001,1),""))</f>
        <v>0</v>
      </c>
      <c r="H511" s="26">
        <f>IF(A511="","",COUNT(D511:G511))</f>
        <v>0</v>
      </c>
      <c r="I511" s="27">
        <f>IF(A511="","",IF(H511=0,"",AVERAGE(D511:G511)))</f>
        <v>0</v>
      </c>
      <c r="J511" s="27">
        <f>IF(OR(I511="",C511=""),"",I511-C511)</f>
        <v>0</v>
      </c>
      <c r="K511" s="26">
        <f>IF(A511="","",IF(MES!E511&lt;&gt;4,"Horário do MES fora do padrão",IF(H511&lt;cfgMinCortes,"Cortes insuficientes","Válida")))</f>
        <v>0</v>
      </c>
      <c r="L511" s="27">
        <f>IF(K511="Válida",ABS(J511),"")</f>
        <v>0</v>
      </c>
      <c r="M511" s="26">
        <f>IF(K511="Válida",IF(L511&lt;=cfgTolerancia,"Sim","Não"),"")</f>
        <v>0</v>
      </c>
      <c r="N511" s="26">
        <f>IF(A511="","",MES!D511)</f>
        <v>0</v>
      </c>
      <c r="O511" s="25">
        <f>IF(K511="Válida",A511,NA())</f>
        <v>0</v>
      </c>
      <c r="P511" s="27">
        <f>IF(K511="Válida",C511,NA())</f>
        <v>0</v>
      </c>
      <c r="Q511" s="27">
        <f>IF(K511="Válida",I511,NA())</f>
        <v>0</v>
      </c>
      <c r="R511" s="27">
        <f>IF(K511="Válida",J511,NA())</f>
        <v>0</v>
      </c>
      <c r="S511" s="27">
        <f>IF(K511="Válida",C511,"")</f>
        <v>0</v>
      </c>
      <c r="T511" s="27">
        <f>IF(K511="Válida",I511,"")</f>
        <v>0</v>
      </c>
      <c r="U511" s="27">
        <f>IF(K511="Válida",J511,"")</f>
        <v>0</v>
      </c>
    </row>
    <row r="512" spans="1:21">
      <c r="A512" s="25">
        <f>IF(MES!A512="","",MES!C512/48)</f>
        <v>0</v>
      </c>
      <c r="B512" s="26">
        <f>IF(A512="","",TEXT((N512*4+cfgDeslocamento)/48,"hh:mm")&amp;" a "&amp;TEXT(A512,"hh:mm"))</f>
        <v>0</v>
      </c>
      <c r="C512" s="27">
        <f>IF(A512="","",MES!B512)</f>
        <v>0</v>
      </c>
      <c r="D512" s="27">
        <f>IF(A512="","",IFERROR(AVERAGEIFS(Prensa!$B$2:$B$5001,Prensa!$E$2:$E$5001,N512,Prensa!$F$2:$F$5001,1,Prensa!$G$2:$G$5001,1),""))</f>
        <v>0</v>
      </c>
      <c r="E512" s="27">
        <f>IF(A512="","",IFERROR(AVERAGEIFS(Prensa!$B$2:$B$5001,Prensa!$E$2:$E$5001,N512,Prensa!$F$2:$F$5001,2,Prensa!$G$2:$G$5001,1),""))</f>
        <v>0</v>
      </c>
      <c r="F512" s="27">
        <f>IF(A512="","",IFERROR(AVERAGEIFS(Prensa!$B$2:$B$5001,Prensa!$E$2:$E$5001,N512,Prensa!$F$2:$F$5001,3,Prensa!$G$2:$G$5001,1),""))</f>
        <v>0</v>
      </c>
      <c r="G512" s="27">
        <f>IF(A512="","",IFERROR(AVERAGEIFS(Prensa!$B$2:$B$5001,Prensa!$E$2:$E$5001,N512,Prensa!$F$2:$F$5001,4,Prensa!$G$2:$G$5001,1),""))</f>
        <v>0</v>
      </c>
      <c r="H512" s="26">
        <f>IF(A512="","",COUNT(D512:G512))</f>
        <v>0</v>
      </c>
      <c r="I512" s="27">
        <f>IF(A512="","",IF(H512=0,"",AVERAGE(D512:G512)))</f>
        <v>0</v>
      </c>
      <c r="J512" s="27">
        <f>IF(OR(I512="",C512=""),"",I512-C512)</f>
        <v>0</v>
      </c>
      <c r="K512" s="26">
        <f>IF(A512="","",IF(MES!E512&lt;&gt;4,"Horário do MES fora do padrão",IF(H512&lt;cfgMinCortes,"Cortes insuficientes","Válida")))</f>
        <v>0</v>
      </c>
      <c r="L512" s="27">
        <f>IF(K512="Válida",ABS(J512),"")</f>
        <v>0</v>
      </c>
      <c r="M512" s="26">
        <f>IF(K512="Válida",IF(L512&lt;=cfgTolerancia,"Sim","Não"),"")</f>
        <v>0</v>
      </c>
      <c r="N512" s="26">
        <f>IF(A512="","",MES!D512)</f>
        <v>0</v>
      </c>
      <c r="O512" s="25">
        <f>IF(K512="Válida",A512,NA())</f>
        <v>0</v>
      </c>
      <c r="P512" s="27">
        <f>IF(K512="Válida",C512,NA())</f>
        <v>0</v>
      </c>
      <c r="Q512" s="27">
        <f>IF(K512="Válida",I512,NA())</f>
        <v>0</v>
      </c>
      <c r="R512" s="27">
        <f>IF(K512="Válida",J512,NA())</f>
        <v>0</v>
      </c>
      <c r="S512" s="27">
        <f>IF(K512="Válida",C512,"")</f>
        <v>0</v>
      </c>
      <c r="T512" s="27">
        <f>IF(K512="Válida",I512,"")</f>
        <v>0</v>
      </c>
      <c r="U512" s="27">
        <f>IF(K512="Válida",J512,"")</f>
        <v>0</v>
      </c>
    </row>
    <row r="513" spans="1:21">
      <c r="A513" s="25">
        <f>IF(MES!A513="","",MES!C513/48)</f>
        <v>0</v>
      </c>
      <c r="B513" s="26">
        <f>IF(A513="","",TEXT((N513*4+cfgDeslocamento)/48,"hh:mm")&amp;" a "&amp;TEXT(A513,"hh:mm"))</f>
        <v>0</v>
      </c>
      <c r="C513" s="27">
        <f>IF(A513="","",MES!B513)</f>
        <v>0</v>
      </c>
      <c r="D513" s="27">
        <f>IF(A513="","",IFERROR(AVERAGEIFS(Prensa!$B$2:$B$5001,Prensa!$E$2:$E$5001,N513,Prensa!$F$2:$F$5001,1,Prensa!$G$2:$G$5001,1),""))</f>
        <v>0</v>
      </c>
      <c r="E513" s="27">
        <f>IF(A513="","",IFERROR(AVERAGEIFS(Prensa!$B$2:$B$5001,Prensa!$E$2:$E$5001,N513,Prensa!$F$2:$F$5001,2,Prensa!$G$2:$G$5001,1),""))</f>
        <v>0</v>
      </c>
      <c r="F513" s="27">
        <f>IF(A513="","",IFERROR(AVERAGEIFS(Prensa!$B$2:$B$5001,Prensa!$E$2:$E$5001,N513,Prensa!$F$2:$F$5001,3,Prensa!$G$2:$G$5001,1),""))</f>
        <v>0</v>
      </c>
      <c r="G513" s="27">
        <f>IF(A513="","",IFERROR(AVERAGEIFS(Prensa!$B$2:$B$5001,Prensa!$E$2:$E$5001,N513,Prensa!$F$2:$F$5001,4,Prensa!$G$2:$G$5001,1),""))</f>
        <v>0</v>
      </c>
      <c r="H513" s="26">
        <f>IF(A513="","",COUNT(D513:G513))</f>
        <v>0</v>
      </c>
      <c r="I513" s="27">
        <f>IF(A513="","",IF(H513=0,"",AVERAGE(D513:G513)))</f>
        <v>0</v>
      </c>
      <c r="J513" s="27">
        <f>IF(OR(I513="",C513=""),"",I513-C513)</f>
        <v>0</v>
      </c>
      <c r="K513" s="26">
        <f>IF(A513="","",IF(MES!E513&lt;&gt;4,"Horário do MES fora do padrão",IF(H513&lt;cfgMinCortes,"Cortes insuficientes","Válida")))</f>
        <v>0</v>
      </c>
      <c r="L513" s="27">
        <f>IF(K513="Válida",ABS(J513),"")</f>
        <v>0</v>
      </c>
      <c r="M513" s="26">
        <f>IF(K513="Válida",IF(L513&lt;=cfgTolerancia,"Sim","Não"),"")</f>
        <v>0</v>
      </c>
      <c r="N513" s="26">
        <f>IF(A513="","",MES!D513)</f>
        <v>0</v>
      </c>
      <c r="O513" s="25">
        <f>IF(K513="Válida",A513,NA())</f>
        <v>0</v>
      </c>
      <c r="P513" s="27">
        <f>IF(K513="Válida",C513,NA())</f>
        <v>0</v>
      </c>
      <c r="Q513" s="27">
        <f>IF(K513="Válida",I513,NA())</f>
        <v>0</v>
      </c>
      <c r="R513" s="27">
        <f>IF(K513="Válida",J513,NA())</f>
        <v>0</v>
      </c>
      <c r="S513" s="27">
        <f>IF(K513="Válida",C513,"")</f>
        <v>0</v>
      </c>
      <c r="T513" s="27">
        <f>IF(K513="Válida",I513,"")</f>
        <v>0</v>
      </c>
      <c r="U513" s="27">
        <f>IF(K513="Válida",J513,"")</f>
        <v>0</v>
      </c>
    </row>
    <row r="514" spans="1:21">
      <c r="A514" s="25">
        <f>IF(MES!A514="","",MES!C514/48)</f>
        <v>0</v>
      </c>
      <c r="B514" s="26">
        <f>IF(A514="","",TEXT((N514*4+cfgDeslocamento)/48,"hh:mm")&amp;" a "&amp;TEXT(A514,"hh:mm"))</f>
        <v>0</v>
      </c>
      <c r="C514" s="27">
        <f>IF(A514="","",MES!B514)</f>
        <v>0</v>
      </c>
      <c r="D514" s="27">
        <f>IF(A514="","",IFERROR(AVERAGEIFS(Prensa!$B$2:$B$5001,Prensa!$E$2:$E$5001,N514,Prensa!$F$2:$F$5001,1,Prensa!$G$2:$G$5001,1),""))</f>
        <v>0</v>
      </c>
      <c r="E514" s="27">
        <f>IF(A514="","",IFERROR(AVERAGEIFS(Prensa!$B$2:$B$5001,Prensa!$E$2:$E$5001,N514,Prensa!$F$2:$F$5001,2,Prensa!$G$2:$G$5001,1),""))</f>
        <v>0</v>
      </c>
      <c r="F514" s="27">
        <f>IF(A514="","",IFERROR(AVERAGEIFS(Prensa!$B$2:$B$5001,Prensa!$E$2:$E$5001,N514,Prensa!$F$2:$F$5001,3,Prensa!$G$2:$G$5001,1),""))</f>
        <v>0</v>
      </c>
      <c r="G514" s="27">
        <f>IF(A514="","",IFERROR(AVERAGEIFS(Prensa!$B$2:$B$5001,Prensa!$E$2:$E$5001,N514,Prensa!$F$2:$F$5001,4,Prensa!$G$2:$G$5001,1),""))</f>
        <v>0</v>
      </c>
      <c r="H514" s="26">
        <f>IF(A514="","",COUNT(D514:G514))</f>
        <v>0</v>
      </c>
      <c r="I514" s="27">
        <f>IF(A514="","",IF(H514=0,"",AVERAGE(D514:G514)))</f>
        <v>0</v>
      </c>
      <c r="J514" s="27">
        <f>IF(OR(I514="",C514=""),"",I514-C514)</f>
        <v>0</v>
      </c>
      <c r="K514" s="26">
        <f>IF(A514="","",IF(MES!E514&lt;&gt;4,"Horário do MES fora do padrão",IF(H514&lt;cfgMinCortes,"Cortes insuficientes","Válida")))</f>
        <v>0</v>
      </c>
      <c r="L514" s="27">
        <f>IF(K514="Válida",ABS(J514),"")</f>
        <v>0</v>
      </c>
      <c r="M514" s="26">
        <f>IF(K514="Válida",IF(L514&lt;=cfgTolerancia,"Sim","Não"),"")</f>
        <v>0</v>
      </c>
      <c r="N514" s="26">
        <f>IF(A514="","",MES!D514)</f>
        <v>0</v>
      </c>
      <c r="O514" s="25">
        <f>IF(K514="Válida",A514,NA())</f>
        <v>0</v>
      </c>
      <c r="P514" s="27">
        <f>IF(K514="Válida",C514,NA())</f>
        <v>0</v>
      </c>
      <c r="Q514" s="27">
        <f>IF(K514="Válida",I514,NA())</f>
        <v>0</v>
      </c>
      <c r="R514" s="27">
        <f>IF(K514="Válida",J514,NA())</f>
        <v>0</v>
      </c>
      <c r="S514" s="27">
        <f>IF(K514="Válida",C514,"")</f>
        <v>0</v>
      </c>
      <c r="T514" s="27">
        <f>IF(K514="Válida",I514,"")</f>
        <v>0</v>
      </c>
      <c r="U514" s="27">
        <f>IF(K514="Válida",J514,"")</f>
        <v>0</v>
      </c>
    </row>
    <row r="515" spans="1:21">
      <c r="A515" s="25">
        <f>IF(MES!A515="","",MES!C515/48)</f>
        <v>0</v>
      </c>
      <c r="B515" s="26">
        <f>IF(A515="","",TEXT((N515*4+cfgDeslocamento)/48,"hh:mm")&amp;" a "&amp;TEXT(A515,"hh:mm"))</f>
        <v>0</v>
      </c>
      <c r="C515" s="27">
        <f>IF(A515="","",MES!B515)</f>
        <v>0</v>
      </c>
      <c r="D515" s="27">
        <f>IF(A515="","",IFERROR(AVERAGEIFS(Prensa!$B$2:$B$5001,Prensa!$E$2:$E$5001,N515,Prensa!$F$2:$F$5001,1,Prensa!$G$2:$G$5001,1),""))</f>
        <v>0</v>
      </c>
      <c r="E515" s="27">
        <f>IF(A515="","",IFERROR(AVERAGEIFS(Prensa!$B$2:$B$5001,Prensa!$E$2:$E$5001,N515,Prensa!$F$2:$F$5001,2,Prensa!$G$2:$G$5001,1),""))</f>
        <v>0</v>
      </c>
      <c r="F515" s="27">
        <f>IF(A515="","",IFERROR(AVERAGEIFS(Prensa!$B$2:$B$5001,Prensa!$E$2:$E$5001,N515,Prensa!$F$2:$F$5001,3,Prensa!$G$2:$G$5001,1),""))</f>
        <v>0</v>
      </c>
      <c r="G515" s="27">
        <f>IF(A515="","",IFERROR(AVERAGEIFS(Prensa!$B$2:$B$5001,Prensa!$E$2:$E$5001,N515,Prensa!$F$2:$F$5001,4,Prensa!$G$2:$G$5001,1),""))</f>
        <v>0</v>
      </c>
      <c r="H515" s="26">
        <f>IF(A515="","",COUNT(D515:G515))</f>
        <v>0</v>
      </c>
      <c r="I515" s="27">
        <f>IF(A515="","",IF(H515=0,"",AVERAGE(D515:G515)))</f>
        <v>0</v>
      </c>
      <c r="J515" s="27">
        <f>IF(OR(I515="",C515=""),"",I515-C515)</f>
        <v>0</v>
      </c>
      <c r="K515" s="26">
        <f>IF(A515="","",IF(MES!E515&lt;&gt;4,"Horário do MES fora do padrão",IF(H515&lt;cfgMinCortes,"Cortes insuficientes","Válida")))</f>
        <v>0</v>
      </c>
      <c r="L515" s="27">
        <f>IF(K515="Válida",ABS(J515),"")</f>
        <v>0</v>
      </c>
      <c r="M515" s="26">
        <f>IF(K515="Válida",IF(L515&lt;=cfgTolerancia,"Sim","Não"),"")</f>
        <v>0</v>
      </c>
      <c r="N515" s="26">
        <f>IF(A515="","",MES!D515)</f>
        <v>0</v>
      </c>
      <c r="O515" s="25">
        <f>IF(K515="Válida",A515,NA())</f>
        <v>0</v>
      </c>
      <c r="P515" s="27">
        <f>IF(K515="Válida",C515,NA())</f>
        <v>0</v>
      </c>
      <c r="Q515" s="27">
        <f>IF(K515="Válida",I515,NA())</f>
        <v>0</v>
      </c>
      <c r="R515" s="27">
        <f>IF(K515="Válida",J515,NA())</f>
        <v>0</v>
      </c>
      <c r="S515" s="27">
        <f>IF(K515="Válida",C515,"")</f>
        <v>0</v>
      </c>
      <c r="T515" s="27">
        <f>IF(K515="Válida",I515,"")</f>
        <v>0</v>
      </c>
      <c r="U515" s="27">
        <f>IF(K515="Válida",J515,"")</f>
        <v>0</v>
      </c>
    </row>
    <row r="516" spans="1:21">
      <c r="A516" s="25">
        <f>IF(MES!A516="","",MES!C516/48)</f>
        <v>0</v>
      </c>
      <c r="B516" s="26">
        <f>IF(A516="","",TEXT((N516*4+cfgDeslocamento)/48,"hh:mm")&amp;" a "&amp;TEXT(A516,"hh:mm"))</f>
        <v>0</v>
      </c>
      <c r="C516" s="27">
        <f>IF(A516="","",MES!B516)</f>
        <v>0</v>
      </c>
      <c r="D516" s="27">
        <f>IF(A516="","",IFERROR(AVERAGEIFS(Prensa!$B$2:$B$5001,Prensa!$E$2:$E$5001,N516,Prensa!$F$2:$F$5001,1,Prensa!$G$2:$G$5001,1),""))</f>
        <v>0</v>
      </c>
      <c r="E516" s="27">
        <f>IF(A516="","",IFERROR(AVERAGEIFS(Prensa!$B$2:$B$5001,Prensa!$E$2:$E$5001,N516,Prensa!$F$2:$F$5001,2,Prensa!$G$2:$G$5001,1),""))</f>
        <v>0</v>
      </c>
      <c r="F516" s="27">
        <f>IF(A516="","",IFERROR(AVERAGEIFS(Prensa!$B$2:$B$5001,Prensa!$E$2:$E$5001,N516,Prensa!$F$2:$F$5001,3,Prensa!$G$2:$G$5001,1),""))</f>
        <v>0</v>
      </c>
      <c r="G516" s="27">
        <f>IF(A516="","",IFERROR(AVERAGEIFS(Prensa!$B$2:$B$5001,Prensa!$E$2:$E$5001,N516,Prensa!$F$2:$F$5001,4,Prensa!$G$2:$G$5001,1),""))</f>
        <v>0</v>
      </c>
      <c r="H516" s="26">
        <f>IF(A516="","",COUNT(D516:G516))</f>
        <v>0</v>
      </c>
      <c r="I516" s="27">
        <f>IF(A516="","",IF(H516=0,"",AVERAGE(D516:G516)))</f>
        <v>0</v>
      </c>
      <c r="J516" s="27">
        <f>IF(OR(I516="",C516=""),"",I516-C516)</f>
        <v>0</v>
      </c>
      <c r="K516" s="26">
        <f>IF(A516="","",IF(MES!E516&lt;&gt;4,"Horário do MES fora do padrão",IF(H516&lt;cfgMinCortes,"Cortes insuficientes","Válida")))</f>
        <v>0</v>
      </c>
      <c r="L516" s="27">
        <f>IF(K516="Válida",ABS(J516),"")</f>
        <v>0</v>
      </c>
      <c r="M516" s="26">
        <f>IF(K516="Válida",IF(L516&lt;=cfgTolerancia,"Sim","Não"),"")</f>
        <v>0</v>
      </c>
      <c r="N516" s="26">
        <f>IF(A516="","",MES!D516)</f>
        <v>0</v>
      </c>
      <c r="O516" s="25">
        <f>IF(K516="Válida",A516,NA())</f>
        <v>0</v>
      </c>
      <c r="P516" s="27">
        <f>IF(K516="Válida",C516,NA())</f>
        <v>0</v>
      </c>
      <c r="Q516" s="27">
        <f>IF(K516="Válida",I516,NA())</f>
        <v>0</v>
      </c>
      <c r="R516" s="27">
        <f>IF(K516="Válida",J516,NA())</f>
        <v>0</v>
      </c>
      <c r="S516" s="27">
        <f>IF(K516="Válida",C516,"")</f>
        <v>0</v>
      </c>
      <c r="T516" s="27">
        <f>IF(K516="Válida",I516,"")</f>
        <v>0</v>
      </c>
      <c r="U516" s="27">
        <f>IF(K516="Válida",J516,"")</f>
        <v>0</v>
      </c>
    </row>
    <row r="517" spans="1:21">
      <c r="A517" s="25">
        <f>IF(MES!A517="","",MES!C517/48)</f>
        <v>0</v>
      </c>
      <c r="B517" s="26">
        <f>IF(A517="","",TEXT((N517*4+cfgDeslocamento)/48,"hh:mm")&amp;" a "&amp;TEXT(A517,"hh:mm"))</f>
        <v>0</v>
      </c>
      <c r="C517" s="27">
        <f>IF(A517="","",MES!B517)</f>
        <v>0</v>
      </c>
      <c r="D517" s="27">
        <f>IF(A517="","",IFERROR(AVERAGEIFS(Prensa!$B$2:$B$5001,Prensa!$E$2:$E$5001,N517,Prensa!$F$2:$F$5001,1,Prensa!$G$2:$G$5001,1),""))</f>
        <v>0</v>
      </c>
      <c r="E517" s="27">
        <f>IF(A517="","",IFERROR(AVERAGEIFS(Prensa!$B$2:$B$5001,Prensa!$E$2:$E$5001,N517,Prensa!$F$2:$F$5001,2,Prensa!$G$2:$G$5001,1),""))</f>
        <v>0</v>
      </c>
      <c r="F517" s="27">
        <f>IF(A517="","",IFERROR(AVERAGEIFS(Prensa!$B$2:$B$5001,Prensa!$E$2:$E$5001,N517,Prensa!$F$2:$F$5001,3,Prensa!$G$2:$G$5001,1),""))</f>
        <v>0</v>
      </c>
      <c r="G517" s="27">
        <f>IF(A517="","",IFERROR(AVERAGEIFS(Prensa!$B$2:$B$5001,Prensa!$E$2:$E$5001,N517,Prensa!$F$2:$F$5001,4,Prensa!$G$2:$G$5001,1),""))</f>
        <v>0</v>
      </c>
      <c r="H517" s="26">
        <f>IF(A517="","",COUNT(D517:G517))</f>
        <v>0</v>
      </c>
      <c r="I517" s="27">
        <f>IF(A517="","",IF(H517=0,"",AVERAGE(D517:G517)))</f>
        <v>0</v>
      </c>
      <c r="J517" s="27">
        <f>IF(OR(I517="",C517=""),"",I517-C517)</f>
        <v>0</v>
      </c>
      <c r="K517" s="26">
        <f>IF(A517="","",IF(MES!E517&lt;&gt;4,"Horário do MES fora do padrão",IF(H517&lt;cfgMinCortes,"Cortes insuficientes","Válida")))</f>
        <v>0</v>
      </c>
      <c r="L517" s="27">
        <f>IF(K517="Válida",ABS(J517),"")</f>
        <v>0</v>
      </c>
      <c r="M517" s="26">
        <f>IF(K517="Válida",IF(L517&lt;=cfgTolerancia,"Sim","Não"),"")</f>
        <v>0</v>
      </c>
      <c r="N517" s="26">
        <f>IF(A517="","",MES!D517)</f>
        <v>0</v>
      </c>
      <c r="O517" s="25">
        <f>IF(K517="Válida",A517,NA())</f>
        <v>0</v>
      </c>
      <c r="P517" s="27">
        <f>IF(K517="Válida",C517,NA())</f>
        <v>0</v>
      </c>
      <c r="Q517" s="27">
        <f>IF(K517="Válida",I517,NA())</f>
        <v>0</v>
      </c>
      <c r="R517" s="27">
        <f>IF(K517="Válida",J517,NA())</f>
        <v>0</v>
      </c>
      <c r="S517" s="27">
        <f>IF(K517="Válida",C517,"")</f>
        <v>0</v>
      </c>
      <c r="T517" s="27">
        <f>IF(K517="Válida",I517,"")</f>
        <v>0</v>
      </c>
      <c r="U517" s="27">
        <f>IF(K517="Válida",J517,"")</f>
        <v>0</v>
      </c>
    </row>
    <row r="518" spans="1:21">
      <c r="A518" s="25">
        <f>IF(MES!A518="","",MES!C518/48)</f>
        <v>0</v>
      </c>
      <c r="B518" s="26">
        <f>IF(A518="","",TEXT((N518*4+cfgDeslocamento)/48,"hh:mm")&amp;" a "&amp;TEXT(A518,"hh:mm"))</f>
        <v>0</v>
      </c>
      <c r="C518" s="27">
        <f>IF(A518="","",MES!B518)</f>
        <v>0</v>
      </c>
      <c r="D518" s="27">
        <f>IF(A518="","",IFERROR(AVERAGEIFS(Prensa!$B$2:$B$5001,Prensa!$E$2:$E$5001,N518,Prensa!$F$2:$F$5001,1,Prensa!$G$2:$G$5001,1),""))</f>
        <v>0</v>
      </c>
      <c r="E518" s="27">
        <f>IF(A518="","",IFERROR(AVERAGEIFS(Prensa!$B$2:$B$5001,Prensa!$E$2:$E$5001,N518,Prensa!$F$2:$F$5001,2,Prensa!$G$2:$G$5001,1),""))</f>
        <v>0</v>
      </c>
      <c r="F518" s="27">
        <f>IF(A518="","",IFERROR(AVERAGEIFS(Prensa!$B$2:$B$5001,Prensa!$E$2:$E$5001,N518,Prensa!$F$2:$F$5001,3,Prensa!$G$2:$G$5001,1),""))</f>
        <v>0</v>
      </c>
      <c r="G518" s="27">
        <f>IF(A518="","",IFERROR(AVERAGEIFS(Prensa!$B$2:$B$5001,Prensa!$E$2:$E$5001,N518,Prensa!$F$2:$F$5001,4,Prensa!$G$2:$G$5001,1),""))</f>
        <v>0</v>
      </c>
      <c r="H518" s="26">
        <f>IF(A518="","",COUNT(D518:G518))</f>
        <v>0</v>
      </c>
      <c r="I518" s="27">
        <f>IF(A518="","",IF(H518=0,"",AVERAGE(D518:G518)))</f>
        <v>0</v>
      </c>
      <c r="J518" s="27">
        <f>IF(OR(I518="",C518=""),"",I518-C518)</f>
        <v>0</v>
      </c>
      <c r="K518" s="26">
        <f>IF(A518="","",IF(MES!E518&lt;&gt;4,"Horário do MES fora do padrão",IF(H518&lt;cfgMinCortes,"Cortes insuficientes","Válida")))</f>
        <v>0</v>
      </c>
      <c r="L518" s="27">
        <f>IF(K518="Válida",ABS(J518),"")</f>
        <v>0</v>
      </c>
      <c r="M518" s="26">
        <f>IF(K518="Válida",IF(L518&lt;=cfgTolerancia,"Sim","Não"),"")</f>
        <v>0</v>
      </c>
      <c r="N518" s="26">
        <f>IF(A518="","",MES!D518)</f>
        <v>0</v>
      </c>
      <c r="O518" s="25">
        <f>IF(K518="Válida",A518,NA())</f>
        <v>0</v>
      </c>
      <c r="P518" s="27">
        <f>IF(K518="Válida",C518,NA())</f>
        <v>0</v>
      </c>
      <c r="Q518" s="27">
        <f>IF(K518="Válida",I518,NA())</f>
        <v>0</v>
      </c>
      <c r="R518" s="27">
        <f>IF(K518="Válida",J518,NA())</f>
        <v>0</v>
      </c>
      <c r="S518" s="27">
        <f>IF(K518="Válida",C518,"")</f>
        <v>0</v>
      </c>
      <c r="T518" s="27">
        <f>IF(K518="Válida",I518,"")</f>
        <v>0</v>
      </c>
      <c r="U518" s="27">
        <f>IF(K518="Válida",J518,"")</f>
        <v>0</v>
      </c>
    </row>
    <row r="519" spans="1:21">
      <c r="A519" s="25">
        <f>IF(MES!A519="","",MES!C519/48)</f>
        <v>0</v>
      </c>
      <c r="B519" s="26">
        <f>IF(A519="","",TEXT((N519*4+cfgDeslocamento)/48,"hh:mm")&amp;" a "&amp;TEXT(A519,"hh:mm"))</f>
        <v>0</v>
      </c>
      <c r="C519" s="27">
        <f>IF(A519="","",MES!B519)</f>
        <v>0</v>
      </c>
      <c r="D519" s="27">
        <f>IF(A519="","",IFERROR(AVERAGEIFS(Prensa!$B$2:$B$5001,Prensa!$E$2:$E$5001,N519,Prensa!$F$2:$F$5001,1,Prensa!$G$2:$G$5001,1),""))</f>
        <v>0</v>
      </c>
      <c r="E519" s="27">
        <f>IF(A519="","",IFERROR(AVERAGEIFS(Prensa!$B$2:$B$5001,Prensa!$E$2:$E$5001,N519,Prensa!$F$2:$F$5001,2,Prensa!$G$2:$G$5001,1),""))</f>
        <v>0</v>
      </c>
      <c r="F519" s="27">
        <f>IF(A519="","",IFERROR(AVERAGEIFS(Prensa!$B$2:$B$5001,Prensa!$E$2:$E$5001,N519,Prensa!$F$2:$F$5001,3,Prensa!$G$2:$G$5001,1),""))</f>
        <v>0</v>
      </c>
      <c r="G519" s="27">
        <f>IF(A519="","",IFERROR(AVERAGEIFS(Prensa!$B$2:$B$5001,Prensa!$E$2:$E$5001,N519,Prensa!$F$2:$F$5001,4,Prensa!$G$2:$G$5001,1),""))</f>
        <v>0</v>
      </c>
      <c r="H519" s="26">
        <f>IF(A519="","",COUNT(D519:G519))</f>
        <v>0</v>
      </c>
      <c r="I519" s="27">
        <f>IF(A519="","",IF(H519=0,"",AVERAGE(D519:G519)))</f>
        <v>0</v>
      </c>
      <c r="J519" s="27">
        <f>IF(OR(I519="",C519=""),"",I519-C519)</f>
        <v>0</v>
      </c>
      <c r="K519" s="26">
        <f>IF(A519="","",IF(MES!E519&lt;&gt;4,"Horário do MES fora do padrão",IF(H519&lt;cfgMinCortes,"Cortes insuficientes","Válida")))</f>
        <v>0</v>
      </c>
      <c r="L519" s="27">
        <f>IF(K519="Válida",ABS(J519),"")</f>
        <v>0</v>
      </c>
      <c r="M519" s="26">
        <f>IF(K519="Válida",IF(L519&lt;=cfgTolerancia,"Sim","Não"),"")</f>
        <v>0</v>
      </c>
      <c r="N519" s="26">
        <f>IF(A519="","",MES!D519)</f>
        <v>0</v>
      </c>
      <c r="O519" s="25">
        <f>IF(K519="Válida",A519,NA())</f>
        <v>0</v>
      </c>
      <c r="P519" s="27">
        <f>IF(K519="Válida",C519,NA())</f>
        <v>0</v>
      </c>
      <c r="Q519" s="27">
        <f>IF(K519="Válida",I519,NA())</f>
        <v>0</v>
      </c>
      <c r="R519" s="27">
        <f>IF(K519="Válida",J519,NA())</f>
        <v>0</v>
      </c>
      <c r="S519" s="27">
        <f>IF(K519="Válida",C519,"")</f>
        <v>0</v>
      </c>
      <c r="T519" s="27">
        <f>IF(K519="Válida",I519,"")</f>
        <v>0</v>
      </c>
      <c r="U519" s="27">
        <f>IF(K519="Válida",J519,"")</f>
        <v>0</v>
      </c>
    </row>
    <row r="520" spans="1:21">
      <c r="A520" s="25">
        <f>IF(MES!A520="","",MES!C520/48)</f>
        <v>0</v>
      </c>
      <c r="B520" s="26">
        <f>IF(A520="","",TEXT((N520*4+cfgDeslocamento)/48,"hh:mm")&amp;" a "&amp;TEXT(A520,"hh:mm"))</f>
        <v>0</v>
      </c>
      <c r="C520" s="27">
        <f>IF(A520="","",MES!B520)</f>
        <v>0</v>
      </c>
      <c r="D520" s="27">
        <f>IF(A520="","",IFERROR(AVERAGEIFS(Prensa!$B$2:$B$5001,Prensa!$E$2:$E$5001,N520,Prensa!$F$2:$F$5001,1,Prensa!$G$2:$G$5001,1),""))</f>
        <v>0</v>
      </c>
      <c r="E520" s="27">
        <f>IF(A520="","",IFERROR(AVERAGEIFS(Prensa!$B$2:$B$5001,Prensa!$E$2:$E$5001,N520,Prensa!$F$2:$F$5001,2,Prensa!$G$2:$G$5001,1),""))</f>
        <v>0</v>
      </c>
      <c r="F520" s="27">
        <f>IF(A520="","",IFERROR(AVERAGEIFS(Prensa!$B$2:$B$5001,Prensa!$E$2:$E$5001,N520,Prensa!$F$2:$F$5001,3,Prensa!$G$2:$G$5001,1),""))</f>
        <v>0</v>
      </c>
      <c r="G520" s="27">
        <f>IF(A520="","",IFERROR(AVERAGEIFS(Prensa!$B$2:$B$5001,Prensa!$E$2:$E$5001,N520,Prensa!$F$2:$F$5001,4,Prensa!$G$2:$G$5001,1),""))</f>
        <v>0</v>
      </c>
      <c r="H520" s="26">
        <f>IF(A520="","",COUNT(D520:G520))</f>
        <v>0</v>
      </c>
      <c r="I520" s="27">
        <f>IF(A520="","",IF(H520=0,"",AVERAGE(D520:G520)))</f>
        <v>0</v>
      </c>
      <c r="J520" s="27">
        <f>IF(OR(I520="",C520=""),"",I520-C520)</f>
        <v>0</v>
      </c>
      <c r="K520" s="26">
        <f>IF(A520="","",IF(MES!E520&lt;&gt;4,"Horário do MES fora do padrão",IF(H520&lt;cfgMinCortes,"Cortes insuficientes","Válida")))</f>
        <v>0</v>
      </c>
      <c r="L520" s="27">
        <f>IF(K520="Válida",ABS(J520),"")</f>
        <v>0</v>
      </c>
      <c r="M520" s="26">
        <f>IF(K520="Válida",IF(L520&lt;=cfgTolerancia,"Sim","Não"),"")</f>
        <v>0</v>
      </c>
      <c r="N520" s="26">
        <f>IF(A520="","",MES!D520)</f>
        <v>0</v>
      </c>
      <c r="O520" s="25">
        <f>IF(K520="Válida",A520,NA())</f>
        <v>0</v>
      </c>
      <c r="P520" s="27">
        <f>IF(K520="Válida",C520,NA())</f>
        <v>0</v>
      </c>
      <c r="Q520" s="27">
        <f>IF(K520="Válida",I520,NA())</f>
        <v>0</v>
      </c>
      <c r="R520" s="27">
        <f>IF(K520="Válida",J520,NA())</f>
        <v>0</v>
      </c>
      <c r="S520" s="27">
        <f>IF(K520="Válida",C520,"")</f>
        <v>0</v>
      </c>
      <c r="T520" s="27">
        <f>IF(K520="Válida",I520,"")</f>
        <v>0</v>
      </c>
      <c r="U520" s="27">
        <f>IF(K520="Válida",J520,"")</f>
        <v>0</v>
      </c>
    </row>
    <row r="521" spans="1:21">
      <c r="A521" s="25">
        <f>IF(MES!A521="","",MES!C521/48)</f>
        <v>0</v>
      </c>
      <c r="B521" s="26">
        <f>IF(A521="","",TEXT((N521*4+cfgDeslocamento)/48,"hh:mm")&amp;" a "&amp;TEXT(A521,"hh:mm"))</f>
        <v>0</v>
      </c>
      <c r="C521" s="27">
        <f>IF(A521="","",MES!B521)</f>
        <v>0</v>
      </c>
      <c r="D521" s="27">
        <f>IF(A521="","",IFERROR(AVERAGEIFS(Prensa!$B$2:$B$5001,Prensa!$E$2:$E$5001,N521,Prensa!$F$2:$F$5001,1,Prensa!$G$2:$G$5001,1),""))</f>
        <v>0</v>
      </c>
      <c r="E521" s="27">
        <f>IF(A521="","",IFERROR(AVERAGEIFS(Prensa!$B$2:$B$5001,Prensa!$E$2:$E$5001,N521,Prensa!$F$2:$F$5001,2,Prensa!$G$2:$G$5001,1),""))</f>
        <v>0</v>
      </c>
      <c r="F521" s="27">
        <f>IF(A521="","",IFERROR(AVERAGEIFS(Prensa!$B$2:$B$5001,Prensa!$E$2:$E$5001,N521,Prensa!$F$2:$F$5001,3,Prensa!$G$2:$G$5001,1),""))</f>
        <v>0</v>
      </c>
      <c r="G521" s="27">
        <f>IF(A521="","",IFERROR(AVERAGEIFS(Prensa!$B$2:$B$5001,Prensa!$E$2:$E$5001,N521,Prensa!$F$2:$F$5001,4,Prensa!$G$2:$G$5001,1),""))</f>
        <v>0</v>
      </c>
      <c r="H521" s="26">
        <f>IF(A521="","",COUNT(D521:G521))</f>
        <v>0</v>
      </c>
      <c r="I521" s="27">
        <f>IF(A521="","",IF(H521=0,"",AVERAGE(D521:G521)))</f>
        <v>0</v>
      </c>
      <c r="J521" s="27">
        <f>IF(OR(I521="",C521=""),"",I521-C521)</f>
        <v>0</v>
      </c>
      <c r="K521" s="26">
        <f>IF(A521="","",IF(MES!E521&lt;&gt;4,"Horário do MES fora do padrão",IF(H521&lt;cfgMinCortes,"Cortes insuficientes","Válida")))</f>
        <v>0</v>
      </c>
      <c r="L521" s="27">
        <f>IF(K521="Válida",ABS(J521),"")</f>
        <v>0</v>
      </c>
      <c r="M521" s="26">
        <f>IF(K521="Válida",IF(L521&lt;=cfgTolerancia,"Sim","Não"),"")</f>
        <v>0</v>
      </c>
      <c r="N521" s="26">
        <f>IF(A521="","",MES!D521)</f>
        <v>0</v>
      </c>
      <c r="O521" s="25">
        <f>IF(K521="Válida",A521,NA())</f>
        <v>0</v>
      </c>
      <c r="P521" s="27">
        <f>IF(K521="Válida",C521,NA())</f>
        <v>0</v>
      </c>
      <c r="Q521" s="27">
        <f>IF(K521="Válida",I521,NA())</f>
        <v>0</v>
      </c>
      <c r="R521" s="27">
        <f>IF(K521="Válida",J521,NA())</f>
        <v>0</v>
      </c>
      <c r="S521" s="27">
        <f>IF(K521="Válida",C521,"")</f>
        <v>0</v>
      </c>
      <c r="T521" s="27">
        <f>IF(K521="Válida",I521,"")</f>
        <v>0</v>
      </c>
      <c r="U521" s="27">
        <f>IF(K521="Válida",J521,"")</f>
        <v>0</v>
      </c>
    </row>
    <row r="522" spans="1:21">
      <c r="A522" s="25">
        <f>IF(MES!A522="","",MES!C522/48)</f>
        <v>0</v>
      </c>
      <c r="B522" s="26">
        <f>IF(A522="","",TEXT((N522*4+cfgDeslocamento)/48,"hh:mm")&amp;" a "&amp;TEXT(A522,"hh:mm"))</f>
        <v>0</v>
      </c>
      <c r="C522" s="27">
        <f>IF(A522="","",MES!B522)</f>
        <v>0</v>
      </c>
      <c r="D522" s="27">
        <f>IF(A522="","",IFERROR(AVERAGEIFS(Prensa!$B$2:$B$5001,Prensa!$E$2:$E$5001,N522,Prensa!$F$2:$F$5001,1,Prensa!$G$2:$G$5001,1),""))</f>
        <v>0</v>
      </c>
      <c r="E522" s="27">
        <f>IF(A522="","",IFERROR(AVERAGEIFS(Prensa!$B$2:$B$5001,Prensa!$E$2:$E$5001,N522,Prensa!$F$2:$F$5001,2,Prensa!$G$2:$G$5001,1),""))</f>
        <v>0</v>
      </c>
      <c r="F522" s="27">
        <f>IF(A522="","",IFERROR(AVERAGEIFS(Prensa!$B$2:$B$5001,Prensa!$E$2:$E$5001,N522,Prensa!$F$2:$F$5001,3,Prensa!$G$2:$G$5001,1),""))</f>
        <v>0</v>
      </c>
      <c r="G522" s="27">
        <f>IF(A522="","",IFERROR(AVERAGEIFS(Prensa!$B$2:$B$5001,Prensa!$E$2:$E$5001,N522,Prensa!$F$2:$F$5001,4,Prensa!$G$2:$G$5001,1),""))</f>
        <v>0</v>
      </c>
      <c r="H522" s="26">
        <f>IF(A522="","",COUNT(D522:G522))</f>
        <v>0</v>
      </c>
      <c r="I522" s="27">
        <f>IF(A522="","",IF(H522=0,"",AVERAGE(D522:G522)))</f>
        <v>0</v>
      </c>
      <c r="J522" s="27">
        <f>IF(OR(I522="",C522=""),"",I522-C522)</f>
        <v>0</v>
      </c>
      <c r="K522" s="26">
        <f>IF(A522="","",IF(MES!E522&lt;&gt;4,"Horário do MES fora do padrão",IF(H522&lt;cfgMinCortes,"Cortes insuficientes","Válida")))</f>
        <v>0</v>
      </c>
      <c r="L522" s="27">
        <f>IF(K522="Válida",ABS(J522),"")</f>
        <v>0</v>
      </c>
      <c r="M522" s="26">
        <f>IF(K522="Válida",IF(L522&lt;=cfgTolerancia,"Sim","Não"),"")</f>
        <v>0</v>
      </c>
      <c r="N522" s="26">
        <f>IF(A522="","",MES!D522)</f>
        <v>0</v>
      </c>
      <c r="O522" s="25">
        <f>IF(K522="Válida",A522,NA())</f>
        <v>0</v>
      </c>
      <c r="P522" s="27">
        <f>IF(K522="Válida",C522,NA())</f>
        <v>0</v>
      </c>
      <c r="Q522" s="27">
        <f>IF(K522="Válida",I522,NA())</f>
        <v>0</v>
      </c>
      <c r="R522" s="27">
        <f>IF(K522="Válida",J522,NA())</f>
        <v>0</v>
      </c>
      <c r="S522" s="27">
        <f>IF(K522="Válida",C522,"")</f>
        <v>0</v>
      </c>
      <c r="T522" s="27">
        <f>IF(K522="Válida",I522,"")</f>
        <v>0</v>
      </c>
      <c r="U522" s="27">
        <f>IF(K522="Válida",J522,"")</f>
        <v>0</v>
      </c>
    </row>
    <row r="523" spans="1:21">
      <c r="A523" s="25">
        <f>IF(MES!A523="","",MES!C523/48)</f>
        <v>0</v>
      </c>
      <c r="B523" s="26">
        <f>IF(A523="","",TEXT((N523*4+cfgDeslocamento)/48,"hh:mm")&amp;" a "&amp;TEXT(A523,"hh:mm"))</f>
        <v>0</v>
      </c>
      <c r="C523" s="27">
        <f>IF(A523="","",MES!B523)</f>
        <v>0</v>
      </c>
      <c r="D523" s="27">
        <f>IF(A523="","",IFERROR(AVERAGEIFS(Prensa!$B$2:$B$5001,Prensa!$E$2:$E$5001,N523,Prensa!$F$2:$F$5001,1,Prensa!$G$2:$G$5001,1),""))</f>
        <v>0</v>
      </c>
      <c r="E523" s="27">
        <f>IF(A523="","",IFERROR(AVERAGEIFS(Prensa!$B$2:$B$5001,Prensa!$E$2:$E$5001,N523,Prensa!$F$2:$F$5001,2,Prensa!$G$2:$G$5001,1),""))</f>
        <v>0</v>
      </c>
      <c r="F523" s="27">
        <f>IF(A523="","",IFERROR(AVERAGEIFS(Prensa!$B$2:$B$5001,Prensa!$E$2:$E$5001,N523,Prensa!$F$2:$F$5001,3,Prensa!$G$2:$G$5001,1),""))</f>
        <v>0</v>
      </c>
      <c r="G523" s="27">
        <f>IF(A523="","",IFERROR(AVERAGEIFS(Prensa!$B$2:$B$5001,Prensa!$E$2:$E$5001,N523,Prensa!$F$2:$F$5001,4,Prensa!$G$2:$G$5001,1),""))</f>
        <v>0</v>
      </c>
      <c r="H523" s="26">
        <f>IF(A523="","",COUNT(D523:G523))</f>
        <v>0</v>
      </c>
      <c r="I523" s="27">
        <f>IF(A523="","",IF(H523=0,"",AVERAGE(D523:G523)))</f>
        <v>0</v>
      </c>
      <c r="J523" s="27">
        <f>IF(OR(I523="",C523=""),"",I523-C523)</f>
        <v>0</v>
      </c>
      <c r="K523" s="26">
        <f>IF(A523="","",IF(MES!E523&lt;&gt;4,"Horário do MES fora do padrão",IF(H523&lt;cfgMinCortes,"Cortes insuficientes","Válida")))</f>
        <v>0</v>
      </c>
      <c r="L523" s="27">
        <f>IF(K523="Válida",ABS(J523),"")</f>
        <v>0</v>
      </c>
      <c r="M523" s="26">
        <f>IF(K523="Válida",IF(L523&lt;=cfgTolerancia,"Sim","Não"),"")</f>
        <v>0</v>
      </c>
      <c r="N523" s="26">
        <f>IF(A523="","",MES!D523)</f>
        <v>0</v>
      </c>
      <c r="O523" s="25">
        <f>IF(K523="Válida",A523,NA())</f>
        <v>0</v>
      </c>
      <c r="P523" s="27">
        <f>IF(K523="Válida",C523,NA())</f>
        <v>0</v>
      </c>
      <c r="Q523" s="27">
        <f>IF(K523="Válida",I523,NA())</f>
        <v>0</v>
      </c>
      <c r="R523" s="27">
        <f>IF(K523="Válida",J523,NA())</f>
        <v>0</v>
      </c>
      <c r="S523" s="27">
        <f>IF(K523="Válida",C523,"")</f>
        <v>0</v>
      </c>
      <c r="T523" s="27">
        <f>IF(K523="Válida",I523,"")</f>
        <v>0</v>
      </c>
      <c r="U523" s="27">
        <f>IF(K523="Válida",J523,"")</f>
        <v>0</v>
      </c>
    </row>
    <row r="524" spans="1:21">
      <c r="A524" s="25">
        <f>IF(MES!A524="","",MES!C524/48)</f>
        <v>0</v>
      </c>
      <c r="B524" s="26">
        <f>IF(A524="","",TEXT((N524*4+cfgDeslocamento)/48,"hh:mm")&amp;" a "&amp;TEXT(A524,"hh:mm"))</f>
        <v>0</v>
      </c>
      <c r="C524" s="27">
        <f>IF(A524="","",MES!B524)</f>
        <v>0</v>
      </c>
      <c r="D524" s="27">
        <f>IF(A524="","",IFERROR(AVERAGEIFS(Prensa!$B$2:$B$5001,Prensa!$E$2:$E$5001,N524,Prensa!$F$2:$F$5001,1,Prensa!$G$2:$G$5001,1),""))</f>
        <v>0</v>
      </c>
      <c r="E524" s="27">
        <f>IF(A524="","",IFERROR(AVERAGEIFS(Prensa!$B$2:$B$5001,Prensa!$E$2:$E$5001,N524,Prensa!$F$2:$F$5001,2,Prensa!$G$2:$G$5001,1),""))</f>
        <v>0</v>
      </c>
      <c r="F524" s="27">
        <f>IF(A524="","",IFERROR(AVERAGEIFS(Prensa!$B$2:$B$5001,Prensa!$E$2:$E$5001,N524,Prensa!$F$2:$F$5001,3,Prensa!$G$2:$G$5001,1),""))</f>
        <v>0</v>
      </c>
      <c r="G524" s="27">
        <f>IF(A524="","",IFERROR(AVERAGEIFS(Prensa!$B$2:$B$5001,Prensa!$E$2:$E$5001,N524,Prensa!$F$2:$F$5001,4,Prensa!$G$2:$G$5001,1),""))</f>
        <v>0</v>
      </c>
      <c r="H524" s="26">
        <f>IF(A524="","",COUNT(D524:G524))</f>
        <v>0</v>
      </c>
      <c r="I524" s="27">
        <f>IF(A524="","",IF(H524=0,"",AVERAGE(D524:G524)))</f>
        <v>0</v>
      </c>
      <c r="J524" s="27">
        <f>IF(OR(I524="",C524=""),"",I524-C524)</f>
        <v>0</v>
      </c>
      <c r="K524" s="26">
        <f>IF(A524="","",IF(MES!E524&lt;&gt;4,"Horário do MES fora do padrão",IF(H524&lt;cfgMinCortes,"Cortes insuficientes","Válida")))</f>
        <v>0</v>
      </c>
      <c r="L524" s="27">
        <f>IF(K524="Válida",ABS(J524),"")</f>
        <v>0</v>
      </c>
      <c r="M524" s="26">
        <f>IF(K524="Válida",IF(L524&lt;=cfgTolerancia,"Sim","Não"),"")</f>
        <v>0</v>
      </c>
      <c r="N524" s="26">
        <f>IF(A524="","",MES!D524)</f>
        <v>0</v>
      </c>
      <c r="O524" s="25">
        <f>IF(K524="Válida",A524,NA())</f>
        <v>0</v>
      </c>
      <c r="P524" s="27">
        <f>IF(K524="Válida",C524,NA())</f>
        <v>0</v>
      </c>
      <c r="Q524" s="27">
        <f>IF(K524="Válida",I524,NA())</f>
        <v>0</v>
      </c>
      <c r="R524" s="27">
        <f>IF(K524="Válida",J524,NA())</f>
        <v>0</v>
      </c>
      <c r="S524" s="27">
        <f>IF(K524="Válida",C524,"")</f>
        <v>0</v>
      </c>
      <c r="T524" s="27">
        <f>IF(K524="Válida",I524,"")</f>
        <v>0</v>
      </c>
      <c r="U524" s="27">
        <f>IF(K524="Válida",J524,"")</f>
        <v>0</v>
      </c>
    </row>
    <row r="525" spans="1:21">
      <c r="A525" s="25">
        <f>IF(MES!A525="","",MES!C525/48)</f>
        <v>0</v>
      </c>
      <c r="B525" s="26">
        <f>IF(A525="","",TEXT((N525*4+cfgDeslocamento)/48,"hh:mm")&amp;" a "&amp;TEXT(A525,"hh:mm"))</f>
        <v>0</v>
      </c>
      <c r="C525" s="27">
        <f>IF(A525="","",MES!B525)</f>
        <v>0</v>
      </c>
      <c r="D525" s="27">
        <f>IF(A525="","",IFERROR(AVERAGEIFS(Prensa!$B$2:$B$5001,Prensa!$E$2:$E$5001,N525,Prensa!$F$2:$F$5001,1,Prensa!$G$2:$G$5001,1),""))</f>
        <v>0</v>
      </c>
      <c r="E525" s="27">
        <f>IF(A525="","",IFERROR(AVERAGEIFS(Prensa!$B$2:$B$5001,Prensa!$E$2:$E$5001,N525,Prensa!$F$2:$F$5001,2,Prensa!$G$2:$G$5001,1),""))</f>
        <v>0</v>
      </c>
      <c r="F525" s="27">
        <f>IF(A525="","",IFERROR(AVERAGEIFS(Prensa!$B$2:$B$5001,Prensa!$E$2:$E$5001,N525,Prensa!$F$2:$F$5001,3,Prensa!$G$2:$G$5001,1),""))</f>
        <v>0</v>
      </c>
      <c r="G525" s="27">
        <f>IF(A525="","",IFERROR(AVERAGEIFS(Prensa!$B$2:$B$5001,Prensa!$E$2:$E$5001,N525,Prensa!$F$2:$F$5001,4,Prensa!$G$2:$G$5001,1),""))</f>
        <v>0</v>
      </c>
      <c r="H525" s="26">
        <f>IF(A525="","",COUNT(D525:G525))</f>
        <v>0</v>
      </c>
      <c r="I525" s="27">
        <f>IF(A525="","",IF(H525=0,"",AVERAGE(D525:G525)))</f>
        <v>0</v>
      </c>
      <c r="J525" s="27">
        <f>IF(OR(I525="",C525=""),"",I525-C525)</f>
        <v>0</v>
      </c>
      <c r="K525" s="26">
        <f>IF(A525="","",IF(MES!E525&lt;&gt;4,"Horário do MES fora do padrão",IF(H525&lt;cfgMinCortes,"Cortes insuficientes","Válida")))</f>
        <v>0</v>
      </c>
      <c r="L525" s="27">
        <f>IF(K525="Válida",ABS(J525),"")</f>
        <v>0</v>
      </c>
      <c r="M525" s="26">
        <f>IF(K525="Válida",IF(L525&lt;=cfgTolerancia,"Sim","Não"),"")</f>
        <v>0</v>
      </c>
      <c r="N525" s="26">
        <f>IF(A525="","",MES!D525)</f>
        <v>0</v>
      </c>
      <c r="O525" s="25">
        <f>IF(K525="Válida",A525,NA())</f>
        <v>0</v>
      </c>
      <c r="P525" s="27">
        <f>IF(K525="Válida",C525,NA())</f>
        <v>0</v>
      </c>
      <c r="Q525" s="27">
        <f>IF(K525="Válida",I525,NA())</f>
        <v>0</v>
      </c>
      <c r="R525" s="27">
        <f>IF(K525="Válida",J525,NA())</f>
        <v>0</v>
      </c>
      <c r="S525" s="27">
        <f>IF(K525="Válida",C525,"")</f>
        <v>0</v>
      </c>
      <c r="T525" s="27">
        <f>IF(K525="Válida",I525,"")</f>
        <v>0</v>
      </c>
      <c r="U525" s="27">
        <f>IF(K525="Válida",J525,"")</f>
        <v>0</v>
      </c>
    </row>
    <row r="526" spans="1:21">
      <c r="A526" s="25">
        <f>IF(MES!A526="","",MES!C526/48)</f>
        <v>0</v>
      </c>
      <c r="B526" s="26">
        <f>IF(A526="","",TEXT((N526*4+cfgDeslocamento)/48,"hh:mm")&amp;" a "&amp;TEXT(A526,"hh:mm"))</f>
        <v>0</v>
      </c>
      <c r="C526" s="27">
        <f>IF(A526="","",MES!B526)</f>
        <v>0</v>
      </c>
      <c r="D526" s="27">
        <f>IF(A526="","",IFERROR(AVERAGEIFS(Prensa!$B$2:$B$5001,Prensa!$E$2:$E$5001,N526,Prensa!$F$2:$F$5001,1,Prensa!$G$2:$G$5001,1),""))</f>
        <v>0</v>
      </c>
      <c r="E526" s="27">
        <f>IF(A526="","",IFERROR(AVERAGEIFS(Prensa!$B$2:$B$5001,Prensa!$E$2:$E$5001,N526,Prensa!$F$2:$F$5001,2,Prensa!$G$2:$G$5001,1),""))</f>
        <v>0</v>
      </c>
      <c r="F526" s="27">
        <f>IF(A526="","",IFERROR(AVERAGEIFS(Prensa!$B$2:$B$5001,Prensa!$E$2:$E$5001,N526,Prensa!$F$2:$F$5001,3,Prensa!$G$2:$G$5001,1),""))</f>
        <v>0</v>
      </c>
      <c r="G526" s="27">
        <f>IF(A526="","",IFERROR(AVERAGEIFS(Prensa!$B$2:$B$5001,Prensa!$E$2:$E$5001,N526,Prensa!$F$2:$F$5001,4,Prensa!$G$2:$G$5001,1),""))</f>
        <v>0</v>
      </c>
      <c r="H526" s="26">
        <f>IF(A526="","",COUNT(D526:G526))</f>
        <v>0</v>
      </c>
      <c r="I526" s="27">
        <f>IF(A526="","",IF(H526=0,"",AVERAGE(D526:G526)))</f>
        <v>0</v>
      </c>
      <c r="J526" s="27">
        <f>IF(OR(I526="",C526=""),"",I526-C526)</f>
        <v>0</v>
      </c>
      <c r="K526" s="26">
        <f>IF(A526="","",IF(MES!E526&lt;&gt;4,"Horário do MES fora do padrão",IF(H526&lt;cfgMinCortes,"Cortes insuficientes","Válida")))</f>
        <v>0</v>
      </c>
      <c r="L526" s="27">
        <f>IF(K526="Válida",ABS(J526),"")</f>
        <v>0</v>
      </c>
      <c r="M526" s="26">
        <f>IF(K526="Válida",IF(L526&lt;=cfgTolerancia,"Sim","Não"),"")</f>
        <v>0</v>
      </c>
      <c r="N526" s="26">
        <f>IF(A526="","",MES!D526)</f>
        <v>0</v>
      </c>
      <c r="O526" s="25">
        <f>IF(K526="Válida",A526,NA())</f>
        <v>0</v>
      </c>
      <c r="P526" s="27">
        <f>IF(K526="Válida",C526,NA())</f>
        <v>0</v>
      </c>
      <c r="Q526" s="27">
        <f>IF(K526="Válida",I526,NA())</f>
        <v>0</v>
      </c>
      <c r="R526" s="27">
        <f>IF(K526="Válida",J526,NA())</f>
        <v>0</v>
      </c>
      <c r="S526" s="27">
        <f>IF(K526="Válida",C526,"")</f>
        <v>0</v>
      </c>
      <c r="T526" s="27">
        <f>IF(K526="Válida",I526,"")</f>
        <v>0</v>
      </c>
      <c r="U526" s="27">
        <f>IF(K526="Válida",J526,"")</f>
        <v>0</v>
      </c>
    </row>
    <row r="527" spans="1:21">
      <c r="A527" s="25">
        <f>IF(MES!A527="","",MES!C527/48)</f>
        <v>0</v>
      </c>
      <c r="B527" s="26">
        <f>IF(A527="","",TEXT((N527*4+cfgDeslocamento)/48,"hh:mm")&amp;" a "&amp;TEXT(A527,"hh:mm"))</f>
        <v>0</v>
      </c>
      <c r="C527" s="27">
        <f>IF(A527="","",MES!B527)</f>
        <v>0</v>
      </c>
      <c r="D527" s="27">
        <f>IF(A527="","",IFERROR(AVERAGEIFS(Prensa!$B$2:$B$5001,Prensa!$E$2:$E$5001,N527,Prensa!$F$2:$F$5001,1,Prensa!$G$2:$G$5001,1),""))</f>
        <v>0</v>
      </c>
      <c r="E527" s="27">
        <f>IF(A527="","",IFERROR(AVERAGEIFS(Prensa!$B$2:$B$5001,Prensa!$E$2:$E$5001,N527,Prensa!$F$2:$F$5001,2,Prensa!$G$2:$G$5001,1),""))</f>
        <v>0</v>
      </c>
      <c r="F527" s="27">
        <f>IF(A527="","",IFERROR(AVERAGEIFS(Prensa!$B$2:$B$5001,Prensa!$E$2:$E$5001,N527,Prensa!$F$2:$F$5001,3,Prensa!$G$2:$G$5001,1),""))</f>
        <v>0</v>
      </c>
      <c r="G527" s="27">
        <f>IF(A527="","",IFERROR(AVERAGEIFS(Prensa!$B$2:$B$5001,Prensa!$E$2:$E$5001,N527,Prensa!$F$2:$F$5001,4,Prensa!$G$2:$G$5001,1),""))</f>
        <v>0</v>
      </c>
      <c r="H527" s="26">
        <f>IF(A527="","",COUNT(D527:G527))</f>
        <v>0</v>
      </c>
      <c r="I527" s="27">
        <f>IF(A527="","",IF(H527=0,"",AVERAGE(D527:G527)))</f>
        <v>0</v>
      </c>
      <c r="J527" s="27">
        <f>IF(OR(I527="",C527=""),"",I527-C527)</f>
        <v>0</v>
      </c>
      <c r="K527" s="26">
        <f>IF(A527="","",IF(MES!E527&lt;&gt;4,"Horário do MES fora do padrão",IF(H527&lt;cfgMinCortes,"Cortes insuficientes","Válida")))</f>
        <v>0</v>
      </c>
      <c r="L527" s="27">
        <f>IF(K527="Válida",ABS(J527),"")</f>
        <v>0</v>
      </c>
      <c r="M527" s="26">
        <f>IF(K527="Válida",IF(L527&lt;=cfgTolerancia,"Sim","Não"),"")</f>
        <v>0</v>
      </c>
      <c r="N527" s="26">
        <f>IF(A527="","",MES!D527)</f>
        <v>0</v>
      </c>
      <c r="O527" s="25">
        <f>IF(K527="Válida",A527,NA())</f>
        <v>0</v>
      </c>
      <c r="P527" s="27">
        <f>IF(K527="Válida",C527,NA())</f>
        <v>0</v>
      </c>
      <c r="Q527" s="27">
        <f>IF(K527="Válida",I527,NA())</f>
        <v>0</v>
      </c>
      <c r="R527" s="27">
        <f>IF(K527="Válida",J527,NA())</f>
        <v>0</v>
      </c>
      <c r="S527" s="27">
        <f>IF(K527="Válida",C527,"")</f>
        <v>0</v>
      </c>
      <c r="T527" s="27">
        <f>IF(K527="Válida",I527,"")</f>
        <v>0</v>
      </c>
      <c r="U527" s="27">
        <f>IF(K527="Válida",J527,"")</f>
        <v>0</v>
      </c>
    </row>
    <row r="528" spans="1:21">
      <c r="A528" s="25">
        <f>IF(MES!A528="","",MES!C528/48)</f>
        <v>0</v>
      </c>
      <c r="B528" s="26">
        <f>IF(A528="","",TEXT((N528*4+cfgDeslocamento)/48,"hh:mm")&amp;" a "&amp;TEXT(A528,"hh:mm"))</f>
        <v>0</v>
      </c>
      <c r="C528" s="27">
        <f>IF(A528="","",MES!B528)</f>
        <v>0</v>
      </c>
      <c r="D528" s="27">
        <f>IF(A528="","",IFERROR(AVERAGEIFS(Prensa!$B$2:$B$5001,Prensa!$E$2:$E$5001,N528,Prensa!$F$2:$F$5001,1,Prensa!$G$2:$G$5001,1),""))</f>
        <v>0</v>
      </c>
      <c r="E528" s="27">
        <f>IF(A528="","",IFERROR(AVERAGEIFS(Prensa!$B$2:$B$5001,Prensa!$E$2:$E$5001,N528,Prensa!$F$2:$F$5001,2,Prensa!$G$2:$G$5001,1),""))</f>
        <v>0</v>
      </c>
      <c r="F528" s="27">
        <f>IF(A528="","",IFERROR(AVERAGEIFS(Prensa!$B$2:$B$5001,Prensa!$E$2:$E$5001,N528,Prensa!$F$2:$F$5001,3,Prensa!$G$2:$G$5001,1),""))</f>
        <v>0</v>
      </c>
      <c r="G528" s="27">
        <f>IF(A528="","",IFERROR(AVERAGEIFS(Prensa!$B$2:$B$5001,Prensa!$E$2:$E$5001,N528,Prensa!$F$2:$F$5001,4,Prensa!$G$2:$G$5001,1),""))</f>
        <v>0</v>
      </c>
      <c r="H528" s="26">
        <f>IF(A528="","",COUNT(D528:G528))</f>
        <v>0</v>
      </c>
      <c r="I528" s="27">
        <f>IF(A528="","",IF(H528=0,"",AVERAGE(D528:G528)))</f>
        <v>0</v>
      </c>
      <c r="J528" s="27">
        <f>IF(OR(I528="",C528=""),"",I528-C528)</f>
        <v>0</v>
      </c>
      <c r="K528" s="26">
        <f>IF(A528="","",IF(MES!E528&lt;&gt;4,"Horário do MES fora do padrão",IF(H528&lt;cfgMinCortes,"Cortes insuficientes","Válida")))</f>
        <v>0</v>
      </c>
      <c r="L528" s="27">
        <f>IF(K528="Válida",ABS(J528),"")</f>
        <v>0</v>
      </c>
      <c r="M528" s="26">
        <f>IF(K528="Válida",IF(L528&lt;=cfgTolerancia,"Sim","Não"),"")</f>
        <v>0</v>
      </c>
      <c r="N528" s="26">
        <f>IF(A528="","",MES!D528)</f>
        <v>0</v>
      </c>
      <c r="O528" s="25">
        <f>IF(K528="Válida",A528,NA())</f>
        <v>0</v>
      </c>
      <c r="P528" s="27">
        <f>IF(K528="Válida",C528,NA())</f>
        <v>0</v>
      </c>
      <c r="Q528" s="27">
        <f>IF(K528="Válida",I528,NA())</f>
        <v>0</v>
      </c>
      <c r="R528" s="27">
        <f>IF(K528="Válida",J528,NA())</f>
        <v>0</v>
      </c>
      <c r="S528" s="27">
        <f>IF(K528="Válida",C528,"")</f>
        <v>0</v>
      </c>
      <c r="T528" s="27">
        <f>IF(K528="Válida",I528,"")</f>
        <v>0</v>
      </c>
      <c r="U528" s="27">
        <f>IF(K528="Válida",J528,"")</f>
        <v>0</v>
      </c>
    </row>
    <row r="529" spans="1:21">
      <c r="A529" s="25">
        <f>IF(MES!A529="","",MES!C529/48)</f>
        <v>0</v>
      </c>
      <c r="B529" s="26">
        <f>IF(A529="","",TEXT((N529*4+cfgDeslocamento)/48,"hh:mm")&amp;" a "&amp;TEXT(A529,"hh:mm"))</f>
        <v>0</v>
      </c>
      <c r="C529" s="27">
        <f>IF(A529="","",MES!B529)</f>
        <v>0</v>
      </c>
      <c r="D529" s="27">
        <f>IF(A529="","",IFERROR(AVERAGEIFS(Prensa!$B$2:$B$5001,Prensa!$E$2:$E$5001,N529,Prensa!$F$2:$F$5001,1,Prensa!$G$2:$G$5001,1),""))</f>
        <v>0</v>
      </c>
      <c r="E529" s="27">
        <f>IF(A529="","",IFERROR(AVERAGEIFS(Prensa!$B$2:$B$5001,Prensa!$E$2:$E$5001,N529,Prensa!$F$2:$F$5001,2,Prensa!$G$2:$G$5001,1),""))</f>
        <v>0</v>
      </c>
      <c r="F529" s="27">
        <f>IF(A529="","",IFERROR(AVERAGEIFS(Prensa!$B$2:$B$5001,Prensa!$E$2:$E$5001,N529,Prensa!$F$2:$F$5001,3,Prensa!$G$2:$G$5001,1),""))</f>
        <v>0</v>
      </c>
      <c r="G529" s="27">
        <f>IF(A529="","",IFERROR(AVERAGEIFS(Prensa!$B$2:$B$5001,Prensa!$E$2:$E$5001,N529,Prensa!$F$2:$F$5001,4,Prensa!$G$2:$G$5001,1),""))</f>
        <v>0</v>
      </c>
      <c r="H529" s="26">
        <f>IF(A529="","",COUNT(D529:G529))</f>
        <v>0</v>
      </c>
      <c r="I529" s="27">
        <f>IF(A529="","",IF(H529=0,"",AVERAGE(D529:G529)))</f>
        <v>0</v>
      </c>
      <c r="J529" s="27">
        <f>IF(OR(I529="",C529=""),"",I529-C529)</f>
        <v>0</v>
      </c>
      <c r="K529" s="26">
        <f>IF(A529="","",IF(MES!E529&lt;&gt;4,"Horário do MES fora do padrão",IF(H529&lt;cfgMinCortes,"Cortes insuficientes","Válida")))</f>
        <v>0</v>
      </c>
      <c r="L529" s="27">
        <f>IF(K529="Válida",ABS(J529),"")</f>
        <v>0</v>
      </c>
      <c r="M529" s="26">
        <f>IF(K529="Válida",IF(L529&lt;=cfgTolerancia,"Sim","Não"),"")</f>
        <v>0</v>
      </c>
      <c r="N529" s="26">
        <f>IF(A529="","",MES!D529)</f>
        <v>0</v>
      </c>
      <c r="O529" s="25">
        <f>IF(K529="Válida",A529,NA())</f>
        <v>0</v>
      </c>
      <c r="P529" s="27">
        <f>IF(K529="Válida",C529,NA())</f>
        <v>0</v>
      </c>
      <c r="Q529" s="27">
        <f>IF(K529="Válida",I529,NA())</f>
        <v>0</v>
      </c>
      <c r="R529" s="27">
        <f>IF(K529="Válida",J529,NA())</f>
        <v>0</v>
      </c>
      <c r="S529" s="27">
        <f>IF(K529="Válida",C529,"")</f>
        <v>0</v>
      </c>
      <c r="T529" s="27">
        <f>IF(K529="Válida",I529,"")</f>
        <v>0</v>
      </c>
      <c r="U529" s="27">
        <f>IF(K529="Válida",J529,"")</f>
        <v>0</v>
      </c>
    </row>
    <row r="530" spans="1:21">
      <c r="A530" s="25">
        <f>IF(MES!A530="","",MES!C530/48)</f>
        <v>0</v>
      </c>
      <c r="B530" s="26">
        <f>IF(A530="","",TEXT((N530*4+cfgDeslocamento)/48,"hh:mm")&amp;" a "&amp;TEXT(A530,"hh:mm"))</f>
        <v>0</v>
      </c>
      <c r="C530" s="27">
        <f>IF(A530="","",MES!B530)</f>
        <v>0</v>
      </c>
      <c r="D530" s="27">
        <f>IF(A530="","",IFERROR(AVERAGEIFS(Prensa!$B$2:$B$5001,Prensa!$E$2:$E$5001,N530,Prensa!$F$2:$F$5001,1,Prensa!$G$2:$G$5001,1),""))</f>
        <v>0</v>
      </c>
      <c r="E530" s="27">
        <f>IF(A530="","",IFERROR(AVERAGEIFS(Prensa!$B$2:$B$5001,Prensa!$E$2:$E$5001,N530,Prensa!$F$2:$F$5001,2,Prensa!$G$2:$G$5001,1),""))</f>
        <v>0</v>
      </c>
      <c r="F530" s="27">
        <f>IF(A530="","",IFERROR(AVERAGEIFS(Prensa!$B$2:$B$5001,Prensa!$E$2:$E$5001,N530,Prensa!$F$2:$F$5001,3,Prensa!$G$2:$G$5001,1),""))</f>
        <v>0</v>
      </c>
      <c r="G530" s="27">
        <f>IF(A530="","",IFERROR(AVERAGEIFS(Prensa!$B$2:$B$5001,Prensa!$E$2:$E$5001,N530,Prensa!$F$2:$F$5001,4,Prensa!$G$2:$G$5001,1),""))</f>
        <v>0</v>
      </c>
      <c r="H530" s="26">
        <f>IF(A530="","",COUNT(D530:G530))</f>
        <v>0</v>
      </c>
      <c r="I530" s="27">
        <f>IF(A530="","",IF(H530=0,"",AVERAGE(D530:G530)))</f>
        <v>0</v>
      </c>
      <c r="J530" s="27">
        <f>IF(OR(I530="",C530=""),"",I530-C530)</f>
        <v>0</v>
      </c>
      <c r="K530" s="26">
        <f>IF(A530="","",IF(MES!E530&lt;&gt;4,"Horário do MES fora do padrão",IF(H530&lt;cfgMinCortes,"Cortes insuficientes","Válida")))</f>
        <v>0</v>
      </c>
      <c r="L530" s="27">
        <f>IF(K530="Válida",ABS(J530),"")</f>
        <v>0</v>
      </c>
      <c r="M530" s="26">
        <f>IF(K530="Válida",IF(L530&lt;=cfgTolerancia,"Sim","Não"),"")</f>
        <v>0</v>
      </c>
      <c r="N530" s="26">
        <f>IF(A530="","",MES!D530)</f>
        <v>0</v>
      </c>
      <c r="O530" s="25">
        <f>IF(K530="Válida",A530,NA())</f>
        <v>0</v>
      </c>
      <c r="P530" s="27">
        <f>IF(K530="Válida",C530,NA())</f>
        <v>0</v>
      </c>
      <c r="Q530" s="27">
        <f>IF(K530="Válida",I530,NA())</f>
        <v>0</v>
      </c>
      <c r="R530" s="27">
        <f>IF(K530="Válida",J530,NA())</f>
        <v>0</v>
      </c>
      <c r="S530" s="27">
        <f>IF(K530="Válida",C530,"")</f>
        <v>0</v>
      </c>
      <c r="T530" s="27">
        <f>IF(K530="Válida",I530,"")</f>
        <v>0</v>
      </c>
      <c r="U530" s="27">
        <f>IF(K530="Válida",J530,"")</f>
        <v>0</v>
      </c>
    </row>
    <row r="531" spans="1:21">
      <c r="A531" s="25">
        <f>IF(MES!A531="","",MES!C531/48)</f>
        <v>0</v>
      </c>
      <c r="B531" s="26">
        <f>IF(A531="","",TEXT((N531*4+cfgDeslocamento)/48,"hh:mm")&amp;" a "&amp;TEXT(A531,"hh:mm"))</f>
        <v>0</v>
      </c>
      <c r="C531" s="27">
        <f>IF(A531="","",MES!B531)</f>
        <v>0</v>
      </c>
      <c r="D531" s="27">
        <f>IF(A531="","",IFERROR(AVERAGEIFS(Prensa!$B$2:$B$5001,Prensa!$E$2:$E$5001,N531,Prensa!$F$2:$F$5001,1,Prensa!$G$2:$G$5001,1),""))</f>
        <v>0</v>
      </c>
      <c r="E531" s="27">
        <f>IF(A531="","",IFERROR(AVERAGEIFS(Prensa!$B$2:$B$5001,Prensa!$E$2:$E$5001,N531,Prensa!$F$2:$F$5001,2,Prensa!$G$2:$G$5001,1),""))</f>
        <v>0</v>
      </c>
      <c r="F531" s="27">
        <f>IF(A531="","",IFERROR(AVERAGEIFS(Prensa!$B$2:$B$5001,Prensa!$E$2:$E$5001,N531,Prensa!$F$2:$F$5001,3,Prensa!$G$2:$G$5001,1),""))</f>
        <v>0</v>
      </c>
      <c r="G531" s="27">
        <f>IF(A531="","",IFERROR(AVERAGEIFS(Prensa!$B$2:$B$5001,Prensa!$E$2:$E$5001,N531,Prensa!$F$2:$F$5001,4,Prensa!$G$2:$G$5001,1),""))</f>
        <v>0</v>
      </c>
      <c r="H531" s="26">
        <f>IF(A531="","",COUNT(D531:G531))</f>
        <v>0</v>
      </c>
      <c r="I531" s="27">
        <f>IF(A531="","",IF(H531=0,"",AVERAGE(D531:G531)))</f>
        <v>0</v>
      </c>
      <c r="J531" s="27">
        <f>IF(OR(I531="",C531=""),"",I531-C531)</f>
        <v>0</v>
      </c>
      <c r="K531" s="26">
        <f>IF(A531="","",IF(MES!E531&lt;&gt;4,"Horário do MES fora do padrão",IF(H531&lt;cfgMinCortes,"Cortes insuficientes","Válida")))</f>
        <v>0</v>
      </c>
      <c r="L531" s="27">
        <f>IF(K531="Válida",ABS(J531),"")</f>
        <v>0</v>
      </c>
      <c r="M531" s="26">
        <f>IF(K531="Válida",IF(L531&lt;=cfgTolerancia,"Sim","Não"),"")</f>
        <v>0</v>
      </c>
      <c r="N531" s="26">
        <f>IF(A531="","",MES!D531)</f>
        <v>0</v>
      </c>
      <c r="O531" s="25">
        <f>IF(K531="Válida",A531,NA())</f>
        <v>0</v>
      </c>
      <c r="P531" s="27">
        <f>IF(K531="Válida",C531,NA())</f>
        <v>0</v>
      </c>
      <c r="Q531" s="27">
        <f>IF(K531="Válida",I531,NA())</f>
        <v>0</v>
      </c>
      <c r="R531" s="27">
        <f>IF(K531="Válida",J531,NA())</f>
        <v>0</v>
      </c>
      <c r="S531" s="27">
        <f>IF(K531="Válida",C531,"")</f>
        <v>0</v>
      </c>
      <c r="T531" s="27">
        <f>IF(K531="Válida",I531,"")</f>
        <v>0</v>
      </c>
      <c r="U531" s="27">
        <f>IF(K531="Válida",J531,"")</f>
        <v>0</v>
      </c>
    </row>
    <row r="532" spans="1:21">
      <c r="A532" s="25">
        <f>IF(MES!A532="","",MES!C532/48)</f>
        <v>0</v>
      </c>
      <c r="B532" s="26">
        <f>IF(A532="","",TEXT((N532*4+cfgDeslocamento)/48,"hh:mm")&amp;" a "&amp;TEXT(A532,"hh:mm"))</f>
        <v>0</v>
      </c>
      <c r="C532" s="27">
        <f>IF(A532="","",MES!B532)</f>
        <v>0</v>
      </c>
      <c r="D532" s="27">
        <f>IF(A532="","",IFERROR(AVERAGEIFS(Prensa!$B$2:$B$5001,Prensa!$E$2:$E$5001,N532,Prensa!$F$2:$F$5001,1,Prensa!$G$2:$G$5001,1),""))</f>
        <v>0</v>
      </c>
      <c r="E532" s="27">
        <f>IF(A532="","",IFERROR(AVERAGEIFS(Prensa!$B$2:$B$5001,Prensa!$E$2:$E$5001,N532,Prensa!$F$2:$F$5001,2,Prensa!$G$2:$G$5001,1),""))</f>
        <v>0</v>
      </c>
      <c r="F532" s="27">
        <f>IF(A532="","",IFERROR(AVERAGEIFS(Prensa!$B$2:$B$5001,Prensa!$E$2:$E$5001,N532,Prensa!$F$2:$F$5001,3,Prensa!$G$2:$G$5001,1),""))</f>
        <v>0</v>
      </c>
      <c r="G532" s="27">
        <f>IF(A532="","",IFERROR(AVERAGEIFS(Prensa!$B$2:$B$5001,Prensa!$E$2:$E$5001,N532,Prensa!$F$2:$F$5001,4,Prensa!$G$2:$G$5001,1),""))</f>
        <v>0</v>
      </c>
      <c r="H532" s="26">
        <f>IF(A532="","",COUNT(D532:G532))</f>
        <v>0</v>
      </c>
      <c r="I532" s="27">
        <f>IF(A532="","",IF(H532=0,"",AVERAGE(D532:G532)))</f>
        <v>0</v>
      </c>
      <c r="J532" s="27">
        <f>IF(OR(I532="",C532=""),"",I532-C532)</f>
        <v>0</v>
      </c>
      <c r="K532" s="26">
        <f>IF(A532="","",IF(MES!E532&lt;&gt;4,"Horário do MES fora do padrão",IF(H532&lt;cfgMinCortes,"Cortes insuficientes","Válida")))</f>
        <v>0</v>
      </c>
      <c r="L532" s="27">
        <f>IF(K532="Válida",ABS(J532),"")</f>
        <v>0</v>
      </c>
      <c r="M532" s="26">
        <f>IF(K532="Válida",IF(L532&lt;=cfgTolerancia,"Sim","Não"),"")</f>
        <v>0</v>
      </c>
      <c r="N532" s="26">
        <f>IF(A532="","",MES!D532)</f>
        <v>0</v>
      </c>
      <c r="O532" s="25">
        <f>IF(K532="Válida",A532,NA())</f>
        <v>0</v>
      </c>
      <c r="P532" s="27">
        <f>IF(K532="Válida",C532,NA())</f>
        <v>0</v>
      </c>
      <c r="Q532" s="27">
        <f>IF(K532="Válida",I532,NA())</f>
        <v>0</v>
      </c>
      <c r="R532" s="27">
        <f>IF(K532="Válida",J532,NA())</f>
        <v>0</v>
      </c>
      <c r="S532" s="27">
        <f>IF(K532="Válida",C532,"")</f>
        <v>0</v>
      </c>
      <c r="T532" s="27">
        <f>IF(K532="Válida",I532,"")</f>
        <v>0</v>
      </c>
      <c r="U532" s="27">
        <f>IF(K532="Válida",J532,"")</f>
        <v>0</v>
      </c>
    </row>
    <row r="533" spans="1:21">
      <c r="A533" s="25">
        <f>IF(MES!A533="","",MES!C533/48)</f>
        <v>0</v>
      </c>
      <c r="B533" s="26">
        <f>IF(A533="","",TEXT((N533*4+cfgDeslocamento)/48,"hh:mm")&amp;" a "&amp;TEXT(A533,"hh:mm"))</f>
        <v>0</v>
      </c>
      <c r="C533" s="27">
        <f>IF(A533="","",MES!B533)</f>
        <v>0</v>
      </c>
      <c r="D533" s="27">
        <f>IF(A533="","",IFERROR(AVERAGEIFS(Prensa!$B$2:$B$5001,Prensa!$E$2:$E$5001,N533,Prensa!$F$2:$F$5001,1,Prensa!$G$2:$G$5001,1),""))</f>
        <v>0</v>
      </c>
      <c r="E533" s="27">
        <f>IF(A533="","",IFERROR(AVERAGEIFS(Prensa!$B$2:$B$5001,Prensa!$E$2:$E$5001,N533,Prensa!$F$2:$F$5001,2,Prensa!$G$2:$G$5001,1),""))</f>
        <v>0</v>
      </c>
      <c r="F533" s="27">
        <f>IF(A533="","",IFERROR(AVERAGEIFS(Prensa!$B$2:$B$5001,Prensa!$E$2:$E$5001,N533,Prensa!$F$2:$F$5001,3,Prensa!$G$2:$G$5001,1),""))</f>
        <v>0</v>
      </c>
      <c r="G533" s="27">
        <f>IF(A533="","",IFERROR(AVERAGEIFS(Prensa!$B$2:$B$5001,Prensa!$E$2:$E$5001,N533,Prensa!$F$2:$F$5001,4,Prensa!$G$2:$G$5001,1),""))</f>
        <v>0</v>
      </c>
      <c r="H533" s="26">
        <f>IF(A533="","",COUNT(D533:G533))</f>
        <v>0</v>
      </c>
      <c r="I533" s="27">
        <f>IF(A533="","",IF(H533=0,"",AVERAGE(D533:G533)))</f>
        <v>0</v>
      </c>
      <c r="J533" s="27">
        <f>IF(OR(I533="",C533=""),"",I533-C533)</f>
        <v>0</v>
      </c>
      <c r="K533" s="26">
        <f>IF(A533="","",IF(MES!E533&lt;&gt;4,"Horário do MES fora do padrão",IF(H533&lt;cfgMinCortes,"Cortes insuficientes","Válida")))</f>
        <v>0</v>
      </c>
      <c r="L533" s="27">
        <f>IF(K533="Válida",ABS(J533),"")</f>
        <v>0</v>
      </c>
      <c r="M533" s="26">
        <f>IF(K533="Válida",IF(L533&lt;=cfgTolerancia,"Sim","Não"),"")</f>
        <v>0</v>
      </c>
      <c r="N533" s="26">
        <f>IF(A533="","",MES!D533)</f>
        <v>0</v>
      </c>
      <c r="O533" s="25">
        <f>IF(K533="Válida",A533,NA())</f>
        <v>0</v>
      </c>
      <c r="P533" s="27">
        <f>IF(K533="Válida",C533,NA())</f>
        <v>0</v>
      </c>
      <c r="Q533" s="27">
        <f>IF(K533="Válida",I533,NA())</f>
        <v>0</v>
      </c>
      <c r="R533" s="27">
        <f>IF(K533="Válida",J533,NA())</f>
        <v>0</v>
      </c>
      <c r="S533" s="27">
        <f>IF(K533="Válida",C533,"")</f>
        <v>0</v>
      </c>
      <c r="T533" s="27">
        <f>IF(K533="Válida",I533,"")</f>
        <v>0</v>
      </c>
      <c r="U533" s="27">
        <f>IF(K533="Válida",J533,"")</f>
        <v>0</v>
      </c>
    </row>
    <row r="534" spans="1:21">
      <c r="A534" s="25">
        <f>IF(MES!A534="","",MES!C534/48)</f>
        <v>0</v>
      </c>
      <c r="B534" s="26">
        <f>IF(A534="","",TEXT((N534*4+cfgDeslocamento)/48,"hh:mm")&amp;" a "&amp;TEXT(A534,"hh:mm"))</f>
        <v>0</v>
      </c>
      <c r="C534" s="27">
        <f>IF(A534="","",MES!B534)</f>
        <v>0</v>
      </c>
      <c r="D534" s="27">
        <f>IF(A534="","",IFERROR(AVERAGEIFS(Prensa!$B$2:$B$5001,Prensa!$E$2:$E$5001,N534,Prensa!$F$2:$F$5001,1,Prensa!$G$2:$G$5001,1),""))</f>
        <v>0</v>
      </c>
      <c r="E534" s="27">
        <f>IF(A534="","",IFERROR(AVERAGEIFS(Prensa!$B$2:$B$5001,Prensa!$E$2:$E$5001,N534,Prensa!$F$2:$F$5001,2,Prensa!$G$2:$G$5001,1),""))</f>
        <v>0</v>
      </c>
      <c r="F534" s="27">
        <f>IF(A534="","",IFERROR(AVERAGEIFS(Prensa!$B$2:$B$5001,Prensa!$E$2:$E$5001,N534,Prensa!$F$2:$F$5001,3,Prensa!$G$2:$G$5001,1),""))</f>
        <v>0</v>
      </c>
      <c r="G534" s="27">
        <f>IF(A534="","",IFERROR(AVERAGEIFS(Prensa!$B$2:$B$5001,Prensa!$E$2:$E$5001,N534,Prensa!$F$2:$F$5001,4,Prensa!$G$2:$G$5001,1),""))</f>
        <v>0</v>
      </c>
      <c r="H534" s="26">
        <f>IF(A534="","",COUNT(D534:G534))</f>
        <v>0</v>
      </c>
      <c r="I534" s="27">
        <f>IF(A534="","",IF(H534=0,"",AVERAGE(D534:G534)))</f>
        <v>0</v>
      </c>
      <c r="J534" s="27">
        <f>IF(OR(I534="",C534=""),"",I534-C534)</f>
        <v>0</v>
      </c>
      <c r="K534" s="26">
        <f>IF(A534="","",IF(MES!E534&lt;&gt;4,"Horário do MES fora do padrão",IF(H534&lt;cfgMinCortes,"Cortes insuficientes","Válida")))</f>
        <v>0</v>
      </c>
      <c r="L534" s="27">
        <f>IF(K534="Válida",ABS(J534),"")</f>
        <v>0</v>
      </c>
      <c r="M534" s="26">
        <f>IF(K534="Válida",IF(L534&lt;=cfgTolerancia,"Sim","Não"),"")</f>
        <v>0</v>
      </c>
      <c r="N534" s="26">
        <f>IF(A534="","",MES!D534)</f>
        <v>0</v>
      </c>
      <c r="O534" s="25">
        <f>IF(K534="Válida",A534,NA())</f>
        <v>0</v>
      </c>
      <c r="P534" s="27">
        <f>IF(K534="Válida",C534,NA())</f>
        <v>0</v>
      </c>
      <c r="Q534" s="27">
        <f>IF(K534="Válida",I534,NA())</f>
        <v>0</v>
      </c>
      <c r="R534" s="27">
        <f>IF(K534="Válida",J534,NA())</f>
        <v>0</v>
      </c>
      <c r="S534" s="27">
        <f>IF(K534="Válida",C534,"")</f>
        <v>0</v>
      </c>
      <c r="T534" s="27">
        <f>IF(K534="Válida",I534,"")</f>
        <v>0</v>
      </c>
      <c r="U534" s="27">
        <f>IF(K534="Válida",J534,"")</f>
        <v>0</v>
      </c>
    </row>
    <row r="535" spans="1:21">
      <c r="A535" s="25">
        <f>IF(MES!A535="","",MES!C535/48)</f>
        <v>0</v>
      </c>
      <c r="B535" s="26">
        <f>IF(A535="","",TEXT((N535*4+cfgDeslocamento)/48,"hh:mm")&amp;" a "&amp;TEXT(A535,"hh:mm"))</f>
        <v>0</v>
      </c>
      <c r="C535" s="27">
        <f>IF(A535="","",MES!B535)</f>
        <v>0</v>
      </c>
      <c r="D535" s="27">
        <f>IF(A535="","",IFERROR(AVERAGEIFS(Prensa!$B$2:$B$5001,Prensa!$E$2:$E$5001,N535,Prensa!$F$2:$F$5001,1,Prensa!$G$2:$G$5001,1),""))</f>
        <v>0</v>
      </c>
      <c r="E535" s="27">
        <f>IF(A535="","",IFERROR(AVERAGEIFS(Prensa!$B$2:$B$5001,Prensa!$E$2:$E$5001,N535,Prensa!$F$2:$F$5001,2,Prensa!$G$2:$G$5001,1),""))</f>
        <v>0</v>
      </c>
      <c r="F535" s="27">
        <f>IF(A535="","",IFERROR(AVERAGEIFS(Prensa!$B$2:$B$5001,Prensa!$E$2:$E$5001,N535,Prensa!$F$2:$F$5001,3,Prensa!$G$2:$G$5001,1),""))</f>
        <v>0</v>
      </c>
      <c r="G535" s="27">
        <f>IF(A535="","",IFERROR(AVERAGEIFS(Prensa!$B$2:$B$5001,Prensa!$E$2:$E$5001,N535,Prensa!$F$2:$F$5001,4,Prensa!$G$2:$G$5001,1),""))</f>
        <v>0</v>
      </c>
      <c r="H535" s="26">
        <f>IF(A535="","",COUNT(D535:G535))</f>
        <v>0</v>
      </c>
      <c r="I535" s="27">
        <f>IF(A535="","",IF(H535=0,"",AVERAGE(D535:G535)))</f>
        <v>0</v>
      </c>
      <c r="J535" s="27">
        <f>IF(OR(I535="",C535=""),"",I535-C535)</f>
        <v>0</v>
      </c>
      <c r="K535" s="26">
        <f>IF(A535="","",IF(MES!E535&lt;&gt;4,"Horário do MES fora do padrão",IF(H535&lt;cfgMinCortes,"Cortes insuficientes","Válida")))</f>
        <v>0</v>
      </c>
      <c r="L535" s="27">
        <f>IF(K535="Válida",ABS(J535),"")</f>
        <v>0</v>
      </c>
      <c r="M535" s="26">
        <f>IF(K535="Válida",IF(L535&lt;=cfgTolerancia,"Sim","Não"),"")</f>
        <v>0</v>
      </c>
      <c r="N535" s="26">
        <f>IF(A535="","",MES!D535)</f>
        <v>0</v>
      </c>
      <c r="O535" s="25">
        <f>IF(K535="Válida",A535,NA())</f>
        <v>0</v>
      </c>
      <c r="P535" s="27">
        <f>IF(K535="Válida",C535,NA())</f>
        <v>0</v>
      </c>
      <c r="Q535" s="27">
        <f>IF(K535="Válida",I535,NA())</f>
        <v>0</v>
      </c>
      <c r="R535" s="27">
        <f>IF(K535="Válida",J535,NA())</f>
        <v>0</v>
      </c>
      <c r="S535" s="27">
        <f>IF(K535="Válida",C535,"")</f>
        <v>0</v>
      </c>
      <c r="T535" s="27">
        <f>IF(K535="Válida",I535,"")</f>
        <v>0</v>
      </c>
      <c r="U535" s="27">
        <f>IF(K535="Válida",J535,"")</f>
        <v>0</v>
      </c>
    </row>
    <row r="536" spans="1:21">
      <c r="A536" s="25">
        <f>IF(MES!A536="","",MES!C536/48)</f>
        <v>0</v>
      </c>
      <c r="B536" s="26">
        <f>IF(A536="","",TEXT((N536*4+cfgDeslocamento)/48,"hh:mm")&amp;" a "&amp;TEXT(A536,"hh:mm"))</f>
        <v>0</v>
      </c>
      <c r="C536" s="27">
        <f>IF(A536="","",MES!B536)</f>
        <v>0</v>
      </c>
      <c r="D536" s="27">
        <f>IF(A536="","",IFERROR(AVERAGEIFS(Prensa!$B$2:$B$5001,Prensa!$E$2:$E$5001,N536,Prensa!$F$2:$F$5001,1,Prensa!$G$2:$G$5001,1),""))</f>
        <v>0</v>
      </c>
      <c r="E536" s="27">
        <f>IF(A536="","",IFERROR(AVERAGEIFS(Prensa!$B$2:$B$5001,Prensa!$E$2:$E$5001,N536,Prensa!$F$2:$F$5001,2,Prensa!$G$2:$G$5001,1),""))</f>
        <v>0</v>
      </c>
      <c r="F536" s="27">
        <f>IF(A536="","",IFERROR(AVERAGEIFS(Prensa!$B$2:$B$5001,Prensa!$E$2:$E$5001,N536,Prensa!$F$2:$F$5001,3,Prensa!$G$2:$G$5001,1),""))</f>
        <v>0</v>
      </c>
      <c r="G536" s="27">
        <f>IF(A536="","",IFERROR(AVERAGEIFS(Prensa!$B$2:$B$5001,Prensa!$E$2:$E$5001,N536,Prensa!$F$2:$F$5001,4,Prensa!$G$2:$G$5001,1),""))</f>
        <v>0</v>
      </c>
      <c r="H536" s="26">
        <f>IF(A536="","",COUNT(D536:G536))</f>
        <v>0</v>
      </c>
      <c r="I536" s="27">
        <f>IF(A536="","",IF(H536=0,"",AVERAGE(D536:G536)))</f>
        <v>0</v>
      </c>
      <c r="J536" s="27">
        <f>IF(OR(I536="",C536=""),"",I536-C536)</f>
        <v>0</v>
      </c>
      <c r="K536" s="26">
        <f>IF(A536="","",IF(MES!E536&lt;&gt;4,"Horário do MES fora do padrão",IF(H536&lt;cfgMinCortes,"Cortes insuficientes","Válida")))</f>
        <v>0</v>
      </c>
      <c r="L536" s="27">
        <f>IF(K536="Válida",ABS(J536),"")</f>
        <v>0</v>
      </c>
      <c r="M536" s="26">
        <f>IF(K536="Válida",IF(L536&lt;=cfgTolerancia,"Sim","Não"),"")</f>
        <v>0</v>
      </c>
      <c r="N536" s="26">
        <f>IF(A536="","",MES!D536)</f>
        <v>0</v>
      </c>
      <c r="O536" s="25">
        <f>IF(K536="Válida",A536,NA())</f>
        <v>0</v>
      </c>
      <c r="P536" s="27">
        <f>IF(K536="Válida",C536,NA())</f>
        <v>0</v>
      </c>
      <c r="Q536" s="27">
        <f>IF(K536="Válida",I536,NA())</f>
        <v>0</v>
      </c>
      <c r="R536" s="27">
        <f>IF(K536="Válida",J536,NA())</f>
        <v>0</v>
      </c>
      <c r="S536" s="27">
        <f>IF(K536="Válida",C536,"")</f>
        <v>0</v>
      </c>
      <c r="T536" s="27">
        <f>IF(K536="Válida",I536,"")</f>
        <v>0</v>
      </c>
      <c r="U536" s="27">
        <f>IF(K536="Válida",J536,"")</f>
        <v>0</v>
      </c>
    </row>
    <row r="537" spans="1:21">
      <c r="A537" s="25">
        <f>IF(MES!A537="","",MES!C537/48)</f>
        <v>0</v>
      </c>
      <c r="B537" s="26">
        <f>IF(A537="","",TEXT((N537*4+cfgDeslocamento)/48,"hh:mm")&amp;" a "&amp;TEXT(A537,"hh:mm"))</f>
        <v>0</v>
      </c>
      <c r="C537" s="27">
        <f>IF(A537="","",MES!B537)</f>
        <v>0</v>
      </c>
      <c r="D537" s="27">
        <f>IF(A537="","",IFERROR(AVERAGEIFS(Prensa!$B$2:$B$5001,Prensa!$E$2:$E$5001,N537,Prensa!$F$2:$F$5001,1,Prensa!$G$2:$G$5001,1),""))</f>
        <v>0</v>
      </c>
      <c r="E537" s="27">
        <f>IF(A537="","",IFERROR(AVERAGEIFS(Prensa!$B$2:$B$5001,Prensa!$E$2:$E$5001,N537,Prensa!$F$2:$F$5001,2,Prensa!$G$2:$G$5001,1),""))</f>
        <v>0</v>
      </c>
      <c r="F537" s="27">
        <f>IF(A537="","",IFERROR(AVERAGEIFS(Prensa!$B$2:$B$5001,Prensa!$E$2:$E$5001,N537,Prensa!$F$2:$F$5001,3,Prensa!$G$2:$G$5001,1),""))</f>
        <v>0</v>
      </c>
      <c r="G537" s="27">
        <f>IF(A537="","",IFERROR(AVERAGEIFS(Prensa!$B$2:$B$5001,Prensa!$E$2:$E$5001,N537,Prensa!$F$2:$F$5001,4,Prensa!$G$2:$G$5001,1),""))</f>
        <v>0</v>
      </c>
      <c r="H537" s="26">
        <f>IF(A537="","",COUNT(D537:G537))</f>
        <v>0</v>
      </c>
      <c r="I537" s="27">
        <f>IF(A537="","",IF(H537=0,"",AVERAGE(D537:G537)))</f>
        <v>0</v>
      </c>
      <c r="J537" s="27">
        <f>IF(OR(I537="",C537=""),"",I537-C537)</f>
        <v>0</v>
      </c>
      <c r="K537" s="26">
        <f>IF(A537="","",IF(MES!E537&lt;&gt;4,"Horário do MES fora do padrão",IF(H537&lt;cfgMinCortes,"Cortes insuficientes","Válida")))</f>
        <v>0</v>
      </c>
      <c r="L537" s="27">
        <f>IF(K537="Válida",ABS(J537),"")</f>
        <v>0</v>
      </c>
      <c r="M537" s="26">
        <f>IF(K537="Válida",IF(L537&lt;=cfgTolerancia,"Sim","Não"),"")</f>
        <v>0</v>
      </c>
      <c r="N537" s="26">
        <f>IF(A537="","",MES!D537)</f>
        <v>0</v>
      </c>
      <c r="O537" s="25">
        <f>IF(K537="Válida",A537,NA())</f>
        <v>0</v>
      </c>
      <c r="P537" s="27">
        <f>IF(K537="Válida",C537,NA())</f>
        <v>0</v>
      </c>
      <c r="Q537" s="27">
        <f>IF(K537="Válida",I537,NA())</f>
        <v>0</v>
      </c>
      <c r="R537" s="27">
        <f>IF(K537="Válida",J537,NA())</f>
        <v>0</v>
      </c>
      <c r="S537" s="27">
        <f>IF(K537="Válida",C537,"")</f>
        <v>0</v>
      </c>
      <c r="T537" s="27">
        <f>IF(K537="Válida",I537,"")</f>
        <v>0</v>
      </c>
      <c r="U537" s="27">
        <f>IF(K537="Válida",J537,"")</f>
        <v>0</v>
      </c>
    </row>
    <row r="538" spans="1:21">
      <c r="A538" s="25">
        <f>IF(MES!A538="","",MES!C538/48)</f>
        <v>0</v>
      </c>
      <c r="B538" s="26">
        <f>IF(A538="","",TEXT((N538*4+cfgDeslocamento)/48,"hh:mm")&amp;" a "&amp;TEXT(A538,"hh:mm"))</f>
        <v>0</v>
      </c>
      <c r="C538" s="27">
        <f>IF(A538="","",MES!B538)</f>
        <v>0</v>
      </c>
      <c r="D538" s="27">
        <f>IF(A538="","",IFERROR(AVERAGEIFS(Prensa!$B$2:$B$5001,Prensa!$E$2:$E$5001,N538,Prensa!$F$2:$F$5001,1,Prensa!$G$2:$G$5001,1),""))</f>
        <v>0</v>
      </c>
      <c r="E538" s="27">
        <f>IF(A538="","",IFERROR(AVERAGEIFS(Prensa!$B$2:$B$5001,Prensa!$E$2:$E$5001,N538,Prensa!$F$2:$F$5001,2,Prensa!$G$2:$G$5001,1),""))</f>
        <v>0</v>
      </c>
      <c r="F538" s="27">
        <f>IF(A538="","",IFERROR(AVERAGEIFS(Prensa!$B$2:$B$5001,Prensa!$E$2:$E$5001,N538,Prensa!$F$2:$F$5001,3,Prensa!$G$2:$G$5001,1),""))</f>
        <v>0</v>
      </c>
      <c r="G538" s="27">
        <f>IF(A538="","",IFERROR(AVERAGEIFS(Prensa!$B$2:$B$5001,Prensa!$E$2:$E$5001,N538,Prensa!$F$2:$F$5001,4,Prensa!$G$2:$G$5001,1),""))</f>
        <v>0</v>
      </c>
      <c r="H538" s="26">
        <f>IF(A538="","",COUNT(D538:G538))</f>
        <v>0</v>
      </c>
      <c r="I538" s="27">
        <f>IF(A538="","",IF(H538=0,"",AVERAGE(D538:G538)))</f>
        <v>0</v>
      </c>
      <c r="J538" s="27">
        <f>IF(OR(I538="",C538=""),"",I538-C538)</f>
        <v>0</v>
      </c>
      <c r="K538" s="26">
        <f>IF(A538="","",IF(MES!E538&lt;&gt;4,"Horário do MES fora do padrão",IF(H538&lt;cfgMinCortes,"Cortes insuficientes","Válida")))</f>
        <v>0</v>
      </c>
      <c r="L538" s="27">
        <f>IF(K538="Válida",ABS(J538),"")</f>
        <v>0</v>
      </c>
      <c r="M538" s="26">
        <f>IF(K538="Válida",IF(L538&lt;=cfgTolerancia,"Sim","Não"),"")</f>
        <v>0</v>
      </c>
      <c r="N538" s="26">
        <f>IF(A538="","",MES!D538)</f>
        <v>0</v>
      </c>
      <c r="O538" s="25">
        <f>IF(K538="Válida",A538,NA())</f>
        <v>0</v>
      </c>
      <c r="P538" s="27">
        <f>IF(K538="Válida",C538,NA())</f>
        <v>0</v>
      </c>
      <c r="Q538" s="27">
        <f>IF(K538="Válida",I538,NA())</f>
        <v>0</v>
      </c>
      <c r="R538" s="27">
        <f>IF(K538="Válida",J538,NA())</f>
        <v>0</v>
      </c>
      <c r="S538" s="27">
        <f>IF(K538="Válida",C538,"")</f>
        <v>0</v>
      </c>
      <c r="T538" s="27">
        <f>IF(K538="Válida",I538,"")</f>
        <v>0</v>
      </c>
      <c r="U538" s="27">
        <f>IF(K538="Válida",J538,"")</f>
        <v>0</v>
      </c>
    </row>
    <row r="539" spans="1:21">
      <c r="A539" s="25">
        <f>IF(MES!A539="","",MES!C539/48)</f>
        <v>0</v>
      </c>
      <c r="B539" s="26">
        <f>IF(A539="","",TEXT((N539*4+cfgDeslocamento)/48,"hh:mm")&amp;" a "&amp;TEXT(A539,"hh:mm"))</f>
        <v>0</v>
      </c>
      <c r="C539" s="27">
        <f>IF(A539="","",MES!B539)</f>
        <v>0</v>
      </c>
      <c r="D539" s="27">
        <f>IF(A539="","",IFERROR(AVERAGEIFS(Prensa!$B$2:$B$5001,Prensa!$E$2:$E$5001,N539,Prensa!$F$2:$F$5001,1,Prensa!$G$2:$G$5001,1),""))</f>
        <v>0</v>
      </c>
      <c r="E539" s="27">
        <f>IF(A539="","",IFERROR(AVERAGEIFS(Prensa!$B$2:$B$5001,Prensa!$E$2:$E$5001,N539,Prensa!$F$2:$F$5001,2,Prensa!$G$2:$G$5001,1),""))</f>
        <v>0</v>
      </c>
      <c r="F539" s="27">
        <f>IF(A539="","",IFERROR(AVERAGEIFS(Prensa!$B$2:$B$5001,Prensa!$E$2:$E$5001,N539,Prensa!$F$2:$F$5001,3,Prensa!$G$2:$G$5001,1),""))</f>
        <v>0</v>
      </c>
      <c r="G539" s="27">
        <f>IF(A539="","",IFERROR(AVERAGEIFS(Prensa!$B$2:$B$5001,Prensa!$E$2:$E$5001,N539,Prensa!$F$2:$F$5001,4,Prensa!$G$2:$G$5001,1),""))</f>
        <v>0</v>
      </c>
      <c r="H539" s="26">
        <f>IF(A539="","",COUNT(D539:G539))</f>
        <v>0</v>
      </c>
      <c r="I539" s="27">
        <f>IF(A539="","",IF(H539=0,"",AVERAGE(D539:G539)))</f>
        <v>0</v>
      </c>
      <c r="J539" s="27">
        <f>IF(OR(I539="",C539=""),"",I539-C539)</f>
        <v>0</v>
      </c>
      <c r="K539" s="26">
        <f>IF(A539="","",IF(MES!E539&lt;&gt;4,"Horário do MES fora do padrão",IF(H539&lt;cfgMinCortes,"Cortes insuficientes","Válida")))</f>
        <v>0</v>
      </c>
      <c r="L539" s="27">
        <f>IF(K539="Válida",ABS(J539),"")</f>
        <v>0</v>
      </c>
      <c r="M539" s="26">
        <f>IF(K539="Válida",IF(L539&lt;=cfgTolerancia,"Sim","Não"),"")</f>
        <v>0</v>
      </c>
      <c r="N539" s="26">
        <f>IF(A539="","",MES!D539)</f>
        <v>0</v>
      </c>
      <c r="O539" s="25">
        <f>IF(K539="Válida",A539,NA())</f>
        <v>0</v>
      </c>
      <c r="P539" s="27">
        <f>IF(K539="Válida",C539,NA())</f>
        <v>0</v>
      </c>
      <c r="Q539" s="27">
        <f>IF(K539="Válida",I539,NA())</f>
        <v>0</v>
      </c>
      <c r="R539" s="27">
        <f>IF(K539="Válida",J539,NA())</f>
        <v>0</v>
      </c>
      <c r="S539" s="27">
        <f>IF(K539="Válida",C539,"")</f>
        <v>0</v>
      </c>
      <c r="T539" s="27">
        <f>IF(K539="Válida",I539,"")</f>
        <v>0</v>
      </c>
      <c r="U539" s="27">
        <f>IF(K539="Válida",J539,"")</f>
        <v>0</v>
      </c>
    </row>
    <row r="540" spans="1:21">
      <c r="A540" s="25">
        <f>IF(MES!A540="","",MES!C540/48)</f>
        <v>0</v>
      </c>
      <c r="B540" s="26">
        <f>IF(A540="","",TEXT((N540*4+cfgDeslocamento)/48,"hh:mm")&amp;" a "&amp;TEXT(A540,"hh:mm"))</f>
        <v>0</v>
      </c>
      <c r="C540" s="27">
        <f>IF(A540="","",MES!B540)</f>
        <v>0</v>
      </c>
      <c r="D540" s="27">
        <f>IF(A540="","",IFERROR(AVERAGEIFS(Prensa!$B$2:$B$5001,Prensa!$E$2:$E$5001,N540,Prensa!$F$2:$F$5001,1,Prensa!$G$2:$G$5001,1),""))</f>
        <v>0</v>
      </c>
      <c r="E540" s="27">
        <f>IF(A540="","",IFERROR(AVERAGEIFS(Prensa!$B$2:$B$5001,Prensa!$E$2:$E$5001,N540,Prensa!$F$2:$F$5001,2,Prensa!$G$2:$G$5001,1),""))</f>
        <v>0</v>
      </c>
      <c r="F540" s="27">
        <f>IF(A540="","",IFERROR(AVERAGEIFS(Prensa!$B$2:$B$5001,Prensa!$E$2:$E$5001,N540,Prensa!$F$2:$F$5001,3,Prensa!$G$2:$G$5001,1),""))</f>
        <v>0</v>
      </c>
      <c r="G540" s="27">
        <f>IF(A540="","",IFERROR(AVERAGEIFS(Prensa!$B$2:$B$5001,Prensa!$E$2:$E$5001,N540,Prensa!$F$2:$F$5001,4,Prensa!$G$2:$G$5001,1),""))</f>
        <v>0</v>
      </c>
      <c r="H540" s="26">
        <f>IF(A540="","",COUNT(D540:G540))</f>
        <v>0</v>
      </c>
      <c r="I540" s="27">
        <f>IF(A540="","",IF(H540=0,"",AVERAGE(D540:G540)))</f>
        <v>0</v>
      </c>
      <c r="J540" s="27">
        <f>IF(OR(I540="",C540=""),"",I540-C540)</f>
        <v>0</v>
      </c>
      <c r="K540" s="26">
        <f>IF(A540="","",IF(MES!E540&lt;&gt;4,"Horário do MES fora do padrão",IF(H540&lt;cfgMinCortes,"Cortes insuficientes","Válida")))</f>
        <v>0</v>
      </c>
      <c r="L540" s="27">
        <f>IF(K540="Válida",ABS(J540),"")</f>
        <v>0</v>
      </c>
      <c r="M540" s="26">
        <f>IF(K540="Válida",IF(L540&lt;=cfgTolerancia,"Sim","Não"),"")</f>
        <v>0</v>
      </c>
      <c r="N540" s="26">
        <f>IF(A540="","",MES!D540)</f>
        <v>0</v>
      </c>
      <c r="O540" s="25">
        <f>IF(K540="Válida",A540,NA())</f>
        <v>0</v>
      </c>
      <c r="P540" s="27">
        <f>IF(K540="Válida",C540,NA())</f>
        <v>0</v>
      </c>
      <c r="Q540" s="27">
        <f>IF(K540="Válida",I540,NA())</f>
        <v>0</v>
      </c>
      <c r="R540" s="27">
        <f>IF(K540="Válida",J540,NA())</f>
        <v>0</v>
      </c>
      <c r="S540" s="27">
        <f>IF(K540="Válida",C540,"")</f>
        <v>0</v>
      </c>
      <c r="T540" s="27">
        <f>IF(K540="Válida",I540,"")</f>
        <v>0</v>
      </c>
      <c r="U540" s="27">
        <f>IF(K540="Válida",J540,"")</f>
        <v>0</v>
      </c>
    </row>
    <row r="541" spans="1:21">
      <c r="A541" s="25">
        <f>IF(MES!A541="","",MES!C541/48)</f>
        <v>0</v>
      </c>
      <c r="B541" s="26">
        <f>IF(A541="","",TEXT((N541*4+cfgDeslocamento)/48,"hh:mm")&amp;" a "&amp;TEXT(A541,"hh:mm"))</f>
        <v>0</v>
      </c>
      <c r="C541" s="27">
        <f>IF(A541="","",MES!B541)</f>
        <v>0</v>
      </c>
      <c r="D541" s="27">
        <f>IF(A541="","",IFERROR(AVERAGEIFS(Prensa!$B$2:$B$5001,Prensa!$E$2:$E$5001,N541,Prensa!$F$2:$F$5001,1,Prensa!$G$2:$G$5001,1),""))</f>
        <v>0</v>
      </c>
      <c r="E541" s="27">
        <f>IF(A541="","",IFERROR(AVERAGEIFS(Prensa!$B$2:$B$5001,Prensa!$E$2:$E$5001,N541,Prensa!$F$2:$F$5001,2,Prensa!$G$2:$G$5001,1),""))</f>
        <v>0</v>
      </c>
      <c r="F541" s="27">
        <f>IF(A541="","",IFERROR(AVERAGEIFS(Prensa!$B$2:$B$5001,Prensa!$E$2:$E$5001,N541,Prensa!$F$2:$F$5001,3,Prensa!$G$2:$G$5001,1),""))</f>
        <v>0</v>
      </c>
      <c r="G541" s="27">
        <f>IF(A541="","",IFERROR(AVERAGEIFS(Prensa!$B$2:$B$5001,Prensa!$E$2:$E$5001,N541,Prensa!$F$2:$F$5001,4,Prensa!$G$2:$G$5001,1),""))</f>
        <v>0</v>
      </c>
      <c r="H541" s="26">
        <f>IF(A541="","",COUNT(D541:G541))</f>
        <v>0</v>
      </c>
      <c r="I541" s="27">
        <f>IF(A541="","",IF(H541=0,"",AVERAGE(D541:G541)))</f>
        <v>0</v>
      </c>
      <c r="J541" s="27">
        <f>IF(OR(I541="",C541=""),"",I541-C541)</f>
        <v>0</v>
      </c>
      <c r="K541" s="26">
        <f>IF(A541="","",IF(MES!E541&lt;&gt;4,"Horário do MES fora do padrão",IF(H541&lt;cfgMinCortes,"Cortes insuficientes","Válida")))</f>
        <v>0</v>
      </c>
      <c r="L541" s="27">
        <f>IF(K541="Válida",ABS(J541),"")</f>
        <v>0</v>
      </c>
      <c r="M541" s="26">
        <f>IF(K541="Válida",IF(L541&lt;=cfgTolerancia,"Sim","Não"),"")</f>
        <v>0</v>
      </c>
      <c r="N541" s="26">
        <f>IF(A541="","",MES!D541)</f>
        <v>0</v>
      </c>
      <c r="O541" s="25">
        <f>IF(K541="Válida",A541,NA())</f>
        <v>0</v>
      </c>
      <c r="P541" s="27">
        <f>IF(K541="Válida",C541,NA())</f>
        <v>0</v>
      </c>
      <c r="Q541" s="27">
        <f>IF(K541="Válida",I541,NA())</f>
        <v>0</v>
      </c>
      <c r="R541" s="27">
        <f>IF(K541="Válida",J541,NA())</f>
        <v>0</v>
      </c>
      <c r="S541" s="27">
        <f>IF(K541="Válida",C541,"")</f>
        <v>0</v>
      </c>
      <c r="T541" s="27">
        <f>IF(K541="Válida",I541,"")</f>
        <v>0</v>
      </c>
      <c r="U541" s="27">
        <f>IF(K541="Válida",J541,"")</f>
        <v>0</v>
      </c>
    </row>
    <row r="542" spans="1:21">
      <c r="A542" s="25">
        <f>IF(MES!A542="","",MES!C542/48)</f>
        <v>0</v>
      </c>
      <c r="B542" s="26">
        <f>IF(A542="","",TEXT((N542*4+cfgDeslocamento)/48,"hh:mm")&amp;" a "&amp;TEXT(A542,"hh:mm"))</f>
        <v>0</v>
      </c>
      <c r="C542" s="27">
        <f>IF(A542="","",MES!B542)</f>
        <v>0</v>
      </c>
      <c r="D542" s="27">
        <f>IF(A542="","",IFERROR(AVERAGEIFS(Prensa!$B$2:$B$5001,Prensa!$E$2:$E$5001,N542,Prensa!$F$2:$F$5001,1,Prensa!$G$2:$G$5001,1),""))</f>
        <v>0</v>
      </c>
      <c r="E542" s="27">
        <f>IF(A542="","",IFERROR(AVERAGEIFS(Prensa!$B$2:$B$5001,Prensa!$E$2:$E$5001,N542,Prensa!$F$2:$F$5001,2,Prensa!$G$2:$G$5001,1),""))</f>
        <v>0</v>
      </c>
      <c r="F542" s="27">
        <f>IF(A542="","",IFERROR(AVERAGEIFS(Prensa!$B$2:$B$5001,Prensa!$E$2:$E$5001,N542,Prensa!$F$2:$F$5001,3,Prensa!$G$2:$G$5001,1),""))</f>
        <v>0</v>
      </c>
      <c r="G542" s="27">
        <f>IF(A542="","",IFERROR(AVERAGEIFS(Prensa!$B$2:$B$5001,Prensa!$E$2:$E$5001,N542,Prensa!$F$2:$F$5001,4,Prensa!$G$2:$G$5001,1),""))</f>
        <v>0</v>
      </c>
      <c r="H542" s="26">
        <f>IF(A542="","",COUNT(D542:G542))</f>
        <v>0</v>
      </c>
      <c r="I542" s="27">
        <f>IF(A542="","",IF(H542=0,"",AVERAGE(D542:G542)))</f>
        <v>0</v>
      </c>
      <c r="J542" s="27">
        <f>IF(OR(I542="",C542=""),"",I542-C542)</f>
        <v>0</v>
      </c>
      <c r="K542" s="26">
        <f>IF(A542="","",IF(MES!E542&lt;&gt;4,"Horário do MES fora do padrão",IF(H542&lt;cfgMinCortes,"Cortes insuficientes","Válida")))</f>
        <v>0</v>
      </c>
      <c r="L542" s="27">
        <f>IF(K542="Válida",ABS(J542),"")</f>
        <v>0</v>
      </c>
      <c r="M542" s="26">
        <f>IF(K542="Válida",IF(L542&lt;=cfgTolerancia,"Sim","Não"),"")</f>
        <v>0</v>
      </c>
      <c r="N542" s="26">
        <f>IF(A542="","",MES!D542)</f>
        <v>0</v>
      </c>
      <c r="O542" s="25">
        <f>IF(K542="Válida",A542,NA())</f>
        <v>0</v>
      </c>
      <c r="P542" s="27">
        <f>IF(K542="Válida",C542,NA())</f>
        <v>0</v>
      </c>
      <c r="Q542" s="27">
        <f>IF(K542="Válida",I542,NA())</f>
        <v>0</v>
      </c>
      <c r="R542" s="27">
        <f>IF(K542="Válida",J542,NA())</f>
        <v>0</v>
      </c>
      <c r="S542" s="27">
        <f>IF(K542="Válida",C542,"")</f>
        <v>0</v>
      </c>
      <c r="T542" s="27">
        <f>IF(K542="Válida",I542,"")</f>
        <v>0</v>
      </c>
      <c r="U542" s="27">
        <f>IF(K542="Válida",J542,"")</f>
        <v>0</v>
      </c>
    </row>
    <row r="543" spans="1:21">
      <c r="A543" s="25">
        <f>IF(MES!A543="","",MES!C543/48)</f>
        <v>0</v>
      </c>
      <c r="B543" s="26">
        <f>IF(A543="","",TEXT((N543*4+cfgDeslocamento)/48,"hh:mm")&amp;" a "&amp;TEXT(A543,"hh:mm"))</f>
        <v>0</v>
      </c>
      <c r="C543" s="27">
        <f>IF(A543="","",MES!B543)</f>
        <v>0</v>
      </c>
      <c r="D543" s="27">
        <f>IF(A543="","",IFERROR(AVERAGEIFS(Prensa!$B$2:$B$5001,Prensa!$E$2:$E$5001,N543,Prensa!$F$2:$F$5001,1,Prensa!$G$2:$G$5001,1),""))</f>
        <v>0</v>
      </c>
      <c r="E543" s="27">
        <f>IF(A543="","",IFERROR(AVERAGEIFS(Prensa!$B$2:$B$5001,Prensa!$E$2:$E$5001,N543,Prensa!$F$2:$F$5001,2,Prensa!$G$2:$G$5001,1),""))</f>
        <v>0</v>
      </c>
      <c r="F543" s="27">
        <f>IF(A543="","",IFERROR(AVERAGEIFS(Prensa!$B$2:$B$5001,Prensa!$E$2:$E$5001,N543,Prensa!$F$2:$F$5001,3,Prensa!$G$2:$G$5001,1),""))</f>
        <v>0</v>
      </c>
      <c r="G543" s="27">
        <f>IF(A543="","",IFERROR(AVERAGEIFS(Prensa!$B$2:$B$5001,Prensa!$E$2:$E$5001,N543,Prensa!$F$2:$F$5001,4,Prensa!$G$2:$G$5001,1),""))</f>
        <v>0</v>
      </c>
      <c r="H543" s="26">
        <f>IF(A543="","",COUNT(D543:G543))</f>
        <v>0</v>
      </c>
      <c r="I543" s="27">
        <f>IF(A543="","",IF(H543=0,"",AVERAGE(D543:G543)))</f>
        <v>0</v>
      </c>
      <c r="J543" s="27">
        <f>IF(OR(I543="",C543=""),"",I543-C543)</f>
        <v>0</v>
      </c>
      <c r="K543" s="26">
        <f>IF(A543="","",IF(MES!E543&lt;&gt;4,"Horário do MES fora do padrão",IF(H543&lt;cfgMinCortes,"Cortes insuficientes","Válida")))</f>
        <v>0</v>
      </c>
      <c r="L543" s="27">
        <f>IF(K543="Válida",ABS(J543),"")</f>
        <v>0</v>
      </c>
      <c r="M543" s="26">
        <f>IF(K543="Válida",IF(L543&lt;=cfgTolerancia,"Sim","Não"),"")</f>
        <v>0</v>
      </c>
      <c r="N543" s="26">
        <f>IF(A543="","",MES!D543)</f>
        <v>0</v>
      </c>
      <c r="O543" s="25">
        <f>IF(K543="Válida",A543,NA())</f>
        <v>0</v>
      </c>
      <c r="P543" s="27">
        <f>IF(K543="Válida",C543,NA())</f>
        <v>0</v>
      </c>
      <c r="Q543" s="27">
        <f>IF(K543="Válida",I543,NA())</f>
        <v>0</v>
      </c>
      <c r="R543" s="27">
        <f>IF(K543="Válida",J543,NA())</f>
        <v>0</v>
      </c>
      <c r="S543" s="27">
        <f>IF(K543="Válida",C543,"")</f>
        <v>0</v>
      </c>
      <c r="T543" s="27">
        <f>IF(K543="Válida",I543,"")</f>
        <v>0</v>
      </c>
      <c r="U543" s="27">
        <f>IF(K543="Válida",J543,"")</f>
        <v>0</v>
      </c>
    </row>
    <row r="544" spans="1:21">
      <c r="A544" s="25">
        <f>IF(MES!A544="","",MES!C544/48)</f>
        <v>0</v>
      </c>
      <c r="B544" s="26">
        <f>IF(A544="","",TEXT((N544*4+cfgDeslocamento)/48,"hh:mm")&amp;" a "&amp;TEXT(A544,"hh:mm"))</f>
        <v>0</v>
      </c>
      <c r="C544" s="27">
        <f>IF(A544="","",MES!B544)</f>
        <v>0</v>
      </c>
      <c r="D544" s="27">
        <f>IF(A544="","",IFERROR(AVERAGEIFS(Prensa!$B$2:$B$5001,Prensa!$E$2:$E$5001,N544,Prensa!$F$2:$F$5001,1,Prensa!$G$2:$G$5001,1),""))</f>
        <v>0</v>
      </c>
      <c r="E544" s="27">
        <f>IF(A544="","",IFERROR(AVERAGEIFS(Prensa!$B$2:$B$5001,Prensa!$E$2:$E$5001,N544,Prensa!$F$2:$F$5001,2,Prensa!$G$2:$G$5001,1),""))</f>
        <v>0</v>
      </c>
      <c r="F544" s="27">
        <f>IF(A544="","",IFERROR(AVERAGEIFS(Prensa!$B$2:$B$5001,Prensa!$E$2:$E$5001,N544,Prensa!$F$2:$F$5001,3,Prensa!$G$2:$G$5001,1),""))</f>
        <v>0</v>
      </c>
      <c r="G544" s="27">
        <f>IF(A544="","",IFERROR(AVERAGEIFS(Prensa!$B$2:$B$5001,Prensa!$E$2:$E$5001,N544,Prensa!$F$2:$F$5001,4,Prensa!$G$2:$G$5001,1),""))</f>
        <v>0</v>
      </c>
      <c r="H544" s="26">
        <f>IF(A544="","",COUNT(D544:G544))</f>
        <v>0</v>
      </c>
      <c r="I544" s="27">
        <f>IF(A544="","",IF(H544=0,"",AVERAGE(D544:G544)))</f>
        <v>0</v>
      </c>
      <c r="J544" s="27">
        <f>IF(OR(I544="",C544=""),"",I544-C544)</f>
        <v>0</v>
      </c>
      <c r="K544" s="26">
        <f>IF(A544="","",IF(MES!E544&lt;&gt;4,"Horário do MES fora do padrão",IF(H544&lt;cfgMinCortes,"Cortes insuficientes","Válida")))</f>
        <v>0</v>
      </c>
      <c r="L544" s="27">
        <f>IF(K544="Válida",ABS(J544),"")</f>
        <v>0</v>
      </c>
      <c r="M544" s="26">
        <f>IF(K544="Válida",IF(L544&lt;=cfgTolerancia,"Sim","Não"),"")</f>
        <v>0</v>
      </c>
      <c r="N544" s="26">
        <f>IF(A544="","",MES!D544)</f>
        <v>0</v>
      </c>
      <c r="O544" s="25">
        <f>IF(K544="Válida",A544,NA())</f>
        <v>0</v>
      </c>
      <c r="P544" s="27">
        <f>IF(K544="Válida",C544,NA())</f>
        <v>0</v>
      </c>
      <c r="Q544" s="27">
        <f>IF(K544="Válida",I544,NA())</f>
        <v>0</v>
      </c>
      <c r="R544" s="27">
        <f>IF(K544="Válida",J544,NA())</f>
        <v>0</v>
      </c>
      <c r="S544" s="27">
        <f>IF(K544="Válida",C544,"")</f>
        <v>0</v>
      </c>
      <c r="T544" s="27">
        <f>IF(K544="Válida",I544,"")</f>
        <v>0</v>
      </c>
      <c r="U544" s="27">
        <f>IF(K544="Válida",J544,"")</f>
        <v>0</v>
      </c>
    </row>
    <row r="545" spans="1:21">
      <c r="A545" s="25">
        <f>IF(MES!A545="","",MES!C545/48)</f>
        <v>0</v>
      </c>
      <c r="B545" s="26">
        <f>IF(A545="","",TEXT((N545*4+cfgDeslocamento)/48,"hh:mm")&amp;" a "&amp;TEXT(A545,"hh:mm"))</f>
        <v>0</v>
      </c>
      <c r="C545" s="27">
        <f>IF(A545="","",MES!B545)</f>
        <v>0</v>
      </c>
      <c r="D545" s="27">
        <f>IF(A545="","",IFERROR(AVERAGEIFS(Prensa!$B$2:$B$5001,Prensa!$E$2:$E$5001,N545,Prensa!$F$2:$F$5001,1,Prensa!$G$2:$G$5001,1),""))</f>
        <v>0</v>
      </c>
      <c r="E545" s="27">
        <f>IF(A545="","",IFERROR(AVERAGEIFS(Prensa!$B$2:$B$5001,Prensa!$E$2:$E$5001,N545,Prensa!$F$2:$F$5001,2,Prensa!$G$2:$G$5001,1),""))</f>
        <v>0</v>
      </c>
      <c r="F545" s="27">
        <f>IF(A545="","",IFERROR(AVERAGEIFS(Prensa!$B$2:$B$5001,Prensa!$E$2:$E$5001,N545,Prensa!$F$2:$F$5001,3,Prensa!$G$2:$G$5001,1),""))</f>
        <v>0</v>
      </c>
      <c r="G545" s="27">
        <f>IF(A545="","",IFERROR(AVERAGEIFS(Prensa!$B$2:$B$5001,Prensa!$E$2:$E$5001,N545,Prensa!$F$2:$F$5001,4,Prensa!$G$2:$G$5001,1),""))</f>
        <v>0</v>
      </c>
      <c r="H545" s="26">
        <f>IF(A545="","",COUNT(D545:G545))</f>
        <v>0</v>
      </c>
      <c r="I545" s="27">
        <f>IF(A545="","",IF(H545=0,"",AVERAGE(D545:G545)))</f>
        <v>0</v>
      </c>
      <c r="J545" s="27">
        <f>IF(OR(I545="",C545=""),"",I545-C545)</f>
        <v>0</v>
      </c>
      <c r="K545" s="26">
        <f>IF(A545="","",IF(MES!E545&lt;&gt;4,"Horário do MES fora do padrão",IF(H545&lt;cfgMinCortes,"Cortes insuficientes","Válida")))</f>
        <v>0</v>
      </c>
      <c r="L545" s="27">
        <f>IF(K545="Válida",ABS(J545),"")</f>
        <v>0</v>
      </c>
      <c r="M545" s="26">
        <f>IF(K545="Válida",IF(L545&lt;=cfgTolerancia,"Sim","Não"),"")</f>
        <v>0</v>
      </c>
      <c r="N545" s="26">
        <f>IF(A545="","",MES!D545)</f>
        <v>0</v>
      </c>
      <c r="O545" s="25">
        <f>IF(K545="Válida",A545,NA())</f>
        <v>0</v>
      </c>
      <c r="P545" s="27">
        <f>IF(K545="Válida",C545,NA())</f>
        <v>0</v>
      </c>
      <c r="Q545" s="27">
        <f>IF(K545="Válida",I545,NA())</f>
        <v>0</v>
      </c>
      <c r="R545" s="27">
        <f>IF(K545="Válida",J545,NA())</f>
        <v>0</v>
      </c>
      <c r="S545" s="27">
        <f>IF(K545="Válida",C545,"")</f>
        <v>0</v>
      </c>
      <c r="T545" s="27">
        <f>IF(K545="Válida",I545,"")</f>
        <v>0</v>
      </c>
      <c r="U545" s="27">
        <f>IF(K545="Válida",J545,"")</f>
        <v>0</v>
      </c>
    </row>
    <row r="546" spans="1:21">
      <c r="A546" s="25">
        <f>IF(MES!A546="","",MES!C546/48)</f>
        <v>0</v>
      </c>
      <c r="B546" s="26">
        <f>IF(A546="","",TEXT((N546*4+cfgDeslocamento)/48,"hh:mm")&amp;" a "&amp;TEXT(A546,"hh:mm"))</f>
        <v>0</v>
      </c>
      <c r="C546" s="27">
        <f>IF(A546="","",MES!B546)</f>
        <v>0</v>
      </c>
      <c r="D546" s="27">
        <f>IF(A546="","",IFERROR(AVERAGEIFS(Prensa!$B$2:$B$5001,Prensa!$E$2:$E$5001,N546,Prensa!$F$2:$F$5001,1,Prensa!$G$2:$G$5001,1),""))</f>
        <v>0</v>
      </c>
      <c r="E546" s="27">
        <f>IF(A546="","",IFERROR(AVERAGEIFS(Prensa!$B$2:$B$5001,Prensa!$E$2:$E$5001,N546,Prensa!$F$2:$F$5001,2,Prensa!$G$2:$G$5001,1),""))</f>
        <v>0</v>
      </c>
      <c r="F546" s="27">
        <f>IF(A546="","",IFERROR(AVERAGEIFS(Prensa!$B$2:$B$5001,Prensa!$E$2:$E$5001,N546,Prensa!$F$2:$F$5001,3,Prensa!$G$2:$G$5001,1),""))</f>
        <v>0</v>
      </c>
      <c r="G546" s="27">
        <f>IF(A546="","",IFERROR(AVERAGEIFS(Prensa!$B$2:$B$5001,Prensa!$E$2:$E$5001,N546,Prensa!$F$2:$F$5001,4,Prensa!$G$2:$G$5001,1),""))</f>
        <v>0</v>
      </c>
      <c r="H546" s="26">
        <f>IF(A546="","",COUNT(D546:G546))</f>
        <v>0</v>
      </c>
      <c r="I546" s="27">
        <f>IF(A546="","",IF(H546=0,"",AVERAGE(D546:G546)))</f>
        <v>0</v>
      </c>
      <c r="J546" s="27">
        <f>IF(OR(I546="",C546=""),"",I546-C546)</f>
        <v>0</v>
      </c>
      <c r="K546" s="26">
        <f>IF(A546="","",IF(MES!E546&lt;&gt;4,"Horário do MES fora do padrão",IF(H546&lt;cfgMinCortes,"Cortes insuficientes","Válida")))</f>
        <v>0</v>
      </c>
      <c r="L546" s="27">
        <f>IF(K546="Válida",ABS(J546),"")</f>
        <v>0</v>
      </c>
      <c r="M546" s="26">
        <f>IF(K546="Válida",IF(L546&lt;=cfgTolerancia,"Sim","Não"),"")</f>
        <v>0</v>
      </c>
      <c r="N546" s="26">
        <f>IF(A546="","",MES!D546)</f>
        <v>0</v>
      </c>
      <c r="O546" s="25">
        <f>IF(K546="Válida",A546,NA())</f>
        <v>0</v>
      </c>
      <c r="P546" s="27">
        <f>IF(K546="Válida",C546,NA())</f>
        <v>0</v>
      </c>
      <c r="Q546" s="27">
        <f>IF(K546="Válida",I546,NA())</f>
        <v>0</v>
      </c>
      <c r="R546" s="27">
        <f>IF(K546="Válida",J546,NA())</f>
        <v>0</v>
      </c>
      <c r="S546" s="27">
        <f>IF(K546="Válida",C546,"")</f>
        <v>0</v>
      </c>
      <c r="T546" s="27">
        <f>IF(K546="Válida",I546,"")</f>
        <v>0</v>
      </c>
      <c r="U546" s="27">
        <f>IF(K546="Válida",J546,"")</f>
        <v>0</v>
      </c>
    </row>
    <row r="547" spans="1:21">
      <c r="A547" s="25">
        <f>IF(MES!A547="","",MES!C547/48)</f>
        <v>0</v>
      </c>
      <c r="B547" s="26">
        <f>IF(A547="","",TEXT((N547*4+cfgDeslocamento)/48,"hh:mm")&amp;" a "&amp;TEXT(A547,"hh:mm"))</f>
        <v>0</v>
      </c>
      <c r="C547" s="27">
        <f>IF(A547="","",MES!B547)</f>
        <v>0</v>
      </c>
      <c r="D547" s="27">
        <f>IF(A547="","",IFERROR(AVERAGEIFS(Prensa!$B$2:$B$5001,Prensa!$E$2:$E$5001,N547,Prensa!$F$2:$F$5001,1,Prensa!$G$2:$G$5001,1),""))</f>
        <v>0</v>
      </c>
      <c r="E547" s="27">
        <f>IF(A547="","",IFERROR(AVERAGEIFS(Prensa!$B$2:$B$5001,Prensa!$E$2:$E$5001,N547,Prensa!$F$2:$F$5001,2,Prensa!$G$2:$G$5001,1),""))</f>
        <v>0</v>
      </c>
      <c r="F547" s="27">
        <f>IF(A547="","",IFERROR(AVERAGEIFS(Prensa!$B$2:$B$5001,Prensa!$E$2:$E$5001,N547,Prensa!$F$2:$F$5001,3,Prensa!$G$2:$G$5001,1),""))</f>
        <v>0</v>
      </c>
      <c r="G547" s="27">
        <f>IF(A547="","",IFERROR(AVERAGEIFS(Prensa!$B$2:$B$5001,Prensa!$E$2:$E$5001,N547,Prensa!$F$2:$F$5001,4,Prensa!$G$2:$G$5001,1),""))</f>
        <v>0</v>
      </c>
      <c r="H547" s="26">
        <f>IF(A547="","",COUNT(D547:G547))</f>
        <v>0</v>
      </c>
      <c r="I547" s="27">
        <f>IF(A547="","",IF(H547=0,"",AVERAGE(D547:G547)))</f>
        <v>0</v>
      </c>
      <c r="J547" s="27">
        <f>IF(OR(I547="",C547=""),"",I547-C547)</f>
        <v>0</v>
      </c>
      <c r="K547" s="26">
        <f>IF(A547="","",IF(MES!E547&lt;&gt;4,"Horário do MES fora do padrão",IF(H547&lt;cfgMinCortes,"Cortes insuficientes","Válida")))</f>
        <v>0</v>
      </c>
      <c r="L547" s="27">
        <f>IF(K547="Válida",ABS(J547),"")</f>
        <v>0</v>
      </c>
      <c r="M547" s="26">
        <f>IF(K547="Válida",IF(L547&lt;=cfgTolerancia,"Sim","Não"),"")</f>
        <v>0</v>
      </c>
      <c r="N547" s="26">
        <f>IF(A547="","",MES!D547)</f>
        <v>0</v>
      </c>
      <c r="O547" s="25">
        <f>IF(K547="Válida",A547,NA())</f>
        <v>0</v>
      </c>
      <c r="P547" s="27">
        <f>IF(K547="Válida",C547,NA())</f>
        <v>0</v>
      </c>
      <c r="Q547" s="27">
        <f>IF(K547="Válida",I547,NA())</f>
        <v>0</v>
      </c>
      <c r="R547" s="27">
        <f>IF(K547="Válida",J547,NA())</f>
        <v>0</v>
      </c>
      <c r="S547" s="27">
        <f>IF(K547="Válida",C547,"")</f>
        <v>0</v>
      </c>
      <c r="T547" s="27">
        <f>IF(K547="Válida",I547,"")</f>
        <v>0</v>
      </c>
      <c r="U547" s="27">
        <f>IF(K547="Válida",J547,"")</f>
        <v>0</v>
      </c>
    </row>
    <row r="548" spans="1:21">
      <c r="A548" s="25">
        <f>IF(MES!A548="","",MES!C548/48)</f>
        <v>0</v>
      </c>
      <c r="B548" s="26">
        <f>IF(A548="","",TEXT((N548*4+cfgDeslocamento)/48,"hh:mm")&amp;" a "&amp;TEXT(A548,"hh:mm"))</f>
        <v>0</v>
      </c>
      <c r="C548" s="27">
        <f>IF(A548="","",MES!B548)</f>
        <v>0</v>
      </c>
      <c r="D548" s="27">
        <f>IF(A548="","",IFERROR(AVERAGEIFS(Prensa!$B$2:$B$5001,Prensa!$E$2:$E$5001,N548,Prensa!$F$2:$F$5001,1,Prensa!$G$2:$G$5001,1),""))</f>
        <v>0</v>
      </c>
      <c r="E548" s="27">
        <f>IF(A548="","",IFERROR(AVERAGEIFS(Prensa!$B$2:$B$5001,Prensa!$E$2:$E$5001,N548,Prensa!$F$2:$F$5001,2,Prensa!$G$2:$G$5001,1),""))</f>
        <v>0</v>
      </c>
      <c r="F548" s="27">
        <f>IF(A548="","",IFERROR(AVERAGEIFS(Prensa!$B$2:$B$5001,Prensa!$E$2:$E$5001,N548,Prensa!$F$2:$F$5001,3,Prensa!$G$2:$G$5001,1),""))</f>
        <v>0</v>
      </c>
      <c r="G548" s="27">
        <f>IF(A548="","",IFERROR(AVERAGEIFS(Prensa!$B$2:$B$5001,Prensa!$E$2:$E$5001,N548,Prensa!$F$2:$F$5001,4,Prensa!$G$2:$G$5001,1),""))</f>
        <v>0</v>
      </c>
      <c r="H548" s="26">
        <f>IF(A548="","",COUNT(D548:G548))</f>
        <v>0</v>
      </c>
      <c r="I548" s="27">
        <f>IF(A548="","",IF(H548=0,"",AVERAGE(D548:G548)))</f>
        <v>0</v>
      </c>
      <c r="J548" s="27">
        <f>IF(OR(I548="",C548=""),"",I548-C548)</f>
        <v>0</v>
      </c>
      <c r="K548" s="26">
        <f>IF(A548="","",IF(MES!E548&lt;&gt;4,"Horário do MES fora do padrão",IF(H548&lt;cfgMinCortes,"Cortes insuficientes","Válida")))</f>
        <v>0</v>
      </c>
      <c r="L548" s="27">
        <f>IF(K548="Válida",ABS(J548),"")</f>
        <v>0</v>
      </c>
      <c r="M548" s="26">
        <f>IF(K548="Válida",IF(L548&lt;=cfgTolerancia,"Sim","Não"),"")</f>
        <v>0</v>
      </c>
      <c r="N548" s="26">
        <f>IF(A548="","",MES!D548)</f>
        <v>0</v>
      </c>
      <c r="O548" s="25">
        <f>IF(K548="Válida",A548,NA())</f>
        <v>0</v>
      </c>
      <c r="P548" s="27">
        <f>IF(K548="Válida",C548,NA())</f>
        <v>0</v>
      </c>
      <c r="Q548" s="27">
        <f>IF(K548="Válida",I548,NA())</f>
        <v>0</v>
      </c>
      <c r="R548" s="27">
        <f>IF(K548="Válida",J548,NA())</f>
        <v>0</v>
      </c>
      <c r="S548" s="27">
        <f>IF(K548="Válida",C548,"")</f>
        <v>0</v>
      </c>
      <c r="T548" s="27">
        <f>IF(K548="Válida",I548,"")</f>
        <v>0</v>
      </c>
      <c r="U548" s="27">
        <f>IF(K548="Válida",J548,"")</f>
        <v>0</v>
      </c>
    </row>
    <row r="549" spans="1:21">
      <c r="A549" s="25">
        <f>IF(MES!A549="","",MES!C549/48)</f>
        <v>0</v>
      </c>
      <c r="B549" s="26">
        <f>IF(A549="","",TEXT((N549*4+cfgDeslocamento)/48,"hh:mm")&amp;" a "&amp;TEXT(A549,"hh:mm"))</f>
        <v>0</v>
      </c>
      <c r="C549" s="27">
        <f>IF(A549="","",MES!B549)</f>
        <v>0</v>
      </c>
      <c r="D549" s="27">
        <f>IF(A549="","",IFERROR(AVERAGEIFS(Prensa!$B$2:$B$5001,Prensa!$E$2:$E$5001,N549,Prensa!$F$2:$F$5001,1,Prensa!$G$2:$G$5001,1),""))</f>
        <v>0</v>
      </c>
      <c r="E549" s="27">
        <f>IF(A549="","",IFERROR(AVERAGEIFS(Prensa!$B$2:$B$5001,Prensa!$E$2:$E$5001,N549,Prensa!$F$2:$F$5001,2,Prensa!$G$2:$G$5001,1),""))</f>
        <v>0</v>
      </c>
      <c r="F549" s="27">
        <f>IF(A549="","",IFERROR(AVERAGEIFS(Prensa!$B$2:$B$5001,Prensa!$E$2:$E$5001,N549,Prensa!$F$2:$F$5001,3,Prensa!$G$2:$G$5001,1),""))</f>
        <v>0</v>
      </c>
      <c r="G549" s="27">
        <f>IF(A549="","",IFERROR(AVERAGEIFS(Prensa!$B$2:$B$5001,Prensa!$E$2:$E$5001,N549,Prensa!$F$2:$F$5001,4,Prensa!$G$2:$G$5001,1),""))</f>
        <v>0</v>
      </c>
      <c r="H549" s="26">
        <f>IF(A549="","",COUNT(D549:G549))</f>
        <v>0</v>
      </c>
      <c r="I549" s="27">
        <f>IF(A549="","",IF(H549=0,"",AVERAGE(D549:G549)))</f>
        <v>0</v>
      </c>
      <c r="J549" s="27">
        <f>IF(OR(I549="",C549=""),"",I549-C549)</f>
        <v>0</v>
      </c>
      <c r="K549" s="26">
        <f>IF(A549="","",IF(MES!E549&lt;&gt;4,"Horário do MES fora do padrão",IF(H549&lt;cfgMinCortes,"Cortes insuficientes","Válida")))</f>
        <v>0</v>
      </c>
      <c r="L549" s="27">
        <f>IF(K549="Válida",ABS(J549),"")</f>
        <v>0</v>
      </c>
      <c r="M549" s="26">
        <f>IF(K549="Válida",IF(L549&lt;=cfgTolerancia,"Sim","Não"),"")</f>
        <v>0</v>
      </c>
      <c r="N549" s="26">
        <f>IF(A549="","",MES!D549)</f>
        <v>0</v>
      </c>
      <c r="O549" s="25">
        <f>IF(K549="Válida",A549,NA())</f>
        <v>0</v>
      </c>
      <c r="P549" s="27">
        <f>IF(K549="Válida",C549,NA())</f>
        <v>0</v>
      </c>
      <c r="Q549" s="27">
        <f>IF(K549="Válida",I549,NA())</f>
        <v>0</v>
      </c>
      <c r="R549" s="27">
        <f>IF(K549="Válida",J549,NA())</f>
        <v>0</v>
      </c>
      <c r="S549" s="27">
        <f>IF(K549="Válida",C549,"")</f>
        <v>0</v>
      </c>
      <c r="T549" s="27">
        <f>IF(K549="Válida",I549,"")</f>
        <v>0</v>
      </c>
      <c r="U549" s="27">
        <f>IF(K549="Válida",J549,"")</f>
        <v>0</v>
      </c>
    </row>
    <row r="550" spans="1:21">
      <c r="A550" s="25">
        <f>IF(MES!A550="","",MES!C550/48)</f>
        <v>0</v>
      </c>
      <c r="B550" s="26">
        <f>IF(A550="","",TEXT((N550*4+cfgDeslocamento)/48,"hh:mm")&amp;" a "&amp;TEXT(A550,"hh:mm"))</f>
        <v>0</v>
      </c>
      <c r="C550" s="27">
        <f>IF(A550="","",MES!B550)</f>
        <v>0</v>
      </c>
      <c r="D550" s="27">
        <f>IF(A550="","",IFERROR(AVERAGEIFS(Prensa!$B$2:$B$5001,Prensa!$E$2:$E$5001,N550,Prensa!$F$2:$F$5001,1,Prensa!$G$2:$G$5001,1),""))</f>
        <v>0</v>
      </c>
      <c r="E550" s="27">
        <f>IF(A550="","",IFERROR(AVERAGEIFS(Prensa!$B$2:$B$5001,Prensa!$E$2:$E$5001,N550,Prensa!$F$2:$F$5001,2,Prensa!$G$2:$G$5001,1),""))</f>
        <v>0</v>
      </c>
      <c r="F550" s="27">
        <f>IF(A550="","",IFERROR(AVERAGEIFS(Prensa!$B$2:$B$5001,Prensa!$E$2:$E$5001,N550,Prensa!$F$2:$F$5001,3,Prensa!$G$2:$G$5001,1),""))</f>
        <v>0</v>
      </c>
      <c r="G550" s="27">
        <f>IF(A550="","",IFERROR(AVERAGEIFS(Prensa!$B$2:$B$5001,Prensa!$E$2:$E$5001,N550,Prensa!$F$2:$F$5001,4,Prensa!$G$2:$G$5001,1),""))</f>
        <v>0</v>
      </c>
      <c r="H550" s="26">
        <f>IF(A550="","",COUNT(D550:G550))</f>
        <v>0</v>
      </c>
      <c r="I550" s="27">
        <f>IF(A550="","",IF(H550=0,"",AVERAGE(D550:G550)))</f>
        <v>0</v>
      </c>
      <c r="J550" s="27">
        <f>IF(OR(I550="",C550=""),"",I550-C550)</f>
        <v>0</v>
      </c>
      <c r="K550" s="26">
        <f>IF(A550="","",IF(MES!E550&lt;&gt;4,"Horário do MES fora do padrão",IF(H550&lt;cfgMinCortes,"Cortes insuficientes","Válida")))</f>
        <v>0</v>
      </c>
      <c r="L550" s="27">
        <f>IF(K550="Válida",ABS(J550),"")</f>
        <v>0</v>
      </c>
      <c r="M550" s="26">
        <f>IF(K550="Válida",IF(L550&lt;=cfgTolerancia,"Sim","Não"),"")</f>
        <v>0</v>
      </c>
      <c r="N550" s="26">
        <f>IF(A550="","",MES!D550)</f>
        <v>0</v>
      </c>
      <c r="O550" s="25">
        <f>IF(K550="Válida",A550,NA())</f>
        <v>0</v>
      </c>
      <c r="P550" s="27">
        <f>IF(K550="Válida",C550,NA())</f>
        <v>0</v>
      </c>
      <c r="Q550" s="27">
        <f>IF(K550="Válida",I550,NA())</f>
        <v>0</v>
      </c>
      <c r="R550" s="27">
        <f>IF(K550="Válida",J550,NA())</f>
        <v>0</v>
      </c>
      <c r="S550" s="27">
        <f>IF(K550="Válida",C550,"")</f>
        <v>0</v>
      </c>
      <c r="T550" s="27">
        <f>IF(K550="Válida",I550,"")</f>
        <v>0</v>
      </c>
      <c r="U550" s="27">
        <f>IF(K550="Válida",J550,"")</f>
        <v>0</v>
      </c>
    </row>
    <row r="551" spans="1:21">
      <c r="A551" s="25">
        <f>IF(MES!A551="","",MES!C551/48)</f>
        <v>0</v>
      </c>
      <c r="B551" s="26">
        <f>IF(A551="","",TEXT((N551*4+cfgDeslocamento)/48,"hh:mm")&amp;" a "&amp;TEXT(A551,"hh:mm"))</f>
        <v>0</v>
      </c>
      <c r="C551" s="27">
        <f>IF(A551="","",MES!B551)</f>
        <v>0</v>
      </c>
      <c r="D551" s="27">
        <f>IF(A551="","",IFERROR(AVERAGEIFS(Prensa!$B$2:$B$5001,Prensa!$E$2:$E$5001,N551,Prensa!$F$2:$F$5001,1,Prensa!$G$2:$G$5001,1),""))</f>
        <v>0</v>
      </c>
      <c r="E551" s="27">
        <f>IF(A551="","",IFERROR(AVERAGEIFS(Prensa!$B$2:$B$5001,Prensa!$E$2:$E$5001,N551,Prensa!$F$2:$F$5001,2,Prensa!$G$2:$G$5001,1),""))</f>
        <v>0</v>
      </c>
      <c r="F551" s="27">
        <f>IF(A551="","",IFERROR(AVERAGEIFS(Prensa!$B$2:$B$5001,Prensa!$E$2:$E$5001,N551,Prensa!$F$2:$F$5001,3,Prensa!$G$2:$G$5001,1),""))</f>
        <v>0</v>
      </c>
      <c r="G551" s="27">
        <f>IF(A551="","",IFERROR(AVERAGEIFS(Prensa!$B$2:$B$5001,Prensa!$E$2:$E$5001,N551,Prensa!$F$2:$F$5001,4,Prensa!$G$2:$G$5001,1),""))</f>
        <v>0</v>
      </c>
      <c r="H551" s="26">
        <f>IF(A551="","",COUNT(D551:G551))</f>
        <v>0</v>
      </c>
      <c r="I551" s="27">
        <f>IF(A551="","",IF(H551=0,"",AVERAGE(D551:G551)))</f>
        <v>0</v>
      </c>
      <c r="J551" s="27">
        <f>IF(OR(I551="",C551=""),"",I551-C551)</f>
        <v>0</v>
      </c>
      <c r="K551" s="26">
        <f>IF(A551="","",IF(MES!E551&lt;&gt;4,"Horário do MES fora do padrão",IF(H551&lt;cfgMinCortes,"Cortes insuficientes","Válida")))</f>
        <v>0</v>
      </c>
      <c r="L551" s="27">
        <f>IF(K551="Válida",ABS(J551),"")</f>
        <v>0</v>
      </c>
      <c r="M551" s="26">
        <f>IF(K551="Válida",IF(L551&lt;=cfgTolerancia,"Sim","Não"),"")</f>
        <v>0</v>
      </c>
      <c r="N551" s="26">
        <f>IF(A551="","",MES!D551)</f>
        <v>0</v>
      </c>
      <c r="O551" s="25">
        <f>IF(K551="Válida",A551,NA())</f>
        <v>0</v>
      </c>
      <c r="P551" s="27">
        <f>IF(K551="Válida",C551,NA())</f>
        <v>0</v>
      </c>
      <c r="Q551" s="27">
        <f>IF(K551="Válida",I551,NA())</f>
        <v>0</v>
      </c>
      <c r="R551" s="27">
        <f>IF(K551="Válida",J551,NA())</f>
        <v>0</v>
      </c>
      <c r="S551" s="27">
        <f>IF(K551="Válida",C551,"")</f>
        <v>0</v>
      </c>
      <c r="T551" s="27">
        <f>IF(K551="Válida",I551,"")</f>
        <v>0</v>
      </c>
      <c r="U551" s="27">
        <f>IF(K551="Válida",J551,"")</f>
        <v>0</v>
      </c>
    </row>
    <row r="552" spans="1:21">
      <c r="A552" s="25">
        <f>IF(MES!A552="","",MES!C552/48)</f>
        <v>0</v>
      </c>
      <c r="B552" s="26">
        <f>IF(A552="","",TEXT((N552*4+cfgDeslocamento)/48,"hh:mm")&amp;" a "&amp;TEXT(A552,"hh:mm"))</f>
        <v>0</v>
      </c>
      <c r="C552" s="27">
        <f>IF(A552="","",MES!B552)</f>
        <v>0</v>
      </c>
      <c r="D552" s="27">
        <f>IF(A552="","",IFERROR(AVERAGEIFS(Prensa!$B$2:$B$5001,Prensa!$E$2:$E$5001,N552,Prensa!$F$2:$F$5001,1,Prensa!$G$2:$G$5001,1),""))</f>
        <v>0</v>
      </c>
      <c r="E552" s="27">
        <f>IF(A552="","",IFERROR(AVERAGEIFS(Prensa!$B$2:$B$5001,Prensa!$E$2:$E$5001,N552,Prensa!$F$2:$F$5001,2,Prensa!$G$2:$G$5001,1),""))</f>
        <v>0</v>
      </c>
      <c r="F552" s="27">
        <f>IF(A552="","",IFERROR(AVERAGEIFS(Prensa!$B$2:$B$5001,Prensa!$E$2:$E$5001,N552,Prensa!$F$2:$F$5001,3,Prensa!$G$2:$G$5001,1),""))</f>
        <v>0</v>
      </c>
      <c r="G552" s="27">
        <f>IF(A552="","",IFERROR(AVERAGEIFS(Prensa!$B$2:$B$5001,Prensa!$E$2:$E$5001,N552,Prensa!$F$2:$F$5001,4,Prensa!$G$2:$G$5001,1),""))</f>
        <v>0</v>
      </c>
      <c r="H552" s="26">
        <f>IF(A552="","",COUNT(D552:G552))</f>
        <v>0</v>
      </c>
      <c r="I552" s="27">
        <f>IF(A552="","",IF(H552=0,"",AVERAGE(D552:G552)))</f>
        <v>0</v>
      </c>
      <c r="J552" s="27">
        <f>IF(OR(I552="",C552=""),"",I552-C552)</f>
        <v>0</v>
      </c>
      <c r="K552" s="26">
        <f>IF(A552="","",IF(MES!E552&lt;&gt;4,"Horário do MES fora do padrão",IF(H552&lt;cfgMinCortes,"Cortes insuficientes","Válida")))</f>
        <v>0</v>
      </c>
      <c r="L552" s="27">
        <f>IF(K552="Válida",ABS(J552),"")</f>
        <v>0</v>
      </c>
      <c r="M552" s="26">
        <f>IF(K552="Válida",IF(L552&lt;=cfgTolerancia,"Sim","Não"),"")</f>
        <v>0</v>
      </c>
      <c r="N552" s="26">
        <f>IF(A552="","",MES!D552)</f>
        <v>0</v>
      </c>
      <c r="O552" s="25">
        <f>IF(K552="Válida",A552,NA())</f>
        <v>0</v>
      </c>
      <c r="P552" s="27">
        <f>IF(K552="Válida",C552,NA())</f>
        <v>0</v>
      </c>
      <c r="Q552" s="27">
        <f>IF(K552="Válida",I552,NA())</f>
        <v>0</v>
      </c>
      <c r="R552" s="27">
        <f>IF(K552="Válida",J552,NA())</f>
        <v>0</v>
      </c>
      <c r="S552" s="27">
        <f>IF(K552="Válida",C552,"")</f>
        <v>0</v>
      </c>
      <c r="T552" s="27">
        <f>IF(K552="Válida",I552,"")</f>
        <v>0</v>
      </c>
      <c r="U552" s="27">
        <f>IF(K552="Válida",J552,"")</f>
        <v>0</v>
      </c>
    </row>
    <row r="553" spans="1:21">
      <c r="A553" s="25">
        <f>IF(MES!A553="","",MES!C553/48)</f>
        <v>0</v>
      </c>
      <c r="B553" s="26">
        <f>IF(A553="","",TEXT((N553*4+cfgDeslocamento)/48,"hh:mm")&amp;" a "&amp;TEXT(A553,"hh:mm"))</f>
        <v>0</v>
      </c>
      <c r="C553" s="27">
        <f>IF(A553="","",MES!B553)</f>
        <v>0</v>
      </c>
      <c r="D553" s="27">
        <f>IF(A553="","",IFERROR(AVERAGEIFS(Prensa!$B$2:$B$5001,Prensa!$E$2:$E$5001,N553,Prensa!$F$2:$F$5001,1,Prensa!$G$2:$G$5001,1),""))</f>
        <v>0</v>
      </c>
      <c r="E553" s="27">
        <f>IF(A553="","",IFERROR(AVERAGEIFS(Prensa!$B$2:$B$5001,Prensa!$E$2:$E$5001,N553,Prensa!$F$2:$F$5001,2,Prensa!$G$2:$G$5001,1),""))</f>
        <v>0</v>
      </c>
      <c r="F553" s="27">
        <f>IF(A553="","",IFERROR(AVERAGEIFS(Prensa!$B$2:$B$5001,Prensa!$E$2:$E$5001,N553,Prensa!$F$2:$F$5001,3,Prensa!$G$2:$G$5001,1),""))</f>
        <v>0</v>
      </c>
      <c r="G553" s="27">
        <f>IF(A553="","",IFERROR(AVERAGEIFS(Prensa!$B$2:$B$5001,Prensa!$E$2:$E$5001,N553,Prensa!$F$2:$F$5001,4,Prensa!$G$2:$G$5001,1),""))</f>
        <v>0</v>
      </c>
      <c r="H553" s="26">
        <f>IF(A553="","",COUNT(D553:G553))</f>
        <v>0</v>
      </c>
      <c r="I553" s="27">
        <f>IF(A553="","",IF(H553=0,"",AVERAGE(D553:G553)))</f>
        <v>0</v>
      </c>
      <c r="J553" s="27">
        <f>IF(OR(I553="",C553=""),"",I553-C553)</f>
        <v>0</v>
      </c>
      <c r="K553" s="26">
        <f>IF(A553="","",IF(MES!E553&lt;&gt;4,"Horário do MES fora do padrão",IF(H553&lt;cfgMinCortes,"Cortes insuficientes","Válida")))</f>
        <v>0</v>
      </c>
      <c r="L553" s="27">
        <f>IF(K553="Válida",ABS(J553),"")</f>
        <v>0</v>
      </c>
      <c r="M553" s="26">
        <f>IF(K553="Válida",IF(L553&lt;=cfgTolerancia,"Sim","Não"),"")</f>
        <v>0</v>
      </c>
      <c r="N553" s="26">
        <f>IF(A553="","",MES!D553)</f>
        <v>0</v>
      </c>
      <c r="O553" s="25">
        <f>IF(K553="Válida",A553,NA())</f>
        <v>0</v>
      </c>
      <c r="P553" s="27">
        <f>IF(K553="Válida",C553,NA())</f>
        <v>0</v>
      </c>
      <c r="Q553" s="27">
        <f>IF(K553="Válida",I553,NA())</f>
        <v>0</v>
      </c>
      <c r="R553" s="27">
        <f>IF(K553="Válida",J553,NA())</f>
        <v>0</v>
      </c>
      <c r="S553" s="27">
        <f>IF(K553="Válida",C553,"")</f>
        <v>0</v>
      </c>
      <c r="T553" s="27">
        <f>IF(K553="Válida",I553,"")</f>
        <v>0</v>
      </c>
      <c r="U553" s="27">
        <f>IF(K553="Válida",J553,"")</f>
        <v>0</v>
      </c>
    </row>
    <row r="554" spans="1:21">
      <c r="A554" s="25">
        <f>IF(MES!A554="","",MES!C554/48)</f>
        <v>0</v>
      </c>
      <c r="B554" s="26">
        <f>IF(A554="","",TEXT((N554*4+cfgDeslocamento)/48,"hh:mm")&amp;" a "&amp;TEXT(A554,"hh:mm"))</f>
        <v>0</v>
      </c>
      <c r="C554" s="27">
        <f>IF(A554="","",MES!B554)</f>
        <v>0</v>
      </c>
      <c r="D554" s="27">
        <f>IF(A554="","",IFERROR(AVERAGEIFS(Prensa!$B$2:$B$5001,Prensa!$E$2:$E$5001,N554,Prensa!$F$2:$F$5001,1,Prensa!$G$2:$G$5001,1),""))</f>
        <v>0</v>
      </c>
      <c r="E554" s="27">
        <f>IF(A554="","",IFERROR(AVERAGEIFS(Prensa!$B$2:$B$5001,Prensa!$E$2:$E$5001,N554,Prensa!$F$2:$F$5001,2,Prensa!$G$2:$G$5001,1),""))</f>
        <v>0</v>
      </c>
      <c r="F554" s="27">
        <f>IF(A554="","",IFERROR(AVERAGEIFS(Prensa!$B$2:$B$5001,Prensa!$E$2:$E$5001,N554,Prensa!$F$2:$F$5001,3,Prensa!$G$2:$G$5001,1),""))</f>
        <v>0</v>
      </c>
      <c r="G554" s="27">
        <f>IF(A554="","",IFERROR(AVERAGEIFS(Prensa!$B$2:$B$5001,Prensa!$E$2:$E$5001,N554,Prensa!$F$2:$F$5001,4,Prensa!$G$2:$G$5001,1),""))</f>
        <v>0</v>
      </c>
      <c r="H554" s="26">
        <f>IF(A554="","",COUNT(D554:G554))</f>
        <v>0</v>
      </c>
      <c r="I554" s="27">
        <f>IF(A554="","",IF(H554=0,"",AVERAGE(D554:G554)))</f>
        <v>0</v>
      </c>
      <c r="J554" s="27">
        <f>IF(OR(I554="",C554=""),"",I554-C554)</f>
        <v>0</v>
      </c>
      <c r="K554" s="26">
        <f>IF(A554="","",IF(MES!E554&lt;&gt;4,"Horário do MES fora do padrão",IF(H554&lt;cfgMinCortes,"Cortes insuficientes","Válida")))</f>
        <v>0</v>
      </c>
      <c r="L554" s="27">
        <f>IF(K554="Válida",ABS(J554),"")</f>
        <v>0</v>
      </c>
      <c r="M554" s="26">
        <f>IF(K554="Válida",IF(L554&lt;=cfgTolerancia,"Sim","Não"),"")</f>
        <v>0</v>
      </c>
      <c r="N554" s="26">
        <f>IF(A554="","",MES!D554)</f>
        <v>0</v>
      </c>
      <c r="O554" s="25">
        <f>IF(K554="Válida",A554,NA())</f>
        <v>0</v>
      </c>
      <c r="P554" s="27">
        <f>IF(K554="Válida",C554,NA())</f>
        <v>0</v>
      </c>
      <c r="Q554" s="27">
        <f>IF(K554="Válida",I554,NA())</f>
        <v>0</v>
      </c>
      <c r="R554" s="27">
        <f>IF(K554="Válida",J554,NA())</f>
        <v>0</v>
      </c>
      <c r="S554" s="27">
        <f>IF(K554="Válida",C554,"")</f>
        <v>0</v>
      </c>
      <c r="T554" s="27">
        <f>IF(K554="Válida",I554,"")</f>
        <v>0</v>
      </c>
      <c r="U554" s="27">
        <f>IF(K554="Válida",J554,"")</f>
        <v>0</v>
      </c>
    </row>
    <row r="555" spans="1:21">
      <c r="A555" s="25">
        <f>IF(MES!A555="","",MES!C555/48)</f>
        <v>0</v>
      </c>
      <c r="B555" s="26">
        <f>IF(A555="","",TEXT((N555*4+cfgDeslocamento)/48,"hh:mm")&amp;" a "&amp;TEXT(A555,"hh:mm"))</f>
        <v>0</v>
      </c>
      <c r="C555" s="27">
        <f>IF(A555="","",MES!B555)</f>
        <v>0</v>
      </c>
      <c r="D555" s="27">
        <f>IF(A555="","",IFERROR(AVERAGEIFS(Prensa!$B$2:$B$5001,Prensa!$E$2:$E$5001,N555,Prensa!$F$2:$F$5001,1,Prensa!$G$2:$G$5001,1),""))</f>
        <v>0</v>
      </c>
      <c r="E555" s="27">
        <f>IF(A555="","",IFERROR(AVERAGEIFS(Prensa!$B$2:$B$5001,Prensa!$E$2:$E$5001,N555,Prensa!$F$2:$F$5001,2,Prensa!$G$2:$G$5001,1),""))</f>
        <v>0</v>
      </c>
      <c r="F555" s="27">
        <f>IF(A555="","",IFERROR(AVERAGEIFS(Prensa!$B$2:$B$5001,Prensa!$E$2:$E$5001,N555,Prensa!$F$2:$F$5001,3,Prensa!$G$2:$G$5001,1),""))</f>
        <v>0</v>
      </c>
      <c r="G555" s="27">
        <f>IF(A555="","",IFERROR(AVERAGEIFS(Prensa!$B$2:$B$5001,Prensa!$E$2:$E$5001,N555,Prensa!$F$2:$F$5001,4,Prensa!$G$2:$G$5001,1),""))</f>
        <v>0</v>
      </c>
      <c r="H555" s="26">
        <f>IF(A555="","",COUNT(D555:G555))</f>
        <v>0</v>
      </c>
      <c r="I555" s="27">
        <f>IF(A555="","",IF(H555=0,"",AVERAGE(D555:G555)))</f>
        <v>0</v>
      </c>
      <c r="J555" s="27">
        <f>IF(OR(I555="",C555=""),"",I555-C555)</f>
        <v>0</v>
      </c>
      <c r="K555" s="26">
        <f>IF(A555="","",IF(MES!E555&lt;&gt;4,"Horário do MES fora do padrão",IF(H555&lt;cfgMinCortes,"Cortes insuficientes","Válida")))</f>
        <v>0</v>
      </c>
      <c r="L555" s="27">
        <f>IF(K555="Válida",ABS(J555),"")</f>
        <v>0</v>
      </c>
      <c r="M555" s="26">
        <f>IF(K555="Válida",IF(L555&lt;=cfgTolerancia,"Sim","Não"),"")</f>
        <v>0</v>
      </c>
      <c r="N555" s="26">
        <f>IF(A555="","",MES!D555)</f>
        <v>0</v>
      </c>
      <c r="O555" s="25">
        <f>IF(K555="Válida",A555,NA())</f>
        <v>0</v>
      </c>
      <c r="P555" s="27">
        <f>IF(K555="Válida",C555,NA())</f>
        <v>0</v>
      </c>
      <c r="Q555" s="27">
        <f>IF(K555="Válida",I555,NA())</f>
        <v>0</v>
      </c>
      <c r="R555" s="27">
        <f>IF(K555="Válida",J555,NA())</f>
        <v>0</v>
      </c>
      <c r="S555" s="27">
        <f>IF(K555="Válida",C555,"")</f>
        <v>0</v>
      </c>
      <c r="T555" s="27">
        <f>IF(K555="Válida",I555,"")</f>
        <v>0</v>
      </c>
      <c r="U555" s="27">
        <f>IF(K555="Válida",J555,"")</f>
        <v>0</v>
      </c>
    </row>
    <row r="556" spans="1:21">
      <c r="A556" s="25">
        <f>IF(MES!A556="","",MES!C556/48)</f>
        <v>0</v>
      </c>
      <c r="B556" s="26">
        <f>IF(A556="","",TEXT((N556*4+cfgDeslocamento)/48,"hh:mm")&amp;" a "&amp;TEXT(A556,"hh:mm"))</f>
        <v>0</v>
      </c>
      <c r="C556" s="27">
        <f>IF(A556="","",MES!B556)</f>
        <v>0</v>
      </c>
      <c r="D556" s="27">
        <f>IF(A556="","",IFERROR(AVERAGEIFS(Prensa!$B$2:$B$5001,Prensa!$E$2:$E$5001,N556,Prensa!$F$2:$F$5001,1,Prensa!$G$2:$G$5001,1),""))</f>
        <v>0</v>
      </c>
      <c r="E556" s="27">
        <f>IF(A556="","",IFERROR(AVERAGEIFS(Prensa!$B$2:$B$5001,Prensa!$E$2:$E$5001,N556,Prensa!$F$2:$F$5001,2,Prensa!$G$2:$G$5001,1),""))</f>
        <v>0</v>
      </c>
      <c r="F556" s="27">
        <f>IF(A556="","",IFERROR(AVERAGEIFS(Prensa!$B$2:$B$5001,Prensa!$E$2:$E$5001,N556,Prensa!$F$2:$F$5001,3,Prensa!$G$2:$G$5001,1),""))</f>
        <v>0</v>
      </c>
      <c r="G556" s="27">
        <f>IF(A556="","",IFERROR(AVERAGEIFS(Prensa!$B$2:$B$5001,Prensa!$E$2:$E$5001,N556,Prensa!$F$2:$F$5001,4,Prensa!$G$2:$G$5001,1),""))</f>
        <v>0</v>
      </c>
      <c r="H556" s="26">
        <f>IF(A556="","",COUNT(D556:G556))</f>
        <v>0</v>
      </c>
      <c r="I556" s="27">
        <f>IF(A556="","",IF(H556=0,"",AVERAGE(D556:G556)))</f>
        <v>0</v>
      </c>
      <c r="J556" s="27">
        <f>IF(OR(I556="",C556=""),"",I556-C556)</f>
        <v>0</v>
      </c>
      <c r="K556" s="26">
        <f>IF(A556="","",IF(MES!E556&lt;&gt;4,"Horário do MES fora do padrão",IF(H556&lt;cfgMinCortes,"Cortes insuficientes","Válida")))</f>
        <v>0</v>
      </c>
      <c r="L556" s="27">
        <f>IF(K556="Válida",ABS(J556),"")</f>
        <v>0</v>
      </c>
      <c r="M556" s="26">
        <f>IF(K556="Válida",IF(L556&lt;=cfgTolerancia,"Sim","Não"),"")</f>
        <v>0</v>
      </c>
      <c r="N556" s="26">
        <f>IF(A556="","",MES!D556)</f>
        <v>0</v>
      </c>
      <c r="O556" s="25">
        <f>IF(K556="Válida",A556,NA())</f>
        <v>0</v>
      </c>
      <c r="P556" s="27">
        <f>IF(K556="Válida",C556,NA())</f>
        <v>0</v>
      </c>
      <c r="Q556" s="27">
        <f>IF(K556="Válida",I556,NA())</f>
        <v>0</v>
      </c>
      <c r="R556" s="27">
        <f>IF(K556="Válida",J556,NA())</f>
        <v>0</v>
      </c>
      <c r="S556" s="27">
        <f>IF(K556="Válida",C556,"")</f>
        <v>0</v>
      </c>
      <c r="T556" s="27">
        <f>IF(K556="Válida",I556,"")</f>
        <v>0</v>
      </c>
      <c r="U556" s="27">
        <f>IF(K556="Válida",J556,"")</f>
        <v>0</v>
      </c>
    </row>
    <row r="557" spans="1:21">
      <c r="A557" s="25">
        <f>IF(MES!A557="","",MES!C557/48)</f>
        <v>0</v>
      </c>
      <c r="B557" s="26">
        <f>IF(A557="","",TEXT((N557*4+cfgDeslocamento)/48,"hh:mm")&amp;" a "&amp;TEXT(A557,"hh:mm"))</f>
        <v>0</v>
      </c>
      <c r="C557" s="27">
        <f>IF(A557="","",MES!B557)</f>
        <v>0</v>
      </c>
      <c r="D557" s="27">
        <f>IF(A557="","",IFERROR(AVERAGEIFS(Prensa!$B$2:$B$5001,Prensa!$E$2:$E$5001,N557,Prensa!$F$2:$F$5001,1,Prensa!$G$2:$G$5001,1),""))</f>
        <v>0</v>
      </c>
      <c r="E557" s="27">
        <f>IF(A557="","",IFERROR(AVERAGEIFS(Prensa!$B$2:$B$5001,Prensa!$E$2:$E$5001,N557,Prensa!$F$2:$F$5001,2,Prensa!$G$2:$G$5001,1),""))</f>
        <v>0</v>
      </c>
      <c r="F557" s="27">
        <f>IF(A557="","",IFERROR(AVERAGEIFS(Prensa!$B$2:$B$5001,Prensa!$E$2:$E$5001,N557,Prensa!$F$2:$F$5001,3,Prensa!$G$2:$G$5001,1),""))</f>
        <v>0</v>
      </c>
      <c r="G557" s="27">
        <f>IF(A557="","",IFERROR(AVERAGEIFS(Prensa!$B$2:$B$5001,Prensa!$E$2:$E$5001,N557,Prensa!$F$2:$F$5001,4,Prensa!$G$2:$G$5001,1),""))</f>
        <v>0</v>
      </c>
      <c r="H557" s="26">
        <f>IF(A557="","",COUNT(D557:G557))</f>
        <v>0</v>
      </c>
      <c r="I557" s="27">
        <f>IF(A557="","",IF(H557=0,"",AVERAGE(D557:G557)))</f>
        <v>0</v>
      </c>
      <c r="J557" s="27">
        <f>IF(OR(I557="",C557=""),"",I557-C557)</f>
        <v>0</v>
      </c>
      <c r="K557" s="26">
        <f>IF(A557="","",IF(MES!E557&lt;&gt;4,"Horário do MES fora do padrão",IF(H557&lt;cfgMinCortes,"Cortes insuficientes","Válida")))</f>
        <v>0</v>
      </c>
      <c r="L557" s="27">
        <f>IF(K557="Válida",ABS(J557),"")</f>
        <v>0</v>
      </c>
      <c r="M557" s="26">
        <f>IF(K557="Válida",IF(L557&lt;=cfgTolerancia,"Sim","Não"),"")</f>
        <v>0</v>
      </c>
      <c r="N557" s="26">
        <f>IF(A557="","",MES!D557)</f>
        <v>0</v>
      </c>
      <c r="O557" s="25">
        <f>IF(K557="Válida",A557,NA())</f>
        <v>0</v>
      </c>
      <c r="P557" s="27">
        <f>IF(K557="Válida",C557,NA())</f>
        <v>0</v>
      </c>
      <c r="Q557" s="27">
        <f>IF(K557="Válida",I557,NA())</f>
        <v>0</v>
      </c>
      <c r="R557" s="27">
        <f>IF(K557="Válida",J557,NA())</f>
        <v>0</v>
      </c>
      <c r="S557" s="27">
        <f>IF(K557="Válida",C557,"")</f>
        <v>0</v>
      </c>
      <c r="T557" s="27">
        <f>IF(K557="Válida",I557,"")</f>
        <v>0</v>
      </c>
      <c r="U557" s="27">
        <f>IF(K557="Válida",J557,"")</f>
        <v>0</v>
      </c>
    </row>
    <row r="558" spans="1:21">
      <c r="A558" s="25">
        <f>IF(MES!A558="","",MES!C558/48)</f>
        <v>0</v>
      </c>
      <c r="B558" s="26">
        <f>IF(A558="","",TEXT((N558*4+cfgDeslocamento)/48,"hh:mm")&amp;" a "&amp;TEXT(A558,"hh:mm"))</f>
        <v>0</v>
      </c>
      <c r="C558" s="27">
        <f>IF(A558="","",MES!B558)</f>
        <v>0</v>
      </c>
      <c r="D558" s="27">
        <f>IF(A558="","",IFERROR(AVERAGEIFS(Prensa!$B$2:$B$5001,Prensa!$E$2:$E$5001,N558,Prensa!$F$2:$F$5001,1,Prensa!$G$2:$G$5001,1),""))</f>
        <v>0</v>
      </c>
      <c r="E558" s="27">
        <f>IF(A558="","",IFERROR(AVERAGEIFS(Prensa!$B$2:$B$5001,Prensa!$E$2:$E$5001,N558,Prensa!$F$2:$F$5001,2,Prensa!$G$2:$G$5001,1),""))</f>
        <v>0</v>
      </c>
      <c r="F558" s="27">
        <f>IF(A558="","",IFERROR(AVERAGEIFS(Prensa!$B$2:$B$5001,Prensa!$E$2:$E$5001,N558,Prensa!$F$2:$F$5001,3,Prensa!$G$2:$G$5001,1),""))</f>
        <v>0</v>
      </c>
      <c r="G558" s="27">
        <f>IF(A558="","",IFERROR(AVERAGEIFS(Prensa!$B$2:$B$5001,Prensa!$E$2:$E$5001,N558,Prensa!$F$2:$F$5001,4,Prensa!$G$2:$G$5001,1),""))</f>
        <v>0</v>
      </c>
      <c r="H558" s="26">
        <f>IF(A558="","",COUNT(D558:G558))</f>
        <v>0</v>
      </c>
      <c r="I558" s="27">
        <f>IF(A558="","",IF(H558=0,"",AVERAGE(D558:G558)))</f>
        <v>0</v>
      </c>
      <c r="J558" s="27">
        <f>IF(OR(I558="",C558=""),"",I558-C558)</f>
        <v>0</v>
      </c>
      <c r="K558" s="26">
        <f>IF(A558="","",IF(MES!E558&lt;&gt;4,"Horário do MES fora do padrão",IF(H558&lt;cfgMinCortes,"Cortes insuficientes","Válida")))</f>
        <v>0</v>
      </c>
      <c r="L558" s="27">
        <f>IF(K558="Válida",ABS(J558),"")</f>
        <v>0</v>
      </c>
      <c r="M558" s="26">
        <f>IF(K558="Válida",IF(L558&lt;=cfgTolerancia,"Sim","Não"),"")</f>
        <v>0</v>
      </c>
      <c r="N558" s="26">
        <f>IF(A558="","",MES!D558)</f>
        <v>0</v>
      </c>
      <c r="O558" s="25">
        <f>IF(K558="Válida",A558,NA())</f>
        <v>0</v>
      </c>
      <c r="P558" s="27">
        <f>IF(K558="Válida",C558,NA())</f>
        <v>0</v>
      </c>
      <c r="Q558" s="27">
        <f>IF(K558="Válida",I558,NA())</f>
        <v>0</v>
      </c>
      <c r="R558" s="27">
        <f>IF(K558="Válida",J558,NA())</f>
        <v>0</v>
      </c>
      <c r="S558" s="27">
        <f>IF(K558="Válida",C558,"")</f>
        <v>0</v>
      </c>
      <c r="T558" s="27">
        <f>IF(K558="Válida",I558,"")</f>
        <v>0</v>
      </c>
      <c r="U558" s="27">
        <f>IF(K558="Válida",J558,"")</f>
        <v>0</v>
      </c>
    </row>
    <row r="559" spans="1:21">
      <c r="A559" s="25">
        <f>IF(MES!A559="","",MES!C559/48)</f>
        <v>0</v>
      </c>
      <c r="B559" s="26">
        <f>IF(A559="","",TEXT((N559*4+cfgDeslocamento)/48,"hh:mm")&amp;" a "&amp;TEXT(A559,"hh:mm"))</f>
        <v>0</v>
      </c>
      <c r="C559" s="27">
        <f>IF(A559="","",MES!B559)</f>
        <v>0</v>
      </c>
      <c r="D559" s="27">
        <f>IF(A559="","",IFERROR(AVERAGEIFS(Prensa!$B$2:$B$5001,Prensa!$E$2:$E$5001,N559,Prensa!$F$2:$F$5001,1,Prensa!$G$2:$G$5001,1),""))</f>
        <v>0</v>
      </c>
      <c r="E559" s="27">
        <f>IF(A559="","",IFERROR(AVERAGEIFS(Prensa!$B$2:$B$5001,Prensa!$E$2:$E$5001,N559,Prensa!$F$2:$F$5001,2,Prensa!$G$2:$G$5001,1),""))</f>
        <v>0</v>
      </c>
      <c r="F559" s="27">
        <f>IF(A559="","",IFERROR(AVERAGEIFS(Prensa!$B$2:$B$5001,Prensa!$E$2:$E$5001,N559,Prensa!$F$2:$F$5001,3,Prensa!$G$2:$G$5001,1),""))</f>
        <v>0</v>
      </c>
      <c r="G559" s="27">
        <f>IF(A559="","",IFERROR(AVERAGEIFS(Prensa!$B$2:$B$5001,Prensa!$E$2:$E$5001,N559,Prensa!$F$2:$F$5001,4,Prensa!$G$2:$G$5001,1),""))</f>
        <v>0</v>
      </c>
      <c r="H559" s="26">
        <f>IF(A559="","",COUNT(D559:G559))</f>
        <v>0</v>
      </c>
      <c r="I559" s="27">
        <f>IF(A559="","",IF(H559=0,"",AVERAGE(D559:G559)))</f>
        <v>0</v>
      </c>
      <c r="J559" s="27">
        <f>IF(OR(I559="",C559=""),"",I559-C559)</f>
        <v>0</v>
      </c>
      <c r="K559" s="26">
        <f>IF(A559="","",IF(MES!E559&lt;&gt;4,"Horário do MES fora do padrão",IF(H559&lt;cfgMinCortes,"Cortes insuficientes","Válida")))</f>
        <v>0</v>
      </c>
      <c r="L559" s="27">
        <f>IF(K559="Válida",ABS(J559),"")</f>
        <v>0</v>
      </c>
      <c r="M559" s="26">
        <f>IF(K559="Válida",IF(L559&lt;=cfgTolerancia,"Sim","Não"),"")</f>
        <v>0</v>
      </c>
      <c r="N559" s="26">
        <f>IF(A559="","",MES!D559)</f>
        <v>0</v>
      </c>
      <c r="O559" s="25">
        <f>IF(K559="Válida",A559,NA())</f>
        <v>0</v>
      </c>
      <c r="P559" s="27">
        <f>IF(K559="Válida",C559,NA())</f>
        <v>0</v>
      </c>
      <c r="Q559" s="27">
        <f>IF(K559="Válida",I559,NA())</f>
        <v>0</v>
      </c>
      <c r="R559" s="27">
        <f>IF(K559="Válida",J559,NA())</f>
        <v>0</v>
      </c>
      <c r="S559" s="27">
        <f>IF(K559="Válida",C559,"")</f>
        <v>0</v>
      </c>
      <c r="T559" s="27">
        <f>IF(K559="Válida",I559,"")</f>
        <v>0</v>
      </c>
      <c r="U559" s="27">
        <f>IF(K559="Válida",J559,"")</f>
        <v>0</v>
      </c>
    </row>
    <row r="560" spans="1:21">
      <c r="A560" s="25">
        <f>IF(MES!A560="","",MES!C560/48)</f>
        <v>0</v>
      </c>
      <c r="B560" s="26">
        <f>IF(A560="","",TEXT((N560*4+cfgDeslocamento)/48,"hh:mm")&amp;" a "&amp;TEXT(A560,"hh:mm"))</f>
        <v>0</v>
      </c>
      <c r="C560" s="27">
        <f>IF(A560="","",MES!B560)</f>
        <v>0</v>
      </c>
      <c r="D560" s="27">
        <f>IF(A560="","",IFERROR(AVERAGEIFS(Prensa!$B$2:$B$5001,Prensa!$E$2:$E$5001,N560,Prensa!$F$2:$F$5001,1,Prensa!$G$2:$G$5001,1),""))</f>
        <v>0</v>
      </c>
      <c r="E560" s="27">
        <f>IF(A560="","",IFERROR(AVERAGEIFS(Prensa!$B$2:$B$5001,Prensa!$E$2:$E$5001,N560,Prensa!$F$2:$F$5001,2,Prensa!$G$2:$G$5001,1),""))</f>
        <v>0</v>
      </c>
      <c r="F560" s="27">
        <f>IF(A560="","",IFERROR(AVERAGEIFS(Prensa!$B$2:$B$5001,Prensa!$E$2:$E$5001,N560,Prensa!$F$2:$F$5001,3,Prensa!$G$2:$G$5001,1),""))</f>
        <v>0</v>
      </c>
      <c r="G560" s="27">
        <f>IF(A560="","",IFERROR(AVERAGEIFS(Prensa!$B$2:$B$5001,Prensa!$E$2:$E$5001,N560,Prensa!$F$2:$F$5001,4,Prensa!$G$2:$G$5001,1),""))</f>
        <v>0</v>
      </c>
      <c r="H560" s="26">
        <f>IF(A560="","",COUNT(D560:G560))</f>
        <v>0</v>
      </c>
      <c r="I560" s="27">
        <f>IF(A560="","",IF(H560=0,"",AVERAGE(D560:G560)))</f>
        <v>0</v>
      </c>
      <c r="J560" s="27">
        <f>IF(OR(I560="",C560=""),"",I560-C560)</f>
        <v>0</v>
      </c>
      <c r="K560" s="26">
        <f>IF(A560="","",IF(MES!E560&lt;&gt;4,"Horário do MES fora do padrão",IF(H560&lt;cfgMinCortes,"Cortes insuficientes","Válida")))</f>
        <v>0</v>
      </c>
      <c r="L560" s="27">
        <f>IF(K560="Válida",ABS(J560),"")</f>
        <v>0</v>
      </c>
      <c r="M560" s="26">
        <f>IF(K560="Válida",IF(L560&lt;=cfgTolerancia,"Sim","Não"),"")</f>
        <v>0</v>
      </c>
      <c r="N560" s="26">
        <f>IF(A560="","",MES!D560)</f>
        <v>0</v>
      </c>
      <c r="O560" s="25">
        <f>IF(K560="Válida",A560,NA())</f>
        <v>0</v>
      </c>
      <c r="P560" s="27">
        <f>IF(K560="Válida",C560,NA())</f>
        <v>0</v>
      </c>
      <c r="Q560" s="27">
        <f>IF(K560="Válida",I560,NA())</f>
        <v>0</v>
      </c>
      <c r="R560" s="27">
        <f>IF(K560="Válida",J560,NA())</f>
        <v>0</v>
      </c>
      <c r="S560" s="27">
        <f>IF(K560="Válida",C560,"")</f>
        <v>0</v>
      </c>
      <c r="T560" s="27">
        <f>IF(K560="Válida",I560,"")</f>
        <v>0</v>
      </c>
      <c r="U560" s="27">
        <f>IF(K560="Válida",J560,"")</f>
        <v>0</v>
      </c>
    </row>
    <row r="561" spans="1:21">
      <c r="A561" s="25">
        <f>IF(MES!A561="","",MES!C561/48)</f>
        <v>0</v>
      </c>
      <c r="B561" s="26">
        <f>IF(A561="","",TEXT((N561*4+cfgDeslocamento)/48,"hh:mm")&amp;" a "&amp;TEXT(A561,"hh:mm"))</f>
        <v>0</v>
      </c>
      <c r="C561" s="27">
        <f>IF(A561="","",MES!B561)</f>
        <v>0</v>
      </c>
      <c r="D561" s="27">
        <f>IF(A561="","",IFERROR(AVERAGEIFS(Prensa!$B$2:$B$5001,Prensa!$E$2:$E$5001,N561,Prensa!$F$2:$F$5001,1,Prensa!$G$2:$G$5001,1),""))</f>
        <v>0</v>
      </c>
      <c r="E561" s="27">
        <f>IF(A561="","",IFERROR(AVERAGEIFS(Prensa!$B$2:$B$5001,Prensa!$E$2:$E$5001,N561,Prensa!$F$2:$F$5001,2,Prensa!$G$2:$G$5001,1),""))</f>
        <v>0</v>
      </c>
      <c r="F561" s="27">
        <f>IF(A561="","",IFERROR(AVERAGEIFS(Prensa!$B$2:$B$5001,Prensa!$E$2:$E$5001,N561,Prensa!$F$2:$F$5001,3,Prensa!$G$2:$G$5001,1),""))</f>
        <v>0</v>
      </c>
      <c r="G561" s="27">
        <f>IF(A561="","",IFERROR(AVERAGEIFS(Prensa!$B$2:$B$5001,Prensa!$E$2:$E$5001,N561,Prensa!$F$2:$F$5001,4,Prensa!$G$2:$G$5001,1),""))</f>
        <v>0</v>
      </c>
      <c r="H561" s="26">
        <f>IF(A561="","",COUNT(D561:G561))</f>
        <v>0</v>
      </c>
      <c r="I561" s="27">
        <f>IF(A561="","",IF(H561=0,"",AVERAGE(D561:G561)))</f>
        <v>0</v>
      </c>
      <c r="J561" s="27">
        <f>IF(OR(I561="",C561=""),"",I561-C561)</f>
        <v>0</v>
      </c>
      <c r="K561" s="26">
        <f>IF(A561="","",IF(MES!E561&lt;&gt;4,"Horário do MES fora do padrão",IF(H561&lt;cfgMinCortes,"Cortes insuficientes","Válida")))</f>
        <v>0</v>
      </c>
      <c r="L561" s="27">
        <f>IF(K561="Válida",ABS(J561),"")</f>
        <v>0</v>
      </c>
      <c r="M561" s="26">
        <f>IF(K561="Válida",IF(L561&lt;=cfgTolerancia,"Sim","Não"),"")</f>
        <v>0</v>
      </c>
      <c r="N561" s="26">
        <f>IF(A561="","",MES!D561)</f>
        <v>0</v>
      </c>
      <c r="O561" s="25">
        <f>IF(K561="Válida",A561,NA())</f>
        <v>0</v>
      </c>
      <c r="P561" s="27">
        <f>IF(K561="Válida",C561,NA())</f>
        <v>0</v>
      </c>
      <c r="Q561" s="27">
        <f>IF(K561="Válida",I561,NA())</f>
        <v>0</v>
      </c>
      <c r="R561" s="27">
        <f>IF(K561="Válida",J561,NA())</f>
        <v>0</v>
      </c>
      <c r="S561" s="27">
        <f>IF(K561="Válida",C561,"")</f>
        <v>0</v>
      </c>
      <c r="T561" s="27">
        <f>IF(K561="Válida",I561,"")</f>
        <v>0</v>
      </c>
      <c r="U561" s="27">
        <f>IF(K561="Válida",J561,"")</f>
        <v>0</v>
      </c>
    </row>
    <row r="562" spans="1:21">
      <c r="A562" s="25">
        <f>IF(MES!A562="","",MES!C562/48)</f>
        <v>0</v>
      </c>
      <c r="B562" s="26">
        <f>IF(A562="","",TEXT((N562*4+cfgDeslocamento)/48,"hh:mm")&amp;" a "&amp;TEXT(A562,"hh:mm"))</f>
        <v>0</v>
      </c>
      <c r="C562" s="27">
        <f>IF(A562="","",MES!B562)</f>
        <v>0</v>
      </c>
      <c r="D562" s="27">
        <f>IF(A562="","",IFERROR(AVERAGEIFS(Prensa!$B$2:$B$5001,Prensa!$E$2:$E$5001,N562,Prensa!$F$2:$F$5001,1,Prensa!$G$2:$G$5001,1),""))</f>
        <v>0</v>
      </c>
      <c r="E562" s="27">
        <f>IF(A562="","",IFERROR(AVERAGEIFS(Prensa!$B$2:$B$5001,Prensa!$E$2:$E$5001,N562,Prensa!$F$2:$F$5001,2,Prensa!$G$2:$G$5001,1),""))</f>
        <v>0</v>
      </c>
      <c r="F562" s="27">
        <f>IF(A562="","",IFERROR(AVERAGEIFS(Prensa!$B$2:$B$5001,Prensa!$E$2:$E$5001,N562,Prensa!$F$2:$F$5001,3,Prensa!$G$2:$G$5001,1),""))</f>
        <v>0</v>
      </c>
      <c r="G562" s="27">
        <f>IF(A562="","",IFERROR(AVERAGEIFS(Prensa!$B$2:$B$5001,Prensa!$E$2:$E$5001,N562,Prensa!$F$2:$F$5001,4,Prensa!$G$2:$G$5001,1),""))</f>
        <v>0</v>
      </c>
      <c r="H562" s="26">
        <f>IF(A562="","",COUNT(D562:G562))</f>
        <v>0</v>
      </c>
      <c r="I562" s="27">
        <f>IF(A562="","",IF(H562=0,"",AVERAGE(D562:G562)))</f>
        <v>0</v>
      </c>
      <c r="J562" s="27">
        <f>IF(OR(I562="",C562=""),"",I562-C562)</f>
        <v>0</v>
      </c>
      <c r="K562" s="26">
        <f>IF(A562="","",IF(MES!E562&lt;&gt;4,"Horário do MES fora do padrão",IF(H562&lt;cfgMinCortes,"Cortes insuficientes","Válida")))</f>
        <v>0</v>
      </c>
      <c r="L562" s="27">
        <f>IF(K562="Válida",ABS(J562),"")</f>
        <v>0</v>
      </c>
      <c r="M562" s="26">
        <f>IF(K562="Válida",IF(L562&lt;=cfgTolerancia,"Sim","Não"),"")</f>
        <v>0</v>
      </c>
      <c r="N562" s="26">
        <f>IF(A562="","",MES!D562)</f>
        <v>0</v>
      </c>
      <c r="O562" s="25">
        <f>IF(K562="Válida",A562,NA())</f>
        <v>0</v>
      </c>
      <c r="P562" s="27">
        <f>IF(K562="Válida",C562,NA())</f>
        <v>0</v>
      </c>
      <c r="Q562" s="27">
        <f>IF(K562="Válida",I562,NA())</f>
        <v>0</v>
      </c>
      <c r="R562" s="27">
        <f>IF(K562="Válida",J562,NA())</f>
        <v>0</v>
      </c>
      <c r="S562" s="27">
        <f>IF(K562="Válida",C562,"")</f>
        <v>0</v>
      </c>
      <c r="T562" s="27">
        <f>IF(K562="Válida",I562,"")</f>
        <v>0</v>
      </c>
      <c r="U562" s="27">
        <f>IF(K562="Válida",J562,"")</f>
        <v>0</v>
      </c>
    </row>
    <row r="563" spans="1:21">
      <c r="A563" s="25">
        <f>IF(MES!A563="","",MES!C563/48)</f>
        <v>0</v>
      </c>
      <c r="B563" s="26">
        <f>IF(A563="","",TEXT((N563*4+cfgDeslocamento)/48,"hh:mm")&amp;" a "&amp;TEXT(A563,"hh:mm"))</f>
        <v>0</v>
      </c>
      <c r="C563" s="27">
        <f>IF(A563="","",MES!B563)</f>
        <v>0</v>
      </c>
      <c r="D563" s="27">
        <f>IF(A563="","",IFERROR(AVERAGEIFS(Prensa!$B$2:$B$5001,Prensa!$E$2:$E$5001,N563,Prensa!$F$2:$F$5001,1,Prensa!$G$2:$G$5001,1),""))</f>
        <v>0</v>
      </c>
      <c r="E563" s="27">
        <f>IF(A563="","",IFERROR(AVERAGEIFS(Prensa!$B$2:$B$5001,Prensa!$E$2:$E$5001,N563,Prensa!$F$2:$F$5001,2,Prensa!$G$2:$G$5001,1),""))</f>
        <v>0</v>
      </c>
      <c r="F563" s="27">
        <f>IF(A563="","",IFERROR(AVERAGEIFS(Prensa!$B$2:$B$5001,Prensa!$E$2:$E$5001,N563,Prensa!$F$2:$F$5001,3,Prensa!$G$2:$G$5001,1),""))</f>
        <v>0</v>
      </c>
      <c r="G563" s="27">
        <f>IF(A563="","",IFERROR(AVERAGEIFS(Prensa!$B$2:$B$5001,Prensa!$E$2:$E$5001,N563,Prensa!$F$2:$F$5001,4,Prensa!$G$2:$G$5001,1),""))</f>
        <v>0</v>
      </c>
      <c r="H563" s="26">
        <f>IF(A563="","",COUNT(D563:G563))</f>
        <v>0</v>
      </c>
      <c r="I563" s="27">
        <f>IF(A563="","",IF(H563=0,"",AVERAGE(D563:G563)))</f>
        <v>0</v>
      </c>
      <c r="J563" s="27">
        <f>IF(OR(I563="",C563=""),"",I563-C563)</f>
        <v>0</v>
      </c>
      <c r="K563" s="26">
        <f>IF(A563="","",IF(MES!E563&lt;&gt;4,"Horário do MES fora do padrão",IF(H563&lt;cfgMinCortes,"Cortes insuficientes","Válida")))</f>
        <v>0</v>
      </c>
      <c r="L563" s="27">
        <f>IF(K563="Válida",ABS(J563),"")</f>
        <v>0</v>
      </c>
      <c r="M563" s="26">
        <f>IF(K563="Válida",IF(L563&lt;=cfgTolerancia,"Sim","Não"),"")</f>
        <v>0</v>
      </c>
      <c r="N563" s="26">
        <f>IF(A563="","",MES!D563)</f>
        <v>0</v>
      </c>
      <c r="O563" s="25">
        <f>IF(K563="Válida",A563,NA())</f>
        <v>0</v>
      </c>
      <c r="P563" s="27">
        <f>IF(K563="Válida",C563,NA())</f>
        <v>0</v>
      </c>
      <c r="Q563" s="27">
        <f>IF(K563="Válida",I563,NA())</f>
        <v>0</v>
      </c>
      <c r="R563" s="27">
        <f>IF(K563="Válida",J563,NA())</f>
        <v>0</v>
      </c>
      <c r="S563" s="27">
        <f>IF(K563="Válida",C563,"")</f>
        <v>0</v>
      </c>
      <c r="T563" s="27">
        <f>IF(K563="Válida",I563,"")</f>
        <v>0</v>
      </c>
      <c r="U563" s="27">
        <f>IF(K563="Válida",J563,"")</f>
        <v>0</v>
      </c>
    </row>
    <row r="564" spans="1:21">
      <c r="A564" s="25">
        <f>IF(MES!A564="","",MES!C564/48)</f>
        <v>0</v>
      </c>
      <c r="B564" s="26">
        <f>IF(A564="","",TEXT((N564*4+cfgDeslocamento)/48,"hh:mm")&amp;" a "&amp;TEXT(A564,"hh:mm"))</f>
        <v>0</v>
      </c>
      <c r="C564" s="27">
        <f>IF(A564="","",MES!B564)</f>
        <v>0</v>
      </c>
      <c r="D564" s="27">
        <f>IF(A564="","",IFERROR(AVERAGEIFS(Prensa!$B$2:$B$5001,Prensa!$E$2:$E$5001,N564,Prensa!$F$2:$F$5001,1,Prensa!$G$2:$G$5001,1),""))</f>
        <v>0</v>
      </c>
      <c r="E564" s="27">
        <f>IF(A564="","",IFERROR(AVERAGEIFS(Prensa!$B$2:$B$5001,Prensa!$E$2:$E$5001,N564,Prensa!$F$2:$F$5001,2,Prensa!$G$2:$G$5001,1),""))</f>
        <v>0</v>
      </c>
      <c r="F564" s="27">
        <f>IF(A564="","",IFERROR(AVERAGEIFS(Prensa!$B$2:$B$5001,Prensa!$E$2:$E$5001,N564,Prensa!$F$2:$F$5001,3,Prensa!$G$2:$G$5001,1),""))</f>
        <v>0</v>
      </c>
      <c r="G564" s="27">
        <f>IF(A564="","",IFERROR(AVERAGEIFS(Prensa!$B$2:$B$5001,Prensa!$E$2:$E$5001,N564,Prensa!$F$2:$F$5001,4,Prensa!$G$2:$G$5001,1),""))</f>
        <v>0</v>
      </c>
      <c r="H564" s="26">
        <f>IF(A564="","",COUNT(D564:G564))</f>
        <v>0</v>
      </c>
      <c r="I564" s="27">
        <f>IF(A564="","",IF(H564=0,"",AVERAGE(D564:G564)))</f>
        <v>0</v>
      </c>
      <c r="J564" s="27">
        <f>IF(OR(I564="",C564=""),"",I564-C564)</f>
        <v>0</v>
      </c>
      <c r="K564" s="26">
        <f>IF(A564="","",IF(MES!E564&lt;&gt;4,"Horário do MES fora do padrão",IF(H564&lt;cfgMinCortes,"Cortes insuficientes","Válida")))</f>
        <v>0</v>
      </c>
      <c r="L564" s="27">
        <f>IF(K564="Válida",ABS(J564),"")</f>
        <v>0</v>
      </c>
      <c r="M564" s="26">
        <f>IF(K564="Válida",IF(L564&lt;=cfgTolerancia,"Sim","Não"),"")</f>
        <v>0</v>
      </c>
      <c r="N564" s="26">
        <f>IF(A564="","",MES!D564)</f>
        <v>0</v>
      </c>
      <c r="O564" s="25">
        <f>IF(K564="Válida",A564,NA())</f>
        <v>0</v>
      </c>
      <c r="P564" s="27">
        <f>IF(K564="Válida",C564,NA())</f>
        <v>0</v>
      </c>
      <c r="Q564" s="27">
        <f>IF(K564="Válida",I564,NA())</f>
        <v>0</v>
      </c>
      <c r="R564" s="27">
        <f>IF(K564="Válida",J564,NA())</f>
        <v>0</v>
      </c>
      <c r="S564" s="27">
        <f>IF(K564="Válida",C564,"")</f>
        <v>0</v>
      </c>
      <c r="T564" s="27">
        <f>IF(K564="Válida",I564,"")</f>
        <v>0</v>
      </c>
      <c r="U564" s="27">
        <f>IF(K564="Válida",J564,"")</f>
        <v>0</v>
      </c>
    </row>
    <row r="565" spans="1:21">
      <c r="A565" s="25">
        <f>IF(MES!A565="","",MES!C565/48)</f>
        <v>0</v>
      </c>
      <c r="B565" s="26">
        <f>IF(A565="","",TEXT((N565*4+cfgDeslocamento)/48,"hh:mm")&amp;" a "&amp;TEXT(A565,"hh:mm"))</f>
        <v>0</v>
      </c>
      <c r="C565" s="27">
        <f>IF(A565="","",MES!B565)</f>
        <v>0</v>
      </c>
      <c r="D565" s="27">
        <f>IF(A565="","",IFERROR(AVERAGEIFS(Prensa!$B$2:$B$5001,Prensa!$E$2:$E$5001,N565,Prensa!$F$2:$F$5001,1,Prensa!$G$2:$G$5001,1),""))</f>
        <v>0</v>
      </c>
      <c r="E565" s="27">
        <f>IF(A565="","",IFERROR(AVERAGEIFS(Prensa!$B$2:$B$5001,Prensa!$E$2:$E$5001,N565,Prensa!$F$2:$F$5001,2,Prensa!$G$2:$G$5001,1),""))</f>
        <v>0</v>
      </c>
      <c r="F565" s="27">
        <f>IF(A565="","",IFERROR(AVERAGEIFS(Prensa!$B$2:$B$5001,Prensa!$E$2:$E$5001,N565,Prensa!$F$2:$F$5001,3,Prensa!$G$2:$G$5001,1),""))</f>
        <v>0</v>
      </c>
      <c r="G565" s="27">
        <f>IF(A565="","",IFERROR(AVERAGEIFS(Prensa!$B$2:$B$5001,Prensa!$E$2:$E$5001,N565,Prensa!$F$2:$F$5001,4,Prensa!$G$2:$G$5001,1),""))</f>
        <v>0</v>
      </c>
      <c r="H565" s="26">
        <f>IF(A565="","",COUNT(D565:G565))</f>
        <v>0</v>
      </c>
      <c r="I565" s="27">
        <f>IF(A565="","",IF(H565=0,"",AVERAGE(D565:G565)))</f>
        <v>0</v>
      </c>
      <c r="J565" s="27">
        <f>IF(OR(I565="",C565=""),"",I565-C565)</f>
        <v>0</v>
      </c>
      <c r="K565" s="26">
        <f>IF(A565="","",IF(MES!E565&lt;&gt;4,"Horário do MES fora do padrão",IF(H565&lt;cfgMinCortes,"Cortes insuficientes","Válida")))</f>
        <v>0</v>
      </c>
      <c r="L565" s="27">
        <f>IF(K565="Válida",ABS(J565),"")</f>
        <v>0</v>
      </c>
      <c r="M565" s="26">
        <f>IF(K565="Válida",IF(L565&lt;=cfgTolerancia,"Sim","Não"),"")</f>
        <v>0</v>
      </c>
      <c r="N565" s="26">
        <f>IF(A565="","",MES!D565)</f>
        <v>0</v>
      </c>
      <c r="O565" s="25">
        <f>IF(K565="Válida",A565,NA())</f>
        <v>0</v>
      </c>
      <c r="P565" s="27">
        <f>IF(K565="Válida",C565,NA())</f>
        <v>0</v>
      </c>
      <c r="Q565" s="27">
        <f>IF(K565="Válida",I565,NA())</f>
        <v>0</v>
      </c>
      <c r="R565" s="27">
        <f>IF(K565="Válida",J565,NA())</f>
        <v>0</v>
      </c>
      <c r="S565" s="27">
        <f>IF(K565="Válida",C565,"")</f>
        <v>0</v>
      </c>
      <c r="T565" s="27">
        <f>IF(K565="Válida",I565,"")</f>
        <v>0</v>
      </c>
      <c r="U565" s="27">
        <f>IF(K565="Válida",J565,"")</f>
        <v>0</v>
      </c>
    </row>
    <row r="566" spans="1:21">
      <c r="A566" s="25">
        <f>IF(MES!A566="","",MES!C566/48)</f>
        <v>0</v>
      </c>
      <c r="B566" s="26">
        <f>IF(A566="","",TEXT((N566*4+cfgDeslocamento)/48,"hh:mm")&amp;" a "&amp;TEXT(A566,"hh:mm"))</f>
        <v>0</v>
      </c>
      <c r="C566" s="27">
        <f>IF(A566="","",MES!B566)</f>
        <v>0</v>
      </c>
      <c r="D566" s="27">
        <f>IF(A566="","",IFERROR(AVERAGEIFS(Prensa!$B$2:$B$5001,Prensa!$E$2:$E$5001,N566,Prensa!$F$2:$F$5001,1,Prensa!$G$2:$G$5001,1),""))</f>
        <v>0</v>
      </c>
      <c r="E566" s="27">
        <f>IF(A566="","",IFERROR(AVERAGEIFS(Prensa!$B$2:$B$5001,Prensa!$E$2:$E$5001,N566,Prensa!$F$2:$F$5001,2,Prensa!$G$2:$G$5001,1),""))</f>
        <v>0</v>
      </c>
      <c r="F566" s="27">
        <f>IF(A566="","",IFERROR(AVERAGEIFS(Prensa!$B$2:$B$5001,Prensa!$E$2:$E$5001,N566,Prensa!$F$2:$F$5001,3,Prensa!$G$2:$G$5001,1),""))</f>
        <v>0</v>
      </c>
      <c r="G566" s="27">
        <f>IF(A566="","",IFERROR(AVERAGEIFS(Prensa!$B$2:$B$5001,Prensa!$E$2:$E$5001,N566,Prensa!$F$2:$F$5001,4,Prensa!$G$2:$G$5001,1),""))</f>
        <v>0</v>
      </c>
      <c r="H566" s="26">
        <f>IF(A566="","",COUNT(D566:G566))</f>
        <v>0</v>
      </c>
      <c r="I566" s="27">
        <f>IF(A566="","",IF(H566=0,"",AVERAGE(D566:G566)))</f>
        <v>0</v>
      </c>
      <c r="J566" s="27">
        <f>IF(OR(I566="",C566=""),"",I566-C566)</f>
        <v>0</v>
      </c>
      <c r="K566" s="26">
        <f>IF(A566="","",IF(MES!E566&lt;&gt;4,"Horário do MES fora do padrão",IF(H566&lt;cfgMinCortes,"Cortes insuficientes","Válida")))</f>
        <v>0</v>
      </c>
      <c r="L566" s="27">
        <f>IF(K566="Válida",ABS(J566),"")</f>
        <v>0</v>
      </c>
      <c r="M566" s="26">
        <f>IF(K566="Válida",IF(L566&lt;=cfgTolerancia,"Sim","Não"),"")</f>
        <v>0</v>
      </c>
      <c r="N566" s="26">
        <f>IF(A566="","",MES!D566)</f>
        <v>0</v>
      </c>
      <c r="O566" s="25">
        <f>IF(K566="Válida",A566,NA())</f>
        <v>0</v>
      </c>
      <c r="P566" s="27">
        <f>IF(K566="Válida",C566,NA())</f>
        <v>0</v>
      </c>
      <c r="Q566" s="27">
        <f>IF(K566="Válida",I566,NA())</f>
        <v>0</v>
      </c>
      <c r="R566" s="27">
        <f>IF(K566="Válida",J566,NA())</f>
        <v>0</v>
      </c>
      <c r="S566" s="27">
        <f>IF(K566="Válida",C566,"")</f>
        <v>0</v>
      </c>
      <c r="T566" s="27">
        <f>IF(K566="Válida",I566,"")</f>
        <v>0</v>
      </c>
      <c r="U566" s="27">
        <f>IF(K566="Válida",J566,"")</f>
        <v>0</v>
      </c>
    </row>
    <row r="567" spans="1:21">
      <c r="A567" s="25">
        <f>IF(MES!A567="","",MES!C567/48)</f>
        <v>0</v>
      </c>
      <c r="B567" s="26">
        <f>IF(A567="","",TEXT((N567*4+cfgDeslocamento)/48,"hh:mm")&amp;" a "&amp;TEXT(A567,"hh:mm"))</f>
        <v>0</v>
      </c>
      <c r="C567" s="27">
        <f>IF(A567="","",MES!B567)</f>
        <v>0</v>
      </c>
      <c r="D567" s="27">
        <f>IF(A567="","",IFERROR(AVERAGEIFS(Prensa!$B$2:$B$5001,Prensa!$E$2:$E$5001,N567,Prensa!$F$2:$F$5001,1,Prensa!$G$2:$G$5001,1),""))</f>
        <v>0</v>
      </c>
      <c r="E567" s="27">
        <f>IF(A567="","",IFERROR(AVERAGEIFS(Prensa!$B$2:$B$5001,Prensa!$E$2:$E$5001,N567,Prensa!$F$2:$F$5001,2,Prensa!$G$2:$G$5001,1),""))</f>
        <v>0</v>
      </c>
      <c r="F567" s="27">
        <f>IF(A567="","",IFERROR(AVERAGEIFS(Prensa!$B$2:$B$5001,Prensa!$E$2:$E$5001,N567,Prensa!$F$2:$F$5001,3,Prensa!$G$2:$G$5001,1),""))</f>
        <v>0</v>
      </c>
      <c r="G567" s="27">
        <f>IF(A567="","",IFERROR(AVERAGEIFS(Prensa!$B$2:$B$5001,Prensa!$E$2:$E$5001,N567,Prensa!$F$2:$F$5001,4,Prensa!$G$2:$G$5001,1),""))</f>
        <v>0</v>
      </c>
      <c r="H567" s="26">
        <f>IF(A567="","",COUNT(D567:G567))</f>
        <v>0</v>
      </c>
      <c r="I567" s="27">
        <f>IF(A567="","",IF(H567=0,"",AVERAGE(D567:G567)))</f>
        <v>0</v>
      </c>
      <c r="J567" s="27">
        <f>IF(OR(I567="",C567=""),"",I567-C567)</f>
        <v>0</v>
      </c>
      <c r="K567" s="26">
        <f>IF(A567="","",IF(MES!E567&lt;&gt;4,"Horário do MES fora do padrão",IF(H567&lt;cfgMinCortes,"Cortes insuficientes","Válida")))</f>
        <v>0</v>
      </c>
      <c r="L567" s="27">
        <f>IF(K567="Válida",ABS(J567),"")</f>
        <v>0</v>
      </c>
      <c r="M567" s="26">
        <f>IF(K567="Válida",IF(L567&lt;=cfgTolerancia,"Sim","Não"),"")</f>
        <v>0</v>
      </c>
      <c r="N567" s="26">
        <f>IF(A567="","",MES!D567)</f>
        <v>0</v>
      </c>
      <c r="O567" s="25">
        <f>IF(K567="Válida",A567,NA())</f>
        <v>0</v>
      </c>
      <c r="P567" s="27">
        <f>IF(K567="Válida",C567,NA())</f>
        <v>0</v>
      </c>
      <c r="Q567" s="27">
        <f>IF(K567="Válida",I567,NA())</f>
        <v>0</v>
      </c>
      <c r="R567" s="27">
        <f>IF(K567="Válida",J567,NA())</f>
        <v>0</v>
      </c>
      <c r="S567" s="27">
        <f>IF(K567="Válida",C567,"")</f>
        <v>0</v>
      </c>
      <c r="T567" s="27">
        <f>IF(K567="Válida",I567,"")</f>
        <v>0</v>
      </c>
      <c r="U567" s="27">
        <f>IF(K567="Válida",J567,"")</f>
        <v>0</v>
      </c>
    </row>
    <row r="568" spans="1:21">
      <c r="A568" s="25">
        <f>IF(MES!A568="","",MES!C568/48)</f>
        <v>0</v>
      </c>
      <c r="B568" s="26">
        <f>IF(A568="","",TEXT((N568*4+cfgDeslocamento)/48,"hh:mm")&amp;" a "&amp;TEXT(A568,"hh:mm"))</f>
        <v>0</v>
      </c>
      <c r="C568" s="27">
        <f>IF(A568="","",MES!B568)</f>
        <v>0</v>
      </c>
      <c r="D568" s="27">
        <f>IF(A568="","",IFERROR(AVERAGEIFS(Prensa!$B$2:$B$5001,Prensa!$E$2:$E$5001,N568,Prensa!$F$2:$F$5001,1,Prensa!$G$2:$G$5001,1),""))</f>
        <v>0</v>
      </c>
      <c r="E568" s="27">
        <f>IF(A568="","",IFERROR(AVERAGEIFS(Prensa!$B$2:$B$5001,Prensa!$E$2:$E$5001,N568,Prensa!$F$2:$F$5001,2,Prensa!$G$2:$G$5001,1),""))</f>
        <v>0</v>
      </c>
      <c r="F568" s="27">
        <f>IF(A568="","",IFERROR(AVERAGEIFS(Prensa!$B$2:$B$5001,Prensa!$E$2:$E$5001,N568,Prensa!$F$2:$F$5001,3,Prensa!$G$2:$G$5001,1),""))</f>
        <v>0</v>
      </c>
      <c r="G568" s="27">
        <f>IF(A568="","",IFERROR(AVERAGEIFS(Prensa!$B$2:$B$5001,Prensa!$E$2:$E$5001,N568,Prensa!$F$2:$F$5001,4,Prensa!$G$2:$G$5001,1),""))</f>
        <v>0</v>
      </c>
      <c r="H568" s="26">
        <f>IF(A568="","",COUNT(D568:G568))</f>
        <v>0</v>
      </c>
      <c r="I568" s="27">
        <f>IF(A568="","",IF(H568=0,"",AVERAGE(D568:G568)))</f>
        <v>0</v>
      </c>
      <c r="J568" s="27">
        <f>IF(OR(I568="",C568=""),"",I568-C568)</f>
        <v>0</v>
      </c>
      <c r="K568" s="26">
        <f>IF(A568="","",IF(MES!E568&lt;&gt;4,"Horário do MES fora do padrão",IF(H568&lt;cfgMinCortes,"Cortes insuficientes","Válida")))</f>
        <v>0</v>
      </c>
      <c r="L568" s="27">
        <f>IF(K568="Válida",ABS(J568),"")</f>
        <v>0</v>
      </c>
      <c r="M568" s="26">
        <f>IF(K568="Válida",IF(L568&lt;=cfgTolerancia,"Sim","Não"),"")</f>
        <v>0</v>
      </c>
      <c r="N568" s="26">
        <f>IF(A568="","",MES!D568)</f>
        <v>0</v>
      </c>
      <c r="O568" s="25">
        <f>IF(K568="Válida",A568,NA())</f>
        <v>0</v>
      </c>
      <c r="P568" s="27">
        <f>IF(K568="Válida",C568,NA())</f>
        <v>0</v>
      </c>
      <c r="Q568" s="27">
        <f>IF(K568="Válida",I568,NA())</f>
        <v>0</v>
      </c>
      <c r="R568" s="27">
        <f>IF(K568="Válida",J568,NA())</f>
        <v>0</v>
      </c>
      <c r="S568" s="27">
        <f>IF(K568="Válida",C568,"")</f>
        <v>0</v>
      </c>
      <c r="T568" s="27">
        <f>IF(K568="Válida",I568,"")</f>
        <v>0</v>
      </c>
      <c r="U568" s="27">
        <f>IF(K568="Válida",J568,"")</f>
        <v>0</v>
      </c>
    </row>
    <row r="569" spans="1:21">
      <c r="A569" s="25">
        <f>IF(MES!A569="","",MES!C569/48)</f>
        <v>0</v>
      </c>
      <c r="B569" s="26">
        <f>IF(A569="","",TEXT((N569*4+cfgDeslocamento)/48,"hh:mm")&amp;" a "&amp;TEXT(A569,"hh:mm"))</f>
        <v>0</v>
      </c>
      <c r="C569" s="27">
        <f>IF(A569="","",MES!B569)</f>
        <v>0</v>
      </c>
      <c r="D569" s="27">
        <f>IF(A569="","",IFERROR(AVERAGEIFS(Prensa!$B$2:$B$5001,Prensa!$E$2:$E$5001,N569,Prensa!$F$2:$F$5001,1,Prensa!$G$2:$G$5001,1),""))</f>
        <v>0</v>
      </c>
      <c r="E569" s="27">
        <f>IF(A569="","",IFERROR(AVERAGEIFS(Prensa!$B$2:$B$5001,Prensa!$E$2:$E$5001,N569,Prensa!$F$2:$F$5001,2,Prensa!$G$2:$G$5001,1),""))</f>
        <v>0</v>
      </c>
      <c r="F569" s="27">
        <f>IF(A569="","",IFERROR(AVERAGEIFS(Prensa!$B$2:$B$5001,Prensa!$E$2:$E$5001,N569,Prensa!$F$2:$F$5001,3,Prensa!$G$2:$G$5001,1),""))</f>
        <v>0</v>
      </c>
      <c r="G569" s="27">
        <f>IF(A569="","",IFERROR(AVERAGEIFS(Prensa!$B$2:$B$5001,Prensa!$E$2:$E$5001,N569,Prensa!$F$2:$F$5001,4,Prensa!$G$2:$G$5001,1),""))</f>
        <v>0</v>
      </c>
      <c r="H569" s="26">
        <f>IF(A569="","",COUNT(D569:G569))</f>
        <v>0</v>
      </c>
      <c r="I569" s="27">
        <f>IF(A569="","",IF(H569=0,"",AVERAGE(D569:G569)))</f>
        <v>0</v>
      </c>
      <c r="J569" s="27">
        <f>IF(OR(I569="",C569=""),"",I569-C569)</f>
        <v>0</v>
      </c>
      <c r="K569" s="26">
        <f>IF(A569="","",IF(MES!E569&lt;&gt;4,"Horário do MES fora do padrão",IF(H569&lt;cfgMinCortes,"Cortes insuficientes","Válida")))</f>
        <v>0</v>
      </c>
      <c r="L569" s="27">
        <f>IF(K569="Válida",ABS(J569),"")</f>
        <v>0</v>
      </c>
      <c r="M569" s="26">
        <f>IF(K569="Válida",IF(L569&lt;=cfgTolerancia,"Sim","Não"),"")</f>
        <v>0</v>
      </c>
      <c r="N569" s="26">
        <f>IF(A569="","",MES!D569)</f>
        <v>0</v>
      </c>
      <c r="O569" s="25">
        <f>IF(K569="Válida",A569,NA())</f>
        <v>0</v>
      </c>
      <c r="P569" s="27">
        <f>IF(K569="Válida",C569,NA())</f>
        <v>0</v>
      </c>
      <c r="Q569" s="27">
        <f>IF(K569="Válida",I569,NA())</f>
        <v>0</v>
      </c>
      <c r="R569" s="27">
        <f>IF(K569="Válida",J569,NA())</f>
        <v>0</v>
      </c>
      <c r="S569" s="27">
        <f>IF(K569="Válida",C569,"")</f>
        <v>0</v>
      </c>
      <c r="T569" s="27">
        <f>IF(K569="Válida",I569,"")</f>
        <v>0</v>
      </c>
      <c r="U569" s="27">
        <f>IF(K569="Válida",J569,"")</f>
        <v>0</v>
      </c>
    </row>
    <row r="570" spans="1:21">
      <c r="A570" s="25">
        <f>IF(MES!A570="","",MES!C570/48)</f>
        <v>0</v>
      </c>
      <c r="B570" s="26">
        <f>IF(A570="","",TEXT((N570*4+cfgDeslocamento)/48,"hh:mm")&amp;" a "&amp;TEXT(A570,"hh:mm"))</f>
        <v>0</v>
      </c>
      <c r="C570" s="27">
        <f>IF(A570="","",MES!B570)</f>
        <v>0</v>
      </c>
      <c r="D570" s="27">
        <f>IF(A570="","",IFERROR(AVERAGEIFS(Prensa!$B$2:$B$5001,Prensa!$E$2:$E$5001,N570,Prensa!$F$2:$F$5001,1,Prensa!$G$2:$G$5001,1),""))</f>
        <v>0</v>
      </c>
      <c r="E570" s="27">
        <f>IF(A570="","",IFERROR(AVERAGEIFS(Prensa!$B$2:$B$5001,Prensa!$E$2:$E$5001,N570,Prensa!$F$2:$F$5001,2,Prensa!$G$2:$G$5001,1),""))</f>
        <v>0</v>
      </c>
      <c r="F570" s="27">
        <f>IF(A570="","",IFERROR(AVERAGEIFS(Prensa!$B$2:$B$5001,Prensa!$E$2:$E$5001,N570,Prensa!$F$2:$F$5001,3,Prensa!$G$2:$G$5001,1),""))</f>
        <v>0</v>
      </c>
      <c r="G570" s="27">
        <f>IF(A570="","",IFERROR(AVERAGEIFS(Prensa!$B$2:$B$5001,Prensa!$E$2:$E$5001,N570,Prensa!$F$2:$F$5001,4,Prensa!$G$2:$G$5001,1),""))</f>
        <v>0</v>
      </c>
      <c r="H570" s="26">
        <f>IF(A570="","",COUNT(D570:G570))</f>
        <v>0</v>
      </c>
      <c r="I570" s="27">
        <f>IF(A570="","",IF(H570=0,"",AVERAGE(D570:G570)))</f>
        <v>0</v>
      </c>
      <c r="J570" s="27">
        <f>IF(OR(I570="",C570=""),"",I570-C570)</f>
        <v>0</v>
      </c>
      <c r="K570" s="26">
        <f>IF(A570="","",IF(MES!E570&lt;&gt;4,"Horário do MES fora do padrão",IF(H570&lt;cfgMinCortes,"Cortes insuficientes","Válida")))</f>
        <v>0</v>
      </c>
      <c r="L570" s="27">
        <f>IF(K570="Válida",ABS(J570),"")</f>
        <v>0</v>
      </c>
      <c r="M570" s="26">
        <f>IF(K570="Válida",IF(L570&lt;=cfgTolerancia,"Sim","Não"),"")</f>
        <v>0</v>
      </c>
      <c r="N570" s="26">
        <f>IF(A570="","",MES!D570)</f>
        <v>0</v>
      </c>
      <c r="O570" s="25">
        <f>IF(K570="Válida",A570,NA())</f>
        <v>0</v>
      </c>
      <c r="P570" s="27">
        <f>IF(K570="Válida",C570,NA())</f>
        <v>0</v>
      </c>
      <c r="Q570" s="27">
        <f>IF(K570="Válida",I570,NA())</f>
        <v>0</v>
      </c>
      <c r="R570" s="27">
        <f>IF(K570="Válida",J570,NA())</f>
        <v>0</v>
      </c>
      <c r="S570" s="27">
        <f>IF(K570="Válida",C570,"")</f>
        <v>0</v>
      </c>
      <c r="T570" s="27">
        <f>IF(K570="Válida",I570,"")</f>
        <v>0</v>
      </c>
      <c r="U570" s="27">
        <f>IF(K570="Válida",J570,"")</f>
        <v>0</v>
      </c>
    </row>
    <row r="571" spans="1:21">
      <c r="A571" s="25">
        <f>IF(MES!A571="","",MES!C571/48)</f>
        <v>0</v>
      </c>
      <c r="B571" s="26">
        <f>IF(A571="","",TEXT((N571*4+cfgDeslocamento)/48,"hh:mm")&amp;" a "&amp;TEXT(A571,"hh:mm"))</f>
        <v>0</v>
      </c>
      <c r="C571" s="27">
        <f>IF(A571="","",MES!B571)</f>
        <v>0</v>
      </c>
      <c r="D571" s="27">
        <f>IF(A571="","",IFERROR(AVERAGEIFS(Prensa!$B$2:$B$5001,Prensa!$E$2:$E$5001,N571,Prensa!$F$2:$F$5001,1,Prensa!$G$2:$G$5001,1),""))</f>
        <v>0</v>
      </c>
      <c r="E571" s="27">
        <f>IF(A571="","",IFERROR(AVERAGEIFS(Prensa!$B$2:$B$5001,Prensa!$E$2:$E$5001,N571,Prensa!$F$2:$F$5001,2,Prensa!$G$2:$G$5001,1),""))</f>
        <v>0</v>
      </c>
      <c r="F571" s="27">
        <f>IF(A571="","",IFERROR(AVERAGEIFS(Prensa!$B$2:$B$5001,Prensa!$E$2:$E$5001,N571,Prensa!$F$2:$F$5001,3,Prensa!$G$2:$G$5001,1),""))</f>
        <v>0</v>
      </c>
      <c r="G571" s="27">
        <f>IF(A571="","",IFERROR(AVERAGEIFS(Prensa!$B$2:$B$5001,Prensa!$E$2:$E$5001,N571,Prensa!$F$2:$F$5001,4,Prensa!$G$2:$G$5001,1),""))</f>
        <v>0</v>
      </c>
      <c r="H571" s="26">
        <f>IF(A571="","",COUNT(D571:G571))</f>
        <v>0</v>
      </c>
      <c r="I571" s="27">
        <f>IF(A571="","",IF(H571=0,"",AVERAGE(D571:G571)))</f>
        <v>0</v>
      </c>
      <c r="J571" s="27">
        <f>IF(OR(I571="",C571=""),"",I571-C571)</f>
        <v>0</v>
      </c>
      <c r="K571" s="26">
        <f>IF(A571="","",IF(MES!E571&lt;&gt;4,"Horário do MES fora do padrão",IF(H571&lt;cfgMinCortes,"Cortes insuficientes","Válida")))</f>
        <v>0</v>
      </c>
      <c r="L571" s="27">
        <f>IF(K571="Válida",ABS(J571),"")</f>
        <v>0</v>
      </c>
      <c r="M571" s="26">
        <f>IF(K571="Válida",IF(L571&lt;=cfgTolerancia,"Sim","Não"),"")</f>
        <v>0</v>
      </c>
      <c r="N571" s="26">
        <f>IF(A571="","",MES!D571)</f>
        <v>0</v>
      </c>
      <c r="O571" s="25">
        <f>IF(K571="Válida",A571,NA())</f>
        <v>0</v>
      </c>
      <c r="P571" s="27">
        <f>IF(K571="Válida",C571,NA())</f>
        <v>0</v>
      </c>
      <c r="Q571" s="27">
        <f>IF(K571="Válida",I571,NA())</f>
        <v>0</v>
      </c>
      <c r="R571" s="27">
        <f>IF(K571="Válida",J571,NA())</f>
        <v>0</v>
      </c>
      <c r="S571" s="27">
        <f>IF(K571="Válida",C571,"")</f>
        <v>0</v>
      </c>
      <c r="T571" s="27">
        <f>IF(K571="Válida",I571,"")</f>
        <v>0</v>
      </c>
      <c r="U571" s="27">
        <f>IF(K571="Válida",J571,"")</f>
        <v>0</v>
      </c>
    </row>
    <row r="572" spans="1:21">
      <c r="A572" s="25">
        <f>IF(MES!A572="","",MES!C572/48)</f>
        <v>0</v>
      </c>
      <c r="B572" s="26">
        <f>IF(A572="","",TEXT((N572*4+cfgDeslocamento)/48,"hh:mm")&amp;" a "&amp;TEXT(A572,"hh:mm"))</f>
        <v>0</v>
      </c>
      <c r="C572" s="27">
        <f>IF(A572="","",MES!B572)</f>
        <v>0</v>
      </c>
      <c r="D572" s="27">
        <f>IF(A572="","",IFERROR(AVERAGEIFS(Prensa!$B$2:$B$5001,Prensa!$E$2:$E$5001,N572,Prensa!$F$2:$F$5001,1,Prensa!$G$2:$G$5001,1),""))</f>
        <v>0</v>
      </c>
      <c r="E572" s="27">
        <f>IF(A572="","",IFERROR(AVERAGEIFS(Prensa!$B$2:$B$5001,Prensa!$E$2:$E$5001,N572,Prensa!$F$2:$F$5001,2,Prensa!$G$2:$G$5001,1),""))</f>
        <v>0</v>
      </c>
      <c r="F572" s="27">
        <f>IF(A572="","",IFERROR(AVERAGEIFS(Prensa!$B$2:$B$5001,Prensa!$E$2:$E$5001,N572,Prensa!$F$2:$F$5001,3,Prensa!$G$2:$G$5001,1),""))</f>
        <v>0</v>
      </c>
      <c r="G572" s="27">
        <f>IF(A572="","",IFERROR(AVERAGEIFS(Prensa!$B$2:$B$5001,Prensa!$E$2:$E$5001,N572,Prensa!$F$2:$F$5001,4,Prensa!$G$2:$G$5001,1),""))</f>
        <v>0</v>
      </c>
      <c r="H572" s="26">
        <f>IF(A572="","",COUNT(D572:G572))</f>
        <v>0</v>
      </c>
      <c r="I572" s="27">
        <f>IF(A572="","",IF(H572=0,"",AVERAGE(D572:G572)))</f>
        <v>0</v>
      </c>
      <c r="J572" s="27">
        <f>IF(OR(I572="",C572=""),"",I572-C572)</f>
        <v>0</v>
      </c>
      <c r="K572" s="26">
        <f>IF(A572="","",IF(MES!E572&lt;&gt;4,"Horário do MES fora do padrão",IF(H572&lt;cfgMinCortes,"Cortes insuficientes","Válida")))</f>
        <v>0</v>
      </c>
      <c r="L572" s="27">
        <f>IF(K572="Válida",ABS(J572),"")</f>
        <v>0</v>
      </c>
      <c r="M572" s="26">
        <f>IF(K572="Válida",IF(L572&lt;=cfgTolerancia,"Sim","Não"),"")</f>
        <v>0</v>
      </c>
      <c r="N572" s="26">
        <f>IF(A572="","",MES!D572)</f>
        <v>0</v>
      </c>
      <c r="O572" s="25">
        <f>IF(K572="Válida",A572,NA())</f>
        <v>0</v>
      </c>
      <c r="P572" s="27">
        <f>IF(K572="Válida",C572,NA())</f>
        <v>0</v>
      </c>
      <c r="Q572" s="27">
        <f>IF(K572="Válida",I572,NA())</f>
        <v>0</v>
      </c>
      <c r="R572" s="27">
        <f>IF(K572="Válida",J572,NA())</f>
        <v>0</v>
      </c>
      <c r="S572" s="27">
        <f>IF(K572="Válida",C572,"")</f>
        <v>0</v>
      </c>
      <c r="T572" s="27">
        <f>IF(K572="Válida",I572,"")</f>
        <v>0</v>
      </c>
      <c r="U572" s="27">
        <f>IF(K572="Válida",J572,"")</f>
        <v>0</v>
      </c>
    </row>
    <row r="573" spans="1:21">
      <c r="A573" s="25">
        <f>IF(MES!A573="","",MES!C573/48)</f>
        <v>0</v>
      </c>
      <c r="B573" s="26">
        <f>IF(A573="","",TEXT((N573*4+cfgDeslocamento)/48,"hh:mm")&amp;" a "&amp;TEXT(A573,"hh:mm"))</f>
        <v>0</v>
      </c>
      <c r="C573" s="27">
        <f>IF(A573="","",MES!B573)</f>
        <v>0</v>
      </c>
      <c r="D573" s="27">
        <f>IF(A573="","",IFERROR(AVERAGEIFS(Prensa!$B$2:$B$5001,Prensa!$E$2:$E$5001,N573,Prensa!$F$2:$F$5001,1,Prensa!$G$2:$G$5001,1),""))</f>
        <v>0</v>
      </c>
      <c r="E573" s="27">
        <f>IF(A573="","",IFERROR(AVERAGEIFS(Prensa!$B$2:$B$5001,Prensa!$E$2:$E$5001,N573,Prensa!$F$2:$F$5001,2,Prensa!$G$2:$G$5001,1),""))</f>
        <v>0</v>
      </c>
      <c r="F573" s="27">
        <f>IF(A573="","",IFERROR(AVERAGEIFS(Prensa!$B$2:$B$5001,Prensa!$E$2:$E$5001,N573,Prensa!$F$2:$F$5001,3,Prensa!$G$2:$G$5001,1),""))</f>
        <v>0</v>
      </c>
      <c r="G573" s="27">
        <f>IF(A573="","",IFERROR(AVERAGEIFS(Prensa!$B$2:$B$5001,Prensa!$E$2:$E$5001,N573,Prensa!$F$2:$F$5001,4,Prensa!$G$2:$G$5001,1),""))</f>
        <v>0</v>
      </c>
      <c r="H573" s="26">
        <f>IF(A573="","",COUNT(D573:G573))</f>
        <v>0</v>
      </c>
      <c r="I573" s="27">
        <f>IF(A573="","",IF(H573=0,"",AVERAGE(D573:G573)))</f>
        <v>0</v>
      </c>
      <c r="J573" s="27">
        <f>IF(OR(I573="",C573=""),"",I573-C573)</f>
        <v>0</v>
      </c>
      <c r="K573" s="26">
        <f>IF(A573="","",IF(MES!E573&lt;&gt;4,"Horário do MES fora do padrão",IF(H573&lt;cfgMinCortes,"Cortes insuficientes","Válida")))</f>
        <v>0</v>
      </c>
      <c r="L573" s="27">
        <f>IF(K573="Válida",ABS(J573),"")</f>
        <v>0</v>
      </c>
      <c r="M573" s="26">
        <f>IF(K573="Válida",IF(L573&lt;=cfgTolerancia,"Sim","Não"),"")</f>
        <v>0</v>
      </c>
      <c r="N573" s="26">
        <f>IF(A573="","",MES!D573)</f>
        <v>0</v>
      </c>
      <c r="O573" s="25">
        <f>IF(K573="Válida",A573,NA())</f>
        <v>0</v>
      </c>
      <c r="P573" s="27">
        <f>IF(K573="Válida",C573,NA())</f>
        <v>0</v>
      </c>
      <c r="Q573" s="27">
        <f>IF(K573="Válida",I573,NA())</f>
        <v>0</v>
      </c>
      <c r="R573" s="27">
        <f>IF(K573="Válida",J573,NA())</f>
        <v>0</v>
      </c>
      <c r="S573" s="27">
        <f>IF(K573="Válida",C573,"")</f>
        <v>0</v>
      </c>
      <c r="T573" s="27">
        <f>IF(K573="Válida",I573,"")</f>
        <v>0</v>
      </c>
      <c r="U573" s="27">
        <f>IF(K573="Válida",J573,"")</f>
        <v>0</v>
      </c>
    </row>
    <row r="574" spans="1:21">
      <c r="A574" s="25">
        <f>IF(MES!A574="","",MES!C574/48)</f>
        <v>0</v>
      </c>
      <c r="B574" s="26">
        <f>IF(A574="","",TEXT((N574*4+cfgDeslocamento)/48,"hh:mm")&amp;" a "&amp;TEXT(A574,"hh:mm"))</f>
        <v>0</v>
      </c>
      <c r="C574" s="27">
        <f>IF(A574="","",MES!B574)</f>
        <v>0</v>
      </c>
      <c r="D574" s="27">
        <f>IF(A574="","",IFERROR(AVERAGEIFS(Prensa!$B$2:$B$5001,Prensa!$E$2:$E$5001,N574,Prensa!$F$2:$F$5001,1,Prensa!$G$2:$G$5001,1),""))</f>
        <v>0</v>
      </c>
      <c r="E574" s="27">
        <f>IF(A574="","",IFERROR(AVERAGEIFS(Prensa!$B$2:$B$5001,Prensa!$E$2:$E$5001,N574,Prensa!$F$2:$F$5001,2,Prensa!$G$2:$G$5001,1),""))</f>
        <v>0</v>
      </c>
      <c r="F574" s="27">
        <f>IF(A574="","",IFERROR(AVERAGEIFS(Prensa!$B$2:$B$5001,Prensa!$E$2:$E$5001,N574,Prensa!$F$2:$F$5001,3,Prensa!$G$2:$G$5001,1),""))</f>
        <v>0</v>
      </c>
      <c r="G574" s="27">
        <f>IF(A574="","",IFERROR(AVERAGEIFS(Prensa!$B$2:$B$5001,Prensa!$E$2:$E$5001,N574,Prensa!$F$2:$F$5001,4,Prensa!$G$2:$G$5001,1),""))</f>
        <v>0</v>
      </c>
      <c r="H574" s="26">
        <f>IF(A574="","",COUNT(D574:G574))</f>
        <v>0</v>
      </c>
      <c r="I574" s="27">
        <f>IF(A574="","",IF(H574=0,"",AVERAGE(D574:G574)))</f>
        <v>0</v>
      </c>
      <c r="J574" s="27">
        <f>IF(OR(I574="",C574=""),"",I574-C574)</f>
        <v>0</v>
      </c>
      <c r="K574" s="26">
        <f>IF(A574="","",IF(MES!E574&lt;&gt;4,"Horário do MES fora do padrão",IF(H574&lt;cfgMinCortes,"Cortes insuficientes","Válida")))</f>
        <v>0</v>
      </c>
      <c r="L574" s="27">
        <f>IF(K574="Válida",ABS(J574),"")</f>
        <v>0</v>
      </c>
      <c r="M574" s="26">
        <f>IF(K574="Válida",IF(L574&lt;=cfgTolerancia,"Sim","Não"),"")</f>
        <v>0</v>
      </c>
      <c r="N574" s="26">
        <f>IF(A574="","",MES!D574)</f>
        <v>0</v>
      </c>
      <c r="O574" s="25">
        <f>IF(K574="Válida",A574,NA())</f>
        <v>0</v>
      </c>
      <c r="P574" s="27">
        <f>IF(K574="Válida",C574,NA())</f>
        <v>0</v>
      </c>
      <c r="Q574" s="27">
        <f>IF(K574="Válida",I574,NA())</f>
        <v>0</v>
      </c>
      <c r="R574" s="27">
        <f>IF(K574="Válida",J574,NA())</f>
        <v>0</v>
      </c>
      <c r="S574" s="27">
        <f>IF(K574="Válida",C574,"")</f>
        <v>0</v>
      </c>
      <c r="T574" s="27">
        <f>IF(K574="Válida",I574,"")</f>
        <v>0</v>
      </c>
      <c r="U574" s="27">
        <f>IF(K574="Válida",J574,"")</f>
        <v>0</v>
      </c>
    </row>
    <row r="575" spans="1:21">
      <c r="A575" s="25">
        <f>IF(MES!A575="","",MES!C575/48)</f>
        <v>0</v>
      </c>
      <c r="B575" s="26">
        <f>IF(A575="","",TEXT((N575*4+cfgDeslocamento)/48,"hh:mm")&amp;" a "&amp;TEXT(A575,"hh:mm"))</f>
        <v>0</v>
      </c>
      <c r="C575" s="27">
        <f>IF(A575="","",MES!B575)</f>
        <v>0</v>
      </c>
      <c r="D575" s="27">
        <f>IF(A575="","",IFERROR(AVERAGEIFS(Prensa!$B$2:$B$5001,Prensa!$E$2:$E$5001,N575,Prensa!$F$2:$F$5001,1,Prensa!$G$2:$G$5001,1),""))</f>
        <v>0</v>
      </c>
      <c r="E575" s="27">
        <f>IF(A575="","",IFERROR(AVERAGEIFS(Prensa!$B$2:$B$5001,Prensa!$E$2:$E$5001,N575,Prensa!$F$2:$F$5001,2,Prensa!$G$2:$G$5001,1),""))</f>
        <v>0</v>
      </c>
      <c r="F575" s="27">
        <f>IF(A575="","",IFERROR(AVERAGEIFS(Prensa!$B$2:$B$5001,Prensa!$E$2:$E$5001,N575,Prensa!$F$2:$F$5001,3,Prensa!$G$2:$G$5001,1),""))</f>
        <v>0</v>
      </c>
      <c r="G575" s="27">
        <f>IF(A575="","",IFERROR(AVERAGEIFS(Prensa!$B$2:$B$5001,Prensa!$E$2:$E$5001,N575,Prensa!$F$2:$F$5001,4,Prensa!$G$2:$G$5001,1),""))</f>
        <v>0</v>
      </c>
      <c r="H575" s="26">
        <f>IF(A575="","",COUNT(D575:G575))</f>
        <v>0</v>
      </c>
      <c r="I575" s="27">
        <f>IF(A575="","",IF(H575=0,"",AVERAGE(D575:G575)))</f>
        <v>0</v>
      </c>
      <c r="J575" s="27">
        <f>IF(OR(I575="",C575=""),"",I575-C575)</f>
        <v>0</v>
      </c>
      <c r="K575" s="26">
        <f>IF(A575="","",IF(MES!E575&lt;&gt;4,"Horário do MES fora do padrão",IF(H575&lt;cfgMinCortes,"Cortes insuficientes","Válida")))</f>
        <v>0</v>
      </c>
      <c r="L575" s="27">
        <f>IF(K575="Válida",ABS(J575),"")</f>
        <v>0</v>
      </c>
      <c r="M575" s="26">
        <f>IF(K575="Válida",IF(L575&lt;=cfgTolerancia,"Sim","Não"),"")</f>
        <v>0</v>
      </c>
      <c r="N575" s="26">
        <f>IF(A575="","",MES!D575)</f>
        <v>0</v>
      </c>
      <c r="O575" s="25">
        <f>IF(K575="Válida",A575,NA())</f>
        <v>0</v>
      </c>
      <c r="P575" s="27">
        <f>IF(K575="Válida",C575,NA())</f>
        <v>0</v>
      </c>
      <c r="Q575" s="27">
        <f>IF(K575="Válida",I575,NA())</f>
        <v>0</v>
      </c>
      <c r="R575" s="27">
        <f>IF(K575="Válida",J575,NA())</f>
        <v>0</v>
      </c>
      <c r="S575" s="27">
        <f>IF(K575="Válida",C575,"")</f>
        <v>0</v>
      </c>
      <c r="T575" s="27">
        <f>IF(K575="Válida",I575,"")</f>
        <v>0</v>
      </c>
      <c r="U575" s="27">
        <f>IF(K575="Válida",J575,"")</f>
        <v>0</v>
      </c>
    </row>
    <row r="576" spans="1:21">
      <c r="A576" s="25">
        <f>IF(MES!A576="","",MES!C576/48)</f>
        <v>0</v>
      </c>
      <c r="B576" s="26">
        <f>IF(A576="","",TEXT((N576*4+cfgDeslocamento)/48,"hh:mm")&amp;" a "&amp;TEXT(A576,"hh:mm"))</f>
        <v>0</v>
      </c>
      <c r="C576" s="27">
        <f>IF(A576="","",MES!B576)</f>
        <v>0</v>
      </c>
      <c r="D576" s="27">
        <f>IF(A576="","",IFERROR(AVERAGEIFS(Prensa!$B$2:$B$5001,Prensa!$E$2:$E$5001,N576,Prensa!$F$2:$F$5001,1,Prensa!$G$2:$G$5001,1),""))</f>
        <v>0</v>
      </c>
      <c r="E576" s="27">
        <f>IF(A576="","",IFERROR(AVERAGEIFS(Prensa!$B$2:$B$5001,Prensa!$E$2:$E$5001,N576,Prensa!$F$2:$F$5001,2,Prensa!$G$2:$G$5001,1),""))</f>
        <v>0</v>
      </c>
      <c r="F576" s="27">
        <f>IF(A576="","",IFERROR(AVERAGEIFS(Prensa!$B$2:$B$5001,Prensa!$E$2:$E$5001,N576,Prensa!$F$2:$F$5001,3,Prensa!$G$2:$G$5001,1),""))</f>
        <v>0</v>
      </c>
      <c r="G576" s="27">
        <f>IF(A576="","",IFERROR(AVERAGEIFS(Prensa!$B$2:$B$5001,Prensa!$E$2:$E$5001,N576,Prensa!$F$2:$F$5001,4,Prensa!$G$2:$G$5001,1),""))</f>
        <v>0</v>
      </c>
      <c r="H576" s="26">
        <f>IF(A576="","",COUNT(D576:G576))</f>
        <v>0</v>
      </c>
      <c r="I576" s="27">
        <f>IF(A576="","",IF(H576=0,"",AVERAGE(D576:G576)))</f>
        <v>0</v>
      </c>
      <c r="J576" s="27">
        <f>IF(OR(I576="",C576=""),"",I576-C576)</f>
        <v>0</v>
      </c>
      <c r="K576" s="26">
        <f>IF(A576="","",IF(MES!E576&lt;&gt;4,"Horário do MES fora do padrão",IF(H576&lt;cfgMinCortes,"Cortes insuficientes","Válida")))</f>
        <v>0</v>
      </c>
      <c r="L576" s="27">
        <f>IF(K576="Válida",ABS(J576),"")</f>
        <v>0</v>
      </c>
      <c r="M576" s="26">
        <f>IF(K576="Válida",IF(L576&lt;=cfgTolerancia,"Sim","Não"),"")</f>
        <v>0</v>
      </c>
      <c r="N576" s="26">
        <f>IF(A576="","",MES!D576)</f>
        <v>0</v>
      </c>
      <c r="O576" s="25">
        <f>IF(K576="Válida",A576,NA())</f>
        <v>0</v>
      </c>
      <c r="P576" s="27">
        <f>IF(K576="Válida",C576,NA())</f>
        <v>0</v>
      </c>
      <c r="Q576" s="27">
        <f>IF(K576="Válida",I576,NA())</f>
        <v>0</v>
      </c>
      <c r="R576" s="27">
        <f>IF(K576="Válida",J576,NA())</f>
        <v>0</v>
      </c>
      <c r="S576" s="27">
        <f>IF(K576="Válida",C576,"")</f>
        <v>0</v>
      </c>
      <c r="T576" s="27">
        <f>IF(K576="Válida",I576,"")</f>
        <v>0</v>
      </c>
      <c r="U576" s="27">
        <f>IF(K576="Válida",J576,"")</f>
        <v>0</v>
      </c>
    </row>
    <row r="577" spans="1:21">
      <c r="A577" s="25">
        <f>IF(MES!A577="","",MES!C577/48)</f>
        <v>0</v>
      </c>
      <c r="B577" s="26">
        <f>IF(A577="","",TEXT((N577*4+cfgDeslocamento)/48,"hh:mm")&amp;" a "&amp;TEXT(A577,"hh:mm"))</f>
        <v>0</v>
      </c>
      <c r="C577" s="27">
        <f>IF(A577="","",MES!B577)</f>
        <v>0</v>
      </c>
      <c r="D577" s="27">
        <f>IF(A577="","",IFERROR(AVERAGEIFS(Prensa!$B$2:$B$5001,Prensa!$E$2:$E$5001,N577,Prensa!$F$2:$F$5001,1,Prensa!$G$2:$G$5001,1),""))</f>
        <v>0</v>
      </c>
      <c r="E577" s="27">
        <f>IF(A577="","",IFERROR(AVERAGEIFS(Prensa!$B$2:$B$5001,Prensa!$E$2:$E$5001,N577,Prensa!$F$2:$F$5001,2,Prensa!$G$2:$G$5001,1),""))</f>
        <v>0</v>
      </c>
      <c r="F577" s="27">
        <f>IF(A577="","",IFERROR(AVERAGEIFS(Prensa!$B$2:$B$5001,Prensa!$E$2:$E$5001,N577,Prensa!$F$2:$F$5001,3,Prensa!$G$2:$G$5001,1),""))</f>
        <v>0</v>
      </c>
      <c r="G577" s="27">
        <f>IF(A577="","",IFERROR(AVERAGEIFS(Prensa!$B$2:$B$5001,Prensa!$E$2:$E$5001,N577,Prensa!$F$2:$F$5001,4,Prensa!$G$2:$G$5001,1),""))</f>
        <v>0</v>
      </c>
      <c r="H577" s="26">
        <f>IF(A577="","",COUNT(D577:G577))</f>
        <v>0</v>
      </c>
      <c r="I577" s="27">
        <f>IF(A577="","",IF(H577=0,"",AVERAGE(D577:G577)))</f>
        <v>0</v>
      </c>
      <c r="J577" s="27">
        <f>IF(OR(I577="",C577=""),"",I577-C577)</f>
        <v>0</v>
      </c>
      <c r="K577" s="26">
        <f>IF(A577="","",IF(MES!E577&lt;&gt;4,"Horário do MES fora do padrão",IF(H577&lt;cfgMinCortes,"Cortes insuficientes","Válida")))</f>
        <v>0</v>
      </c>
      <c r="L577" s="27">
        <f>IF(K577="Válida",ABS(J577),"")</f>
        <v>0</v>
      </c>
      <c r="M577" s="26">
        <f>IF(K577="Válida",IF(L577&lt;=cfgTolerancia,"Sim","Não"),"")</f>
        <v>0</v>
      </c>
      <c r="N577" s="26">
        <f>IF(A577="","",MES!D577)</f>
        <v>0</v>
      </c>
      <c r="O577" s="25">
        <f>IF(K577="Válida",A577,NA())</f>
        <v>0</v>
      </c>
      <c r="P577" s="27">
        <f>IF(K577="Válida",C577,NA())</f>
        <v>0</v>
      </c>
      <c r="Q577" s="27">
        <f>IF(K577="Válida",I577,NA())</f>
        <v>0</v>
      </c>
      <c r="R577" s="27">
        <f>IF(K577="Válida",J577,NA())</f>
        <v>0</v>
      </c>
      <c r="S577" s="27">
        <f>IF(K577="Válida",C577,"")</f>
        <v>0</v>
      </c>
      <c r="T577" s="27">
        <f>IF(K577="Válida",I577,"")</f>
        <v>0</v>
      </c>
      <c r="U577" s="27">
        <f>IF(K577="Válida",J577,"")</f>
        <v>0</v>
      </c>
    </row>
    <row r="578" spans="1:21">
      <c r="A578" s="25">
        <f>IF(MES!A578="","",MES!C578/48)</f>
        <v>0</v>
      </c>
      <c r="B578" s="26">
        <f>IF(A578="","",TEXT((N578*4+cfgDeslocamento)/48,"hh:mm")&amp;" a "&amp;TEXT(A578,"hh:mm"))</f>
        <v>0</v>
      </c>
      <c r="C578" s="27">
        <f>IF(A578="","",MES!B578)</f>
        <v>0</v>
      </c>
      <c r="D578" s="27">
        <f>IF(A578="","",IFERROR(AVERAGEIFS(Prensa!$B$2:$B$5001,Prensa!$E$2:$E$5001,N578,Prensa!$F$2:$F$5001,1,Prensa!$G$2:$G$5001,1),""))</f>
        <v>0</v>
      </c>
      <c r="E578" s="27">
        <f>IF(A578="","",IFERROR(AVERAGEIFS(Prensa!$B$2:$B$5001,Prensa!$E$2:$E$5001,N578,Prensa!$F$2:$F$5001,2,Prensa!$G$2:$G$5001,1),""))</f>
        <v>0</v>
      </c>
      <c r="F578" s="27">
        <f>IF(A578="","",IFERROR(AVERAGEIFS(Prensa!$B$2:$B$5001,Prensa!$E$2:$E$5001,N578,Prensa!$F$2:$F$5001,3,Prensa!$G$2:$G$5001,1),""))</f>
        <v>0</v>
      </c>
      <c r="G578" s="27">
        <f>IF(A578="","",IFERROR(AVERAGEIFS(Prensa!$B$2:$B$5001,Prensa!$E$2:$E$5001,N578,Prensa!$F$2:$F$5001,4,Prensa!$G$2:$G$5001,1),""))</f>
        <v>0</v>
      </c>
      <c r="H578" s="26">
        <f>IF(A578="","",COUNT(D578:G578))</f>
        <v>0</v>
      </c>
      <c r="I578" s="27">
        <f>IF(A578="","",IF(H578=0,"",AVERAGE(D578:G578)))</f>
        <v>0</v>
      </c>
      <c r="J578" s="27">
        <f>IF(OR(I578="",C578=""),"",I578-C578)</f>
        <v>0</v>
      </c>
      <c r="K578" s="26">
        <f>IF(A578="","",IF(MES!E578&lt;&gt;4,"Horário do MES fora do padrão",IF(H578&lt;cfgMinCortes,"Cortes insuficientes","Válida")))</f>
        <v>0</v>
      </c>
      <c r="L578" s="27">
        <f>IF(K578="Válida",ABS(J578),"")</f>
        <v>0</v>
      </c>
      <c r="M578" s="26">
        <f>IF(K578="Válida",IF(L578&lt;=cfgTolerancia,"Sim","Não"),"")</f>
        <v>0</v>
      </c>
      <c r="N578" s="26">
        <f>IF(A578="","",MES!D578)</f>
        <v>0</v>
      </c>
      <c r="O578" s="25">
        <f>IF(K578="Válida",A578,NA())</f>
        <v>0</v>
      </c>
      <c r="P578" s="27">
        <f>IF(K578="Válida",C578,NA())</f>
        <v>0</v>
      </c>
      <c r="Q578" s="27">
        <f>IF(K578="Válida",I578,NA())</f>
        <v>0</v>
      </c>
      <c r="R578" s="27">
        <f>IF(K578="Válida",J578,NA())</f>
        <v>0</v>
      </c>
      <c r="S578" s="27">
        <f>IF(K578="Válida",C578,"")</f>
        <v>0</v>
      </c>
      <c r="T578" s="27">
        <f>IF(K578="Válida",I578,"")</f>
        <v>0</v>
      </c>
      <c r="U578" s="27">
        <f>IF(K578="Válida",J578,"")</f>
        <v>0</v>
      </c>
    </row>
    <row r="579" spans="1:21">
      <c r="A579" s="25">
        <f>IF(MES!A579="","",MES!C579/48)</f>
        <v>0</v>
      </c>
      <c r="B579" s="26">
        <f>IF(A579="","",TEXT((N579*4+cfgDeslocamento)/48,"hh:mm")&amp;" a "&amp;TEXT(A579,"hh:mm"))</f>
        <v>0</v>
      </c>
      <c r="C579" s="27">
        <f>IF(A579="","",MES!B579)</f>
        <v>0</v>
      </c>
      <c r="D579" s="27">
        <f>IF(A579="","",IFERROR(AVERAGEIFS(Prensa!$B$2:$B$5001,Prensa!$E$2:$E$5001,N579,Prensa!$F$2:$F$5001,1,Prensa!$G$2:$G$5001,1),""))</f>
        <v>0</v>
      </c>
      <c r="E579" s="27">
        <f>IF(A579="","",IFERROR(AVERAGEIFS(Prensa!$B$2:$B$5001,Prensa!$E$2:$E$5001,N579,Prensa!$F$2:$F$5001,2,Prensa!$G$2:$G$5001,1),""))</f>
        <v>0</v>
      </c>
      <c r="F579" s="27">
        <f>IF(A579="","",IFERROR(AVERAGEIFS(Prensa!$B$2:$B$5001,Prensa!$E$2:$E$5001,N579,Prensa!$F$2:$F$5001,3,Prensa!$G$2:$G$5001,1),""))</f>
        <v>0</v>
      </c>
      <c r="G579" s="27">
        <f>IF(A579="","",IFERROR(AVERAGEIFS(Prensa!$B$2:$B$5001,Prensa!$E$2:$E$5001,N579,Prensa!$F$2:$F$5001,4,Prensa!$G$2:$G$5001,1),""))</f>
        <v>0</v>
      </c>
      <c r="H579" s="26">
        <f>IF(A579="","",COUNT(D579:G579))</f>
        <v>0</v>
      </c>
      <c r="I579" s="27">
        <f>IF(A579="","",IF(H579=0,"",AVERAGE(D579:G579)))</f>
        <v>0</v>
      </c>
      <c r="J579" s="27">
        <f>IF(OR(I579="",C579=""),"",I579-C579)</f>
        <v>0</v>
      </c>
      <c r="K579" s="26">
        <f>IF(A579="","",IF(MES!E579&lt;&gt;4,"Horário do MES fora do padrão",IF(H579&lt;cfgMinCortes,"Cortes insuficientes","Válida")))</f>
        <v>0</v>
      </c>
      <c r="L579" s="27">
        <f>IF(K579="Válida",ABS(J579),"")</f>
        <v>0</v>
      </c>
      <c r="M579" s="26">
        <f>IF(K579="Válida",IF(L579&lt;=cfgTolerancia,"Sim","Não"),"")</f>
        <v>0</v>
      </c>
      <c r="N579" s="26">
        <f>IF(A579="","",MES!D579)</f>
        <v>0</v>
      </c>
      <c r="O579" s="25">
        <f>IF(K579="Válida",A579,NA())</f>
        <v>0</v>
      </c>
      <c r="P579" s="27">
        <f>IF(K579="Válida",C579,NA())</f>
        <v>0</v>
      </c>
      <c r="Q579" s="27">
        <f>IF(K579="Válida",I579,NA())</f>
        <v>0</v>
      </c>
      <c r="R579" s="27">
        <f>IF(K579="Válida",J579,NA())</f>
        <v>0</v>
      </c>
      <c r="S579" s="27">
        <f>IF(K579="Válida",C579,"")</f>
        <v>0</v>
      </c>
      <c r="T579" s="27">
        <f>IF(K579="Válida",I579,"")</f>
        <v>0</v>
      </c>
      <c r="U579" s="27">
        <f>IF(K579="Válida",J579,"")</f>
        <v>0</v>
      </c>
    </row>
    <row r="580" spans="1:21">
      <c r="A580" s="25">
        <f>IF(MES!A580="","",MES!C580/48)</f>
        <v>0</v>
      </c>
      <c r="B580" s="26">
        <f>IF(A580="","",TEXT((N580*4+cfgDeslocamento)/48,"hh:mm")&amp;" a "&amp;TEXT(A580,"hh:mm"))</f>
        <v>0</v>
      </c>
      <c r="C580" s="27">
        <f>IF(A580="","",MES!B580)</f>
        <v>0</v>
      </c>
      <c r="D580" s="27">
        <f>IF(A580="","",IFERROR(AVERAGEIFS(Prensa!$B$2:$B$5001,Prensa!$E$2:$E$5001,N580,Prensa!$F$2:$F$5001,1,Prensa!$G$2:$G$5001,1),""))</f>
        <v>0</v>
      </c>
      <c r="E580" s="27">
        <f>IF(A580="","",IFERROR(AVERAGEIFS(Prensa!$B$2:$B$5001,Prensa!$E$2:$E$5001,N580,Prensa!$F$2:$F$5001,2,Prensa!$G$2:$G$5001,1),""))</f>
        <v>0</v>
      </c>
      <c r="F580" s="27">
        <f>IF(A580="","",IFERROR(AVERAGEIFS(Prensa!$B$2:$B$5001,Prensa!$E$2:$E$5001,N580,Prensa!$F$2:$F$5001,3,Prensa!$G$2:$G$5001,1),""))</f>
        <v>0</v>
      </c>
      <c r="G580" s="27">
        <f>IF(A580="","",IFERROR(AVERAGEIFS(Prensa!$B$2:$B$5001,Prensa!$E$2:$E$5001,N580,Prensa!$F$2:$F$5001,4,Prensa!$G$2:$G$5001,1),""))</f>
        <v>0</v>
      </c>
      <c r="H580" s="26">
        <f>IF(A580="","",COUNT(D580:G580))</f>
        <v>0</v>
      </c>
      <c r="I580" s="27">
        <f>IF(A580="","",IF(H580=0,"",AVERAGE(D580:G580)))</f>
        <v>0</v>
      </c>
      <c r="J580" s="27">
        <f>IF(OR(I580="",C580=""),"",I580-C580)</f>
        <v>0</v>
      </c>
      <c r="K580" s="26">
        <f>IF(A580="","",IF(MES!E580&lt;&gt;4,"Horário do MES fora do padrão",IF(H580&lt;cfgMinCortes,"Cortes insuficientes","Válida")))</f>
        <v>0</v>
      </c>
      <c r="L580" s="27">
        <f>IF(K580="Válida",ABS(J580),"")</f>
        <v>0</v>
      </c>
      <c r="M580" s="26">
        <f>IF(K580="Válida",IF(L580&lt;=cfgTolerancia,"Sim","Não"),"")</f>
        <v>0</v>
      </c>
      <c r="N580" s="26">
        <f>IF(A580="","",MES!D580)</f>
        <v>0</v>
      </c>
      <c r="O580" s="25">
        <f>IF(K580="Válida",A580,NA())</f>
        <v>0</v>
      </c>
      <c r="P580" s="27">
        <f>IF(K580="Válida",C580,NA())</f>
        <v>0</v>
      </c>
      <c r="Q580" s="27">
        <f>IF(K580="Válida",I580,NA())</f>
        <v>0</v>
      </c>
      <c r="R580" s="27">
        <f>IF(K580="Válida",J580,NA())</f>
        <v>0</v>
      </c>
      <c r="S580" s="27">
        <f>IF(K580="Válida",C580,"")</f>
        <v>0</v>
      </c>
      <c r="T580" s="27">
        <f>IF(K580="Válida",I580,"")</f>
        <v>0</v>
      </c>
      <c r="U580" s="27">
        <f>IF(K580="Válida",J580,"")</f>
        <v>0</v>
      </c>
    </row>
    <row r="581" spans="1:21">
      <c r="A581" s="25">
        <f>IF(MES!A581="","",MES!C581/48)</f>
        <v>0</v>
      </c>
      <c r="B581" s="26">
        <f>IF(A581="","",TEXT((N581*4+cfgDeslocamento)/48,"hh:mm")&amp;" a "&amp;TEXT(A581,"hh:mm"))</f>
        <v>0</v>
      </c>
      <c r="C581" s="27">
        <f>IF(A581="","",MES!B581)</f>
        <v>0</v>
      </c>
      <c r="D581" s="27">
        <f>IF(A581="","",IFERROR(AVERAGEIFS(Prensa!$B$2:$B$5001,Prensa!$E$2:$E$5001,N581,Prensa!$F$2:$F$5001,1,Prensa!$G$2:$G$5001,1),""))</f>
        <v>0</v>
      </c>
      <c r="E581" s="27">
        <f>IF(A581="","",IFERROR(AVERAGEIFS(Prensa!$B$2:$B$5001,Prensa!$E$2:$E$5001,N581,Prensa!$F$2:$F$5001,2,Prensa!$G$2:$G$5001,1),""))</f>
        <v>0</v>
      </c>
      <c r="F581" s="27">
        <f>IF(A581="","",IFERROR(AVERAGEIFS(Prensa!$B$2:$B$5001,Prensa!$E$2:$E$5001,N581,Prensa!$F$2:$F$5001,3,Prensa!$G$2:$G$5001,1),""))</f>
        <v>0</v>
      </c>
      <c r="G581" s="27">
        <f>IF(A581="","",IFERROR(AVERAGEIFS(Prensa!$B$2:$B$5001,Prensa!$E$2:$E$5001,N581,Prensa!$F$2:$F$5001,4,Prensa!$G$2:$G$5001,1),""))</f>
        <v>0</v>
      </c>
      <c r="H581" s="26">
        <f>IF(A581="","",COUNT(D581:G581))</f>
        <v>0</v>
      </c>
      <c r="I581" s="27">
        <f>IF(A581="","",IF(H581=0,"",AVERAGE(D581:G581)))</f>
        <v>0</v>
      </c>
      <c r="J581" s="27">
        <f>IF(OR(I581="",C581=""),"",I581-C581)</f>
        <v>0</v>
      </c>
      <c r="K581" s="26">
        <f>IF(A581="","",IF(MES!E581&lt;&gt;4,"Horário do MES fora do padrão",IF(H581&lt;cfgMinCortes,"Cortes insuficientes","Válida")))</f>
        <v>0</v>
      </c>
      <c r="L581" s="27">
        <f>IF(K581="Válida",ABS(J581),"")</f>
        <v>0</v>
      </c>
      <c r="M581" s="26">
        <f>IF(K581="Válida",IF(L581&lt;=cfgTolerancia,"Sim","Não"),"")</f>
        <v>0</v>
      </c>
      <c r="N581" s="26">
        <f>IF(A581="","",MES!D581)</f>
        <v>0</v>
      </c>
      <c r="O581" s="25">
        <f>IF(K581="Válida",A581,NA())</f>
        <v>0</v>
      </c>
      <c r="P581" s="27">
        <f>IF(K581="Válida",C581,NA())</f>
        <v>0</v>
      </c>
      <c r="Q581" s="27">
        <f>IF(K581="Válida",I581,NA())</f>
        <v>0</v>
      </c>
      <c r="R581" s="27">
        <f>IF(K581="Válida",J581,NA())</f>
        <v>0</v>
      </c>
      <c r="S581" s="27">
        <f>IF(K581="Válida",C581,"")</f>
        <v>0</v>
      </c>
      <c r="T581" s="27">
        <f>IF(K581="Válida",I581,"")</f>
        <v>0</v>
      </c>
      <c r="U581" s="27">
        <f>IF(K581="Válida",J581,"")</f>
        <v>0</v>
      </c>
    </row>
    <row r="582" spans="1:21">
      <c r="A582" s="25">
        <f>IF(MES!A582="","",MES!C582/48)</f>
        <v>0</v>
      </c>
      <c r="B582" s="26">
        <f>IF(A582="","",TEXT((N582*4+cfgDeslocamento)/48,"hh:mm")&amp;" a "&amp;TEXT(A582,"hh:mm"))</f>
        <v>0</v>
      </c>
      <c r="C582" s="27">
        <f>IF(A582="","",MES!B582)</f>
        <v>0</v>
      </c>
      <c r="D582" s="27">
        <f>IF(A582="","",IFERROR(AVERAGEIFS(Prensa!$B$2:$B$5001,Prensa!$E$2:$E$5001,N582,Prensa!$F$2:$F$5001,1,Prensa!$G$2:$G$5001,1),""))</f>
        <v>0</v>
      </c>
      <c r="E582" s="27">
        <f>IF(A582="","",IFERROR(AVERAGEIFS(Prensa!$B$2:$B$5001,Prensa!$E$2:$E$5001,N582,Prensa!$F$2:$F$5001,2,Prensa!$G$2:$G$5001,1),""))</f>
        <v>0</v>
      </c>
      <c r="F582" s="27">
        <f>IF(A582="","",IFERROR(AVERAGEIFS(Prensa!$B$2:$B$5001,Prensa!$E$2:$E$5001,N582,Prensa!$F$2:$F$5001,3,Prensa!$G$2:$G$5001,1),""))</f>
        <v>0</v>
      </c>
      <c r="G582" s="27">
        <f>IF(A582="","",IFERROR(AVERAGEIFS(Prensa!$B$2:$B$5001,Prensa!$E$2:$E$5001,N582,Prensa!$F$2:$F$5001,4,Prensa!$G$2:$G$5001,1),""))</f>
        <v>0</v>
      </c>
      <c r="H582" s="26">
        <f>IF(A582="","",COUNT(D582:G582))</f>
        <v>0</v>
      </c>
      <c r="I582" s="27">
        <f>IF(A582="","",IF(H582=0,"",AVERAGE(D582:G582)))</f>
        <v>0</v>
      </c>
      <c r="J582" s="27">
        <f>IF(OR(I582="",C582=""),"",I582-C582)</f>
        <v>0</v>
      </c>
      <c r="K582" s="26">
        <f>IF(A582="","",IF(MES!E582&lt;&gt;4,"Horário do MES fora do padrão",IF(H582&lt;cfgMinCortes,"Cortes insuficientes","Válida")))</f>
        <v>0</v>
      </c>
      <c r="L582" s="27">
        <f>IF(K582="Válida",ABS(J582),"")</f>
        <v>0</v>
      </c>
      <c r="M582" s="26">
        <f>IF(K582="Válida",IF(L582&lt;=cfgTolerancia,"Sim","Não"),"")</f>
        <v>0</v>
      </c>
      <c r="N582" s="26">
        <f>IF(A582="","",MES!D582)</f>
        <v>0</v>
      </c>
      <c r="O582" s="25">
        <f>IF(K582="Válida",A582,NA())</f>
        <v>0</v>
      </c>
      <c r="P582" s="27">
        <f>IF(K582="Válida",C582,NA())</f>
        <v>0</v>
      </c>
      <c r="Q582" s="27">
        <f>IF(K582="Válida",I582,NA())</f>
        <v>0</v>
      </c>
      <c r="R582" s="27">
        <f>IF(K582="Válida",J582,NA())</f>
        <v>0</v>
      </c>
      <c r="S582" s="27">
        <f>IF(K582="Válida",C582,"")</f>
        <v>0</v>
      </c>
      <c r="T582" s="27">
        <f>IF(K582="Válida",I582,"")</f>
        <v>0</v>
      </c>
      <c r="U582" s="27">
        <f>IF(K582="Válida",J582,"")</f>
        <v>0</v>
      </c>
    </row>
    <row r="583" spans="1:21">
      <c r="A583" s="25">
        <f>IF(MES!A583="","",MES!C583/48)</f>
        <v>0</v>
      </c>
      <c r="B583" s="26">
        <f>IF(A583="","",TEXT((N583*4+cfgDeslocamento)/48,"hh:mm")&amp;" a "&amp;TEXT(A583,"hh:mm"))</f>
        <v>0</v>
      </c>
      <c r="C583" s="27">
        <f>IF(A583="","",MES!B583)</f>
        <v>0</v>
      </c>
      <c r="D583" s="27">
        <f>IF(A583="","",IFERROR(AVERAGEIFS(Prensa!$B$2:$B$5001,Prensa!$E$2:$E$5001,N583,Prensa!$F$2:$F$5001,1,Prensa!$G$2:$G$5001,1),""))</f>
        <v>0</v>
      </c>
      <c r="E583" s="27">
        <f>IF(A583="","",IFERROR(AVERAGEIFS(Prensa!$B$2:$B$5001,Prensa!$E$2:$E$5001,N583,Prensa!$F$2:$F$5001,2,Prensa!$G$2:$G$5001,1),""))</f>
        <v>0</v>
      </c>
      <c r="F583" s="27">
        <f>IF(A583="","",IFERROR(AVERAGEIFS(Prensa!$B$2:$B$5001,Prensa!$E$2:$E$5001,N583,Prensa!$F$2:$F$5001,3,Prensa!$G$2:$G$5001,1),""))</f>
        <v>0</v>
      </c>
      <c r="G583" s="27">
        <f>IF(A583="","",IFERROR(AVERAGEIFS(Prensa!$B$2:$B$5001,Prensa!$E$2:$E$5001,N583,Prensa!$F$2:$F$5001,4,Prensa!$G$2:$G$5001,1),""))</f>
        <v>0</v>
      </c>
      <c r="H583" s="26">
        <f>IF(A583="","",COUNT(D583:G583))</f>
        <v>0</v>
      </c>
      <c r="I583" s="27">
        <f>IF(A583="","",IF(H583=0,"",AVERAGE(D583:G583)))</f>
        <v>0</v>
      </c>
      <c r="J583" s="27">
        <f>IF(OR(I583="",C583=""),"",I583-C583)</f>
        <v>0</v>
      </c>
      <c r="K583" s="26">
        <f>IF(A583="","",IF(MES!E583&lt;&gt;4,"Horário do MES fora do padrão",IF(H583&lt;cfgMinCortes,"Cortes insuficientes","Válida")))</f>
        <v>0</v>
      </c>
      <c r="L583" s="27">
        <f>IF(K583="Válida",ABS(J583),"")</f>
        <v>0</v>
      </c>
      <c r="M583" s="26">
        <f>IF(K583="Válida",IF(L583&lt;=cfgTolerancia,"Sim","Não"),"")</f>
        <v>0</v>
      </c>
      <c r="N583" s="26">
        <f>IF(A583="","",MES!D583)</f>
        <v>0</v>
      </c>
      <c r="O583" s="25">
        <f>IF(K583="Válida",A583,NA())</f>
        <v>0</v>
      </c>
      <c r="P583" s="27">
        <f>IF(K583="Válida",C583,NA())</f>
        <v>0</v>
      </c>
      <c r="Q583" s="27">
        <f>IF(K583="Válida",I583,NA())</f>
        <v>0</v>
      </c>
      <c r="R583" s="27">
        <f>IF(K583="Válida",J583,NA())</f>
        <v>0</v>
      </c>
      <c r="S583" s="27">
        <f>IF(K583="Válida",C583,"")</f>
        <v>0</v>
      </c>
      <c r="T583" s="27">
        <f>IF(K583="Válida",I583,"")</f>
        <v>0</v>
      </c>
      <c r="U583" s="27">
        <f>IF(K583="Válida",J583,"")</f>
        <v>0</v>
      </c>
    </row>
    <row r="584" spans="1:21">
      <c r="A584" s="25">
        <f>IF(MES!A584="","",MES!C584/48)</f>
        <v>0</v>
      </c>
      <c r="B584" s="26">
        <f>IF(A584="","",TEXT((N584*4+cfgDeslocamento)/48,"hh:mm")&amp;" a "&amp;TEXT(A584,"hh:mm"))</f>
        <v>0</v>
      </c>
      <c r="C584" s="27">
        <f>IF(A584="","",MES!B584)</f>
        <v>0</v>
      </c>
      <c r="D584" s="27">
        <f>IF(A584="","",IFERROR(AVERAGEIFS(Prensa!$B$2:$B$5001,Prensa!$E$2:$E$5001,N584,Prensa!$F$2:$F$5001,1,Prensa!$G$2:$G$5001,1),""))</f>
        <v>0</v>
      </c>
      <c r="E584" s="27">
        <f>IF(A584="","",IFERROR(AVERAGEIFS(Prensa!$B$2:$B$5001,Prensa!$E$2:$E$5001,N584,Prensa!$F$2:$F$5001,2,Prensa!$G$2:$G$5001,1),""))</f>
        <v>0</v>
      </c>
      <c r="F584" s="27">
        <f>IF(A584="","",IFERROR(AVERAGEIFS(Prensa!$B$2:$B$5001,Prensa!$E$2:$E$5001,N584,Prensa!$F$2:$F$5001,3,Prensa!$G$2:$G$5001,1),""))</f>
        <v>0</v>
      </c>
      <c r="G584" s="27">
        <f>IF(A584="","",IFERROR(AVERAGEIFS(Prensa!$B$2:$B$5001,Prensa!$E$2:$E$5001,N584,Prensa!$F$2:$F$5001,4,Prensa!$G$2:$G$5001,1),""))</f>
        <v>0</v>
      </c>
      <c r="H584" s="26">
        <f>IF(A584="","",COUNT(D584:G584))</f>
        <v>0</v>
      </c>
      <c r="I584" s="27">
        <f>IF(A584="","",IF(H584=0,"",AVERAGE(D584:G584)))</f>
        <v>0</v>
      </c>
      <c r="J584" s="27">
        <f>IF(OR(I584="",C584=""),"",I584-C584)</f>
        <v>0</v>
      </c>
      <c r="K584" s="26">
        <f>IF(A584="","",IF(MES!E584&lt;&gt;4,"Horário do MES fora do padrão",IF(H584&lt;cfgMinCortes,"Cortes insuficientes","Válida")))</f>
        <v>0</v>
      </c>
      <c r="L584" s="27">
        <f>IF(K584="Válida",ABS(J584),"")</f>
        <v>0</v>
      </c>
      <c r="M584" s="26">
        <f>IF(K584="Válida",IF(L584&lt;=cfgTolerancia,"Sim","Não"),"")</f>
        <v>0</v>
      </c>
      <c r="N584" s="26">
        <f>IF(A584="","",MES!D584)</f>
        <v>0</v>
      </c>
      <c r="O584" s="25">
        <f>IF(K584="Válida",A584,NA())</f>
        <v>0</v>
      </c>
      <c r="P584" s="27">
        <f>IF(K584="Válida",C584,NA())</f>
        <v>0</v>
      </c>
      <c r="Q584" s="27">
        <f>IF(K584="Válida",I584,NA())</f>
        <v>0</v>
      </c>
      <c r="R584" s="27">
        <f>IF(K584="Válida",J584,NA())</f>
        <v>0</v>
      </c>
      <c r="S584" s="27">
        <f>IF(K584="Válida",C584,"")</f>
        <v>0</v>
      </c>
      <c r="T584" s="27">
        <f>IF(K584="Válida",I584,"")</f>
        <v>0</v>
      </c>
      <c r="U584" s="27">
        <f>IF(K584="Válida",J584,"")</f>
        <v>0</v>
      </c>
    </row>
    <row r="585" spans="1:21">
      <c r="A585" s="25">
        <f>IF(MES!A585="","",MES!C585/48)</f>
        <v>0</v>
      </c>
      <c r="B585" s="26">
        <f>IF(A585="","",TEXT((N585*4+cfgDeslocamento)/48,"hh:mm")&amp;" a "&amp;TEXT(A585,"hh:mm"))</f>
        <v>0</v>
      </c>
      <c r="C585" s="27">
        <f>IF(A585="","",MES!B585)</f>
        <v>0</v>
      </c>
      <c r="D585" s="27">
        <f>IF(A585="","",IFERROR(AVERAGEIFS(Prensa!$B$2:$B$5001,Prensa!$E$2:$E$5001,N585,Prensa!$F$2:$F$5001,1,Prensa!$G$2:$G$5001,1),""))</f>
        <v>0</v>
      </c>
      <c r="E585" s="27">
        <f>IF(A585="","",IFERROR(AVERAGEIFS(Prensa!$B$2:$B$5001,Prensa!$E$2:$E$5001,N585,Prensa!$F$2:$F$5001,2,Prensa!$G$2:$G$5001,1),""))</f>
        <v>0</v>
      </c>
      <c r="F585" s="27">
        <f>IF(A585="","",IFERROR(AVERAGEIFS(Prensa!$B$2:$B$5001,Prensa!$E$2:$E$5001,N585,Prensa!$F$2:$F$5001,3,Prensa!$G$2:$G$5001,1),""))</f>
        <v>0</v>
      </c>
      <c r="G585" s="27">
        <f>IF(A585="","",IFERROR(AVERAGEIFS(Prensa!$B$2:$B$5001,Prensa!$E$2:$E$5001,N585,Prensa!$F$2:$F$5001,4,Prensa!$G$2:$G$5001,1),""))</f>
        <v>0</v>
      </c>
      <c r="H585" s="26">
        <f>IF(A585="","",COUNT(D585:G585))</f>
        <v>0</v>
      </c>
      <c r="I585" s="27">
        <f>IF(A585="","",IF(H585=0,"",AVERAGE(D585:G585)))</f>
        <v>0</v>
      </c>
      <c r="J585" s="27">
        <f>IF(OR(I585="",C585=""),"",I585-C585)</f>
        <v>0</v>
      </c>
      <c r="K585" s="26">
        <f>IF(A585="","",IF(MES!E585&lt;&gt;4,"Horário do MES fora do padrão",IF(H585&lt;cfgMinCortes,"Cortes insuficientes","Válida")))</f>
        <v>0</v>
      </c>
      <c r="L585" s="27">
        <f>IF(K585="Válida",ABS(J585),"")</f>
        <v>0</v>
      </c>
      <c r="M585" s="26">
        <f>IF(K585="Válida",IF(L585&lt;=cfgTolerancia,"Sim","Não"),"")</f>
        <v>0</v>
      </c>
      <c r="N585" s="26">
        <f>IF(A585="","",MES!D585)</f>
        <v>0</v>
      </c>
      <c r="O585" s="25">
        <f>IF(K585="Válida",A585,NA())</f>
        <v>0</v>
      </c>
      <c r="P585" s="27">
        <f>IF(K585="Válida",C585,NA())</f>
        <v>0</v>
      </c>
      <c r="Q585" s="27">
        <f>IF(K585="Válida",I585,NA())</f>
        <v>0</v>
      </c>
      <c r="R585" s="27">
        <f>IF(K585="Válida",J585,NA())</f>
        <v>0</v>
      </c>
      <c r="S585" s="27">
        <f>IF(K585="Válida",C585,"")</f>
        <v>0</v>
      </c>
      <c r="T585" s="27">
        <f>IF(K585="Válida",I585,"")</f>
        <v>0</v>
      </c>
      <c r="U585" s="27">
        <f>IF(K585="Válida",J585,"")</f>
        <v>0</v>
      </c>
    </row>
    <row r="586" spans="1:21">
      <c r="A586" s="25">
        <f>IF(MES!A586="","",MES!C586/48)</f>
        <v>0</v>
      </c>
      <c r="B586" s="26">
        <f>IF(A586="","",TEXT((N586*4+cfgDeslocamento)/48,"hh:mm")&amp;" a "&amp;TEXT(A586,"hh:mm"))</f>
        <v>0</v>
      </c>
      <c r="C586" s="27">
        <f>IF(A586="","",MES!B586)</f>
        <v>0</v>
      </c>
      <c r="D586" s="27">
        <f>IF(A586="","",IFERROR(AVERAGEIFS(Prensa!$B$2:$B$5001,Prensa!$E$2:$E$5001,N586,Prensa!$F$2:$F$5001,1,Prensa!$G$2:$G$5001,1),""))</f>
        <v>0</v>
      </c>
      <c r="E586" s="27">
        <f>IF(A586="","",IFERROR(AVERAGEIFS(Prensa!$B$2:$B$5001,Prensa!$E$2:$E$5001,N586,Prensa!$F$2:$F$5001,2,Prensa!$G$2:$G$5001,1),""))</f>
        <v>0</v>
      </c>
      <c r="F586" s="27">
        <f>IF(A586="","",IFERROR(AVERAGEIFS(Prensa!$B$2:$B$5001,Prensa!$E$2:$E$5001,N586,Prensa!$F$2:$F$5001,3,Prensa!$G$2:$G$5001,1),""))</f>
        <v>0</v>
      </c>
      <c r="G586" s="27">
        <f>IF(A586="","",IFERROR(AVERAGEIFS(Prensa!$B$2:$B$5001,Prensa!$E$2:$E$5001,N586,Prensa!$F$2:$F$5001,4,Prensa!$G$2:$G$5001,1),""))</f>
        <v>0</v>
      </c>
      <c r="H586" s="26">
        <f>IF(A586="","",COUNT(D586:G586))</f>
        <v>0</v>
      </c>
      <c r="I586" s="27">
        <f>IF(A586="","",IF(H586=0,"",AVERAGE(D586:G586)))</f>
        <v>0</v>
      </c>
      <c r="J586" s="27">
        <f>IF(OR(I586="",C586=""),"",I586-C586)</f>
        <v>0</v>
      </c>
      <c r="K586" s="26">
        <f>IF(A586="","",IF(MES!E586&lt;&gt;4,"Horário do MES fora do padrão",IF(H586&lt;cfgMinCortes,"Cortes insuficientes","Válida")))</f>
        <v>0</v>
      </c>
      <c r="L586" s="27">
        <f>IF(K586="Válida",ABS(J586),"")</f>
        <v>0</v>
      </c>
      <c r="M586" s="26">
        <f>IF(K586="Válida",IF(L586&lt;=cfgTolerancia,"Sim","Não"),"")</f>
        <v>0</v>
      </c>
      <c r="N586" s="26">
        <f>IF(A586="","",MES!D586)</f>
        <v>0</v>
      </c>
      <c r="O586" s="25">
        <f>IF(K586="Válida",A586,NA())</f>
        <v>0</v>
      </c>
      <c r="P586" s="27">
        <f>IF(K586="Válida",C586,NA())</f>
        <v>0</v>
      </c>
      <c r="Q586" s="27">
        <f>IF(K586="Válida",I586,NA())</f>
        <v>0</v>
      </c>
      <c r="R586" s="27">
        <f>IF(K586="Válida",J586,NA())</f>
        <v>0</v>
      </c>
      <c r="S586" s="27">
        <f>IF(K586="Válida",C586,"")</f>
        <v>0</v>
      </c>
      <c r="T586" s="27">
        <f>IF(K586="Válida",I586,"")</f>
        <v>0</v>
      </c>
      <c r="U586" s="27">
        <f>IF(K586="Válida",J586,"")</f>
        <v>0</v>
      </c>
    </row>
    <row r="587" spans="1:21">
      <c r="A587" s="25">
        <f>IF(MES!A587="","",MES!C587/48)</f>
        <v>0</v>
      </c>
      <c r="B587" s="26">
        <f>IF(A587="","",TEXT((N587*4+cfgDeslocamento)/48,"hh:mm")&amp;" a "&amp;TEXT(A587,"hh:mm"))</f>
        <v>0</v>
      </c>
      <c r="C587" s="27">
        <f>IF(A587="","",MES!B587)</f>
        <v>0</v>
      </c>
      <c r="D587" s="27">
        <f>IF(A587="","",IFERROR(AVERAGEIFS(Prensa!$B$2:$B$5001,Prensa!$E$2:$E$5001,N587,Prensa!$F$2:$F$5001,1,Prensa!$G$2:$G$5001,1),""))</f>
        <v>0</v>
      </c>
      <c r="E587" s="27">
        <f>IF(A587="","",IFERROR(AVERAGEIFS(Prensa!$B$2:$B$5001,Prensa!$E$2:$E$5001,N587,Prensa!$F$2:$F$5001,2,Prensa!$G$2:$G$5001,1),""))</f>
        <v>0</v>
      </c>
      <c r="F587" s="27">
        <f>IF(A587="","",IFERROR(AVERAGEIFS(Prensa!$B$2:$B$5001,Prensa!$E$2:$E$5001,N587,Prensa!$F$2:$F$5001,3,Prensa!$G$2:$G$5001,1),""))</f>
        <v>0</v>
      </c>
      <c r="G587" s="27">
        <f>IF(A587="","",IFERROR(AVERAGEIFS(Prensa!$B$2:$B$5001,Prensa!$E$2:$E$5001,N587,Prensa!$F$2:$F$5001,4,Prensa!$G$2:$G$5001,1),""))</f>
        <v>0</v>
      </c>
      <c r="H587" s="26">
        <f>IF(A587="","",COUNT(D587:G587))</f>
        <v>0</v>
      </c>
      <c r="I587" s="27">
        <f>IF(A587="","",IF(H587=0,"",AVERAGE(D587:G587)))</f>
        <v>0</v>
      </c>
      <c r="J587" s="27">
        <f>IF(OR(I587="",C587=""),"",I587-C587)</f>
        <v>0</v>
      </c>
      <c r="K587" s="26">
        <f>IF(A587="","",IF(MES!E587&lt;&gt;4,"Horário do MES fora do padrão",IF(H587&lt;cfgMinCortes,"Cortes insuficientes","Válida")))</f>
        <v>0</v>
      </c>
      <c r="L587" s="27">
        <f>IF(K587="Válida",ABS(J587),"")</f>
        <v>0</v>
      </c>
      <c r="M587" s="26">
        <f>IF(K587="Válida",IF(L587&lt;=cfgTolerancia,"Sim","Não"),"")</f>
        <v>0</v>
      </c>
      <c r="N587" s="26">
        <f>IF(A587="","",MES!D587)</f>
        <v>0</v>
      </c>
      <c r="O587" s="25">
        <f>IF(K587="Válida",A587,NA())</f>
        <v>0</v>
      </c>
      <c r="P587" s="27">
        <f>IF(K587="Válida",C587,NA())</f>
        <v>0</v>
      </c>
      <c r="Q587" s="27">
        <f>IF(K587="Válida",I587,NA())</f>
        <v>0</v>
      </c>
      <c r="R587" s="27">
        <f>IF(K587="Válida",J587,NA())</f>
        <v>0</v>
      </c>
      <c r="S587" s="27">
        <f>IF(K587="Válida",C587,"")</f>
        <v>0</v>
      </c>
      <c r="T587" s="27">
        <f>IF(K587="Válida",I587,"")</f>
        <v>0</v>
      </c>
      <c r="U587" s="27">
        <f>IF(K587="Válida",J587,"")</f>
        <v>0</v>
      </c>
    </row>
    <row r="588" spans="1:21">
      <c r="A588" s="25">
        <f>IF(MES!A588="","",MES!C588/48)</f>
        <v>0</v>
      </c>
      <c r="B588" s="26">
        <f>IF(A588="","",TEXT((N588*4+cfgDeslocamento)/48,"hh:mm")&amp;" a "&amp;TEXT(A588,"hh:mm"))</f>
        <v>0</v>
      </c>
      <c r="C588" s="27">
        <f>IF(A588="","",MES!B588)</f>
        <v>0</v>
      </c>
      <c r="D588" s="27">
        <f>IF(A588="","",IFERROR(AVERAGEIFS(Prensa!$B$2:$B$5001,Prensa!$E$2:$E$5001,N588,Prensa!$F$2:$F$5001,1,Prensa!$G$2:$G$5001,1),""))</f>
        <v>0</v>
      </c>
      <c r="E588" s="27">
        <f>IF(A588="","",IFERROR(AVERAGEIFS(Prensa!$B$2:$B$5001,Prensa!$E$2:$E$5001,N588,Prensa!$F$2:$F$5001,2,Prensa!$G$2:$G$5001,1),""))</f>
        <v>0</v>
      </c>
      <c r="F588" s="27">
        <f>IF(A588="","",IFERROR(AVERAGEIFS(Prensa!$B$2:$B$5001,Prensa!$E$2:$E$5001,N588,Prensa!$F$2:$F$5001,3,Prensa!$G$2:$G$5001,1),""))</f>
        <v>0</v>
      </c>
      <c r="G588" s="27">
        <f>IF(A588="","",IFERROR(AVERAGEIFS(Prensa!$B$2:$B$5001,Prensa!$E$2:$E$5001,N588,Prensa!$F$2:$F$5001,4,Prensa!$G$2:$G$5001,1),""))</f>
        <v>0</v>
      </c>
      <c r="H588" s="26">
        <f>IF(A588="","",COUNT(D588:G588))</f>
        <v>0</v>
      </c>
      <c r="I588" s="27">
        <f>IF(A588="","",IF(H588=0,"",AVERAGE(D588:G588)))</f>
        <v>0</v>
      </c>
      <c r="J588" s="27">
        <f>IF(OR(I588="",C588=""),"",I588-C588)</f>
        <v>0</v>
      </c>
      <c r="K588" s="26">
        <f>IF(A588="","",IF(MES!E588&lt;&gt;4,"Horário do MES fora do padrão",IF(H588&lt;cfgMinCortes,"Cortes insuficientes","Válida")))</f>
        <v>0</v>
      </c>
      <c r="L588" s="27">
        <f>IF(K588="Válida",ABS(J588),"")</f>
        <v>0</v>
      </c>
      <c r="M588" s="26">
        <f>IF(K588="Válida",IF(L588&lt;=cfgTolerancia,"Sim","Não"),"")</f>
        <v>0</v>
      </c>
      <c r="N588" s="26">
        <f>IF(A588="","",MES!D588)</f>
        <v>0</v>
      </c>
      <c r="O588" s="25">
        <f>IF(K588="Válida",A588,NA())</f>
        <v>0</v>
      </c>
      <c r="P588" s="27">
        <f>IF(K588="Válida",C588,NA())</f>
        <v>0</v>
      </c>
      <c r="Q588" s="27">
        <f>IF(K588="Válida",I588,NA())</f>
        <v>0</v>
      </c>
      <c r="R588" s="27">
        <f>IF(K588="Válida",J588,NA())</f>
        <v>0</v>
      </c>
      <c r="S588" s="27">
        <f>IF(K588="Válida",C588,"")</f>
        <v>0</v>
      </c>
      <c r="T588" s="27">
        <f>IF(K588="Válida",I588,"")</f>
        <v>0</v>
      </c>
      <c r="U588" s="27">
        <f>IF(K588="Válida",J588,"")</f>
        <v>0</v>
      </c>
    </row>
    <row r="589" spans="1:21">
      <c r="A589" s="25">
        <f>IF(MES!A589="","",MES!C589/48)</f>
        <v>0</v>
      </c>
      <c r="B589" s="26">
        <f>IF(A589="","",TEXT((N589*4+cfgDeslocamento)/48,"hh:mm")&amp;" a "&amp;TEXT(A589,"hh:mm"))</f>
        <v>0</v>
      </c>
      <c r="C589" s="27">
        <f>IF(A589="","",MES!B589)</f>
        <v>0</v>
      </c>
      <c r="D589" s="27">
        <f>IF(A589="","",IFERROR(AVERAGEIFS(Prensa!$B$2:$B$5001,Prensa!$E$2:$E$5001,N589,Prensa!$F$2:$F$5001,1,Prensa!$G$2:$G$5001,1),""))</f>
        <v>0</v>
      </c>
      <c r="E589" s="27">
        <f>IF(A589="","",IFERROR(AVERAGEIFS(Prensa!$B$2:$B$5001,Prensa!$E$2:$E$5001,N589,Prensa!$F$2:$F$5001,2,Prensa!$G$2:$G$5001,1),""))</f>
        <v>0</v>
      </c>
      <c r="F589" s="27">
        <f>IF(A589="","",IFERROR(AVERAGEIFS(Prensa!$B$2:$B$5001,Prensa!$E$2:$E$5001,N589,Prensa!$F$2:$F$5001,3,Prensa!$G$2:$G$5001,1),""))</f>
        <v>0</v>
      </c>
      <c r="G589" s="27">
        <f>IF(A589="","",IFERROR(AVERAGEIFS(Prensa!$B$2:$B$5001,Prensa!$E$2:$E$5001,N589,Prensa!$F$2:$F$5001,4,Prensa!$G$2:$G$5001,1),""))</f>
        <v>0</v>
      </c>
      <c r="H589" s="26">
        <f>IF(A589="","",COUNT(D589:G589))</f>
        <v>0</v>
      </c>
      <c r="I589" s="27">
        <f>IF(A589="","",IF(H589=0,"",AVERAGE(D589:G589)))</f>
        <v>0</v>
      </c>
      <c r="J589" s="27">
        <f>IF(OR(I589="",C589=""),"",I589-C589)</f>
        <v>0</v>
      </c>
      <c r="K589" s="26">
        <f>IF(A589="","",IF(MES!E589&lt;&gt;4,"Horário do MES fora do padrão",IF(H589&lt;cfgMinCortes,"Cortes insuficientes","Válida")))</f>
        <v>0</v>
      </c>
      <c r="L589" s="27">
        <f>IF(K589="Válida",ABS(J589),"")</f>
        <v>0</v>
      </c>
      <c r="M589" s="26">
        <f>IF(K589="Válida",IF(L589&lt;=cfgTolerancia,"Sim","Não"),"")</f>
        <v>0</v>
      </c>
      <c r="N589" s="26">
        <f>IF(A589="","",MES!D589)</f>
        <v>0</v>
      </c>
      <c r="O589" s="25">
        <f>IF(K589="Válida",A589,NA())</f>
        <v>0</v>
      </c>
      <c r="P589" s="27">
        <f>IF(K589="Válida",C589,NA())</f>
        <v>0</v>
      </c>
      <c r="Q589" s="27">
        <f>IF(K589="Válida",I589,NA())</f>
        <v>0</v>
      </c>
      <c r="R589" s="27">
        <f>IF(K589="Válida",J589,NA())</f>
        <v>0</v>
      </c>
      <c r="S589" s="27">
        <f>IF(K589="Válida",C589,"")</f>
        <v>0</v>
      </c>
      <c r="T589" s="27">
        <f>IF(K589="Válida",I589,"")</f>
        <v>0</v>
      </c>
      <c r="U589" s="27">
        <f>IF(K589="Válida",J589,"")</f>
        <v>0</v>
      </c>
    </row>
    <row r="590" spans="1:21">
      <c r="A590" s="25">
        <f>IF(MES!A590="","",MES!C590/48)</f>
        <v>0</v>
      </c>
      <c r="B590" s="26">
        <f>IF(A590="","",TEXT((N590*4+cfgDeslocamento)/48,"hh:mm")&amp;" a "&amp;TEXT(A590,"hh:mm"))</f>
        <v>0</v>
      </c>
      <c r="C590" s="27">
        <f>IF(A590="","",MES!B590)</f>
        <v>0</v>
      </c>
      <c r="D590" s="27">
        <f>IF(A590="","",IFERROR(AVERAGEIFS(Prensa!$B$2:$B$5001,Prensa!$E$2:$E$5001,N590,Prensa!$F$2:$F$5001,1,Prensa!$G$2:$G$5001,1),""))</f>
        <v>0</v>
      </c>
      <c r="E590" s="27">
        <f>IF(A590="","",IFERROR(AVERAGEIFS(Prensa!$B$2:$B$5001,Prensa!$E$2:$E$5001,N590,Prensa!$F$2:$F$5001,2,Prensa!$G$2:$G$5001,1),""))</f>
        <v>0</v>
      </c>
      <c r="F590" s="27">
        <f>IF(A590="","",IFERROR(AVERAGEIFS(Prensa!$B$2:$B$5001,Prensa!$E$2:$E$5001,N590,Prensa!$F$2:$F$5001,3,Prensa!$G$2:$G$5001,1),""))</f>
        <v>0</v>
      </c>
      <c r="G590" s="27">
        <f>IF(A590="","",IFERROR(AVERAGEIFS(Prensa!$B$2:$B$5001,Prensa!$E$2:$E$5001,N590,Prensa!$F$2:$F$5001,4,Prensa!$G$2:$G$5001,1),""))</f>
        <v>0</v>
      </c>
      <c r="H590" s="26">
        <f>IF(A590="","",COUNT(D590:G590))</f>
        <v>0</v>
      </c>
      <c r="I590" s="27">
        <f>IF(A590="","",IF(H590=0,"",AVERAGE(D590:G590)))</f>
        <v>0</v>
      </c>
      <c r="J590" s="27">
        <f>IF(OR(I590="",C590=""),"",I590-C590)</f>
        <v>0</v>
      </c>
      <c r="K590" s="26">
        <f>IF(A590="","",IF(MES!E590&lt;&gt;4,"Horário do MES fora do padrão",IF(H590&lt;cfgMinCortes,"Cortes insuficientes","Válida")))</f>
        <v>0</v>
      </c>
      <c r="L590" s="27">
        <f>IF(K590="Válida",ABS(J590),"")</f>
        <v>0</v>
      </c>
      <c r="M590" s="26">
        <f>IF(K590="Válida",IF(L590&lt;=cfgTolerancia,"Sim","Não"),"")</f>
        <v>0</v>
      </c>
      <c r="N590" s="26">
        <f>IF(A590="","",MES!D590)</f>
        <v>0</v>
      </c>
      <c r="O590" s="25">
        <f>IF(K590="Válida",A590,NA())</f>
        <v>0</v>
      </c>
      <c r="P590" s="27">
        <f>IF(K590="Válida",C590,NA())</f>
        <v>0</v>
      </c>
      <c r="Q590" s="27">
        <f>IF(K590="Válida",I590,NA())</f>
        <v>0</v>
      </c>
      <c r="R590" s="27">
        <f>IF(K590="Válida",J590,NA())</f>
        <v>0</v>
      </c>
      <c r="S590" s="27">
        <f>IF(K590="Válida",C590,"")</f>
        <v>0</v>
      </c>
      <c r="T590" s="27">
        <f>IF(K590="Válida",I590,"")</f>
        <v>0</v>
      </c>
      <c r="U590" s="27">
        <f>IF(K590="Válida",J590,"")</f>
        <v>0</v>
      </c>
    </row>
    <row r="591" spans="1:21">
      <c r="A591" s="25">
        <f>IF(MES!A591="","",MES!C591/48)</f>
        <v>0</v>
      </c>
      <c r="B591" s="26">
        <f>IF(A591="","",TEXT((N591*4+cfgDeslocamento)/48,"hh:mm")&amp;" a "&amp;TEXT(A591,"hh:mm"))</f>
        <v>0</v>
      </c>
      <c r="C591" s="27">
        <f>IF(A591="","",MES!B591)</f>
        <v>0</v>
      </c>
      <c r="D591" s="27">
        <f>IF(A591="","",IFERROR(AVERAGEIFS(Prensa!$B$2:$B$5001,Prensa!$E$2:$E$5001,N591,Prensa!$F$2:$F$5001,1,Prensa!$G$2:$G$5001,1),""))</f>
        <v>0</v>
      </c>
      <c r="E591" s="27">
        <f>IF(A591="","",IFERROR(AVERAGEIFS(Prensa!$B$2:$B$5001,Prensa!$E$2:$E$5001,N591,Prensa!$F$2:$F$5001,2,Prensa!$G$2:$G$5001,1),""))</f>
        <v>0</v>
      </c>
      <c r="F591" s="27">
        <f>IF(A591="","",IFERROR(AVERAGEIFS(Prensa!$B$2:$B$5001,Prensa!$E$2:$E$5001,N591,Prensa!$F$2:$F$5001,3,Prensa!$G$2:$G$5001,1),""))</f>
        <v>0</v>
      </c>
      <c r="G591" s="27">
        <f>IF(A591="","",IFERROR(AVERAGEIFS(Prensa!$B$2:$B$5001,Prensa!$E$2:$E$5001,N591,Prensa!$F$2:$F$5001,4,Prensa!$G$2:$G$5001,1),""))</f>
        <v>0</v>
      </c>
      <c r="H591" s="26">
        <f>IF(A591="","",COUNT(D591:G591))</f>
        <v>0</v>
      </c>
      <c r="I591" s="27">
        <f>IF(A591="","",IF(H591=0,"",AVERAGE(D591:G591)))</f>
        <v>0</v>
      </c>
      <c r="J591" s="27">
        <f>IF(OR(I591="",C591=""),"",I591-C591)</f>
        <v>0</v>
      </c>
      <c r="K591" s="26">
        <f>IF(A591="","",IF(MES!E591&lt;&gt;4,"Horário do MES fora do padrão",IF(H591&lt;cfgMinCortes,"Cortes insuficientes","Válida")))</f>
        <v>0</v>
      </c>
      <c r="L591" s="27">
        <f>IF(K591="Válida",ABS(J591),"")</f>
        <v>0</v>
      </c>
      <c r="M591" s="26">
        <f>IF(K591="Válida",IF(L591&lt;=cfgTolerancia,"Sim","Não"),"")</f>
        <v>0</v>
      </c>
      <c r="N591" s="26">
        <f>IF(A591="","",MES!D591)</f>
        <v>0</v>
      </c>
      <c r="O591" s="25">
        <f>IF(K591="Válida",A591,NA())</f>
        <v>0</v>
      </c>
      <c r="P591" s="27">
        <f>IF(K591="Válida",C591,NA())</f>
        <v>0</v>
      </c>
      <c r="Q591" s="27">
        <f>IF(K591="Válida",I591,NA())</f>
        <v>0</v>
      </c>
      <c r="R591" s="27">
        <f>IF(K591="Válida",J591,NA())</f>
        <v>0</v>
      </c>
      <c r="S591" s="27">
        <f>IF(K591="Válida",C591,"")</f>
        <v>0</v>
      </c>
      <c r="T591" s="27">
        <f>IF(K591="Válida",I591,"")</f>
        <v>0</v>
      </c>
      <c r="U591" s="27">
        <f>IF(K591="Válida",J591,"")</f>
        <v>0</v>
      </c>
    </row>
    <row r="592" spans="1:21">
      <c r="A592" s="25">
        <f>IF(MES!A592="","",MES!C592/48)</f>
        <v>0</v>
      </c>
      <c r="B592" s="26">
        <f>IF(A592="","",TEXT((N592*4+cfgDeslocamento)/48,"hh:mm")&amp;" a "&amp;TEXT(A592,"hh:mm"))</f>
        <v>0</v>
      </c>
      <c r="C592" s="27">
        <f>IF(A592="","",MES!B592)</f>
        <v>0</v>
      </c>
      <c r="D592" s="27">
        <f>IF(A592="","",IFERROR(AVERAGEIFS(Prensa!$B$2:$B$5001,Prensa!$E$2:$E$5001,N592,Prensa!$F$2:$F$5001,1,Prensa!$G$2:$G$5001,1),""))</f>
        <v>0</v>
      </c>
      <c r="E592" s="27">
        <f>IF(A592="","",IFERROR(AVERAGEIFS(Prensa!$B$2:$B$5001,Prensa!$E$2:$E$5001,N592,Prensa!$F$2:$F$5001,2,Prensa!$G$2:$G$5001,1),""))</f>
        <v>0</v>
      </c>
      <c r="F592" s="27">
        <f>IF(A592="","",IFERROR(AVERAGEIFS(Prensa!$B$2:$B$5001,Prensa!$E$2:$E$5001,N592,Prensa!$F$2:$F$5001,3,Prensa!$G$2:$G$5001,1),""))</f>
        <v>0</v>
      </c>
      <c r="G592" s="27">
        <f>IF(A592="","",IFERROR(AVERAGEIFS(Prensa!$B$2:$B$5001,Prensa!$E$2:$E$5001,N592,Prensa!$F$2:$F$5001,4,Prensa!$G$2:$G$5001,1),""))</f>
        <v>0</v>
      </c>
      <c r="H592" s="26">
        <f>IF(A592="","",COUNT(D592:G592))</f>
        <v>0</v>
      </c>
      <c r="I592" s="27">
        <f>IF(A592="","",IF(H592=0,"",AVERAGE(D592:G592)))</f>
        <v>0</v>
      </c>
      <c r="J592" s="27">
        <f>IF(OR(I592="",C592=""),"",I592-C592)</f>
        <v>0</v>
      </c>
      <c r="K592" s="26">
        <f>IF(A592="","",IF(MES!E592&lt;&gt;4,"Horário do MES fora do padrão",IF(H592&lt;cfgMinCortes,"Cortes insuficientes","Válida")))</f>
        <v>0</v>
      </c>
      <c r="L592" s="27">
        <f>IF(K592="Válida",ABS(J592),"")</f>
        <v>0</v>
      </c>
      <c r="M592" s="26">
        <f>IF(K592="Válida",IF(L592&lt;=cfgTolerancia,"Sim","Não"),"")</f>
        <v>0</v>
      </c>
      <c r="N592" s="26">
        <f>IF(A592="","",MES!D592)</f>
        <v>0</v>
      </c>
      <c r="O592" s="25">
        <f>IF(K592="Válida",A592,NA())</f>
        <v>0</v>
      </c>
      <c r="P592" s="27">
        <f>IF(K592="Válida",C592,NA())</f>
        <v>0</v>
      </c>
      <c r="Q592" s="27">
        <f>IF(K592="Válida",I592,NA())</f>
        <v>0</v>
      </c>
      <c r="R592" s="27">
        <f>IF(K592="Válida",J592,NA())</f>
        <v>0</v>
      </c>
      <c r="S592" s="27">
        <f>IF(K592="Válida",C592,"")</f>
        <v>0</v>
      </c>
      <c r="T592" s="27">
        <f>IF(K592="Válida",I592,"")</f>
        <v>0</v>
      </c>
      <c r="U592" s="27">
        <f>IF(K592="Válida",J592,"")</f>
        <v>0</v>
      </c>
    </row>
    <row r="593" spans="1:21">
      <c r="A593" s="25">
        <f>IF(MES!A593="","",MES!C593/48)</f>
        <v>0</v>
      </c>
      <c r="B593" s="26">
        <f>IF(A593="","",TEXT((N593*4+cfgDeslocamento)/48,"hh:mm")&amp;" a "&amp;TEXT(A593,"hh:mm"))</f>
        <v>0</v>
      </c>
      <c r="C593" s="27">
        <f>IF(A593="","",MES!B593)</f>
        <v>0</v>
      </c>
      <c r="D593" s="27">
        <f>IF(A593="","",IFERROR(AVERAGEIFS(Prensa!$B$2:$B$5001,Prensa!$E$2:$E$5001,N593,Prensa!$F$2:$F$5001,1,Prensa!$G$2:$G$5001,1),""))</f>
        <v>0</v>
      </c>
      <c r="E593" s="27">
        <f>IF(A593="","",IFERROR(AVERAGEIFS(Prensa!$B$2:$B$5001,Prensa!$E$2:$E$5001,N593,Prensa!$F$2:$F$5001,2,Prensa!$G$2:$G$5001,1),""))</f>
        <v>0</v>
      </c>
      <c r="F593" s="27">
        <f>IF(A593="","",IFERROR(AVERAGEIFS(Prensa!$B$2:$B$5001,Prensa!$E$2:$E$5001,N593,Prensa!$F$2:$F$5001,3,Prensa!$G$2:$G$5001,1),""))</f>
        <v>0</v>
      </c>
      <c r="G593" s="27">
        <f>IF(A593="","",IFERROR(AVERAGEIFS(Prensa!$B$2:$B$5001,Prensa!$E$2:$E$5001,N593,Prensa!$F$2:$F$5001,4,Prensa!$G$2:$G$5001,1),""))</f>
        <v>0</v>
      </c>
      <c r="H593" s="26">
        <f>IF(A593="","",COUNT(D593:G593))</f>
        <v>0</v>
      </c>
      <c r="I593" s="27">
        <f>IF(A593="","",IF(H593=0,"",AVERAGE(D593:G593)))</f>
        <v>0</v>
      </c>
      <c r="J593" s="27">
        <f>IF(OR(I593="",C593=""),"",I593-C593)</f>
        <v>0</v>
      </c>
      <c r="K593" s="26">
        <f>IF(A593="","",IF(MES!E593&lt;&gt;4,"Horário do MES fora do padrão",IF(H593&lt;cfgMinCortes,"Cortes insuficientes","Válida")))</f>
        <v>0</v>
      </c>
      <c r="L593" s="27">
        <f>IF(K593="Válida",ABS(J593),"")</f>
        <v>0</v>
      </c>
      <c r="M593" s="26">
        <f>IF(K593="Válida",IF(L593&lt;=cfgTolerancia,"Sim","Não"),"")</f>
        <v>0</v>
      </c>
      <c r="N593" s="26">
        <f>IF(A593="","",MES!D593)</f>
        <v>0</v>
      </c>
      <c r="O593" s="25">
        <f>IF(K593="Válida",A593,NA())</f>
        <v>0</v>
      </c>
      <c r="P593" s="27">
        <f>IF(K593="Válida",C593,NA())</f>
        <v>0</v>
      </c>
      <c r="Q593" s="27">
        <f>IF(K593="Válida",I593,NA())</f>
        <v>0</v>
      </c>
      <c r="R593" s="27">
        <f>IF(K593="Válida",J593,NA())</f>
        <v>0</v>
      </c>
      <c r="S593" s="27">
        <f>IF(K593="Válida",C593,"")</f>
        <v>0</v>
      </c>
      <c r="T593" s="27">
        <f>IF(K593="Válida",I593,"")</f>
        <v>0</v>
      </c>
      <c r="U593" s="27">
        <f>IF(K593="Válida",J593,"")</f>
        <v>0</v>
      </c>
    </row>
    <row r="594" spans="1:21">
      <c r="A594" s="25">
        <f>IF(MES!A594="","",MES!C594/48)</f>
        <v>0</v>
      </c>
      <c r="B594" s="26">
        <f>IF(A594="","",TEXT((N594*4+cfgDeslocamento)/48,"hh:mm")&amp;" a "&amp;TEXT(A594,"hh:mm"))</f>
        <v>0</v>
      </c>
      <c r="C594" s="27">
        <f>IF(A594="","",MES!B594)</f>
        <v>0</v>
      </c>
      <c r="D594" s="27">
        <f>IF(A594="","",IFERROR(AVERAGEIFS(Prensa!$B$2:$B$5001,Prensa!$E$2:$E$5001,N594,Prensa!$F$2:$F$5001,1,Prensa!$G$2:$G$5001,1),""))</f>
        <v>0</v>
      </c>
      <c r="E594" s="27">
        <f>IF(A594="","",IFERROR(AVERAGEIFS(Prensa!$B$2:$B$5001,Prensa!$E$2:$E$5001,N594,Prensa!$F$2:$F$5001,2,Prensa!$G$2:$G$5001,1),""))</f>
        <v>0</v>
      </c>
      <c r="F594" s="27">
        <f>IF(A594="","",IFERROR(AVERAGEIFS(Prensa!$B$2:$B$5001,Prensa!$E$2:$E$5001,N594,Prensa!$F$2:$F$5001,3,Prensa!$G$2:$G$5001,1),""))</f>
        <v>0</v>
      </c>
      <c r="G594" s="27">
        <f>IF(A594="","",IFERROR(AVERAGEIFS(Prensa!$B$2:$B$5001,Prensa!$E$2:$E$5001,N594,Prensa!$F$2:$F$5001,4,Prensa!$G$2:$G$5001,1),""))</f>
        <v>0</v>
      </c>
      <c r="H594" s="26">
        <f>IF(A594="","",COUNT(D594:G594))</f>
        <v>0</v>
      </c>
      <c r="I594" s="27">
        <f>IF(A594="","",IF(H594=0,"",AVERAGE(D594:G594)))</f>
        <v>0</v>
      </c>
      <c r="J594" s="27">
        <f>IF(OR(I594="",C594=""),"",I594-C594)</f>
        <v>0</v>
      </c>
      <c r="K594" s="26">
        <f>IF(A594="","",IF(MES!E594&lt;&gt;4,"Horário do MES fora do padrão",IF(H594&lt;cfgMinCortes,"Cortes insuficientes","Válida")))</f>
        <v>0</v>
      </c>
      <c r="L594" s="27">
        <f>IF(K594="Válida",ABS(J594),"")</f>
        <v>0</v>
      </c>
      <c r="M594" s="26">
        <f>IF(K594="Válida",IF(L594&lt;=cfgTolerancia,"Sim","Não"),"")</f>
        <v>0</v>
      </c>
      <c r="N594" s="26">
        <f>IF(A594="","",MES!D594)</f>
        <v>0</v>
      </c>
      <c r="O594" s="25">
        <f>IF(K594="Válida",A594,NA())</f>
        <v>0</v>
      </c>
      <c r="P594" s="27">
        <f>IF(K594="Válida",C594,NA())</f>
        <v>0</v>
      </c>
      <c r="Q594" s="27">
        <f>IF(K594="Válida",I594,NA())</f>
        <v>0</v>
      </c>
      <c r="R594" s="27">
        <f>IF(K594="Válida",J594,NA())</f>
        <v>0</v>
      </c>
      <c r="S594" s="27">
        <f>IF(K594="Válida",C594,"")</f>
        <v>0</v>
      </c>
      <c r="T594" s="27">
        <f>IF(K594="Válida",I594,"")</f>
        <v>0</v>
      </c>
      <c r="U594" s="27">
        <f>IF(K594="Válida",J594,"")</f>
        <v>0</v>
      </c>
    </row>
    <row r="595" spans="1:21">
      <c r="A595" s="25">
        <f>IF(MES!A595="","",MES!C595/48)</f>
        <v>0</v>
      </c>
      <c r="B595" s="26">
        <f>IF(A595="","",TEXT((N595*4+cfgDeslocamento)/48,"hh:mm")&amp;" a "&amp;TEXT(A595,"hh:mm"))</f>
        <v>0</v>
      </c>
      <c r="C595" s="27">
        <f>IF(A595="","",MES!B595)</f>
        <v>0</v>
      </c>
      <c r="D595" s="27">
        <f>IF(A595="","",IFERROR(AVERAGEIFS(Prensa!$B$2:$B$5001,Prensa!$E$2:$E$5001,N595,Prensa!$F$2:$F$5001,1,Prensa!$G$2:$G$5001,1),""))</f>
        <v>0</v>
      </c>
      <c r="E595" s="27">
        <f>IF(A595="","",IFERROR(AVERAGEIFS(Prensa!$B$2:$B$5001,Prensa!$E$2:$E$5001,N595,Prensa!$F$2:$F$5001,2,Prensa!$G$2:$G$5001,1),""))</f>
        <v>0</v>
      </c>
      <c r="F595" s="27">
        <f>IF(A595="","",IFERROR(AVERAGEIFS(Prensa!$B$2:$B$5001,Prensa!$E$2:$E$5001,N595,Prensa!$F$2:$F$5001,3,Prensa!$G$2:$G$5001,1),""))</f>
        <v>0</v>
      </c>
      <c r="G595" s="27">
        <f>IF(A595="","",IFERROR(AVERAGEIFS(Prensa!$B$2:$B$5001,Prensa!$E$2:$E$5001,N595,Prensa!$F$2:$F$5001,4,Prensa!$G$2:$G$5001,1),""))</f>
        <v>0</v>
      </c>
      <c r="H595" s="26">
        <f>IF(A595="","",COUNT(D595:G595))</f>
        <v>0</v>
      </c>
      <c r="I595" s="27">
        <f>IF(A595="","",IF(H595=0,"",AVERAGE(D595:G595)))</f>
        <v>0</v>
      </c>
      <c r="J595" s="27">
        <f>IF(OR(I595="",C595=""),"",I595-C595)</f>
        <v>0</v>
      </c>
      <c r="K595" s="26">
        <f>IF(A595="","",IF(MES!E595&lt;&gt;4,"Horário do MES fora do padrão",IF(H595&lt;cfgMinCortes,"Cortes insuficientes","Válida")))</f>
        <v>0</v>
      </c>
      <c r="L595" s="27">
        <f>IF(K595="Válida",ABS(J595),"")</f>
        <v>0</v>
      </c>
      <c r="M595" s="26">
        <f>IF(K595="Válida",IF(L595&lt;=cfgTolerancia,"Sim","Não"),"")</f>
        <v>0</v>
      </c>
      <c r="N595" s="26">
        <f>IF(A595="","",MES!D595)</f>
        <v>0</v>
      </c>
      <c r="O595" s="25">
        <f>IF(K595="Válida",A595,NA())</f>
        <v>0</v>
      </c>
      <c r="P595" s="27">
        <f>IF(K595="Válida",C595,NA())</f>
        <v>0</v>
      </c>
      <c r="Q595" s="27">
        <f>IF(K595="Válida",I595,NA())</f>
        <v>0</v>
      </c>
      <c r="R595" s="27">
        <f>IF(K595="Válida",J595,NA())</f>
        <v>0</v>
      </c>
      <c r="S595" s="27">
        <f>IF(K595="Válida",C595,"")</f>
        <v>0</v>
      </c>
      <c r="T595" s="27">
        <f>IF(K595="Válida",I595,"")</f>
        <v>0</v>
      </c>
      <c r="U595" s="27">
        <f>IF(K595="Válida",J595,"")</f>
        <v>0</v>
      </c>
    </row>
    <row r="596" spans="1:21">
      <c r="A596" s="25">
        <f>IF(MES!A596="","",MES!C596/48)</f>
        <v>0</v>
      </c>
      <c r="B596" s="26">
        <f>IF(A596="","",TEXT((N596*4+cfgDeslocamento)/48,"hh:mm")&amp;" a "&amp;TEXT(A596,"hh:mm"))</f>
        <v>0</v>
      </c>
      <c r="C596" s="27">
        <f>IF(A596="","",MES!B596)</f>
        <v>0</v>
      </c>
      <c r="D596" s="27">
        <f>IF(A596="","",IFERROR(AVERAGEIFS(Prensa!$B$2:$B$5001,Prensa!$E$2:$E$5001,N596,Prensa!$F$2:$F$5001,1,Prensa!$G$2:$G$5001,1),""))</f>
        <v>0</v>
      </c>
      <c r="E596" s="27">
        <f>IF(A596="","",IFERROR(AVERAGEIFS(Prensa!$B$2:$B$5001,Prensa!$E$2:$E$5001,N596,Prensa!$F$2:$F$5001,2,Prensa!$G$2:$G$5001,1),""))</f>
        <v>0</v>
      </c>
      <c r="F596" s="27">
        <f>IF(A596="","",IFERROR(AVERAGEIFS(Prensa!$B$2:$B$5001,Prensa!$E$2:$E$5001,N596,Prensa!$F$2:$F$5001,3,Prensa!$G$2:$G$5001,1),""))</f>
        <v>0</v>
      </c>
      <c r="G596" s="27">
        <f>IF(A596="","",IFERROR(AVERAGEIFS(Prensa!$B$2:$B$5001,Prensa!$E$2:$E$5001,N596,Prensa!$F$2:$F$5001,4,Prensa!$G$2:$G$5001,1),""))</f>
        <v>0</v>
      </c>
      <c r="H596" s="26">
        <f>IF(A596="","",COUNT(D596:G596))</f>
        <v>0</v>
      </c>
      <c r="I596" s="27">
        <f>IF(A596="","",IF(H596=0,"",AVERAGE(D596:G596)))</f>
        <v>0</v>
      </c>
      <c r="J596" s="27">
        <f>IF(OR(I596="",C596=""),"",I596-C596)</f>
        <v>0</v>
      </c>
      <c r="K596" s="26">
        <f>IF(A596="","",IF(MES!E596&lt;&gt;4,"Horário do MES fora do padrão",IF(H596&lt;cfgMinCortes,"Cortes insuficientes","Válida")))</f>
        <v>0</v>
      </c>
      <c r="L596" s="27">
        <f>IF(K596="Válida",ABS(J596),"")</f>
        <v>0</v>
      </c>
      <c r="M596" s="26">
        <f>IF(K596="Válida",IF(L596&lt;=cfgTolerancia,"Sim","Não"),"")</f>
        <v>0</v>
      </c>
      <c r="N596" s="26">
        <f>IF(A596="","",MES!D596)</f>
        <v>0</v>
      </c>
      <c r="O596" s="25">
        <f>IF(K596="Válida",A596,NA())</f>
        <v>0</v>
      </c>
      <c r="P596" s="27">
        <f>IF(K596="Válida",C596,NA())</f>
        <v>0</v>
      </c>
      <c r="Q596" s="27">
        <f>IF(K596="Válida",I596,NA())</f>
        <v>0</v>
      </c>
      <c r="R596" s="27">
        <f>IF(K596="Válida",J596,NA())</f>
        <v>0</v>
      </c>
      <c r="S596" s="27">
        <f>IF(K596="Válida",C596,"")</f>
        <v>0</v>
      </c>
      <c r="T596" s="27">
        <f>IF(K596="Válida",I596,"")</f>
        <v>0</v>
      </c>
      <c r="U596" s="27">
        <f>IF(K596="Válida",J596,"")</f>
        <v>0</v>
      </c>
    </row>
    <row r="597" spans="1:21">
      <c r="A597" s="25">
        <f>IF(MES!A597="","",MES!C597/48)</f>
        <v>0</v>
      </c>
      <c r="B597" s="26">
        <f>IF(A597="","",TEXT((N597*4+cfgDeslocamento)/48,"hh:mm")&amp;" a "&amp;TEXT(A597,"hh:mm"))</f>
        <v>0</v>
      </c>
      <c r="C597" s="27">
        <f>IF(A597="","",MES!B597)</f>
        <v>0</v>
      </c>
      <c r="D597" s="27">
        <f>IF(A597="","",IFERROR(AVERAGEIFS(Prensa!$B$2:$B$5001,Prensa!$E$2:$E$5001,N597,Prensa!$F$2:$F$5001,1,Prensa!$G$2:$G$5001,1),""))</f>
        <v>0</v>
      </c>
      <c r="E597" s="27">
        <f>IF(A597="","",IFERROR(AVERAGEIFS(Prensa!$B$2:$B$5001,Prensa!$E$2:$E$5001,N597,Prensa!$F$2:$F$5001,2,Prensa!$G$2:$G$5001,1),""))</f>
        <v>0</v>
      </c>
      <c r="F597" s="27">
        <f>IF(A597="","",IFERROR(AVERAGEIFS(Prensa!$B$2:$B$5001,Prensa!$E$2:$E$5001,N597,Prensa!$F$2:$F$5001,3,Prensa!$G$2:$G$5001,1),""))</f>
        <v>0</v>
      </c>
      <c r="G597" s="27">
        <f>IF(A597="","",IFERROR(AVERAGEIFS(Prensa!$B$2:$B$5001,Prensa!$E$2:$E$5001,N597,Prensa!$F$2:$F$5001,4,Prensa!$G$2:$G$5001,1),""))</f>
        <v>0</v>
      </c>
      <c r="H597" s="26">
        <f>IF(A597="","",COUNT(D597:G597))</f>
        <v>0</v>
      </c>
      <c r="I597" s="27">
        <f>IF(A597="","",IF(H597=0,"",AVERAGE(D597:G597)))</f>
        <v>0</v>
      </c>
      <c r="J597" s="27">
        <f>IF(OR(I597="",C597=""),"",I597-C597)</f>
        <v>0</v>
      </c>
      <c r="K597" s="26">
        <f>IF(A597="","",IF(MES!E597&lt;&gt;4,"Horário do MES fora do padrão",IF(H597&lt;cfgMinCortes,"Cortes insuficientes","Válida")))</f>
        <v>0</v>
      </c>
      <c r="L597" s="27">
        <f>IF(K597="Válida",ABS(J597),"")</f>
        <v>0</v>
      </c>
      <c r="M597" s="26">
        <f>IF(K597="Válida",IF(L597&lt;=cfgTolerancia,"Sim","Não"),"")</f>
        <v>0</v>
      </c>
      <c r="N597" s="26">
        <f>IF(A597="","",MES!D597)</f>
        <v>0</v>
      </c>
      <c r="O597" s="25">
        <f>IF(K597="Válida",A597,NA())</f>
        <v>0</v>
      </c>
      <c r="P597" s="27">
        <f>IF(K597="Válida",C597,NA())</f>
        <v>0</v>
      </c>
      <c r="Q597" s="27">
        <f>IF(K597="Válida",I597,NA())</f>
        <v>0</v>
      </c>
      <c r="R597" s="27">
        <f>IF(K597="Válida",J597,NA())</f>
        <v>0</v>
      </c>
      <c r="S597" s="27">
        <f>IF(K597="Válida",C597,"")</f>
        <v>0</v>
      </c>
      <c r="T597" s="27">
        <f>IF(K597="Válida",I597,"")</f>
        <v>0</v>
      </c>
      <c r="U597" s="27">
        <f>IF(K597="Válida",J597,"")</f>
        <v>0</v>
      </c>
    </row>
    <row r="598" spans="1:21">
      <c r="A598" s="25">
        <f>IF(MES!A598="","",MES!C598/48)</f>
        <v>0</v>
      </c>
      <c r="B598" s="26">
        <f>IF(A598="","",TEXT((N598*4+cfgDeslocamento)/48,"hh:mm")&amp;" a "&amp;TEXT(A598,"hh:mm"))</f>
        <v>0</v>
      </c>
      <c r="C598" s="27">
        <f>IF(A598="","",MES!B598)</f>
        <v>0</v>
      </c>
      <c r="D598" s="27">
        <f>IF(A598="","",IFERROR(AVERAGEIFS(Prensa!$B$2:$B$5001,Prensa!$E$2:$E$5001,N598,Prensa!$F$2:$F$5001,1,Prensa!$G$2:$G$5001,1),""))</f>
        <v>0</v>
      </c>
      <c r="E598" s="27">
        <f>IF(A598="","",IFERROR(AVERAGEIFS(Prensa!$B$2:$B$5001,Prensa!$E$2:$E$5001,N598,Prensa!$F$2:$F$5001,2,Prensa!$G$2:$G$5001,1),""))</f>
        <v>0</v>
      </c>
      <c r="F598" s="27">
        <f>IF(A598="","",IFERROR(AVERAGEIFS(Prensa!$B$2:$B$5001,Prensa!$E$2:$E$5001,N598,Prensa!$F$2:$F$5001,3,Prensa!$G$2:$G$5001,1),""))</f>
        <v>0</v>
      </c>
      <c r="G598" s="27">
        <f>IF(A598="","",IFERROR(AVERAGEIFS(Prensa!$B$2:$B$5001,Prensa!$E$2:$E$5001,N598,Prensa!$F$2:$F$5001,4,Prensa!$G$2:$G$5001,1),""))</f>
        <v>0</v>
      </c>
      <c r="H598" s="26">
        <f>IF(A598="","",COUNT(D598:G598))</f>
        <v>0</v>
      </c>
      <c r="I598" s="27">
        <f>IF(A598="","",IF(H598=0,"",AVERAGE(D598:G598)))</f>
        <v>0</v>
      </c>
      <c r="J598" s="27">
        <f>IF(OR(I598="",C598=""),"",I598-C598)</f>
        <v>0</v>
      </c>
      <c r="K598" s="26">
        <f>IF(A598="","",IF(MES!E598&lt;&gt;4,"Horário do MES fora do padrão",IF(H598&lt;cfgMinCortes,"Cortes insuficientes","Válida")))</f>
        <v>0</v>
      </c>
      <c r="L598" s="27">
        <f>IF(K598="Válida",ABS(J598),"")</f>
        <v>0</v>
      </c>
      <c r="M598" s="26">
        <f>IF(K598="Válida",IF(L598&lt;=cfgTolerancia,"Sim","Não"),"")</f>
        <v>0</v>
      </c>
      <c r="N598" s="26">
        <f>IF(A598="","",MES!D598)</f>
        <v>0</v>
      </c>
      <c r="O598" s="25">
        <f>IF(K598="Válida",A598,NA())</f>
        <v>0</v>
      </c>
      <c r="P598" s="27">
        <f>IF(K598="Válida",C598,NA())</f>
        <v>0</v>
      </c>
      <c r="Q598" s="27">
        <f>IF(K598="Válida",I598,NA())</f>
        <v>0</v>
      </c>
      <c r="R598" s="27">
        <f>IF(K598="Válida",J598,NA())</f>
        <v>0</v>
      </c>
      <c r="S598" s="27">
        <f>IF(K598="Válida",C598,"")</f>
        <v>0</v>
      </c>
      <c r="T598" s="27">
        <f>IF(K598="Válida",I598,"")</f>
        <v>0</v>
      </c>
      <c r="U598" s="27">
        <f>IF(K598="Válida",J598,"")</f>
        <v>0</v>
      </c>
    </row>
    <row r="599" spans="1:21">
      <c r="A599" s="25">
        <f>IF(MES!A599="","",MES!C599/48)</f>
        <v>0</v>
      </c>
      <c r="B599" s="26">
        <f>IF(A599="","",TEXT((N599*4+cfgDeslocamento)/48,"hh:mm")&amp;" a "&amp;TEXT(A599,"hh:mm"))</f>
        <v>0</v>
      </c>
      <c r="C599" s="27">
        <f>IF(A599="","",MES!B599)</f>
        <v>0</v>
      </c>
      <c r="D599" s="27">
        <f>IF(A599="","",IFERROR(AVERAGEIFS(Prensa!$B$2:$B$5001,Prensa!$E$2:$E$5001,N599,Prensa!$F$2:$F$5001,1,Prensa!$G$2:$G$5001,1),""))</f>
        <v>0</v>
      </c>
      <c r="E599" s="27">
        <f>IF(A599="","",IFERROR(AVERAGEIFS(Prensa!$B$2:$B$5001,Prensa!$E$2:$E$5001,N599,Prensa!$F$2:$F$5001,2,Prensa!$G$2:$G$5001,1),""))</f>
        <v>0</v>
      </c>
      <c r="F599" s="27">
        <f>IF(A599="","",IFERROR(AVERAGEIFS(Prensa!$B$2:$B$5001,Prensa!$E$2:$E$5001,N599,Prensa!$F$2:$F$5001,3,Prensa!$G$2:$G$5001,1),""))</f>
        <v>0</v>
      </c>
      <c r="G599" s="27">
        <f>IF(A599="","",IFERROR(AVERAGEIFS(Prensa!$B$2:$B$5001,Prensa!$E$2:$E$5001,N599,Prensa!$F$2:$F$5001,4,Prensa!$G$2:$G$5001,1),""))</f>
        <v>0</v>
      </c>
      <c r="H599" s="26">
        <f>IF(A599="","",COUNT(D599:G599))</f>
        <v>0</v>
      </c>
      <c r="I599" s="27">
        <f>IF(A599="","",IF(H599=0,"",AVERAGE(D599:G599)))</f>
        <v>0</v>
      </c>
      <c r="J599" s="27">
        <f>IF(OR(I599="",C599=""),"",I599-C599)</f>
        <v>0</v>
      </c>
      <c r="K599" s="26">
        <f>IF(A599="","",IF(MES!E599&lt;&gt;4,"Horário do MES fora do padrão",IF(H599&lt;cfgMinCortes,"Cortes insuficientes","Válida")))</f>
        <v>0</v>
      </c>
      <c r="L599" s="27">
        <f>IF(K599="Válida",ABS(J599),"")</f>
        <v>0</v>
      </c>
      <c r="M599" s="26">
        <f>IF(K599="Válida",IF(L599&lt;=cfgTolerancia,"Sim","Não"),"")</f>
        <v>0</v>
      </c>
      <c r="N599" s="26">
        <f>IF(A599="","",MES!D599)</f>
        <v>0</v>
      </c>
      <c r="O599" s="25">
        <f>IF(K599="Válida",A599,NA())</f>
        <v>0</v>
      </c>
      <c r="P599" s="27">
        <f>IF(K599="Válida",C599,NA())</f>
        <v>0</v>
      </c>
      <c r="Q599" s="27">
        <f>IF(K599="Válida",I599,NA())</f>
        <v>0</v>
      </c>
      <c r="R599" s="27">
        <f>IF(K599="Válida",J599,NA())</f>
        <v>0</v>
      </c>
      <c r="S599" s="27">
        <f>IF(K599="Válida",C599,"")</f>
        <v>0</v>
      </c>
      <c r="T599" s="27">
        <f>IF(K599="Válida",I599,"")</f>
        <v>0</v>
      </c>
      <c r="U599" s="27">
        <f>IF(K599="Válida",J599,"")</f>
        <v>0</v>
      </c>
    </row>
    <row r="600" spans="1:21">
      <c r="A600" s="25">
        <f>IF(MES!A600="","",MES!C600/48)</f>
        <v>0</v>
      </c>
      <c r="B600" s="26">
        <f>IF(A600="","",TEXT((N600*4+cfgDeslocamento)/48,"hh:mm")&amp;" a "&amp;TEXT(A600,"hh:mm"))</f>
        <v>0</v>
      </c>
      <c r="C600" s="27">
        <f>IF(A600="","",MES!B600)</f>
        <v>0</v>
      </c>
      <c r="D600" s="27">
        <f>IF(A600="","",IFERROR(AVERAGEIFS(Prensa!$B$2:$B$5001,Prensa!$E$2:$E$5001,N600,Prensa!$F$2:$F$5001,1,Prensa!$G$2:$G$5001,1),""))</f>
        <v>0</v>
      </c>
      <c r="E600" s="27">
        <f>IF(A600="","",IFERROR(AVERAGEIFS(Prensa!$B$2:$B$5001,Prensa!$E$2:$E$5001,N600,Prensa!$F$2:$F$5001,2,Prensa!$G$2:$G$5001,1),""))</f>
        <v>0</v>
      </c>
      <c r="F600" s="27">
        <f>IF(A600="","",IFERROR(AVERAGEIFS(Prensa!$B$2:$B$5001,Prensa!$E$2:$E$5001,N600,Prensa!$F$2:$F$5001,3,Prensa!$G$2:$G$5001,1),""))</f>
        <v>0</v>
      </c>
      <c r="G600" s="27">
        <f>IF(A600="","",IFERROR(AVERAGEIFS(Prensa!$B$2:$B$5001,Prensa!$E$2:$E$5001,N600,Prensa!$F$2:$F$5001,4,Prensa!$G$2:$G$5001,1),""))</f>
        <v>0</v>
      </c>
      <c r="H600" s="26">
        <f>IF(A600="","",COUNT(D600:G600))</f>
        <v>0</v>
      </c>
      <c r="I600" s="27">
        <f>IF(A600="","",IF(H600=0,"",AVERAGE(D600:G600)))</f>
        <v>0</v>
      </c>
      <c r="J600" s="27">
        <f>IF(OR(I600="",C600=""),"",I600-C600)</f>
        <v>0</v>
      </c>
      <c r="K600" s="26">
        <f>IF(A600="","",IF(MES!E600&lt;&gt;4,"Horário do MES fora do padrão",IF(H600&lt;cfgMinCortes,"Cortes insuficientes","Válida")))</f>
        <v>0</v>
      </c>
      <c r="L600" s="27">
        <f>IF(K600="Válida",ABS(J600),"")</f>
        <v>0</v>
      </c>
      <c r="M600" s="26">
        <f>IF(K600="Válida",IF(L600&lt;=cfgTolerancia,"Sim","Não"),"")</f>
        <v>0</v>
      </c>
      <c r="N600" s="26">
        <f>IF(A600="","",MES!D600)</f>
        <v>0</v>
      </c>
      <c r="O600" s="25">
        <f>IF(K600="Válida",A600,NA())</f>
        <v>0</v>
      </c>
      <c r="P600" s="27">
        <f>IF(K600="Válida",C600,NA())</f>
        <v>0</v>
      </c>
      <c r="Q600" s="27">
        <f>IF(K600="Válida",I600,NA())</f>
        <v>0</v>
      </c>
      <c r="R600" s="27">
        <f>IF(K600="Válida",J600,NA())</f>
        <v>0</v>
      </c>
      <c r="S600" s="27">
        <f>IF(K600="Válida",C600,"")</f>
        <v>0</v>
      </c>
      <c r="T600" s="27">
        <f>IF(K600="Válida",I600,"")</f>
        <v>0</v>
      </c>
      <c r="U600" s="27">
        <f>IF(K600="Válida",J600,"")</f>
        <v>0</v>
      </c>
    </row>
    <row r="601" spans="1:21">
      <c r="A601" s="25">
        <f>IF(MES!A601="","",MES!C601/48)</f>
        <v>0</v>
      </c>
      <c r="B601" s="26">
        <f>IF(A601="","",TEXT((N601*4+cfgDeslocamento)/48,"hh:mm")&amp;" a "&amp;TEXT(A601,"hh:mm"))</f>
        <v>0</v>
      </c>
      <c r="C601" s="27">
        <f>IF(A601="","",MES!B601)</f>
        <v>0</v>
      </c>
      <c r="D601" s="27">
        <f>IF(A601="","",IFERROR(AVERAGEIFS(Prensa!$B$2:$B$5001,Prensa!$E$2:$E$5001,N601,Prensa!$F$2:$F$5001,1,Prensa!$G$2:$G$5001,1),""))</f>
        <v>0</v>
      </c>
      <c r="E601" s="27">
        <f>IF(A601="","",IFERROR(AVERAGEIFS(Prensa!$B$2:$B$5001,Prensa!$E$2:$E$5001,N601,Prensa!$F$2:$F$5001,2,Prensa!$G$2:$G$5001,1),""))</f>
        <v>0</v>
      </c>
      <c r="F601" s="27">
        <f>IF(A601="","",IFERROR(AVERAGEIFS(Prensa!$B$2:$B$5001,Prensa!$E$2:$E$5001,N601,Prensa!$F$2:$F$5001,3,Prensa!$G$2:$G$5001,1),""))</f>
        <v>0</v>
      </c>
      <c r="G601" s="27">
        <f>IF(A601="","",IFERROR(AVERAGEIFS(Prensa!$B$2:$B$5001,Prensa!$E$2:$E$5001,N601,Prensa!$F$2:$F$5001,4,Prensa!$G$2:$G$5001,1),""))</f>
        <v>0</v>
      </c>
      <c r="H601" s="26">
        <f>IF(A601="","",COUNT(D601:G601))</f>
        <v>0</v>
      </c>
      <c r="I601" s="27">
        <f>IF(A601="","",IF(H601=0,"",AVERAGE(D601:G601)))</f>
        <v>0</v>
      </c>
      <c r="J601" s="27">
        <f>IF(OR(I601="",C601=""),"",I601-C601)</f>
        <v>0</v>
      </c>
      <c r="K601" s="26">
        <f>IF(A601="","",IF(MES!E601&lt;&gt;4,"Horário do MES fora do padrão",IF(H601&lt;cfgMinCortes,"Cortes insuficientes","Válida")))</f>
        <v>0</v>
      </c>
      <c r="L601" s="27">
        <f>IF(K601="Válida",ABS(J601),"")</f>
        <v>0</v>
      </c>
      <c r="M601" s="26">
        <f>IF(K601="Válida",IF(L601&lt;=cfgTolerancia,"Sim","Não"),"")</f>
        <v>0</v>
      </c>
      <c r="N601" s="26">
        <f>IF(A601="","",MES!D601)</f>
        <v>0</v>
      </c>
      <c r="O601" s="25">
        <f>IF(K601="Válida",A601,NA())</f>
        <v>0</v>
      </c>
      <c r="P601" s="27">
        <f>IF(K601="Válida",C601,NA())</f>
        <v>0</v>
      </c>
      <c r="Q601" s="27">
        <f>IF(K601="Válida",I601,NA())</f>
        <v>0</v>
      </c>
      <c r="R601" s="27">
        <f>IF(K601="Válida",J601,NA())</f>
        <v>0</v>
      </c>
      <c r="S601" s="27">
        <f>IF(K601="Válida",C601,"")</f>
        <v>0</v>
      </c>
      <c r="T601" s="27">
        <f>IF(K601="Válida",I601,"")</f>
        <v>0</v>
      </c>
      <c r="U601" s="27">
        <f>IF(K601="Válida",J601,"")</f>
        <v>0</v>
      </c>
    </row>
    <row r="602" spans="1:21">
      <c r="A602" s="25">
        <f>IF(MES!A602="","",MES!C602/48)</f>
        <v>0</v>
      </c>
      <c r="B602" s="26">
        <f>IF(A602="","",TEXT((N602*4+cfgDeslocamento)/48,"hh:mm")&amp;" a "&amp;TEXT(A602,"hh:mm"))</f>
        <v>0</v>
      </c>
      <c r="C602" s="27">
        <f>IF(A602="","",MES!B602)</f>
        <v>0</v>
      </c>
      <c r="D602" s="27">
        <f>IF(A602="","",IFERROR(AVERAGEIFS(Prensa!$B$2:$B$5001,Prensa!$E$2:$E$5001,N602,Prensa!$F$2:$F$5001,1,Prensa!$G$2:$G$5001,1),""))</f>
        <v>0</v>
      </c>
      <c r="E602" s="27">
        <f>IF(A602="","",IFERROR(AVERAGEIFS(Prensa!$B$2:$B$5001,Prensa!$E$2:$E$5001,N602,Prensa!$F$2:$F$5001,2,Prensa!$G$2:$G$5001,1),""))</f>
        <v>0</v>
      </c>
      <c r="F602" s="27">
        <f>IF(A602="","",IFERROR(AVERAGEIFS(Prensa!$B$2:$B$5001,Prensa!$E$2:$E$5001,N602,Prensa!$F$2:$F$5001,3,Prensa!$G$2:$G$5001,1),""))</f>
        <v>0</v>
      </c>
      <c r="G602" s="27">
        <f>IF(A602="","",IFERROR(AVERAGEIFS(Prensa!$B$2:$B$5001,Prensa!$E$2:$E$5001,N602,Prensa!$F$2:$F$5001,4,Prensa!$G$2:$G$5001,1),""))</f>
        <v>0</v>
      </c>
      <c r="H602" s="26">
        <f>IF(A602="","",COUNT(D602:G602))</f>
        <v>0</v>
      </c>
      <c r="I602" s="27">
        <f>IF(A602="","",IF(H602=0,"",AVERAGE(D602:G602)))</f>
        <v>0</v>
      </c>
      <c r="J602" s="27">
        <f>IF(OR(I602="",C602=""),"",I602-C602)</f>
        <v>0</v>
      </c>
      <c r="K602" s="26">
        <f>IF(A602="","",IF(MES!E602&lt;&gt;4,"Horário do MES fora do padrão",IF(H602&lt;cfgMinCortes,"Cortes insuficientes","Válida")))</f>
        <v>0</v>
      </c>
      <c r="L602" s="27">
        <f>IF(K602="Válida",ABS(J602),"")</f>
        <v>0</v>
      </c>
      <c r="M602" s="26">
        <f>IF(K602="Válida",IF(L602&lt;=cfgTolerancia,"Sim","Não"),"")</f>
        <v>0</v>
      </c>
      <c r="N602" s="26">
        <f>IF(A602="","",MES!D602)</f>
        <v>0</v>
      </c>
      <c r="O602" s="25">
        <f>IF(K602="Válida",A602,NA())</f>
        <v>0</v>
      </c>
      <c r="P602" s="27">
        <f>IF(K602="Válida",C602,NA())</f>
        <v>0</v>
      </c>
      <c r="Q602" s="27">
        <f>IF(K602="Válida",I602,NA())</f>
        <v>0</v>
      </c>
      <c r="R602" s="27">
        <f>IF(K602="Válida",J602,NA())</f>
        <v>0</v>
      </c>
      <c r="S602" s="27">
        <f>IF(K602="Válida",C602,"")</f>
        <v>0</v>
      </c>
      <c r="T602" s="27">
        <f>IF(K602="Válida",I602,"")</f>
        <v>0</v>
      </c>
      <c r="U602" s="27">
        <f>IF(K602="Válida",J602,"")</f>
        <v>0</v>
      </c>
    </row>
    <row r="603" spans="1:21">
      <c r="A603" s="25">
        <f>IF(MES!A603="","",MES!C603/48)</f>
        <v>0</v>
      </c>
      <c r="B603" s="26">
        <f>IF(A603="","",TEXT((N603*4+cfgDeslocamento)/48,"hh:mm")&amp;" a "&amp;TEXT(A603,"hh:mm"))</f>
        <v>0</v>
      </c>
      <c r="C603" s="27">
        <f>IF(A603="","",MES!B603)</f>
        <v>0</v>
      </c>
      <c r="D603" s="27">
        <f>IF(A603="","",IFERROR(AVERAGEIFS(Prensa!$B$2:$B$5001,Prensa!$E$2:$E$5001,N603,Prensa!$F$2:$F$5001,1,Prensa!$G$2:$G$5001,1),""))</f>
        <v>0</v>
      </c>
      <c r="E603" s="27">
        <f>IF(A603="","",IFERROR(AVERAGEIFS(Prensa!$B$2:$B$5001,Prensa!$E$2:$E$5001,N603,Prensa!$F$2:$F$5001,2,Prensa!$G$2:$G$5001,1),""))</f>
        <v>0</v>
      </c>
      <c r="F603" s="27">
        <f>IF(A603="","",IFERROR(AVERAGEIFS(Prensa!$B$2:$B$5001,Prensa!$E$2:$E$5001,N603,Prensa!$F$2:$F$5001,3,Prensa!$G$2:$G$5001,1),""))</f>
        <v>0</v>
      </c>
      <c r="G603" s="27">
        <f>IF(A603="","",IFERROR(AVERAGEIFS(Prensa!$B$2:$B$5001,Prensa!$E$2:$E$5001,N603,Prensa!$F$2:$F$5001,4,Prensa!$G$2:$G$5001,1),""))</f>
        <v>0</v>
      </c>
      <c r="H603" s="26">
        <f>IF(A603="","",COUNT(D603:G603))</f>
        <v>0</v>
      </c>
      <c r="I603" s="27">
        <f>IF(A603="","",IF(H603=0,"",AVERAGE(D603:G603)))</f>
        <v>0</v>
      </c>
      <c r="J603" s="27">
        <f>IF(OR(I603="",C603=""),"",I603-C603)</f>
        <v>0</v>
      </c>
      <c r="K603" s="26">
        <f>IF(A603="","",IF(MES!E603&lt;&gt;4,"Horário do MES fora do padrão",IF(H603&lt;cfgMinCortes,"Cortes insuficientes","Válida")))</f>
        <v>0</v>
      </c>
      <c r="L603" s="27">
        <f>IF(K603="Válida",ABS(J603),"")</f>
        <v>0</v>
      </c>
      <c r="M603" s="26">
        <f>IF(K603="Válida",IF(L603&lt;=cfgTolerancia,"Sim","Não"),"")</f>
        <v>0</v>
      </c>
      <c r="N603" s="26">
        <f>IF(A603="","",MES!D603)</f>
        <v>0</v>
      </c>
      <c r="O603" s="25">
        <f>IF(K603="Válida",A603,NA())</f>
        <v>0</v>
      </c>
      <c r="P603" s="27">
        <f>IF(K603="Válida",C603,NA())</f>
        <v>0</v>
      </c>
      <c r="Q603" s="27">
        <f>IF(K603="Válida",I603,NA())</f>
        <v>0</v>
      </c>
      <c r="R603" s="27">
        <f>IF(K603="Válida",J603,NA())</f>
        <v>0</v>
      </c>
      <c r="S603" s="27">
        <f>IF(K603="Válida",C603,"")</f>
        <v>0</v>
      </c>
      <c r="T603" s="27">
        <f>IF(K603="Válida",I603,"")</f>
        <v>0</v>
      </c>
      <c r="U603" s="27">
        <f>IF(K603="Válida",J603,"")</f>
        <v>0</v>
      </c>
    </row>
    <row r="604" spans="1:21">
      <c r="A604" s="25">
        <f>IF(MES!A604="","",MES!C604/48)</f>
        <v>0</v>
      </c>
      <c r="B604" s="26">
        <f>IF(A604="","",TEXT((N604*4+cfgDeslocamento)/48,"hh:mm")&amp;" a "&amp;TEXT(A604,"hh:mm"))</f>
        <v>0</v>
      </c>
      <c r="C604" s="27">
        <f>IF(A604="","",MES!B604)</f>
        <v>0</v>
      </c>
      <c r="D604" s="27">
        <f>IF(A604="","",IFERROR(AVERAGEIFS(Prensa!$B$2:$B$5001,Prensa!$E$2:$E$5001,N604,Prensa!$F$2:$F$5001,1,Prensa!$G$2:$G$5001,1),""))</f>
        <v>0</v>
      </c>
      <c r="E604" s="27">
        <f>IF(A604="","",IFERROR(AVERAGEIFS(Prensa!$B$2:$B$5001,Prensa!$E$2:$E$5001,N604,Prensa!$F$2:$F$5001,2,Prensa!$G$2:$G$5001,1),""))</f>
        <v>0</v>
      </c>
      <c r="F604" s="27">
        <f>IF(A604="","",IFERROR(AVERAGEIFS(Prensa!$B$2:$B$5001,Prensa!$E$2:$E$5001,N604,Prensa!$F$2:$F$5001,3,Prensa!$G$2:$G$5001,1),""))</f>
        <v>0</v>
      </c>
      <c r="G604" s="27">
        <f>IF(A604="","",IFERROR(AVERAGEIFS(Prensa!$B$2:$B$5001,Prensa!$E$2:$E$5001,N604,Prensa!$F$2:$F$5001,4,Prensa!$G$2:$G$5001,1),""))</f>
        <v>0</v>
      </c>
      <c r="H604" s="26">
        <f>IF(A604="","",COUNT(D604:G604))</f>
        <v>0</v>
      </c>
      <c r="I604" s="27">
        <f>IF(A604="","",IF(H604=0,"",AVERAGE(D604:G604)))</f>
        <v>0</v>
      </c>
      <c r="J604" s="27">
        <f>IF(OR(I604="",C604=""),"",I604-C604)</f>
        <v>0</v>
      </c>
      <c r="K604" s="26">
        <f>IF(A604="","",IF(MES!E604&lt;&gt;4,"Horário do MES fora do padrão",IF(H604&lt;cfgMinCortes,"Cortes insuficientes","Válida")))</f>
        <v>0</v>
      </c>
      <c r="L604" s="27">
        <f>IF(K604="Válida",ABS(J604),"")</f>
        <v>0</v>
      </c>
      <c r="M604" s="26">
        <f>IF(K604="Válida",IF(L604&lt;=cfgTolerancia,"Sim","Não"),"")</f>
        <v>0</v>
      </c>
      <c r="N604" s="26">
        <f>IF(A604="","",MES!D604)</f>
        <v>0</v>
      </c>
      <c r="O604" s="25">
        <f>IF(K604="Válida",A604,NA())</f>
        <v>0</v>
      </c>
      <c r="P604" s="27">
        <f>IF(K604="Válida",C604,NA())</f>
        <v>0</v>
      </c>
      <c r="Q604" s="27">
        <f>IF(K604="Válida",I604,NA())</f>
        <v>0</v>
      </c>
      <c r="R604" s="27">
        <f>IF(K604="Válida",J604,NA())</f>
        <v>0</v>
      </c>
      <c r="S604" s="27">
        <f>IF(K604="Válida",C604,"")</f>
        <v>0</v>
      </c>
      <c r="T604" s="27">
        <f>IF(K604="Válida",I604,"")</f>
        <v>0</v>
      </c>
      <c r="U604" s="27">
        <f>IF(K604="Válida",J604,"")</f>
        <v>0</v>
      </c>
    </row>
    <row r="605" spans="1:21">
      <c r="A605" s="25">
        <f>IF(MES!A605="","",MES!C605/48)</f>
        <v>0</v>
      </c>
      <c r="B605" s="26">
        <f>IF(A605="","",TEXT((N605*4+cfgDeslocamento)/48,"hh:mm")&amp;" a "&amp;TEXT(A605,"hh:mm"))</f>
        <v>0</v>
      </c>
      <c r="C605" s="27">
        <f>IF(A605="","",MES!B605)</f>
        <v>0</v>
      </c>
      <c r="D605" s="27">
        <f>IF(A605="","",IFERROR(AVERAGEIFS(Prensa!$B$2:$B$5001,Prensa!$E$2:$E$5001,N605,Prensa!$F$2:$F$5001,1,Prensa!$G$2:$G$5001,1),""))</f>
        <v>0</v>
      </c>
      <c r="E605" s="27">
        <f>IF(A605="","",IFERROR(AVERAGEIFS(Prensa!$B$2:$B$5001,Prensa!$E$2:$E$5001,N605,Prensa!$F$2:$F$5001,2,Prensa!$G$2:$G$5001,1),""))</f>
        <v>0</v>
      </c>
      <c r="F605" s="27">
        <f>IF(A605="","",IFERROR(AVERAGEIFS(Prensa!$B$2:$B$5001,Prensa!$E$2:$E$5001,N605,Prensa!$F$2:$F$5001,3,Prensa!$G$2:$G$5001,1),""))</f>
        <v>0</v>
      </c>
      <c r="G605" s="27">
        <f>IF(A605="","",IFERROR(AVERAGEIFS(Prensa!$B$2:$B$5001,Prensa!$E$2:$E$5001,N605,Prensa!$F$2:$F$5001,4,Prensa!$G$2:$G$5001,1),""))</f>
        <v>0</v>
      </c>
      <c r="H605" s="26">
        <f>IF(A605="","",COUNT(D605:G605))</f>
        <v>0</v>
      </c>
      <c r="I605" s="27">
        <f>IF(A605="","",IF(H605=0,"",AVERAGE(D605:G605)))</f>
        <v>0</v>
      </c>
      <c r="J605" s="27">
        <f>IF(OR(I605="",C605=""),"",I605-C605)</f>
        <v>0</v>
      </c>
      <c r="K605" s="26">
        <f>IF(A605="","",IF(MES!E605&lt;&gt;4,"Horário do MES fora do padrão",IF(H605&lt;cfgMinCortes,"Cortes insuficientes","Válida")))</f>
        <v>0</v>
      </c>
      <c r="L605" s="27">
        <f>IF(K605="Válida",ABS(J605),"")</f>
        <v>0</v>
      </c>
      <c r="M605" s="26">
        <f>IF(K605="Válida",IF(L605&lt;=cfgTolerancia,"Sim","Não"),"")</f>
        <v>0</v>
      </c>
      <c r="N605" s="26">
        <f>IF(A605="","",MES!D605)</f>
        <v>0</v>
      </c>
      <c r="O605" s="25">
        <f>IF(K605="Válida",A605,NA())</f>
        <v>0</v>
      </c>
      <c r="P605" s="27">
        <f>IF(K605="Válida",C605,NA())</f>
        <v>0</v>
      </c>
      <c r="Q605" s="27">
        <f>IF(K605="Válida",I605,NA())</f>
        <v>0</v>
      </c>
      <c r="R605" s="27">
        <f>IF(K605="Válida",J605,NA())</f>
        <v>0</v>
      </c>
      <c r="S605" s="27">
        <f>IF(K605="Válida",C605,"")</f>
        <v>0</v>
      </c>
      <c r="T605" s="27">
        <f>IF(K605="Válida",I605,"")</f>
        <v>0</v>
      </c>
      <c r="U605" s="27">
        <f>IF(K605="Válida",J605,"")</f>
        <v>0</v>
      </c>
    </row>
    <row r="606" spans="1:21">
      <c r="A606" s="25">
        <f>IF(MES!A606="","",MES!C606/48)</f>
        <v>0</v>
      </c>
      <c r="B606" s="26">
        <f>IF(A606="","",TEXT((N606*4+cfgDeslocamento)/48,"hh:mm")&amp;" a "&amp;TEXT(A606,"hh:mm"))</f>
        <v>0</v>
      </c>
      <c r="C606" s="27">
        <f>IF(A606="","",MES!B606)</f>
        <v>0</v>
      </c>
      <c r="D606" s="27">
        <f>IF(A606="","",IFERROR(AVERAGEIFS(Prensa!$B$2:$B$5001,Prensa!$E$2:$E$5001,N606,Prensa!$F$2:$F$5001,1,Prensa!$G$2:$G$5001,1),""))</f>
        <v>0</v>
      </c>
      <c r="E606" s="27">
        <f>IF(A606="","",IFERROR(AVERAGEIFS(Prensa!$B$2:$B$5001,Prensa!$E$2:$E$5001,N606,Prensa!$F$2:$F$5001,2,Prensa!$G$2:$G$5001,1),""))</f>
        <v>0</v>
      </c>
      <c r="F606" s="27">
        <f>IF(A606="","",IFERROR(AVERAGEIFS(Prensa!$B$2:$B$5001,Prensa!$E$2:$E$5001,N606,Prensa!$F$2:$F$5001,3,Prensa!$G$2:$G$5001,1),""))</f>
        <v>0</v>
      </c>
      <c r="G606" s="27">
        <f>IF(A606="","",IFERROR(AVERAGEIFS(Prensa!$B$2:$B$5001,Prensa!$E$2:$E$5001,N606,Prensa!$F$2:$F$5001,4,Prensa!$G$2:$G$5001,1),""))</f>
        <v>0</v>
      </c>
      <c r="H606" s="26">
        <f>IF(A606="","",COUNT(D606:G606))</f>
        <v>0</v>
      </c>
      <c r="I606" s="27">
        <f>IF(A606="","",IF(H606=0,"",AVERAGE(D606:G606)))</f>
        <v>0</v>
      </c>
      <c r="J606" s="27">
        <f>IF(OR(I606="",C606=""),"",I606-C606)</f>
        <v>0</v>
      </c>
      <c r="K606" s="26">
        <f>IF(A606="","",IF(MES!E606&lt;&gt;4,"Horário do MES fora do padrão",IF(H606&lt;cfgMinCortes,"Cortes insuficientes","Válida")))</f>
        <v>0</v>
      </c>
      <c r="L606" s="27">
        <f>IF(K606="Válida",ABS(J606),"")</f>
        <v>0</v>
      </c>
      <c r="M606" s="26">
        <f>IF(K606="Válida",IF(L606&lt;=cfgTolerancia,"Sim","Não"),"")</f>
        <v>0</v>
      </c>
      <c r="N606" s="26">
        <f>IF(A606="","",MES!D606)</f>
        <v>0</v>
      </c>
      <c r="O606" s="25">
        <f>IF(K606="Válida",A606,NA())</f>
        <v>0</v>
      </c>
      <c r="P606" s="27">
        <f>IF(K606="Válida",C606,NA())</f>
        <v>0</v>
      </c>
      <c r="Q606" s="27">
        <f>IF(K606="Válida",I606,NA())</f>
        <v>0</v>
      </c>
      <c r="R606" s="27">
        <f>IF(K606="Válida",J606,NA())</f>
        <v>0</v>
      </c>
      <c r="S606" s="27">
        <f>IF(K606="Válida",C606,"")</f>
        <v>0</v>
      </c>
      <c r="T606" s="27">
        <f>IF(K606="Válida",I606,"")</f>
        <v>0</v>
      </c>
      <c r="U606" s="27">
        <f>IF(K606="Válida",J606,"")</f>
        <v>0</v>
      </c>
    </row>
    <row r="607" spans="1:21">
      <c r="A607" s="25">
        <f>IF(MES!A607="","",MES!C607/48)</f>
        <v>0</v>
      </c>
      <c r="B607" s="26">
        <f>IF(A607="","",TEXT((N607*4+cfgDeslocamento)/48,"hh:mm")&amp;" a "&amp;TEXT(A607,"hh:mm"))</f>
        <v>0</v>
      </c>
      <c r="C607" s="27">
        <f>IF(A607="","",MES!B607)</f>
        <v>0</v>
      </c>
      <c r="D607" s="27">
        <f>IF(A607="","",IFERROR(AVERAGEIFS(Prensa!$B$2:$B$5001,Prensa!$E$2:$E$5001,N607,Prensa!$F$2:$F$5001,1,Prensa!$G$2:$G$5001,1),""))</f>
        <v>0</v>
      </c>
      <c r="E607" s="27">
        <f>IF(A607="","",IFERROR(AVERAGEIFS(Prensa!$B$2:$B$5001,Prensa!$E$2:$E$5001,N607,Prensa!$F$2:$F$5001,2,Prensa!$G$2:$G$5001,1),""))</f>
        <v>0</v>
      </c>
      <c r="F607" s="27">
        <f>IF(A607="","",IFERROR(AVERAGEIFS(Prensa!$B$2:$B$5001,Prensa!$E$2:$E$5001,N607,Prensa!$F$2:$F$5001,3,Prensa!$G$2:$G$5001,1),""))</f>
        <v>0</v>
      </c>
      <c r="G607" s="27">
        <f>IF(A607="","",IFERROR(AVERAGEIFS(Prensa!$B$2:$B$5001,Prensa!$E$2:$E$5001,N607,Prensa!$F$2:$F$5001,4,Prensa!$G$2:$G$5001,1),""))</f>
        <v>0</v>
      </c>
      <c r="H607" s="26">
        <f>IF(A607="","",COUNT(D607:G607))</f>
        <v>0</v>
      </c>
      <c r="I607" s="27">
        <f>IF(A607="","",IF(H607=0,"",AVERAGE(D607:G607)))</f>
        <v>0</v>
      </c>
      <c r="J607" s="27">
        <f>IF(OR(I607="",C607=""),"",I607-C607)</f>
        <v>0</v>
      </c>
      <c r="K607" s="26">
        <f>IF(A607="","",IF(MES!E607&lt;&gt;4,"Horário do MES fora do padrão",IF(H607&lt;cfgMinCortes,"Cortes insuficientes","Válida")))</f>
        <v>0</v>
      </c>
      <c r="L607" s="27">
        <f>IF(K607="Válida",ABS(J607),"")</f>
        <v>0</v>
      </c>
      <c r="M607" s="26">
        <f>IF(K607="Válida",IF(L607&lt;=cfgTolerancia,"Sim","Não"),"")</f>
        <v>0</v>
      </c>
      <c r="N607" s="26">
        <f>IF(A607="","",MES!D607)</f>
        <v>0</v>
      </c>
      <c r="O607" s="25">
        <f>IF(K607="Válida",A607,NA())</f>
        <v>0</v>
      </c>
      <c r="P607" s="27">
        <f>IF(K607="Válida",C607,NA())</f>
        <v>0</v>
      </c>
      <c r="Q607" s="27">
        <f>IF(K607="Válida",I607,NA())</f>
        <v>0</v>
      </c>
      <c r="R607" s="27">
        <f>IF(K607="Válida",J607,NA())</f>
        <v>0</v>
      </c>
      <c r="S607" s="27">
        <f>IF(K607="Válida",C607,"")</f>
        <v>0</v>
      </c>
      <c r="T607" s="27">
        <f>IF(K607="Válida",I607,"")</f>
        <v>0</v>
      </c>
      <c r="U607" s="27">
        <f>IF(K607="Válida",J607,"")</f>
        <v>0</v>
      </c>
    </row>
    <row r="608" spans="1:21">
      <c r="A608" s="25">
        <f>IF(MES!A608="","",MES!C608/48)</f>
        <v>0</v>
      </c>
      <c r="B608" s="26">
        <f>IF(A608="","",TEXT((N608*4+cfgDeslocamento)/48,"hh:mm")&amp;" a "&amp;TEXT(A608,"hh:mm"))</f>
        <v>0</v>
      </c>
      <c r="C608" s="27">
        <f>IF(A608="","",MES!B608)</f>
        <v>0</v>
      </c>
      <c r="D608" s="27">
        <f>IF(A608="","",IFERROR(AVERAGEIFS(Prensa!$B$2:$B$5001,Prensa!$E$2:$E$5001,N608,Prensa!$F$2:$F$5001,1,Prensa!$G$2:$G$5001,1),""))</f>
        <v>0</v>
      </c>
      <c r="E608" s="27">
        <f>IF(A608="","",IFERROR(AVERAGEIFS(Prensa!$B$2:$B$5001,Prensa!$E$2:$E$5001,N608,Prensa!$F$2:$F$5001,2,Prensa!$G$2:$G$5001,1),""))</f>
        <v>0</v>
      </c>
      <c r="F608" s="27">
        <f>IF(A608="","",IFERROR(AVERAGEIFS(Prensa!$B$2:$B$5001,Prensa!$E$2:$E$5001,N608,Prensa!$F$2:$F$5001,3,Prensa!$G$2:$G$5001,1),""))</f>
        <v>0</v>
      </c>
      <c r="G608" s="27">
        <f>IF(A608="","",IFERROR(AVERAGEIFS(Prensa!$B$2:$B$5001,Prensa!$E$2:$E$5001,N608,Prensa!$F$2:$F$5001,4,Prensa!$G$2:$G$5001,1),""))</f>
        <v>0</v>
      </c>
      <c r="H608" s="26">
        <f>IF(A608="","",COUNT(D608:G608))</f>
        <v>0</v>
      </c>
      <c r="I608" s="27">
        <f>IF(A608="","",IF(H608=0,"",AVERAGE(D608:G608)))</f>
        <v>0</v>
      </c>
      <c r="J608" s="27">
        <f>IF(OR(I608="",C608=""),"",I608-C608)</f>
        <v>0</v>
      </c>
      <c r="K608" s="26">
        <f>IF(A608="","",IF(MES!E608&lt;&gt;4,"Horário do MES fora do padrão",IF(H608&lt;cfgMinCortes,"Cortes insuficientes","Válida")))</f>
        <v>0</v>
      </c>
      <c r="L608" s="27">
        <f>IF(K608="Válida",ABS(J608),"")</f>
        <v>0</v>
      </c>
      <c r="M608" s="26">
        <f>IF(K608="Válida",IF(L608&lt;=cfgTolerancia,"Sim","Não"),"")</f>
        <v>0</v>
      </c>
      <c r="N608" s="26">
        <f>IF(A608="","",MES!D608)</f>
        <v>0</v>
      </c>
      <c r="O608" s="25">
        <f>IF(K608="Válida",A608,NA())</f>
        <v>0</v>
      </c>
      <c r="P608" s="27">
        <f>IF(K608="Válida",C608,NA())</f>
        <v>0</v>
      </c>
      <c r="Q608" s="27">
        <f>IF(K608="Válida",I608,NA())</f>
        <v>0</v>
      </c>
      <c r="R608" s="27">
        <f>IF(K608="Válida",J608,NA())</f>
        <v>0</v>
      </c>
      <c r="S608" s="27">
        <f>IF(K608="Válida",C608,"")</f>
        <v>0</v>
      </c>
      <c r="T608" s="27">
        <f>IF(K608="Válida",I608,"")</f>
        <v>0</v>
      </c>
      <c r="U608" s="27">
        <f>IF(K608="Válida",J608,"")</f>
        <v>0</v>
      </c>
    </row>
    <row r="609" spans="1:21">
      <c r="A609" s="25">
        <f>IF(MES!A609="","",MES!C609/48)</f>
        <v>0</v>
      </c>
      <c r="B609" s="26">
        <f>IF(A609="","",TEXT((N609*4+cfgDeslocamento)/48,"hh:mm")&amp;" a "&amp;TEXT(A609,"hh:mm"))</f>
        <v>0</v>
      </c>
      <c r="C609" s="27">
        <f>IF(A609="","",MES!B609)</f>
        <v>0</v>
      </c>
      <c r="D609" s="27">
        <f>IF(A609="","",IFERROR(AVERAGEIFS(Prensa!$B$2:$B$5001,Prensa!$E$2:$E$5001,N609,Prensa!$F$2:$F$5001,1,Prensa!$G$2:$G$5001,1),""))</f>
        <v>0</v>
      </c>
      <c r="E609" s="27">
        <f>IF(A609="","",IFERROR(AVERAGEIFS(Prensa!$B$2:$B$5001,Prensa!$E$2:$E$5001,N609,Prensa!$F$2:$F$5001,2,Prensa!$G$2:$G$5001,1),""))</f>
        <v>0</v>
      </c>
      <c r="F609" s="27">
        <f>IF(A609="","",IFERROR(AVERAGEIFS(Prensa!$B$2:$B$5001,Prensa!$E$2:$E$5001,N609,Prensa!$F$2:$F$5001,3,Prensa!$G$2:$G$5001,1),""))</f>
        <v>0</v>
      </c>
      <c r="G609" s="27">
        <f>IF(A609="","",IFERROR(AVERAGEIFS(Prensa!$B$2:$B$5001,Prensa!$E$2:$E$5001,N609,Prensa!$F$2:$F$5001,4,Prensa!$G$2:$G$5001,1),""))</f>
        <v>0</v>
      </c>
      <c r="H609" s="26">
        <f>IF(A609="","",COUNT(D609:G609))</f>
        <v>0</v>
      </c>
      <c r="I609" s="27">
        <f>IF(A609="","",IF(H609=0,"",AVERAGE(D609:G609)))</f>
        <v>0</v>
      </c>
      <c r="J609" s="27">
        <f>IF(OR(I609="",C609=""),"",I609-C609)</f>
        <v>0</v>
      </c>
      <c r="K609" s="26">
        <f>IF(A609="","",IF(MES!E609&lt;&gt;4,"Horário do MES fora do padrão",IF(H609&lt;cfgMinCortes,"Cortes insuficientes","Válida")))</f>
        <v>0</v>
      </c>
      <c r="L609" s="27">
        <f>IF(K609="Válida",ABS(J609),"")</f>
        <v>0</v>
      </c>
      <c r="M609" s="26">
        <f>IF(K609="Válida",IF(L609&lt;=cfgTolerancia,"Sim","Não"),"")</f>
        <v>0</v>
      </c>
      <c r="N609" s="26">
        <f>IF(A609="","",MES!D609)</f>
        <v>0</v>
      </c>
      <c r="O609" s="25">
        <f>IF(K609="Válida",A609,NA())</f>
        <v>0</v>
      </c>
      <c r="P609" s="27">
        <f>IF(K609="Válida",C609,NA())</f>
        <v>0</v>
      </c>
      <c r="Q609" s="27">
        <f>IF(K609="Válida",I609,NA())</f>
        <v>0</v>
      </c>
      <c r="R609" s="27">
        <f>IF(K609="Válida",J609,NA())</f>
        <v>0</v>
      </c>
      <c r="S609" s="27">
        <f>IF(K609="Válida",C609,"")</f>
        <v>0</v>
      </c>
      <c r="T609" s="27">
        <f>IF(K609="Válida",I609,"")</f>
        <v>0</v>
      </c>
      <c r="U609" s="27">
        <f>IF(K609="Válida",J609,"")</f>
        <v>0</v>
      </c>
    </row>
    <row r="610" spans="1:21">
      <c r="A610" s="25">
        <f>IF(MES!A610="","",MES!C610/48)</f>
        <v>0</v>
      </c>
      <c r="B610" s="26">
        <f>IF(A610="","",TEXT((N610*4+cfgDeslocamento)/48,"hh:mm")&amp;" a "&amp;TEXT(A610,"hh:mm"))</f>
        <v>0</v>
      </c>
      <c r="C610" s="27">
        <f>IF(A610="","",MES!B610)</f>
        <v>0</v>
      </c>
      <c r="D610" s="27">
        <f>IF(A610="","",IFERROR(AVERAGEIFS(Prensa!$B$2:$B$5001,Prensa!$E$2:$E$5001,N610,Prensa!$F$2:$F$5001,1,Prensa!$G$2:$G$5001,1),""))</f>
        <v>0</v>
      </c>
      <c r="E610" s="27">
        <f>IF(A610="","",IFERROR(AVERAGEIFS(Prensa!$B$2:$B$5001,Prensa!$E$2:$E$5001,N610,Prensa!$F$2:$F$5001,2,Prensa!$G$2:$G$5001,1),""))</f>
        <v>0</v>
      </c>
      <c r="F610" s="27">
        <f>IF(A610="","",IFERROR(AVERAGEIFS(Prensa!$B$2:$B$5001,Prensa!$E$2:$E$5001,N610,Prensa!$F$2:$F$5001,3,Prensa!$G$2:$G$5001,1),""))</f>
        <v>0</v>
      </c>
      <c r="G610" s="27">
        <f>IF(A610="","",IFERROR(AVERAGEIFS(Prensa!$B$2:$B$5001,Prensa!$E$2:$E$5001,N610,Prensa!$F$2:$F$5001,4,Prensa!$G$2:$G$5001,1),""))</f>
        <v>0</v>
      </c>
      <c r="H610" s="26">
        <f>IF(A610="","",COUNT(D610:G610))</f>
        <v>0</v>
      </c>
      <c r="I610" s="27">
        <f>IF(A610="","",IF(H610=0,"",AVERAGE(D610:G610)))</f>
        <v>0</v>
      </c>
      <c r="J610" s="27">
        <f>IF(OR(I610="",C610=""),"",I610-C610)</f>
        <v>0</v>
      </c>
      <c r="K610" s="26">
        <f>IF(A610="","",IF(MES!E610&lt;&gt;4,"Horário do MES fora do padrão",IF(H610&lt;cfgMinCortes,"Cortes insuficientes","Válida")))</f>
        <v>0</v>
      </c>
      <c r="L610" s="27">
        <f>IF(K610="Válida",ABS(J610),"")</f>
        <v>0</v>
      </c>
      <c r="M610" s="26">
        <f>IF(K610="Válida",IF(L610&lt;=cfgTolerancia,"Sim","Não"),"")</f>
        <v>0</v>
      </c>
      <c r="N610" s="26">
        <f>IF(A610="","",MES!D610)</f>
        <v>0</v>
      </c>
      <c r="O610" s="25">
        <f>IF(K610="Válida",A610,NA())</f>
        <v>0</v>
      </c>
      <c r="P610" s="27">
        <f>IF(K610="Válida",C610,NA())</f>
        <v>0</v>
      </c>
      <c r="Q610" s="27">
        <f>IF(K610="Válida",I610,NA())</f>
        <v>0</v>
      </c>
      <c r="R610" s="27">
        <f>IF(K610="Válida",J610,NA())</f>
        <v>0</v>
      </c>
      <c r="S610" s="27">
        <f>IF(K610="Válida",C610,"")</f>
        <v>0</v>
      </c>
      <c r="T610" s="27">
        <f>IF(K610="Válida",I610,"")</f>
        <v>0</v>
      </c>
      <c r="U610" s="27">
        <f>IF(K610="Válida",J610,"")</f>
        <v>0</v>
      </c>
    </row>
    <row r="611" spans="1:21">
      <c r="A611" s="25">
        <f>IF(MES!A611="","",MES!C611/48)</f>
        <v>0</v>
      </c>
      <c r="B611" s="26">
        <f>IF(A611="","",TEXT((N611*4+cfgDeslocamento)/48,"hh:mm")&amp;" a "&amp;TEXT(A611,"hh:mm"))</f>
        <v>0</v>
      </c>
      <c r="C611" s="27">
        <f>IF(A611="","",MES!B611)</f>
        <v>0</v>
      </c>
      <c r="D611" s="27">
        <f>IF(A611="","",IFERROR(AVERAGEIFS(Prensa!$B$2:$B$5001,Prensa!$E$2:$E$5001,N611,Prensa!$F$2:$F$5001,1,Prensa!$G$2:$G$5001,1),""))</f>
        <v>0</v>
      </c>
      <c r="E611" s="27">
        <f>IF(A611="","",IFERROR(AVERAGEIFS(Prensa!$B$2:$B$5001,Prensa!$E$2:$E$5001,N611,Prensa!$F$2:$F$5001,2,Prensa!$G$2:$G$5001,1),""))</f>
        <v>0</v>
      </c>
      <c r="F611" s="27">
        <f>IF(A611="","",IFERROR(AVERAGEIFS(Prensa!$B$2:$B$5001,Prensa!$E$2:$E$5001,N611,Prensa!$F$2:$F$5001,3,Prensa!$G$2:$G$5001,1),""))</f>
        <v>0</v>
      </c>
      <c r="G611" s="27">
        <f>IF(A611="","",IFERROR(AVERAGEIFS(Prensa!$B$2:$B$5001,Prensa!$E$2:$E$5001,N611,Prensa!$F$2:$F$5001,4,Prensa!$G$2:$G$5001,1),""))</f>
        <v>0</v>
      </c>
      <c r="H611" s="26">
        <f>IF(A611="","",COUNT(D611:G611))</f>
        <v>0</v>
      </c>
      <c r="I611" s="27">
        <f>IF(A611="","",IF(H611=0,"",AVERAGE(D611:G611)))</f>
        <v>0</v>
      </c>
      <c r="J611" s="27">
        <f>IF(OR(I611="",C611=""),"",I611-C611)</f>
        <v>0</v>
      </c>
      <c r="K611" s="26">
        <f>IF(A611="","",IF(MES!E611&lt;&gt;4,"Horário do MES fora do padrão",IF(H611&lt;cfgMinCortes,"Cortes insuficientes","Válida")))</f>
        <v>0</v>
      </c>
      <c r="L611" s="27">
        <f>IF(K611="Válida",ABS(J611),"")</f>
        <v>0</v>
      </c>
      <c r="M611" s="26">
        <f>IF(K611="Válida",IF(L611&lt;=cfgTolerancia,"Sim","Não"),"")</f>
        <v>0</v>
      </c>
      <c r="N611" s="26">
        <f>IF(A611="","",MES!D611)</f>
        <v>0</v>
      </c>
      <c r="O611" s="25">
        <f>IF(K611="Válida",A611,NA())</f>
        <v>0</v>
      </c>
      <c r="P611" s="27">
        <f>IF(K611="Válida",C611,NA())</f>
        <v>0</v>
      </c>
      <c r="Q611" s="27">
        <f>IF(K611="Válida",I611,NA())</f>
        <v>0</v>
      </c>
      <c r="R611" s="27">
        <f>IF(K611="Válida",J611,NA())</f>
        <v>0</v>
      </c>
      <c r="S611" s="27">
        <f>IF(K611="Válida",C611,"")</f>
        <v>0</v>
      </c>
      <c r="T611" s="27">
        <f>IF(K611="Válida",I611,"")</f>
        <v>0</v>
      </c>
      <c r="U611" s="27">
        <f>IF(K611="Válida",J611,"")</f>
        <v>0</v>
      </c>
    </row>
    <row r="612" spans="1:21">
      <c r="A612" s="25">
        <f>IF(MES!A612="","",MES!C612/48)</f>
        <v>0</v>
      </c>
      <c r="B612" s="26">
        <f>IF(A612="","",TEXT((N612*4+cfgDeslocamento)/48,"hh:mm")&amp;" a "&amp;TEXT(A612,"hh:mm"))</f>
        <v>0</v>
      </c>
      <c r="C612" s="27">
        <f>IF(A612="","",MES!B612)</f>
        <v>0</v>
      </c>
      <c r="D612" s="27">
        <f>IF(A612="","",IFERROR(AVERAGEIFS(Prensa!$B$2:$B$5001,Prensa!$E$2:$E$5001,N612,Prensa!$F$2:$F$5001,1,Prensa!$G$2:$G$5001,1),""))</f>
        <v>0</v>
      </c>
      <c r="E612" s="27">
        <f>IF(A612="","",IFERROR(AVERAGEIFS(Prensa!$B$2:$B$5001,Prensa!$E$2:$E$5001,N612,Prensa!$F$2:$F$5001,2,Prensa!$G$2:$G$5001,1),""))</f>
        <v>0</v>
      </c>
      <c r="F612" s="27">
        <f>IF(A612="","",IFERROR(AVERAGEIFS(Prensa!$B$2:$B$5001,Prensa!$E$2:$E$5001,N612,Prensa!$F$2:$F$5001,3,Prensa!$G$2:$G$5001,1),""))</f>
        <v>0</v>
      </c>
      <c r="G612" s="27">
        <f>IF(A612="","",IFERROR(AVERAGEIFS(Prensa!$B$2:$B$5001,Prensa!$E$2:$E$5001,N612,Prensa!$F$2:$F$5001,4,Prensa!$G$2:$G$5001,1),""))</f>
        <v>0</v>
      </c>
      <c r="H612" s="26">
        <f>IF(A612="","",COUNT(D612:G612))</f>
        <v>0</v>
      </c>
      <c r="I612" s="27">
        <f>IF(A612="","",IF(H612=0,"",AVERAGE(D612:G612)))</f>
        <v>0</v>
      </c>
      <c r="J612" s="27">
        <f>IF(OR(I612="",C612=""),"",I612-C612)</f>
        <v>0</v>
      </c>
      <c r="K612" s="26">
        <f>IF(A612="","",IF(MES!E612&lt;&gt;4,"Horário do MES fora do padrão",IF(H612&lt;cfgMinCortes,"Cortes insuficientes","Válida")))</f>
        <v>0</v>
      </c>
      <c r="L612" s="27">
        <f>IF(K612="Válida",ABS(J612),"")</f>
        <v>0</v>
      </c>
      <c r="M612" s="26">
        <f>IF(K612="Válida",IF(L612&lt;=cfgTolerancia,"Sim","Não"),"")</f>
        <v>0</v>
      </c>
      <c r="N612" s="26">
        <f>IF(A612="","",MES!D612)</f>
        <v>0</v>
      </c>
      <c r="O612" s="25">
        <f>IF(K612="Válida",A612,NA())</f>
        <v>0</v>
      </c>
      <c r="P612" s="27">
        <f>IF(K612="Válida",C612,NA())</f>
        <v>0</v>
      </c>
      <c r="Q612" s="27">
        <f>IF(K612="Válida",I612,NA())</f>
        <v>0</v>
      </c>
      <c r="R612" s="27">
        <f>IF(K612="Válida",J612,NA())</f>
        <v>0</v>
      </c>
      <c r="S612" s="27">
        <f>IF(K612="Válida",C612,"")</f>
        <v>0</v>
      </c>
      <c r="T612" s="27">
        <f>IF(K612="Válida",I612,"")</f>
        <v>0</v>
      </c>
      <c r="U612" s="27">
        <f>IF(K612="Válida",J612,"")</f>
        <v>0</v>
      </c>
    </row>
    <row r="613" spans="1:21">
      <c r="A613" s="25">
        <f>IF(MES!A613="","",MES!C613/48)</f>
        <v>0</v>
      </c>
      <c r="B613" s="26">
        <f>IF(A613="","",TEXT((N613*4+cfgDeslocamento)/48,"hh:mm")&amp;" a "&amp;TEXT(A613,"hh:mm"))</f>
        <v>0</v>
      </c>
      <c r="C613" s="27">
        <f>IF(A613="","",MES!B613)</f>
        <v>0</v>
      </c>
      <c r="D613" s="27">
        <f>IF(A613="","",IFERROR(AVERAGEIFS(Prensa!$B$2:$B$5001,Prensa!$E$2:$E$5001,N613,Prensa!$F$2:$F$5001,1,Prensa!$G$2:$G$5001,1),""))</f>
        <v>0</v>
      </c>
      <c r="E613" s="27">
        <f>IF(A613="","",IFERROR(AVERAGEIFS(Prensa!$B$2:$B$5001,Prensa!$E$2:$E$5001,N613,Prensa!$F$2:$F$5001,2,Prensa!$G$2:$G$5001,1),""))</f>
        <v>0</v>
      </c>
      <c r="F613" s="27">
        <f>IF(A613="","",IFERROR(AVERAGEIFS(Prensa!$B$2:$B$5001,Prensa!$E$2:$E$5001,N613,Prensa!$F$2:$F$5001,3,Prensa!$G$2:$G$5001,1),""))</f>
        <v>0</v>
      </c>
      <c r="G613" s="27">
        <f>IF(A613="","",IFERROR(AVERAGEIFS(Prensa!$B$2:$B$5001,Prensa!$E$2:$E$5001,N613,Prensa!$F$2:$F$5001,4,Prensa!$G$2:$G$5001,1),""))</f>
        <v>0</v>
      </c>
      <c r="H613" s="26">
        <f>IF(A613="","",COUNT(D613:G613))</f>
        <v>0</v>
      </c>
      <c r="I613" s="27">
        <f>IF(A613="","",IF(H613=0,"",AVERAGE(D613:G613)))</f>
        <v>0</v>
      </c>
      <c r="J613" s="27">
        <f>IF(OR(I613="",C613=""),"",I613-C613)</f>
        <v>0</v>
      </c>
      <c r="K613" s="26">
        <f>IF(A613="","",IF(MES!E613&lt;&gt;4,"Horário do MES fora do padrão",IF(H613&lt;cfgMinCortes,"Cortes insuficientes","Válida")))</f>
        <v>0</v>
      </c>
      <c r="L613" s="27">
        <f>IF(K613="Válida",ABS(J613),"")</f>
        <v>0</v>
      </c>
      <c r="M613" s="26">
        <f>IF(K613="Válida",IF(L613&lt;=cfgTolerancia,"Sim","Não"),"")</f>
        <v>0</v>
      </c>
      <c r="N613" s="26">
        <f>IF(A613="","",MES!D613)</f>
        <v>0</v>
      </c>
      <c r="O613" s="25">
        <f>IF(K613="Válida",A613,NA())</f>
        <v>0</v>
      </c>
      <c r="P613" s="27">
        <f>IF(K613="Válida",C613,NA())</f>
        <v>0</v>
      </c>
      <c r="Q613" s="27">
        <f>IF(K613="Válida",I613,NA())</f>
        <v>0</v>
      </c>
      <c r="R613" s="27">
        <f>IF(K613="Válida",J613,NA())</f>
        <v>0</v>
      </c>
      <c r="S613" s="27">
        <f>IF(K613="Válida",C613,"")</f>
        <v>0</v>
      </c>
      <c r="T613" s="27">
        <f>IF(K613="Válida",I613,"")</f>
        <v>0</v>
      </c>
      <c r="U613" s="27">
        <f>IF(K613="Válida",J613,"")</f>
        <v>0</v>
      </c>
    </row>
    <row r="614" spans="1:21">
      <c r="A614" s="25">
        <f>IF(MES!A614="","",MES!C614/48)</f>
        <v>0</v>
      </c>
      <c r="B614" s="26">
        <f>IF(A614="","",TEXT((N614*4+cfgDeslocamento)/48,"hh:mm")&amp;" a "&amp;TEXT(A614,"hh:mm"))</f>
        <v>0</v>
      </c>
      <c r="C614" s="27">
        <f>IF(A614="","",MES!B614)</f>
        <v>0</v>
      </c>
      <c r="D614" s="27">
        <f>IF(A614="","",IFERROR(AVERAGEIFS(Prensa!$B$2:$B$5001,Prensa!$E$2:$E$5001,N614,Prensa!$F$2:$F$5001,1,Prensa!$G$2:$G$5001,1),""))</f>
        <v>0</v>
      </c>
      <c r="E614" s="27">
        <f>IF(A614="","",IFERROR(AVERAGEIFS(Prensa!$B$2:$B$5001,Prensa!$E$2:$E$5001,N614,Prensa!$F$2:$F$5001,2,Prensa!$G$2:$G$5001,1),""))</f>
        <v>0</v>
      </c>
      <c r="F614" s="27">
        <f>IF(A614="","",IFERROR(AVERAGEIFS(Prensa!$B$2:$B$5001,Prensa!$E$2:$E$5001,N614,Prensa!$F$2:$F$5001,3,Prensa!$G$2:$G$5001,1),""))</f>
        <v>0</v>
      </c>
      <c r="G614" s="27">
        <f>IF(A614="","",IFERROR(AVERAGEIFS(Prensa!$B$2:$B$5001,Prensa!$E$2:$E$5001,N614,Prensa!$F$2:$F$5001,4,Prensa!$G$2:$G$5001,1),""))</f>
        <v>0</v>
      </c>
      <c r="H614" s="26">
        <f>IF(A614="","",COUNT(D614:G614))</f>
        <v>0</v>
      </c>
      <c r="I614" s="27">
        <f>IF(A614="","",IF(H614=0,"",AVERAGE(D614:G614)))</f>
        <v>0</v>
      </c>
      <c r="J614" s="27">
        <f>IF(OR(I614="",C614=""),"",I614-C614)</f>
        <v>0</v>
      </c>
      <c r="K614" s="26">
        <f>IF(A614="","",IF(MES!E614&lt;&gt;4,"Horário do MES fora do padrão",IF(H614&lt;cfgMinCortes,"Cortes insuficientes","Válida")))</f>
        <v>0</v>
      </c>
      <c r="L614" s="27">
        <f>IF(K614="Válida",ABS(J614),"")</f>
        <v>0</v>
      </c>
      <c r="M614" s="26">
        <f>IF(K614="Válida",IF(L614&lt;=cfgTolerancia,"Sim","Não"),"")</f>
        <v>0</v>
      </c>
      <c r="N614" s="26">
        <f>IF(A614="","",MES!D614)</f>
        <v>0</v>
      </c>
      <c r="O614" s="25">
        <f>IF(K614="Válida",A614,NA())</f>
        <v>0</v>
      </c>
      <c r="P614" s="27">
        <f>IF(K614="Válida",C614,NA())</f>
        <v>0</v>
      </c>
      <c r="Q614" s="27">
        <f>IF(K614="Válida",I614,NA())</f>
        <v>0</v>
      </c>
      <c r="R614" s="27">
        <f>IF(K614="Válida",J614,NA())</f>
        <v>0</v>
      </c>
      <c r="S614" s="27">
        <f>IF(K614="Válida",C614,"")</f>
        <v>0</v>
      </c>
      <c r="T614" s="27">
        <f>IF(K614="Válida",I614,"")</f>
        <v>0</v>
      </c>
      <c r="U614" s="27">
        <f>IF(K614="Válida",J614,"")</f>
        <v>0</v>
      </c>
    </row>
    <row r="615" spans="1:21">
      <c r="A615" s="25">
        <f>IF(MES!A615="","",MES!C615/48)</f>
        <v>0</v>
      </c>
      <c r="B615" s="26">
        <f>IF(A615="","",TEXT((N615*4+cfgDeslocamento)/48,"hh:mm")&amp;" a "&amp;TEXT(A615,"hh:mm"))</f>
        <v>0</v>
      </c>
      <c r="C615" s="27">
        <f>IF(A615="","",MES!B615)</f>
        <v>0</v>
      </c>
      <c r="D615" s="27">
        <f>IF(A615="","",IFERROR(AVERAGEIFS(Prensa!$B$2:$B$5001,Prensa!$E$2:$E$5001,N615,Prensa!$F$2:$F$5001,1,Prensa!$G$2:$G$5001,1),""))</f>
        <v>0</v>
      </c>
      <c r="E615" s="27">
        <f>IF(A615="","",IFERROR(AVERAGEIFS(Prensa!$B$2:$B$5001,Prensa!$E$2:$E$5001,N615,Prensa!$F$2:$F$5001,2,Prensa!$G$2:$G$5001,1),""))</f>
        <v>0</v>
      </c>
      <c r="F615" s="27">
        <f>IF(A615="","",IFERROR(AVERAGEIFS(Prensa!$B$2:$B$5001,Prensa!$E$2:$E$5001,N615,Prensa!$F$2:$F$5001,3,Prensa!$G$2:$G$5001,1),""))</f>
        <v>0</v>
      </c>
      <c r="G615" s="27">
        <f>IF(A615="","",IFERROR(AVERAGEIFS(Prensa!$B$2:$B$5001,Prensa!$E$2:$E$5001,N615,Prensa!$F$2:$F$5001,4,Prensa!$G$2:$G$5001,1),""))</f>
        <v>0</v>
      </c>
      <c r="H615" s="26">
        <f>IF(A615="","",COUNT(D615:G615))</f>
        <v>0</v>
      </c>
      <c r="I615" s="27">
        <f>IF(A615="","",IF(H615=0,"",AVERAGE(D615:G615)))</f>
        <v>0</v>
      </c>
      <c r="J615" s="27">
        <f>IF(OR(I615="",C615=""),"",I615-C615)</f>
        <v>0</v>
      </c>
      <c r="K615" s="26">
        <f>IF(A615="","",IF(MES!E615&lt;&gt;4,"Horário do MES fora do padrão",IF(H615&lt;cfgMinCortes,"Cortes insuficientes","Válida")))</f>
        <v>0</v>
      </c>
      <c r="L615" s="27">
        <f>IF(K615="Válida",ABS(J615),"")</f>
        <v>0</v>
      </c>
      <c r="M615" s="26">
        <f>IF(K615="Válida",IF(L615&lt;=cfgTolerancia,"Sim","Não"),"")</f>
        <v>0</v>
      </c>
      <c r="N615" s="26">
        <f>IF(A615="","",MES!D615)</f>
        <v>0</v>
      </c>
      <c r="O615" s="25">
        <f>IF(K615="Válida",A615,NA())</f>
        <v>0</v>
      </c>
      <c r="P615" s="27">
        <f>IF(K615="Válida",C615,NA())</f>
        <v>0</v>
      </c>
      <c r="Q615" s="27">
        <f>IF(K615="Válida",I615,NA())</f>
        <v>0</v>
      </c>
      <c r="R615" s="27">
        <f>IF(K615="Válida",J615,NA())</f>
        <v>0</v>
      </c>
      <c r="S615" s="27">
        <f>IF(K615="Válida",C615,"")</f>
        <v>0</v>
      </c>
      <c r="T615" s="27">
        <f>IF(K615="Válida",I615,"")</f>
        <v>0</v>
      </c>
      <c r="U615" s="27">
        <f>IF(K615="Válida",J615,"")</f>
        <v>0</v>
      </c>
    </row>
    <row r="616" spans="1:21">
      <c r="A616" s="25">
        <f>IF(MES!A616="","",MES!C616/48)</f>
        <v>0</v>
      </c>
      <c r="B616" s="26">
        <f>IF(A616="","",TEXT((N616*4+cfgDeslocamento)/48,"hh:mm")&amp;" a "&amp;TEXT(A616,"hh:mm"))</f>
        <v>0</v>
      </c>
      <c r="C616" s="27">
        <f>IF(A616="","",MES!B616)</f>
        <v>0</v>
      </c>
      <c r="D616" s="27">
        <f>IF(A616="","",IFERROR(AVERAGEIFS(Prensa!$B$2:$B$5001,Prensa!$E$2:$E$5001,N616,Prensa!$F$2:$F$5001,1,Prensa!$G$2:$G$5001,1),""))</f>
        <v>0</v>
      </c>
      <c r="E616" s="27">
        <f>IF(A616="","",IFERROR(AVERAGEIFS(Prensa!$B$2:$B$5001,Prensa!$E$2:$E$5001,N616,Prensa!$F$2:$F$5001,2,Prensa!$G$2:$G$5001,1),""))</f>
        <v>0</v>
      </c>
      <c r="F616" s="27">
        <f>IF(A616="","",IFERROR(AVERAGEIFS(Prensa!$B$2:$B$5001,Prensa!$E$2:$E$5001,N616,Prensa!$F$2:$F$5001,3,Prensa!$G$2:$G$5001,1),""))</f>
        <v>0</v>
      </c>
      <c r="G616" s="27">
        <f>IF(A616="","",IFERROR(AVERAGEIFS(Prensa!$B$2:$B$5001,Prensa!$E$2:$E$5001,N616,Prensa!$F$2:$F$5001,4,Prensa!$G$2:$G$5001,1),""))</f>
        <v>0</v>
      </c>
      <c r="H616" s="26">
        <f>IF(A616="","",COUNT(D616:G616))</f>
        <v>0</v>
      </c>
      <c r="I616" s="27">
        <f>IF(A616="","",IF(H616=0,"",AVERAGE(D616:G616)))</f>
        <v>0</v>
      </c>
      <c r="J616" s="27">
        <f>IF(OR(I616="",C616=""),"",I616-C616)</f>
        <v>0</v>
      </c>
      <c r="K616" s="26">
        <f>IF(A616="","",IF(MES!E616&lt;&gt;4,"Horário do MES fora do padrão",IF(H616&lt;cfgMinCortes,"Cortes insuficientes","Válida")))</f>
        <v>0</v>
      </c>
      <c r="L616" s="27">
        <f>IF(K616="Válida",ABS(J616),"")</f>
        <v>0</v>
      </c>
      <c r="M616" s="26">
        <f>IF(K616="Válida",IF(L616&lt;=cfgTolerancia,"Sim","Não"),"")</f>
        <v>0</v>
      </c>
      <c r="N616" s="26">
        <f>IF(A616="","",MES!D616)</f>
        <v>0</v>
      </c>
      <c r="O616" s="25">
        <f>IF(K616="Válida",A616,NA())</f>
        <v>0</v>
      </c>
      <c r="P616" s="27">
        <f>IF(K616="Válida",C616,NA())</f>
        <v>0</v>
      </c>
      <c r="Q616" s="27">
        <f>IF(K616="Válida",I616,NA())</f>
        <v>0</v>
      </c>
      <c r="R616" s="27">
        <f>IF(K616="Válida",J616,NA())</f>
        <v>0</v>
      </c>
      <c r="S616" s="27">
        <f>IF(K616="Válida",C616,"")</f>
        <v>0</v>
      </c>
      <c r="T616" s="27">
        <f>IF(K616="Válida",I616,"")</f>
        <v>0</v>
      </c>
      <c r="U616" s="27">
        <f>IF(K616="Válida",J616,"")</f>
        <v>0</v>
      </c>
    </row>
    <row r="617" spans="1:21">
      <c r="A617" s="25">
        <f>IF(MES!A617="","",MES!C617/48)</f>
        <v>0</v>
      </c>
      <c r="B617" s="26">
        <f>IF(A617="","",TEXT((N617*4+cfgDeslocamento)/48,"hh:mm")&amp;" a "&amp;TEXT(A617,"hh:mm"))</f>
        <v>0</v>
      </c>
      <c r="C617" s="27">
        <f>IF(A617="","",MES!B617)</f>
        <v>0</v>
      </c>
      <c r="D617" s="27">
        <f>IF(A617="","",IFERROR(AVERAGEIFS(Prensa!$B$2:$B$5001,Prensa!$E$2:$E$5001,N617,Prensa!$F$2:$F$5001,1,Prensa!$G$2:$G$5001,1),""))</f>
        <v>0</v>
      </c>
      <c r="E617" s="27">
        <f>IF(A617="","",IFERROR(AVERAGEIFS(Prensa!$B$2:$B$5001,Prensa!$E$2:$E$5001,N617,Prensa!$F$2:$F$5001,2,Prensa!$G$2:$G$5001,1),""))</f>
        <v>0</v>
      </c>
      <c r="F617" s="27">
        <f>IF(A617="","",IFERROR(AVERAGEIFS(Prensa!$B$2:$B$5001,Prensa!$E$2:$E$5001,N617,Prensa!$F$2:$F$5001,3,Prensa!$G$2:$G$5001,1),""))</f>
        <v>0</v>
      </c>
      <c r="G617" s="27">
        <f>IF(A617="","",IFERROR(AVERAGEIFS(Prensa!$B$2:$B$5001,Prensa!$E$2:$E$5001,N617,Prensa!$F$2:$F$5001,4,Prensa!$G$2:$G$5001,1),""))</f>
        <v>0</v>
      </c>
      <c r="H617" s="26">
        <f>IF(A617="","",COUNT(D617:G617))</f>
        <v>0</v>
      </c>
      <c r="I617" s="27">
        <f>IF(A617="","",IF(H617=0,"",AVERAGE(D617:G617)))</f>
        <v>0</v>
      </c>
      <c r="J617" s="27">
        <f>IF(OR(I617="",C617=""),"",I617-C617)</f>
        <v>0</v>
      </c>
      <c r="K617" s="26">
        <f>IF(A617="","",IF(MES!E617&lt;&gt;4,"Horário do MES fora do padrão",IF(H617&lt;cfgMinCortes,"Cortes insuficientes","Válida")))</f>
        <v>0</v>
      </c>
      <c r="L617" s="27">
        <f>IF(K617="Válida",ABS(J617),"")</f>
        <v>0</v>
      </c>
      <c r="M617" s="26">
        <f>IF(K617="Válida",IF(L617&lt;=cfgTolerancia,"Sim","Não"),"")</f>
        <v>0</v>
      </c>
      <c r="N617" s="26">
        <f>IF(A617="","",MES!D617)</f>
        <v>0</v>
      </c>
      <c r="O617" s="25">
        <f>IF(K617="Válida",A617,NA())</f>
        <v>0</v>
      </c>
      <c r="P617" s="27">
        <f>IF(K617="Válida",C617,NA())</f>
        <v>0</v>
      </c>
      <c r="Q617" s="27">
        <f>IF(K617="Válida",I617,NA())</f>
        <v>0</v>
      </c>
      <c r="R617" s="27">
        <f>IF(K617="Válida",J617,NA())</f>
        <v>0</v>
      </c>
      <c r="S617" s="27">
        <f>IF(K617="Válida",C617,"")</f>
        <v>0</v>
      </c>
      <c r="T617" s="27">
        <f>IF(K617="Válida",I617,"")</f>
        <v>0</v>
      </c>
      <c r="U617" s="27">
        <f>IF(K617="Válida",J617,"")</f>
        <v>0</v>
      </c>
    </row>
    <row r="618" spans="1:21">
      <c r="A618" s="25">
        <f>IF(MES!A618="","",MES!C618/48)</f>
        <v>0</v>
      </c>
      <c r="B618" s="26">
        <f>IF(A618="","",TEXT((N618*4+cfgDeslocamento)/48,"hh:mm")&amp;" a "&amp;TEXT(A618,"hh:mm"))</f>
        <v>0</v>
      </c>
      <c r="C618" s="27">
        <f>IF(A618="","",MES!B618)</f>
        <v>0</v>
      </c>
      <c r="D618" s="27">
        <f>IF(A618="","",IFERROR(AVERAGEIFS(Prensa!$B$2:$B$5001,Prensa!$E$2:$E$5001,N618,Prensa!$F$2:$F$5001,1,Prensa!$G$2:$G$5001,1),""))</f>
        <v>0</v>
      </c>
      <c r="E618" s="27">
        <f>IF(A618="","",IFERROR(AVERAGEIFS(Prensa!$B$2:$B$5001,Prensa!$E$2:$E$5001,N618,Prensa!$F$2:$F$5001,2,Prensa!$G$2:$G$5001,1),""))</f>
        <v>0</v>
      </c>
      <c r="F618" s="27">
        <f>IF(A618="","",IFERROR(AVERAGEIFS(Prensa!$B$2:$B$5001,Prensa!$E$2:$E$5001,N618,Prensa!$F$2:$F$5001,3,Prensa!$G$2:$G$5001,1),""))</f>
        <v>0</v>
      </c>
      <c r="G618" s="27">
        <f>IF(A618="","",IFERROR(AVERAGEIFS(Prensa!$B$2:$B$5001,Prensa!$E$2:$E$5001,N618,Prensa!$F$2:$F$5001,4,Prensa!$G$2:$G$5001,1),""))</f>
        <v>0</v>
      </c>
      <c r="H618" s="26">
        <f>IF(A618="","",COUNT(D618:G618))</f>
        <v>0</v>
      </c>
      <c r="I618" s="27">
        <f>IF(A618="","",IF(H618=0,"",AVERAGE(D618:G618)))</f>
        <v>0</v>
      </c>
      <c r="J618" s="27">
        <f>IF(OR(I618="",C618=""),"",I618-C618)</f>
        <v>0</v>
      </c>
      <c r="K618" s="26">
        <f>IF(A618="","",IF(MES!E618&lt;&gt;4,"Horário do MES fora do padrão",IF(H618&lt;cfgMinCortes,"Cortes insuficientes","Válida")))</f>
        <v>0</v>
      </c>
      <c r="L618" s="27">
        <f>IF(K618="Válida",ABS(J618),"")</f>
        <v>0</v>
      </c>
      <c r="M618" s="26">
        <f>IF(K618="Válida",IF(L618&lt;=cfgTolerancia,"Sim","Não"),"")</f>
        <v>0</v>
      </c>
      <c r="N618" s="26">
        <f>IF(A618="","",MES!D618)</f>
        <v>0</v>
      </c>
      <c r="O618" s="25">
        <f>IF(K618="Válida",A618,NA())</f>
        <v>0</v>
      </c>
      <c r="P618" s="27">
        <f>IF(K618="Válida",C618,NA())</f>
        <v>0</v>
      </c>
      <c r="Q618" s="27">
        <f>IF(K618="Válida",I618,NA())</f>
        <v>0</v>
      </c>
      <c r="R618" s="27">
        <f>IF(K618="Válida",J618,NA())</f>
        <v>0</v>
      </c>
      <c r="S618" s="27">
        <f>IF(K618="Válida",C618,"")</f>
        <v>0</v>
      </c>
      <c r="T618" s="27">
        <f>IF(K618="Válida",I618,"")</f>
        <v>0</v>
      </c>
      <c r="U618" s="27">
        <f>IF(K618="Válida",J618,"")</f>
        <v>0</v>
      </c>
    </row>
    <row r="619" spans="1:21">
      <c r="A619" s="25">
        <f>IF(MES!A619="","",MES!C619/48)</f>
        <v>0</v>
      </c>
      <c r="B619" s="26">
        <f>IF(A619="","",TEXT((N619*4+cfgDeslocamento)/48,"hh:mm")&amp;" a "&amp;TEXT(A619,"hh:mm"))</f>
        <v>0</v>
      </c>
      <c r="C619" s="27">
        <f>IF(A619="","",MES!B619)</f>
        <v>0</v>
      </c>
      <c r="D619" s="27">
        <f>IF(A619="","",IFERROR(AVERAGEIFS(Prensa!$B$2:$B$5001,Prensa!$E$2:$E$5001,N619,Prensa!$F$2:$F$5001,1,Prensa!$G$2:$G$5001,1),""))</f>
        <v>0</v>
      </c>
      <c r="E619" s="27">
        <f>IF(A619="","",IFERROR(AVERAGEIFS(Prensa!$B$2:$B$5001,Prensa!$E$2:$E$5001,N619,Prensa!$F$2:$F$5001,2,Prensa!$G$2:$G$5001,1),""))</f>
        <v>0</v>
      </c>
      <c r="F619" s="27">
        <f>IF(A619="","",IFERROR(AVERAGEIFS(Prensa!$B$2:$B$5001,Prensa!$E$2:$E$5001,N619,Prensa!$F$2:$F$5001,3,Prensa!$G$2:$G$5001,1),""))</f>
        <v>0</v>
      </c>
      <c r="G619" s="27">
        <f>IF(A619="","",IFERROR(AVERAGEIFS(Prensa!$B$2:$B$5001,Prensa!$E$2:$E$5001,N619,Prensa!$F$2:$F$5001,4,Prensa!$G$2:$G$5001,1),""))</f>
        <v>0</v>
      </c>
      <c r="H619" s="26">
        <f>IF(A619="","",COUNT(D619:G619))</f>
        <v>0</v>
      </c>
      <c r="I619" s="27">
        <f>IF(A619="","",IF(H619=0,"",AVERAGE(D619:G619)))</f>
        <v>0</v>
      </c>
      <c r="J619" s="27">
        <f>IF(OR(I619="",C619=""),"",I619-C619)</f>
        <v>0</v>
      </c>
      <c r="K619" s="26">
        <f>IF(A619="","",IF(MES!E619&lt;&gt;4,"Horário do MES fora do padrão",IF(H619&lt;cfgMinCortes,"Cortes insuficientes","Válida")))</f>
        <v>0</v>
      </c>
      <c r="L619" s="27">
        <f>IF(K619="Válida",ABS(J619),"")</f>
        <v>0</v>
      </c>
      <c r="M619" s="26">
        <f>IF(K619="Válida",IF(L619&lt;=cfgTolerancia,"Sim","Não"),"")</f>
        <v>0</v>
      </c>
      <c r="N619" s="26">
        <f>IF(A619="","",MES!D619)</f>
        <v>0</v>
      </c>
      <c r="O619" s="25">
        <f>IF(K619="Válida",A619,NA())</f>
        <v>0</v>
      </c>
      <c r="P619" s="27">
        <f>IF(K619="Válida",C619,NA())</f>
        <v>0</v>
      </c>
      <c r="Q619" s="27">
        <f>IF(K619="Válida",I619,NA())</f>
        <v>0</v>
      </c>
      <c r="R619" s="27">
        <f>IF(K619="Válida",J619,NA())</f>
        <v>0</v>
      </c>
      <c r="S619" s="27">
        <f>IF(K619="Válida",C619,"")</f>
        <v>0</v>
      </c>
      <c r="T619" s="27">
        <f>IF(K619="Válida",I619,"")</f>
        <v>0</v>
      </c>
      <c r="U619" s="27">
        <f>IF(K619="Válida",J619,"")</f>
        <v>0</v>
      </c>
    </row>
    <row r="620" spans="1:21">
      <c r="A620" s="25">
        <f>IF(MES!A620="","",MES!C620/48)</f>
        <v>0</v>
      </c>
      <c r="B620" s="26">
        <f>IF(A620="","",TEXT((N620*4+cfgDeslocamento)/48,"hh:mm")&amp;" a "&amp;TEXT(A620,"hh:mm"))</f>
        <v>0</v>
      </c>
      <c r="C620" s="27">
        <f>IF(A620="","",MES!B620)</f>
        <v>0</v>
      </c>
      <c r="D620" s="27">
        <f>IF(A620="","",IFERROR(AVERAGEIFS(Prensa!$B$2:$B$5001,Prensa!$E$2:$E$5001,N620,Prensa!$F$2:$F$5001,1,Prensa!$G$2:$G$5001,1),""))</f>
        <v>0</v>
      </c>
      <c r="E620" s="27">
        <f>IF(A620="","",IFERROR(AVERAGEIFS(Prensa!$B$2:$B$5001,Prensa!$E$2:$E$5001,N620,Prensa!$F$2:$F$5001,2,Prensa!$G$2:$G$5001,1),""))</f>
        <v>0</v>
      </c>
      <c r="F620" s="27">
        <f>IF(A620="","",IFERROR(AVERAGEIFS(Prensa!$B$2:$B$5001,Prensa!$E$2:$E$5001,N620,Prensa!$F$2:$F$5001,3,Prensa!$G$2:$G$5001,1),""))</f>
        <v>0</v>
      </c>
      <c r="G620" s="27">
        <f>IF(A620="","",IFERROR(AVERAGEIFS(Prensa!$B$2:$B$5001,Prensa!$E$2:$E$5001,N620,Prensa!$F$2:$F$5001,4,Prensa!$G$2:$G$5001,1),""))</f>
        <v>0</v>
      </c>
      <c r="H620" s="26">
        <f>IF(A620="","",COUNT(D620:G620))</f>
        <v>0</v>
      </c>
      <c r="I620" s="27">
        <f>IF(A620="","",IF(H620=0,"",AVERAGE(D620:G620)))</f>
        <v>0</v>
      </c>
      <c r="J620" s="27">
        <f>IF(OR(I620="",C620=""),"",I620-C620)</f>
        <v>0</v>
      </c>
      <c r="K620" s="26">
        <f>IF(A620="","",IF(MES!E620&lt;&gt;4,"Horário do MES fora do padrão",IF(H620&lt;cfgMinCortes,"Cortes insuficientes","Válida")))</f>
        <v>0</v>
      </c>
      <c r="L620" s="27">
        <f>IF(K620="Válida",ABS(J620),"")</f>
        <v>0</v>
      </c>
      <c r="M620" s="26">
        <f>IF(K620="Válida",IF(L620&lt;=cfgTolerancia,"Sim","Não"),"")</f>
        <v>0</v>
      </c>
      <c r="N620" s="26">
        <f>IF(A620="","",MES!D620)</f>
        <v>0</v>
      </c>
      <c r="O620" s="25">
        <f>IF(K620="Válida",A620,NA())</f>
        <v>0</v>
      </c>
      <c r="P620" s="27">
        <f>IF(K620="Válida",C620,NA())</f>
        <v>0</v>
      </c>
      <c r="Q620" s="27">
        <f>IF(K620="Válida",I620,NA())</f>
        <v>0</v>
      </c>
      <c r="R620" s="27">
        <f>IF(K620="Válida",J620,NA())</f>
        <v>0</v>
      </c>
      <c r="S620" s="27">
        <f>IF(K620="Válida",C620,"")</f>
        <v>0</v>
      </c>
      <c r="T620" s="27">
        <f>IF(K620="Válida",I620,"")</f>
        <v>0</v>
      </c>
      <c r="U620" s="27">
        <f>IF(K620="Válida",J620,"")</f>
        <v>0</v>
      </c>
    </row>
    <row r="621" spans="1:21">
      <c r="A621" s="25">
        <f>IF(MES!A621="","",MES!C621/48)</f>
        <v>0</v>
      </c>
      <c r="B621" s="26">
        <f>IF(A621="","",TEXT((N621*4+cfgDeslocamento)/48,"hh:mm")&amp;" a "&amp;TEXT(A621,"hh:mm"))</f>
        <v>0</v>
      </c>
      <c r="C621" s="27">
        <f>IF(A621="","",MES!B621)</f>
        <v>0</v>
      </c>
      <c r="D621" s="27">
        <f>IF(A621="","",IFERROR(AVERAGEIFS(Prensa!$B$2:$B$5001,Prensa!$E$2:$E$5001,N621,Prensa!$F$2:$F$5001,1,Prensa!$G$2:$G$5001,1),""))</f>
        <v>0</v>
      </c>
      <c r="E621" s="27">
        <f>IF(A621="","",IFERROR(AVERAGEIFS(Prensa!$B$2:$B$5001,Prensa!$E$2:$E$5001,N621,Prensa!$F$2:$F$5001,2,Prensa!$G$2:$G$5001,1),""))</f>
        <v>0</v>
      </c>
      <c r="F621" s="27">
        <f>IF(A621="","",IFERROR(AVERAGEIFS(Prensa!$B$2:$B$5001,Prensa!$E$2:$E$5001,N621,Prensa!$F$2:$F$5001,3,Prensa!$G$2:$G$5001,1),""))</f>
        <v>0</v>
      </c>
      <c r="G621" s="27">
        <f>IF(A621="","",IFERROR(AVERAGEIFS(Prensa!$B$2:$B$5001,Prensa!$E$2:$E$5001,N621,Prensa!$F$2:$F$5001,4,Prensa!$G$2:$G$5001,1),""))</f>
        <v>0</v>
      </c>
      <c r="H621" s="26">
        <f>IF(A621="","",COUNT(D621:G621))</f>
        <v>0</v>
      </c>
      <c r="I621" s="27">
        <f>IF(A621="","",IF(H621=0,"",AVERAGE(D621:G621)))</f>
        <v>0</v>
      </c>
      <c r="J621" s="27">
        <f>IF(OR(I621="",C621=""),"",I621-C621)</f>
        <v>0</v>
      </c>
      <c r="K621" s="26">
        <f>IF(A621="","",IF(MES!E621&lt;&gt;4,"Horário do MES fora do padrão",IF(H621&lt;cfgMinCortes,"Cortes insuficientes","Válida")))</f>
        <v>0</v>
      </c>
      <c r="L621" s="27">
        <f>IF(K621="Válida",ABS(J621),"")</f>
        <v>0</v>
      </c>
      <c r="M621" s="26">
        <f>IF(K621="Válida",IF(L621&lt;=cfgTolerancia,"Sim","Não"),"")</f>
        <v>0</v>
      </c>
      <c r="N621" s="26">
        <f>IF(A621="","",MES!D621)</f>
        <v>0</v>
      </c>
      <c r="O621" s="25">
        <f>IF(K621="Válida",A621,NA())</f>
        <v>0</v>
      </c>
      <c r="P621" s="27">
        <f>IF(K621="Válida",C621,NA())</f>
        <v>0</v>
      </c>
      <c r="Q621" s="27">
        <f>IF(K621="Válida",I621,NA())</f>
        <v>0</v>
      </c>
      <c r="R621" s="27">
        <f>IF(K621="Válida",J621,NA())</f>
        <v>0</v>
      </c>
      <c r="S621" s="27">
        <f>IF(K621="Válida",C621,"")</f>
        <v>0</v>
      </c>
      <c r="T621" s="27">
        <f>IF(K621="Válida",I621,"")</f>
        <v>0</v>
      </c>
      <c r="U621" s="27">
        <f>IF(K621="Válida",J621,"")</f>
        <v>0</v>
      </c>
    </row>
    <row r="622" spans="1:21">
      <c r="A622" s="25">
        <f>IF(MES!A622="","",MES!C622/48)</f>
        <v>0</v>
      </c>
      <c r="B622" s="26">
        <f>IF(A622="","",TEXT((N622*4+cfgDeslocamento)/48,"hh:mm")&amp;" a "&amp;TEXT(A622,"hh:mm"))</f>
        <v>0</v>
      </c>
      <c r="C622" s="27">
        <f>IF(A622="","",MES!B622)</f>
        <v>0</v>
      </c>
      <c r="D622" s="27">
        <f>IF(A622="","",IFERROR(AVERAGEIFS(Prensa!$B$2:$B$5001,Prensa!$E$2:$E$5001,N622,Prensa!$F$2:$F$5001,1,Prensa!$G$2:$G$5001,1),""))</f>
        <v>0</v>
      </c>
      <c r="E622" s="27">
        <f>IF(A622="","",IFERROR(AVERAGEIFS(Prensa!$B$2:$B$5001,Prensa!$E$2:$E$5001,N622,Prensa!$F$2:$F$5001,2,Prensa!$G$2:$G$5001,1),""))</f>
        <v>0</v>
      </c>
      <c r="F622" s="27">
        <f>IF(A622="","",IFERROR(AVERAGEIFS(Prensa!$B$2:$B$5001,Prensa!$E$2:$E$5001,N622,Prensa!$F$2:$F$5001,3,Prensa!$G$2:$G$5001,1),""))</f>
        <v>0</v>
      </c>
      <c r="G622" s="27">
        <f>IF(A622="","",IFERROR(AVERAGEIFS(Prensa!$B$2:$B$5001,Prensa!$E$2:$E$5001,N622,Prensa!$F$2:$F$5001,4,Prensa!$G$2:$G$5001,1),""))</f>
        <v>0</v>
      </c>
      <c r="H622" s="26">
        <f>IF(A622="","",COUNT(D622:G622))</f>
        <v>0</v>
      </c>
      <c r="I622" s="27">
        <f>IF(A622="","",IF(H622=0,"",AVERAGE(D622:G622)))</f>
        <v>0</v>
      </c>
      <c r="J622" s="27">
        <f>IF(OR(I622="",C622=""),"",I622-C622)</f>
        <v>0</v>
      </c>
      <c r="K622" s="26">
        <f>IF(A622="","",IF(MES!E622&lt;&gt;4,"Horário do MES fora do padrão",IF(H622&lt;cfgMinCortes,"Cortes insuficientes","Válida")))</f>
        <v>0</v>
      </c>
      <c r="L622" s="27">
        <f>IF(K622="Válida",ABS(J622),"")</f>
        <v>0</v>
      </c>
      <c r="M622" s="26">
        <f>IF(K622="Válida",IF(L622&lt;=cfgTolerancia,"Sim","Não"),"")</f>
        <v>0</v>
      </c>
      <c r="N622" s="26">
        <f>IF(A622="","",MES!D622)</f>
        <v>0</v>
      </c>
      <c r="O622" s="25">
        <f>IF(K622="Válida",A622,NA())</f>
        <v>0</v>
      </c>
      <c r="P622" s="27">
        <f>IF(K622="Válida",C622,NA())</f>
        <v>0</v>
      </c>
      <c r="Q622" s="27">
        <f>IF(K622="Válida",I622,NA())</f>
        <v>0</v>
      </c>
      <c r="R622" s="27">
        <f>IF(K622="Válida",J622,NA())</f>
        <v>0</v>
      </c>
      <c r="S622" s="27">
        <f>IF(K622="Válida",C622,"")</f>
        <v>0</v>
      </c>
      <c r="T622" s="27">
        <f>IF(K622="Válida",I622,"")</f>
        <v>0</v>
      </c>
      <c r="U622" s="27">
        <f>IF(K622="Válida",J622,"")</f>
        <v>0</v>
      </c>
    </row>
    <row r="623" spans="1:21">
      <c r="A623" s="25">
        <f>IF(MES!A623="","",MES!C623/48)</f>
        <v>0</v>
      </c>
      <c r="B623" s="26">
        <f>IF(A623="","",TEXT((N623*4+cfgDeslocamento)/48,"hh:mm")&amp;" a "&amp;TEXT(A623,"hh:mm"))</f>
        <v>0</v>
      </c>
      <c r="C623" s="27">
        <f>IF(A623="","",MES!B623)</f>
        <v>0</v>
      </c>
      <c r="D623" s="27">
        <f>IF(A623="","",IFERROR(AVERAGEIFS(Prensa!$B$2:$B$5001,Prensa!$E$2:$E$5001,N623,Prensa!$F$2:$F$5001,1,Prensa!$G$2:$G$5001,1),""))</f>
        <v>0</v>
      </c>
      <c r="E623" s="27">
        <f>IF(A623="","",IFERROR(AVERAGEIFS(Prensa!$B$2:$B$5001,Prensa!$E$2:$E$5001,N623,Prensa!$F$2:$F$5001,2,Prensa!$G$2:$G$5001,1),""))</f>
        <v>0</v>
      </c>
      <c r="F623" s="27">
        <f>IF(A623="","",IFERROR(AVERAGEIFS(Prensa!$B$2:$B$5001,Prensa!$E$2:$E$5001,N623,Prensa!$F$2:$F$5001,3,Prensa!$G$2:$G$5001,1),""))</f>
        <v>0</v>
      </c>
      <c r="G623" s="27">
        <f>IF(A623="","",IFERROR(AVERAGEIFS(Prensa!$B$2:$B$5001,Prensa!$E$2:$E$5001,N623,Prensa!$F$2:$F$5001,4,Prensa!$G$2:$G$5001,1),""))</f>
        <v>0</v>
      </c>
      <c r="H623" s="26">
        <f>IF(A623="","",COUNT(D623:G623))</f>
        <v>0</v>
      </c>
      <c r="I623" s="27">
        <f>IF(A623="","",IF(H623=0,"",AVERAGE(D623:G623)))</f>
        <v>0</v>
      </c>
      <c r="J623" s="27">
        <f>IF(OR(I623="",C623=""),"",I623-C623)</f>
        <v>0</v>
      </c>
      <c r="K623" s="26">
        <f>IF(A623="","",IF(MES!E623&lt;&gt;4,"Horário do MES fora do padrão",IF(H623&lt;cfgMinCortes,"Cortes insuficientes","Válida")))</f>
        <v>0</v>
      </c>
      <c r="L623" s="27">
        <f>IF(K623="Válida",ABS(J623),"")</f>
        <v>0</v>
      </c>
      <c r="M623" s="26">
        <f>IF(K623="Válida",IF(L623&lt;=cfgTolerancia,"Sim","Não"),"")</f>
        <v>0</v>
      </c>
      <c r="N623" s="26">
        <f>IF(A623="","",MES!D623)</f>
        <v>0</v>
      </c>
      <c r="O623" s="25">
        <f>IF(K623="Válida",A623,NA())</f>
        <v>0</v>
      </c>
      <c r="P623" s="27">
        <f>IF(K623="Válida",C623,NA())</f>
        <v>0</v>
      </c>
      <c r="Q623" s="27">
        <f>IF(K623="Válida",I623,NA())</f>
        <v>0</v>
      </c>
      <c r="R623" s="27">
        <f>IF(K623="Válida",J623,NA())</f>
        <v>0</v>
      </c>
      <c r="S623" s="27">
        <f>IF(K623="Válida",C623,"")</f>
        <v>0</v>
      </c>
      <c r="T623" s="27">
        <f>IF(K623="Válida",I623,"")</f>
        <v>0</v>
      </c>
      <c r="U623" s="27">
        <f>IF(K623="Válida",J623,"")</f>
        <v>0</v>
      </c>
    </row>
    <row r="624" spans="1:21">
      <c r="A624" s="25">
        <f>IF(MES!A624="","",MES!C624/48)</f>
        <v>0</v>
      </c>
      <c r="B624" s="26">
        <f>IF(A624="","",TEXT((N624*4+cfgDeslocamento)/48,"hh:mm")&amp;" a "&amp;TEXT(A624,"hh:mm"))</f>
        <v>0</v>
      </c>
      <c r="C624" s="27">
        <f>IF(A624="","",MES!B624)</f>
        <v>0</v>
      </c>
      <c r="D624" s="27">
        <f>IF(A624="","",IFERROR(AVERAGEIFS(Prensa!$B$2:$B$5001,Prensa!$E$2:$E$5001,N624,Prensa!$F$2:$F$5001,1,Prensa!$G$2:$G$5001,1),""))</f>
        <v>0</v>
      </c>
      <c r="E624" s="27">
        <f>IF(A624="","",IFERROR(AVERAGEIFS(Prensa!$B$2:$B$5001,Prensa!$E$2:$E$5001,N624,Prensa!$F$2:$F$5001,2,Prensa!$G$2:$G$5001,1),""))</f>
        <v>0</v>
      </c>
      <c r="F624" s="27">
        <f>IF(A624="","",IFERROR(AVERAGEIFS(Prensa!$B$2:$B$5001,Prensa!$E$2:$E$5001,N624,Prensa!$F$2:$F$5001,3,Prensa!$G$2:$G$5001,1),""))</f>
        <v>0</v>
      </c>
      <c r="G624" s="27">
        <f>IF(A624="","",IFERROR(AVERAGEIFS(Prensa!$B$2:$B$5001,Prensa!$E$2:$E$5001,N624,Prensa!$F$2:$F$5001,4,Prensa!$G$2:$G$5001,1),""))</f>
        <v>0</v>
      </c>
      <c r="H624" s="26">
        <f>IF(A624="","",COUNT(D624:G624))</f>
        <v>0</v>
      </c>
      <c r="I624" s="27">
        <f>IF(A624="","",IF(H624=0,"",AVERAGE(D624:G624)))</f>
        <v>0</v>
      </c>
      <c r="J624" s="27">
        <f>IF(OR(I624="",C624=""),"",I624-C624)</f>
        <v>0</v>
      </c>
      <c r="K624" s="26">
        <f>IF(A624="","",IF(MES!E624&lt;&gt;4,"Horário do MES fora do padrão",IF(H624&lt;cfgMinCortes,"Cortes insuficientes","Válida")))</f>
        <v>0</v>
      </c>
      <c r="L624" s="27">
        <f>IF(K624="Válida",ABS(J624),"")</f>
        <v>0</v>
      </c>
      <c r="M624" s="26">
        <f>IF(K624="Válida",IF(L624&lt;=cfgTolerancia,"Sim","Não"),"")</f>
        <v>0</v>
      </c>
      <c r="N624" s="26">
        <f>IF(A624="","",MES!D624)</f>
        <v>0</v>
      </c>
      <c r="O624" s="25">
        <f>IF(K624="Válida",A624,NA())</f>
        <v>0</v>
      </c>
      <c r="P624" s="27">
        <f>IF(K624="Válida",C624,NA())</f>
        <v>0</v>
      </c>
      <c r="Q624" s="27">
        <f>IF(K624="Válida",I624,NA())</f>
        <v>0</v>
      </c>
      <c r="R624" s="27">
        <f>IF(K624="Válida",J624,NA())</f>
        <v>0</v>
      </c>
      <c r="S624" s="27">
        <f>IF(K624="Válida",C624,"")</f>
        <v>0</v>
      </c>
      <c r="T624" s="27">
        <f>IF(K624="Válida",I624,"")</f>
        <v>0</v>
      </c>
      <c r="U624" s="27">
        <f>IF(K624="Válida",J624,"")</f>
        <v>0</v>
      </c>
    </row>
    <row r="625" spans="1:21">
      <c r="A625" s="25">
        <f>IF(MES!A625="","",MES!C625/48)</f>
        <v>0</v>
      </c>
      <c r="B625" s="26">
        <f>IF(A625="","",TEXT((N625*4+cfgDeslocamento)/48,"hh:mm")&amp;" a "&amp;TEXT(A625,"hh:mm"))</f>
        <v>0</v>
      </c>
      <c r="C625" s="27">
        <f>IF(A625="","",MES!B625)</f>
        <v>0</v>
      </c>
      <c r="D625" s="27">
        <f>IF(A625="","",IFERROR(AVERAGEIFS(Prensa!$B$2:$B$5001,Prensa!$E$2:$E$5001,N625,Prensa!$F$2:$F$5001,1,Prensa!$G$2:$G$5001,1),""))</f>
        <v>0</v>
      </c>
      <c r="E625" s="27">
        <f>IF(A625="","",IFERROR(AVERAGEIFS(Prensa!$B$2:$B$5001,Prensa!$E$2:$E$5001,N625,Prensa!$F$2:$F$5001,2,Prensa!$G$2:$G$5001,1),""))</f>
        <v>0</v>
      </c>
      <c r="F625" s="27">
        <f>IF(A625="","",IFERROR(AVERAGEIFS(Prensa!$B$2:$B$5001,Prensa!$E$2:$E$5001,N625,Prensa!$F$2:$F$5001,3,Prensa!$G$2:$G$5001,1),""))</f>
        <v>0</v>
      </c>
      <c r="G625" s="27">
        <f>IF(A625="","",IFERROR(AVERAGEIFS(Prensa!$B$2:$B$5001,Prensa!$E$2:$E$5001,N625,Prensa!$F$2:$F$5001,4,Prensa!$G$2:$G$5001,1),""))</f>
        <v>0</v>
      </c>
      <c r="H625" s="26">
        <f>IF(A625="","",COUNT(D625:G625))</f>
        <v>0</v>
      </c>
      <c r="I625" s="27">
        <f>IF(A625="","",IF(H625=0,"",AVERAGE(D625:G625)))</f>
        <v>0</v>
      </c>
      <c r="J625" s="27">
        <f>IF(OR(I625="",C625=""),"",I625-C625)</f>
        <v>0</v>
      </c>
      <c r="K625" s="26">
        <f>IF(A625="","",IF(MES!E625&lt;&gt;4,"Horário do MES fora do padrão",IF(H625&lt;cfgMinCortes,"Cortes insuficientes","Válida")))</f>
        <v>0</v>
      </c>
      <c r="L625" s="27">
        <f>IF(K625="Válida",ABS(J625),"")</f>
        <v>0</v>
      </c>
      <c r="M625" s="26">
        <f>IF(K625="Válida",IF(L625&lt;=cfgTolerancia,"Sim","Não"),"")</f>
        <v>0</v>
      </c>
      <c r="N625" s="26">
        <f>IF(A625="","",MES!D625)</f>
        <v>0</v>
      </c>
      <c r="O625" s="25">
        <f>IF(K625="Válida",A625,NA())</f>
        <v>0</v>
      </c>
      <c r="P625" s="27">
        <f>IF(K625="Válida",C625,NA())</f>
        <v>0</v>
      </c>
      <c r="Q625" s="27">
        <f>IF(K625="Válida",I625,NA())</f>
        <v>0</v>
      </c>
      <c r="R625" s="27">
        <f>IF(K625="Válida",J625,NA())</f>
        <v>0</v>
      </c>
      <c r="S625" s="27">
        <f>IF(K625="Válida",C625,"")</f>
        <v>0</v>
      </c>
      <c r="T625" s="27">
        <f>IF(K625="Válida",I625,"")</f>
        <v>0</v>
      </c>
      <c r="U625" s="27">
        <f>IF(K625="Válida",J625,"")</f>
        <v>0</v>
      </c>
    </row>
    <row r="626" spans="1:21">
      <c r="A626" s="25">
        <f>IF(MES!A626="","",MES!C626/48)</f>
        <v>0</v>
      </c>
      <c r="B626" s="26">
        <f>IF(A626="","",TEXT((N626*4+cfgDeslocamento)/48,"hh:mm")&amp;" a "&amp;TEXT(A626,"hh:mm"))</f>
        <v>0</v>
      </c>
      <c r="C626" s="27">
        <f>IF(A626="","",MES!B626)</f>
        <v>0</v>
      </c>
      <c r="D626" s="27">
        <f>IF(A626="","",IFERROR(AVERAGEIFS(Prensa!$B$2:$B$5001,Prensa!$E$2:$E$5001,N626,Prensa!$F$2:$F$5001,1,Prensa!$G$2:$G$5001,1),""))</f>
        <v>0</v>
      </c>
      <c r="E626" s="27">
        <f>IF(A626="","",IFERROR(AVERAGEIFS(Prensa!$B$2:$B$5001,Prensa!$E$2:$E$5001,N626,Prensa!$F$2:$F$5001,2,Prensa!$G$2:$G$5001,1),""))</f>
        <v>0</v>
      </c>
      <c r="F626" s="27">
        <f>IF(A626="","",IFERROR(AVERAGEIFS(Prensa!$B$2:$B$5001,Prensa!$E$2:$E$5001,N626,Prensa!$F$2:$F$5001,3,Prensa!$G$2:$G$5001,1),""))</f>
        <v>0</v>
      </c>
      <c r="G626" s="27">
        <f>IF(A626="","",IFERROR(AVERAGEIFS(Prensa!$B$2:$B$5001,Prensa!$E$2:$E$5001,N626,Prensa!$F$2:$F$5001,4,Prensa!$G$2:$G$5001,1),""))</f>
        <v>0</v>
      </c>
      <c r="H626" s="26">
        <f>IF(A626="","",COUNT(D626:G626))</f>
        <v>0</v>
      </c>
      <c r="I626" s="27">
        <f>IF(A626="","",IF(H626=0,"",AVERAGE(D626:G626)))</f>
        <v>0</v>
      </c>
      <c r="J626" s="27">
        <f>IF(OR(I626="",C626=""),"",I626-C626)</f>
        <v>0</v>
      </c>
      <c r="K626" s="26">
        <f>IF(A626="","",IF(MES!E626&lt;&gt;4,"Horário do MES fora do padrão",IF(H626&lt;cfgMinCortes,"Cortes insuficientes","Válida")))</f>
        <v>0</v>
      </c>
      <c r="L626" s="27">
        <f>IF(K626="Válida",ABS(J626),"")</f>
        <v>0</v>
      </c>
      <c r="M626" s="26">
        <f>IF(K626="Válida",IF(L626&lt;=cfgTolerancia,"Sim","Não"),"")</f>
        <v>0</v>
      </c>
      <c r="N626" s="26">
        <f>IF(A626="","",MES!D626)</f>
        <v>0</v>
      </c>
      <c r="O626" s="25">
        <f>IF(K626="Válida",A626,NA())</f>
        <v>0</v>
      </c>
      <c r="P626" s="27">
        <f>IF(K626="Válida",C626,NA())</f>
        <v>0</v>
      </c>
      <c r="Q626" s="27">
        <f>IF(K626="Válida",I626,NA())</f>
        <v>0</v>
      </c>
      <c r="R626" s="27">
        <f>IF(K626="Válida",J626,NA())</f>
        <v>0</v>
      </c>
      <c r="S626" s="27">
        <f>IF(K626="Válida",C626,"")</f>
        <v>0</v>
      </c>
      <c r="T626" s="27">
        <f>IF(K626="Válida",I626,"")</f>
        <v>0</v>
      </c>
      <c r="U626" s="27">
        <f>IF(K626="Válida",J626,"")</f>
        <v>0</v>
      </c>
    </row>
    <row r="627" spans="1:21">
      <c r="A627" s="25">
        <f>IF(MES!A627="","",MES!C627/48)</f>
        <v>0</v>
      </c>
      <c r="B627" s="26">
        <f>IF(A627="","",TEXT((N627*4+cfgDeslocamento)/48,"hh:mm")&amp;" a "&amp;TEXT(A627,"hh:mm"))</f>
        <v>0</v>
      </c>
      <c r="C627" s="27">
        <f>IF(A627="","",MES!B627)</f>
        <v>0</v>
      </c>
      <c r="D627" s="27">
        <f>IF(A627="","",IFERROR(AVERAGEIFS(Prensa!$B$2:$B$5001,Prensa!$E$2:$E$5001,N627,Prensa!$F$2:$F$5001,1,Prensa!$G$2:$G$5001,1),""))</f>
        <v>0</v>
      </c>
      <c r="E627" s="27">
        <f>IF(A627="","",IFERROR(AVERAGEIFS(Prensa!$B$2:$B$5001,Prensa!$E$2:$E$5001,N627,Prensa!$F$2:$F$5001,2,Prensa!$G$2:$G$5001,1),""))</f>
        <v>0</v>
      </c>
      <c r="F627" s="27">
        <f>IF(A627="","",IFERROR(AVERAGEIFS(Prensa!$B$2:$B$5001,Prensa!$E$2:$E$5001,N627,Prensa!$F$2:$F$5001,3,Prensa!$G$2:$G$5001,1),""))</f>
        <v>0</v>
      </c>
      <c r="G627" s="27">
        <f>IF(A627="","",IFERROR(AVERAGEIFS(Prensa!$B$2:$B$5001,Prensa!$E$2:$E$5001,N627,Prensa!$F$2:$F$5001,4,Prensa!$G$2:$G$5001,1),""))</f>
        <v>0</v>
      </c>
      <c r="H627" s="26">
        <f>IF(A627="","",COUNT(D627:G627))</f>
        <v>0</v>
      </c>
      <c r="I627" s="27">
        <f>IF(A627="","",IF(H627=0,"",AVERAGE(D627:G627)))</f>
        <v>0</v>
      </c>
      <c r="J627" s="27">
        <f>IF(OR(I627="",C627=""),"",I627-C627)</f>
        <v>0</v>
      </c>
      <c r="K627" s="26">
        <f>IF(A627="","",IF(MES!E627&lt;&gt;4,"Horário do MES fora do padrão",IF(H627&lt;cfgMinCortes,"Cortes insuficientes","Válida")))</f>
        <v>0</v>
      </c>
      <c r="L627" s="27">
        <f>IF(K627="Válida",ABS(J627),"")</f>
        <v>0</v>
      </c>
      <c r="M627" s="26">
        <f>IF(K627="Válida",IF(L627&lt;=cfgTolerancia,"Sim","Não"),"")</f>
        <v>0</v>
      </c>
      <c r="N627" s="26">
        <f>IF(A627="","",MES!D627)</f>
        <v>0</v>
      </c>
      <c r="O627" s="25">
        <f>IF(K627="Válida",A627,NA())</f>
        <v>0</v>
      </c>
      <c r="P627" s="27">
        <f>IF(K627="Válida",C627,NA())</f>
        <v>0</v>
      </c>
      <c r="Q627" s="27">
        <f>IF(K627="Válida",I627,NA())</f>
        <v>0</v>
      </c>
      <c r="R627" s="27">
        <f>IF(K627="Válida",J627,NA())</f>
        <v>0</v>
      </c>
      <c r="S627" s="27">
        <f>IF(K627="Válida",C627,"")</f>
        <v>0</v>
      </c>
      <c r="T627" s="27">
        <f>IF(K627="Válida",I627,"")</f>
        <v>0</v>
      </c>
      <c r="U627" s="27">
        <f>IF(K627="Válida",J627,"")</f>
        <v>0</v>
      </c>
    </row>
    <row r="628" spans="1:21">
      <c r="A628" s="25">
        <f>IF(MES!A628="","",MES!C628/48)</f>
        <v>0</v>
      </c>
      <c r="B628" s="26">
        <f>IF(A628="","",TEXT((N628*4+cfgDeslocamento)/48,"hh:mm")&amp;" a "&amp;TEXT(A628,"hh:mm"))</f>
        <v>0</v>
      </c>
      <c r="C628" s="27">
        <f>IF(A628="","",MES!B628)</f>
        <v>0</v>
      </c>
      <c r="D628" s="27">
        <f>IF(A628="","",IFERROR(AVERAGEIFS(Prensa!$B$2:$B$5001,Prensa!$E$2:$E$5001,N628,Prensa!$F$2:$F$5001,1,Prensa!$G$2:$G$5001,1),""))</f>
        <v>0</v>
      </c>
      <c r="E628" s="27">
        <f>IF(A628="","",IFERROR(AVERAGEIFS(Prensa!$B$2:$B$5001,Prensa!$E$2:$E$5001,N628,Prensa!$F$2:$F$5001,2,Prensa!$G$2:$G$5001,1),""))</f>
        <v>0</v>
      </c>
      <c r="F628" s="27">
        <f>IF(A628="","",IFERROR(AVERAGEIFS(Prensa!$B$2:$B$5001,Prensa!$E$2:$E$5001,N628,Prensa!$F$2:$F$5001,3,Prensa!$G$2:$G$5001,1),""))</f>
        <v>0</v>
      </c>
      <c r="G628" s="27">
        <f>IF(A628="","",IFERROR(AVERAGEIFS(Prensa!$B$2:$B$5001,Prensa!$E$2:$E$5001,N628,Prensa!$F$2:$F$5001,4,Prensa!$G$2:$G$5001,1),""))</f>
        <v>0</v>
      </c>
      <c r="H628" s="26">
        <f>IF(A628="","",COUNT(D628:G628))</f>
        <v>0</v>
      </c>
      <c r="I628" s="27">
        <f>IF(A628="","",IF(H628=0,"",AVERAGE(D628:G628)))</f>
        <v>0</v>
      </c>
      <c r="J628" s="27">
        <f>IF(OR(I628="",C628=""),"",I628-C628)</f>
        <v>0</v>
      </c>
      <c r="K628" s="26">
        <f>IF(A628="","",IF(MES!E628&lt;&gt;4,"Horário do MES fora do padrão",IF(H628&lt;cfgMinCortes,"Cortes insuficientes","Válida")))</f>
        <v>0</v>
      </c>
      <c r="L628" s="27">
        <f>IF(K628="Válida",ABS(J628),"")</f>
        <v>0</v>
      </c>
      <c r="M628" s="26">
        <f>IF(K628="Válida",IF(L628&lt;=cfgTolerancia,"Sim","Não"),"")</f>
        <v>0</v>
      </c>
      <c r="N628" s="26">
        <f>IF(A628="","",MES!D628)</f>
        <v>0</v>
      </c>
      <c r="O628" s="25">
        <f>IF(K628="Válida",A628,NA())</f>
        <v>0</v>
      </c>
      <c r="P628" s="27">
        <f>IF(K628="Válida",C628,NA())</f>
        <v>0</v>
      </c>
      <c r="Q628" s="27">
        <f>IF(K628="Válida",I628,NA())</f>
        <v>0</v>
      </c>
      <c r="R628" s="27">
        <f>IF(K628="Válida",J628,NA())</f>
        <v>0</v>
      </c>
      <c r="S628" s="27">
        <f>IF(K628="Válida",C628,"")</f>
        <v>0</v>
      </c>
      <c r="T628" s="27">
        <f>IF(K628="Válida",I628,"")</f>
        <v>0</v>
      </c>
      <c r="U628" s="27">
        <f>IF(K628="Válida",J628,"")</f>
        <v>0</v>
      </c>
    </row>
    <row r="629" spans="1:21">
      <c r="A629" s="25">
        <f>IF(MES!A629="","",MES!C629/48)</f>
        <v>0</v>
      </c>
      <c r="B629" s="26">
        <f>IF(A629="","",TEXT((N629*4+cfgDeslocamento)/48,"hh:mm")&amp;" a "&amp;TEXT(A629,"hh:mm"))</f>
        <v>0</v>
      </c>
      <c r="C629" s="27">
        <f>IF(A629="","",MES!B629)</f>
        <v>0</v>
      </c>
      <c r="D629" s="27">
        <f>IF(A629="","",IFERROR(AVERAGEIFS(Prensa!$B$2:$B$5001,Prensa!$E$2:$E$5001,N629,Prensa!$F$2:$F$5001,1,Prensa!$G$2:$G$5001,1),""))</f>
        <v>0</v>
      </c>
      <c r="E629" s="27">
        <f>IF(A629="","",IFERROR(AVERAGEIFS(Prensa!$B$2:$B$5001,Prensa!$E$2:$E$5001,N629,Prensa!$F$2:$F$5001,2,Prensa!$G$2:$G$5001,1),""))</f>
        <v>0</v>
      </c>
      <c r="F629" s="27">
        <f>IF(A629="","",IFERROR(AVERAGEIFS(Prensa!$B$2:$B$5001,Prensa!$E$2:$E$5001,N629,Prensa!$F$2:$F$5001,3,Prensa!$G$2:$G$5001,1),""))</f>
        <v>0</v>
      </c>
      <c r="G629" s="27">
        <f>IF(A629="","",IFERROR(AVERAGEIFS(Prensa!$B$2:$B$5001,Prensa!$E$2:$E$5001,N629,Prensa!$F$2:$F$5001,4,Prensa!$G$2:$G$5001,1),""))</f>
        <v>0</v>
      </c>
      <c r="H629" s="26">
        <f>IF(A629="","",COUNT(D629:G629))</f>
        <v>0</v>
      </c>
      <c r="I629" s="27">
        <f>IF(A629="","",IF(H629=0,"",AVERAGE(D629:G629)))</f>
        <v>0</v>
      </c>
      <c r="J629" s="27">
        <f>IF(OR(I629="",C629=""),"",I629-C629)</f>
        <v>0</v>
      </c>
      <c r="K629" s="26">
        <f>IF(A629="","",IF(MES!E629&lt;&gt;4,"Horário do MES fora do padrão",IF(H629&lt;cfgMinCortes,"Cortes insuficientes","Válida")))</f>
        <v>0</v>
      </c>
      <c r="L629" s="27">
        <f>IF(K629="Válida",ABS(J629),"")</f>
        <v>0</v>
      </c>
      <c r="M629" s="26">
        <f>IF(K629="Válida",IF(L629&lt;=cfgTolerancia,"Sim","Não"),"")</f>
        <v>0</v>
      </c>
      <c r="N629" s="26">
        <f>IF(A629="","",MES!D629)</f>
        <v>0</v>
      </c>
      <c r="O629" s="25">
        <f>IF(K629="Válida",A629,NA())</f>
        <v>0</v>
      </c>
      <c r="P629" s="27">
        <f>IF(K629="Válida",C629,NA())</f>
        <v>0</v>
      </c>
      <c r="Q629" s="27">
        <f>IF(K629="Válida",I629,NA())</f>
        <v>0</v>
      </c>
      <c r="R629" s="27">
        <f>IF(K629="Válida",J629,NA())</f>
        <v>0</v>
      </c>
      <c r="S629" s="27">
        <f>IF(K629="Válida",C629,"")</f>
        <v>0</v>
      </c>
      <c r="T629" s="27">
        <f>IF(K629="Válida",I629,"")</f>
        <v>0</v>
      </c>
      <c r="U629" s="27">
        <f>IF(K629="Válida",J629,"")</f>
        <v>0</v>
      </c>
    </row>
    <row r="630" spans="1:21">
      <c r="A630" s="25">
        <f>IF(MES!A630="","",MES!C630/48)</f>
        <v>0</v>
      </c>
      <c r="B630" s="26">
        <f>IF(A630="","",TEXT((N630*4+cfgDeslocamento)/48,"hh:mm")&amp;" a "&amp;TEXT(A630,"hh:mm"))</f>
        <v>0</v>
      </c>
      <c r="C630" s="27">
        <f>IF(A630="","",MES!B630)</f>
        <v>0</v>
      </c>
      <c r="D630" s="27">
        <f>IF(A630="","",IFERROR(AVERAGEIFS(Prensa!$B$2:$B$5001,Prensa!$E$2:$E$5001,N630,Prensa!$F$2:$F$5001,1,Prensa!$G$2:$G$5001,1),""))</f>
        <v>0</v>
      </c>
      <c r="E630" s="27">
        <f>IF(A630="","",IFERROR(AVERAGEIFS(Prensa!$B$2:$B$5001,Prensa!$E$2:$E$5001,N630,Prensa!$F$2:$F$5001,2,Prensa!$G$2:$G$5001,1),""))</f>
        <v>0</v>
      </c>
      <c r="F630" s="27">
        <f>IF(A630="","",IFERROR(AVERAGEIFS(Prensa!$B$2:$B$5001,Prensa!$E$2:$E$5001,N630,Prensa!$F$2:$F$5001,3,Prensa!$G$2:$G$5001,1),""))</f>
        <v>0</v>
      </c>
      <c r="G630" s="27">
        <f>IF(A630="","",IFERROR(AVERAGEIFS(Prensa!$B$2:$B$5001,Prensa!$E$2:$E$5001,N630,Prensa!$F$2:$F$5001,4,Prensa!$G$2:$G$5001,1),""))</f>
        <v>0</v>
      </c>
      <c r="H630" s="26">
        <f>IF(A630="","",COUNT(D630:G630))</f>
        <v>0</v>
      </c>
      <c r="I630" s="27">
        <f>IF(A630="","",IF(H630=0,"",AVERAGE(D630:G630)))</f>
        <v>0</v>
      </c>
      <c r="J630" s="27">
        <f>IF(OR(I630="",C630=""),"",I630-C630)</f>
        <v>0</v>
      </c>
      <c r="K630" s="26">
        <f>IF(A630="","",IF(MES!E630&lt;&gt;4,"Horário do MES fora do padrão",IF(H630&lt;cfgMinCortes,"Cortes insuficientes","Válida")))</f>
        <v>0</v>
      </c>
      <c r="L630" s="27">
        <f>IF(K630="Válida",ABS(J630),"")</f>
        <v>0</v>
      </c>
      <c r="M630" s="26">
        <f>IF(K630="Válida",IF(L630&lt;=cfgTolerancia,"Sim","Não"),"")</f>
        <v>0</v>
      </c>
      <c r="N630" s="26">
        <f>IF(A630="","",MES!D630)</f>
        <v>0</v>
      </c>
      <c r="O630" s="25">
        <f>IF(K630="Válida",A630,NA())</f>
        <v>0</v>
      </c>
      <c r="P630" s="27">
        <f>IF(K630="Válida",C630,NA())</f>
        <v>0</v>
      </c>
      <c r="Q630" s="27">
        <f>IF(K630="Válida",I630,NA())</f>
        <v>0</v>
      </c>
      <c r="R630" s="27">
        <f>IF(K630="Válida",J630,NA())</f>
        <v>0</v>
      </c>
      <c r="S630" s="27">
        <f>IF(K630="Válida",C630,"")</f>
        <v>0</v>
      </c>
      <c r="T630" s="27">
        <f>IF(K630="Válida",I630,"")</f>
        <v>0</v>
      </c>
      <c r="U630" s="27">
        <f>IF(K630="Válida",J630,"")</f>
        <v>0</v>
      </c>
    </row>
    <row r="631" spans="1:21">
      <c r="A631" s="25">
        <f>IF(MES!A631="","",MES!C631/48)</f>
        <v>0</v>
      </c>
      <c r="B631" s="26">
        <f>IF(A631="","",TEXT((N631*4+cfgDeslocamento)/48,"hh:mm")&amp;" a "&amp;TEXT(A631,"hh:mm"))</f>
        <v>0</v>
      </c>
      <c r="C631" s="27">
        <f>IF(A631="","",MES!B631)</f>
        <v>0</v>
      </c>
      <c r="D631" s="27">
        <f>IF(A631="","",IFERROR(AVERAGEIFS(Prensa!$B$2:$B$5001,Prensa!$E$2:$E$5001,N631,Prensa!$F$2:$F$5001,1,Prensa!$G$2:$G$5001,1),""))</f>
        <v>0</v>
      </c>
      <c r="E631" s="27">
        <f>IF(A631="","",IFERROR(AVERAGEIFS(Prensa!$B$2:$B$5001,Prensa!$E$2:$E$5001,N631,Prensa!$F$2:$F$5001,2,Prensa!$G$2:$G$5001,1),""))</f>
        <v>0</v>
      </c>
      <c r="F631" s="27">
        <f>IF(A631="","",IFERROR(AVERAGEIFS(Prensa!$B$2:$B$5001,Prensa!$E$2:$E$5001,N631,Prensa!$F$2:$F$5001,3,Prensa!$G$2:$G$5001,1),""))</f>
        <v>0</v>
      </c>
      <c r="G631" s="27">
        <f>IF(A631="","",IFERROR(AVERAGEIFS(Prensa!$B$2:$B$5001,Prensa!$E$2:$E$5001,N631,Prensa!$F$2:$F$5001,4,Prensa!$G$2:$G$5001,1),""))</f>
        <v>0</v>
      </c>
      <c r="H631" s="26">
        <f>IF(A631="","",COUNT(D631:G631))</f>
        <v>0</v>
      </c>
      <c r="I631" s="27">
        <f>IF(A631="","",IF(H631=0,"",AVERAGE(D631:G631)))</f>
        <v>0</v>
      </c>
      <c r="J631" s="27">
        <f>IF(OR(I631="",C631=""),"",I631-C631)</f>
        <v>0</v>
      </c>
      <c r="K631" s="26">
        <f>IF(A631="","",IF(MES!E631&lt;&gt;4,"Horário do MES fora do padrão",IF(H631&lt;cfgMinCortes,"Cortes insuficientes","Válida")))</f>
        <v>0</v>
      </c>
      <c r="L631" s="27">
        <f>IF(K631="Válida",ABS(J631),"")</f>
        <v>0</v>
      </c>
      <c r="M631" s="26">
        <f>IF(K631="Válida",IF(L631&lt;=cfgTolerancia,"Sim","Não"),"")</f>
        <v>0</v>
      </c>
      <c r="N631" s="26">
        <f>IF(A631="","",MES!D631)</f>
        <v>0</v>
      </c>
      <c r="O631" s="25">
        <f>IF(K631="Válida",A631,NA())</f>
        <v>0</v>
      </c>
      <c r="P631" s="27">
        <f>IF(K631="Válida",C631,NA())</f>
        <v>0</v>
      </c>
      <c r="Q631" s="27">
        <f>IF(K631="Válida",I631,NA())</f>
        <v>0</v>
      </c>
      <c r="R631" s="27">
        <f>IF(K631="Válida",J631,NA())</f>
        <v>0</v>
      </c>
      <c r="S631" s="27">
        <f>IF(K631="Válida",C631,"")</f>
        <v>0</v>
      </c>
      <c r="T631" s="27">
        <f>IF(K631="Válida",I631,"")</f>
        <v>0</v>
      </c>
      <c r="U631" s="27">
        <f>IF(K631="Válida",J631,"")</f>
        <v>0</v>
      </c>
    </row>
    <row r="632" spans="1:21">
      <c r="A632" s="25">
        <f>IF(MES!A632="","",MES!C632/48)</f>
        <v>0</v>
      </c>
      <c r="B632" s="26">
        <f>IF(A632="","",TEXT((N632*4+cfgDeslocamento)/48,"hh:mm")&amp;" a "&amp;TEXT(A632,"hh:mm"))</f>
        <v>0</v>
      </c>
      <c r="C632" s="27">
        <f>IF(A632="","",MES!B632)</f>
        <v>0</v>
      </c>
      <c r="D632" s="27">
        <f>IF(A632="","",IFERROR(AVERAGEIFS(Prensa!$B$2:$B$5001,Prensa!$E$2:$E$5001,N632,Prensa!$F$2:$F$5001,1,Prensa!$G$2:$G$5001,1),""))</f>
        <v>0</v>
      </c>
      <c r="E632" s="27">
        <f>IF(A632="","",IFERROR(AVERAGEIFS(Prensa!$B$2:$B$5001,Prensa!$E$2:$E$5001,N632,Prensa!$F$2:$F$5001,2,Prensa!$G$2:$G$5001,1),""))</f>
        <v>0</v>
      </c>
      <c r="F632" s="27">
        <f>IF(A632="","",IFERROR(AVERAGEIFS(Prensa!$B$2:$B$5001,Prensa!$E$2:$E$5001,N632,Prensa!$F$2:$F$5001,3,Prensa!$G$2:$G$5001,1),""))</f>
        <v>0</v>
      </c>
      <c r="G632" s="27">
        <f>IF(A632="","",IFERROR(AVERAGEIFS(Prensa!$B$2:$B$5001,Prensa!$E$2:$E$5001,N632,Prensa!$F$2:$F$5001,4,Prensa!$G$2:$G$5001,1),""))</f>
        <v>0</v>
      </c>
      <c r="H632" s="26">
        <f>IF(A632="","",COUNT(D632:G632))</f>
        <v>0</v>
      </c>
      <c r="I632" s="27">
        <f>IF(A632="","",IF(H632=0,"",AVERAGE(D632:G632)))</f>
        <v>0</v>
      </c>
      <c r="J632" s="27">
        <f>IF(OR(I632="",C632=""),"",I632-C632)</f>
        <v>0</v>
      </c>
      <c r="K632" s="26">
        <f>IF(A632="","",IF(MES!E632&lt;&gt;4,"Horário do MES fora do padrão",IF(H632&lt;cfgMinCortes,"Cortes insuficientes","Válida")))</f>
        <v>0</v>
      </c>
      <c r="L632" s="27">
        <f>IF(K632="Válida",ABS(J632),"")</f>
        <v>0</v>
      </c>
      <c r="M632" s="26">
        <f>IF(K632="Válida",IF(L632&lt;=cfgTolerancia,"Sim","Não"),"")</f>
        <v>0</v>
      </c>
      <c r="N632" s="26">
        <f>IF(A632="","",MES!D632)</f>
        <v>0</v>
      </c>
      <c r="O632" s="25">
        <f>IF(K632="Válida",A632,NA())</f>
        <v>0</v>
      </c>
      <c r="P632" s="27">
        <f>IF(K632="Válida",C632,NA())</f>
        <v>0</v>
      </c>
      <c r="Q632" s="27">
        <f>IF(K632="Válida",I632,NA())</f>
        <v>0</v>
      </c>
      <c r="R632" s="27">
        <f>IF(K632="Válida",J632,NA())</f>
        <v>0</v>
      </c>
      <c r="S632" s="27">
        <f>IF(K632="Válida",C632,"")</f>
        <v>0</v>
      </c>
      <c r="T632" s="27">
        <f>IF(K632="Válida",I632,"")</f>
        <v>0</v>
      </c>
      <c r="U632" s="27">
        <f>IF(K632="Válida",J632,"")</f>
        <v>0</v>
      </c>
    </row>
    <row r="633" spans="1:21">
      <c r="A633" s="25">
        <f>IF(MES!A633="","",MES!C633/48)</f>
        <v>0</v>
      </c>
      <c r="B633" s="26">
        <f>IF(A633="","",TEXT((N633*4+cfgDeslocamento)/48,"hh:mm")&amp;" a "&amp;TEXT(A633,"hh:mm"))</f>
        <v>0</v>
      </c>
      <c r="C633" s="27">
        <f>IF(A633="","",MES!B633)</f>
        <v>0</v>
      </c>
      <c r="D633" s="27">
        <f>IF(A633="","",IFERROR(AVERAGEIFS(Prensa!$B$2:$B$5001,Prensa!$E$2:$E$5001,N633,Prensa!$F$2:$F$5001,1,Prensa!$G$2:$G$5001,1),""))</f>
        <v>0</v>
      </c>
      <c r="E633" s="27">
        <f>IF(A633="","",IFERROR(AVERAGEIFS(Prensa!$B$2:$B$5001,Prensa!$E$2:$E$5001,N633,Prensa!$F$2:$F$5001,2,Prensa!$G$2:$G$5001,1),""))</f>
        <v>0</v>
      </c>
      <c r="F633" s="27">
        <f>IF(A633="","",IFERROR(AVERAGEIFS(Prensa!$B$2:$B$5001,Prensa!$E$2:$E$5001,N633,Prensa!$F$2:$F$5001,3,Prensa!$G$2:$G$5001,1),""))</f>
        <v>0</v>
      </c>
      <c r="G633" s="27">
        <f>IF(A633="","",IFERROR(AVERAGEIFS(Prensa!$B$2:$B$5001,Prensa!$E$2:$E$5001,N633,Prensa!$F$2:$F$5001,4,Prensa!$G$2:$G$5001,1),""))</f>
        <v>0</v>
      </c>
      <c r="H633" s="26">
        <f>IF(A633="","",COUNT(D633:G633))</f>
        <v>0</v>
      </c>
      <c r="I633" s="27">
        <f>IF(A633="","",IF(H633=0,"",AVERAGE(D633:G633)))</f>
        <v>0</v>
      </c>
      <c r="J633" s="27">
        <f>IF(OR(I633="",C633=""),"",I633-C633)</f>
        <v>0</v>
      </c>
      <c r="K633" s="26">
        <f>IF(A633="","",IF(MES!E633&lt;&gt;4,"Horário do MES fora do padrão",IF(H633&lt;cfgMinCortes,"Cortes insuficientes","Válida")))</f>
        <v>0</v>
      </c>
      <c r="L633" s="27">
        <f>IF(K633="Válida",ABS(J633),"")</f>
        <v>0</v>
      </c>
      <c r="M633" s="26">
        <f>IF(K633="Válida",IF(L633&lt;=cfgTolerancia,"Sim","Não"),"")</f>
        <v>0</v>
      </c>
      <c r="N633" s="26">
        <f>IF(A633="","",MES!D633)</f>
        <v>0</v>
      </c>
      <c r="O633" s="25">
        <f>IF(K633="Válida",A633,NA())</f>
        <v>0</v>
      </c>
      <c r="P633" s="27">
        <f>IF(K633="Válida",C633,NA())</f>
        <v>0</v>
      </c>
      <c r="Q633" s="27">
        <f>IF(K633="Válida",I633,NA())</f>
        <v>0</v>
      </c>
      <c r="R633" s="27">
        <f>IF(K633="Válida",J633,NA())</f>
        <v>0</v>
      </c>
      <c r="S633" s="27">
        <f>IF(K633="Válida",C633,"")</f>
        <v>0</v>
      </c>
      <c r="T633" s="27">
        <f>IF(K633="Válida",I633,"")</f>
        <v>0</v>
      </c>
      <c r="U633" s="27">
        <f>IF(K633="Válida",J633,"")</f>
        <v>0</v>
      </c>
    </row>
    <row r="634" spans="1:21">
      <c r="A634" s="25">
        <f>IF(MES!A634="","",MES!C634/48)</f>
        <v>0</v>
      </c>
      <c r="B634" s="26">
        <f>IF(A634="","",TEXT((N634*4+cfgDeslocamento)/48,"hh:mm")&amp;" a "&amp;TEXT(A634,"hh:mm"))</f>
        <v>0</v>
      </c>
      <c r="C634" s="27">
        <f>IF(A634="","",MES!B634)</f>
        <v>0</v>
      </c>
      <c r="D634" s="27">
        <f>IF(A634="","",IFERROR(AVERAGEIFS(Prensa!$B$2:$B$5001,Prensa!$E$2:$E$5001,N634,Prensa!$F$2:$F$5001,1,Prensa!$G$2:$G$5001,1),""))</f>
        <v>0</v>
      </c>
      <c r="E634" s="27">
        <f>IF(A634="","",IFERROR(AVERAGEIFS(Prensa!$B$2:$B$5001,Prensa!$E$2:$E$5001,N634,Prensa!$F$2:$F$5001,2,Prensa!$G$2:$G$5001,1),""))</f>
        <v>0</v>
      </c>
      <c r="F634" s="27">
        <f>IF(A634="","",IFERROR(AVERAGEIFS(Prensa!$B$2:$B$5001,Prensa!$E$2:$E$5001,N634,Prensa!$F$2:$F$5001,3,Prensa!$G$2:$G$5001,1),""))</f>
        <v>0</v>
      </c>
      <c r="G634" s="27">
        <f>IF(A634="","",IFERROR(AVERAGEIFS(Prensa!$B$2:$B$5001,Prensa!$E$2:$E$5001,N634,Prensa!$F$2:$F$5001,4,Prensa!$G$2:$G$5001,1),""))</f>
        <v>0</v>
      </c>
      <c r="H634" s="26">
        <f>IF(A634="","",COUNT(D634:G634))</f>
        <v>0</v>
      </c>
      <c r="I634" s="27">
        <f>IF(A634="","",IF(H634=0,"",AVERAGE(D634:G634)))</f>
        <v>0</v>
      </c>
      <c r="J634" s="27">
        <f>IF(OR(I634="",C634=""),"",I634-C634)</f>
        <v>0</v>
      </c>
      <c r="K634" s="26">
        <f>IF(A634="","",IF(MES!E634&lt;&gt;4,"Horário do MES fora do padrão",IF(H634&lt;cfgMinCortes,"Cortes insuficientes","Válida")))</f>
        <v>0</v>
      </c>
      <c r="L634" s="27">
        <f>IF(K634="Válida",ABS(J634),"")</f>
        <v>0</v>
      </c>
      <c r="M634" s="26">
        <f>IF(K634="Válida",IF(L634&lt;=cfgTolerancia,"Sim","Não"),"")</f>
        <v>0</v>
      </c>
      <c r="N634" s="26">
        <f>IF(A634="","",MES!D634)</f>
        <v>0</v>
      </c>
      <c r="O634" s="25">
        <f>IF(K634="Válida",A634,NA())</f>
        <v>0</v>
      </c>
      <c r="P634" s="27">
        <f>IF(K634="Válida",C634,NA())</f>
        <v>0</v>
      </c>
      <c r="Q634" s="27">
        <f>IF(K634="Válida",I634,NA())</f>
        <v>0</v>
      </c>
      <c r="R634" s="27">
        <f>IF(K634="Válida",J634,NA())</f>
        <v>0</v>
      </c>
      <c r="S634" s="27">
        <f>IF(K634="Válida",C634,"")</f>
        <v>0</v>
      </c>
      <c r="T634" s="27">
        <f>IF(K634="Válida",I634,"")</f>
        <v>0</v>
      </c>
      <c r="U634" s="27">
        <f>IF(K634="Válida",J634,"")</f>
        <v>0</v>
      </c>
    </row>
    <row r="635" spans="1:21">
      <c r="A635" s="25">
        <f>IF(MES!A635="","",MES!C635/48)</f>
        <v>0</v>
      </c>
      <c r="B635" s="26">
        <f>IF(A635="","",TEXT((N635*4+cfgDeslocamento)/48,"hh:mm")&amp;" a "&amp;TEXT(A635,"hh:mm"))</f>
        <v>0</v>
      </c>
      <c r="C635" s="27">
        <f>IF(A635="","",MES!B635)</f>
        <v>0</v>
      </c>
      <c r="D635" s="27">
        <f>IF(A635="","",IFERROR(AVERAGEIFS(Prensa!$B$2:$B$5001,Prensa!$E$2:$E$5001,N635,Prensa!$F$2:$F$5001,1,Prensa!$G$2:$G$5001,1),""))</f>
        <v>0</v>
      </c>
      <c r="E635" s="27">
        <f>IF(A635="","",IFERROR(AVERAGEIFS(Prensa!$B$2:$B$5001,Prensa!$E$2:$E$5001,N635,Prensa!$F$2:$F$5001,2,Prensa!$G$2:$G$5001,1),""))</f>
        <v>0</v>
      </c>
      <c r="F635" s="27">
        <f>IF(A635="","",IFERROR(AVERAGEIFS(Prensa!$B$2:$B$5001,Prensa!$E$2:$E$5001,N635,Prensa!$F$2:$F$5001,3,Prensa!$G$2:$G$5001,1),""))</f>
        <v>0</v>
      </c>
      <c r="G635" s="27">
        <f>IF(A635="","",IFERROR(AVERAGEIFS(Prensa!$B$2:$B$5001,Prensa!$E$2:$E$5001,N635,Prensa!$F$2:$F$5001,4,Prensa!$G$2:$G$5001,1),""))</f>
        <v>0</v>
      </c>
      <c r="H635" s="26">
        <f>IF(A635="","",COUNT(D635:G635))</f>
        <v>0</v>
      </c>
      <c r="I635" s="27">
        <f>IF(A635="","",IF(H635=0,"",AVERAGE(D635:G635)))</f>
        <v>0</v>
      </c>
      <c r="J635" s="27">
        <f>IF(OR(I635="",C635=""),"",I635-C635)</f>
        <v>0</v>
      </c>
      <c r="K635" s="26">
        <f>IF(A635="","",IF(MES!E635&lt;&gt;4,"Horário do MES fora do padrão",IF(H635&lt;cfgMinCortes,"Cortes insuficientes","Válida")))</f>
        <v>0</v>
      </c>
      <c r="L635" s="27">
        <f>IF(K635="Válida",ABS(J635),"")</f>
        <v>0</v>
      </c>
      <c r="M635" s="26">
        <f>IF(K635="Válida",IF(L635&lt;=cfgTolerancia,"Sim","Não"),"")</f>
        <v>0</v>
      </c>
      <c r="N635" s="26">
        <f>IF(A635="","",MES!D635)</f>
        <v>0</v>
      </c>
      <c r="O635" s="25">
        <f>IF(K635="Válida",A635,NA())</f>
        <v>0</v>
      </c>
      <c r="P635" s="27">
        <f>IF(K635="Válida",C635,NA())</f>
        <v>0</v>
      </c>
      <c r="Q635" s="27">
        <f>IF(K635="Válida",I635,NA())</f>
        <v>0</v>
      </c>
      <c r="R635" s="27">
        <f>IF(K635="Válida",J635,NA())</f>
        <v>0</v>
      </c>
      <c r="S635" s="27">
        <f>IF(K635="Válida",C635,"")</f>
        <v>0</v>
      </c>
      <c r="T635" s="27">
        <f>IF(K635="Válida",I635,"")</f>
        <v>0</v>
      </c>
      <c r="U635" s="27">
        <f>IF(K635="Válida",J635,"")</f>
        <v>0</v>
      </c>
    </row>
    <row r="636" spans="1:21">
      <c r="A636" s="25">
        <f>IF(MES!A636="","",MES!C636/48)</f>
        <v>0</v>
      </c>
      <c r="B636" s="26">
        <f>IF(A636="","",TEXT((N636*4+cfgDeslocamento)/48,"hh:mm")&amp;" a "&amp;TEXT(A636,"hh:mm"))</f>
        <v>0</v>
      </c>
      <c r="C636" s="27">
        <f>IF(A636="","",MES!B636)</f>
        <v>0</v>
      </c>
      <c r="D636" s="27">
        <f>IF(A636="","",IFERROR(AVERAGEIFS(Prensa!$B$2:$B$5001,Prensa!$E$2:$E$5001,N636,Prensa!$F$2:$F$5001,1,Prensa!$G$2:$G$5001,1),""))</f>
        <v>0</v>
      </c>
      <c r="E636" s="27">
        <f>IF(A636="","",IFERROR(AVERAGEIFS(Prensa!$B$2:$B$5001,Prensa!$E$2:$E$5001,N636,Prensa!$F$2:$F$5001,2,Prensa!$G$2:$G$5001,1),""))</f>
        <v>0</v>
      </c>
      <c r="F636" s="27">
        <f>IF(A636="","",IFERROR(AVERAGEIFS(Prensa!$B$2:$B$5001,Prensa!$E$2:$E$5001,N636,Prensa!$F$2:$F$5001,3,Prensa!$G$2:$G$5001,1),""))</f>
        <v>0</v>
      </c>
      <c r="G636" s="27">
        <f>IF(A636="","",IFERROR(AVERAGEIFS(Prensa!$B$2:$B$5001,Prensa!$E$2:$E$5001,N636,Prensa!$F$2:$F$5001,4,Prensa!$G$2:$G$5001,1),""))</f>
        <v>0</v>
      </c>
      <c r="H636" s="26">
        <f>IF(A636="","",COUNT(D636:G636))</f>
        <v>0</v>
      </c>
      <c r="I636" s="27">
        <f>IF(A636="","",IF(H636=0,"",AVERAGE(D636:G636)))</f>
        <v>0</v>
      </c>
      <c r="J636" s="27">
        <f>IF(OR(I636="",C636=""),"",I636-C636)</f>
        <v>0</v>
      </c>
      <c r="K636" s="26">
        <f>IF(A636="","",IF(MES!E636&lt;&gt;4,"Horário do MES fora do padrão",IF(H636&lt;cfgMinCortes,"Cortes insuficientes","Válida")))</f>
        <v>0</v>
      </c>
      <c r="L636" s="27">
        <f>IF(K636="Válida",ABS(J636),"")</f>
        <v>0</v>
      </c>
      <c r="M636" s="26">
        <f>IF(K636="Válida",IF(L636&lt;=cfgTolerancia,"Sim","Não"),"")</f>
        <v>0</v>
      </c>
      <c r="N636" s="26">
        <f>IF(A636="","",MES!D636)</f>
        <v>0</v>
      </c>
      <c r="O636" s="25">
        <f>IF(K636="Válida",A636,NA())</f>
        <v>0</v>
      </c>
      <c r="P636" s="27">
        <f>IF(K636="Válida",C636,NA())</f>
        <v>0</v>
      </c>
      <c r="Q636" s="27">
        <f>IF(K636="Válida",I636,NA())</f>
        <v>0</v>
      </c>
      <c r="R636" s="27">
        <f>IF(K636="Válida",J636,NA())</f>
        <v>0</v>
      </c>
      <c r="S636" s="27">
        <f>IF(K636="Válida",C636,"")</f>
        <v>0</v>
      </c>
      <c r="T636" s="27">
        <f>IF(K636="Válida",I636,"")</f>
        <v>0</v>
      </c>
      <c r="U636" s="27">
        <f>IF(K636="Válida",J636,"")</f>
        <v>0</v>
      </c>
    </row>
    <row r="637" spans="1:21">
      <c r="A637" s="25">
        <f>IF(MES!A637="","",MES!C637/48)</f>
        <v>0</v>
      </c>
      <c r="B637" s="26">
        <f>IF(A637="","",TEXT((N637*4+cfgDeslocamento)/48,"hh:mm")&amp;" a "&amp;TEXT(A637,"hh:mm"))</f>
        <v>0</v>
      </c>
      <c r="C637" s="27">
        <f>IF(A637="","",MES!B637)</f>
        <v>0</v>
      </c>
      <c r="D637" s="27">
        <f>IF(A637="","",IFERROR(AVERAGEIFS(Prensa!$B$2:$B$5001,Prensa!$E$2:$E$5001,N637,Prensa!$F$2:$F$5001,1,Prensa!$G$2:$G$5001,1),""))</f>
        <v>0</v>
      </c>
      <c r="E637" s="27">
        <f>IF(A637="","",IFERROR(AVERAGEIFS(Prensa!$B$2:$B$5001,Prensa!$E$2:$E$5001,N637,Prensa!$F$2:$F$5001,2,Prensa!$G$2:$G$5001,1),""))</f>
        <v>0</v>
      </c>
      <c r="F637" s="27">
        <f>IF(A637="","",IFERROR(AVERAGEIFS(Prensa!$B$2:$B$5001,Prensa!$E$2:$E$5001,N637,Prensa!$F$2:$F$5001,3,Prensa!$G$2:$G$5001,1),""))</f>
        <v>0</v>
      </c>
      <c r="G637" s="27">
        <f>IF(A637="","",IFERROR(AVERAGEIFS(Prensa!$B$2:$B$5001,Prensa!$E$2:$E$5001,N637,Prensa!$F$2:$F$5001,4,Prensa!$G$2:$G$5001,1),""))</f>
        <v>0</v>
      </c>
      <c r="H637" s="26">
        <f>IF(A637="","",COUNT(D637:G637))</f>
        <v>0</v>
      </c>
      <c r="I637" s="27">
        <f>IF(A637="","",IF(H637=0,"",AVERAGE(D637:G637)))</f>
        <v>0</v>
      </c>
      <c r="J637" s="27">
        <f>IF(OR(I637="",C637=""),"",I637-C637)</f>
        <v>0</v>
      </c>
      <c r="K637" s="26">
        <f>IF(A637="","",IF(MES!E637&lt;&gt;4,"Horário do MES fora do padrão",IF(H637&lt;cfgMinCortes,"Cortes insuficientes","Válida")))</f>
        <v>0</v>
      </c>
      <c r="L637" s="27">
        <f>IF(K637="Válida",ABS(J637),"")</f>
        <v>0</v>
      </c>
      <c r="M637" s="26">
        <f>IF(K637="Válida",IF(L637&lt;=cfgTolerancia,"Sim","Não"),"")</f>
        <v>0</v>
      </c>
      <c r="N637" s="26">
        <f>IF(A637="","",MES!D637)</f>
        <v>0</v>
      </c>
      <c r="O637" s="25">
        <f>IF(K637="Válida",A637,NA())</f>
        <v>0</v>
      </c>
      <c r="P637" s="27">
        <f>IF(K637="Válida",C637,NA())</f>
        <v>0</v>
      </c>
      <c r="Q637" s="27">
        <f>IF(K637="Válida",I637,NA())</f>
        <v>0</v>
      </c>
      <c r="R637" s="27">
        <f>IF(K637="Válida",J637,NA())</f>
        <v>0</v>
      </c>
      <c r="S637" s="27">
        <f>IF(K637="Válida",C637,"")</f>
        <v>0</v>
      </c>
      <c r="T637" s="27">
        <f>IF(K637="Válida",I637,"")</f>
        <v>0</v>
      </c>
      <c r="U637" s="27">
        <f>IF(K637="Válida",J637,"")</f>
        <v>0</v>
      </c>
    </row>
    <row r="638" spans="1:21">
      <c r="A638" s="25">
        <f>IF(MES!A638="","",MES!C638/48)</f>
        <v>0</v>
      </c>
      <c r="B638" s="26">
        <f>IF(A638="","",TEXT((N638*4+cfgDeslocamento)/48,"hh:mm")&amp;" a "&amp;TEXT(A638,"hh:mm"))</f>
        <v>0</v>
      </c>
      <c r="C638" s="27">
        <f>IF(A638="","",MES!B638)</f>
        <v>0</v>
      </c>
      <c r="D638" s="27">
        <f>IF(A638="","",IFERROR(AVERAGEIFS(Prensa!$B$2:$B$5001,Prensa!$E$2:$E$5001,N638,Prensa!$F$2:$F$5001,1,Prensa!$G$2:$G$5001,1),""))</f>
        <v>0</v>
      </c>
      <c r="E638" s="27">
        <f>IF(A638="","",IFERROR(AVERAGEIFS(Prensa!$B$2:$B$5001,Prensa!$E$2:$E$5001,N638,Prensa!$F$2:$F$5001,2,Prensa!$G$2:$G$5001,1),""))</f>
        <v>0</v>
      </c>
      <c r="F638" s="27">
        <f>IF(A638="","",IFERROR(AVERAGEIFS(Prensa!$B$2:$B$5001,Prensa!$E$2:$E$5001,N638,Prensa!$F$2:$F$5001,3,Prensa!$G$2:$G$5001,1),""))</f>
        <v>0</v>
      </c>
      <c r="G638" s="27">
        <f>IF(A638="","",IFERROR(AVERAGEIFS(Prensa!$B$2:$B$5001,Prensa!$E$2:$E$5001,N638,Prensa!$F$2:$F$5001,4,Prensa!$G$2:$G$5001,1),""))</f>
        <v>0</v>
      </c>
      <c r="H638" s="26">
        <f>IF(A638="","",COUNT(D638:G638))</f>
        <v>0</v>
      </c>
      <c r="I638" s="27">
        <f>IF(A638="","",IF(H638=0,"",AVERAGE(D638:G638)))</f>
        <v>0</v>
      </c>
      <c r="J638" s="27">
        <f>IF(OR(I638="",C638=""),"",I638-C638)</f>
        <v>0</v>
      </c>
      <c r="K638" s="26">
        <f>IF(A638="","",IF(MES!E638&lt;&gt;4,"Horário do MES fora do padrão",IF(H638&lt;cfgMinCortes,"Cortes insuficientes","Válida")))</f>
        <v>0</v>
      </c>
      <c r="L638" s="27">
        <f>IF(K638="Válida",ABS(J638),"")</f>
        <v>0</v>
      </c>
      <c r="M638" s="26">
        <f>IF(K638="Válida",IF(L638&lt;=cfgTolerancia,"Sim","Não"),"")</f>
        <v>0</v>
      </c>
      <c r="N638" s="26">
        <f>IF(A638="","",MES!D638)</f>
        <v>0</v>
      </c>
      <c r="O638" s="25">
        <f>IF(K638="Válida",A638,NA())</f>
        <v>0</v>
      </c>
      <c r="P638" s="27">
        <f>IF(K638="Válida",C638,NA())</f>
        <v>0</v>
      </c>
      <c r="Q638" s="27">
        <f>IF(K638="Válida",I638,NA())</f>
        <v>0</v>
      </c>
      <c r="R638" s="27">
        <f>IF(K638="Válida",J638,NA())</f>
        <v>0</v>
      </c>
      <c r="S638" s="27">
        <f>IF(K638="Válida",C638,"")</f>
        <v>0</v>
      </c>
      <c r="T638" s="27">
        <f>IF(K638="Válida",I638,"")</f>
        <v>0</v>
      </c>
      <c r="U638" s="27">
        <f>IF(K638="Válida",J638,"")</f>
        <v>0</v>
      </c>
    </row>
    <row r="639" spans="1:21">
      <c r="A639" s="25">
        <f>IF(MES!A639="","",MES!C639/48)</f>
        <v>0</v>
      </c>
      <c r="B639" s="26">
        <f>IF(A639="","",TEXT((N639*4+cfgDeslocamento)/48,"hh:mm")&amp;" a "&amp;TEXT(A639,"hh:mm"))</f>
        <v>0</v>
      </c>
      <c r="C639" s="27">
        <f>IF(A639="","",MES!B639)</f>
        <v>0</v>
      </c>
      <c r="D639" s="27">
        <f>IF(A639="","",IFERROR(AVERAGEIFS(Prensa!$B$2:$B$5001,Prensa!$E$2:$E$5001,N639,Prensa!$F$2:$F$5001,1,Prensa!$G$2:$G$5001,1),""))</f>
        <v>0</v>
      </c>
      <c r="E639" s="27">
        <f>IF(A639="","",IFERROR(AVERAGEIFS(Prensa!$B$2:$B$5001,Prensa!$E$2:$E$5001,N639,Prensa!$F$2:$F$5001,2,Prensa!$G$2:$G$5001,1),""))</f>
        <v>0</v>
      </c>
      <c r="F639" s="27">
        <f>IF(A639="","",IFERROR(AVERAGEIFS(Prensa!$B$2:$B$5001,Prensa!$E$2:$E$5001,N639,Prensa!$F$2:$F$5001,3,Prensa!$G$2:$G$5001,1),""))</f>
        <v>0</v>
      </c>
      <c r="G639" s="27">
        <f>IF(A639="","",IFERROR(AVERAGEIFS(Prensa!$B$2:$B$5001,Prensa!$E$2:$E$5001,N639,Prensa!$F$2:$F$5001,4,Prensa!$G$2:$G$5001,1),""))</f>
        <v>0</v>
      </c>
      <c r="H639" s="26">
        <f>IF(A639="","",COUNT(D639:G639))</f>
        <v>0</v>
      </c>
      <c r="I639" s="27">
        <f>IF(A639="","",IF(H639=0,"",AVERAGE(D639:G639)))</f>
        <v>0</v>
      </c>
      <c r="J639" s="27">
        <f>IF(OR(I639="",C639=""),"",I639-C639)</f>
        <v>0</v>
      </c>
      <c r="K639" s="26">
        <f>IF(A639="","",IF(MES!E639&lt;&gt;4,"Horário do MES fora do padrão",IF(H639&lt;cfgMinCortes,"Cortes insuficientes","Válida")))</f>
        <v>0</v>
      </c>
      <c r="L639" s="27">
        <f>IF(K639="Válida",ABS(J639),"")</f>
        <v>0</v>
      </c>
      <c r="M639" s="26">
        <f>IF(K639="Válida",IF(L639&lt;=cfgTolerancia,"Sim","Não"),"")</f>
        <v>0</v>
      </c>
      <c r="N639" s="26">
        <f>IF(A639="","",MES!D639)</f>
        <v>0</v>
      </c>
      <c r="O639" s="25">
        <f>IF(K639="Válida",A639,NA())</f>
        <v>0</v>
      </c>
      <c r="P639" s="27">
        <f>IF(K639="Válida",C639,NA())</f>
        <v>0</v>
      </c>
      <c r="Q639" s="27">
        <f>IF(K639="Válida",I639,NA())</f>
        <v>0</v>
      </c>
      <c r="R639" s="27">
        <f>IF(K639="Válida",J639,NA())</f>
        <v>0</v>
      </c>
      <c r="S639" s="27">
        <f>IF(K639="Válida",C639,"")</f>
        <v>0</v>
      </c>
      <c r="T639" s="27">
        <f>IF(K639="Válida",I639,"")</f>
        <v>0</v>
      </c>
      <c r="U639" s="27">
        <f>IF(K639="Válida",J639,"")</f>
        <v>0</v>
      </c>
    </row>
    <row r="640" spans="1:21">
      <c r="A640" s="25">
        <f>IF(MES!A640="","",MES!C640/48)</f>
        <v>0</v>
      </c>
      <c r="B640" s="26">
        <f>IF(A640="","",TEXT((N640*4+cfgDeslocamento)/48,"hh:mm")&amp;" a "&amp;TEXT(A640,"hh:mm"))</f>
        <v>0</v>
      </c>
      <c r="C640" s="27">
        <f>IF(A640="","",MES!B640)</f>
        <v>0</v>
      </c>
      <c r="D640" s="27">
        <f>IF(A640="","",IFERROR(AVERAGEIFS(Prensa!$B$2:$B$5001,Prensa!$E$2:$E$5001,N640,Prensa!$F$2:$F$5001,1,Prensa!$G$2:$G$5001,1),""))</f>
        <v>0</v>
      </c>
      <c r="E640" s="27">
        <f>IF(A640="","",IFERROR(AVERAGEIFS(Prensa!$B$2:$B$5001,Prensa!$E$2:$E$5001,N640,Prensa!$F$2:$F$5001,2,Prensa!$G$2:$G$5001,1),""))</f>
        <v>0</v>
      </c>
      <c r="F640" s="27">
        <f>IF(A640="","",IFERROR(AVERAGEIFS(Prensa!$B$2:$B$5001,Prensa!$E$2:$E$5001,N640,Prensa!$F$2:$F$5001,3,Prensa!$G$2:$G$5001,1),""))</f>
        <v>0</v>
      </c>
      <c r="G640" s="27">
        <f>IF(A640="","",IFERROR(AVERAGEIFS(Prensa!$B$2:$B$5001,Prensa!$E$2:$E$5001,N640,Prensa!$F$2:$F$5001,4,Prensa!$G$2:$G$5001,1),""))</f>
        <v>0</v>
      </c>
      <c r="H640" s="26">
        <f>IF(A640="","",COUNT(D640:G640))</f>
        <v>0</v>
      </c>
      <c r="I640" s="27">
        <f>IF(A640="","",IF(H640=0,"",AVERAGE(D640:G640)))</f>
        <v>0</v>
      </c>
      <c r="J640" s="27">
        <f>IF(OR(I640="",C640=""),"",I640-C640)</f>
        <v>0</v>
      </c>
      <c r="K640" s="26">
        <f>IF(A640="","",IF(MES!E640&lt;&gt;4,"Horário do MES fora do padrão",IF(H640&lt;cfgMinCortes,"Cortes insuficientes","Válida")))</f>
        <v>0</v>
      </c>
      <c r="L640" s="27">
        <f>IF(K640="Válida",ABS(J640),"")</f>
        <v>0</v>
      </c>
      <c r="M640" s="26">
        <f>IF(K640="Válida",IF(L640&lt;=cfgTolerancia,"Sim","Não"),"")</f>
        <v>0</v>
      </c>
      <c r="N640" s="26">
        <f>IF(A640="","",MES!D640)</f>
        <v>0</v>
      </c>
      <c r="O640" s="25">
        <f>IF(K640="Válida",A640,NA())</f>
        <v>0</v>
      </c>
      <c r="P640" s="27">
        <f>IF(K640="Válida",C640,NA())</f>
        <v>0</v>
      </c>
      <c r="Q640" s="27">
        <f>IF(K640="Válida",I640,NA())</f>
        <v>0</v>
      </c>
      <c r="R640" s="27">
        <f>IF(K640="Válida",J640,NA())</f>
        <v>0</v>
      </c>
      <c r="S640" s="27">
        <f>IF(K640="Válida",C640,"")</f>
        <v>0</v>
      </c>
      <c r="T640" s="27">
        <f>IF(K640="Válida",I640,"")</f>
        <v>0</v>
      </c>
      <c r="U640" s="27">
        <f>IF(K640="Válida",J640,"")</f>
        <v>0</v>
      </c>
    </row>
    <row r="641" spans="1:21">
      <c r="A641" s="25">
        <f>IF(MES!A641="","",MES!C641/48)</f>
        <v>0</v>
      </c>
      <c r="B641" s="26">
        <f>IF(A641="","",TEXT((N641*4+cfgDeslocamento)/48,"hh:mm")&amp;" a "&amp;TEXT(A641,"hh:mm"))</f>
        <v>0</v>
      </c>
      <c r="C641" s="27">
        <f>IF(A641="","",MES!B641)</f>
        <v>0</v>
      </c>
      <c r="D641" s="27">
        <f>IF(A641="","",IFERROR(AVERAGEIFS(Prensa!$B$2:$B$5001,Prensa!$E$2:$E$5001,N641,Prensa!$F$2:$F$5001,1,Prensa!$G$2:$G$5001,1),""))</f>
        <v>0</v>
      </c>
      <c r="E641" s="27">
        <f>IF(A641="","",IFERROR(AVERAGEIFS(Prensa!$B$2:$B$5001,Prensa!$E$2:$E$5001,N641,Prensa!$F$2:$F$5001,2,Prensa!$G$2:$G$5001,1),""))</f>
        <v>0</v>
      </c>
      <c r="F641" s="27">
        <f>IF(A641="","",IFERROR(AVERAGEIFS(Prensa!$B$2:$B$5001,Prensa!$E$2:$E$5001,N641,Prensa!$F$2:$F$5001,3,Prensa!$G$2:$G$5001,1),""))</f>
        <v>0</v>
      </c>
      <c r="G641" s="27">
        <f>IF(A641="","",IFERROR(AVERAGEIFS(Prensa!$B$2:$B$5001,Prensa!$E$2:$E$5001,N641,Prensa!$F$2:$F$5001,4,Prensa!$G$2:$G$5001,1),""))</f>
        <v>0</v>
      </c>
      <c r="H641" s="26">
        <f>IF(A641="","",COUNT(D641:G641))</f>
        <v>0</v>
      </c>
      <c r="I641" s="27">
        <f>IF(A641="","",IF(H641=0,"",AVERAGE(D641:G641)))</f>
        <v>0</v>
      </c>
      <c r="J641" s="27">
        <f>IF(OR(I641="",C641=""),"",I641-C641)</f>
        <v>0</v>
      </c>
      <c r="K641" s="26">
        <f>IF(A641="","",IF(MES!E641&lt;&gt;4,"Horário do MES fora do padrão",IF(H641&lt;cfgMinCortes,"Cortes insuficientes","Válida")))</f>
        <v>0</v>
      </c>
      <c r="L641" s="27">
        <f>IF(K641="Válida",ABS(J641),"")</f>
        <v>0</v>
      </c>
      <c r="M641" s="26">
        <f>IF(K641="Válida",IF(L641&lt;=cfgTolerancia,"Sim","Não"),"")</f>
        <v>0</v>
      </c>
      <c r="N641" s="26">
        <f>IF(A641="","",MES!D641)</f>
        <v>0</v>
      </c>
      <c r="O641" s="25">
        <f>IF(K641="Válida",A641,NA())</f>
        <v>0</v>
      </c>
      <c r="P641" s="27">
        <f>IF(K641="Válida",C641,NA())</f>
        <v>0</v>
      </c>
      <c r="Q641" s="27">
        <f>IF(K641="Válida",I641,NA())</f>
        <v>0</v>
      </c>
      <c r="R641" s="27">
        <f>IF(K641="Válida",J641,NA())</f>
        <v>0</v>
      </c>
      <c r="S641" s="27">
        <f>IF(K641="Válida",C641,"")</f>
        <v>0</v>
      </c>
      <c r="T641" s="27">
        <f>IF(K641="Válida",I641,"")</f>
        <v>0</v>
      </c>
      <c r="U641" s="27">
        <f>IF(K641="Válida",J641,"")</f>
        <v>0</v>
      </c>
    </row>
    <row r="642" spans="1:21">
      <c r="A642" s="25">
        <f>IF(MES!A642="","",MES!C642/48)</f>
        <v>0</v>
      </c>
      <c r="B642" s="26">
        <f>IF(A642="","",TEXT((N642*4+cfgDeslocamento)/48,"hh:mm")&amp;" a "&amp;TEXT(A642,"hh:mm"))</f>
        <v>0</v>
      </c>
      <c r="C642" s="27">
        <f>IF(A642="","",MES!B642)</f>
        <v>0</v>
      </c>
      <c r="D642" s="27">
        <f>IF(A642="","",IFERROR(AVERAGEIFS(Prensa!$B$2:$B$5001,Prensa!$E$2:$E$5001,N642,Prensa!$F$2:$F$5001,1,Prensa!$G$2:$G$5001,1),""))</f>
        <v>0</v>
      </c>
      <c r="E642" s="27">
        <f>IF(A642="","",IFERROR(AVERAGEIFS(Prensa!$B$2:$B$5001,Prensa!$E$2:$E$5001,N642,Prensa!$F$2:$F$5001,2,Prensa!$G$2:$G$5001,1),""))</f>
        <v>0</v>
      </c>
      <c r="F642" s="27">
        <f>IF(A642="","",IFERROR(AVERAGEIFS(Prensa!$B$2:$B$5001,Prensa!$E$2:$E$5001,N642,Prensa!$F$2:$F$5001,3,Prensa!$G$2:$G$5001,1),""))</f>
        <v>0</v>
      </c>
      <c r="G642" s="27">
        <f>IF(A642="","",IFERROR(AVERAGEIFS(Prensa!$B$2:$B$5001,Prensa!$E$2:$E$5001,N642,Prensa!$F$2:$F$5001,4,Prensa!$G$2:$G$5001,1),""))</f>
        <v>0</v>
      </c>
      <c r="H642" s="26">
        <f>IF(A642="","",COUNT(D642:G642))</f>
        <v>0</v>
      </c>
      <c r="I642" s="27">
        <f>IF(A642="","",IF(H642=0,"",AVERAGE(D642:G642)))</f>
        <v>0</v>
      </c>
      <c r="J642" s="27">
        <f>IF(OR(I642="",C642=""),"",I642-C642)</f>
        <v>0</v>
      </c>
      <c r="K642" s="26">
        <f>IF(A642="","",IF(MES!E642&lt;&gt;4,"Horário do MES fora do padrão",IF(H642&lt;cfgMinCortes,"Cortes insuficientes","Válida")))</f>
        <v>0</v>
      </c>
      <c r="L642" s="27">
        <f>IF(K642="Válida",ABS(J642),"")</f>
        <v>0</v>
      </c>
      <c r="M642" s="26">
        <f>IF(K642="Válida",IF(L642&lt;=cfgTolerancia,"Sim","Não"),"")</f>
        <v>0</v>
      </c>
      <c r="N642" s="26">
        <f>IF(A642="","",MES!D642)</f>
        <v>0</v>
      </c>
      <c r="O642" s="25">
        <f>IF(K642="Válida",A642,NA())</f>
        <v>0</v>
      </c>
      <c r="P642" s="27">
        <f>IF(K642="Válida",C642,NA())</f>
        <v>0</v>
      </c>
      <c r="Q642" s="27">
        <f>IF(K642="Válida",I642,NA())</f>
        <v>0</v>
      </c>
      <c r="R642" s="27">
        <f>IF(K642="Válida",J642,NA())</f>
        <v>0</v>
      </c>
      <c r="S642" s="27">
        <f>IF(K642="Válida",C642,"")</f>
        <v>0</v>
      </c>
      <c r="T642" s="27">
        <f>IF(K642="Válida",I642,"")</f>
        <v>0</v>
      </c>
      <c r="U642" s="27">
        <f>IF(K642="Válida",J642,"")</f>
        <v>0</v>
      </c>
    </row>
    <row r="643" spans="1:21">
      <c r="A643" s="25">
        <f>IF(MES!A643="","",MES!C643/48)</f>
        <v>0</v>
      </c>
      <c r="B643" s="26">
        <f>IF(A643="","",TEXT((N643*4+cfgDeslocamento)/48,"hh:mm")&amp;" a "&amp;TEXT(A643,"hh:mm"))</f>
        <v>0</v>
      </c>
      <c r="C643" s="27">
        <f>IF(A643="","",MES!B643)</f>
        <v>0</v>
      </c>
      <c r="D643" s="27">
        <f>IF(A643="","",IFERROR(AVERAGEIFS(Prensa!$B$2:$B$5001,Prensa!$E$2:$E$5001,N643,Prensa!$F$2:$F$5001,1,Prensa!$G$2:$G$5001,1),""))</f>
        <v>0</v>
      </c>
      <c r="E643" s="27">
        <f>IF(A643="","",IFERROR(AVERAGEIFS(Prensa!$B$2:$B$5001,Prensa!$E$2:$E$5001,N643,Prensa!$F$2:$F$5001,2,Prensa!$G$2:$G$5001,1),""))</f>
        <v>0</v>
      </c>
      <c r="F643" s="27">
        <f>IF(A643="","",IFERROR(AVERAGEIFS(Prensa!$B$2:$B$5001,Prensa!$E$2:$E$5001,N643,Prensa!$F$2:$F$5001,3,Prensa!$G$2:$G$5001,1),""))</f>
        <v>0</v>
      </c>
      <c r="G643" s="27">
        <f>IF(A643="","",IFERROR(AVERAGEIFS(Prensa!$B$2:$B$5001,Prensa!$E$2:$E$5001,N643,Prensa!$F$2:$F$5001,4,Prensa!$G$2:$G$5001,1),""))</f>
        <v>0</v>
      </c>
      <c r="H643" s="26">
        <f>IF(A643="","",COUNT(D643:G643))</f>
        <v>0</v>
      </c>
      <c r="I643" s="27">
        <f>IF(A643="","",IF(H643=0,"",AVERAGE(D643:G643)))</f>
        <v>0</v>
      </c>
      <c r="J643" s="27">
        <f>IF(OR(I643="",C643=""),"",I643-C643)</f>
        <v>0</v>
      </c>
      <c r="K643" s="26">
        <f>IF(A643="","",IF(MES!E643&lt;&gt;4,"Horário do MES fora do padrão",IF(H643&lt;cfgMinCortes,"Cortes insuficientes","Válida")))</f>
        <v>0</v>
      </c>
      <c r="L643" s="27">
        <f>IF(K643="Válida",ABS(J643),"")</f>
        <v>0</v>
      </c>
      <c r="M643" s="26">
        <f>IF(K643="Válida",IF(L643&lt;=cfgTolerancia,"Sim","Não"),"")</f>
        <v>0</v>
      </c>
      <c r="N643" s="26">
        <f>IF(A643="","",MES!D643)</f>
        <v>0</v>
      </c>
      <c r="O643" s="25">
        <f>IF(K643="Válida",A643,NA())</f>
        <v>0</v>
      </c>
      <c r="P643" s="27">
        <f>IF(K643="Válida",C643,NA())</f>
        <v>0</v>
      </c>
      <c r="Q643" s="27">
        <f>IF(K643="Válida",I643,NA())</f>
        <v>0</v>
      </c>
      <c r="R643" s="27">
        <f>IF(K643="Válida",J643,NA())</f>
        <v>0</v>
      </c>
      <c r="S643" s="27">
        <f>IF(K643="Válida",C643,"")</f>
        <v>0</v>
      </c>
      <c r="T643" s="27">
        <f>IF(K643="Válida",I643,"")</f>
        <v>0</v>
      </c>
      <c r="U643" s="27">
        <f>IF(K643="Válida",J643,"")</f>
        <v>0</v>
      </c>
    </row>
    <row r="644" spans="1:21">
      <c r="A644" s="25">
        <f>IF(MES!A644="","",MES!C644/48)</f>
        <v>0</v>
      </c>
      <c r="B644" s="26">
        <f>IF(A644="","",TEXT((N644*4+cfgDeslocamento)/48,"hh:mm")&amp;" a "&amp;TEXT(A644,"hh:mm"))</f>
        <v>0</v>
      </c>
      <c r="C644" s="27">
        <f>IF(A644="","",MES!B644)</f>
        <v>0</v>
      </c>
      <c r="D644" s="27">
        <f>IF(A644="","",IFERROR(AVERAGEIFS(Prensa!$B$2:$B$5001,Prensa!$E$2:$E$5001,N644,Prensa!$F$2:$F$5001,1,Prensa!$G$2:$G$5001,1),""))</f>
        <v>0</v>
      </c>
      <c r="E644" s="27">
        <f>IF(A644="","",IFERROR(AVERAGEIFS(Prensa!$B$2:$B$5001,Prensa!$E$2:$E$5001,N644,Prensa!$F$2:$F$5001,2,Prensa!$G$2:$G$5001,1),""))</f>
        <v>0</v>
      </c>
      <c r="F644" s="27">
        <f>IF(A644="","",IFERROR(AVERAGEIFS(Prensa!$B$2:$B$5001,Prensa!$E$2:$E$5001,N644,Prensa!$F$2:$F$5001,3,Prensa!$G$2:$G$5001,1),""))</f>
        <v>0</v>
      </c>
      <c r="G644" s="27">
        <f>IF(A644="","",IFERROR(AVERAGEIFS(Prensa!$B$2:$B$5001,Prensa!$E$2:$E$5001,N644,Prensa!$F$2:$F$5001,4,Prensa!$G$2:$G$5001,1),""))</f>
        <v>0</v>
      </c>
      <c r="H644" s="26">
        <f>IF(A644="","",COUNT(D644:G644))</f>
        <v>0</v>
      </c>
      <c r="I644" s="27">
        <f>IF(A644="","",IF(H644=0,"",AVERAGE(D644:G644)))</f>
        <v>0</v>
      </c>
      <c r="J644" s="27">
        <f>IF(OR(I644="",C644=""),"",I644-C644)</f>
        <v>0</v>
      </c>
      <c r="K644" s="26">
        <f>IF(A644="","",IF(MES!E644&lt;&gt;4,"Horário do MES fora do padrão",IF(H644&lt;cfgMinCortes,"Cortes insuficientes","Válida")))</f>
        <v>0</v>
      </c>
      <c r="L644" s="27">
        <f>IF(K644="Válida",ABS(J644),"")</f>
        <v>0</v>
      </c>
      <c r="M644" s="26">
        <f>IF(K644="Válida",IF(L644&lt;=cfgTolerancia,"Sim","Não"),"")</f>
        <v>0</v>
      </c>
      <c r="N644" s="26">
        <f>IF(A644="","",MES!D644)</f>
        <v>0</v>
      </c>
      <c r="O644" s="25">
        <f>IF(K644="Válida",A644,NA())</f>
        <v>0</v>
      </c>
      <c r="P644" s="27">
        <f>IF(K644="Válida",C644,NA())</f>
        <v>0</v>
      </c>
      <c r="Q644" s="27">
        <f>IF(K644="Válida",I644,NA())</f>
        <v>0</v>
      </c>
      <c r="R644" s="27">
        <f>IF(K644="Válida",J644,NA())</f>
        <v>0</v>
      </c>
      <c r="S644" s="27">
        <f>IF(K644="Válida",C644,"")</f>
        <v>0</v>
      </c>
      <c r="T644" s="27">
        <f>IF(K644="Válida",I644,"")</f>
        <v>0</v>
      </c>
      <c r="U644" s="27">
        <f>IF(K644="Válida",J644,"")</f>
        <v>0</v>
      </c>
    </row>
    <row r="645" spans="1:21">
      <c r="A645" s="25">
        <f>IF(MES!A645="","",MES!C645/48)</f>
        <v>0</v>
      </c>
      <c r="B645" s="26">
        <f>IF(A645="","",TEXT((N645*4+cfgDeslocamento)/48,"hh:mm")&amp;" a "&amp;TEXT(A645,"hh:mm"))</f>
        <v>0</v>
      </c>
      <c r="C645" s="27">
        <f>IF(A645="","",MES!B645)</f>
        <v>0</v>
      </c>
      <c r="D645" s="27">
        <f>IF(A645="","",IFERROR(AVERAGEIFS(Prensa!$B$2:$B$5001,Prensa!$E$2:$E$5001,N645,Prensa!$F$2:$F$5001,1,Prensa!$G$2:$G$5001,1),""))</f>
        <v>0</v>
      </c>
      <c r="E645" s="27">
        <f>IF(A645="","",IFERROR(AVERAGEIFS(Prensa!$B$2:$B$5001,Prensa!$E$2:$E$5001,N645,Prensa!$F$2:$F$5001,2,Prensa!$G$2:$G$5001,1),""))</f>
        <v>0</v>
      </c>
      <c r="F645" s="27">
        <f>IF(A645="","",IFERROR(AVERAGEIFS(Prensa!$B$2:$B$5001,Prensa!$E$2:$E$5001,N645,Prensa!$F$2:$F$5001,3,Prensa!$G$2:$G$5001,1),""))</f>
        <v>0</v>
      </c>
      <c r="G645" s="27">
        <f>IF(A645="","",IFERROR(AVERAGEIFS(Prensa!$B$2:$B$5001,Prensa!$E$2:$E$5001,N645,Prensa!$F$2:$F$5001,4,Prensa!$G$2:$G$5001,1),""))</f>
        <v>0</v>
      </c>
      <c r="H645" s="26">
        <f>IF(A645="","",COUNT(D645:G645))</f>
        <v>0</v>
      </c>
      <c r="I645" s="27">
        <f>IF(A645="","",IF(H645=0,"",AVERAGE(D645:G645)))</f>
        <v>0</v>
      </c>
      <c r="J645" s="27">
        <f>IF(OR(I645="",C645=""),"",I645-C645)</f>
        <v>0</v>
      </c>
      <c r="K645" s="26">
        <f>IF(A645="","",IF(MES!E645&lt;&gt;4,"Horário do MES fora do padrão",IF(H645&lt;cfgMinCortes,"Cortes insuficientes","Válida")))</f>
        <v>0</v>
      </c>
      <c r="L645" s="27">
        <f>IF(K645="Válida",ABS(J645),"")</f>
        <v>0</v>
      </c>
      <c r="M645" s="26">
        <f>IF(K645="Válida",IF(L645&lt;=cfgTolerancia,"Sim","Não"),"")</f>
        <v>0</v>
      </c>
      <c r="N645" s="26">
        <f>IF(A645="","",MES!D645)</f>
        <v>0</v>
      </c>
      <c r="O645" s="25">
        <f>IF(K645="Válida",A645,NA())</f>
        <v>0</v>
      </c>
      <c r="P645" s="27">
        <f>IF(K645="Válida",C645,NA())</f>
        <v>0</v>
      </c>
      <c r="Q645" s="27">
        <f>IF(K645="Válida",I645,NA())</f>
        <v>0</v>
      </c>
      <c r="R645" s="27">
        <f>IF(K645="Válida",J645,NA())</f>
        <v>0</v>
      </c>
      <c r="S645" s="27">
        <f>IF(K645="Válida",C645,"")</f>
        <v>0</v>
      </c>
      <c r="T645" s="27">
        <f>IF(K645="Válida",I645,"")</f>
        <v>0</v>
      </c>
      <c r="U645" s="27">
        <f>IF(K645="Válida",J645,"")</f>
        <v>0</v>
      </c>
    </row>
    <row r="646" spans="1:21">
      <c r="A646" s="25">
        <f>IF(MES!A646="","",MES!C646/48)</f>
        <v>0</v>
      </c>
      <c r="B646" s="26">
        <f>IF(A646="","",TEXT((N646*4+cfgDeslocamento)/48,"hh:mm")&amp;" a "&amp;TEXT(A646,"hh:mm"))</f>
        <v>0</v>
      </c>
      <c r="C646" s="27">
        <f>IF(A646="","",MES!B646)</f>
        <v>0</v>
      </c>
      <c r="D646" s="27">
        <f>IF(A646="","",IFERROR(AVERAGEIFS(Prensa!$B$2:$B$5001,Prensa!$E$2:$E$5001,N646,Prensa!$F$2:$F$5001,1,Prensa!$G$2:$G$5001,1),""))</f>
        <v>0</v>
      </c>
      <c r="E646" s="27">
        <f>IF(A646="","",IFERROR(AVERAGEIFS(Prensa!$B$2:$B$5001,Prensa!$E$2:$E$5001,N646,Prensa!$F$2:$F$5001,2,Prensa!$G$2:$G$5001,1),""))</f>
        <v>0</v>
      </c>
      <c r="F646" s="27">
        <f>IF(A646="","",IFERROR(AVERAGEIFS(Prensa!$B$2:$B$5001,Prensa!$E$2:$E$5001,N646,Prensa!$F$2:$F$5001,3,Prensa!$G$2:$G$5001,1),""))</f>
        <v>0</v>
      </c>
      <c r="G646" s="27">
        <f>IF(A646="","",IFERROR(AVERAGEIFS(Prensa!$B$2:$B$5001,Prensa!$E$2:$E$5001,N646,Prensa!$F$2:$F$5001,4,Prensa!$G$2:$G$5001,1),""))</f>
        <v>0</v>
      </c>
      <c r="H646" s="26">
        <f>IF(A646="","",COUNT(D646:G646))</f>
        <v>0</v>
      </c>
      <c r="I646" s="27">
        <f>IF(A646="","",IF(H646=0,"",AVERAGE(D646:G646)))</f>
        <v>0</v>
      </c>
      <c r="J646" s="27">
        <f>IF(OR(I646="",C646=""),"",I646-C646)</f>
        <v>0</v>
      </c>
      <c r="K646" s="26">
        <f>IF(A646="","",IF(MES!E646&lt;&gt;4,"Horário do MES fora do padrão",IF(H646&lt;cfgMinCortes,"Cortes insuficientes","Válida")))</f>
        <v>0</v>
      </c>
      <c r="L646" s="27">
        <f>IF(K646="Válida",ABS(J646),"")</f>
        <v>0</v>
      </c>
      <c r="M646" s="26">
        <f>IF(K646="Válida",IF(L646&lt;=cfgTolerancia,"Sim","Não"),"")</f>
        <v>0</v>
      </c>
      <c r="N646" s="26">
        <f>IF(A646="","",MES!D646)</f>
        <v>0</v>
      </c>
      <c r="O646" s="25">
        <f>IF(K646="Válida",A646,NA())</f>
        <v>0</v>
      </c>
      <c r="P646" s="27">
        <f>IF(K646="Válida",C646,NA())</f>
        <v>0</v>
      </c>
      <c r="Q646" s="27">
        <f>IF(K646="Válida",I646,NA())</f>
        <v>0</v>
      </c>
      <c r="R646" s="27">
        <f>IF(K646="Válida",J646,NA())</f>
        <v>0</v>
      </c>
      <c r="S646" s="27">
        <f>IF(K646="Válida",C646,"")</f>
        <v>0</v>
      </c>
      <c r="T646" s="27">
        <f>IF(K646="Válida",I646,"")</f>
        <v>0</v>
      </c>
      <c r="U646" s="27">
        <f>IF(K646="Válida",J646,"")</f>
        <v>0</v>
      </c>
    </row>
    <row r="647" spans="1:21">
      <c r="A647" s="25">
        <f>IF(MES!A647="","",MES!C647/48)</f>
        <v>0</v>
      </c>
      <c r="B647" s="26">
        <f>IF(A647="","",TEXT((N647*4+cfgDeslocamento)/48,"hh:mm")&amp;" a "&amp;TEXT(A647,"hh:mm"))</f>
        <v>0</v>
      </c>
      <c r="C647" s="27">
        <f>IF(A647="","",MES!B647)</f>
        <v>0</v>
      </c>
      <c r="D647" s="27">
        <f>IF(A647="","",IFERROR(AVERAGEIFS(Prensa!$B$2:$B$5001,Prensa!$E$2:$E$5001,N647,Prensa!$F$2:$F$5001,1,Prensa!$G$2:$G$5001,1),""))</f>
        <v>0</v>
      </c>
      <c r="E647" s="27">
        <f>IF(A647="","",IFERROR(AVERAGEIFS(Prensa!$B$2:$B$5001,Prensa!$E$2:$E$5001,N647,Prensa!$F$2:$F$5001,2,Prensa!$G$2:$G$5001,1),""))</f>
        <v>0</v>
      </c>
      <c r="F647" s="27">
        <f>IF(A647="","",IFERROR(AVERAGEIFS(Prensa!$B$2:$B$5001,Prensa!$E$2:$E$5001,N647,Prensa!$F$2:$F$5001,3,Prensa!$G$2:$G$5001,1),""))</f>
        <v>0</v>
      </c>
      <c r="G647" s="27">
        <f>IF(A647="","",IFERROR(AVERAGEIFS(Prensa!$B$2:$B$5001,Prensa!$E$2:$E$5001,N647,Prensa!$F$2:$F$5001,4,Prensa!$G$2:$G$5001,1),""))</f>
        <v>0</v>
      </c>
      <c r="H647" s="26">
        <f>IF(A647="","",COUNT(D647:G647))</f>
        <v>0</v>
      </c>
      <c r="I647" s="27">
        <f>IF(A647="","",IF(H647=0,"",AVERAGE(D647:G647)))</f>
        <v>0</v>
      </c>
      <c r="J647" s="27">
        <f>IF(OR(I647="",C647=""),"",I647-C647)</f>
        <v>0</v>
      </c>
      <c r="K647" s="26">
        <f>IF(A647="","",IF(MES!E647&lt;&gt;4,"Horário do MES fora do padrão",IF(H647&lt;cfgMinCortes,"Cortes insuficientes","Válida")))</f>
        <v>0</v>
      </c>
      <c r="L647" s="27">
        <f>IF(K647="Válida",ABS(J647),"")</f>
        <v>0</v>
      </c>
      <c r="M647" s="26">
        <f>IF(K647="Válida",IF(L647&lt;=cfgTolerancia,"Sim","Não"),"")</f>
        <v>0</v>
      </c>
      <c r="N647" s="26">
        <f>IF(A647="","",MES!D647)</f>
        <v>0</v>
      </c>
      <c r="O647" s="25">
        <f>IF(K647="Válida",A647,NA())</f>
        <v>0</v>
      </c>
      <c r="P647" s="27">
        <f>IF(K647="Válida",C647,NA())</f>
        <v>0</v>
      </c>
      <c r="Q647" s="27">
        <f>IF(K647="Válida",I647,NA())</f>
        <v>0</v>
      </c>
      <c r="R647" s="27">
        <f>IF(K647="Válida",J647,NA())</f>
        <v>0</v>
      </c>
      <c r="S647" s="27">
        <f>IF(K647="Válida",C647,"")</f>
        <v>0</v>
      </c>
      <c r="T647" s="27">
        <f>IF(K647="Válida",I647,"")</f>
        <v>0</v>
      </c>
      <c r="U647" s="27">
        <f>IF(K647="Válida",J647,"")</f>
        <v>0</v>
      </c>
    </row>
    <row r="648" spans="1:21">
      <c r="A648" s="25">
        <f>IF(MES!A648="","",MES!C648/48)</f>
        <v>0</v>
      </c>
      <c r="B648" s="26">
        <f>IF(A648="","",TEXT((N648*4+cfgDeslocamento)/48,"hh:mm")&amp;" a "&amp;TEXT(A648,"hh:mm"))</f>
        <v>0</v>
      </c>
      <c r="C648" s="27">
        <f>IF(A648="","",MES!B648)</f>
        <v>0</v>
      </c>
      <c r="D648" s="27">
        <f>IF(A648="","",IFERROR(AVERAGEIFS(Prensa!$B$2:$B$5001,Prensa!$E$2:$E$5001,N648,Prensa!$F$2:$F$5001,1,Prensa!$G$2:$G$5001,1),""))</f>
        <v>0</v>
      </c>
      <c r="E648" s="27">
        <f>IF(A648="","",IFERROR(AVERAGEIFS(Prensa!$B$2:$B$5001,Prensa!$E$2:$E$5001,N648,Prensa!$F$2:$F$5001,2,Prensa!$G$2:$G$5001,1),""))</f>
        <v>0</v>
      </c>
      <c r="F648" s="27">
        <f>IF(A648="","",IFERROR(AVERAGEIFS(Prensa!$B$2:$B$5001,Prensa!$E$2:$E$5001,N648,Prensa!$F$2:$F$5001,3,Prensa!$G$2:$G$5001,1),""))</f>
        <v>0</v>
      </c>
      <c r="G648" s="27">
        <f>IF(A648="","",IFERROR(AVERAGEIFS(Prensa!$B$2:$B$5001,Prensa!$E$2:$E$5001,N648,Prensa!$F$2:$F$5001,4,Prensa!$G$2:$G$5001,1),""))</f>
        <v>0</v>
      </c>
      <c r="H648" s="26">
        <f>IF(A648="","",COUNT(D648:G648))</f>
        <v>0</v>
      </c>
      <c r="I648" s="27">
        <f>IF(A648="","",IF(H648=0,"",AVERAGE(D648:G648)))</f>
        <v>0</v>
      </c>
      <c r="J648" s="27">
        <f>IF(OR(I648="",C648=""),"",I648-C648)</f>
        <v>0</v>
      </c>
      <c r="K648" s="26">
        <f>IF(A648="","",IF(MES!E648&lt;&gt;4,"Horário do MES fora do padrão",IF(H648&lt;cfgMinCortes,"Cortes insuficientes","Válida")))</f>
        <v>0</v>
      </c>
      <c r="L648" s="27">
        <f>IF(K648="Válida",ABS(J648),"")</f>
        <v>0</v>
      </c>
      <c r="M648" s="26">
        <f>IF(K648="Válida",IF(L648&lt;=cfgTolerancia,"Sim","Não"),"")</f>
        <v>0</v>
      </c>
      <c r="N648" s="26">
        <f>IF(A648="","",MES!D648)</f>
        <v>0</v>
      </c>
      <c r="O648" s="25">
        <f>IF(K648="Válida",A648,NA())</f>
        <v>0</v>
      </c>
      <c r="P648" s="27">
        <f>IF(K648="Válida",C648,NA())</f>
        <v>0</v>
      </c>
      <c r="Q648" s="27">
        <f>IF(K648="Válida",I648,NA())</f>
        <v>0</v>
      </c>
      <c r="R648" s="27">
        <f>IF(K648="Válida",J648,NA())</f>
        <v>0</v>
      </c>
      <c r="S648" s="27">
        <f>IF(K648="Válida",C648,"")</f>
        <v>0</v>
      </c>
      <c r="T648" s="27">
        <f>IF(K648="Válida",I648,"")</f>
        <v>0</v>
      </c>
      <c r="U648" s="27">
        <f>IF(K648="Válida",J648,"")</f>
        <v>0</v>
      </c>
    </row>
    <row r="649" spans="1:21">
      <c r="A649" s="25">
        <f>IF(MES!A649="","",MES!C649/48)</f>
        <v>0</v>
      </c>
      <c r="B649" s="26">
        <f>IF(A649="","",TEXT((N649*4+cfgDeslocamento)/48,"hh:mm")&amp;" a "&amp;TEXT(A649,"hh:mm"))</f>
        <v>0</v>
      </c>
      <c r="C649" s="27">
        <f>IF(A649="","",MES!B649)</f>
        <v>0</v>
      </c>
      <c r="D649" s="27">
        <f>IF(A649="","",IFERROR(AVERAGEIFS(Prensa!$B$2:$B$5001,Prensa!$E$2:$E$5001,N649,Prensa!$F$2:$F$5001,1,Prensa!$G$2:$G$5001,1),""))</f>
        <v>0</v>
      </c>
      <c r="E649" s="27">
        <f>IF(A649="","",IFERROR(AVERAGEIFS(Prensa!$B$2:$B$5001,Prensa!$E$2:$E$5001,N649,Prensa!$F$2:$F$5001,2,Prensa!$G$2:$G$5001,1),""))</f>
        <v>0</v>
      </c>
      <c r="F649" s="27">
        <f>IF(A649="","",IFERROR(AVERAGEIFS(Prensa!$B$2:$B$5001,Prensa!$E$2:$E$5001,N649,Prensa!$F$2:$F$5001,3,Prensa!$G$2:$G$5001,1),""))</f>
        <v>0</v>
      </c>
      <c r="G649" s="27">
        <f>IF(A649="","",IFERROR(AVERAGEIFS(Prensa!$B$2:$B$5001,Prensa!$E$2:$E$5001,N649,Prensa!$F$2:$F$5001,4,Prensa!$G$2:$G$5001,1),""))</f>
        <v>0</v>
      </c>
      <c r="H649" s="26">
        <f>IF(A649="","",COUNT(D649:G649))</f>
        <v>0</v>
      </c>
      <c r="I649" s="27">
        <f>IF(A649="","",IF(H649=0,"",AVERAGE(D649:G649)))</f>
        <v>0</v>
      </c>
      <c r="J649" s="27">
        <f>IF(OR(I649="",C649=""),"",I649-C649)</f>
        <v>0</v>
      </c>
      <c r="K649" s="26">
        <f>IF(A649="","",IF(MES!E649&lt;&gt;4,"Horário do MES fora do padrão",IF(H649&lt;cfgMinCortes,"Cortes insuficientes","Válida")))</f>
        <v>0</v>
      </c>
      <c r="L649" s="27">
        <f>IF(K649="Válida",ABS(J649),"")</f>
        <v>0</v>
      </c>
      <c r="M649" s="26">
        <f>IF(K649="Válida",IF(L649&lt;=cfgTolerancia,"Sim","Não"),"")</f>
        <v>0</v>
      </c>
      <c r="N649" s="26">
        <f>IF(A649="","",MES!D649)</f>
        <v>0</v>
      </c>
      <c r="O649" s="25">
        <f>IF(K649="Válida",A649,NA())</f>
        <v>0</v>
      </c>
      <c r="P649" s="27">
        <f>IF(K649="Válida",C649,NA())</f>
        <v>0</v>
      </c>
      <c r="Q649" s="27">
        <f>IF(K649="Válida",I649,NA())</f>
        <v>0</v>
      </c>
      <c r="R649" s="27">
        <f>IF(K649="Válida",J649,NA())</f>
        <v>0</v>
      </c>
      <c r="S649" s="27">
        <f>IF(K649="Válida",C649,"")</f>
        <v>0</v>
      </c>
      <c r="T649" s="27">
        <f>IF(K649="Válida",I649,"")</f>
        <v>0</v>
      </c>
      <c r="U649" s="27">
        <f>IF(K649="Válida",J649,"")</f>
        <v>0</v>
      </c>
    </row>
    <row r="650" spans="1:21">
      <c r="A650" s="25">
        <f>IF(MES!A650="","",MES!C650/48)</f>
        <v>0</v>
      </c>
      <c r="B650" s="26">
        <f>IF(A650="","",TEXT((N650*4+cfgDeslocamento)/48,"hh:mm")&amp;" a "&amp;TEXT(A650,"hh:mm"))</f>
        <v>0</v>
      </c>
      <c r="C650" s="27">
        <f>IF(A650="","",MES!B650)</f>
        <v>0</v>
      </c>
      <c r="D650" s="27">
        <f>IF(A650="","",IFERROR(AVERAGEIFS(Prensa!$B$2:$B$5001,Prensa!$E$2:$E$5001,N650,Prensa!$F$2:$F$5001,1,Prensa!$G$2:$G$5001,1),""))</f>
        <v>0</v>
      </c>
      <c r="E650" s="27">
        <f>IF(A650="","",IFERROR(AVERAGEIFS(Prensa!$B$2:$B$5001,Prensa!$E$2:$E$5001,N650,Prensa!$F$2:$F$5001,2,Prensa!$G$2:$G$5001,1),""))</f>
        <v>0</v>
      </c>
      <c r="F650" s="27">
        <f>IF(A650="","",IFERROR(AVERAGEIFS(Prensa!$B$2:$B$5001,Prensa!$E$2:$E$5001,N650,Prensa!$F$2:$F$5001,3,Prensa!$G$2:$G$5001,1),""))</f>
        <v>0</v>
      </c>
      <c r="G650" s="27">
        <f>IF(A650="","",IFERROR(AVERAGEIFS(Prensa!$B$2:$B$5001,Prensa!$E$2:$E$5001,N650,Prensa!$F$2:$F$5001,4,Prensa!$G$2:$G$5001,1),""))</f>
        <v>0</v>
      </c>
      <c r="H650" s="26">
        <f>IF(A650="","",COUNT(D650:G650))</f>
        <v>0</v>
      </c>
      <c r="I650" s="27">
        <f>IF(A650="","",IF(H650=0,"",AVERAGE(D650:G650)))</f>
        <v>0</v>
      </c>
      <c r="J650" s="27">
        <f>IF(OR(I650="",C650=""),"",I650-C650)</f>
        <v>0</v>
      </c>
      <c r="K650" s="26">
        <f>IF(A650="","",IF(MES!E650&lt;&gt;4,"Horário do MES fora do padrão",IF(H650&lt;cfgMinCortes,"Cortes insuficientes","Válida")))</f>
        <v>0</v>
      </c>
      <c r="L650" s="27">
        <f>IF(K650="Válida",ABS(J650),"")</f>
        <v>0</v>
      </c>
      <c r="M650" s="26">
        <f>IF(K650="Válida",IF(L650&lt;=cfgTolerancia,"Sim","Não"),"")</f>
        <v>0</v>
      </c>
      <c r="N650" s="26">
        <f>IF(A650="","",MES!D650)</f>
        <v>0</v>
      </c>
      <c r="O650" s="25">
        <f>IF(K650="Válida",A650,NA())</f>
        <v>0</v>
      </c>
      <c r="P650" s="27">
        <f>IF(K650="Válida",C650,NA())</f>
        <v>0</v>
      </c>
      <c r="Q650" s="27">
        <f>IF(K650="Válida",I650,NA())</f>
        <v>0</v>
      </c>
      <c r="R650" s="27">
        <f>IF(K650="Válida",J650,NA())</f>
        <v>0</v>
      </c>
      <c r="S650" s="27">
        <f>IF(K650="Válida",C650,"")</f>
        <v>0</v>
      </c>
      <c r="T650" s="27">
        <f>IF(K650="Válida",I650,"")</f>
        <v>0</v>
      </c>
      <c r="U650" s="27">
        <f>IF(K650="Válida",J650,"")</f>
        <v>0</v>
      </c>
    </row>
    <row r="651" spans="1:21">
      <c r="A651" s="25">
        <f>IF(MES!A651="","",MES!C651/48)</f>
        <v>0</v>
      </c>
      <c r="B651" s="26">
        <f>IF(A651="","",TEXT((N651*4+cfgDeslocamento)/48,"hh:mm")&amp;" a "&amp;TEXT(A651,"hh:mm"))</f>
        <v>0</v>
      </c>
      <c r="C651" s="27">
        <f>IF(A651="","",MES!B651)</f>
        <v>0</v>
      </c>
      <c r="D651" s="27">
        <f>IF(A651="","",IFERROR(AVERAGEIFS(Prensa!$B$2:$B$5001,Prensa!$E$2:$E$5001,N651,Prensa!$F$2:$F$5001,1,Prensa!$G$2:$G$5001,1),""))</f>
        <v>0</v>
      </c>
      <c r="E651" s="27">
        <f>IF(A651="","",IFERROR(AVERAGEIFS(Prensa!$B$2:$B$5001,Prensa!$E$2:$E$5001,N651,Prensa!$F$2:$F$5001,2,Prensa!$G$2:$G$5001,1),""))</f>
        <v>0</v>
      </c>
      <c r="F651" s="27">
        <f>IF(A651="","",IFERROR(AVERAGEIFS(Prensa!$B$2:$B$5001,Prensa!$E$2:$E$5001,N651,Prensa!$F$2:$F$5001,3,Prensa!$G$2:$G$5001,1),""))</f>
        <v>0</v>
      </c>
      <c r="G651" s="27">
        <f>IF(A651="","",IFERROR(AVERAGEIFS(Prensa!$B$2:$B$5001,Prensa!$E$2:$E$5001,N651,Prensa!$F$2:$F$5001,4,Prensa!$G$2:$G$5001,1),""))</f>
        <v>0</v>
      </c>
      <c r="H651" s="26">
        <f>IF(A651="","",COUNT(D651:G651))</f>
        <v>0</v>
      </c>
      <c r="I651" s="27">
        <f>IF(A651="","",IF(H651=0,"",AVERAGE(D651:G651)))</f>
        <v>0</v>
      </c>
      <c r="J651" s="27">
        <f>IF(OR(I651="",C651=""),"",I651-C651)</f>
        <v>0</v>
      </c>
      <c r="K651" s="26">
        <f>IF(A651="","",IF(MES!E651&lt;&gt;4,"Horário do MES fora do padrão",IF(H651&lt;cfgMinCortes,"Cortes insuficientes","Válida")))</f>
        <v>0</v>
      </c>
      <c r="L651" s="27">
        <f>IF(K651="Válida",ABS(J651),"")</f>
        <v>0</v>
      </c>
      <c r="M651" s="26">
        <f>IF(K651="Válida",IF(L651&lt;=cfgTolerancia,"Sim","Não"),"")</f>
        <v>0</v>
      </c>
      <c r="N651" s="26">
        <f>IF(A651="","",MES!D651)</f>
        <v>0</v>
      </c>
      <c r="O651" s="25">
        <f>IF(K651="Válida",A651,NA())</f>
        <v>0</v>
      </c>
      <c r="P651" s="27">
        <f>IF(K651="Válida",C651,NA())</f>
        <v>0</v>
      </c>
      <c r="Q651" s="27">
        <f>IF(K651="Válida",I651,NA())</f>
        <v>0</v>
      </c>
      <c r="R651" s="27">
        <f>IF(K651="Válida",J651,NA())</f>
        <v>0</v>
      </c>
      <c r="S651" s="27">
        <f>IF(K651="Válida",C651,"")</f>
        <v>0</v>
      </c>
      <c r="T651" s="27">
        <f>IF(K651="Válida",I651,"")</f>
        <v>0</v>
      </c>
      <c r="U651" s="27">
        <f>IF(K651="Válida",J651,"")</f>
        <v>0</v>
      </c>
    </row>
    <row r="652" spans="1:21">
      <c r="A652" s="25">
        <f>IF(MES!A652="","",MES!C652/48)</f>
        <v>0</v>
      </c>
      <c r="B652" s="26">
        <f>IF(A652="","",TEXT((N652*4+cfgDeslocamento)/48,"hh:mm")&amp;" a "&amp;TEXT(A652,"hh:mm"))</f>
        <v>0</v>
      </c>
      <c r="C652" s="27">
        <f>IF(A652="","",MES!B652)</f>
        <v>0</v>
      </c>
      <c r="D652" s="27">
        <f>IF(A652="","",IFERROR(AVERAGEIFS(Prensa!$B$2:$B$5001,Prensa!$E$2:$E$5001,N652,Prensa!$F$2:$F$5001,1,Prensa!$G$2:$G$5001,1),""))</f>
        <v>0</v>
      </c>
      <c r="E652" s="27">
        <f>IF(A652="","",IFERROR(AVERAGEIFS(Prensa!$B$2:$B$5001,Prensa!$E$2:$E$5001,N652,Prensa!$F$2:$F$5001,2,Prensa!$G$2:$G$5001,1),""))</f>
        <v>0</v>
      </c>
      <c r="F652" s="27">
        <f>IF(A652="","",IFERROR(AVERAGEIFS(Prensa!$B$2:$B$5001,Prensa!$E$2:$E$5001,N652,Prensa!$F$2:$F$5001,3,Prensa!$G$2:$G$5001,1),""))</f>
        <v>0</v>
      </c>
      <c r="G652" s="27">
        <f>IF(A652="","",IFERROR(AVERAGEIFS(Prensa!$B$2:$B$5001,Prensa!$E$2:$E$5001,N652,Prensa!$F$2:$F$5001,4,Prensa!$G$2:$G$5001,1),""))</f>
        <v>0</v>
      </c>
      <c r="H652" s="26">
        <f>IF(A652="","",COUNT(D652:G652))</f>
        <v>0</v>
      </c>
      <c r="I652" s="27">
        <f>IF(A652="","",IF(H652=0,"",AVERAGE(D652:G652)))</f>
        <v>0</v>
      </c>
      <c r="J652" s="27">
        <f>IF(OR(I652="",C652=""),"",I652-C652)</f>
        <v>0</v>
      </c>
      <c r="K652" s="26">
        <f>IF(A652="","",IF(MES!E652&lt;&gt;4,"Horário do MES fora do padrão",IF(H652&lt;cfgMinCortes,"Cortes insuficientes","Válida")))</f>
        <v>0</v>
      </c>
      <c r="L652" s="27">
        <f>IF(K652="Válida",ABS(J652),"")</f>
        <v>0</v>
      </c>
      <c r="M652" s="26">
        <f>IF(K652="Válida",IF(L652&lt;=cfgTolerancia,"Sim","Não"),"")</f>
        <v>0</v>
      </c>
      <c r="N652" s="26">
        <f>IF(A652="","",MES!D652)</f>
        <v>0</v>
      </c>
      <c r="O652" s="25">
        <f>IF(K652="Válida",A652,NA())</f>
        <v>0</v>
      </c>
      <c r="P652" s="27">
        <f>IF(K652="Válida",C652,NA())</f>
        <v>0</v>
      </c>
      <c r="Q652" s="27">
        <f>IF(K652="Válida",I652,NA())</f>
        <v>0</v>
      </c>
      <c r="R652" s="27">
        <f>IF(K652="Válida",J652,NA())</f>
        <v>0</v>
      </c>
      <c r="S652" s="27">
        <f>IF(K652="Válida",C652,"")</f>
        <v>0</v>
      </c>
      <c r="T652" s="27">
        <f>IF(K652="Válida",I652,"")</f>
        <v>0</v>
      </c>
      <c r="U652" s="27">
        <f>IF(K652="Válida",J652,"")</f>
        <v>0</v>
      </c>
    </row>
    <row r="653" spans="1:21">
      <c r="A653" s="25">
        <f>IF(MES!A653="","",MES!C653/48)</f>
        <v>0</v>
      </c>
      <c r="B653" s="26">
        <f>IF(A653="","",TEXT((N653*4+cfgDeslocamento)/48,"hh:mm")&amp;" a "&amp;TEXT(A653,"hh:mm"))</f>
        <v>0</v>
      </c>
      <c r="C653" s="27">
        <f>IF(A653="","",MES!B653)</f>
        <v>0</v>
      </c>
      <c r="D653" s="27">
        <f>IF(A653="","",IFERROR(AVERAGEIFS(Prensa!$B$2:$B$5001,Prensa!$E$2:$E$5001,N653,Prensa!$F$2:$F$5001,1,Prensa!$G$2:$G$5001,1),""))</f>
        <v>0</v>
      </c>
      <c r="E653" s="27">
        <f>IF(A653="","",IFERROR(AVERAGEIFS(Prensa!$B$2:$B$5001,Prensa!$E$2:$E$5001,N653,Prensa!$F$2:$F$5001,2,Prensa!$G$2:$G$5001,1),""))</f>
        <v>0</v>
      </c>
      <c r="F653" s="27">
        <f>IF(A653="","",IFERROR(AVERAGEIFS(Prensa!$B$2:$B$5001,Prensa!$E$2:$E$5001,N653,Prensa!$F$2:$F$5001,3,Prensa!$G$2:$G$5001,1),""))</f>
        <v>0</v>
      </c>
      <c r="G653" s="27">
        <f>IF(A653="","",IFERROR(AVERAGEIFS(Prensa!$B$2:$B$5001,Prensa!$E$2:$E$5001,N653,Prensa!$F$2:$F$5001,4,Prensa!$G$2:$G$5001,1),""))</f>
        <v>0</v>
      </c>
      <c r="H653" s="26">
        <f>IF(A653="","",COUNT(D653:G653))</f>
        <v>0</v>
      </c>
      <c r="I653" s="27">
        <f>IF(A653="","",IF(H653=0,"",AVERAGE(D653:G653)))</f>
        <v>0</v>
      </c>
      <c r="J653" s="27">
        <f>IF(OR(I653="",C653=""),"",I653-C653)</f>
        <v>0</v>
      </c>
      <c r="K653" s="26">
        <f>IF(A653="","",IF(MES!E653&lt;&gt;4,"Horário do MES fora do padrão",IF(H653&lt;cfgMinCortes,"Cortes insuficientes","Válida")))</f>
        <v>0</v>
      </c>
      <c r="L653" s="27">
        <f>IF(K653="Válida",ABS(J653),"")</f>
        <v>0</v>
      </c>
      <c r="M653" s="26">
        <f>IF(K653="Válida",IF(L653&lt;=cfgTolerancia,"Sim","Não"),"")</f>
        <v>0</v>
      </c>
      <c r="N653" s="26">
        <f>IF(A653="","",MES!D653)</f>
        <v>0</v>
      </c>
      <c r="O653" s="25">
        <f>IF(K653="Válida",A653,NA())</f>
        <v>0</v>
      </c>
      <c r="P653" s="27">
        <f>IF(K653="Válida",C653,NA())</f>
        <v>0</v>
      </c>
      <c r="Q653" s="27">
        <f>IF(K653="Válida",I653,NA())</f>
        <v>0</v>
      </c>
      <c r="R653" s="27">
        <f>IF(K653="Válida",J653,NA())</f>
        <v>0</v>
      </c>
      <c r="S653" s="27">
        <f>IF(K653="Válida",C653,"")</f>
        <v>0</v>
      </c>
      <c r="T653" s="27">
        <f>IF(K653="Válida",I653,"")</f>
        <v>0</v>
      </c>
      <c r="U653" s="27">
        <f>IF(K653="Válida",J653,"")</f>
        <v>0</v>
      </c>
    </row>
    <row r="654" spans="1:21">
      <c r="A654" s="25">
        <f>IF(MES!A654="","",MES!C654/48)</f>
        <v>0</v>
      </c>
      <c r="B654" s="26">
        <f>IF(A654="","",TEXT((N654*4+cfgDeslocamento)/48,"hh:mm")&amp;" a "&amp;TEXT(A654,"hh:mm"))</f>
        <v>0</v>
      </c>
      <c r="C654" s="27">
        <f>IF(A654="","",MES!B654)</f>
        <v>0</v>
      </c>
      <c r="D654" s="27">
        <f>IF(A654="","",IFERROR(AVERAGEIFS(Prensa!$B$2:$B$5001,Prensa!$E$2:$E$5001,N654,Prensa!$F$2:$F$5001,1,Prensa!$G$2:$G$5001,1),""))</f>
        <v>0</v>
      </c>
      <c r="E654" s="27">
        <f>IF(A654="","",IFERROR(AVERAGEIFS(Prensa!$B$2:$B$5001,Prensa!$E$2:$E$5001,N654,Prensa!$F$2:$F$5001,2,Prensa!$G$2:$G$5001,1),""))</f>
        <v>0</v>
      </c>
      <c r="F654" s="27">
        <f>IF(A654="","",IFERROR(AVERAGEIFS(Prensa!$B$2:$B$5001,Prensa!$E$2:$E$5001,N654,Prensa!$F$2:$F$5001,3,Prensa!$G$2:$G$5001,1),""))</f>
        <v>0</v>
      </c>
      <c r="G654" s="27">
        <f>IF(A654="","",IFERROR(AVERAGEIFS(Prensa!$B$2:$B$5001,Prensa!$E$2:$E$5001,N654,Prensa!$F$2:$F$5001,4,Prensa!$G$2:$G$5001,1),""))</f>
        <v>0</v>
      </c>
      <c r="H654" s="26">
        <f>IF(A654="","",COUNT(D654:G654))</f>
        <v>0</v>
      </c>
      <c r="I654" s="27">
        <f>IF(A654="","",IF(H654=0,"",AVERAGE(D654:G654)))</f>
        <v>0</v>
      </c>
      <c r="J654" s="27">
        <f>IF(OR(I654="",C654=""),"",I654-C654)</f>
        <v>0</v>
      </c>
      <c r="K654" s="26">
        <f>IF(A654="","",IF(MES!E654&lt;&gt;4,"Horário do MES fora do padrão",IF(H654&lt;cfgMinCortes,"Cortes insuficientes","Válida")))</f>
        <v>0</v>
      </c>
      <c r="L654" s="27">
        <f>IF(K654="Válida",ABS(J654),"")</f>
        <v>0</v>
      </c>
      <c r="M654" s="26">
        <f>IF(K654="Válida",IF(L654&lt;=cfgTolerancia,"Sim","Não"),"")</f>
        <v>0</v>
      </c>
      <c r="N654" s="26">
        <f>IF(A654="","",MES!D654)</f>
        <v>0</v>
      </c>
      <c r="O654" s="25">
        <f>IF(K654="Válida",A654,NA())</f>
        <v>0</v>
      </c>
      <c r="P654" s="27">
        <f>IF(K654="Válida",C654,NA())</f>
        <v>0</v>
      </c>
      <c r="Q654" s="27">
        <f>IF(K654="Válida",I654,NA())</f>
        <v>0</v>
      </c>
      <c r="R654" s="27">
        <f>IF(K654="Válida",J654,NA())</f>
        <v>0</v>
      </c>
      <c r="S654" s="27">
        <f>IF(K654="Válida",C654,"")</f>
        <v>0</v>
      </c>
      <c r="T654" s="27">
        <f>IF(K654="Válida",I654,"")</f>
        <v>0</v>
      </c>
      <c r="U654" s="27">
        <f>IF(K654="Válida",J654,"")</f>
        <v>0</v>
      </c>
    </row>
    <row r="655" spans="1:21">
      <c r="A655" s="25">
        <f>IF(MES!A655="","",MES!C655/48)</f>
        <v>0</v>
      </c>
      <c r="B655" s="26">
        <f>IF(A655="","",TEXT((N655*4+cfgDeslocamento)/48,"hh:mm")&amp;" a "&amp;TEXT(A655,"hh:mm"))</f>
        <v>0</v>
      </c>
      <c r="C655" s="27">
        <f>IF(A655="","",MES!B655)</f>
        <v>0</v>
      </c>
      <c r="D655" s="27">
        <f>IF(A655="","",IFERROR(AVERAGEIFS(Prensa!$B$2:$B$5001,Prensa!$E$2:$E$5001,N655,Prensa!$F$2:$F$5001,1,Prensa!$G$2:$G$5001,1),""))</f>
        <v>0</v>
      </c>
      <c r="E655" s="27">
        <f>IF(A655="","",IFERROR(AVERAGEIFS(Prensa!$B$2:$B$5001,Prensa!$E$2:$E$5001,N655,Prensa!$F$2:$F$5001,2,Prensa!$G$2:$G$5001,1),""))</f>
        <v>0</v>
      </c>
      <c r="F655" s="27">
        <f>IF(A655="","",IFERROR(AVERAGEIFS(Prensa!$B$2:$B$5001,Prensa!$E$2:$E$5001,N655,Prensa!$F$2:$F$5001,3,Prensa!$G$2:$G$5001,1),""))</f>
        <v>0</v>
      </c>
      <c r="G655" s="27">
        <f>IF(A655="","",IFERROR(AVERAGEIFS(Prensa!$B$2:$B$5001,Prensa!$E$2:$E$5001,N655,Prensa!$F$2:$F$5001,4,Prensa!$G$2:$G$5001,1),""))</f>
        <v>0</v>
      </c>
      <c r="H655" s="26">
        <f>IF(A655="","",COUNT(D655:G655))</f>
        <v>0</v>
      </c>
      <c r="I655" s="27">
        <f>IF(A655="","",IF(H655=0,"",AVERAGE(D655:G655)))</f>
        <v>0</v>
      </c>
      <c r="J655" s="27">
        <f>IF(OR(I655="",C655=""),"",I655-C655)</f>
        <v>0</v>
      </c>
      <c r="K655" s="26">
        <f>IF(A655="","",IF(MES!E655&lt;&gt;4,"Horário do MES fora do padrão",IF(H655&lt;cfgMinCortes,"Cortes insuficientes","Válida")))</f>
        <v>0</v>
      </c>
      <c r="L655" s="27">
        <f>IF(K655="Válida",ABS(J655),"")</f>
        <v>0</v>
      </c>
      <c r="M655" s="26">
        <f>IF(K655="Válida",IF(L655&lt;=cfgTolerancia,"Sim","Não"),"")</f>
        <v>0</v>
      </c>
      <c r="N655" s="26">
        <f>IF(A655="","",MES!D655)</f>
        <v>0</v>
      </c>
      <c r="O655" s="25">
        <f>IF(K655="Válida",A655,NA())</f>
        <v>0</v>
      </c>
      <c r="P655" s="27">
        <f>IF(K655="Válida",C655,NA())</f>
        <v>0</v>
      </c>
      <c r="Q655" s="27">
        <f>IF(K655="Válida",I655,NA())</f>
        <v>0</v>
      </c>
      <c r="R655" s="27">
        <f>IF(K655="Válida",J655,NA())</f>
        <v>0</v>
      </c>
      <c r="S655" s="27">
        <f>IF(K655="Válida",C655,"")</f>
        <v>0</v>
      </c>
      <c r="T655" s="27">
        <f>IF(K655="Válida",I655,"")</f>
        <v>0</v>
      </c>
      <c r="U655" s="27">
        <f>IF(K655="Válida",J655,"")</f>
        <v>0</v>
      </c>
    </row>
    <row r="656" spans="1:21">
      <c r="A656" s="25">
        <f>IF(MES!A656="","",MES!C656/48)</f>
        <v>0</v>
      </c>
      <c r="B656" s="26">
        <f>IF(A656="","",TEXT((N656*4+cfgDeslocamento)/48,"hh:mm")&amp;" a "&amp;TEXT(A656,"hh:mm"))</f>
        <v>0</v>
      </c>
      <c r="C656" s="27">
        <f>IF(A656="","",MES!B656)</f>
        <v>0</v>
      </c>
      <c r="D656" s="27">
        <f>IF(A656="","",IFERROR(AVERAGEIFS(Prensa!$B$2:$B$5001,Prensa!$E$2:$E$5001,N656,Prensa!$F$2:$F$5001,1,Prensa!$G$2:$G$5001,1),""))</f>
        <v>0</v>
      </c>
      <c r="E656" s="27">
        <f>IF(A656="","",IFERROR(AVERAGEIFS(Prensa!$B$2:$B$5001,Prensa!$E$2:$E$5001,N656,Prensa!$F$2:$F$5001,2,Prensa!$G$2:$G$5001,1),""))</f>
        <v>0</v>
      </c>
      <c r="F656" s="27">
        <f>IF(A656="","",IFERROR(AVERAGEIFS(Prensa!$B$2:$B$5001,Prensa!$E$2:$E$5001,N656,Prensa!$F$2:$F$5001,3,Prensa!$G$2:$G$5001,1),""))</f>
        <v>0</v>
      </c>
      <c r="G656" s="27">
        <f>IF(A656="","",IFERROR(AVERAGEIFS(Prensa!$B$2:$B$5001,Prensa!$E$2:$E$5001,N656,Prensa!$F$2:$F$5001,4,Prensa!$G$2:$G$5001,1),""))</f>
        <v>0</v>
      </c>
      <c r="H656" s="26">
        <f>IF(A656="","",COUNT(D656:G656))</f>
        <v>0</v>
      </c>
      <c r="I656" s="27">
        <f>IF(A656="","",IF(H656=0,"",AVERAGE(D656:G656)))</f>
        <v>0</v>
      </c>
      <c r="J656" s="27">
        <f>IF(OR(I656="",C656=""),"",I656-C656)</f>
        <v>0</v>
      </c>
      <c r="K656" s="26">
        <f>IF(A656="","",IF(MES!E656&lt;&gt;4,"Horário do MES fora do padrão",IF(H656&lt;cfgMinCortes,"Cortes insuficientes","Válida")))</f>
        <v>0</v>
      </c>
      <c r="L656" s="27">
        <f>IF(K656="Válida",ABS(J656),"")</f>
        <v>0</v>
      </c>
      <c r="M656" s="26">
        <f>IF(K656="Válida",IF(L656&lt;=cfgTolerancia,"Sim","Não"),"")</f>
        <v>0</v>
      </c>
      <c r="N656" s="26">
        <f>IF(A656="","",MES!D656)</f>
        <v>0</v>
      </c>
      <c r="O656" s="25">
        <f>IF(K656="Válida",A656,NA())</f>
        <v>0</v>
      </c>
      <c r="P656" s="27">
        <f>IF(K656="Válida",C656,NA())</f>
        <v>0</v>
      </c>
      <c r="Q656" s="27">
        <f>IF(K656="Válida",I656,NA())</f>
        <v>0</v>
      </c>
      <c r="R656" s="27">
        <f>IF(K656="Válida",J656,NA())</f>
        <v>0</v>
      </c>
      <c r="S656" s="27">
        <f>IF(K656="Válida",C656,"")</f>
        <v>0</v>
      </c>
      <c r="T656" s="27">
        <f>IF(K656="Válida",I656,"")</f>
        <v>0</v>
      </c>
      <c r="U656" s="27">
        <f>IF(K656="Válida",J656,"")</f>
        <v>0</v>
      </c>
    </row>
    <row r="657" spans="1:21">
      <c r="A657" s="25">
        <f>IF(MES!A657="","",MES!C657/48)</f>
        <v>0</v>
      </c>
      <c r="B657" s="26">
        <f>IF(A657="","",TEXT((N657*4+cfgDeslocamento)/48,"hh:mm")&amp;" a "&amp;TEXT(A657,"hh:mm"))</f>
        <v>0</v>
      </c>
      <c r="C657" s="27">
        <f>IF(A657="","",MES!B657)</f>
        <v>0</v>
      </c>
      <c r="D657" s="27">
        <f>IF(A657="","",IFERROR(AVERAGEIFS(Prensa!$B$2:$B$5001,Prensa!$E$2:$E$5001,N657,Prensa!$F$2:$F$5001,1,Prensa!$G$2:$G$5001,1),""))</f>
        <v>0</v>
      </c>
      <c r="E657" s="27">
        <f>IF(A657="","",IFERROR(AVERAGEIFS(Prensa!$B$2:$B$5001,Prensa!$E$2:$E$5001,N657,Prensa!$F$2:$F$5001,2,Prensa!$G$2:$G$5001,1),""))</f>
        <v>0</v>
      </c>
      <c r="F657" s="27">
        <f>IF(A657="","",IFERROR(AVERAGEIFS(Prensa!$B$2:$B$5001,Prensa!$E$2:$E$5001,N657,Prensa!$F$2:$F$5001,3,Prensa!$G$2:$G$5001,1),""))</f>
        <v>0</v>
      </c>
      <c r="G657" s="27">
        <f>IF(A657="","",IFERROR(AVERAGEIFS(Prensa!$B$2:$B$5001,Prensa!$E$2:$E$5001,N657,Prensa!$F$2:$F$5001,4,Prensa!$G$2:$G$5001,1),""))</f>
        <v>0</v>
      </c>
      <c r="H657" s="26">
        <f>IF(A657="","",COUNT(D657:G657))</f>
        <v>0</v>
      </c>
      <c r="I657" s="27">
        <f>IF(A657="","",IF(H657=0,"",AVERAGE(D657:G657)))</f>
        <v>0</v>
      </c>
      <c r="J657" s="27">
        <f>IF(OR(I657="",C657=""),"",I657-C657)</f>
        <v>0</v>
      </c>
      <c r="K657" s="26">
        <f>IF(A657="","",IF(MES!E657&lt;&gt;4,"Horário do MES fora do padrão",IF(H657&lt;cfgMinCortes,"Cortes insuficientes","Válida")))</f>
        <v>0</v>
      </c>
      <c r="L657" s="27">
        <f>IF(K657="Válida",ABS(J657),"")</f>
        <v>0</v>
      </c>
      <c r="M657" s="26">
        <f>IF(K657="Válida",IF(L657&lt;=cfgTolerancia,"Sim","Não"),"")</f>
        <v>0</v>
      </c>
      <c r="N657" s="26">
        <f>IF(A657="","",MES!D657)</f>
        <v>0</v>
      </c>
      <c r="O657" s="25">
        <f>IF(K657="Válida",A657,NA())</f>
        <v>0</v>
      </c>
      <c r="P657" s="27">
        <f>IF(K657="Válida",C657,NA())</f>
        <v>0</v>
      </c>
      <c r="Q657" s="27">
        <f>IF(K657="Válida",I657,NA())</f>
        <v>0</v>
      </c>
      <c r="R657" s="27">
        <f>IF(K657="Válida",J657,NA())</f>
        <v>0</v>
      </c>
      <c r="S657" s="27">
        <f>IF(K657="Válida",C657,"")</f>
        <v>0</v>
      </c>
      <c r="T657" s="27">
        <f>IF(K657="Válida",I657,"")</f>
        <v>0</v>
      </c>
      <c r="U657" s="27">
        <f>IF(K657="Válida",J657,"")</f>
        <v>0</v>
      </c>
    </row>
    <row r="658" spans="1:21">
      <c r="A658" s="25">
        <f>IF(MES!A658="","",MES!C658/48)</f>
        <v>0</v>
      </c>
      <c r="B658" s="26">
        <f>IF(A658="","",TEXT((N658*4+cfgDeslocamento)/48,"hh:mm")&amp;" a "&amp;TEXT(A658,"hh:mm"))</f>
        <v>0</v>
      </c>
      <c r="C658" s="27">
        <f>IF(A658="","",MES!B658)</f>
        <v>0</v>
      </c>
      <c r="D658" s="27">
        <f>IF(A658="","",IFERROR(AVERAGEIFS(Prensa!$B$2:$B$5001,Prensa!$E$2:$E$5001,N658,Prensa!$F$2:$F$5001,1,Prensa!$G$2:$G$5001,1),""))</f>
        <v>0</v>
      </c>
      <c r="E658" s="27">
        <f>IF(A658="","",IFERROR(AVERAGEIFS(Prensa!$B$2:$B$5001,Prensa!$E$2:$E$5001,N658,Prensa!$F$2:$F$5001,2,Prensa!$G$2:$G$5001,1),""))</f>
        <v>0</v>
      </c>
      <c r="F658" s="27">
        <f>IF(A658="","",IFERROR(AVERAGEIFS(Prensa!$B$2:$B$5001,Prensa!$E$2:$E$5001,N658,Prensa!$F$2:$F$5001,3,Prensa!$G$2:$G$5001,1),""))</f>
        <v>0</v>
      </c>
      <c r="G658" s="27">
        <f>IF(A658="","",IFERROR(AVERAGEIFS(Prensa!$B$2:$B$5001,Prensa!$E$2:$E$5001,N658,Prensa!$F$2:$F$5001,4,Prensa!$G$2:$G$5001,1),""))</f>
        <v>0</v>
      </c>
      <c r="H658" s="26">
        <f>IF(A658="","",COUNT(D658:G658))</f>
        <v>0</v>
      </c>
      <c r="I658" s="27">
        <f>IF(A658="","",IF(H658=0,"",AVERAGE(D658:G658)))</f>
        <v>0</v>
      </c>
      <c r="J658" s="27">
        <f>IF(OR(I658="",C658=""),"",I658-C658)</f>
        <v>0</v>
      </c>
      <c r="K658" s="26">
        <f>IF(A658="","",IF(MES!E658&lt;&gt;4,"Horário do MES fora do padrão",IF(H658&lt;cfgMinCortes,"Cortes insuficientes","Válida")))</f>
        <v>0</v>
      </c>
      <c r="L658" s="27">
        <f>IF(K658="Válida",ABS(J658),"")</f>
        <v>0</v>
      </c>
      <c r="M658" s="26">
        <f>IF(K658="Válida",IF(L658&lt;=cfgTolerancia,"Sim","Não"),"")</f>
        <v>0</v>
      </c>
      <c r="N658" s="26">
        <f>IF(A658="","",MES!D658)</f>
        <v>0</v>
      </c>
      <c r="O658" s="25">
        <f>IF(K658="Válida",A658,NA())</f>
        <v>0</v>
      </c>
      <c r="P658" s="27">
        <f>IF(K658="Válida",C658,NA())</f>
        <v>0</v>
      </c>
      <c r="Q658" s="27">
        <f>IF(K658="Válida",I658,NA())</f>
        <v>0</v>
      </c>
      <c r="R658" s="27">
        <f>IF(K658="Válida",J658,NA())</f>
        <v>0</v>
      </c>
      <c r="S658" s="27">
        <f>IF(K658="Válida",C658,"")</f>
        <v>0</v>
      </c>
      <c r="T658" s="27">
        <f>IF(K658="Válida",I658,"")</f>
        <v>0</v>
      </c>
      <c r="U658" s="27">
        <f>IF(K658="Válida",J658,"")</f>
        <v>0</v>
      </c>
    </row>
    <row r="659" spans="1:21">
      <c r="A659" s="25">
        <f>IF(MES!A659="","",MES!C659/48)</f>
        <v>0</v>
      </c>
      <c r="B659" s="26">
        <f>IF(A659="","",TEXT((N659*4+cfgDeslocamento)/48,"hh:mm")&amp;" a "&amp;TEXT(A659,"hh:mm"))</f>
        <v>0</v>
      </c>
      <c r="C659" s="27">
        <f>IF(A659="","",MES!B659)</f>
        <v>0</v>
      </c>
      <c r="D659" s="27">
        <f>IF(A659="","",IFERROR(AVERAGEIFS(Prensa!$B$2:$B$5001,Prensa!$E$2:$E$5001,N659,Prensa!$F$2:$F$5001,1,Prensa!$G$2:$G$5001,1),""))</f>
        <v>0</v>
      </c>
      <c r="E659" s="27">
        <f>IF(A659="","",IFERROR(AVERAGEIFS(Prensa!$B$2:$B$5001,Prensa!$E$2:$E$5001,N659,Prensa!$F$2:$F$5001,2,Prensa!$G$2:$G$5001,1),""))</f>
        <v>0</v>
      </c>
      <c r="F659" s="27">
        <f>IF(A659="","",IFERROR(AVERAGEIFS(Prensa!$B$2:$B$5001,Prensa!$E$2:$E$5001,N659,Prensa!$F$2:$F$5001,3,Prensa!$G$2:$G$5001,1),""))</f>
        <v>0</v>
      </c>
      <c r="G659" s="27">
        <f>IF(A659="","",IFERROR(AVERAGEIFS(Prensa!$B$2:$B$5001,Prensa!$E$2:$E$5001,N659,Prensa!$F$2:$F$5001,4,Prensa!$G$2:$G$5001,1),""))</f>
        <v>0</v>
      </c>
      <c r="H659" s="26">
        <f>IF(A659="","",COUNT(D659:G659))</f>
        <v>0</v>
      </c>
      <c r="I659" s="27">
        <f>IF(A659="","",IF(H659=0,"",AVERAGE(D659:G659)))</f>
        <v>0</v>
      </c>
      <c r="J659" s="27">
        <f>IF(OR(I659="",C659=""),"",I659-C659)</f>
        <v>0</v>
      </c>
      <c r="K659" s="26">
        <f>IF(A659="","",IF(MES!E659&lt;&gt;4,"Horário do MES fora do padrão",IF(H659&lt;cfgMinCortes,"Cortes insuficientes","Válida")))</f>
        <v>0</v>
      </c>
      <c r="L659" s="27">
        <f>IF(K659="Válida",ABS(J659),"")</f>
        <v>0</v>
      </c>
      <c r="M659" s="26">
        <f>IF(K659="Válida",IF(L659&lt;=cfgTolerancia,"Sim","Não"),"")</f>
        <v>0</v>
      </c>
      <c r="N659" s="26">
        <f>IF(A659="","",MES!D659)</f>
        <v>0</v>
      </c>
      <c r="O659" s="25">
        <f>IF(K659="Válida",A659,NA())</f>
        <v>0</v>
      </c>
      <c r="P659" s="27">
        <f>IF(K659="Válida",C659,NA())</f>
        <v>0</v>
      </c>
      <c r="Q659" s="27">
        <f>IF(K659="Válida",I659,NA())</f>
        <v>0</v>
      </c>
      <c r="R659" s="27">
        <f>IF(K659="Válida",J659,NA())</f>
        <v>0</v>
      </c>
      <c r="S659" s="27">
        <f>IF(K659="Válida",C659,"")</f>
        <v>0</v>
      </c>
      <c r="T659" s="27">
        <f>IF(K659="Válida",I659,"")</f>
        <v>0</v>
      </c>
      <c r="U659" s="27">
        <f>IF(K659="Válida",J659,"")</f>
        <v>0</v>
      </c>
    </row>
    <row r="660" spans="1:21">
      <c r="A660" s="25">
        <f>IF(MES!A660="","",MES!C660/48)</f>
        <v>0</v>
      </c>
      <c r="B660" s="26">
        <f>IF(A660="","",TEXT((N660*4+cfgDeslocamento)/48,"hh:mm")&amp;" a "&amp;TEXT(A660,"hh:mm"))</f>
        <v>0</v>
      </c>
      <c r="C660" s="27">
        <f>IF(A660="","",MES!B660)</f>
        <v>0</v>
      </c>
      <c r="D660" s="27">
        <f>IF(A660="","",IFERROR(AVERAGEIFS(Prensa!$B$2:$B$5001,Prensa!$E$2:$E$5001,N660,Prensa!$F$2:$F$5001,1,Prensa!$G$2:$G$5001,1),""))</f>
        <v>0</v>
      </c>
      <c r="E660" s="27">
        <f>IF(A660="","",IFERROR(AVERAGEIFS(Prensa!$B$2:$B$5001,Prensa!$E$2:$E$5001,N660,Prensa!$F$2:$F$5001,2,Prensa!$G$2:$G$5001,1),""))</f>
        <v>0</v>
      </c>
      <c r="F660" s="27">
        <f>IF(A660="","",IFERROR(AVERAGEIFS(Prensa!$B$2:$B$5001,Prensa!$E$2:$E$5001,N660,Prensa!$F$2:$F$5001,3,Prensa!$G$2:$G$5001,1),""))</f>
        <v>0</v>
      </c>
      <c r="G660" s="27">
        <f>IF(A660="","",IFERROR(AVERAGEIFS(Prensa!$B$2:$B$5001,Prensa!$E$2:$E$5001,N660,Prensa!$F$2:$F$5001,4,Prensa!$G$2:$G$5001,1),""))</f>
        <v>0</v>
      </c>
      <c r="H660" s="26">
        <f>IF(A660="","",COUNT(D660:G660))</f>
        <v>0</v>
      </c>
      <c r="I660" s="27">
        <f>IF(A660="","",IF(H660=0,"",AVERAGE(D660:G660)))</f>
        <v>0</v>
      </c>
      <c r="J660" s="27">
        <f>IF(OR(I660="",C660=""),"",I660-C660)</f>
        <v>0</v>
      </c>
      <c r="K660" s="26">
        <f>IF(A660="","",IF(MES!E660&lt;&gt;4,"Horário do MES fora do padrão",IF(H660&lt;cfgMinCortes,"Cortes insuficientes","Válida")))</f>
        <v>0</v>
      </c>
      <c r="L660" s="27">
        <f>IF(K660="Válida",ABS(J660),"")</f>
        <v>0</v>
      </c>
      <c r="M660" s="26">
        <f>IF(K660="Válida",IF(L660&lt;=cfgTolerancia,"Sim","Não"),"")</f>
        <v>0</v>
      </c>
      <c r="N660" s="26">
        <f>IF(A660="","",MES!D660)</f>
        <v>0</v>
      </c>
      <c r="O660" s="25">
        <f>IF(K660="Válida",A660,NA())</f>
        <v>0</v>
      </c>
      <c r="P660" s="27">
        <f>IF(K660="Válida",C660,NA())</f>
        <v>0</v>
      </c>
      <c r="Q660" s="27">
        <f>IF(K660="Válida",I660,NA())</f>
        <v>0</v>
      </c>
      <c r="R660" s="27">
        <f>IF(K660="Válida",J660,NA())</f>
        <v>0</v>
      </c>
      <c r="S660" s="27">
        <f>IF(K660="Válida",C660,"")</f>
        <v>0</v>
      </c>
      <c r="T660" s="27">
        <f>IF(K660="Válida",I660,"")</f>
        <v>0</v>
      </c>
      <c r="U660" s="27">
        <f>IF(K660="Válida",J660,"")</f>
        <v>0</v>
      </c>
    </row>
    <row r="661" spans="1:21">
      <c r="A661" s="25">
        <f>IF(MES!A661="","",MES!C661/48)</f>
        <v>0</v>
      </c>
      <c r="B661" s="26">
        <f>IF(A661="","",TEXT((N661*4+cfgDeslocamento)/48,"hh:mm")&amp;" a "&amp;TEXT(A661,"hh:mm"))</f>
        <v>0</v>
      </c>
      <c r="C661" s="27">
        <f>IF(A661="","",MES!B661)</f>
        <v>0</v>
      </c>
      <c r="D661" s="27">
        <f>IF(A661="","",IFERROR(AVERAGEIFS(Prensa!$B$2:$B$5001,Prensa!$E$2:$E$5001,N661,Prensa!$F$2:$F$5001,1,Prensa!$G$2:$G$5001,1),""))</f>
        <v>0</v>
      </c>
      <c r="E661" s="27">
        <f>IF(A661="","",IFERROR(AVERAGEIFS(Prensa!$B$2:$B$5001,Prensa!$E$2:$E$5001,N661,Prensa!$F$2:$F$5001,2,Prensa!$G$2:$G$5001,1),""))</f>
        <v>0</v>
      </c>
      <c r="F661" s="27">
        <f>IF(A661="","",IFERROR(AVERAGEIFS(Prensa!$B$2:$B$5001,Prensa!$E$2:$E$5001,N661,Prensa!$F$2:$F$5001,3,Prensa!$G$2:$G$5001,1),""))</f>
        <v>0</v>
      </c>
      <c r="G661" s="27">
        <f>IF(A661="","",IFERROR(AVERAGEIFS(Prensa!$B$2:$B$5001,Prensa!$E$2:$E$5001,N661,Prensa!$F$2:$F$5001,4,Prensa!$G$2:$G$5001,1),""))</f>
        <v>0</v>
      </c>
      <c r="H661" s="26">
        <f>IF(A661="","",COUNT(D661:G661))</f>
        <v>0</v>
      </c>
      <c r="I661" s="27">
        <f>IF(A661="","",IF(H661=0,"",AVERAGE(D661:G661)))</f>
        <v>0</v>
      </c>
      <c r="J661" s="27">
        <f>IF(OR(I661="",C661=""),"",I661-C661)</f>
        <v>0</v>
      </c>
      <c r="K661" s="26">
        <f>IF(A661="","",IF(MES!E661&lt;&gt;4,"Horário do MES fora do padrão",IF(H661&lt;cfgMinCortes,"Cortes insuficientes","Válida")))</f>
        <v>0</v>
      </c>
      <c r="L661" s="27">
        <f>IF(K661="Válida",ABS(J661),"")</f>
        <v>0</v>
      </c>
      <c r="M661" s="26">
        <f>IF(K661="Válida",IF(L661&lt;=cfgTolerancia,"Sim","Não"),"")</f>
        <v>0</v>
      </c>
      <c r="N661" s="26">
        <f>IF(A661="","",MES!D661)</f>
        <v>0</v>
      </c>
      <c r="O661" s="25">
        <f>IF(K661="Válida",A661,NA())</f>
        <v>0</v>
      </c>
      <c r="P661" s="27">
        <f>IF(K661="Válida",C661,NA())</f>
        <v>0</v>
      </c>
      <c r="Q661" s="27">
        <f>IF(K661="Válida",I661,NA())</f>
        <v>0</v>
      </c>
      <c r="R661" s="27">
        <f>IF(K661="Válida",J661,NA())</f>
        <v>0</v>
      </c>
      <c r="S661" s="27">
        <f>IF(K661="Válida",C661,"")</f>
        <v>0</v>
      </c>
      <c r="T661" s="27">
        <f>IF(K661="Válida",I661,"")</f>
        <v>0</v>
      </c>
      <c r="U661" s="27">
        <f>IF(K661="Válida",J661,"")</f>
        <v>0</v>
      </c>
    </row>
    <row r="662" spans="1:21">
      <c r="A662" s="25">
        <f>IF(MES!A662="","",MES!C662/48)</f>
        <v>0</v>
      </c>
      <c r="B662" s="26">
        <f>IF(A662="","",TEXT((N662*4+cfgDeslocamento)/48,"hh:mm")&amp;" a "&amp;TEXT(A662,"hh:mm"))</f>
        <v>0</v>
      </c>
      <c r="C662" s="27">
        <f>IF(A662="","",MES!B662)</f>
        <v>0</v>
      </c>
      <c r="D662" s="27">
        <f>IF(A662="","",IFERROR(AVERAGEIFS(Prensa!$B$2:$B$5001,Prensa!$E$2:$E$5001,N662,Prensa!$F$2:$F$5001,1,Prensa!$G$2:$G$5001,1),""))</f>
        <v>0</v>
      </c>
      <c r="E662" s="27">
        <f>IF(A662="","",IFERROR(AVERAGEIFS(Prensa!$B$2:$B$5001,Prensa!$E$2:$E$5001,N662,Prensa!$F$2:$F$5001,2,Prensa!$G$2:$G$5001,1),""))</f>
        <v>0</v>
      </c>
      <c r="F662" s="27">
        <f>IF(A662="","",IFERROR(AVERAGEIFS(Prensa!$B$2:$B$5001,Prensa!$E$2:$E$5001,N662,Prensa!$F$2:$F$5001,3,Prensa!$G$2:$G$5001,1),""))</f>
        <v>0</v>
      </c>
      <c r="G662" s="27">
        <f>IF(A662="","",IFERROR(AVERAGEIFS(Prensa!$B$2:$B$5001,Prensa!$E$2:$E$5001,N662,Prensa!$F$2:$F$5001,4,Prensa!$G$2:$G$5001,1),""))</f>
        <v>0</v>
      </c>
      <c r="H662" s="26">
        <f>IF(A662="","",COUNT(D662:G662))</f>
        <v>0</v>
      </c>
      <c r="I662" s="27">
        <f>IF(A662="","",IF(H662=0,"",AVERAGE(D662:G662)))</f>
        <v>0</v>
      </c>
      <c r="J662" s="27">
        <f>IF(OR(I662="",C662=""),"",I662-C662)</f>
        <v>0</v>
      </c>
      <c r="K662" s="26">
        <f>IF(A662="","",IF(MES!E662&lt;&gt;4,"Horário do MES fora do padrão",IF(H662&lt;cfgMinCortes,"Cortes insuficientes","Válida")))</f>
        <v>0</v>
      </c>
      <c r="L662" s="27">
        <f>IF(K662="Válida",ABS(J662),"")</f>
        <v>0</v>
      </c>
      <c r="M662" s="26">
        <f>IF(K662="Válida",IF(L662&lt;=cfgTolerancia,"Sim","Não"),"")</f>
        <v>0</v>
      </c>
      <c r="N662" s="26">
        <f>IF(A662="","",MES!D662)</f>
        <v>0</v>
      </c>
      <c r="O662" s="25">
        <f>IF(K662="Válida",A662,NA())</f>
        <v>0</v>
      </c>
      <c r="P662" s="27">
        <f>IF(K662="Válida",C662,NA())</f>
        <v>0</v>
      </c>
      <c r="Q662" s="27">
        <f>IF(K662="Válida",I662,NA())</f>
        <v>0</v>
      </c>
      <c r="R662" s="27">
        <f>IF(K662="Válida",J662,NA())</f>
        <v>0</v>
      </c>
      <c r="S662" s="27">
        <f>IF(K662="Válida",C662,"")</f>
        <v>0</v>
      </c>
      <c r="T662" s="27">
        <f>IF(K662="Válida",I662,"")</f>
        <v>0</v>
      </c>
      <c r="U662" s="27">
        <f>IF(K662="Válida",J662,"")</f>
        <v>0</v>
      </c>
    </row>
    <row r="663" spans="1:21">
      <c r="A663" s="25">
        <f>IF(MES!A663="","",MES!C663/48)</f>
        <v>0</v>
      </c>
      <c r="B663" s="26">
        <f>IF(A663="","",TEXT((N663*4+cfgDeslocamento)/48,"hh:mm")&amp;" a "&amp;TEXT(A663,"hh:mm"))</f>
        <v>0</v>
      </c>
      <c r="C663" s="27">
        <f>IF(A663="","",MES!B663)</f>
        <v>0</v>
      </c>
      <c r="D663" s="27">
        <f>IF(A663="","",IFERROR(AVERAGEIFS(Prensa!$B$2:$B$5001,Prensa!$E$2:$E$5001,N663,Prensa!$F$2:$F$5001,1,Prensa!$G$2:$G$5001,1),""))</f>
        <v>0</v>
      </c>
      <c r="E663" s="27">
        <f>IF(A663="","",IFERROR(AVERAGEIFS(Prensa!$B$2:$B$5001,Prensa!$E$2:$E$5001,N663,Prensa!$F$2:$F$5001,2,Prensa!$G$2:$G$5001,1),""))</f>
        <v>0</v>
      </c>
      <c r="F663" s="27">
        <f>IF(A663="","",IFERROR(AVERAGEIFS(Prensa!$B$2:$B$5001,Prensa!$E$2:$E$5001,N663,Prensa!$F$2:$F$5001,3,Prensa!$G$2:$G$5001,1),""))</f>
        <v>0</v>
      </c>
      <c r="G663" s="27">
        <f>IF(A663="","",IFERROR(AVERAGEIFS(Prensa!$B$2:$B$5001,Prensa!$E$2:$E$5001,N663,Prensa!$F$2:$F$5001,4,Prensa!$G$2:$G$5001,1),""))</f>
        <v>0</v>
      </c>
      <c r="H663" s="26">
        <f>IF(A663="","",COUNT(D663:G663))</f>
        <v>0</v>
      </c>
      <c r="I663" s="27">
        <f>IF(A663="","",IF(H663=0,"",AVERAGE(D663:G663)))</f>
        <v>0</v>
      </c>
      <c r="J663" s="27">
        <f>IF(OR(I663="",C663=""),"",I663-C663)</f>
        <v>0</v>
      </c>
      <c r="K663" s="26">
        <f>IF(A663="","",IF(MES!E663&lt;&gt;4,"Horário do MES fora do padrão",IF(H663&lt;cfgMinCortes,"Cortes insuficientes","Válida")))</f>
        <v>0</v>
      </c>
      <c r="L663" s="27">
        <f>IF(K663="Válida",ABS(J663),"")</f>
        <v>0</v>
      </c>
      <c r="M663" s="26">
        <f>IF(K663="Válida",IF(L663&lt;=cfgTolerancia,"Sim","Não"),"")</f>
        <v>0</v>
      </c>
      <c r="N663" s="26">
        <f>IF(A663="","",MES!D663)</f>
        <v>0</v>
      </c>
      <c r="O663" s="25">
        <f>IF(K663="Válida",A663,NA())</f>
        <v>0</v>
      </c>
      <c r="P663" s="27">
        <f>IF(K663="Válida",C663,NA())</f>
        <v>0</v>
      </c>
      <c r="Q663" s="27">
        <f>IF(K663="Válida",I663,NA())</f>
        <v>0</v>
      </c>
      <c r="R663" s="27">
        <f>IF(K663="Válida",J663,NA())</f>
        <v>0</v>
      </c>
      <c r="S663" s="27">
        <f>IF(K663="Válida",C663,"")</f>
        <v>0</v>
      </c>
      <c r="T663" s="27">
        <f>IF(K663="Válida",I663,"")</f>
        <v>0</v>
      </c>
      <c r="U663" s="27">
        <f>IF(K663="Válida",J663,"")</f>
        <v>0</v>
      </c>
    </row>
    <row r="664" spans="1:21">
      <c r="A664" s="25">
        <f>IF(MES!A664="","",MES!C664/48)</f>
        <v>0</v>
      </c>
      <c r="B664" s="26">
        <f>IF(A664="","",TEXT((N664*4+cfgDeslocamento)/48,"hh:mm")&amp;" a "&amp;TEXT(A664,"hh:mm"))</f>
        <v>0</v>
      </c>
      <c r="C664" s="27">
        <f>IF(A664="","",MES!B664)</f>
        <v>0</v>
      </c>
      <c r="D664" s="27">
        <f>IF(A664="","",IFERROR(AVERAGEIFS(Prensa!$B$2:$B$5001,Prensa!$E$2:$E$5001,N664,Prensa!$F$2:$F$5001,1,Prensa!$G$2:$G$5001,1),""))</f>
        <v>0</v>
      </c>
      <c r="E664" s="27">
        <f>IF(A664="","",IFERROR(AVERAGEIFS(Prensa!$B$2:$B$5001,Prensa!$E$2:$E$5001,N664,Prensa!$F$2:$F$5001,2,Prensa!$G$2:$G$5001,1),""))</f>
        <v>0</v>
      </c>
      <c r="F664" s="27">
        <f>IF(A664="","",IFERROR(AVERAGEIFS(Prensa!$B$2:$B$5001,Prensa!$E$2:$E$5001,N664,Prensa!$F$2:$F$5001,3,Prensa!$G$2:$G$5001,1),""))</f>
        <v>0</v>
      </c>
      <c r="G664" s="27">
        <f>IF(A664="","",IFERROR(AVERAGEIFS(Prensa!$B$2:$B$5001,Prensa!$E$2:$E$5001,N664,Prensa!$F$2:$F$5001,4,Prensa!$G$2:$G$5001,1),""))</f>
        <v>0</v>
      </c>
      <c r="H664" s="26">
        <f>IF(A664="","",COUNT(D664:G664))</f>
        <v>0</v>
      </c>
      <c r="I664" s="27">
        <f>IF(A664="","",IF(H664=0,"",AVERAGE(D664:G664)))</f>
        <v>0</v>
      </c>
      <c r="J664" s="27">
        <f>IF(OR(I664="",C664=""),"",I664-C664)</f>
        <v>0</v>
      </c>
      <c r="K664" s="26">
        <f>IF(A664="","",IF(MES!E664&lt;&gt;4,"Horário do MES fora do padrão",IF(H664&lt;cfgMinCortes,"Cortes insuficientes","Válida")))</f>
        <v>0</v>
      </c>
      <c r="L664" s="27">
        <f>IF(K664="Válida",ABS(J664),"")</f>
        <v>0</v>
      </c>
      <c r="M664" s="26">
        <f>IF(K664="Válida",IF(L664&lt;=cfgTolerancia,"Sim","Não"),"")</f>
        <v>0</v>
      </c>
      <c r="N664" s="26">
        <f>IF(A664="","",MES!D664)</f>
        <v>0</v>
      </c>
      <c r="O664" s="25">
        <f>IF(K664="Válida",A664,NA())</f>
        <v>0</v>
      </c>
      <c r="P664" s="27">
        <f>IF(K664="Válida",C664,NA())</f>
        <v>0</v>
      </c>
      <c r="Q664" s="27">
        <f>IF(K664="Válida",I664,NA())</f>
        <v>0</v>
      </c>
      <c r="R664" s="27">
        <f>IF(K664="Válida",J664,NA())</f>
        <v>0</v>
      </c>
      <c r="S664" s="27">
        <f>IF(K664="Válida",C664,"")</f>
        <v>0</v>
      </c>
      <c r="T664" s="27">
        <f>IF(K664="Válida",I664,"")</f>
        <v>0</v>
      </c>
      <c r="U664" s="27">
        <f>IF(K664="Válida",J664,"")</f>
        <v>0</v>
      </c>
    </row>
    <row r="665" spans="1:21">
      <c r="A665" s="25">
        <f>IF(MES!A665="","",MES!C665/48)</f>
        <v>0</v>
      </c>
      <c r="B665" s="26">
        <f>IF(A665="","",TEXT((N665*4+cfgDeslocamento)/48,"hh:mm")&amp;" a "&amp;TEXT(A665,"hh:mm"))</f>
        <v>0</v>
      </c>
      <c r="C665" s="27">
        <f>IF(A665="","",MES!B665)</f>
        <v>0</v>
      </c>
      <c r="D665" s="27">
        <f>IF(A665="","",IFERROR(AVERAGEIFS(Prensa!$B$2:$B$5001,Prensa!$E$2:$E$5001,N665,Prensa!$F$2:$F$5001,1,Prensa!$G$2:$G$5001,1),""))</f>
        <v>0</v>
      </c>
      <c r="E665" s="27">
        <f>IF(A665="","",IFERROR(AVERAGEIFS(Prensa!$B$2:$B$5001,Prensa!$E$2:$E$5001,N665,Prensa!$F$2:$F$5001,2,Prensa!$G$2:$G$5001,1),""))</f>
        <v>0</v>
      </c>
      <c r="F665" s="27">
        <f>IF(A665="","",IFERROR(AVERAGEIFS(Prensa!$B$2:$B$5001,Prensa!$E$2:$E$5001,N665,Prensa!$F$2:$F$5001,3,Prensa!$G$2:$G$5001,1),""))</f>
        <v>0</v>
      </c>
      <c r="G665" s="27">
        <f>IF(A665="","",IFERROR(AVERAGEIFS(Prensa!$B$2:$B$5001,Prensa!$E$2:$E$5001,N665,Prensa!$F$2:$F$5001,4,Prensa!$G$2:$G$5001,1),""))</f>
        <v>0</v>
      </c>
      <c r="H665" s="26">
        <f>IF(A665="","",COUNT(D665:G665))</f>
        <v>0</v>
      </c>
      <c r="I665" s="27">
        <f>IF(A665="","",IF(H665=0,"",AVERAGE(D665:G665)))</f>
        <v>0</v>
      </c>
      <c r="J665" s="27">
        <f>IF(OR(I665="",C665=""),"",I665-C665)</f>
        <v>0</v>
      </c>
      <c r="K665" s="26">
        <f>IF(A665="","",IF(MES!E665&lt;&gt;4,"Horário do MES fora do padrão",IF(H665&lt;cfgMinCortes,"Cortes insuficientes","Válida")))</f>
        <v>0</v>
      </c>
      <c r="L665" s="27">
        <f>IF(K665="Válida",ABS(J665),"")</f>
        <v>0</v>
      </c>
      <c r="M665" s="26">
        <f>IF(K665="Válida",IF(L665&lt;=cfgTolerancia,"Sim","Não"),"")</f>
        <v>0</v>
      </c>
      <c r="N665" s="26">
        <f>IF(A665="","",MES!D665)</f>
        <v>0</v>
      </c>
      <c r="O665" s="25">
        <f>IF(K665="Válida",A665,NA())</f>
        <v>0</v>
      </c>
      <c r="P665" s="27">
        <f>IF(K665="Válida",C665,NA())</f>
        <v>0</v>
      </c>
      <c r="Q665" s="27">
        <f>IF(K665="Válida",I665,NA())</f>
        <v>0</v>
      </c>
      <c r="R665" s="27">
        <f>IF(K665="Válida",J665,NA())</f>
        <v>0</v>
      </c>
      <c r="S665" s="27">
        <f>IF(K665="Válida",C665,"")</f>
        <v>0</v>
      </c>
      <c r="T665" s="27">
        <f>IF(K665="Válida",I665,"")</f>
        <v>0</v>
      </c>
      <c r="U665" s="27">
        <f>IF(K665="Válida",J665,"")</f>
        <v>0</v>
      </c>
    </row>
    <row r="666" spans="1:21">
      <c r="A666" s="25">
        <f>IF(MES!A666="","",MES!C666/48)</f>
        <v>0</v>
      </c>
      <c r="B666" s="26">
        <f>IF(A666="","",TEXT((N666*4+cfgDeslocamento)/48,"hh:mm")&amp;" a "&amp;TEXT(A666,"hh:mm"))</f>
        <v>0</v>
      </c>
      <c r="C666" s="27">
        <f>IF(A666="","",MES!B666)</f>
        <v>0</v>
      </c>
      <c r="D666" s="27">
        <f>IF(A666="","",IFERROR(AVERAGEIFS(Prensa!$B$2:$B$5001,Prensa!$E$2:$E$5001,N666,Prensa!$F$2:$F$5001,1,Prensa!$G$2:$G$5001,1),""))</f>
        <v>0</v>
      </c>
      <c r="E666" s="27">
        <f>IF(A666="","",IFERROR(AVERAGEIFS(Prensa!$B$2:$B$5001,Prensa!$E$2:$E$5001,N666,Prensa!$F$2:$F$5001,2,Prensa!$G$2:$G$5001,1),""))</f>
        <v>0</v>
      </c>
      <c r="F666" s="27">
        <f>IF(A666="","",IFERROR(AVERAGEIFS(Prensa!$B$2:$B$5001,Prensa!$E$2:$E$5001,N666,Prensa!$F$2:$F$5001,3,Prensa!$G$2:$G$5001,1),""))</f>
        <v>0</v>
      </c>
      <c r="G666" s="27">
        <f>IF(A666="","",IFERROR(AVERAGEIFS(Prensa!$B$2:$B$5001,Prensa!$E$2:$E$5001,N666,Prensa!$F$2:$F$5001,4,Prensa!$G$2:$G$5001,1),""))</f>
        <v>0</v>
      </c>
      <c r="H666" s="26">
        <f>IF(A666="","",COUNT(D666:G666))</f>
        <v>0</v>
      </c>
      <c r="I666" s="27">
        <f>IF(A666="","",IF(H666=0,"",AVERAGE(D666:G666)))</f>
        <v>0</v>
      </c>
      <c r="J666" s="27">
        <f>IF(OR(I666="",C666=""),"",I666-C666)</f>
        <v>0</v>
      </c>
      <c r="K666" s="26">
        <f>IF(A666="","",IF(MES!E666&lt;&gt;4,"Horário do MES fora do padrão",IF(H666&lt;cfgMinCortes,"Cortes insuficientes","Válida")))</f>
        <v>0</v>
      </c>
      <c r="L666" s="27">
        <f>IF(K666="Válida",ABS(J666),"")</f>
        <v>0</v>
      </c>
      <c r="M666" s="26">
        <f>IF(K666="Válida",IF(L666&lt;=cfgTolerancia,"Sim","Não"),"")</f>
        <v>0</v>
      </c>
      <c r="N666" s="26">
        <f>IF(A666="","",MES!D666)</f>
        <v>0</v>
      </c>
      <c r="O666" s="25">
        <f>IF(K666="Válida",A666,NA())</f>
        <v>0</v>
      </c>
      <c r="P666" s="27">
        <f>IF(K666="Válida",C666,NA())</f>
        <v>0</v>
      </c>
      <c r="Q666" s="27">
        <f>IF(K666="Válida",I666,NA())</f>
        <v>0</v>
      </c>
      <c r="R666" s="27">
        <f>IF(K666="Válida",J666,NA())</f>
        <v>0</v>
      </c>
      <c r="S666" s="27">
        <f>IF(K666="Válida",C666,"")</f>
        <v>0</v>
      </c>
      <c r="T666" s="27">
        <f>IF(K666="Válida",I666,"")</f>
        <v>0</v>
      </c>
      <c r="U666" s="27">
        <f>IF(K666="Válida",J666,"")</f>
        <v>0</v>
      </c>
    </row>
    <row r="667" spans="1:21">
      <c r="A667" s="25">
        <f>IF(MES!A667="","",MES!C667/48)</f>
        <v>0</v>
      </c>
      <c r="B667" s="26">
        <f>IF(A667="","",TEXT((N667*4+cfgDeslocamento)/48,"hh:mm")&amp;" a "&amp;TEXT(A667,"hh:mm"))</f>
        <v>0</v>
      </c>
      <c r="C667" s="27">
        <f>IF(A667="","",MES!B667)</f>
        <v>0</v>
      </c>
      <c r="D667" s="27">
        <f>IF(A667="","",IFERROR(AVERAGEIFS(Prensa!$B$2:$B$5001,Prensa!$E$2:$E$5001,N667,Prensa!$F$2:$F$5001,1,Prensa!$G$2:$G$5001,1),""))</f>
        <v>0</v>
      </c>
      <c r="E667" s="27">
        <f>IF(A667="","",IFERROR(AVERAGEIFS(Prensa!$B$2:$B$5001,Prensa!$E$2:$E$5001,N667,Prensa!$F$2:$F$5001,2,Prensa!$G$2:$G$5001,1),""))</f>
        <v>0</v>
      </c>
      <c r="F667" s="27">
        <f>IF(A667="","",IFERROR(AVERAGEIFS(Prensa!$B$2:$B$5001,Prensa!$E$2:$E$5001,N667,Prensa!$F$2:$F$5001,3,Prensa!$G$2:$G$5001,1),""))</f>
        <v>0</v>
      </c>
      <c r="G667" s="27">
        <f>IF(A667="","",IFERROR(AVERAGEIFS(Prensa!$B$2:$B$5001,Prensa!$E$2:$E$5001,N667,Prensa!$F$2:$F$5001,4,Prensa!$G$2:$G$5001,1),""))</f>
        <v>0</v>
      </c>
      <c r="H667" s="26">
        <f>IF(A667="","",COUNT(D667:G667))</f>
        <v>0</v>
      </c>
      <c r="I667" s="27">
        <f>IF(A667="","",IF(H667=0,"",AVERAGE(D667:G667)))</f>
        <v>0</v>
      </c>
      <c r="J667" s="27">
        <f>IF(OR(I667="",C667=""),"",I667-C667)</f>
        <v>0</v>
      </c>
      <c r="K667" s="26">
        <f>IF(A667="","",IF(MES!E667&lt;&gt;4,"Horário do MES fora do padrão",IF(H667&lt;cfgMinCortes,"Cortes insuficientes","Válida")))</f>
        <v>0</v>
      </c>
      <c r="L667" s="27">
        <f>IF(K667="Válida",ABS(J667),"")</f>
        <v>0</v>
      </c>
      <c r="M667" s="26">
        <f>IF(K667="Válida",IF(L667&lt;=cfgTolerancia,"Sim","Não"),"")</f>
        <v>0</v>
      </c>
      <c r="N667" s="26">
        <f>IF(A667="","",MES!D667)</f>
        <v>0</v>
      </c>
      <c r="O667" s="25">
        <f>IF(K667="Válida",A667,NA())</f>
        <v>0</v>
      </c>
      <c r="P667" s="27">
        <f>IF(K667="Válida",C667,NA())</f>
        <v>0</v>
      </c>
      <c r="Q667" s="27">
        <f>IF(K667="Válida",I667,NA())</f>
        <v>0</v>
      </c>
      <c r="R667" s="27">
        <f>IF(K667="Válida",J667,NA())</f>
        <v>0</v>
      </c>
      <c r="S667" s="27">
        <f>IF(K667="Válida",C667,"")</f>
        <v>0</v>
      </c>
      <c r="T667" s="27">
        <f>IF(K667="Válida",I667,"")</f>
        <v>0</v>
      </c>
      <c r="U667" s="27">
        <f>IF(K667="Válida",J667,"")</f>
        <v>0</v>
      </c>
    </row>
    <row r="668" spans="1:21">
      <c r="A668" s="25">
        <f>IF(MES!A668="","",MES!C668/48)</f>
        <v>0</v>
      </c>
      <c r="B668" s="26">
        <f>IF(A668="","",TEXT((N668*4+cfgDeslocamento)/48,"hh:mm")&amp;" a "&amp;TEXT(A668,"hh:mm"))</f>
        <v>0</v>
      </c>
      <c r="C668" s="27">
        <f>IF(A668="","",MES!B668)</f>
        <v>0</v>
      </c>
      <c r="D668" s="27">
        <f>IF(A668="","",IFERROR(AVERAGEIFS(Prensa!$B$2:$B$5001,Prensa!$E$2:$E$5001,N668,Prensa!$F$2:$F$5001,1,Prensa!$G$2:$G$5001,1),""))</f>
        <v>0</v>
      </c>
      <c r="E668" s="27">
        <f>IF(A668="","",IFERROR(AVERAGEIFS(Prensa!$B$2:$B$5001,Prensa!$E$2:$E$5001,N668,Prensa!$F$2:$F$5001,2,Prensa!$G$2:$G$5001,1),""))</f>
        <v>0</v>
      </c>
      <c r="F668" s="27">
        <f>IF(A668="","",IFERROR(AVERAGEIFS(Prensa!$B$2:$B$5001,Prensa!$E$2:$E$5001,N668,Prensa!$F$2:$F$5001,3,Prensa!$G$2:$G$5001,1),""))</f>
        <v>0</v>
      </c>
      <c r="G668" s="27">
        <f>IF(A668="","",IFERROR(AVERAGEIFS(Prensa!$B$2:$B$5001,Prensa!$E$2:$E$5001,N668,Prensa!$F$2:$F$5001,4,Prensa!$G$2:$G$5001,1),""))</f>
        <v>0</v>
      </c>
      <c r="H668" s="26">
        <f>IF(A668="","",COUNT(D668:G668))</f>
        <v>0</v>
      </c>
      <c r="I668" s="27">
        <f>IF(A668="","",IF(H668=0,"",AVERAGE(D668:G668)))</f>
        <v>0</v>
      </c>
      <c r="J668" s="27">
        <f>IF(OR(I668="",C668=""),"",I668-C668)</f>
        <v>0</v>
      </c>
      <c r="K668" s="26">
        <f>IF(A668="","",IF(MES!E668&lt;&gt;4,"Horário do MES fora do padrão",IF(H668&lt;cfgMinCortes,"Cortes insuficientes","Válida")))</f>
        <v>0</v>
      </c>
      <c r="L668" s="27">
        <f>IF(K668="Válida",ABS(J668),"")</f>
        <v>0</v>
      </c>
      <c r="M668" s="26">
        <f>IF(K668="Válida",IF(L668&lt;=cfgTolerancia,"Sim","Não"),"")</f>
        <v>0</v>
      </c>
      <c r="N668" s="26">
        <f>IF(A668="","",MES!D668)</f>
        <v>0</v>
      </c>
      <c r="O668" s="25">
        <f>IF(K668="Válida",A668,NA())</f>
        <v>0</v>
      </c>
      <c r="P668" s="27">
        <f>IF(K668="Válida",C668,NA())</f>
        <v>0</v>
      </c>
      <c r="Q668" s="27">
        <f>IF(K668="Válida",I668,NA())</f>
        <v>0</v>
      </c>
      <c r="R668" s="27">
        <f>IF(K668="Válida",J668,NA())</f>
        <v>0</v>
      </c>
      <c r="S668" s="27">
        <f>IF(K668="Válida",C668,"")</f>
        <v>0</v>
      </c>
      <c r="T668" s="27">
        <f>IF(K668="Válida",I668,"")</f>
        <v>0</v>
      </c>
      <c r="U668" s="27">
        <f>IF(K668="Válida",J668,"")</f>
        <v>0</v>
      </c>
    </row>
    <row r="669" spans="1:21">
      <c r="A669" s="25">
        <f>IF(MES!A669="","",MES!C669/48)</f>
        <v>0</v>
      </c>
      <c r="B669" s="26">
        <f>IF(A669="","",TEXT((N669*4+cfgDeslocamento)/48,"hh:mm")&amp;" a "&amp;TEXT(A669,"hh:mm"))</f>
        <v>0</v>
      </c>
      <c r="C669" s="27">
        <f>IF(A669="","",MES!B669)</f>
        <v>0</v>
      </c>
      <c r="D669" s="27">
        <f>IF(A669="","",IFERROR(AVERAGEIFS(Prensa!$B$2:$B$5001,Prensa!$E$2:$E$5001,N669,Prensa!$F$2:$F$5001,1,Prensa!$G$2:$G$5001,1),""))</f>
        <v>0</v>
      </c>
      <c r="E669" s="27">
        <f>IF(A669="","",IFERROR(AVERAGEIFS(Prensa!$B$2:$B$5001,Prensa!$E$2:$E$5001,N669,Prensa!$F$2:$F$5001,2,Prensa!$G$2:$G$5001,1),""))</f>
        <v>0</v>
      </c>
      <c r="F669" s="27">
        <f>IF(A669="","",IFERROR(AVERAGEIFS(Prensa!$B$2:$B$5001,Prensa!$E$2:$E$5001,N669,Prensa!$F$2:$F$5001,3,Prensa!$G$2:$G$5001,1),""))</f>
        <v>0</v>
      </c>
      <c r="G669" s="27">
        <f>IF(A669="","",IFERROR(AVERAGEIFS(Prensa!$B$2:$B$5001,Prensa!$E$2:$E$5001,N669,Prensa!$F$2:$F$5001,4,Prensa!$G$2:$G$5001,1),""))</f>
        <v>0</v>
      </c>
      <c r="H669" s="26">
        <f>IF(A669="","",COUNT(D669:G669))</f>
        <v>0</v>
      </c>
      <c r="I669" s="27">
        <f>IF(A669="","",IF(H669=0,"",AVERAGE(D669:G669)))</f>
        <v>0</v>
      </c>
      <c r="J669" s="27">
        <f>IF(OR(I669="",C669=""),"",I669-C669)</f>
        <v>0</v>
      </c>
      <c r="K669" s="26">
        <f>IF(A669="","",IF(MES!E669&lt;&gt;4,"Horário do MES fora do padrão",IF(H669&lt;cfgMinCortes,"Cortes insuficientes","Válida")))</f>
        <v>0</v>
      </c>
      <c r="L669" s="27">
        <f>IF(K669="Válida",ABS(J669),"")</f>
        <v>0</v>
      </c>
      <c r="M669" s="26">
        <f>IF(K669="Válida",IF(L669&lt;=cfgTolerancia,"Sim","Não"),"")</f>
        <v>0</v>
      </c>
      <c r="N669" s="26">
        <f>IF(A669="","",MES!D669)</f>
        <v>0</v>
      </c>
      <c r="O669" s="25">
        <f>IF(K669="Válida",A669,NA())</f>
        <v>0</v>
      </c>
      <c r="P669" s="27">
        <f>IF(K669="Válida",C669,NA())</f>
        <v>0</v>
      </c>
      <c r="Q669" s="27">
        <f>IF(K669="Válida",I669,NA())</f>
        <v>0</v>
      </c>
      <c r="R669" s="27">
        <f>IF(K669="Válida",J669,NA())</f>
        <v>0</v>
      </c>
      <c r="S669" s="27">
        <f>IF(K669="Válida",C669,"")</f>
        <v>0</v>
      </c>
      <c r="T669" s="27">
        <f>IF(K669="Válida",I669,"")</f>
        <v>0</v>
      </c>
      <c r="U669" s="27">
        <f>IF(K669="Válida",J669,"")</f>
        <v>0</v>
      </c>
    </row>
    <row r="670" spans="1:21">
      <c r="A670" s="25">
        <f>IF(MES!A670="","",MES!C670/48)</f>
        <v>0</v>
      </c>
      <c r="B670" s="26">
        <f>IF(A670="","",TEXT((N670*4+cfgDeslocamento)/48,"hh:mm")&amp;" a "&amp;TEXT(A670,"hh:mm"))</f>
        <v>0</v>
      </c>
      <c r="C670" s="27">
        <f>IF(A670="","",MES!B670)</f>
        <v>0</v>
      </c>
      <c r="D670" s="27">
        <f>IF(A670="","",IFERROR(AVERAGEIFS(Prensa!$B$2:$B$5001,Prensa!$E$2:$E$5001,N670,Prensa!$F$2:$F$5001,1,Prensa!$G$2:$G$5001,1),""))</f>
        <v>0</v>
      </c>
      <c r="E670" s="27">
        <f>IF(A670="","",IFERROR(AVERAGEIFS(Prensa!$B$2:$B$5001,Prensa!$E$2:$E$5001,N670,Prensa!$F$2:$F$5001,2,Prensa!$G$2:$G$5001,1),""))</f>
        <v>0</v>
      </c>
      <c r="F670" s="27">
        <f>IF(A670="","",IFERROR(AVERAGEIFS(Prensa!$B$2:$B$5001,Prensa!$E$2:$E$5001,N670,Prensa!$F$2:$F$5001,3,Prensa!$G$2:$G$5001,1),""))</f>
        <v>0</v>
      </c>
      <c r="G670" s="27">
        <f>IF(A670="","",IFERROR(AVERAGEIFS(Prensa!$B$2:$B$5001,Prensa!$E$2:$E$5001,N670,Prensa!$F$2:$F$5001,4,Prensa!$G$2:$G$5001,1),""))</f>
        <v>0</v>
      </c>
      <c r="H670" s="26">
        <f>IF(A670="","",COUNT(D670:G670))</f>
        <v>0</v>
      </c>
      <c r="I670" s="27">
        <f>IF(A670="","",IF(H670=0,"",AVERAGE(D670:G670)))</f>
        <v>0</v>
      </c>
      <c r="J670" s="27">
        <f>IF(OR(I670="",C670=""),"",I670-C670)</f>
        <v>0</v>
      </c>
      <c r="K670" s="26">
        <f>IF(A670="","",IF(MES!E670&lt;&gt;4,"Horário do MES fora do padrão",IF(H670&lt;cfgMinCortes,"Cortes insuficientes","Válida")))</f>
        <v>0</v>
      </c>
      <c r="L670" s="27">
        <f>IF(K670="Válida",ABS(J670),"")</f>
        <v>0</v>
      </c>
      <c r="M670" s="26">
        <f>IF(K670="Válida",IF(L670&lt;=cfgTolerancia,"Sim","Não"),"")</f>
        <v>0</v>
      </c>
      <c r="N670" s="26">
        <f>IF(A670="","",MES!D670)</f>
        <v>0</v>
      </c>
      <c r="O670" s="25">
        <f>IF(K670="Válida",A670,NA())</f>
        <v>0</v>
      </c>
      <c r="P670" s="27">
        <f>IF(K670="Válida",C670,NA())</f>
        <v>0</v>
      </c>
      <c r="Q670" s="27">
        <f>IF(K670="Válida",I670,NA())</f>
        <v>0</v>
      </c>
      <c r="R670" s="27">
        <f>IF(K670="Válida",J670,NA())</f>
        <v>0</v>
      </c>
      <c r="S670" s="27">
        <f>IF(K670="Válida",C670,"")</f>
        <v>0</v>
      </c>
      <c r="T670" s="27">
        <f>IF(K670="Válida",I670,"")</f>
        <v>0</v>
      </c>
      <c r="U670" s="27">
        <f>IF(K670="Válida",J670,"")</f>
        <v>0</v>
      </c>
    </row>
    <row r="671" spans="1:21">
      <c r="A671" s="25">
        <f>IF(MES!A671="","",MES!C671/48)</f>
        <v>0</v>
      </c>
      <c r="B671" s="26">
        <f>IF(A671="","",TEXT((N671*4+cfgDeslocamento)/48,"hh:mm")&amp;" a "&amp;TEXT(A671,"hh:mm"))</f>
        <v>0</v>
      </c>
      <c r="C671" s="27">
        <f>IF(A671="","",MES!B671)</f>
        <v>0</v>
      </c>
      <c r="D671" s="27">
        <f>IF(A671="","",IFERROR(AVERAGEIFS(Prensa!$B$2:$B$5001,Prensa!$E$2:$E$5001,N671,Prensa!$F$2:$F$5001,1,Prensa!$G$2:$G$5001,1),""))</f>
        <v>0</v>
      </c>
      <c r="E671" s="27">
        <f>IF(A671="","",IFERROR(AVERAGEIFS(Prensa!$B$2:$B$5001,Prensa!$E$2:$E$5001,N671,Prensa!$F$2:$F$5001,2,Prensa!$G$2:$G$5001,1),""))</f>
        <v>0</v>
      </c>
      <c r="F671" s="27">
        <f>IF(A671="","",IFERROR(AVERAGEIFS(Prensa!$B$2:$B$5001,Prensa!$E$2:$E$5001,N671,Prensa!$F$2:$F$5001,3,Prensa!$G$2:$G$5001,1),""))</f>
        <v>0</v>
      </c>
      <c r="G671" s="27">
        <f>IF(A671="","",IFERROR(AVERAGEIFS(Prensa!$B$2:$B$5001,Prensa!$E$2:$E$5001,N671,Prensa!$F$2:$F$5001,4,Prensa!$G$2:$G$5001,1),""))</f>
        <v>0</v>
      </c>
      <c r="H671" s="26">
        <f>IF(A671="","",COUNT(D671:G671))</f>
        <v>0</v>
      </c>
      <c r="I671" s="27">
        <f>IF(A671="","",IF(H671=0,"",AVERAGE(D671:G671)))</f>
        <v>0</v>
      </c>
      <c r="J671" s="27">
        <f>IF(OR(I671="",C671=""),"",I671-C671)</f>
        <v>0</v>
      </c>
      <c r="K671" s="26">
        <f>IF(A671="","",IF(MES!E671&lt;&gt;4,"Horário do MES fora do padrão",IF(H671&lt;cfgMinCortes,"Cortes insuficientes","Válida")))</f>
        <v>0</v>
      </c>
      <c r="L671" s="27">
        <f>IF(K671="Válida",ABS(J671),"")</f>
        <v>0</v>
      </c>
      <c r="M671" s="26">
        <f>IF(K671="Válida",IF(L671&lt;=cfgTolerancia,"Sim","Não"),"")</f>
        <v>0</v>
      </c>
      <c r="N671" s="26">
        <f>IF(A671="","",MES!D671)</f>
        <v>0</v>
      </c>
      <c r="O671" s="25">
        <f>IF(K671="Válida",A671,NA())</f>
        <v>0</v>
      </c>
      <c r="P671" s="27">
        <f>IF(K671="Válida",C671,NA())</f>
        <v>0</v>
      </c>
      <c r="Q671" s="27">
        <f>IF(K671="Válida",I671,NA())</f>
        <v>0</v>
      </c>
      <c r="R671" s="27">
        <f>IF(K671="Válida",J671,NA())</f>
        <v>0</v>
      </c>
      <c r="S671" s="27">
        <f>IF(K671="Válida",C671,"")</f>
        <v>0</v>
      </c>
      <c r="T671" s="27">
        <f>IF(K671="Válida",I671,"")</f>
        <v>0</v>
      </c>
      <c r="U671" s="27">
        <f>IF(K671="Válida",J671,"")</f>
        <v>0</v>
      </c>
    </row>
    <row r="672" spans="1:21">
      <c r="A672" s="25">
        <f>IF(MES!A672="","",MES!C672/48)</f>
        <v>0</v>
      </c>
      <c r="B672" s="26">
        <f>IF(A672="","",TEXT((N672*4+cfgDeslocamento)/48,"hh:mm")&amp;" a "&amp;TEXT(A672,"hh:mm"))</f>
        <v>0</v>
      </c>
      <c r="C672" s="27">
        <f>IF(A672="","",MES!B672)</f>
        <v>0</v>
      </c>
      <c r="D672" s="27">
        <f>IF(A672="","",IFERROR(AVERAGEIFS(Prensa!$B$2:$B$5001,Prensa!$E$2:$E$5001,N672,Prensa!$F$2:$F$5001,1,Prensa!$G$2:$G$5001,1),""))</f>
        <v>0</v>
      </c>
      <c r="E672" s="27">
        <f>IF(A672="","",IFERROR(AVERAGEIFS(Prensa!$B$2:$B$5001,Prensa!$E$2:$E$5001,N672,Prensa!$F$2:$F$5001,2,Prensa!$G$2:$G$5001,1),""))</f>
        <v>0</v>
      </c>
      <c r="F672" s="27">
        <f>IF(A672="","",IFERROR(AVERAGEIFS(Prensa!$B$2:$B$5001,Prensa!$E$2:$E$5001,N672,Prensa!$F$2:$F$5001,3,Prensa!$G$2:$G$5001,1),""))</f>
        <v>0</v>
      </c>
      <c r="G672" s="27">
        <f>IF(A672="","",IFERROR(AVERAGEIFS(Prensa!$B$2:$B$5001,Prensa!$E$2:$E$5001,N672,Prensa!$F$2:$F$5001,4,Prensa!$G$2:$G$5001,1),""))</f>
        <v>0</v>
      </c>
      <c r="H672" s="26">
        <f>IF(A672="","",COUNT(D672:G672))</f>
        <v>0</v>
      </c>
      <c r="I672" s="27">
        <f>IF(A672="","",IF(H672=0,"",AVERAGE(D672:G672)))</f>
        <v>0</v>
      </c>
      <c r="J672" s="27">
        <f>IF(OR(I672="",C672=""),"",I672-C672)</f>
        <v>0</v>
      </c>
      <c r="K672" s="26">
        <f>IF(A672="","",IF(MES!E672&lt;&gt;4,"Horário do MES fora do padrão",IF(H672&lt;cfgMinCortes,"Cortes insuficientes","Válida")))</f>
        <v>0</v>
      </c>
      <c r="L672" s="27">
        <f>IF(K672="Válida",ABS(J672),"")</f>
        <v>0</v>
      </c>
      <c r="M672" s="26">
        <f>IF(K672="Válida",IF(L672&lt;=cfgTolerancia,"Sim","Não"),"")</f>
        <v>0</v>
      </c>
      <c r="N672" s="26">
        <f>IF(A672="","",MES!D672)</f>
        <v>0</v>
      </c>
      <c r="O672" s="25">
        <f>IF(K672="Válida",A672,NA())</f>
        <v>0</v>
      </c>
      <c r="P672" s="27">
        <f>IF(K672="Válida",C672,NA())</f>
        <v>0</v>
      </c>
      <c r="Q672" s="27">
        <f>IF(K672="Válida",I672,NA())</f>
        <v>0</v>
      </c>
      <c r="R672" s="27">
        <f>IF(K672="Válida",J672,NA())</f>
        <v>0</v>
      </c>
      <c r="S672" s="27">
        <f>IF(K672="Válida",C672,"")</f>
        <v>0</v>
      </c>
      <c r="T672" s="27">
        <f>IF(K672="Válida",I672,"")</f>
        <v>0</v>
      </c>
      <c r="U672" s="27">
        <f>IF(K672="Válida",J672,"")</f>
        <v>0</v>
      </c>
    </row>
    <row r="673" spans="1:21">
      <c r="A673" s="25">
        <f>IF(MES!A673="","",MES!C673/48)</f>
        <v>0</v>
      </c>
      <c r="B673" s="26">
        <f>IF(A673="","",TEXT((N673*4+cfgDeslocamento)/48,"hh:mm")&amp;" a "&amp;TEXT(A673,"hh:mm"))</f>
        <v>0</v>
      </c>
      <c r="C673" s="27">
        <f>IF(A673="","",MES!B673)</f>
        <v>0</v>
      </c>
      <c r="D673" s="27">
        <f>IF(A673="","",IFERROR(AVERAGEIFS(Prensa!$B$2:$B$5001,Prensa!$E$2:$E$5001,N673,Prensa!$F$2:$F$5001,1,Prensa!$G$2:$G$5001,1),""))</f>
        <v>0</v>
      </c>
      <c r="E673" s="27">
        <f>IF(A673="","",IFERROR(AVERAGEIFS(Prensa!$B$2:$B$5001,Prensa!$E$2:$E$5001,N673,Prensa!$F$2:$F$5001,2,Prensa!$G$2:$G$5001,1),""))</f>
        <v>0</v>
      </c>
      <c r="F673" s="27">
        <f>IF(A673="","",IFERROR(AVERAGEIFS(Prensa!$B$2:$B$5001,Prensa!$E$2:$E$5001,N673,Prensa!$F$2:$F$5001,3,Prensa!$G$2:$G$5001,1),""))</f>
        <v>0</v>
      </c>
      <c r="G673" s="27">
        <f>IF(A673="","",IFERROR(AVERAGEIFS(Prensa!$B$2:$B$5001,Prensa!$E$2:$E$5001,N673,Prensa!$F$2:$F$5001,4,Prensa!$G$2:$G$5001,1),""))</f>
        <v>0</v>
      </c>
      <c r="H673" s="26">
        <f>IF(A673="","",COUNT(D673:G673))</f>
        <v>0</v>
      </c>
      <c r="I673" s="27">
        <f>IF(A673="","",IF(H673=0,"",AVERAGE(D673:G673)))</f>
        <v>0</v>
      </c>
      <c r="J673" s="27">
        <f>IF(OR(I673="",C673=""),"",I673-C673)</f>
        <v>0</v>
      </c>
      <c r="K673" s="26">
        <f>IF(A673="","",IF(MES!E673&lt;&gt;4,"Horário do MES fora do padrão",IF(H673&lt;cfgMinCortes,"Cortes insuficientes","Válida")))</f>
        <v>0</v>
      </c>
      <c r="L673" s="27">
        <f>IF(K673="Válida",ABS(J673),"")</f>
        <v>0</v>
      </c>
      <c r="M673" s="26">
        <f>IF(K673="Válida",IF(L673&lt;=cfgTolerancia,"Sim","Não"),"")</f>
        <v>0</v>
      </c>
      <c r="N673" s="26">
        <f>IF(A673="","",MES!D673)</f>
        <v>0</v>
      </c>
      <c r="O673" s="25">
        <f>IF(K673="Válida",A673,NA())</f>
        <v>0</v>
      </c>
      <c r="P673" s="27">
        <f>IF(K673="Válida",C673,NA())</f>
        <v>0</v>
      </c>
      <c r="Q673" s="27">
        <f>IF(K673="Válida",I673,NA())</f>
        <v>0</v>
      </c>
      <c r="R673" s="27">
        <f>IF(K673="Válida",J673,NA())</f>
        <v>0</v>
      </c>
      <c r="S673" s="27">
        <f>IF(K673="Válida",C673,"")</f>
        <v>0</v>
      </c>
      <c r="T673" s="27">
        <f>IF(K673="Válida",I673,"")</f>
        <v>0</v>
      </c>
      <c r="U673" s="27">
        <f>IF(K673="Válida",J673,"")</f>
        <v>0</v>
      </c>
    </row>
    <row r="674" spans="1:21">
      <c r="A674" s="25">
        <f>IF(MES!A674="","",MES!C674/48)</f>
        <v>0</v>
      </c>
      <c r="B674" s="26">
        <f>IF(A674="","",TEXT((N674*4+cfgDeslocamento)/48,"hh:mm")&amp;" a "&amp;TEXT(A674,"hh:mm"))</f>
        <v>0</v>
      </c>
      <c r="C674" s="27">
        <f>IF(A674="","",MES!B674)</f>
        <v>0</v>
      </c>
      <c r="D674" s="27">
        <f>IF(A674="","",IFERROR(AVERAGEIFS(Prensa!$B$2:$B$5001,Prensa!$E$2:$E$5001,N674,Prensa!$F$2:$F$5001,1,Prensa!$G$2:$G$5001,1),""))</f>
        <v>0</v>
      </c>
      <c r="E674" s="27">
        <f>IF(A674="","",IFERROR(AVERAGEIFS(Prensa!$B$2:$B$5001,Prensa!$E$2:$E$5001,N674,Prensa!$F$2:$F$5001,2,Prensa!$G$2:$G$5001,1),""))</f>
        <v>0</v>
      </c>
      <c r="F674" s="27">
        <f>IF(A674="","",IFERROR(AVERAGEIFS(Prensa!$B$2:$B$5001,Prensa!$E$2:$E$5001,N674,Prensa!$F$2:$F$5001,3,Prensa!$G$2:$G$5001,1),""))</f>
        <v>0</v>
      </c>
      <c r="G674" s="27">
        <f>IF(A674="","",IFERROR(AVERAGEIFS(Prensa!$B$2:$B$5001,Prensa!$E$2:$E$5001,N674,Prensa!$F$2:$F$5001,4,Prensa!$G$2:$G$5001,1),""))</f>
        <v>0</v>
      </c>
      <c r="H674" s="26">
        <f>IF(A674="","",COUNT(D674:G674))</f>
        <v>0</v>
      </c>
      <c r="I674" s="27">
        <f>IF(A674="","",IF(H674=0,"",AVERAGE(D674:G674)))</f>
        <v>0</v>
      </c>
      <c r="J674" s="27">
        <f>IF(OR(I674="",C674=""),"",I674-C674)</f>
        <v>0</v>
      </c>
      <c r="K674" s="26">
        <f>IF(A674="","",IF(MES!E674&lt;&gt;4,"Horário do MES fora do padrão",IF(H674&lt;cfgMinCortes,"Cortes insuficientes","Válida")))</f>
        <v>0</v>
      </c>
      <c r="L674" s="27">
        <f>IF(K674="Válida",ABS(J674),"")</f>
        <v>0</v>
      </c>
      <c r="M674" s="26">
        <f>IF(K674="Válida",IF(L674&lt;=cfgTolerancia,"Sim","Não"),"")</f>
        <v>0</v>
      </c>
      <c r="N674" s="26">
        <f>IF(A674="","",MES!D674)</f>
        <v>0</v>
      </c>
      <c r="O674" s="25">
        <f>IF(K674="Válida",A674,NA())</f>
        <v>0</v>
      </c>
      <c r="P674" s="27">
        <f>IF(K674="Válida",C674,NA())</f>
        <v>0</v>
      </c>
      <c r="Q674" s="27">
        <f>IF(K674="Válida",I674,NA())</f>
        <v>0</v>
      </c>
      <c r="R674" s="27">
        <f>IF(K674="Válida",J674,NA())</f>
        <v>0</v>
      </c>
      <c r="S674" s="27">
        <f>IF(K674="Válida",C674,"")</f>
        <v>0</v>
      </c>
      <c r="T674" s="27">
        <f>IF(K674="Válida",I674,"")</f>
        <v>0</v>
      </c>
      <c r="U674" s="27">
        <f>IF(K674="Válida",J674,"")</f>
        <v>0</v>
      </c>
    </row>
    <row r="675" spans="1:21">
      <c r="A675" s="25">
        <f>IF(MES!A675="","",MES!C675/48)</f>
        <v>0</v>
      </c>
      <c r="B675" s="26">
        <f>IF(A675="","",TEXT((N675*4+cfgDeslocamento)/48,"hh:mm")&amp;" a "&amp;TEXT(A675,"hh:mm"))</f>
        <v>0</v>
      </c>
      <c r="C675" s="27">
        <f>IF(A675="","",MES!B675)</f>
        <v>0</v>
      </c>
      <c r="D675" s="27">
        <f>IF(A675="","",IFERROR(AVERAGEIFS(Prensa!$B$2:$B$5001,Prensa!$E$2:$E$5001,N675,Prensa!$F$2:$F$5001,1,Prensa!$G$2:$G$5001,1),""))</f>
        <v>0</v>
      </c>
      <c r="E675" s="27">
        <f>IF(A675="","",IFERROR(AVERAGEIFS(Prensa!$B$2:$B$5001,Prensa!$E$2:$E$5001,N675,Prensa!$F$2:$F$5001,2,Prensa!$G$2:$G$5001,1),""))</f>
        <v>0</v>
      </c>
      <c r="F675" s="27">
        <f>IF(A675="","",IFERROR(AVERAGEIFS(Prensa!$B$2:$B$5001,Prensa!$E$2:$E$5001,N675,Prensa!$F$2:$F$5001,3,Prensa!$G$2:$G$5001,1),""))</f>
        <v>0</v>
      </c>
      <c r="G675" s="27">
        <f>IF(A675="","",IFERROR(AVERAGEIFS(Prensa!$B$2:$B$5001,Prensa!$E$2:$E$5001,N675,Prensa!$F$2:$F$5001,4,Prensa!$G$2:$G$5001,1),""))</f>
        <v>0</v>
      </c>
      <c r="H675" s="26">
        <f>IF(A675="","",COUNT(D675:G675))</f>
        <v>0</v>
      </c>
      <c r="I675" s="27">
        <f>IF(A675="","",IF(H675=0,"",AVERAGE(D675:G675)))</f>
        <v>0</v>
      </c>
      <c r="J675" s="27">
        <f>IF(OR(I675="",C675=""),"",I675-C675)</f>
        <v>0</v>
      </c>
      <c r="K675" s="26">
        <f>IF(A675="","",IF(MES!E675&lt;&gt;4,"Horário do MES fora do padrão",IF(H675&lt;cfgMinCortes,"Cortes insuficientes","Válida")))</f>
        <v>0</v>
      </c>
      <c r="L675" s="27">
        <f>IF(K675="Válida",ABS(J675),"")</f>
        <v>0</v>
      </c>
      <c r="M675" s="26">
        <f>IF(K675="Válida",IF(L675&lt;=cfgTolerancia,"Sim","Não"),"")</f>
        <v>0</v>
      </c>
      <c r="N675" s="26">
        <f>IF(A675="","",MES!D675)</f>
        <v>0</v>
      </c>
      <c r="O675" s="25">
        <f>IF(K675="Válida",A675,NA())</f>
        <v>0</v>
      </c>
      <c r="P675" s="27">
        <f>IF(K675="Válida",C675,NA())</f>
        <v>0</v>
      </c>
      <c r="Q675" s="27">
        <f>IF(K675="Válida",I675,NA())</f>
        <v>0</v>
      </c>
      <c r="R675" s="27">
        <f>IF(K675="Válida",J675,NA())</f>
        <v>0</v>
      </c>
      <c r="S675" s="27">
        <f>IF(K675="Válida",C675,"")</f>
        <v>0</v>
      </c>
      <c r="T675" s="27">
        <f>IF(K675="Válida",I675,"")</f>
        <v>0</v>
      </c>
      <c r="U675" s="27">
        <f>IF(K675="Válida",J675,"")</f>
        <v>0</v>
      </c>
    </row>
    <row r="676" spans="1:21">
      <c r="A676" s="25">
        <f>IF(MES!A676="","",MES!C676/48)</f>
        <v>0</v>
      </c>
      <c r="B676" s="26">
        <f>IF(A676="","",TEXT((N676*4+cfgDeslocamento)/48,"hh:mm")&amp;" a "&amp;TEXT(A676,"hh:mm"))</f>
        <v>0</v>
      </c>
      <c r="C676" s="27">
        <f>IF(A676="","",MES!B676)</f>
        <v>0</v>
      </c>
      <c r="D676" s="27">
        <f>IF(A676="","",IFERROR(AVERAGEIFS(Prensa!$B$2:$B$5001,Prensa!$E$2:$E$5001,N676,Prensa!$F$2:$F$5001,1,Prensa!$G$2:$G$5001,1),""))</f>
        <v>0</v>
      </c>
      <c r="E676" s="27">
        <f>IF(A676="","",IFERROR(AVERAGEIFS(Prensa!$B$2:$B$5001,Prensa!$E$2:$E$5001,N676,Prensa!$F$2:$F$5001,2,Prensa!$G$2:$G$5001,1),""))</f>
        <v>0</v>
      </c>
      <c r="F676" s="27">
        <f>IF(A676="","",IFERROR(AVERAGEIFS(Prensa!$B$2:$B$5001,Prensa!$E$2:$E$5001,N676,Prensa!$F$2:$F$5001,3,Prensa!$G$2:$G$5001,1),""))</f>
        <v>0</v>
      </c>
      <c r="G676" s="27">
        <f>IF(A676="","",IFERROR(AVERAGEIFS(Prensa!$B$2:$B$5001,Prensa!$E$2:$E$5001,N676,Prensa!$F$2:$F$5001,4,Prensa!$G$2:$G$5001,1),""))</f>
        <v>0</v>
      </c>
      <c r="H676" s="26">
        <f>IF(A676="","",COUNT(D676:G676))</f>
        <v>0</v>
      </c>
      <c r="I676" s="27">
        <f>IF(A676="","",IF(H676=0,"",AVERAGE(D676:G676)))</f>
        <v>0</v>
      </c>
      <c r="J676" s="27">
        <f>IF(OR(I676="",C676=""),"",I676-C676)</f>
        <v>0</v>
      </c>
      <c r="K676" s="26">
        <f>IF(A676="","",IF(MES!E676&lt;&gt;4,"Horário do MES fora do padrão",IF(H676&lt;cfgMinCortes,"Cortes insuficientes","Válida")))</f>
        <v>0</v>
      </c>
      <c r="L676" s="27">
        <f>IF(K676="Válida",ABS(J676),"")</f>
        <v>0</v>
      </c>
      <c r="M676" s="26">
        <f>IF(K676="Válida",IF(L676&lt;=cfgTolerancia,"Sim","Não"),"")</f>
        <v>0</v>
      </c>
      <c r="N676" s="26">
        <f>IF(A676="","",MES!D676)</f>
        <v>0</v>
      </c>
      <c r="O676" s="25">
        <f>IF(K676="Válida",A676,NA())</f>
        <v>0</v>
      </c>
      <c r="P676" s="27">
        <f>IF(K676="Válida",C676,NA())</f>
        <v>0</v>
      </c>
      <c r="Q676" s="27">
        <f>IF(K676="Válida",I676,NA())</f>
        <v>0</v>
      </c>
      <c r="R676" s="27">
        <f>IF(K676="Válida",J676,NA())</f>
        <v>0</v>
      </c>
      <c r="S676" s="27">
        <f>IF(K676="Válida",C676,"")</f>
        <v>0</v>
      </c>
      <c r="T676" s="27">
        <f>IF(K676="Válida",I676,"")</f>
        <v>0</v>
      </c>
      <c r="U676" s="27">
        <f>IF(K676="Válida",J676,"")</f>
        <v>0</v>
      </c>
    </row>
    <row r="677" spans="1:21">
      <c r="A677" s="25">
        <f>IF(MES!A677="","",MES!C677/48)</f>
        <v>0</v>
      </c>
      <c r="B677" s="26">
        <f>IF(A677="","",TEXT((N677*4+cfgDeslocamento)/48,"hh:mm")&amp;" a "&amp;TEXT(A677,"hh:mm"))</f>
        <v>0</v>
      </c>
      <c r="C677" s="27">
        <f>IF(A677="","",MES!B677)</f>
        <v>0</v>
      </c>
      <c r="D677" s="27">
        <f>IF(A677="","",IFERROR(AVERAGEIFS(Prensa!$B$2:$B$5001,Prensa!$E$2:$E$5001,N677,Prensa!$F$2:$F$5001,1,Prensa!$G$2:$G$5001,1),""))</f>
        <v>0</v>
      </c>
      <c r="E677" s="27">
        <f>IF(A677="","",IFERROR(AVERAGEIFS(Prensa!$B$2:$B$5001,Prensa!$E$2:$E$5001,N677,Prensa!$F$2:$F$5001,2,Prensa!$G$2:$G$5001,1),""))</f>
        <v>0</v>
      </c>
      <c r="F677" s="27">
        <f>IF(A677="","",IFERROR(AVERAGEIFS(Prensa!$B$2:$B$5001,Prensa!$E$2:$E$5001,N677,Prensa!$F$2:$F$5001,3,Prensa!$G$2:$G$5001,1),""))</f>
        <v>0</v>
      </c>
      <c r="G677" s="27">
        <f>IF(A677="","",IFERROR(AVERAGEIFS(Prensa!$B$2:$B$5001,Prensa!$E$2:$E$5001,N677,Prensa!$F$2:$F$5001,4,Prensa!$G$2:$G$5001,1),""))</f>
        <v>0</v>
      </c>
      <c r="H677" s="26">
        <f>IF(A677="","",COUNT(D677:G677))</f>
        <v>0</v>
      </c>
      <c r="I677" s="27">
        <f>IF(A677="","",IF(H677=0,"",AVERAGE(D677:G677)))</f>
        <v>0</v>
      </c>
      <c r="J677" s="27">
        <f>IF(OR(I677="",C677=""),"",I677-C677)</f>
        <v>0</v>
      </c>
      <c r="K677" s="26">
        <f>IF(A677="","",IF(MES!E677&lt;&gt;4,"Horário do MES fora do padrão",IF(H677&lt;cfgMinCortes,"Cortes insuficientes","Válida")))</f>
        <v>0</v>
      </c>
      <c r="L677" s="27">
        <f>IF(K677="Válida",ABS(J677),"")</f>
        <v>0</v>
      </c>
      <c r="M677" s="26">
        <f>IF(K677="Válida",IF(L677&lt;=cfgTolerancia,"Sim","Não"),"")</f>
        <v>0</v>
      </c>
      <c r="N677" s="26">
        <f>IF(A677="","",MES!D677)</f>
        <v>0</v>
      </c>
      <c r="O677" s="25">
        <f>IF(K677="Válida",A677,NA())</f>
        <v>0</v>
      </c>
      <c r="P677" s="27">
        <f>IF(K677="Válida",C677,NA())</f>
        <v>0</v>
      </c>
      <c r="Q677" s="27">
        <f>IF(K677="Válida",I677,NA())</f>
        <v>0</v>
      </c>
      <c r="R677" s="27">
        <f>IF(K677="Válida",J677,NA())</f>
        <v>0</v>
      </c>
      <c r="S677" s="27">
        <f>IF(K677="Válida",C677,"")</f>
        <v>0</v>
      </c>
      <c r="T677" s="27">
        <f>IF(K677="Válida",I677,"")</f>
        <v>0</v>
      </c>
      <c r="U677" s="27">
        <f>IF(K677="Válida",J677,"")</f>
        <v>0</v>
      </c>
    </row>
    <row r="678" spans="1:21">
      <c r="A678" s="25">
        <f>IF(MES!A678="","",MES!C678/48)</f>
        <v>0</v>
      </c>
      <c r="B678" s="26">
        <f>IF(A678="","",TEXT((N678*4+cfgDeslocamento)/48,"hh:mm")&amp;" a "&amp;TEXT(A678,"hh:mm"))</f>
        <v>0</v>
      </c>
      <c r="C678" s="27">
        <f>IF(A678="","",MES!B678)</f>
        <v>0</v>
      </c>
      <c r="D678" s="27">
        <f>IF(A678="","",IFERROR(AVERAGEIFS(Prensa!$B$2:$B$5001,Prensa!$E$2:$E$5001,N678,Prensa!$F$2:$F$5001,1,Prensa!$G$2:$G$5001,1),""))</f>
        <v>0</v>
      </c>
      <c r="E678" s="27">
        <f>IF(A678="","",IFERROR(AVERAGEIFS(Prensa!$B$2:$B$5001,Prensa!$E$2:$E$5001,N678,Prensa!$F$2:$F$5001,2,Prensa!$G$2:$G$5001,1),""))</f>
        <v>0</v>
      </c>
      <c r="F678" s="27">
        <f>IF(A678="","",IFERROR(AVERAGEIFS(Prensa!$B$2:$B$5001,Prensa!$E$2:$E$5001,N678,Prensa!$F$2:$F$5001,3,Prensa!$G$2:$G$5001,1),""))</f>
        <v>0</v>
      </c>
      <c r="G678" s="27">
        <f>IF(A678="","",IFERROR(AVERAGEIFS(Prensa!$B$2:$B$5001,Prensa!$E$2:$E$5001,N678,Prensa!$F$2:$F$5001,4,Prensa!$G$2:$G$5001,1),""))</f>
        <v>0</v>
      </c>
      <c r="H678" s="26">
        <f>IF(A678="","",COUNT(D678:G678))</f>
        <v>0</v>
      </c>
      <c r="I678" s="27">
        <f>IF(A678="","",IF(H678=0,"",AVERAGE(D678:G678)))</f>
        <v>0</v>
      </c>
      <c r="J678" s="27">
        <f>IF(OR(I678="",C678=""),"",I678-C678)</f>
        <v>0</v>
      </c>
      <c r="K678" s="26">
        <f>IF(A678="","",IF(MES!E678&lt;&gt;4,"Horário do MES fora do padrão",IF(H678&lt;cfgMinCortes,"Cortes insuficientes","Válida")))</f>
        <v>0</v>
      </c>
      <c r="L678" s="27">
        <f>IF(K678="Válida",ABS(J678),"")</f>
        <v>0</v>
      </c>
      <c r="M678" s="26">
        <f>IF(K678="Válida",IF(L678&lt;=cfgTolerancia,"Sim","Não"),"")</f>
        <v>0</v>
      </c>
      <c r="N678" s="26">
        <f>IF(A678="","",MES!D678)</f>
        <v>0</v>
      </c>
      <c r="O678" s="25">
        <f>IF(K678="Válida",A678,NA())</f>
        <v>0</v>
      </c>
      <c r="P678" s="27">
        <f>IF(K678="Válida",C678,NA())</f>
        <v>0</v>
      </c>
      <c r="Q678" s="27">
        <f>IF(K678="Válida",I678,NA())</f>
        <v>0</v>
      </c>
      <c r="R678" s="27">
        <f>IF(K678="Válida",J678,NA())</f>
        <v>0</v>
      </c>
      <c r="S678" s="27">
        <f>IF(K678="Válida",C678,"")</f>
        <v>0</v>
      </c>
      <c r="T678" s="27">
        <f>IF(K678="Válida",I678,"")</f>
        <v>0</v>
      </c>
      <c r="U678" s="27">
        <f>IF(K678="Válida",J678,"")</f>
        <v>0</v>
      </c>
    </row>
    <row r="679" spans="1:21">
      <c r="A679" s="25">
        <f>IF(MES!A679="","",MES!C679/48)</f>
        <v>0</v>
      </c>
      <c r="B679" s="26">
        <f>IF(A679="","",TEXT((N679*4+cfgDeslocamento)/48,"hh:mm")&amp;" a "&amp;TEXT(A679,"hh:mm"))</f>
        <v>0</v>
      </c>
      <c r="C679" s="27">
        <f>IF(A679="","",MES!B679)</f>
        <v>0</v>
      </c>
      <c r="D679" s="27">
        <f>IF(A679="","",IFERROR(AVERAGEIFS(Prensa!$B$2:$B$5001,Prensa!$E$2:$E$5001,N679,Prensa!$F$2:$F$5001,1,Prensa!$G$2:$G$5001,1),""))</f>
        <v>0</v>
      </c>
      <c r="E679" s="27">
        <f>IF(A679="","",IFERROR(AVERAGEIFS(Prensa!$B$2:$B$5001,Prensa!$E$2:$E$5001,N679,Prensa!$F$2:$F$5001,2,Prensa!$G$2:$G$5001,1),""))</f>
        <v>0</v>
      </c>
      <c r="F679" s="27">
        <f>IF(A679="","",IFERROR(AVERAGEIFS(Prensa!$B$2:$B$5001,Prensa!$E$2:$E$5001,N679,Prensa!$F$2:$F$5001,3,Prensa!$G$2:$G$5001,1),""))</f>
        <v>0</v>
      </c>
      <c r="G679" s="27">
        <f>IF(A679="","",IFERROR(AVERAGEIFS(Prensa!$B$2:$B$5001,Prensa!$E$2:$E$5001,N679,Prensa!$F$2:$F$5001,4,Prensa!$G$2:$G$5001,1),""))</f>
        <v>0</v>
      </c>
      <c r="H679" s="26">
        <f>IF(A679="","",COUNT(D679:G679))</f>
        <v>0</v>
      </c>
      <c r="I679" s="27">
        <f>IF(A679="","",IF(H679=0,"",AVERAGE(D679:G679)))</f>
        <v>0</v>
      </c>
      <c r="J679" s="27">
        <f>IF(OR(I679="",C679=""),"",I679-C679)</f>
        <v>0</v>
      </c>
      <c r="K679" s="26">
        <f>IF(A679="","",IF(MES!E679&lt;&gt;4,"Horário do MES fora do padrão",IF(H679&lt;cfgMinCortes,"Cortes insuficientes","Válida")))</f>
        <v>0</v>
      </c>
      <c r="L679" s="27">
        <f>IF(K679="Válida",ABS(J679),"")</f>
        <v>0</v>
      </c>
      <c r="M679" s="26">
        <f>IF(K679="Válida",IF(L679&lt;=cfgTolerancia,"Sim","Não"),"")</f>
        <v>0</v>
      </c>
      <c r="N679" s="26">
        <f>IF(A679="","",MES!D679)</f>
        <v>0</v>
      </c>
      <c r="O679" s="25">
        <f>IF(K679="Válida",A679,NA())</f>
        <v>0</v>
      </c>
      <c r="P679" s="27">
        <f>IF(K679="Válida",C679,NA())</f>
        <v>0</v>
      </c>
      <c r="Q679" s="27">
        <f>IF(K679="Válida",I679,NA())</f>
        <v>0</v>
      </c>
      <c r="R679" s="27">
        <f>IF(K679="Válida",J679,NA())</f>
        <v>0</v>
      </c>
      <c r="S679" s="27">
        <f>IF(K679="Válida",C679,"")</f>
        <v>0</v>
      </c>
      <c r="T679" s="27">
        <f>IF(K679="Válida",I679,"")</f>
        <v>0</v>
      </c>
      <c r="U679" s="27">
        <f>IF(K679="Válida",J679,"")</f>
        <v>0</v>
      </c>
    </row>
    <row r="680" spans="1:21">
      <c r="A680" s="25">
        <f>IF(MES!A680="","",MES!C680/48)</f>
        <v>0</v>
      </c>
      <c r="B680" s="26">
        <f>IF(A680="","",TEXT((N680*4+cfgDeslocamento)/48,"hh:mm")&amp;" a "&amp;TEXT(A680,"hh:mm"))</f>
        <v>0</v>
      </c>
      <c r="C680" s="27">
        <f>IF(A680="","",MES!B680)</f>
        <v>0</v>
      </c>
      <c r="D680" s="27">
        <f>IF(A680="","",IFERROR(AVERAGEIFS(Prensa!$B$2:$B$5001,Prensa!$E$2:$E$5001,N680,Prensa!$F$2:$F$5001,1,Prensa!$G$2:$G$5001,1),""))</f>
        <v>0</v>
      </c>
      <c r="E680" s="27">
        <f>IF(A680="","",IFERROR(AVERAGEIFS(Prensa!$B$2:$B$5001,Prensa!$E$2:$E$5001,N680,Prensa!$F$2:$F$5001,2,Prensa!$G$2:$G$5001,1),""))</f>
        <v>0</v>
      </c>
      <c r="F680" s="27">
        <f>IF(A680="","",IFERROR(AVERAGEIFS(Prensa!$B$2:$B$5001,Prensa!$E$2:$E$5001,N680,Prensa!$F$2:$F$5001,3,Prensa!$G$2:$G$5001,1),""))</f>
        <v>0</v>
      </c>
      <c r="G680" s="27">
        <f>IF(A680="","",IFERROR(AVERAGEIFS(Prensa!$B$2:$B$5001,Prensa!$E$2:$E$5001,N680,Prensa!$F$2:$F$5001,4,Prensa!$G$2:$G$5001,1),""))</f>
        <v>0</v>
      </c>
      <c r="H680" s="26">
        <f>IF(A680="","",COUNT(D680:G680))</f>
        <v>0</v>
      </c>
      <c r="I680" s="27">
        <f>IF(A680="","",IF(H680=0,"",AVERAGE(D680:G680)))</f>
        <v>0</v>
      </c>
      <c r="J680" s="27">
        <f>IF(OR(I680="",C680=""),"",I680-C680)</f>
        <v>0</v>
      </c>
      <c r="K680" s="26">
        <f>IF(A680="","",IF(MES!E680&lt;&gt;4,"Horário do MES fora do padrão",IF(H680&lt;cfgMinCortes,"Cortes insuficientes","Válida")))</f>
        <v>0</v>
      </c>
      <c r="L680" s="27">
        <f>IF(K680="Válida",ABS(J680),"")</f>
        <v>0</v>
      </c>
      <c r="M680" s="26">
        <f>IF(K680="Válida",IF(L680&lt;=cfgTolerancia,"Sim","Não"),"")</f>
        <v>0</v>
      </c>
      <c r="N680" s="26">
        <f>IF(A680="","",MES!D680)</f>
        <v>0</v>
      </c>
      <c r="O680" s="25">
        <f>IF(K680="Válida",A680,NA())</f>
        <v>0</v>
      </c>
      <c r="P680" s="27">
        <f>IF(K680="Válida",C680,NA())</f>
        <v>0</v>
      </c>
      <c r="Q680" s="27">
        <f>IF(K680="Válida",I680,NA())</f>
        <v>0</v>
      </c>
      <c r="R680" s="27">
        <f>IF(K680="Válida",J680,NA())</f>
        <v>0</v>
      </c>
      <c r="S680" s="27">
        <f>IF(K680="Válida",C680,"")</f>
        <v>0</v>
      </c>
      <c r="T680" s="27">
        <f>IF(K680="Válida",I680,"")</f>
        <v>0</v>
      </c>
      <c r="U680" s="27">
        <f>IF(K680="Válida",J680,"")</f>
        <v>0</v>
      </c>
    </row>
    <row r="681" spans="1:21">
      <c r="A681" s="25">
        <f>IF(MES!A681="","",MES!C681/48)</f>
        <v>0</v>
      </c>
      <c r="B681" s="26">
        <f>IF(A681="","",TEXT((N681*4+cfgDeslocamento)/48,"hh:mm")&amp;" a "&amp;TEXT(A681,"hh:mm"))</f>
        <v>0</v>
      </c>
      <c r="C681" s="27">
        <f>IF(A681="","",MES!B681)</f>
        <v>0</v>
      </c>
      <c r="D681" s="27">
        <f>IF(A681="","",IFERROR(AVERAGEIFS(Prensa!$B$2:$B$5001,Prensa!$E$2:$E$5001,N681,Prensa!$F$2:$F$5001,1,Prensa!$G$2:$G$5001,1),""))</f>
        <v>0</v>
      </c>
      <c r="E681" s="27">
        <f>IF(A681="","",IFERROR(AVERAGEIFS(Prensa!$B$2:$B$5001,Prensa!$E$2:$E$5001,N681,Prensa!$F$2:$F$5001,2,Prensa!$G$2:$G$5001,1),""))</f>
        <v>0</v>
      </c>
      <c r="F681" s="27">
        <f>IF(A681="","",IFERROR(AVERAGEIFS(Prensa!$B$2:$B$5001,Prensa!$E$2:$E$5001,N681,Prensa!$F$2:$F$5001,3,Prensa!$G$2:$G$5001,1),""))</f>
        <v>0</v>
      </c>
      <c r="G681" s="27">
        <f>IF(A681="","",IFERROR(AVERAGEIFS(Prensa!$B$2:$B$5001,Prensa!$E$2:$E$5001,N681,Prensa!$F$2:$F$5001,4,Prensa!$G$2:$G$5001,1),""))</f>
        <v>0</v>
      </c>
      <c r="H681" s="26">
        <f>IF(A681="","",COUNT(D681:G681))</f>
        <v>0</v>
      </c>
      <c r="I681" s="27">
        <f>IF(A681="","",IF(H681=0,"",AVERAGE(D681:G681)))</f>
        <v>0</v>
      </c>
      <c r="J681" s="27">
        <f>IF(OR(I681="",C681=""),"",I681-C681)</f>
        <v>0</v>
      </c>
      <c r="K681" s="26">
        <f>IF(A681="","",IF(MES!E681&lt;&gt;4,"Horário do MES fora do padrão",IF(H681&lt;cfgMinCortes,"Cortes insuficientes","Válida")))</f>
        <v>0</v>
      </c>
      <c r="L681" s="27">
        <f>IF(K681="Válida",ABS(J681),"")</f>
        <v>0</v>
      </c>
      <c r="M681" s="26">
        <f>IF(K681="Válida",IF(L681&lt;=cfgTolerancia,"Sim","Não"),"")</f>
        <v>0</v>
      </c>
      <c r="N681" s="26">
        <f>IF(A681="","",MES!D681)</f>
        <v>0</v>
      </c>
      <c r="O681" s="25">
        <f>IF(K681="Válida",A681,NA())</f>
        <v>0</v>
      </c>
      <c r="P681" s="27">
        <f>IF(K681="Válida",C681,NA())</f>
        <v>0</v>
      </c>
      <c r="Q681" s="27">
        <f>IF(K681="Válida",I681,NA())</f>
        <v>0</v>
      </c>
      <c r="R681" s="27">
        <f>IF(K681="Válida",J681,NA())</f>
        <v>0</v>
      </c>
      <c r="S681" s="27">
        <f>IF(K681="Válida",C681,"")</f>
        <v>0</v>
      </c>
      <c r="T681" s="27">
        <f>IF(K681="Válida",I681,"")</f>
        <v>0</v>
      </c>
      <c r="U681" s="27">
        <f>IF(K681="Válida",J681,"")</f>
        <v>0</v>
      </c>
    </row>
    <row r="682" spans="1:21">
      <c r="A682" s="25">
        <f>IF(MES!A682="","",MES!C682/48)</f>
        <v>0</v>
      </c>
      <c r="B682" s="26">
        <f>IF(A682="","",TEXT((N682*4+cfgDeslocamento)/48,"hh:mm")&amp;" a "&amp;TEXT(A682,"hh:mm"))</f>
        <v>0</v>
      </c>
      <c r="C682" s="27">
        <f>IF(A682="","",MES!B682)</f>
        <v>0</v>
      </c>
      <c r="D682" s="27">
        <f>IF(A682="","",IFERROR(AVERAGEIFS(Prensa!$B$2:$B$5001,Prensa!$E$2:$E$5001,N682,Prensa!$F$2:$F$5001,1,Prensa!$G$2:$G$5001,1),""))</f>
        <v>0</v>
      </c>
      <c r="E682" s="27">
        <f>IF(A682="","",IFERROR(AVERAGEIFS(Prensa!$B$2:$B$5001,Prensa!$E$2:$E$5001,N682,Prensa!$F$2:$F$5001,2,Prensa!$G$2:$G$5001,1),""))</f>
        <v>0</v>
      </c>
      <c r="F682" s="27">
        <f>IF(A682="","",IFERROR(AVERAGEIFS(Prensa!$B$2:$B$5001,Prensa!$E$2:$E$5001,N682,Prensa!$F$2:$F$5001,3,Prensa!$G$2:$G$5001,1),""))</f>
        <v>0</v>
      </c>
      <c r="G682" s="27">
        <f>IF(A682="","",IFERROR(AVERAGEIFS(Prensa!$B$2:$B$5001,Prensa!$E$2:$E$5001,N682,Prensa!$F$2:$F$5001,4,Prensa!$G$2:$G$5001,1),""))</f>
        <v>0</v>
      </c>
      <c r="H682" s="26">
        <f>IF(A682="","",COUNT(D682:G682))</f>
        <v>0</v>
      </c>
      <c r="I682" s="27">
        <f>IF(A682="","",IF(H682=0,"",AVERAGE(D682:G682)))</f>
        <v>0</v>
      </c>
      <c r="J682" s="27">
        <f>IF(OR(I682="",C682=""),"",I682-C682)</f>
        <v>0</v>
      </c>
      <c r="K682" s="26">
        <f>IF(A682="","",IF(MES!E682&lt;&gt;4,"Horário do MES fora do padrão",IF(H682&lt;cfgMinCortes,"Cortes insuficientes","Válida")))</f>
        <v>0</v>
      </c>
      <c r="L682" s="27">
        <f>IF(K682="Válida",ABS(J682),"")</f>
        <v>0</v>
      </c>
      <c r="M682" s="26">
        <f>IF(K682="Válida",IF(L682&lt;=cfgTolerancia,"Sim","Não"),"")</f>
        <v>0</v>
      </c>
      <c r="N682" s="26">
        <f>IF(A682="","",MES!D682)</f>
        <v>0</v>
      </c>
      <c r="O682" s="25">
        <f>IF(K682="Válida",A682,NA())</f>
        <v>0</v>
      </c>
      <c r="P682" s="27">
        <f>IF(K682="Válida",C682,NA())</f>
        <v>0</v>
      </c>
      <c r="Q682" s="27">
        <f>IF(K682="Válida",I682,NA())</f>
        <v>0</v>
      </c>
      <c r="R682" s="27">
        <f>IF(K682="Válida",J682,NA())</f>
        <v>0</v>
      </c>
      <c r="S682" s="27">
        <f>IF(K682="Válida",C682,"")</f>
        <v>0</v>
      </c>
      <c r="T682" s="27">
        <f>IF(K682="Válida",I682,"")</f>
        <v>0</v>
      </c>
      <c r="U682" s="27">
        <f>IF(K682="Válida",J682,"")</f>
        <v>0</v>
      </c>
    </row>
    <row r="683" spans="1:21">
      <c r="A683" s="25">
        <f>IF(MES!A683="","",MES!C683/48)</f>
        <v>0</v>
      </c>
      <c r="B683" s="26">
        <f>IF(A683="","",TEXT((N683*4+cfgDeslocamento)/48,"hh:mm")&amp;" a "&amp;TEXT(A683,"hh:mm"))</f>
        <v>0</v>
      </c>
      <c r="C683" s="27">
        <f>IF(A683="","",MES!B683)</f>
        <v>0</v>
      </c>
      <c r="D683" s="27">
        <f>IF(A683="","",IFERROR(AVERAGEIFS(Prensa!$B$2:$B$5001,Prensa!$E$2:$E$5001,N683,Prensa!$F$2:$F$5001,1,Prensa!$G$2:$G$5001,1),""))</f>
        <v>0</v>
      </c>
      <c r="E683" s="27">
        <f>IF(A683="","",IFERROR(AVERAGEIFS(Prensa!$B$2:$B$5001,Prensa!$E$2:$E$5001,N683,Prensa!$F$2:$F$5001,2,Prensa!$G$2:$G$5001,1),""))</f>
        <v>0</v>
      </c>
      <c r="F683" s="27">
        <f>IF(A683="","",IFERROR(AVERAGEIFS(Prensa!$B$2:$B$5001,Prensa!$E$2:$E$5001,N683,Prensa!$F$2:$F$5001,3,Prensa!$G$2:$G$5001,1),""))</f>
        <v>0</v>
      </c>
      <c r="G683" s="27">
        <f>IF(A683="","",IFERROR(AVERAGEIFS(Prensa!$B$2:$B$5001,Prensa!$E$2:$E$5001,N683,Prensa!$F$2:$F$5001,4,Prensa!$G$2:$G$5001,1),""))</f>
        <v>0</v>
      </c>
      <c r="H683" s="26">
        <f>IF(A683="","",COUNT(D683:G683))</f>
        <v>0</v>
      </c>
      <c r="I683" s="27">
        <f>IF(A683="","",IF(H683=0,"",AVERAGE(D683:G683)))</f>
        <v>0</v>
      </c>
      <c r="J683" s="27">
        <f>IF(OR(I683="",C683=""),"",I683-C683)</f>
        <v>0</v>
      </c>
      <c r="K683" s="26">
        <f>IF(A683="","",IF(MES!E683&lt;&gt;4,"Horário do MES fora do padrão",IF(H683&lt;cfgMinCortes,"Cortes insuficientes","Válida")))</f>
        <v>0</v>
      </c>
      <c r="L683" s="27">
        <f>IF(K683="Válida",ABS(J683),"")</f>
        <v>0</v>
      </c>
      <c r="M683" s="26">
        <f>IF(K683="Válida",IF(L683&lt;=cfgTolerancia,"Sim","Não"),"")</f>
        <v>0</v>
      </c>
      <c r="N683" s="26">
        <f>IF(A683="","",MES!D683)</f>
        <v>0</v>
      </c>
      <c r="O683" s="25">
        <f>IF(K683="Válida",A683,NA())</f>
        <v>0</v>
      </c>
      <c r="P683" s="27">
        <f>IF(K683="Válida",C683,NA())</f>
        <v>0</v>
      </c>
      <c r="Q683" s="27">
        <f>IF(K683="Válida",I683,NA())</f>
        <v>0</v>
      </c>
      <c r="R683" s="27">
        <f>IF(K683="Válida",J683,NA())</f>
        <v>0</v>
      </c>
      <c r="S683" s="27">
        <f>IF(K683="Válida",C683,"")</f>
        <v>0</v>
      </c>
      <c r="T683" s="27">
        <f>IF(K683="Válida",I683,"")</f>
        <v>0</v>
      </c>
      <c r="U683" s="27">
        <f>IF(K683="Válida",J683,"")</f>
        <v>0</v>
      </c>
    </row>
    <row r="684" spans="1:21">
      <c r="A684" s="25">
        <f>IF(MES!A684="","",MES!C684/48)</f>
        <v>0</v>
      </c>
      <c r="B684" s="26">
        <f>IF(A684="","",TEXT((N684*4+cfgDeslocamento)/48,"hh:mm")&amp;" a "&amp;TEXT(A684,"hh:mm"))</f>
        <v>0</v>
      </c>
      <c r="C684" s="27">
        <f>IF(A684="","",MES!B684)</f>
        <v>0</v>
      </c>
      <c r="D684" s="27">
        <f>IF(A684="","",IFERROR(AVERAGEIFS(Prensa!$B$2:$B$5001,Prensa!$E$2:$E$5001,N684,Prensa!$F$2:$F$5001,1,Prensa!$G$2:$G$5001,1),""))</f>
        <v>0</v>
      </c>
      <c r="E684" s="27">
        <f>IF(A684="","",IFERROR(AVERAGEIFS(Prensa!$B$2:$B$5001,Prensa!$E$2:$E$5001,N684,Prensa!$F$2:$F$5001,2,Prensa!$G$2:$G$5001,1),""))</f>
        <v>0</v>
      </c>
      <c r="F684" s="27">
        <f>IF(A684="","",IFERROR(AVERAGEIFS(Prensa!$B$2:$B$5001,Prensa!$E$2:$E$5001,N684,Prensa!$F$2:$F$5001,3,Prensa!$G$2:$G$5001,1),""))</f>
        <v>0</v>
      </c>
      <c r="G684" s="27">
        <f>IF(A684="","",IFERROR(AVERAGEIFS(Prensa!$B$2:$B$5001,Prensa!$E$2:$E$5001,N684,Prensa!$F$2:$F$5001,4,Prensa!$G$2:$G$5001,1),""))</f>
        <v>0</v>
      </c>
      <c r="H684" s="26">
        <f>IF(A684="","",COUNT(D684:G684))</f>
        <v>0</v>
      </c>
      <c r="I684" s="27">
        <f>IF(A684="","",IF(H684=0,"",AVERAGE(D684:G684)))</f>
        <v>0</v>
      </c>
      <c r="J684" s="27">
        <f>IF(OR(I684="",C684=""),"",I684-C684)</f>
        <v>0</v>
      </c>
      <c r="K684" s="26">
        <f>IF(A684="","",IF(MES!E684&lt;&gt;4,"Horário do MES fora do padrão",IF(H684&lt;cfgMinCortes,"Cortes insuficientes","Válida")))</f>
        <v>0</v>
      </c>
      <c r="L684" s="27">
        <f>IF(K684="Válida",ABS(J684),"")</f>
        <v>0</v>
      </c>
      <c r="M684" s="26">
        <f>IF(K684="Válida",IF(L684&lt;=cfgTolerancia,"Sim","Não"),"")</f>
        <v>0</v>
      </c>
      <c r="N684" s="26">
        <f>IF(A684="","",MES!D684)</f>
        <v>0</v>
      </c>
      <c r="O684" s="25">
        <f>IF(K684="Válida",A684,NA())</f>
        <v>0</v>
      </c>
      <c r="P684" s="27">
        <f>IF(K684="Válida",C684,NA())</f>
        <v>0</v>
      </c>
      <c r="Q684" s="27">
        <f>IF(K684="Válida",I684,NA())</f>
        <v>0</v>
      </c>
      <c r="R684" s="27">
        <f>IF(K684="Válida",J684,NA())</f>
        <v>0</v>
      </c>
      <c r="S684" s="27">
        <f>IF(K684="Válida",C684,"")</f>
        <v>0</v>
      </c>
      <c r="T684" s="27">
        <f>IF(K684="Válida",I684,"")</f>
        <v>0</v>
      </c>
      <c r="U684" s="27">
        <f>IF(K684="Válida",J684,"")</f>
        <v>0</v>
      </c>
    </row>
    <row r="685" spans="1:21">
      <c r="A685" s="25">
        <f>IF(MES!A685="","",MES!C685/48)</f>
        <v>0</v>
      </c>
      <c r="B685" s="26">
        <f>IF(A685="","",TEXT((N685*4+cfgDeslocamento)/48,"hh:mm")&amp;" a "&amp;TEXT(A685,"hh:mm"))</f>
        <v>0</v>
      </c>
      <c r="C685" s="27">
        <f>IF(A685="","",MES!B685)</f>
        <v>0</v>
      </c>
      <c r="D685" s="27">
        <f>IF(A685="","",IFERROR(AVERAGEIFS(Prensa!$B$2:$B$5001,Prensa!$E$2:$E$5001,N685,Prensa!$F$2:$F$5001,1,Prensa!$G$2:$G$5001,1),""))</f>
        <v>0</v>
      </c>
      <c r="E685" s="27">
        <f>IF(A685="","",IFERROR(AVERAGEIFS(Prensa!$B$2:$B$5001,Prensa!$E$2:$E$5001,N685,Prensa!$F$2:$F$5001,2,Prensa!$G$2:$G$5001,1),""))</f>
        <v>0</v>
      </c>
      <c r="F685" s="27">
        <f>IF(A685="","",IFERROR(AVERAGEIFS(Prensa!$B$2:$B$5001,Prensa!$E$2:$E$5001,N685,Prensa!$F$2:$F$5001,3,Prensa!$G$2:$G$5001,1),""))</f>
        <v>0</v>
      </c>
      <c r="G685" s="27">
        <f>IF(A685="","",IFERROR(AVERAGEIFS(Prensa!$B$2:$B$5001,Prensa!$E$2:$E$5001,N685,Prensa!$F$2:$F$5001,4,Prensa!$G$2:$G$5001,1),""))</f>
        <v>0</v>
      </c>
      <c r="H685" s="26">
        <f>IF(A685="","",COUNT(D685:G685))</f>
        <v>0</v>
      </c>
      <c r="I685" s="27">
        <f>IF(A685="","",IF(H685=0,"",AVERAGE(D685:G685)))</f>
        <v>0</v>
      </c>
      <c r="J685" s="27">
        <f>IF(OR(I685="",C685=""),"",I685-C685)</f>
        <v>0</v>
      </c>
      <c r="K685" s="26">
        <f>IF(A685="","",IF(MES!E685&lt;&gt;4,"Horário do MES fora do padrão",IF(H685&lt;cfgMinCortes,"Cortes insuficientes","Válida")))</f>
        <v>0</v>
      </c>
      <c r="L685" s="27">
        <f>IF(K685="Válida",ABS(J685),"")</f>
        <v>0</v>
      </c>
      <c r="M685" s="26">
        <f>IF(K685="Válida",IF(L685&lt;=cfgTolerancia,"Sim","Não"),"")</f>
        <v>0</v>
      </c>
      <c r="N685" s="26">
        <f>IF(A685="","",MES!D685)</f>
        <v>0</v>
      </c>
      <c r="O685" s="25">
        <f>IF(K685="Válida",A685,NA())</f>
        <v>0</v>
      </c>
      <c r="P685" s="27">
        <f>IF(K685="Válida",C685,NA())</f>
        <v>0</v>
      </c>
      <c r="Q685" s="27">
        <f>IF(K685="Válida",I685,NA())</f>
        <v>0</v>
      </c>
      <c r="R685" s="27">
        <f>IF(K685="Válida",J685,NA())</f>
        <v>0</v>
      </c>
      <c r="S685" s="27">
        <f>IF(K685="Válida",C685,"")</f>
        <v>0</v>
      </c>
      <c r="T685" s="27">
        <f>IF(K685="Válida",I685,"")</f>
        <v>0</v>
      </c>
      <c r="U685" s="27">
        <f>IF(K685="Válida",J685,"")</f>
        <v>0</v>
      </c>
    </row>
    <row r="686" spans="1:21">
      <c r="A686" s="25">
        <f>IF(MES!A686="","",MES!C686/48)</f>
        <v>0</v>
      </c>
      <c r="B686" s="26">
        <f>IF(A686="","",TEXT((N686*4+cfgDeslocamento)/48,"hh:mm")&amp;" a "&amp;TEXT(A686,"hh:mm"))</f>
        <v>0</v>
      </c>
      <c r="C686" s="27">
        <f>IF(A686="","",MES!B686)</f>
        <v>0</v>
      </c>
      <c r="D686" s="27">
        <f>IF(A686="","",IFERROR(AVERAGEIFS(Prensa!$B$2:$B$5001,Prensa!$E$2:$E$5001,N686,Prensa!$F$2:$F$5001,1,Prensa!$G$2:$G$5001,1),""))</f>
        <v>0</v>
      </c>
      <c r="E686" s="27">
        <f>IF(A686="","",IFERROR(AVERAGEIFS(Prensa!$B$2:$B$5001,Prensa!$E$2:$E$5001,N686,Prensa!$F$2:$F$5001,2,Prensa!$G$2:$G$5001,1),""))</f>
        <v>0</v>
      </c>
      <c r="F686" s="27">
        <f>IF(A686="","",IFERROR(AVERAGEIFS(Prensa!$B$2:$B$5001,Prensa!$E$2:$E$5001,N686,Prensa!$F$2:$F$5001,3,Prensa!$G$2:$G$5001,1),""))</f>
        <v>0</v>
      </c>
      <c r="G686" s="27">
        <f>IF(A686="","",IFERROR(AVERAGEIFS(Prensa!$B$2:$B$5001,Prensa!$E$2:$E$5001,N686,Prensa!$F$2:$F$5001,4,Prensa!$G$2:$G$5001,1),""))</f>
        <v>0</v>
      </c>
      <c r="H686" s="26">
        <f>IF(A686="","",COUNT(D686:G686))</f>
        <v>0</v>
      </c>
      <c r="I686" s="27">
        <f>IF(A686="","",IF(H686=0,"",AVERAGE(D686:G686)))</f>
        <v>0</v>
      </c>
      <c r="J686" s="27">
        <f>IF(OR(I686="",C686=""),"",I686-C686)</f>
        <v>0</v>
      </c>
      <c r="K686" s="26">
        <f>IF(A686="","",IF(MES!E686&lt;&gt;4,"Horário do MES fora do padrão",IF(H686&lt;cfgMinCortes,"Cortes insuficientes","Válida")))</f>
        <v>0</v>
      </c>
      <c r="L686" s="27">
        <f>IF(K686="Válida",ABS(J686),"")</f>
        <v>0</v>
      </c>
      <c r="M686" s="26">
        <f>IF(K686="Válida",IF(L686&lt;=cfgTolerancia,"Sim","Não"),"")</f>
        <v>0</v>
      </c>
      <c r="N686" s="26">
        <f>IF(A686="","",MES!D686)</f>
        <v>0</v>
      </c>
      <c r="O686" s="25">
        <f>IF(K686="Válida",A686,NA())</f>
        <v>0</v>
      </c>
      <c r="P686" s="27">
        <f>IF(K686="Válida",C686,NA())</f>
        <v>0</v>
      </c>
      <c r="Q686" s="27">
        <f>IF(K686="Válida",I686,NA())</f>
        <v>0</v>
      </c>
      <c r="R686" s="27">
        <f>IF(K686="Válida",J686,NA())</f>
        <v>0</v>
      </c>
      <c r="S686" s="27">
        <f>IF(K686="Válida",C686,"")</f>
        <v>0</v>
      </c>
      <c r="T686" s="27">
        <f>IF(K686="Válida",I686,"")</f>
        <v>0</v>
      </c>
      <c r="U686" s="27">
        <f>IF(K686="Válida",J686,"")</f>
        <v>0</v>
      </c>
    </row>
    <row r="687" spans="1:21">
      <c r="A687" s="25">
        <f>IF(MES!A687="","",MES!C687/48)</f>
        <v>0</v>
      </c>
      <c r="B687" s="26">
        <f>IF(A687="","",TEXT((N687*4+cfgDeslocamento)/48,"hh:mm")&amp;" a "&amp;TEXT(A687,"hh:mm"))</f>
        <v>0</v>
      </c>
      <c r="C687" s="27">
        <f>IF(A687="","",MES!B687)</f>
        <v>0</v>
      </c>
      <c r="D687" s="27">
        <f>IF(A687="","",IFERROR(AVERAGEIFS(Prensa!$B$2:$B$5001,Prensa!$E$2:$E$5001,N687,Prensa!$F$2:$F$5001,1,Prensa!$G$2:$G$5001,1),""))</f>
        <v>0</v>
      </c>
      <c r="E687" s="27">
        <f>IF(A687="","",IFERROR(AVERAGEIFS(Prensa!$B$2:$B$5001,Prensa!$E$2:$E$5001,N687,Prensa!$F$2:$F$5001,2,Prensa!$G$2:$G$5001,1),""))</f>
        <v>0</v>
      </c>
      <c r="F687" s="27">
        <f>IF(A687="","",IFERROR(AVERAGEIFS(Prensa!$B$2:$B$5001,Prensa!$E$2:$E$5001,N687,Prensa!$F$2:$F$5001,3,Prensa!$G$2:$G$5001,1),""))</f>
        <v>0</v>
      </c>
      <c r="G687" s="27">
        <f>IF(A687="","",IFERROR(AVERAGEIFS(Prensa!$B$2:$B$5001,Prensa!$E$2:$E$5001,N687,Prensa!$F$2:$F$5001,4,Prensa!$G$2:$G$5001,1),""))</f>
        <v>0</v>
      </c>
      <c r="H687" s="26">
        <f>IF(A687="","",COUNT(D687:G687))</f>
        <v>0</v>
      </c>
      <c r="I687" s="27">
        <f>IF(A687="","",IF(H687=0,"",AVERAGE(D687:G687)))</f>
        <v>0</v>
      </c>
      <c r="J687" s="27">
        <f>IF(OR(I687="",C687=""),"",I687-C687)</f>
        <v>0</v>
      </c>
      <c r="K687" s="26">
        <f>IF(A687="","",IF(MES!E687&lt;&gt;4,"Horário do MES fora do padrão",IF(H687&lt;cfgMinCortes,"Cortes insuficientes","Válida")))</f>
        <v>0</v>
      </c>
      <c r="L687" s="27">
        <f>IF(K687="Válida",ABS(J687),"")</f>
        <v>0</v>
      </c>
      <c r="M687" s="26">
        <f>IF(K687="Válida",IF(L687&lt;=cfgTolerancia,"Sim","Não"),"")</f>
        <v>0</v>
      </c>
      <c r="N687" s="26">
        <f>IF(A687="","",MES!D687)</f>
        <v>0</v>
      </c>
      <c r="O687" s="25">
        <f>IF(K687="Válida",A687,NA())</f>
        <v>0</v>
      </c>
      <c r="P687" s="27">
        <f>IF(K687="Válida",C687,NA())</f>
        <v>0</v>
      </c>
      <c r="Q687" s="27">
        <f>IF(K687="Válida",I687,NA())</f>
        <v>0</v>
      </c>
      <c r="R687" s="27">
        <f>IF(K687="Válida",J687,NA())</f>
        <v>0</v>
      </c>
      <c r="S687" s="27">
        <f>IF(K687="Válida",C687,"")</f>
        <v>0</v>
      </c>
      <c r="T687" s="27">
        <f>IF(K687="Válida",I687,"")</f>
        <v>0</v>
      </c>
      <c r="U687" s="27">
        <f>IF(K687="Válida",J687,"")</f>
        <v>0</v>
      </c>
    </row>
    <row r="688" spans="1:21">
      <c r="A688" s="25">
        <f>IF(MES!A688="","",MES!C688/48)</f>
        <v>0</v>
      </c>
      <c r="B688" s="26">
        <f>IF(A688="","",TEXT((N688*4+cfgDeslocamento)/48,"hh:mm")&amp;" a "&amp;TEXT(A688,"hh:mm"))</f>
        <v>0</v>
      </c>
      <c r="C688" s="27">
        <f>IF(A688="","",MES!B688)</f>
        <v>0</v>
      </c>
      <c r="D688" s="27">
        <f>IF(A688="","",IFERROR(AVERAGEIFS(Prensa!$B$2:$B$5001,Prensa!$E$2:$E$5001,N688,Prensa!$F$2:$F$5001,1,Prensa!$G$2:$G$5001,1),""))</f>
        <v>0</v>
      </c>
      <c r="E688" s="27">
        <f>IF(A688="","",IFERROR(AVERAGEIFS(Prensa!$B$2:$B$5001,Prensa!$E$2:$E$5001,N688,Prensa!$F$2:$F$5001,2,Prensa!$G$2:$G$5001,1),""))</f>
        <v>0</v>
      </c>
      <c r="F688" s="27">
        <f>IF(A688="","",IFERROR(AVERAGEIFS(Prensa!$B$2:$B$5001,Prensa!$E$2:$E$5001,N688,Prensa!$F$2:$F$5001,3,Prensa!$G$2:$G$5001,1),""))</f>
        <v>0</v>
      </c>
      <c r="G688" s="27">
        <f>IF(A688="","",IFERROR(AVERAGEIFS(Prensa!$B$2:$B$5001,Prensa!$E$2:$E$5001,N688,Prensa!$F$2:$F$5001,4,Prensa!$G$2:$G$5001,1),""))</f>
        <v>0</v>
      </c>
      <c r="H688" s="26">
        <f>IF(A688="","",COUNT(D688:G688))</f>
        <v>0</v>
      </c>
      <c r="I688" s="27">
        <f>IF(A688="","",IF(H688=0,"",AVERAGE(D688:G688)))</f>
        <v>0</v>
      </c>
      <c r="J688" s="27">
        <f>IF(OR(I688="",C688=""),"",I688-C688)</f>
        <v>0</v>
      </c>
      <c r="K688" s="26">
        <f>IF(A688="","",IF(MES!E688&lt;&gt;4,"Horário do MES fora do padrão",IF(H688&lt;cfgMinCortes,"Cortes insuficientes","Válida")))</f>
        <v>0</v>
      </c>
      <c r="L688" s="27">
        <f>IF(K688="Válida",ABS(J688),"")</f>
        <v>0</v>
      </c>
      <c r="M688" s="26">
        <f>IF(K688="Válida",IF(L688&lt;=cfgTolerancia,"Sim","Não"),"")</f>
        <v>0</v>
      </c>
      <c r="N688" s="26">
        <f>IF(A688="","",MES!D688)</f>
        <v>0</v>
      </c>
      <c r="O688" s="25">
        <f>IF(K688="Válida",A688,NA())</f>
        <v>0</v>
      </c>
      <c r="P688" s="27">
        <f>IF(K688="Válida",C688,NA())</f>
        <v>0</v>
      </c>
      <c r="Q688" s="27">
        <f>IF(K688="Válida",I688,NA())</f>
        <v>0</v>
      </c>
      <c r="R688" s="27">
        <f>IF(K688="Válida",J688,NA())</f>
        <v>0</v>
      </c>
      <c r="S688" s="27">
        <f>IF(K688="Válida",C688,"")</f>
        <v>0</v>
      </c>
      <c r="T688" s="27">
        <f>IF(K688="Válida",I688,"")</f>
        <v>0</v>
      </c>
      <c r="U688" s="27">
        <f>IF(K688="Válida",J688,"")</f>
        <v>0</v>
      </c>
    </row>
    <row r="689" spans="1:21">
      <c r="A689" s="25">
        <f>IF(MES!A689="","",MES!C689/48)</f>
        <v>0</v>
      </c>
      <c r="B689" s="26">
        <f>IF(A689="","",TEXT((N689*4+cfgDeslocamento)/48,"hh:mm")&amp;" a "&amp;TEXT(A689,"hh:mm"))</f>
        <v>0</v>
      </c>
      <c r="C689" s="27">
        <f>IF(A689="","",MES!B689)</f>
        <v>0</v>
      </c>
      <c r="D689" s="27">
        <f>IF(A689="","",IFERROR(AVERAGEIFS(Prensa!$B$2:$B$5001,Prensa!$E$2:$E$5001,N689,Prensa!$F$2:$F$5001,1,Prensa!$G$2:$G$5001,1),""))</f>
        <v>0</v>
      </c>
      <c r="E689" s="27">
        <f>IF(A689="","",IFERROR(AVERAGEIFS(Prensa!$B$2:$B$5001,Prensa!$E$2:$E$5001,N689,Prensa!$F$2:$F$5001,2,Prensa!$G$2:$G$5001,1),""))</f>
        <v>0</v>
      </c>
      <c r="F689" s="27">
        <f>IF(A689="","",IFERROR(AVERAGEIFS(Prensa!$B$2:$B$5001,Prensa!$E$2:$E$5001,N689,Prensa!$F$2:$F$5001,3,Prensa!$G$2:$G$5001,1),""))</f>
        <v>0</v>
      </c>
      <c r="G689" s="27">
        <f>IF(A689="","",IFERROR(AVERAGEIFS(Prensa!$B$2:$B$5001,Prensa!$E$2:$E$5001,N689,Prensa!$F$2:$F$5001,4,Prensa!$G$2:$G$5001,1),""))</f>
        <v>0</v>
      </c>
      <c r="H689" s="26">
        <f>IF(A689="","",COUNT(D689:G689))</f>
        <v>0</v>
      </c>
      <c r="I689" s="27">
        <f>IF(A689="","",IF(H689=0,"",AVERAGE(D689:G689)))</f>
        <v>0</v>
      </c>
      <c r="J689" s="27">
        <f>IF(OR(I689="",C689=""),"",I689-C689)</f>
        <v>0</v>
      </c>
      <c r="K689" s="26">
        <f>IF(A689="","",IF(MES!E689&lt;&gt;4,"Horário do MES fora do padrão",IF(H689&lt;cfgMinCortes,"Cortes insuficientes","Válida")))</f>
        <v>0</v>
      </c>
      <c r="L689" s="27">
        <f>IF(K689="Válida",ABS(J689),"")</f>
        <v>0</v>
      </c>
      <c r="M689" s="26">
        <f>IF(K689="Válida",IF(L689&lt;=cfgTolerancia,"Sim","Não"),"")</f>
        <v>0</v>
      </c>
      <c r="N689" s="26">
        <f>IF(A689="","",MES!D689)</f>
        <v>0</v>
      </c>
      <c r="O689" s="25">
        <f>IF(K689="Válida",A689,NA())</f>
        <v>0</v>
      </c>
      <c r="P689" s="27">
        <f>IF(K689="Válida",C689,NA())</f>
        <v>0</v>
      </c>
      <c r="Q689" s="27">
        <f>IF(K689="Válida",I689,NA())</f>
        <v>0</v>
      </c>
      <c r="R689" s="27">
        <f>IF(K689="Válida",J689,NA())</f>
        <v>0</v>
      </c>
      <c r="S689" s="27">
        <f>IF(K689="Válida",C689,"")</f>
        <v>0</v>
      </c>
      <c r="T689" s="27">
        <f>IF(K689="Válida",I689,"")</f>
        <v>0</v>
      </c>
      <c r="U689" s="27">
        <f>IF(K689="Válida",J689,"")</f>
        <v>0</v>
      </c>
    </row>
    <row r="690" spans="1:21">
      <c r="A690" s="25">
        <f>IF(MES!A690="","",MES!C690/48)</f>
        <v>0</v>
      </c>
      <c r="B690" s="26">
        <f>IF(A690="","",TEXT((N690*4+cfgDeslocamento)/48,"hh:mm")&amp;" a "&amp;TEXT(A690,"hh:mm"))</f>
        <v>0</v>
      </c>
      <c r="C690" s="27">
        <f>IF(A690="","",MES!B690)</f>
        <v>0</v>
      </c>
      <c r="D690" s="27">
        <f>IF(A690="","",IFERROR(AVERAGEIFS(Prensa!$B$2:$B$5001,Prensa!$E$2:$E$5001,N690,Prensa!$F$2:$F$5001,1,Prensa!$G$2:$G$5001,1),""))</f>
        <v>0</v>
      </c>
      <c r="E690" s="27">
        <f>IF(A690="","",IFERROR(AVERAGEIFS(Prensa!$B$2:$B$5001,Prensa!$E$2:$E$5001,N690,Prensa!$F$2:$F$5001,2,Prensa!$G$2:$G$5001,1),""))</f>
        <v>0</v>
      </c>
      <c r="F690" s="27">
        <f>IF(A690="","",IFERROR(AVERAGEIFS(Prensa!$B$2:$B$5001,Prensa!$E$2:$E$5001,N690,Prensa!$F$2:$F$5001,3,Prensa!$G$2:$G$5001,1),""))</f>
        <v>0</v>
      </c>
      <c r="G690" s="27">
        <f>IF(A690="","",IFERROR(AVERAGEIFS(Prensa!$B$2:$B$5001,Prensa!$E$2:$E$5001,N690,Prensa!$F$2:$F$5001,4,Prensa!$G$2:$G$5001,1),""))</f>
        <v>0</v>
      </c>
      <c r="H690" s="26">
        <f>IF(A690="","",COUNT(D690:G690))</f>
        <v>0</v>
      </c>
      <c r="I690" s="27">
        <f>IF(A690="","",IF(H690=0,"",AVERAGE(D690:G690)))</f>
        <v>0</v>
      </c>
      <c r="J690" s="27">
        <f>IF(OR(I690="",C690=""),"",I690-C690)</f>
        <v>0</v>
      </c>
      <c r="K690" s="26">
        <f>IF(A690="","",IF(MES!E690&lt;&gt;4,"Horário do MES fora do padrão",IF(H690&lt;cfgMinCortes,"Cortes insuficientes","Válida")))</f>
        <v>0</v>
      </c>
      <c r="L690" s="27">
        <f>IF(K690="Válida",ABS(J690),"")</f>
        <v>0</v>
      </c>
      <c r="M690" s="26">
        <f>IF(K690="Válida",IF(L690&lt;=cfgTolerancia,"Sim","Não"),"")</f>
        <v>0</v>
      </c>
      <c r="N690" s="26">
        <f>IF(A690="","",MES!D690)</f>
        <v>0</v>
      </c>
      <c r="O690" s="25">
        <f>IF(K690="Válida",A690,NA())</f>
        <v>0</v>
      </c>
      <c r="P690" s="27">
        <f>IF(K690="Válida",C690,NA())</f>
        <v>0</v>
      </c>
      <c r="Q690" s="27">
        <f>IF(K690="Válida",I690,NA())</f>
        <v>0</v>
      </c>
      <c r="R690" s="27">
        <f>IF(K690="Válida",J690,NA())</f>
        <v>0</v>
      </c>
      <c r="S690" s="27">
        <f>IF(K690="Válida",C690,"")</f>
        <v>0</v>
      </c>
      <c r="T690" s="27">
        <f>IF(K690="Válida",I690,"")</f>
        <v>0</v>
      </c>
      <c r="U690" s="27">
        <f>IF(K690="Válida",J690,"")</f>
        <v>0</v>
      </c>
    </row>
    <row r="691" spans="1:21">
      <c r="A691" s="25">
        <f>IF(MES!A691="","",MES!C691/48)</f>
        <v>0</v>
      </c>
      <c r="B691" s="26">
        <f>IF(A691="","",TEXT((N691*4+cfgDeslocamento)/48,"hh:mm")&amp;" a "&amp;TEXT(A691,"hh:mm"))</f>
        <v>0</v>
      </c>
      <c r="C691" s="27">
        <f>IF(A691="","",MES!B691)</f>
        <v>0</v>
      </c>
      <c r="D691" s="27">
        <f>IF(A691="","",IFERROR(AVERAGEIFS(Prensa!$B$2:$B$5001,Prensa!$E$2:$E$5001,N691,Prensa!$F$2:$F$5001,1,Prensa!$G$2:$G$5001,1),""))</f>
        <v>0</v>
      </c>
      <c r="E691" s="27">
        <f>IF(A691="","",IFERROR(AVERAGEIFS(Prensa!$B$2:$B$5001,Prensa!$E$2:$E$5001,N691,Prensa!$F$2:$F$5001,2,Prensa!$G$2:$G$5001,1),""))</f>
        <v>0</v>
      </c>
      <c r="F691" s="27">
        <f>IF(A691="","",IFERROR(AVERAGEIFS(Prensa!$B$2:$B$5001,Prensa!$E$2:$E$5001,N691,Prensa!$F$2:$F$5001,3,Prensa!$G$2:$G$5001,1),""))</f>
        <v>0</v>
      </c>
      <c r="G691" s="27">
        <f>IF(A691="","",IFERROR(AVERAGEIFS(Prensa!$B$2:$B$5001,Prensa!$E$2:$E$5001,N691,Prensa!$F$2:$F$5001,4,Prensa!$G$2:$G$5001,1),""))</f>
        <v>0</v>
      </c>
      <c r="H691" s="26">
        <f>IF(A691="","",COUNT(D691:G691))</f>
        <v>0</v>
      </c>
      <c r="I691" s="27">
        <f>IF(A691="","",IF(H691=0,"",AVERAGE(D691:G691)))</f>
        <v>0</v>
      </c>
      <c r="J691" s="27">
        <f>IF(OR(I691="",C691=""),"",I691-C691)</f>
        <v>0</v>
      </c>
      <c r="K691" s="26">
        <f>IF(A691="","",IF(MES!E691&lt;&gt;4,"Horário do MES fora do padrão",IF(H691&lt;cfgMinCortes,"Cortes insuficientes","Válida")))</f>
        <v>0</v>
      </c>
      <c r="L691" s="27">
        <f>IF(K691="Válida",ABS(J691),"")</f>
        <v>0</v>
      </c>
      <c r="M691" s="26">
        <f>IF(K691="Válida",IF(L691&lt;=cfgTolerancia,"Sim","Não"),"")</f>
        <v>0</v>
      </c>
      <c r="N691" s="26">
        <f>IF(A691="","",MES!D691)</f>
        <v>0</v>
      </c>
      <c r="O691" s="25">
        <f>IF(K691="Válida",A691,NA())</f>
        <v>0</v>
      </c>
      <c r="P691" s="27">
        <f>IF(K691="Válida",C691,NA())</f>
        <v>0</v>
      </c>
      <c r="Q691" s="27">
        <f>IF(K691="Válida",I691,NA())</f>
        <v>0</v>
      </c>
      <c r="R691" s="27">
        <f>IF(K691="Válida",J691,NA())</f>
        <v>0</v>
      </c>
      <c r="S691" s="27">
        <f>IF(K691="Válida",C691,"")</f>
        <v>0</v>
      </c>
      <c r="T691" s="27">
        <f>IF(K691="Válida",I691,"")</f>
        <v>0</v>
      </c>
      <c r="U691" s="27">
        <f>IF(K691="Válida",J691,"")</f>
        <v>0</v>
      </c>
    </row>
    <row r="692" spans="1:21">
      <c r="A692" s="25">
        <f>IF(MES!A692="","",MES!C692/48)</f>
        <v>0</v>
      </c>
      <c r="B692" s="26">
        <f>IF(A692="","",TEXT((N692*4+cfgDeslocamento)/48,"hh:mm")&amp;" a "&amp;TEXT(A692,"hh:mm"))</f>
        <v>0</v>
      </c>
      <c r="C692" s="27">
        <f>IF(A692="","",MES!B692)</f>
        <v>0</v>
      </c>
      <c r="D692" s="27">
        <f>IF(A692="","",IFERROR(AVERAGEIFS(Prensa!$B$2:$B$5001,Prensa!$E$2:$E$5001,N692,Prensa!$F$2:$F$5001,1,Prensa!$G$2:$G$5001,1),""))</f>
        <v>0</v>
      </c>
      <c r="E692" s="27">
        <f>IF(A692="","",IFERROR(AVERAGEIFS(Prensa!$B$2:$B$5001,Prensa!$E$2:$E$5001,N692,Prensa!$F$2:$F$5001,2,Prensa!$G$2:$G$5001,1),""))</f>
        <v>0</v>
      </c>
      <c r="F692" s="27">
        <f>IF(A692="","",IFERROR(AVERAGEIFS(Prensa!$B$2:$B$5001,Prensa!$E$2:$E$5001,N692,Prensa!$F$2:$F$5001,3,Prensa!$G$2:$G$5001,1),""))</f>
        <v>0</v>
      </c>
      <c r="G692" s="27">
        <f>IF(A692="","",IFERROR(AVERAGEIFS(Prensa!$B$2:$B$5001,Prensa!$E$2:$E$5001,N692,Prensa!$F$2:$F$5001,4,Prensa!$G$2:$G$5001,1),""))</f>
        <v>0</v>
      </c>
      <c r="H692" s="26">
        <f>IF(A692="","",COUNT(D692:G692))</f>
        <v>0</v>
      </c>
      <c r="I692" s="27">
        <f>IF(A692="","",IF(H692=0,"",AVERAGE(D692:G692)))</f>
        <v>0</v>
      </c>
      <c r="J692" s="27">
        <f>IF(OR(I692="",C692=""),"",I692-C692)</f>
        <v>0</v>
      </c>
      <c r="K692" s="26">
        <f>IF(A692="","",IF(MES!E692&lt;&gt;4,"Horário do MES fora do padrão",IF(H692&lt;cfgMinCortes,"Cortes insuficientes","Válida")))</f>
        <v>0</v>
      </c>
      <c r="L692" s="27">
        <f>IF(K692="Válida",ABS(J692),"")</f>
        <v>0</v>
      </c>
      <c r="M692" s="26">
        <f>IF(K692="Válida",IF(L692&lt;=cfgTolerancia,"Sim","Não"),"")</f>
        <v>0</v>
      </c>
      <c r="N692" s="26">
        <f>IF(A692="","",MES!D692)</f>
        <v>0</v>
      </c>
      <c r="O692" s="25">
        <f>IF(K692="Válida",A692,NA())</f>
        <v>0</v>
      </c>
      <c r="P692" s="27">
        <f>IF(K692="Válida",C692,NA())</f>
        <v>0</v>
      </c>
      <c r="Q692" s="27">
        <f>IF(K692="Válida",I692,NA())</f>
        <v>0</v>
      </c>
      <c r="R692" s="27">
        <f>IF(K692="Válida",J692,NA())</f>
        <v>0</v>
      </c>
      <c r="S692" s="27">
        <f>IF(K692="Válida",C692,"")</f>
        <v>0</v>
      </c>
      <c r="T692" s="27">
        <f>IF(K692="Válida",I692,"")</f>
        <v>0</v>
      </c>
      <c r="U692" s="27">
        <f>IF(K692="Válida",J692,"")</f>
        <v>0</v>
      </c>
    </row>
    <row r="693" spans="1:21">
      <c r="A693" s="25">
        <f>IF(MES!A693="","",MES!C693/48)</f>
        <v>0</v>
      </c>
      <c r="B693" s="26">
        <f>IF(A693="","",TEXT((N693*4+cfgDeslocamento)/48,"hh:mm")&amp;" a "&amp;TEXT(A693,"hh:mm"))</f>
        <v>0</v>
      </c>
      <c r="C693" s="27">
        <f>IF(A693="","",MES!B693)</f>
        <v>0</v>
      </c>
      <c r="D693" s="27">
        <f>IF(A693="","",IFERROR(AVERAGEIFS(Prensa!$B$2:$B$5001,Prensa!$E$2:$E$5001,N693,Prensa!$F$2:$F$5001,1,Prensa!$G$2:$G$5001,1),""))</f>
        <v>0</v>
      </c>
      <c r="E693" s="27">
        <f>IF(A693="","",IFERROR(AVERAGEIFS(Prensa!$B$2:$B$5001,Prensa!$E$2:$E$5001,N693,Prensa!$F$2:$F$5001,2,Prensa!$G$2:$G$5001,1),""))</f>
        <v>0</v>
      </c>
      <c r="F693" s="27">
        <f>IF(A693="","",IFERROR(AVERAGEIFS(Prensa!$B$2:$B$5001,Prensa!$E$2:$E$5001,N693,Prensa!$F$2:$F$5001,3,Prensa!$G$2:$G$5001,1),""))</f>
        <v>0</v>
      </c>
      <c r="G693" s="27">
        <f>IF(A693="","",IFERROR(AVERAGEIFS(Prensa!$B$2:$B$5001,Prensa!$E$2:$E$5001,N693,Prensa!$F$2:$F$5001,4,Prensa!$G$2:$G$5001,1),""))</f>
        <v>0</v>
      </c>
      <c r="H693" s="26">
        <f>IF(A693="","",COUNT(D693:G693))</f>
        <v>0</v>
      </c>
      <c r="I693" s="27">
        <f>IF(A693="","",IF(H693=0,"",AVERAGE(D693:G693)))</f>
        <v>0</v>
      </c>
      <c r="J693" s="27">
        <f>IF(OR(I693="",C693=""),"",I693-C693)</f>
        <v>0</v>
      </c>
      <c r="K693" s="26">
        <f>IF(A693="","",IF(MES!E693&lt;&gt;4,"Horário do MES fora do padrão",IF(H693&lt;cfgMinCortes,"Cortes insuficientes","Válida")))</f>
        <v>0</v>
      </c>
      <c r="L693" s="27">
        <f>IF(K693="Válida",ABS(J693),"")</f>
        <v>0</v>
      </c>
      <c r="M693" s="26">
        <f>IF(K693="Válida",IF(L693&lt;=cfgTolerancia,"Sim","Não"),"")</f>
        <v>0</v>
      </c>
      <c r="N693" s="26">
        <f>IF(A693="","",MES!D693)</f>
        <v>0</v>
      </c>
      <c r="O693" s="25">
        <f>IF(K693="Válida",A693,NA())</f>
        <v>0</v>
      </c>
      <c r="P693" s="27">
        <f>IF(K693="Válida",C693,NA())</f>
        <v>0</v>
      </c>
      <c r="Q693" s="27">
        <f>IF(K693="Válida",I693,NA())</f>
        <v>0</v>
      </c>
      <c r="R693" s="27">
        <f>IF(K693="Válida",J693,NA())</f>
        <v>0</v>
      </c>
      <c r="S693" s="27">
        <f>IF(K693="Válida",C693,"")</f>
        <v>0</v>
      </c>
      <c r="T693" s="27">
        <f>IF(K693="Válida",I693,"")</f>
        <v>0</v>
      </c>
      <c r="U693" s="27">
        <f>IF(K693="Válida",J693,"")</f>
        <v>0</v>
      </c>
    </row>
    <row r="694" spans="1:21">
      <c r="A694" s="25">
        <f>IF(MES!A694="","",MES!C694/48)</f>
        <v>0</v>
      </c>
      <c r="B694" s="26">
        <f>IF(A694="","",TEXT((N694*4+cfgDeslocamento)/48,"hh:mm")&amp;" a "&amp;TEXT(A694,"hh:mm"))</f>
        <v>0</v>
      </c>
      <c r="C694" s="27">
        <f>IF(A694="","",MES!B694)</f>
        <v>0</v>
      </c>
      <c r="D694" s="27">
        <f>IF(A694="","",IFERROR(AVERAGEIFS(Prensa!$B$2:$B$5001,Prensa!$E$2:$E$5001,N694,Prensa!$F$2:$F$5001,1,Prensa!$G$2:$G$5001,1),""))</f>
        <v>0</v>
      </c>
      <c r="E694" s="27">
        <f>IF(A694="","",IFERROR(AVERAGEIFS(Prensa!$B$2:$B$5001,Prensa!$E$2:$E$5001,N694,Prensa!$F$2:$F$5001,2,Prensa!$G$2:$G$5001,1),""))</f>
        <v>0</v>
      </c>
      <c r="F694" s="27">
        <f>IF(A694="","",IFERROR(AVERAGEIFS(Prensa!$B$2:$B$5001,Prensa!$E$2:$E$5001,N694,Prensa!$F$2:$F$5001,3,Prensa!$G$2:$G$5001,1),""))</f>
        <v>0</v>
      </c>
      <c r="G694" s="27">
        <f>IF(A694="","",IFERROR(AVERAGEIFS(Prensa!$B$2:$B$5001,Prensa!$E$2:$E$5001,N694,Prensa!$F$2:$F$5001,4,Prensa!$G$2:$G$5001,1),""))</f>
        <v>0</v>
      </c>
      <c r="H694" s="26">
        <f>IF(A694="","",COUNT(D694:G694))</f>
        <v>0</v>
      </c>
      <c r="I694" s="27">
        <f>IF(A694="","",IF(H694=0,"",AVERAGE(D694:G694)))</f>
        <v>0</v>
      </c>
      <c r="J694" s="27">
        <f>IF(OR(I694="",C694=""),"",I694-C694)</f>
        <v>0</v>
      </c>
      <c r="K694" s="26">
        <f>IF(A694="","",IF(MES!E694&lt;&gt;4,"Horário do MES fora do padrão",IF(H694&lt;cfgMinCortes,"Cortes insuficientes","Válida")))</f>
        <v>0</v>
      </c>
      <c r="L694" s="27">
        <f>IF(K694="Válida",ABS(J694),"")</f>
        <v>0</v>
      </c>
      <c r="M694" s="26">
        <f>IF(K694="Válida",IF(L694&lt;=cfgTolerancia,"Sim","Não"),"")</f>
        <v>0</v>
      </c>
      <c r="N694" s="26">
        <f>IF(A694="","",MES!D694)</f>
        <v>0</v>
      </c>
      <c r="O694" s="25">
        <f>IF(K694="Válida",A694,NA())</f>
        <v>0</v>
      </c>
      <c r="P694" s="27">
        <f>IF(K694="Válida",C694,NA())</f>
        <v>0</v>
      </c>
      <c r="Q694" s="27">
        <f>IF(K694="Válida",I694,NA())</f>
        <v>0</v>
      </c>
      <c r="R694" s="27">
        <f>IF(K694="Válida",J694,NA())</f>
        <v>0</v>
      </c>
      <c r="S694" s="27">
        <f>IF(K694="Válida",C694,"")</f>
        <v>0</v>
      </c>
      <c r="T694" s="27">
        <f>IF(K694="Válida",I694,"")</f>
        <v>0</v>
      </c>
      <c r="U694" s="27">
        <f>IF(K694="Válida",J694,"")</f>
        <v>0</v>
      </c>
    </row>
    <row r="695" spans="1:21">
      <c r="A695" s="25">
        <f>IF(MES!A695="","",MES!C695/48)</f>
        <v>0</v>
      </c>
      <c r="B695" s="26">
        <f>IF(A695="","",TEXT((N695*4+cfgDeslocamento)/48,"hh:mm")&amp;" a "&amp;TEXT(A695,"hh:mm"))</f>
        <v>0</v>
      </c>
      <c r="C695" s="27">
        <f>IF(A695="","",MES!B695)</f>
        <v>0</v>
      </c>
      <c r="D695" s="27">
        <f>IF(A695="","",IFERROR(AVERAGEIFS(Prensa!$B$2:$B$5001,Prensa!$E$2:$E$5001,N695,Prensa!$F$2:$F$5001,1,Prensa!$G$2:$G$5001,1),""))</f>
        <v>0</v>
      </c>
      <c r="E695" s="27">
        <f>IF(A695="","",IFERROR(AVERAGEIFS(Prensa!$B$2:$B$5001,Prensa!$E$2:$E$5001,N695,Prensa!$F$2:$F$5001,2,Prensa!$G$2:$G$5001,1),""))</f>
        <v>0</v>
      </c>
      <c r="F695" s="27">
        <f>IF(A695="","",IFERROR(AVERAGEIFS(Prensa!$B$2:$B$5001,Prensa!$E$2:$E$5001,N695,Prensa!$F$2:$F$5001,3,Prensa!$G$2:$G$5001,1),""))</f>
        <v>0</v>
      </c>
      <c r="G695" s="27">
        <f>IF(A695="","",IFERROR(AVERAGEIFS(Prensa!$B$2:$B$5001,Prensa!$E$2:$E$5001,N695,Prensa!$F$2:$F$5001,4,Prensa!$G$2:$G$5001,1),""))</f>
        <v>0</v>
      </c>
      <c r="H695" s="26">
        <f>IF(A695="","",COUNT(D695:G695))</f>
        <v>0</v>
      </c>
      <c r="I695" s="27">
        <f>IF(A695="","",IF(H695=0,"",AVERAGE(D695:G695)))</f>
        <v>0</v>
      </c>
      <c r="J695" s="27">
        <f>IF(OR(I695="",C695=""),"",I695-C695)</f>
        <v>0</v>
      </c>
      <c r="K695" s="26">
        <f>IF(A695="","",IF(MES!E695&lt;&gt;4,"Horário do MES fora do padrão",IF(H695&lt;cfgMinCortes,"Cortes insuficientes","Válida")))</f>
        <v>0</v>
      </c>
      <c r="L695" s="27">
        <f>IF(K695="Válida",ABS(J695),"")</f>
        <v>0</v>
      </c>
      <c r="M695" s="26">
        <f>IF(K695="Válida",IF(L695&lt;=cfgTolerancia,"Sim","Não"),"")</f>
        <v>0</v>
      </c>
      <c r="N695" s="26">
        <f>IF(A695="","",MES!D695)</f>
        <v>0</v>
      </c>
      <c r="O695" s="25">
        <f>IF(K695="Válida",A695,NA())</f>
        <v>0</v>
      </c>
      <c r="P695" s="27">
        <f>IF(K695="Válida",C695,NA())</f>
        <v>0</v>
      </c>
      <c r="Q695" s="27">
        <f>IF(K695="Válida",I695,NA())</f>
        <v>0</v>
      </c>
      <c r="R695" s="27">
        <f>IF(K695="Válida",J695,NA())</f>
        <v>0</v>
      </c>
      <c r="S695" s="27">
        <f>IF(K695="Válida",C695,"")</f>
        <v>0</v>
      </c>
      <c r="T695" s="27">
        <f>IF(K695="Válida",I695,"")</f>
        <v>0</v>
      </c>
      <c r="U695" s="27">
        <f>IF(K695="Válida",J695,"")</f>
        <v>0</v>
      </c>
    </row>
    <row r="696" spans="1:21">
      <c r="A696" s="25">
        <f>IF(MES!A696="","",MES!C696/48)</f>
        <v>0</v>
      </c>
      <c r="B696" s="26">
        <f>IF(A696="","",TEXT((N696*4+cfgDeslocamento)/48,"hh:mm")&amp;" a "&amp;TEXT(A696,"hh:mm"))</f>
        <v>0</v>
      </c>
      <c r="C696" s="27">
        <f>IF(A696="","",MES!B696)</f>
        <v>0</v>
      </c>
      <c r="D696" s="27">
        <f>IF(A696="","",IFERROR(AVERAGEIFS(Prensa!$B$2:$B$5001,Prensa!$E$2:$E$5001,N696,Prensa!$F$2:$F$5001,1,Prensa!$G$2:$G$5001,1),""))</f>
        <v>0</v>
      </c>
      <c r="E696" s="27">
        <f>IF(A696="","",IFERROR(AVERAGEIFS(Prensa!$B$2:$B$5001,Prensa!$E$2:$E$5001,N696,Prensa!$F$2:$F$5001,2,Prensa!$G$2:$G$5001,1),""))</f>
        <v>0</v>
      </c>
      <c r="F696" s="27">
        <f>IF(A696="","",IFERROR(AVERAGEIFS(Prensa!$B$2:$B$5001,Prensa!$E$2:$E$5001,N696,Prensa!$F$2:$F$5001,3,Prensa!$G$2:$G$5001,1),""))</f>
        <v>0</v>
      </c>
      <c r="G696" s="27">
        <f>IF(A696="","",IFERROR(AVERAGEIFS(Prensa!$B$2:$B$5001,Prensa!$E$2:$E$5001,N696,Prensa!$F$2:$F$5001,4,Prensa!$G$2:$G$5001,1),""))</f>
        <v>0</v>
      </c>
      <c r="H696" s="26">
        <f>IF(A696="","",COUNT(D696:G696))</f>
        <v>0</v>
      </c>
      <c r="I696" s="27">
        <f>IF(A696="","",IF(H696=0,"",AVERAGE(D696:G696)))</f>
        <v>0</v>
      </c>
      <c r="J696" s="27">
        <f>IF(OR(I696="",C696=""),"",I696-C696)</f>
        <v>0</v>
      </c>
      <c r="K696" s="26">
        <f>IF(A696="","",IF(MES!E696&lt;&gt;4,"Horário do MES fora do padrão",IF(H696&lt;cfgMinCortes,"Cortes insuficientes","Válida")))</f>
        <v>0</v>
      </c>
      <c r="L696" s="27">
        <f>IF(K696="Válida",ABS(J696),"")</f>
        <v>0</v>
      </c>
      <c r="M696" s="26">
        <f>IF(K696="Válida",IF(L696&lt;=cfgTolerancia,"Sim","Não"),"")</f>
        <v>0</v>
      </c>
      <c r="N696" s="26">
        <f>IF(A696="","",MES!D696)</f>
        <v>0</v>
      </c>
      <c r="O696" s="25">
        <f>IF(K696="Válida",A696,NA())</f>
        <v>0</v>
      </c>
      <c r="P696" s="27">
        <f>IF(K696="Válida",C696,NA())</f>
        <v>0</v>
      </c>
      <c r="Q696" s="27">
        <f>IF(K696="Válida",I696,NA())</f>
        <v>0</v>
      </c>
      <c r="R696" s="27">
        <f>IF(K696="Válida",J696,NA())</f>
        <v>0</v>
      </c>
      <c r="S696" s="27">
        <f>IF(K696="Válida",C696,"")</f>
        <v>0</v>
      </c>
      <c r="T696" s="27">
        <f>IF(K696="Válida",I696,"")</f>
        <v>0</v>
      </c>
      <c r="U696" s="27">
        <f>IF(K696="Válida",J696,"")</f>
        <v>0</v>
      </c>
    </row>
    <row r="697" spans="1:21">
      <c r="A697" s="25">
        <f>IF(MES!A697="","",MES!C697/48)</f>
        <v>0</v>
      </c>
      <c r="B697" s="26">
        <f>IF(A697="","",TEXT((N697*4+cfgDeslocamento)/48,"hh:mm")&amp;" a "&amp;TEXT(A697,"hh:mm"))</f>
        <v>0</v>
      </c>
      <c r="C697" s="27">
        <f>IF(A697="","",MES!B697)</f>
        <v>0</v>
      </c>
      <c r="D697" s="27">
        <f>IF(A697="","",IFERROR(AVERAGEIFS(Prensa!$B$2:$B$5001,Prensa!$E$2:$E$5001,N697,Prensa!$F$2:$F$5001,1,Prensa!$G$2:$G$5001,1),""))</f>
        <v>0</v>
      </c>
      <c r="E697" s="27">
        <f>IF(A697="","",IFERROR(AVERAGEIFS(Prensa!$B$2:$B$5001,Prensa!$E$2:$E$5001,N697,Prensa!$F$2:$F$5001,2,Prensa!$G$2:$G$5001,1),""))</f>
        <v>0</v>
      </c>
      <c r="F697" s="27">
        <f>IF(A697="","",IFERROR(AVERAGEIFS(Prensa!$B$2:$B$5001,Prensa!$E$2:$E$5001,N697,Prensa!$F$2:$F$5001,3,Prensa!$G$2:$G$5001,1),""))</f>
        <v>0</v>
      </c>
      <c r="G697" s="27">
        <f>IF(A697="","",IFERROR(AVERAGEIFS(Prensa!$B$2:$B$5001,Prensa!$E$2:$E$5001,N697,Prensa!$F$2:$F$5001,4,Prensa!$G$2:$G$5001,1),""))</f>
        <v>0</v>
      </c>
      <c r="H697" s="26">
        <f>IF(A697="","",COUNT(D697:G697))</f>
        <v>0</v>
      </c>
      <c r="I697" s="27">
        <f>IF(A697="","",IF(H697=0,"",AVERAGE(D697:G697)))</f>
        <v>0</v>
      </c>
      <c r="J697" s="27">
        <f>IF(OR(I697="",C697=""),"",I697-C697)</f>
        <v>0</v>
      </c>
      <c r="K697" s="26">
        <f>IF(A697="","",IF(MES!E697&lt;&gt;4,"Horário do MES fora do padrão",IF(H697&lt;cfgMinCortes,"Cortes insuficientes","Válida")))</f>
        <v>0</v>
      </c>
      <c r="L697" s="27">
        <f>IF(K697="Válida",ABS(J697),"")</f>
        <v>0</v>
      </c>
      <c r="M697" s="26">
        <f>IF(K697="Válida",IF(L697&lt;=cfgTolerancia,"Sim","Não"),"")</f>
        <v>0</v>
      </c>
      <c r="N697" s="26">
        <f>IF(A697="","",MES!D697)</f>
        <v>0</v>
      </c>
      <c r="O697" s="25">
        <f>IF(K697="Válida",A697,NA())</f>
        <v>0</v>
      </c>
      <c r="P697" s="27">
        <f>IF(K697="Válida",C697,NA())</f>
        <v>0</v>
      </c>
      <c r="Q697" s="27">
        <f>IF(K697="Válida",I697,NA())</f>
        <v>0</v>
      </c>
      <c r="R697" s="27">
        <f>IF(K697="Válida",J697,NA())</f>
        <v>0</v>
      </c>
      <c r="S697" s="27">
        <f>IF(K697="Válida",C697,"")</f>
        <v>0</v>
      </c>
      <c r="T697" s="27">
        <f>IF(K697="Válida",I697,"")</f>
        <v>0</v>
      </c>
      <c r="U697" s="27">
        <f>IF(K697="Válida",J697,"")</f>
        <v>0</v>
      </c>
    </row>
    <row r="698" spans="1:21">
      <c r="A698" s="25">
        <f>IF(MES!A698="","",MES!C698/48)</f>
        <v>0</v>
      </c>
      <c r="B698" s="26">
        <f>IF(A698="","",TEXT((N698*4+cfgDeslocamento)/48,"hh:mm")&amp;" a "&amp;TEXT(A698,"hh:mm"))</f>
        <v>0</v>
      </c>
      <c r="C698" s="27">
        <f>IF(A698="","",MES!B698)</f>
        <v>0</v>
      </c>
      <c r="D698" s="27">
        <f>IF(A698="","",IFERROR(AVERAGEIFS(Prensa!$B$2:$B$5001,Prensa!$E$2:$E$5001,N698,Prensa!$F$2:$F$5001,1,Prensa!$G$2:$G$5001,1),""))</f>
        <v>0</v>
      </c>
      <c r="E698" s="27">
        <f>IF(A698="","",IFERROR(AVERAGEIFS(Prensa!$B$2:$B$5001,Prensa!$E$2:$E$5001,N698,Prensa!$F$2:$F$5001,2,Prensa!$G$2:$G$5001,1),""))</f>
        <v>0</v>
      </c>
      <c r="F698" s="27">
        <f>IF(A698="","",IFERROR(AVERAGEIFS(Prensa!$B$2:$B$5001,Prensa!$E$2:$E$5001,N698,Prensa!$F$2:$F$5001,3,Prensa!$G$2:$G$5001,1),""))</f>
        <v>0</v>
      </c>
      <c r="G698" s="27">
        <f>IF(A698="","",IFERROR(AVERAGEIFS(Prensa!$B$2:$B$5001,Prensa!$E$2:$E$5001,N698,Prensa!$F$2:$F$5001,4,Prensa!$G$2:$G$5001,1),""))</f>
        <v>0</v>
      </c>
      <c r="H698" s="26">
        <f>IF(A698="","",COUNT(D698:G698))</f>
        <v>0</v>
      </c>
      <c r="I698" s="27">
        <f>IF(A698="","",IF(H698=0,"",AVERAGE(D698:G698)))</f>
        <v>0</v>
      </c>
      <c r="J698" s="27">
        <f>IF(OR(I698="",C698=""),"",I698-C698)</f>
        <v>0</v>
      </c>
      <c r="K698" s="26">
        <f>IF(A698="","",IF(MES!E698&lt;&gt;4,"Horário do MES fora do padrão",IF(H698&lt;cfgMinCortes,"Cortes insuficientes","Válida")))</f>
        <v>0</v>
      </c>
      <c r="L698" s="27">
        <f>IF(K698="Válida",ABS(J698),"")</f>
        <v>0</v>
      </c>
      <c r="M698" s="26">
        <f>IF(K698="Válida",IF(L698&lt;=cfgTolerancia,"Sim","Não"),"")</f>
        <v>0</v>
      </c>
      <c r="N698" s="26">
        <f>IF(A698="","",MES!D698)</f>
        <v>0</v>
      </c>
      <c r="O698" s="25">
        <f>IF(K698="Válida",A698,NA())</f>
        <v>0</v>
      </c>
      <c r="P698" s="27">
        <f>IF(K698="Válida",C698,NA())</f>
        <v>0</v>
      </c>
      <c r="Q698" s="27">
        <f>IF(K698="Válida",I698,NA())</f>
        <v>0</v>
      </c>
      <c r="R698" s="27">
        <f>IF(K698="Válida",J698,NA())</f>
        <v>0</v>
      </c>
      <c r="S698" s="27">
        <f>IF(K698="Válida",C698,"")</f>
        <v>0</v>
      </c>
      <c r="T698" s="27">
        <f>IF(K698="Válida",I698,"")</f>
        <v>0</v>
      </c>
      <c r="U698" s="27">
        <f>IF(K698="Válida",J698,"")</f>
        <v>0</v>
      </c>
    </row>
    <row r="699" spans="1:21">
      <c r="A699" s="25">
        <f>IF(MES!A699="","",MES!C699/48)</f>
        <v>0</v>
      </c>
      <c r="B699" s="26">
        <f>IF(A699="","",TEXT((N699*4+cfgDeslocamento)/48,"hh:mm")&amp;" a "&amp;TEXT(A699,"hh:mm"))</f>
        <v>0</v>
      </c>
      <c r="C699" s="27">
        <f>IF(A699="","",MES!B699)</f>
        <v>0</v>
      </c>
      <c r="D699" s="27">
        <f>IF(A699="","",IFERROR(AVERAGEIFS(Prensa!$B$2:$B$5001,Prensa!$E$2:$E$5001,N699,Prensa!$F$2:$F$5001,1,Prensa!$G$2:$G$5001,1),""))</f>
        <v>0</v>
      </c>
      <c r="E699" s="27">
        <f>IF(A699="","",IFERROR(AVERAGEIFS(Prensa!$B$2:$B$5001,Prensa!$E$2:$E$5001,N699,Prensa!$F$2:$F$5001,2,Prensa!$G$2:$G$5001,1),""))</f>
        <v>0</v>
      </c>
      <c r="F699" s="27">
        <f>IF(A699="","",IFERROR(AVERAGEIFS(Prensa!$B$2:$B$5001,Prensa!$E$2:$E$5001,N699,Prensa!$F$2:$F$5001,3,Prensa!$G$2:$G$5001,1),""))</f>
        <v>0</v>
      </c>
      <c r="G699" s="27">
        <f>IF(A699="","",IFERROR(AVERAGEIFS(Prensa!$B$2:$B$5001,Prensa!$E$2:$E$5001,N699,Prensa!$F$2:$F$5001,4,Prensa!$G$2:$G$5001,1),""))</f>
        <v>0</v>
      </c>
      <c r="H699" s="26">
        <f>IF(A699="","",COUNT(D699:G699))</f>
        <v>0</v>
      </c>
      <c r="I699" s="27">
        <f>IF(A699="","",IF(H699=0,"",AVERAGE(D699:G699)))</f>
        <v>0</v>
      </c>
      <c r="J699" s="27">
        <f>IF(OR(I699="",C699=""),"",I699-C699)</f>
        <v>0</v>
      </c>
      <c r="K699" s="26">
        <f>IF(A699="","",IF(MES!E699&lt;&gt;4,"Horário do MES fora do padrão",IF(H699&lt;cfgMinCortes,"Cortes insuficientes","Válida")))</f>
        <v>0</v>
      </c>
      <c r="L699" s="27">
        <f>IF(K699="Válida",ABS(J699),"")</f>
        <v>0</v>
      </c>
      <c r="M699" s="26">
        <f>IF(K699="Válida",IF(L699&lt;=cfgTolerancia,"Sim","Não"),"")</f>
        <v>0</v>
      </c>
      <c r="N699" s="26">
        <f>IF(A699="","",MES!D699)</f>
        <v>0</v>
      </c>
      <c r="O699" s="25">
        <f>IF(K699="Válida",A699,NA())</f>
        <v>0</v>
      </c>
      <c r="P699" s="27">
        <f>IF(K699="Válida",C699,NA())</f>
        <v>0</v>
      </c>
      <c r="Q699" s="27">
        <f>IF(K699="Válida",I699,NA())</f>
        <v>0</v>
      </c>
      <c r="R699" s="27">
        <f>IF(K699="Válida",J699,NA())</f>
        <v>0</v>
      </c>
      <c r="S699" s="27">
        <f>IF(K699="Válida",C699,"")</f>
        <v>0</v>
      </c>
      <c r="T699" s="27">
        <f>IF(K699="Válida",I699,"")</f>
        <v>0</v>
      </c>
      <c r="U699" s="27">
        <f>IF(K699="Válida",J699,"")</f>
        <v>0</v>
      </c>
    </row>
    <row r="700" spans="1:21">
      <c r="A700" s="25">
        <f>IF(MES!A700="","",MES!C700/48)</f>
        <v>0</v>
      </c>
      <c r="B700" s="26">
        <f>IF(A700="","",TEXT((N700*4+cfgDeslocamento)/48,"hh:mm")&amp;" a "&amp;TEXT(A700,"hh:mm"))</f>
        <v>0</v>
      </c>
      <c r="C700" s="27">
        <f>IF(A700="","",MES!B700)</f>
        <v>0</v>
      </c>
      <c r="D700" s="27">
        <f>IF(A700="","",IFERROR(AVERAGEIFS(Prensa!$B$2:$B$5001,Prensa!$E$2:$E$5001,N700,Prensa!$F$2:$F$5001,1,Prensa!$G$2:$G$5001,1),""))</f>
        <v>0</v>
      </c>
      <c r="E700" s="27">
        <f>IF(A700="","",IFERROR(AVERAGEIFS(Prensa!$B$2:$B$5001,Prensa!$E$2:$E$5001,N700,Prensa!$F$2:$F$5001,2,Prensa!$G$2:$G$5001,1),""))</f>
        <v>0</v>
      </c>
      <c r="F700" s="27">
        <f>IF(A700="","",IFERROR(AVERAGEIFS(Prensa!$B$2:$B$5001,Prensa!$E$2:$E$5001,N700,Prensa!$F$2:$F$5001,3,Prensa!$G$2:$G$5001,1),""))</f>
        <v>0</v>
      </c>
      <c r="G700" s="27">
        <f>IF(A700="","",IFERROR(AVERAGEIFS(Prensa!$B$2:$B$5001,Prensa!$E$2:$E$5001,N700,Prensa!$F$2:$F$5001,4,Prensa!$G$2:$G$5001,1),""))</f>
        <v>0</v>
      </c>
      <c r="H700" s="26">
        <f>IF(A700="","",COUNT(D700:G700))</f>
        <v>0</v>
      </c>
      <c r="I700" s="27">
        <f>IF(A700="","",IF(H700=0,"",AVERAGE(D700:G700)))</f>
        <v>0</v>
      </c>
      <c r="J700" s="27">
        <f>IF(OR(I700="",C700=""),"",I700-C700)</f>
        <v>0</v>
      </c>
      <c r="K700" s="26">
        <f>IF(A700="","",IF(MES!E700&lt;&gt;4,"Horário do MES fora do padrão",IF(H700&lt;cfgMinCortes,"Cortes insuficientes","Válida")))</f>
        <v>0</v>
      </c>
      <c r="L700" s="27">
        <f>IF(K700="Válida",ABS(J700),"")</f>
        <v>0</v>
      </c>
      <c r="M700" s="26">
        <f>IF(K700="Válida",IF(L700&lt;=cfgTolerancia,"Sim","Não"),"")</f>
        <v>0</v>
      </c>
      <c r="N700" s="26">
        <f>IF(A700="","",MES!D700)</f>
        <v>0</v>
      </c>
      <c r="O700" s="25">
        <f>IF(K700="Válida",A700,NA())</f>
        <v>0</v>
      </c>
      <c r="P700" s="27">
        <f>IF(K700="Válida",C700,NA())</f>
        <v>0</v>
      </c>
      <c r="Q700" s="27">
        <f>IF(K700="Válida",I700,NA())</f>
        <v>0</v>
      </c>
      <c r="R700" s="27">
        <f>IF(K700="Válida",J700,NA())</f>
        <v>0</v>
      </c>
      <c r="S700" s="27">
        <f>IF(K700="Válida",C700,"")</f>
        <v>0</v>
      </c>
      <c r="T700" s="27">
        <f>IF(K700="Válida",I700,"")</f>
        <v>0</v>
      </c>
      <c r="U700" s="27">
        <f>IF(K700="Válida",J700,"")</f>
        <v>0</v>
      </c>
    </row>
    <row r="701" spans="1:21">
      <c r="A701" s="25">
        <f>IF(MES!A701="","",MES!C701/48)</f>
        <v>0</v>
      </c>
      <c r="B701" s="26">
        <f>IF(A701="","",TEXT((N701*4+cfgDeslocamento)/48,"hh:mm")&amp;" a "&amp;TEXT(A701,"hh:mm"))</f>
        <v>0</v>
      </c>
      <c r="C701" s="27">
        <f>IF(A701="","",MES!B701)</f>
        <v>0</v>
      </c>
      <c r="D701" s="27">
        <f>IF(A701="","",IFERROR(AVERAGEIFS(Prensa!$B$2:$B$5001,Prensa!$E$2:$E$5001,N701,Prensa!$F$2:$F$5001,1,Prensa!$G$2:$G$5001,1),""))</f>
        <v>0</v>
      </c>
      <c r="E701" s="27">
        <f>IF(A701="","",IFERROR(AVERAGEIFS(Prensa!$B$2:$B$5001,Prensa!$E$2:$E$5001,N701,Prensa!$F$2:$F$5001,2,Prensa!$G$2:$G$5001,1),""))</f>
        <v>0</v>
      </c>
      <c r="F701" s="27">
        <f>IF(A701="","",IFERROR(AVERAGEIFS(Prensa!$B$2:$B$5001,Prensa!$E$2:$E$5001,N701,Prensa!$F$2:$F$5001,3,Prensa!$G$2:$G$5001,1),""))</f>
        <v>0</v>
      </c>
      <c r="G701" s="27">
        <f>IF(A701="","",IFERROR(AVERAGEIFS(Prensa!$B$2:$B$5001,Prensa!$E$2:$E$5001,N701,Prensa!$F$2:$F$5001,4,Prensa!$G$2:$G$5001,1),""))</f>
        <v>0</v>
      </c>
      <c r="H701" s="26">
        <f>IF(A701="","",COUNT(D701:G701))</f>
        <v>0</v>
      </c>
      <c r="I701" s="27">
        <f>IF(A701="","",IF(H701=0,"",AVERAGE(D701:G701)))</f>
        <v>0</v>
      </c>
      <c r="J701" s="27">
        <f>IF(OR(I701="",C701=""),"",I701-C701)</f>
        <v>0</v>
      </c>
      <c r="K701" s="26">
        <f>IF(A701="","",IF(MES!E701&lt;&gt;4,"Horário do MES fora do padrão",IF(H701&lt;cfgMinCortes,"Cortes insuficientes","Válida")))</f>
        <v>0</v>
      </c>
      <c r="L701" s="27">
        <f>IF(K701="Válida",ABS(J701),"")</f>
        <v>0</v>
      </c>
      <c r="M701" s="26">
        <f>IF(K701="Válida",IF(L701&lt;=cfgTolerancia,"Sim","Não"),"")</f>
        <v>0</v>
      </c>
      <c r="N701" s="26">
        <f>IF(A701="","",MES!D701)</f>
        <v>0</v>
      </c>
      <c r="O701" s="25">
        <f>IF(K701="Válida",A701,NA())</f>
        <v>0</v>
      </c>
      <c r="P701" s="27">
        <f>IF(K701="Válida",C701,NA())</f>
        <v>0</v>
      </c>
      <c r="Q701" s="27">
        <f>IF(K701="Válida",I701,NA())</f>
        <v>0</v>
      </c>
      <c r="R701" s="27">
        <f>IF(K701="Válida",J701,NA())</f>
        <v>0</v>
      </c>
      <c r="S701" s="27">
        <f>IF(K701="Válida",C701,"")</f>
        <v>0</v>
      </c>
      <c r="T701" s="27">
        <f>IF(K701="Válida",I701,"")</f>
        <v>0</v>
      </c>
      <c r="U701" s="27">
        <f>IF(K701="Válida",J701,"")</f>
        <v>0</v>
      </c>
    </row>
    <row r="702" spans="1:21">
      <c r="A702" s="25">
        <f>IF(MES!A702="","",MES!C702/48)</f>
        <v>0</v>
      </c>
      <c r="B702" s="26">
        <f>IF(A702="","",TEXT((N702*4+cfgDeslocamento)/48,"hh:mm")&amp;" a "&amp;TEXT(A702,"hh:mm"))</f>
        <v>0</v>
      </c>
      <c r="C702" s="27">
        <f>IF(A702="","",MES!B702)</f>
        <v>0</v>
      </c>
      <c r="D702" s="27">
        <f>IF(A702="","",IFERROR(AVERAGEIFS(Prensa!$B$2:$B$5001,Prensa!$E$2:$E$5001,N702,Prensa!$F$2:$F$5001,1,Prensa!$G$2:$G$5001,1),""))</f>
        <v>0</v>
      </c>
      <c r="E702" s="27">
        <f>IF(A702="","",IFERROR(AVERAGEIFS(Prensa!$B$2:$B$5001,Prensa!$E$2:$E$5001,N702,Prensa!$F$2:$F$5001,2,Prensa!$G$2:$G$5001,1),""))</f>
        <v>0</v>
      </c>
      <c r="F702" s="27">
        <f>IF(A702="","",IFERROR(AVERAGEIFS(Prensa!$B$2:$B$5001,Prensa!$E$2:$E$5001,N702,Prensa!$F$2:$F$5001,3,Prensa!$G$2:$G$5001,1),""))</f>
        <v>0</v>
      </c>
      <c r="G702" s="27">
        <f>IF(A702="","",IFERROR(AVERAGEIFS(Prensa!$B$2:$B$5001,Prensa!$E$2:$E$5001,N702,Prensa!$F$2:$F$5001,4,Prensa!$G$2:$G$5001,1),""))</f>
        <v>0</v>
      </c>
      <c r="H702" s="26">
        <f>IF(A702="","",COUNT(D702:G702))</f>
        <v>0</v>
      </c>
      <c r="I702" s="27">
        <f>IF(A702="","",IF(H702=0,"",AVERAGE(D702:G702)))</f>
        <v>0</v>
      </c>
      <c r="J702" s="27">
        <f>IF(OR(I702="",C702=""),"",I702-C702)</f>
        <v>0</v>
      </c>
      <c r="K702" s="26">
        <f>IF(A702="","",IF(MES!E702&lt;&gt;4,"Horário do MES fora do padrão",IF(H702&lt;cfgMinCortes,"Cortes insuficientes","Válida")))</f>
        <v>0</v>
      </c>
      <c r="L702" s="27">
        <f>IF(K702="Válida",ABS(J702),"")</f>
        <v>0</v>
      </c>
      <c r="M702" s="26">
        <f>IF(K702="Válida",IF(L702&lt;=cfgTolerancia,"Sim","Não"),"")</f>
        <v>0</v>
      </c>
      <c r="N702" s="26">
        <f>IF(A702="","",MES!D702)</f>
        <v>0</v>
      </c>
      <c r="O702" s="25">
        <f>IF(K702="Válida",A702,NA())</f>
        <v>0</v>
      </c>
      <c r="P702" s="27">
        <f>IF(K702="Válida",C702,NA())</f>
        <v>0</v>
      </c>
      <c r="Q702" s="27">
        <f>IF(K702="Válida",I702,NA())</f>
        <v>0</v>
      </c>
      <c r="R702" s="27">
        <f>IF(K702="Válida",J702,NA())</f>
        <v>0</v>
      </c>
      <c r="S702" s="27">
        <f>IF(K702="Válida",C702,"")</f>
        <v>0</v>
      </c>
      <c r="T702" s="27">
        <f>IF(K702="Válida",I702,"")</f>
        <v>0</v>
      </c>
      <c r="U702" s="27">
        <f>IF(K702="Válida",J702,"")</f>
        <v>0</v>
      </c>
    </row>
    <row r="703" spans="1:21">
      <c r="A703" s="25">
        <f>IF(MES!A703="","",MES!C703/48)</f>
        <v>0</v>
      </c>
      <c r="B703" s="26">
        <f>IF(A703="","",TEXT((N703*4+cfgDeslocamento)/48,"hh:mm")&amp;" a "&amp;TEXT(A703,"hh:mm"))</f>
        <v>0</v>
      </c>
      <c r="C703" s="27">
        <f>IF(A703="","",MES!B703)</f>
        <v>0</v>
      </c>
      <c r="D703" s="27">
        <f>IF(A703="","",IFERROR(AVERAGEIFS(Prensa!$B$2:$B$5001,Prensa!$E$2:$E$5001,N703,Prensa!$F$2:$F$5001,1,Prensa!$G$2:$G$5001,1),""))</f>
        <v>0</v>
      </c>
      <c r="E703" s="27">
        <f>IF(A703="","",IFERROR(AVERAGEIFS(Prensa!$B$2:$B$5001,Prensa!$E$2:$E$5001,N703,Prensa!$F$2:$F$5001,2,Prensa!$G$2:$G$5001,1),""))</f>
        <v>0</v>
      </c>
      <c r="F703" s="27">
        <f>IF(A703="","",IFERROR(AVERAGEIFS(Prensa!$B$2:$B$5001,Prensa!$E$2:$E$5001,N703,Prensa!$F$2:$F$5001,3,Prensa!$G$2:$G$5001,1),""))</f>
        <v>0</v>
      </c>
      <c r="G703" s="27">
        <f>IF(A703="","",IFERROR(AVERAGEIFS(Prensa!$B$2:$B$5001,Prensa!$E$2:$E$5001,N703,Prensa!$F$2:$F$5001,4,Prensa!$G$2:$G$5001,1),""))</f>
        <v>0</v>
      </c>
      <c r="H703" s="26">
        <f>IF(A703="","",COUNT(D703:G703))</f>
        <v>0</v>
      </c>
      <c r="I703" s="27">
        <f>IF(A703="","",IF(H703=0,"",AVERAGE(D703:G703)))</f>
        <v>0</v>
      </c>
      <c r="J703" s="27">
        <f>IF(OR(I703="",C703=""),"",I703-C703)</f>
        <v>0</v>
      </c>
      <c r="K703" s="26">
        <f>IF(A703="","",IF(MES!E703&lt;&gt;4,"Horário do MES fora do padrão",IF(H703&lt;cfgMinCortes,"Cortes insuficientes","Válida")))</f>
        <v>0</v>
      </c>
      <c r="L703" s="27">
        <f>IF(K703="Válida",ABS(J703),"")</f>
        <v>0</v>
      </c>
      <c r="M703" s="26">
        <f>IF(K703="Válida",IF(L703&lt;=cfgTolerancia,"Sim","Não"),"")</f>
        <v>0</v>
      </c>
      <c r="N703" s="26">
        <f>IF(A703="","",MES!D703)</f>
        <v>0</v>
      </c>
      <c r="O703" s="25">
        <f>IF(K703="Válida",A703,NA())</f>
        <v>0</v>
      </c>
      <c r="P703" s="27">
        <f>IF(K703="Válida",C703,NA())</f>
        <v>0</v>
      </c>
      <c r="Q703" s="27">
        <f>IF(K703="Válida",I703,NA())</f>
        <v>0</v>
      </c>
      <c r="R703" s="27">
        <f>IF(K703="Válida",J703,NA())</f>
        <v>0</v>
      </c>
      <c r="S703" s="27">
        <f>IF(K703="Válida",C703,"")</f>
        <v>0</v>
      </c>
      <c r="T703" s="27">
        <f>IF(K703="Válida",I703,"")</f>
        <v>0</v>
      </c>
      <c r="U703" s="27">
        <f>IF(K703="Válida",J703,"")</f>
        <v>0</v>
      </c>
    </row>
    <row r="704" spans="1:21">
      <c r="A704" s="25">
        <f>IF(MES!A704="","",MES!C704/48)</f>
        <v>0</v>
      </c>
      <c r="B704" s="26">
        <f>IF(A704="","",TEXT((N704*4+cfgDeslocamento)/48,"hh:mm")&amp;" a "&amp;TEXT(A704,"hh:mm"))</f>
        <v>0</v>
      </c>
      <c r="C704" s="27">
        <f>IF(A704="","",MES!B704)</f>
        <v>0</v>
      </c>
      <c r="D704" s="27">
        <f>IF(A704="","",IFERROR(AVERAGEIFS(Prensa!$B$2:$B$5001,Prensa!$E$2:$E$5001,N704,Prensa!$F$2:$F$5001,1,Prensa!$G$2:$G$5001,1),""))</f>
        <v>0</v>
      </c>
      <c r="E704" s="27">
        <f>IF(A704="","",IFERROR(AVERAGEIFS(Prensa!$B$2:$B$5001,Prensa!$E$2:$E$5001,N704,Prensa!$F$2:$F$5001,2,Prensa!$G$2:$G$5001,1),""))</f>
        <v>0</v>
      </c>
      <c r="F704" s="27">
        <f>IF(A704="","",IFERROR(AVERAGEIFS(Prensa!$B$2:$B$5001,Prensa!$E$2:$E$5001,N704,Prensa!$F$2:$F$5001,3,Prensa!$G$2:$G$5001,1),""))</f>
        <v>0</v>
      </c>
      <c r="G704" s="27">
        <f>IF(A704="","",IFERROR(AVERAGEIFS(Prensa!$B$2:$B$5001,Prensa!$E$2:$E$5001,N704,Prensa!$F$2:$F$5001,4,Prensa!$G$2:$G$5001,1),""))</f>
        <v>0</v>
      </c>
      <c r="H704" s="26">
        <f>IF(A704="","",COUNT(D704:G704))</f>
        <v>0</v>
      </c>
      <c r="I704" s="27">
        <f>IF(A704="","",IF(H704=0,"",AVERAGE(D704:G704)))</f>
        <v>0</v>
      </c>
      <c r="J704" s="27">
        <f>IF(OR(I704="",C704=""),"",I704-C704)</f>
        <v>0</v>
      </c>
      <c r="K704" s="26">
        <f>IF(A704="","",IF(MES!E704&lt;&gt;4,"Horário do MES fora do padrão",IF(H704&lt;cfgMinCortes,"Cortes insuficientes","Válida")))</f>
        <v>0</v>
      </c>
      <c r="L704" s="27">
        <f>IF(K704="Válida",ABS(J704),"")</f>
        <v>0</v>
      </c>
      <c r="M704" s="26">
        <f>IF(K704="Válida",IF(L704&lt;=cfgTolerancia,"Sim","Não"),"")</f>
        <v>0</v>
      </c>
      <c r="N704" s="26">
        <f>IF(A704="","",MES!D704)</f>
        <v>0</v>
      </c>
      <c r="O704" s="25">
        <f>IF(K704="Válida",A704,NA())</f>
        <v>0</v>
      </c>
      <c r="P704" s="27">
        <f>IF(K704="Válida",C704,NA())</f>
        <v>0</v>
      </c>
      <c r="Q704" s="27">
        <f>IF(K704="Válida",I704,NA())</f>
        <v>0</v>
      </c>
      <c r="R704" s="27">
        <f>IF(K704="Válida",J704,NA())</f>
        <v>0</v>
      </c>
      <c r="S704" s="27">
        <f>IF(K704="Válida",C704,"")</f>
        <v>0</v>
      </c>
      <c r="T704" s="27">
        <f>IF(K704="Válida",I704,"")</f>
        <v>0</v>
      </c>
      <c r="U704" s="27">
        <f>IF(K704="Válida",J704,"")</f>
        <v>0</v>
      </c>
    </row>
    <row r="705" spans="1:21">
      <c r="A705" s="25">
        <f>IF(MES!A705="","",MES!C705/48)</f>
        <v>0</v>
      </c>
      <c r="B705" s="26">
        <f>IF(A705="","",TEXT((N705*4+cfgDeslocamento)/48,"hh:mm")&amp;" a "&amp;TEXT(A705,"hh:mm"))</f>
        <v>0</v>
      </c>
      <c r="C705" s="27">
        <f>IF(A705="","",MES!B705)</f>
        <v>0</v>
      </c>
      <c r="D705" s="27">
        <f>IF(A705="","",IFERROR(AVERAGEIFS(Prensa!$B$2:$B$5001,Prensa!$E$2:$E$5001,N705,Prensa!$F$2:$F$5001,1,Prensa!$G$2:$G$5001,1),""))</f>
        <v>0</v>
      </c>
      <c r="E705" s="27">
        <f>IF(A705="","",IFERROR(AVERAGEIFS(Prensa!$B$2:$B$5001,Prensa!$E$2:$E$5001,N705,Prensa!$F$2:$F$5001,2,Prensa!$G$2:$G$5001,1),""))</f>
        <v>0</v>
      </c>
      <c r="F705" s="27">
        <f>IF(A705="","",IFERROR(AVERAGEIFS(Prensa!$B$2:$B$5001,Prensa!$E$2:$E$5001,N705,Prensa!$F$2:$F$5001,3,Prensa!$G$2:$G$5001,1),""))</f>
        <v>0</v>
      </c>
      <c r="G705" s="27">
        <f>IF(A705="","",IFERROR(AVERAGEIFS(Prensa!$B$2:$B$5001,Prensa!$E$2:$E$5001,N705,Prensa!$F$2:$F$5001,4,Prensa!$G$2:$G$5001,1),""))</f>
        <v>0</v>
      </c>
      <c r="H705" s="26">
        <f>IF(A705="","",COUNT(D705:G705))</f>
        <v>0</v>
      </c>
      <c r="I705" s="27">
        <f>IF(A705="","",IF(H705=0,"",AVERAGE(D705:G705)))</f>
        <v>0</v>
      </c>
      <c r="J705" s="27">
        <f>IF(OR(I705="",C705=""),"",I705-C705)</f>
        <v>0</v>
      </c>
      <c r="K705" s="26">
        <f>IF(A705="","",IF(MES!E705&lt;&gt;4,"Horário do MES fora do padrão",IF(H705&lt;cfgMinCortes,"Cortes insuficientes","Válida")))</f>
        <v>0</v>
      </c>
      <c r="L705" s="27">
        <f>IF(K705="Válida",ABS(J705),"")</f>
        <v>0</v>
      </c>
      <c r="M705" s="26">
        <f>IF(K705="Válida",IF(L705&lt;=cfgTolerancia,"Sim","Não"),"")</f>
        <v>0</v>
      </c>
      <c r="N705" s="26">
        <f>IF(A705="","",MES!D705)</f>
        <v>0</v>
      </c>
      <c r="O705" s="25">
        <f>IF(K705="Válida",A705,NA())</f>
        <v>0</v>
      </c>
      <c r="P705" s="27">
        <f>IF(K705="Válida",C705,NA())</f>
        <v>0</v>
      </c>
      <c r="Q705" s="27">
        <f>IF(K705="Válida",I705,NA())</f>
        <v>0</v>
      </c>
      <c r="R705" s="27">
        <f>IF(K705="Válida",J705,NA())</f>
        <v>0</v>
      </c>
      <c r="S705" s="27">
        <f>IF(K705="Válida",C705,"")</f>
        <v>0</v>
      </c>
      <c r="T705" s="27">
        <f>IF(K705="Válida",I705,"")</f>
        <v>0</v>
      </c>
      <c r="U705" s="27">
        <f>IF(K705="Válida",J705,"")</f>
        <v>0</v>
      </c>
    </row>
    <row r="706" spans="1:21">
      <c r="A706" s="25">
        <f>IF(MES!A706="","",MES!C706/48)</f>
        <v>0</v>
      </c>
      <c r="B706" s="26">
        <f>IF(A706="","",TEXT((N706*4+cfgDeslocamento)/48,"hh:mm")&amp;" a "&amp;TEXT(A706,"hh:mm"))</f>
        <v>0</v>
      </c>
      <c r="C706" s="27">
        <f>IF(A706="","",MES!B706)</f>
        <v>0</v>
      </c>
      <c r="D706" s="27">
        <f>IF(A706="","",IFERROR(AVERAGEIFS(Prensa!$B$2:$B$5001,Prensa!$E$2:$E$5001,N706,Prensa!$F$2:$F$5001,1,Prensa!$G$2:$G$5001,1),""))</f>
        <v>0</v>
      </c>
      <c r="E706" s="27">
        <f>IF(A706="","",IFERROR(AVERAGEIFS(Prensa!$B$2:$B$5001,Prensa!$E$2:$E$5001,N706,Prensa!$F$2:$F$5001,2,Prensa!$G$2:$G$5001,1),""))</f>
        <v>0</v>
      </c>
      <c r="F706" s="27">
        <f>IF(A706="","",IFERROR(AVERAGEIFS(Prensa!$B$2:$B$5001,Prensa!$E$2:$E$5001,N706,Prensa!$F$2:$F$5001,3,Prensa!$G$2:$G$5001,1),""))</f>
        <v>0</v>
      </c>
      <c r="G706" s="27">
        <f>IF(A706="","",IFERROR(AVERAGEIFS(Prensa!$B$2:$B$5001,Prensa!$E$2:$E$5001,N706,Prensa!$F$2:$F$5001,4,Prensa!$G$2:$G$5001,1),""))</f>
        <v>0</v>
      </c>
      <c r="H706" s="26">
        <f>IF(A706="","",COUNT(D706:G706))</f>
        <v>0</v>
      </c>
      <c r="I706" s="27">
        <f>IF(A706="","",IF(H706=0,"",AVERAGE(D706:G706)))</f>
        <v>0</v>
      </c>
      <c r="J706" s="27">
        <f>IF(OR(I706="",C706=""),"",I706-C706)</f>
        <v>0</v>
      </c>
      <c r="K706" s="26">
        <f>IF(A706="","",IF(MES!E706&lt;&gt;4,"Horário do MES fora do padrão",IF(H706&lt;cfgMinCortes,"Cortes insuficientes","Válida")))</f>
        <v>0</v>
      </c>
      <c r="L706" s="27">
        <f>IF(K706="Válida",ABS(J706),"")</f>
        <v>0</v>
      </c>
      <c r="M706" s="26">
        <f>IF(K706="Válida",IF(L706&lt;=cfgTolerancia,"Sim","Não"),"")</f>
        <v>0</v>
      </c>
      <c r="N706" s="26">
        <f>IF(A706="","",MES!D706)</f>
        <v>0</v>
      </c>
      <c r="O706" s="25">
        <f>IF(K706="Válida",A706,NA())</f>
        <v>0</v>
      </c>
      <c r="P706" s="27">
        <f>IF(K706="Válida",C706,NA())</f>
        <v>0</v>
      </c>
      <c r="Q706" s="27">
        <f>IF(K706="Válida",I706,NA())</f>
        <v>0</v>
      </c>
      <c r="R706" s="27">
        <f>IF(K706="Válida",J706,NA())</f>
        <v>0</v>
      </c>
      <c r="S706" s="27">
        <f>IF(K706="Válida",C706,"")</f>
        <v>0</v>
      </c>
      <c r="T706" s="27">
        <f>IF(K706="Válida",I706,"")</f>
        <v>0</v>
      </c>
      <c r="U706" s="27">
        <f>IF(K706="Válida",J706,"")</f>
        <v>0</v>
      </c>
    </row>
    <row r="707" spans="1:21">
      <c r="A707" s="25">
        <f>IF(MES!A707="","",MES!C707/48)</f>
        <v>0</v>
      </c>
      <c r="B707" s="26">
        <f>IF(A707="","",TEXT((N707*4+cfgDeslocamento)/48,"hh:mm")&amp;" a "&amp;TEXT(A707,"hh:mm"))</f>
        <v>0</v>
      </c>
      <c r="C707" s="27">
        <f>IF(A707="","",MES!B707)</f>
        <v>0</v>
      </c>
      <c r="D707" s="27">
        <f>IF(A707="","",IFERROR(AVERAGEIFS(Prensa!$B$2:$B$5001,Prensa!$E$2:$E$5001,N707,Prensa!$F$2:$F$5001,1,Prensa!$G$2:$G$5001,1),""))</f>
        <v>0</v>
      </c>
      <c r="E707" s="27">
        <f>IF(A707="","",IFERROR(AVERAGEIFS(Prensa!$B$2:$B$5001,Prensa!$E$2:$E$5001,N707,Prensa!$F$2:$F$5001,2,Prensa!$G$2:$G$5001,1),""))</f>
        <v>0</v>
      </c>
      <c r="F707" s="27">
        <f>IF(A707="","",IFERROR(AVERAGEIFS(Prensa!$B$2:$B$5001,Prensa!$E$2:$E$5001,N707,Prensa!$F$2:$F$5001,3,Prensa!$G$2:$G$5001,1),""))</f>
        <v>0</v>
      </c>
      <c r="G707" s="27">
        <f>IF(A707="","",IFERROR(AVERAGEIFS(Prensa!$B$2:$B$5001,Prensa!$E$2:$E$5001,N707,Prensa!$F$2:$F$5001,4,Prensa!$G$2:$G$5001,1),""))</f>
        <v>0</v>
      </c>
      <c r="H707" s="26">
        <f>IF(A707="","",COUNT(D707:G707))</f>
        <v>0</v>
      </c>
      <c r="I707" s="27">
        <f>IF(A707="","",IF(H707=0,"",AVERAGE(D707:G707)))</f>
        <v>0</v>
      </c>
      <c r="J707" s="27">
        <f>IF(OR(I707="",C707=""),"",I707-C707)</f>
        <v>0</v>
      </c>
      <c r="K707" s="26">
        <f>IF(A707="","",IF(MES!E707&lt;&gt;4,"Horário do MES fora do padrão",IF(H707&lt;cfgMinCortes,"Cortes insuficientes","Válida")))</f>
        <v>0</v>
      </c>
      <c r="L707" s="27">
        <f>IF(K707="Válida",ABS(J707),"")</f>
        <v>0</v>
      </c>
      <c r="M707" s="26">
        <f>IF(K707="Válida",IF(L707&lt;=cfgTolerancia,"Sim","Não"),"")</f>
        <v>0</v>
      </c>
      <c r="N707" s="26">
        <f>IF(A707="","",MES!D707)</f>
        <v>0</v>
      </c>
      <c r="O707" s="25">
        <f>IF(K707="Válida",A707,NA())</f>
        <v>0</v>
      </c>
      <c r="P707" s="27">
        <f>IF(K707="Válida",C707,NA())</f>
        <v>0</v>
      </c>
      <c r="Q707" s="27">
        <f>IF(K707="Válida",I707,NA())</f>
        <v>0</v>
      </c>
      <c r="R707" s="27">
        <f>IF(K707="Válida",J707,NA())</f>
        <v>0</v>
      </c>
      <c r="S707" s="27">
        <f>IF(K707="Válida",C707,"")</f>
        <v>0</v>
      </c>
      <c r="T707" s="27">
        <f>IF(K707="Válida",I707,"")</f>
        <v>0</v>
      </c>
      <c r="U707" s="27">
        <f>IF(K707="Válida",J707,"")</f>
        <v>0</v>
      </c>
    </row>
    <row r="708" spans="1:21">
      <c r="A708" s="25">
        <f>IF(MES!A708="","",MES!C708/48)</f>
        <v>0</v>
      </c>
      <c r="B708" s="26">
        <f>IF(A708="","",TEXT((N708*4+cfgDeslocamento)/48,"hh:mm")&amp;" a "&amp;TEXT(A708,"hh:mm"))</f>
        <v>0</v>
      </c>
      <c r="C708" s="27">
        <f>IF(A708="","",MES!B708)</f>
        <v>0</v>
      </c>
      <c r="D708" s="27">
        <f>IF(A708="","",IFERROR(AVERAGEIFS(Prensa!$B$2:$B$5001,Prensa!$E$2:$E$5001,N708,Prensa!$F$2:$F$5001,1,Prensa!$G$2:$G$5001,1),""))</f>
        <v>0</v>
      </c>
      <c r="E708" s="27">
        <f>IF(A708="","",IFERROR(AVERAGEIFS(Prensa!$B$2:$B$5001,Prensa!$E$2:$E$5001,N708,Prensa!$F$2:$F$5001,2,Prensa!$G$2:$G$5001,1),""))</f>
        <v>0</v>
      </c>
      <c r="F708" s="27">
        <f>IF(A708="","",IFERROR(AVERAGEIFS(Prensa!$B$2:$B$5001,Prensa!$E$2:$E$5001,N708,Prensa!$F$2:$F$5001,3,Prensa!$G$2:$G$5001,1),""))</f>
        <v>0</v>
      </c>
      <c r="G708" s="27">
        <f>IF(A708="","",IFERROR(AVERAGEIFS(Prensa!$B$2:$B$5001,Prensa!$E$2:$E$5001,N708,Prensa!$F$2:$F$5001,4,Prensa!$G$2:$G$5001,1),""))</f>
        <v>0</v>
      </c>
      <c r="H708" s="26">
        <f>IF(A708="","",COUNT(D708:G708))</f>
        <v>0</v>
      </c>
      <c r="I708" s="27">
        <f>IF(A708="","",IF(H708=0,"",AVERAGE(D708:G708)))</f>
        <v>0</v>
      </c>
      <c r="J708" s="27">
        <f>IF(OR(I708="",C708=""),"",I708-C708)</f>
        <v>0</v>
      </c>
      <c r="K708" s="26">
        <f>IF(A708="","",IF(MES!E708&lt;&gt;4,"Horário do MES fora do padrão",IF(H708&lt;cfgMinCortes,"Cortes insuficientes","Válida")))</f>
        <v>0</v>
      </c>
      <c r="L708" s="27">
        <f>IF(K708="Válida",ABS(J708),"")</f>
        <v>0</v>
      </c>
      <c r="M708" s="26">
        <f>IF(K708="Válida",IF(L708&lt;=cfgTolerancia,"Sim","Não"),"")</f>
        <v>0</v>
      </c>
      <c r="N708" s="26">
        <f>IF(A708="","",MES!D708)</f>
        <v>0</v>
      </c>
      <c r="O708" s="25">
        <f>IF(K708="Válida",A708,NA())</f>
        <v>0</v>
      </c>
      <c r="P708" s="27">
        <f>IF(K708="Válida",C708,NA())</f>
        <v>0</v>
      </c>
      <c r="Q708" s="27">
        <f>IF(K708="Válida",I708,NA())</f>
        <v>0</v>
      </c>
      <c r="R708" s="27">
        <f>IF(K708="Válida",J708,NA())</f>
        <v>0</v>
      </c>
      <c r="S708" s="27">
        <f>IF(K708="Válida",C708,"")</f>
        <v>0</v>
      </c>
      <c r="T708" s="27">
        <f>IF(K708="Válida",I708,"")</f>
        <v>0</v>
      </c>
      <c r="U708" s="27">
        <f>IF(K708="Válida",J708,"")</f>
        <v>0</v>
      </c>
    </row>
    <row r="709" spans="1:21">
      <c r="A709" s="25">
        <f>IF(MES!A709="","",MES!C709/48)</f>
        <v>0</v>
      </c>
      <c r="B709" s="26">
        <f>IF(A709="","",TEXT((N709*4+cfgDeslocamento)/48,"hh:mm")&amp;" a "&amp;TEXT(A709,"hh:mm"))</f>
        <v>0</v>
      </c>
      <c r="C709" s="27">
        <f>IF(A709="","",MES!B709)</f>
        <v>0</v>
      </c>
      <c r="D709" s="27">
        <f>IF(A709="","",IFERROR(AVERAGEIFS(Prensa!$B$2:$B$5001,Prensa!$E$2:$E$5001,N709,Prensa!$F$2:$F$5001,1,Prensa!$G$2:$G$5001,1),""))</f>
        <v>0</v>
      </c>
      <c r="E709" s="27">
        <f>IF(A709="","",IFERROR(AVERAGEIFS(Prensa!$B$2:$B$5001,Prensa!$E$2:$E$5001,N709,Prensa!$F$2:$F$5001,2,Prensa!$G$2:$G$5001,1),""))</f>
        <v>0</v>
      </c>
      <c r="F709" s="27">
        <f>IF(A709="","",IFERROR(AVERAGEIFS(Prensa!$B$2:$B$5001,Prensa!$E$2:$E$5001,N709,Prensa!$F$2:$F$5001,3,Prensa!$G$2:$G$5001,1),""))</f>
        <v>0</v>
      </c>
      <c r="G709" s="27">
        <f>IF(A709="","",IFERROR(AVERAGEIFS(Prensa!$B$2:$B$5001,Prensa!$E$2:$E$5001,N709,Prensa!$F$2:$F$5001,4,Prensa!$G$2:$G$5001,1),""))</f>
        <v>0</v>
      </c>
      <c r="H709" s="26">
        <f>IF(A709="","",COUNT(D709:G709))</f>
        <v>0</v>
      </c>
      <c r="I709" s="27">
        <f>IF(A709="","",IF(H709=0,"",AVERAGE(D709:G709)))</f>
        <v>0</v>
      </c>
      <c r="J709" s="27">
        <f>IF(OR(I709="",C709=""),"",I709-C709)</f>
        <v>0</v>
      </c>
      <c r="K709" s="26">
        <f>IF(A709="","",IF(MES!E709&lt;&gt;4,"Horário do MES fora do padrão",IF(H709&lt;cfgMinCortes,"Cortes insuficientes","Válida")))</f>
        <v>0</v>
      </c>
      <c r="L709" s="27">
        <f>IF(K709="Válida",ABS(J709),"")</f>
        <v>0</v>
      </c>
      <c r="M709" s="26">
        <f>IF(K709="Válida",IF(L709&lt;=cfgTolerancia,"Sim","Não"),"")</f>
        <v>0</v>
      </c>
      <c r="N709" s="26">
        <f>IF(A709="","",MES!D709)</f>
        <v>0</v>
      </c>
      <c r="O709" s="25">
        <f>IF(K709="Válida",A709,NA())</f>
        <v>0</v>
      </c>
      <c r="P709" s="27">
        <f>IF(K709="Válida",C709,NA())</f>
        <v>0</v>
      </c>
      <c r="Q709" s="27">
        <f>IF(K709="Válida",I709,NA())</f>
        <v>0</v>
      </c>
      <c r="R709" s="27">
        <f>IF(K709="Válida",J709,NA())</f>
        <v>0</v>
      </c>
      <c r="S709" s="27">
        <f>IF(K709="Válida",C709,"")</f>
        <v>0</v>
      </c>
      <c r="T709" s="27">
        <f>IF(K709="Válida",I709,"")</f>
        <v>0</v>
      </c>
      <c r="U709" s="27">
        <f>IF(K709="Válida",J709,"")</f>
        <v>0</v>
      </c>
    </row>
    <row r="710" spans="1:21">
      <c r="A710" s="25">
        <f>IF(MES!A710="","",MES!C710/48)</f>
        <v>0</v>
      </c>
      <c r="B710" s="26">
        <f>IF(A710="","",TEXT((N710*4+cfgDeslocamento)/48,"hh:mm")&amp;" a "&amp;TEXT(A710,"hh:mm"))</f>
        <v>0</v>
      </c>
      <c r="C710" s="27">
        <f>IF(A710="","",MES!B710)</f>
        <v>0</v>
      </c>
      <c r="D710" s="27">
        <f>IF(A710="","",IFERROR(AVERAGEIFS(Prensa!$B$2:$B$5001,Prensa!$E$2:$E$5001,N710,Prensa!$F$2:$F$5001,1,Prensa!$G$2:$G$5001,1),""))</f>
        <v>0</v>
      </c>
      <c r="E710" s="27">
        <f>IF(A710="","",IFERROR(AVERAGEIFS(Prensa!$B$2:$B$5001,Prensa!$E$2:$E$5001,N710,Prensa!$F$2:$F$5001,2,Prensa!$G$2:$G$5001,1),""))</f>
        <v>0</v>
      </c>
      <c r="F710" s="27">
        <f>IF(A710="","",IFERROR(AVERAGEIFS(Prensa!$B$2:$B$5001,Prensa!$E$2:$E$5001,N710,Prensa!$F$2:$F$5001,3,Prensa!$G$2:$G$5001,1),""))</f>
        <v>0</v>
      </c>
      <c r="G710" s="27">
        <f>IF(A710="","",IFERROR(AVERAGEIFS(Prensa!$B$2:$B$5001,Prensa!$E$2:$E$5001,N710,Prensa!$F$2:$F$5001,4,Prensa!$G$2:$G$5001,1),""))</f>
        <v>0</v>
      </c>
      <c r="H710" s="26">
        <f>IF(A710="","",COUNT(D710:G710))</f>
        <v>0</v>
      </c>
      <c r="I710" s="27">
        <f>IF(A710="","",IF(H710=0,"",AVERAGE(D710:G710)))</f>
        <v>0</v>
      </c>
      <c r="J710" s="27">
        <f>IF(OR(I710="",C710=""),"",I710-C710)</f>
        <v>0</v>
      </c>
      <c r="K710" s="26">
        <f>IF(A710="","",IF(MES!E710&lt;&gt;4,"Horário do MES fora do padrão",IF(H710&lt;cfgMinCortes,"Cortes insuficientes","Válida")))</f>
        <v>0</v>
      </c>
      <c r="L710" s="27">
        <f>IF(K710="Válida",ABS(J710),"")</f>
        <v>0</v>
      </c>
      <c r="M710" s="26">
        <f>IF(K710="Válida",IF(L710&lt;=cfgTolerancia,"Sim","Não"),"")</f>
        <v>0</v>
      </c>
      <c r="N710" s="26">
        <f>IF(A710="","",MES!D710)</f>
        <v>0</v>
      </c>
      <c r="O710" s="25">
        <f>IF(K710="Válida",A710,NA())</f>
        <v>0</v>
      </c>
      <c r="P710" s="27">
        <f>IF(K710="Válida",C710,NA())</f>
        <v>0</v>
      </c>
      <c r="Q710" s="27">
        <f>IF(K710="Válida",I710,NA())</f>
        <v>0</v>
      </c>
      <c r="R710" s="27">
        <f>IF(K710="Válida",J710,NA())</f>
        <v>0</v>
      </c>
      <c r="S710" s="27">
        <f>IF(K710="Válida",C710,"")</f>
        <v>0</v>
      </c>
      <c r="T710" s="27">
        <f>IF(K710="Válida",I710,"")</f>
        <v>0</v>
      </c>
      <c r="U710" s="27">
        <f>IF(K710="Válida",J710,"")</f>
        <v>0</v>
      </c>
    </row>
    <row r="711" spans="1:21">
      <c r="A711" s="25">
        <f>IF(MES!A711="","",MES!C711/48)</f>
        <v>0</v>
      </c>
      <c r="B711" s="26">
        <f>IF(A711="","",TEXT((N711*4+cfgDeslocamento)/48,"hh:mm")&amp;" a "&amp;TEXT(A711,"hh:mm"))</f>
        <v>0</v>
      </c>
      <c r="C711" s="27">
        <f>IF(A711="","",MES!B711)</f>
        <v>0</v>
      </c>
      <c r="D711" s="27">
        <f>IF(A711="","",IFERROR(AVERAGEIFS(Prensa!$B$2:$B$5001,Prensa!$E$2:$E$5001,N711,Prensa!$F$2:$F$5001,1,Prensa!$G$2:$G$5001,1),""))</f>
        <v>0</v>
      </c>
      <c r="E711" s="27">
        <f>IF(A711="","",IFERROR(AVERAGEIFS(Prensa!$B$2:$B$5001,Prensa!$E$2:$E$5001,N711,Prensa!$F$2:$F$5001,2,Prensa!$G$2:$G$5001,1),""))</f>
        <v>0</v>
      </c>
      <c r="F711" s="27">
        <f>IF(A711="","",IFERROR(AVERAGEIFS(Prensa!$B$2:$B$5001,Prensa!$E$2:$E$5001,N711,Prensa!$F$2:$F$5001,3,Prensa!$G$2:$G$5001,1),""))</f>
        <v>0</v>
      </c>
      <c r="G711" s="27">
        <f>IF(A711="","",IFERROR(AVERAGEIFS(Prensa!$B$2:$B$5001,Prensa!$E$2:$E$5001,N711,Prensa!$F$2:$F$5001,4,Prensa!$G$2:$G$5001,1),""))</f>
        <v>0</v>
      </c>
      <c r="H711" s="26">
        <f>IF(A711="","",COUNT(D711:G711))</f>
        <v>0</v>
      </c>
      <c r="I711" s="27">
        <f>IF(A711="","",IF(H711=0,"",AVERAGE(D711:G711)))</f>
        <v>0</v>
      </c>
      <c r="J711" s="27">
        <f>IF(OR(I711="",C711=""),"",I711-C711)</f>
        <v>0</v>
      </c>
      <c r="K711" s="26">
        <f>IF(A711="","",IF(MES!E711&lt;&gt;4,"Horário do MES fora do padrão",IF(H711&lt;cfgMinCortes,"Cortes insuficientes","Válida")))</f>
        <v>0</v>
      </c>
      <c r="L711" s="27">
        <f>IF(K711="Válida",ABS(J711),"")</f>
        <v>0</v>
      </c>
      <c r="M711" s="26">
        <f>IF(K711="Válida",IF(L711&lt;=cfgTolerancia,"Sim","Não"),"")</f>
        <v>0</v>
      </c>
      <c r="N711" s="26">
        <f>IF(A711="","",MES!D711)</f>
        <v>0</v>
      </c>
      <c r="O711" s="25">
        <f>IF(K711="Válida",A711,NA())</f>
        <v>0</v>
      </c>
      <c r="P711" s="27">
        <f>IF(K711="Válida",C711,NA())</f>
        <v>0</v>
      </c>
      <c r="Q711" s="27">
        <f>IF(K711="Válida",I711,NA())</f>
        <v>0</v>
      </c>
      <c r="R711" s="27">
        <f>IF(K711="Válida",J711,NA())</f>
        <v>0</v>
      </c>
      <c r="S711" s="27">
        <f>IF(K711="Válida",C711,"")</f>
        <v>0</v>
      </c>
      <c r="T711" s="27">
        <f>IF(K711="Válida",I711,"")</f>
        <v>0</v>
      </c>
      <c r="U711" s="27">
        <f>IF(K711="Válida",J711,"")</f>
        <v>0</v>
      </c>
    </row>
    <row r="712" spans="1:21">
      <c r="A712" s="25">
        <f>IF(MES!A712="","",MES!C712/48)</f>
        <v>0</v>
      </c>
      <c r="B712" s="26">
        <f>IF(A712="","",TEXT((N712*4+cfgDeslocamento)/48,"hh:mm")&amp;" a "&amp;TEXT(A712,"hh:mm"))</f>
        <v>0</v>
      </c>
      <c r="C712" s="27">
        <f>IF(A712="","",MES!B712)</f>
        <v>0</v>
      </c>
      <c r="D712" s="27">
        <f>IF(A712="","",IFERROR(AVERAGEIFS(Prensa!$B$2:$B$5001,Prensa!$E$2:$E$5001,N712,Prensa!$F$2:$F$5001,1,Prensa!$G$2:$G$5001,1),""))</f>
        <v>0</v>
      </c>
      <c r="E712" s="27">
        <f>IF(A712="","",IFERROR(AVERAGEIFS(Prensa!$B$2:$B$5001,Prensa!$E$2:$E$5001,N712,Prensa!$F$2:$F$5001,2,Prensa!$G$2:$G$5001,1),""))</f>
        <v>0</v>
      </c>
      <c r="F712" s="27">
        <f>IF(A712="","",IFERROR(AVERAGEIFS(Prensa!$B$2:$B$5001,Prensa!$E$2:$E$5001,N712,Prensa!$F$2:$F$5001,3,Prensa!$G$2:$G$5001,1),""))</f>
        <v>0</v>
      </c>
      <c r="G712" s="27">
        <f>IF(A712="","",IFERROR(AVERAGEIFS(Prensa!$B$2:$B$5001,Prensa!$E$2:$E$5001,N712,Prensa!$F$2:$F$5001,4,Prensa!$G$2:$G$5001,1),""))</f>
        <v>0</v>
      </c>
      <c r="H712" s="26">
        <f>IF(A712="","",COUNT(D712:G712))</f>
        <v>0</v>
      </c>
      <c r="I712" s="27">
        <f>IF(A712="","",IF(H712=0,"",AVERAGE(D712:G712)))</f>
        <v>0</v>
      </c>
      <c r="J712" s="27">
        <f>IF(OR(I712="",C712=""),"",I712-C712)</f>
        <v>0</v>
      </c>
      <c r="K712" s="26">
        <f>IF(A712="","",IF(MES!E712&lt;&gt;4,"Horário do MES fora do padrão",IF(H712&lt;cfgMinCortes,"Cortes insuficientes","Válida")))</f>
        <v>0</v>
      </c>
      <c r="L712" s="27">
        <f>IF(K712="Válida",ABS(J712),"")</f>
        <v>0</v>
      </c>
      <c r="M712" s="26">
        <f>IF(K712="Válida",IF(L712&lt;=cfgTolerancia,"Sim","Não"),"")</f>
        <v>0</v>
      </c>
      <c r="N712" s="26">
        <f>IF(A712="","",MES!D712)</f>
        <v>0</v>
      </c>
      <c r="O712" s="25">
        <f>IF(K712="Válida",A712,NA())</f>
        <v>0</v>
      </c>
      <c r="P712" s="27">
        <f>IF(K712="Válida",C712,NA())</f>
        <v>0</v>
      </c>
      <c r="Q712" s="27">
        <f>IF(K712="Válida",I712,NA())</f>
        <v>0</v>
      </c>
      <c r="R712" s="27">
        <f>IF(K712="Válida",J712,NA())</f>
        <v>0</v>
      </c>
      <c r="S712" s="27">
        <f>IF(K712="Válida",C712,"")</f>
        <v>0</v>
      </c>
      <c r="T712" s="27">
        <f>IF(K712="Válida",I712,"")</f>
        <v>0</v>
      </c>
      <c r="U712" s="27">
        <f>IF(K712="Válida",J712,"")</f>
        <v>0</v>
      </c>
    </row>
    <row r="713" spans="1:21">
      <c r="A713" s="25">
        <f>IF(MES!A713="","",MES!C713/48)</f>
        <v>0</v>
      </c>
      <c r="B713" s="26">
        <f>IF(A713="","",TEXT((N713*4+cfgDeslocamento)/48,"hh:mm")&amp;" a "&amp;TEXT(A713,"hh:mm"))</f>
        <v>0</v>
      </c>
      <c r="C713" s="27">
        <f>IF(A713="","",MES!B713)</f>
        <v>0</v>
      </c>
      <c r="D713" s="27">
        <f>IF(A713="","",IFERROR(AVERAGEIFS(Prensa!$B$2:$B$5001,Prensa!$E$2:$E$5001,N713,Prensa!$F$2:$F$5001,1,Prensa!$G$2:$G$5001,1),""))</f>
        <v>0</v>
      </c>
      <c r="E713" s="27">
        <f>IF(A713="","",IFERROR(AVERAGEIFS(Prensa!$B$2:$B$5001,Prensa!$E$2:$E$5001,N713,Prensa!$F$2:$F$5001,2,Prensa!$G$2:$G$5001,1),""))</f>
        <v>0</v>
      </c>
      <c r="F713" s="27">
        <f>IF(A713="","",IFERROR(AVERAGEIFS(Prensa!$B$2:$B$5001,Prensa!$E$2:$E$5001,N713,Prensa!$F$2:$F$5001,3,Prensa!$G$2:$G$5001,1),""))</f>
        <v>0</v>
      </c>
      <c r="G713" s="27">
        <f>IF(A713="","",IFERROR(AVERAGEIFS(Prensa!$B$2:$B$5001,Prensa!$E$2:$E$5001,N713,Prensa!$F$2:$F$5001,4,Prensa!$G$2:$G$5001,1),""))</f>
        <v>0</v>
      </c>
      <c r="H713" s="26">
        <f>IF(A713="","",COUNT(D713:G713))</f>
        <v>0</v>
      </c>
      <c r="I713" s="27">
        <f>IF(A713="","",IF(H713=0,"",AVERAGE(D713:G713)))</f>
        <v>0</v>
      </c>
      <c r="J713" s="27">
        <f>IF(OR(I713="",C713=""),"",I713-C713)</f>
        <v>0</v>
      </c>
      <c r="K713" s="26">
        <f>IF(A713="","",IF(MES!E713&lt;&gt;4,"Horário do MES fora do padrão",IF(H713&lt;cfgMinCortes,"Cortes insuficientes","Válida")))</f>
        <v>0</v>
      </c>
      <c r="L713" s="27">
        <f>IF(K713="Válida",ABS(J713),"")</f>
        <v>0</v>
      </c>
      <c r="M713" s="26">
        <f>IF(K713="Válida",IF(L713&lt;=cfgTolerancia,"Sim","Não"),"")</f>
        <v>0</v>
      </c>
      <c r="N713" s="26">
        <f>IF(A713="","",MES!D713)</f>
        <v>0</v>
      </c>
      <c r="O713" s="25">
        <f>IF(K713="Válida",A713,NA())</f>
        <v>0</v>
      </c>
      <c r="P713" s="27">
        <f>IF(K713="Válida",C713,NA())</f>
        <v>0</v>
      </c>
      <c r="Q713" s="27">
        <f>IF(K713="Válida",I713,NA())</f>
        <v>0</v>
      </c>
      <c r="R713" s="27">
        <f>IF(K713="Válida",J713,NA())</f>
        <v>0</v>
      </c>
      <c r="S713" s="27">
        <f>IF(K713="Válida",C713,"")</f>
        <v>0</v>
      </c>
      <c r="T713" s="27">
        <f>IF(K713="Válida",I713,"")</f>
        <v>0</v>
      </c>
      <c r="U713" s="27">
        <f>IF(K713="Válida",J713,"")</f>
        <v>0</v>
      </c>
    </row>
    <row r="714" spans="1:21">
      <c r="A714" s="25">
        <f>IF(MES!A714="","",MES!C714/48)</f>
        <v>0</v>
      </c>
      <c r="B714" s="26">
        <f>IF(A714="","",TEXT((N714*4+cfgDeslocamento)/48,"hh:mm")&amp;" a "&amp;TEXT(A714,"hh:mm"))</f>
        <v>0</v>
      </c>
      <c r="C714" s="27">
        <f>IF(A714="","",MES!B714)</f>
        <v>0</v>
      </c>
      <c r="D714" s="27">
        <f>IF(A714="","",IFERROR(AVERAGEIFS(Prensa!$B$2:$B$5001,Prensa!$E$2:$E$5001,N714,Prensa!$F$2:$F$5001,1,Prensa!$G$2:$G$5001,1),""))</f>
        <v>0</v>
      </c>
      <c r="E714" s="27">
        <f>IF(A714="","",IFERROR(AVERAGEIFS(Prensa!$B$2:$B$5001,Prensa!$E$2:$E$5001,N714,Prensa!$F$2:$F$5001,2,Prensa!$G$2:$G$5001,1),""))</f>
        <v>0</v>
      </c>
      <c r="F714" s="27">
        <f>IF(A714="","",IFERROR(AVERAGEIFS(Prensa!$B$2:$B$5001,Prensa!$E$2:$E$5001,N714,Prensa!$F$2:$F$5001,3,Prensa!$G$2:$G$5001,1),""))</f>
        <v>0</v>
      </c>
      <c r="G714" s="27">
        <f>IF(A714="","",IFERROR(AVERAGEIFS(Prensa!$B$2:$B$5001,Prensa!$E$2:$E$5001,N714,Prensa!$F$2:$F$5001,4,Prensa!$G$2:$G$5001,1),""))</f>
        <v>0</v>
      </c>
      <c r="H714" s="26">
        <f>IF(A714="","",COUNT(D714:G714))</f>
        <v>0</v>
      </c>
      <c r="I714" s="27">
        <f>IF(A714="","",IF(H714=0,"",AVERAGE(D714:G714)))</f>
        <v>0</v>
      </c>
      <c r="J714" s="27">
        <f>IF(OR(I714="",C714=""),"",I714-C714)</f>
        <v>0</v>
      </c>
      <c r="K714" s="26">
        <f>IF(A714="","",IF(MES!E714&lt;&gt;4,"Horário do MES fora do padrão",IF(H714&lt;cfgMinCortes,"Cortes insuficientes","Válida")))</f>
        <v>0</v>
      </c>
      <c r="L714" s="27">
        <f>IF(K714="Válida",ABS(J714),"")</f>
        <v>0</v>
      </c>
      <c r="M714" s="26">
        <f>IF(K714="Válida",IF(L714&lt;=cfgTolerancia,"Sim","Não"),"")</f>
        <v>0</v>
      </c>
      <c r="N714" s="26">
        <f>IF(A714="","",MES!D714)</f>
        <v>0</v>
      </c>
      <c r="O714" s="25">
        <f>IF(K714="Válida",A714,NA())</f>
        <v>0</v>
      </c>
      <c r="P714" s="27">
        <f>IF(K714="Válida",C714,NA())</f>
        <v>0</v>
      </c>
      <c r="Q714" s="27">
        <f>IF(K714="Válida",I714,NA())</f>
        <v>0</v>
      </c>
      <c r="R714" s="27">
        <f>IF(K714="Válida",J714,NA())</f>
        <v>0</v>
      </c>
      <c r="S714" s="27">
        <f>IF(K714="Válida",C714,"")</f>
        <v>0</v>
      </c>
      <c r="T714" s="27">
        <f>IF(K714="Válida",I714,"")</f>
        <v>0</v>
      </c>
      <c r="U714" s="27">
        <f>IF(K714="Válida",J714,"")</f>
        <v>0</v>
      </c>
    </row>
    <row r="715" spans="1:21">
      <c r="A715" s="25">
        <f>IF(MES!A715="","",MES!C715/48)</f>
        <v>0</v>
      </c>
      <c r="B715" s="26">
        <f>IF(A715="","",TEXT((N715*4+cfgDeslocamento)/48,"hh:mm")&amp;" a "&amp;TEXT(A715,"hh:mm"))</f>
        <v>0</v>
      </c>
      <c r="C715" s="27">
        <f>IF(A715="","",MES!B715)</f>
        <v>0</v>
      </c>
      <c r="D715" s="27">
        <f>IF(A715="","",IFERROR(AVERAGEIFS(Prensa!$B$2:$B$5001,Prensa!$E$2:$E$5001,N715,Prensa!$F$2:$F$5001,1,Prensa!$G$2:$G$5001,1),""))</f>
        <v>0</v>
      </c>
      <c r="E715" s="27">
        <f>IF(A715="","",IFERROR(AVERAGEIFS(Prensa!$B$2:$B$5001,Prensa!$E$2:$E$5001,N715,Prensa!$F$2:$F$5001,2,Prensa!$G$2:$G$5001,1),""))</f>
        <v>0</v>
      </c>
      <c r="F715" s="27">
        <f>IF(A715="","",IFERROR(AVERAGEIFS(Prensa!$B$2:$B$5001,Prensa!$E$2:$E$5001,N715,Prensa!$F$2:$F$5001,3,Prensa!$G$2:$G$5001,1),""))</f>
        <v>0</v>
      </c>
      <c r="G715" s="27">
        <f>IF(A715="","",IFERROR(AVERAGEIFS(Prensa!$B$2:$B$5001,Prensa!$E$2:$E$5001,N715,Prensa!$F$2:$F$5001,4,Prensa!$G$2:$G$5001,1),""))</f>
        <v>0</v>
      </c>
      <c r="H715" s="26">
        <f>IF(A715="","",COUNT(D715:G715))</f>
        <v>0</v>
      </c>
      <c r="I715" s="27">
        <f>IF(A715="","",IF(H715=0,"",AVERAGE(D715:G715)))</f>
        <v>0</v>
      </c>
      <c r="J715" s="27">
        <f>IF(OR(I715="",C715=""),"",I715-C715)</f>
        <v>0</v>
      </c>
      <c r="K715" s="26">
        <f>IF(A715="","",IF(MES!E715&lt;&gt;4,"Horário do MES fora do padrão",IF(H715&lt;cfgMinCortes,"Cortes insuficientes","Válida")))</f>
        <v>0</v>
      </c>
      <c r="L715" s="27">
        <f>IF(K715="Válida",ABS(J715),"")</f>
        <v>0</v>
      </c>
      <c r="M715" s="26">
        <f>IF(K715="Válida",IF(L715&lt;=cfgTolerancia,"Sim","Não"),"")</f>
        <v>0</v>
      </c>
      <c r="N715" s="26">
        <f>IF(A715="","",MES!D715)</f>
        <v>0</v>
      </c>
      <c r="O715" s="25">
        <f>IF(K715="Válida",A715,NA())</f>
        <v>0</v>
      </c>
      <c r="P715" s="27">
        <f>IF(K715="Válida",C715,NA())</f>
        <v>0</v>
      </c>
      <c r="Q715" s="27">
        <f>IF(K715="Válida",I715,NA())</f>
        <v>0</v>
      </c>
      <c r="R715" s="27">
        <f>IF(K715="Válida",J715,NA())</f>
        <v>0</v>
      </c>
      <c r="S715" s="27">
        <f>IF(K715="Válida",C715,"")</f>
        <v>0</v>
      </c>
      <c r="T715" s="27">
        <f>IF(K715="Válida",I715,"")</f>
        <v>0</v>
      </c>
      <c r="U715" s="27">
        <f>IF(K715="Válida",J715,"")</f>
        <v>0</v>
      </c>
    </row>
    <row r="716" spans="1:21">
      <c r="A716" s="25">
        <f>IF(MES!A716="","",MES!C716/48)</f>
        <v>0</v>
      </c>
      <c r="B716" s="26">
        <f>IF(A716="","",TEXT((N716*4+cfgDeslocamento)/48,"hh:mm")&amp;" a "&amp;TEXT(A716,"hh:mm"))</f>
        <v>0</v>
      </c>
      <c r="C716" s="27">
        <f>IF(A716="","",MES!B716)</f>
        <v>0</v>
      </c>
      <c r="D716" s="27">
        <f>IF(A716="","",IFERROR(AVERAGEIFS(Prensa!$B$2:$B$5001,Prensa!$E$2:$E$5001,N716,Prensa!$F$2:$F$5001,1,Prensa!$G$2:$G$5001,1),""))</f>
        <v>0</v>
      </c>
      <c r="E716" s="27">
        <f>IF(A716="","",IFERROR(AVERAGEIFS(Prensa!$B$2:$B$5001,Prensa!$E$2:$E$5001,N716,Prensa!$F$2:$F$5001,2,Prensa!$G$2:$G$5001,1),""))</f>
        <v>0</v>
      </c>
      <c r="F716" s="27">
        <f>IF(A716="","",IFERROR(AVERAGEIFS(Prensa!$B$2:$B$5001,Prensa!$E$2:$E$5001,N716,Prensa!$F$2:$F$5001,3,Prensa!$G$2:$G$5001,1),""))</f>
        <v>0</v>
      </c>
      <c r="G716" s="27">
        <f>IF(A716="","",IFERROR(AVERAGEIFS(Prensa!$B$2:$B$5001,Prensa!$E$2:$E$5001,N716,Prensa!$F$2:$F$5001,4,Prensa!$G$2:$G$5001,1),""))</f>
        <v>0</v>
      </c>
      <c r="H716" s="26">
        <f>IF(A716="","",COUNT(D716:G716))</f>
        <v>0</v>
      </c>
      <c r="I716" s="27">
        <f>IF(A716="","",IF(H716=0,"",AVERAGE(D716:G716)))</f>
        <v>0</v>
      </c>
      <c r="J716" s="27">
        <f>IF(OR(I716="",C716=""),"",I716-C716)</f>
        <v>0</v>
      </c>
      <c r="K716" s="26">
        <f>IF(A716="","",IF(MES!E716&lt;&gt;4,"Horário do MES fora do padrão",IF(H716&lt;cfgMinCortes,"Cortes insuficientes","Válida")))</f>
        <v>0</v>
      </c>
      <c r="L716" s="27">
        <f>IF(K716="Válida",ABS(J716),"")</f>
        <v>0</v>
      </c>
      <c r="M716" s="26">
        <f>IF(K716="Válida",IF(L716&lt;=cfgTolerancia,"Sim","Não"),"")</f>
        <v>0</v>
      </c>
      <c r="N716" s="26">
        <f>IF(A716="","",MES!D716)</f>
        <v>0</v>
      </c>
      <c r="O716" s="25">
        <f>IF(K716="Válida",A716,NA())</f>
        <v>0</v>
      </c>
      <c r="P716" s="27">
        <f>IF(K716="Válida",C716,NA())</f>
        <v>0</v>
      </c>
      <c r="Q716" s="27">
        <f>IF(K716="Válida",I716,NA())</f>
        <v>0</v>
      </c>
      <c r="R716" s="27">
        <f>IF(K716="Válida",J716,NA())</f>
        <v>0</v>
      </c>
      <c r="S716" s="27">
        <f>IF(K716="Válida",C716,"")</f>
        <v>0</v>
      </c>
      <c r="T716" s="27">
        <f>IF(K716="Válida",I716,"")</f>
        <v>0</v>
      </c>
      <c r="U716" s="27">
        <f>IF(K716="Válida",J716,"")</f>
        <v>0</v>
      </c>
    </row>
    <row r="717" spans="1:21">
      <c r="A717" s="25">
        <f>IF(MES!A717="","",MES!C717/48)</f>
        <v>0</v>
      </c>
      <c r="B717" s="26">
        <f>IF(A717="","",TEXT((N717*4+cfgDeslocamento)/48,"hh:mm")&amp;" a "&amp;TEXT(A717,"hh:mm"))</f>
        <v>0</v>
      </c>
      <c r="C717" s="27">
        <f>IF(A717="","",MES!B717)</f>
        <v>0</v>
      </c>
      <c r="D717" s="27">
        <f>IF(A717="","",IFERROR(AVERAGEIFS(Prensa!$B$2:$B$5001,Prensa!$E$2:$E$5001,N717,Prensa!$F$2:$F$5001,1,Prensa!$G$2:$G$5001,1),""))</f>
        <v>0</v>
      </c>
      <c r="E717" s="27">
        <f>IF(A717="","",IFERROR(AVERAGEIFS(Prensa!$B$2:$B$5001,Prensa!$E$2:$E$5001,N717,Prensa!$F$2:$F$5001,2,Prensa!$G$2:$G$5001,1),""))</f>
        <v>0</v>
      </c>
      <c r="F717" s="27">
        <f>IF(A717="","",IFERROR(AVERAGEIFS(Prensa!$B$2:$B$5001,Prensa!$E$2:$E$5001,N717,Prensa!$F$2:$F$5001,3,Prensa!$G$2:$G$5001,1),""))</f>
        <v>0</v>
      </c>
      <c r="G717" s="27">
        <f>IF(A717="","",IFERROR(AVERAGEIFS(Prensa!$B$2:$B$5001,Prensa!$E$2:$E$5001,N717,Prensa!$F$2:$F$5001,4,Prensa!$G$2:$G$5001,1),""))</f>
        <v>0</v>
      </c>
      <c r="H717" s="26">
        <f>IF(A717="","",COUNT(D717:G717))</f>
        <v>0</v>
      </c>
      <c r="I717" s="27">
        <f>IF(A717="","",IF(H717=0,"",AVERAGE(D717:G717)))</f>
        <v>0</v>
      </c>
      <c r="J717" s="27">
        <f>IF(OR(I717="",C717=""),"",I717-C717)</f>
        <v>0</v>
      </c>
      <c r="K717" s="26">
        <f>IF(A717="","",IF(MES!E717&lt;&gt;4,"Horário do MES fora do padrão",IF(H717&lt;cfgMinCortes,"Cortes insuficientes","Válida")))</f>
        <v>0</v>
      </c>
      <c r="L717" s="27">
        <f>IF(K717="Válida",ABS(J717),"")</f>
        <v>0</v>
      </c>
      <c r="M717" s="26">
        <f>IF(K717="Válida",IF(L717&lt;=cfgTolerancia,"Sim","Não"),"")</f>
        <v>0</v>
      </c>
      <c r="N717" s="26">
        <f>IF(A717="","",MES!D717)</f>
        <v>0</v>
      </c>
      <c r="O717" s="25">
        <f>IF(K717="Válida",A717,NA())</f>
        <v>0</v>
      </c>
      <c r="P717" s="27">
        <f>IF(K717="Válida",C717,NA())</f>
        <v>0</v>
      </c>
      <c r="Q717" s="27">
        <f>IF(K717="Válida",I717,NA())</f>
        <v>0</v>
      </c>
      <c r="R717" s="27">
        <f>IF(K717="Válida",J717,NA())</f>
        <v>0</v>
      </c>
      <c r="S717" s="27">
        <f>IF(K717="Válida",C717,"")</f>
        <v>0</v>
      </c>
      <c r="T717" s="27">
        <f>IF(K717="Válida",I717,"")</f>
        <v>0</v>
      </c>
      <c r="U717" s="27">
        <f>IF(K717="Válida",J717,"")</f>
        <v>0</v>
      </c>
    </row>
    <row r="718" spans="1:21">
      <c r="A718" s="25">
        <f>IF(MES!A718="","",MES!C718/48)</f>
        <v>0</v>
      </c>
      <c r="B718" s="26">
        <f>IF(A718="","",TEXT((N718*4+cfgDeslocamento)/48,"hh:mm")&amp;" a "&amp;TEXT(A718,"hh:mm"))</f>
        <v>0</v>
      </c>
      <c r="C718" s="27">
        <f>IF(A718="","",MES!B718)</f>
        <v>0</v>
      </c>
      <c r="D718" s="27">
        <f>IF(A718="","",IFERROR(AVERAGEIFS(Prensa!$B$2:$B$5001,Prensa!$E$2:$E$5001,N718,Prensa!$F$2:$F$5001,1,Prensa!$G$2:$G$5001,1),""))</f>
        <v>0</v>
      </c>
      <c r="E718" s="27">
        <f>IF(A718="","",IFERROR(AVERAGEIFS(Prensa!$B$2:$B$5001,Prensa!$E$2:$E$5001,N718,Prensa!$F$2:$F$5001,2,Prensa!$G$2:$G$5001,1),""))</f>
        <v>0</v>
      </c>
      <c r="F718" s="27">
        <f>IF(A718="","",IFERROR(AVERAGEIFS(Prensa!$B$2:$B$5001,Prensa!$E$2:$E$5001,N718,Prensa!$F$2:$F$5001,3,Prensa!$G$2:$G$5001,1),""))</f>
        <v>0</v>
      </c>
      <c r="G718" s="27">
        <f>IF(A718="","",IFERROR(AVERAGEIFS(Prensa!$B$2:$B$5001,Prensa!$E$2:$E$5001,N718,Prensa!$F$2:$F$5001,4,Prensa!$G$2:$G$5001,1),""))</f>
        <v>0</v>
      </c>
      <c r="H718" s="26">
        <f>IF(A718="","",COUNT(D718:G718))</f>
        <v>0</v>
      </c>
      <c r="I718" s="27">
        <f>IF(A718="","",IF(H718=0,"",AVERAGE(D718:G718)))</f>
        <v>0</v>
      </c>
      <c r="J718" s="27">
        <f>IF(OR(I718="",C718=""),"",I718-C718)</f>
        <v>0</v>
      </c>
      <c r="K718" s="26">
        <f>IF(A718="","",IF(MES!E718&lt;&gt;4,"Horário do MES fora do padrão",IF(H718&lt;cfgMinCortes,"Cortes insuficientes","Válida")))</f>
        <v>0</v>
      </c>
      <c r="L718" s="27">
        <f>IF(K718="Válida",ABS(J718),"")</f>
        <v>0</v>
      </c>
      <c r="M718" s="26">
        <f>IF(K718="Válida",IF(L718&lt;=cfgTolerancia,"Sim","Não"),"")</f>
        <v>0</v>
      </c>
      <c r="N718" s="26">
        <f>IF(A718="","",MES!D718)</f>
        <v>0</v>
      </c>
      <c r="O718" s="25">
        <f>IF(K718="Válida",A718,NA())</f>
        <v>0</v>
      </c>
      <c r="P718" s="27">
        <f>IF(K718="Válida",C718,NA())</f>
        <v>0</v>
      </c>
      <c r="Q718" s="27">
        <f>IF(K718="Válida",I718,NA())</f>
        <v>0</v>
      </c>
      <c r="R718" s="27">
        <f>IF(K718="Válida",J718,NA())</f>
        <v>0</v>
      </c>
      <c r="S718" s="27">
        <f>IF(K718="Válida",C718,"")</f>
        <v>0</v>
      </c>
      <c r="T718" s="27">
        <f>IF(K718="Válida",I718,"")</f>
        <v>0</v>
      </c>
      <c r="U718" s="27">
        <f>IF(K718="Válida",J718,"")</f>
        <v>0</v>
      </c>
    </row>
    <row r="719" spans="1:21">
      <c r="A719" s="25">
        <f>IF(MES!A719="","",MES!C719/48)</f>
        <v>0</v>
      </c>
      <c r="B719" s="26">
        <f>IF(A719="","",TEXT((N719*4+cfgDeslocamento)/48,"hh:mm")&amp;" a "&amp;TEXT(A719,"hh:mm"))</f>
        <v>0</v>
      </c>
      <c r="C719" s="27">
        <f>IF(A719="","",MES!B719)</f>
        <v>0</v>
      </c>
      <c r="D719" s="27">
        <f>IF(A719="","",IFERROR(AVERAGEIFS(Prensa!$B$2:$B$5001,Prensa!$E$2:$E$5001,N719,Prensa!$F$2:$F$5001,1,Prensa!$G$2:$G$5001,1),""))</f>
        <v>0</v>
      </c>
      <c r="E719" s="27">
        <f>IF(A719="","",IFERROR(AVERAGEIFS(Prensa!$B$2:$B$5001,Prensa!$E$2:$E$5001,N719,Prensa!$F$2:$F$5001,2,Prensa!$G$2:$G$5001,1),""))</f>
        <v>0</v>
      </c>
      <c r="F719" s="27">
        <f>IF(A719="","",IFERROR(AVERAGEIFS(Prensa!$B$2:$B$5001,Prensa!$E$2:$E$5001,N719,Prensa!$F$2:$F$5001,3,Prensa!$G$2:$G$5001,1),""))</f>
        <v>0</v>
      </c>
      <c r="G719" s="27">
        <f>IF(A719="","",IFERROR(AVERAGEIFS(Prensa!$B$2:$B$5001,Prensa!$E$2:$E$5001,N719,Prensa!$F$2:$F$5001,4,Prensa!$G$2:$G$5001,1),""))</f>
        <v>0</v>
      </c>
      <c r="H719" s="26">
        <f>IF(A719="","",COUNT(D719:G719))</f>
        <v>0</v>
      </c>
      <c r="I719" s="27">
        <f>IF(A719="","",IF(H719=0,"",AVERAGE(D719:G719)))</f>
        <v>0</v>
      </c>
      <c r="J719" s="27">
        <f>IF(OR(I719="",C719=""),"",I719-C719)</f>
        <v>0</v>
      </c>
      <c r="K719" s="26">
        <f>IF(A719="","",IF(MES!E719&lt;&gt;4,"Horário do MES fora do padrão",IF(H719&lt;cfgMinCortes,"Cortes insuficientes","Válida")))</f>
        <v>0</v>
      </c>
      <c r="L719" s="27">
        <f>IF(K719="Válida",ABS(J719),"")</f>
        <v>0</v>
      </c>
      <c r="M719" s="26">
        <f>IF(K719="Válida",IF(L719&lt;=cfgTolerancia,"Sim","Não"),"")</f>
        <v>0</v>
      </c>
      <c r="N719" s="26">
        <f>IF(A719="","",MES!D719)</f>
        <v>0</v>
      </c>
      <c r="O719" s="25">
        <f>IF(K719="Válida",A719,NA())</f>
        <v>0</v>
      </c>
      <c r="P719" s="27">
        <f>IF(K719="Válida",C719,NA())</f>
        <v>0</v>
      </c>
      <c r="Q719" s="27">
        <f>IF(K719="Válida",I719,NA())</f>
        <v>0</v>
      </c>
      <c r="R719" s="27">
        <f>IF(K719="Válida",J719,NA())</f>
        <v>0</v>
      </c>
      <c r="S719" s="27">
        <f>IF(K719="Válida",C719,"")</f>
        <v>0</v>
      </c>
      <c r="T719" s="27">
        <f>IF(K719="Válida",I719,"")</f>
        <v>0</v>
      </c>
      <c r="U719" s="27">
        <f>IF(K719="Válida",J719,"")</f>
        <v>0</v>
      </c>
    </row>
    <row r="720" spans="1:21">
      <c r="A720" s="25">
        <f>IF(MES!A720="","",MES!C720/48)</f>
        <v>0</v>
      </c>
      <c r="B720" s="26">
        <f>IF(A720="","",TEXT((N720*4+cfgDeslocamento)/48,"hh:mm")&amp;" a "&amp;TEXT(A720,"hh:mm"))</f>
        <v>0</v>
      </c>
      <c r="C720" s="27">
        <f>IF(A720="","",MES!B720)</f>
        <v>0</v>
      </c>
      <c r="D720" s="27">
        <f>IF(A720="","",IFERROR(AVERAGEIFS(Prensa!$B$2:$B$5001,Prensa!$E$2:$E$5001,N720,Prensa!$F$2:$F$5001,1,Prensa!$G$2:$G$5001,1),""))</f>
        <v>0</v>
      </c>
      <c r="E720" s="27">
        <f>IF(A720="","",IFERROR(AVERAGEIFS(Prensa!$B$2:$B$5001,Prensa!$E$2:$E$5001,N720,Prensa!$F$2:$F$5001,2,Prensa!$G$2:$G$5001,1),""))</f>
        <v>0</v>
      </c>
      <c r="F720" s="27">
        <f>IF(A720="","",IFERROR(AVERAGEIFS(Prensa!$B$2:$B$5001,Prensa!$E$2:$E$5001,N720,Prensa!$F$2:$F$5001,3,Prensa!$G$2:$G$5001,1),""))</f>
        <v>0</v>
      </c>
      <c r="G720" s="27">
        <f>IF(A720="","",IFERROR(AVERAGEIFS(Prensa!$B$2:$B$5001,Prensa!$E$2:$E$5001,N720,Prensa!$F$2:$F$5001,4,Prensa!$G$2:$G$5001,1),""))</f>
        <v>0</v>
      </c>
      <c r="H720" s="26">
        <f>IF(A720="","",COUNT(D720:G720))</f>
        <v>0</v>
      </c>
      <c r="I720" s="27">
        <f>IF(A720="","",IF(H720=0,"",AVERAGE(D720:G720)))</f>
        <v>0</v>
      </c>
      <c r="J720" s="27">
        <f>IF(OR(I720="",C720=""),"",I720-C720)</f>
        <v>0</v>
      </c>
      <c r="K720" s="26">
        <f>IF(A720="","",IF(MES!E720&lt;&gt;4,"Horário do MES fora do padrão",IF(H720&lt;cfgMinCortes,"Cortes insuficientes","Válida")))</f>
        <v>0</v>
      </c>
      <c r="L720" s="27">
        <f>IF(K720="Válida",ABS(J720),"")</f>
        <v>0</v>
      </c>
      <c r="M720" s="26">
        <f>IF(K720="Válida",IF(L720&lt;=cfgTolerancia,"Sim","Não"),"")</f>
        <v>0</v>
      </c>
      <c r="N720" s="26">
        <f>IF(A720="","",MES!D720)</f>
        <v>0</v>
      </c>
      <c r="O720" s="25">
        <f>IF(K720="Válida",A720,NA())</f>
        <v>0</v>
      </c>
      <c r="P720" s="27">
        <f>IF(K720="Válida",C720,NA())</f>
        <v>0</v>
      </c>
      <c r="Q720" s="27">
        <f>IF(K720="Válida",I720,NA())</f>
        <v>0</v>
      </c>
      <c r="R720" s="27">
        <f>IF(K720="Válida",J720,NA())</f>
        <v>0</v>
      </c>
      <c r="S720" s="27">
        <f>IF(K720="Válida",C720,"")</f>
        <v>0</v>
      </c>
      <c r="T720" s="27">
        <f>IF(K720="Válida",I720,"")</f>
        <v>0</v>
      </c>
      <c r="U720" s="27">
        <f>IF(K720="Válida",J720,"")</f>
        <v>0</v>
      </c>
    </row>
    <row r="721" spans="1:21">
      <c r="A721" s="25">
        <f>IF(MES!A721="","",MES!C721/48)</f>
        <v>0</v>
      </c>
      <c r="B721" s="26">
        <f>IF(A721="","",TEXT((N721*4+cfgDeslocamento)/48,"hh:mm")&amp;" a "&amp;TEXT(A721,"hh:mm"))</f>
        <v>0</v>
      </c>
      <c r="C721" s="27">
        <f>IF(A721="","",MES!B721)</f>
        <v>0</v>
      </c>
      <c r="D721" s="27">
        <f>IF(A721="","",IFERROR(AVERAGEIFS(Prensa!$B$2:$B$5001,Prensa!$E$2:$E$5001,N721,Prensa!$F$2:$F$5001,1,Prensa!$G$2:$G$5001,1),""))</f>
        <v>0</v>
      </c>
      <c r="E721" s="27">
        <f>IF(A721="","",IFERROR(AVERAGEIFS(Prensa!$B$2:$B$5001,Prensa!$E$2:$E$5001,N721,Prensa!$F$2:$F$5001,2,Prensa!$G$2:$G$5001,1),""))</f>
        <v>0</v>
      </c>
      <c r="F721" s="27">
        <f>IF(A721="","",IFERROR(AVERAGEIFS(Prensa!$B$2:$B$5001,Prensa!$E$2:$E$5001,N721,Prensa!$F$2:$F$5001,3,Prensa!$G$2:$G$5001,1),""))</f>
        <v>0</v>
      </c>
      <c r="G721" s="27">
        <f>IF(A721="","",IFERROR(AVERAGEIFS(Prensa!$B$2:$B$5001,Prensa!$E$2:$E$5001,N721,Prensa!$F$2:$F$5001,4,Prensa!$G$2:$G$5001,1),""))</f>
        <v>0</v>
      </c>
      <c r="H721" s="26">
        <f>IF(A721="","",COUNT(D721:G721))</f>
        <v>0</v>
      </c>
      <c r="I721" s="27">
        <f>IF(A721="","",IF(H721=0,"",AVERAGE(D721:G721)))</f>
        <v>0</v>
      </c>
      <c r="J721" s="27">
        <f>IF(OR(I721="",C721=""),"",I721-C721)</f>
        <v>0</v>
      </c>
      <c r="K721" s="26">
        <f>IF(A721="","",IF(MES!E721&lt;&gt;4,"Horário do MES fora do padrão",IF(H721&lt;cfgMinCortes,"Cortes insuficientes","Válida")))</f>
        <v>0</v>
      </c>
      <c r="L721" s="27">
        <f>IF(K721="Válida",ABS(J721),"")</f>
        <v>0</v>
      </c>
      <c r="M721" s="26">
        <f>IF(K721="Válida",IF(L721&lt;=cfgTolerancia,"Sim","Não"),"")</f>
        <v>0</v>
      </c>
      <c r="N721" s="26">
        <f>IF(A721="","",MES!D721)</f>
        <v>0</v>
      </c>
      <c r="O721" s="25">
        <f>IF(K721="Válida",A721,NA())</f>
        <v>0</v>
      </c>
      <c r="P721" s="27">
        <f>IF(K721="Válida",C721,NA())</f>
        <v>0</v>
      </c>
      <c r="Q721" s="27">
        <f>IF(K721="Válida",I721,NA())</f>
        <v>0</v>
      </c>
      <c r="R721" s="27">
        <f>IF(K721="Válida",J721,NA())</f>
        <v>0</v>
      </c>
      <c r="S721" s="27">
        <f>IF(K721="Válida",C721,"")</f>
        <v>0</v>
      </c>
      <c r="T721" s="27">
        <f>IF(K721="Válida",I721,"")</f>
        <v>0</v>
      </c>
      <c r="U721" s="27">
        <f>IF(K721="Válida",J721,"")</f>
        <v>0</v>
      </c>
    </row>
    <row r="722" spans="1:21">
      <c r="A722" s="25">
        <f>IF(MES!A722="","",MES!C722/48)</f>
        <v>0</v>
      </c>
      <c r="B722" s="26">
        <f>IF(A722="","",TEXT((N722*4+cfgDeslocamento)/48,"hh:mm")&amp;" a "&amp;TEXT(A722,"hh:mm"))</f>
        <v>0</v>
      </c>
      <c r="C722" s="27">
        <f>IF(A722="","",MES!B722)</f>
        <v>0</v>
      </c>
      <c r="D722" s="27">
        <f>IF(A722="","",IFERROR(AVERAGEIFS(Prensa!$B$2:$B$5001,Prensa!$E$2:$E$5001,N722,Prensa!$F$2:$F$5001,1,Prensa!$G$2:$G$5001,1),""))</f>
        <v>0</v>
      </c>
      <c r="E722" s="27">
        <f>IF(A722="","",IFERROR(AVERAGEIFS(Prensa!$B$2:$B$5001,Prensa!$E$2:$E$5001,N722,Prensa!$F$2:$F$5001,2,Prensa!$G$2:$G$5001,1),""))</f>
        <v>0</v>
      </c>
      <c r="F722" s="27">
        <f>IF(A722="","",IFERROR(AVERAGEIFS(Prensa!$B$2:$B$5001,Prensa!$E$2:$E$5001,N722,Prensa!$F$2:$F$5001,3,Prensa!$G$2:$G$5001,1),""))</f>
        <v>0</v>
      </c>
      <c r="G722" s="27">
        <f>IF(A722="","",IFERROR(AVERAGEIFS(Prensa!$B$2:$B$5001,Prensa!$E$2:$E$5001,N722,Prensa!$F$2:$F$5001,4,Prensa!$G$2:$G$5001,1),""))</f>
        <v>0</v>
      </c>
      <c r="H722" s="26">
        <f>IF(A722="","",COUNT(D722:G722))</f>
        <v>0</v>
      </c>
      <c r="I722" s="27">
        <f>IF(A722="","",IF(H722=0,"",AVERAGE(D722:G722)))</f>
        <v>0</v>
      </c>
      <c r="J722" s="27">
        <f>IF(OR(I722="",C722=""),"",I722-C722)</f>
        <v>0</v>
      </c>
      <c r="K722" s="26">
        <f>IF(A722="","",IF(MES!E722&lt;&gt;4,"Horário do MES fora do padrão",IF(H722&lt;cfgMinCortes,"Cortes insuficientes","Válida")))</f>
        <v>0</v>
      </c>
      <c r="L722" s="27">
        <f>IF(K722="Válida",ABS(J722),"")</f>
        <v>0</v>
      </c>
      <c r="M722" s="26">
        <f>IF(K722="Válida",IF(L722&lt;=cfgTolerancia,"Sim","Não"),"")</f>
        <v>0</v>
      </c>
      <c r="N722" s="26">
        <f>IF(A722="","",MES!D722)</f>
        <v>0</v>
      </c>
      <c r="O722" s="25">
        <f>IF(K722="Válida",A722,NA())</f>
        <v>0</v>
      </c>
      <c r="P722" s="27">
        <f>IF(K722="Válida",C722,NA())</f>
        <v>0</v>
      </c>
      <c r="Q722" s="27">
        <f>IF(K722="Válida",I722,NA())</f>
        <v>0</v>
      </c>
      <c r="R722" s="27">
        <f>IF(K722="Válida",J722,NA())</f>
        <v>0</v>
      </c>
      <c r="S722" s="27">
        <f>IF(K722="Válida",C722,"")</f>
        <v>0</v>
      </c>
      <c r="T722" s="27">
        <f>IF(K722="Válida",I722,"")</f>
        <v>0</v>
      </c>
      <c r="U722" s="27">
        <f>IF(K722="Válida",J722,"")</f>
        <v>0</v>
      </c>
    </row>
    <row r="723" spans="1:21">
      <c r="A723" s="25">
        <f>IF(MES!A723="","",MES!C723/48)</f>
        <v>0</v>
      </c>
      <c r="B723" s="26">
        <f>IF(A723="","",TEXT((N723*4+cfgDeslocamento)/48,"hh:mm")&amp;" a "&amp;TEXT(A723,"hh:mm"))</f>
        <v>0</v>
      </c>
      <c r="C723" s="27">
        <f>IF(A723="","",MES!B723)</f>
        <v>0</v>
      </c>
      <c r="D723" s="27">
        <f>IF(A723="","",IFERROR(AVERAGEIFS(Prensa!$B$2:$B$5001,Prensa!$E$2:$E$5001,N723,Prensa!$F$2:$F$5001,1,Prensa!$G$2:$G$5001,1),""))</f>
        <v>0</v>
      </c>
      <c r="E723" s="27">
        <f>IF(A723="","",IFERROR(AVERAGEIFS(Prensa!$B$2:$B$5001,Prensa!$E$2:$E$5001,N723,Prensa!$F$2:$F$5001,2,Prensa!$G$2:$G$5001,1),""))</f>
        <v>0</v>
      </c>
      <c r="F723" s="27">
        <f>IF(A723="","",IFERROR(AVERAGEIFS(Prensa!$B$2:$B$5001,Prensa!$E$2:$E$5001,N723,Prensa!$F$2:$F$5001,3,Prensa!$G$2:$G$5001,1),""))</f>
        <v>0</v>
      </c>
      <c r="G723" s="27">
        <f>IF(A723="","",IFERROR(AVERAGEIFS(Prensa!$B$2:$B$5001,Prensa!$E$2:$E$5001,N723,Prensa!$F$2:$F$5001,4,Prensa!$G$2:$G$5001,1),""))</f>
        <v>0</v>
      </c>
      <c r="H723" s="26">
        <f>IF(A723="","",COUNT(D723:G723))</f>
        <v>0</v>
      </c>
      <c r="I723" s="27">
        <f>IF(A723="","",IF(H723=0,"",AVERAGE(D723:G723)))</f>
        <v>0</v>
      </c>
      <c r="J723" s="27">
        <f>IF(OR(I723="",C723=""),"",I723-C723)</f>
        <v>0</v>
      </c>
      <c r="K723" s="26">
        <f>IF(A723="","",IF(MES!E723&lt;&gt;4,"Horário do MES fora do padrão",IF(H723&lt;cfgMinCortes,"Cortes insuficientes","Válida")))</f>
        <v>0</v>
      </c>
      <c r="L723" s="27">
        <f>IF(K723="Válida",ABS(J723),"")</f>
        <v>0</v>
      </c>
      <c r="M723" s="26">
        <f>IF(K723="Válida",IF(L723&lt;=cfgTolerancia,"Sim","Não"),"")</f>
        <v>0</v>
      </c>
      <c r="N723" s="26">
        <f>IF(A723="","",MES!D723)</f>
        <v>0</v>
      </c>
      <c r="O723" s="25">
        <f>IF(K723="Válida",A723,NA())</f>
        <v>0</v>
      </c>
      <c r="P723" s="27">
        <f>IF(K723="Válida",C723,NA())</f>
        <v>0</v>
      </c>
      <c r="Q723" s="27">
        <f>IF(K723="Válida",I723,NA())</f>
        <v>0</v>
      </c>
      <c r="R723" s="27">
        <f>IF(K723="Válida",J723,NA())</f>
        <v>0</v>
      </c>
      <c r="S723" s="27">
        <f>IF(K723="Válida",C723,"")</f>
        <v>0</v>
      </c>
      <c r="T723" s="27">
        <f>IF(K723="Válida",I723,"")</f>
        <v>0</v>
      </c>
      <c r="U723" s="27">
        <f>IF(K723="Válida",J723,"")</f>
        <v>0</v>
      </c>
    </row>
    <row r="724" spans="1:21">
      <c r="A724" s="25">
        <f>IF(MES!A724="","",MES!C724/48)</f>
        <v>0</v>
      </c>
      <c r="B724" s="26">
        <f>IF(A724="","",TEXT((N724*4+cfgDeslocamento)/48,"hh:mm")&amp;" a "&amp;TEXT(A724,"hh:mm"))</f>
        <v>0</v>
      </c>
      <c r="C724" s="27">
        <f>IF(A724="","",MES!B724)</f>
        <v>0</v>
      </c>
      <c r="D724" s="27">
        <f>IF(A724="","",IFERROR(AVERAGEIFS(Prensa!$B$2:$B$5001,Prensa!$E$2:$E$5001,N724,Prensa!$F$2:$F$5001,1,Prensa!$G$2:$G$5001,1),""))</f>
        <v>0</v>
      </c>
      <c r="E724" s="27">
        <f>IF(A724="","",IFERROR(AVERAGEIFS(Prensa!$B$2:$B$5001,Prensa!$E$2:$E$5001,N724,Prensa!$F$2:$F$5001,2,Prensa!$G$2:$G$5001,1),""))</f>
        <v>0</v>
      </c>
      <c r="F724" s="27">
        <f>IF(A724="","",IFERROR(AVERAGEIFS(Prensa!$B$2:$B$5001,Prensa!$E$2:$E$5001,N724,Prensa!$F$2:$F$5001,3,Prensa!$G$2:$G$5001,1),""))</f>
        <v>0</v>
      </c>
      <c r="G724" s="27">
        <f>IF(A724="","",IFERROR(AVERAGEIFS(Prensa!$B$2:$B$5001,Prensa!$E$2:$E$5001,N724,Prensa!$F$2:$F$5001,4,Prensa!$G$2:$G$5001,1),""))</f>
        <v>0</v>
      </c>
      <c r="H724" s="26">
        <f>IF(A724="","",COUNT(D724:G724))</f>
        <v>0</v>
      </c>
      <c r="I724" s="27">
        <f>IF(A724="","",IF(H724=0,"",AVERAGE(D724:G724)))</f>
        <v>0</v>
      </c>
      <c r="J724" s="27">
        <f>IF(OR(I724="",C724=""),"",I724-C724)</f>
        <v>0</v>
      </c>
      <c r="K724" s="26">
        <f>IF(A724="","",IF(MES!E724&lt;&gt;4,"Horário do MES fora do padrão",IF(H724&lt;cfgMinCortes,"Cortes insuficientes","Válida")))</f>
        <v>0</v>
      </c>
      <c r="L724" s="27">
        <f>IF(K724="Válida",ABS(J724),"")</f>
        <v>0</v>
      </c>
      <c r="M724" s="26">
        <f>IF(K724="Válida",IF(L724&lt;=cfgTolerancia,"Sim","Não"),"")</f>
        <v>0</v>
      </c>
      <c r="N724" s="26">
        <f>IF(A724="","",MES!D724)</f>
        <v>0</v>
      </c>
      <c r="O724" s="25">
        <f>IF(K724="Válida",A724,NA())</f>
        <v>0</v>
      </c>
      <c r="P724" s="27">
        <f>IF(K724="Válida",C724,NA())</f>
        <v>0</v>
      </c>
      <c r="Q724" s="27">
        <f>IF(K724="Válida",I724,NA())</f>
        <v>0</v>
      </c>
      <c r="R724" s="27">
        <f>IF(K724="Válida",J724,NA())</f>
        <v>0</v>
      </c>
      <c r="S724" s="27">
        <f>IF(K724="Válida",C724,"")</f>
        <v>0</v>
      </c>
      <c r="T724" s="27">
        <f>IF(K724="Válida",I724,"")</f>
        <v>0</v>
      </c>
      <c r="U724" s="27">
        <f>IF(K724="Válida",J724,"")</f>
        <v>0</v>
      </c>
    </row>
    <row r="725" spans="1:21">
      <c r="A725" s="25">
        <f>IF(MES!A725="","",MES!C725/48)</f>
        <v>0</v>
      </c>
      <c r="B725" s="26">
        <f>IF(A725="","",TEXT((N725*4+cfgDeslocamento)/48,"hh:mm")&amp;" a "&amp;TEXT(A725,"hh:mm"))</f>
        <v>0</v>
      </c>
      <c r="C725" s="27">
        <f>IF(A725="","",MES!B725)</f>
        <v>0</v>
      </c>
      <c r="D725" s="27">
        <f>IF(A725="","",IFERROR(AVERAGEIFS(Prensa!$B$2:$B$5001,Prensa!$E$2:$E$5001,N725,Prensa!$F$2:$F$5001,1,Prensa!$G$2:$G$5001,1),""))</f>
        <v>0</v>
      </c>
      <c r="E725" s="27">
        <f>IF(A725="","",IFERROR(AVERAGEIFS(Prensa!$B$2:$B$5001,Prensa!$E$2:$E$5001,N725,Prensa!$F$2:$F$5001,2,Prensa!$G$2:$G$5001,1),""))</f>
        <v>0</v>
      </c>
      <c r="F725" s="27">
        <f>IF(A725="","",IFERROR(AVERAGEIFS(Prensa!$B$2:$B$5001,Prensa!$E$2:$E$5001,N725,Prensa!$F$2:$F$5001,3,Prensa!$G$2:$G$5001,1),""))</f>
        <v>0</v>
      </c>
      <c r="G725" s="27">
        <f>IF(A725="","",IFERROR(AVERAGEIFS(Prensa!$B$2:$B$5001,Prensa!$E$2:$E$5001,N725,Prensa!$F$2:$F$5001,4,Prensa!$G$2:$G$5001,1),""))</f>
        <v>0</v>
      </c>
      <c r="H725" s="26">
        <f>IF(A725="","",COUNT(D725:G725))</f>
        <v>0</v>
      </c>
      <c r="I725" s="27">
        <f>IF(A725="","",IF(H725=0,"",AVERAGE(D725:G725)))</f>
        <v>0</v>
      </c>
      <c r="J725" s="27">
        <f>IF(OR(I725="",C725=""),"",I725-C725)</f>
        <v>0</v>
      </c>
      <c r="K725" s="26">
        <f>IF(A725="","",IF(MES!E725&lt;&gt;4,"Horário do MES fora do padrão",IF(H725&lt;cfgMinCortes,"Cortes insuficientes","Válida")))</f>
        <v>0</v>
      </c>
      <c r="L725" s="27">
        <f>IF(K725="Válida",ABS(J725),"")</f>
        <v>0</v>
      </c>
      <c r="M725" s="26">
        <f>IF(K725="Válida",IF(L725&lt;=cfgTolerancia,"Sim","Não"),"")</f>
        <v>0</v>
      </c>
      <c r="N725" s="26">
        <f>IF(A725="","",MES!D725)</f>
        <v>0</v>
      </c>
      <c r="O725" s="25">
        <f>IF(K725="Válida",A725,NA())</f>
        <v>0</v>
      </c>
      <c r="P725" s="27">
        <f>IF(K725="Válida",C725,NA())</f>
        <v>0</v>
      </c>
      <c r="Q725" s="27">
        <f>IF(K725="Válida",I725,NA())</f>
        <v>0</v>
      </c>
      <c r="R725" s="27">
        <f>IF(K725="Válida",J725,NA())</f>
        <v>0</v>
      </c>
      <c r="S725" s="27">
        <f>IF(K725="Válida",C725,"")</f>
        <v>0</v>
      </c>
      <c r="T725" s="27">
        <f>IF(K725="Válida",I725,"")</f>
        <v>0</v>
      </c>
      <c r="U725" s="27">
        <f>IF(K725="Válida",J725,"")</f>
        <v>0</v>
      </c>
    </row>
    <row r="726" spans="1:21">
      <c r="A726" s="25">
        <f>IF(MES!A726="","",MES!C726/48)</f>
        <v>0</v>
      </c>
      <c r="B726" s="26">
        <f>IF(A726="","",TEXT((N726*4+cfgDeslocamento)/48,"hh:mm")&amp;" a "&amp;TEXT(A726,"hh:mm"))</f>
        <v>0</v>
      </c>
      <c r="C726" s="27">
        <f>IF(A726="","",MES!B726)</f>
        <v>0</v>
      </c>
      <c r="D726" s="27">
        <f>IF(A726="","",IFERROR(AVERAGEIFS(Prensa!$B$2:$B$5001,Prensa!$E$2:$E$5001,N726,Prensa!$F$2:$F$5001,1,Prensa!$G$2:$G$5001,1),""))</f>
        <v>0</v>
      </c>
      <c r="E726" s="27">
        <f>IF(A726="","",IFERROR(AVERAGEIFS(Prensa!$B$2:$B$5001,Prensa!$E$2:$E$5001,N726,Prensa!$F$2:$F$5001,2,Prensa!$G$2:$G$5001,1),""))</f>
        <v>0</v>
      </c>
      <c r="F726" s="27">
        <f>IF(A726="","",IFERROR(AVERAGEIFS(Prensa!$B$2:$B$5001,Prensa!$E$2:$E$5001,N726,Prensa!$F$2:$F$5001,3,Prensa!$G$2:$G$5001,1),""))</f>
        <v>0</v>
      </c>
      <c r="G726" s="27">
        <f>IF(A726="","",IFERROR(AVERAGEIFS(Prensa!$B$2:$B$5001,Prensa!$E$2:$E$5001,N726,Prensa!$F$2:$F$5001,4,Prensa!$G$2:$G$5001,1),""))</f>
        <v>0</v>
      </c>
      <c r="H726" s="26">
        <f>IF(A726="","",COUNT(D726:G726))</f>
        <v>0</v>
      </c>
      <c r="I726" s="27">
        <f>IF(A726="","",IF(H726=0,"",AVERAGE(D726:G726)))</f>
        <v>0</v>
      </c>
      <c r="J726" s="27">
        <f>IF(OR(I726="",C726=""),"",I726-C726)</f>
        <v>0</v>
      </c>
      <c r="K726" s="26">
        <f>IF(A726="","",IF(MES!E726&lt;&gt;4,"Horário do MES fora do padrão",IF(H726&lt;cfgMinCortes,"Cortes insuficientes","Válida")))</f>
        <v>0</v>
      </c>
      <c r="L726" s="27">
        <f>IF(K726="Válida",ABS(J726),"")</f>
        <v>0</v>
      </c>
      <c r="M726" s="26">
        <f>IF(K726="Válida",IF(L726&lt;=cfgTolerancia,"Sim","Não"),"")</f>
        <v>0</v>
      </c>
      <c r="N726" s="26">
        <f>IF(A726="","",MES!D726)</f>
        <v>0</v>
      </c>
      <c r="O726" s="25">
        <f>IF(K726="Válida",A726,NA())</f>
        <v>0</v>
      </c>
      <c r="P726" s="27">
        <f>IF(K726="Válida",C726,NA())</f>
        <v>0</v>
      </c>
      <c r="Q726" s="27">
        <f>IF(K726="Válida",I726,NA())</f>
        <v>0</v>
      </c>
      <c r="R726" s="27">
        <f>IF(K726="Válida",J726,NA())</f>
        <v>0</v>
      </c>
      <c r="S726" s="27">
        <f>IF(K726="Válida",C726,"")</f>
        <v>0</v>
      </c>
      <c r="T726" s="27">
        <f>IF(K726="Válida",I726,"")</f>
        <v>0</v>
      </c>
      <c r="U726" s="27">
        <f>IF(K726="Válida",J726,"")</f>
        <v>0</v>
      </c>
    </row>
    <row r="727" spans="1:21">
      <c r="A727" s="25">
        <f>IF(MES!A727="","",MES!C727/48)</f>
        <v>0</v>
      </c>
      <c r="B727" s="26">
        <f>IF(A727="","",TEXT((N727*4+cfgDeslocamento)/48,"hh:mm")&amp;" a "&amp;TEXT(A727,"hh:mm"))</f>
        <v>0</v>
      </c>
      <c r="C727" s="27">
        <f>IF(A727="","",MES!B727)</f>
        <v>0</v>
      </c>
      <c r="D727" s="27">
        <f>IF(A727="","",IFERROR(AVERAGEIFS(Prensa!$B$2:$B$5001,Prensa!$E$2:$E$5001,N727,Prensa!$F$2:$F$5001,1,Prensa!$G$2:$G$5001,1),""))</f>
        <v>0</v>
      </c>
      <c r="E727" s="27">
        <f>IF(A727="","",IFERROR(AVERAGEIFS(Prensa!$B$2:$B$5001,Prensa!$E$2:$E$5001,N727,Prensa!$F$2:$F$5001,2,Prensa!$G$2:$G$5001,1),""))</f>
        <v>0</v>
      </c>
      <c r="F727" s="27">
        <f>IF(A727="","",IFERROR(AVERAGEIFS(Prensa!$B$2:$B$5001,Prensa!$E$2:$E$5001,N727,Prensa!$F$2:$F$5001,3,Prensa!$G$2:$G$5001,1),""))</f>
        <v>0</v>
      </c>
      <c r="G727" s="27">
        <f>IF(A727="","",IFERROR(AVERAGEIFS(Prensa!$B$2:$B$5001,Prensa!$E$2:$E$5001,N727,Prensa!$F$2:$F$5001,4,Prensa!$G$2:$G$5001,1),""))</f>
        <v>0</v>
      </c>
      <c r="H727" s="26">
        <f>IF(A727="","",COUNT(D727:G727))</f>
        <v>0</v>
      </c>
      <c r="I727" s="27">
        <f>IF(A727="","",IF(H727=0,"",AVERAGE(D727:G727)))</f>
        <v>0</v>
      </c>
      <c r="J727" s="27">
        <f>IF(OR(I727="",C727=""),"",I727-C727)</f>
        <v>0</v>
      </c>
      <c r="K727" s="26">
        <f>IF(A727="","",IF(MES!E727&lt;&gt;4,"Horário do MES fora do padrão",IF(H727&lt;cfgMinCortes,"Cortes insuficientes","Válida")))</f>
        <v>0</v>
      </c>
      <c r="L727" s="27">
        <f>IF(K727="Válida",ABS(J727),"")</f>
        <v>0</v>
      </c>
      <c r="M727" s="26">
        <f>IF(K727="Válida",IF(L727&lt;=cfgTolerancia,"Sim","Não"),"")</f>
        <v>0</v>
      </c>
      <c r="N727" s="26">
        <f>IF(A727="","",MES!D727)</f>
        <v>0</v>
      </c>
      <c r="O727" s="25">
        <f>IF(K727="Válida",A727,NA())</f>
        <v>0</v>
      </c>
      <c r="P727" s="27">
        <f>IF(K727="Válida",C727,NA())</f>
        <v>0</v>
      </c>
      <c r="Q727" s="27">
        <f>IF(K727="Válida",I727,NA())</f>
        <v>0</v>
      </c>
      <c r="R727" s="27">
        <f>IF(K727="Válida",J727,NA())</f>
        <v>0</v>
      </c>
      <c r="S727" s="27">
        <f>IF(K727="Válida",C727,"")</f>
        <v>0</v>
      </c>
      <c r="T727" s="27">
        <f>IF(K727="Válida",I727,"")</f>
        <v>0</v>
      </c>
      <c r="U727" s="27">
        <f>IF(K727="Válida",J727,"")</f>
        <v>0</v>
      </c>
    </row>
    <row r="728" spans="1:21">
      <c r="A728" s="25">
        <f>IF(MES!A728="","",MES!C728/48)</f>
        <v>0</v>
      </c>
      <c r="B728" s="26">
        <f>IF(A728="","",TEXT((N728*4+cfgDeslocamento)/48,"hh:mm")&amp;" a "&amp;TEXT(A728,"hh:mm"))</f>
        <v>0</v>
      </c>
      <c r="C728" s="27">
        <f>IF(A728="","",MES!B728)</f>
        <v>0</v>
      </c>
      <c r="D728" s="27">
        <f>IF(A728="","",IFERROR(AVERAGEIFS(Prensa!$B$2:$B$5001,Prensa!$E$2:$E$5001,N728,Prensa!$F$2:$F$5001,1,Prensa!$G$2:$G$5001,1),""))</f>
        <v>0</v>
      </c>
      <c r="E728" s="27">
        <f>IF(A728="","",IFERROR(AVERAGEIFS(Prensa!$B$2:$B$5001,Prensa!$E$2:$E$5001,N728,Prensa!$F$2:$F$5001,2,Prensa!$G$2:$G$5001,1),""))</f>
        <v>0</v>
      </c>
      <c r="F728" s="27">
        <f>IF(A728="","",IFERROR(AVERAGEIFS(Prensa!$B$2:$B$5001,Prensa!$E$2:$E$5001,N728,Prensa!$F$2:$F$5001,3,Prensa!$G$2:$G$5001,1),""))</f>
        <v>0</v>
      </c>
      <c r="G728" s="27">
        <f>IF(A728="","",IFERROR(AVERAGEIFS(Prensa!$B$2:$B$5001,Prensa!$E$2:$E$5001,N728,Prensa!$F$2:$F$5001,4,Prensa!$G$2:$G$5001,1),""))</f>
        <v>0</v>
      </c>
      <c r="H728" s="26">
        <f>IF(A728="","",COUNT(D728:G728))</f>
        <v>0</v>
      </c>
      <c r="I728" s="27">
        <f>IF(A728="","",IF(H728=0,"",AVERAGE(D728:G728)))</f>
        <v>0</v>
      </c>
      <c r="J728" s="27">
        <f>IF(OR(I728="",C728=""),"",I728-C728)</f>
        <v>0</v>
      </c>
      <c r="K728" s="26">
        <f>IF(A728="","",IF(MES!E728&lt;&gt;4,"Horário do MES fora do padrão",IF(H728&lt;cfgMinCortes,"Cortes insuficientes","Válida")))</f>
        <v>0</v>
      </c>
      <c r="L728" s="27">
        <f>IF(K728="Válida",ABS(J728),"")</f>
        <v>0</v>
      </c>
      <c r="M728" s="26">
        <f>IF(K728="Válida",IF(L728&lt;=cfgTolerancia,"Sim","Não"),"")</f>
        <v>0</v>
      </c>
      <c r="N728" s="26">
        <f>IF(A728="","",MES!D728)</f>
        <v>0</v>
      </c>
      <c r="O728" s="25">
        <f>IF(K728="Válida",A728,NA())</f>
        <v>0</v>
      </c>
      <c r="P728" s="27">
        <f>IF(K728="Válida",C728,NA())</f>
        <v>0</v>
      </c>
      <c r="Q728" s="27">
        <f>IF(K728="Válida",I728,NA())</f>
        <v>0</v>
      </c>
      <c r="R728" s="27">
        <f>IF(K728="Válida",J728,NA())</f>
        <v>0</v>
      </c>
      <c r="S728" s="27">
        <f>IF(K728="Válida",C728,"")</f>
        <v>0</v>
      </c>
      <c r="T728" s="27">
        <f>IF(K728="Válida",I728,"")</f>
        <v>0</v>
      </c>
      <c r="U728" s="27">
        <f>IF(K728="Válida",J728,"")</f>
        <v>0</v>
      </c>
    </row>
    <row r="729" spans="1:21">
      <c r="A729" s="25">
        <f>IF(MES!A729="","",MES!C729/48)</f>
        <v>0</v>
      </c>
      <c r="B729" s="26">
        <f>IF(A729="","",TEXT((N729*4+cfgDeslocamento)/48,"hh:mm")&amp;" a "&amp;TEXT(A729,"hh:mm"))</f>
        <v>0</v>
      </c>
      <c r="C729" s="27">
        <f>IF(A729="","",MES!B729)</f>
        <v>0</v>
      </c>
      <c r="D729" s="27">
        <f>IF(A729="","",IFERROR(AVERAGEIFS(Prensa!$B$2:$B$5001,Prensa!$E$2:$E$5001,N729,Prensa!$F$2:$F$5001,1,Prensa!$G$2:$G$5001,1),""))</f>
        <v>0</v>
      </c>
      <c r="E729" s="27">
        <f>IF(A729="","",IFERROR(AVERAGEIFS(Prensa!$B$2:$B$5001,Prensa!$E$2:$E$5001,N729,Prensa!$F$2:$F$5001,2,Prensa!$G$2:$G$5001,1),""))</f>
        <v>0</v>
      </c>
      <c r="F729" s="27">
        <f>IF(A729="","",IFERROR(AVERAGEIFS(Prensa!$B$2:$B$5001,Prensa!$E$2:$E$5001,N729,Prensa!$F$2:$F$5001,3,Prensa!$G$2:$G$5001,1),""))</f>
        <v>0</v>
      </c>
      <c r="G729" s="27">
        <f>IF(A729="","",IFERROR(AVERAGEIFS(Prensa!$B$2:$B$5001,Prensa!$E$2:$E$5001,N729,Prensa!$F$2:$F$5001,4,Prensa!$G$2:$G$5001,1),""))</f>
        <v>0</v>
      </c>
      <c r="H729" s="26">
        <f>IF(A729="","",COUNT(D729:G729))</f>
        <v>0</v>
      </c>
      <c r="I729" s="27">
        <f>IF(A729="","",IF(H729=0,"",AVERAGE(D729:G729)))</f>
        <v>0</v>
      </c>
      <c r="J729" s="27">
        <f>IF(OR(I729="",C729=""),"",I729-C729)</f>
        <v>0</v>
      </c>
      <c r="K729" s="26">
        <f>IF(A729="","",IF(MES!E729&lt;&gt;4,"Horário do MES fora do padrão",IF(H729&lt;cfgMinCortes,"Cortes insuficientes","Válida")))</f>
        <v>0</v>
      </c>
      <c r="L729" s="27">
        <f>IF(K729="Válida",ABS(J729),"")</f>
        <v>0</v>
      </c>
      <c r="M729" s="26">
        <f>IF(K729="Válida",IF(L729&lt;=cfgTolerancia,"Sim","Não"),"")</f>
        <v>0</v>
      </c>
      <c r="N729" s="26">
        <f>IF(A729="","",MES!D729)</f>
        <v>0</v>
      </c>
      <c r="O729" s="25">
        <f>IF(K729="Válida",A729,NA())</f>
        <v>0</v>
      </c>
      <c r="P729" s="27">
        <f>IF(K729="Válida",C729,NA())</f>
        <v>0</v>
      </c>
      <c r="Q729" s="27">
        <f>IF(K729="Válida",I729,NA())</f>
        <v>0</v>
      </c>
      <c r="R729" s="27">
        <f>IF(K729="Válida",J729,NA())</f>
        <v>0</v>
      </c>
      <c r="S729" s="27">
        <f>IF(K729="Válida",C729,"")</f>
        <v>0</v>
      </c>
      <c r="T729" s="27">
        <f>IF(K729="Válida",I729,"")</f>
        <v>0</v>
      </c>
      <c r="U729" s="27">
        <f>IF(K729="Válida",J729,"")</f>
        <v>0</v>
      </c>
    </row>
    <row r="730" spans="1:21">
      <c r="A730" s="25">
        <f>IF(MES!A730="","",MES!C730/48)</f>
        <v>0</v>
      </c>
      <c r="B730" s="26">
        <f>IF(A730="","",TEXT((N730*4+cfgDeslocamento)/48,"hh:mm")&amp;" a "&amp;TEXT(A730,"hh:mm"))</f>
        <v>0</v>
      </c>
      <c r="C730" s="27">
        <f>IF(A730="","",MES!B730)</f>
        <v>0</v>
      </c>
      <c r="D730" s="27">
        <f>IF(A730="","",IFERROR(AVERAGEIFS(Prensa!$B$2:$B$5001,Prensa!$E$2:$E$5001,N730,Prensa!$F$2:$F$5001,1,Prensa!$G$2:$G$5001,1),""))</f>
        <v>0</v>
      </c>
      <c r="E730" s="27">
        <f>IF(A730="","",IFERROR(AVERAGEIFS(Prensa!$B$2:$B$5001,Prensa!$E$2:$E$5001,N730,Prensa!$F$2:$F$5001,2,Prensa!$G$2:$G$5001,1),""))</f>
        <v>0</v>
      </c>
      <c r="F730" s="27">
        <f>IF(A730="","",IFERROR(AVERAGEIFS(Prensa!$B$2:$B$5001,Prensa!$E$2:$E$5001,N730,Prensa!$F$2:$F$5001,3,Prensa!$G$2:$G$5001,1),""))</f>
        <v>0</v>
      </c>
      <c r="G730" s="27">
        <f>IF(A730="","",IFERROR(AVERAGEIFS(Prensa!$B$2:$B$5001,Prensa!$E$2:$E$5001,N730,Prensa!$F$2:$F$5001,4,Prensa!$G$2:$G$5001,1),""))</f>
        <v>0</v>
      </c>
      <c r="H730" s="26">
        <f>IF(A730="","",COUNT(D730:G730))</f>
        <v>0</v>
      </c>
      <c r="I730" s="27">
        <f>IF(A730="","",IF(H730=0,"",AVERAGE(D730:G730)))</f>
        <v>0</v>
      </c>
      <c r="J730" s="27">
        <f>IF(OR(I730="",C730=""),"",I730-C730)</f>
        <v>0</v>
      </c>
      <c r="K730" s="26">
        <f>IF(A730="","",IF(MES!E730&lt;&gt;4,"Horário do MES fora do padrão",IF(H730&lt;cfgMinCortes,"Cortes insuficientes","Válida")))</f>
        <v>0</v>
      </c>
      <c r="L730" s="27">
        <f>IF(K730="Válida",ABS(J730),"")</f>
        <v>0</v>
      </c>
      <c r="M730" s="26">
        <f>IF(K730="Válida",IF(L730&lt;=cfgTolerancia,"Sim","Não"),"")</f>
        <v>0</v>
      </c>
      <c r="N730" s="26">
        <f>IF(A730="","",MES!D730)</f>
        <v>0</v>
      </c>
      <c r="O730" s="25">
        <f>IF(K730="Válida",A730,NA())</f>
        <v>0</v>
      </c>
      <c r="P730" s="27">
        <f>IF(K730="Válida",C730,NA())</f>
        <v>0</v>
      </c>
      <c r="Q730" s="27">
        <f>IF(K730="Válida",I730,NA())</f>
        <v>0</v>
      </c>
      <c r="R730" s="27">
        <f>IF(K730="Válida",J730,NA())</f>
        <v>0</v>
      </c>
      <c r="S730" s="27">
        <f>IF(K730="Válida",C730,"")</f>
        <v>0</v>
      </c>
      <c r="T730" s="27">
        <f>IF(K730="Válida",I730,"")</f>
        <v>0</v>
      </c>
      <c r="U730" s="27">
        <f>IF(K730="Válida",J730,"")</f>
        <v>0</v>
      </c>
    </row>
    <row r="731" spans="1:21">
      <c r="A731" s="25">
        <f>IF(MES!A731="","",MES!C731/48)</f>
        <v>0</v>
      </c>
      <c r="B731" s="26">
        <f>IF(A731="","",TEXT((N731*4+cfgDeslocamento)/48,"hh:mm")&amp;" a "&amp;TEXT(A731,"hh:mm"))</f>
        <v>0</v>
      </c>
      <c r="C731" s="27">
        <f>IF(A731="","",MES!B731)</f>
        <v>0</v>
      </c>
      <c r="D731" s="27">
        <f>IF(A731="","",IFERROR(AVERAGEIFS(Prensa!$B$2:$B$5001,Prensa!$E$2:$E$5001,N731,Prensa!$F$2:$F$5001,1,Prensa!$G$2:$G$5001,1),""))</f>
        <v>0</v>
      </c>
      <c r="E731" s="27">
        <f>IF(A731="","",IFERROR(AVERAGEIFS(Prensa!$B$2:$B$5001,Prensa!$E$2:$E$5001,N731,Prensa!$F$2:$F$5001,2,Prensa!$G$2:$G$5001,1),""))</f>
        <v>0</v>
      </c>
      <c r="F731" s="27">
        <f>IF(A731="","",IFERROR(AVERAGEIFS(Prensa!$B$2:$B$5001,Prensa!$E$2:$E$5001,N731,Prensa!$F$2:$F$5001,3,Prensa!$G$2:$G$5001,1),""))</f>
        <v>0</v>
      </c>
      <c r="G731" s="27">
        <f>IF(A731="","",IFERROR(AVERAGEIFS(Prensa!$B$2:$B$5001,Prensa!$E$2:$E$5001,N731,Prensa!$F$2:$F$5001,4,Prensa!$G$2:$G$5001,1),""))</f>
        <v>0</v>
      </c>
      <c r="H731" s="26">
        <f>IF(A731="","",COUNT(D731:G731))</f>
        <v>0</v>
      </c>
      <c r="I731" s="27">
        <f>IF(A731="","",IF(H731=0,"",AVERAGE(D731:G731)))</f>
        <v>0</v>
      </c>
      <c r="J731" s="27">
        <f>IF(OR(I731="",C731=""),"",I731-C731)</f>
        <v>0</v>
      </c>
      <c r="K731" s="26">
        <f>IF(A731="","",IF(MES!E731&lt;&gt;4,"Horário do MES fora do padrão",IF(H731&lt;cfgMinCortes,"Cortes insuficientes","Válida")))</f>
        <v>0</v>
      </c>
      <c r="L731" s="27">
        <f>IF(K731="Válida",ABS(J731),"")</f>
        <v>0</v>
      </c>
      <c r="M731" s="26">
        <f>IF(K731="Válida",IF(L731&lt;=cfgTolerancia,"Sim","Não"),"")</f>
        <v>0</v>
      </c>
      <c r="N731" s="26">
        <f>IF(A731="","",MES!D731)</f>
        <v>0</v>
      </c>
      <c r="O731" s="25">
        <f>IF(K731="Válida",A731,NA())</f>
        <v>0</v>
      </c>
      <c r="P731" s="27">
        <f>IF(K731="Válida",C731,NA())</f>
        <v>0</v>
      </c>
      <c r="Q731" s="27">
        <f>IF(K731="Válida",I731,NA())</f>
        <v>0</v>
      </c>
      <c r="R731" s="27">
        <f>IF(K731="Válida",J731,NA())</f>
        <v>0</v>
      </c>
      <c r="S731" s="27">
        <f>IF(K731="Válida",C731,"")</f>
        <v>0</v>
      </c>
      <c r="T731" s="27">
        <f>IF(K731="Válida",I731,"")</f>
        <v>0</v>
      </c>
      <c r="U731" s="27">
        <f>IF(K731="Válida",J731,"")</f>
        <v>0</v>
      </c>
    </row>
    <row r="732" spans="1:21">
      <c r="A732" s="25">
        <f>IF(MES!A732="","",MES!C732/48)</f>
        <v>0</v>
      </c>
      <c r="B732" s="26">
        <f>IF(A732="","",TEXT((N732*4+cfgDeslocamento)/48,"hh:mm")&amp;" a "&amp;TEXT(A732,"hh:mm"))</f>
        <v>0</v>
      </c>
      <c r="C732" s="27">
        <f>IF(A732="","",MES!B732)</f>
        <v>0</v>
      </c>
      <c r="D732" s="27">
        <f>IF(A732="","",IFERROR(AVERAGEIFS(Prensa!$B$2:$B$5001,Prensa!$E$2:$E$5001,N732,Prensa!$F$2:$F$5001,1,Prensa!$G$2:$G$5001,1),""))</f>
        <v>0</v>
      </c>
      <c r="E732" s="27">
        <f>IF(A732="","",IFERROR(AVERAGEIFS(Prensa!$B$2:$B$5001,Prensa!$E$2:$E$5001,N732,Prensa!$F$2:$F$5001,2,Prensa!$G$2:$G$5001,1),""))</f>
        <v>0</v>
      </c>
      <c r="F732" s="27">
        <f>IF(A732="","",IFERROR(AVERAGEIFS(Prensa!$B$2:$B$5001,Prensa!$E$2:$E$5001,N732,Prensa!$F$2:$F$5001,3,Prensa!$G$2:$G$5001,1),""))</f>
        <v>0</v>
      </c>
      <c r="G732" s="27">
        <f>IF(A732="","",IFERROR(AVERAGEIFS(Prensa!$B$2:$B$5001,Prensa!$E$2:$E$5001,N732,Prensa!$F$2:$F$5001,4,Prensa!$G$2:$G$5001,1),""))</f>
        <v>0</v>
      </c>
      <c r="H732" s="26">
        <f>IF(A732="","",COUNT(D732:G732))</f>
        <v>0</v>
      </c>
      <c r="I732" s="27">
        <f>IF(A732="","",IF(H732=0,"",AVERAGE(D732:G732)))</f>
        <v>0</v>
      </c>
      <c r="J732" s="27">
        <f>IF(OR(I732="",C732=""),"",I732-C732)</f>
        <v>0</v>
      </c>
      <c r="K732" s="26">
        <f>IF(A732="","",IF(MES!E732&lt;&gt;4,"Horário do MES fora do padrão",IF(H732&lt;cfgMinCortes,"Cortes insuficientes","Válida")))</f>
        <v>0</v>
      </c>
      <c r="L732" s="27">
        <f>IF(K732="Válida",ABS(J732),"")</f>
        <v>0</v>
      </c>
      <c r="M732" s="26">
        <f>IF(K732="Válida",IF(L732&lt;=cfgTolerancia,"Sim","Não"),"")</f>
        <v>0</v>
      </c>
      <c r="N732" s="26">
        <f>IF(A732="","",MES!D732)</f>
        <v>0</v>
      </c>
      <c r="O732" s="25">
        <f>IF(K732="Válida",A732,NA())</f>
        <v>0</v>
      </c>
      <c r="P732" s="27">
        <f>IF(K732="Válida",C732,NA())</f>
        <v>0</v>
      </c>
      <c r="Q732" s="27">
        <f>IF(K732="Válida",I732,NA())</f>
        <v>0</v>
      </c>
      <c r="R732" s="27">
        <f>IF(K732="Válida",J732,NA())</f>
        <v>0</v>
      </c>
      <c r="S732" s="27">
        <f>IF(K732="Válida",C732,"")</f>
        <v>0</v>
      </c>
      <c r="T732" s="27">
        <f>IF(K732="Válida",I732,"")</f>
        <v>0</v>
      </c>
      <c r="U732" s="27">
        <f>IF(K732="Válida",J732,"")</f>
        <v>0</v>
      </c>
    </row>
    <row r="733" spans="1:21">
      <c r="A733" s="25">
        <f>IF(MES!A733="","",MES!C733/48)</f>
        <v>0</v>
      </c>
      <c r="B733" s="26">
        <f>IF(A733="","",TEXT((N733*4+cfgDeslocamento)/48,"hh:mm")&amp;" a "&amp;TEXT(A733,"hh:mm"))</f>
        <v>0</v>
      </c>
      <c r="C733" s="27">
        <f>IF(A733="","",MES!B733)</f>
        <v>0</v>
      </c>
      <c r="D733" s="27">
        <f>IF(A733="","",IFERROR(AVERAGEIFS(Prensa!$B$2:$B$5001,Prensa!$E$2:$E$5001,N733,Prensa!$F$2:$F$5001,1,Prensa!$G$2:$G$5001,1),""))</f>
        <v>0</v>
      </c>
      <c r="E733" s="27">
        <f>IF(A733="","",IFERROR(AVERAGEIFS(Prensa!$B$2:$B$5001,Prensa!$E$2:$E$5001,N733,Prensa!$F$2:$F$5001,2,Prensa!$G$2:$G$5001,1),""))</f>
        <v>0</v>
      </c>
      <c r="F733" s="27">
        <f>IF(A733="","",IFERROR(AVERAGEIFS(Prensa!$B$2:$B$5001,Prensa!$E$2:$E$5001,N733,Prensa!$F$2:$F$5001,3,Prensa!$G$2:$G$5001,1),""))</f>
        <v>0</v>
      </c>
      <c r="G733" s="27">
        <f>IF(A733="","",IFERROR(AVERAGEIFS(Prensa!$B$2:$B$5001,Prensa!$E$2:$E$5001,N733,Prensa!$F$2:$F$5001,4,Prensa!$G$2:$G$5001,1),""))</f>
        <v>0</v>
      </c>
      <c r="H733" s="26">
        <f>IF(A733="","",COUNT(D733:G733))</f>
        <v>0</v>
      </c>
      <c r="I733" s="27">
        <f>IF(A733="","",IF(H733=0,"",AVERAGE(D733:G733)))</f>
        <v>0</v>
      </c>
      <c r="J733" s="27">
        <f>IF(OR(I733="",C733=""),"",I733-C733)</f>
        <v>0</v>
      </c>
      <c r="K733" s="26">
        <f>IF(A733="","",IF(MES!E733&lt;&gt;4,"Horário do MES fora do padrão",IF(H733&lt;cfgMinCortes,"Cortes insuficientes","Válida")))</f>
        <v>0</v>
      </c>
      <c r="L733" s="27">
        <f>IF(K733="Válida",ABS(J733),"")</f>
        <v>0</v>
      </c>
      <c r="M733" s="26">
        <f>IF(K733="Válida",IF(L733&lt;=cfgTolerancia,"Sim","Não"),"")</f>
        <v>0</v>
      </c>
      <c r="N733" s="26">
        <f>IF(A733="","",MES!D733)</f>
        <v>0</v>
      </c>
      <c r="O733" s="25">
        <f>IF(K733="Válida",A733,NA())</f>
        <v>0</v>
      </c>
      <c r="P733" s="27">
        <f>IF(K733="Válida",C733,NA())</f>
        <v>0</v>
      </c>
      <c r="Q733" s="27">
        <f>IF(K733="Válida",I733,NA())</f>
        <v>0</v>
      </c>
      <c r="R733" s="27">
        <f>IF(K733="Válida",J733,NA())</f>
        <v>0</v>
      </c>
      <c r="S733" s="27">
        <f>IF(K733="Válida",C733,"")</f>
        <v>0</v>
      </c>
      <c r="T733" s="27">
        <f>IF(K733="Válida",I733,"")</f>
        <v>0</v>
      </c>
      <c r="U733" s="27">
        <f>IF(K733="Válida",J733,"")</f>
        <v>0</v>
      </c>
    </row>
    <row r="734" spans="1:21">
      <c r="A734" s="25">
        <f>IF(MES!A734="","",MES!C734/48)</f>
        <v>0</v>
      </c>
      <c r="B734" s="26">
        <f>IF(A734="","",TEXT((N734*4+cfgDeslocamento)/48,"hh:mm")&amp;" a "&amp;TEXT(A734,"hh:mm"))</f>
        <v>0</v>
      </c>
      <c r="C734" s="27">
        <f>IF(A734="","",MES!B734)</f>
        <v>0</v>
      </c>
      <c r="D734" s="27">
        <f>IF(A734="","",IFERROR(AVERAGEIFS(Prensa!$B$2:$B$5001,Prensa!$E$2:$E$5001,N734,Prensa!$F$2:$F$5001,1,Prensa!$G$2:$G$5001,1),""))</f>
        <v>0</v>
      </c>
      <c r="E734" s="27">
        <f>IF(A734="","",IFERROR(AVERAGEIFS(Prensa!$B$2:$B$5001,Prensa!$E$2:$E$5001,N734,Prensa!$F$2:$F$5001,2,Prensa!$G$2:$G$5001,1),""))</f>
        <v>0</v>
      </c>
      <c r="F734" s="27">
        <f>IF(A734="","",IFERROR(AVERAGEIFS(Prensa!$B$2:$B$5001,Prensa!$E$2:$E$5001,N734,Prensa!$F$2:$F$5001,3,Prensa!$G$2:$G$5001,1),""))</f>
        <v>0</v>
      </c>
      <c r="G734" s="27">
        <f>IF(A734="","",IFERROR(AVERAGEIFS(Prensa!$B$2:$B$5001,Prensa!$E$2:$E$5001,N734,Prensa!$F$2:$F$5001,4,Prensa!$G$2:$G$5001,1),""))</f>
        <v>0</v>
      </c>
      <c r="H734" s="26">
        <f>IF(A734="","",COUNT(D734:G734))</f>
        <v>0</v>
      </c>
      <c r="I734" s="27">
        <f>IF(A734="","",IF(H734=0,"",AVERAGE(D734:G734)))</f>
        <v>0</v>
      </c>
      <c r="J734" s="27">
        <f>IF(OR(I734="",C734=""),"",I734-C734)</f>
        <v>0</v>
      </c>
      <c r="K734" s="26">
        <f>IF(A734="","",IF(MES!E734&lt;&gt;4,"Horário do MES fora do padrão",IF(H734&lt;cfgMinCortes,"Cortes insuficientes","Válida")))</f>
        <v>0</v>
      </c>
      <c r="L734" s="27">
        <f>IF(K734="Válida",ABS(J734),"")</f>
        <v>0</v>
      </c>
      <c r="M734" s="26">
        <f>IF(K734="Válida",IF(L734&lt;=cfgTolerancia,"Sim","Não"),"")</f>
        <v>0</v>
      </c>
      <c r="N734" s="26">
        <f>IF(A734="","",MES!D734)</f>
        <v>0</v>
      </c>
      <c r="O734" s="25">
        <f>IF(K734="Válida",A734,NA())</f>
        <v>0</v>
      </c>
      <c r="P734" s="27">
        <f>IF(K734="Válida",C734,NA())</f>
        <v>0</v>
      </c>
      <c r="Q734" s="27">
        <f>IF(K734="Válida",I734,NA())</f>
        <v>0</v>
      </c>
      <c r="R734" s="27">
        <f>IF(K734="Válida",J734,NA())</f>
        <v>0</v>
      </c>
      <c r="S734" s="27">
        <f>IF(K734="Válida",C734,"")</f>
        <v>0</v>
      </c>
      <c r="T734" s="27">
        <f>IF(K734="Válida",I734,"")</f>
        <v>0</v>
      </c>
      <c r="U734" s="27">
        <f>IF(K734="Válida",J734,"")</f>
        <v>0</v>
      </c>
    </row>
    <row r="735" spans="1:21">
      <c r="A735" s="25">
        <f>IF(MES!A735="","",MES!C735/48)</f>
        <v>0</v>
      </c>
      <c r="B735" s="26">
        <f>IF(A735="","",TEXT((N735*4+cfgDeslocamento)/48,"hh:mm")&amp;" a "&amp;TEXT(A735,"hh:mm"))</f>
        <v>0</v>
      </c>
      <c r="C735" s="27">
        <f>IF(A735="","",MES!B735)</f>
        <v>0</v>
      </c>
      <c r="D735" s="27">
        <f>IF(A735="","",IFERROR(AVERAGEIFS(Prensa!$B$2:$B$5001,Prensa!$E$2:$E$5001,N735,Prensa!$F$2:$F$5001,1,Prensa!$G$2:$G$5001,1),""))</f>
        <v>0</v>
      </c>
      <c r="E735" s="27">
        <f>IF(A735="","",IFERROR(AVERAGEIFS(Prensa!$B$2:$B$5001,Prensa!$E$2:$E$5001,N735,Prensa!$F$2:$F$5001,2,Prensa!$G$2:$G$5001,1),""))</f>
        <v>0</v>
      </c>
      <c r="F735" s="27">
        <f>IF(A735="","",IFERROR(AVERAGEIFS(Prensa!$B$2:$B$5001,Prensa!$E$2:$E$5001,N735,Prensa!$F$2:$F$5001,3,Prensa!$G$2:$G$5001,1),""))</f>
        <v>0</v>
      </c>
      <c r="G735" s="27">
        <f>IF(A735="","",IFERROR(AVERAGEIFS(Prensa!$B$2:$B$5001,Prensa!$E$2:$E$5001,N735,Prensa!$F$2:$F$5001,4,Prensa!$G$2:$G$5001,1),""))</f>
        <v>0</v>
      </c>
      <c r="H735" s="26">
        <f>IF(A735="","",COUNT(D735:G735))</f>
        <v>0</v>
      </c>
      <c r="I735" s="27">
        <f>IF(A735="","",IF(H735=0,"",AVERAGE(D735:G735)))</f>
        <v>0</v>
      </c>
      <c r="J735" s="27">
        <f>IF(OR(I735="",C735=""),"",I735-C735)</f>
        <v>0</v>
      </c>
      <c r="K735" s="26">
        <f>IF(A735="","",IF(MES!E735&lt;&gt;4,"Horário do MES fora do padrão",IF(H735&lt;cfgMinCortes,"Cortes insuficientes","Válida")))</f>
        <v>0</v>
      </c>
      <c r="L735" s="27">
        <f>IF(K735="Válida",ABS(J735),"")</f>
        <v>0</v>
      </c>
      <c r="M735" s="26">
        <f>IF(K735="Válida",IF(L735&lt;=cfgTolerancia,"Sim","Não"),"")</f>
        <v>0</v>
      </c>
      <c r="N735" s="26">
        <f>IF(A735="","",MES!D735)</f>
        <v>0</v>
      </c>
      <c r="O735" s="25">
        <f>IF(K735="Válida",A735,NA())</f>
        <v>0</v>
      </c>
      <c r="P735" s="27">
        <f>IF(K735="Válida",C735,NA())</f>
        <v>0</v>
      </c>
      <c r="Q735" s="27">
        <f>IF(K735="Válida",I735,NA())</f>
        <v>0</v>
      </c>
      <c r="R735" s="27">
        <f>IF(K735="Válida",J735,NA())</f>
        <v>0</v>
      </c>
      <c r="S735" s="27">
        <f>IF(K735="Válida",C735,"")</f>
        <v>0</v>
      </c>
      <c r="T735" s="27">
        <f>IF(K735="Válida",I735,"")</f>
        <v>0</v>
      </c>
      <c r="U735" s="27">
        <f>IF(K735="Válida",J735,"")</f>
        <v>0</v>
      </c>
    </row>
    <row r="736" spans="1:21">
      <c r="A736" s="25">
        <f>IF(MES!A736="","",MES!C736/48)</f>
        <v>0</v>
      </c>
      <c r="B736" s="26">
        <f>IF(A736="","",TEXT((N736*4+cfgDeslocamento)/48,"hh:mm")&amp;" a "&amp;TEXT(A736,"hh:mm"))</f>
        <v>0</v>
      </c>
      <c r="C736" s="27">
        <f>IF(A736="","",MES!B736)</f>
        <v>0</v>
      </c>
      <c r="D736" s="27">
        <f>IF(A736="","",IFERROR(AVERAGEIFS(Prensa!$B$2:$B$5001,Prensa!$E$2:$E$5001,N736,Prensa!$F$2:$F$5001,1,Prensa!$G$2:$G$5001,1),""))</f>
        <v>0</v>
      </c>
      <c r="E736" s="27">
        <f>IF(A736="","",IFERROR(AVERAGEIFS(Prensa!$B$2:$B$5001,Prensa!$E$2:$E$5001,N736,Prensa!$F$2:$F$5001,2,Prensa!$G$2:$G$5001,1),""))</f>
        <v>0</v>
      </c>
      <c r="F736" s="27">
        <f>IF(A736="","",IFERROR(AVERAGEIFS(Prensa!$B$2:$B$5001,Prensa!$E$2:$E$5001,N736,Prensa!$F$2:$F$5001,3,Prensa!$G$2:$G$5001,1),""))</f>
        <v>0</v>
      </c>
      <c r="G736" s="27">
        <f>IF(A736="","",IFERROR(AVERAGEIFS(Prensa!$B$2:$B$5001,Prensa!$E$2:$E$5001,N736,Prensa!$F$2:$F$5001,4,Prensa!$G$2:$G$5001,1),""))</f>
        <v>0</v>
      </c>
      <c r="H736" s="26">
        <f>IF(A736="","",COUNT(D736:G736))</f>
        <v>0</v>
      </c>
      <c r="I736" s="27">
        <f>IF(A736="","",IF(H736=0,"",AVERAGE(D736:G736)))</f>
        <v>0</v>
      </c>
      <c r="J736" s="27">
        <f>IF(OR(I736="",C736=""),"",I736-C736)</f>
        <v>0</v>
      </c>
      <c r="K736" s="26">
        <f>IF(A736="","",IF(MES!E736&lt;&gt;4,"Horário do MES fora do padrão",IF(H736&lt;cfgMinCortes,"Cortes insuficientes","Válida")))</f>
        <v>0</v>
      </c>
      <c r="L736" s="27">
        <f>IF(K736="Válida",ABS(J736),"")</f>
        <v>0</v>
      </c>
      <c r="M736" s="26">
        <f>IF(K736="Válida",IF(L736&lt;=cfgTolerancia,"Sim","Não"),"")</f>
        <v>0</v>
      </c>
      <c r="N736" s="26">
        <f>IF(A736="","",MES!D736)</f>
        <v>0</v>
      </c>
      <c r="O736" s="25">
        <f>IF(K736="Válida",A736,NA())</f>
        <v>0</v>
      </c>
      <c r="P736" s="27">
        <f>IF(K736="Válida",C736,NA())</f>
        <v>0</v>
      </c>
      <c r="Q736" s="27">
        <f>IF(K736="Válida",I736,NA())</f>
        <v>0</v>
      </c>
      <c r="R736" s="27">
        <f>IF(K736="Válida",J736,NA())</f>
        <v>0</v>
      </c>
      <c r="S736" s="27">
        <f>IF(K736="Válida",C736,"")</f>
        <v>0</v>
      </c>
      <c r="T736" s="27">
        <f>IF(K736="Válida",I736,"")</f>
        <v>0</v>
      </c>
      <c r="U736" s="27">
        <f>IF(K736="Válida",J736,"")</f>
        <v>0</v>
      </c>
    </row>
    <row r="737" spans="1:21">
      <c r="A737" s="25">
        <f>IF(MES!A737="","",MES!C737/48)</f>
        <v>0</v>
      </c>
      <c r="B737" s="26">
        <f>IF(A737="","",TEXT((N737*4+cfgDeslocamento)/48,"hh:mm")&amp;" a "&amp;TEXT(A737,"hh:mm"))</f>
        <v>0</v>
      </c>
      <c r="C737" s="27">
        <f>IF(A737="","",MES!B737)</f>
        <v>0</v>
      </c>
      <c r="D737" s="27">
        <f>IF(A737="","",IFERROR(AVERAGEIFS(Prensa!$B$2:$B$5001,Prensa!$E$2:$E$5001,N737,Prensa!$F$2:$F$5001,1,Prensa!$G$2:$G$5001,1),""))</f>
        <v>0</v>
      </c>
      <c r="E737" s="27">
        <f>IF(A737="","",IFERROR(AVERAGEIFS(Prensa!$B$2:$B$5001,Prensa!$E$2:$E$5001,N737,Prensa!$F$2:$F$5001,2,Prensa!$G$2:$G$5001,1),""))</f>
        <v>0</v>
      </c>
      <c r="F737" s="27">
        <f>IF(A737="","",IFERROR(AVERAGEIFS(Prensa!$B$2:$B$5001,Prensa!$E$2:$E$5001,N737,Prensa!$F$2:$F$5001,3,Prensa!$G$2:$G$5001,1),""))</f>
        <v>0</v>
      </c>
      <c r="G737" s="27">
        <f>IF(A737="","",IFERROR(AVERAGEIFS(Prensa!$B$2:$B$5001,Prensa!$E$2:$E$5001,N737,Prensa!$F$2:$F$5001,4,Prensa!$G$2:$G$5001,1),""))</f>
        <v>0</v>
      </c>
      <c r="H737" s="26">
        <f>IF(A737="","",COUNT(D737:G737))</f>
        <v>0</v>
      </c>
      <c r="I737" s="27">
        <f>IF(A737="","",IF(H737=0,"",AVERAGE(D737:G737)))</f>
        <v>0</v>
      </c>
      <c r="J737" s="27">
        <f>IF(OR(I737="",C737=""),"",I737-C737)</f>
        <v>0</v>
      </c>
      <c r="K737" s="26">
        <f>IF(A737="","",IF(MES!E737&lt;&gt;4,"Horário do MES fora do padrão",IF(H737&lt;cfgMinCortes,"Cortes insuficientes","Válida")))</f>
        <v>0</v>
      </c>
      <c r="L737" s="27">
        <f>IF(K737="Válida",ABS(J737),"")</f>
        <v>0</v>
      </c>
      <c r="M737" s="26">
        <f>IF(K737="Válida",IF(L737&lt;=cfgTolerancia,"Sim","Não"),"")</f>
        <v>0</v>
      </c>
      <c r="N737" s="26">
        <f>IF(A737="","",MES!D737)</f>
        <v>0</v>
      </c>
      <c r="O737" s="25">
        <f>IF(K737="Válida",A737,NA())</f>
        <v>0</v>
      </c>
      <c r="P737" s="27">
        <f>IF(K737="Válida",C737,NA())</f>
        <v>0</v>
      </c>
      <c r="Q737" s="27">
        <f>IF(K737="Válida",I737,NA())</f>
        <v>0</v>
      </c>
      <c r="R737" s="27">
        <f>IF(K737="Válida",J737,NA())</f>
        <v>0</v>
      </c>
      <c r="S737" s="27">
        <f>IF(K737="Válida",C737,"")</f>
        <v>0</v>
      </c>
      <c r="T737" s="27">
        <f>IF(K737="Válida",I737,"")</f>
        <v>0</v>
      </c>
      <c r="U737" s="27">
        <f>IF(K737="Válida",J737,"")</f>
        <v>0</v>
      </c>
    </row>
    <row r="738" spans="1:21">
      <c r="A738" s="25">
        <f>IF(MES!A738="","",MES!C738/48)</f>
        <v>0</v>
      </c>
      <c r="B738" s="26">
        <f>IF(A738="","",TEXT((N738*4+cfgDeslocamento)/48,"hh:mm")&amp;" a "&amp;TEXT(A738,"hh:mm"))</f>
        <v>0</v>
      </c>
      <c r="C738" s="27">
        <f>IF(A738="","",MES!B738)</f>
        <v>0</v>
      </c>
      <c r="D738" s="27">
        <f>IF(A738="","",IFERROR(AVERAGEIFS(Prensa!$B$2:$B$5001,Prensa!$E$2:$E$5001,N738,Prensa!$F$2:$F$5001,1,Prensa!$G$2:$G$5001,1),""))</f>
        <v>0</v>
      </c>
      <c r="E738" s="27">
        <f>IF(A738="","",IFERROR(AVERAGEIFS(Prensa!$B$2:$B$5001,Prensa!$E$2:$E$5001,N738,Prensa!$F$2:$F$5001,2,Prensa!$G$2:$G$5001,1),""))</f>
        <v>0</v>
      </c>
      <c r="F738" s="27">
        <f>IF(A738="","",IFERROR(AVERAGEIFS(Prensa!$B$2:$B$5001,Prensa!$E$2:$E$5001,N738,Prensa!$F$2:$F$5001,3,Prensa!$G$2:$G$5001,1),""))</f>
        <v>0</v>
      </c>
      <c r="G738" s="27">
        <f>IF(A738="","",IFERROR(AVERAGEIFS(Prensa!$B$2:$B$5001,Prensa!$E$2:$E$5001,N738,Prensa!$F$2:$F$5001,4,Prensa!$G$2:$G$5001,1),""))</f>
        <v>0</v>
      </c>
      <c r="H738" s="26">
        <f>IF(A738="","",COUNT(D738:G738))</f>
        <v>0</v>
      </c>
      <c r="I738" s="27">
        <f>IF(A738="","",IF(H738=0,"",AVERAGE(D738:G738)))</f>
        <v>0</v>
      </c>
      <c r="J738" s="27">
        <f>IF(OR(I738="",C738=""),"",I738-C738)</f>
        <v>0</v>
      </c>
      <c r="K738" s="26">
        <f>IF(A738="","",IF(MES!E738&lt;&gt;4,"Horário do MES fora do padrão",IF(H738&lt;cfgMinCortes,"Cortes insuficientes","Válida")))</f>
        <v>0</v>
      </c>
      <c r="L738" s="27">
        <f>IF(K738="Válida",ABS(J738),"")</f>
        <v>0</v>
      </c>
      <c r="M738" s="26">
        <f>IF(K738="Válida",IF(L738&lt;=cfgTolerancia,"Sim","Não"),"")</f>
        <v>0</v>
      </c>
      <c r="N738" s="26">
        <f>IF(A738="","",MES!D738)</f>
        <v>0</v>
      </c>
      <c r="O738" s="25">
        <f>IF(K738="Válida",A738,NA())</f>
        <v>0</v>
      </c>
      <c r="P738" s="27">
        <f>IF(K738="Válida",C738,NA())</f>
        <v>0</v>
      </c>
      <c r="Q738" s="27">
        <f>IF(K738="Válida",I738,NA())</f>
        <v>0</v>
      </c>
      <c r="R738" s="27">
        <f>IF(K738="Válida",J738,NA())</f>
        <v>0</v>
      </c>
      <c r="S738" s="27">
        <f>IF(K738="Válida",C738,"")</f>
        <v>0</v>
      </c>
      <c r="T738" s="27">
        <f>IF(K738="Válida",I738,"")</f>
        <v>0</v>
      </c>
      <c r="U738" s="27">
        <f>IF(K738="Válida",J738,"")</f>
        <v>0</v>
      </c>
    </row>
    <row r="739" spans="1:21">
      <c r="A739" s="25">
        <f>IF(MES!A739="","",MES!C739/48)</f>
        <v>0</v>
      </c>
      <c r="B739" s="26">
        <f>IF(A739="","",TEXT((N739*4+cfgDeslocamento)/48,"hh:mm")&amp;" a "&amp;TEXT(A739,"hh:mm"))</f>
        <v>0</v>
      </c>
      <c r="C739" s="27">
        <f>IF(A739="","",MES!B739)</f>
        <v>0</v>
      </c>
      <c r="D739" s="27">
        <f>IF(A739="","",IFERROR(AVERAGEIFS(Prensa!$B$2:$B$5001,Prensa!$E$2:$E$5001,N739,Prensa!$F$2:$F$5001,1,Prensa!$G$2:$G$5001,1),""))</f>
        <v>0</v>
      </c>
      <c r="E739" s="27">
        <f>IF(A739="","",IFERROR(AVERAGEIFS(Prensa!$B$2:$B$5001,Prensa!$E$2:$E$5001,N739,Prensa!$F$2:$F$5001,2,Prensa!$G$2:$G$5001,1),""))</f>
        <v>0</v>
      </c>
      <c r="F739" s="27">
        <f>IF(A739="","",IFERROR(AVERAGEIFS(Prensa!$B$2:$B$5001,Prensa!$E$2:$E$5001,N739,Prensa!$F$2:$F$5001,3,Prensa!$G$2:$G$5001,1),""))</f>
        <v>0</v>
      </c>
      <c r="G739" s="27">
        <f>IF(A739="","",IFERROR(AVERAGEIFS(Prensa!$B$2:$B$5001,Prensa!$E$2:$E$5001,N739,Prensa!$F$2:$F$5001,4,Prensa!$G$2:$G$5001,1),""))</f>
        <v>0</v>
      </c>
      <c r="H739" s="26">
        <f>IF(A739="","",COUNT(D739:G739))</f>
        <v>0</v>
      </c>
      <c r="I739" s="27">
        <f>IF(A739="","",IF(H739=0,"",AVERAGE(D739:G739)))</f>
        <v>0</v>
      </c>
      <c r="J739" s="27">
        <f>IF(OR(I739="",C739=""),"",I739-C739)</f>
        <v>0</v>
      </c>
      <c r="K739" s="26">
        <f>IF(A739="","",IF(MES!E739&lt;&gt;4,"Horário do MES fora do padrão",IF(H739&lt;cfgMinCortes,"Cortes insuficientes","Válida")))</f>
        <v>0</v>
      </c>
      <c r="L739" s="27">
        <f>IF(K739="Válida",ABS(J739),"")</f>
        <v>0</v>
      </c>
      <c r="M739" s="26">
        <f>IF(K739="Válida",IF(L739&lt;=cfgTolerancia,"Sim","Não"),"")</f>
        <v>0</v>
      </c>
      <c r="N739" s="26">
        <f>IF(A739="","",MES!D739)</f>
        <v>0</v>
      </c>
      <c r="O739" s="25">
        <f>IF(K739="Válida",A739,NA())</f>
        <v>0</v>
      </c>
      <c r="P739" s="27">
        <f>IF(K739="Válida",C739,NA())</f>
        <v>0</v>
      </c>
      <c r="Q739" s="27">
        <f>IF(K739="Válida",I739,NA())</f>
        <v>0</v>
      </c>
      <c r="R739" s="27">
        <f>IF(K739="Válida",J739,NA())</f>
        <v>0</v>
      </c>
      <c r="S739" s="27">
        <f>IF(K739="Válida",C739,"")</f>
        <v>0</v>
      </c>
      <c r="T739" s="27">
        <f>IF(K739="Válida",I739,"")</f>
        <v>0</v>
      </c>
      <c r="U739" s="27">
        <f>IF(K739="Válida",J739,"")</f>
        <v>0</v>
      </c>
    </row>
    <row r="740" spans="1:21">
      <c r="A740" s="25">
        <f>IF(MES!A740="","",MES!C740/48)</f>
        <v>0</v>
      </c>
      <c r="B740" s="26">
        <f>IF(A740="","",TEXT((N740*4+cfgDeslocamento)/48,"hh:mm")&amp;" a "&amp;TEXT(A740,"hh:mm"))</f>
        <v>0</v>
      </c>
      <c r="C740" s="27">
        <f>IF(A740="","",MES!B740)</f>
        <v>0</v>
      </c>
      <c r="D740" s="27">
        <f>IF(A740="","",IFERROR(AVERAGEIFS(Prensa!$B$2:$B$5001,Prensa!$E$2:$E$5001,N740,Prensa!$F$2:$F$5001,1,Prensa!$G$2:$G$5001,1),""))</f>
        <v>0</v>
      </c>
      <c r="E740" s="27">
        <f>IF(A740="","",IFERROR(AVERAGEIFS(Prensa!$B$2:$B$5001,Prensa!$E$2:$E$5001,N740,Prensa!$F$2:$F$5001,2,Prensa!$G$2:$G$5001,1),""))</f>
        <v>0</v>
      </c>
      <c r="F740" s="27">
        <f>IF(A740="","",IFERROR(AVERAGEIFS(Prensa!$B$2:$B$5001,Prensa!$E$2:$E$5001,N740,Prensa!$F$2:$F$5001,3,Prensa!$G$2:$G$5001,1),""))</f>
        <v>0</v>
      </c>
      <c r="G740" s="27">
        <f>IF(A740="","",IFERROR(AVERAGEIFS(Prensa!$B$2:$B$5001,Prensa!$E$2:$E$5001,N740,Prensa!$F$2:$F$5001,4,Prensa!$G$2:$G$5001,1),""))</f>
        <v>0</v>
      </c>
      <c r="H740" s="26">
        <f>IF(A740="","",COUNT(D740:G740))</f>
        <v>0</v>
      </c>
      <c r="I740" s="27">
        <f>IF(A740="","",IF(H740=0,"",AVERAGE(D740:G740)))</f>
        <v>0</v>
      </c>
      <c r="J740" s="27">
        <f>IF(OR(I740="",C740=""),"",I740-C740)</f>
        <v>0</v>
      </c>
      <c r="K740" s="26">
        <f>IF(A740="","",IF(MES!E740&lt;&gt;4,"Horário do MES fora do padrão",IF(H740&lt;cfgMinCortes,"Cortes insuficientes","Válida")))</f>
        <v>0</v>
      </c>
      <c r="L740" s="27">
        <f>IF(K740="Válida",ABS(J740),"")</f>
        <v>0</v>
      </c>
      <c r="M740" s="26">
        <f>IF(K740="Válida",IF(L740&lt;=cfgTolerancia,"Sim","Não"),"")</f>
        <v>0</v>
      </c>
      <c r="N740" s="26">
        <f>IF(A740="","",MES!D740)</f>
        <v>0</v>
      </c>
      <c r="O740" s="25">
        <f>IF(K740="Válida",A740,NA())</f>
        <v>0</v>
      </c>
      <c r="P740" s="27">
        <f>IF(K740="Válida",C740,NA())</f>
        <v>0</v>
      </c>
      <c r="Q740" s="27">
        <f>IF(K740="Válida",I740,NA())</f>
        <v>0</v>
      </c>
      <c r="R740" s="27">
        <f>IF(K740="Válida",J740,NA())</f>
        <v>0</v>
      </c>
      <c r="S740" s="27">
        <f>IF(K740="Válida",C740,"")</f>
        <v>0</v>
      </c>
      <c r="T740" s="27">
        <f>IF(K740="Válida",I740,"")</f>
        <v>0</v>
      </c>
      <c r="U740" s="27">
        <f>IF(K740="Válida",J740,"")</f>
        <v>0</v>
      </c>
    </row>
    <row r="741" spans="1:21">
      <c r="A741" s="25">
        <f>IF(MES!A741="","",MES!C741/48)</f>
        <v>0</v>
      </c>
      <c r="B741" s="26">
        <f>IF(A741="","",TEXT((N741*4+cfgDeslocamento)/48,"hh:mm")&amp;" a "&amp;TEXT(A741,"hh:mm"))</f>
        <v>0</v>
      </c>
      <c r="C741" s="27">
        <f>IF(A741="","",MES!B741)</f>
        <v>0</v>
      </c>
      <c r="D741" s="27">
        <f>IF(A741="","",IFERROR(AVERAGEIFS(Prensa!$B$2:$B$5001,Prensa!$E$2:$E$5001,N741,Prensa!$F$2:$F$5001,1,Prensa!$G$2:$G$5001,1),""))</f>
        <v>0</v>
      </c>
      <c r="E741" s="27">
        <f>IF(A741="","",IFERROR(AVERAGEIFS(Prensa!$B$2:$B$5001,Prensa!$E$2:$E$5001,N741,Prensa!$F$2:$F$5001,2,Prensa!$G$2:$G$5001,1),""))</f>
        <v>0</v>
      </c>
      <c r="F741" s="27">
        <f>IF(A741="","",IFERROR(AVERAGEIFS(Prensa!$B$2:$B$5001,Prensa!$E$2:$E$5001,N741,Prensa!$F$2:$F$5001,3,Prensa!$G$2:$G$5001,1),""))</f>
        <v>0</v>
      </c>
      <c r="G741" s="27">
        <f>IF(A741="","",IFERROR(AVERAGEIFS(Prensa!$B$2:$B$5001,Prensa!$E$2:$E$5001,N741,Prensa!$F$2:$F$5001,4,Prensa!$G$2:$G$5001,1),""))</f>
        <v>0</v>
      </c>
      <c r="H741" s="26">
        <f>IF(A741="","",COUNT(D741:G741))</f>
        <v>0</v>
      </c>
      <c r="I741" s="27">
        <f>IF(A741="","",IF(H741=0,"",AVERAGE(D741:G741)))</f>
        <v>0</v>
      </c>
      <c r="J741" s="27">
        <f>IF(OR(I741="",C741=""),"",I741-C741)</f>
        <v>0</v>
      </c>
      <c r="K741" s="26">
        <f>IF(A741="","",IF(MES!E741&lt;&gt;4,"Horário do MES fora do padrão",IF(H741&lt;cfgMinCortes,"Cortes insuficientes","Válida")))</f>
        <v>0</v>
      </c>
      <c r="L741" s="27">
        <f>IF(K741="Válida",ABS(J741),"")</f>
        <v>0</v>
      </c>
      <c r="M741" s="26">
        <f>IF(K741="Válida",IF(L741&lt;=cfgTolerancia,"Sim","Não"),"")</f>
        <v>0</v>
      </c>
      <c r="N741" s="26">
        <f>IF(A741="","",MES!D741)</f>
        <v>0</v>
      </c>
      <c r="O741" s="25">
        <f>IF(K741="Válida",A741,NA())</f>
        <v>0</v>
      </c>
      <c r="P741" s="27">
        <f>IF(K741="Válida",C741,NA())</f>
        <v>0</v>
      </c>
      <c r="Q741" s="27">
        <f>IF(K741="Válida",I741,NA())</f>
        <v>0</v>
      </c>
      <c r="R741" s="27">
        <f>IF(K741="Válida",J741,NA())</f>
        <v>0</v>
      </c>
      <c r="S741" s="27">
        <f>IF(K741="Válida",C741,"")</f>
        <v>0</v>
      </c>
      <c r="T741" s="27">
        <f>IF(K741="Válida",I741,"")</f>
        <v>0</v>
      </c>
      <c r="U741" s="27">
        <f>IF(K741="Válida",J741,"")</f>
        <v>0</v>
      </c>
    </row>
    <row r="742" spans="1:21">
      <c r="A742" s="25">
        <f>IF(MES!A742="","",MES!C742/48)</f>
        <v>0</v>
      </c>
      <c r="B742" s="26">
        <f>IF(A742="","",TEXT((N742*4+cfgDeslocamento)/48,"hh:mm")&amp;" a "&amp;TEXT(A742,"hh:mm"))</f>
        <v>0</v>
      </c>
      <c r="C742" s="27">
        <f>IF(A742="","",MES!B742)</f>
        <v>0</v>
      </c>
      <c r="D742" s="27">
        <f>IF(A742="","",IFERROR(AVERAGEIFS(Prensa!$B$2:$B$5001,Prensa!$E$2:$E$5001,N742,Prensa!$F$2:$F$5001,1,Prensa!$G$2:$G$5001,1),""))</f>
        <v>0</v>
      </c>
      <c r="E742" s="27">
        <f>IF(A742="","",IFERROR(AVERAGEIFS(Prensa!$B$2:$B$5001,Prensa!$E$2:$E$5001,N742,Prensa!$F$2:$F$5001,2,Prensa!$G$2:$G$5001,1),""))</f>
        <v>0</v>
      </c>
      <c r="F742" s="27">
        <f>IF(A742="","",IFERROR(AVERAGEIFS(Prensa!$B$2:$B$5001,Prensa!$E$2:$E$5001,N742,Prensa!$F$2:$F$5001,3,Prensa!$G$2:$G$5001,1),""))</f>
        <v>0</v>
      </c>
      <c r="G742" s="27">
        <f>IF(A742="","",IFERROR(AVERAGEIFS(Prensa!$B$2:$B$5001,Prensa!$E$2:$E$5001,N742,Prensa!$F$2:$F$5001,4,Prensa!$G$2:$G$5001,1),""))</f>
        <v>0</v>
      </c>
      <c r="H742" s="26">
        <f>IF(A742="","",COUNT(D742:G742))</f>
        <v>0</v>
      </c>
      <c r="I742" s="27">
        <f>IF(A742="","",IF(H742=0,"",AVERAGE(D742:G742)))</f>
        <v>0</v>
      </c>
      <c r="J742" s="27">
        <f>IF(OR(I742="",C742=""),"",I742-C742)</f>
        <v>0</v>
      </c>
      <c r="K742" s="26">
        <f>IF(A742="","",IF(MES!E742&lt;&gt;4,"Horário do MES fora do padrão",IF(H742&lt;cfgMinCortes,"Cortes insuficientes","Válida")))</f>
        <v>0</v>
      </c>
      <c r="L742" s="27">
        <f>IF(K742="Válida",ABS(J742),"")</f>
        <v>0</v>
      </c>
      <c r="M742" s="26">
        <f>IF(K742="Válida",IF(L742&lt;=cfgTolerancia,"Sim","Não"),"")</f>
        <v>0</v>
      </c>
      <c r="N742" s="26">
        <f>IF(A742="","",MES!D742)</f>
        <v>0</v>
      </c>
      <c r="O742" s="25">
        <f>IF(K742="Válida",A742,NA())</f>
        <v>0</v>
      </c>
      <c r="P742" s="27">
        <f>IF(K742="Válida",C742,NA())</f>
        <v>0</v>
      </c>
      <c r="Q742" s="27">
        <f>IF(K742="Válida",I742,NA())</f>
        <v>0</v>
      </c>
      <c r="R742" s="27">
        <f>IF(K742="Válida",J742,NA())</f>
        <v>0</v>
      </c>
      <c r="S742" s="27">
        <f>IF(K742="Válida",C742,"")</f>
        <v>0</v>
      </c>
      <c r="T742" s="27">
        <f>IF(K742="Válida",I742,"")</f>
        <v>0</v>
      </c>
      <c r="U742" s="27">
        <f>IF(K742="Válida",J742,"")</f>
        <v>0</v>
      </c>
    </row>
    <row r="743" spans="1:21">
      <c r="A743" s="25">
        <f>IF(MES!A743="","",MES!C743/48)</f>
        <v>0</v>
      </c>
      <c r="B743" s="26">
        <f>IF(A743="","",TEXT((N743*4+cfgDeslocamento)/48,"hh:mm")&amp;" a "&amp;TEXT(A743,"hh:mm"))</f>
        <v>0</v>
      </c>
      <c r="C743" s="27">
        <f>IF(A743="","",MES!B743)</f>
        <v>0</v>
      </c>
      <c r="D743" s="27">
        <f>IF(A743="","",IFERROR(AVERAGEIFS(Prensa!$B$2:$B$5001,Prensa!$E$2:$E$5001,N743,Prensa!$F$2:$F$5001,1,Prensa!$G$2:$G$5001,1),""))</f>
        <v>0</v>
      </c>
      <c r="E743" s="27">
        <f>IF(A743="","",IFERROR(AVERAGEIFS(Prensa!$B$2:$B$5001,Prensa!$E$2:$E$5001,N743,Prensa!$F$2:$F$5001,2,Prensa!$G$2:$G$5001,1),""))</f>
        <v>0</v>
      </c>
      <c r="F743" s="27">
        <f>IF(A743="","",IFERROR(AVERAGEIFS(Prensa!$B$2:$B$5001,Prensa!$E$2:$E$5001,N743,Prensa!$F$2:$F$5001,3,Prensa!$G$2:$G$5001,1),""))</f>
        <v>0</v>
      </c>
      <c r="G743" s="27">
        <f>IF(A743="","",IFERROR(AVERAGEIFS(Prensa!$B$2:$B$5001,Prensa!$E$2:$E$5001,N743,Prensa!$F$2:$F$5001,4,Prensa!$G$2:$G$5001,1),""))</f>
        <v>0</v>
      </c>
      <c r="H743" s="26">
        <f>IF(A743="","",COUNT(D743:G743))</f>
        <v>0</v>
      </c>
      <c r="I743" s="27">
        <f>IF(A743="","",IF(H743=0,"",AVERAGE(D743:G743)))</f>
        <v>0</v>
      </c>
      <c r="J743" s="27">
        <f>IF(OR(I743="",C743=""),"",I743-C743)</f>
        <v>0</v>
      </c>
      <c r="K743" s="26">
        <f>IF(A743="","",IF(MES!E743&lt;&gt;4,"Horário do MES fora do padrão",IF(H743&lt;cfgMinCortes,"Cortes insuficientes","Válida")))</f>
        <v>0</v>
      </c>
      <c r="L743" s="27">
        <f>IF(K743="Válida",ABS(J743),"")</f>
        <v>0</v>
      </c>
      <c r="M743" s="26">
        <f>IF(K743="Válida",IF(L743&lt;=cfgTolerancia,"Sim","Não"),"")</f>
        <v>0</v>
      </c>
      <c r="N743" s="26">
        <f>IF(A743="","",MES!D743)</f>
        <v>0</v>
      </c>
      <c r="O743" s="25">
        <f>IF(K743="Válida",A743,NA())</f>
        <v>0</v>
      </c>
      <c r="P743" s="27">
        <f>IF(K743="Válida",C743,NA())</f>
        <v>0</v>
      </c>
      <c r="Q743" s="27">
        <f>IF(K743="Válida",I743,NA())</f>
        <v>0</v>
      </c>
      <c r="R743" s="27">
        <f>IF(K743="Válida",J743,NA())</f>
        <v>0</v>
      </c>
      <c r="S743" s="27">
        <f>IF(K743="Válida",C743,"")</f>
        <v>0</v>
      </c>
      <c r="T743" s="27">
        <f>IF(K743="Válida",I743,"")</f>
        <v>0</v>
      </c>
      <c r="U743" s="27">
        <f>IF(K743="Válida",J743,"")</f>
        <v>0</v>
      </c>
    </row>
    <row r="744" spans="1:21">
      <c r="A744" s="25">
        <f>IF(MES!A744="","",MES!C744/48)</f>
        <v>0</v>
      </c>
      <c r="B744" s="26">
        <f>IF(A744="","",TEXT((N744*4+cfgDeslocamento)/48,"hh:mm")&amp;" a "&amp;TEXT(A744,"hh:mm"))</f>
        <v>0</v>
      </c>
      <c r="C744" s="27">
        <f>IF(A744="","",MES!B744)</f>
        <v>0</v>
      </c>
      <c r="D744" s="27">
        <f>IF(A744="","",IFERROR(AVERAGEIFS(Prensa!$B$2:$B$5001,Prensa!$E$2:$E$5001,N744,Prensa!$F$2:$F$5001,1,Prensa!$G$2:$G$5001,1),""))</f>
        <v>0</v>
      </c>
      <c r="E744" s="27">
        <f>IF(A744="","",IFERROR(AVERAGEIFS(Prensa!$B$2:$B$5001,Prensa!$E$2:$E$5001,N744,Prensa!$F$2:$F$5001,2,Prensa!$G$2:$G$5001,1),""))</f>
        <v>0</v>
      </c>
      <c r="F744" s="27">
        <f>IF(A744="","",IFERROR(AVERAGEIFS(Prensa!$B$2:$B$5001,Prensa!$E$2:$E$5001,N744,Prensa!$F$2:$F$5001,3,Prensa!$G$2:$G$5001,1),""))</f>
        <v>0</v>
      </c>
      <c r="G744" s="27">
        <f>IF(A744="","",IFERROR(AVERAGEIFS(Prensa!$B$2:$B$5001,Prensa!$E$2:$E$5001,N744,Prensa!$F$2:$F$5001,4,Prensa!$G$2:$G$5001,1),""))</f>
        <v>0</v>
      </c>
      <c r="H744" s="26">
        <f>IF(A744="","",COUNT(D744:G744))</f>
        <v>0</v>
      </c>
      <c r="I744" s="27">
        <f>IF(A744="","",IF(H744=0,"",AVERAGE(D744:G744)))</f>
        <v>0</v>
      </c>
      <c r="J744" s="27">
        <f>IF(OR(I744="",C744=""),"",I744-C744)</f>
        <v>0</v>
      </c>
      <c r="K744" s="26">
        <f>IF(A744="","",IF(MES!E744&lt;&gt;4,"Horário do MES fora do padrão",IF(H744&lt;cfgMinCortes,"Cortes insuficientes","Válida")))</f>
        <v>0</v>
      </c>
      <c r="L744" s="27">
        <f>IF(K744="Válida",ABS(J744),"")</f>
        <v>0</v>
      </c>
      <c r="M744" s="26">
        <f>IF(K744="Válida",IF(L744&lt;=cfgTolerancia,"Sim","Não"),"")</f>
        <v>0</v>
      </c>
      <c r="N744" s="26">
        <f>IF(A744="","",MES!D744)</f>
        <v>0</v>
      </c>
      <c r="O744" s="25">
        <f>IF(K744="Válida",A744,NA())</f>
        <v>0</v>
      </c>
      <c r="P744" s="27">
        <f>IF(K744="Válida",C744,NA())</f>
        <v>0</v>
      </c>
      <c r="Q744" s="27">
        <f>IF(K744="Válida",I744,NA())</f>
        <v>0</v>
      </c>
      <c r="R744" s="27">
        <f>IF(K744="Válida",J744,NA())</f>
        <v>0</v>
      </c>
      <c r="S744" s="27">
        <f>IF(K744="Válida",C744,"")</f>
        <v>0</v>
      </c>
      <c r="T744" s="27">
        <f>IF(K744="Válida",I744,"")</f>
        <v>0</v>
      </c>
      <c r="U744" s="27">
        <f>IF(K744="Válida",J744,"")</f>
        <v>0</v>
      </c>
    </row>
    <row r="745" spans="1:21">
      <c r="A745" s="25">
        <f>IF(MES!A745="","",MES!C745/48)</f>
        <v>0</v>
      </c>
      <c r="B745" s="26">
        <f>IF(A745="","",TEXT((N745*4+cfgDeslocamento)/48,"hh:mm")&amp;" a "&amp;TEXT(A745,"hh:mm"))</f>
        <v>0</v>
      </c>
      <c r="C745" s="27">
        <f>IF(A745="","",MES!B745)</f>
        <v>0</v>
      </c>
      <c r="D745" s="27">
        <f>IF(A745="","",IFERROR(AVERAGEIFS(Prensa!$B$2:$B$5001,Prensa!$E$2:$E$5001,N745,Prensa!$F$2:$F$5001,1,Prensa!$G$2:$G$5001,1),""))</f>
        <v>0</v>
      </c>
      <c r="E745" s="27">
        <f>IF(A745="","",IFERROR(AVERAGEIFS(Prensa!$B$2:$B$5001,Prensa!$E$2:$E$5001,N745,Prensa!$F$2:$F$5001,2,Prensa!$G$2:$G$5001,1),""))</f>
        <v>0</v>
      </c>
      <c r="F745" s="27">
        <f>IF(A745="","",IFERROR(AVERAGEIFS(Prensa!$B$2:$B$5001,Prensa!$E$2:$E$5001,N745,Prensa!$F$2:$F$5001,3,Prensa!$G$2:$G$5001,1),""))</f>
        <v>0</v>
      </c>
      <c r="G745" s="27">
        <f>IF(A745="","",IFERROR(AVERAGEIFS(Prensa!$B$2:$B$5001,Prensa!$E$2:$E$5001,N745,Prensa!$F$2:$F$5001,4,Prensa!$G$2:$G$5001,1),""))</f>
        <v>0</v>
      </c>
      <c r="H745" s="26">
        <f>IF(A745="","",COUNT(D745:G745))</f>
        <v>0</v>
      </c>
      <c r="I745" s="27">
        <f>IF(A745="","",IF(H745=0,"",AVERAGE(D745:G745)))</f>
        <v>0</v>
      </c>
      <c r="J745" s="27">
        <f>IF(OR(I745="",C745=""),"",I745-C745)</f>
        <v>0</v>
      </c>
      <c r="K745" s="26">
        <f>IF(A745="","",IF(MES!E745&lt;&gt;4,"Horário do MES fora do padrão",IF(H745&lt;cfgMinCortes,"Cortes insuficientes","Válida")))</f>
        <v>0</v>
      </c>
      <c r="L745" s="27">
        <f>IF(K745="Válida",ABS(J745),"")</f>
        <v>0</v>
      </c>
      <c r="M745" s="26">
        <f>IF(K745="Válida",IF(L745&lt;=cfgTolerancia,"Sim","Não"),"")</f>
        <v>0</v>
      </c>
      <c r="N745" s="26">
        <f>IF(A745="","",MES!D745)</f>
        <v>0</v>
      </c>
      <c r="O745" s="25">
        <f>IF(K745="Válida",A745,NA())</f>
        <v>0</v>
      </c>
      <c r="P745" s="27">
        <f>IF(K745="Válida",C745,NA())</f>
        <v>0</v>
      </c>
      <c r="Q745" s="27">
        <f>IF(K745="Válida",I745,NA())</f>
        <v>0</v>
      </c>
      <c r="R745" s="27">
        <f>IF(K745="Válida",J745,NA())</f>
        <v>0</v>
      </c>
      <c r="S745" s="27">
        <f>IF(K745="Válida",C745,"")</f>
        <v>0</v>
      </c>
      <c r="T745" s="27">
        <f>IF(K745="Válida",I745,"")</f>
        <v>0</v>
      </c>
      <c r="U745" s="27">
        <f>IF(K745="Válida",J745,"")</f>
        <v>0</v>
      </c>
    </row>
    <row r="746" spans="1:21">
      <c r="A746" s="25">
        <f>IF(MES!A746="","",MES!C746/48)</f>
        <v>0</v>
      </c>
      <c r="B746" s="26">
        <f>IF(A746="","",TEXT((N746*4+cfgDeslocamento)/48,"hh:mm")&amp;" a "&amp;TEXT(A746,"hh:mm"))</f>
        <v>0</v>
      </c>
      <c r="C746" s="27">
        <f>IF(A746="","",MES!B746)</f>
        <v>0</v>
      </c>
      <c r="D746" s="27">
        <f>IF(A746="","",IFERROR(AVERAGEIFS(Prensa!$B$2:$B$5001,Prensa!$E$2:$E$5001,N746,Prensa!$F$2:$F$5001,1,Prensa!$G$2:$G$5001,1),""))</f>
        <v>0</v>
      </c>
      <c r="E746" s="27">
        <f>IF(A746="","",IFERROR(AVERAGEIFS(Prensa!$B$2:$B$5001,Prensa!$E$2:$E$5001,N746,Prensa!$F$2:$F$5001,2,Prensa!$G$2:$G$5001,1),""))</f>
        <v>0</v>
      </c>
      <c r="F746" s="27">
        <f>IF(A746="","",IFERROR(AVERAGEIFS(Prensa!$B$2:$B$5001,Prensa!$E$2:$E$5001,N746,Prensa!$F$2:$F$5001,3,Prensa!$G$2:$G$5001,1),""))</f>
        <v>0</v>
      </c>
      <c r="G746" s="27">
        <f>IF(A746="","",IFERROR(AVERAGEIFS(Prensa!$B$2:$B$5001,Prensa!$E$2:$E$5001,N746,Prensa!$F$2:$F$5001,4,Prensa!$G$2:$G$5001,1),""))</f>
        <v>0</v>
      </c>
      <c r="H746" s="26">
        <f>IF(A746="","",COUNT(D746:G746))</f>
        <v>0</v>
      </c>
      <c r="I746" s="27">
        <f>IF(A746="","",IF(H746=0,"",AVERAGE(D746:G746)))</f>
        <v>0</v>
      </c>
      <c r="J746" s="27">
        <f>IF(OR(I746="",C746=""),"",I746-C746)</f>
        <v>0</v>
      </c>
      <c r="K746" s="26">
        <f>IF(A746="","",IF(MES!E746&lt;&gt;4,"Horário do MES fora do padrão",IF(H746&lt;cfgMinCortes,"Cortes insuficientes","Válida")))</f>
        <v>0</v>
      </c>
      <c r="L746" s="27">
        <f>IF(K746="Válida",ABS(J746),"")</f>
        <v>0</v>
      </c>
      <c r="M746" s="26">
        <f>IF(K746="Válida",IF(L746&lt;=cfgTolerancia,"Sim","Não"),"")</f>
        <v>0</v>
      </c>
      <c r="N746" s="26">
        <f>IF(A746="","",MES!D746)</f>
        <v>0</v>
      </c>
      <c r="O746" s="25">
        <f>IF(K746="Válida",A746,NA())</f>
        <v>0</v>
      </c>
      <c r="P746" s="27">
        <f>IF(K746="Válida",C746,NA())</f>
        <v>0</v>
      </c>
      <c r="Q746" s="27">
        <f>IF(K746="Válida",I746,NA())</f>
        <v>0</v>
      </c>
      <c r="R746" s="27">
        <f>IF(K746="Válida",J746,NA())</f>
        <v>0</v>
      </c>
      <c r="S746" s="27">
        <f>IF(K746="Válida",C746,"")</f>
        <v>0</v>
      </c>
      <c r="T746" s="27">
        <f>IF(K746="Válida",I746,"")</f>
        <v>0</v>
      </c>
      <c r="U746" s="27">
        <f>IF(K746="Válida",J746,"")</f>
        <v>0</v>
      </c>
    </row>
    <row r="747" spans="1:21">
      <c r="A747" s="25">
        <f>IF(MES!A747="","",MES!C747/48)</f>
        <v>0</v>
      </c>
      <c r="B747" s="26">
        <f>IF(A747="","",TEXT((N747*4+cfgDeslocamento)/48,"hh:mm")&amp;" a "&amp;TEXT(A747,"hh:mm"))</f>
        <v>0</v>
      </c>
      <c r="C747" s="27">
        <f>IF(A747="","",MES!B747)</f>
        <v>0</v>
      </c>
      <c r="D747" s="27">
        <f>IF(A747="","",IFERROR(AVERAGEIFS(Prensa!$B$2:$B$5001,Prensa!$E$2:$E$5001,N747,Prensa!$F$2:$F$5001,1,Prensa!$G$2:$G$5001,1),""))</f>
        <v>0</v>
      </c>
      <c r="E747" s="27">
        <f>IF(A747="","",IFERROR(AVERAGEIFS(Prensa!$B$2:$B$5001,Prensa!$E$2:$E$5001,N747,Prensa!$F$2:$F$5001,2,Prensa!$G$2:$G$5001,1),""))</f>
        <v>0</v>
      </c>
      <c r="F747" s="27">
        <f>IF(A747="","",IFERROR(AVERAGEIFS(Prensa!$B$2:$B$5001,Prensa!$E$2:$E$5001,N747,Prensa!$F$2:$F$5001,3,Prensa!$G$2:$G$5001,1),""))</f>
        <v>0</v>
      </c>
      <c r="G747" s="27">
        <f>IF(A747="","",IFERROR(AVERAGEIFS(Prensa!$B$2:$B$5001,Prensa!$E$2:$E$5001,N747,Prensa!$F$2:$F$5001,4,Prensa!$G$2:$G$5001,1),""))</f>
        <v>0</v>
      </c>
      <c r="H747" s="26">
        <f>IF(A747="","",COUNT(D747:G747))</f>
        <v>0</v>
      </c>
      <c r="I747" s="27">
        <f>IF(A747="","",IF(H747=0,"",AVERAGE(D747:G747)))</f>
        <v>0</v>
      </c>
      <c r="J747" s="27">
        <f>IF(OR(I747="",C747=""),"",I747-C747)</f>
        <v>0</v>
      </c>
      <c r="K747" s="26">
        <f>IF(A747="","",IF(MES!E747&lt;&gt;4,"Horário do MES fora do padrão",IF(H747&lt;cfgMinCortes,"Cortes insuficientes","Válida")))</f>
        <v>0</v>
      </c>
      <c r="L747" s="27">
        <f>IF(K747="Válida",ABS(J747),"")</f>
        <v>0</v>
      </c>
      <c r="M747" s="26">
        <f>IF(K747="Válida",IF(L747&lt;=cfgTolerancia,"Sim","Não"),"")</f>
        <v>0</v>
      </c>
      <c r="N747" s="26">
        <f>IF(A747="","",MES!D747)</f>
        <v>0</v>
      </c>
      <c r="O747" s="25">
        <f>IF(K747="Válida",A747,NA())</f>
        <v>0</v>
      </c>
      <c r="P747" s="27">
        <f>IF(K747="Válida",C747,NA())</f>
        <v>0</v>
      </c>
      <c r="Q747" s="27">
        <f>IF(K747="Válida",I747,NA())</f>
        <v>0</v>
      </c>
      <c r="R747" s="27">
        <f>IF(K747="Válida",J747,NA())</f>
        <v>0</v>
      </c>
      <c r="S747" s="27">
        <f>IF(K747="Válida",C747,"")</f>
        <v>0</v>
      </c>
      <c r="T747" s="27">
        <f>IF(K747="Válida",I747,"")</f>
        <v>0</v>
      </c>
      <c r="U747" s="27">
        <f>IF(K747="Válida",J747,"")</f>
        <v>0</v>
      </c>
    </row>
    <row r="748" spans="1:21">
      <c r="A748" s="25">
        <f>IF(MES!A748="","",MES!C748/48)</f>
        <v>0</v>
      </c>
      <c r="B748" s="26">
        <f>IF(A748="","",TEXT((N748*4+cfgDeslocamento)/48,"hh:mm")&amp;" a "&amp;TEXT(A748,"hh:mm"))</f>
        <v>0</v>
      </c>
      <c r="C748" s="27">
        <f>IF(A748="","",MES!B748)</f>
        <v>0</v>
      </c>
      <c r="D748" s="27">
        <f>IF(A748="","",IFERROR(AVERAGEIFS(Prensa!$B$2:$B$5001,Prensa!$E$2:$E$5001,N748,Prensa!$F$2:$F$5001,1,Prensa!$G$2:$G$5001,1),""))</f>
        <v>0</v>
      </c>
      <c r="E748" s="27">
        <f>IF(A748="","",IFERROR(AVERAGEIFS(Prensa!$B$2:$B$5001,Prensa!$E$2:$E$5001,N748,Prensa!$F$2:$F$5001,2,Prensa!$G$2:$G$5001,1),""))</f>
        <v>0</v>
      </c>
      <c r="F748" s="27">
        <f>IF(A748="","",IFERROR(AVERAGEIFS(Prensa!$B$2:$B$5001,Prensa!$E$2:$E$5001,N748,Prensa!$F$2:$F$5001,3,Prensa!$G$2:$G$5001,1),""))</f>
        <v>0</v>
      </c>
      <c r="G748" s="27">
        <f>IF(A748="","",IFERROR(AVERAGEIFS(Prensa!$B$2:$B$5001,Prensa!$E$2:$E$5001,N748,Prensa!$F$2:$F$5001,4,Prensa!$G$2:$G$5001,1),""))</f>
        <v>0</v>
      </c>
      <c r="H748" s="26">
        <f>IF(A748="","",COUNT(D748:G748))</f>
        <v>0</v>
      </c>
      <c r="I748" s="27">
        <f>IF(A748="","",IF(H748=0,"",AVERAGE(D748:G748)))</f>
        <v>0</v>
      </c>
      <c r="J748" s="27">
        <f>IF(OR(I748="",C748=""),"",I748-C748)</f>
        <v>0</v>
      </c>
      <c r="K748" s="26">
        <f>IF(A748="","",IF(MES!E748&lt;&gt;4,"Horário do MES fora do padrão",IF(H748&lt;cfgMinCortes,"Cortes insuficientes","Válida")))</f>
        <v>0</v>
      </c>
      <c r="L748" s="27">
        <f>IF(K748="Válida",ABS(J748),"")</f>
        <v>0</v>
      </c>
      <c r="M748" s="26">
        <f>IF(K748="Válida",IF(L748&lt;=cfgTolerancia,"Sim","Não"),"")</f>
        <v>0</v>
      </c>
      <c r="N748" s="26">
        <f>IF(A748="","",MES!D748)</f>
        <v>0</v>
      </c>
      <c r="O748" s="25">
        <f>IF(K748="Válida",A748,NA())</f>
        <v>0</v>
      </c>
      <c r="P748" s="27">
        <f>IF(K748="Válida",C748,NA())</f>
        <v>0</v>
      </c>
      <c r="Q748" s="27">
        <f>IF(K748="Válida",I748,NA())</f>
        <v>0</v>
      </c>
      <c r="R748" s="27">
        <f>IF(K748="Válida",J748,NA())</f>
        <v>0</v>
      </c>
      <c r="S748" s="27">
        <f>IF(K748="Válida",C748,"")</f>
        <v>0</v>
      </c>
      <c r="T748" s="27">
        <f>IF(K748="Válida",I748,"")</f>
        <v>0</v>
      </c>
      <c r="U748" s="27">
        <f>IF(K748="Válida",J748,"")</f>
        <v>0</v>
      </c>
    </row>
    <row r="749" spans="1:21">
      <c r="A749" s="25">
        <f>IF(MES!A749="","",MES!C749/48)</f>
        <v>0</v>
      </c>
      <c r="B749" s="26">
        <f>IF(A749="","",TEXT((N749*4+cfgDeslocamento)/48,"hh:mm")&amp;" a "&amp;TEXT(A749,"hh:mm"))</f>
        <v>0</v>
      </c>
      <c r="C749" s="27">
        <f>IF(A749="","",MES!B749)</f>
        <v>0</v>
      </c>
      <c r="D749" s="27">
        <f>IF(A749="","",IFERROR(AVERAGEIFS(Prensa!$B$2:$B$5001,Prensa!$E$2:$E$5001,N749,Prensa!$F$2:$F$5001,1,Prensa!$G$2:$G$5001,1),""))</f>
        <v>0</v>
      </c>
      <c r="E749" s="27">
        <f>IF(A749="","",IFERROR(AVERAGEIFS(Prensa!$B$2:$B$5001,Prensa!$E$2:$E$5001,N749,Prensa!$F$2:$F$5001,2,Prensa!$G$2:$G$5001,1),""))</f>
        <v>0</v>
      </c>
      <c r="F749" s="27">
        <f>IF(A749="","",IFERROR(AVERAGEIFS(Prensa!$B$2:$B$5001,Prensa!$E$2:$E$5001,N749,Prensa!$F$2:$F$5001,3,Prensa!$G$2:$G$5001,1),""))</f>
        <v>0</v>
      </c>
      <c r="G749" s="27">
        <f>IF(A749="","",IFERROR(AVERAGEIFS(Prensa!$B$2:$B$5001,Prensa!$E$2:$E$5001,N749,Prensa!$F$2:$F$5001,4,Prensa!$G$2:$G$5001,1),""))</f>
        <v>0</v>
      </c>
      <c r="H749" s="26">
        <f>IF(A749="","",COUNT(D749:G749))</f>
        <v>0</v>
      </c>
      <c r="I749" s="27">
        <f>IF(A749="","",IF(H749=0,"",AVERAGE(D749:G749)))</f>
        <v>0</v>
      </c>
      <c r="J749" s="27">
        <f>IF(OR(I749="",C749=""),"",I749-C749)</f>
        <v>0</v>
      </c>
      <c r="K749" s="26">
        <f>IF(A749="","",IF(MES!E749&lt;&gt;4,"Horário do MES fora do padrão",IF(H749&lt;cfgMinCortes,"Cortes insuficientes","Válida")))</f>
        <v>0</v>
      </c>
      <c r="L749" s="27">
        <f>IF(K749="Válida",ABS(J749),"")</f>
        <v>0</v>
      </c>
      <c r="M749" s="26">
        <f>IF(K749="Válida",IF(L749&lt;=cfgTolerancia,"Sim","Não"),"")</f>
        <v>0</v>
      </c>
      <c r="N749" s="26">
        <f>IF(A749="","",MES!D749)</f>
        <v>0</v>
      </c>
      <c r="O749" s="25">
        <f>IF(K749="Válida",A749,NA())</f>
        <v>0</v>
      </c>
      <c r="P749" s="27">
        <f>IF(K749="Válida",C749,NA())</f>
        <v>0</v>
      </c>
      <c r="Q749" s="27">
        <f>IF(K749="Válida",I749,NA())</f>
        <v>0</v>
      </c>
      <c r="R749" s="27">
        <f>IF(K749="Válida",J749,NA())</f>
        <v>0</v>
      </c>
      <c r="S749" s="27">
        <f>IF(K749="Válida",C749,"")</f>
        <v>0</v>
      </c>
      <c r="T749" s="27">
        <f>IF(K749="Válida",I749,"")</f>
        <v>0</v>
      </c>
      <c r="U749" s="27">
        <f>IF(K749="Válida",J749,"")</f>
        <v>0</v>
      </c>
    </row>
    <row r="750" spans="1:21">
      <c r="A750" s="25">
        <f>IF(MES!A750="","",MES!C750/48)</f>
        <v>0</v>
      </c>
      <c r="B750" s="26">
        <f>IF(A750="","",TEXT((N750*4+cfgDeslocamento)/48,"hh:mm")&amp;" a "&amp;TEXT(A750,"hh:mm"))</f>
        <v>0</v>
      </c>
      <c r="C750" s="27">
        <f>IF(A750="","",MES!B750)</f>
        <v>0</v>
      </c>
      <c r="D750" s="27">
        <f>IF(A750="","",IFERROR(AVERAGEIFS(Prensa!$B$2:$B$5001,Prensa!$E$2:$E$5001,N750,Prensa!$F$2:$F$5001,1,Prensa!$G$2:$G$5001,1),""))</f>
        <v>0</v>
      </c>
      <c r="E750" s="27">
        <f>IF(A750="","",IFERROR(AVERAGEIFS(Prensa!$B$2:$B$5001,Prensa!$E$2:$E$5001,N750,Prensa!$F$2:$F$5001,2,Prensa!$G$2:$G$5001,1),""))</f>
        <v>0</v>
      </c>
      <c r="F750" s="27">
        <f>IF(A750="","",IFERROR(AVERAGEIFS(Prensa!$B$2:$B$5001,Prensa!$E$2:$E$5001,N750,Prensa!$F$2:$F$5001,3,Prensa!$G$2:$G$5001,1),""))</f>
        <v>0</v>
      </c>
      <c r="G750" s="27">
        <f>IF(A750="","",IFERROR(AVERAGEIFS(Prensa!$B$2:$B$5001,Prensa!$E$2:$E$5001,N750,Prensa!$F$2:$F$5001,4,Prensa!$G$2:$G$5001,1),""))</f>
        <v>0</v>
      </c>
      <c r="H750" s="26">
        <f>IF(A750="","",COUNT(D750:G750))</f>
        <v>0</v>
      </c>
      <c r="I750" s="27">
        <f>IF(A750="","",IF(H750=0,"",AVERAGE(D750:G750)))</f>
        <v>0</v>
      </c>
      <c r="J750" s="27">
        <f>IF(OR(I750="",C750=""),"",I750-C750)</f>
        <v>0</v>
      </c>
      <c r="K750" s="26">
        <f>IF(A750="","",IF(MES!E750&lt;&gt;4,"Horário do MES fora do padrão",IF(H750&lt;cfgMinCortes,"Cortes insuficientes","Válida")))</f>
        <v>0</v>
      </c>
      <c r="L750" s="27">
        <f>IF(K750="Válida",ABS(J750),"")</f>
        <v>0</v>
      </c>
      <c r="M750" s="26">
        <f>IF(K750="Válida",IF(L750&lt;=cfgTolerancia,"Sim","Não"),"")</f>
        <v>0</v>
      </c>
      <c r="N750" s="26">
        <f>IF(A750="","",MES!D750)</f>
        <v>0</v>
      </c>
      <c r="O750" s="25">
        <f>IF(K750="Válida",A750,NA())</f>
        <v>0</v>
      </c>
      <c r="P750" s="27">
        <f>IF(K750="Válida",C750,NA())</f>
        <v>0</v>
      </c>
      <c r="Q750" s="27">
        <f>IF(K750="Válida",I750,NA())</f>
        <v>0</v>
      </c>
      <c r="R750" s="27">
        <f>IF(K750="Válida",J750,NA())</f>
        <v>0</v>
      </c>
      <c r="S750" s="27">
        <f>IF(K750="Válida",C750,"")</f>
        <v>0</v>
      </c>
      <c r="T750" s="27">
        <f>IF(K750="Válida",I750,"")</f>
        <v>0</v>
      </c>
      <c r="U750" s="27">
        <f>IF(K750="Válida",J750,"")</f>
        <v>0</v>
      </c>
    </row>
    <row r="751" spans="1:21">
      <c r="A751" s="25">
        <f>IF(MES!A751="","",MES!C751/48)</f>
        <v>0</v>
      </c>
      <c r="B751" s="26">
        <f>IF(A751="","",TEXT((N751*4+cfgDeslocamento)/48,"hh:mm")&amp;" a "&amp;TEXT(A751,"hh:mm"))</f>
        <v>0</v>
      </c>
      <c r="C751" s="27">
        <f>IF(A751="","",MES!B751)</f>
        <v>0</v>
      </c>
      <c r="D751" s="27">
        <f>IF(A751="","",IFERROR(AVERAGEIFS(Prensa!$B$2:$B$5001,Prensa!$E$2:$E$5001,N751,Prensa!$F$2:$F$5001,1,Prensa!$G$2:$G$5001,1),""))</f>
        <v>0</v>
      </c>
      <c r="E751" s="27">
        <f>IF(A751="","",IFERROR(AVERAGEIFS(Prensa!$B$2:$B$5001,Prensa!$E$2:$E$5001,N751,Prensa!$F$2:$F$5001,2,Prensa!$G$2:$G$5001,1),""))</f>
        <v>0</v>
      </c>
      <c r="F751" s="27">
        <f>IF(A751="","",IFERROR(AVERAGEIFS(Prensa!$B$2:$B$5001,Prensa!$E$2:$E$5001,N751,Prensa!$F$2:$F$5001,3,Prensa!$G$2:$G$5001,1),""))</f>
        <v>0</v>
      </c>
      <c r="G751" s="27">
        <f>IF(A751="","",IFERROR(AVERAGEIFS(Prensa!$B$2:$B$5001,Prensa!$E$2:$E$5001,N751,Prensa!$F$2:$F$5001,4,Prensa!$G$2:$G$5001,1),""))</f>
        <v>0</v>
      </c>
      <c r="H751" s="26">
        <f>IF(A751="","",COUNT(D751:G751))</f>
        <v>0</v>
      </c>
      <c r="I751" s="27">
        <f>IF(A751="","",IF(H751=0,"",AVERAGE(D751:G751)))</f>
        <v>0</v>
      </c>
      <c r="J751" s="27">
        <f>IF(OR(I751="",C751=""),"",I751-C751)</f>
        <v>0</v>
      </c>
      <c r="K751" s="26">
        <f>IF(A751="","",IF(MES!E751&lt;&gt;4,"Horário do MES fora do padrão",IF(H751&lt;cfgMinCortes,"Cortes insuficientes","Válida")))</f>
        <v>0</v>
      </c>
      <c r="L751" s="27">
        <f>IF(K751="Válida",ABS(J751),"")</f>
        <v>0</v>
      </c>
      <c r="M751" s="26">
        <f>IF(K751="Válida",IF(L751&lt;=cfgTolerancia,"Sim","Não"),"")</f>
        <v>0</v>
      </c>
      <c r="N751" s="26">
        <f>IF(A751="","",MES!D751)</f>
        <v>0</v>
      </c>
      <c r="O751" s="25">
        <f>IF(K751="Válida",A751,NA())</f>
        <v>0</v>
      </c>
      <c r="P751" s="27">
        <f>IF(K751="Válida",C751,NA())</f>
        <v>0</v>
      </c>
      <c r="Q751" s="27">
        <f>IF(K751="Válida",I751,NA())</f>
        <v>0</v>
      </c>
      <c r="R751" s="27">
        <f>IF(K751="Válida",J751,NA())</f>
        <v>0</v>
      </c>
      <c r="S751" s="27">
        <f>IF(K751="Válida",C751,"")</f>
        <v>0</v>
      </c>
      <c r="T751" s="27">
        <f>IF(K751="Válida",I751,"")</f>
        <v>0</v>
      </c>
      <c r="U751" s="27">
        <f>IF(K751="Válida",J751,"")</f>
        <v>0</v>
      </c>
    </row>
    <row r="752" spans="1:21">
      <c r="A752" s="25">
        <f>IF(MES!A752="","",MES!C752/48)</f>
        <v>0</v>
      </c>
      <c r="B752" s="26">
        <f>IF(A752="","",TEXT((N752*4+cfgDeslocamento)/48,"hh:mm")&amp;" a "&amp;TEXT(A752,"hh:mm"))</f>
        <v>0</v>
      </c>
      <c r="C752" s="27">
        <f>IF(A752="","",MES!B752)</f>
        <v>0</v>
      </c>
      <c r="D752" s="27">
        <f>IF(A752="","",IFERROR(AVERAGEIFS(Prensa!$B$2:$B$5001,Prensa!$E$2:$E$5001,N752,Prensa!$F$2:$F$5001,1,Prensa!$G$2:$G$5001,1),""))</f>
        <v>0</v>
      </c>
      <c r="E752" s="27">
        <f>IF(A752="","",IFERROR(AVERAGEIFS(Prensa!$B$2:$B$5001,Prensa!$E$2:$E$5001,N752,Prensa!$F$2:$F$5001,2,Prensa!$G$2:$G$5001,1),""))</f>
        <v>0</v>
      </c>
      <c r="F752" s="27">
        <f>IF(A752="","",IFERROR(AVERAGEIFS(Prensa!$B$2:$B$5001,Prensa!$E$2:$E$5001,N752,Prensa!$F$2:$F$5001,3,Prensa!$G$2:$G$5001,1),""))</f>
        <v>0</v>
      </c>
      <c r="G752" s="27">
        <f>IF(A752="","",IFERROR(AVERAGEIFS(Prensa!$B$2:$B$5001,Prensa!$E$2:$E$5001,N752,Prensa!$F$2:$F$5001,4,Prensa!$G$2:$G$5001,1),""))</f>
        <v>0</v>
      </c>
      <c r="H752" s="26">
        <f>IF(A752="","",COUNT(D752:G752))</f>
        <v>0</v>
      </c>
      <c r="I752" s="27">
        <f>IF(A752="","",IF(H752=0,"",AVERAGE(D752:G752)))</f>
        <v>0</v>
      </c>
      <c r="J752" s="27">
        <f>IF(OR(I752="",C752=""),"",I752-C752)</f>
        <v>0</v>
      </c>
      <c r="K752" s="26">
        <f>IF(A752="","",IF(MES!E752&lt;&gt;4,"Horário do MES fora do padrão",IF(H752&lt;cfgMinCortes,"Cortes insuficientes","Válida")))</f>
        <v>0</v>
      </c>
      <c r="L752" s="27">
        <f>IF(K752="Válida",ABS(J752),"")</f>
        <v>0</v>
      </c>
      <c r="M752" s="26">
        <f>IF(K752="Válida",IF(L752&lt;=cfgTolerancia,"Sim","Não"),"")</f>
        <v>0</v>
      </c>
      <c r="N752" s="26">
        <f>IF(A752="","",MES!D752)</f>
        <v>0</v>
      </c>
      <c r="O752" s="25">
        <f>IF(K752="Válida",A752,NA())</f>
        <v>0</v>
      </c>
      <c r="P752" s="27">
        <f>IF(K752="Válida",C752,NA())</f>
        <v>0</v>
      </c>
      <c r="Q752" s="27">
        <f>IF(K752="Válida",I752,NA())</f>
        <v>0</v>
      </c>
      <c r="R752" s="27">
        <f>IF(K752="Válida",J752,NA())</f>
        <v>0</v>
      </c>
      <c r="S752" s="27">
        <f>IF(K752="Válida",C752,"")</f>
        <v>0</v>
      </c>
      <c r="T752" s="27">
        <f>IF(K752="Válida",I752,"")</f>
        <v>0</v>
      </c>
      <c r="U752" s="27">
        <f>IF(K752="Válida",J752,"")</f>
        <v>0</v>
      </c>
    </row>
    <row r="753" spans="1:21">
      <c r="A753" s="25">
        <f>IF(MES!A753="","",MES!C753/48)</f>
        <v>0</v>
      </c>
      <c r="B753" s="26">
        <f>IF(A753="","",TEXT((N753*4+cfgDeslocamento)/48,"hh:mm")&amp;" a "&amp;TEXT(A753,"hh:mm"))</f>
        <v>0</v>
      </c>
      <c r="C753" s="27">
        <f>IF(A753="","",MES!B753)</f>
        <v>0</v>
      </c>
      <c r="D753" s="27">
        <f>IF(A753="","",IFERROR(AVERAGEIFS(Prensa!$B$2:$B$5001,Prensa!$E$2:$E$5001,N753,Prensa!$F$2:$F$5001,1,Prensa!$G$2:$G$5001,1),""))</f>
        <v>0</v>
      </c>
      <c r="E753" s="27">
        <f>IF(A753="","",IFERROR(AVERAGEIFS(Prensa!$B$2:$B$5001,Prensa!$E$2:$E$5001,N753,Prensa!$F$2:$F$5001,2,Prensa!$G$2:$G$5001,1),""))</f>
        <v>0</v>
      </c>
      <c r="F753" s="27">
        <f>IF(A753="","",IFERROR(AVERAGEIFS(Prensa!$B$2:$B$5001,Prensa!$E$2:$E$5001,N753,Prensa!$F$2:$F$5001,3,Prensa!$G$2:$G$5001,1),""))</f>
        <v>0</v>
      </c>
      <c r="G753" s="27">
        <f>IF(A753="","",IFERROR(AVERAGEIFS(Prensa!$B$2:$B$5001,Prensa!$E$2:$E$5001,N753,Prensa!$F$2:$F$5001,4,Prensa!$G$2:$G$5001,1),""))</f>
        <v>0</v>
      </c>
      <c r="H753" s="26">
        <f>IF(A753="","",COUNT(D753:G753))</f>
        <v>0</v>
      </c>
      <c r="I753" s="27">
        <f>IF(A753="","",IF(H753=0,"",AVERAGE(D753:G753)))</f>
        <v>0</v>
      </c>
      <c r="J753" s="27">
        <f>IF(OR(I753="",C753=""),"",I753-C753)</f>
        <v>0</v>
      </c>
      <c r="K753" s="26">
        <f>IF(A753="","",IF(MES!E753&lt;&gt;4,"Horário do MES fora do padrão",IF(H753&lt;cfgMinCortes,"Cortes insuficientes","Válida")))</f>
        <v>0</v>
      </c>
      <c r="L753" s="27">
        <f>IF(K753="Válida",ABS(J753),"")</f>
        <v>0</v>
      </c>
      <c r="M753" s="26">
        <f>IF(K753="Válida",IF(L753&lt;=cfgTolerancia,"Sim","Não"),"")</f>
        <v>0</v>
      </c>
      <c r="N753" s="26">
        <f>IF(A753="","",MES!D753)</f>
        <v>0</v>
      </c>
      <c r="O753" s="25">
        <f>IF(K753="Válida",A753,NA())</f>
        <v>0</v>
      </c>
      <c r="P753" s="27">
        <f>IF(K753="Válida",C753,NA())</f>
        <v>0</v>
      </c>
      <c r="Q753" s="27">
        <f>IF(K753="Válida",I753,NA())</f>
        <v>0</v>
      </c>
      <c r="R753" s="27">
        <f>IF(K753="Válida",J753,NA())</f>
        <v>0</v>
      </c>
      <c r="S753" s="27">
        <f>IF(K753="Válida",C753,"")</f>
        <v>0</v>
      </c>
      <c r="T753" s="27">
        <f>IF(K753="Válida",I753,"")</f>
        <v>0</v>
      </c>
      <c r="U753" s="27">
        <f>IF(K753="Válida",J753,"")</f>
        <v>0</v>
      </c>
    </row>
    <row r="754" spans="1:21">
      <c r="A754" s="25">
        <f>IF(MES!A754="","",MES!C754/48)</f>
        <v>0</v>
      </c>
      <c r="B754" s="26">
        <f>IF(A754="","",TEXT((N754*4+cfgDeslocamento)/48,"hh:mm")&amp;" a "&amp;TEXT(A754,"hh:mm"))</f>
        <v>0</v>
      </c>
      <c r="C754" s="27">
        <f>IF(A754="","",MES!B754)</f>
        <v>0</v>
      </c>
      <c r="D754" s="27">
        <f>IF(A754="","",IFERROR(AVERAGEIFS(Prensa!$B$2:$B$5001,Prensa!$E$2:$E$5001,N754,Prensa!$F$2:$F$5001,1,Prensa!$G$2:$G$5001,1),""))</f>
        <v>0</v>
      </c>
      <c r="E754" s="27">
        <f>IF(A754="","",IFERROR(AVERAGEIFS(Prensa!$B$2:$B$5001,Prensa!$E$2:$E$5001,N754,Prensa!$F$2:$F$5001,2,Prensa!$G$2:$G$5001,1),""))</f>
        <v>0</v>
      </c>
      <c r="F754" s="27">
        <f>IF(A754="","",IFERROR(AVERAGEIFS(Prensa!$B$2:$B$5001,Prensa!$E$2:$E$5001,N754,Prensa!$F$2:$F$5001,3,Prensa!$G$2:$G$5001,1),""))</f>
        <v>0</v>
      </c>
      <c r="G754" s="27">
        <f>IF(A754="","",IFERROR(AVERAGEIFS(Prensa!$B$2:$B$5001,Prensa!$E$2:$E$5001,N754,Prensa!$F$2:$F$5001,4,Prensa!$G$2:$G$5001,1),""))</f>
        <v>0</v>
      </c>
      <c r="H754" s="26">
        <f>IF(A754="","",COUNT(D754:G754))</f>
        <v>0</v>
      </c>
      <c r="I754" s="27">
        <f>IF(A754="","",IF(H754=0,"",AVERAGE(D754:G754)))</f>
        <v>0</v>
      </c>
      <c r="J754" s="27">
        <f>IF(OR(I754="",C754=""),"",I754-C754)</f>
        <v>0</v>
      </c>
      <c r="K754" s="26">
        <f>IF(A754="","",IF(MES!E754&lt;&gt;4,"Horário do MES fora do padrão",IF(H754&lt;cfgMinCortes,"Cortes insuficientes","Válida")))</f>
        <v>0</v>
      </c>
      <c r="L754" s="27">
        <f>IF(K754="Válida",ABS(J754),"")</f>
        <v>0</v>
      </c>
      <c r="M754" s="26">
        <f>IF(K754="Válida",IF(L754&lt;=cfgTolerancia,"Sim","Não"),"")</f>
        <v>0</v>
      </c>
      <c r="N754" s="26">
        <f>IF(A754="","",MES!D754)</f>
        <v>0</v>
      </c>
      <c r="O754" s="25">
        <f>IF(K754="Válida",A754,NA())</f>
        <v>0</v>
      </c>
      <c r="P754" s="27">
        <f>IF(K754="Válida",C754,NA())</f>
        <v>0</v>
      </c>
      <c r="Q754" s="27">
        <f>IF(K754="Válida",I754,NA())</f>
        <v>0</v>
      </c>
      <c r="R754" s="27">
        <f>IF(K754="Válida",J754,NA())</f>
        <v>0</v>
      </c>
      <c r="S754" s="27">
        <f>IF(K754="Válida",C754,"")</f>
        <v>0</v>
      </c>
      <c r="T754" s="27">
        <f>IF(K754="Válida",I754,"")</f>
        <v>0</v>
      </c>
      <c r="U754" s="27">
        <f>IF(K754="Válida",J754,"")</f>
        <v>0</v>
      </c>
    </row>
    <row r="755" spans="1:21">
      <c r="A755" s="25">
        <f>IF(MES!A755="","",MES!C755/48)</f>
        <v>0</v>
      </c>
      <c r="B755" s="26">
        <f>IF(A755="","",TEXT((N755*4+cfgDeslocamento)/48,"hh:mm")&amp;" a "&amp;TEXT(A755,"hh:mm"))</f>
        <v>0</v>
      </c>
      <c r="C755" s="27">
        <f>IF(A755="","",MES!B755)</f>
        <v>0</v>
      </c>
      <c r="D755" s="27">
        <f>IF(A755="","",IFERROR(AVERAGEIFS(Prensa!$B$2:$B$5001,Prensa!$E$2:$E$5001,N755,Prensa!$F$2:$F$5001,1,Prensa!$G$2:$G$5001,1),""))</f>
        <v>0</v>
      </c>
      <c r="E755" s="27">
        <f>IF(A755="","",IFERROR(AVERAGEIFS(Prensa!$B$2:$B$5001,Prensa!$E$2:$E$5001,N755,Prensa!$F$2:$F$5001,2,Prensa!$G$2:$G$5001,1),""))</f>
        <v>0</v>
      </c>
      <c r="F755" s="27">
        <f>IF(A755="","",IFERROR(AVERAGEIFS(Prensa!$B$2:$B$5001,Prensa!$E$2:$E$5001,N755,Prensa!$F$2:$F$5001,3,Prensa!$G$2:$G$5001,1),""))</f>
        <v>0</v>
      </c>
      <c r="G755" s="27">
        <f>IF(A755="","",IFERROR(AVERAGEIFS(Prensa!$B$2:$B$5001,Prensa!$E$2:$E$5001,N755,Prensa!$F$2:$F$5001,4,Prensa!$G$2:$G$5001,1),""))</f>
        <v>0</v>
      </c>
      <c r="H755" s="26">
        <f>IF(A755="","",COUNT(D755:G755))</f>
        <v>0</v>
      </c>
      <c r="I755" s="27">
        <f>IF(A755="","",IF(H755=0,"",AVERAGE(D755:G755)))</f>
        <v>0</v>
      </c>
      <c r="J755" s="27">
        <f>IF(OR(I755="",C755=""),"",I755-C755)</f>
        <v>0</v>
      </c>
      <c r="K755" s="26">
        <f>IF(A755="","",IF(MES!E755&lt;&gt;4,"Horário do MES fora do padrão",IF(H755&lt;cfgMinCortes,"Cortes insuficientes","Válida")))</f>
        <v>0</v>
      </c>
      <c r="L755" s="27">
        <f>IF(K755="Válida",ABS(J755),"")</f>
        <v>0</v>
      </c>
      <c r="M755" s="26">
        <f>IF(K755="Válida",IF(L755&lt;=cfgTolerancia,"Sim","Não"),"")</f>
        <v>0</v>
      </c>
      <c r="N755" s="26">
        <f>IF(A755="","",MES!D755)</f>
        <v>0</v>
      </c>
      <c r="O755" s="25">
        <f>IF(K755="Válida",A755,NA())</f>
        <v>0</v>
      </c>
      <c r="P755" s="27">
        <f>IF(K755="Válida",C755,NA())</f>
        <v>0</v>
      </c>
      <c r="Q755" s="27">
        <f>IF(K755="Válida",I755,NA())</f>
        <v>0</v>
      </c>
      <c r="R755" s="27">
        <f>IF(K755="Válida",J755,NA())</f>
        <v>0</v>
      </c>
      <c r="S755" s="27">
        <f>IF(K755="Válida",C755,"")</f>
        <v>0</v>
      </c>
      <c r="T755" s="27">
        <f>IF(K755="Válida",I755,"")</f>
        <v>0</v>
      </c>
      <c r="U755" s="27">
        <f>IF(K755="Válida",J755,"")</f>
        <v>0</v>
      </c>
    </row>
    <row r="756" spans="1:21">
      <c r="A756" s="25">
        <f>IF(MES!A756="","",MES!C756/48)</f>
        <v>0</v>
      </c>
      <c r="B756" s="26">
        <f>IF(A756="","",TEXT((N756*4+cfgDeslocamento)/48,"hh:mm")&amp;" a "&amp;TEXT(A756,"hh:mm"))</f>
        <v>0</v>
      </c>
      <c r="C756" s="27">
        <f>IF(A756="","",MES!B756)</f>
        <v>0</v>
      </c>
      <c r="D756" s="27">
        <f>IF(A756="","",IFERROR(AVERAGEIFS(Prensa!$B$2:$B$5001,Prensa!$E$2:$E$5001,N756,Prensa!$F$2:$F$5001,1,Prensa!$G$2:$G$5001,1),""))</f>
        <v>0</v>
      </c>
      <c r="E756" s="27">
        <f>IF(A756="","",IFERROR(AVERAGEIFS(Prensa!$B$2:$B$5001,Prensa!$E$2:$E$5001,N756,Prensa!$F$2:$F$5001,2,Prensa!$G$2:$G$5001,1),""))</f>
        <v>0</v>
      </c>
      <c r="F756" s="27">
        <f>IF(A756="","",IFERROR(AVERAGEIFS(Prensa!$B$2:$B$5001,Prensa!$E$2:$E$5001,N756,Prensa!$F$2:$F$5001,3,Prensa!$G$2:$G$5001,1),""))</f>
        <v>0</v>
      </c>
      <c r="G756" s="27">
        <f>IF(A756="","",IFERROR(AVERAGEIFS(Prensa!$B$2:$B$5001,Prensa!$E$2:$E$5001,N756,Prensa!$F$2:$F$5001,4,Prensa!$G$2:$G$5001,1),""))</f>
        <v>0</v>
      </c>
      <c r="H756" s="26">
        <f>IF(A756="","",COUNT(D756:G756))</f>
        <v>0</v>
      </c>
      <c r="I756" s="27">
        <f>IF(A756="","",IF(H756=0,"",AVERAGE(D756:G756)))</f>
        <v>0</v>
      </c>
      <c r="J756" s="27">
        <f>IF(OR(I756="",C756=""),"",I756-C756)</f>
        <v>0</v>
      </c>
      <c r="K756" s="26">
        <f>IF(A756="","",IF(MES!E756&lt;&gt;4,"Horário do MES fora do padrão",IF(H756&lt;cfgMinCortes,"Cortes insuficientes","Válida")))</f>
        <v>0</v>
      </c>
      <c r="L756" s="27">
        <f>IF(K756="Válida",ABS(J756),"")</f>
        <v>0</v>
      </c>
      <c r="M756" s="26">
        <f>IF(K756="Válida",IF(L756&lt;=cfgTolerancia,"Sim","Não"),"")</f>
        <v>0</v>
      </c>
      <c r="N756" s="26">
        <f>IF(A756="","",MES!D756)</f>
        <v>0</v>
      </c>
      <c r="O756" s="25">
        <f>IF(K756="Válida",A756,NA())</f>
        <v>0</v>
      </c>
      <c r="P756" s="27">
        <f>IF(K756="Válida",C756,NA())</f>
        <v>0</v>
      </c>
      <c r="Q756" s="27">
        <f>IF(K756="Válida",I756,NA())</f>
        <v>0</v>
      </c>
      <c r="R756" s="27">
        <f>IF(K756="Válida",J756,NA())</f>
        <v>0</v>
      </c>
      <c r="S756" s="27">
        <f>IF(K756="Válida",C756,"")</f>
        <v>0</v>
      </c>
      <c r="T756" s="27">
        <f>IF(K756="Válida",I756,"")</f>
        <v>0</v>
      </c>
      <c r="U756" s="27">
        <f>IF(K756="Válida",J756,"")</f>
        <v>0</v>
      </c>
    </row>
    <row r="757" spans="1:21">
      <c r="A757" s="25">
        <f>IF(MES!A757="","",MES!C757/48)</f>
        <v>0</v>
      </c>
      <c r="B757" s="26">
        <f>IF(A757="","",TEXT((N757*4+cfgDeslocamento)/48,"hh:mm")&amp;" a "&amp;TEXT(A757,"hh:mm"))</f>
        <v>0</v>
      </c>
      <c r="C757" s="27">
        <f>IF(A757="","",MES!B757)</f>
        <v>0</v>
      </c>
      <c r="D757" s="27">
        <f>IF(A757="","",IFERROR(AVERAGEIFS(Prensa!$B$2:$B$5001,Prensa!$E$2:$E$5001,N757,Prensa!$F$2:$F$5001,1,Prensa!$G$2:$G$5001,1),""))</f>
        <v>0</v>
      </c>
      <c r="E757" s="27">
        <f>IF(A757="","",IFERROR(AVERAGEIFS(Prensa!$B$2:$B$5001,Prensa!$E$2:$E$5001,N757,Prensa!$F$2:$F$5001,2,Prensa!$G$2:$G$5001,1),""))</f>
        <v>0</v>
      </c>
      <c r="F757" s="27">
        <f>IF(A757="","",IFERROR(AVERAGEIFS(Prensa!$B$2:$B$5001,Prensa!$E$2:$E$5001,N757,Prensa!$F$2:$F$5001,3,Prensa!$G$2:$G$5001,1),""))</f>
        <v>0</v>
      </c>
      <c r="G757" s="27">
        <f>IF(A757="","",IFERROR(AVERAGEIFS(Prensa!$B$2:$B$5001,Prensa!$E$2:$E$5001,N757,Prensa!$F$2:$F$5001,4,Prensa!$G$2:$G$5001,1),""))</f>
        <v>0</v>
      </c>
      <c r="H757" s="26">
        <f>IF(A757="","",COUNT(D757:G757))</f>
        <v>0</v>
      </c>
      <c r="I757" s="27">
        <f>IF(A757="","",IF(H757=0,"",AVERAGE(D757:G757)))</f>
        <v>0</v>
      </c>
      <c r="J757" s="27">
        <f>IF(OR(I757="",C757=""),"",I757-C757)</f>
        <v>0</v>
      </c>
      <c r="K757" s="26">
        <f>IF(A757="","",IF(MES!E757&lt;&gt;4,"Horário do MES fora do padrão",IF(H757&lt;cfgMinCortes,"Cortes insuficientes","Válida")))</f>
        <v>0</v>
      </c>
      <c r="L757" s="27">
        <f>IF(K757="Válida",ABS(J757),"")</f>
        <v>0</v>
      </c>
      <c r="M757" s="26">
        <f>IF(K757="Válida",IF(L757&lt;=cfgTolerancia,"Sim","Não"),"")</f>
        <v>0</v>
      </c>
      <c r="N757" s="26">
        <f>IF(A757="","",MES!D757)</f>
        <v>0</v>
      </c>
      <c r="O757" s="25">
        <f>IF(K757="Válida",A757,NA())</f>
        <v>0</v>
      </c>
      <c r="P757" s="27">
        <f>IF(K757="Válida",C757,NA())</f>
        <v>0</v>
      </c>
      <c r="Q757" s="27">
        <f>IF(K757="Válida",I757,NA())</f>
        <v>0</v>
      </c>
      <c r="R757" s="27">
        <f>IF(K757="Válida",J757,NA())</f>
        <v>0</v>
      </c>
      <c r="S757" s="27">
        <f>IF(K757="Válida",C757,"")</f>
        <v>0</v>
      </c>
      <c r="T757" s="27">
        <f>IF(K757="Válida",I757,"")</f>
        <v>0</v>
      </c>
      <c r="U757" s="27">
        <f>IF(K757="Válida",J757,"")</f>
        <v>0</v>
      </c>
    </row>
    <row r="758" spans="1:21">
      <c r="A758" s="25">
        <f>IF(MES!A758="","",MES!C758/48)</f>
        <v>0</v>
      </c>
      <c r="B758" s="26">
        <f>IF(A758="","",TEXT((N758*4+cfgDeslocamento)/48,"hh:mm")&amp;" a "&amp;TEXT(A758,"hh:mm"))</f>
        <v>0</v>
      </c>
      <c r="C758" s="27">
        <f>IF(A758="","",MES!B758)</f>
        <v>0</v>
      </c>
      <c r="D758" s="27">
        <f>IF(A758="","",IFERROR(AVERAGEIFS(Prensa!$B$2:$B$5001,Prensa!$E$2:$E$5001,N758,Prensa!$F$2:$F$5001,1,Prensa!$G$2:$G$5001,1),""))</f>
        <v>0</v>
      </c>
      <c r="E758" s="27">
        <f>IF(A758="","",IFERROR(AVERAGEIFS(Prensa!$B$2:$B$5001,Prensa!$E$2:$E$5001,N758,Prensa!$F$2:$F$5001,2,Prensa!$G$2:$G$5001,1),""))</f>
        <v>0</v>
      </c>
      <c r="F758" s="27">
        <f>IF(A758="","",IFERROR(AVERAGEIFS(Prensa!$B$2:$B$5001,Prensa!$E$2:$E$5001,N758,Prensa!$F$2:$F$5001,3,Prensa!$G$2:$G$5001,1),""))</f>
        <v>0</v>
      </c>
      <c r="G758" s="27">
        <f>IF(A758="","",IFERROR(AVERAGEIFS(Prensa!$B$2:$B$5001,Prensa!$E$2:$E$5001,N758,Prensa!$F$2:$F$5001,4,Prensa!$G$2:$G$5001,1),""))</f>
        <v>0</v>
      </c>
      <c r="H758" s="26">
        <f>IF(A758="","",COUNT(D758:G758))</f>
        <v>0</v>
      </c>
      <c r="I758" s="27">
        <f>IF(A758="","",IF(H758=0,"",AVERAGE(D758:G758)))</f>
        <v>0</v>
      </c>
      <c r="J758" s="27">
        <f>IF(OR(I758="",C758=""),"",I758-C758)</f>
        <v>0</v>
      </c>
      <c r="K758" s="26">
        <f>IF(A758="","",IF(MES!E758&lt;&gt;4,"Horário do MES fora do padrão",IF(H758&lt;cfgMinCortes,"Cortes insuficientes","Válida")))</f>
        <v>0</v>
      </c>
      <c r="L758" s="27">
        <f>IF(K758="Válida",ABS(J758),"")</f>
        <v>0</v>
      </c>
      <c r="M758" s="26">
        <f>IF(K758="Válida",IF(L758&lt;=cfgTolerancia,"Sim","Não"),"")</f>
        <v>0</v>
      </c>
      <c r="N758" s="26">
        <f>IF(A758="","",MES!D758)</f>
        <v>0</v>
      </c>
      <c r="O758" s="25">
        <f>IF(K758="Válida",A758,NA())</f>
        <v>0</v>
      </c>
      <c r="P758" s="27">
        <f>IF(K758="Válida",C758,NA())</f>
        <v>0</v>
      </c>
      <c r="Q758" s="27">
        <f>IF(K758="Válida",I758,NA())</f>
        <v>0</v>
      </c>
      <c r="R758" s="27">
        <f>IF(K758="Válida",J758,NA())</f>
        <v>0</v>
      </c>
      <c r="S758" s="27">
        <f>IF(K758="Válida",C758,"")</f>
        <v>0</v>
      </c>
      <c r="T758" s="27">
        <f>IF(K758="Válida",I758,"")</f>
        <v>0</v>
      </c>
      <c r="U758" s="27">
        <f>IF(K758="Válida",J758,"")</f>
        <v>0</v>
      </c>
    </row>
    <row r="759" spans="1:21">
      <c r="A759" s="25">
        <f>IF(MES!A759="","",MES!C759/48)</f>
        <v>0</v>
      </c>
      <c r="B759" s="26">
        <f>IF(A759="","",TEXT((N759*4+cfgDeslocamento)/48,"hh:mm")&amp;" a "&amp;TEXT(A759,"hh:mm"))</f>
        <v>0</v>
      </c>
      <c r="C759" s="27">
        <f>IF(A759="","",MES!B759)</f>
        <v>0</v>
      </c>
      <c r="D759" s="27">
        <f>IF(A759="","",IFERROR(AVERAGEIFS(Prensa!$B$2:$B$5001,Prensa!$E$2:$E$5001,N759,Prensa!$F$2:$F$5001,1,Prensa!$G$2:$G$5001,1),""))</f>
        <v>0</v>
      </c>
      <c r="E759" s="27">
        <f>IF(A759="","",IFERROR(AVERAGEIFS(Prensa!$B$2:$B$5001,Prensa!$E$2:$E$5001,N759,Prensa!$F$2:$F$5001,2,Prensa!$G$2:$G$5001,1),""))</f>
        <v>0</v>
      </c>
      <c r="F759" s="27">
        <f>IF(A759="","",IFERROR(AVERAGEIFS(Prensa!$B$2:$B$5001,Prensa!$E$2:$E$5001,N759,Prensa!$F$2:$F$5001,3,Prensa!$G$2:$G$5001,1),""))</f>
        <v>0</v>
      </c>
      <c r="G759" s="27">
        <f>IF(A759="","",IFERROR(AVERAGEIFS(Prensa!$B$2:$B$5001,Prensa!$E$2:$E$5001,N759,Prensa!$F$2:$F$5001,4,Prensa!$G$2:$G$5001,1),""))</f>
        <v>0</v>
      </c>
      <c r="H759" s="26">
        <f>IF(A759="","",COUNT(D759:G759))</f>
        <v>0</v>
      </c>
      <c r="I759" s="27">
        <f>IF(A759="","",IF(H759=0,"",AVERAGE(D759:G759)))</f>
        <v>0</v>
      </c>
      <c r="J759" s="27">
        <f>IF(OR(I759="",C759=""),"",I759-C759)</f>
        <v>0</v>
      </c>
      <c r="K759" s="26">
        <f>IF(A759="","",IF(MES!E759&lt;&gt;4,"Horário do MES fora do padrão",IF(H759&lt;cfgMinCortes,"Cortes insuficientes","Válida")))</f>
        <v>0</v>
      </c>
      <c r="L759" s="27">
        <f>IF(K759="Válida",ABS(J759),"")</f>
        <v>0</v>
      </c>
      <c r="M759" s="26">
        <f>IF(K759="Válida",IF(L759&lt;=cfgTolerancia,"Sim","Não"),"")</f>
        <v>0</v>
      </c>
      <c r="N759" s="26">
        <f>IF(A759="","",MES!D759)</f>
        <v>0</v>
      </c>
      <c r="O759" s="25">
        <f>IF(K759="Válida",A759,NA())</f>
        <v>0</v>
      </c>
      <c r="P759" s="27">
        <f>IF(K759="Válida",C759,NA())</f>
        <v>0</v>
      </c>
      <c r="Q759" s="27">
        <f>IF(K759="Válida",I759,NA())</f>
        <v>0</v>
      </c>
      <c r="R759" s="27">
        <f>IF(K759="Válida",J759,NA())</f>
        <v>0</v>
      </c>
      <c r="S759" s="27">
        <f>IF(K759="Válida",C759,"")</f>
        <v>0</v>
      </c>
      <c r="T759" s="27">
        <f>IF(K759="Válida",I759,"")</f>
        <v>0</v>
      </c>
      <c r="U759" s="27">
        <f>IF(K759="Válida",J759,"")</f>
        <v>0</v>
      </c>
    </row>
    <row r="760" spans="1:21">
      <c r="A760" s="25">
        <f>IF(MES!A760="","",MES!C760/48)</f>
        <v>0</v>
      </c>
      <c r="B760" s="26">
        <f>IF(A760="","",TEXT((N760*4+cfgDeslocamento)/48,"hh:mm")&amp;" a "&amp;TEXT(A760,"hh:mm"))</f>
        <v>0</v>
      </c>
      <c r="C760" s="27">
        <f>IF(A760="","",MES!B760)</f>
        <v>0</v>
      </c>
      <c r="D760" s="27">
        <f>IF(A760="","",IFERROR(AVERAGEIFS(Prensa!$B$2:$B$5001,Prensa!$E$2:$E$5001,N760,Prensa!$F$2:$F$5001,1,Prensa!$G$2:$G$5001,1),""))</f>
        <v>0</v>
      </c>
      <c r="E760" s="27">
        <f>IF(A760="","",IFERROR(AVERAGEIFS(Prensa!$B$2:$B$5001,Prensa!$E$2:$E$5001,N760,Prensa!$F$2:$F$5001,2,Prensa!$G$2:$G$5001,1),""))</f>
        <v>0</v>
      </c>
      <c r="F760" s="27">
        <f>IF(A760="","",IFERROR(AVERAGEIFS(Prensa!$B$2:$B$5001,Prensa!$E$2:$E$5001,N760,Prensa!$F$2:$F$5001,3,Prensa!$G$2:$G$5001,1),""))</f>
        <v>0</v>
      </c>
      <c r="G760" s="27">
        <f>IF(A760="","",IFERROR(AVERAGEIFS(Prensa!$B$2:$B$5001,Prensa!$E$2:$E$5001,N760,Prensa!$F$2:$F$5001,4,Prensa!$G$2:$G$5001,1),""))</f>
        <v>0</v>
      </c>
      <c r="H760" s="26">
        <f>IF(A760="","",COUNT(D760:G760))</f>
        <v>0</v>
      </c>
      <c r="I760" s="27">
        <f>IF(A760="","",IF(H760=0,"",AVERAGE(D760:G760)))</f>
        <v>0</v>
      </c>
      <c r="J760" s="27">
        <f>IF(OR(I760="",C760=""),"",I760-C760)</f>
        <v>0</v>
      </c>
      <c r="K760" s="26">
        <f>IF(A760="","",IF(MES!E760&lt;&gt;4,"Horário do MES fora do padrão",IF(H760&lt;cfgMinCortes,"Cortes insuficientes","Válida")))</f>
        <v>0</v>
      </c>
      <c r="L760" s="27">
        <f>IF(K760="Válida",ABS(J760),"")</f>
        <v>0</v>
      </c>
      <c r="M760" s="26">
        <f>IF(K760="Válida",IF(L760&lt;=cfgTolerancia,"Sim","Não"),"")</f>
        <v>0</v>
      </c>
      <c r="N760" s="26">
        <f>IF(A760="","",MES!D760)</f>
        <v>0</v>
      </c>
      <c r="O760" s="25">
        <f>IF(K760="Válida",A760,NA())</f>
        <v>0</v>
      </c>
      <c r="P760" s="27">
        <f>IF(K760="Válida",C760,NA())</f>
        <v>0</v>
      </c>
      <c r="Q760" s="27">
        <f>IF(K760="Válida",I760,NA())</f>
        <v>0</v>
      </c>
      <c r="R760" s="27">
        <f>IF(K760="Válida",J760,NA())</f>
        <v>0</v>
      </c>
      <c r="S760" s="27">
        <f>IF(K760="Válida",C760,"")</f>
        <v>0</v>
      </c>
      <c r="T760" s="27">
        <f>IF(K760="Válida",I760,"")</f>
        <v>0</v>
      </c>
      <c r="U760" s="27">
        <f>IF(K760="Válida",J760,"")</f>
        <v>0</v>
      </c>
    </row>
    <row r="761" spans="1:21">
      <c r="A761" s="25">
        <f>IF(MES!A761="","",MES!C761/48)</f>
        <v>0</v>
      </c>
      <c r="B761" s="26">
        <f>IF(A761="","",TEXT((N761*4+cfgDeslocamento)/48,"hh:mm")&amp;" a "&amp;TEXT(A761,"hh:mm"))</f>
        <v>0</v>
      </c>
      <c r="C761" s="27">
        <f>IF(A761="","",MES!B761)</f>
        <v>0</v>
      </c>
      <c r="D761" s="27">
        <f>IF(A761="","",IFERROR(AVERAGEIFS(Prensa!$B$2:$B$5001,Prensa!$E$2:$E$5001,N761,Prensa!$F$2:$F$5001,1,Prensa!$G$2:$G$5001,1),""))</f>
        <v>0</v>
      </c>
      <c r="E761" s="27">
        <f>IF(A761="","",IFERROR(AVERAGEIFS(Prensa!$B$2:$B$5001,Prensa!$E$2:$E$5001,N761,Prensa!$F$2:$F$5001,2,Prensa!$G$2:$G$5001,1),""))</f>
        <v>0</v>
      </c>
      <c r="F761" s="27">
        <f>IF(A761="","",IFERROR(AVERAGEIFS(Prensa!$B$2:$B$5001,Prensa!$E$2:$E$5001,N761,Prensa!$F$2:$F$5001,3,Prensa!$G$2:$G$5001,1),""))</f>
        <v>0</v>
      </c>
      <c r="G761" s="27">
        <f>IF(A761="","",IFERROR(AVERAGEIFS(Prensa!$B$2:$B$5001,Prensa!$E$2:$E$5001,N761,Prensa!$F$2:$F$5001,4,Prensa!$G$2:$G$5001,1),""))</f>
        <v>0</v>
      </c>
      <c r="H761" s="26">
        <f>IF(A761="","",COUNT(D761:G761))</f>
        <v>0</v>
      </c>
      <c r="I761" s="27">
        <f>IF(A761="","",IF(H761=0,"",AVERAGE(D761:G761)))</f>
        <v>0</v>
      </c>
      <c r="J761" s="27">
        <f>IF(OR(I761="",C761=""),"",I761-C761)</f>
        <v>0</v>
      </c>
      <c r="K761" s="26">
        <f>IF(A761="","",IF(MES!E761&lt;&gt;4,"Horário do MES fora do padrão",IF(H761&lt;cfgMinCortes,"Cortes insuficientes","Válida")))</f>
        <v>0</v>
      </c>
      <c r="L761" s="27">
        <f>IF(K761="Válida",ABS(J761),"")</f>
        <v>0</v>
      </c>
      <c r="M761" s="26">
        <f>IF(K761="Válida",IF(L761&lt;=cfgTolerancia,"Sim","Não"),"")</f>
        <v>0</v>
      </c>
      <c r="N761" s="26">
        <f>IF(A761="","",MES!D761)</f>
        <v>0</v>
      </c>
      <c r="O761" s="25">
        <f>IF(K761="Válida",A761,NA())</f>
        <v>0</v>
      </c>
      <c r="P761" s="27">
        <f>IF(K761="Válida",C761,NA())</f>
        <v>0</v>
      </c>
      <c r="Q761" s="27">
        <f>IF(K761="Válida",I761,NA())</f>
        <v>0</v>
      </c>
      <c r="R761" s="27">
        <f>IF(K761="Válida",J761,NA())</f>
        <v>0</v>
      </c>
      <c r="S761" s="27">
        <f>IF(K761="Válida",C761,"")</f>
        <v>0</v>
      </c>
      <c r="T761" s="27">
        <f>IF(K761="Válida",I761,"")</f>
        <v>0</v>
      </c>
      <c r="U761" s="27">
        <f>IF(K761="Válida",J761,"")</f>
        <v>0</v>
      </c>
    </row>
    <row r="762" spans="1:21">
      <c r="A762" s="25">
        <f>IF(MES!A762="","",MES!C762/48)</f>
        <v>0</v>
      </c>
      <c r="B762" s="26">
        <f>IF(A762="","",TEXT((N762*4+cfgDeslocamento)/48,"hh:mm")&amp;" a "&amp;TEXT(A762,"hh:mm"))</f>
        <v>0</v>
      </c>
      <c r="C762" s="27">
        <f>IF(A762="","",MES!B762)</f>
        <v>0</v>
      </c>
      <c r="D762" s="27">
        <f>IF(A762="","",IFERROR(AVERAGEIFS(Prensa!$B$2:$B$5001,Prensa!$E$2:$E$5001,N762,Prensa!$F$2:$F$5001,1,Prensa!$G$2:$G$5001,1),""))</f>
        <v>0</v>
      </c>
      <c r="E762" s="27">
        <f>IF(A762="","",IFERROR(AVERAGEIFS(Prensa!$B$2:$B$5001,Prensa!$E$2:$E$5001,N762,Prensa!$F$2:$F$5001,2,Prensa!$G$2:$G$5001,1),""))</f>
        <v>0</v>
      </c>
      <c r="F762" s="27">
        <f>IF(A762="","",IFERROR(AVERAGEIFS(Prensa!$B$2:$B$5001,Prensa!$E$2:$E$5001,N762,Prensa!$F$2:$F$5001,3,Prensa!$G$2:$G$5001,1),""))</f>
        <v>0</v>
      </c>
      <c r="G762" s="27">
        <f>IF(A762="","",IFERROR(AVERAGEIFS(Prensa!$B$2:$B$5001,Prensa!$E$2:$E$5001,N762,Prensa!$F$2:$F$5001,4,Prensa!$G$2:$G$5001,1),""))</f>
        <v>0</v>
      </c>
      <c r="H762" s="26">
        <f>IF(A762="","",COUNT(D762:G762))</f>
        <v>0</v>
      </c>
      <c r="I762" s="27">
        <f>IF(A762="","",IF(H762=0,"",AVERAGE(D762:G762)))</f>
        <v>0</v>
      </c>
      <c r="J762" s="27">
        <f>IF(OR(I762="",C762=""),"",I762-C762)</f>
        <v>0</v>
      </c>
      <c r="K762" s="26">
        <f>IF(A762="","",IF(MES!E762&lt;&gt;4,"Horário do MES fora do padrão",IF(H762&lt;cfgMinCortes,"Cortes insuficientes","Válida")))</f>
        <v>0</v>
      </c>
      <c r="L762" s="27">
        <f>IF(K762="Válida",ABS(J762),"")</f>
        <v>0</v>
      </c>
      <c r="M762" s="26">
        <f>IF(K762="Válida",IF(L762&lt;=cfgTolerancia,"Sim","Não"),"")</f>
        <v>0</v>
      </c>
      <c r="N762" s="26">
        <f>IF(A762="","",MES!D762)</f>
        <v>0</v>
      </c>
      <c r="O762" s="25">
        <f>IF(K762="Válida",A762,NA())</f>
        <v>0</v>
      </c>
      <c r="P762" s="27">
        <f>IF(K762="Válida",C762,NA())</f>
        <v>0</v>
      </c>
      <c r="Q762" s="27">
        <f>IF(K762="Válida",I762,NA())</f>
        <v>0</v>
      </c>
      <c r="R762" s="27">
        <f>IF(K762="Válida",J762,NA())</f>
        <v>0</v>
      </c>
      <c r="S762" s="27">
        <f>IF(K762="Válida",C762,"")</f>
        <v>0</v>
      </c>
      <c r="T762" s="27">
        <f>IF(K762="Válida",I762,"")</f>
        <v>0</v>
      </c>
      <c r="U762" s="27">
        <f>IF(K762="Válida",J762,"")</f>
        <v>0</v>
      </c>
    </row>
    <row r="763" spans="1:21">
      <c r="A763" s="25">
        <f>IF(MES!A763="","",MES!C763/48)</f>
        <v>0</v>
      </c>
      <c r="B763" s="26">
        <f>IF(A763="","",TEXT((N763*4+cfgDeslocamento)/48,"hh:mm")&amp;" a "&amp;TEXT(A763,"hh:mm"))</f>
        <v>0</v>
      </c>
      <c r="C763" s="27">
        <f>IF(A763="","",MES!B763)</f>
        <v>0</v>
      </c>
      <c r="D763" s="27">
        <f>IF(A763="","",IFERROR(AVERAGEIFS(Prensa!$B$2:$B$5001,Prensa!$E$2:$E$5001,N763,Prensa!$F$2:$F$5001,1,Prensa!$G$2:$G$5001,1),""))</f>
        <v>0</v>
      </c>
      <c r="E763" s="27">
        <f>IF(A763="","",IFERROR(AVERAGEIFS(Prensa!$B$2:$B$5001,Prensa!$E$2:$E$5001,N763,Prensa!$F$2:$F$5001,2,Prensa!$G$2:$G$5001,1),""))</f>
        <v>0</v>
      </c>
      <c r="F763" s="27">
        <f>IF(A763="","",IFERROR(AVERAGEIFS(Prensa!$B$2:$B$5001,Prensa!$E$2:$E$5001,N763,Prensa!$F$2:$F$5001,3,Prensa!$G$2:$G$5001,1),""))</f>
        <v>0</v>
      </c>
      <c r="G763" s="27">
        <f>IF(A763="","",IFERROR(AVERAGEIFS(Prensa!$B$2:$B$5001,Prensa!$E$2:$E$5001,N763,Prensa!$F$2:$F$5001,4,Prensa!$G$2:$G$5001,1),""))</f>
        <v>0</v>
      </c>
      <c r="H763" s="26">
        <f>IF(A763="","",COUNT(D763:G763))</f>
        <v>0</v>
      </c>
      <c r="I763" s="27">
        <f>IF(A763="","",IF(H763=0,"",AVERAGE(D763:G763)))</f>
        <v>0</v>
      </c>
      <c r="J763" s="27">
        <f>IF(OR(I763="",C763=""),"",I763-C763)</f>
        <v>0</v>
      </c>
      <c r="K763" s="26">
        <f>IF(A763="","",IF(MES!E763&lt;&gt;4,"Horário do MES fora do padrão",IF(H763&lt;cfgMinCortes,"Cortes insuficientes","Válida")))</f>
        <v>0</v>
      </c>
      <c r="L763" s="27">
        <f>IF(K763="Válida",ABS(J763),"")</f>
        <v>0</v>
      </c>
      <c r="M763" s="26">
        <f>IF(K763="Válida",IF(L763&lt;=cfgTolerancia,"Sim","Não"),"")</f>
        <v>0</v>
      </c>
      <c r="N763" s="26">
        <f>IF(A763="","",MES!D763)</f>
        <v>0</v>
      </c>
      <c r="O763" s="25">
        <f>IF(K763="Válida",A763,NA())</f>
        <v>0</v>
      </c>
      <c r="P763" s="27">
        <f>IF(K763="Válida",C763,NA())</f>
        <v>0</v>
      </c>
      <c r="Q763" s="27">
        <f>IF(K763="Válida",I763,NA())</f>
        <v>0</v>
      </c>
      <c r="R763" s="27">
        <f>IF(K763="Válida",J763,NA())</f>
        <v>0</v>
      </c>
      <c r="S763" s="27">
        <f>IF(K763="Válida",C763,"")</f>
        <v>0</v>
      </c>
      <c r="T763" s="27">
        <f>IF(K763="Válida",I763,"")</f>
        <v>0</v>
      </c>
      <c r="U763" s="27">
        <f>IF(K763="Válida",J763,"")</f>
        <v>0</v>
      </c>
    </row>
    <row r="764" spans="1:21">
      <c r="A764" s="25">
        <f>IF(MES!A764="","",MES!C764/48)</f>
        <v>0</v>
      </c>
      <c r="B764" s="26">
        <f>IF(A764="","",TEXT((N764*4+cfgDeslocamento)/48,"hh:mm")&amp;" a "&amp;TEXT(A764,"hh:mm"))</f>
        <v>0</v>
      </c>
      <c r="C764" s="27">
        <f>IF(A764="","",MES!B764)</f>
        <v>0</v>
      </c>
      <c r="D764" s="27">
        <f>IF(A764="","",IFERROR(AVERAGEIFS(Prensa!$B$2:$B$5001,Prensa!$E$2:$E$5001,N764,Prensa!$F$2:$F$5001,1,Prensa!$G$2:$G$5001,1),""))</f>
        <v>0</v>
      </c>
      <c r="E764" s="27">
        <f>IF(A764="","",IFERROR(AVERAGEIFS(Prensa!$B$2:$B$5001,Prensa!$E$2:$E$5001,N764,Prensa!$F$2:$F$5001,2,Prensa!$G$2:$G$5001,1),""))</f>
        <v>0</v>
      </c>
      <c r="F764" s="27">
        <f>IF(A764="","",IFERROR(AVERAGEIFS(Prensa!$B$2:$B$5001,Prensa!$E$2:$E$5001,N764,Prensa!$F$2:$F$5001,3,Prensa!$G$2:$G$5001,1),""))</f>
        <v>0</v>
      </c>
      <c r="G764" s="27">
        <f>IF(A764="","",IFERROR(AVERAGEIFS(Prensa!$B$2:$B$5001,Prensa!$E$2:$E$5001,N764,Prensa!$F$2:$F$5001,4,Prensa!$G$2:$G$5001,1),""))</f>
        <v>0</v>
      </c>
      <c r="H764" s="26">
        <f>IF(A764="","",COUNT(D764:G764))</f>
        <v>0</v>
      </c>
      <c r="I764" s="27">
        <f>IF(A764="","",IF(H764=0,"",AVERAGE(D764:G764)))</f>
        <v>0</v>
      </c>
      <c r="J764" s="27">
        <f>IF(OR(I764="",C764=""),"",I764-C764)</f>
        <v>0</v>
      </c>
      <c r="K764" s="26">
        <f>IF(A764="","",IF(MES!E764&lt;&gt;4,"Horário do MES fora do padrão",IF(H764&lt;cfgMinCortes,"Cortes insuficientes","Válida")))</f>
        <v>0</v>
      </c>
      <c r="L764" s="27">
        <f>IF(K764="Válida",ABS(J764),"")</f>
        <v>0</v>
      </c>
      <c r="M764" s="26">
        <f>IF(K764="Válida",IF(L764&lt;=cfgTolerancia,"Sim","Não"),"")</f>
        <v>0</v>
      </c>
      <c r="N764" s="26">
        <f>IF(A764="","",MES!D764)</f>
        <v>0</v>
      </c>
      <c r="O764" s="25">
        <f>IF(K764="Válida",A764,NA())</f>
        <v>0</v>
      </c>
      <c r="P764" s="27">
        <f>IF(K764="Válida",C764,NA())</f>
        <v>0</v>
      </c>
      <c r="Q764" s="27">
        <f>IF(K764="Válida",I764,NA())</f>
        <v>0</v>
      </c>
      <c r="R764" s="27">
        <f>IF(K764="Válida",J764,NA())</f>
        <v>0</v>
      </c>
      <c r="S764" s="27">
        <f>IF(K764="Válida",C764,"")</f>
        <v>0</v>
      </c>
      <c r="T764" s="27">
        <f>IF(K764="Válida",I764,"")</f>
        <v>0</v>
      </c>
      <c r="U764" s="27">
        <f>IF(K764="Válida",J764,"")</f>
        <v>0</v>
      </c>
    </row>
    <row r="765" spans="1:21">
      <c r="A765" s="25">
        <f>IF(MES!A765="","",MES!C765/48)</f>
        <v>0</v>
      </c>
      <c r="B765" s="26">
        <f>IF(A765="","",TEXT((N765*4+cfgDeslocamento)/48,"hh:mm")&amp;" a "&amp;TEXT(A765,"hh:mm"))</f>
        <v>0</v>
      </c>
      <c r="C765" s="27">
        <f>IF(A765="","",MES!B765)</f>
        <v>0</v>
      </c>
      <c r="D765" s="27">
        <f>IF(A765="","",IFERROR(AVERAGEIFS(Prensa!$B$2:$B$5001,Prensa!$E$2:$E$5001,N765,Prensa!$F$2:$F$5001,1,Prensa!$G$2:$G$5001,1),""))</f>
        <v>0</v>
      </c>
      <c r="E765" s="27">
        <f>IF(A765="","",IFERROR(AVERAGEIFS(Prensa!$B$2:$B$5001,Prensa!$E$2:$E$5001,N765,Prensa!$F$2:$F$5001,2,Prensa!$G$2:$G$5001,1),""))</f>
        <v>0</v>
      </c>
      <c r="F765" s="27">
        <f>IF(A765="","",IFERROR(AVERAGEIFS(Prensa!$B$2:$B$5001,Prensa!$E$2:$E$5001,N765,Prensa!$F$2:$F$5001,3,Prensa!$G$2:$G$5001,1),""))</f>
        <v>0</v>
      </c>
      <c r="G765" s="27">
        <f>IF(A765="","",IFERROR(AVERAGEIFS(Prensa!$B$2:$B$5001,Prensa!$E$2:$E$5001,N765,Prensa!$F$2:$F$5001,4,Prensa!$G$2:$G$5001,1),""))</f>
        <v>0</v>
      </c>
      <c r="H765" s="26">
        <f>IF(A765="","",COUNT(D765:G765))</f>
        <v>0</v>
      </c>
      <c r="I765" s="27">
        <f>IF(A765="","",IF(H765=0,"",AVERAGE(D765:G765)))</f>
        <v>0</v>
      </c>
      <c r="J765" s="27">
        <f>IF(OR(I765="",C765=""),"",I765-C765)</f>
        <v>0</v>
      </c>
      <c r="K765" s="26">
        <f>IF(A765="","",IF(MES!E765&lt;&gt;4,"Horário do MES fora do padrão",IF(H765&lt;cfgMinCortes,"Cortes insuficientes","Válida")))</f>
        <v>0</v>
      </c>
      <c r="L765" s="27">
        <f>IF(K765="Válida",ABS(J765),"")</f>
        <v>0</v>
      </c>
      <c r="M765" s="26">
        <f>IF(K765="Válida",IF(L765&lt;=cfgTolerancia,"Sim","Não"),"")</f>
        <v>0</v>
      </c>
      <c r="N765" s="26">
        <f>IF(A765="","",MES!D765)</f>
        <v>0</v>
      </c>
      <c r="O765" s="25">
        <f>IF(K765="Válida",A765,NA())</f>
        <v>0</v>
      </c>
      <c r="P765" s="27">
        <f>IF(K765="Válida",C765,NA())</f>
        <v>0</v>
      </c>
      <c r="Q765" s="27">
        <f>IF(K765="Válida",I765,NA())</f>
        <v>0</v>
      </c>
      <c r="R765" s="27">
        <f>IF(K765="Válida",J765,NA())</f>
        <v>0</v>
      </c>
      <c r="S765" s="27">
        <f>IF(K765="Válida",C765,"")</f>
        <v>0</v>
      </c>
      <c r="T765" s="27">
        <f>IF(K765="Válida",I765,"")</f>
        <v>0</v>
      </c>
      <c r="U765" s="27">
        <f>IF(K765="Válida",J765,"")</f>
        <v>0</v>
      </c>
    </row>
    <row r="766" spans="1:21">
      <c r="A766" s="25">
        <f>IF(MES!A766="","",MES!C766/48)</f>
        <v>0</v>
      </c>
      <c r="B766" s="26">
        <f>IF(A766="","",TEXT((N766*4+cfgDeslocamento)/48,"hh:mm")&amp;" a "&amp;TEXT(A766,"hh:mm"))</f>
        <v>0</v>
      </c>
      <c r="C766" s="27">
        <f>IF(A766="","",MES!B766)</f>
        <v>0</v>
      </c>
      <c r="D766" s="27">
        <f>IF(A766="","",IFERROR(AVERAGEIFS(Prensa!$B$2:$B$5001,Prensa!$E$2:$E$5001,N766,Prensa!$F$2:$F$5001,1,Prensa!$G$2:$G$5001,1),""))</f>
        <v>0</v>
      </c>
      <c r="E766" s="27">
        <f>IF(A766="","",IFERROR(AVERAGEIFS(Prensa!$B$2:$B$5001,Prensa!$E$2:$E$5001,N766,Prensa!$F$2:$F$5001,2,Prensa!$G$2:$G$5001,1),""))</f>
        <v>0</v>
      </c>
      <c r="F766" s="27">
        <f>IF(A766="","",IFERROR(AVERAGEIFS(Prensa!$B$2:$B$5001,Prensa!$E$2:$E$5001,N766,Prensa!$F$2:$F$5001,3,Prensa!$G$2:$G$5001,1),""))</f>
        <v>0</v>
      </c>
      <c r="G766" s="27">
        <f>IF(A766="","",IFERROR(AVERAGEIFS(Prensa!$B$2:$B$5001,Prensa!$E$2:$E$5001,N766,Prensa!$F$2:$F$5001,4,Prensa!$G$2:$G$5001,1),""))</f>
        <v>0</v>
      </c>
      <c r="H766" s="26">
        <f>IF(A766="","",COUNT(D766:G766))</f>
        <v>0</v>
      </c>
      <c r="I766" s="27">
        <f>IF(A766="","",IF(H766=0,"",AVERAGE(D766:G766)))</f>
        <v>0</v>
      </c>
      <c r="J766" s="27">
        <f>IF(OR(I766="",C766=""),"",I766-C766)</f>
        <v>0</v>
      </c>
      <c r="K766" s="26">
        <f>IF(A766="","",IF(MES!E766&lt;&gt;4,"Horário do MES fora do padrão",IF(H766&lt;cfgMinCortes,"Cortes insuficientes","Válida")))</f>
        <v>0</v>
      </c>
      <c r="L766" s="27">
        <f>IF(K766="Válida",ABS(J766),"")</f>
        <v>0</v>
      </c>
      <c r="M766" s="26">
        <f>IF(K766="Válida",IF(L766&lt;=cfgTolerancia,"Sim","Não"),"")</f>
        <v>0</v>
      </c>
      <c r="N766" s="26">
        <f>IF(A766="","",MES!D766)</f>
        <v>0</v>
      </c>
      <c r="O766" s="25">
        <f>IF(K766="Válida",A766,NA())</f>
        <v>0</v>
      </c>
      <c r="P766" s="27">
        <f>IF(K766="Válida",C766,NA())</f>
        <v>0</v>
      </c>
      <c r="Q766" s="27">
        <f>IF(K766="Válida",I766,NA())</f>
        <v>0</v>
      </c>
      <c r="R766" s="27">
        <f>IF(K766="Válida",J766,NA())</f>
        <v>0</v>
      </c>
      <c r="S766" s="27">
        <f>IF(K766="Válida",C766,"")</f>
        <v>0</v>
      </c>
      <c r="T766" s="27">
        <f>IF(K766="Válida",I766,"")</f>
        <v>0</v>
      </c>
      <c r="U766" s="27">
        <f>IF(K766="Válida",J766,"")</f>
        <v>0</v>
      </c>
    </row>
    <row r="767" spans="1:21">
      <c r="A767" s="25">
        <f>IF(MES!A767="","",MES!C767/48)</f>
        <v>0</v>
      </c>
      <c r="B767" s="26">
        <f>IF(A767="","",TEXT((N767*4+cfgDeslocamento)/48,"hh:mm")&amp;" a "&amp;TEXT(A767,"hh:mm"))</f>
        <v>0</v>
      </c>
      <c r="C767" s="27">
        <f>IF(A767="","",MES!B767)</f>
        <v>0</v>
      </c>
      <c r="D767" s="27">
        <f>IF(A767="","",IFERROR(AVERAGEIFS(Prensa!$B$2:$B$5001,Prensa!$E$2:$E$5001,N767,Prensa!$F$2:$F$5001,1,Prensa!$G$2:$G$5001,1),""))</f>
        <v>0</v>
      </c>
      <c r="E767" s="27">
        <f>IF(A767="","",IFERROR(AVERAGEIFS(Prensa!$B$2:$B$5001,Prensa!$E$2:$E$5001,N767,Prensa!$F$2:$F$5001,2,Prensa!$G$2:$G$5001,1),""))</f>
        <v>0</v>
      </c>
      <c r="F767" s="27">
        <f>IF(A767="","",IFERROR(AVERAGEIFS(Prensa!$B$2:$B$5001,Prensa!$E$2:$E$5001,N767,Prensa!$F$2:$F$5001,3,Prensa!$G$2:$G$5001,1),""))</f>
        <v>0</v>
      </c>
      <c r="G767" s="27">
        <f>IF(A767="","",IFERROR(AVERAGEIFS(Prensa!$B$2:$B$5001,Prensa!$E$2:$E$5001,N767,Prensa!$F$2:$F$5001,4,Prensa!$G$2:$G$5001,1),""))</f>
        <v>0</v>
      </c>
      <c r="H767" s="26">
        <f>IF(A767="","",COUNT(D767:G767))</f>
        <v>0</v>
      </c>
      <c r="I767" s="27">
        <f>IF(A767="","",IF(H767=0,"",AVERAGE(D767:G767)))</f>
        <v>0</v>
      </c>
      <c r="J767" s="27">
        <f>IF(OR(I767="",C767=""),"",I767-C767)</f>
        <v>0</v>
      </c>
      <c r="K767" s="26">
        <f>IF(A767="","",IF(MES!E767&lt;&gt;4,"Horário do MES fora do padrão",IF(H767&lt;cfgMinCortes,"Cortes insuficientes","Válida")))</f>
        <v>0</v>
      </c>
      <c r="L767" s="27">
        <f>IF(K767="Válida",ABS(J767),"")</f>
        <v>0</v>
      </c>
      <c r="M767" s="26">
        <f>IF(K767="Válida",IF(L767&lt;=cfgTolerancia,"Sim","Não"),"")</f>
        <v>0</v>
      </c>
      <c r="N767" s="26">
        <f>IF(A767="","",MES!D767)</f>
        <v>0</v>
      </c>
      <c r="O767" s="25">
        <f>IF(K767="Válida",A767,NA())</f>
        <v>0</v>
      </c>
      <c r="P767" s="27">
        <f>IF(K767="Válida",C767,NA())</f>
        <v>0</v>
      </c>
      <c r="Q767" s="27">
        <f>IF(K767="Válida",I767,NA())</f>
        <v>0</v>
      </c>
      <c r="R767" s="27">
        <f>IF(K767="Válida",J767,NA())</f>
        <v>0</v>
      </c>
      <c r="S767" s="27">
        <f>IF(K767="Válida",C767,"")</f>
        <v>0</v>
      </c>
      <c r="T767" s="27">
        <f>IF(K767="Válida",I767,"")</f>
        <v>0</v>
      </c>
      <c r="U767" s="27">
        <f>IF(K767="Válida",J767,"")</f>
        <v>0</v>
      </c>
    </row>
    <row r="768" spans="1:21">
      <c r="A768" s="25">
        <f>IF(MES!A768="","",MES!C768/48)</f>
        <v>0</v>
      </c>
      <c r="B768" s="26">
        <f>IF(A768="","",TEXT((N768*4+cfgDeslocamento)/48,"hh:mm")&amp;" a "&amp;TEXT(A768,"hh:mm"))</f>
        <v>0</v>
      </c>
      <c r="C768" s="27">
        <f>IF(A768="","",MES!B768)</f>
        <v>0</v>
      </c>
      <c r="D768" s="27">
        <f>IF(A768="","",IFERROR(AVERAGEIFS(Prensa!$B$2:$B$5001,Prensa!$E$2:$E$5001,N768,Prensa!$F$2:$F$5001,1,Prensa!$G$2:$G$5001,1),""))</f>
        <v>0</v>
      </c>
      <c r="E768" s="27">
        <f>IF(A768="","",IFERROR(AVERAGEIFS(Prensa!$B$2:$B$5001,Prensa!$E$2:$E$5001,N768,Prensa!$F$2:$F$5001,2,Prensa!$G$2:$G$5001,1),""))</f>
        <v>0</v>
      </c>
      <c r="F768" s="27">
        <f>IF(A768="","",IFERROR(AVERAGEIFS(Prensa!$B$2:$B$5001,Prensa!$E$2:$E$5001,N768,Prensa!$F$2:$F$5001,3,Prensa!$G$2:$G$5001,1),""))</f>
        <v>0</v>
      </c>
      <c r="G768" s="27">
        <f>IF(A768="","",IFERROR(AVERAGEIFS(Prensa!$B$2:$B$5001,Prensa!$E$2:$E$5001,N768,Prensa!$F$2:$F$5001,4,Prensa!$G$2:$G$5001,1),""))</f>
        <v>0</v>
      </c>
      <c r="H768" s="26">
        <f>IF(A768="","",COUNT(D768:G768))</f>
        <v>0</v>
      </c>
      <c r="I768" s="27">
        <f>IF(A768="","",IF(H768=0,"",AVERAGE(D768:G768)))</f>
        <v>0</v>
      </c>
      <c r="J768" s="27">
        <f>IF(OR(I768="",C768=""),"",I768-C768)</f>
        <v>0</v>
      </c>
      <c r="K768" s="26">
        <f>IF(A768="","",IF(MES!E768&lt;&gt;4,"Horário do MES fora do padrão",IF(H768&lt;cfgMinCortes,"Cortes insuficientes","Válida")))</f>
        <v>0</v>
      </c>
      <c r="L768" s="27">
        <f>IF(K768="Válida",ABS(J768),"")</f>
        <v>0</v>
      </c>
      <c r="M768" s="26">
        <f>IF(K768="Válida",IF(L768&lt;=cfgTolerancia,"Sim","Não"),"")</f>
        <v>0</v>
      </c>
      <c r="N768" s="26">
        <f>IF(A768="","",MES!D768)</f>
        <v>0</v>
      </c>
      <c r="O768" s="25">
        <f>IF(K768="Válida",A768,NA())</f>
        <v>0</v>
      </c>
      <c r="P768" s="27">
        <f>IF(K768="Válida",C768,NA())</f>
        <v>0</v>
      </c>
      <c r="Q768" s="27">
        <f>IF(K768="Válida",I768,NA())</f>
        <v>0</v>
      </c>
      <c r="R768" s="27">
        <f>IF(K768="Válida",J768,NA())</f>
        <v>0</v>
      </c>
      <c r="S768" s="27">
        <f>IF(K768="Válida",C768,"")</f>
        <v>0</v>
      </c>
      <c r="T768" s="27">
        <f>IF(K768="Válida",I768,"")</f>
        <v>0</v>
      </c>
      <c r="U768" s="27">
        <f>IF(K768="Válida",J768,"")</f>
        <v>0</v>
      </c>
    </row>
    <row r="769" spans="1:21">
      <c r="A769" s="25">
        <f>IF(MES!A769="","",MES!C769/48)</f>
        <v>0</v>
      </c>
      <c r="B769" s="26">
        <f>IF(A769="","",TEXT((N769*4+cfgDeslocamento)/48,"hh:mm")&amp;" a "&amp;TEXT(A769,"hh:mm"))</f>
        <v>0</v>
      </c>
      <c r="C769" s="27">
        <f>IF(A769="","",MES!B769)</f>
        <v>0</v>
      </c>
      <c r="D769" s="27">
        <f>IF(A769="","",IFERROR(AVERAGEIFS(Prensa!$B$2:$B$5001,Prensa!$E$2:$E$5001,N769,Prensa!$F$2:$F$5001,1,Prensa!$G$2:$G$5001,1),""))</f>
        <v>0</v>
      </c>
      <c r="E769" s="27">
        <f>IF(A769="","",IFERROR(AVERAGEIFS(Prensa!$B$2:$B$5001,Prensa!$E$2:$E$5001,N769,Prensa!$F$2:$F$5001,2,Prensa!$G$2:$G$5001,1),""))</f>
        <v>0</v>
      </c>
      <c r="F769" s="27">
        <f>IF(A769="","",IFERROR(AVERAGEIFS(Prensa!$B$2:$B$5001,Prensa!$E$2:$E$5001,N769,Prensa!$F$2:$F$5001,3,Prensa!$G$2:$G$5001,1),""))</f>
        <v>0</v>
      </c>
      <c r="G769" s="27">
        <f>IF(A769="","",IFERROR(AVERAGEIFS(Prensa!$B$2:$B$5001,Prensa!$E$2:$E$5001,N769,Prensa!$F$2:$F$5001,4,Prensa!$G$2:$G$5001,1),""))</f>
        <v>0</v>
      </c>
      <c r="H769" s="26">
        <f>IF(A769="","",COUNT(D769:G769))</f>
        <v>0</v>
      </c>
      <c r="I769" s="27">
        <f>IF(A769="","",IF(H769=0,"",AVERAGE(D769:G769)))</f>
        <v>0</v>
      </c>
      <c r="J769" s="27">
        <f>IF(OR(I769="",C769=""),"",I769-C769)</f>
        <v>0</v>
      </c>
      <c r="K769" s="26">
        <f>IF(A769="","",IF(MES!E769&lt;&gt;4,"Horário do MES fora do padrão",IF(H769&lt;cfgMinCortes,"Cortes insuficientes","Válida")))</f>
        <v>0</v>
      </c>
      <c r="L769" s="27">
        <f>IF(K769="Válida",ABS(J769),"")</f>
        <v>0</v>
      </c>
      <c r="M769" s="26">
        <f>IF(K769="Válida",IF(L769&lt;=cfgTolerancia,"Sim","Não"),"")</f>
        <v>0</v>
      </c>
      <c r="N769" s="26">
        <f>IF(A769="","",MES!D769)</f>
        <v>0</v>
      </c>
      <c r="O769" s="25">
        <f>IF(K769="Válida",A769,NA())</f>
        <v>0</v>
      </c>
      <c r="P769" s="27">
        <f>IF(K769="Válida",C769,NA())</f>
        <v>0</v>
      </c>
      <c r="Q769" s="27">
        <f>IF(K769="Válida",I769,NA())</f>
        <v>0</v>
      </c>
      <c r="R769" s="27">
        <f>IF(K769="Válida",J769,NA())</f>
        <v>0</v>
      </c>
      <c r="S769" s="27">
        <f>IF(K769="Válida",C769,"")</f>
        <v>0</v>
      </c>
      <c r="T769" s="27">
        <f>IF(K769="Válida",I769,"")</f>
        <v>0</v>
      </c>
      <c r="U769" s="27">
        <f>IF(K769="Válida",J769,"")</f>
        <v>0</v>
      </c>
    </row>
    <row r="770" spans="1:21">
      <c r="A770" s="25">
        <f>IF(MES!A770="","",MES!C770/48)</f>
        <v>0</v>
      </c>
      <c r="B770" s="26">
        <f>IF(A770="","",TEXT((N770*4+cfgDeslocamento)/48,"hh:mm")&amp;" a "&amp;TEXT(A770,"hh:mm"))</f>
        <v>0</v>
      </c>
      <c r="C770" s="27">
        <f>IF(A770="","",MES!B770)</f>
        <v>0</v>
      </c>
      <c r="D770" s="27">
        <f>IF(A770="","",IFERROR(AVERAGEIFS(Prensa!$B$2:$B$5001,Prensa!$E$2:$E$5001,N770,Prensa!$F$2:$F$5001,1,Prensa!$G$2:$G$5001,1),""))</f>
        <v>0</v>
      </c>
      <c r="E770" s="27">
        <f>IF(A770="","",IFERROR(AVERAGEIFS(Prensa!$B$2:$B$5001,Prensa!$E$2:$E$5001,N770,Prensa!$F$2:$F$5001,2,Prensa!$G$2:$G$5001,1),""))</f>
        <v>0</v>
      </c>
      <c r="F770" s="27">
        <f>IF(A770="","",IFERROR(AVERAGEIFS(Prensa!$B$2:$B$5001,Prensa!$E$2:$E$5001,N770,Prensa!$F$2:$F$5001,3,Prensa!$G$2:$G$5001,1),""))</f>
        <v>0</v>
      </c>
      <c r="G770" s="27">
        <f>IF(A770="","",IFERROR(AVERAGEIFS(Prensa!$B$2:$B$5001,Prensa!$E$2:$E$5001,N770,Prensa!$F$2:$F$5001,4,Prensa!$G$2:$G$5001,1),""))</f>
        <v>0</v>
      </c>
      <c r="H770" s="26">
        <f>IF(A770="","",COUNT(D770:G770))</f>
        <v>0</v>
      </c>
      <c r="I770" s="27">
        <f>IF(A770="","",IF(H770=0,"",AVERAGE(D770:G770)))</f>
        <v>0</v>
      </c>
      <c r="J770" s="27">
        <f>IF(OR(I770="",C770=""),"",I770-C770)</f>
        <v>0</v>
      </c>
      <c r="K770" s="26">
        <f>IF(A770="","",IF(MES!E770&lt;&gt;4,"Horário do MES fora do padrão",IF(H770&lt;cfgMinCortes,"Cortes insuficientes","Válida")))</f>
        <v>0</v>
      </c>
      <c r="L770" s="27">
        <f>IF(K770="Válida",ABS(J770),"")</f>
        <v>0</v>
      </c>
      <c r="M770" s="26">
        <f>IF(K770="Válida",IF(L770&lt;=cfgTolerancia,"Sim","Não"),"")</f>
        <v>0</v>
      </c>
      <c r="N770" s="26">
        <f>IF(A770="","",MES!D770)</f>
        <v>0</v>
      </c>
      <c r="O770" s="25">
        <f>IF(K770="Válida",A770,NA())</f>
        <v>0</v>
      </c>
      <c r="P770" s="27">
        <f>IF(K770="Válida",C770,NA())</f>
        <v>0</v>
      </c>
      <c r="Q770" s="27">
        <f>IF(K770="Válida",I770,NA())</f>
        <v>0</v>
      </c>
      <c r="R770" s="27">
        <f>IF(K770="Válida",J770,NA())</f>
        <v>0</v>
      </c>
      <c r="S770" s="27">
        <f>IF(K770="Válida",C770,"")</f>
        <v>0</v>
      </c>
      <c r="T770" s="27">
        <f>IF(K770="Válida",I770,"")</f>
        <v>0</v>
      </c>
      <c r="U770" s="27">
        <f>IF(K770="Válida",J770,"")</f>
        <v>0</v>
      </c>
    </row>
    <row r="771" spans="1:21">
      <c r="A771" s="25">
        <f>IF(MES!A771="","",MES!C771/48)</f>
        <v>0</v>
      </c>
      <c r="B771" s="26">
        <f>IF(A771="","",TEXT((N771*4+cfgDeslocamento)/48,"hh:mm")&amp;" a "&amp;TEXT(A771,"hh:mm"))</f>
        <v>0</v>
      </c>
      <c r="C771" s="27">
        <f>IF(A771="","",MES!B771)</f>
        <v>0</v>
      </c>
      <c r="D771" s="27">
        <f>IF(A771="","",IFERROR(AVERAGEIFS(Prensa!$B$2:$B$5001,Prensa!$E$2:$E$5001,N771,Prensa!$F$2:$F$5001,1,Prensa!$G$2:$G$5001,1),""))</f>
        <v>0</v>
      </c>
      <c r="E771" s="27">
        <f>IF(A771="","",IFERROR(AVERAGEIFS(Prensa!$B$2:$B$5001,Prensa!$E$2:$E$5001,N771,Prensa!$F$2:$F$5001,2,Prensa!$G$2:$G$5001,1),""))</f>
        <v>0</v>
      </c>
      <c r="F771" s="27">
        <f>IF(A771="","",IFERROR(AVERAGEIFS(Prensa!$B$2:$B$5001,Prensa!$E$2:$E$5001,N771,Prensa!$F$2:$F$5001,3,Prensa!$G$2:$G$5001,1),""))</f>
        <v>0</v>
      </c>
      <c r="G771" s="27">
        <f>IF(A771="","",IFERROR(AVERAGEIFS(Prensa!$B$2:$B$5001,Prensa!$E$2:$E$5001,N771,Prensa!$F$2:$F$5001,4,Prensa!$G$2:$G$5001,1),""))</f>
        <v>0</v>
      </c>
      <c r="H771" s="26">
        <f>IF(A771="","",COUNT(D771:G771))</f>
        <v>0</v>
      </c>
      <c r="I771" s="27">
        <f>IF(A771="","",IF(H771=0,"",AVERAGE(D771:G771)))</f>
        <v>0</v>
      </c>
      <c r="J771" s="27">
        <f>IF(OR(I771="",C771=""),"",I771-C771)</f>
        <v>0</v>
      </c>
      <c r="K771" s="26">
        <f>IF(A771="","",IF(MES!E771&lt;&gt;4,"Horário do MES fora do padrão",IF(H771&lt;cfgMinCortes,"Cortes insuficientes","Válida")))</f>
        <v>0</v>
      </c>
      <c r="L771" s="27">
        <f>IF(K771="Válida",ABS(J771),"")</f>
        <v>0</v>
      </c>
      <c r="M771" s="26">
        <f>IF(K771="Válida",IF(L771&lt;=cfgTolerancia,"Sim","Não"),"")</f>
        <v>0</v>
      </c>
      <c r="N771" s="26">
        <f>IF(A771="","",MES!D771)</f>
        <v>0</v>
      </c>
      <c r="O771" s="25">
        <f>IF(K771="Válida",A771,NA())</f>
        <v>0</v>
      </c>
      <c r="P771" s="27">
        <f>IF(K771="Válida",C771,NA())</f>
        <v>0</v>
      </c>
      <c r="Q771" s="27">
        <f>IF(K771="Válida",I771,NA())</f>
        <v>0</v>
      </c>
      <c r="R771" s="27">
        <f>IF(K771="Válida",J771,NA())</f>
        <v>0</v>
      </c>
      <c r="S771" s="27">
        <f>IF(K771="Válida",C771,"")</f>
        <v>0</v>
      </c>
      <c r="T771" s="27">
        <f>IF(K771="Válida",I771,"")</f>
        <v>0</v>
      </c>
      <c r="U771" s="27">
        <f>IF(K771="Válida",J771,"")</f>
        <v>0</v>
      </c>
    </row>
    <row r="772" spans="1:21">
      <c r="A772" s="25">
        <f>IF(MES!A772="","",MES!C772/48)</f>
        <v>0</v>
      </c>
      <c r="B772" s="26">
        <f>IF(A772="","",TEXT((N772*4+cfgDeslocamento)/48,"hh:mm")&amp;" a "&amp;TEXT(A772,"hh:mm"))</f>
        <v>0</v>
      </c>
      <c r="C772" s="27">
        <f>IF(A772="","",MES!B772)</f>
        <v>0</v>
      </c>
      <c r="D772" s="27">
        <f>IF(A772="","",IFERROR(AVERAGEIFS(Prensa!$B$2:$B$5001,Prensa!$E$2:$E$5001,N772,Prensa!$F$2:$F$5001,1,Prensa!$G$2:$G$5001,1),""))</f>
        <v>0</v>
      </c>
      <c r="E772" s="27">
        <f>IF(A772="","",IFERROR(AVERAGEIFS(Prensa!$B$2:$B$5001,Prensa!$E$2:$E$5001,N772,Prensa!$F$2:$F$5001,2,Prensa!$G$2:$G$5001,1),""))</f>
        <v>0</v>
      </c>
      <c r="F772" s="27">
        <f>IF(A772="","",IFERROR(AVERAGEIFS(Prensa!$B$2:$B$5001,Prensa!$E$2:$E$5001,N772,Prensa!$F$2:$F$5001,3,Prensa!$G$2:$G$5001,1),""))</f>
        <v>0</v>
      </c>
      <c r="G772" s="27">
        <f>IF(A772="","",IFERROR(AVERAGEIFS(Prensa!$B$2:$B$5001,Prensa!$E$2:$E$5001,N772,Prensa!$F$2:$F$5001,4,Prensa!$G$2:$G$5001,1),""))</f>
        <v>0</v>
      </c>
      <c r="H772" s="26">
        <f>IF(A772="","",COUNT(D772:G772))</f>
        <v>0</v>
      </c>
      <c r="I772" s="27">
        <f>IF(A772="","",IF(H772=0,"",AVERAGE(D772:G772)))</f>
        <v>0</v>
      </c>
      <c r="J772" s="27">
        <f>IF(OR(I772="",C772=""),"",I772-C772)</f>
        <v>0</v>
      </c>
      <c r="K772" s="26">
        <f>IF(A772="","",IF(MES!E772&lt;&gt;4,"Horário do MES fora do padrão",IF(H772&lt;cfgMinCortes,"Cortes insuficientes","Válida")))</f>
        <v>0</v>
      </c>
      <c r="L772" s="27">
        <f>IF(K772="Válida",ABS(J772),"")</f>
        <v>0</v>
      </c>
      <c r="M772" s="26">
        <f>IF(K772="Válida",IF(L772&lt;=cfgTolerancia,"Sim","Não"),"")</f>
        <v>0</v>
      </c>
      <c r="N772" s="26">
        <f>IF(A772="","",MES!D772)</f>
        <v>0</v>
      </c>
      <c r="O772" s="25">
        <f>IF(K772="Válida",A772,NA())</f>
        <v>0</v>
      </c>
      <c r="P772" s="27">
        <f>IF(K772="Válida",C772,NA())</f>
        <v>0</v>
      </c>
      <c r="Q772" s="27">
        <f>IF(K772="Válida",I772,NA())</f>
        <v>0</v>
      </c>
      <c r="R772" s="27">
        <f>IF(K772="Válida",J772,NA())</f>
        <v>0</v>
      </c>
      <c r="S772" s="27">
        <f>IF(K772="Válida",C772,"")</f>
        <v>0</v>
      </c>
      <c r="T772" s="27">
        <f>IF(K772="Válida",I772,"")</f>
        <v>0</v>
      </c>
      <c r="U772" s="27">
        <f>IF(K772="Válida",J772,"")</f>
        <v>0</v>
      </c>
    </row>
    <row r="773" spans="1:21">
      <c r="A773" s="25">
        <f>IF(MES!A773="","",MES!C773/48)</f>
        <v>0</v>
      </c>
      <c r="B773" s="26">
        <f>IF(A773="","",TEXT((N773*4+cfgDeslocamento)/48,"hh:mm")&amp;" a "&amp;TEXT(A773,"hh:mm"))</f>
        <v>0</v>
      </c>
      <c r="C773" s="27">
        <f>IF(A773="","",MES!B773)</f>
        <v>0</v>
      </c>
      <c r="D773" s="27">
        <f>IF(A773="","",IFERROR(AVERAGEIFS(Prensa!$B$2:$B$5001,Prensa!$E$2:$E$5001,N773,Prensa!$F$2:$F$5001,1,Prensa!$G$2:$G$5001,1),""))</f>
        <v>0</v>
      </c>
      <c r="E773" s="27">
        <f>IF(A773="","",IFERROR(AVERAGEIFS(Prensa!$B$2:$B$5001,Prensa!$E$2:$E$5001,N773,Prensa!$F$2:$F$5001,2,Prensa!$G$2:$G$5001,1),""))</f>
        <v>0</v>
      </c>
      <c r="F773" s="27">
        <f>IF(A773="","",IFERROR(AVERAGEIFS(Prensa!$B$2:$B$5001,Prensa!$E$2:$E$5001,N773,Prensa!$F$2:$F$5001,3,Prensa!$G$2:$G$5001,1),""))</f>
        <v>0</v>
      </c>
      <c r="G773" s="27">
        <f>IF(A773="","",IFERROR(AVERAGEIFS(Prensa!$B$2:$B$5001,Prensa!$E$2:$E$5001,N773,Prensa!$F$2:$F$5001,4,Prensa!$G$2:$G$5001,1),""))</f>
        <v>0</v>
      </c>
      <c r="H773" s="26">
        <f>IF(A773="","",COUNT(D773:G773))</f>
        <v>0</v>
      </c>
      <c r="I773" s="27">
        <f>IF(A773="","",IF(H773=0,"",AVERAGE(D773:G773)))</f>
        <v>0</v>
      </c>
      <c r="J773" s="27">
        <f>IF(OR(I773="",C773=""),"",I773-C773)</f>
        <v>0</v>
      </c>
      <c r="K773" s="26">
        <f>IF(A773="","",IF(MES!E773&lt;&gt;4,"Horário do MES fora do padrão",IF(H773&lt;cfgMinCortes,"Cortes insuficientes","Válida")))</f>
        <v>0</v>
      </c>
      <c r="L773" s="27">
        <f>IF(K773="Válida",ABS(J773),"")</f>
        <v>0</v>
      </c>
      <c r="M773" s="26">
        <f>IF(K773="Válida",IF(L773&lt;=cfgTolerancia,"Sim","Não"),"")</f>
        <v>0</v>
      </c>
      <c r="N773" s="26">
        <f>IF(A773="","",MES!D773)</f>
        <v>0</v>
      </c>
      <c r="O773" s="25">
        <f>IF(K773="Válida",A773,NA())</f>
        <v>0</v>
      </c>
      <c r="P773" s="27">
        <f>IF(K773="Válida",C773,NA())</f>
        <v>0</v>
      </c>
      <c r="Q773" s="27">
        <f>IF(K773="Válida",I773,NA())</f>
        <v>0</v>
      </c>
      <c r="R773" s="27">
        <f>IF(K773="Válida",J773,NA())</f>
        <v>0</v>
      </c>
      <c r="S773" s="27">
        <f>IF(K773="Válida",C773,"")</f>
        <v>0</v>
      </c>
      <c r="T773" s="27">
        <f>IF(K773="Válida",I773,"")</f>
        <v>0</v>
      </c>
      <c r="U773" s="27">
        <f>IF(K773="Válida",J773,"")</f>
        <v>0</v>
      </c>
    </row>
    <row r="774" spans="1:21">
      <c r="A774" s="25">
        <f>IF(MES!A774="","",MES!C774/48)</f>
        <v>0</v>
      </c>
      <c r="B774" s="26">
        <f>IF(A774="","",TEXT((N774*4+cfgDeslocamento)/48,"hh:mm")&amp;" a "&amp;TEXT(A774,"hh:mm"))</f>
        <v>0</v>
      </c>
      <c r="C774" s="27">
        <f>IF(A774="","",MES!B774)</f>
        <v>0</v>
      </c>
      <c r="D774" s="27">
        <f>IF(A774="","",IFERROR(AVERAGEIFS(Prensa!$B$2:$B$5001,Prensa!$E$2:$E$5001,N774,Prensa!$F$2:$F$5001,1,Prensa!$G$2:$G$5001,1),""))</f>
        <v>0</v>
      </c>
      <c r="E774" s="27">
        <f>IF(A774="","",IFERROR(AVERAGEIFS(Prensa!$B$2:$B$5001,Prensa!$E$2:$E$5001,N774,Prensa!$F$2:$F$5001,2,Prensa!$G$2:$G$5001,1),""))</f>
        <v>0</v>
      </c>
      <c r="F774" s="27">
        <f>IF(A774="","",IFERROR(AVERAGEIFS(Prensa!$B$2:$B$5001,Prensa!$E$2:$E$5001,N774,Prensa!$F$2:$F$5001,3,Prensa!$G$2:$G$5001,1),""))</f>
        <v>0</v>
      </c>
      <c r="G774" s="27">
        <f>IF(A774="","",IFERROR(AVERAGEIFS(Prensa!$B$2:$B$5001,Prensa!$E$2:$E$5001,N774,Prensa!$F$2:$F$5001,4,Prensa!$G$2:$G$5001,1),""))</f>
        <v>0</v>
      </c>
      <c r="H774" s="26">
        <f>IF(A774="","",COUNT(D774:G774))</f>
        <v>0</v>
      </c>
      <c r="I774" s="27">
        <f>IF(A774="","",IF(H774=0,"",AVERAGE(D774:G774)))</f>
        <v>0</v>
      </c>
      <c r="J774" s="27">
        <f>IF(OR(I774="",C774=""),"",I774-C774)</f>
        <v>0</v>
      </c>
      <c r="K774" s="26">
        <f>IF(A774="","",IF(MES!E774&lt;&gt;4,"Horário do MES fora do padrão",IF(H774&lt;cfgMinCortes,"Cortes insuficientes","Válida")))</f>
        <v>0</v>
      </c>
      <c r="L774" s="27">
        <f>IF(K774="Válida",ABS(J774),"")</f>
        <v>0</v>
      </c>
      <c r="M774" s="26">
        <f>IF(K774="Válida",IF(L774&lt;=cfgTolerancia,"Sim","Não"),"")</f>
        <v>0</v>
      </c>
      <c r="N774" s="26">
        <f>IF(A774="","",MES!D774)</f>
        <v>0</v>
      </c>
      <c r="O774" s="25">
        <f>IF(K774="Válida",A774,NA())</f>
        <v>0</v>
      </c>
      <c r="P774" s="27">
        <f>IF(K774="Válida",C774,NA())</f>
        <v>0</v>
      </c>
      <c r="Q774" s="27">
        <f>IF(K774="Válida",I774,NA())</f>
        <v>0</v>
      </c>
      <c r="R774" s="27">
        <f>IF(K774="Válida",J774,NA())</f>
        <v>0</v>
      </c>
      <c r="S774" s="27">
        <f>IF(K774="Válida",C774,"")</f>
        <v>0</v>
      </c>
      <c r="T774" s="27">
        <f>IF(K774="Válida",I774,"")</f>
        <v>0</v>
      </c>
      <c r="U774" s="27">
        <f>IF(K774="Válida",J774,"")</f>
        <v>0</v>
      </c>
    </row>
    <row r="775" spans="1:21">
      <c r="A775" s="25">
        <f>IF(MES!A775="","",MES!C775/48)</f>
        <v>0</v>
      </c>
      <c r="B775" s="26">
        <f>IF(A775="","",TEXT((N775*4+cfgDeslocamento)/48,"hh:mm")&amp;" a "&amp;TEXT(A775,"hh:mm"))</f>
        <v>0</v>
      </c>
      <c r="C775" s="27">
        <f>IF(A775="","",MES!B775)</f>
        <v>0</v>
      </c>
      <c r="D775" s="27">
        <f>IF(A775="","",IFERROR(AVERAGEIFS(Prensa!$B$2:$B$5001,Prensa!$E$2:$E$5001,N775,Prensa!$F$2:$F$5001,1,Prensa!$G$2:$G$5001,1),""))</f>
        <v>0</v>
      </c>
      <c r="E775" s="27">
        <f>IF(A775="","",IFERROR(AVERAGEIFS(Prensa!$B$2:$B$5001,Prensa!$E$2:$E$5001,N775,Prensa!$F$2:$F$5001,2,Prensa!$G$2:$G$5001,1),""))</f>
        <v>0</v>
      </c>
      <c r="F775" s="27">
        <f>IF(A775="","",IFERROR(AVERAGEIFS(Prensa!$B$2:$B$5001,Prensa!$E$2:$E$5001,N775,Prensa!$F$2:$F$5001,3,Prensa!$G$2:$G$5001,1),""))</f>
        <v>0</v>
      </c>
      <c r="G775" s="27">
        <f>IF(A775="","",IFERROR(AVERAGEIFS(Prensa!$B$2:$B$5001,Prensa!$E$2:$E$5001,N775,Prensa!$F$2:$F$5001,4,Prensa!$G$2:$G$5001,1),""))</f>
        <v>0</v>
      </c>
      <c r="H775" s="26">
        <f>IF(A775="","",COUNT(D775:G775))</f>
        <v>0</v>
      </c>
      <c r="I775" s="27">
        <f>IF(A775="","",IF(H775=0,"",AVERAGE(D775:G775)))</f>
        <v>0</v>
      </c>
      <c r="J775" s="27">
        <f>IF(OR(I775="",C775=""),"",I775-C775)</f>
        <v>0</v>
      </c>
      <c r="K775" s="26">
        <f>IF(A775="","",IF(MES!E775&lt;&gt;4,"Horário do MES fora do padrão",IF(H775&lt;cfgMinCortes,"Cortes insuficientes","Válida")))</f>
        <v>0</v>
      </c>
      <c r="L775" s="27">
        <f>IF(K775="Válida",ABS(J775),"")</f>
        <v>0</v>
      </c>
      <c r="M775" s="26">
        <f>IF(K775="Válida",IF(L775&lt;=cfgTolerancia,"Sim","Não"),"")</f>
        <v>0</v>
      </c>
      <c r="N775" s="26">
        <f>IF(A775="","",MES!D775)</f>
        <v>0</v>
      </c>
      <c r="O775" s="25">
        <f>IF(K775="Válida",A775,NA())</f>
        <v>0</v>
      </c>
      <c r="P775" s="27">
        <f>IF(K775="Válida",C775,NA())</f>
        <v>0</v>
      </c>
      <c r="Q775" s="27">
        <f>IF(K775="Válida",I775,NA())</f>
        <v>0</v>
      </c>
      <c r="R775" s="27">
        <f>IF(K775="Válida",J775,NA())</f>
        <v>0</v>
      </c>
      <c r="S775" s="27">
        <f>IF(K775="Válida",C775,"")</f>
        <v>0</v>
      </c>
      <c r="T775" s="27">
        <f>IF(K775="Válida",I775,"")</f>
        <v>0</v>
      </c>
      <c r="U775" s="27">
        <f>IF(K775="Válida",J775,"")</f>
        <v>0</v>
      </c>
    </row>
    <row r="776" spans="1:21">
      <c r="A776" s="25">
        <f>IF(MES!A776="","",MES!C776/48)</f>
        <v>0</v>
      </c>
      <c r="B776" s="26">
        <f>IF(A776="","",TEXT((N776*4+cfgDeslocamento)/48,"hh:mm")&amp;" a "&amp;TEXT(A776,"hh:mm"))</f>
        <v>0</v>
      </c>
      <c r="C776" s="27">
        <f>IF(A776="","",MES!B776)</f>
        <v>0</v>
      </c>
      <c r="D776" s="27">
        <f>IF(A776="","",IFERROR(AVERAGEIFS(Prensa!$B$2:$B$5001,Prensa!$E$2:$E$5001,N776,Prensa!$F$2:$F$5001,1,Prensa!$G$2:$G$5001,1),""))</f>
        <v>0</v>
      </c>
      <c r="E776" s="27">
        <f>IF(A776="","",IFERROR(AVERAGEIFS(Prensa!$B$2:$B$5001,Prensa!$E$2:$E$5001,N776,Prensa!$F$2:$F$5001,2,Prensa!$G$2:$G$5001,1),""))</f>
        <v>0</v>
      </c>
      <c r="F776" s="27">
        <f>IF(A776="","",IFERROR(AVERAGEIFS(Prensa!$B$2:$B$5001,Prensa!$E$2:$E$5001,N776,Prensa!$F$2:$F$5001,3,Prensa!$G$2:$G$5001,1),""))</f>
        <v>0</v>
      </c>
      <c r="G776" s="27">
        <f>IF(A776="","",IFERROR(AVERAGEIFS(Prensa!$B$2:$B$5001,Prensa!$E$2:$E$5001,N776,Prensa!$F$2:$F$5001,4,Prensa!$G$2:$G$5001,1),""))</f>
        <v>0</v>
      </c>
      <c r="H776" s="26">
        <f>IF(A776="","",COUNT(D776:G776))</f>
        <v>0</v>
      </c>
      <c r="I776" s="27">
        <f>IF(A776="","",IF(H776=0,"",AVERAGE(D776:G776)))</f>
        <v>0</v>
      </c>
      <c r="J776" s="27">
        <f>IF(OR(I776="",C776=""),"",I776-C776)</f>
        <v>0</v>
      </c>
      <c r="K776" s="26">
        <f>IF(A776="","",IF(MES!E776&lt;&gt;4,"Horário do MES fora do padrão",IF(H776&lt;cfgMinCortes,"Cortes insuficientes","Válida")))</f>
        <v>0</v>
      </c>
      <c r="L776" s="27">
        <f>IF(K776="Válida",ABS(J776),"")</f>
        <v>0</v>
      </c>
      <c r="M776" s="26">
        <f>IF(K776="Válida",IF(L776&lt;=cfgTolerancia,"Sim","Não"),"")</f>
        <v>0</v>
      </c>
      <c r="N776" s="26">
        <f>IF(A776="","",MES!D776)</f>
        <v>0</v>
      </c>
      <c r="O776" s="25">
        <f>IF(K776="Válida",A776,NA())</f>
        <v>0</v>
      </c>
      <c r="P776" s="27">
        <f>IF(K776="Válida",C776,NA())</f>
        <v>0</v>
      </c>
      <c r="Q776" s="27">
        <f>IF(K776="Válida",I776,NA())</f>
        <v>0</v>
      </c>
      <c r="R776" s="27">
        <f>IF(K776="Válida",J776,NA())</f>
        <v>0</v>
      </c>
      <c r="S776" s="27">
        <f>IF(K776="Válida",C776,"")</f>
        <v>0</v>
      </c>
      <c r="T776" s="27">
        <f>IF(K776="Válida",I776,"")</f>
        <v>0</v>
      </c>
      <c r="U776" s="27">
        <f>IF(K776="Válida",J776,"")</f>
        <v>0</v>
      </c>
    </row>
    <row r="777" spans="1:21">
      <c r="A777" s="25">
        <f>IF(MES!A777="","",MES!C777/48)</f>
        <v>0</v>
      </c>
      <c r="B777" s="26">
        <f>IF(A777="","",TEXT((N777*4+cfgDeslocamento)/48,"hh:mm")&amp;" a "&amp;TEXT(A777,"hh:mm"))</f>
        <v>0</v>
      </c>
      <c r="C777" s="27">
        <f>IF(A777="","",MES!B777)</f>
        <v>0</v>
      </c>
      <c r="D777" s="27">
        <f>IF(A777="","",IFERROR(AVERAGEIFS(Prensa!$B$2:$B$5001,Prensa!$E$2:$E$5001,N777,Prensa!$F$2:$F$5001,1,Prensa!$G$2:$G$5001,1),""))</f>
        <v>0</v>
      </c>
      <c r="E777" s="27">
        <f>IF(A777="","",IFERROR(AVERAGEIFS(Prensa!$B$2:$B$5001,Prensa!$E$2:$E$5001,N777,Prensa!$F$2:$F$5001,2,Prensa!$G$2:$G$5001,1),""))</f>
        <v>0</v>
      </c>
      <c r="F777" s="27">
        <f>IF(A777="","",IFERROR(AVERAGEIFS(Prensa!$B$2:$B$5001,Prensa!$E$2:$E$5001,N777,Prensa!$F$2:$F$5001,3,Prensa!$G$2:$G$5001,1),""))</f>
        <v>0</v>
      </c>
      <c r="G777" s="27">
        <f>IF(A777="","",IFERROR(AVERAGEIFS(Prensa!$B$2:$B$5001,Prensa!$E$2:$E$5001,N777,Prensa!$F$2:$F$5001,4,Prensa!$G$2:$G$5001,1),""))</f>
        <v>0</v>
      </c>
      <c r="H777" s="26">
        <f>IF(A777="","",COUNT(D777:G777))</f>
        <v>0</v>
      </c>
      <c r="I777" s="27">
        <f>IF(A777="","",IF(H777=0,"",AVERAGE(D777:G777)))</f>
        <v>0</v>
      </c>
      <c r="J777" s="27">
        <f>IF(OR(I777="",C777=""),"",I777-C777)</f>
        <v>0</v>
      </c>
      <c r="K777" s="26">
        <f>IF(A777="","",IF(MES!E777&lt;&gt;4,"Horário do MES fora do padrão",IF(H777&lt;cfgMinCortes,"Cortes insuficientes","Válida")))</f>
        <v>0</v>
      </c>
      <c r="L777" s="27">
        <f>IF(K777="Válida",ABS(J777),"")</f>
        <v>0</v>
      </c>
      <c r="M777" s="26">
        <f>IF(K777="Válida",IF(L777&lt;=cfgTolerancia,"Sim","Não"),"")</f>
        <v>0</v>
      </c>
      <c r="N777" s="26">
        <f>IF(A777="","",MES!D777)</f>
        <v>0</v>
      </c>
      <c r="O777" s="25">
        <f>IF(K777="Válida",A777,NA())</f>
        <v>0</v>
      </c>
      <c r="P777" s="27">
        <f>IF(K777="Válida",C777,NA())</f>
        <v>0</v>
      </c>
      <c r="Q777" s="27">
        <f>IF(K777="Válida",I777,NA())</f>
        <v>0</v>
      </c>
      <c r="R777" s="27">
        <f>IF(K777="Válida",J777,NA())</f>
        <v>0</v>
      </c>
      <c r="S777" s="27">
        <f>IF(K777="Válida",C777,"")</f>
        <v>0</v>
      </c>
      <c r="T777" s="27">
        <f>IF(K777="Válida",I777,"")</f>
        <v>0</v>
      </c>
      <c r="U777" s="27">
        <f>IF(K777="Válida",J777,"")</f>
        <v>0</v>
      </c>
    </row>
    <row r="778" spans="1:21">
      <c r="A778" s="25">
        <f>IF(MES!A778="","",MES!C778/48)</f>
        <v>0</v>
      </c>
      <c r="B778" s="26">
        <f>IF(A778="","",TEXT((N778*4+cfgDeslocamento)/48,"hh:mm")&amp;" a "&amp;TEXT(A778,"hh:mm"))</f>
        <v>0</v>
      </c>
      <c r="C778" s="27">
        <f>IF(A778="","",MES!B778)</f>
        <v>0</v>
      </c>
      <c r="D778" s="27">
        <f>IF(A778="","",IFERROR(AVERAGEIFS(Prensa!$B$2:$B$5001,Prensa!$E$2:$E$5001,N778,Prensa!$F$2:$F$5001,1,Prensa!$G$2:$G$5001,1),""))</f>
        <v>0</v>
      </c>
      <c r="E778" s="27">
        <f>IF(A778="","",IFERROR(AVERAGEIFS(Prensa!$B$2:$B$5001,Prensa!$E$2:$E$5001,N778,Prensa!$F$2:$F$5001,2,Prensa!$G$2:$G$5001,1),""))</f>
        <v>0</v>
      </c>
      <c r="F778" s="27">
        <f>IF(A778="","",IFERROR(AVERAGEIFS(Prensa!$B$2:$B$5001,Prensa!$E$2:$E$5001,N778,Prensa!$F$2:$F$5001,3,Prensa!$G$2:$G$5001,1),""))</f>
        <v>0</v>
      </c>
      <c r="G778" s="27">
        <f>IF(A778="","",IFERROR(AVERAGEIFS(Prensa!$B$2:$B$5001,Prensa!$E$2:$E$5001,N778,Prensa!$F$2:$F$5001,4,Prensa!$G$2:$G$5001,1),""))</f>
        <v>0</v>
      </c>
      <c r="H778" s="26">
        <f>IF(A778="","",COUNT(D778:G778))</f>
        <v>0</v>
      </c>
      <c r="I778" s="27">
        <f>IF(A778="","",IF(H778=0,"",AVERAGE(D778:G778)))</f>
        <v>0</v>
      </c>
      <c r="J778" s="27">
        <f>IF(OR(I778="",C778=""),"",I778-C778)</f>
        <v>0</v>
      </c>
      <c r="K778" s="26">
        <f>IF(A778="","",IF(MES!E778&lt;&gt;4,"Horário do MES fora do padrão",IF(H778&lt;cfgMinCortes,"Cortes insuficientes","Válida")))</f>
        <v>0</v>
      </c>
      <c r="L778" s="27">
        <f>IF(K778="Válida",ABS(J778),"")</f>
        <v>0</v>
      </c>
      <c r="M778" s="26">
        <f>IF(K778="Válida",IF(L778&lt;=cfgTolerancia,"Sim","Não"),"")</f>
        <v>0</v>
      </c>
      <c r="N778" s="26">
        <f>IF(A778="","",MES!D778)</f>
        <v>0</v>
      </c>
      <c r="O778" s="25">
        <f>IF(K778="Válida",A778,NA())</f>
        <v>0</v>
      </c>
      <c r="P778" s="27">
        <f>IF(K778="Válida",C778,NA())</f>
        <v>0</v>
      </c>
      <c r="Q778" s="27">
        <f>IF(K778="Válida",I778,NA())</f>
        <v>0</v>
      </c>
      <c r="R778" s="27">
        <f>IF(K778="Válida",J778,NA())</f>
        <v>0</v>
      </c>
      <c r="S778" s="27">
        <f>IF(K778="Válida",C778,"")</f>
        <v>0</v>
      </c>
      <c r="T778" s="27">
        <f>IF(K778="Válida",I778,"")</f>
        <v>0</v>
      </c>
      <c r="U778" s="27">
        <f>IF(K778="Válida",J778,"")</f>
        <v>0</v>
      </c>
    </row>
    <row r="779" spans="1:21">
      <c r="A779" s="25">
        <f>IF(MES!A779="","",MES!C779/48)</f>
        <v>0</v>
      </c>
      <c r="B779" s="26">
        <f>IF(A779="","",TEXT((N779*4+cfgDeslocamento)/48,"hh:mm")&amp;" a "&amp;TEXT(A779,"hh:mm"))</f>
        <v>0</v>
      </c>
      <c r="C779" s="27">
        <f>IF(A779="","",MES!B779)</f>
        <v>0</v>
      </c>
      <c r="D779" s="27">
        <f>IF(A779="","",IFERROR(AVERAGEIFS(Prensa!$B$2:$B$5001,Prensa!$E$2:$E$5001,N779,Prensa!$F$2:$F$5001,1,Prensa!$G$2:$G$5001,1),""))</f>
        <v>0</v>
      </c>
      <c r="E779" s="27">
        <f>IF(A779="","",IFERROR(AVERAGEIFS(Prensa!$B$2:$B$5001,Prensa!$E$2:$E$5001,N779,Prensa!$F$2:$F$5001,2,Prensa!$G$2:$G$5001,1),""))</f>
        <v>0</v>
      </c>
      <c r="F779" s="27">
        <f>IF(A779="","",IFERROR(AVERAGEIFS(Prensa!$B$2:$B$5001,Prensa!$E$2:$E$5001,N779,Prensa!$F$2:$F$5001,3,Prensa!$G$2:$G$5001,1),""))</f>
        <v>0</v>
      </c>
      <c r="G779" s="27">
        <f>IF(A779="","",IFERROR(AVERAGEIFS(Prensa!$B$2:$B$5001,Prensa!$E$2:$E$5001,N779,Prensa!$F$2:$F$5001,4,Prensa!$G$2:$G$5001,1),""))</f>
        <v>0</v>
      </c>
      <c r="H779" s="26">
        <f>IF(A779="","",COUNT(D779:G779))</f>
        <v>0</v>
      </c>
      <c r="I779" s="27">
        <f>IF(A779="","",IF(H779=0,"",AVERAGE(D779:G779)))</f>
        <v>0</v>
      </c>
      <c r="J779" s="27">
        <f>IF(OR(I779="",C779=""),"",I779-C779)</f>
        <v>0</v>
      </c>
      <c r="K779" s="26">
        <f>IF(A779="","",IF(MES!E779&lt;&gt;4,"Horário do MES fora do padrão",IF(H779&lt;cfgMinCortes,"Cortes insuficientes","Válida")))</f>
        <v>0</v>
      </c>
      <c r="L779" s="27">
        <f>IF(K779="Válida",ABS(J779),"")</f>
        <v>0</v>
      </c>
      <c r="M779" s="26">
        <f>IF(K779="Válida",IF(L779&lt;=cfgTolerancia,"Sim","Não"),"")</f>
        <v>0</v>
      </c>
      <c r="N779" s="26">
        <f>IF(A779="","",MES!D779)</f>
        <v>0</v>
      </c>
      <c r="O779" s="25">
        <f>IF(K779="Válida",A779,NA())</f>
        <v>0</v>
      </c>
      <c r="P779" s="27">
        <f>IF(K779="Válida",C779,NA())</f>
        <v>0</v>
      </c>
      <c r="Q779" s="27">
        <f>IF(K779="Válida",I779,NA())</f>
        <v>0</v>
      </c>
      <c r="R779" s="27">
        <f>IF(K779="Válida",J779,NA())</f>
        <v>0</v>
      </c>
      <c r="S779" s="27">
        <f>IF(K779="Válida",C779,"")</f>
        <v>0</v>
      </c>
      <c r="T779" s="27">
        <f>IF(K779="Válida",I779,"")</f>
        <v>0</v>
      </c>
      <c r="U779" s="27">
        <f>IF(K779="Válida",J779,"")</f>
        <v>0</v>
      </c>
    </row>
    <row r="780" spans="1:21">
      <c r="A780" s="25">
        <f>IF(MES!A780="","",MES!C780/48)</f>
        <v>0</v>
      </c>
      <c r="B780" s="26">
        <f>IF(A780="","",TEXT((N780*4+cfgDeslocamento)/48,"hh:mm")&amp;" a "&amp;TEXT(A780,"hh:mm"))</f>
        <v>0</v>
      </c>
      <c r="C780" s="27">
        <f>IF(A780="","",MES!B780)</f>
        <v>0</v>
      </c>
      <c r="D780" s="27">
        <f>IF(A780="","",IFERROR(AVERAGEIFS(Prensa!$B$2:$B$5001,Prensa!$E$2:$E$5001,N780,Prensa!$F$2:$F$5001,1,Prensa!$G$2:$G$5001,1),""))</f>
        <v>0</v>
      </c>
      <c r="E780" s="27">
        <f>IF(A780="","",IFERROR(AVERAGEIFS(Prensa!$B$2:$B$5001,Prensa!$E$2:$E$5001,N780,Prensa!$F$2:$F$5001,2,Prensa!$G$2:$G$5001,1),""))</f>
        <v>0</v>
      </c>
      <c r="F780" s="27">
        <f>IF(A780="","",IFERROR(AVERAGEIFS(Prensa!$B$2:$B$5001,Prensa!$E$2:$E$5001,N780,Prensa!$F$2:$F$5001,3,Prensa!$G$2:$G$5001,1),""))</f>
        <v>0</v>
      </c>
      <c r="G780" s="27">
        <f>IF(A780="","",IFERROR(AVERAGEIFS(Prensa!$B$2:$B$5001,Prensa!$E$2:$E$5001,N780,Prensa!$F$2:$F$5001,4,Prensa!$G$2:$G$5001,1),""))</f>
        <v>0</v>
      </c>
      <c r="H780" s="26">
        <f>IF(A780="","",COUNT(D780:G780))</f>
        <v>0</v>
      </c>
      <c r="I780" s="27">
        <f>IF(A780="","",IF(H780=0,"",AVERAGE(D780:G780)))</f>
        <v>0</v>
      </c>
      <c r="J780" s="27">
        <f>IF(OR(I780="",C780=""),"",I780-C780)</f>
        <v>0</v>
      </c>
      <c r="K780" s="26">
        <f>IF(A780="","",IF(MES!E780&lt;&gt;4,"Horário do MES fora do padrão",IF(H780&lt;cfgMinCortes,"Cortes insuficientes","Válida")))</f>
        <v>0</v>
      </c>
      <c r="L780" s="27">
        <f>IF(K780="Válida",ABS(J780),"")</f>
        <v>0</v>
      </c>
      <c r="M780" s="26">
        <f>IF(K780="Válida",IF(L780&lt;=cfgTolerancia,"Sim","Não"),"")</f>
        <v>0</v>
      </c>
      <c r="N780" s="26">
        <f>IF(A780="","",MES!D780)</f>
        <v>0</v>
      </c>
      <c r="O780" s="25">
        <f>IF(K780="Válida",A780,NA())</f>
        <v>0</v>
      </c>
      <c r="P780" s="27">
        <f>IF(K780="Válida",C780,NA())</f>
        <v>0</v>
      </c>
      <c r="Q780" s="27">
        <f>IF(K780="Válida",I780,NA())</f>
        <v>0</v>
      </c>
      <c r="R780" s="27">
        <f>IF(K780="Válida",J780,NA())</f>
        <v>0</v>
      </c>
      <c r="S780" s="27">
        <f>IF(K780="Válida",C780,"")</f>
        <v>0</v>
      </c>
      <c r="T780" s="27">
        <f>IF(K780="Válida",I780,"")</f>
        <v>0</v>
      </c>
      <c r="U780" s="27">
        <f>IF(K780="Válida",J780,"")</f>
        <v>0</v>
      </c>
    </row>
    <row r="781" spans="1:21">
      <c r="A781" s="25">
        <f>IF(MES!A781="","",MES!C781/48)</f>
        <v>0</v>
      </c>
      <c r="B781" s="26">
        <f>IF(A781="","",TEXT((N781*4+cfgDeslocamento)/48,"hh:mm")&amp;" a "&amp;TEXT(A781,"hh:mm"))</f>
        <v>0</v>
      </c>
      <c r="C781" s="27">
        <f>IF(A781="","",MES!B781)</f>
        <v>0</v>
      </c>
      <c r="D781" s="27">
        <f>IF(A781="","",IFERROR(AVERAGEIFS(Prensa!$B$2:$B$5001,Prensa!$E$2:$E$5001,N781,Prensa!$F$2:$F$5001,1,Prensa!$G$2:$G$5001,1),""))</f>
        <v>0</v>
      </c>
      <c r="E781" s="27">
        <f>IF(A781="","",IFERROR(AVERAGEIFS(Prensa!$B$2:$B$5001,Prensa!$E$2:$E$5001,N781,Prensa!$F$2:$F$5001,2,Prensa!$G$2:$G$5001,1),""))</f>
        <v>0</v>
      </c>
      <c r="F781" s="27">
        <f>IF(A781="","",IFERROR(AVERAGEIFS(Prensa!$B$2:$B$5001,Prensa!$E$2:$E$5001,N781,Prensa!$F$2:$F$5001,3,Prensa!$G$2:$G$5001,1),""))</f>
        <v>0</v>
      </c>
      <c r="G781" s="27">
        <f>IF(A781="","",IFERROR(AVERAGEIFS(Prensa!$B$2:$B$5001,Prensa!$E$2:$E$5001,N781,Prensa!$F$2:$F$5001,4,Prensa!$G$2:$G$5001,1),""))</f>
        <v>0</v>
      </c>
      <c r="H781" s="26">
        <f>IF(A781="","",COUNT(D781:G781))</f>
        <v>0</v>
      </c>
      <c r="I781" s="27">
        <f>IF(A781="","",IF(H781=0,"",AVERAGE(D781:G781)))</f>
        <v>0</v>
      </c>
      <c r="J781" s="27">
        <f>IF(OR(I781="",C781=""),"",I781-C781)</f>
        <v>0</v>
      </c>
      <c r="K781" s="26">
        <f>IF(A781="","",IF(MES!E781&lt;&gt;4,"Horário do MES fora do padrão",IF(H781&lt;cfgMinCortes,"Cortes insuficientes","Válida")))</f>
        <v>0</v>
      </c>
      <c r="L781" s="27">
        <f>IF(K781="Válida",ABS(J781),"")</f>
        <v>0</v>
      </c>
      <c r="M781" s="26">
        <f>IF(K781="Válida",IF(L781&lt;=cfgTolerancia,"Sim","Não"),"")</f>
        <v>0</v>
      </c>
      <c r="N781" s="26">
        <f>IF(A781="","",MES!D781)</f>
        <v>0</v>
      </c>
      <c r="O781" s="25">
        <f>IF(K781="Válida",A781,NA())</f>
        <v>0</v>
      </c>
      <c r="P781" s="27">
        <f>IF(K781="Válida",C781,NA())</f>
        <v>0</v>
      </c>
      <c r="Q781" s="27">
        <f>IF(K781="Válida",I781,NA())</f>
        <v>0</v>
      </c>
      <c r="R781" s="27">
        <f>IF(K781="Válida",J781,NA())</f>
        <v>0</v>
      </c>
      <c r="S781" s="27">
        <f>IF(K781="Válida",C781,"")</f>
        <v>0</v>
      </c>
      <c r="T781" s="27">
        <f>IF(K781="Válida",I781,"")</f>
        <v>0</v>
      </c>
      <c r="U781" s="27">
        <f>IF(K781="Válida",J781,"")</f>
        <v>0</v>
      </c>
    </row>
    <row r="782" spans="1:21">
      <c r="A782" s="25">
        <f>IF(MES!A782="","",MES!C782/48)</f>
        <v>0</v>
      </c>
      <c r="B782" s="26">
        <f>IF(A782="","",TEXT((N782*4+cfgDeslocamento)/48,"hh:mm")&amp;" a "&amp;TEXT(A782,"hh:mm"))</f>
        <v>0</v>
      </c>
      <c r="C782" s="27">
        <f>IF(A782="","",MES!B782)</f>
        <v>0</v>
      </c>
      <c r="D782" s="27">
        <f>IF(A782="","",IFERROR(AVERAGEIFS(Prensa!$B$2:$B$5001,Prensa!$E$2:$E$5001,N782,Prensa!$F$2:$F$5001,1,Prensa!$G$2:$G$5001,1),""))</f>
        <v>0</v>
      </c>
      <c r="E782" s="27">
        <f>IF(A782="","",IFERROR(AVERAGEIFS(Prensa!$B$2:$B$5001,Prensa!$E$2:$E$5001,N782,Prensa!$F$2:$F$5001,2,Prensa!$G$2:$G$5001,1),""))</f>
        <v>0</v>
      </c>
      <c r="F782" s="27">
        <f>IF(A782="","",IFERROR(AVERAGEIFS(Prensa!$B$2:$B$5001,Prensa!$E$2:$E$5001,N782,Prensa!$F$2:$F$5001,3,Prensa!$G$2:$G$5001,1),""))</f>
        <v>0</v>
      </c>
      <c r="G782" s="27">
        <f>IF(A782="","",IFERROR(AVERAGEIFS(Prensa!$B$2:$B$5001,Prensa!$E$2:$E$5001,N782,Prensa!$F$2:$F$5001,4,Prensa!$G$2:$G$5001,1),""))</f>
        <v>0</v>
      </c>
      <c r="H782" s="26">
        <f>IF(A782="","",COUNT(D782:G782))</f>
        <v>0</v>
      </c>
      <c r="I782" s="27">
        <f>IF(A782="","",IF(H782=0,"",AVERAGE(D782:G782)))</f>
        <v>0</v>
      </c>
      <c r="J782" s="27">
        <f>IF(OR(I782="",C782=""),"",I782-C782)</f>
        <v>0</v>
      </c>
      <c r="K782" s="26">
        <f>IF(A782="","",IF(MES!E782&lt;&gt;4,"Horário do MES fora do padrão",IF(H782&lt;cfgMinCortes,"Cortes insuficientes","Válida")))</f>
        <v>0</v>
      </c>
      <c r="L782" s="27">
        <f>IF(K782="Válida",ABS(J782),"")</f>
        <v>0</v>
      </c>
      <c r="M782" s="26">
        <f>IF(K782="Válida",IF(L782&lt;=cfgTolerancia,"Sim","Não"),"")</f>
        <v>0</v>
      </c>
      <c r="N782" s="26">
        <f>IF(A782="","",MES!D782)</f>
        <v>0</v>
      </c>
      <c r="O782" s="25">
        <f>IF(K782="Válida",A782,NA())</f>
        <v>0</v>
      </c>
      <c r="P782" s="27">
        <f>IF(K782="Válida",C782,NA())</f>
        <v>0</v>
      </c>
      <c r="Q782" s="27">
        <f>IF(K782="Válida",I782,NA())</f>
        <v>0</v>
      </c>
      <c r="R782" s="27">
        <f>IF(K782="Válida",J782,NA())</f>
        <v>0</v>
      </c>
      <c r="S782" s="27">
        <f>IF(K782="Válida",C782,"")</f>
        <v>0</v>
      </c>
      <c r="T782" s="27">
        <f>IF(K782="Válida",I782,"")</f>
        <v>0</v>
      </c>
      <c r="U782" s="27">
        <f>IF(K782="Válida",J782,"")</f>
        <v>0</v>
      </c>
    </row>
    <row r="783" spans="1:21">
      <c r="A783" s="25">
        <f>IF(MES!A783="","",MES!C783/48)</f>
        <v>0</v>
      </c>
      <c r="B783" s="26">
        <f>IF(A783="","",TEXT((N783*4+cfgDeslocamento)/48,"hh:mm")&amp;" a "&amp;TEXT(A783,"hh:mm"))</f>
        <v>0</v>
      </c>
      <c r="C783" s="27">
        <f>IF(A783="","",MES!B783)</f>
        <v>0</v>
      </c>
      <c r="D783" s="27">
        <f>IF(A783="","",IFERROR(AVERAGEIFS(Prensa!$B$2:$B$5001,Prensa!$E$2:$E$5001,N783,Prensa!$F$2:$F$5001,1,Prensa!$G$2:$G$5001,1),""))</f>
        <v>0</v>
      </c>
      <c r="E783" s="27">
        <f>IF(A783="","",IFERROR(AVERAGEIFS(Prensa!$B$2:$B$5001,Prensa!$E$2:$E$5001,N783,Prensa!$F$2:$F$5001,2,Prensa!$G$2:$G$5001,1),""))</f>
        <v>0</v>
      </c>
      <c r="F783" s="27">
        <f>IF(A783="","",IFERROR(AVERAGEIFS(Prensa!$B$2:$B$5001,Prensa!$E$2:$E$5001,N783,Prensa!$F$2:$F$5001,3,Prensa!$G$2:$G$5001,1),""))</f>
        <v>0</v>
      </c>
      <c r="G783" s="27">
        <f>IF(A783="","",IFERROR(AVERAGEIFS(Prensa!$B$2:$B$5001,Prensa!$E$2:$E$5001,N783,Prensa!$F$2:$F$5001,4,Prensa!$G$2:$G$5001,1),""))</f>
        <v>0</v>
      </c>
      <c r="H783" s="26">
        <f>IF(A783="","",COUNT(D783:G783))</f>
        <v>0</v>
      </c>
      <c r="I783" s="27">
        <f>IF(A783="","",IF(H783=0,"",AVERAGE(D783:G783)))</f>
        <v>0</v>
      </c>
      <c r="J783" s="27">
        <f>IF(OR(I783="",C783=""),"",I783-C783)</f>
        <v>0</v>
      </c>
      <c r="K783" s="26">
        <f>IF(A783="","",IF(MES!E783&lt;&gt;4,"Horário do MES fora do padrão",IF(H783&lt;cfgMinCortes,"Cortes insuficientes","Válida")))</f>
        <v>0</v>
      </c>
      <c r="L783" s="27">
        <f>IF(K783="Válida",ABS(J783),"")</f>
        <v>0</v>
      </c>
      <c r="M783" s="26">
        <f>IF(K783="Válida",IF(L783&lt;=cfgTolerancia,"Sim","Não"),"")</f>
        <v>0</v>
      </c>
      <c r="N783" s="26">
        <f>IF(A783="","",MES!D783)</f>
        <v>0</v>
      </c>
      <c r="O783" s="25">
        <f>IF(K783="Válida",A783,NA())</f>
        <v>0</v>
      </c>
      <c r="P783" s="27">
        <f>IF(K783="Válida",C783,NA())</f>
        <v>0</v>
      </c>
      <c r="Q783" s="27">
        <f>IF(K783="Válida",I783,NA())</f>
        <v>0</v>
      </c>
      <c r="R783" s="27">
        <f>IF(K783="Válida",J783,NA())</f>
        <v>0</v>
      </c>
      <c r="S783" s="27">
        <f>IF(K783="Válida",C783,"")</f>
        <v>0</v>
      </c>
      <c r="T783" s="27">
        <f>IF(K783="Válida",I783,"")</f>
        <v>0</v>
      </c>
      <c r="U783" s="27">
        <f>IF(K783="Válida",J783,"")</f>
        <v>0</v>
      </c>
    </row>
    <row r="784" spans="1:21">
      <c r="A784" s="25">
        <f>IF(MES!A784="","",MES!C784/48)</f>
        <v>0</v>
      </c>
      <c r="B784" s="26">
        <f>IF(A784="","",TEXT((N784*4+cfgDeslocamento)/48,"hh:mm")&amp;" a "&amp;TEXT(A784,"hh:mm"))</f>
        <v>0</v>
      </c>
      <c r="C784" s="27">
        <f>IF(A784="","",MES!B784)</f>
        <v>0</v>
      </c>
      <c r="D784" s="27">
        <f>IF(A784="","",IFERROR(AVERAGEIFS(Prensa!$B$2:$B$5001,Prensa!$E$2:$E$5001,N784,Prensa!$F$2:$F$5001,1,Prensa!$G$2:$G$5001,1),""))</f>
        <v>0</v>
      </c>
      <c r="E784" s="27">
        <f>IF(A784="","",IFERROR(AVERAGEIFS(Prensa!$B$2:$B$5001,Prensa!$E$2:$E$5001,N784,Prensa!$F$2:$F$5001,2,Prensa!$G$2:$G$5001,1),""))</f>
        <v>0</v>
      </c>
      <c r="F784" s="27">
        <f>IF(A784="","",IFERROR(AVERAGEIFS(Prensa!$B$2:$B$5001,Prensa!$E$2:$E$5001,N784,Prensa!$F$2:$F$5001,3,Prensa!$G$2:$G$5001,1),""))</f>
        <v>0</v>
      </c>
      <c r="G784" s="27">
        <f>IF(A784="","",IFERROR(AVERAGEIFS(Prensa!$B$2:$B$5001,Prensa!$E$2:$E$5001,N784,Prensa!$F$2:$F$5001,4,Prensa!$G$2:$G$5001,1),""))</f>
        <v>0</v>
      </c>
      <c r="H784" s="26">
        <f>IF(A784="","",COUNT(D784:G784))</f>
        <v>0</v>
      </c>
      <c r="I784" s="27">
        <f>IF(A784="","",IF(H784=0,"",AVERAGE(D784:G784)))</f>
        <v>0</v>
      </c>
      <c r="J784" s="27">
        <f>IF(OR(I784="",C784=""),"",I784-C784)</f>
        <v>0</v>
      </c>
      <c r="K784" s="26">
        <f>IF(A784="","",IF(MES!E784&lt;&gt;4,"Horário do MES fora do padrão",IF(H784&lt;cfgMinCortes,"Cortes insuficientes","Válida")))</f>
        <v>0</v>
      </c>
      <c r="L784" s="27">
        <f>IF(K784="Válida",ABS(J784),"")</f>
        <v>0</v>
      </c>
      <c r="M784" s="26">
        <f>IF(K784="Válida",IF(L784&lt;=cfgTolerancia,"Sim","Não"),"")</f>
        <v>0</v>
      </c>
      <c r="N784" s="26">
        <f>IF(A784="","",MES!D784)</f>
        <v>0</v>
      </c>
      <c r="O784" s="25">
        <f>IF(K784="Válida",A784,NA())</f>
        <v>0</v>
      </c>
      <c r="P784" s="27">
        <f>IF(K784="Válida",C784,NA())</f>
        <v>0</v>
      </c>
      <c r="Q784" s="27">
        <f>IF(K784="Válida",I784,NA())</f>
        <v>0</v>
      </c>
      <c r="R784" s="27">
        <f>IF(K784="Válida",J784,NA())</f>
        <v>0</v>
      </c>
      <c r="S784" s="27">
        <f>IF(K784="Válida",C784,"")</f>
        <v>0</v>
      </c>
      <c r="T784" s="27">
        <f>IF(K784="Válida",I784,"")</f>
        <v>0</v>
      </c>
      <c r="U784" s="27">
        <f>IF(K784="Válida",J784,"")</f>
        <v>0</v>
      </c>
    </row>
    <row r="785" spans="1:21">
      <c r="A785" s="25">
        <f>IF(MES!A785="","",MES!C785/48)</f>
        <v>0</v>
      </c>
      <c r="B785" s="26">
        <f>IF(A785="","",TEXT((N785*4+cfgDeslocamento)/48,"hh:mm")&amp;" a "&amp;TEXT(A785,"hh:mm"))</f>
        <v>0</v>
      </c>
      <c r="C785" s="27">
        <f>IF(A785="","",MES!B785)</f>
        <v>0</v>
      </c>
      <c r="D785" s="27">
        <f>IF(A785="","",IFERROR(AVERAGEIFS(Prensa!$B$2:$B$5001,Prensa!$E$2:$E$5001,N785,Prensa!$F$2:$F$5001,1,Prensa!$G$2:$G$5001,1),""))</f>
        <v>0</v>
      </c>
      <c r="E785" s="27">
        <f>IF(A785="","",IFERROR(AVERAGEIFS(Prensa!$B$2:$B$5001,Prensa!$E$2:$E$5001,N785,Prensa!$F$2:$F$5001,2,Prensa!$G$2:$G$5001,1),""))</f>
        <v>0</v>
      </c>
      <c r="F785" s="27">
        <f>IF(A785="","",IFERROR(AVERAGEIFS(Prensa!$B$2:$B$5001,Prensa!$E$2:$E$5001,N785,Prensa!$F$2:$F$5001,3,Prensa!$G$2:$G$5001,1),""))</f>
        <v>0</v>
      </c>
      <c r="G785" s="27">
        <f>IF(A785="","",IFERROR(AVERAGEIFS(Prensa!$B$2:$B$5001,Prensa!$E$2:$E$5001,N785,Prensa!$F$2:$F$5001,4,Prensa!$G$2:$G$5001,1),""))</f>
        <v>0</v>
      </c>
      <c r="H785" s="26">
        <f>IF(A785="","",COUNT(D785:G785))</f>
        <v>0</v>
      </c>
      <c r="I785" s="27">
        <f>IF(A785="","",IF(H785=0,"",AVERAGE(D785:G785)))</f>
        <v>0</v>
      </c>
      <c r="J785" s="27">
        <f>IF(OR(I785="",C785=""),"",I785-C785)</f>
        <v>0</v>
      </c>
      <c r="K785" s="26">
        <f>IF(A785="","",IF(MES!E785&lt;&gt;4,"Horário do MES fora do padrão",IF(H785&lt;cfgMinCortes,"Cortes insuficientes","Válida")))</f>
        <v>0</v>
      </c>
      <c r="L785" s="27">
        <f>IF(K785="Válida",ABS(J785),"")</f>
        <v>0</v>
      </c>
      <c r="M785" s="26">
        <f>IF(K785="Válida",IF(L785&lt;=cfgTolerancia,"Sim","Não"),"")</f>
        <v>0</v>
      </c>
      <c r="N785" s="26">
        <f>IF(A785="","",MES!D785)</f>
        <v>0</v>
      </c>
      <c r="O785" s="25">
        <f>IF(K785="Válida",A785,NA())</f>
        <v>0</v>
      </c>
      <c r="P785" s="27">
        <f>IF(K785="Válida",C785,NA())</f>
        <v>0</v>
      </c>
      <c r="Q785" s="27">
        <f>IF(K785="Válida",I785,NA())</f>
        <v>0</v>
      </c>
      <c r="R785" s="27">
        <f>IF(K785="Válida",J785,NA())</f>
        <v>0</v>
      </c>
      <c r="S785" s="27">
        <f>IF(K785="Válida",C785,"")</f>
        <v>0</v>
      </c>
      <c r="T785" s="27">
        <f>IF(K785="Válida",I785,"")</f>
        <v>0</v>
      </c>
      <c r="U785" s="27">
        <f>IF(K785="Válida",J785,"")</f>
        <v>0</v>
      </c>
    </row>
    <row r="786" spans="1:21">
      <c r="A786" s="25">
        <f>IF(MES!A786="","",MES!C786/48)</f>
        <v>0</v>
      </c>
      <c r="B786" s="26">
        <f>IF(A786="","",TEXT((N786*4+cfgDeslocamento)/48,"hh:mm")&amp;" a "&amp;TEXT(A786,"hh:mm"))</f>
        <v>0</v>
      </c>
      <c r="C786" s="27">
        <f>IF(A786="","",MES!B786)</f>
        <v>0</v>
      </c>
      <c r="D786" s="27">
        <f>IF(A786="","",IFERROR(AVERAGEIFS(Prensa!$B$2:$B$5001,Prensa!$E$2:$E$5001,N786,Prensa!$F$2:$F$5001,1,Prensa!$G$2:$G$5001,1),""))</f>
        <v>0</v>
      </c>
      <c r="E786" s="27">
        <f>IF(A786="","",IFERROR(AVERAGEIFS(Prensa!$B$2:$B$5001,Prensa!$E$2:$E$5001,N786,Prensa!$F$2:$F$5001,2,Prensa!$G$2:$G$5001,1),""))</f>
        <v>0</v>
      </c>
      <c r="F786" s="27">
        <f>IF(A786="","",IFERROR(AVERAGEIFS(Prensa!$B$2:$B$5001,Prensa!$E$2:$E$5001,N786,Prensa!$F$2:$F$5001,3,Prensa!$G$2:$G$5001,1),""))</f>
        <v>0</v>
      </c>
      <c r="G786" s="27">
        <f>IF(A786="","",IFERROR(AVERAGEIFS(Prensa!$B$2:$B$5001,Prensa!$E$2:$E$5001,N786,Prensa!$F$2:$F$5001,4,Prensa!$G$2:$G$5001,1),""))</f>
        <v>0</v>
      </c>
      <c r="H786" s="26">
        <f>IF(A786="","",COUNT(D786:G786))</f>
        <v>0</v>
      </c>
      <c r="I786" s="27">
        <f>IF(A786="","",IF(H786=0,"",AVERAGE(D786:G786)))</f>
        <v>0</v>
      </c>
      <c r="J786" s="27">
        <f>IF(OR(I786="",C786=""),"",I786-C786)</f>
        <v>0</v>
      </c>
      <c r="K786" s="26">
        <f>IF(A786="","",IF(MES!E786&lt;&gt;4,"Horário do MES fora do padrão",IF(H786&lt;cfgMinCortes,"Cortes insuficientes","Válida")))</f>
        <v>0</v>
      </c>
      <c r="L786" s="27">
        <f>IF(K786="Válida",ABS(J786),"")</f>
        <v>0</v>
      </c>
      <c r="M786" s="26">
        <f>IF(K786="Válida",IF(L786&lt;=cfgTolerancia,"Sim","Não"),"")</f>
        <v>0</v>
      </c>
      <c r="N786" s="26">
        <f>IF(A786="","",MES!D786)</f>
        <v>0</v>
      </c>
      <c r="O786" s="25">
        <f>IF(K786="Válida",A786,NA())</f>
        <v>0</v>
      </c>
      <c r="P786" s="27">
        <f>IF(K786="Válida",C786,NA())</f>
        <v>0</v>
      </c>
      <c r="Q786" s="27">
        <f>IF(K786="Válida",I786,NA())</f>
        <v>0</v>
      </c>
      <c r="R786" s="27">
        <f>IF(K786="Válida",J786,NA())</f>
        <v>0</v>
      </c>
      <c r="S786" s="27">
        <f>IF(K786="Válida",C786,"")</f>
        <v>0</v>
      </c>
      <c r="T786" s="27">
        <f>IF(K786="Válida",I786,"")</f>
        <v>0</v>
      </c>
      <c r="U786" s="27">
        <f>IF(K786="Válida",J786,"")</f>
        <v>0</v>
      </c>
    </row>
    <row r="787" spans="1:21">
      <c r="A787" s="25">
        <f>IF(MES!A787="","",MES!C787/48)</f>
        <v>0</v>
      </c>
      <c r="B787" s="26">
        <f>IF(A787="","",TEXT((N787*4+cfgDeslocamento)/48,"hh:mm")&amp;" a "&amp;TEXT(A787,"hh:mm"))</f>
        <v>0</v>
      </c>
      <c r="C787" s="27">
        <f>IF(A787="","",MES!B787)</f>
        <v>0</v>
      </c>
      <c r="D787" s="27">
        <f>IF(A787="","",IFERROR(AVERAGEIFS(Prensa!$B$2:$B$5001,Prensa!$E$2:$E$5001,N787,Prensa!$F$2:$F$5001,1,Prensa!$G$2:$G$5001,1),""))</f>
        <v>0</v>
      </c>
      <c r="E787" s="27">
        <f>IF(A787="","",IFERROR(AVERAGEIFS(Prensa!$B$2:$B$5001,Prensa!$E$2:$E$5001,N787,Prensa!$F$2:$F$5001,2,Prensa!$G$2:$G$5001,1),""))</f>
        <v>0</v>
      </c>
      <c r="F787" s="27">
        <f>IF(A787="","",IFERROR(AVERAGEIFS(Prensa!$B$2:$B$5001,Prensa!$E$2:$E$5001,N787,Prensa!$F$2:$F$5001,3,Prensa!$G$2:$G$5001,1),""))</f>
        <v>0</v>
      </c>
      <c r="G787" s="27">
        <f>IF(A787="","",IFERROR(AVERAGEIFS(Prensa!$B$2:$B$5001,Prensa!$E$2:$E$5001,N787,Prensa!$F$2:$F$5001,4,Prensa!$G$2:$G$5001,1),""))</f>
        <v>0</v>
      </c>
      <c r="H787" s="26">
        <f>IF(A787="","",COUNT(D787:G787))</f>
        <v>0</v>
      </c>
      <c r="I787" s="27">
        <f>IF(A787="","",IF(H787=0,"",AVERAGE(D787:G787)))</f>
        <v>0</v>
      </c>
      <c r="J787" s="27">
        <f>IF(OR(I787="",C787=""),"",I787-C787)</f>
        <v>0</v>
      </c>
      <c r="K787" s="26">
        <f>IF(A787="","",IF(MES!E787&lt;&gt;4,"Horário do MES fora do padrão",IF(H787&lt;cfgMinCortes,"Cortes insuficientes","Válida")))</f>
        <v>0</v>
      </c>
      <c r="L787" s="27">
        <f>IF(K787="Válida",ABS(J787),"")</f>
        <v>0</v>
      </c>
      <c r="M787" s="26">
        <f>IF(K787="Válida",IF(L787&lt;=cfgTolerancia,"Sim","Não"),"")</f>
        <v>0</v>
      </c>
      <c r="N787" s="26">
        <f>IF(A787="","",MES!D787)</f>
        <v>0</v>
      </c>
      <c r="O787" s="25">
        <f>IF(K787="Válida",A787,NA())</f>
        <v>0</v>
      </c>
      <c r="P787" s="27">
        <f>IF(K787="Válida",C787,NA())</f>
        <v>0</v>
      </c>
      <c r="Q787" s="27">
        <f>IF(K787="Válida",I787,NA())</f>
        <v>0</v>
      </c>
      <c r="R787" s="27">
        <f>IF(K787="Válida",J787,NA())</f>
        <v>0</v>
      </c>
      <c r="S787" s="27">
        <f>IF(K787="Válida",C787,"")</f>
        <v>0</v>
      </c>
      <c r="T787" s="27">
        <f>IF(K787="Válida",I787,"")</f>
        <v>0</v>
      </c>
      <c r="U787" s="27">
        <f>IF(K787="Válida",J787,"")</f>
        <v>0</v>
      </c>
    </row>
    <row r="788" spans="1:21">
      <c r="A788" s="25">
        <f>IF(MES!A788="","",MES!C788/48)</f>
        <v>0</v>
      </c>
      <c r="B788" s="26">
        <f>IF(A788="","",TEXT((N788*4+cfgDeslocamento)/48,"hh:mm")&amp;" a "&amp;TEXT(A788,"hh:mm"))</f>
        <v>0</v>
      </c>
      <c r="C788" s="27">
        <f>IF(A788="","",MES!B788)</f>
        <v>0</v>
      </c>
      <c r="D788" s="27">
        <f>IF(A788="","",IFERROR(AVERAGEIFS(Prensa!$B$2:$B$5001,Prensa!$E$2:$E$5001,N788,Prensa!$F$2:$F$5001,1,Prensa!$G$2:$G$5001,1),""))</f>
        <v>0</v>
      </c>
      <c r="E788" s="27">
        <f>IF(A788="","",IFERROR(AVERAGEIFS(Prensa!$B$2:$B$5001,Prensa!$E$2:$E$5001,N788,Prensa!$F$2:$F$5001,2,Prensa!$G$2:$G$5001,1),""))</f>
        <v>0</v>
      </c>
      <c r="F788" s="27">
        <f>IF(A788="","",IFERROR(AVERAGEIFS(Prensa!$B$2:$B$5001,Prensa!$E$2:$E$5001,N788,Prensa!$F$2:$F$5001,3,Prensa!$G$2:$G$5001,1),""))</f>
        <v>0</v>
      </c>
      <c r="G788" s="27">
        <f>IF(A788="","",IFERROR(AVERAGEIFS(Prensa!$B$2:$B$5001,Prensa!$E$2:$E$5001,N788,Prensa!$F$2:$F$5001,4,Prensa!$G$2:$G$5001,1),""))</f>
        <v>0</v>
      </c>
      <c r="H788" s="26">
        <f>IF(A788="","",COUNT(D788:G788))</f>
        <v>0</v>
      </c>
      <c r="I788" s="27">
        <f>IF(A788="","",IF(H788=0,"",AVERAGE(D788:G788)))</f>
        <v>0</v>
      </c>
      <c r="J788" s="27">
        <f>IF(OR(I788="",C788=""),"",I788-C788)</f>
        <v>0</v>
      </c>
      <c r="K788" s="26">
        <f>IF(A788="","",IF(MES!E788&lt;&gt;4,"Horário do MES fora do padrão",IF(H788&lt;cfgMinCortes,"Cortes insuficientes","Válida")))</f>
        <v>0</v>
      </c>
      <c r="L788" s="27">
        <f>IF(K788="Válida",ABS(J788),"")</f>
        <v>0</v>
      </c>
      <c r="M788" s="26">
        <f>IF(K788="Válida",IF(L788&lt;=cfgTolerancia,"Sim","Não"),"")</f>
        <v>0</v>
      </c>
      <c r="N788" s="26">
        <f>IF(A788="","",MES!D788)</f>
        <v>0</v>
      </c>
      <c r="O788" s="25">
        <f>IF(K788="Válida",A788,NA())</f>
        <v>0</v>
      </c>
      <c r="P788" s="27">
        <f>IF(K788="Válida",C788,NA())</f>
        <v>0</v>
      </c>
      <c r="Q788" s="27">
        <f>IF(K788="Válida",I788,NA())</f>
        <v>0</v>
      </c>
      <c r="R788" s="27">
        <f>IF(K788="Válida",J788,NA())</f>
        <v>0</v>
      </c>
      <c r="S788" s="27">
        <f>IF(K788="Válida",C788,"")</f>
        <v>0</v>
      </c>
      <c r="T788" s="27">
        <f>IF(K788="Válida",I788,"")</f>
        <v>0</v>
      </c>
      <c r="U788" s="27">
        <f>IF(K788="Válida",J788,"")</f>
        <v>0</v>
      </c>
    </row>
    <row r="789" spans="1:21">
      <c r="A789" s="25">
        <f>IF(MES!A789="","",MES!C789/48)</f>
        <v>0</v>
      </c>
      <c r="B789" s="26">
        <f>IF(A789="","",TEXT((N789*4+cfgDeslocamento)/48,"hh:mm")&amp;" a "&amp;TEXT(A789,"hh:mm"))</f>
        <v>0</v>
      </c>
      <c r="C789" s="27">
        <f>IF(A789="","",MES!B789)</f>
        <v>0</v>
      </c>
      <c r="D789" s="27">
        <f>IF(A789="","",IFERROR(AVERAGEIFS(Prensa!$B$2:$B$5001,Prensa!$E$2:$E$5001,N789,Prensa!$F$2:$F$5001,1,Prensa!$G$2:$G$5001,1),""))</f>
        <v>0</v>
      </c>
      <c r="E789" s="27">
        <f>IF(A789="","",IFERROR(AVERAGEIFS(Prensa!$B$2:$B$5001,Prensa!$E$2:$E$5001,N789,Prensa!$F$2:$F$5001,2,Prensa!$G$2:$G$5001,1),""))</f>
        <v>0</v>
      </c>
      <c r="F789" s="27">
        <f>IF(A789="","",IFERROR(AVERAGEIFS(Prensa!$B$2:$B$5001,Prensa!$E$2:$E$5001,N789,Prensa!$F$2:$F$5001,3,Prensa!$G$2:$G$5001,1),""))</f>
        <v>0</v>
      </c>
      <c r="G789" s="27">
        <f>IF(A789="","",IFERROR(AVERAGEIFS(Prensa!$B$2:$B$5001,Prensa!$E$2:$E$5001,N789,Prensa!$F$2:$F$5001,4,Prensa!$G$2:$G$5001,1),""))</f>
        <v>0</v>
      </c>
      <c r="H789" s="26">
        <f>IF(A789="","",COUNT(D789:G789))</f>
        <v>0</v>
      </c>
      <c r="I789" s="27">
        <f>IF(A789="","",IF(H789=0,"",AVERAGE(D789:G789)))</f>
        <v>0</v>
      </c>
      <c r="J789" s="27">
        <f>IF(OR(I789="",C789=""),"",I789-C789)</f>
        <v>0</v>
      </c>
      <c r="K789" s="26">
        <f>IF(A789="","",IF(MES!E789&lt;&gt;4,"Horário do MES fora do padrão",IF(H789&lt;cfgMinCortes,"Cortes insuficientes","Válida")))</f>
        <v>0</v>
      </c>
      <c r="L789" s="27">
        <f>IF(K789="Válida",ABS(J789),"")</f>
        <v>0</v>
      </c>
      <c r="M789" s="26">
        <f>IF(K789="Válida",IF(L789&lt;=cfgTolerancia,"Sim","Não"),"")</f>
        <v>0</v>
      </c>
      <c r="N789" s="26">
        <f>IF(A789="","",MES!D789)</f>
        <v>0</v>
      </c>
      <c r="O789" s="25">
        <f>IF(K789="Válida",A789,NA())</f>
        <v>0</v>
      </c>
      <c r="P789" s="27">
        <f>IF(K789="Válida",C789,NA())</f>
        <v>0</v>
      </c>
      <c r="Q789" s="27">
        <f>IF(K789="Válida",I789,NA())</f>
        <v>0</v>
      </c>
      <c r="R789" s="27">
        <f>IF(K789="Válida",J789,NA())</f>
        <v>0</v>
      </c>
      <c r="S789" s="27">
        <f>IF(K789="Válida",C789,"")</f>
        <v>0</v>
      </c>
      <c r="T789" s="27">
        <f>IF(K789="Válida",I789,"")</f>
        <v>0</v>
      </c>
      <c r="U789" s="27">
        <f>IF(K789="Válida",J789,"")</f>
        <v>0</v>
      </c>
    </row>
    <row r="790" spans="1:21">
      <c r="A790" s="25">
        <f>IF(MES!A790="","",MES!C790/48)</f>
        <v>0</v>
      </c>
      <c r="B790" s="26">
        <f>IF(A790="","",TEXT((N790*4+cfgDeslocamento)/48,"hh:mm")&amp;" a "&amp;TEXT(A790,"hh:mm"))</f>
        <v>0</v>
      </c>
      <c r="C790" s="27">
        <f>IF(A790="","",MES!B790)</f>
        <v>0</v>
      </c>
      <c r="D790" s="27">
        <f>IF(A790="","",IFERROR(AVERAGEIFS(Prensa!$B$2:$B$5001,Prensa!$E$2:$E$5001,N790,Prensa!$F$2:$F$5001,1,Prensa!$G$2:$G$5001,1),""))</f>
        <v>0</v>
      </c>
      <c r="E790" s="27">
        <f>IF(A790="","",IFERROR(AVERAGEIFS(Prensa!$B$2:$B$5001,Prensa!$E$2:$E$5001,N790,Prensa!$F$2:$F$5001,2,Prensa!$G$2:$G$5001,1),""))</f>
        <v>0</v>
      </c>
      <c r="F790" s="27">
        <f>IF(A790="","",IFERROR(AVERAGEIFS(Prensa!$B$2:$B$5001,Prensa!$E$2:$E$5001,N790,Prensa!$F$2:$F$5001,3,Prensa!$G$2:$G$5001,1),""))</f>
        <v>0</v>
      </c>
      <c r="G790" s="27">
        <f>IF(A790="","",IFERROR(AVERAGEIFS(Prensa!$B$2:$B$5001,Prensa!$E$2:$E$5001,N790,Prensa!$F$2:$F$5001,4,Prensa!$G$2:$G$5001,1),""))</f>
        <v>0</v>
      </c>
      <c r="H790" s="26">
        <f>IF(A790="","",COUNT(D790:G790))</f>
        <v>0</v>
      </c>
      <c r="I790" s="27">
        <f>IF(A790="","",IF(H790=0,"",AVERAGE(D790:G790)))</f>
        <v>0</v>
      </c>
      <c r="J790" s="27">
        <f>IF(OR(I790="",C790=""),"",I790-C790)</f>
        <v>0</v>
      </c>
      <c r="K790" s="26">
        <f>IF(A790="","",IF(MES!E790&lt;&gt;4,"Horário do MES fora do padrão",IF(H790&lt;cfgMinCortes,"Cortes insuficientes","Válida")))</f>
        <v>0</v>
      </c>
      <c r="L790" s="27">
        <f>IF(K790="Válida",ABS(J790),"")</f>
        <v>0</v>
      </c>
      <c r="M790" s="26">
        <f>IF(K790="Válida",IF(L790&lt;=cfgTolerancia,"Sim","Não"),"")</f>
        <v>0</v>
      </c>
      <c r="N790" s="26">
        <f>IF(A790="","",MES!D790)</f>
        <v>0</v>
      </c>
      <c r="O790" s="25">
        <f>IF(K790="Válida",A790,NA())</f>
        <v>0</v>
      </c>
      <c r="P790" s="27">
        <f>IF(K790="Válida",C790,NA())</f>
        <v>0</v>
      </c>
      <c r="Q790" s="27">
        <f>IF(K790="Válida",I790,NA())</f>
        <v>0</v>
      </c>
      <c r="R790" s="27">
        <f>IF(K790="Válida",J790,NA())</f>
        <v>0</v>
      </c>
      <c r="S790" s="27">
        <f>IF(K790="Válida",C790,"")</f>
        <v>0</v>
      </c>
      <c r="T790" s="27">
        <f>IF(K790="Válida",I790,"")</f>
        <v>0</v>
      </c>
      <c r="U790" s="27">
        <f>IF(K790="Válida",J790,"")</f>
        <v>0</v>
      </c>
    </row>
    <row r="791" spans="1:21">
      <c r="A791" s="25">
        <f>IF(MES!A791="","",MES!C791/48)</f>
        <v>0</v>
      </c>
      <c r="B791" s="26">
        <f>IF(A791="","",TEXT((N791*4+cfgDeslocamento)/48,"hh:mm")&amp;" a "&amp;TEXT(A791,"hh:mm"))</f>
        <v>0</v>
      </c>
      <c r="C791" s="27">
        <f>IF(A791="","",MES!B791)</f>
        <v>0</v>
      </c>
      <c r="D791" s="27">
        <f>IF(A791="","",IFERROR(AVERAGEIFS(Prensa!$B$2:$B$5001,Prensa!$E$2:$E$5001,N791,Prensa!$F$2:$F$5001,1,Prensa!$G$2:$G$5001,1),""))</f>
        <v>0</v>
      </c>
      <c r="E791" s="27">
        <f>IF(A791="","",IFERROR(AVERAGEIFS(Prensa!$B$2:$B$5001,Prensa!$E$2:$E$5001,N791,Prensa!$F$2:$F$5001,2,Prensa!$G$2:$G$5001,1),""))</f>
        <v>0</v>
      </c>
      <c r="F791" s="27">
        <f>IF(A791="","",IFERROR(AVERAGEIFS(Prensa!$B$2:$B$5001,Prensa!$E$2:$E$5001,N791,Prensa!$F$2:$F$5001,3,Prensa!$G$2:$G$5001,1),""))</f>
        <v>0</v>
      </c>
      <c r="G791" s="27">
        <f>IF(A791="","",IFERROR(AVERAGEIFS(Prensa!$B$2:$B$5001,Prensa!$E$2:$E$5001,N791,Prensa!$F$2:$F$5001,4,Prensa!$G$2:$G$5001,1),""))</f>
        <v>0</v>
      </c>
      <c r="H791" s="26">
        <f>IF(A791="","",COUNT(D791:G791))</f>
        <v>0</v>
      </c>
      <c r="I791" s="27">
        <f>IF(A791="","",IF(H791=0,"",AVERAGE(D791:G791)))</f>
        <v>0</v>
      </c>
      <c r="J791" s="27">
        <f>IF(OR(I791="",C791=""),"",I791-C791)</f>
        <v>0</v>
      </c>
      <c r="K791" s="26">
        <f>IF(A791="","",IF(MES!E791&lt;&gt;4,"Horário do MES fora do padrão",IF(H791&lt;cfgMinCortes,"Cortes insuficientes","Válida")))</f>
        <v>0</v>
      </c>
      <c r="L791" s="27">
        <f>IF(K791="Válida",ABS(J791),"")</f>
        <v>0</v>
      </c>
      <c r="M791" s="26">
        <f>IF(K791="Válida",IF(L791&lt;=cfgTolerancia,"Sim","Não"),"")</f>
        <v>0</v>
      </c>
      <c r="N791" s="26">
        <f>IF(A791="","",MES!D791)</f>
        <v>0</v>
      </c>
      <c r="O791" s="25">
        <f>IF(K791="Válida",A791,NA())</f>
        <v>0</v>
      </c>
      <c r="P791" s="27">
        <f>IF(K791="Válida",C791,NA())</f>
        <v>0</v>
      </c>
      <c r="Q791" s="27">
        <f>IF(K791="Válida",I791,NA())</f>
        <v>0</v>
      </c>
      <c r="R791" s="27">
        <f>IF(K791="Válida",J791,NA())</f>
        <v>0</v>
      </c>
      <c r="S791" s="27">
        <f>IF(K791="Válida",C791,"")</f>
        <v>0</v>
      </c>
      <c r="T791" s="27">
        <f>IF(K791="Válida",I791,"")</f>
        <v>0</v>
      </c>
      <c r="U791" s="27">
        <f>IF(K791="Válida",J791,"")</f>
        <v>0</v>
      </c>
    </row>
    <row r="792" spans="1:21">
      <c r="A792" s="25">
        <f>IF(MES!A792="","",MES!C792/48)</f>
        <v>0</v>
      </c>
      <c r="B792" s="26">
        <f>IF(A792="","",TEXT((N792*4+cfgDeslocamento)/48,"hh:mm")&amp;" a "&amp;TEXT(A792,"hh:mm"))</f>
        <v>0</v>
      </c>
      <c r="C792" s="27">
        <f>IF(A792="","",MES!B792)</f>
        <v>0</v>
      </c>
      <c r="D792" s="27">
        <f>IF(A792="","",IFERROR(AVERAGEIFS(Prensa!$B$2:$B$5001,Prensa!$E$2:$E$5001,N792,Prensa!$F$2:$F$5001,1,Prensa!$G$2:$G$5001,1),""))</f>
        <v>0</v>
      </c>
      <c r="E792" s="27">
        <f>IF(A792="","",IFERROR(AVERAGEIFS(Prensa!$B$2:$B$5001,Prensa!$E$2:$E$5001,N792,Prensa!$F$2:$F$5001,2,Prensa!$G$2:$G$5001,1),""))</f>
        <v>0</v>
      </c>
      <c r="F792" s="27">
        <f>IF(A792="","",IFERROR(AVERAGEIFS(Prensa!$B$2:$B$5001,Prensa!$E$2:$E$5001,N792,Prensa!$F$2:$F$5001,3,Prensa!$G$2:$G$5001,1),""))</f>
        <v>0</v>
      </c>
      <c r="G792" s="27">
        <f>IF(A792="","",IFERROR(AVERAGEIFS(Prensa!$B$2:$B$5001,Prensa!$E$2:$E$5001,N792,Prensa!$F$2:$F$5001,4,Prensa!$G$2:$G$5001,1),""))</f>
        <v>0</v>
      </c>
      <c r="H792" s="26">
        <f>IF(A792="","",COUNT(D792:G792))</f>
        <v>0</v>
      </c>
      <c r="I792" s="27">
        <f>IF(A792="","",IF(H792=0,"",AVERAGE(D792:G792)))</f>
        <v>0</v>
      </c>
      <c r="J792" s="27">
        <f>IF(OR(I792="",C792=""),"",I792-C792)</f>
        <v>0</v>
      </c>
      <c r="K792" s="26">
        <f>IF(A792="","",IF(MES!E792&lt;&gt;4,"Horário do MES fora do padrão",IF(H792&lt;cfgMinCortes,"Cortes insuficientes","Válida")))</f>
        <v>0</v>
      </c>
      <c r="L792" s="27">
        <f>IF(K792="Válida",ABS(J792),"")</f>
        <v>0</v>
      </c>
      <c r="M792" s="26">
        <f>IF(K792="Válida",IF(L792&lt;=cfgTolerancia,"Sim","Não"),"")</f>
        <v>0</v>
      </c>
      <c r="N792" s="26">
        <f>IF(A792="","",MES!D792)</f>
        <v>0</v>
      </c>
      <c r="O792" s="25">
        <f>IF(K792="Válida",A792,NA())</f>
        <v>0</v>
      </c>
      <c r="P792" s="27">
        <f>IF(K792="Válida",C792,NA())</f>
        <v>0</v>
      </c>
      <c r="Q792" s="27">
        <f>IF(K792="Válida",I792,NA())</f>
        <v>0</v>
      </c>
      <c r="R792" s="27">
        <f>IF(K792="Válida",J792,NA())</f>
        <v>0</v>
      </c>
      <c r="S792" s="27">
        <f>IF(K792="Válida",C792,"")</f>
        <v>0</v>
      </c>
      <c r="T792" s="27">
        <f>IF(K792="Válida",I792,"")</f>
        <v>0</v>
      </c>
      <c r="U792" s="27">
        <f>IF(K792="Válida",J792,"")</f>
        <v>0</v>
      </c>
    </row>
    <row r="793" spans="1:21">
      <c r="A793" s="25">
        <f>IF(MES!A793="","",MES!C793/48)</f>
        <v>0</v>
      </c>
      <c r="B793" s="26">
        <f>IF(A793="","",TEXT((N793*4+cfgDeslocamento)/48,"hh:mm")&amp;" a "&amp;TEXT(A793,"hh:mm"))</f>
        <v>0</v>
      </c>
      <c r="C793" s="27">
        <f>IF(A793="","",MES!B793)</f>
        <v>0</v>
      </c>
      <c r="D793" s="27">
        <f>IF(A793="","",IFERROR(AVERAGEIFS(Prensa!$B$2:$B$5001,Prensa!$E$2:$E$5001,N793,Prensa!$F$2:$F$5001,1,Prensa!$G$2:$G$5001,1),""))</f>
        <v>0</v>
      </c>
      <c r="E793" s="27">
        <f>IF(A793="","",IFERROR(AVERAGEIFS(Prensa!$B$2:$B$5001,Prensa!$E$2:$E$5001,N793,Prensa!$F$2:$F$5001,2,Prensa!$G$2:$G$5001,1),""))</f>
        <v>0</v>
      </c>
      <c r="F793" s="27">
        <f>IF(A793="","",IFERROR(AVERAGEIFS(Prensa!$B$2:$B$5001,Prensa!$E$2:$E$5001,N793,Prensa!$F$2:$F$5001,3,Prensa!$G$2:$G$5001,1),""))</f>
        <v>0</v>
      </c>
      <c r="G793" s="27">
        <f>IF(A793="","",IFERROR(AVERAGEIFS(Prensa!$B$2:$B$5001,Prensa!$E$2:$E$5001,N793,Prensa!$F$2:$F$5001,4,Prensa!$G$2:$G$5001,1),""))</f>
        <v>0</v>
      </c>
      <c r="H793" s="26">
        <f>IF(A793="","",COUNT(D793:G793))</f>
        <v>0</v>
      </c>
      <c r="I793" s="27">
        <f>IF(A793="","",IF(H793=0,"",AVERAGE(D793:G793)))</f>
        <v>0</v>
      </c>
      <c r="J793" s="27">
        <f>IF(OR(I793="",C793=""),"",I793-C793)</f>
        <v>0</v>
      </c>
      <c r="K793" s="26">
        <f>IF(A793="","",IF(MES!E793&lt;&gt;4,"Horário do MES fora do padrão",IF(H793&lt;cfgMinCortes,"Cortes insuficientes","Válida")))</f>
        <v>0</v>
      </c>
      <c r="L793" s="27">
        <f>IF(K793="Válida",ABS(J793),"")</f>
        <v>0</v>
      </c>
      <c r="M793" s="26">
        <f>IF(K793="Válida",IF(L793&lt;=cfgTolerancia,"Sim","Não"),"")</f>
        <v>0</v>
      </c>
      <c r="N793" s="26">
        <f>IF(A793="","",MES!D793)</f>
        <v>0</v>
      </c>
      <c r="O793" s="25">
        <f>IF(K793="Válida",A793,NA())</f>
        <v>0</v>
      </c>
      <c r="P793" s="27">
        <f>IF(K793="Válida",C793,NA())</f>
        <v>0</v>
      </c>
      <c r="Q793" s="27">
        <f>IF(K793="Válida",I793,NA())</f>
        <v>0</v>
      </c>
      <c r="R793" s="27">
        <f>IF(K793="Válida",J793,NA())</f>
        <v>0</v>
      </c>
      <c r="S793" s="27">
        <f>IF(K793="Válida",C793,"")</f>
        <v>0</v>
      </c>
      <c r="T793" s="27">
        <f>IF(K793="Válida",I793,"")</f>
        <v>0</v>
      </c>
      <c r="U793" s="27">
        <f>IF(K793="Válida",J793,"")</f>
        <v>0</v>
      </c>
    </row>
    <row r="794" spans="1:21">
      <c r="A794" s="25">
        <f>IF(MES!A794="","",MES!C794/48)</f>
        <v>0</v>
      </c>
      <c r="B794" s="26">
        <f>IF(A794="","",TEXT((N794*4+cfgDeslocamento)/48,"hh:mm")&amp;" a "&amp;TEXT(A794,"hh:mm"))</f>
        <v>0</v>
      </c>
      <c r="C794" s="27">
        <f>IF(A794="","",MES!B794)</f>
        <v>0</v>
      </c>
      <c r="D794" s="27">
        <f>IF(A794="","",IFERROR(AVERAGEIFS(Prensa!$B$2:$B$5001,Prensa!$E$2:$E$5001,N794,Prensa!$F$2:$F$5001,1,Prensa!$G$2:$G$5001,1),""))</f>
        <v>0</v>
      </c>
      <c r="E794" s="27">
        <f>IF(A794="","",IFERROR(AVERAGEIFS(Prensa!$B$2:$B$5001,Prensa!$E$2:$E$5001,N794,Prensa!$F$2:$F$5001,2,Prensa!$G$2:$G$5001,1),""))</f>
        <v>0</v>
      </c>
      <c r="F794" s="27">
        <f>IF(A794="","",IFERROR(AVERAGEIFS(Prensa!$B$2:$B$5001,Prensa!$E$2:$E$5001,N794,Prensa!$F$2:$F$5001,3,Prensa!$G$2:$G$5001,1),""))</f>
        <v>0</v>
      </c>
      <c r="G794" s="27">
        <f>IF(A794="","",IFERROR(AVERAGEIFS(Prensa!$B$2:$B$5001,Prensa!$E$2:$E$5001,N794,Prensa!$F$2:$F$5001,4,Prensa!$G$2:$G$5001,1),""))</f>
        <v>0</v>
      </c>
      <c r="H794" s="26">
        <f>IF(A794="","",COUNT(D794:G794))</f>
        <v>0</v>
      </c>
      <c r="I794" s="27">
        <f>IF(A794="","",IF(H794=0,"",AVERAGE(D794:G794)))</f>
        <v>0</v>
      </c>
      <c r="J794" s="27">
        <f>IF(OR(I794="",C794=""),"",I794-C794)</f>
        <v>0</v>
      </c>
      <c r="K794" s="26">
        <f>IF(A794="","",IF(MES!E794&lt;&gt;4,"Horário do MES fora do padrão",IF(H794&lt;cfgMinCortes,"Cortes insuficientes","Válida")))</f>
        <v>0</v>
      </c>
      <c r="L794" s="27">
        <f>IF(K794="Válida",ABS(J794),"")</f>
        <v>0</v>
      </c>
      <c r="M794" s="26">
        <f>IF(K794="Válida",IF(L794&lt;=cfgTolerancia,"Sim","Não"),"")</f>
        <v>0</v>
      </c>
      <c r="N794" s="26">
        <f>IF(A794="","",MES!D794)</f>
        <v>0</v>
      </c>
      <c r="O794" s="25">
        <f>IF(K794="Válida",A794,NA())</f>
        <v>0</v>
      </c>
      <c r="P794" s="27">
        <f>IF(K794="Válida",C794,NA())</f>
        <v>0</v>
      </c>
      <c r="Q794" s="27">
        <f>IF(K794="Válida",I794,NA())</f>
        <v>0</v>
      </c>
      <c r="R794" s="27">
        <f>IF(K794="Válida",J794,NA())</f>
        <v>0</v>
      </c>
      <c r="S794" s="27">
        <f>IF(K794="Válida",C794,"")</f>
        <v>0</v>
      </c>
      <c r="T794" s="27">
        <f>IF(K794="Válida",I794,"")</f>
        <v>0</v>
      </c>
      <c r="U794" s="27">
        <f>IF(K794="Válida",J794,"")</f>
        <v>0</v>
      </c>
    </row>
    <row r="795" spans="1:21">
      <c r="A795" s="25">
        <f>IF(MES!A795="","",MES!C795/48)</f>
        <v>0</v>
      </c>
      <c r="B795" s="26">
        <f>IF(A795="","",TEXT((N795*4+cfgDeslocamento)/48,"hh:mm")&amp;" a "&amp;TEXT(A795,"hh:mm"))</f>
        <v>0</v>
      </c>
      <c r="C795" s="27">
        <f>IF(A795="","",MES!B795)</f>
        <v>0</v>
      </c>
      <c r="D795" s="27">
        <f>IF(A795="","",IFERROR(AVERAGEIFS(Prensa!$B$2:$B$5001,Prensa!$E$2:$E$5001,N795,Prensa!$F$2:$F$5001,1,Prensa!$G$2:$G$5001,1),""))</f>
        <v>0</v>
      </c>
      <c r="E795" s="27">
        <f>IF(A795="","",IFERROR(AVERAGEIFS(Prensa!$B$2:$B$5001,Prensa!$E$2:$E$5001,N795,Prensa!$F$2:$F$5001,2,Prensa!$G$2:$G$5001,1),""))</f>
        <v>0</v>
      </c>
      <c r="F795" s="27">
        <f>IF(A795="","",IFERROR(AVERAGEIFS(Prensa!$B$2:$B$5001,Prensa!$E$2:$E$5001,N795,Prensa!$F$2:$F$5001,3,Prensa!$G$2:$G$5001,1),""))</f>
        <v>0</v>
      </c>
      <c r="G795" s="27">
        <f>IF(A795="","",IFERROR(AVERAGEIFS(Prensa!$B$2:$B$5001,Prensa!$E$2:$E$5001,N795,Prensa!$F$2:$F$5001,4,Prensa!$G$2:$G$5001,1),""))</f>
        <v>0</v>
      </c>
      <c r="H795" s="26">
        <f>IF(A795="","",COUNT(D795:G795))</f>
        <v>0</v>
      </c>
      <c r="I795" s="27">
        <f>IF(A795="","",IF(H795=0,"",AVERAGE(D795:G795)))</f>
        <v>0</v>
      </c>
      <c r="J795" s="27">
        <f>IF(OR(I795="",C795=""),"",I795-C795)</f>
        <v>0</v>
      </c>
      <c r="K795" s="26">
        <f>IF(A795="","",IF(MES!E795&lt;&gt;4,"Horário do MES fora do padrão",IF(H795&lt;cfgMinCortes,"Cortes insuficientes","Válida")))</f>
        <v>0</v>
      </c>
      <c r="L795" s="27">
        <f>IF(K795="Válida",ABS(J795),"")</f>
        <v>0</v>
      </c>
      <c r="M795" s="26">
        <f>IF(K795="Válida",IF(L795&lt;=cfgTolerancia,"Sim","Não"),"")</f>
        <v>0</v>
      </c>
      <c r="N795" s="26">
        <f>IF(A795="","",MES!D795)</f>
        <v>0</v>
      </c>
      <c r="O795" s="25">
        <f>IF(K795="Válida",A795,NA())</f>
        <v>0</v>
      </c>
      <c r="P795" s="27">
        <f>IF(K795="Válida",C795,NA())</f>
        <v>0</v>
      </c>
      <c r="Q795" s="27">
        <f>IF(K795="Válida",I795,NA())</f>
        <v>0</v>
      </c>
      <c r="R795" s="27">
        <f>IF(K795="Válida",J795,NA())</f>
        <v>0</v>
      </c>
      <c r="S795" s="27">
        <f>IF(K795="Válida",C795,"")</f>
        <v>0</v>
      </c>
      <c r="T795" s="27">
        <f>IF(K795="Válida",I795,"")</f>
        <v>0</v>
      </c>
      <c r="U795" s="27">
        <f>IF(K795="Válida",J795,"")</f>
        <v>0</v>
      </c>
    </row>
    <row r="796" spans="1:21">
      <c r="A796" s="25">
        <f>IF(MES!A796="","",MES!C796/48)</f>
        <v>0</v>
      </c>
      <c r="B796" s="26">
        <f>IF(A796="","",TEXT((N796*4+cfgDeslocamento)/48,"hh:mm")&amp;" a "&amp;TEXT(A796,"hh:mm"))</f>
        <v>0</v>
      </c>
      <c r="C796" s="27">
        <f>IF(A796="","",MES!B796)</f>
        <v>0</v>
      </c>
      <c r="D796" s="27">
        <f>IF(A796="","",IFERROR(AVERAGEIFS(Prensa!$B$2:$B$5001,Prensa!$E$2:$E$5001,N796,Prensa!$F$2:$F$5001,1,Prensa!$G$2:$G$5001,1),""))</f>
        <v>0</v>
      </c>
      <c r="E796" s="27">
        <f>IF(A796="","",IFERROR(AVERAGEIFS(Prensa!$B$2:$B$5001,Prensa!$E$2:$E$5001,N796,Prensa!$F$2:$F$5001,2,Prensa!$G$2:$G$5001,1),""))</f>
        <v>0</v>
      </c>
      <c r="F796" s="27">
        <f>IF(A796="","",IFERROR(AVERAGEIFS(Prensa!$B$2:$B$5001,Prensa!$E$2:$E$5001,N796,Prensa!$F$2:$F$5001,3,Prensa!$G$2:$G$5001,1),""))</f>
        <v>0</v>
      </c>
      <c r="G796" s="27">
        <f>IF(A796="","",IFERROR(AVERAGEIFS(Prensa!$B$2:$B$5001,Prensa!$E$2:$E$5001,N796,Prensa!$F$2:$F$5001,4,Prensa!$G$2:$G$5001,1),""))</f>
        <v>0</v>
      </c>
      <c r="H796" s="26">
        <f>IF(A796="","",COUNT(D796:G796))</f>
        <v>0</v>
      </c>
      <c r="I796" s="27">
        <f>IF(A796="","",IF(H796=0,"",AVERAGE(D796:G796)))</f>
        <v>0</v>
      </c>
      <c r="J796" s="27">
        <f>IF(OR(I796="",C796=""),"",I796-C796)</f>
        <v>0</v>
      </c>
      <c r="K796" s="26">
        <f>IF(A796="","",IF(MES!E796&lt;&gt;4,"Horário do MES fora do padrão",IF(H796&lt;cfgMinCortes,"Cortes insuficientes","Válida")))</f>
        <v>0</v>
      </c>
      <c r="L796" s="27">
        <f>IF(K796="Válida",ABS(J796),"")</f>
        <v>0</v>
      </c>
      <c r="M796" s="26">
        <f>IF(K796="Válida",IF(L796&lt;=cfgTolerancia,"Sim","Não"),"")</f>
        <v>0</v>
      </c>
      <c r="N796" s="26">
        <f>IF(A796="","",MES!D796)</f>
        <v>0</v>
      </c>
      <c r="O796" s="25">
        <f>IF(K796="Válida",A796,NA())</f>
        <v>0</v>
      </c>
      <c r="P796" s="27">
        <f>IF(K796="Válida",C796,NA())</f>
        <v>0</v>
      </c>
      <c r="Q796" s="27">
        <f>IF(K796="Válida",I796,NA())</f>
        <v>0</v>
      </c>
      <c r="R796" s="27">
        <f>IF(K796="Válida",J796,NA())</f>
        <v>0</v>
      </c>
      <c r="S796" s="27">
        <f>IF(K796="Válida",C796,"")</f>
        <v>0</v>
      </c>
      <c r="T796" s="27">
        <f>IF(K796="Válida",I796,"")</f>
        <v>0</v>
      </c>
      <c r="U796" s="27">
        <f>IF(K796="Válida",J796,"")</f>
        <v>0</v>
      </c>
    </row>
    <row r="797" spans="1:21">
      <c r="A797" s="25">
        <f>IF(MES!A797="","",MES!C797/48)</f>
        <v>0</v>
      </c>
      <c r="B797" s="26">
        <f>IF(A797="","",TEXT((N797*4+cfgDeslocamento)/48,"hh:mm")&amp;" a "&amp;TEXT(A797,"hh:mm"))</f>
        <v>0</v>
      </c>
      <c r="C797" s="27">
        <f>IF(A797="","",MES!B797)</f>
        <v>0</v>
      </c>
      <c r="D797" s="27">
        <f>IF(A797="","",IFERROR(AVERAGEIFS(Prensa!$B$2:$B$5001,Prensa!$E$2:$E$5001,N797,Prensa!$F$2:$F$5001,1,Prensa!$G$2:$G$5001,1),""))</f>
        <v>0</v>
      </c>
      <c r="E797" s="27">
        <f>IF(A797="","",IFERROR(AVERAGEIFS(Prensa!$B$2:$B$5001,Prensa!$E$2:$E$5001,N797,Prensa!$F$2:$F$5001,2,Prensa!$G$2:$G$5001,1),""))</f>
        <v>0</v>
      </c>
      <c r="F797" s="27">
        <f>IF(A797="","",IFERROR(AVERAGEIFS(Prensa!$B$2:$B$5001,Prensa!$E$2:$E$5001,N797,Prensa!$F$2:$F$5001,3,Prensa!$G$2:$G$5001,1),""))</f>
        <v>0</v>
      </c>
      <c r="G797" s="27">
        <f>IF(A797="","",IFERROR(AVERAGEIFS(Prensa!$B$2:$B$5001,Prensa!$E$2:$E$5001,N797,Prensa!$F$2:$F$5001,4,Prensa!$G$2:$G$5001,1),""))</f>
        <v>0</v>
      </c>
      <c r="H797" s="26">
        <f>IF(A797="","",COUNT(D797:G797))</f>
        <v>0</v>
      </c>
      <c r="I797" s="27">
        <f>IF(A797="","",IF(H797=0,"",AVERAGE(D797:G797)))</f>
        <v>0</v>
      </c>
      <c r="J797" s="27">
        <f>IF(OR(I797="",C797=""),"",I797-C797)</f>
        <v>0</v>
      </c>
      <c r="K797" s="26">
        <f>IF(A797="","",IF(MES!E797&lt;&gt;4,"Horário do MES fora do padrão",IF(H797&lt;cfgMinCortes,"Cortes insuficientes","Válida")))</f>
        <v>0</v>
      </c>
      <c r="L797" s="27">
        <f>IF(K797="Válida",ABS(J797),"")</f>
        <v>0</v>
      </c>
      <c r="M797" s="26">
        <f>IF(K797="Válida",IF(L797&lt;=cfgTolerancia,"Sim","Não"),"")</f>
        <v>0</v>
      </c>
      <c r="N797" s="26">
        <f>IF(A797="","",MES!D797)</f>
        <v>0</v>
      </c>
      <c r="O797" s="25">
        <f>IF(K797="Válida",A797,NA())</f>
        <v>0</v>
      </c>
      <c r="P797" s="27">
        <f>IF(K797="Válida",C797,NA())</f>
        <v>0</v>
      </c>
      <c r="Q797" s="27">
        <f>IF(K797="Válida",I797,NA())</f>
        <v>0</v>
      </c>
      <c r="R797" s="27">
        <f>IF(K797="Válida",J797,NA())</f>
        <v>0</v>
      </c>
      <c r="S797" s="27">
        <f>IF(K797="Válida",C797,"")</f>
        <v>0</v>
      </c>
      <c r="T797" s="27">
        <f>IF(K797="Válida",I797,"")</f>
        <v>0</v>
      </c>
      <c r="U797" s="27">
        <f>IF(K797="Válida",J797,"")</f>
        <v>0</v>
      </c>
    </row>
    <row r="798" spans="1:21">
      <c r="A798" s="25">
        <f>IF(MES!A798="","",MES!C798/48)</f>
        <v>0</v>
      </c>
      <c r="B798" s="26">
        <f>IF(A798="","",TEXT((N798*4+cfgDeslocamento)/48,"hh:mm")&amp;" a "&amp;TEXT(A798,"hh:mm"))</f>
        <v>0</v>
      </c>
      <c r="C798" s="27">
        <f>IF(A798="","",MES!B798)</f>
        <v>0</v>
      </c>
      <c r="D798" s="27">
        <f>IF(A798="","",IFERROR(AVERAGEIFS(Prensa!$B$2:$B$5001,Prensa!$E$2:$E$5001,N798,Prensa!$F$2:$F$5001,1,Prensa!$G$2:$G$5001,1),""))</f>
        <v>0</v>
      </c>
      <c r="E798" s="27">
        <f>IF(A798="","",IFERROR(AVERAGEIFS(Prensa!$B$2:$B$5001,Prensa!$E$2:$E$5001,N798,Prensa!$F$2:$F$5001,2,Prensa!$G$2:$G$5001,1),""))</f>
        <v>0</v>
      </c>
      <c r="F798" s="27">
        <f>IF(A798="","",IFERROR(AVERAGEIFS(Prensa!$B$2:$B$5001,Prensa!$E$2:$E$5001,N798,Prensa!$F$2:$F$5001,3,Prensa!$G$2:$G$5001,1),""))</f>
        <v>0</v>
      </c>
      <c r="G798" s="27">
        <f>IF(A798="","",IFERROR(AVERAGEIFS(Prensa!$B$2:$B$5001,Prensa!$E$2:$E$5001,N798,Prensa!$F$2:$F$5001,4,Prensa!$G$2:$G$5001,1),""))</f>
        <v>0</v>
      </c>
      <c r="H798" s="26">
        <f>IF(A798="","",COUNT(D798:G798))</f>
        <v>0</v>
      </c>
      <c r="I798" s="27">
        <f>IF(A798="","",IF(H798=0,"",AVERAGE(D798:G798)))</f>
        <v>0</v>
      </c>
      <c r="J798" s="27">
        <f>IF(OR(I798="",C798=""),"",I798-C798)</f>
        <v>0</v>
      </c>
      <c r="K798" s="26">
        <f>IF(A798="","",IF(MES!E798&lt;&gt;4,"Horário do MES fora do padrão",IF(H798&lt;cfgMinCortes,"Cortes insuficientes","Válida")))</f>
        <v>0</v>
      </c>
      <c r="L798" s="27">
        <f>IF(K798="Válida",ABS(J798),"")</f>
        <v>0</v>
      </c>
      <c r="M798" s="26">
        <f>IF(K798="Válida",IF(L798&lt;=cfgTolerancia,"Sim","Não"),"")</f>
        <v>0</v>
      </c>
      <c r="N798" s="26">
        <f>IF(A798="","",MES!D798)</f>
        <v>0</v>
      </c>
      <c r="O798" s="25">
        <f>IF(K798="Válida",A798,NA())</f>
        <v>0</v>
      </c>
      <c r="P798" s="27">
        <f>IF(K798="Válida",C798,NA())</f>
        <v>0</v>
      </c>
      <c r="Q798" s="27">
        <f>IF(K798="Válida",I798,NA())</f>
        <v>0</v>
      </c>
      <c r="R798" s="27">
        <f>IF(K798="Válida",J798,NA())</f>
        <v>0</v>
      </c>
      <c r="S798" s="27">
        <f>IF(K798="Válida",C798,"")</f>
        <v>0</v>
      </c>
      <c r="T798" s="27">
        <f>IF(K798="Válida",I798,"")</f>
        <v>0</v>
      </c>
      <c r="U798" s="27">
        <f>IF(K798="Válida",J798,"")</f>
        <v>0</v>
      </c>
    </row>
    <row r="799" spans="1:21">
      <c r="A799" s="25">
        <f>IF(MES!A799="","",MES!C799/48)</f>
        <v>0</v>
      </c>
      <c r="B799" s="26">
        <f>IF(A799="","",TEXT((N799*4+cfgDeslocamento)/48,"hh:mm")&amp;" a "&amp;TEXT(A799,"hh:mm"))</f>
        <v>0</v>
      </c>
      <c r="C799" s="27">
        <f>IF(A799="","",MES!B799)</f>
        <v>0</v>
      </c>
      <c r="D799" s="27">
        <f>IF(A799="","",IFERROR(AVERAGEIFS(Prensa!$B$2:$B$5001,Prensa!$E$2:$E$5001,N799,Prensa!$F$2:$F$5001,1,Prensa!$G$2:$G$5001,1),""))</f>
        <v>0</v>
      </c>
      <c r="E799" s="27">
        <f>IF(A799="","",IFERROR(AVERAGEIFS(Prensa!$B$2:$B$5001,Prensa!$E$2:$E$5001,N799,Prensa!$F$2:$F$5001,2,Prensa!$G$2:$G$5001,1),""))</f>
        <v>0</v>
      </c>
      <c r="F799" s="27">
        <f>IF(A799="","",IFERROR(AVERAGEIFS(Prensa!$B$2:$B$5001,Prensa!$E$2:$E$5001,N799,Prensa!$F$2:$F$5001,3,Prensa!$G$2:$G$5001,1),""))</f>
        <v>0</v>
      </c>
      <c r="G799" s="27">
        <f>IF(A799="","",IFERROR(AVERAGEIFS(Prensa!$B$2:$B$5001,Prensa!$E$2:$E$5001,N799,Prensa!$F$2:$F$5001,4,Prensa!$G$2:$G$5001,1),""))</f>
        <v>0</v>
      </c>
      <c r="H799" s="26">
        <f>IF(A799="","",COUNT(D799:G799))</f>
        <v>0</v>
      </c>
      <c r="I799" s="27">
        <f>IF(A799="","",IF(H799=0,"",AVERAGE(D799:G799)))</f>
        <v>0</v>
      </c>
      <c r="J799" s="27">
        <f>IF(OR(I799="",C799=""),"",I799-C799)</f>
        <v>0</v>
      </c>
      <c r="K799" s="26">
        <f>IF(A799="","",IF(MES!E799&lt;&gt;4,"Horário do MES fora do padrão",IF(H799&lt;cfgMinCortes,"Cortes insuficientes","Válida")))</f>
        <v>0</v>
      </c>
      <c r="L799" s="27">
        <f>IF(K799="Válida",ABS(J799),"")</f>
        <v>0</v>
      </c>
      <c r="M799" s="26">
        <f>IF(K799="Válida",IF(L799&lt;=cfgTolerancia,"Sim","Não"),"")</f>
        <v>0</v>
      </c>
      <c r="N799" s="26">
        <f>IF(A799="","",MES!D799)</f>
        <v>0</v>
      </c>
      <c r="O799" s="25">
        <f>IF(K799="Válida",A799,NA())</f>
        <v>0</v>
      </c>
      <c r="P799" s="27">
        <f>IF(K799="Válida",C799,NA())</f>
        <v>0</v>
      </c>
      <c r="Q799" s="27">
        <f>IF(K799="Válida",I799,NA())</f>
        <v>0</v>
      </c>
      <c r="R799" s="27">
        <f>IF(K799="Válida",J799,NA())</f>
        <v>0</v>
      </c>
      <c r="S799" s="27">
        <f>IF(K799="Válida",C799,"")</f>
        <v>0</v>
      </c>
      <c r="T799" s="27">
        <f>IF(K799="Válida",I799,"")</f>
        <v>0</v>
      </c>
      <c r="U799" s="27">
        <f>IF(K799="Válida",J799,"")</f>
        <v>0</v>
      </c>
    </row>
    <row r="800" spans="1:21">
      <c r="A800" s="25">
        <f>IF(MES!A800="","",MES!C800/48)</f>
        <v>0</v>
      </c>
      <c r="B800" s="26">
        <f>IF(A800="","",TEXT((N800*4+cfgDeslocamento)/48,"hh:mm")&amp;" a "&amp;TEXT(A800,"hh:mm"))</f>
        <v>0</v>
      </c>
      <c r="C800" s="27">
        <f>IF(A800="","",MES!B800)</f>
        <v>0</v>
      </c>
      <c r="D800" s="27">
        <f>IF(A800="","",IFERROR(AVERAGEIFS(Prensa!$B$2:$B$5001,Prensa!$E$2:$E$5001,N800,Prensa!$F$2:$F$5001,1,Prensa!$G$2:$G$5001,1),""))</f>
        <v>0</v>
      </c>
      <c r="E800" s="27">
        <f>IF(A800="","",IFERROR(AVERAGEIFS(Prensa!$B$2:$B$5001,Prensa!$E$2:$E$5001,N800,Prensa!$F$2:$F$5001,2,Prensa!$G$2:$G$5001,1),""))</f>
        <v>0</v>
      </c>
      <c r="F800" s="27">
        <f>IF(A800="","",IFERROR(AVERAGEIFS(Prensa!$B$2:$B$5001,Prensa!$E$2:$E$5001,N800,Prensa!$F$2:$F$5001,3,Prensa!$G$2:$G$5001,1),""))</f>
        <v>0</v>
      </c>
      <c r="G800" s="27">
        <f>IF(A800="","",IFERROR(AVERAGEIFS(Prensa!$B$2:$B$5001,Prensa!$E$2:$E$5001,N800,Prensa!$F$2:$F$5001,4,Prensa!$G$2:$G$5001,1),""))</f>
        <v>0</v>
      </c>
      <c r="H800" s="26">
        <f>IF(A800="","",COUNT(D800:G800))</f>
        <v>0</v>
      </c>
      <c r="I800" s="27">
        <f>IF(A800="","",IF(H800=0,"",AVERAGE(D800:G800)))</f>
        <v>0</v>
      </c>
      <c r="J800" s="27">
        <f>IF(OR(I800="",C800=""),"",I800-C800)</f>
        <v>0</v>
      </c>
      <c r="K800" s="26">
        <f>IF(A800="","",IF(MES!E800&lt;&gt;4,"Horário do MES fora do padrão",IF(H800&lt;cfgMinCortes,"Cortes insuficientes","Válida")))</f>
        <v>0</v>
      </c>
      <c r="L800" s="27">
        <f>IF(K800="Válida",ABS(J800),"")</f>
        <v>0</v>
      </c>
      <c r="M800" s="26">
        <f>IF(K800="Válida",IF(L800&lt;=cfgTolerancia,"Sim","Não"),"")</f>
        <v>0</v>
      </c>
      <c r="N800" s="26">
        <f>IF(A800="","",MES!D800)</f>
        <v>0</v>
      </c>
      <c r="O800" s="25">
        <f>IF(K800="Válida",A800,NA())</f>
        <v>0</v>
      </c>
      <c r="P800" s="27">
        <f>IF(K800="Válida",C800,NA())</f>
        <v>0</v>
      </c>
      <c r="Q800" s="27">
        <f>IF(K800="Válida",I800,NA())</f>
        <v>0</v>
      </c>
      <c r="R800" s="27">
        <f>IF(K800="Válida",J800,NA())</f>
        <v>0</v>
      </c>
      <c r="S800" s="27">
        <f>IF(K800="Válida",C800,"")</f>
        <v>0</v>
      </c>
      <c r="T800" s="27">
        <f>IF(K800="Válida",I800,"")</f>
        <v>0</v>
      </c>
      <c r="U800" s="27">
        <f>IF(K800="Válida",J800,"")</f>
        <v>0</v>
      </c>
    </row>
    <row r="801" spans="1:21">
      <c r="A801" s="25">
        <f>IF(MES!A801="","",MES!C801/48)</f>
        <v>0</v>
      </c>
      <c r="B801" s="26">
        <f>IF(A801="","",TEXT((N801*4+cfgDeslocamento)/48,"hh:mm")&amp;" a "&amp;TEXT(A801,"hh:mm"))</f>
        <v>0</v>
      </c>
      <c r="C801" s="27">
        <f>IF(A801="","",MES!B801)</f>
        <v>0</v>
      </c>
      <c r="D801" s="27">
        <f>IF(A801="","",IFERROR(AVERAGEIFS(Prensa!$B$2:$B$5001,Prensa!$E$2:$E$5001,N801,Prensa!$F$2:$F$5001,1,Prensa!$G$2:$G$5001,1),""))</f>
        <v>0</v>
      </c>
      <c r="E801" s="27">
        <f>IF(A801="","",IFERROR(AVERAGEIFS(Prensa!$B$2:$B$5001,Prensa!$E$2:$E$5001,N801,Prensa!$F$2:$F$5001,2,Prensa!$G$2:$G$5001,1),""))</f>
        <v>0</v>
      </c>
      <c r="F801" s="27">
        <f>IF(A801="","",IFERROR(AVERAGEIFS(Prensa!$B$2:$B$5001,Prensa!$E$2:$E$5001,N801,Prensa!$F$2:$F$5001,3,Prensa!$G$2:$G$5001,1),""))</f>
        <v>0</v>
      </c>
      <c r="G801" s="27">
        <f>IF(A801="","",IFERROR(AVERAGEIFS(Prensa!$B$2:$B$5001,Prensa!$E$2:$E$5001,N801,Prensa!$F$2:$F$5001,4,Prensa!$G$2:$G$5001,1),""))</f>
        <v>0</v>
      </c>
      <c r="H801" s="26">
        <f>IF(A801="","",COUNT(D801:G801))</f>
        <v>0</v>
      </c>
      <c r="I801" s="27">
        <f>IF(A801="","",IF(H801=0,"",AVERAGE(D801:G801)))</f>
        <v>0</v>
      </c>
      <c r="J801" s="27">
        <f>IF(OR(I801="",C801=""),"",I801-C801)</f>
        <v>0</v>
      </c>
      <c r="K801" s="26">
        <f>IF(A801="","",IF(MES!E801&lt;&gt;4,"Horário do MES fora do padrão",IF(H801&lt;cfgMinCortes,"Cortes insuficientes","Válida")))</f>
        <v>0</v>
      </c>
      <c r="L801" s="27">
        <f>IF(K801="Válida",ABS(J801),"")</f>
        <v>0</v>
      </c>
      <c r="M801" s="26">
        <f>IF(K801="Válida",IF(L801&lt;=cfgTolerancia,"Sim","Não"),"")</f>
        <v>0</v>
      </c>
      <c r="N801" s="26">
        <f>IF(A801="","",MES!D801)</f>
        <v>0</v>
      </c>
      <c r="O801" s="25">
        <f>IF(K801="Válida",A801,NA())</f>
        <v>0</v>
      </c>
      <c r="P801" s="27">
        <f>IF(K801="Válida",C801,NA())</f>
        <v>0</v>
      </c>
      <c r="Q801" s="27">
        <f>IF(K801="Válida",I801,NA())</f>
        <v>0</v>
      </c>
      <c r="R801" s="27">
        <f>IF(K801="Válida",J801,NA())</f>
        <v>0</v>
      </c>
      <c r="S801" s="27">
        <f>IF(K801="Válida",C801,"")</f>
        <v>0</v>
      </c>
      <c r="T801" s="27">
        <f>IF(K801="Válida",I801,"")</f>
        <v>0</v>
      </c>
      <c r="U801" s="27">
        <f>IF(K801="Válida",J801,"")</f>
        <v>0</v>
      </c>
    </row>
    <row r="802" spans="1:21">
      <c r="A802" s="25">
        <f>IF(MES!A802="","",MES!C802/48)</f>
        <v>0</v>
      </c>
      <c r="B802" s="26">
        <f>IF(A802="","",TEXT((N802*4+cfgDeslocamento)/48,"hh:mm")&amp;" a "&amp;TEXT(A802,"hh:mm"))</f>
        <v>0</v>
      </c>
      <c r="C802" s="27">
        <f>IF(A802="","",MES!B802)</f>
        <v>0</v>
      </c>
      <c r="D802" s="27">
        <f>IF(A802="","",IFERROR(AVERAGEIFS(Prensa!$B$2:$B$5001,Prensa!$E$2:$E$5001,N802,Prensa!$F$2:$F$5001,1,Prensa!$G$2:$G$5001,1),""))</f>
        <v>0</v>
      </c>
      <c r="E802" s="27">
        <f>IF(A802="","",IFERROR(AVERAGEIFS(Prensa!$B$2:$B$5001,Prensa!$E$2:$E$5001,N802,Prensa!$F$2:$F$5001,2,Prensa!$G$2:$G$5001,1),""))</f>
        <v>0</v>
      </c>
      <c r="F802" s="27">
        <f>IF(A802="","",IFERROR(AVERAGEIFS(Prensa!$B$2:$B$5001,Prensa!$E$2:$E$5001,N802,Prensa!$F$2:$F$5001,3,Prensa!$G$2:$G$5001,1),""))</f>
        <v>0</v>
      </c>
      <c r="G802" s="27">
        <f>IF(A802="","",IFERROR(AVERAGEIFS(Prensa!$B$2:$B$5001,Prensa!$E$2:$E$5001,N802,Prensa!$F$2:$F$5001,4,Prensa!$G$2:$G$5001,1),""))</f>
        <v>0</v>
      </c>
      <c r="H802" s="26">
        <f>IF(A802="","",COUNT(D802:G802))</f>
        <v>0</v>
      </c>
      <c r="I802" s="27">
        <f>IF(A802="","",IF(H802=0,"",AVERAGE(D802:G802)))</f>
        <v>0</v>
      </c>
      <c r="J802" s="27">
        <f>IF(OR(I802="",C802=""),"",I802-C802)</f>
        <v>0</v>
      </c>
      <c r="K802" s="26">
        <f>IF(A802="","",IF(MES!E802&lt;&gt;4,"Horário do MES fora do padrão",IF(H802&lt;cfgMinCortes,"Cortes insuficientes","Válida")))</f>
        <v>0</v>
      </c>
      <c r="L802" s="27">
        <f>IF(K802="Válida",ABS(J802),"")</f>
        <v>0</v>
      </c>
      <c r="M802" s="26">
        <f>IF(K802="Válida",IF(L802&lt;=cfgTolerancia,"Sim","Não"),"")</f>
        <v>0</v>
      </c>
      <c r="N802" s="26">
        <f>IF(A802="","",MES!D802)</f>
        <v>0</v>
      </c>
      <c r="O802" s="25">
        <f>IF(K802="Válida",A802,NA())</f>
        <v>0</v>
      </c>
      <c r="P802" s="27">
        <f>IF(K802="Válida",C802,NA())</f>
        <v>0</v>
      </c>
      <c r="Q802" s="27">
        <f>IF(K802="Válida",I802,NA())</f>
        <v>0</v>
      </c>
      <c r="R802" s="27">
        <f>IF(K802="Válida",J802,NA())</f>
        <v>0</v>
      </c>
      <c r="S802" s="27">
        <f>IF(K802="Válida",C802,"")</f>
        <v>0</v>
      </c>
      <c r="T802" s="27">
        <f>IF(K802="Válida",I802,"")</f>
        <v>0</v>
      </c>
      <c r="U802" s="27">
        <f>IF(K802="Válida",J802,"")</f>
        <v>0</v>
      </c>
    </row>
    <row r="803" spans="1:21">
      <c r="A803" s="25">
        <f>IF(MES!A803="","",MES!C803/48)</f>
        <v>0</v>
      </c>
      <c r="B803" s="26">
        <f>IF(A803="","",TEXT((N803*4+cfgDeslocamento)/48,"hh:mm")&amp;" a "&amp;TEXT(A803,"hh:mm"))</f>
        <v>0</v>
      </c>
      <c r="C803" s="27">
        <f>IF(A803="","",MES!B803)</f>
        <v>0</v>
      </c>
      <c r="D803" s="27">
        <f>IF(A803="","",IFERROR(AVERAGEIFS(Prensa!$B$2:$B$5001,Prensa!$E$2:$E$5001,N803,Prensa!$F$2:$F$5001,1,Prensa!$G$2:$G$5001,1),""))</f>
        <v>0</v>
      </c>
      <c r="E803" s="27">
        <f>IF(A803="","",IFERROR(AVERAGEIFS(Prensa!$B$2:$B$5001,Prensa!$E$2:$E$5001,N803,Prensa!$F$2:$F$5001,2,Prensa!$G$2:$G$5001,1),""))</f>
        <v>0</v>
      </c>
      <c r="F803" s="27">
        <f>IF(A803="","",IFERROR(AVERAGEIFS(Prensa!$B$2:$B$5001,Prensa!$E$2:$E$5001,N803,Prensa!$F$2:$F$5001,3,Prensa!$G$2:$G$5001,1),""))</f>
        <v>0</v>
      </c>
      <c r="G803" s="27">
        <f>IF(A803="","",IFERROR(AVERAGEIFS(Prensa!$B$2:$B$5001,Prensa!$E$2:$E$5001,N803,Prensa!$F$2:$F$5001,4,Prensa!$G$2:$G$5001,1),""))</f>
        <v>0</v>
      </c>
      <c r="H803" s="26">
        <f>IF(A803="","",COUNT(D803:G803))</f>
        <v>0</v>
      </c>
      <c r="I803" s="27">
        <f>IF(A803="","",IF(H803=0,"",AVERAGE(D803:G803)))</f>
        <v>0</v>
      </c>
      <c r="J803" s="27">
        <f>IF(OR(I803="",C803=""),"",I803-C803)</f>
        <v>0</v>
      </c>
      <c r="K803" s="26">
        <f>IF(A803="","",IF(MES!E803&lt;&gt;4,"Horário do MES fora do padrão",IF(H803&lt;cfgMinCortes,"Cortes insuficientes","Válida")))</f>
        <v>0</v>
      </c>
      <c r="L803" s="27">
        <f>IF(K803="Válida",ABS(J803),"")</f>
        <v>0</v>
      </c>
      <c r="M803" s="26">
        <f>IF(K803="Válida",IF(L803&lt;=cfgTolerancia,"Sim","Não"),"")</f>
        <v>0</v>
      </c>
      <c r="N803" s="26">
        <f>IF(A803="","",MES!D803)</f>
        <v>0</v>
      </c>
      <c r="O803" s="25">
        <f>IF(K803="Válida",A803,NA())</f>
        <v>0</v>
      </c>
      <c r="P803" s="27">
        <f>IF(K803="Válida",C803,NA())</f>
        <v>0</v>
      </c>
      <c r="Q803" s="27">
        <f>IF(K803="Válida",I803,NA())</f>
        <v>0</v>
      </c>
      <c r="R803" s="27">
        <f>IF(K803="Válida",J803,NA())</f>
        <v>0</v>
      </c>
      <c r="S803" s="27">
        <f>IF(K803="Válida",C803,"")</f>
        <v>0</v>
      </c>
      <c r="T803" s="27">
        <f>IF(K803="Válida",I803,"")</f>
        <v>0</v>
      </c>
      <c r="U803" s="27">
        <f>IF(K803="Válida",J803,"")</f>
        <v>0</v>
      </c>
    </row>
    <row r="804" spans="1:21">
      <c r="A804" s="25">
        <f>IF(MES!A804="","",MES!C804/48)</f>
        <v>0</v>
      </c>
      <c r="B804" s="26">
        <f>IF(A804="","",TEXT((N804*4+cfgDeslocamento)/48,"hh:mm")&amp;" a "&amp;TEXT(A804,"hh:mm"))</f>
        <v>0</v>
      </c>
      <c r="C804" s="27">
        <f>IF(A804="","",MES!B804)</f>
        <v>0</v>
      </c>
      <c r="D804" s="27">
        <f>IF(A804="","",IFERROR(AVERAGEIFS(Prensa!$B$2:$B$5001,Prensa!$E$2:$E$5001,N804,Prensa!$F$2:$F$5001,1,Prensa!$G$2:$G$5001,1),""))</f>
        <v>0</v>
      </c>
      <c r="E804" s="27">
        <f>IF(A804="","",IFERROR(AVERAGEIFS(Prensa!$B$2:$B$5001,Prensa!$E$2:$E$5001,N804,Prensa!$F$2:$F$5001,2,Prensa!$G$2:$G$5001,1),""))</f>
        <v>0</v>
      </c>
      <c r="F804" s="27">
        <f>IF(A804="","",IFERROR(AVERAGEIFS(Prensa!$B$2:$B$5001,Prensa!$E$2:$E$5001,N804,Prensa!$F$2:$F$5001,3,Prensa!$G$2:$G$5001,1),""))</f>
        <v>0</v>
      </c>
      <c r="G804" s="27">
        <f>IF(A804="","",IFERROR(AVERAGEIFS(Prensa!$B$2:$B$5001,Prensa!$E$2:$E$5001,N804,Prensa!$F$2:$F$5001,4,Prensa!$G$2:$G$5001,1),""))</f>
        <v>0</v>
      </c>
      <c r="H804" s="26">
        <f>IF(A804="","",COUNT(D804:G804))</f>
        <v>0</v>
      </c>
      <c r="I804" s="27">
        <f>IF(A804="","",IF(H804=0,"",AVERAGE(D804:G804)))</f>
        <v>0</v>
      </c>
      <c r="J804" s="27">
        <f>IF(OR(I804="",C804=""),"",I804-C804)</f>
        <v>0</v>
      </c>
      <c r="K804" s="26">
        <f>IF(A804="","",IF(MES!E804&lt;&gt;4,"Horário do MES fora do padrão",IF(H804&lt;cfgMinCortes,"Cortes insuficientes","Válida")))</f>
        <v>0</v>
      </c>
      <c r="L804" s="27">
        <f>IF(K804="Válida",ABS(J804),"")</f>
        <v>0</v>
      </c>
      <c r="M804" s="26">
        <f>IF(K804="Válida",IF(L804&lt;=cfgTolerancia,"Sim","Não"),"")</f>
        <v>0</v>
      </c>
      <c r="N804" s="26">
        <f>IF(A804="","",MES!D804)</f>
        <v>0</v>
      </c>
      <c r="O804" s="25">
        <f>IF(K804="Válida",A804,NA())</f>
        <v>0</v>
      </c>
      <c r="P804" s="27">
        <f>IF(K804="Válida",C804,NA())</f>
        <v>0</v>
      </c>
      <c r="Q804" s="27">
        <f>IF(K804="Válida",I804,NA())</f>
        <v>0</v>
      </c>
      <c r="R804" s="27">
        <f>IF(K804="Válida",J804,NA())</f>
        <v>0</v>
      </c>
      <c r="S804" s="27">
        <f>IF(K804="Válida",C804,"")</f>
        <v>0</v>
      </c>
      <c r="T804" s="27">
        <f>IF(K804="Válida",I804,"")</f>
        <v>0</v>
      </c>
      <c r="U804" s="27">
        <f>IF(K804="Válida",J804,"")</f>
        <v>0</v>
      </c>
    </row>
    <row r="805" spans="1:21">
      <c r="A805" s="25">
        <f>IF(MES!A805="","",MES!C805/48)</f>
        <v>0</v>
      </c>
      <c r="B805" s="26">
        <f>IF(A805="","",TEXT((N805*4+cfgDeslocamento)/48,"hh:mm")&amp;" a "&amp;TEXT(A805,"hh:mm"))</f>
        <v>0</v>
      </c>
      <c r="C805" s="27">
        <f>IF(A805="","",MES!B805)</f>
        <v>0</v>
      </c>
      <c r="D805" s="27">
        <f>IF(A805="","",IFERROR(AVERAGEIFS(Prensa!$B$2:$B$5001,Prensa!$E$2:$E$5001,N805,Prensa!$F$2:$F$5001,1,Prensa!$G$2:$G$5001,1),""))</f>
        <v>0</v>
      </c>
      <c r="E805" s="27">
        <f>IF(A805="","",IFERROR(AVERAGEIFS(Prensa!$B$2:$B$5001,Prensa!$E$2:$E$5001,N805,Prensa!$F$2:$F$5001,2,Prensa!$G$2:$G$5001,1),""))</f>
        <v>0</v>
      </c>
      <c r="F805" s="27">
        <f>IF(A805="","",IFERROR(AVERAGEIFS(Prensa!$B$2:$B$5001,Prensa!$E$2:$E$5001,N805,Prensa!$F$2:$F$5001,3,Prensa!$G$2:$G$5001,1),""))</f>
        <v>0</v>
      </c>
      <c r="G805" s="27">
        <f>IF(A805="","",IFERROR(AVERAGEIFS(Prensa!$B$2:$B$5001,Prensa!$E$2:$E$5001,N805,Prensa!$F$2:$F$5001,4,Prensa!$G$2:$G$5001,1),""))</f>
        <v>0</v>
      </c>
      <c r="H805" s="26">
        <f>IF(A805="","",COUNT(D805:G805))</f>
        <v>0</v>
      </c>
      <c r="I805" s="27">
        <f>IF(A805="","",IF(H805=0,"",AVERAGE(D805:G805)))</f>
        <v>0</v>
      </c>
      <c r="J805" s="27">
        <f>IF(OR(I805="",C805=""),"",I805-C805)</f>
        <v>0</v>
      </c>
      <c r="K805" s="26">
        <f>IF(A805="","",IF(MES!E805&lt;&gt;4,"Horário do MES fora do padrão",IF(H805&lt;cfgMinCortes,"Cortes insuficientes","Válida")))</f>
        <v>0</v>
      </c>
      <c r="L805" s="27">
        <f>IF(K805="Válida",ABS(J805),"")</f>
        <v>0</v>
      </c>
      <c r="M805" s="26">
        <f>IF(K805="Válida",IF(L805&lt;=cfgTolerancia,"Sim","Não"),"")</f>
        <v>0</v>
      </c>
      <c r="N805" s="26">
        <f>IF(A805="","",MES!D805)</f>
        <v>0</v>
      </c>
      <c r="O805" s="25">
        <f>IF(K805="Válida",A805,NA())</f>
        <v>0</v>
      </c>
      <c r="P805" s="27">
        <f>IF(K805="Válida",C805,NA())</f>
        <v>0</v>
      </c>
      <c r="Q805" s="27">
        <f>IF(K805="Válida",I805,NA())</f>
        <v>0</v>
      </c>
      <c r="R805" s="27">
        <f>IF(K805="Válida",J805,NA())</f>
        <v>0</v>
      </c>
      <c r="S805" s="27">
        <f>IF(K805="Válida",C805,"")</f>
        <v>0</v>
      </c>
      <c r="T805" s="27">
        <f>IF(K805="Válida",I805,"")</f>
        <v>0</v>
      </c>
      <c r="U805" s="27">
        <f>IF(K805="Válida",J805,"")</f>
        <v>0</v>
      </c>
    </row>
    <row r="806" spans="1:21">
      <c r="A806" s="25">
        <f>IF(MES!A806="","",MES!C806/48)</f>
        <v>0</v>
      </c>
      <c r="B806" s="26">
        <f>IF(A806="","",TEXT((N806*4+cfgDeslocamento)/48,"hh:mm")&amp;" a "&amp;TEXT(A806,"hh:mm"))</f>
        <v>0</v>
      </c>
      <c r="C806" s="27">
        <f>IF(A806="","",MES!B806)</f>
        <v>0</v>
      </c>
      <c r="D806" s="27">
        <f>IF(A806="","",IFERROR(AVERAGEIFS(Prensa!$B$2:$B$5001,Prensa!$E$2:$E$5001,N806,Prensa!$F$2:$F$5001,1,Prensa!$G$2:$G$5001,1),""))</f>
        <v>0</v>
      </c>
      <c r="E806" s="27">
        <f>IF(A806="","",IFERROR(AVERAGEIFS(Prensa!$B$2:$B$5001,Prensa!$E$2:$E$5001,N806,Prensa!$F$2:$F$5001,2,Prensa!$G$2:$G$5001,1),""))</f>
        <v>0</v>
      </c>
      <c r="F806" s="27">
        <f>IF(A806="","",IFERROR(AVERAGEIFS(Prensa!$B$2:$B$5001,Prensa!$E$2:$E$5001,N806,Prensa!$F$2:$F$5001,3,Prensa!$G$2:$G$5001,1),""))</f>
        <v>0</v>
      </c>
      <c r="G806" s="27">
        <f>IF(A806="","",IFERROR(AVERAGEIFS(Prensa!$B$2:$B$5001,Prensa!$E$2:$E$5001,N806,Prensa!$F$2:$F$5001,4,Prensa!$G$2:$G$5001,1),""))</f>
        <v>0</v>
      </c>
      <c r="H806" s="26">
        <f>IF(A806="","",COUNT(D806:G806))</f>
        <v>0</v>
      </c>
      <c r="I806" s="27">
        <f>IF(A806="","",IF(H806=0,"",AVERAGE(D806:G806)))</f>
        <v>0</v>
      </c>
      <c r="J806" s="27">
        <f>IF(OR(I806="",C806=""),"",I806-C806)</f>
        <v>0</v>
      </c>
      <c r="K806" s="26">
        <f>IF(A806="","",IF(MES!E806&lt;&gt;4,"Horário do MES fora do padrão",IF(H806&lt;cfgMinCortes,"Cortes insuficientes","Válida")))</f>
        <v>0</v>
      </c>
      <c r="L806" s="27">
        <f>IF(K806="Válida",ABS(J806),"")</f>
        <v>0</v>
      </c>
      <c r="M806" s="26">
        <f>IF(K806="Válida",IF(L806&lt;=cfgTolerancia,"Sim","Não"),"")</f>
        <v>0</v>
      </c>
      <c r="N806" s="26">
        <f>IF(A806="","",MES!D806)</f>
        <v>0</v>
      </c>
      <c r="O806" s="25">
        <f>IF(K806="Válida",A806,NA())</f>
        <v>0</v>
      </c>
      <c r="P806" s="27">
        <f>IF(K806="Válida",C806,NA())</f>
        <v>0</v>
      </c>
      <c r="Q806" s="27">
        <f>IF(K806="Válida",I806,NA())</f>
        <v>0</v>
      </c>
      <c r="R806" s="27">
        <f>IF(K806="Válida",J806,NA())</f>
        <v>0</v>
      </c>
      <c r="S806" s="27">
        <f>IF(K806="Válida",C806,"")</f>
        <v>0</v>
      </c>
      <c r="T806" s="27">
        <f>IF(K806="Válida",I806,"")</f>
        <v>0</v>
      </c>
      <c r="U806" s="27">
        <f>IF(K806="Válida",J806,"")</f>
        <v>0</v>
      </c>
    </row>
    <row r="807" spans="1:21">
      <c r="A807" s="25">
        <f>IF(MES!A807="","",MES!C807/48)</f>
        <v>0</v>
      </c>
      <c r="B807" s="26">
        <f>IF(A807="","",TEXT((N807*4+cfgDeslocamento)/48,"hh:mm")&amp;" a "&amp;TEXT(A807,"hh:mm"))</f>
        <v>0</v>
      </c>
      <c r="C807" s="27">
        <f>IF(A807="","",MES!B807)</f>
        <v>0</v>
      </c>
      <c r="D807" s="27">
        <f>IF(A807="","",IFERROR(AVERAGEIFS(Prensa!$B$2:$B$5001,Prensa!$E$2:$E$5001,N807,Prensa!$F$2:$F$5001,1,Prensa!$G$2:$G$5001,1),""))</f>
        <v>0</v>
      </c>
      <c r="E807" s="27">
        <f>IF(A807="","",IFERROR(AVERAGEIFS(Prensa!$B$2:$B$5001,Prensa!$E$2:$E$5001,N807,Prensa!$F$2:$F$5001,2,Prensa!$G$2:$G$5001,1),""))</f>
        <v>0</v>
      </c>
      <c r="F807" s="27">
        <f>IF(A807="","",IFERROR(AVERAGEIFS(Prensa!$B$2:$B$5001,Prensa!$E$2:$E$5001,N807,Prensa!$F$2:$F$5001,3,Prensa!$G$2:$G$5001,1),""))</f>
        <v>0</v>
      </c>
      <c r="G807" s="27">
        <f>IF(A807="","",IFERROR(AVERAGEIFS(Prensa!$B$2:$B$5001,Prensa!$E$2:$E$5001,N807,Prensa!$F$2:$F$5001,4,Prensa!$G$2:$G$5001,1),""))</f>
        <v>0</v>
      </c>
      <c r="H807" s="26">
        <f>IF(A807="","",COUNT(D807:G807))</f>
        <v>0</v>
      </c>
      <c r="I807" s="27">
        <f>IF(A807="","",IF(H807=0,"",AVERAGE(D807:G807)))</f>
        <v>0</v>
      </c>
      <c r="J807" s="27">
        <f>IF(OR(I807="",C807=""),"",I807-C807)</f>
        <v>0</v>
      </c>
      <c r="K807" s="26">
        <f>IF(A807="","",IF(MES!E807&lt;&gt;4,"Horário do MES fora do padrão",IF(H807&lt;cfgMinCortes,"Cortes insuficientes","Válida")))</f>
        <v>0</v>
      </c>
      <c r="L807" s="27">
        <f>IF(K807="Válida",ABS(J807),"")</f>
        <v>0</v>
      </c>
      <c r="M807" s="26">
        <f>IF(K807="Válida",IF(L807&lt;=cfgTolerancia,"Sim","Não"),"")</f>
        <v>0</v>
      </c>
      <c r="N807" s="26">
        <f>IF(A807="","",MES!D807)</f>
        <v>0</v>
      </c>
      <c r="O807" s="25">
        <f>IF(K807="Válida",A807,NA())</f>
        <v>0</v>
      </c>
      <c r="P807" s="27">
        <f>IF(K807="Válida",C807,NA())</f>
        <v>0</v>
      </c>
      <c r="Q807" s="27">
        <f>IF(K807="Válida",I807,NA())</f>
        <v>0</v>
      </c>
      <c r="R807" s="27">
        <f>IF(K807="Válida",J807,NA())</f>
        <v>0</v>
      </c>
      <c r="S807" s="27">
        <f>IF(K807="Válida",C807,"")</f>
        <v>0</v>
      </c>
      <c r="T807" s="27">
        <f>IF(K807="Válida",I807,"")</f>
        <v>0</v>
      </c>
      <c r="U807" s="27">
        <f>IF(K807="Válida",J807,"")</f>
        <v>0</v>
      </c>
    </row>
    <row r="808" spans="1:21">
      <c r="A808" s="25">
        <f>IF(MES!A808="","",MES!C808/48)</f>
        <v>0</v>
      </c>
      <c r="B808" s="26">
        <f>IF(A808="","",TEXT((N808*4+cfgDeslocamento)/48,"hh:mm")&amp;" a "&amp;TEXT(A808,"hh:mm"))</f>
        <v>0</v>
      </c>
      <c r="C808" s="27">
        <f>IF(A808="","",MES!B808)</f>
        <v>0</v>
      </c>
      <c r="D808" s="27">
        <f>IF(A808="","",IFERROR(AVERAGEIFS(Prensa!$B$2:$B$5001,Prensa!$E$2:$E$5001,N808,Prensa!$F$2:$F$5001,1,Prensa!$G$2:$G$5001,1),""))</f>
        <v>0</v>
      </c>
      <c r="E808" s="27">
        <f>IF(A808="","",IFERROR(AVERAGEIFS(Prensa!$B$2:$B$5001,Prensa!$E$2:$E$5001,N808,Prensa!$F$2:$F$5001,2,Prensa!$G$2:$G$5001,1),""))</f>
        <v>0</v>
      </c>
      <c r="F808" s="27">
        <f>IF(A808="","",IFERROR(AVERAGEIFS(Prensa!$B$2:$B$5001,Prensa!$E$2:$E$5001,N808,Prensa!$F$2:$F$5001,3,Prensa!$G$2:$G$5001,1),""))</f>
        <v>0</v>
      </c>
      <c r="G808" s="27">
        <f>IF(A808="","",IFERROR(AVERAGEIFS(Prensa!$B$2:$B$5001,Prensa!$E$2:$E$5001,N808,Prensa!$F$2:$F$5001,4,Prensa!$G$2:$G$5001,1),""))</f>
        <v>0</v>
      </c>
      <c r="H808" s="26">
        <f>IF(A808="","",COUNT(D808:G808))</f>
        <v>0</v>
      </c>
      <c r="I808" s="27">
        <f>IF(A808="","",IF(H808=0,"",AVERAGE(D808:G808)))</f>
        <v>0</v>
      </c>
      <c r="J808" s="27">
        <f>IF(OR(I808="",C808=""),"",I808-C808)</f>
        <v>0</v>
      </c>
      <c r="K808" s="26">
        <f>IF(A808="","",IF(MES!E808&lt;&gt;4,"Horário do MES fora do padrão",IF(H808&lt;cfgMinCortes,"Cortes insuficientes","Válida")))</f>
        <v>0</v>
      </c>
      <c r="L808" s="27">
        <f>IF(K808="Válida",ABS(J808),"")</f>
        <v>0</v>
      </c>
      <c r="M808" s="26">
        <f>IF(K808="Válida",IF(L808&lt;=cfgTolerancia,"Sim","Não"),"")</f>
        <v>0</v>
      </c>
      <c r="N808" s="26">
        <f>IF(A808="","",MES!D808)</f>
        <v>0</v>
      </c>
      <c r="O808" s="25">
        <f>IF(K808="Válida",A808,NA())</f>
        <v>0</v>
      </c>
      <c r="P808" s="27">
        <f>IF(K808="Válida",C808,NA())</f>
        <v>0</v>
      </c>
      <c r="Q808" s="27">
        <f>IF(K808="Válida",I808,NA())</f>
        <v>0</v>
      </c>
      <c r="R808" s="27">
        <f>IF(K808="Válida",J808,NA())</f>
        <v>0</v>
      </c>
      <c r="S808" s="27">
        <f>IF(K808="Válida",C808,"")</f>
        <v>0</v>
      </c>
      <c r="T808" s="27">
        <f>IF(K808="Válida",I808,"")</f>
        <v>0</v>
      </c>
      <c r="U808" s="27">
        <f>IF(K808="Válida",J808,"")</f>
        <v>0</v>
      </c>
    </row>
    <row r="809" spans="1:21">
      <c r="A809" s="25">
        <f>IF(MES!A809="","",MES!C809/48)</f>
        <v>0</v>
      </c>
      <c r="B809" s="26">
        <f>IF(A809="","",TEXT((N809*4+cfgDeslocamento)/48,"hh:mm")&amp;" a "&amp;TEXT(A809,"hh:mm"))</f>
        <v>0</v>
      </c>
      <c r="C809" s="27">
        <f>IF(A809="","",MES!B809)</f>
        <v>0</v>
      </c>
      <c r="D809" s="27">
        <f>IF(A809="","",IFERROR(AVERAGEIFS(Prensa!$B$2:$B$5001,Prensa!$E$2:$E$5001,N809,Prensa!$F$2:$F$5001,1,Prensa!$G$2:$G$5001,1),""))</f>
        <v>0</v>
      </c>
      <c r="E809" s="27">
        <f>IF(A809="","",IFERROR(AVERAGEIFS(Prensa!$B$2:$B$5001,Prensa!$E$2:$E$5001,N809,Prensa!$F$2:$F$5001,2,Prensa!$G$2:$G$5001,1),""))</f>
        <v>0</v>
      </c>
      <c r="F809" s="27">
        <f>IF(A809="","",IFERROR(AVERAGEIFS(Prensa!$B$2:$B$5001,Prensa!$E$2:$E$5001,N809,Prensa!$F$2:$F$5001,3,Prensa!$G$2:$G$5001,1),""))</f>
        <v>0</v>
      </c>
      <c r="G809" s="27">
        <f>IF(A809="","",IFERROR(AVERAGEIFS(Prensa!$B$2:$B$5001,Prensa!$E$2:$E$5001,N809,Prensa!$F$2:$F$5001,4,Prensa!$G$2:$G$5001,1),""))</f>
        <v>0</v>
      </c>
      <c r="H809" s="26">
        <f>IF(A809="","",COUNT(D809:G809))</f>
        <v>0</v>
      </c>
      <c r="I809" s="27">
        <f>IF(A809="","",IF(H809=0,"",AVERAGE(D809:G809)))</f>
        <v>0</v>
      </c>
      <c r="J809" s="27">
        <f>IF(OR(I809="",C809=""),"",I809-C809)</f>
        <v>0</v>
      </c>
      <c r="K809" s="26">
        <f>IF(A809="","",IF(MES!E809&lt;&gt;4,"Horário do MES fora do padrão",IF(H809&lt;cfgMinCortes,"Cortes insuficientes","Válida")))</f>
        <v>0</v>
      </c>
      <c r="L809" s="27">
        <f>IF(K809="Válida",ABS(J809),"")</f>
        <v>0</v>
      </c>
      <c r="M809" s="26">
        <f>IF(K809="Válida",IF(L809&lt;=cfgTolerancia,"Sim","Não"),"")</f>
        <v>0</v>
      </c>
      <c r="N809" s="26">
        <f>IF(A809="","",MES!D809)</f>
        <v>0</v>
      </c>
      <c r="O809" s="25">
        <f>IF(K809="Válida",A809,NA())</f>
        <v>0</v>
      </c>
      <c r="P809" s="27">
        <f>IF(K809="Válida",C809,NA())</f>
        <v>0</v>
      </c>
      <c r="Q809" s="27">
        <f>IF(K809="Válida",I809,NA())</f>
        <v>0</v>
      </c>
      <c r="R809" s="27">
        <f>IF(K809="Válida",J809,NA())</f>
        <v>0</v>
      </c>
      <c r="S809" s="27">
        <f>IF(K809="Válida",C809,"")</f>
        <v>0</v>
      </c>
      <c r="T809" s="27">
        <f>IF(K809="Válida",I809,"")</f>
        <v>0</v>
      </c>
      <c r="U809" s="27">
        <f>IF(K809="Válida",J809,"")</f>
        <v>0</v>
      </c>
    </row>
    <row r="810" spans="1:21">
      <c r="A810" s="25">
        <f>IF(MES!A810="","",MES!C810/48)</f>
        <v>0</v>
      </c>
      <c r="B810" s="26">
        <f>IF(A810="","",TEXT((N810*4+cfgDeslocamento)/48,"hh:mm")&amp;" a "&amp;TEXT(A810,"hh:mm"))</f>
        <v>0</v>
      </c>
      <c r="C810" s="27">
        <f>IF(A810="","",MES!B810)</f>
        <v>0</v>
      </c>
      <c r="D810" s="27">
        <f>IF(A810="","",IFERROR(AVERAGEIFS(Prensa!$B$2:$B$5001,Prensa!$E$2:$E$5001,N810,Prensa!$F$2:$F$5001,1,Prensa!$G$2:$G$5001,1),""))</f>
        <v>0</v>
      </c>
      <c r="E810" s="27">
        <f>IF(A810="","",IFERROR(AVERAGEIFS(Prensa!$B$2:$B$5001,Prensa!$E$2:$E$5001,N810,Prensa!$F$2:$F$5001,2,Prensa!$G$2:$G$5001,1),""))</f>
        <v>0</v>
      </c>
      <c r="F810" s="27">
        <f>IF(A810="","",IFERROR(AVERAGEIFS(Prensa!$B$2:$B$5001,Prensa!$E$2:$E$5001,N810,Prensa!$F$2:$F$5001,3,Prensa!$G$2:$G$5001,1),""))</f>
        <v>0</v>
      </c>
      <c r="G810" s="27">
        <f>IF(A810="","",IFERROR(AVERAGEIFS(Prensa!$B$2:$B$5001,Prensa!$E$2:$E$5001,N810,Prensa!$F$2:$F$5001,4,Prensa!$G$2:$G$5001,1),""))</f>
        <v>0</v>
      </c>
      <c r="H810" s="26">
        <f>IF(A810="","",COUNT(D810:G810))</f>
        <v>0</v>
      </c>
      <c r="I810" s="27">
        <f>IF(A810="","",IF(H810=0,"",AVERAGE(D810:G810)))</f>
        <v>0</v>
      </c>
      <c r="J810" s="27">
        <f>IF(OR(I810="",C810=""),"",I810-C810)</f>
        <v>0</v>
      </c>
      <c r="K810" s="26">
        <f>IF(A810="","",IF(MES!E810&lt;&gt;4,"Horário do MES fora do padrão",IF(H810&lt;cfgMinCortes,"Cortes insuficientes","Válida")))</f>
        <v>0</v>
      </c>
      <c r="L810" s="27">
        <f>IF(K810="Válida",ABS(J810),"")</f>
        <v>0</v>
      </c>
      <c r="M810" s="26">
        <f>IF(K810="Válida",IF(L810&lt;=cfgTolerancia,"Sim","Não"),"")</f>
        <v>0</v>
      </c>
      <c r="N810" s="26">
        <f>IF(A810="","",MES!D810)</f>
        <v>0</v>
      </c>
      <c r="O810" s="25">
        <f>IF(K810="Válida",A810,NA())</f>
        <v>0</v>
      </c>
      <c r="P810" s="27">
        <f>IF(K810="Válida",C810,NA())</f>
        <v>0</v>
      </c>
      <c r="Q810" s="27">
        <f>IF(K810="Válida",I810,NA())</f>
        <v>0</v>
      </c>
      <c r="R810" s="27">
        <f>IF(K810="Válida",J810,NA())</f>
        <v>0</v>
      </c>
      <c r="S810" s="27">
        <f>IF(K810="Válida",C810,"")</f>
        <v>0</v>
      </c>
      <c r="T810" s="27">
        <f>IF(K810="Válida",I810,"")</f>
        <v>0</v>
      </c>
      <c r="U810" s="27">
        <f>IF(K810="Válida",J810,"")</f>
        <v>0</v>
      </c>
    </row>
    <row r="811" spans="1:21">
      <c r="A811" s="25">
        <f>IF(MES!A811="","",MES!C811/48)</f>
        <v>0</v>
      </c>
      <c r="B811" s="26">
        <f>IF(A811="","",TEXT((N811*4+cfgDeslocamento)/48,"hh:mm")&amp;" a "&amp;TEXT(A811,"hh:mm"))</f>
        <v>0</v>
      </c>
      <c r="C811" s="27">
        <f>IF(A811="","",MES!B811)</f>
        <v>0</v>
      </c>
      <c r="D811" s="27">
        <f>IF(A811="","",IFERROR(AVERAGEIFS(Prensa!$B$2:$B$5001,Prensa!$E$2:$E$5001,N811,Prensa!$F$2:$F$5001,1,Prensa!$G$2:$G$5001,1),""))</f>
        <v>0</v>
      </c>
      <c r="E811" s="27">
        <f>IF(A811="","",IFERROR(AVERAGEIFS(Prensa!$B$2:$B$5001,Prensa!$E$2:$E$5001,N811,Prensa!$F$2:$F$5001,2,Prensa!$G$2:$G$5001,1),""))</f>
        <v>0</v>
      </c>
      <c r="F811" s="27">
        <f>IF(A811="","",IFERROR(AVERAGEIFS(Prensa!$B$2:$B$5001,Prensa!$E$2:$E$5001,N811,Prensa!$F$2:$F$5001,3,Prensa!$G$2:$G$5001,1),""))</f>
        <v>0</v>
      </c>
      <c r="G811" s="27">
        <f>IF(A811="","",IFERROR(AVERAGEIFS(Prensa!$B$2:$B$5001,Prensa!$E$2:$E$5001,N811,Prensa!$F$2:$F$5001,4,Prensa!$G$2:$G$5001,1),""))</f>
        <v>0</v>
      </c>
      <c r="H811" s="26">
        <f>IF(A811="","",COUNT(D811:G811))</f>
        <v>0</v>
      </c>
      <c r="I811" s="27">
        <f>IF(A811="","",IF(H811=0,"",AVERAGE(D811:G811)))</f>
        <v>0</v>
      </c>
      <c r="J811" s="27">
        <f>IF(OR(I811="",C811=""),"",I811-C811)</f>
        <v>0</v>
      </c>
      <c r="K811" s="26">
        <f>IF(A811="","",IF(MES!E811&lt;&gt;4,"Horário do MES fora do padrão",IF(H811&lt;cfgMinCortes,"Cortes insuficientes","Válida")))</f>
        <v>0</v>
      </c>
      <c r="L811" s="27">
        <f>IF(K811="Válida",ABS(J811),"")</f>
        <v>0</v>
      </c>
      <c r="M811" s="26">
        <f>IF(K811="Válida",IF(L811&lt;=cfgTolerancia,"Sim","Não"),"")</f>
        <v>0</v>
      </c>
      <c r="N811" s="26">
        <f>IF(A811="","",MES!D811)</f>
        <v>0</v>
      </c>
      <c r="O811" s="25">
        <f>IF(K811="Válida",A811,NA())</f>
        <v>0</v>
      </c>
      <c r="P811" s="27">
        <f>IF(K811="Válida",C811,NA())</f>
        <v>0</v>
      </c>
      <c r="Q811" s="27">
        <f>IF(K811="Válida",I811,NA())</f>
        <v>0</v>
      </c>
      <c r="R811" s="27">
        <f>IF(K811="Válida",J811,NA())</f>
        <v>0</v>
      </c>
      <c r="S811" s="27">
        <f>IF(K811="Válida",C811,"")</f>
        <v>0</v>
      </c>
      <c r="T811" s="27">
        <f>IF(K811="Válida",I811,"")</f>
        <v>0</v>
      </c>
      <c r="U811" s="27">
        <f>IF(K811="Válida",J811,"")</f>
        <v>0</v>
      </c>
    </row>
    <row r="812" spans="1:21">
      <c r="A812" s="25">
        <f>IF(MES!A812="","",MES!C812/48)</f>
        <v>0</v>
      </c>
      <c r="B812" s="26">
        <f>IF(A812="","",TEXT((N812*4+cfgDeslocamento)/48,"hh:mm")&amp;" a "&amp;TEXT(A812,"hh:mm"))</f>
        <v>0</v>
      </c>
      <c r="C812" s="27">
        <f>IF(A812="","",MES!B812)</f>
        <v>0</v>
      </c>
      <c r="D812" s="27">
        <f>IF(A812="","",IFERROR(AVERAGEIFS(Prensa!$B$2:$B$5001,Prensa!$E$2:$E$5001,N812,Prensa!$F$2:$F$5001,1,Prensa!$G$2:$G$5001,1),""))</f>
        <v>0</v>
      </c>
      <c r="E812" s="27">
        <f>IF(A812="","",IFERROR(AVERAGEIFS(Prensa!$B$2:$B$5001,Prensa!$E$2:$E$5001,N812,Prensa!$F$2:$F$5001,2,Prensa!$G$2:$G$5001,1),""))</f>
        <v>0</v>
      </c>
      <c r="F812" s="27">
        <f>IF(A812="","",IFERROR(AVERAGEIFS(Prensa!$B$2:$B$5001,Prensa!$E$2:$E$5001,N812,Prensa!$F$2:$F$5001,3,Prensa!$G$2:$G$5001,1),""))</f>
        <v>0</v>
      </c>
      <c r="G812" s="27">
        <f>IF(A812="","",IFERROR(AVERAGEIFS(Prensa!$B$2:$B$5001,Prensa!$E$2:$E$5001,N812,Prensa!$F$2:$F$5001,4,Prensa!$G$2:$G$5001,1),""))</f>
        <v>0</v>
      </c>
      <c r="H812" s="26">
        <f>IF(A812="","",COUNT(D812:G812))</f>
        <v>0</v>
      </c>
      <c r="I812" s="27">
        <f>IF(A812="","",IF(H812=0,"",AVERAGE(D812:G812)))</f>
        <v>0</v>
      </c>
      <c r="J812" s="27">
        <f>IF(OR(I812="",C812=""),"",I812-C812)</f>
        <v>0</v>
      </c>
      <c r="K812" s="26">
        <f>IF(A812="","",IF(MES!E812&lt;&gt;4,"Horário do MES fora do padrão",IF(H812&lt;cfgMinCortes,"Cortes insuficientes","Válida")))</f>
        <v>0</v>
      </c>
      <c r="L812" s="27">
        <f>IF(K812="Válida",ABS(J812),"")</f>
        <v>0</v>
      </c>
      <c r="M812" s="26">
        <f>IF(K812="Válida",IF(L812&lt;=cfgTolerancia,"Sim","Não"),"")</f>
        <v>0</v>
      </c>
      <c r="N812" s="26">
        <f>IF(A812="","",MES!D812)</f>
        <v>0</v>
      </c>
      <c r="O812" s="25">
        <f>IF(K812="Válida",A812,NA())</f>
        <v>0</v>
      </c>
      <c r="P812" s="27">
        <f>IF(K812="Válida",C812,NA())</f>
        <v>0</v>
      </c>
      <c r="Q812" s="27">
        <f>IF(K812="Válida",I812,NA())</f>
        <v>0</v>
      </c>
      <c r="R812" s="27">
        <f>IF(K812="Válida",J812,NA())</f>
        <v>0</v>
      </c>
      <c r="S812" s="27">
        <f>IF(K812="Válida",C812,"")</f>
        <v>0</v>
      </c>
      <c r="T812" s="27">
        <f>IF(K812="Válida",I812,"")</f>
        <v>0</v>
      </c>
      <c r="U812" s="27">
        <f>IF(K812="Válida",J812,"")</f>
        <v>0</v>
      </c>
    </row>
    <row r="813" spans="1:21">
      <c r="A813" s="25">
        <f>IF(MES!A813="","",MES!C813/48)</f>
        <v>0</v>
      </c>
      <c r="B813" s="26">
        <f>IF(A813="","",TEXT((N813*4+cfgDeslocamento)/48,"hh:mm")&amp;" a "&amp;TEXT(A813,"hh:mm"))</f>
        <v>0</v>
      </c>
      <c r="C813" s="27">
        <f>IF(A813="","",MES!B813)</f>
        <v>0</v>
      </c>
      <c r="D813" s="27">
        <f>IF(A813="","",IFERROR(AVERAGEIFS(Prensa!$B$2:$B$5001,Prensa!$E$2:$E$5001,N813,Prensa!$F$2:$F$5001,1,Prensa!$G$2:$G$5001,1),""))</f>
        <v>0</v>
      </c>
      <c r="E813" s="27">
        <f>IF(A813="","",IFERROR(AVERAGEIFS(Prensa!$B$2:$B$5001,Prensa!$E$2:$E$5001,N813,Prensa!$F$2:$F$5001,2,Prensa!$G$2:$G$5001,1),""))</f>
        <v>0</v>
      </c>
      <c r="F813" s="27">
        <f>IF(A813="","",IFERROR(AVERAGEIFS(Prensa!$B$2:$B$5001,Prensa!$E$2:$E$5001,N813,Prensa!$F$2:$F$5001,3,Prensa!$G$2:$G$5001,1),""))</f>
        <v>0</v>
      </c>
      <c r="G813" s="27">
        <f>IF(A813="","",IFERROR(AVERAGEIFS(Prensa!$B$2:$B$5001,Prensa!$E$2:$E$5001,N813,Prensa!$F$2:$F$5001,4,Prensa!$G$2:$G$5001,1),""))</f>
        <v>0</v>
      </c>
      <c r="H813" s="26">
        <f>IF(A813="","",COUNT(D813:G813))</f>
        <v>0</v>
      </c>
      <c r="I813" s="27">
        <f>IF(A813="","",IF(H813=0,"",AVERAGE(D813:G813)))</f>
        <v>0</v>
      </c>
      <c r="J813" s="27">
        <f>IF(OR(I813="",C813=""),"",I813-C813)</f>
        <v>0</v>
      </c>
      <c r="K813" s="26">
        <f>IF(A813="","",IF(MES!E813&lt;&gt;4,"Horário do MES fora do padrão",IF(H813&lt;cfgMinCortes,"Cortes insuficientes","Válida")))</f>
        <v>0</v>
      </c>
      <c r="L813" s="27">
        <f>IF(K813="Válida",ABS(J813),"")</f>
        <v>0</v>
      </c>
      <c r="M813" s="26">
        <f>IF(K813="Válida",IF(L813&lt;=cfgTolerancia,"Sim","Não"),"")</f>
        <v>0</v>
      </c>
      <c r="N813" s="26">
        <f>IF(A813="","",MES!D813)</f>
        <v>0</v>
      </c>
      <c r="O813" s="25">
        <f>IF(K813="Válida",A813,NA())</f>
        <v>0</v>
      </c>
      <c r="P813" s="27">
        <f>IF(K813="Válida",C813,NA())</f>
        <v>0</v>
      </c>
      <c r="Q813" s="27">
        <f>IF(K813="Válida",I813,NA())</f>
        <v>0</v>
      </c>
      <c r="R813" s="27">
        <f>IF(K813="Válida",J813,NA())</f>
        <v>0</v>
      </c>
      <c r="S813" s="27">
        <f>IF(K813="Válida",C813,"")</f>
        <v>0</v>
      </c>
      <c r="T813" s="27">
        <f>IF(K813="Válida",I813,"")</f>
        <v>0</v>
      </c>
      <c r="U813" s="27">
        <f>IF(K813="Válida",J813,"")</f>
        <v>0</v>
      </c>
    </row>
    <row r="814" spans="1:21">
      <c r="A814" s="25">
        <f>IF(MES!A814="","",MES!C814/48)</f>
        <v>0</v>
      </c>
      <c r="B814" s="26">
        <f>IF(A814="","",TEXT((N814*4+cfgDeslocamento)/48,"hh:mm")&amp;" a "&amp;TEXT(A814,"hh:mm"))</f>
        <v>0</v>
      </c>
      <c r="C814" s="27">
        <f>IF(A814="","",MES!B814)</f>
        <v>0</v>
      </c>
      <c r="D814" s="27">
        <f>IF(A814="","",IFERROR(AVERAGEIFS(Prensa!$B$2:$B$5001,Prensa!$E$2:$E$5001,N814,Prensa!$F$2:$F$5001,1,Prensa!$G$2:$G$5001,1),""))</f>
        <v>0</v>
      </c>
      <c r="E814" s="27">
        <f>IF(A814="","",IFERROR(AVERAGEIFS(Prensa!$B$2:$B$5001,Prensa!$E$2:$E$5001,N814,Prensa!$F$2:$F$5001,2,Prensa!$G$2:$G$5001,1),""))</f>
        <v>0</v>
      </c>
      <c r="F814" s="27">
        <f>IF(A814="","",IFERROR(AVERAGEIFS(Prensa!$B$2:$B$5001,Prensa!$E$2:$E$5001,N814,Prensa!$F$2:$F$5001,3,Prensa!$G$2:$G$5001,1),""))</f>
        <v>0</v>
      </c>
      <c r="G814" s="27">
        <f>IF(A814="","",IFERROR(AVERAGEIFS(Prensa!$B$2:$B$5001,Prensa!$E$2:$E$5001,N814,Prensa!$F$2:$F$5001,4,Prensa!$G$2:$G$5001,1),""))</f>
        <v>0</v>
      </c>
      <c r="H814" s="26">
        <f>IF(A814="","",COUNT(D814:G814))</f>
        <v>0</v>
      </c>
      <c r="I814" s="27">
        <f>IF(A814="","",IF(H814=0,"",AVERAGE(D814:G814)))</f>
        <v>0</v>
      </c>
      <c r="J814" s="27">
        <f>IF(OR(I814="",C814=""),"",I814-C814)</f>
        <v>0</v>
      </c>
      <c r="K814" s="26">
        <f>IF(A814="","",IF(MES!E814&lt;&gt;4,"Horário do MES fora do padrão",IF(H814&lt;cfgMinCortes,"Cortes insuficientes","Válida")))</f>
        <v>0</v>
      </c>
      <c r="L814" s="27">
        <f>IF(K814="Válida",ABS(J814),"")</f>
        <v>0</v>
      </c>
      <c r="M814" s="26">
        <f>IF(K814="Válida",IF(L814&lt;=cfgTolerancia,"Sim","Não"),"")</f>
        <v>0</v>
      </c>
      <c r="N814" s="26">
        <f>IF(A814="","",MES!D814)</f>
        <v>0</v>
      </c>
      <c r="O814" s="25">
        <f>IF(K814="Válida",A814,NA())</f>
        <v>0</v>
      </c>
      <c r="P814" s="27">
        <f>IF(K814="Válida",C814,NA())</f>
        <v>0</v>
      </c>
      <c r="Q814" s="27">
        <f>IF(K814="Válida",I814,NA())</f>
        <v>0</v>
      </c>
      <c r="R814" s="27">
        <f>IF(K814="Válida",J814,NA())</f>
        <v>0</v>
      </c>
      <c r="S814" s="27">
        <f>IF(K814="Válida",C814,"")</f>
        <v>0</v>
      </c>
      <c r="T814" s="27">
        <f>IF(K814="Válida",I814,"")</f>
        <v>0</v>
      </c>
      <c r="U814" s="27">
        <f>IF(K814="Válida",J814,"")</f>
        <v>0</v>
      </c>
    </row>
    <row r="815" spans="1:21">
      <c r="A815" s="25">
        <f>IF(MES!A815="","",MES!C815/48)</f>
        <v>0</v>
      </c>
      <c r="B815" s="26">
        <f>IF(A815="","",TEXT((N815*4+cfgDeslocamento)/48,"hh:mm")&amp;" a "&amp;TEXT(A815,"hh:mm"))</f>
        <v>0</v>
      </c>
      <c r="C815" s="27">
        <f>IF(A815="","",MES!B815)</f>
        <v>0</v>
      </c>
      <c r="D815" s="27">
        <f>IF(A815="","",IFERROR(AVERAGEIFS(Prensa!$B$2:$B$5001,Prensa!$E$2:$E$5001,N815,Prensa!$F$2:$F$5001,1,Prensa!$G$2:$G$5001,1),""))</f>
        <v>0</v>
      </c>
      <c r="E815" s="27">
        <f>IF(A815="","",IFERROR(AVERAGEIFS(Prensa!$B$2:$B$5001,Prensa!$E$2:$E$5001,N815,Prensa!$F$2:$F$5001,2,Prensa!$G$2:$G$5001,1),""))</f>
        <v>0</v>
      </c>
      <c r="F815" s="27">
        <f>IF(A815="","",IFERROR(AVERAGEIFS(Prensa!$B$2:$B$5001,Prensa!$E$2:$E$5001,N815,Prensa!$F$2:$F$5001,3,Prensa!$G$2:$G$5001,1),""))</f>
        <v>0</v>
      </c>
      <c r="G815" s="27">
        <f>IF(A815="","",IFERROR(AVERAGEIFS(Prensa!$B$2:$B$5001,Prensa!$E$2:$E$5001,N815,Prensa!$F$2:$F$5001,4,Prensa!$G$2:$G$5001,1),""))</f>
        <v>0</v>
      </c>
      <c r="H815" s="26">
        <f>IF(A815="","",COUNT(D815:G815))</f>
        <v>0</v>
      </c>
      <c r="I815" s="27">
        <f>IF(A815="","",IF(H815=0,"",AVERAGE(D815:G815)))</f>
        <v>0</v>
      </c>
      <c r="J815" s="27">
        <f>IF(OR(I815="",C815=""),"",I815-C815)</f>
        <v>0</v>
      </c>
      <c r="K815" s="26">
        <f>IF(A815="","",IF(MES!E815&lt;&gt;4,"Horário do MES fora do padrão",IF(H815&lt;cfgMinCortes,"Cortes insuficientes","Válida")))</f>
        <v>0</v>
      </c>
      <c r="L815" s="27">
        <f>IF(K815="Válida",ABS(J815),"")</f>
        <v>0</v>
      </c>
      <c r="M815" s="26">
        <f>IF(K815="Válida",IF(L815&lt;=cfgTolerancia,"Sim","Não"),"")</f>
        <v>0</v>
      </c>
      <c r="N815" s="26">
        <f>IF(A815="","",MES!D815)</f>
        <v>0</v>
      </c>
      <c r="O815" s="25">
        <f>IF(K815="Válida",A815,NA())</f>
        <v>0</v>
      </c>
      <c r="P815" s="27">
        <f>IF(K815="Válida",C815,NA())</f>
        <v>0</v>
      </c>
      <c r="Q815" s="27">
        <f>IF(K815="Válida",I815,NA())</f>
        <v>0</v>
      </c>
      <c r="R815" s="27">
        <f>IF(K815="Válida",J815,NA())</f>
        <v>0</v>
      </c>
      <c r="S815" s="27">
        <f>IF(K815="Válida",C815,"")</f>
        <v>0</v>
      </c>
      <c r="T815" s="27">
        <f>IF(K815="Válida",I815,"")</f>
        <v>0</v>
      </c>
      <c r="U815" s="27">
        <f>IF(K815="Válida",J815,"")</f>
        <v>0</v>
      </c>
    </row>
    <row r="816" spans="1:21">
      <c r="A816" s="25">
        <f>IF(MES!A816="","",MES!C816/48)</f>
        <v>0</v>
      </c>
      <c r="B816" s="26">
        <f>IF(A816="","",TEXT((N816*4+cfgDeslocamento)/48,"hh:mm")&amp;" a "&amp;TEXT(A816,"hh:mm"))</f>
        <v>0</v>
      </c>
      <c r="C816" s="27">
        <f>IF(A816="","",MES!B816)</f>
        <v>0</v>
      </c>
      <c r="D816" s="27">
        <f>IF(A816="","",IFERROR(AVERAGEIFS(Prensa!$B$2:$B$5001,Prensa!$E$2:$E$5001,N816,Prensa!$F$2:$F$5001,1,Prensa!$G$2:$G$5001,1),""))</f>
        <v>0</v>
      </c>
      <c r="E816" s="27">
        <f>IF(A816="","",IFERROR(AVERAGEIFS(Prensa!$B$2:$B$5001,Prensa!$E$2:$E$5001,N816,Prensa!$F$2:$F$5001,2,Prensa!$G$2:$G$5001,1),""))</f>
        <v>0</v>
      </c>
      <c r="F816" s="27">
        <f>IF(A816="","",IFERROR(AVERAGEIFS(Prensa!$B$2:$B$5001,Prensa!$E$2:$E$5001,N816,Prensa!$F$2:$F$5001,3,Prensa!$G$2:$G$5001,1),""))</f>
        <v>0</v>
      </c>
      <c r="G816" s="27">
        <f>IF(A816="","",IFERROR(AVERAGEIFS(Prensa!$B$2:$B$5001,Prensa!$E$2:$E$5001,N816,Prensa!$F$2:$F$5001,4,Prensa!$G$2:$G$5001,1),""))</f>
        <v>0</v>
      </c>
      <c r="H816" s="26">
        <f>IF(A816="","",COUNT(D816:G816))</f>
        <v>0</v>
      </c>
      <c r="I816" s="27">
        <f>IF(A816="","",IF(H816=0,"",AVERAGE(D816:G816)))</f>
        <v>0</v>
      </c>
      <c r="J816" s="27">
        <f>IF(OR(I816="",C816=""),"",I816-C816)</f>
        <v>0</v>
      </c>
      <c r="K816" s="26">
        <f>IF(A816="","",IF(MES!E816&lt;&gt;4,"Horário do MES fora do padrão",IF(H816&lt;cfgMinCortes,"Cortes insuficientes","Válida")))</f>
        <v>0</v>
      </c>
      <c r="L816" s="27">
        <f>IF(K816="Válida",ABS(J816),"")</f>
        <v>0</v>
      </c>
      <c r="M816" s="26">
        <f>IF(K816="Válida",IF(L816&lt;=cfgTolerancia,"Sim","Não"),"")</f>
        <v>0</v>
      </c>
      <c r="N816" s="26">
        <f>IF(A816="","",MES!D816)</f>
        <v>0</v>
      </c>
      <c r="O816" s="25">
        <f>IF(K816="Válida",A816,NA())</f>
        <v>0</v>
      </c>
      <c r="P816" s="27">
        <f>IF(K816="Válida",C816,NA())</f>
        <v>0</v>
      </c>
      <c r="Q816" s="27">
        <f>IF(K816="Válida",I816,NA())</f>
        <v>0</v>
      </c>
      <c r="R816" s="27">
        <f>IF(K816="Válida",J816,NA())</f>
        <v>0</v>
      </c>
      <c r="S816" s="27">
        <f>IF(K816="Válida",C816,"")</f>
        <v>0</v>
      </c>
      <c r="T816" s="27">
        <f>IF(K816="Válida",I816,"")</f>
        <v>0</v>
      </c>
      <c r="U816" s="27">
        <f>IF(K816="Válida",J816,"")</f>
        <v>0</v>
      </c>
    </row>
    <row r="817" spans="1:21">
      <c r="A817" s="25">
        <f>IF(MES!A817="","",MES!C817/48)</f>
        <v>0</v>
      </c>
      <c r="B817" s="26">
        <f>IF(A817="","",TEXT((N817*4+cfgDeslocamento)/48,"hh:mm")&amp;" a "&amp;TEXT(A817,"hh:mm"))</f>
        <v>0</v>
      </c>
      <c r="C817" s="27">
        <f>IF(A817="","",MES!B817)</f>
        <v>0</v>
      </c>
      <c r="D817" s="27">
        <f>IF(A817="","",IFERROR(AVERAGEIFS(Prensa!$B$2:$B$5001,Prensa!$E$2:$E$5001,N817,Prensa!$F$2:$F$5001,1,Prensa!$G$2:$G$5001,1),""))</f>
        <v>0</v>
      </c>
      <c r="E817" s="27">
        <f>IF(A817="","",IFERROR(AVERAGEIFS(Prensa!$B$2:$B$5001,Prensa!$E$2:$E$5001,N817,Prensa!$F$2:$F$5001,2,Prensa!$G$2:$G$5001,1),""))</f>
        <v>0</v>
      </c>
      <c r="F817" s="27">
        <f>IF(A817="","",IFERROR(AVERAGEIFS(Prensa!$B$2:$B$5001,Prensa!$E$2:$E$5001,N817,Prensa!$F$2:$F$5001,3,Prensa!$G$2:$G$5001,1),""))</f>
        <v>0</v>
      </c>
      <c r="G817" s="27">
        <f>IF(A817="","",IFERROR(AVERAGEIFS(Prensa!$B$2:$B$5001,Prensa!$E$2:$E$5001,N817,Prensa!$F$2:$F$5001,4,Prensa!$G$2:$G$5001,1),""))</f>
        <v>0</v>
      </c>
      <c r="H817" s="26">
        <f>IF(A817="","",COUNT(D817:G817))</f>
        <v>0</v>
      </c>
      <c r="I817" s="27">
        <f>IF(A817="","",IF(H817=0,"",AVERAGE(D817:G817)))</f>
        <v>0</v>
      </c>
      <c r="J817" s="27">
        <f>IF(OR(I817="",C817=""),"",I817-C817)</f>
        <v>0</v>
      </c>
      <c r="K817" s="26">
        <f>IF(A817="","",IF(MES!E817&lt;&gt;4,"Horário do MES fora do padrão",IF(H817&lt;cfgMinCortes,"Cortes insuficientes","Válida")))</f>
        <v>0</v>
      </c>
      <c r="L817" s="27">
        <f>IF(K817="Válida",ABS(J817),"")</f>
        <v>0</v>
      </c>
      <c r="M817" s="26">
        <f>IF(K817="Válida",IF(L817&lt;=cfgTolerancia,"Sim","Não"),"")</f>
        <v>0</v>
      </c>
      <c r="N817" s="26">
        <f>IF(A817="","",MES!D817)</f>
        <v>0</v>
      </c>
      <c r="O817" s="25">
        <f>IF(K817="Válida",A817,NA())</f>
        <v>0</v>
      </c>
      <c r="P817" s="27">
        <f>IF(K817="Válida",C817,NA())</f>
        <v>0</v>
      </c>
      <c r="Q817" s="27">
        <f>IF(K817="Válida",I817,NA())</f>
        <v>0</v>
      </c>
      <c r="R817" s="27">
        <f>IF(K817="Válida",J817,NA())</f>
        <v>0</v>
      </c>
      <c r="S817" s="27">
        <f>IF(K817="Válida",C817,"")</f>
        <v>0</v>
      </c>
      <c r="T817" s="27">
        <f>IF(K817="Válida",I817,"")</f>
        <v>0</v>
      </c>
      <c r="U817" s="27">
        <f>IF(K817="Válida",J817,"")</f>
        <v>0</v>
      </c>
    </row>
    <row r="818" spans="1:21">
      <c r="A818" s="25">
        <f>IF(MES!A818="","",MES!C818/48)</f>
        <v>0</v>
      </c>
      <c r="B818" s="26">
        <f>IF(A818="","",TEXT((N818*4+cfgDeslocamento)/48,"hh:mm")&amp;" a "&amp;TEXT(A818,"hh:mm"))</f>
        <v>0</v>
      </c>
      <c r="C818" s="27">
        <f>IF(A818="","",MES!B818)</f>
        <v>0</v>
      </c>
      <c r="D818" s="27">
        <f>IF(A818="","",IFERROR(AVERAGEIFS(Prensa!$B$2:$B$5001,Prensa!$E$2:$E$5001,N818,Prensa!$F$2:$F$5001,1,Prensa!$G$2:$G$5001,1),""))</f>
        <v>0</v>
      </c>
      <c r="E818" s="27">
        <f>IF(A818="","",IFERROR(AVERAGEIFS(Prensa!$B$2:$B$5001,Prensa!$E$2:$E$5001,N818,Prensa!$F$2:$F$5001,2,Prensa!$G$2:$G$5001,1),""))</f>
        <v>0</v>
      </c>
      <c r="F818" s="27">
        <f>IF(A818="","",IFERROR(AVERAGEIFS(Prensa!$B$2:$B$5001,Prensa!$E$2:$E$5001,N818,Prensa!$F$2:$F$5001,3,Prensa!$G$2:$G$5001,1),""))</f>
        <v>0</v>
      </c>
      <c r="G818" s="27">
        <f>IF(A818="","",IFERROR(AVERAGEIFS(Prensa!$B$2:$B$5001,Prensa!$E$2:$E$5001,N818,Prensa!$F$2:$F$5001,4,Prensa!$G$2:$G$5001,1),""))</f>
        <v>0</v>
      </c>
      <c r="H818" s="26">
        <f>IF(A818="","",COUNT(D818:G818))</f>
        <v>0</v>
      </c>
      <c r="I818" s="27">
        <f>IF(A818="","",IF(H818=0,"",AVERAGE(D818:G818)))</f>
        <v>0</v>
      </c>
      <c r="J818" s="27">
        <f>IF(OR(I818="",C818=""),"",I818-C818)</f>
        <v>0</v>
      </c>
      <c r="K818" s="26">
        <f>IF(A818="","",IF(MES!E818&lt;&gt;4,"Horário do MES fora do padrão",IF(H818&lt;cfgMinCortes,"Cortes insuficientes","Válida")))</f>
        <v>0</v>
      </c>
      <c r="L818" s="27">
        <f>IF(K818="Válida",ABS(J818),"")</f>
        <v>0</v>
      </c>
      <c r="M818" s="26">
        <f>IF(K818="Válida",IF(L818&lt;=cfgTolerancia,"Sim","Não"),"")</f>
        <v>0</v>
      </c>
      <c r="N818" s="26">
        <f>IF(A818="","",MES!D818)</f>
        <v>0</v>
      </c>
      <c r="O818" s="25">
        <f>IF(K818="Válida",A818,NA())</f>
        <v>0</v>
      </c>
      <c r="P818" s="27">
        <f>IF(K818="Válida",C818,NA())</f>
        <v>0</v>
      </c>
      <c r="Q818" s="27">
        <f>IF(K818="Válida",I818,NA())</f>
        <v>0</v>
      </c>
      <c r="R818" s="27">
        <f>IF(K818="Válida",J818,NA())</f>
        <v>0</v>
      </c>
      <c r="S818" s="27">
        <f>IF(K818="Válida",C818,"")</f>
        <v>0</v>
      </c>
      <c r="T818" s="27">
        <f>IF(K818="Válida",I818,"")</f>
        <v>0</v>
      </c>
      <c r="U818" s="27">
        <f>IF(K818="Válida",J818,"")</f>
        <v>0</v>
      </c>
    </row>
    <row r="819" spans="1:21">
      <c r="A819" s="25">
        <f>IF(MES!A819="","",MES!C819/48)</f>
        <v>0</v>
      </c>
      <c r="B819" s="26">
        <f>IF(A819="","",TEXT((N819*4+cfgDeslocamento)/48,"hh:mm")&amp;" a "&amp;TEXT(A819,"hh:mm"))</f>
        <v>0</v>
      </c>
      <c r="C819" s="27">
        <f>IF(A819="","",MES!B819)</f>
        <v>0</v>
      </c>
      <c r="D819" s="27">
        <f>IF(A819="","",IFERROR(AVERAGEIFS(Prensa!$B$2:$B$5001,Prensa!$E$2:$E$5001,N819,Prensa!$F$2:$F$5001,1,Prensa!$G$2:$G$5001,1),""))</f>
        <v>0</v>
      </c>
      <c r="E819" s="27">
        <f>IF(A819="","",IFERROR(AVERAGEIFS(Prensa!$B$2:$B$5001,Prensa!$E$2:$E$5001,N819,Prensa!$F$2:$F$5001,2,Prensa!$G$2:$G$5001,1),""))</f>
        <v>0</v>
      </c>
      <c r="F819" s="27">
        <f>IF(A819="","",IFERROR(AVERAGEIFS(Prensa!$B$2:$B$5001,Prensa!$E$2:$E$5001,N819,Prensa!$F$2:$F$5001,3,Prensa!$G$2:$G$5001,1),""))</f>
        <v>0</v>
      </c>
      <c r="G819" s="27">
        <f>IF(A819="","",IFERROR(AVERAGEIFS(Prensa!$B$2:$B$5001,Prensa!$E$2:$E$5001,N819,Prensa!$F$2:$F$5001,4,Prensa!$G$2:$G$5001,1),""))</f>
        <v>0</v>
      </c>
      <c r="H819" s="26">
        <f>IF(A819="","",COUNT(D819:G819))</f>
        <v>0</v>
      </c>
      <c r="I819" s="27">
        <f>IF(A819="","",IF(H819=0,"",AVERAGE(D819:G819)))</f>
        <v>0</v>
      </c>
      <c r="J819" s="27">
        <f>IF(OR(I819="",C819=""),"",I819-C819)</f>
        <v>0</v>
      </c>
      <c r="K819" s="26">
        <f>IF(A819="","",IF(MES!E819&lt;&gt;4,"Horário do MES fora do padrão",IF(H819&lt;cfgMinCortes,"Cortes insuficientes","Válida")))</f>
        <v>0</v>
      </c>
      <c r="L819" s="27">
        <f>IF(K819="Válida",ABS(J819),"")</f>
        <v>0</v>
      </c>
      <c r="M819" s="26">
        <f>IF(K819="Válida",IF(L819&lt;=cfgTolerancia,"Sim","Não"),"")</f>
        <v>0</v>
      </c>
      <c r="N819" s="26">
        <f>IF(A819="","",MES!D819)</f>
        <v>0</v>
      </c>
      <c r="O819" s="25">
        <f>IF(K819="Válida",A819,NA())</f>
        <v>0</v>
      </c>
      <c r="P819" s="27">
        <f>IF(K819="Válida",C819,NA())</f>
        <v>0</v>
      </c>
      <c r="Q819" s="27">
        <f>IF(K819="Válida",I819,NA())</f>
        <v>0</v>
      </c>
      <c r="R819" s="27">
        <f>IF(K819="Válida",J819,NA())</f>
        <v>0</v>
      </c>
      <c r="S819" s="27">
        <f>IF(K819="Válida",C819,"")</f>
        <v>0</v>
      </c>
      <c r="T819" s="27">
        <f>IF(K819="Válida",I819,"")</f>
        <v>0</v>
      </c>
      <c r="U819" s="27">
        <f>IF(K819="Válida",J819,"")</f>
        <v>0</v>
      </c>
    </row>
    <row r="820" spans="1:21">
      <c r="A820" s="25">
        <f>IF(MES!A820="","",MES!C820/48)</f>
        <v>0</v>
      </c>
      <c r="B820" s="26">
        <f>IF(A820="","",TEXT((N820*4+cfgDeslocamento)/48,"hh:mm")&amp;" a "&amp;TEXT(A820,"hh:mm"))</f>
        <v>0</v>
      </c>
      <c r="C820" s="27">
        <f>IF(A820="","",MES!B820)</f>
        <v>0</v>
      </c>
      <c r="D820" s="27">
        <f>IF(A820="","",IFERROR(AVERAGEIFS(Prensa!$B$2:$B$5001,Prensa!$E$2:$E$5001,N820,Prensa!$F$2:$F$5001,1,Prensa!$G$2:$G$5001,1),""))</f>
        <v>0</v>
      </c>
      <c r="E820" s="27">
        <f>IF(A820="","",IFERROR(AVERAGEIFS(Prensa!$B$2:$B$5001,Prensa!$E$2:$E$5001,N820,Prensa!$F$2:$F$5001,2,Prensa!$G$2:$G$5001,1),""))</f>
        <v>0</v>
      </c>
      <c r="F820" s="27">
        <f>IF(A820="","",IFERROR(AVERAGEIFS(Prensa!$B$2:$B$5001,Prensa!$E$2:$E$5001,N820,Prensa!$F$2:$F$5001,3,Prensa!$G$2:$G$5001,1),""))</f>
        <v>0</v>
      </c>
      <c r="G820" s="27">
        <f>IF(A820="","",IFERROR(AVERAGEIFS(Prensa!$B$2:$B$5001,Prensa!$E$2:$E$5001,N820,Prensa!$F$2:$F$5001,4,Prensa!$G$2:$G$5001,1),""))</f>
        <v>0</v>
      </c>
      <c r="H820" s="26">
        <f>IF(A820="","",COUNT(D820:G820))</f>
        <v>0</v>
      </c>
      <c r="I820" s="27">
        <f>IF(A820="","",IF(H820=0,"",AVERAGE(D820:G820)))</f>
        <v>0</v>
      </c>
      <c r="J820" s="27">
        <f>IF(OR(I820="",C820=""),"",I820-C820)</f>
        <v>0</v>
      </c>
      <c r="K820" s="26">
        <f>IF(A820="","",IF(MES!E820&lt;&gt;4,"Horário do MES fora do padrão",IF(H820&lt;cfgMinCortes,"Cortes insuficientes","Válida")))</f>
        <v>0</v>
      </c>
      <c r="L820" s="27">
        <f>IF(K820="Válida",ABS(J820),"")</f>
        <v>0</v>
      </c>
      <c r="M820" s="26">
        <f>IF(K820="Válida",IF(L820&lt;=cfgTolerancia,"Sim","Não"),"")</f>
        <v>0</v>
      </c>
      <c r="N820" s="26">
        <f>IF(A820="","",MES!D820)</f>
        <v>0</v>
      </c>
      <c r="O820" s="25">
        <f>IF(K820="Válida",A820,NA())</f>
        <v>0</v>
      </c>
      <c r="P820" s="27">
        <f>IF(K820="Válida",C820,NA())</f>
        <v>0</v>
      </c>
      <c r="Q820" s="27">
        <f>IF(K820="Válida",I820,NA())</f>
        <v>0</v>
      </c>
      <c r="R820" s="27">
        <f>IF(K820="Válida",J820,NA())</f>
        <v>0</v>
      </c>
      <c r="S820" s="27">
        <f>IF(K820="Válida",C820,"")</f>
        <v>0</v>
      </c>
      <c r="T820" s="27">
        <f>IF(K820="Válida",I820,"")</f>
        <v>0</v>
      </c>
      <c r="U820" s="27">
        <f>IF(K820="Válida",J820,"")</f>
        <v>0</v>
      </c>
    </row>
    <row r="821" spans="1:21">
      <c r="A821" s="25">
        <f>IF(MES!A821="","",MES!C821/48)</f>
        <v>0</v>
      </c>
      <c r="B821" s="26">
        <f>IF(A821="","",TEXT((N821*4+cfgDeslocamento)/48,"hh:mm")&amp;" a "&amp;TEXT(A821,"hh:mm"))</f>
        <v>0</v>
      </c>
      <c r="C821" s="27">
        <f>IF(A821="","",MES!B821)</f>
        <v>0</v>
      </c>
      <c r="D821" s="27">
        <f>IF(A821="","",IFERROR(AVERAGEIFS(Prensa!$B$2:$B$5001,Prensa!$E$2:$E$5001,N821,Prensa!$F$2:$F$5001,1,Prensa!$G$2:$G$5001,1),""))</f>
        <v>0</v>
      </c>
      <c r="E821" s="27">
        <f>IF(A821="","",IFERROR(AVERAGEIFS(Prensa!$B$2:$B$5001,Prensa!$E$2:$E$5001,N821,Prensa!$F$2:$F$5001,2,Prensa!$G$2:$G$5001,1),""))</f>
        <v>0</v>
      </c>
      <c r="F821" s="27">
        <f>IF(A821="","",IFERROR(AVERAGEIFS(Prensa!$B$2:$B$5001,Prensa!$E$2:$E$5001,N821,Prensa!$F$2:$F$5001,3,Prensa!$G$2:$G$5001,1),""))</f>
        <v>0</v>
      </c>
      <c r="G821" s="27">
        <f>IF(A821="","",IFERROR(AVERAGEIFS(Prensa!$B$2:$B$5001,Prensa!$E$2:$E$5001,N821,Prensa!$F$2:$F$5001,4,Prensa!$G$2:$G$5001,1),""))</f>
        <v>0</v>
      </c>
      <c r="H821" s="26">
        <f>IF(A821="","",COUNT(D821:G821))</f>
        <v>0</v>
      </c>
      <c r="I821" s="27">
        <f>IF(A821="","",IF(H821=0,"",AVERAGE(D821:G821)))</f>
        <v>0</v>
      </c>
      <c r="J821" s="27">
        <f>IF(OR(I821="",C821=""),"",I821-C821)</f>
        <v>0</v>
      </c>
      <c r="K821" s="26">
        <f>IF(A821="","",IF(MES!E821&lt;&gt;4,"Horário do MES fora do padrão",IF(H821&lt;cfgMinCortes,"Cortes insuficientes","Válida")))</f>
        <v>0</v>
      </c>
      <c r="L821" s="27">
        <f>IF(K821="Válida",ABS(J821),"")</f>
        <v>0</v>
      </c>
      <c r="M821" s="26">
        <f>IF(K821="Válida",IF(L821&lt;=cfgTolerancia,"Sim","Não"),"")</f>
        <v>0</v>
      </c>
      <c r="N821" s="26">
        <f>IF(A821="","",MES!D821)</f>
        <v>0</v>
      </c>
      <c r="O821" s="25">
        <f>IF(K821="Válida",A821,NA())</f>
        <v>0</v>
      </c>
      <c r="P821" s="27">
        <f>IF(K821="Válida",C821,NA())</f>
        <v>0</v>
      </c>
      <c r="Q821" s="27">
        <f>IF(K821="Válida",I821,NA())</f>
        <v>0</v>
      </c>
      <c r="R821" s="27">
        <f>IF(K821="Válida",J821,NA())</f>
        <v>0</v>
      </c>
      <c r="S821" s="27">
        <f>IF(K821="Válida",C821,"")</f>
        <v>0</v>
      </c>
      <c r="T821" s="27">
        <f>IF(K821="Válida",I821,"")</f>
        <v>0</v>
      </c>
      <c r="U821" s="27">
        <f>IF(K821="Válida",J821,"")</f>
        <v>0</v>
      </c>
    </row>
    <row r="822" spans="1:21">
      <c r="A822" s="25">
        <f>IF(MES!A822="","",MES!C822/48)</f>
        <v>0</v>
      </c>
      <c r="B822" s="26">
        <f>IF(A822="","",TEXT((N822*4+cfgDeslocamento)/48,"hh:mm")&amp;" a "&amp;TEXT(A822,"hh:mm"))</f>
        <v>0</v>
      </c>
      <c r="C822" s="27">
        <f>IF(A822="","",MES!B822)</f>
        <v>0</v>
      </c>
      <c r="D822" s="27">
        <f>IF(A822="","",IFERROR(AVERAGEIFS(Prensa!$B$2:$B$5001,Prensa!$E$2:$E$5001,N822,Prensa!$F$2:$F$5001,1,Prensa!$G$2:$G$5001,1),""))</f>
        <v>0</v>
      </c>
      <c r="E822" s="27">
        <f>IF(A822="","",IFERROR(AVERAGEIFS(Prensa!$B$2:$B$5001,Prensa!$E$2:$E$5001,N822,Prensa!$F$2:$F$5001,2,Prensa!$G$2:$G$5001,1),""))</f>
        <v>0</v>
      </c>
      <c r="F822" s="27">
        <f>IF(A822="","",IFERROR(AVERAGEIFS(Prensa!$B$2:$B$5001,Prensa!$E$2:$E$5001,N822,Prensa!$F$2:$F$5001,3,Prensa!$G$2:$G$5001,1),""))</f>
        <v>0</v>
      </c>
      <c r="G822" s="27">
        <f>IF(A822="","",IFERROR(AVERAGEIFS(Prensa!$B$2:$B$5001,Prensa!$E$2:$E$5001,N822,Prensa!$F$2:$F$5001,4,Prensa!$G$2:$G$5001,1),""))</f>
        <v>0</v>
      </c>
      <c r="H822" s="26">
        <f>IF(A822="","",COUNT(D822:G822))</f>
        <v>0</v>
      </c>
      <c r="I822" s="27">
        <f>IF(A822="","",IF(H822=0,"",AVERAGE(D822:G822)))</f>
        <v>0</v>
      </c>
      <c r="J822" s="27">
        <f>IF(OR(I822="",C822=""),"",I822-C822)</f>
        <v>0</v>
      </c>
      <c r="K822" s="26">
        <f>IF(A822="","",IF(MES!E822&lt;&gt;4,"Horário do MES fora do padrão",IF(H822&lt;cfgMinCortes,"Cortes insuficientes","Válida")))</f>
        <v>0</v>
      </c>
      <c r="L822" s="27">
        <f>IF(K822="Válida",ABS(J822),"")</f>
        <v>0</v>
      </c>
      <c r="M822" s="26">
        <f>IF(K822="Válida",IF(L822&lt;=cfgTolerancia,"Sim","Não"),"")</f>
        <v>0</v>
      </c>
      <c r="N822" s="26">
        <f>IF(A822="","",MES!D822)</f>
        <v>0</v>
      </c>
      <c r="O822" s="25">
        <f>IF(K822="Válida",A822,NA())</f>
        <v>0</v>
      </c>
      <c r="P822" s="27">
        <f>IF(K822="Válida",C822,NA())</f>
        <v>0</v>
      </c>
      <c r="Q822" s="27">
        <f>IF(K822="Válida",I822,NA())</f>
        <v>0</v>
      </c>
      <c r="R822" s="27">
        <f>IF(K822="Válida",J822,NA())</f>
        <v>0</v>
      </c>
      <c r="S822" s="27">
        <f>IF(K822="Válida",C822,"")</f>
        <v>0</v>
      </c>
      <c r="T822" s="27">
        <f>IF(K822="Válida",I822,"")</f>
        <v>0</v>
      </c>
      <c r="U822" s="27">
        <f>IF(K822="Válida",J822,"")</f>
        <v>0</v>
      </c>
    </row>
    <row r="823" spans="1:21">
      <c r="A823" s="25">
        <f>IF(MES!A823="","",MES!C823/48)</f>
        <v>0</v>
      </c>
      <c r="B823" s="26">
        <f>IF(A823="","",TEXT((N823*4+cfgDeslocamento)/48,"hh:mm")&amp;" a "&amp;TEXT(A823,"hh:mm"))</f>
        <v>0</v>
      </c>
      <c r="C823" s="27">
        <f>IF(A823="","",MES!B823)</f>
        <v>0</v>
      </c>
      <c r="D823" s="27">
        <f>IF(A823="","",IFERROR(AVERAGEIFS(Prensa!$B$2:$B$5001,Prensa!$E$2:$E$5001,N823,Prensa!$F$2:$F$5001,1,Prensa!$G$2:$G$5001,1),""))</f>
        <v>0</v>
      </c>
      <c r="E823" s="27">
        <f>IF(A823="","",IFERROR(AVERAGEIFS(Prensa!$B$2:$B$5001,Prensa!$E$2:$E$5001,N823,Prensa!$F$2:$F$5001,2,Prensa!$G$2:$G$5001,1),""))</f>
        <v>0</v>
      </c>
      <c r="F823" s="27">
        <f>IF(A823="","",IFERROR(AVERAGEIFS(Prensa!$B$2:$B$5001,Prensa!$E$2:$E$5001,N823,Prensa!$F$2:$F$5001,3,Prensa!$G$2:$G$5001,1),""))</f>
        <v>0</v>
      </c>
      <c r="G823" s="27">
        <f>IF(A823="","",IFERROR(AVERAGEIFS(Prensa!$B$2:$B$5001,Prensa!$E$2:$E$5001,N823,Prensa!$F$2:$F$5001,4,Prensa!$G$2:$G$5001,1),""))</f>
        <v>0</v>
      </c>
      <c r="H823" s="26">
        <f>IF(A823="","",COUNT(D823:G823))</f>
        <v>0</v>
      </c>
      <c r="I823" s="27">
        <f>IF(A823="","",IF(H823=0,"",AVERAGE(D823:G823)))</f>
        <v>0</v>
      </c>
      <c r="J823" s="27">
        <f>IF(OR(I823="",C823=""),"",I823-C823)</f>
        <v>0</v>
      </c>
      <c r="K823" s="26">
        <f>IF(A823="","",IF(MES!E823&lt;&gt;4,"Horário do MES fora do padrão",IF(H823&lt;cfgMinCortes,"Cortes insuficientes","Válida")))</f>
        <v>0</v>
      </c>
      <c r="L823" s="27">
        <f>IF(K823="Válida",ABS(J823),"")</f>
        <v>0</v>
      </c>
      <c r="M823" s="26">
        <f>IF(K823="Válida",IF(L823&lt;=cfgTolerancia,"Sim","Não"),"")</f>
        <v>0</v>
      </c>
      <c r="N823" s="26">
        <f>IF(A823="","",MES!D823)</f>
        <v>0</v>
      </c>
      <c r="O823" s="25">
        <f>IF(K823="Válida",A823,NA())</f>
        <v>0</v>
      </c>
      <c r="P823" s="27">
        <f>IF(K823="Válida",C823,NA())</f>
        <v>0</v>
      </c>
      <c r="Q823" s="27">
        <f>IF(K823="Válida",I823,NA())</f>
        <v>0</v>
      </c>
      <c r="R823" s="27">
        <f>IF(K823="Válida",J823,NA())</f>
        <v>0</v>
      </c>
      <c r="S823" s="27">
        <f>IF(K823="Válida",C823,"")</f>
        <v>0</v>
      </c>
      <c r="T823" s="27">
        <f>IF(K823="Válida",I823,"")</f>
        <v>0</v>
      </c>
      <c r="U823" s="27">
        <f>IF(K823="Válida",J823,"")</f>
        <v>0</v>
      </c>
    </row>
    <row r="824" spans="1:21">
      <c r="A824" s="25">
        <f>IF(MES!A824="","",MES!C824/48)</f>
        <v>0</v>
      </c>
      <c r="B824" s="26">
        <f>IF(A824="","",TEXT((N824*4+cfgDeslocamento)/48,"hh:mm")&amp;" a "&amp;TEXT(A824,"hh:mm"))</f>
        <v>0</v>
      </c>
      <c r="C824" s="27">
        <f>IF(A824="","",MES!B824)</f>
        <v>0</v>
      </c>
      <c r="D824" s="27">
        <f>IF(A824="","",IFERROR(AVERAGEIFS(Prensa!$B$2:$B$5001,Prensa!$E$2:$E$5001,N824,Prensa!$F$2:$F$5001,1,Prensa!$G$2:$G$5001,1),""))</f>
        <v>0</v>
      </c>
      <c r="E824" s="27">
        <f>IF(A824="","",IFERROR(AVERAGEIFS(Prensa!$B$2:$B$5001,Prensa!$E$2:$E$5001,N824,Prensa!$F$2:$F$5001,2,Prensa!$G$2:$G$5001,1),""))</f>
        <v>0</v>
      </c>
      <c r="F824" s="27">
        <f>IF(A824="","",IFERROR(AVERAGEIFS(Prensa!$B$2:$B$5001,Prensa!$E$2:$E$5001,N824,Prensa!$F$2:$F$5001,3,Prensa!$G$2:$G$5001,1),""))</f>
        <v>0</v>
      </c>
      <c r="G824" s="27">
        <f>IF(A824="","",IFERROR(AVERAGEIFS(Prensa!$B$2:$B$5001,Prensa!$E$2:$E$5001,N824,Prensa!$F$2:$F$5001,4,Prensa!$G$2:$G$5001,1),""))</f>
        <v>0</v>
      </c>
      <c r="H824" s="26">
        <f>IF(A824="","",COUNT(D824:G824))</f>
        <v>0</v>
      </c>
      <c r="I824" s="27">
        <f>IF(A824="","",IF(H824=0,"",AVERAGE(D824:G824)))</f>
        <v>0</v>
      </c>
      <c r="J824" s="27">
        <f>IF(OR(I824="",C824=""),"",I824-C824)</f>
        <v>0</v>
      </c>
      <c r="K824" s="26">
        <f>IF(A824="","",IF(MES!E824&lt;&gt;4,"Horário do MES fora do padrão",IF(H824&lt;cfgMinCortes,"Cortes insuficientes","Válida")))</f>
        <v>0</v>
      </c>
      <c r="L824" s="27">
        <f>IF(K824="Válida",ABS(J824),"")</f>
        <v>0</v>
      </c>
      <c r="M824" s="26">
        <f>IF(K824="Válida",IF(L824&lt;=cfgTolerancia,"Sim","Não"),"")</f>
        <v>0</v>
      </c>
      <c r="N824" s="26">
        <f>IF(A824="","",MES!D824)</f>
        <v>0</v>
      </c>
      <c r="O824" s="25">
        <f>IF(K824="Válida",A824,NA())</f>
        <v>0</v>
      </c>
      <c r="P824" s="27">
        <f>IF(K824="Válida",C824,NA())</f>
        <v>0</v>
      </c>
      <c r="Q824" s="27">
        <f>IF(K824="Válida",I824,NA())</f>
        <v>0</v>
      </c>
      <c r="R824" s="27">
        <f>IF(K824="Válida",J824,NA())</f>
        <v>0</v>
      </c>
      <c r="S824" s="27">
        <f>IF(K824="Válida",C824,"")</f>
        <v>0</v>
      </c>
      <c r="T824" s="27">
        <f>IF(K824="Válida",I824,"")</f>
        <v>0</v>
      </c>
      <c r="U824" s="27">
        <f>IF(K824="Válida",J824,"")</f>
        <v>0</v>
      </c>
    </row>
    <row r="825" spans="1:21">
      <c r="A825" s="25">
        <f>IF(MES!A825="","",MES!C825/48)</f>
        <v>0</v>
      </c>
      <c r="B825" s="26">
        <f>IF(A825="","",TEXT((N825*4+cfgDeslocamento)/48,"hh:mm")&amp;" a "&amp;TEXT(A825,"hh:mm"))</f>
        <v>0</v>
      </c>
      <c r="C825" s="27">
        <f>IF(A825="","",MES!B825)</f>
        <v>0</v>
      </c>
      <c r="D825" s="27">
        <f>IF(A825="","",IFERROR(AVERAGEIFS(Prensa!$B$2:$B$5001,Prensa!$E$2:$E$5001,N825,Prensa!$F$2:$F$5001,1,Prensa!$G$2:$G$5001,1),""))</f>
        <v>0</v>
      </c>
      <c r="E825" s="27">
        <f>IF(A825="","",IFERROR(AVERAGEIFS(Prensa!$B$2:$B$5001,Prensa!$E$2:$E$5001,N825,Prensa!$F$2:$F$5001,2,Prensa!$G$2:$G$5001,1),""))</f>
        <v>0</v>
      </c>
      <c r="F825" s="27">
        <f>IF(A825="","",IFERROR(AVERAGEIFS(Prensa!$B$2:$B$5001,Prensa!$E$2:$E$5001,N825,Prensa!$F$2:$F$5001,3,Prensa!$G$2:$G$5001,1),""))</f>
        <v>0</v>
      </c>
      <c r="G825" s="27">
        <f>IF(A825="","",IFERROR(AVERAGEIFS(Prensa!$B$2:$B$5001,Prensa!$E$2:$E$5001,N825,Prensa!$F$2:$F$5001,4,Prensa!$G$2:$G$5001,1),""))</f>
        <v>0</v>
      </c>
      <c r="H825" s="26">
        <f>IF(A825="","",COUNT(D825:G825))</f>
        <v>0</v>
      </c>
      <c r="I825" s="27">
        <f>IF(A825="","",IF(H825=0,"",AVERAGE(D825:G825)))</f>
        <v>0</v>
      </c>
      <c r="J825" s="27">
        <f>IF(OR(I825="",C825=""),"",I825-C825)</f>
        <v>0</v>
      </c>
      <c r="K825" s="26">
        <f>IF(A825="","",IF(MES!E825&lt;&gt;4,"Horário do MES fora do padrão",IF(H825&lt;cfgMinCortes,"Cortes insuficientes","Válida")))</f>
        <v>0</v>
      </c>
      <c r="L825" s="27">
        <f>IF(K825="Válida",ABS(J825),"")</f>
        <v>0</v>
      </c>
      <c r="M825" s="26">
        <f>IF(K825="Válida",IF(L825&lt;=cfgTolerancia,"Sim","Não"),"")</f>
        <v>0</v>
      </c>
      <c r="N825" s="26">
        <f>IF(A825="","",MES!D825)</f>
        <v>0</v>
      </c>
      <c r="O825" s="25">
        <f>IF(K825="Válida",A825,NA())</f>
        <v>0</v>
      </c>
      <c r="P825" s="27">
        <f>IF(K825="Válida",C825,NA())</f>
        <v>0</v>
      </c>
      <c r="Q825" s="27">
        <f>IF(K825="Válida",I825,NA())</f>
        <v>0</v>
      </c>
      <c r="R825" s="27">
        <f>IF(K825="Válida",J825,NA())</f>
        <v>0</v>
      </c>
      <c r="S825" s="27">
        <f>IF(K825="Válida",C825,"")</f>
        <v>0</v>
      </c>
      <c r="T825" s="27">
        <f>IF(K825="Válida",I825,"")</f>
        <v>0</v>
      </c>
      <c r="U825" s="27">
        <f>IF(K825="Válida",J825,"")</f>
        <v>0</v>
      </c>
    </row>
    <row r="826" spans="1:21">
      <c r="A826" s="25">
        <f>IF(MES!A826="","",MES!C826/48)</f>
        <v>0</v>
      </c>
      <c r="B826" s="26">
        <f>IF(A826="","",TEXT((N826*4+cfgDeslocamento)/48,"hh:mm")&amp;" a "&amp;TEXT(A826,"hh:mm"))</f>
        <v>0</v>
      </c>
      <c r="C826" s="27">
        <f>IF(A826="","",MES!B826)</f>
        <v>0</v>
      </c>
      <c r="D826" s="27">
        <f>IF(A826="","",IFERROR(AVERAGEIFS(Prensa!$B$2:$B$5001,Prensa!$E$2:$E$5001,N826,Prensa!$F$2:$F$5001,1,Prensa!$G$2:$G$5001,1),""))</f>
        <v>0</v>
      </c>
      <c r="E826" s="27">
        <f>IF(A826="","",IFERROR(AVERAGEIFS(Prensa!$B$2:$B$5001,Prensa!$E$2:$E$5001,N826,Prensa!$F$2:$F$5001,2,Prensa!$G$2:$G$5001,1),""))</f>
        <v>0</v>
      </c>
      <c r="F826" s="27">
        <f>IF(A826="","",IFERROR(AVERAGEIFS(Prensa!$B$2:$B$5001,Prensa!$E$2:$E$5001,N826,Prensa!$F$2:$F$5001,3,Prensa!$G$2:$G$5001,1),""))</f>
        <v>0</v>
      </c>
      <c r="G826" s="27">
        <f>IF(A826="","",IFERROR(AVERAGEIFS(Prensa!$B$2:$B$5001,Prensa!$E$2:$E$5001,N826,Prensa!$F$2:$F$5001,4,Prensa!$G$2:$G$5001,1),""))</f>
        <v>0</v>
      </c>
      <c r="H826" s="26">
        <f>IF(A826="","",COUNT(D826:G826))</f>
        <v>0</v>
      </c>
      <c r="I826" s="27">
        <f>IF(A826="","",IF(H826=0,"",AVERAGE(D826:G826)))</f>
        <v>0</v>
      </c>
      <c r="J826" s="27">
        <f>IF(OR(I826="",C826=""),"",I826-C826)</f>
        <v>0</v>
      </c>
      <c r="K826" s="26">
        <f>IF(A826="","",IF(MES!E826&lt;&gt;4,"Horário do MES fora do padrão",IF(H826&lt;cfgMinCortes,"Cortes insuficientes","Válida")))</f>
        <v>0</v>
      </c>
      <c r="L826" s="27">
        <f>IF(K826="Válida",ABS(J826),"")</f>
        <v>0</v>
      </c>
      <c r="M826" s="26">
        <f>IF(K826="Válida",IF(L826&lt;=cfgTolerancia,"Sim","Não"),"")</f>
        <v>0</v>
      </c>
      <c r="N826" s="26">
        <f>IF(A826="","",MES!D826)</f>
        <v>0</v>
      </c>
      <c r="O826" s="25">
        <f>IF(K826="Válida",A826,NA())</f>
        <v>0</v>
      </c>
      <c r="P826" s="27">
        <f>IF(K826="Válida",C826,NA())</f>
        <v>0</v>
      </c>
      <c r="Q826" s="27">
        <f>IF(K826="Válida",I826,NA())</f>
        <v>0</v>
      </c>
      <c r="R826" s="27">
        <f>IF(K826="Válida",J826,NA())</f>
        <v>0</v>
      </c>
      <c r="S826" s="27">
        <f>IF(K826="Válida",C826,"")</f>
        <v>0</v>
      </c>
      <c r="T826" s="27">
        <f>IF(K826="Válida",I826,"")</f>
        <v>0</v>
      </c>
      <c r="U826" s="27">
        <f>IF(K826="Válida",J826,"")</f>
        <v>0</v>
      </c>
    </row>
    <row r="827" spans="1:21">
      <c r="A827" s="25">
        <f>IF(MES!A827="","",MES!C827/48)</f>
        <v>0</v>
      </c>
      <c r="B827" s="26">
        <f>IF(A827="","",TEXT((N827*4+cfgDeslocamento)/48,"hh:mm")&amp;" a "&amp;TEXT(A827,"hh:mm"))</f>
        <v>0</v>
      </c>
      <c r="C827" s="27">
        <f>IF(A827="","",MES!B827)</f>
        <v>0</v>
      </c>
      <c r="D827" s="27">
        <f>IF(A827="","",IFERROR(AVERAGEIFS(Prensa!$B$2:$B$5001,Prensa!$E$2:$E$5001,N827,Prensa!$F$2:$F$5001,1,Prensa!$G$2:$G$5001,1),""))</f>
        <v>0</v>
      </c>
      <c r="E827" s="27">
        <f>IF(A827="","",IFERROR(AVERAGEIFS(Prensa!$B$2:$B$5001,Prensa!$E$2:$E$5001,N827,Prensa!$F$2:$F$5001,2,Prensa!$G$2:$G$5001,1),""))</f>
        <v>0</v>
      </c>
      <c r="F827" s="27">
        <f>IF(A827="","",IFERROR(AVERAGEIFS(Prensa!$B$2:$B$5001,Prensa!$E$2:$E$5001,N827,Prensa!$F$2:$F$5001,3,Prensa!$G$2:$G$5001,1),""))</f>
        <v>0</v>
      </c>
      <c r="G827" s="27">
        <f>IF(A827="","",IFERROR(AVERAGEIFS(Prensa!$B$2:$B$5001,Prensa!$E$2:$E$5001,N827,Prensa!$F$2:$F$5001,4,Prensa!$G$2:$G$5001,1),""))</f>
        <v>0</v>
      </c>
      <c r="H827" s="26">
        <f>IF(A827="","",COUNT(D827:G827))</f>
        <v>0</v>
      </c>
      <c r="I827" s="27">
        <f>IF(A827="","",IF(H827=0,"",AVERAGE(D827:G827)))</f>
        <v>0</v>
      </c>
      <c r="J827" s="27">
        <f>IF(OR(I827="",C827=""),"",I827-C827)</f>
        <v>0</v>
      </c>
      <c r="K827" s="26">
        <f>IF(A827="","",IF(MES!E827&lt;&gt;4,"Horário do MES fora do padrão",IF(H827&lt;cfgMinCortes,"Cortes insuficientes","Válida")))</f>
        <v>0</v>
      </c>
      <c r="L827" s="27">
        <f>IF(K827="Válida",ABS(J827),"")</f>
        <v>0</v>
      </c>
      <c r="M827" s="26">
        <f>IF(K827="Válida",IF(L827&lt;=cfgTolerancia,"Sim","Não"),"")</f>
        <v>0</v>
      </c>
      <c r="N827" s="26">
        <f>IF(A827="","",MES!D827)</f>
        <v>0</v>
      </c>
      <c r="O827" s="25">
        <f>IF(K827="Válida",A827,NA())</f>
        <v>0</v>
      </c>
      <c r="P827" s="27">
        <f>IF(K827="Válida",C827,NA())</f>
        <v>0</v>
      </c>
      <c r="Q827" s="27">
        <f>IF(K827="Válida",I827,NA())</f>
        <v>0</v>
      </c>
      <c r="R827" s="27">
        <f>IF(K827="Válida",J827,NA())</f>
        <v>0</v>
      </c>
      <c r="S827" s="27">
        <f>IF(K827="Válida",C827,"")</f>
        <v>0</v>
      </c>
      <c r="T827" s="27">
        <f>IF(K827="Válida",I827,"")</f>
        <v>0</v>
      </c>
      <c r="U827" s="27">
        <f>IF(K827="Válida",J827,"")</f>
        <v>0</v>
      </c>
    </row>
    <row r="828" spans="1:21">
      <c r="A828" s="25">
        <f>IF(MES!A828="","",MES!C828/48)</f>
        <v>0</v>
      </c>
      <c r="B828" s="26">
        <f>IF(A828="","",TEXT((N828*4+cfgDeslocamento)/48,"hh:mm")&amp;" a "&amp;TEXT(A828,"hh:mm"))</f>
        <v>0</v>
      </c>
      <c r="C828" s="27">
        <f>IF(A828="","",MES!B828)</f>
        <v>0</v>
      </c>
      <c r="D828" s="27">
        <f>IF(A828="","",IFERROR(AVERAGEIFS(Prensa!$B$2:$B$5001,Prensa!$E$2:$E$5001,N828,Prensa!$F$2:$F$5001,1,Prensa!$G$2:$G$5001,1),""))</f>
        <v>0</v>
      </c>
      <c r="E828" s="27">
        <f>IF(A828="","",IFERROR(AVERAGEIFS(Prensa!$B$2:$B$5001,Prensa!$E$2:$E$5001,N828,Prensa!$F$2:$F$5001,2,Prensa!$G$2:$G$5001,1),""))</f>
        <v>0</v>
      </c>
      <c r="F828" s="27">
        <f>IF(A828="","",IFERROR(AVERAGEIFS(Prensa!$B$2:$B$5001,Prensa!$E$2:$E$5001,N828,Prensa!$F$2:$F$5001,3,Prensa!$G$2:$G$5001,1),""))</f>
        <v>0</v>
      </c>
      <c r="G828" s="27">
        <f>IF(A828="","",IFERROR(AVERAGEIFS(Prensa!$B$2:$B$5001,Prensa!$E$2:$E$5001,N828,Prensa!$F$2:$F$5001,4,Prensa!$G$2:$G$5001,1),""))</f>
        <v>0</v>
      </c>
      <c r="H828" s="26">
        <f>IF(A828="","",COUNT(D828:G828))</f>
        <v>0</v>
      </c>
      <c r="I828" s="27">
        <f>IF(A828="","",IF(H828=0,"",AVERAGE(D828:G828)))</f>
        <v>0</v>
      </c>
      <c r="J828" s="27">
        <f>IF(OR(I828="",C828=""),"",I828-C828)</f>
        <v>0</v>
      </c>
      <c r="K828" s="26">
        <f>IF(A828="","",IF(MES!E828&lt;&gt;4,"Horário do MES fora do padrão",IF(H828&lt;cfgMinCortes,"Cortes insuficientes","Válida")))</f>
        <v>0</v>
      </c>
      <c r="L828" s="27">
        <f>IF(K828="Válida",ABS(J828),"")</f>
        <v>0</v>
      </c>
      <c r="M828" s="26">
        <f>IF(K828="Válida",IF(L828&lt;=cfgTolerancia,"Sim","Não"),"")</f>
        <v>0</v>
      </c>
      <c r="N828" s="26">
        <f>IF(A828="","",MES!D828)</f>
        <v>0</v>
      </c>
      <c r="O828" s="25">
        <f>IF(K828="Válida",A828,NA())</f>
        <v>0</v>
      </c>
      <c r="P828" s="27">
        <f>IF(K828="Válida",C828,NA())</f>
        <v>0</v>
      </c>
      <c r="Q828" s="27">
        <f>IF(K828="Válida",I828,NA())</f>
        <v>0</v>
      </c>
      <c r="R828" s="27">
        <f>IF(K828="Válida",J828,NA())</f>
        <v>0</v>
      </c>
      <c r="S828" s="27">
        <f>IF(K828="Válida",C828,"")</f>
        <v>0</v>
      </c>
      <c r="T828" s="27">
        <f>IF(K828="Válida",I828,"")</f>
        <v>0</v>
      </c>
      <c r="U828" s="27">
        <f>IF(K828="Válida",J828,"")</f>
        <v>0</v>
      </c>
    </row>
    <row r="829" spans="1:21">
      <c r="A829" s="25">
        <f>IF(MES!A829="","",MES!C829/48)</f>
        <v>0</v>
      </c>
      <c r="B829" s="26">
        <f>IF(A829="","",TEXT((N829*4+cfgDeslocamento)/48,"hh:mm")&amp;" a "&amp;TEXT(A829,"hh:mm"))</f>
        <v>0</v>
      </c>
      <c r="C829" s="27">
        <f>IF(A829="","",MES!B829)</f>
        <v>0</v>
      </c>
      <c r="D829" s="27">
        <f>IF(A829="","",IFERROR(AVERAGEIFS(Prensa!$B$2:$B$5001,Prensa!$E$2:$E$5001,N829,Prensa!$F$2:$F$5001,1,Prensa!$G$2:$G$5001,1),""))</f>
        <v>0</v>
      </c>
      <c r="E829" s="27">
        <f>IF(A829="","",IFERROR(AVERAGEIFS(Prensa!$B$2:$B$5001,Prensa!$E$2:$E$5001,N829,Prensa!$F$2:$F$5001,2,Prensa!$G$2:$G$5001,1),""))</f>
        <v>0</v>
      </c>
      <c r="F829" s="27">
        <f>IF(A829="","",IFERROR(AVERAGEIFS(Prensa!$B$2:$B$5001,Prensa!$E$2:$E$5001,N829,Prensa!$F$2:$F$5001,3,Prensa!$G$2:$G$5001,1),""))</f>
        <v>0</v>
      </c>
      <c r="G829" s="27">
        <f>IF(A829="","",IFERROR(AVERAGEIFS(Prensa!$B$2:$B$5001,Prensa!$E$2:$E$5001,N829,Prensa!$F$2:$F$5001,4,Prensa!$G$2:$G$5001,1),""))</f>
        <v>0</v>
      </c>
      <c r="H829" s="26">
        <f>IF(A829="","",COUNT(D829:G829))</f>
        <v>0</v>
      </c>
      <c r="I829" s="27">
        <f>IF(A829="","",IF(H829=0,"",AVERAGE(D829:G829)))</f>
        <v>0</v>
      </c>
      <c r="J829" s="27">
        <f>IF(OR(I829="",C829=""),"",I829-C829)</f>
        <v>0</v>
      </c>
      <c r="K829" s="26">
        <f>IF(A829="","",IF(MES!E829&lt;&gt;4,"Horário do MES fora do padrão",IF(H829&lt;cfgMinCortes,"Cortes insuficientes","Válida")))</f>
        <v>0</v>
      </c>
      <c r="L829" s="27">
        <f>IF(K829="Válida",ABS(J829),"")</f>
        <v>0</v>
      </c>
      <c r="M829" s="26">
        <f>IF(K829="Válida",IF(L829&lt;=cfgTolerancia,"Sim","Não"),"")</f>
        <v>0</v>
      </c>
      <c r="N829" s="26">
        <f>IF(A829="","",MES!D829)</f>
        <v>0</v>
      </c>
      <c r="O829" s="25">
        <f>IF(K829="Válida",A829,NA())</f>
        <v>0</v>
      </c>
      <c r="P829" s="27">
        <f>IF(K829="Válida",C829,NA())</f>
        <v>0</v>
      </c>
      <c r="Q829" s="27">
        <f>IF(K829="Válida",I829,NA())</f>
        <v>0</v>
      </c>
      <c r="R829" s="27">
        <f>IF(K829="Válida",J829,NA())</f>
        <v>0</v>
      </c>
      <c r="S829" s="27">
        <f>IF(K829="Válida",C829,"")</f>
        <v>0</v>
      </c>
      <c r="T829" s="27">
        <f>IF(K829="Válida",I829,"")</f>
        <v>0</v>
      </c>
      <c r="U829" s="27">
        <f>IF(K829="Válida",J829,"")</f>
        <v>0</v>
      </c>
    </row>
    <row r="830" spans="1:21">
      <c r="A830" s="25">
        <f>IF(MES!A830="","",MES!C830/48)</f>
        <v>0</v>
      </c>
      <c r="B830" s="26">
        <f>IF(A830="","",TEXT((N830*4+cfgDeslocamento)/48,"hh:mm")&amp;" a "&amp;TEXT(A830,"hh:mm"))</f>
        <v>0</v>
      </c>
      <c r="C830" s="27">
        <f>IF(A830="","",MES!B830)</f>
        <v>0</v>
      </c>
      <c r="D830" s="27">
        <f>IF(A830="","",IFERROR(AVERAGEIFS(Prensa!$B$2:$B$5001,Prensa!$E$2:$E$5001,N830,Prensa!$F$2:$F$5001,1,Prensa!$G$2:$G$5001,1),""))</f>
        <v>0</v>
      </c>
      <c r="E830" s="27">
        <f>IF(A830="","",IFERROR(AVERAGEIFS(Prensa!$B$2:$B$5001,Prensa!$E$2:$E$5001,N830,Prensa!$F$2:$F$5001,2,Prensa!$G$2:$G$5001,1),""))</f>
        <v>0</v>
      </c>
      <c r="F830" s="27">
        <f>IF(A830="","",IFERROR(AVERAGEIFS(Prensa!$B$2:$B$5001,Prensa!$E$2:$E$5001,N830,Prensa!$F$2:$F$5001,3,Prensa!$G$2:$G$5001,1),""))</f>
        <v>0</v>
      </c>
      <c r="G830" s="27">
        <f>IF(A830="","",IFERROR(AVERAGEIFS(Prensa!$B$2:$B$5001,Prensa!$E$2:$E$5001,N830,Prensa!$F$2:$F$5001,4,Prensa!$G$2:$G$5001,1),""))</f>
        <v>0</v>
      </c>
      <c r="H830" s="26">
        <f>IF(A830="","",COUNT(D830:G830))</f>
        <v>0</v>
      </c>
      <c r="I830" s="27">
        <f>IF(A830="","",IF(H830=0,"",AVERAGE(D830:G830)))</f>
        <v>0</v>
      </c>
      <c r="J830" s="27">
        <f>IF(OR(I830="",C830=""),"",I830-C830)</f>
        <v>0</v>
      </c>
      <c r="K830" s="26">
        <f>IF(A830="","",IF(MES!E830&lt;&gt;4,"Horário do MES fora do padrão",IF(H830&lt;cfgMinCortes,"Cortes insuficientes","Válida")))</f>
        <v>0</v>
      </c>
      <c r="L830" s="27">
        <f>IF(K830="Válida",ABS(J830),"")</f>
        <v>0</v>
      </c>
      <c r="M830" s="26">
        <f>IF(K830="Válida",IF(L830&lt;=cfgTolerancia,"Sim","Não"),"")</f>
        <v>0</v>
      </c>
      <c r="N830" s="26">
        <f>IF(A830="","",MES!D830)</f>
        <v>0</v>
      </c>
      <c r="O830" s="25">
        <f>IF(K830="Válida",A830,NA())</f>
        <v>0</v>
      </c>
      <c r="P830" s="27">
        <f>IF(K830="Válida",C830,NA())</f>
        <v>0</v>
      </c>
      <c r="Q830" s="27">
        <f>IF(K830="Válida",I830,NA())</f>
        <v>0</v>
      </c>
      <c r="R830" s="27">
        <f>IF(K830="Válida",J830,NA())</f>
        <v>0</v>
      </c>
      <c r="S830" s="27">
        <f>IF(K830="Válida",C830,"")</f>
        <v>0</v>
      </c>
      <c r="T830" s="27">
        <f>IF(K830="Válida",I830,"")</f>
        <v>0</v>
      </c>
      <c r="U830" s="27">
        <f>IF(K830="Válida",J830,"")</f>
        <v>0</v>
      </c>
    </row>
    <row r="831" spans="1:21">
      <c r="A831" s="25">
        <f>IF(MES!A831="","",MES!C831/48)</f>
        <v>0</v>
      </c>
      <c r="B831" s="26">
        <f>IF(A831="","",TEXT((N831*4+cfgDeslocamento)/48,"hh:mm")&amp;" a "&amp;TEXT(A831,"hh:mm"))</f>
        <v>0</v>
      </c>
      <c r="C831" s="27">
        <f>IF(A831="","",MES!B831)</f>
        <v>0</v>
      </c>
      <c r="D831" s="27">
        <f>IF(A831="","",IFERROR(AVERAGEIFS(Prensa!$B$2:$B$5001,Prensa!$E$2:$E$5001,N831,Prensa!$F$2:$F$5001,1,Prensa!$G$2:$G$5001,1),""))</f>
        <v>0</v>
      </c>
      <c r="E831" s="27">
        <f>IF(A831="","",IFERROR(AVERAGEIFS(Prensa!$B$2:$B$5001,Prensa!$E$2:$E$5001,N831,Prensa!$F$2:$F$5001,2,Prensa!$G$2:$G$5001,1),""))</f>
        <v>0</v>
      </c>
      <c r="F831" s="27">
        <f>IF(A831="","",IFERROR(AVERAGEIFS(Prensa!$B$2:$B$5001,Prensa!$E$2:$E$5001,N831,Prensa!$F$2:$F$5001,3,Prensa!$G$2:$G$5001,1),""))</f>
        <v>0</v>
      </c>
      <c r="G831" s="27">
        <f>IF(A831="","",IFERROR(AVERAGEIFS(Prensa!$B$2:$B$5001,Prensa!$E$2:$E$5001,N831,Prensa!$F$2:$F$5001,4,Prensa!$G$2:$G$5001,1),""))</f>
        <v>0</v>
      </c>
      <c r="H831" s="26">
        <f>IF(A831="","",COUNT(D831:G831))</f>
        <v>0</v>
      </c>
      <c r="I831" s="27">
        <f>IF(A831="","",IF(H831=0,"",AVERAGE(D831:G831)))</f>
        <v>0</v>
      </c>
      <c r="J831" s="27">
        <f>IF(OR(I831="",C831=""),"",I831-C831)</f>
        <v>0</v>
      </c>
      <c r="K831" s="26">
        <f>IF(A831="","",IF(MES!E831&lt;&gt;4,"Horário do MES fora do padrão",IF(H831&lt;cfgMinCortes,"Cortes insuficientes","Válida")))</f>
        <v>0</v>
      </c>
      <c r="L831" s="27">
        <f>IF(K831="Válida",ABS(J831),"")</f>
        <v>0</v>
      </c>
      <c r="M831" s="26">
        <f>IF(K831="Válida",IF(L831&lt;=cfgTolerancia,"Sim","Não"),"")</f>
        <v>0</v>
      </c>
      <c r="N831" s="26">
        <f>IF(A831="","",MES!D831)</f>
        <v>0</v>
      </c>
      <c r="O831" s="25">
        <f>IF(K831="Válida",A831,NA())</f>
        <v>0</v>
      </c>
      <c r="P831" s="27">
        <f>IF(K831="Válida",C831,NA())</f>
        <v>0</v>
      </c>
      <c r="Q831" s="27">
        <f>IF(K831="Válida",I831,NA())</f>
        <v>0</v>
      </c>
      <c r="R831" s="27">
        <f>IF(K831="Válida",J831,NA())</f>
        <v>0</v>
      </c>
      <c r="S831" s="27">
        <f>IF(K831="Válida",C831,"")</f>
        <v>0</v>
      </c>
      <c r="T831" s="27">
        <f>IF(K831="Válida",I831,"")</f>
        <v>0</v>
      </c>
      <c r="U831" s="27">
        <f>IF(K831="Válida",J831,"")</f>
        <v>0</v>
      </c>
    </row>
    <row r="832" spans="1:21">
      <c r="A832" s="25">
        <f>IF(MES!A832="","",MES!C832/48)</f>
        <v>0</v>
      </c>
      <c r="B832" s="26">
        <f>IF(A832="","",TEXT((N832*4+cfgDeslocamento)/48,"hh:mm")&amp;" a "&amp;TEXT(A832,"hh:mm"))</f>
        <v>0</v>
      </c>
      <c r="C832" s="27">
        <f>IF(A832="","",MES!B832)</f>
        <v>0</v>
      </c>
      <c r="D832" s="27">
        <f>IF(A832="","",IFERROR(AVERAGEIFS(Prensa!$B$2:$B$5001,Prensa!$E$2:$E$5001,N832,Prensa!$F$2:$F$5001,1,Prensa!$G$2:$G$5001,1),""))</f>
        <v>0</v>
      </c>
      <c r="E832" s="27">
        <f>IF(A832="","",IFERROR(AVERAGEIFS(Prensa!$B$2:$B$5001,Prensa!$E$2:$E$5001,N832,Prensa!$F$2:$F$5001,2,Prensa!$G$2:$G$5001,1),""))</f>
        <v>0</v>
      </c>
      <c r="F832" s="27">
        <f>IF(A832="","",IFERROR(AVERAGEIFS(Prensa!$B$2:$B$5001,Prensa!$E$2:$E$5001,N832,Prensa!$F$2:$F$5001,3,Prensa!$G$2:$G$5001,1),""))</f>
        <v>0</v>
      </c>
      <c r="G832" s="27">
        <f>IF(A832="","",IFERROR(AVERAGEIFS(Prensa!$B$2:$B$5001,Prensa!$E$2:$E$5001,N832,Prensa!$F$2:$F$5001,4,Prensa!$G$2:$G$5001,1),""))</f>
        <v>0</v>
      </c>
      <c r="H832" s="26">
        <f>IF(A832="","",COUNT(D832:G832))</f>
        <v>0</v>
      </c>
      <c r="I832" s="27">
        <f>IF(A832="","",IF(H832=0,"",AVERAGE(D832:G832)))</f>
        <v>0</v>
      </c>
      <c r="J832" s="27">
        <f>IF(OR(I832="",C832=""),"",I832-C832)</f>
        <v>0</v>
      </c>
      <c r="K832" s="26">
        <f>IF(A832="","",IF(MES!E832&lt;&gt;4,"Horário do MES fora do padrão",IF(H832&lt;cfgMinCortes,"Cortes insuficientes","Válida")))</f>
        <v>0</v>
      </c>
      <c r="L832" s="27">
        <f>IF(K832="Válida",ABS(J832),"")</f>
        <v>0</v>
      </c>
      <c r="M832" s="26">
        <f>IF(K832="Válida",IF(L832&lt;=cfgTolerancia,"Sim","Não"),"")</f>
        <v>0</v>
      </c>
      <c r="N832" s="26">
        <f>IF(A832="","",MES!D832)</f>
        <v>0</v>
      </c>
      <c r="O832" s="25">
        <f>IF(K832="Válida",A832,NA())</f>
        <v>0</v>
      </c>
      <c r="P832" s="27">
        <f>IF(K832="Válida",C832,NA())</f>
        <v>0</v>
      </c>
      <c r="Q832" s="27">
        <f>IF(K832="Válida",I832,NA())</f>
        <v>0</v>
      </c>
      <c r="R832" s="27">
        <f>IF(K832="Válida",J832,NA())</f>
        <v>0</v>
      </c>
      <c r="S832" s="27">
        <f>IF(K832="Válida",C832,"")</f>
        <v>0</v>
      </c>
      <c r="T832" s="27">
        <f>IF(K832="Válida",I832,"")</f>
        <v>0</v>
      </c>
      <c r="U832" s="27">
        <f>IF(K832="Válida",J832,"")</f>
        <v>0</v>
      </c>
    </row>
    <row r="833" spans="1:21">
      <c r="A833" s="25">
        <f>IF(MES!A833="","",MES!C833/48)</f>
        <v>0</v>
      </c>
      <c r="B833" s="26">
        <f>IF(A833="","",TEXT((N833*4+cfgDeslocamento)/48,"hh:mm")&amp;" a "&amp;TEXT(A833,"hh:mm"))</f>
        <v>0</v>
      </c>
      <c r="C833" s="27">
        <f>IF(A833="","",MES!B833)</f>
        <v>0</v>
      </c>
      <c r="D833" s="27">
        <f>IF(A833="","",IFERROR(AVERAGEIFS(Prensa!$B$2:$B$5001,Prensa!$E$2:$E$5001,N833,Prensa!$F$2:$F$5001,1,Prensa!$G$2:$G$5001,1),""))</f>
        <v>0</v>
      </c>
      <c r="E833" s="27">
        <f>IF(A833="","",IFERROR(AVERAGEIFS(Prensa!$B$2:$B$5001,Prensa!$E$2:$E$5001,N833,Prensa!$F$2:$F$5001,2,Prensa!$G$2:$G$5001,1),""))</f>
        <v>0</v>
      </c>
      <c r="F833" s="27">
        <f>IF(A833="","",IFERROR(AVERAGEIFS(Prensa!$B$2:$B$5001,Prensa!$E$2:$E$5001,N833,Prensa!$F$2:$F$5001,3,Prensa!$G$2:$G$5001,1),""))</f>
        <v>0</v>
      </c>
      <c r="G833" s="27">
        <f>IF(A833="","",IFERROR(AVERAGEIFS(Prensa!$B$2:$B$5001,Prensa!$E$2:$E$5001,N833,Prensa!$F$2:$F$5001,4,Prensa!$G$2:$G$5001,1),""))</f>
        <v>0</v>
      </c>
      <c r="H833" s="26">
        <f>IF(A833="","",COUNT(D833:G833))</f>
        <v>0</v>
      </c>
      <c r="I833" s="27">
        <f>IF(A833="","",IF(H833=0,"",AVERAGE(D833:G833)))</f>
        <v>0</v>
      </c>
      <c r="J833" s="27">
        <f>IF(OR(I833="",C833=""),"",I833-C833)</f>
        <v>0</v>
      </c>
      <c r="K833" s="26">
        <f>IF(A833="","",IF(MES!E833&lt;&gt;4,"Horário do MES fora do padrão",IF(H833&lt;cfgMinCortes,"Cortes insuficientes","Válida")))</f>
        <v>0</v>
      </c>
      <c r="L833" s="27">
        <f>IF(K833="Válida",ABS(J833),"")</f>
        <v>0</v>
      </c>
      <c r="M833" s="26">
        <f>IF(K833="Válida",IF(L833&lt;=cfgTolerancia,"Sim","Não"),"")</f>
        <v>0</v>
      </c>
      <c r="N833" s="26">
        <f>IF(A833="","",MES!D833)</f>
        <v>0</v>
      </c>
      <c r="O833" s="25">
        <f>IF(K833="Válida",A833,NA())</f>
        <v>0</v>
      </c>
      <c r="P833" s="27">
        <f>IF(K833="Válida",C833,NA())</f>
        <v>0</v>
      </c>
      <c r="Q833" s="27">
        <f>IF(K833="Válida",I833,NA())</f>
        <v>0</v>
      </c>
      <c r="R833" s="27">
        <f>IF(K833="Válida",J833,NA())</f>
        <v>0</v>
      </c>
      <c r="S833" s="27">
        <f>IF(K833="Válida",C833,"")</f>
        <v>0</v>
      </c>
      <c r="T833" s="27">
        <f>IF(K833="Válida",I833,"")</f>
        <v>0</v>
      </c>
      <c r="U833" s="27">
        <f>IF(K833="Válida",J833,"")</f>
        <v>0</v>
      </c>
    </row>
    <row r="834" spans="1:21">
      <c r="A834" s="25">
        <f>IF(MES!A834="","",MES!C834/48)</f>
        <v>0</v>
      </c>
      <c r="B834" s="26">
        <f>IF(A834="","",TEXT((N834*4+cfgDeslocamento)/48,"hh:mm")&amp;" a "&amp;TEXT(A834,"hh:mm"))</f>
        <v>0</v>
      </c>
      <c r="C834" s="27">
        <f>IF(A834="","",MES!B834)</f>
        <v>0</v>
      </c>
      <c r="D834" s="27">
        <f>IF(A834="","",IFERROR(AVERAGEIFS(Prensa!$B$2:$B$5001,Prensa!$E$2:$E$5001,N834,Prensa!$F$2:$F$5001,1,Prensa!$G$2:$G$5001,1),""))</f>
        <v>0</v>
      </c>
      <c r="E834" s="27">
        <f>IF(A834="","",IFERROR(AVERAGEIFS(Prensa!$B$2:$B$5001,Prensa!$E$2:$E$5001,N834,Prensa!$F$2:$F$5001,2,Prensa!$G$2:$G$5001,1),""))</f>
        <v>0</v>
      </c>
      <c r="F834" s="27">
        <f>IF(A834="","",IFERROR(AVERAGEIFS(Prensa!$B$2:$B$5001,Prensa!$E$2:$E$5001,N834,Prensa!$F$2:$F$5001,3,Prensa!$G$2:$G$5001,1),""))</f>
        <v>0</v>
      </c>
      <c r="G834" s="27">
        <f>IF(A834="","",IFERROR(AVERAGEIFS(Prensa!$B$2:$B$5001,Prensa!$E$2:$E$5001,N834,Prensa!$F$2:$F$5001,4,Prensa!$G$2:$G$5001,1),""))</f>
        <v>0</v>
      </c>
      <c r="H834" s="26">
        <f>IF(A834="","",COUNT(D834:G834))</f>
        <v>0</v>
      </c>
      <c r="I834" s="27">
        <f>IF(A834="","",IF(H834=0,"",AVERAGE(D834:G834)))</f>
        <v>0</v>
      </c>
      <c r="J834" s="27">
        <f>IF(OR(I834="",C834=""),"",I834-C834)</f>
        <v>0</v>
      </c>
      <c r="K834" s="26">
        <f>IF(A834="","",IF(MES!E834&lt;&gt;4,"Horário do MES fora do padrão",IF(H834&lt;cfgMinCortes,"Cortes insuficientes","Válida")))</f>
        <v>0</v>
      </c>
      <c r="L834" s="27">
        <f>IF(K834="Válida",ABS(J834),"")</f>
        <v>0</v>
      </c>
      <c r="M834" s="26">
        <f>IF(K834="Válida",IF(L834&lt;=cfgTolerancia,"Sim","Não"),"")</f>
        <v>0</v>
      </c>
      <c r="N834" s="26">
        <f>IF(A834="","",MES!D834)</f>
        <v>0</v>
      </c>
      <c r="O834" s="25">
        <f>IF(K834="Válida",A834,NA())</f>
        <v>0</v>
      </c>
      <c r="P834" s="27">
        <f>IF(K834="Válida",C834,NA())</f>
        <v>0</v>
      </c>
      <c r="Q834" s="27">
        <f>IF(K834="Válida",I834,NA())</f>
        <v>0</v>
      </c>
      <c r="R834" s="27">
        <f>IF(K834="Válida",J834,NA())</f>
        <v>0</v>
      </c>
      <c r="S834" s="27">
        <f>IF(K834="Válida",C834,"")</f>
        <v>0</v>
      </c>
      <c r="T834" s="27">
        <f>IF(K834="Válida",I834,"")</f>
        <v>0</v>
      </c>
      <c r="U834" s="27">
        <f>IF(K834="Válida",J834,"")</f>
        <v>0</v>
      </c>
    </row>
    <row r="835" spans="1:21">
      <c r="A835" s="25">
        <f>IF(MES!A835="","",MES!C835/48)</f>
        <v>0</v>
      </c>
      <c r="B835" s="26">
        <f>IF(A835="","",TEXT((N835*4+cfgDeslocamento)/48,"hh:mm")&amp;" a "&amp;TEXT(A835,"hh:mm"))</f>
        <v>0</v>
      </c>
      <c r="C835" s="27">
        <f>IF(A835="","",MES!B835)</f>
        <v>0</v>
      </c>
      <c r="D835" s="27">
        <f>IF(A835="","",IFERROR(AVERAGEIFS(Prensa!$B$2:$B$5001,Prensa!$E$2:$E$5001,N835,Prensa!$F$2:$F$5001,1,Prensa!$G$2:$G$5001,1),""))</f>
        <v>0</v>
      </c>
      <c r="E835" s="27">
        <f>IF(A835="","",IFERROR(AVERAGEIFS(Prensa!$B$2:$B$5001,Prensa!$E$2:$E$5001,N835,Prensa!$F$2:$F$5001,2,Prensa!$G$2:$G$5001,1),""))</f>
        <v>0</v>
      </c>
      <c r="F835" s="27">
        <f>IF(A835="","",IFERROR(AVERAGEIFS(Prensa!$B$2:$B$5001,Prensa!$E$2:$E$5001,N835,Prensa!$F$2:$F$5001,3,Prensa!$G$2:$G$5001,1),""))</f>
        <v>0</v>
      </c>
      <c r="G835" s="27">
        <f>IF(A835="","",IFERROR(AVERAGEIFS(Prensa!$B$2:$B$5001,Prensa!$E$2:$E$5001,N835,Prensa!$F$2:$F$5001,4,Prensa!$G$2:$G$5001,1),""))</f>
        <v>0</v>
      </c>
      <c r="H835" s="26">
        <f>IF(A835="","",COUNT(D835:G835))</f>
        <v>0</v>
      </c>
      <c r="I835" s="27">
        <f>IF(A835="","",IF(H835=0,"",AVERAGE(D835:G835)))</f>
        <v>0</v>
      </c>
      <c r="J835" s="27">
        <f>IF(OR(I835="",C835=""),"",I835-C835)</f>
        <v>0</v>
      </c>
      <c r="K835" s="26">
        <f>IF(A835="","",IF(MES!E835&lt;&gt;4,"Horário do MES fora do padrão",IF(H835&lt;cfgMinCortes,"Cortes insuficientes","Válida")))</f>
        <v>0</v>
      </c>
      <c r="L835" s="27">
        <f>IF(K835="Válida",ABS(J835),"")</f>
        <v>0</v>
      </c>
      <c r="M835" s="26">
        <f>IF(K835="Válida",IF(L835&lt;=cfgTolerancia,"Sim","Não"),"")</f>
        <v>0</v>
      </c>
      <c r="N835" s="26">
        <f>IF(A835="","",MES!D835)</f>
        <v>0</v>
      </c>
      <c r="O835" s="25">
        <f>IF(K835="Válida",A835,NA())</f>
        <v>0</v>
      </c>
      <c r="P835" s="27">
        <f>IF(K835="Válida",C835,NA())</f>
        <v>0</v>
      </c>
      <c r="Q835" s="27">
        <f>IF(K835="Válida",I835,NA())</f>
        <v>0</v>
      </c>
      <c r="R835" s="27">
        <f>IF(K835="Válida",J835,NA())</f>
        <v>0</v>
      </c>
      <c r="S835" s="27">
        <f>IF(K835="Válida",C835,"")</f>
        <v>0</v>
      </c>
      <c r="T835" s="27">
        <f>IF(K835="Válida",I835,"")</f>
        <v>0</v>
      </c>
      <c r="U835" s="27">
        <f>IF(K835="Válida",J835,"")</f>
        <v>0</v>
      </c>
    </row>
    <row r="836" spans="1:21">
      <c r="A836" s="25">
        <f>IF(MES!A836="","",MES!C836/48)</f>
        <v>0</v>
      </c>
      <c r="B836" s="26">
        <f>IF(A836="","",TEXT((N836*4+cfgDeslocamento)/48,"hh:mm")&amp;" a "&amp;TEXT(A836,"hh:mm"))</f>
        <v>0</v>
      </c>
      <c r="C836" s="27">
        <f>IF(A836="","",MES!B836)</f>
        <v>0</v>
      </c>
      <c r="D836" s="27">
        <f>IF(A836="","",IFERROR(AVERAGEIFS(Prensa!$B$2:$B$5001,Prensa!$E$2:$E$5001,N836,Prensa!$F$2:$F$5001,1,Prensa!$G$2:$G$5001,1),""))</f>
        <v>0</v>
      </c>
      <c r="E836" s="27">
        <f>IF(A836="","",IFERROR(AVERAGEIFS(Prensa!$B$2:$B$5001,Prensa!$E$2:$E$5001,N836,Prensa!$F$2:$F$5001,2,Prensa!$G$2:$G$5001,1),""))</f>
        <v>0</v>
      </c>
      <c r="F836" s="27">
        <f>IF(A836="","",IFERROR(AVERAGEIFS(Prensa!$B$2:$B$5001,Prensa!$E$2:$E$5001,N836,Prensa!$F$2:$F$5001,3,Prensa!$G$2:$G$5001,1),""))</f>
        <v>0</v>
      </c>
      <c r="G836" s="27">
        <f>IF(A836="","",IFERROR(AVERAGEIFS(Prensa!$B$2:$B$5001,Prensa!$E$2:$E$5001,N836,Prensa!$F$2:$F$5001,4,Prensa!$G$2:$G$5001,1),""))</f>
        <v>0</v>
      </c>
      <c r="H836" s="26">
        <f>IF(A836="","",COUNT(D836:G836))</f>
        <v>0</v>
      </c>
      <c r="I836" s="27">
        <f>IF(A836="","",IF(H836=0,"",AVERAGE(D836:G836)))</f>
        <v>0</v>
      </c>
      <c r="J836" s="27">
        <f>IF(OR(I836="",C836=""),"",I836-C836)</f>
        <v>0</v>
      </c>
      <c r="K836" s="26">
        <f>IF(A836="","",IF(MES!E836&lt;&gt;4,"Horário do MES fora do padrão",IF(H836&lt;cfgMinCortes,"Cortes insuficientes","Válida")))</f>
        <v>0</v>
      </c>
      <c r="L836" s="27">
        <f>IF(K836="Válida",ABS(J836),"")</f>
        <v>0</v>
      </c>
      <c r="M836" s="26">
        <f>IF(K836="Válida",IF(L836&lt;=cfgTolerancia,"Sim","Não"),"")</f>
        <v>0</v>
      </c>
      <c r="N836" s="26">
        <f>IF(A836="","",MES!D836)</f>
        <v>0</v>
      </c>
      <c r="O836" s="25">
        <f>IF(K836="Válida",A836,NA())</f>
        <v>0</v>
      </c>
      <c r="P836" s="27">
        <f>IF(K836="Válida",C836,NA())</f>
        <v>0</v>
      </c>
      <c r="Q836" s="27">
        <f>IF(K836="Válida",I836,NA())</f>
        <v>0</v>
      </c>
      <c r="R836" s="27">
        <f>IF(K836="Válida",J836,NA())</f>
        <v>0</v>
      </c>
      <c r="S836" s="27">
        <f>IF(K836="Válida",C836,"")</f>
        <v>0</v>
      </c>
      <c r="T836" s="27">
        <f>IF(K836="Válida",I836,"")</f>
        <v>0</v>
      </c>
      <c r="U836" s="27">
        <f>IF(K836="Válida",J836,"")</f>
        <v>0</v>
      </c>
    </row>
    <row r="837" spans="1:21">
      <c r="A837" s="25">
        <f>IF(MES!A837="","",MES!C837/48)</f>
        <v>0</v>
      </c>
      <c r="B837" s="26">
        <f>IF(A837="","",TEXT((N837*4+cfgDeslocamento)/48,"hh:mm")&amp;" a "&amp;TEXT(A837,"hh:mm"))</f>
        <v>0</v>
      </c>
      <c r="C837" s="27">
        <f>IF(A837="","",MES!B837)</f>
        <v>0</v>
      </c>
      <c r="D837" s="27">
        <f>IF(A837="","",IFERROR(AVERAGEIFS(Prensa!$B$2:$B$5001,Prensa!$E$2:$E$5001,N837,Prensa!$F$2:$F$5001,1,Prensa!$G$2:$G$5001,1),""))</f>
        <v>0</v>
      </c>
      <c r="E837" s="27">
        <f>IF(A837="","",IFERROR(AVERAGEIFS(Prensa!$B$2:$B$5001,Prensa!$E$2:$E$5001,N837,Prensa!$F$2:$F$5001,2,Prensa!$G$2:$G$5001,1),""))</f>
        <v>0</v>
      </c>
      <c r="F837" s="27">
        <f>IF(A837="","",IFERROR(AVERAGEIFS(Prensa!$B$2:$B$5001,Prensa!$E$2:$E$5001,N837,Prensa!$F$2:$F$5001,3,Prensa!$G$2:$G$5001,1),""))</f>
        <v>0</v>
      </c>
      <c r="G837" s="27">
        <f>IF(A837="","",IFERROR(AVERAGEIFS(Prensa!$B$2:$B$5001,Prensa!$E$2:$E$5001,N837,Prensa!$F$2:$F$5001,4,Prensa!$G$2:$G$5001,1),""))</f>
        <v>0</v>
      </c>
      <c r="H837" s="26">
        <f>IF(A837="","",COUNT(D837:G837))</f>
        <v>0</v>
      </c>
      <c r="I837" s="27">
        <f>IF(A837="","",IF(H837=0,"",AVERAGE(D837:G837)))</f>
        <v>0</v>
      </c>
      <c r="J837" s="27">
        <f>IF(OR(I837="",C837=""),"",I837-C837)</f>
        <v>0</v>
      </c>
      <c r="K837" s="26">
        <f>IF(A837="","",IF(MES!E837&lt;&gt;4,"Horário do MES fora do padrão",IF(H837&lt;cfgMinCortes,"Cortes insuficientes","Válida")))</f>
        <v>0</v>
      </c>
      <c r="L837" s="27">
        <f>IF(K837="Válida",ABS(J837),"")</f>
        <v>0</v>
      </c>
      <c r="M837" s="26">
        <f>IF(K837="Válida",IF(L837&lt;=cfgTolerancia,"Sim","Não"),"")</f>
        <v>0</v>
      </c>
      <c r="N837" s="26">
        <f>IF(A837="","",MES!D837)</f>
        <v>0</v>
      </c>
      <c r="O837" s="25">
        <f>IF(K837="Válida",A837,NA())</f>
        <v>0</v>
      </c>
      <c r="P837" s="27">
        <f>IF(K837="Válida",C837,NA())</f>
        <v>0</v>
      </c>
      <c r="Q837" s="27">
        <f>IF(K837="Válida",I837,NA())</f>
        <v>0</v>
      </c>
      <c r="R837" s="27">
        <f>IF(K837="Válida",J837,NA())</f>
        <v>0</v>
      </c>
      <c r="S837" s="27">
        <f>IF(K837="Válida",C837,"")</f>
        <v>0</v>
      </c>
      <c r="T837" s="27">
        <f>IF(K837="Válida",I837,"")</f>
        <v>0</v>
      </c>
      <c r="U837" s="27">
        <f>IF(K837="Válida",J837,"")</f>
        <v>0</v>
      </c>
    </row>
    <row r="838" spans="1:21">
      <c r="A838" s="25">
        <f>IF(MES!A838="","",MES!C838/48)</f>
        <v>0</v>
      </c>
      <c r="B838" s="26">
        <f>IF(A838="","",TEXT((N838*4+cfgDeslocamento)/48,"hh:mm")&amp;" a "&amp;TEXT(A838,"hh:mm"))</f>
        <v>0</v>
      </c>
      <c r="C838" s="27">
        <f>IF(A838="","",MES!B838)</f>
        <v>0</v>
      </c>
      <c r="D838" s="27">
        <f>IF(A838="","",IFERROR(AVERAGEIFS(Prensa!$B$2:$B$5001,Prensa!$E$2:$E$5001,N838,Prensa!$F$2:$F$5001,1,Prensa!$G$2:$G$5001,1),""))</f>
        <v>0</v>
      </c>
      <c r="E838" s="27">
        <f>IF(A838="","",IFERROR(AVERAGEIFS(Prensa!$B$2:$B$5001,Prensa!$E$2:$E$5001,N838,Prensa!$F$2:$F$5001,2,Prensa!$G$2:$G$5001,1),""))</f>
        <v>0</v>
      </c>
      <c r="F838" s="27">
        <f>IF(A838="","",IFERROR(AVERAGEIFS(Prensa!$B$2:$B$5001,Prensa!$E$2:$E$5001,N838,Prensa!$F$2:$F$5001,3,Prensa!$G$2:$G$5001,1),""))</f>
        <v>0</v>
      </c>
      <c r="G838" s="27">
        <f>IF(A838="","",IFERROR(AVERAGEIFS(Prensa!$B$2:$B$5001,Prensa!$E$2:$E$5001,N838,Prensa!$F$2:$F$5001,4,Prensa!$G$2:$G$5001,1),""))</f>
        <v>0</v>
      </c>
      <c r="H838" s="26">
        <f>IF(A838="","",COUNT(D838:G838))</f>
        <v>0</v>
      </c>
      <c r="I838" s="27">
        <f>IF(A838="","",IF(H838=0,"",AVERAGE(D838:G838)))</f>
        <v>0</v>
      </c>
      <c r="J838" s="27">
        <f>IF(OR(I838="",C838=""),"",I838-C838)</f>
        <v>0</v>
      </c>
      <c r="K838" s="26">
        <f>IF(A838="","",IF(MES!E838&lt;&gt;4,"Horário do MES fora do padrão",IF(H838&lt;cfgMinCortes,"Cortes insuficientes","Válida")))</f>
        <v>0</v>
      </c>
      <c r="L838" s="27">
        <f>IF(K838="Válida",ABS(J838),"")</f>
        <v>0</v>
      </c>
      <c r="M838" s="26">
        <f>IF(K838="Válida",IF(L838&lt;=cfgTolerancia,"Sim","Não"),"")</f>
        <v>0</v>
      </c>
      <c r="N838" s="26">
        <f>IF(A838="","",MES!D838)</f>
        <v>0</v>
      </c>
      <c r="O838" s="25">
        <f>IF(K838="Válida",A838,NA())</f>
        <v>0</v>
      </c>
      <c r="P838" s="27">
        <f>IF(K838="Válida",C838,NA())</f>
        <v>0</v>
      </c>
      <c r="Q838" s="27">
        <f>IF(K838="Válida",I838,NA())</f>
        <v>0</v>
      </c>
      <c r="R838" s="27">
        <f>IF(K838="Válida",J838,NA())</f>
        <v>0</v>
      </c>
      <c r="S838" s="27">
        <f>IF(K838="Válida",C838,"")</f>
        <v>0</v>
      </c>
      <c r="T838" s="27">
        <f>IF(K838="Válida",I838,"")</f>
        <v>0</v>
      </c>
      <c r="U838" s="27">
        <f>IF(K838="Válida",J838,"")</f>
        <v>0</v>
      </c>
    </row>
    <row r="839" spans="1:21">
      <c r="A839" s="25">
        <f>IF(MES!A839="","",MES!C839/48)</f>
        <v>0</v>
      </c>
      <c r="B839" s="26">
        <f>IF(A839="","",TEXT((N839*4+cfgDeslocamento)/48,"hh:mm")&amp;" a "&amp;TEXT(A839,"hh:mm"))</f>
        <v>0</v>
      </c>
      <c r="C839" s="27">
        <f>IF(A839="","",MES!B839)</f>
        <v>0</v>
      </c>
      <c r="D839" s="27">
        <f>IF(A839="","",IFERROR(AVERAGEIFS(Prensa!$B$2:$B$5001,Prensa!$E$2:$E$5001,N839,Prensa!$F$2:$F$5001,1,Prensa!$G$2:$G$5001,1),""))</f>
        <v>0</v>
      </c>
      <c r="E839" s="27">
        <f>IF(A839="","",IFERROR(AVERAGEIFS(Prensa!$B$2:$B$5001,Prensa!$E$2:$E$5001,N839,Prensa!$F$2:$F$5001,2,Prensa!$G$2:$G$5001,1),""))</f>
        <v>0</v>
      </c>
      <c r="F839" s="27">
        <f>IF(A839="","",IFERROR(AVERAGEIFS(Prensa!$B$2:$B$5001,Prensa!$E$2:$E$5001,N839,Prensa!$F$2:$F$5001,3,Prensa!$G$2:$G$5001,1),""))</f>
        <v>0</v>
      </c>
      <c r="G839" s="27">
        <f>IF(A839="","",IFERROR(AVERAGEIFS(Prensa!$B$2:$B$5001,Prensa!$E$2:$E$5001,N839,Prensa!$F$2:$F$5001,4,Prensa!$G$2:$G$5001,1),""))</f>
        <v>0</v>
      </c>
      <c r="H839" s="26">
        <f>IF(A839="","",COUNT(D839:G839))</f>
        <v>0</v>
      </c>
      <c r="I839" s="27">
        <f>IF(A839="","",IF(H839=0,"",AVERAGE(D839:G839)))</f>
        <v>0</v>
      </c>
      <c r="J839" s="27">
        <f>IF(OR(I839="",C839=""),"",I839-C839)</f>
        <v>0</v>
      </c>
      <c r="K839" s="26">
        <f>IF(A839="","",IF(MES!E839&lt;&gt;4,"Horário do MES fora do padrão",IF(H839&lt;cfgMinCortes,"Cortes insuficientes","Válida")))</f>
        <v>0</v>
      </c>
      <c r="L839" s="27">
        <f>IF(K839="Válida",ABS(J839),"")</f>
        <v>0</v>
      </c>
      <c r="M839" s="26">
        <f>IF(K839="Válida",IF(L839&lt;=cfgTolerancia,"Sim","Não"),"")</f>
        <v>0</v>
      </c>
      <c r="N839" s="26">
        <f>IF(A839="","",MES!D839)</f>
        <v>0</v>
      </c>
      <c r="O839" s="25">
        <f>IF(K839="Válida",A839,NA())</f>
        <v>0</v>
      </c>
      <c r="P839" s="27">
        <f>IF(K839="Válida",C839,NA())</f>
        <v>0</v>
      </c>
      <c r="Q839" s="27">
        <f>IF(K839="Válida",I839,NA())</f>
        <v>0</v>
      </c>
      <c r="R839" s="27">
        <f>IF(K839="Válida",J839,NA())</f>
        <v>0</v>
      </c>
      <c r="S839" s="27">
        <f>IF(K839="Válida",C839,"")</f>
        <v>0</v>
      </c>
      <c r="T839" s="27">
        <f>IF(K839="Válida",I839,"")</f>
        <v>0</v>
      </c>
      <c r="U839" s="27">
        <f>IF(K839="Válida",J839,"")</f>
        <v>0</v>
      </c>
    </row>
    <row r="840" spans="1:21">
      <c r="A840" s="25">
        <f>IF(MES!A840="","",MES!C840/48)</f>
        <v>0</v>
      </c>
      <c r="B840" s="26">
        <f>IF(A840="","",TEXT((N840*4+cfgDeslocamento)/48,"hh:mm")&amp;" a "&amp;TEXT(A840,"hh:mm"))</f>
        <v>0</v>
      </c>
      <c r="C840" s="27">
        <f>IF(A840="","",MES!B840)</f>
        <v>0</v>
      </c>
      <c r="D840" s="27">
        <f>IF(A840="","",IFERROR(AVERAGEIFS(Prensa!$B$2:$B$5001,Prensa!$E$2:$E$5001,N840,Prensa!$F$2:$F$5001,1,Prensa!$G$2:$G$5001,1),""))</f>
        <v>0</v>
      </c>
      <c r="E840" s="27">
        <f>IF(A840="","",IFERROR(AVERAGEIFS(Prensa!$B$2:$B$5001,Prensa!$E$2:$E$5001,N840,Prensa!$F$2:$F$5001,2,Prensa!$G$2:$G$5001,1),""))</f>
        <v>0</v>
      </c>
      <c r="F840" s="27">
        <f>IF(A840="","",IFERROR(AVERAGEIFS(Prensa!$B$2:$B$5001,Prensa!$E$2:$E$5001,N840,Prensa!$F$2:$F$5001,3,Prensa!$G$2:$G$5001,1),""))</f>
        <v>0</v>
      </c>
      <c r="G840" s="27">
        <f>IF(A840="","",IFERROR(AVERAGEIFS(Prensa!$B$2:$B$5001,Prensa!$E$2:$E$5001,N840,Prensa!$F$2:$F$5001,4,Prensa!$G$2:$G$5001,1),""))</f>
        <v>0</v>
      </c>
      <c r="H840" s="26">
        <f>IF(A840="","",COUNT(D840:G840))</f>
        <v>0</v>
      </c>
      <c r="I840" s="27">
        <f>IF(A840="","",IF(H840=0,"",AVERAGE(D840:G840)))</f>
        <v>0</v>
      </c>
      <c r="J840" s="27">
        <f>IF(OR(I840="",C840=""),"",I840-C840)</f>
        <v>0</v>
      </c>
      <c r="K840" s="26">
        <f>IF(A840="","",IF(MES!E840&lt;&gt;4,"Horário do MES fora do padrão",IF(H840&lt;cfgMinCortes,"Cortes insuficientes","Válida")))</f>
        <v>0</v>
      </c>
      <c r="L840" s="27">
        <f>IF(K840="Válida",ABS(J840),"")</f>
        <v>0</v>
      </c>
      <c r="M840" s="26">
        <f>IF(K840="Válida",IF(L840&lt;=cfgTolerancia,"Sim","Não"),"")</f>
        <v>0</v>
      </c>
      <c r="N840" s="26">
        <f>IF(A840="","",MES!D840)</f>
        <v>0</v>
      </c>
      <c r="O840" s="25">
        <f>IF(K840="Válida",A840,NA())</f>
        <v>0</v>
      </c>
      <c r="P840" s="27">
        <f>IF(K840="Válida",C840,NA())</f>
        <v>0</v>
      </c>
      <c r="Q840" s="27">
        <f>IF(K840="Válida",I840,NA())</f>
        <v>0</v>
      </c>
      <c r="R840" s="27">
        <f>IF(K840="Válida",J840,NA())</f>
        <v>0</v>
      </c>
      <c r="S840" s="27">
        <f>IF(K840="Válida",C840,"")</f>
        <v>0</v>
      </c>
      <c r="T840" s="27">
        <f>IF(K840="Válida",I840,"")</f>
        <v>0</v>
      </c>
      <c r="U840" s="27">
        <f>IF(K840="Válida",J840,"")</f>
        <v>0</v>
      </c>
    </row>
    <row r="841" spans="1:21">
      <c r="A841" s="25">
        <f>IF(MES!A841="","",MES!C841/48)</f>
        <v>0</v>
      </c>
      <c r="B841" s="26">
        <f>IF(A841="","",TEXT((N841*4+cfgDeslocamento)/48,"hh:mm")&amp;" a "&amp;TEXT(A841,"hh:mm"))</f>
        <v>0</v>
      </c>
      <c r="C841" s="27">
        <f>IF(A841="","",MES!B841)</f>
        <v>0</v>
      </c>
      <c r="D841" s="27">
        <f>IF(A841="","",IFERROR(AVERAGEIFS(Prensa!$B$2:$B$5001,Prensa!$E$2:$E$5001,N841,Prensa!$F$2:$F$5001,1,Prensa!$G$2:$G$5001,1),""))</f>
        <v>0</v>
      </c>
      <c r="E841" s="27">
        <f>IF(A841="","",IFERROR(AVERAGEIFS(Prensa!$B$2:$B$5001,Prensa!$E$2:$E$5001,N841,Prensa!$F$2:$F$5001,2,Prensa!$G$2:$G$5001,1),""))</f>
        <v>0</v>
      </c>
      <c r="F841" s="27">
        <f>IF(A841="","",IFERROR(AVERAGEIFS(Prensa!$B$2:$B$5001,Prensa!$E$2:$E$5001,N841,Prensa!$F$2:$F$5001,3,Prensa!$G$2:$G$5001,1),""))</f>
        <v>0</v>
      </c>
      <c r="G841" s="27">
        <f>IF(A841="","",IFERROR(AVERAGEIFS(Prensa!$B$2:$B$5001,Prensa!$E$2:$E$5001,N841,Prensa!$F$2:$F$5001,4,Prensa!$G$2:$G$5001,1),""))</f>
        <v>0</v>
      </c>
      <c r="H841" s="26">
        <f>IF(A841="","",COUNT(D841:G841))</f>
        <v>0</v>
      </c>
      <c r="I841" s="27">
        <f>IF(A841="","",IF(H841=0,"",AVERAGE(D841:G841)))</f>
        <v>0</v>
      </c>
      <c r="J841" s="27">
        <f>IF(OR(I841="",C841=""),"",I841-C841)</f>
        <v>0</v>
      </c>
      <c r="K841" s="26">
        <f>IF(A841="","",IF(MES!E841&lt;&gt;4,"Horário do MES fora do padrão",IF(H841&lt;cfgMinCortes,"Cortes insuficientes","Válida")))</f>
        <v>0</v>
      </c>
      <c r="L841" s="27">
        <f>IF(K841="Válida",ABS(J841),"")</f>
        <v>0</v>
      </c>
      <c r="M841" s="26">
        <f>IF(K841="Válida",IF(L841&lt;=cfgTolerancia,"Sim","Não"),"")</f>
        <v>0</v>
      </c>
      <c r="N841" s="26">
        <f>IF(A841="","",MES!D841)</f>
        <v>0</v>
      </c>
      <c r="O841" s="25">
        <f>IF(K841="Válida",A841,NA())</f>
        <v>0</v>
      </c>
      <c r="P841" s="27">
        <f>IF(K841="Válida",C841,NA())</f>
        <v>0</v>
      </c>
      <c r="Q841" s="27">
        <f>IF(K841="Válida",I841,NA())</f>
        <v>0</v>
      </c>
      <c r="R841" s="27">
        <f>IF(K841="Válida",J841,NA())</f>
        <v>0</v>
      </c>
      <c r="S841" s="27">
        <f>IF(K841="Válida",C841,"")</f>
        <v>0</v>
      </c>
      <c r="T841" s="27">
        <f>IF(K841="Válida",I841,"")</f>
        <v>0</v>
      </c>
      <c r="U841" s="27">
        <f>IF(K841="Válida",J841,"")</f>
        <v>0</v>
      </c>
    </row>
    <row r="842" spans="1:21">
      <c r="A842" s="25">
        <f>IF(MES!A842="","",MES!C842/48)</f>
        <v>0</v>
      </c>
      <c r="B842" s="26">
        <f>IF(A842="","",TEXT((N842*4+cfgDeslocamento)/48,"hh:mm")&amp;" a "&amp;TEXT(A842,"hh:mm"))</f>
        <v>0</v>
      </c>
      <c r="C842" s="27">
        <f>IF(A842="","",MES!B842)</f>
        <v>0</v>
      </c>
      <c r="D842" s="27">
        <f>IF(A842="","",IFERROR(AVERAGEIFS(Prensa!$B$2:$B$5001,Prensa!$E$2:$E$5001,N842,Prensa!$F$2:$F$5001,1,Prensa!$G$2:$G$5001,1),""))</f>
        <v>0</v>
      </c>
      <c r="E842" s="27">
        <f>IF(A842="","",IFERROR(AVERAGEIFS(Prensa!$B$2:$B$5001,Prensa!$E$2:$E$5001,N842,Prensa!$F$2:$F$5001,2,Prensa!$G$2:$G$5001,1),""))</f>
        <v>0</v>
      </c>
      <c r="F842" s="27">
        <f>IF(A842="","",IFERROR(AVERAGEIFS(Prensa!$B$2:$B$5001,Prensa!$E$2:$E$5001,N842,Prensa!$F$2:$F$5001,3,Prensa!$G$2:$G$5001,1),""))</f>
        <v>0</v>
      </c>
      <c r="G842" s="27">
        <f>IF(A842="","",IFERROR(AVERAGEIFS(Prensa!$B$2:$B$5001,Prensa!$E$2:$E$5001,N842,Prensa!$F$2:$F$5001,4,Prensa!$G$2:$G$5001,1),""))</f>
        <v>0</v>
      </c>
      <c r="H842" s="26">
        <f>IF(A842="","",COUNT(D842:G842))</f>
        <v>0</v>
      </c>
      <c r="I842" s="27">
        <f>IF(A842="","",IF(H842=0,"",AVERAGE(D842:G842)))</f>
        <v>0</v>
      </c>
      <c r="J842" s="27">
        <f>IF(OR(I842="",C842=""),"",I842-C842)</f>
        <v>0</v>
      </c>
      <c r="K842" s="26">
        <f>IF(A842="","",IF(MES!E842&lt;&gt;4,"Horário do MES fora do padrão",IF(H842&lt;cfgMinCortes,"Cortes insuficientes","Válida")))</f>
        <v>0</v>
      </c>
      <c r="L842" s="27">
        <f>IF(K842="Válida",ABS(J842),"")</f>
        <v>0</v>
      </c>
      <c r="M842" s="26">
        <f>IF(K842="Válida",IF(L842&lt;=cfgTolerancia,"Sim","Não"),"")</f>
        <v>0</v>
      </c>
      <c r="N842" s="26">
        <f>IF(A842="","",MES!D842)</f>
        <v>0</v>
      </c>
      <c r="O842" s="25">
        <f>IF(K842="Válida",A842,NA())</f>
        <v>0</v>
      </c>
      <c r="P842" s="27">
        <f>IF(K842="Válida",C842,NA())</f>
        <v>0</v>
      </c>
      <c r="Q842" s="27">
        <f>IF(K842="Válida",I842,NA())</f>
        <v>0</v>
      </c>
      <c r="R842" s="27">
        <f>IF(K842="Válida",J842,NA())</f>
        <v>0</v>
      </c>
      <c r="S842" s="27">
        <f>IF(K842="Válida",C842,"")</f>
        <v>0</v>
      </c>
      <c r="T842" s="27">
        <f>IF(K842="Válida",I842,"")</f>
        <v>0</v>
      </c>
      <c r="U842" s="27">
        <f>IF(K842="Válida",J842,"")</f>
        <v>0</v>
      </c>
    </row>
    <row r="843" spans="1:21">
      <c r="A843" s="25">
        <f>IF(MES!A843="","",MES!C843/48)</f>
        <v>0</v>
      </c>
      <c r="B843" s="26">
        <f>IF(A843="","",TEXT((N843*4+cfgDeslocamento)/48,"hh:mm")&amp;" a "&amp;TEXT(A843,"hh:mm"))</f>
        <v>0</v>
      </c>
      <c r="C843" s="27">
        <f>IF(A843="","",MES!B843)</f>
        <v>0</v>
      </c>
      <c r="D843" s="27">
        <f>IF(A843="","",IFERROR(AVERAGEIFS(Prensa!$B$2:$B$5001,Prensa!$E$2:$E$5001,N843,Prensa!$F$2:$F$5001,1,Prensa!$G$2:$G$5001,1),""))</f>
        <v>0</v>
      </c>
      <c r="E843" s="27">
        <f>IF(A843="","",IFERROR(AVERAGEIFS(Prensa!$B$2:$B$5001,Prensa!$E$2:$E$5001,N843,Prensa!$F$2:$F$5001,2,Prensa!$G$2:$G$5001,1),""))</f>
        <v>0</v>
      </c>
      <c r="F843" s="27">
        <f>IF(A843="","",IFERROR(AVERAGEIFS(Prensa!$B$2:$B$5001,Prensa!$E$2:$E$5001,N843,Prensa!$F$2:$F$5001,3,Prensa!$G$2:$G$5001,1),""))</f>
        <v>0</v>
      </c>
      <c r="G843" s="27">
        <f>IF(A843="","",IFERROR(AVERAGEIFS(Prensa!$B$2:$B$5001,Prensa!$E$2:$E$5001,N843,Prensa!$F$2:$F$5001,4,Prensa!$G$2:$G$5001,1),""))</f>
        <v>0</v>
      </c>
      <c r="H843" s="26">
        <f>IF(A843="","",COUNT(D843:G843))</f>
        <v>0</v>
      </c>
      <c r="I843" s="27">
        <f>IF(A843="","",IF(H843=0,"",AVERAGE(D843:G843)))</f>
        <v>0</v>
      </c>
      <c r="J843" s="27">
        <f>IF(OR(I843="",C843=""),"",I843-C843)</f>
        <v>0</v>
      </c>
      <c r="K843" s="26">
        <f>IF(A843="","",IF(MES!E843&lt;&gt;4,"Horário do MES fora do padrão",IF(H843&lt;cfgMinCortes,"Cortes insuficientes","Válida")))</f>
        <v>0</v>
      </c>
      <c r="L843" s="27">
        <f>IF(K843="Válida",ABS(J843),"")</f>
        <v>0</v>
      </c>
      <c r="M843" s="26">
        <f>IF(K843="Válida",IF(L843&lt;=cfgTolerancia,"Sim","Não"),"")</f>
        <v>0</v>
      </c>
      <c r="N843" s="26">
        <f>IF(A843="","",MES!D843)</f>
        <v>0</v>
      </c>
      <c r="O843" s="25">
        <f>IF(K843="Válida",A843,NA())</f>
        <v>0</v>
      </c>
      <c r="P843" s="27">
        <f>IF(K843="Válida",C843,NA())</f>
        <v>0</v>
      </c>
      <c r="Q843" s="27">
        <f>IF(K843="Válida",I843,NA())</f>
        <v>0</v>
      </c>
      <c r="R843" s="27">
        <f>IF(K843="Válida",J843,NA())</f>
        <v>0</v>
      </c>
      <c r="S843" s="27">
        <f>IF(K843="Válida",C843,"")</f>
        <v>0</v>
      </c>
      <c r="T843" s="27">
        <f>IF(K843="Válida",I843,"")</f>
        <v>0</v>
      </c>
      <c r="U843" s="27">
        <f>IF(K843="Válida",J843,"")</f>
        <v>0</v>
      </c>
    </row>
    <row r="844" spans="1:21">
      <c r="A844" s="25">
        <f>IF(MES!A844="","",MES!C844/48)</f>
        <v>0</v>
      </c>
      <c r="B844" s="26">
        <f>IF(A844="","",TEXT((N844*4+cfgDeslocamento)/48,"hh:mm")&amp;" a "&amp;TEXT(A844,"hh:mm"))</f>
        <v>0</v>
      </c>
      <c r="C844" s="27">
        <f>IF(A844="","",MES!B844)</f>
        <v>0</v>
      </c>
      <c r="D844" s="27">
        <f>IF(A844="","",IFERROR(AVERAGEIFS(Prensa!$B$2:$B$5001,Prensa!$E$2:$E$5001,N844,Prensa!$F$2:$F$5001,1,Prensa!$G$2:$G$5001,1),""))</f>
        <v>0</v>
      </c>
      <c r="E844" s="27">
        <f>IF(A844="","",IFERROR(AVERAGEIFS(Prensa!$B$2:$B$5001,Prensa!$E$2:$E$5001,N844,Prensa!$F$2:$F$5001,2,Prensa!$G$2:$G$5001,1),""))</f>
        <v>0</v>
      </c>
      <c r="F844" s="27">
        <f>IF(A844="","",IFERROR(AVERAGEIFS(Prensa!$B$2:$B$5001,Prensa!$E$2:$E$5001,N844,Prensa!$F$2:$F$5001,3,Prensa!$G$2:$G$5001,1),""))</f>
        <v>0</v>
      </c>
      <c r="G844" s="27">
        <f>IF(A844="","",IFERROR(AVERAGEIFS(Prensa!$B$2:$B$5001,Prensa!$E$2:$E$5001,N844,Prensa!$F$2:$F$5001,4,Prensa!$G$2:$G$5001,1),""))</f>
        <v>0</v>
      </c>
      <c r="H844" s="26">
        <f>IF(A844="","",COUNT(D844:G844))</f>
        <v>0</v>
      </c>
      <c r="I844" s="27">
        <f>IF(A844="","",IF(H844=0,"",AVERAGE(D844:G844)))</f>
        <v>0</v>
      </c>
      <c r="J844" s="27">
        <f>IF(OR(I844="",C844=""),"",I844-C844)</f>
        <v>0</v>
      </c>
      <c r="K844" s="26">
        <f>IF(A844="","",IF(MES!E844&lt;&gt;4,"Horário do MES fora do padrão",IF(H844&lt;cfgMinCortes,"Cortes insuficientes","Válida")))</f>
        <v>0</v>
      </c>
      <c r="L844" s="27">
        <f>IF(K844="Válida",ABS(J844),"")</f>
        <v>0</v>
      </c>
      <c r="M844" s="26">
        <f>IF(K844="Válida",IF(L844&lt;=cfgTolerancia,"Sim","Não"),"")</f>
        <v>0</v>
      </c>
      <c r="N844" s="26">
        <f>IF(A844="","",MES!D844)</f>
        <v>0</v>
      </c>
      <c r="O844" s="25">
        <f>IF(K844="Válida",A844,NA())</f>
        <v>0</v>
      </c>
      <c r="P844" s="27">
        <f>IF(K844="Válida",C844,NA())</f>
        <v>0</v>
      </c>
      <c r="Q844" s="27">
        <f>IF(K844="Válida",I844,NA())</f>
        <v>0</v>
      </c>
      <c r="R844" s="27">
        <f>IF(K844="Válida",J844,NA())</f>
        <v>0</v>
      </c>
      <c r="S844" s="27">
        <f>IF(K844="Válida",C844,"")</f>
        <v>0</v>
      </c>
      <c r="T844" s="27">
        <f>IF(K844="Válida",I844,"")</f>
        <v>0</v>
      </c>
      <c r="U844" s="27">
        <f>IF(K844="Válida",J844,"")</f>
        <v>0</v>
      </c>
    </row>
    <row r="845" spans="1:21">
      <c r="A845" s="25">
        <f>IF(MES!A845="","",MES!C845/48)</f>
        <v>0</v>
      </c>
      <c r="B845" s="26">
        <f>IF(A845="","",TEXT((N845*4+cfgDeslocamento)/48,"hh:mm")&amp;" a "&amp;TEXT(A845,"hh:mm"))</f>
        <v>0</v>
      </c>
      <c r="C845" s="27">
        <f>IF(A845="","",MES!B845)</f>
        <v>0</v>
      </c>
      <c r="D845" s="27">
        <f>IF(A845="","",IFERROR(AVERAGEIFS(Prensa!$B$2:$B$5001,Prensa!$E$2:$E$5001,N845,Prensa!$F$2:$F$5001,1,Prensa!$G$2:$G$5001,1),""))</f>
        <v>0</v>
      </c>
      <c r="E845" s="27">
        <f>IF(A845="","",IFERROR(AVERAGEIFS(Prensa!$B$2:$B$5001,Prensa!$E$2:$E$5001,N845,Prensa!$F$2:$F$5001,2,Prensa!$G$2:$G$5001,1),""))</f>
        <v>0</v>
      </c>
      <c r="F845" s="27">
        <f>IF(A845="","",IFERROR(AVERAGEIFS(Prensa!$B$2:$B$5001,Prensa!$E$2:$E$5001,N845,Prensa!$F$2:$F$5001,3,Prensa!$G$2:$G$5001,1),""))</f>
        <v>0</v>
      </c>
      <c r="G845" s="27">
        <f>IF(A845="","",IFERROR(AVERAGEIFS(Prensa!$B$2:$B$5001,Prensa!$E$2:$E$5001,N845,Prensa!$F$2:$F$5001,4,Prensa!$G$2:$G$5001,1),""))</f>
        <v>0</v>
      </c>
      <c r="H845" s="26">
        <f>IF(A845="","",COUNT(D845:G845))</f>
        <v>0</v>
      </c>
      <c r="I845" s="27">
        <f>IF(A845="","",IF(H845=0,"",AVERAGE(D845:G845)))</f>
        <v>0</v>
      </c>
      <c r="J845" s="27">
        <f>IF(OR(I845="",C845=""),"",I845-C845)</f>
        <v>0</v>
      </c>
      <c r="K845" s="26">
        <f>IF(A845="","",IF(MES!E845&lt;&gt;4,"Horário do MES fora do padrão",IF(H845&lt;cfgMinCortes,"Cortes insuficientes","Válida")))</f>
        <v>0</v>
      </c>
      <c r="L845" s="27">
        <f>IF(K845="Válida",ABS(J845),"")</f>
        <v>0</v>
      </c>
      <c r="M845" s="26">
        <f>IF(K845="Válida",IF(L845&lt;=cfgTolerancia,"Sim","Não"),"")</f>
        <v>0</v>
      </c>
      <c r="N845" s="26">
        <f>IF(A845="","",MES!D845)</f>
        <v>0</v>
      </c>
      <c r="O845" s="25">
        <f>IF(K845="Válida",A845,NA())</f>
        <v>0</v>
      </c>
      <c r="P845" s="27">
        <f>IF(K845="Válida",C845,NA())</f>
        <v>0</v>
      </c>
      <c r="Q845" s="27">
        <f>IF(K845="Válida",I845,NA())</f>
        <v>0</v>
      </c>
      <c r="R845" s="27">
        <f>IF(K845="Válida",J845,NA())</f>
        <v>0</v>
      </c>
      <c r="S845" s="27">
        <f>IF(K845="Válida",C845,"")</f>
        <v>0</v>
      </c>
      <c r="T845" s="27">
        <f>IF(K845="Válida",I845,"")</f>
        <v>0</v>
      </c>
      <c r="U845" s="27">
        <f>IF(K845="Válida",J845,"")</f>
        <v>0</v>
      </c>
    </row>
    <row r="846" spans="1:21">
      <c r="A846" s="25">
        <f>IF(MES!A846="","",MES!C846/48)</f>
        <v>0</v>
      </c>
      <c r="B846" s="26">
        <f>IF(A846="","",TEXT((N846*4+cfgDeslocamento)/48,"hh:mm")&amp;" a "&amp;TEXT(A846,"hh:mm"))</f>
        <v>0</v>
      </c>
      <c r="C846" s="27">
        <f>IF(A846="","",MES!B846)</f>
        <v>0</v>
      </c>
      <c r="D846" s="27">
        <f>IF(A846="","",IFERROR(AVERAGEIFS(Prensa!$B$2:$B$5001,Prensa!$E$2:$E$5001,N846,Prensa!$F$2:$F$5001,1,Prensa!$G$2:$G$5001,1),""))</f>
        <v>0</v>
      </c>
      <c r="E846" s="27">
        <f>IF(A846="","",IFERROR(AVERAGEIFS(Prensa!$B$2:$B$5001,Prensa!$E$2:$E$5001,N846,Prensa!$F$2:$F$5001,2,Prensa!$G$2:$G$5001,1),""))</f>
        <v>0</v>
      </c>
      <c r="F846" s="27">
        <f>IF(A846="","",IFERROR(AVERAGEIFS(Prensa!$B$2:$B$5001,Prensa!$E$2:$E$5001,N846,Prensa!$F$2:$F$5001,3,Prensa!$G$2:$G$5001,1),""))</f>
        <v>0</v>
      </c>
      <c r="G846" s="27">
        <f>IF(A846="","",IFERROR(AVERAGEIFS(Prensa!$B$2:$B$5001,Prensa!$E$2:$E$5001,N846,Prensa!$F$2:$F$5001,4,Prensa!$G$2:$G$5001,1),""))</f>
        <v>0</v>
      </c>
      <c r="H846" s="26">
        <f>IF(A846="","",COUNT(D846:G846))</f>
        <v>0</v>
      </c>
      <c r="I846" s="27">
        <f>IF(A846="","",IF(H846=0,"",AVERAGE(D846:G846)))</f>
        <v>0</v>
      </c>
      <c r="J846" s="27">
        <f>IF(OR(I846="",C846=""),"",I846-C846)</f>
        <v>0</v>
      </c>
      <c r="K846" s="26">
        <f>IF(A846="","",IF(MES!E846&lt;&gt;4,"Horário do MES fora do padrão",IF(H846&lt;cfgMinCortes,"Cortes insuficientes","Válida")))</f>
        <v>0</v>
      </c>
      <c r="L846" s="27">
        <f>IF(K846="Válida",ABS(J846),"")</f>
        <v>0</v>
      </c>
      <c r="M846" s="26">
        <f>IF(K846="Válida",IF(L846&lt;=cfgTolerancia,"Sim","Não"),"")</f>
        <v>0</v>
      </c>
      <c r="N846" s="26">
        <f>IF(A846="","",MES!D846)</f>
        <v>0</v>
      </c>
      <c r="O846" s="25">
        <f>IF(K846="Válida",A846,NA())</f>
        <v>0</v>
      </c>
      <c r="P846" s="27">
        <f>IF(K846="Válida",C846,NA())</f>
        <v>0</v>
      </c>
      <c r="Q846" s="27">
        <f>IF(K846="Válida",I846,NA())</f>
        <v>0</v>
      </c>
      <c r="R846" s="27">
        <f>IF(K846="Válida",J846,NA())</f>
        <v>0</v>
      </c>
      <c r="S846" s="27">
        <f>IF(K846="Válida",C846,"")</f>
        <v>0</v>
      </c>
      <c r="T846" s="27">
        <f>IF(K846="Válida",I846,"")</f>
        <v>0</v>
      </c>
      <c r="U846" s="27">
        <f>IF(K846="Válida",J846,"")</f>
        <v>0</v>
      </c>
    </row>
    <row r="847" spans="1:21">
      <c r="A847" s="25">
        <f>IF(MES!A847="","",MES!C847/48)</f>
        <v>0</v>
      </c>
      <c r="B847" s="26">
        <f>IF(A847="","",TEXT((N847*4+cfgDeslocamento)/48,"hh:mm")&amp;" a "&amp;TEXT(A847,"hh:mm"))</f>
        <v>0</v>
      </c>
      <c r="C847" s="27">
        <f>IF(A847="","",MES!B847)</f>
        <v>0</v>
      </c>
      <c r="D847" s="27">
        <f>IF(A847="","",IFERROR(AVERAGEIFS(Prensa!$B$2:$B$5001,Prensa!$E$2:$E$5001,N847,Prensa!$F$2:$F$5001,1,Prensa!$G$2:$G$5001,1),""))</f>
        <v>0</v>
      </c>
      <c r="E847" s="27">
        <f>IF(A847="","",IFERROR(AVERAGEIFS(Prensa!$B$2:$B$5001,Prensa!$E$2:$E$5001,N847,Prensa!$F$2:$F$5001,2,Prensa!$G$2:$G$5001,1),""))</f>
        <v>0</v>
      </c>
      <c r="F847" s="27">
        <f>IF(A847="","",IFERROR(AVERAGEIFS(Prensa!$B$2:$B$5001,Prensa!$E$2:$E$5001,N847,Prensa!$F$2:$F$5001,3,Prensa!$G$2:$G$5001,1),""))</f>
        <v>0</v>
      </c>
      <c r="G847" s="27">
        <f>IF(A847="","",IFERROR(AVERAGEIFS(Prensa!$B$2:$B$5001,Prensa!$E$2:$E$5001,N847,Prensa!$F$2:$F$5001,4,Prensa!$G$2:$G$5001,1),""))</f>
        <v>0</v>
      </c>
      <c r="H847" s="26">
        <f>IF(A847="","",COUNT(D847:G847))</f>
        <v>0</v>
      </c>
      <c r="I847" s="27">
        <f>IF(A847="","",IF(H847=0,"",AVERAGE(D847:G847)))</f>
        <v>0</v>
      </c>
      <c r="J847" s="27">
        <f>IF(OR(I847="",C847=""),"",I847-C847)</f>
        <v>0</v>
      </c>
      <c r="K847" s="26">
        <f>IF(A847="","",IF(MES!E847&lt;&gt;4,"Horário do MES fora do padrão",IF(H847&lt;cfgMinCortes,"Cortes insuficientes","Válida")))</f>
        <v>0</v>
      </c>
      <c r="L847" s="27">
        <f>IF(K847="Válida",ABS(J847),"")</f>
        <v>0</v>
      </c>
      <c r="M847" s="26">
        <f>IF(K847="Válida",IF(L847&lt;=cfgTolerancia,"Sim","Não"),"")</f>
        <v>0</v>
      </c>
      <c r="N847" s="26">
        <f>IF(A847="","",MES!D847)</f>
        <v>0</v>
      </c>
      <c r="O847" s="25">
        <f>IF(K847="Válida",A847,NA())</f>
        <v>0</v>
      </c>
      <c r="P847" s="27">
        <f>IF(K847="Válida",C847,NA())</f>
        <v>0</v>
      </c>
      <c r="Q847" s="27">
        <f>IF(K847="Válida",I847,NA())</f>
        <v>0</v>
      </c>
      <c r="R847" s="27">
        <f>IF(K847="Válida",J847,NA())</f>
        <v>0</v>
      </c>
      <c r="S847" s="27">
        <f>IF(K847="Válida",C847,"")</f>
        <v>0</v>
      </c>
      <c r="T847" s="27">
        <f>IF(K847="Válida",I847,"")</f>
        <v>0</v>
      </c>
      <c r="U847" s="27">
        <f>IF(K847="Válida",J847,"")</f>
        <v>0</v>
      </c>
    </row>
    <row r="848" spans="1:21">
      <c r="A848" s="25">
        <f>IF(MES!A848="","",MES!C848/48)</f>
        <v>0</v>
      </c>
      <c r="B848" s="26">
        <f>IF(A848="","",TEXT((N848*4+cfgDeslocamento)/48,"hh:mm")&amp;" a "&amp;TEXT(A848,"hh:mm"))</f>
        <v>0</v>
      </c>
      <c r="C848" s="27">
        <f>IF(A848="","",MES!B848)</f>
        <v>0</v>
      </c>
      <c r="D848" s="27">
        <f>IF(A848="","",IFERROR(AVERAGEIFS(Prensa!$B$2:$B$5001,Prensa!$E$2:$E$5001,N848,Prensa!$F$2:$F$5001,1,Prensa!$G$2:$G$5001,1),""))</f>
        <v>0</v>
      </c>
      <c r="E848" s="27">
        <f>IF(A848="","",IFERROR(AVERAGEIFS(Prensa!$B$2:$B$5001,Prensa!$E$2:$E$5001,N848,Prensa!$F$2:$F$5001,2,Prensa!$G$2:$G$5001,1),""))</f>
        <v>0</v>
      </c>
      <c r="F848" s="27">
        <f>IF(A848="","",IFERROR(AVERAGEIFS(Prensa!$B$2:$B$5001,Prensa!$E$2:$E$5001,N848,Prensa!$F$2:$F$5001,3,Prensa!$G$2:$G$5001,1),""))</f>
        <v>0</v>
      </c>
      <c r="G848" s="27">
        <f>IF(A848="","",IFERROR(AVERAGEIFS(Prensa!$B$2:$B$5001,Prensa!$E$2:$E$5001,N848,Prensa!$F$2:$F$5001,4,Prensa!$G$2:$G$5001,1),""))</f>
        <v>0</v>
      </c>
      <c r="H848" s="26">
        <f>IF(A848="","",COUNT(D848:G848))</f>
        <v>0</v>
      </c>
      <c r="I848" s="27">
        <f>IF(A848="","",IF(H848=0,"",AVERAGE(D848:G848)))</f>
        <v>0</v>
      </c>
      <c r="J848" s="27">
        <f>IF(OR(I848="",C848=""),"",I848-C848)</f>
        <v>0</v>
      </c>
      <c r="K848" s="26">
        <f>IF(A848="","",IF(MES!E848&lt;&gt;4,"Horário do MES fora do padrão",IF(H848&lt;cfgMinCortes,"Cortes insuficientes","Válida")))</f>
        <v>0</v>
      </c>
      <c r="L848" s="27">
        <f>IF(K848="Válida",ABS(J848),"")</f>
        <v>0</v>
      </c>
      <c r="M848" s="26">
        <f>IF(K848="Válida",IF(L848&lt;=cfgTolerancia,"Sim","Não"),"")</f>
        <v>0</v>
      </c>
      <c r="N848" s="26">
        <f>IF(A848="","",MES!D848)</f>
        <v>0</v>
      </c>
      <c r="O848" s="25">
        <f>IF(K848="Válida",A848,NA())</f>
        <v>0</v>
      </c>
      <c r="P848" s="27">
        <f>IF(K848="Válida",C848,NA())</f>
        <v>0</v>
      </c>
      <c r="Q848" s="27">
        <f>IF(K848="Válida",I848,NA())</f>
        <v>0</v>
      </c>
      <c r="R848" s="27">
        <f>IF(K848="Válida",J848,NA())</f>
        <v>0</v>
      </c>
      <c r="S848" s="27">
        <f>IF(K848="Válida",C848,"")</f>
        <v>0</v>
      </c>
      <c r="T848" s="27">
        <f>IF(K848="Válida",I848,"")</f>
        <v>0</v>
      </c>
      <c r="U848" s="27">
        <f>IF(K848="Válida",J848,"")</f>
        <v>0</v>
      </c>
    </row>
    <row r="849" spans="1:21">
      <c r="A849" s="25">
        <f>IF(MES!A849="","",MES!C849/48)</f>
        <v>0</v>
      </c>
      <c r="B849" s="26">
        <f>IF(A849="","",TEXT((N849*4+cfgDeslocamento)/48,"hh:mm")&amp;" a "&amp;TEXT(A849,"hh:mm"))</f>
        <v>0</v>
      </c>
      <c r="C849" s="27">
        <f>IF(A849="","",MES!B849)</f>
        <v>0</v>
      </c>
      <c r="D849" s="27">
        <f>IF(A849="","",IFERROR(AVERAGEIFS(Prensa!$B$2:$B$5001,Prensa!$E$2:$E$5001,N849,Prensa!$F$2:$F$5001,1,Prensa!$G$2:$G$5001,1),""))</f>
        <v>0</v>
      </c>
      <c r="E849" s="27">
        <f>IF(A849="","",IFERROR(AVERAGEIFS(Prensa!$B$2:$B$5001,Prensa!$E$2:$E$5001,N849,Prensa!$F$2:$F$5001,2,Prensa!$G$2:$G$5001,1),""))</f>
        <v>0</v>
      </c>
      <c r="F849" s="27">
        <f>IF(A849="","",IFERROR(AVERAGEIFS(Prensa!$B$2:$B$5001,Prensa!$E$2:$E$5001,N849,Prensa!$F$2:$F$5001,3,Prensa!$G$2:$G$5001,1),""))</f>
        <v>0</v>
      </c>
      <c r="G849" s="27">
        <f>IF(A849="","",IFERROR(AVERAGEIFS(Prensa!$B$2:$B$5001,Prensa!$E$2:$E$5001,N849,Prensa!$F$2:$F$5001,4,Prensa!$G$2:$G$5001,1),""))</f>
        <v>0</v>
      </c>
      <c r="H849" s="26">
        <f>IF(A849="","",COUNT(D849:G849))</f>
        <v>0</v>
      </c>
      <c r="I849" s="27">
        <f>IF(A849="","",IF(H849=0,"",AVERAGE(D849:G849)))</f>
        <v>0</v>
      </c>
      <c r="J849" s="27">
        <f>IF(OR(I849="",C849=""),"",I849-C849)</f>
        <v>0</v>
      </c>
      <c r="K849" s="26">
        <f>IF(A849="","",IF(MES!E849&lt;&gt;4,"Horário do MES fora do padrão",IF(H849&lt;cfgMinCortes,"Cortes insuficientes","Válida")))</f>
        <v>0</v>
      </c>
      <c r="L849" s="27">
        <f>IF(K849="Válida",ABS(J849),"")</f>
        <v>0</v>
      </c>
      <c r="M849" s="26">
        <f>IF(K849="Válida",IF(L849&lt;=cfgTolerancia,"Sim","Não"),"")</f>
        <v>0</v>
      </c>
      <c r="N849" s="26">
        <f>IF(A849="","",MES!D849)</f>
        <v>0</v>
      </c>
      <c r="O849" s="25">
        <f>IF(K849="Válida",A849,NA())</f>
        <v>0</v>
      </c>
      <c r="P849" s="27">
        <f>IF(K849="Válida",C849,NA())</f>
        <v>0</v>
      </c>
      <c r="Q849" s="27">
        <f>IF(K849="Válida",I849,NA())</f>
        <v>0</v>
      </c>
      <c r="R849" s="27">
        <f>IF(K849="Válida",J849,NA())</f>
        <v>0</v>
      </c>
      <c r="S849" s="27">
        <f>IF(K849="Válida",C849,"")</f>
        <v>0</v>
      </c>
      <c r="T849" s="27">
        <f>IF(K849="Válida",I849,"")</f>
        <v>0</v>
      </c>
      <c r="U849" s="27">
        <f>IF(K849="Válida",J849,"")</f>
        <v>0</v>
      </c>
    </row>
    <row r="850" spans="1:21">
      <c r="A850" s="25">
        <f>IF(MES!A850="","",MES!C850/48)</f>
        <v>0</v>
      </c>
      <c r="B850" s="26">
        <f>IF(A850="","",TEXT((N850*4+cfgDeslocamento)/48,"hh:mm")&amp;" a "&amp;TEXT(A850,"hh:mm"))</f>
        <v>0</v>
      </c>
      <c r="C850" s="27">
        <f>IF(A850="","",MES!B850)</f>
        <v>0</v>
      </c>
      <c r="D850" s="27">
        <f>IF(A850="","",IFERROR(AVERAGEIFS(Prensa!$B$2:$B$5001,Prensa!$E$2:$E$5001,N850,Prensa!$F$2:$F$5001,1,Prensa!$G$2:$G$5001,1),""))</f>
        <v>0</v>
      </c>
      <c r="E850" s="27">
        <f>IF(A850="","",IFERROR(AVERAGEIFS(Prensa!$B$2:$B$5001,Prensa!$E$2:$E$5001,N850,Prensa!$F$2:$F$5001,2,Prensa!$G$2:$G$5001,1),""))</f>
        <v>0</v>
      </c>
      <c r="F850" s="27">
        <f>IF(A850="","",IFERROR(AVERAGEIFS(Prensa!$B$2:$B$5001,Prensa!$E$2:$E$5001,N850,Prensa!$F$2:$F$5001,3,Prensa!$G$2:$G$5001,1),""))</f>
        <v>0</v>
      </c>
      <c r="G850" s="27">
        <f>IF(A850="","",IFERROR(AVERAGEIFS(Prensa!$B$2:$B$5001,Prensa!$E$2:$E$5001,N850,Prensa!$F$2:$F$5001,4,Prensa!$G$2:$G$5001,1),""))</f>
        <v>0</v>
      </c>
      <c r="H850" s="26">
        <f>IF(A850="","",COUNT(D850:G850))</f>
        <v>0</v>
      </c>
      <c r="I850" s="27">
        <f>IF(A850="","",IF(H850=0,"",AVERAGE(D850:G850)))</f>
        <v>0</v>
      </c>
      <c r="J850" s="27">
        <f>IF(OR(I850="",C850=""),"",I850-C850)</f>
        <v>0</v>
      </c>
      <c r="K850" s="26">
        <f>IF(A850="","",IF(MES!E850&lt;&gt;4,"Horário do MES fora do padrão",IF(H850&lt;cfgMinCortes,"Cortes insuficientes","Válida")))</f>
        <v>0</v>
      </c>
      <c r="L850" s="27">
        <f>IF(K850="Válida",ABS(J850),"")</f>
        <v>0</v>
      </c>
      <c r="M850" s="26">
        <f>IF(K850="Válida",IF(L850&lt;=cfgTolerancia,"Sim","Não"),"")</f>
        <v>0</v>
      </c>
      <c r="N850" s="26">
        <f>IF(A850="","",MES!D850)</f>
        <v>0</v>
      </c>
      <c r="O850" s="25">
        <f>IF(K850="Válida",A850,NA())</f>
        <v>0</v>
      </c>
      <c r="P850" s="27">
        <f>IF(K850="Válida",C850,NA())</f>
        <v>0</v>
      </c>
      <c r="Q850" s="27">
        <f>IF(K850="Válida",I850,NA())</f>
        <v>0</v>
      </c>
      <c r="R850" s="27">
        <f>IF(K850="Válida",J850,NA())</f>
        <v>0</v>
      </c>
      <c r="S850" s="27">
        <f>IF(K850="Válida",C850,"")</f>
        <v>0</v>
      </c>
      <c r="T850" s="27">
        <f>IF(K850="Válida",I850,"")</f>
        <v>0</v>
      </c>
      <c r="U850" s="27">
        <f>IF(K850="Válida",J850,"")</f>
        <v>0</v>
      </c>
    </row>
    <row r="851" spans="1:21">
      <c r="A851" s="25">
        <f>IF(MES!A851="","",MES!C851/48)</f>
        <v>0</v>
      </c>
      <c r="B851" s="26">
        <f>IF(A851="","",TEXT((N851*4+cfgDeslocamento)/48,"hh:mm")&amp;" a "&amp;TEXT(A851,"hh:mm"))</f>
        <v>0</v>
      </c>
      <c r="C851" s="27">
        <f>IF(A851="","",MES!B851)</f>
        <v>0</v>
      </c>
      <c r="D851" s="27">
        <f>IF(A851="","",IFERROR(AVERAGEIFS(Prensa!$B$2:$B$5001,Prensa!$E$2:$E$5001,N851,Prensa!$F$2:$F$5001,1,Prensa!$G$2:$G$5001,1),""))</f>
        <v>0</v>
      </c>
      <c r="E851" s="27">
        <f>IF(A851="","",IFERROR(AVERAGEIFS(Prensa!$B$2:$B$5001,Prensa!$E$2:$E$5001,N851,Prensa!$F$2:$F$5001,2,Prensa!$G$2:$G$5001,1),""))</f>
        <v>0</v>
      </c>
      <c r="F851" s="27">
        <f>IF(A851="","",IFERROR(AVERAGEIFS(Prensa!$B$2:$B$5001,Prensa!$E$2:$E$5001,N851,Prensa!$F$2:$F$5001,3,Prensa!$G$2:$G$5001,1),""))</f>
        <v>0</v>
      </c>
      <c r="G851" s="27">
        <f>IF(A851="","",IFERROR(AVERAGEIFS(Prensa!$B$2:$B$5001,Prensa!$E$2:$E$5001,N851,Prensa!$F$2:$F$5001,4,Prensa!$G$2:$G$5001,1),""))</f>
        <v>0</v>
      </c>
      <c r="H851" s="26">
        <f>IF(A851="","",COUNT(D851:G851))</f>
        <v>0</v>
      </c>
      <c r="I851" s="27">
        <f>IF(A851="","",IF(H851=0,"",AVERAGE(D851:G851)))</f>
        <v>0</v>
      </c>
      <c r="J851" s="27">
        <f>IF(OR(I851="",C851=""),"",I851-C851)</f>
        <v>0</v>
      </c>
      <c r="K851" s="26">
        <f>IF(A851="","",IF(MES!E851&lt;&gt;4,"Horário do MES fora do padrão",IF(H851&lt;cfgMinCortes,"Cortes insuficientes","Válida")))</f>
        <v>0</v>
      </c>
      <c r="L851" s="27">
        <f>IF(K851="Válida",ABS(J851),"")</f>
        <v>0</v>
      </c>
      <c r="M851" s="26">
        <f>IF(K851="Válida",IF(L851&lt;=cfgTolerancia,"Sim","Não"),"")</f>
        <v>0</v>
      </c>
      <c r="N851" s="26">
        <f>IF(A851="","",MES!D851)</f>
        <v>0</v>
      </c>
      <c r="O851" s="25">
        <f>IF(K851="Válida",A851,NA())</f>
        <v>0</v>
      </c>
      <c r="P851" s="27">
        <f>IF(K851="Válida",C851,NA())</f>
        <v>0</v>
      </c>
      <c r="Q851" s="27">
        <f>IF(K851="Válida",I851,NA())</f>
        <v>0</v>
      </c>
      <c r="R851" s="27">
        <f>IF(K851="Válida",J851,NA())</f>
        <v>0</v>
      </c>
      <c r="S851" s="27">
        <f>IF(K851="Válida",C851,"")</f>
        <v>0</v>
      </c>
      <c r="T851" s="27">
        <f>IF(K851="Válida",I851,"")</f>
        <v>0</v>
      </c>
      <c r="U851" s="27">
        <f>IF(K851="Válida",J851,"")</f>
        <v>0</v>
      </c>
    </row>
    <row r="852" spans="1:21">
      <c r="A852" s="25">
        <f>IF(MES!A852="","",MES!C852/48)</f>
        <v>0</v>
      </c>
      <c r="B852" s="26">
        <f>IF(A852="","",TEXT((N852*4+cfgDeslocamento)/48,"hh:mm")&amp;" a "&amp;TEXT(A852,"hh:mm"))</f>
        <v>0</v>
      </c>
      <c r="C852" s="27">
        <f>IF(A852="","",MES!B852)</f>
        <v>0</v>
      </c>
      <c r="D852" s="27">
        <f>IF(A852="","",IFERROR(AVERAGEIFS(Prensa!$B$2:$B$5001,Prensa!$E$2:$E$5001,N852,Prensa!$F$2:$F$5001,1,Prensa!$G$2:$G$5001,1),""))</f>
        <v>0</v>
      </c>
      <c r="E852" s="27">
        <f>IF(A852="","",IFERROR(AVERAGEIFS(Prensa!$B$2:$B$5001,Prensa!$E$2:$E$5001,N852,Prensa!$F$2:$F$5001,2,Prensa!$G$2:$G$5001,1),""))</f>
        <v>0</v>
      </c>
      <c r="F852" s="27">
        <f>IF(A852="","",IFERROR(AVERAGEIFS(Prensa!$B$2:$B$5001,Prensa!$E$2:$E$5001,N852,Prensa!$F$2:$F$5001,3,Prensa!$G$2:$G$5001,1),""))</f>
        <v>0</v>
      </c>
      <c r="G852" s="27">
        <f>IF(A852="","",IFERROR(AVERAGEIFS(Prensa!$B$2:$B$5001,Prensa!$E$2:$E$5001,N852,Prensa!$F$2:$F$5001,4,Prensa!$G$2:$G$5001,1),""))</f>
        <v>0</v>
      </c>
      <c r="H852" s="26">
        <f>IF(A852="","",COUNT(D852:G852))</f>
        <v>0</v>
      </c>
      <c r="I852" s="27">
        <f>IF(A852="","",IF(H852=0,"",AVERAGE(D852:G852)))</f>
        <v>0</v>
      </c>
      <c r="J852" s="27">
        <f>IF(OR(I852="",C852=""),"",I852-C852)</f>
        <v>0</v>
      </c>
      <c r="K852" s="26">
        <f>IF(A852="","",IF(MES!E852&lt;&gt;4,"Horário do MES fora do padrão",IF(H852&lt;cfgMinCortes,"Cortes insuficientes","Válida")))</f>
        <v>0</v>
      </c>
      <c r="L852" s="27">
        <f>IF(K852="Válida",ABS(J852),"")</f>
        <v>0</v>
      </c>
      <c r="M852" s="26">
        <f>IF(K852="Válida",IF(L852&lt;=cfgTolerancia,"Sim","Não"),"")</f>
        <v>0</v>
      </c>
      <c r="N852" s="26">
        <f>IF(A852="","",MES!D852)</f>
        <v>0</v>
      </c>
      <c r="O852" s="25">
        <f>IF(K852="Válida",A852,NA())</f>
        <v>0</v>
      </c>
      <c r="P852" s="27">
        <f>IF(K852="Válida",C852,NA())</f>
        <v>0</v>
      </c>
      <c r="Q852" s="27">
        <f>IF(K852="Válida",I852,NA())</f>
        <v>0</v>
      </c>
      <c r="R852" s="27">
        <f>IF(K852="Válida",J852,NA())</f>
        <v>0</v>
      </c>
      <c r="S852" s="27">
        <f>IF(K852="Válida",C852,"")</f>
        <v>0</v>
      </c>
      <c r="T852" s="27">
        <f>IF(K852="Válida",I852,"")</f>
        <v>0</v>
      </c>
      <c r="U852" s="27">
        <f>IF(K852="Válida",J852,"")</f>
        <v>0</v>
      </c>
    </row>
    <row r="853" spans="1:21">
      <c r="A853" s="25">
        <f>IF(MES!A853="","",MES!C853/48)</f>
        <v>0</v>
      </c>
      <c r="B853" s="26">
        <f>IF(A853="","",TEXT((N853*4+cfgDeslocamento)/48,"hh:mm")&amp;" a "&amp;TEXT(A853,"hh:mm"))</f>
        <v>0</v>
      </c>
      <c r="C853" s="27">
        <f>IF(A853="","",MES!B853)</f>
        <v>0</v>
      </c>
      <c r="D853" s="27">
        <f>IF(A853="","",IFERROR(AVERAGEIFS(Prensa!$B$2:$B$5001,Prensa!$E$2:$E$5001,N853,Prensa!$F$2:$F$5001,1,Prensa!$G$2:$G$5001,1),""))</f>
        <v>0</v>
      </c>
      <c r="E853" s="27">
        <f>IF(A853="","",IFERROR(AVERAGEIFS(Prensa!$B$2:$B$5001,Prensa!$E$2:$E$5001,N853,Prensa!$F$2:$F$5001,2,Prensa!$G$2:$G$5001,1),""))</f>
        <v>0</v>
      </c>
      <c r="F853" s="27">
        <f>IF(A853="","",IFERROR(AVERAGEIFS(Prensa!$B$2:$B$5001,Prensa!$E$2:$E$5001,N853,Prensa!$F$2:$F$5001,3,Prensa!$G$2:$G$5001,1),""))</f>
        <v>0</v>
      </c>
      <c r="G853" s="27">
        <f>IF(A853="","",IFERROR(AVERAGEIFS(Prensa!$B$2:$B$5001,Prensa!$E$2:$E$5001,N853,Prensa!$F$2:$F$5001,4,Prensa!$G$2:$G$5001,1),""))</f>
        <v>0</v>
      </c>
      <c r="H853" s="26">
        <f>IF(A853="","",COUNT(D853:G853))</f>
        <v>0</v>
      </c>
      <c r="I853" s="27">
        <f>IF(A853="","",IF(H853=0,"",AVERAGE(D853:G853)))</f>
        <v>0</v>
      </c>
      <c r="J853" s="27">
        <f>IF(OR(I853="",C853=""),"",I853-C853)</f>
        <v>0</v>
      </c>
      <c r="K853" s="26">
        <f>IF(A853="","",IF(MES!E853&lt;&gt;4,"Horário do MES fora do padrão",IF(H853&lt;cfgMinCortes,"Cortes insuficientes","Válida")))</f>
        <v>0</v>
      </c>
      <c r="L853" s="27">
        <f>IF(K853="Válida",ABS(J853),"")</f>
        <v>0</v>
      </c>
      <c r="M853" s="26">
        <f>IF(K853="Válida",IF(L853&lt;=cfgTolerancia,"Sim","Não"),"")</f>
        <v>0</v>
      </c>
      <c r="N853" s="26">
        <f>IF(A853="","",MES!D853)</f>
        <v>0</v>
      </c>
      <c r="O853" s="25">
        <f>IF(K853="Válida",A853,NA())</f>
        <v>0</v>
      </c>
      <c r="P853" s="27">
        <f>IF(K853="Válida",C853,NA())</f>
        <v>0</v>
      </c>
      <c r="Q853" s="27">
        <f>IF(K853="Válida",I853,NA())</f>
        <v>0</v>
      </c>
      <c r="R853" s="27">
        <f>IF(K853="Válida",J853,NA())</f>
        <v>0</v>
      </c>
      <c r="S853" s="27">
        <f>IF(K853="Válida",C853,"")</f>
        <v>0</v>
      </c>
      <c r="T853" s="27">
        <f>IF(K853="Válida",I853,"")</f>
        <v>0</v>
      </c>
      <c r="U853" s="27">
        <f>IF(K853="Válida",J853,"")</f>
        <v>0</v>
      </c>
    </row>
    <row r="854" spans="1:21">
      <c r="A854" s="25">
        <f>IF(MES!A854="","",MES!C854/48)</f>
        <v>0</v>
      </c>
      <c r="B854" s="26">
        <f>IF(A854="","",TEXT((N854*4+cfgDeslocamento)/48,"hh:mm")&amp;" a "&amp;TEXT(A854,"hh:mm"))</f>
        <v>0</v>
      </c>
      <c r="C854" s="27">
        <f>IF(A854="","",MES!B854)</f>
        <v>0</v>
      </c>
      <c r="D854" s="27">
        <f>IF(A854="","",IFERROR(AVERAGEIFS(Prensa!$B$2:$B$5001,Prensa!$E$2:$E$5001,N854,Prensa!$F$2:$F$5001,1,Prensa!$G$2:$G$5001,1),""))</f>
        <v>0</v>
      </c>
      <c r="E854" s="27">
        <f>IF(A854="","",IFERROR(AVERAGEIFS(Prensa!$B$2:$B$5001,Prensa!$E$2:$E$5001,N854,Prensa!$F$2:$F$5001,2,Prensa!$G$2:$G$5001,1),""))</f>
        <v>0</v>
      </c>
      <c r="F854" s="27">
        <f>IF(A854="","",IFERROR(AVERAGEIFS(Prensa!$B$2:$B$5001,Prensa!$E$2:$E$5001,N854,Prensa!$F$2:$F$5001,3,Prensa!$G$2:$G$5001,1),""))</f>
        <v>0</v>
      </c>
      <c r="G854" s="27">
        <f>IF(A854="","",IFERROR(AVERAGEIFS(Prensa!$B$2:$B$5001,Prensa!$E$2:$E$5001,N854,Prensa!$F$2:$F$5001,4,Prensa!$G$2:$G$5001,1),""))</f>
        <v>0</v>
      </c>
      <c r="H854" s="26">
        <f>IF(A854="","",COUNT(D854:G854))</f>
        <v>0</v>
      </c>
      <c r="I854" s="27">
        <f>IF(A854="","",IF(H854=0,"",AVERAGE(D854:G854)))</f>
        <v>0</v>
      </c>
      <c r="J854" s="27">
        <f>IF(OR(I854="",C854=""),"",I854-C854)</f>
        <v>0</v>
      </c>
      <c r="K854" s="26">
        <f>IF(A854="","",IF(MES!E854&lt;&gt;4,"Horário do MES fora do padrão",IF(H854&lt;cfgMinCortes,"Cortes insuficientes","Válida")))</f>
        <v>0</v>
      </c>
      <c r="L854" s="27">
        <f>IF(K854="Válida",ABS(J854),"")</f>
        <v>0</v>
      </c>
      <c r="M854" s="26">
        <f>IF(K854="Válida",IF(L854&lt;=cfgTolerancia,"Sim","Não"),"")</f>
        <v>0</v>
      </c>
      <c r="N854" s="26">
        <f>IF(A854="","",MES!D854)</f>
        <v>0</v>
      </c>
      <c r="O854" s="25">
        <f>IF(K854="Válida",A854,NA())</f>
        <v>0</v>
      </c>
      <c r="P854" s="27">
        <f>IF(K854="Válida",C854,NA())</f>
        <v>0</v>
      </c>
      <c r="Q854" s="27">
        <f>IF(K854="Válida",I854,NA())</f>
        <v>0</v>
      </c>
      <c r="R854" s="27">
        <f>IF(K854="Válida",J854,NA())</f>
        <v>0</v>
      </c>
      <c r="S854" s="27">
        <f>IF(K854="Válida",C854,"")</f>
        <v>0</v>
      </c>
      <c r="T854" s="27">
        <f>IF(K854="Válida",I854,"")</f>
        <v>0</v>
      </c>
      <c r="U854" s="27">
        <f>IF(K854="Válida",J854,"")</f>
        <v>0</v>
      </c>
    </row>
    <row r="855" spans="1:21">
      <c r="A855" s="25">
        <f>IF(MES!A855="","",MES!C855/48)</f>
        <v>0</v>
      </c>
      <c r="B855" s="26">
        <f>IF(A855="","",TEXT((N855*4+cfgDeslocamento)/48,"hh:mm")&amp;" a "&amp;TEXT(A855,"hh:mm"))</f>
        <v>0</v>
      </c>
      <c r="C855" s="27">
        <f>IF(A855="","",MES!B855)</f>
        <v>0</v>
      </c>
      <c r="D855" s="27">
        <f>IF(A855="","",IFERROR(AVERAGEIFS(Prensa!$B$2:$B$5001,Prensa!$E$2:$E$5001,N855,Prensa!$F$2:$F$5001,1,Prensa!$G$2:$G$5001,1),""))</f>
        <v>0</v>
      </c>
      <c r="E855" s="27">
        <f>IF(A855="","",IFERROR(AVERAGEIFS(Prensa!$B$2:$B$5001,Prensa!$E$2:$E$5001,N855,Prensa!$F$2:$F$5001,2,Prensa!$G$2:$G$5001,1),""))</f>
        <v>0</v>
      </c>
      <c r="F855" s="27">
        <f>IF(A855="","",IFERROR(AVERAGEIFS(Prensa!$B$2:$B$5001,Prensa!$E$2:$E$5001,N855,Prensa!$F$2:$F$5001,3,Prensa!$G$2:$G$5001,1),""))</f>
        <v>0</v>
      </c>
      <c r="G855" s="27">
        <f>IF(A855="","",IFERROR(AVERAGEIFS(Prensa!$B$2:$B$5001,Prensa!$E$2:$E$5001,N855,Prensa!$F$2:$F$5001,4,Prensa!$G$2:$G$5001,1),""))</f>
        <v>0</v>
      </c>
      <c r="H855" s="26">
        <f>IF(A855="","",COUNT(D855:G855))</f>
        <v>0</v>
      </c>
      <c r="I855" s="27">
        <f>IF(A855="","",IF(H855=0,"",AVERAGE(D855:G855)))</f>
        <v>0</v>
      </c>
      <c r="J855" s="27">
        <f>IF(OR(I855="",C855=""),"",I855-C855)</f>
        <v>0</v>
      </c>
      <c r="K855" s="26">
        <f>IF(A855="","",IF(MES!E855&lt;&gt;4,"Horário do MES fora do padrão",IF(H855&lt;cfgMinCortes,"Cortes insuficientes","Válida")))</f>
        <v>0</v>
      </c>
      <c r="L855" s="27">
        <f>IF(K855="Válida",ABS(J855),"")</f>
        <v>0</v>
      </c>
      <c r="M855" s="26">
        <f>IF(K855="Válida",IF(L855&lt;=cfgTolerancia,"Sim","Não"),"")</f>
        <v>0</v>
      </c>
      <c r="N855" s="26">
        <f>IF(A855="","",MES!D855)</f>
        <v>0</v>
      </c>
      <c r="O855" s="25">
        <f>IF(K855="Válida",A855,NA())</f>
        <v>0</v>
      </c>
      <c r="P855" s="27">
        <f>IF(K855="Válida",C855,NA())</f>
        <v>0</v>
      </c>
      <c r="Q855" s="27">
        <f>IF(K855="Válida",I855,NA())</f>
        <v>0</v>
      </c>
      <c r="R855" s="27">
        <f>IF(K855="Válida",J855,NA())</f>
        <v>0</v>
      </c>
      <c r="S855" s="27">
        <f>IF(K855="Válida",C855,"")</f>
        <v>0</v>
      </c>
      <c r="T855" s="27">
        <f>IF(K855="Válida",I855,"")</f>
        <v>0</v>
      </c>
      <c r="U855" s="27">
        <f>IF(K855="Válida",J855,"")</f>
        <v>0</v>
      </c>
    </row>
    <row r="856" spans="1:21">
      <c r="A856" s="25">
        <f>IF(MES!A856="","",MES!C856/48)</f>
        <v>0</v>
      </c>
      <c r="B856" s="26">
        <f>IF(A856="","",TEXT((N856*4+cfgDeslocamento)/48,"hh:mm")&amp;" a "&amp;TEXT(A856,"hh:mm"))</f>
        <v>0</v>
      </c>
      <c r="C856" s="27">
        <f>IF(A856="","",MES!B856)</f>
        <v>0</v>
      </c>
      <c r="D856" s="27">
        <f>IF(A856="","",IFERROR(AVERAGEIFS(Prensa!$B$2:$B$5001,Prensa!$E$2:$E$5001,N856,Prensa!$F$2:$F$5001,1,Prensa!$G$2:$G$5001,1),""))</f>
        <v>0</v>
      </c>
      <c r="E856" s="27">
        <f>IF(A856="","",IFERROR(AVERAGEIFS(Prensa!$B$2:$B$5001,Prensa!$E$2:$E$5001,N856,Prensa!$F$2:$F$5001,2,Prensa!$G$2:$G$5001,1),""))</f>
        <v>0</v>
      </c>
      <c r="F856" s="27">
        <f>IF(A856="","",IFERROR(AVERAGEIFS(Prensa!$B$2:$B$5001,Prensa!$E$2:$E$5001,N856,Prensa!$F$2:$F$5001,3,Prensa!$G$2:$G$5001,1),""))</f>
        <v>0</v>
      </c>
      <c r="G856" s="27">
        <f>IF(A856="","",IFERROR(AVERAGEIFS(Prensa!$B$2:$B$5001,Prensa!$E$2:$E$5001,N856,Prensa!$F$2:$F$5001,4,Prensa!$G$2:$G$5001,1),""))</f>
        <v>0</v>
      </c>
      <c r="H856" s="26">
        <f>IF(A856="","",COUNT(D856:G856))</f>
        <v>0</v>
      </c>
      <c r="I856" s="27">
        <f>IF(A856="","",IF(H856=0,"",AVERAGE(D856:G856)))</f>
        <v>0</v>
      </c>
      <c r="J856" s="27">
        <f>IF(OR(I856="",C856=""),"",I856-C856)</f>
        <v>0</v>
      </c>
      <c r="K856" s="26">
        <f>IF(A856="","",IF(MES!E856&lt;&gt;4,"Horário do MES fora do padrão",IF(H856&lt;cfgMinCortes,"Cortes insuficientes","Válida")))</f>
        <v>0</v>
      </c>
      <c r="L856" s="27">
        <f>IF(K856="Válida",ABS(J856),"")</f>
        <v>0</v>
      </c>
      <c r="M856" s="26">
        <f>IF(K856="Válida",IF(L856&lt;=cfgTolerancia,"Sim","Não"),"")</f>
        <v>0</v>
      </c>
      <c r="N856" s="26">
        <f>IF(A856="","",MES!D856)</f>
        <v>0</v>
      </c>
      <c r="O856" s="25">
        <f>IF(K856="Válida",A856,NA())</f>
        <v>0</v>
      </c>
      <c r="P856" s="27">
        <f>IF(K856="Válida",C856,NA())</f>
        <v>0</v>
      </c>
      <c r="Q856" s="27">
        <f>IF(K856="Válida",I856,NA())</f>
        <v>0</v>
      </c>
      <c r="R856" s="27">
        <f>IF(K856="Válida",J856,NA())</f>
        <v>0</v>
      </c>
      <c r="S856" s="27">
        <f>IF(K856="Válida",C856,"")</f>
        <v>0</v>
      </c>
      <c r="T856" s="27">
        <f>IF(K856="Válida",I856,"")</f>
        <v>0</v>
      </c>
      <c r="U856" s="27">
        <f>IF(K856="Válida",J856,"")</f>
        <v>0</v>
      </c>
    </row>
    <row r="857" spans="1:21">
      <c r="A857" s="25">
        <f>IF(MES!A857="","",MES!C857/48)</f>
        <v>0</v>
      </c>
      <c r="B857" s="26">
        <f>IF(A857="","",TEXT((N857*4+cfgDeslocamento)/48,"hh:mm")&amp;" a "&amp;TEXT(A857,"hh:mm"))</f>
        <v>0</v>
      </c>
      <c r="C857" s="27">
        <f>IF(A857="","",MES!B857)</f>
        <v>0</v>
      </c>
      <c r="D857" s="27">
        <f>IF(A857="","",IFERROR(AVERAGEIFS(Prensa!$B$2:$B$5001,Prensa!$E$2:$E$5001,N857,Prensa!$F$2:$F$5001,1,Prensa!$G$2:$G$5001,1),""))</f>
        <v>0</v>
      </c>
      <c r="E857" s="27">
        <f>IF(A857="","",IFERROR(AVERAGEIFS(Prensa!$B$2:$B$5001,Prensa!$E$2:$E$5001,N857,Prensa!$F$2:$F$5001,2,Prensa!$G$2:$G$5001,1),""))</f>
        <v>0</v>
      </c>
      <c r="F857" s="27">
        <f>IF(A857="","",IFERROR(AVERAGEIFS(Prensa!$B$2:$B$5001,Prensa!$E$2:$E$5001,N857,Prensa!$F$2:$F$5001,3,Prensa!$G$2:$G$5001,1),""))</f>
        <v>0</v>
      </c>
      <c r="G857" s="27">
        <f>IF(A857="","",IFERROR(AVERAGEIFS(Prensa!$B$2:$B$5001,Prensa!$E$2:$E$5001,N857,Prensa!$F$2:$F$5001,4,Prensa!$G$2:$G$5001,1),""))</f>
        <v>0</v>
      </c>
      <c r="H857" s="26">
        <f>IF(A857="","",COUNT(D857:G857))</f>
        <v>0</v>
      </c>
      <c r="I857" s="27">
        <f>IF(A857="","",IF(H857=0,"",AVERAGE(D857:G857)))</f>
        <v>0</v>
      </c>
      <c r="J857" s="27">
        <f>IF(OR(I857="",C857=""),"",I857-C857)</f>
        <v>0</v>
      </c>
      <c r="K857" s="26">
        <f>IF(A857="","",IF(MES!E857&lt;&gt;4,"Horário do MES fora do padrão",IF(H857&lt;cfgMinCortes,"Cortes insuficientes","Válida")))</f>
        <v>0</v>
      </c>
      <c r="L857" s="27">
        <f>IF(K857="Válida",ABS(J857),"")</f>
        <v>0</v>
      </c>
      <c r="M857" s="26">
        <f>IF(K857="Válida",IF(L857&lt;=cfgTolerancia,"Sim","Não"),"")</f>
        <v>0</v>
      </c>
      <c r="N857" s="26">
        <f>IF(A857="","",MES!D857)</f>
        <v>0</v>
      </c>
      <c r="O857" s="25">
        <f>IF(K857="Válida",A857,NA())</f>
        <v>0</v>
      </c>
      <c r="P857" s="27">
        <f>IF(K857="Válida",C857,NA())</f>
        <v>0</v>
      </c>
      <c r="Q857" s="27">
        <f>IF(K857="Válida",I857,NA())</f>
        <v>0</v>
      </c>
      <c r="R857" s="27">
        <f>IF(K857="Válida",J857,NA())</f>
        <v>0</v>
      </c>
      <c r="S857" s="27">
        <f>IF(K857="Válida",C857,"")</f>
        <v>0</v>
      </c>
      <c r="T857" s="27">
        <f>IF(K857="Válida",I857,"")</f>
        <v>0</v>
      </c>
      <c r="U857" s="27">
        <f>IF(K857="Válida",J857,"")</f>
        <v>0</v>
      </c>
    </row>
    <row r="858" spans="1:21">
      <c r="A858" s="25">
        <f>IF(MES!A858="","",MES!C858/48)</f>
        <v>0</v>
      </c>
      <c r="B858" s="26">
        <f>IF(A858="","",TEXT((N858*4+cfgDeslocamento)/48,"hh:mm")&amp;" a "&amp;TEXT(A858,"hh:mm"))</f>
        <v>0</v>
      </c>
      <c r="C858" s="27">
        <f>IF(A858="","",MES!B858)</f>
        <v>0</v>
      </c>
      <c r="D858" s="27">
        <f>IF(A858="","",IFERROR(AVERAGEIFS(Prensa!$B$2:$B$5001,Prensa!$E$2:$E$5001,N858,Prensa!$F$2:$F$5001,1,Prensa!$G$2:$G$5001,1),""))</f>
        <v>0</v>
      </c>
      <c r="E858" s="27">
        <f>IF(A858="","",IFERROR(AVERAGEIFS(Prensa!$B$2:$B$5001,Prensa!$E$2:$E$5001,N858,Prensa!$F$2:$F$5001,2,Prensa!$G$2:$G$5001,1),""))</f>
        <v>0</v>
      </c>
      <c r="F858" s="27">
        <f>IF(A858="","",IFERROR(AVERAGEIFS(Prensa!$B$2:$B$5001,Prensa!$E$2:$E$5001,N858,Prensa!$F$2:$F$5001,3,Prensa!$G$2:$G$5001,1),""))</f>
        <v>0</v>
      </c>
      <c r="G858" s="27">
        <f>IF(A858="","",IFERROR(AVERAGEIFS(Prensa!$B$2:$B$5001,Prensa!$E$2:$E$5001,N858,Prensa!$F$2:$F$5001,4,Prensa!$G$2:$G$5001,1),""))</f>
        <v>0</v>
      </c>
      <c r="H858" s="26">
        <f>IF(A858="","",COUNT(D858:G858))</f>
        <v>0</v>
      </c>
      <c r="I858" s="27">
        <f>IF(A858="","",IF(H858=0,"",AVERAGE(D858:G858)))</f>
        <v>0</v>
      </c>
      <c r="J858" s="27">
        <f>IF(OR(I858="",C858=""),"",I858-C858)</f>
        <v>0</v>
      </c>
      <c r="K858" s="26">
        <f>IF(A858="","",IF(MES!E858&lt;&gt;4,"Horário do MES fora do padrão",IF(H858&lt;cfgMinCortes,"Cortes insuficientes","Válida")))</f>
        <v>0</v>
      </c>
      <c r="L858" s="27">
        <f>IF(K858="Válida",ABS(J858),"")</f>
        <v>0</v>
      </c>
      <c r="M858" s="26">
        <f>IF(K858="Válida",IF(L858&lt;=cfgTolerancia,"Sim","Não"),"")</f>
        <v>0</v>
      </c>
      <c r="N858" s="26">
        <f>IF(A858="","",MES!D858)</f>
        <v>0</v>
      </c>
      <c r="O858" s="25">
        <f>IF(K858="Válida",A858,NA())</f>
        <v>0</v>
      </c>
      <c r="P858" s="27">
        <f>IF(K858="Válida",C858,NA())</f>
        <v>0</v>
      </c>
      <c r="Q858" s="27">
        <f>IF(K858="Válida",I858,NA())</f>
        <v>0</v>
      </c>
      <c r="R858" s="27">
        <f>IF(K858="Válida",J858,NA())</f>
        <v>0</v>
      </c>
      <c r="S858" s="27">
        <f>IF(K858="Válida",C858,"")</f>
        <v>0</v>
      </c>
      <c r="T858" s="27">
        <f>IF(K858="Válida",I858,"")</f>
        <v>0</v>
      </c>
      <c r="U858" s="27">
        <f>IF(K858="Válida",J858,"")</f>
        <v>0</v>
      </c>
    </row>
    <row r="859" spans="1:21">
      <c r="A859" s="25">
        <f>IF(MES!A859="","",MES!C859/48)</f>
        <v>0</v>
      </c>
      <c r="B859" s="26">
        <f>IF(A859="","",TEXT((N859*4+cfgDeslocamento)/48,"hh:mm")&amp;" a "&amp;TEXT(A859,"hh:mm"))</f>
        <v>0</v>
      </c>
      <c r="C859" s="27">
        <f>IF(A859="","",MES!B859)</f>
        <v>0</v>
      </c>
      <c r="D859" s="27">
        <f>IF(A859="","",IFERROR(AVERAGEIFS(Prensa!$B$2:$B$5001,Prensa!$E$2:$E$5001,N859,Prensa!$F$2:$F$5001,1,Prensa!$G$2:$G$5001,1),""))</f>
        <v>0</v>
      </c>
      <c r="E859" s="27">
        <f>IF(A859="","",IFERROR(AVERAGEIFS(Prensa!$B$2:$B$5001,Prensa!$E$2:$E$5001,N859,Prensa!$F$2:$F$5001,2,Prensa!$G$2:$G$5001,1),""))</f>
        <v>0</v>
      </c>
      <c r="F859" s="27">
        <f>IF(A859="","",IFERROR(AVERAGEIFS(Prensa!$B$2:$B$5001,Prensa!$E$2:$E$5001,N859,Prensa!$F$2:$F$5001,3,Prensa!$G$2:$G$5001,1),""))</f>
        <v>0</v>
      </c>
      <c r="G859" s="27">
        <f>IF(A859="","",IFERROR(AVERAGEIFS(Prensa!$B$2:$B$5001,Prensa!$E$2:$E$5001,N859,Prensa!$F$2:$F$5001,4,Prensa!$G$2:$G$5001,1),""))</f>
        <v>0</v>
      </c>
      <c r="H859" s="26">
        <f>IF(A859="","",COUNT(D859:G859))</f>
        <v>0</v>
      </c>
      <c r="I859" s="27">
        <f>IF(A859="","",IF(H859=0,"",AVERAGE(D859:G859)))</f>
        <v>0</v>
      </c>
      <c r="J859" s="27">
        <f>IF(OR(I859="",C859=""),"",I859-C859)</f>
        <v>0</v>
      </c>
      <c r="K859" s="26">
        <f>IF(A859="","",IF(MES!E859&lt;&gt;4,"Horário do MES fora do padrão",IF(H859&lt;cfgMinCortes,"Cortes insuficientes","Válida")))</f>
        <v>0</v>
      </c>
      <c r="L859" s="27">
        <f>IF(K859="Válida",ABS(J859),"")</f>
        <v>0</v>
      </c>
      <c r="M859" s="26">
        <f>IF(K859="Válida",IF(L859&lt;=cfgTolerancia,"Sim","Não"),"")</f>
        <v>0</v>
      </c>
      <c r="N859" s="26">
        <f>IF(A859="","",MES!D859)</f>
        <v>0</v>
      </c>
      <c r="O859" s="25">
        <f>IF(K859="Válida",A859,NA())</f>
        <v>0</v>
      </c>
      <c r="P859" s="27">
        <f>IF(K859="Válida",C859,NA())</f>
        <v>0</v>
      </c>
      <c r="Q859" s="27">
        <f>IF(K859="Válida",I859,NA())</f>
        <v>0</v>
      </c>
      <c r="R859" s="27">
        <f>IF(K859="Válida",J859,NA())</f>
        <v>0</v>
      </c>
      <c r="S859" s="27">
        <f>IF(K859="Válida",C859,"")</f>
        <v>0</v>
      </c>
      <c r="T859" s="27">
        <f>IF(K859="Válida",I859,"")</f>
        <v>0</v>
      </c>
      <c r="U859" s="27">
        <f>IF(K859="Válida",J859,"")</f>
        <v>0</v>
      </c>
    </row>
    <row r="860" spans="1:21">
      <c r="A860" s="25">
        <f>IF(MES!A860="","",MES!C860/48)</f>
        <v>0</v>
      </c>
      <c r="B860" s="26">
        <f>IF(A860="","",TEXT((N860*4+cfgDeslocamento)/48,"hh:mm")&amp;" a "&amp;TEXT(A860,"hh:mm"))</f>
        <v>0</v>
      </c>
      <c r="C860" s="27">
        <f>IF(A860="","",MES!B860)</f>
        <v>0</v>
      </c>
      <c r="D860" s="27">
        <f>IF(A860="","",IFERROR(AVERAGEIFS(Prensa!$B$2:$B$5001,Prensa!$E$2:$E$5001,N860,Prensa!$F$2:$F$5001,1,Prensa!$G$2:$G$5001,1),""))</f>
        <v>0</v>
      </c>
      <c r="E860" s="27">
        <f>IF(A860="","",IFERROR(AVERAGEIFS(Prensa!$B$2:$B$5001,Prensa!$E$2:$E$5001,N860,Prensa!$F$2:$F$5001,2,Prensa!$G$2:$G$5001,1),""))</f>
        <v>0</v>
      </c>
      <c r="F860" s="27">
        <f>IF(A860="","",IFERROR(AVERAGEIFS(Prensa!$B$2:$B$5001,Prensa!$E$2:$E$5001,N860,Prensa!$F$2:$F$5001,3,Prensa!$G$2:$G$5001,1),""))</f>
        <v>0</v>
      </c>
      <c r="G860" s="27">
        <f>IF(A860="","",IFERROR(AVERAGEIFS(Prensa!$B$2:$B$5001,Prensa!$E$2:$E$5001,N860,Prensa!$F$2:$F$5001,4,Prensa!$G$2:$G$5001,1),""))</f>
        <v>0</v>
      </c>
      <c r="H860" s="26">
        <f>IF(A860="","",COUNT(D860:G860))</f>
        <v>0</v>
      </c>
      <c r="I860" s="27">
        <f>IF(A860="","",IF(H860=0,"",AVERAGE(D860:G860)))</f>
        <v>0</v>
      </c>
      <c r="J860" s="27">
        <f>IF(OR(I860="",C860=""),"",I860-C860)</f>
        <v>0</v>
      </c>
      <c r="K860" s="26">
        <f>IF(A860="","",IF(MES!E860&lt;&gt;4,"Horário do MES fora do padrão",IF(H860&lt;cfgMinCortes,"Cortes insuficientes","Válida")))</f>
        <v>0</v>
      </c>
      <c r="L860" s="27">
        <f>IF(K860="Válida",ABS(J860),"")</f>
        <v>0</v>
      </c>
      <c r="M860" s="26">
        <f>IF(K860="Válida",IF(L860&lt;=cfgTolerancia,"Sim","Não"),"")</f>
        <v>0</v>
      </c>
      <c r="N860" s="26">
        <f>IF(A860="","",MES!D860)</f>
        <v>0</v>
      </c>
      <c r="O860" s="25">
        <f>IF(K860="Válida",A860,NA())</f>
        <v>0</v>
      </c>
      <c r="P860" s="27">
        <f>IF(K860="Válida",C860,NA())</f>
        <v>0</v>
      </c>
      <c r="Q860" s="27">
        <f>IF(K860="Válida",I860,NA())</f>
        <v>0</v>
      </c>
      <c r="R860" s="27">
        <f>IF(K860="Válida",J860,NA())</f>
        <v>0</v>
      </c>
      <c r="S860" s="27">
        <f>IF(K860="Válida",C860,"")</f>
        <v>0</v>
      </c>
      <c r="T860" s="27">
        <f>IF(K860="Válida",I860,"")</f>
        <v>0</v>
      </c>
      <c r="U860" s="27">
        <f>IF(K860="Válida",J860,"")</f>
        <v>0</v>
      </c>
    </row>
    <row r="861" spans="1:21">
      <c r="A861" s="25">
        <f>IF(MES!A861="","",MES!C861/48)</f>
        <v>0</v>
      </c>
      <c r="B861" s="26">
        <f>IF(A861="","",TEXT((N861*4+cfgDeslocamento)/48,"hh:mm")&amp;" a "&amp;TEXT(A861,"hh:mm"))</f>
        <v>0</v>
      </c>
      <c r="C861" s="27">
        <f>IF(A861="","",MES!B861)</f>
        <v>0</v>
      </c>
      <c r="D861" s="27">
        <f>IF(A861="","",IFERROR(AVERAGEIFS(Prensa!$B$2:$B$5001,Prensa!$E$2:$E$5001,N861,Prensa!$F$2:$F$5001,1,Prensa!$G$2:$G$5001,1),""))</f>
        <v>0</v>
      </c>
      <c r="E861" s="27">
        <f>IF(A861="","",IFERROR(AVERAGEIFS(Prensa!$B$2:$B$5001,Prensa!$E$2:$E$5001,N861,Prensa!$F$2:$F$5001,2,Prensa!$G$2:$G$5001,1),""))</f>
        <v>0</v>
      </c>
      <c r="F861" s="27">
        <f>IF(A861="","",IFERROR(AVERAGEIFS(Prensa!$B$2:$B$5001,Prensa!$E$2:$E$5001,N861,Prensa!$F$2:$F$5001,3,Prensa!$G$2:$G$5001,1),""))</f>
        <v>0</v>
      </c>
      <c r="G861" s="27">
        <f>IF(A861="","",IFERROR(AVERAGEIFS(Prensa!$B$2:$B$5001,Prensa!$E$2:$E$5001,N861,Prensa!$F$2:$F$5001,4,Prensa!$G$2:$G$5001,1),""))</f>
        <v>0</v>
      </c>
      <c r="H861" s="26">
        <f>IF(A861="","",COUNT(D861:G861))</f>
        <v>0</v>
      </c>
      <c r="I861" s="27">
        <f>IF(A861="","",IF(H861=0,"",AVERAGE(D861:G861)))</f>
        <v>0</v>
      </c>
      <c r="J861" s="27">
        <f>IF(OR(I861="",C861=""),"",I861-C861)</f>
        <v>0</v>
      </c>
      <c r="K861" s="26">
        <f>IF(A861="","",IF(MES!E861&lt;&gt;4,"Horário do MES fora do padrão",IF(H861&lt;cfgMinCortes,"Cortes insuficientes","Válida")))</f>
        <v>0</v>
      </c>
      <c r="L861" s="27">
        <f>IF(K861="Válida",ABS(J861),"")</f>
        <v>0</v>
      </c>
      <c r="M861" s="26">
        <f>IF(K861="Válida",IF(L861&lt;=cfgTolerancia,"Sim","Não"),"")</f>
        <v>0</v>
      </c>
      <c r="N861" s="26">
        <f>IF(A861="","",MES!D861)</f>
        <v>0</v>
      </c>
      <c r="O861" s="25">
        <f>IF(K861="Válida",A861,NA())</f>
        <v>0</v>
      </c>
      <c r="P861" s="27">
        <f>IF(K861="Válida",C861,NA())</f>
        <v>0</v>
      </c>
      <c r="Q861" s="27">
        <f>IF(K861="Válida",I861,NA())</f>
        <v>0</v>
      </c>
      <c r="R861" s="27">
        <f>IF(K861="Válida",J861,NA())</f>
        <v>0</v>
      </c>
      <c r="S861" s="27">
        <f>IF(K861="Válida",C861,"")</f>
        <v>0</v>
      </c>
      <c r="T861" s="27">
        <f>IF(K861="Válida",I861,"")</f>
        <v>0</v>
      </c>
      <c r="U861" s="27">
        <f>IF(K861="Válida",J861,"")</f>
        <v>0</v>
      </c>
    </row>
    <row r="862" spans="1:21">
      <c r="A862" s="25">
        <f>IF(MES!A862="","",MES!C862/48)</f>
        <v>0</v>
      </c>
      <c r="B862" s="26">
        <f>IF(A862="","",TEXT((N862*4+cfgDeslocamento)/48,"hh:mm")&amp;" a "&amp;TEXT(A862,"hh:mm"))</f>
        <v>0</v>
      </c>
      <c r="C862" s="27">
        <f>IF(A862="","",MES!B862)</f>
        <v>0</v>
      </c>
      <c r="D862" s="27">
        <f>IF(A862="","",IFERROR(AVERAGEIFS(Prensa!$B$2:$B$5001,Prensa!$E$2:$E$5001,N862,Prensa!$F$2:$F$5001,1,Prensa!$G$2:$G$5001,1),""))</f>
        <v>0</v>
      </c>
      <c r="E862" s="27">
        <f>IF(A862="","",IFERROR(AVERAGEIFS(Prensa!$B$2:$B$5001,Prensa!$E$2:$E$5001,N862,Prensa!$F$2:$F$5001,2,Prensa!$G$2:$G$5001,1),""))</f>
        <v>0</v>
      </c>
      <c r="F862" s="27">
        <f>IF(A862="","",IFERROR(AVERAGEIFS(Prensa!$B$2:$B$5001,Prensa!$E$2:$E$5001,N862,Prensa!$F$2:$F$5001,3,Prensa!$G$2:$G$5001,1),""))</f>
        <v>0</v>
      </c>
      <c r="G862" s="27">
        <f>IF(A862="","",IFERROR(AVERAGEIFS(Prensa!$B$2:$B$5001,Prensa!$E$2:$E$5001,N862,Prensa!$F$2:$F$5001,4,Prensa!$G$2:$G$5001,1),""))</f>
        <v>0</v>
      </c>
      <c r="H862" s="26">
        <f>IF(A862="","",COUNT(D862:G862))</f>
        <v>0</v>
      </c>
      <c r="I862" s="27">
        <f>IF(A862="","",IF(H862=0,"",AVERAGE(D862:G862)))</f>
        <v>0</v>
      </c>
      <c r="J862" s="27">
        <f>IF(OR(I862="",C862=""),"",I862-C862)</f>
        <v>0</v>
      </c>
      <c r="K862" s="26">
        <f>IF(A862="","",IF(MES!E862&lt;&gt;4,"Horário do MES fora do padrão",IF(H862&lt;cfgMinCortes,"Cortes insuficientes","Válida")))</f>
        <v>0</v>
      </c>
      <c r="L862" s="27">
        <f>IF(K862="Válida",ABS(J862),"")</f>
        <v>0</v>
      </c>
      <c r="M862" s="26">
        <f>IF(K862="Válida",IF(L862&lt;=cfgTolerancia,"Sim","Não"),"")</f>
        <v>0</v>
      </c>
      <c r="N862" s="26">
        <f>IF(A862="","",MES!D862)</f>
        <v>0</v>
      </c>
      <c r="O862" s="25">
        <f>IF(K862="Válida",A862,NA())</f>
        <v>0</v>
      </c>
      <c r="P862" s="27">
        <f>IF(K862="Válida",C862,NA())</f>
        <v>0</v>
      </c>
      <c r="Q862" s="27">
        <f>IF(K862="Válida",I862,NA())</f>
        <v>0</v>
      </c>
      <c r="R862" s="27">
        <f>IF(K862="Válida",J862,NA())</f>
        <v>0</v>
      </c>
      <c r="S862" s="27">
        <f>IF(K862="Válida",C862,"")</f>
        <v>0</v>
      </c>
      <c r="T862" s="27">
        <f>IF(K862="Válida",I862,"")</f>
        <v>0</v>
      </c>
      <c r="U862" s="27">
        <f>IF(K862="Válida",J862,"")</f>
        <v>0</v>
      </c>
    </row>
    <row r="863" spans="1:21">
      <c r="A863" s="25">
        <f>IF(MES!A863="","",MES!C863/48)</f>
        <v>0</v>
      </c>
      <c r="B863" s="26">
        <f>IF(A863="","",TEXT((N863*4+cfgDeslocamento)/48,"hh:mm")&amp;" a "&amp;TEXT(A863,"hh:mm"))</f>
        <v>0</v>
      </c>
      <c r="C863" s="27">
        <f>IF(A863="","",MES!B863)</f>
        <v>0</v>
      </c>
      <c r="D863" s="27">
        <f>IF(A863="","",IFERROR(AVERAGEIFS(Prensa!$B$2:$B$5001,Prensa!$E$2:$E$5001,N863,Prensa!$F$2:$F$5001,1,Prensa!$G$2:$G$5001,1),""))</f>
        <v>0</v>
      </c>
      <c r="E863" s="27">
        <f>IF(A863="","",IFERROR(AVERAGEIFS(Prensa!$B$2:$B$5001,Prensa!$E$2:$E$5001,N863,Prensa!$F$2:$F$5001,2,Prensa!$G$2:$G$5001,1),""))</f>
        <v>0</v>
      </c>
      <c r="F863" s="27">
        <f>IF(A863="","",IFERROR(AVERAGEIFS(Prensa!$B$2:$B$5001,Prensa!$E$2:$E$5001,N863,Prensa!$F$2:$F$5001,3,Prensa!$G$2:$G$5001,1),""))</f>
        <v>0</v>
      </c>
      <c r="G863" s="27">
        <f>IF(A863="","",IFERROR(AVERAGEIFS(Prensa!$B$2:$B$5001,Prensa!$E$2:$E$5001,N863,Prensa!$F$2:$F$5001,4,Prensa!$G$2:$G$5001,1),""))</f>
        <v>0</v>
      </c>
      <c r="H863" s="26">
        <f>IF(A863="","",COUNT(D863:G863))</f>
        <v>0</v>
      </c>
      <c r="I863" s="27">
        <f>IF(A863="","",IF(H863=0,"",AVERAGE(D863:G863)))</f>
        <v>0</v>
      </c>
      <c r="J863" s="27">
        <f>IF(OR(I863="",C863=""),"",I863-C863)</f>
        <v>0</v>
      </c>
      <c r="K863" s="26">
        <f>IF(A863="","",IF(MES!E863&lt;&gt;4,"Horário do MES fora do padrão",IF(H863&lt;cfgMinCortes,"Cortes insuficientes","Válida")))</f>
        <v>0</v>
      </c>
      <c r="L863" s="27">
        <f>IF(K863="Válida",ABS(J863),"")</f>
        <v>0</v>
      </c>
      <c r="M863" s="26">
        <f>IF(K863="Válida",IF(L863&lt;=cfgTolerancia,"Sim","Não"),"")</f>
        <v>0</v>
      </c>
      <c r="N863" s="26">
        <f>IF(A863="","",MES!D863)</f>
        <v>0</v>
      </c>
      <c r="O863" s="25">
        <f>IF(K863="Válida",A863,NA())</f>
        <v>0</v>
      </c>
      <c r="P863" s="27">
        <f>IF(K863="Válida",C863,NA())</f>
        <v>0</v>
      </c>
      <c r="Q863" s="27">
        <f>IF(K863="Válida",I863,NA())</f>
        <v>0</v>
      </c>
      <c r="R863" s="27">
        <f>IF(K863="Válida",J863,NA())</f>
        <v>0</v>
      </c>
      <c r="S863" s="27">
        <f>IF(K863="Válida",C863,"")</f>
        <v>0</v>
      </c>
      <c r="T863" s="27">
        <f>IF(K863="Válida",I863,"")</f>
        <v>0</v>
      </c>
      <c r="U863" s="27">
        <f>IF(K863="Válida",J863,"")</f>
        <v>0</v>
      </c>
    </row>
    <row r="864" spans="1:21">
      <c r="A864" s="25">
        <f>IF(MES!A864="","",MES!C864/48)</f>
        <v>0</v>
      </c>
      <c r="B864" s="26">
        <f>IF(A864="","",TEXT((N864*4+cfgDeslocamento)/48,"hh:mm")&amp;" a "&amp;TEXT(A864,"hh:mm"))</f>
        <v>0</v>
      </c>
      <c r="C864" s="27">
        <f>IF(A864="","",MES!B864)</f>
        <v>0</v>
      </c>
      <c r="D864" s="27">
        <f>IF(A864="","",IFERROR(AVERAGEIFS(Prensa!$B$2:$B$5001,Prensa!$E$2:$E$5001,N864,Prensa!$F$2:$F$5001,1,Prensa!$G$2:$G$5001,1),""))</f>
        <v>0</v>
      </c>
      <c r="E864" s="27">
        <f>IF(A864="","",IFERROR(AVERAGEIFS(Prensa!$B$2:$B$5001,Prensa!$E$2:$E$5001,N864,Prensa!$F$2:$F$5001,2,Prensa!$G$2:$G$5001,1),""))</f>
        <v>0</v>
      </c>
      <c r="F864" s="27">
        <f>IF(A864="","",IFERROR(AVERAGEIFS(Prensa!$B$2:$B$5001,Prensa!$E$2:$E$5001,N864,Prensa!$F$2:$F$5001,3,Prensa!$G$2:$G$5001,1),""))</f>
        <v>0</v>
      </c>
      <c r="G864" s="27">
        <f>IF(A864="","",IFERROR(AVERAGEIFS(Prensa!$B$2:$B$5001,Prensa!$E$2:$E$5001,N864,Prensa!$F$2:$F$5001,4,Prensa!$G$2:$G$5001,1),""))</f>
        <v>0</v>
      </c>
      <c r="H864" s="26">
        <f>IF(A864="","",COUNT(D864:G864))</f>
        <v>0</v>
      </c>
      <c r="I864" s="27">
        <f>IF(A864="","",IF(H864=0,"",AVERAGE(D864:G864)))</f>
        <v>0</v>
      </c>
      <c r="J864" s="27">
        <f>IF(OR(I864="",C864=""),"",I864-C864)</f>
        <v>0</v>
      </c>
      <c r="K864" s="26">
        <f>IF(A864="","",IF(MES!E864&lt;&gt;4,"Horário do MES fora do padrão",IF(H864&lt;cfgMinCortes,"Cortes insuficientes","Válida")))</f>
        <v>0</v>
      </c>
      <c r="L864" s="27">
        <f>IF(K864="Válida",ABS(J864),"")</f>
        <v>0</v>
      </c>
      <c r="M864" s="26">
        <f>IF(K864="Válida",IF(L864&lt;=cfgTolerancia,"Sim","Não"),"")</f>
        <v>0</v>
      </c>
      <c r="N864" s="26">
        <f>IF(A864="","",MES!D864)</f>
        <v>0</v>
      </c>
      <c r="O864" s="25">
        <f>IF(K864="Válida",A864,NA())</f>
        <v>0</v>
      </c>
      <c r="P864" s="27">
        <f>IF(K864="Válida",C864,NA())</f>
        <v>0</v>
      </c>
      <c r="Q864" s="27">
        <f>IF(K864="Válida",I864,NA())</f>
        <v>0</v>
      </c>
      <c r="R864" s="27">
        <f>IF(K864="Válida",J864,NA())</f>
        <v>0</v>
      </c>
      <c r="S864" s="27">
        <f>IF(K864="Válida",C864,"")</f>
        <v>0</v>
      </c>
      <c r="T864" s="27">
        <f>IF(K864="Válida",I864,"")</f>
        <v>0</v>
      </c>
      <c r="U864" s="27">
        <f>IF(K864="Válida",J864,"")</f>
        <v>0</v>
      </c>
    </row>
    <row r="865" spans="1:21">
      <c r="A865" s="25">
        <f>IF(MES!A865="","",MES!C865/48)</f>
        <v>0</v>
      </c>
      <c r="B865" s="26">
        <f>IF(A865="","",TEXT((N865*4+cfgDeslocamento)/48,"hh:mm")&amp;" a "&amp;TEXT(A865,"hh:mm"))</f>
        <v>0</v>
      </c>
      <c r="C865" s="27">
        <f>IF(A865="","",MES!B865)</f>
        <v>0</v>
      </c>
      <c r="D865" s="27">
        <f>IF(A865="","",IFERROR(AVERAGEIFS(Prensa!$B$2:$B$5001,Prensa!$E$2:$E$5001,N865,Prensa!$F$2:$F$5001,1,Prensa!$G$2:$G$5001,1),""))</f>
        <v>0</v>
      </c>
      <c r="E865" s="27">
        <f>IF(A865="","",IFERROR(AVERAGEIFS(Prensa!$B$2:$B$5001,Prensa!$E$2:$E$5001,N865,Prensa!$F$2:$F$5001,2,Prensa!$G$2:$G$5001,1),""))</f>
        <v>0</v>
      </c>
      <c r="F865" s="27">
        <f>IF(A865="","",IFERROR(AVERAGEIFS(Prensa!$B$2:$B$5001,Prensa!$E$2:$E$5001,N865,Prensa!$F$2:$F$5001,3,Prensa!$G$2:$G$5001,1),""))</f>
        <v>0</v>
      </c>
      <c r="G865" s="27">
        <f>IF(A865="","",IFERROR(AVERAGEIFS(Prensa!$B$2:$B$5001,Prensa!$E$2:$E$5001,N865,Prensa!$F$2:$F$5001,4,Prensa!$G$2:$G$5001,1),""))</f>
        <v>0</v>
      </c>
      <c r="H865" s="26">
        <f>IF(A865="","",COUNT(D865:G865))</f>
        <v>0</v>
      </c>
      <c r="I865" s="27">
        <f>IF(A865="","",IF(H865=0,"",AVERAGE(D865:G865)))</f>
        <v>0</v>
      </c>
      <c r="J865" s="27">
        <f>IF(OR(I865="",C865=""),"",I865-C865)</f>
        <v>0</v>
      </c>
      <c r="K865" s="26">
        <f>IF(A865="","",IF(MES!E865&lt;&gt;4,"Horário do MES fora do padrão",IF(H865&lt;cfgMinCortes,"Cortes insuficientes","Válida")))</f>
        <v>0</v>
      </c>
      <c r="L865" s="27">
        <f>IF(K865="Válida",ABS(J865),"")</f>
        <v>0</v>
      </c>
      <c r="M865" s="26">
        <f>IF(K865="Válida",IF(L865&lt;=cfgTolerancia,"Sim","Não"),"")</f>
        <v>0</v>
      </c>
      <c r="N865" s="26">
        <f>IF(A865="","",MES!D865)</f>
        <v>0</v>
      </c>
      <c r="O865" s="25">
        <f>IF(K865="Válida",A865,NA())</f>
        <v>0</v>
      </c>
      <c r="P865" s="27">
        <f>IF(K865="Válida",C865,NA())</f>
        <v>0</v>
      </c>
      <c r="Q865" s="27">
        <f>IF(K865="Válida",I865,NA())</f>
        <v>0</v>
      </c>
      <c r="R865" s="27">
        <f>IF(K865="Válida",J865,NA())</f>
        <v>0</v>
      </c>
      <c r="S865" s="27">
        <f>IF(K865="Válida",C865,"")</f>
        <v>0</v>
      </c>
      <c r="T865" s="27">
        <f>IF(K865="Válida",I865,"")</f>
        <v>0</v>
      </c>
      <c r="U865" s="27">
        <f>IF(K865="Válida",J865,"")</f>
        <v>0</v>
      </c>
    </row>
    <row r="866" spans="1:21">
      <c r="A866" s="25">
        <f>IF(MES!A866="","",MES!C866/48)</f>
        <v>0</v>
      </c>
      <c r="B866" s="26">
        <f>IF(A866="","",TEXT((N866*4+cfgDeslocamento)/48,"hh:mm")&amp;" a "&amp;TEXT(A866,"hh:mm"))</f>
        <v>0</v>
      </c>
      <c r="C866" s="27">
        <f>IF(A866="","",MES!B866)</f>
        <v>0</v>
      </c>
      <c r="D866" s="27">
        <f>IF(A866="","",IFERROR(AVERAGEIFS(Prensa!$B$2:$B$5001,Prensa!$E$2:$E$5001,N866,Prensa!$F$2:$F$5001,1,Prensa!$G$2:$G$5001,1),""))</f>
        <v>0</v>
      </c>
      <c r="E866" s="27">
        <f>IF(A866="","",IFERROR(AVERAGEIFS(Prensa!$B$2:$B$5001,Prensa!$E$2:$E$5001,N866,Prensa!$F$2:$F$5001,2,Prensa!$G$2:$G$5001,1),""))</f>
        <v>0</v>
      </c>
      <c r="F866" s="27">
        <f>IF(A866="","",IFERROR(AVERAGEIFS(Prensa!$B$2:$B$5001,Prensa!$E$2:$E$5001,N866,Prensa!$F$2:$F$5001,3,Prensa!$G$2:$G$5001,1),""))</f>
        <v>0</v>
      </c>
      <c r="G866" s="27">
        <f>IF(A866="","",IFERROR(AVERAGEIFS(Prensa!$B$2:$B$5001,Prensa!$E$2:$E$5001,N866,Prensa!$F$2:$F$5001,4,Prensa!$G$2:$G$5001,1),""))</f>
        <v>0</v>
      </c>
      <c r="H866" s="26">
        <f>IF(A866="","",COUNT(D866:G866))</f>
        <v>0</v>
      </c>
      <c r="I866" s="27">
        <f>IF(A866="","",IF(H866=0,"",AVERAGE(D866:G866)))</f>
        <v>0</v>
      </c>
      <c r="J866" s="27">
        <f>IF(OR(I866="",C866=""),"",I866-C866)</f>
        <v>0</v>
      </c>
      <c r="K866" s="26">
        <f>IF(A866="","",IF(MES!E866&lt;&gt;4,"Horário do MES fora do padrão",IF(H866&lt;cfgMinCortes,"Cortes insuficientes","Válida")))</f>
        <v>0</v>
      </c>
      <c r="L866" s="27">
        <f>IF(K866="Válida",ABS(J866),"")</f>
        <v>0</v>
      </c>
      <c r="M866" s="26">
        <f>IF(K866="Válida",IF(L866&lt;=cfgTolerancia,"Sim","Não"),"")</f>
        <v>0</v>
      </c>
      <c r="N866" s="26">
        <f>IF(A866="","",MES!D866)</f>
        <v>0</v>
      </c>
      <c r="O866" s="25">
        <f>IF(K866="Válida",A866,NA())</f>
        <v>0</v>
      </c>
      <c r="P866" s="27">
        <f>IF(K866="Válida",C866,NA())</f>
        <v>0</v>
      </c>
      <c r="Q866" s="27">
        <f>IF(K866="Válida",I866,NA())</f>
        <v>0</v>
      </c>
      <c r="R866" s="27">
        <f>IF(K866="Válida",J866,NA())</f>
        <v>0</v>
      </c>
      <c r="S866" s="27">
        <f>IF(K866="Válida",C866,"")</f>
        <v>0</v>
      </c>
      <c r="T866" s="27">
        <f>IF(K866="Válida",I866,"")</f>
        <v>0</v>
      </c>
      <c r="U866" s="27">
        <f>IF(K866="Válida",J866,"")</f>
        <v>0</v>
      </c>
    </row>
    <row r="867" spans="1:21">
      <c r="A867" s="25">
        <f>IF(MES!A867="","",MES!C867/48)</f>
        <v>0</v>
      </c>
      <c r="B867" s="26">
        <f>IF(A867="","",TEXT((N867*4+cfgDeslocamento)/48,"hh:mm")&amp;" a "&amp;TEXT(A867,"hh:mm"))</f>
        <v>0</v>
      </c>
      <c r="C867" s="27">
        <f>IF(A867="","",MES!B867)</f>
        <v>0</v>
      </c>
      <c r="D867" s="27">
        <f>IF(A867="","",IFERROR(AVERAGEIFS(Prensa!$B$2:$B$5001,Prensa!$E$2:$E$5001,N867,Prensa!$F$2:$F$5001,1,Prensa!$G$2:$G$5001,1),""))</f>
        <v>0</v>
      </c>
      <c r="E867" s="27">
        <f>IF(A867="","",IFERROR(AVERAGEIFS(Prensa!$B$2:$B$5001,Prensa!$E$2:$E$5001,N867,Prensa!$F$2:$F$5001,2,Prensa!$G$2:$G$5001,1),""))</f>
        <v>0</v>
      </c>
      <c r="F867" s="27">
        <f>IF(A867="","",IFERROR(AVERAGEIFS(Prensa!$B$2:$B$5001,Prensa!$E$2:$E$5001,N867,Prensa!$F$2:$F$5001,3,Prensa!$G$2:$G$5001,1),""))</f>
        <v>0</v>
      </c>
      <c r="G867" s="27">
        <f>IF(A867="","",IFERROR(AVERAGEIFS(Prensa!$B$2:$B$5001,Prensa!$E$2:$E$5001,N867,Prensa!$F$2:$F$5001,4,Prensa!$G$2:$G$5001,1),""))</f>
        <v>0</v>
      </c>
      <c r="H867" s="26">
        <f>IF(A867="","",COUNT(D867:G867))</f>
        <v>0</v>
      </c>
      <c r="I867" s="27">
        <f>IF(A867="","",IF(H867=0,"",AVERAGE(D867:G867)))</f>
        <v>0</v>
      </c>
      <c r="J867" s="27">
        <f>IF(OR(I867="",C867=""),"",I867-C867)</f>
        <v>0</v>
      </c>
      <c r="K867" s="26">
        <f>IF(A867="","",IF(MES!E867&lt;&gt;4,"Horário do MES fora do padrão",IF(H867&lt;cfgMinCortes,"Cortes insuficientes","Válida")))</f>
        <v>0</v>
      </c>
      <c r="L867" s="27">
        <f>IF(K867="Válida",ABS(J867),"")</f>
        <v>0</v>
      </c>
      <c r="M867" s="26">
        <f>IF(K867="Válida",IF(L867&lt;=cfgTolerancia,"Sim","Não"),"")</f>
        <v>0</v>
      </c>
      <c r="N867" s="26">
        <f>IF(A867="","",MES!D867)</f>
        <v>0</v>
      </c>
      <c r="O867" s="25">
        <f>IF(K867="Válida",A867,NA())</f>
        <v>0</v>
      </c>
      <c r="P867" s="27">
        <f>IF(K867="Válida",C867,NA())</f>
        <v>0</v>
      </c>
      <c r="Q867" s="27">
        <f>IF(K867="Válida",I867,NA())</f>
        <v>0</v>
      </c>
      <c r="R867" s="27">
        <f>IF(K867="Válida",J867,NA())</f>
        <v>0</v>
      </c>
      <c r="S867" s="27">
        <f>IF(K867="Válida",C867,"")</f>
        <v>0</v>
      </c>
      <c r="T867" s="27">
        <f>IF(K867="Válida",I867,"")</f>
        <v>0</v>
      </c>
      <c r="U867" s="27">
        <f>IF(K867="Válida",J867,"")</f>
        <v>0</v>
      </c>
    </row>
    <row r="868" spans="1:21">
      <c r="A868" s="25">
        <f>IF(MES!A868="","",MES!C868/48)</f>
        <v>0</v>
      </c>
      <c r="B868" s="26">
        <f>IF(A868="","",TEXT((N868*4+cfgDeslocamento)/48,"hh:mm")&amp;" a "&amp;TEXT(A868,"hh:mm"))</f>
        <v>0</v>
      </c>
      <c r="C868" s="27">
        <f>IF(A868="","",MES!B868)</f>
        <v>0</v>
      </c>
      <c r="D868" s="27">
        <f>IF(A868="","",IFERROR(AVERAGEIFS(Prensa!$B$2:$B$5001,Prensa!$E$2:$E$5001,N868,Prensa!$F$2:$F$5001,1,Prensa!$G$2:$G$5001,1),""))</f>
        <v>0</v>
      </c>
      <c r="E868" s="27">
        <f>IF(A868="","",IFERROR(AVERAGEIFS(Prensa!$B$2:$B$5001,Prensa!$E$2:$E$5001,N868,Prensa!$F$2:$F$5001,2,Prensa!$G$2:$G$5001,1),""))</f>
        <v>0</v>
      </c>
      <c r="F868" s="27">
        <f>IF(A868="","",IFERROR(AVERAGEIFS(Prensa!$B$2:$B$5001,Prensa!$E$2:$E$5001,N868,Prensa!$F$2:$F$5001,3,Prensa!$G$2:$G$5001,1),""))</f>
        <v>0</v>
      </c>
      <c r="G868" s="27">
        <f>IF(A868="","",IFERROR(AVERAGEIFS(Prensa!$B$2:$B$5001,Prensa!$E$2:$E$5001,N868,Prensa!$F$2:$F$5001,4,Prensa!$G$2:$G$5001,1),""))</f>
        <v>0</v>
      </c>
      <c r="H868" s="26">
        <f>IF(A868="","",COUNT(D868:G868))</f>
        <v>0</v>
      </c>
      <c r="I868" s="27">
        <f>IF(A868="","",IF(H868=0,"",AVERAGE(D868:G868)))</f>
        <v>0</v>
      </c>
      <c r="J868" s="27">
        <f>IF(OR(I868="",C868=""),"",I868-C868)</f>
        <v>0</v>
      </c>
      <c r="K868" s="26">
        <f>IF(A868="","",IF(MES!E868&lt;&gt;4,"Horário do MES fora do padrão",IF(H868&lt;cfgMinCortes,"Cortes insuficientes","Válida")))</f>
        <v>0</v>
      </c>
      <c r="L868" s="27">
        <f>IF(K868="Válida",ABS(J868),"")</f>
        <v>0</v>
      </c>
      <c r="M868" s="26">
        <f>IF(K868="Válida",IF(L868&lt;=cfgTolerancia,"Sim","Não"),"")</f>
        <v>0</v>
      </c>
      <c r="N868" s="26">
        <f>IF(A868="","",MES!D868)</f>
        <v>0</v>
      </c>
      <c r="O868" s="25">
        <f>IF(K868="Válida",A868,NA())</f>
        <v>0</v>
      </c>
      <c r="P868" s="27">
        <f>IF(K868="Válida",C868,NA())</f>
        <v>0</v>
      </c>
      <c r="Q868" s="27">
        <f>IF(K868="Válida",I868,NA())</f>
        <v>0</v>
      </c>
      <c r="R868" s="27">
        <f>IF(K868="Válida",J868,NA())</f>
        <v>0</v>
      </c>
      <c r="S868" s="27">
        <f>IF(K868="Válida",C868,"")</f>
        <v>0</v>
      </c>
      <c r="T868" s="27">
        <f>IF(K868="Válida",I868,"")</f>
        <v>0</v>
      </c>
      <c r="U868" s="27">
        <f>IF(K868="Válida",J868,"")</f>
        <v>0</v>
      </c>
    </row>
    <row r="869" spans="1:21">
      <c r="A869" s="25">
        <f>IF(MES!A869="","",MES!C869/48)</f>
        <v>0</v>
      </c>
      <c r="B869" s="26">
        <f>IF(A869="","",TEXT((N869*4+cfgDeslocamento)/48,"hh:mm")&amp;" a "&amp;TEXT(A869,"hh:mm"))</f>
        <v>0</v>
      </c>
      <c r="C869" s="27">
        <f>IF(A869="","",MES!B869)</f>
        <v>0</v>
      </c>
      <c r="D869" s="27">
        <f>IF(A869="","",IFERROR(AVERAGEIFS(Prensa!$B$2:$B$5001,Prensa!$E$2:$E$5001,N869,Prensa!$F$2:$F$5001,1,Prensa!$G$2:$G$5001,1),""))</f>
        <v>0</v>
      </c>
      <c r="E869" s="27">
        <f>IF(A869="","",IFERROR(AVERAGEIFS(Prensa!$B$2:$B$5001,Prensa!$E$2:$E$5001,N869,Prensa!$F$2:$F$5001,2,Prensa!$G$2:$G$5001,1),""))</f>
        <v>0</v>
      </c>
      <c r="F869" s="27">
        <f>IF(A869="","",IFERROR(AVERAGEIFS(Prensa!$B$2:$B$5001,Prensa!$E$2:$E$5001,N869,Prensa!$F$2:$F$5001,3,Prensa!$G$2:$G$5001,1),""))</f>
        <v>0</v>
      </c>
      <c r="G869" s="27">
        <f>IF(A869="","",IFERROR(AVERAGEIFS(Prensa!$B$2:$B$5001,Prensa!$E$2:$E$5001,N869,Prensa!$F$2:$F$5001,4,Prensa!$G$2:$G$5001,1),""))</f>
        <v>0</v>
      </c>
      <c r="H869" s="26">
        <f>IF(A869="","",COUNT(D869:G869))</f>
        <v>0</v>
      </c>
      <c r="I869" s="27">
        <f>IF(A869="","",IF(H869=0,"",AVERAGE(D869:G869)))</f>
        <v>0</v>
      </c>
      <c r="J869" s="27">
        <f>IF(OR(I869="",C869=""),"",I869-C869)</f>
        <v>0</v>
      </c>
      <c r="K869" s="26">
        <f>IF(A869="","",IF(MES!E869&lt;&gt;4,"Horário do MES fora do padrão",IF(H869&lt;cfgMinCortes,"Cortes insuficientes","Válida")))</f>
        <v>0</v>
      </c>
      <c r="L869" s="27">
        <f>IF(K869="Válida",ABS(J869),"")</f>
        <v>0</v>
      </c>
      <c r="M869" s="26">
        <f>IF(K869="Válida",IF(L869&lt;=cfgTolerancia,"Sim","Não"),"")</f>
        <v>0</v>
      </c>
      <c r="N869" s="26">
        <f>IF(A869="","",MES!D869)</f>
        <v>0</v>
      </c>
      <c r="O869" s="25">
        <f>IF(K869="Válida",A869,NA())</f>
        <v>0</v>
      </c>
      <c r="P869" s="27">
        <f>IF(K869="Válida",C869,NA())</f>
        <v>0</v>
      </c>
      <c r="Q869" s="27">
        <f>IF(K869="Válida",I869,NA())</f>
        <v>0</v>
      </c>
      <c r="R869" s="27">
        <f>IF(K869="Válida",J869,NA())</f>
        <v>0</v>
      </c>
      <c r="S869" s="27">
        <f>IF(K869="Válida",C869,"")</f>
        <v>0</v>
      </c>
      <c r="T869" s="27">
        <f>IF(K869="Válida",I869,"")</f>
        <v>0</v>
      </c>
      <c r="U869" s="27">
        <f>IF(K869="Válida",J869,"")</f>
        <v>0</v>
      </c>
    </row>
    <row r="870" spans="1:21">
      <c r="A870" s="25">
        <f>IF(MES!A870="","",MES!C870/48)</f>
        <v>0</v>
      </c>
      <c r="B870" s="26">
        <f>IF(A870="","",TEXT((N870*4+cfgDeslocamento)/48,"hh:mm")&amp;" a "&amp;TEXT(A870,"hh:mm"))</f>
        <v>0</v>
      </c>
      <c r="C870" s="27">
        <f>IF(A870="","",MES!B870)</f>
        <v>0</v>
      </c>
      <c r="D870" s="27">
        <f>IF(A870="","",IFERROR(AVERAGEIFS(Prensa!$B$2:$B$5001,Prensa!$E$2:$E$5001,N870,Prensa!$F$2:$F$5001,1,Prensa!$G$2:$G$5001,1),""))</f>
        <v>0</v>
      </c>
      <c r="E870" s="27">
        <f>IF(A870="","",IFERROR(AVERAGEIFS(Prensa!$B$2:$B$5001,Prensa!$E$2:$E$5001,N870,Prensa!$F$2:$F$5001,2,Prensa!$G$2:$G$5001,1),""))</f>
        <v>0</v>
      </c>
      <c r="F870" s="27">
        <f>IF(A870="","",IFERROR(AVERAGEIFS(Prensa!$B$2:$B$5001,Prensa!$E$2:$E$5001,N870,Prensa!$F$2:$F$5001,3,Prensa!$G$2:$G$5001,1),""))</f>
        <v>0</v>
      </c>
      <c r="G870" s="27">
        <f>IF(A870="","",IFERROR(AVERAGEIFS(Prensa!$B$2:$B$5001,Prensa!$E$2:$E$5001,N870,Prensa!$F$2:$F$5001,4,Prensa!$G$2:$G$5001,1),""))</f>
        <v>0</v>
      </c>
      <c r="H870" s="26">
        <f>IF(A870="","",COUNT(D870:G870))</f>
        <v>0</v>
      </c>
      <c r="I870" s="27">
        <f>IF(A870="","",IF(H870=0,"",AVERAGE(D870:G870)))</f>
        <v>0</v>
      </c>
      <c r="J870" s="27">
        <f>IF(OR(I870="",C870=""),"",I870-C870)</f>
        <v>0</v>
      </c>
      <c r="K870" s="26">
        <f>IF(A870="","",IF(MES!E870&lt;&gt;4,"Horário do MES fora do padrão",IF(H870&lt;cfgMinCortes,"Cortes insuficientes","Válida")))</f>
        <v>0</v>
      </c>
      <c r="L870" s="27">
        <f>IF(K870="Válida",ABS(J870),"")</f>
        <v>0</v>
      </c>
      <c r="M870" s="26">
        <f>IF(K870="Válida",IF(L870&lt;=cfgTolerancia,"Sim","Não"),"")</f>
        <v>0</v>
      </c>
      <c r="N870" s="26">
        <f>IF(A870="","",MES!D870)</f>
        <v>0</v>
      </c>
      <c r="O870" s="25">
        <f>IF(K870="Válida",A870,NA())</f>
        <v>0</v>
      </c>
      <c r="P870" s="27">
        <f>IF(K870="Válida",C870,NA())</f>
        <v>0</v>
      </c>
      <c r="Q870" s="27">
        <f>IF(K870="Válida",I870,NA())</f>
        <v>0</v>
      </c>
      <c r="R870" s="27">
        <f>IF(K870="Válida",J870,NA())</f>
        <v>0</v>
      </c>
      <c r="S870" s="27">
        <f>IF(K870="Válida",C870,"")</f>
        <v>0</v>
      </c>
      <c r="T870" s="27">
        <f>IF(K870="Válida",I870,"")</f>
        <v>0</v>
      </c>
      <c r="U870" s="27">
        <f>IF(K870="Válida",J870,"")</f>
        <v>0</v>
      </c>
    </row>
    <row r="871" spans="1:21">
      <c r="A871" s="25">
        <f>IF(MES!A871="","",MES!C871/48)</f>
        <v>0</v>
      </c>
      <c r="B871" s="26">
        <f>IF(A871="","",TEXT((N871*4+cfgDeslocamento)/48,"hh:mm")&amp;" a "&amp;TEXT(A871,"hh:mm"))</f>
        <v>0</v>
      </c>
      <c r="C871" s="27">
        <f>IF(A871="","",MES!B871)</f>
        <v>0</v>
      </c>
      <c r="D871" s="27">
        <f>IF(A871="","",IFERROR(AVERAGEIFS(Prensa!$B$2:$B$5001,Prensa!$E$2:$E$5001,N871,Prensa!$F$2:$F$5001,1,Prensa!$G$2:$G$5001,1),""))</f>
        <v>0</v>
      </c>
      <c r="E871" s="27">
        <f>IF(A871="","",IFERROR(AVERAGEIFS(Prensa!$B$2:$B$5001,Prensa!$E$2:$E$5001,N871,Prensa!$F$2:$F$5001,2,Prensa!$G$2:$G$5001,1),""))</f>
        <v>0</v>
      </c>
      <c r="F871" s="27">
        <f>IF(A871="","",IFERROR(AVERAGEIFS(Prensa!$B$2:$B$5001,Prensa!$E$2:$E$5001,N871,Prensa!$F$2:$F$5001,3,Prensa!$G$2:$G$5001,1),""))</f>
        <v>0</v>
      </c>
      <c r="G871" s="27">
        <f>IF(A871="","",IFERROR(AVERAGEIFS(Prensa!$B$2:$B$5001,Prensa!$E$2:$E$5001,N871,Prensa!$F$2:$F$5001,4,Prensa!$G$2:$G$5001,1),""))</f>
        <v>0</v>
      </c>
      <c r="H871" s="26">
        <f>IF(A871="","",COUNT(D871:G871))</f>
        <v>0</v>
      </c>
      <c r="I871" s="27">
        <f>IF(A871="","",IF(H871=0,"",AVERAGE(D871:G871)))</f>
        <v>0</v>
      </c>
      <c r="J871" s="27">
        <f>IF(OR(I871="",C871=""),"",I871-C871)</f>
        <v>0</v>
      </c>
      <c r="K871" s="26">
        <f>IF(A871="","",IF(MES!E871&lt;&gt;4,"Horário do MES fora do padrão",IF(H871&lt;cfgMinCortes,"Cortes insuficientes","Válida")))</f>
        <v>0</v>
      </c>
      <c r="L871" s="27">
        <f>IF(K871="Válida",ABS(J871),"")</f>
        <v>0</v>
      </c>
      <c r="M871" s="26">
        <f>IF(K871="Válida",IF(L871&lt;=cfgTolerancia,"Sim","Não"),"")</f>
        <v>0</v>
      </c>
      <c r="N871" s="26">
        <f>IF(A871="","",MES!D871)</f>
        <v>0</v>
      </c>
      <c r="O871" s="25">
        <f>IF(K871="Válida",A871,NA())</f>
        <v>0</v>
      </c>
      <c r="P871" s="27">
        <f>IF(K871="Válida",C871,NA())</f>
        <v>0</v>
      </c>
      <c r="Q871" s="27">
        <f>IF(K871="Válida",I871,NA())</f>
        <v>0</v>
      </c>
      <c r="R871" s="27">
        <f>IF(K871="Válida",J871,NA())</f>
        <v>0</v>
      </c>
      <c r="S871" s="27">
        <f>IF(K871="Válida",C871,"")</f>
        <v>0</v>
      </c>
      <c r="T871" s="27">
        <f>IF(K871="Válida",I871,"")</f>
        <v>0</v>
      </c>
      <c r="U871" s="27">
        <f>IF(K871="Válida",J871,"")</f>
        <v>0</v>
      </c>
    </row>
    <row r="872" spans="1:21">
      <c r="A872" s="25">
        <f>IF(MES!A872="","",MES!C872/48)</f>
        <v>0</v>
      </c>
      <c r="B872" s="26">
        <f>IF(A872="","",TEXT((N872*4+cfgDeslocamento)/48,"hh:mm")&amp;" a "&amp;TEXT(A872,"hh:mm"))</f>
        <v>0</v>
      </c>
      <c r="C872" s="27">
        <f>IF(A872="","",MES!B872)</f>
        <v>0</v>
      </c>
      <c r="D872" s="27">
        <f>IF(A872="","",IFERROR(AVERAGEIFS(Prensa!$B$2:$B$5001,Prensa!$E$2:$E$5001,N872,Prensa!$F$2:$F$5001,1,Prensa!$G$2:$G$5001,1),""))</f>
        <v>0</v>
      </c>
      <c r="E872" s="27">
        <f>IF(A872="","",IFERROR(AVERAGEIFS(Prensa!$B$2:$B$5001,Prensa!$E$2:$E$5001,N872,Prensa!$F$2:$F$5001,2,Prensa!$G$2:$G$5001,1),""))</f>
        <v>0</v>
      </c>
      <c r="F872" s="27">
        <f>IF(A872="","",IFERROR(AVERAGEIFS(Prensa!$B$2:$B$5001,Prensa!$E$2:$E$5001,N872,Prensa!$F$2:$F$5001,3,Prensa!$G$2:$G$5001,1),""))</f>
        <v>0</v>
      </c>
      <c r="G872" s="27">
        <f>IF(A872="","",IFERROR(AVERAGEIFS(Prensa!$B$2:$B$5001,Prensa!$E$2:$E$5001,N872,Prensa!$F$2:$F$5001,4,Prensa!$G$2:$G$5001,1),""))</f>
        <v>0</v>
      </c>
      <c r="H872" s="26">
        <f>IF(A872="","",COUNT(D872:G872))</f>
        <v>0</v>
      </c>
      <c r="I872" s="27">
        <f>IF(A872="","",IF(H872=0,"",AVERAGE(D872:G872)))</f>
        <v>0</v>
      </c>
      <c r="J872" s="27">
        <f>IF(OR(I872="",C872=""),"",I872-C872)</f>
        <v>0</v>
      </c>
      <c r="K872" s="26">
        <f>IF(A872="","",IF(MES!E872&lt;&gt;4,"Horário do MES fora do padrão",IF(H872&lt;cfgMinCortes,"Cortes insuficientes","Válida")))</f>
        <v>0</v>
      </c>
      <c r="L872" s="27">
        <f>IF(K872="Válida",ABS(J872),"")</f>
        <v>0</v>
      </c>
      <c r="M872" s="26">
        <f>IF(K872="Válida",IF(L872&lt;=cfgTolerancia,"Sim","Não"),"")</f>
        <v>0</v>
      </c>
      <c r="N872" s="26">
        <f>IF(A872="","",MES!D872)</f>
        <v>0</v>
      </c>
      <c r="O872" s="25">
        <f>IF(K872="Válida",A872,NA())</f>
        <v>0</v>
      </c>
      <c r="P872" s="27">
        <f>IF(K872="Válida",C872,NA())</f>
        <v>0</v>
      </c>
      <c r="Q872" s="27">
        <f>IF(K872="Válida",I872,NA())</f>
        <v>0</v>
      </c>
      <c r="R872" s="27">
        <f>IF(K872="Válida",J872,NA())</f>
        <v>0</v>
      </c>
      <c r="S872" s="27">
        <f>IF(K872="Válida",C872,"")</f>
        <v>0</v>
      </c>
      <c r="T872" s="27">
        <f>IF(K872="Válida",I872,"")</f>
        <v>0</v>
      </c>
      <c r="U872" s="27">
        <f>IF(K872="Válida",J872,"")</f>
        <v>0</v>
      </c>
    </row>
    <row r="873" spans="1:21">
      <c r="A873" s="25">
        <f>IF(MES!A873="","",MES!C873/48)</f>
        <v>0</v>
      </c>
      <c r="B873" s="26">
        <f>IF(A873="","",TEXT((N873*4+cfgDeslocamento)/48,"hh:mm")&amp;" a "&amp;TEXT(A873,"hh:mm"))</f>
        <v>0</v>
      </c>
      <c r="C873" s="27">
        <f>IF(A873="","",MES!B873)</f>
        <v>0</v>
      </c>
      <c r="D873" s="27">
        <f>IF(A873="","",IFERROR(AVERAGEIFS(Prensa!$B$2:$B$5001,Prensa!$E$2:$E$5001,N873,Prensa!$F$2:$F$5001,1,Prensa!$G$2:$G$5001,1),""))</f>
        <v>0</v>
      </c>
      <c r="E873" s="27">
        <f>IF(A873="","",IFERROR(AVERAGEIFS(Prensa!$B$2:$B$5001,Prensa!$E$2:$E$5001,N873,Prensa!$F$2:$F$5001,2,Prensa!$G$2:$G$5001,1),""))</f>
        <v>0</v>
      </c>
      <c r="F873" s="27">
        <f>IF(A873="","",IFERROR(AVERAGEIFS(Prensa!$B$2:$B$5001,Prensa!$E$2:$E$5001,N873,Prensa!$F$2:$F$5001,3,Prensa!$G$2:$G$5001,1),""))</f>
        <v>0</v>
      </c>
      <c r="G873" s="27">
        <f>IF(A873="","",IFERROR(AVERAGEIFS(Prensa!$B$2:$B$5001,Prensa!$E$2:$E$5001,N873,Prensa!$F$2:$F$5001,4,Prensa!$G$2:$G$5001,1),""))</f>
        <v>0</v>
      </c>
      <c r="H873" s="26">
        <f>IF(A873="","",COUNT(D873:G873))</f>
        <v>0</v>
      </c>
      <c r="I873" s="27">
        <f>IF(A873="","",IF(H873=0,"",AVERAGE(D873:G873)))</f>
        <v>0</v>
      </c>
      <c r="J873" s="27">
        <f>IF(OR(I873="",C873=""),"",I873-C873)</f>
        <v>0</v>
      </c>
      <c r="K873" s="26">
        <f>IF(A873="","",IF(MES!E873&lt;&gt;4,"Horário do MES fora do padrão",IF(H873&lt;cfgMinCortes,"Cortes insuficientes","Válida")))</f>
        <v>0</v>
      </c>
      <c r="L873" s="27">
        <f>IF(K873="Válida",ABS(J873),"")</f>
        <v>0</v>
      </c>
      <c r="M873" s="26">
        <f>IF(K873="Válida",IF(L873&lt;=cfgTolerancia,"Sim","Não"),"")</f>
        <v>0</v>
      </c>
      <c r="N873" s="26">
        <f>IF(A873="","",MES!D873)</f>
        <v>0</v>
      </c>
      <c r="O873" s="25">
        <f>IF(K873="Válida",A873,NA())</f>
        <v>0</v>
      </c>
      <c r="P873" s="27">
        <f>IF(K873="Válida",C873,NA())</f>
        <v>0</v>
      </c>
      <c r="Q873" s="27">
        <f>IF(K873="Válida",I873,NA())</f>
        <v>0</v>
      </c>
      <c r="R873" s="27">
        <f>IF(K873="Válida",J873,NA())</f>
        <v>0</v>
      </c>
      <c r="S873" s="27">
        <f>IF(K873="Válida",C873,"")</f>
        <v>0</v>
      </c>
      <c r="T873" s="27">
        <f>IF(K873="Válida",I873,"")</f>
        <v>0</v>
      </c>
      <c r="U873" s="27">
        <f>IF(K873="Válida",J873,"")</f>
        <v>0</v>
      </c>
    </row>
    <row r="874" spans="1:21">
      <c r="A874" s="25">
        <f>IF(MES!A874="","",MES!C874/48)</f>
        <v>0</v>
      </c>
      <c r="B874" s="26">
        <f>IF(A874="","",TEXT((N874*4+cfgDeslocamento)/48,"hh:mm")&amp;" a "&amp;TEXT(A874,"hh:mm"))</f>
        <v>0</v>
      </c>
      <c r="C874" s="27">
        <f>IF(A874="","",MES!B874)</f>
        <v>0</v>
      </c>
      <c r="D874" s="27">
        <f>IF(A874="","",IFERROR(AVERAGEIFS(Prensa!$B$2:$B$5001,Prensa!$E$2:$E$5001,N874,Prensa!$F$2:$F$5001,1,Prensa!$G$2:$G$5001,1),""))</f>
        <v>0</v>
      </c>
      <c r="E874" s="27">
        <f>IF(A874="","",IFERROR(AVERAGEIFS(Prensa!$B$2:$B$5001,Prensa!$E$2:$E$5001,N874,Prensa!$F$2:$F$5001,2,Prensa!$G$2:$G$5001,1),""))</f>
        <v>0</v>
      </c>
      <c r="F874" s="27">
        <f>IF(A874="","",IFERROR(AVERAGEIFS(Prensa!$B$2:$B$5001,Prensa!$E$2:$E$5001,N874,Prensa!$F$2:$F$5001,3,Prensa!$G$2:$G$5001,1),""))</f>
        <v>0</v>
      </c>
      <c r="G874" s="27">
        <f>IF(A874="","",IFERROR(AVERAGEIFS(Prensa!$B$2:$B$5001,Prensa!$E$2:$E$5001,N874,Prensa!$F$2:$F$5001,4,Prensa!$G$2:$G$5001,1),""))</f>
        <v>0</v>
      </c>
      <c r="H874" s="26">
        <f>IF(A874="","",COUNT(D874:G874))</f>
        <v>0</v>
      </c>
      <c r="I874" s="27">
        <f>IF(A874="","",IF(H874=0,"",AVERAGE(D874:G874)))</f>
        <v>0</v>
      </c>
      <c r="J874" s="27">
        <f>IF(OR(I874="",C874=""),"",I874-C874)</f>
        <v>0</v>
      </c>
      <c r="K874" s="26">
        <f>IF(A874="","",IF(MES!E874&lt;&gt;4,"Horário do MES fora do padrão",IF(H874&lt;cfgMinCortes,"Cortes insuficientes","Válida")))</f>
        <v>0</v>
      </c>
      <c r="L874" s="27">
        <f>IF(K874="Válida",ABS(J874),"")</f>
        <v>0</v>
      </c>
      <c r="M874" s="26">
        <f>IF(K874="Válida",IF(L874&lt;=cfgTolerancia,"Sim","Não"),"")</f>
        <v>0</v>
      </c>
      <c r="N874" s="26">
        <f>IF(A874="","",MES!D874)</f>
        <v>0</v>
      </c>
      <c r="O874" s="25">
        <f>IF(K874="Válida",A874,NA())</f>
        <v>0</v>
      </c>
      <c r="P874" s="27">
        <f>IF(K874="Válida",C874,NA())</f>
        <v>0</v>
      </c>
      <c r="Q874" s="27">
        <f>IF(K874="Válida",I874,NA())</f>
        <v>0</v>
      </c>
      <c r="R874" s="27">
        <f>IF(K874="Válida",J874,NA())</f>
        <v>0</v>
      </c>
      <c r="S874" s="27">
        <f>IF(K874="Válida",C874,"")</f>
        <v>0</v>
      </c>
      <c r="T874" s="27">
        <f>IF(K874="Válida",I874,"")</f>
        <v>0</v>
      </c>
      <c r="U874" s="27">
        <f>IF(K874="Válida",J874,"")</f>
        <v>0</v>
      </c>
    </row>
    <row r="875" spans="1:21">
      <c r="A875" s="25">
        <f>IF(MES!A875="","",MES!C875/48)</f>
        <v>0</v>
      </c>
      <c r="B875" s="26">
        <f>IF(A875="","",TEXT((N875*4+cfgDeslocamento)/48,"hh:mm")&amp;" a "&amp;TEXT(A875,"hh:mm"))</f>
        <v>0</v>
      </c>
      <c r="C875" s="27">
        <f>IF(A875="","",MES!B875)</f>
        <v>0</v>
      </c>
      <c r="D875" s="27">
        <f>IF(A875="","",IFERROR(AVERAGEIFS(Prensa!$B$2:$B$5001,Prensa!$E$2:$E$5001,N875,Prensa!$F$2:$F$5001,1,Prensa!$G$2:$G$5001,1),""))</f>
        <v>0</v>
      </c>
      <c r="E875" s="27">
        <f>IF(A875="","",IFERROR(AVERAGEIFS(Prensa!$B$2:$B$5001,Prensa!$E$2:$E$5001,N875,Prensa!$F$2:$F$5001,2,Prensa!$G$2:$G$5001,1),""))</f>
        <v>0</v>
      </c>
      <c r="F875" s="27">
        <f>IF(A875="","",IFERROR(AVERAGEIFS(Prensa!$B$2:$B$5001,Prensa!$E$2:$E$5001,N875,Prensa!$F$2:$F$5001,3,Prensa!$G$2:$G$5001,1),""))</f>
        <v>0</v>
      </c>
      <c r="G875" s="27">
        <f>IF(A875="","",IFERROR(AVERAGEIFS(Prensa!$B$2:$B$5001,Prensa!$E$2:$E$5001,N875,Prensa!$F$2:$F$5001,4,Prensa!$G$2:$G$5001,1),""))</f>
        <v>0</v>
      </c>
      <c r="H875" s="26">
        <f>IF(A875="","",COUNT(D875:G875))</f>
        <v>0</v>
      </c>
      <c r="I875" s="27">
        <f>IF(A875="","",IF(H875=0,"",AVERAGE(D875:G875)))</f>
        <v>0</v>
      </c>
      <c r="J875" s="27">
        <f>IF(OR(I875="",C875=""),"",I875-C875)</f>
        <v>0</v>
      </c>
      <c r="K875" s="26">
        <f>IF(A875="","",IF(MES!E875&lt;&gt;4,"Horário do MES fora do padrão",IF(H875&lt;cfgMinCortes,"Cortes insuficientes","Válida")))</f>
        <v>0</v>
      </c>
      <c r="L875" s="27">
        <f>IF(K875="Válida",ABS(J875),"")</f>
        <v>0</v>
      </c>
      <c r="M875" s="26">
        <f>IF(K875="Válida",IF(L875&lt;=cfgTolerancia,"Sim","Não"),"")</f>
        <v>0</v>
      </c>
      <c r="N875" s="26">
        <f>IF(A875="","",MES!D875)</f>
        <v>0</v>
      </c>
      <c r="O875" s="25">
        <f>IF(K875="Válida",A875,NA())</f>
        <v>0</v>
      </c>
      <c r="P875" s="27">
        <f>IF(K875="Válida",C875,NA())</f>
        <v>0</v>
      </c>
      <c r="Q875" s="27">
        <f>IF(K875="Válida",I875,NA())</f>
        <v>0</v>
      </c>
      <c r="R875" s="27">
        <f>IF(K875="Válida",J875,NA())</f>
        <v>0</v>
      </c>
      <c r="S875" s="27">
        <f>IF(K875="Válida",C875,"")</f>
        <v>0</v>
      </c>
      <c r="T875" s="27">
        <f>IF(K875="Válida",I875,"")</f>
        <v>0</v>
      </c>
      <c r="U875" s="27">
        <f>IF(K875="Válida",J875,"")</f>
        <v>0</v>
      </c>
    </row>
    <row r="876" spans="1:21">
      <c r="A876" s="25">
        <f>IF(MES!A876="","",MES!C876/48)</f>
        <v>0</v>
      </c>
      <c r="B876" s="26">
        <f>IF(A876="","",TEXT((N876*4+cfgDeslocamento)/48,"hh:mm")&amp;" a "&amp;TEXT(A876,"hh:mm"))</f>
        <v>0</v>
      </c>
      <c r="C876" s="27">
        <f>IF(A876="","",MES!B876)</f>
        <v>0</v>
      </c>
      <c r="D876" s="27">
        <f>IF(A876="","",IFERROR(AVERAGEIFS(Prensa!$B$2:$B$5001,Prensa!$E$2:$E$5001,N876,Prensa!$F$2:$F$5001,1,Prensa!$G$2:$G$5001,1),""))</f>
        <v>0</v>
      </c>
      <c r="E876" s="27">
        <f>IF(A876="","",IFERROR(AVERAGEIFS(Prensa!$B$2:$B$5001,Prensa!$E$2:$E$5001,N876,Prensa!$F$2:$F$5001,2,Prensa!$G$2:$G$5001,1),""))</f>
        <v>0</v>
      </c>
      <c r="F876" s="27">
        <f>IF(A876="","",IFERROR(AVERAGEIFS(Prensa!$B$2:$B$5001,Prensa!$E$2:$E$5001,N876,Prensa!$F$2:$F$5001,3,Prensa!$G$2:$G$5001,1),""))</f>
        <v>0</v>
      </c>
      <c r="G876" s="27">
        <f>IF(A876="","",IFERROR(AVERAGEIFS(Prensa!$B$2:$B$5001,Prensa!$E$2:$E$5001,N876,Prensa!$F$2:$F$5001,4,Prensa!$G$2:$G$5001,1),""))</f>
        <v>0</v>
      </c>
      <c r="H876" s="26">
        <f>IF(A876="","",COUNT(D876:G876))</f>
        <v>0</v>
      </c>
      <c r="I876" s="27">
        <f>IF(A876="","",IF(H876=0,"",AVERAGE(D876:G876)))</f>
        <v>0</v>
      </c>
      <c r="J876" s="27">
        <f>IF(OR(I876="",C876=""),"",I876-C876)</f>
        <v>0</v>
      </c>
      <c r="K876" s="26">
        <f>IF(A876="","",IF(MES!E876&lt;&gt;4,"Horário do MES fora do padrão",IF(H876&lt;cfgMinCortes,"Cortes insuficientes","Válida")))</f>
        <v>0</v>
      </c>
      <c r="L876" s="27">
        <f>IF(K876="Válida",ABS(J876),"")</f>
        <v>0</v>
      </c>
      <c r="M876" s="26">
        <f>IF(K876="Válida",IF(L876&lt;=cfgTolerancia,"Sim","Não"),"")</f>
        <v>0</v>
      </c>
      <c r="N876" s="26">
        <f>IF(A876="","",MES!D876)</f>
        <v>0</v>
      </c>
      <c r="O876" s="25">
        <f>IF(K876="Válida",A876,NA())</f>
        <v>0</v>
      </c>
      <c r="P876" s="27">
        <f>IF(K876="Válida",C876,NA())</f>
        <v>0</v>
      </c>
      <c r="Q876" s="27">
        <f>IF(K876="Válida",I876,NA())</f>
        <v>0</v>
      </c>
      <c r="R876" s="27">
        <f>IF(K876="Válida",J876,NA())</f>
        <v>0</v>
      </c>
      <c r="S876" s="27">
        <f>IF(K876="Válida",C876,"")</f>
        <v>0</v>
      </c>
      <c r="T876" s="27">
        <f>IF(K876="Válida",I876,"")</f>
        <v>0</v>
      </c>
      <c r="U876" s="27">
        <f>IF(K876="Válida",J876,"")</f>
        <v>0</v>
      </c>
    </row>
    <row r="877" spans="1:21">
      <c r="A877" s="25">
        <f>IF(MES!A877="","",MES!C877/48)</f>
        <v>0</v>
      </c>
      <c r="B877" s="26">
        <f>IF(A877="","",TEXT((N877*4+cfgDeslocamento)/48,"hh:mm")&amp;" a "&amp;TEXT(A877,"hh:mm"))</f>
        <v>0</v>
      </c>
      <c r="C877" s="27">
        <f>IF(A877="","",MES!B877)</f>
        <v>0</v>
      </c>
      <c r="D877" s="27">
        <f>IF(A877="","",IFERROR(AVERAGEIFS(Prensa!$B$2:$B$5001,Prensa!$E$2:$E$5001,N877,Prensa!$F$2:$F$5001,1,Prensa!$G$2:$G$5001,1),""))</f>
        <v>0</v>
      </c>
      <c r="E877" s="27">
        <f>IF(A877="","",IFERROR(AVERAGEIFS(Prensa!$B$2:$B$5001,Prensa!$E$2:$E$5001,N877,Prensa!$F$2:$F$5001,2,Prensa!$G$2:$G$5001,1),""))</f>
        <v>0</v>
      </c>
      <c r="F877" s="27">
        <f>IF(A877="","",IFERROR(AVERAGEIFS(Prensa!$B$2:$B$5001,Prensa!$E$2:$E$5001,N877,Prensa!$F$2:$F$5001,3,Prensa!$G$2:$G$5001,1),""))</f>
        <v>0</v>
      </c>
      <c r="G877" s="27">
        <f>IF(A877="","",IFERROR(AVERAGEIFS(Prensa!$B$2:$B$5001,Prensa!$E$2:$E$5001,N877,Prensa!$F$2:$F$5001,4,Prensa!$G$2:$G$5001,1),""))</f>
        <v>0</v>
      </c>
      <c r="H877" s="26">
        <f>IF(A877="","",COUNT(D877:G877))</f>
        <v>0</v>
      </c>
      <c r="I877" s="27">
        <f>IF(A877="","",IF(H877=0,"",AVERAGE(D877:G877)))</f>
        <v>0</v>
      </c>
      <c r="J877" s="27">
        <f>IF(OR(I877="",C877=""),"",I877-C877)</f>
        <v>0</v>
      </c>
      <c r="K877" s="26">
        <f>IF(A877="","",IF(MES!E877&lt;&gt;4,"Horário do MES fora do padrão",IF(H877&lt;cfgMinCortes,"Cortes insuficientes","Válida")))</f>
        <v>0</v>
      </c>
      <c r="L877" s="27">
        <f>IF(K877="Válida",ABS(J877),"")</f>
        <v>0</v>
      </c>
      <c r="M877" s="26">
        <f>IF(K877="Válida",IF(L877&lt;=cfgTolerancia,"Sim","Não"),"")</f>
        <v>0</v>
      </c>
      <c r="N877" s="26">
        <f>IF(A877="","",MES!D877)</f>
        <v>0</v>
      </c>
      <c r="O877" s="25">
        <f>IF(K877="Válida",A877,NA())</f>
        <v>0</v>
      </c>
      <c r="P877" s="27">
        <f>IF(K877="Válida",C877,NA())</f>
        <v>0</v>
      </c>
      <c r="Q877" s="27">
        <f>IF(K877="Válida",I877,NA())</f>
        <v>0</v>
      </c>
      <c r="R877" s="27">
        <f>IF(K877="Válida",J877,NA())</f>
        <v>0</v>
      </c>
      <c r="S877" s="27">
        <f>IF(K877="Válida",C877,"")</f>
        <v>0</v>
      </c>
      <c r="T877" s="27">
        <f>IF(K877="Válida",I877,"")</f>
        <v>0</v>
      </c>
      <c r="U877" s="27">
        <f>IF(K877="Válida",J877,"")</f>
        <v>0</v>
      </c>
    </row>
    <row r="878" spans="1:21">
      <c r="A878" s="25">
        <f>IF(MES!A878="","",MES!C878/48)</f>
        <v>0</v>
      </c>
      <c r="B878" s="26">
        <f>IF(A878="","",TEXT((N878*4+cfgDeslocamento)/48,"hh:mm")&amp;" a "&amp;TEXT(A878,"hh:mm"))</f>
        <v>0</v>
      </c>
      <c r="C878" s="27">
        <f>IF(A878="","",MES!B878)</f>
        <v>0</v>
      </c>
      <c r="D878" s="27">
        <f>IF(A878="","",IFERROR(AVERAGEIFS(Prensa!$B$2:$B$5001,Prensa!$E$2:$E$5001,N878,Prensa!$F$2:$F$5001,1,Prensa!$G$2:$G$5001,1),""))</f>
        <v>0</v>
      </c>
      <c r="E878" s="27">
        <f>IF(A878="","",IFERROR(AVERAGEIFS(Prensa!$B$2:$B$5001,Prensa!$E$2:$E$5001,N878,Prensa!$F$2:$F$5001,2,Prensa!$G$2:$G$5001,1),""))</f>
        <v>0</v>
      </c>
      <c r="F878" s="27">
        <f>IF(A878="","",IFERROR(AVERAGEIFS(Prensa!$B$2:$B$5001,Prensa!$E$2:$E$5001,N878,Prensa!$F$2:$F$5001,3,Prensa!$G$2:$G$5001,1),""))</f>
        <v>0</v>
      </c>
      <c r="G878" s="27">
        <f>IF(A878="","",IFERROR(AVERAGEIFS(Prensa!$B$2:$B$5001,Prensa!$E$2:$E$5001,N878,Prensa!$F$2:$F$5001,4,Prensa!$G$2:$G$5001,1),""))</f>
        <v>0</v>
      </c>
      <c r="H878" s="26">
        <f>IF(A878="","",COUNT(D878:G878))</f>
        <v>0</v>
      </c>
      <c r="I878" s="27">
        <f>IF(A878="","",IF(H878=0,"",AVERAGE(D878:G878)))</f>
        <v>0</v>
      </c>
      <c r="J878" s="27">
        <f>IF(OR(I878="",C878=""),"",I878-C878)</f>
        <v>0</v>
      </c>
      <c r="K878" s="26">
        <f>IF(A878="","",IF(MES!E878&lt;&gt;4,"Horário do MES fora do padrão",IF(H878&lt;cfgMinCortes,"Cortes insuficientes","Válida")))</f>
        <v>0</v>
      </c>
      <c r="L878" s="27">
        <f>IF(K878="Válida",ABS(J878),"")</f>
        <v>0</v>
      </c>
      <c r="M878" s="26">
        <f>IF(K878="Válida",IF(L878&lt;=cfgTolerancia,"Sim","Não"),"")</f>
        <v>0</v>
      </c>
      <c r="N878" s="26">
        <f>IF(A878="","",MES!D878)</f>
        <v>0</v>
      </c>
      <c r="O878" s="25">
        <f>IF(K878="Válida",A878,NA())</f>
        <v>0</v>
      </c>
      <c r="P878" s="27">
        <f>IF(K878="Válida",C878,NA())</f>
        <v>0</v>
      </c>
      <c r="Q878" s="27">
        <f>IF(K878="Válida",I878,NA())</f>
        <v>0</v>
      </c>
      <c r="R878" s="27">
        <f>IF(K878="Válida",J878,NA())</f>
        <v>0</v>
      </c>
      <c r="S878" s="27">
        <f>IF(K878="Válida",C878,"")</f>
        <v>0</v>
      </c>
      <c r="T878" s="27">
        <f>IF(K878="Válida",I878,"")</f>
        <v>0</v>
      </c>
      <c r="U878" s="27">
        <f>IF(K878="Válida",J878,"")</f>
        <v>0</v>
      </c>
    </row>
    <row r="879" spans="1:21">
      <c r="A879" s="25">
        <f>IF(MES!A879="","",MES!C879/48)</f>
        <v>0</v>
      </c>
      <c r="B879" s="26">
        <f>IF(A879="","",TEXT((N879*4+cfgDeslocamento)/48,"hh:mm")&amp;" a "&amp;TEXT(A879,"hh:mm"))</f>
        <v>0</v>
      </c>
      <c r="C879" s="27">
        <f>IF(A879="","",MES!B879)</f>
        <v>0</v>
      </c>
      <c r="D879" s="27">
        <f>IF(A879="","",IFERROR(AVERAGEIFS(Prensa!$B$2:$B$5001,Prensa!$E$2:$E$5001,N879,Prensa!$F$2:$F$5001,1,Prensa!$G$2:$G$5001,1),""))</f>
        <v>0</v>
      </c>
      <c r="E879" s="27">
        <f>IF(A879="","",IFERROR(AVERAGEIFS(Prensa!$B$2:$B$5001,Prensa!$E$2:$E$5001,N879,Prensa!$F$2:$F$5001,2,Prensa!$G$2:$G$5001,1),""))</f>
        <v>0</v>
      </c>
      <c r="F879" s="27">
        <f>IF(A879="","",IFERROR(AVERAGEIFS(Prensa!$B$2:$B$5001,Prensa!$E$2:$E$5001,N879,Prensa!$F$2:$F$5001,3,Prensa!$G$2:$G$5001,1),""))</f>
        <v>0</v>
      </c>
      <c r="G879" s="27">
        <f>IF(A879="","",IFERROR(AVERAGEIFS(Prensa!$B$2:$B$5001,Prensa!$E$2:$E$5001,N879,Prensa!$F$2:$F$5001,4,Prensa!$G$2:$G$5001,1),""))</f>
        <v>0</v>
      </c>
      <c r="H879" s="26">
        <f>IF(A879="","",COUNT(D879:G879))</f>
        <v>0</v>
      </c>
      <c r="I879" s="27">
        <f>IF(A879="","",IF(H879=0,"",AVERAGE(D879:G879)))</f>
        <v>0</v>
      </c>
      <c r="J879" s="27">
        <f>IF(OR(I879="",C879=""),"",I879-C879)</f>
        <v>0</v>
      </c>
      <c r="K879" s="26">
        <f>IF(A879="","",IF(MES!E879&lt;&gt;4,"Horário do MES fora do padrão",IF(H879&lt;cfgMinCortes,"Cortes insuficientes","Válida")))</f>
        <v>0</v>
      </c>
      <c r="L879" s="27">
        <f>IF(K879="Válida",ABS(J879),"")</f>
        <v>0</v>
      </c>
      <c r="M879" s="26">
        <f>IF(K879="Válida",IF(L879&lt;=cfgTolerancia,"Sim","Não"),"")</f>
        <v>0</v>
      </c>
      <c r="N879" s="26">
        <f>IF(A879="","",MES!D879)</f>
        <v>0</v>
      </c>
      <c r="O879" s="25">
        <f>IF(K879="Válida",A879,NA())</f>
        <v>0</v>
      </c>
      <c r="P879" s="27">
        <f>IF(K879="Válida",C879,NA())</f>
        <v>0</v>
      </c>
      <c r="Q879" s="27">
        <f>IF(K879="Válida",I879,NA())</f>
        <v>0</v>
      </c>
      <c r="R879" s="27">
        <f>IF(K879="Válida",J879,NA())</f>
        <v>0</v>
      </c>
      <c r="S879" s="27">
        <f>IF(K879="Válida",C879,"")</f>
        <v>0</v>
      </c>
      <c r="T879" s="27">
        <f>IF(K879="Válida",I879,"")</f>
        <v>0</v>
      </c>
      <c r="U879" s="27">
        <f>IF(K879="Válida",J879,"")</f>
        <v>0</v>
      </c>
    </row>
    <row r="880" spans="1:21">
      <c r="A880" s="25">
        <f>IF(MES!A880="","",MES!C880/48)</f>
        <v>0</v>
      </c>
      <c r="B880" s="26">
        <f>IF(A880="","",TEXT((N880*4+cfgDeslocamento)/48,"hh:mm")&amp;" a "&amp;TEXT(A880,"hh:mm"))</f>
        <v>0</v>
      </c>
      <c r="C880" s="27">
        <f>IF(A880="","",MES!B880)</f>
        <v>0</v>
      </c>
      <c r="D880" s="27">
        <f>IF(A880="","",IFERROR(AVERAGEIFS(Prensa!$B$2:$B$5001,Prensa!$E$2:$E$5001,N880,Prensa!$F$2:$F$5001,1,Prensa!$G$2:$G$5001,1),""))</f>
        <v>0</v>
      </c>
      <c r="E880" s="27">
        <f>IF(A880="","",IFERROR(AVERAGEIFS(Prensa!$B$2:$B$5001,Prensa!$E$2:$E$5001,N880,Prensa!$F$2:$F$5001,2,Prensa!$G$2:$G$5001,1),""))</f>
        <v>0</v>
      </c>
      <c r="F880" s="27">
        <f>IF(A880="","",IFERROR(AVERAGEIFS(Prensa!$B$2:$B$5001,Prensa!$E$2:$E$5001,N880,Prensa!$F$2:$F$5001,3,Prensa!$G$2:$G$5001,1),""))</f>
        <v>0</v>
      </c>
      <c r="G880" s="27">
        <f>IF(A880="","",IFERROR(AVERAGEIFS(Prensa!$B$2:$B$5001,Prensa!$E$2:$E$5001,N880,Prensa!$F$2:$F$5001,4,Prensa!$G$2:$G$5001,1),""))</f>
        <v>0</v>
      </c>
      <c r="H880" s="26">
        <f>IF(A880="","",COUNT(D880:G880))</f>
        <v>0</v>
      </c>
      <c r="I880" s="27">
        <f>IF(A880="","",IF(H880=0,"",AVERAGE(D880:G880)))</f>
        <v>0</v>
      </c>
      <c r="J880" s="27">
        <f>IF(OR(I880="",C880=""),"",I880-C880)</f>
        <v>0</v>
      </c>
      <c r="K880" s="26">
        <f>IF(A880="","",IF(MES!E880&lt;&gt;4,"Horário do MES fora do padrão",IF(H880&lt;cfgMinCortes,"Cortes insuficientes","Válida")))</f>
        <v>0</v>
      </c>
      <c r="L880" s="27">
        <f>IF(K880="Válida",ABS(J880),"")</f>
        <v>0</v>
      </c>
      <c r="M880" s="26">
        <f>IF(K880="Válida",IF(L880&lt;=cfgTolerancia,"Sim","Não"),"")</f>
        <v>0</v>
      </c>
      <c r="N880" s="26">
        <f>IF(A880="","",MES!D880)</f>
        <v>0</v>
      </c>
      <c r="O880" s="25">
        <f>IF(K880="Válida",A880,NA())</f>
        <v>0</v>
      </c>
      <c r="P880" s="27">
        <f>IF(K880="Válida",C880,NA())</f>
        <v>0</v>
      </c>
      <c r="Q880" s="27">
        <f>IF(K880="Válida",I880,NA())</f>
        <v>0</v>
      </c>
      <c r="R880" s="27">
        <f>IF(K880="Válida",J880,NA())</f>
        <v>0</v>
      </c>
      <c r="S880" s="27">
        <f>IF(K880="Válida",C880,"")</f>
        <v>0</v>
      </c>
      <c r="T880" s="27">
        <f>IF(K880="Válida",I880,"")</f>
        <v>0</v>
      </c>
      <c r="U880" s="27">
        <f>IF(K880="Válida",J880,"")</f>
        <v>0</v>
      </c>
    </row>
    <row r="881" spans="1:21">
      <c r="A881" s="25">
        <f>IF(MES!A881="","",MES!C881/48)</f>
        <v>0</v>
      </c>
      <c r="B881" s="26">
        <f>IF(A881="","",TEXT((N881*4+cfgDeslocamento)/48,"hh:mm")&amp;" a "&amp;TEXT(A881,"hh:mm"))</f>
        <v>0</v>
      </c>
      <c r="C881" s="27">
        <f>IF(A881="","",MES!B881)</f>
        <v>0</v>
      </c>
      <c r="D881" s="27">
        <f>IF(A881="","",IFERROR(AVERAGEIFS(Prensa!$B$2:$B$5001,Prensa!$E$2:$E$5001,N881,Prensa!$F$2:$F$5001,1,Prensa!$G$2:$G$5001,1),""))</f>
        <v>0</v>
      </c>
      <c r="E881" s="27">
        <f>IF(A881="","",IFERROR(AVERAGEIFS(Prensa!$B$2:$B$5001,Prensa!$E$2:$E$5001,N881,Prensa!$F$2:$F$5001,2,Prensa!$G$2:$G$5001,1),""))</f>
        <v>0</v>
      </c>
      <c r="F881" s="27">
        <f>IF(A881="","",IFERROR(AVERAGEIFS(Prensa!$B$2:$B$5001,Prensa!$E$2:$E$5001,N881,Prensa!$F$2:$F$5001,3,Prensa!$G$2:$G$5001,1),""))</f>
        <v>0</v>
      </c>
      <c r="G881" s="27">
        <f>IF(A881="","",IFERROR(AVERAGEIFS(Prensa!$B$2:$B$5001,Prensa!$E$2:$E$5001,N881,Prensa!$F$2:$F$5001,4,Prensa!$G$2:$G$5001,1),""))</f>
        <v>0</v>
      </c>
      <c r="H881" s="26">
        <f>IF(A881="","",COUNT(D881:G881))</f>
        <v>0</v>
      </c>
      <c r="I881" s="27">
        <f>IF(A881="","",IF(H881=0,"",AVERAGE(D881:G881)))</f>
        <v>0</v>
      </c>
      <c r="J881" s="27">
        <f>IF(OR(I881="",C881=""),"",I881-C881)</f>
        <v>0</v>
      </c>
      <c r="K881" s="26">
        <f>IF(A881="","",IF(MES!E881&lt;&gt;4,"Horário do MES fora do padrão",IF(H881&lt;cfgMinCortes,"Cortes insuficientes","Válida")))</f>
        <v>0</v>
      </c>
      <c r="L881" s="27">
        <f>IF(K881="Válida",ABS(J881),"")</f>
        <v>0</v>
      </c>
      <c r="M881" s="26">
        <f>IF(K881="Válida",IF(L881&lt;=cfgTolerancia,"Sim","Não"),"")</f>
        <v>0</v>
      </c>
      <c r="N881" s="26">
        <f>IF(A881="","",MES!D881)</f>
        <v>0</v>
      </c>
      <c r="O881" s="25">
        <f>IF(K881="Válida",A881,NA())</f>
        <v>0</v>
      </c>
      <c r="P881" s="27">
        <f>IF(K881="Válida",C881,NA())</f>
        <v>0</v>
      </c>
      <c r="Q881" s="27">
        <f>IF(K881="Válida",I881,NA())</f>
        <v>0</v>
      </c>
      <c r="R881" s="27">
        <f>IF(K881="Válida",J881,NA())</f>
        <v>0</v>
      </c>
      <c r="S881" s="27">
        <f>IF(K881="Válida",C881,"")</f>
        <v>0</v>
      </c>
      <c r="T881" s="27">
        <f>IF(K881="Válida",I881,"")</f>
        <v>0</v>
      </c>
      <c r="U881" s="27">
        <f>IF(K881="Válida",J881,"")</f>
        <v>0</v>
      </c>
    </row>
    <row r="882" spans="1:21">
      <c r="A882" s="25">
        <f>IF(MES!A882="","",MES!C882/48)</f>
        <v>0</v>
      </c>
      <c r="B882" s="26">
        <f>IF(A882="","",TEXT((N882*4+cfgDeslocamento)/48,"hh:mm")&amp;" a "&amp;TEXT(A882,"hh:mm"))</f>
        <v>0</v>
      </c>
      <c r="C882" s="27">
        <f>IF(A882="","",MES!B882)</f>
        <v>0</v>
      </c>
      <c r="D882" s="27">
        <f>IF(A882="","",IFERROR(AVERAGEIFS(Prensa!$B$2:$B$5001,Prensa!$E$2:$E$5001,N882,Prensa!$F$2:$F$5001,1,Prensa!$G$2:$G$5001,1),""))</f>
        <v>0</v>
      </c>
      <c r="E882" s="27">
        <f>IF(A882="","",IFERROR(AVERAGEIFS(Prensa!$B$2:$B$5001,Prensa!$E$2:$E$5001,N882,Prensa!$F$2:$F$5001,2,Prensa!$G$2:$G$5001,1),""))</f>
        <v>0</v>
      </c>
      <c r="F882" s="27">
        <f>IF(A882="","",IFERROR(AVERAGEIFS(Prensa!$B$2:$B$5001,Prensa!$E$2:$E$5001,N882,Prensa!$F$2:$F$5001,3,Prensa!$G$2:$G$5001,1),""))</f>
        <v>0</v>
      </c>
      <c r="G882" s="27">
        <f>IF(A882="","",IFERROR(AVERAGEIFS(Prensa!$B$2:$B$5001,Prensa!$E$2:$E$5001,N882,Prensa!$F$2:$F$5001,4,Prensa!$G$2:$G$5001,1),""))</f>
        <v>0</v>
      </c>
      <c r="H882" s="26">
        <f>IF(A882="","",COUNT(D882:G882))</f>
        <v>0</v>
      </c>
      <c r="I882" s="27">
        <f>IF(A882="","",IF(H882=0,"",AVERAGE(D882:G882)))</f>
        <v>0</v>
      </c>
      <c r="J882" s="27">
        <f>IF(OR(I882="",C882=""),"",I882-C882)</f>
        <v>0</v>
      </c>
      <c r="K882" s="26">
        <f>IF(A882="","",IF(MES!E882&lt;&gt;4,"Horário do MES fora do padrão",IF(H882&lt;cfgMinCortes,"Cortes insuficientes","Válida")))</f>
        <v>0</v>
      </c>
      <c r="L882" s="27">
        <f>IF(K882="Válida",ABS(J882),"")</f>
        <v>0</v>
      </c>
      <c r="M882" s="26">
        <f>IF(K882="Válida",IF(L882&lt;=cfgTolerancia,"Sim","Não"),"")</f>
        <v>0</v>
      </c>
      <c r="N882" s="26">
        <f>IF(A882="","",MES!D882)</f>
        <v>0</v>
      </c>
      <c r="O882" s="25">
        <f>IF(K882="Válida",A882,NA())</f>
        <v>0</v>
      </c>
      <c r="P882" s="27">
        <f>IF(K882="Válida",C882,NA())</f>
        <v>0</v>
      </c>
      <c r="Q882" s="27">
        <f>IF(K882="Válida",I882,NA())</f>
        <v>0</v>
      </c>
      <c r="R882" s="27">
        <f>IF(K882="Válida",J882,NA())</f>
        <v>0</v>
      </c>
      <c r="S882" s="27">
        <f>IF(K882="Válida",C882,"")</f>
        <v>0</v>
      </c>
      <c r="T882" s="27">
        <f>IF(K882="Válida",I882,"")</f>
        <v>0</v>
      </c>
      <c r="U882" s="27">
        <f>IF(K882="Válida",J882,"")</f>
        <v>0</v>
      </c>
    </row>
    <row r="883" spans="1:21">
      <c r="A883" s="25">
        <f>IF(MES!A883="","",MES!C883/48)</f>
        <v>0</v>
      </c>
      <c r="B883" s="26">
        <f>IF(A883="","",TEXT((N883*4+cfgDeslocamento)/48,"hh:mm")&amp;" a "&amp;TEXT(A883,"hh:mm"))</f>
        <v>0</v>
      </c>
      <c r="C883" s="27">
        <f>IF(A883="","",MES!B883)</f>
        <v>0</v>
      </c>
      <c r="D883" s="27">
        <f>IF(A883="","",IFERROR(AVERAGEIFS(Prensa!$B$2:$B$5001,Prensa!$E$2:$E$5001,N883,Prensa!$F$2:$F$5001,1,Prensa!$G$2:$G$5001,1),""))</f>
        <v>0</v>
      </c>
      <c r="E883" s="27">
        <f>IF(A883="","",IFERROR(AVERAGEIFS(Prensa!$B$2:$B$5001,Prensa!$E$2:$E$5001,N883,Prensa!$F$2:$F$5001,2,Prensa!$G$2:$G$5001,1),""))</f>
        <v>0</v>
      </c>
      <c r="F883" s="27">
        <f>IF(A883="","",IFERROR(AVERAGEIFS(Prensa!$B$2:$B$5001,Prensa!$E$2:$E$5001,N883,Prensa!$F$2:$F$5001,3,Prensa!$G$2:$G$5001,1),""))</f>
        <v>0</v>
      </c>
      <c r="G883" s="27">
        <f>IF(A883="","",IFERROR(AVERAGEIFS(Prensa!$B$2:$B$5001,Prensa!$E$2:$E$5001,N883,Prensa!$F$2:$F$5001,4,Prensa!$G$2:$G$5001,1),""))</f>
        <v>0</v>
      </c>
      <c r="H883" s="26">
        <f>IF(A883="","",COUNT(D883:G883))</f>
        <v>0</v>
      </c>
      <c r="I883" s="27">
        <f>IF(A883="","",IF(H883=0,"",AVERAGE(D883:G883)))</f>
        <v>0</v>
      </c>
      <c r="J883" s="27">
        <f>IF(OR(I883="",C883=""),"",I883-C883)</f>
        <v>0</v>
      </c>
      <c r="K883" s="26">
        <f>IF(A883="","",IF(MES!E883&lt;&gt;4,"Horário do MES fora do padrão",IF(H883&lt;cfgMinCortes,"Cortes insuficientes","Válida")))</f>
        <v>0</v>
      </c>
      <c r="L883" s="27">
        <f>IF(K883="Válida",ABS(J883),"")</f>
        <v>0</v>
      </c>
      <c r="M883" s="26">
        <f>IF(K883="Válida",IF(L883&lt;=cfgTolerancia,"Sim","Não"),"")</f>
        <v>0</v>
      </c>
      <c r="N883" s="26">
        <f>IF(A883="","",MES!D883)</f>
        <v>0</v>
      </c>
      <c r="O883" s="25">
        <f>IF(K883="Válida",A883,NA())</f>
        <v>0</v>
      </c>
      <c r="P883" s="27">
        <f>IF(K883="Válida",C883,NA())</f>
        <v>0</v>
      </c>
      <c r="Q883" s="27">
        <f>IF(K883="Válida",I883,NA())</f>
        <v>0</v>
      </c>
      <c r="R883" s="27">
        <f>IF(K883="Válida",J883,NA())</f>
        <v>0</v>
      </c>
      <c r="S883" s="27">
        <f>IF(K883="Válida",C883,"")</f>
        <v>0</v>
      </c>
      <c r="T883" s="27">
        <f>IF(K883="Válida",I883,"")</f>
        <v>0</v>
      </c>
      <c r="U883" s="27">
        <f>IF(K883="Válida",J883,"")</f>
        <v>0</v>
      </c>
    </row>
    <row r="884" spans="1:21">
      <c r="A884" s="25">
        <f>IF(MES!A884="","",MES!C884/48)</f>
        <v>0</v>
      </c>
      <c r="B884" s="26">
        <f>IF(A884="","",TEXT((N884*4+cfgDeslocamento)/48,"hh:mm")&amp;" a "&amp;TEXT(A884,"hh:mm"))</f>
        <v>0</v>
      </c>
      <c r="C884" s="27">
        <f>IF(A884="","",MES!B884)</f>
        <v>0</v>
      </c>
      <c r="D884" s="27">
        <f>IF(A884="","",IFERROR(AVERAGEIFS(Prensa!$B$2:$B$5001,Prensa!$E$2:$E$5001,N884,Prensa!$F$2:$F$5001,1,Prensa!$G$2:$G$5001,1),""))</f>
        <v>0</v>
      </c>
      <c r="E884" s="27">
        <f>IF(A884="","",IFERROR(AVERAGEIFS(Prensa!$B$2:$B$5001,Prensa!$E$2:$E$5001,N884,Prensa!$F$2:$F$5001,2,Prensa!$G$2:$G$5001,1),""))</f>
        <v>0</v>
      </c>
      <c r="F884" s="27">
        <f>IF(A884="","",IFERROR(AVERAGEIFS(Prensa!$B$2:$B$5001,Prensa!$E$2:$E$5001,N884,Prensa!$F$2:$F$5001,3,Prensa!$G$2:$G$5001,1),""))</f>
        <v>0</v>
      </c>
      <c r="G884" s="27">
        <f>IF(A884="","",IFERROR(AVERAGEIFS(Prensa!$B$2:$B$5001,Prensa!$E$2:$E$5001,N884,Prensa!$F$2:$F$5001,4,Prensa!$G$2:$G$5001,1),""))</f>
        <v>0</v>
      </c>
      <c r="H884" s="26">
        <f>IF(A884="","",COUNT(D884:G884))</f>
        <v>0</v>
      </c>
      <c r="I884" s="27">
        <f>IF(A884="","",IF(H884=0,"",AVERAGE(D884:G884)))</f>
        <v>0</v>
      </c>
      <c r="J884" s="27">
        <f>IF(OR(I884="",C884=""),"",I884-C884)</f>
        <v>0</v>
      </c>
      <c r="K884" s="26">
        <f>IF(A884="","",IF(MES!E884&lt;&gt;4,"Horário do MES fora do padrão",IF(H884&lt;cfgMinCortes,"Cortes insuficientes","Válida")))</f>
        <v>0</v>
      </c>
      <c r="L884" s="27">
        <f>IF(K884="Válida",ABS(J884),"")</f>
        <v>0</v>
      </c>
      <c r="M884" s="26">
        <f>IF(K884="Válida",IF(L884&lt;=cfgTolerancia,"Sim","Não"),"")</f>
        <v>0</v>
      </c>
      <c r="N884" s="26">
        <f>IF(A884="","",MES!D884)</f>
        <v>0</v>
      </c>
      <c r="O884" s="25">
        <f>IF(K884="Válida",A884,NA())</f>
        <v>0</v>
      </c>
      <c r="P884" s="27">
        <f>IF(K884="Válida",C884,NA())</f>
        <v>0</v>
      </c>
      <c r="Q884" s="27">
        <f>IF(K884="Válida",I884,NA())</f>
        <v>0</v>
      </c>
      <c r="R884" s="27">
        <f>IF(K884="Válida",J884,NA())</f>
        <v>0</v>
      </c>
      <c r="S884" s="27">
        <f>IF(K884="Válida",C884,"")</f>
        <v>0</v>
      </c>
      <c r="T884" s="27">
        <f>IF(K884="Válida",I884,"")</f>
        <v>0</v>
      </c>
      <c r="U884" s="27">
        <f>IF(K884="Válida",J884,"")</f>
        <v>0</v>
      </c>
    </row>
    <row r="885" spans="1:21">
      <c r="A885" s="25">
        <f>IF(MES!A885="","",MES!C885/48)</f>
        <v>0</v>
      </c>
      <c r="B885" s="26">
        <f>IF(A885="","",TEXT((N885*4+cfgDeslocamento)/48,"hh:mm")&amp;" a "&amp;TEXT(A885,"hh:mm"))</f>
        <v>0</v>
      </c>
      <c r="C885" s="27">
        <f>IF(A885="","",MES!B885)</f>
        <v>0</v>
      </c>
      <c r="D885" s="27">
        <f>IF(A885="","",IFERROR(AVERAGEIFS(Prensa!$B$2:$B$5001,Prensa!$E$2:$E$5001,N885,Prensa!$F$2:$F$5001,1,Prensa!$G$2:$G$5001,1),""))</f>
        <v>0</v>
      </c>
      <c r="E885" s="27">
        <f>IF(A885="","",IFERROR(AVERAGEIFS(Prensa!$B$2:$B$5001,Prensa!$E$2:$E$5001,N885,Prensa!$F$2:$F$5001,2,Prensa!$G$2:$G$5001,1),""))</f>
        <v>0</v>
      </c>
      <c r="F885" s="27">
        <f>IF(A885="","",IFERROR(AVERAGEIFS(Prensa!$B$2:$B$5001,Prensa!$E$2:$E$5001,N885,Prensa!$F$2:$F$5001,3,Prensa!$G$2:$G$5001,1),""))</f>
        <v>0</v>
      </c>
      <c r="G885" s="27">
        <f>IF(A885="","",IFERROR(AVERAGEIFS(Prensa!$B$2:$B$5001,Prensa!$E$2:$E$5001,N885,Prensa!$F$2:$F$5001,4,Prensa!$G$2:$G$5001,1),""))</f>
        <v>0</v>
      </c>
      <c r="H885" s="26">
        <f>IF(A885="","",COUNT(D885:G885))</f>
        <v>0</v>
      </c>
      <c r="I885" s="27">
        <f>IF(A885="","",IF(H885=0,"",AVERAGE(D885:G885)))</f>
        <v>0</v>
      </c>
      <c r="J885" s="27">
        <f>IF(OR(I885="",C885=""),"",I885-C885)</f>
        <v>0</v>
      </c>
      <c r="K885" s="26">
        <f>IF(A885="","",IF(MES!E885&lt;&gt;4,"Horário do MES fora do padrão",IF(H885&lt;cfgMinCortes,"Cortes insuficientes","Válida")))</f>
        <v>0</v>
      </c>
      <c r="L885" s="27">
        <f>IF(K885="Válida",ABS(J885),"")</f>
        <v>0</v>
      </c>
      <c r="M885" s="26">
        <f>IF(K885="Válida",IF(L885&lt;=cfgTolerancia,"Sim","Não"),"")</f>
        <v>0</v>
      </c>
      <c r="N885" s="26">
        <f>IF(A885="","",MES!D885)</f>
        <v>0</v>
      </c>
      <c r="O885" s="25">
        <f>IF(K885="Válida",A885,NA())</f>
        <v>0</v>
      </c>
      <c r="P885" s="27">
        <f>IF(K885="Válida",C885,NA())</f>
        <v>0</v>
      </c>
      <c r="Q885" s="27">
        <f>IF(K885="Válida",I885,NA())</f>
        <v>0</v>
      </c>
      <c r="R885" s="27">
        <f>IF(K885="Válida",J885,NA())</f>
        <v>0</v>
      </c>
      <c r="S885" s="27">
        <f>IF(K885="Válida",C885,"")</f>
        <v>0</v>
      </c>
      <c r="T885" s="27">
        <f>IF(K885="Válida",I885,"")</f>
        <v>0</v>
      </c>
      <c r="U885" s="27">
        <f>IF(K885="Válida",J885,"")</f>
        <v>0</v>
      </c>
    </row>
    <row r="886" spans="1:21">
      <c r="A886" s="25">
        <f>IF(MES!A886="","",MES!C886/48)</f>
        <v>0</v>
      </c>
      <c r="B886" s="26">
        <f>IF(A886="","",TEXT((N886*4+cfgDeslocamento)/48,"hh:mm")&amp;" a "&amp;TEXT(A886,"hh:mm"))</f>
        <v>0</v>
      </c>
      <c r="C886" s="27">
        <f>IF(A886="","",MES!B886)</f>
        <v>0</v>
      </c>
      <c r="D886" s="27">
        <f>IF(A886="","",IFERROR(AVERAGEIFS(Prensa!$B$2:$B$5001,Prensa!$E$2:$E$5001,N886,Prensa!$F$2:$F$5001,1,Prensa!$G$2:$G$5001,1),""))</f>
        <v>0</v>
      </c>
      <c r="E886" s="27">
        <f>IF(A886="","",IFERROR(AVERAGEIFS(Prensa!$B$2:$B$5001,Prensa!$E$2:$E$5001,N886,Prensa!$F$2:$F$5001,2,Prensa!$G$2:$G$5001,1),""))</f>
        <v>0</v>
      </c>
      <c r="F886" s="27">
        <f>IF(A886="","",IFERROR(AVERAGEIFS(Prensa!$B$2:$B$5001,Prensa!$E$2:$E$5001,N886,Prensa!$F$2:$F$5001,3,Prensa!$G$2:$G$5001,1),""))</f>
        <v>0</v>
      </c>
      <c r="G886" s="27">
        <f>IF(A886="","",IFERROR(AVERAGEIFS(Prensa!$B$2:$B$5001,Prensa!$E$2:$E$5001,N886,Prensa!$F$2:$F$5001,4,Prensa!$G$2:$G$5001,1),""))</f>
        <v>0</v>
      </c>
      <c r="H886" s="26">
        <f>IF(A886="","",COUNT(D886:G886))</f>
        <v>0</v>
      </c>
      <c r="I886" s="27">
        <f>IF(A886="","",IF(H886=0,"",AVERAGE(D886:G886)))</f>
        <v>0</v>
      </c>
      <c r="J886" s="27">
        <f>IF(OR(I886="",C886=""),"",I886-C886)</f>
        <v>0</v>
      </c>
      <c r="K886" s="26">
        <f>IF(A886="","",IF(MES!E886&lt;&gt;4,"Horário do MES fora do padrão",IF(H886&lt;cfgMinCortes,"Cortes insuficientes","Válida")))</f>
        <v>0</v>
      </c>
      <c r="L886" s="27">
        <f>IF(K886="Válida",ABS(J886),"")</f>
        <v>0</v>
      </c>
      <c r="M886" s="26">
        <f>IF(K886="Válida",IF(L886&lt;=cfgTolerancia,"Sim","Não"),"")</f>
        <v>0</v>
      </c>
      <c r="N886" s="26">
        <f>IF(A886="","",MES!D886)</f>
        <v>0</v>
      </c>
      <c r="O886" s="25">
        <f>IF(K886="Válida",A886,NA())</f>
        <v>0</v>
      </c>
      <c r="P886" s="27">
        <f>IF(K886="Válida",C886,NA())</f>
        <v>0</v>
      </c>
      <c r="Q886" s="27">
        <f>IF(K886="Válida",I886,NA())</f>
        <v>0</v>
      </c>
      <c r="R886" s="27">
        <f>IF(K886="Válida",J886,NA())</f>
        <v>0</v>
      </c>
      <c r="S886" s="27">
        <f>IF(K886="Válida",C886,"")</f>
        <v>0</v>
      </c>
      <c r="T886" s="27">
        <f>IF(K886="Válida",I886,"")</f>
        <v>0</v>
      </c>
      <c r="U886" s="27">
        <f>IF(K886="Válida",J886,"")</f>
        <v>0</v>
      </c>
    </row>
    <row r="887" spans="1:21">
      <c r="A887" s="25">
        <f>IF(MES!A887="","",MES!C887/48)</f>
        <v>0</v>
      </c>
      <c r="B887" s="26">
        <f>IF(A887="","",TEXT((N887*4+cfgDeslocamento)/48,"hh:mm")&amp;" a "&amp;TEXT(A887,"hh:mm"))</f>
        <v>0</v>
      </c>
      <c r="C887" s="27">
        <f>IF(A887="","",MES!B887)</f>
        <v>0</v>
      </c>
      <c r="D887" s="27">
        <f>IF(A887="","",IFERROR(AVERAGEIFS(Prensa!$B$2:$B$5001,Prensa!$E$2:$E$5001,N887,Prensa!$F$2:$F$5001,1,Prensa!$G$2:$G$5001,1),""))</f>
        <v>0</v>
      </c>
      <c r="E887" s="27">
        <f>IF(A887="","",IFERROR(AVERAGEIFS(Prensa!$B$2:$B$5001,Prensa!$E$2:$E$5001,N887,Prensa!$F$2:$F$5001,2,Prensa!$G$2:$G$5001,1),""))</f>
        <v>0</v>
      </c>
      <c r="F887" s="27">
        <f>IF(A887="","",IFERROR(AVERAGEIFS(Prensa!$B$2:$B$5001,Prensa!$E$2:$E$5001,N887,Prensa!$F$2:$F$5001,3,Prensa!$G$2:$G$5001,1),""))</f>
        <v>0</v>
      </c>
      <c r="G887" s="27">
        <f>IF(A887="","",IFERROR(AVERAGEIFS(Prensa!$B$2:$B$5001,Prensa!$E$2:$E$5001,N887,Prensa!$F$2:$F$5001,4,Prensa!$G$2:$G$5001,1),""))</f>
        <v>0</v>
      </c>
      <c r="H887" s="26">
        <f>IF(A887="","",COUNT(D887:G887))</f>
        <v>0</v>
      </c>
      <c r="I887" s="27">
        <f>IF(A887="","",IF(H887=0,"",AVERAGE(D887:G887)))</f>
        <v>0</v>
      </c>
      <c r="J887" s="27">
        <f>IF(OR(I887="",C887=""),"",I887-C887)</f>
        <v>0</v>
      </c>
      <c r="K887" s="26">
        <f>IF(A887="","",IF(MES!E887&lt;&gt;4,"Horário do MES fora do padrão",IF(H887&lt;cfgMinCortes,"Cortes insuficientes","Válida")))</f>
        <v>0</v>
      </c>
      <c r="L887" s="27">
        <f>IF(K887="Válida",ABS(J887),"")</f>
        <v>0</v>
      </c>
      <c r="M887" s="26">
        <f>IF(K887="Válida",IF(L887&lt;=cfgTolerancia,"Sim","Não"),"")</f>
        <v>0</v>
      </c>
      <c r="N887" s="26">
        <f>IF(A887="","",MES!D887)</f>
        <v>0</v>
      </c>
      <c r="O887" s="25">
        <f>IF(K887="Válida",A887,NA())</f>
        <v>0</v>
      </c>
      <c r="P887" s="27">
        <f>IF(K887="Válida",C887,NA())</f>
        <v>0</v>
      </c>
      <c r="Q887" s="27">
        <f>IF(K887="Válida",I887,NA())</f>
        <v>0</v>
      </c>
      <c r="R887" s="27">
        <f>IF(K887="Válida",J887,NA())</f>
        <v>0</v>
      </c>
      <c r="S887" s="27">
        <f>IF(K887="Válida",C887,"")</f>
        <v>0</v>
      </c>
      <c r="T887" s="27">
        <f>IF(K887="Válida",I887,"")</f>
        <v>0</v>
      </c>
      <c r="U887" s="27">
        <f>IF(K887="Válida",J887,"")</f>
        <v>0</v>
      </c>
    </row>
    <row r="888" spans="1:21">
      <c r="A888" s="25">
        <f>IF(MES!A888="","",MES!C888/48)</f>
        <v>0</v>
      </c>
      <c r="B888" s="26">
        <f>IF(A888="","",TEXT((N888*4+cfgDeslocamento)/48,"hh:mm")&amp;" a "&amp;TEXT(A888,"hh:mm"))</f>
        <v>0</v>
      </c>
      <c r="C888" s="27">
        <f>IF(A888="","",MES!B888)</f>
        <v>0</v>
      </c>
      <c r="D888" s="27">
        <f>IF(A888="","",IFERROR(AVERAGEIFS(Prensa!$B$2:$B$5001,Prensa!$E$2:$E$5001,N888,Prensa!$F$2:$F$5001,1,Prensa!$G$2:$G$5001,1),""))</f>
        <v>0</v>
      </c>
      <c r="E888" s="27">
        <f>IF(A888="","",IFERROR(AVERAGEIFS(Prensa!$B$2:$B$5001,Prensa!$E$2:$E$5001,N888,Prensa!$F$2:$F$5001,2,Prensa!$G$2:$G$5001,1),""))</f>
        <v>0</v>
      </c>
      <c r="F888" s="27">
        <f>IF(A888="","",IFERROR(AVERAGEIFS(Prensa!$B$2:$B$5001,Prensa!$E$2:$E$5001,N888,Prensa!$F$2:$F$5001,3,Prensa!$G$2:$G$5001,1),""))</f>
        <v>0</v>
      </c>
      <c r="G888" s="27">
        <f>IF(A888="","",IFERROR(AVERAGEIFS(Prensa!$B$2:$B$5001,Prensa!$E$2:$E$5001,N888,Prensa!$F$2:$F$5001,4,Prensa!$G$2:$G$5001,1),""))</f>
        <v>0</v>
      </c>
      <c r="H888" s="26">
        <f>IF(A888="","",COUNT(D888:G888))</f>
        <v>0</v>
      </c>
      <c r="I888" s="27">
        <f>IF(A888="","",IF(H888=0,"",AVERAGE(D888:G888)))</f>
        <v>0</v>
      </c>
      <c r="J888" s="27">
        <f>IF(OR(I888="",C888=""),"",I888-C888)</f>
        <v>0</v>
      </c>
      <c r="K888" s="26">
        <f>IF(A888="","",IF(MES!E888&lt;&gt;4,"Horário do MES fora do padrão",IF(H888&lt;cfgMinCortes,"Cortes insuficientes","Válida")))</f>
        <v>0</v>
      </c>
      <c r="L888" s="27">
        <f>IF(K888="Válida",ABS(J888),"")</f>
        <v>0</v>
      </c>
      <c r="M888" s="26">
        <f>IF(K888="Válida",IF(L888&lt;=cfgTolerancia,"Sim","Não"),"")</f>
        <v>0</v>
      </c>
      <c r="N888" s="26">
        <f>IF(A888="","",MES!D888)</f>
        <v>0</v>
      </c>
      <c r="O888" s="25">
        <f>IF(K888="Válida",A888,NA())</f>
        <v>0</v>
      </c>
      <c r="P888" s="27">
        <f>IF(K888="Válida",C888,NA())</f>
        <v>0</v>
      </c>
      <c r="Q888" s="27">
        <f>IF(K888="Válida",I888,NA())</f>
        <v>0</v>
      </c>
      <c r="R888" s="27">
        <f>IF(K888="Válida",J888,NA())</f>
        <v>0</v>
      </c>
      <c r="S888" s="27">
        <f>IF(K888="Válida",C888,"")</f>
        <v>0</v>
      </c>
      <c r="T888" s="27">
        <f>IF(K888="Válida",I888,"")</f>
        <v>0</v>
      </c>
      <c r="U888" s="27">
        <f>IF(K888="Válida",J888,"")</f>
        <v>0</v>
      </c>
    </row>
    <row r="889" spans="1:21">
      <c r="A889" s="25">
        <f>IF(MES!A889="","",MES!C889/48)</f>
        <v>0</v>
      </c>
      <c r="B889" s="26">
        <f>IF(A889="","",TEXT((N889*4+cfgDeslocamento)/48,"hh:mm")&amp;" a "&amp;TEXT(A889,"hh:mm"))</f>
        <v>0</v>
      </c>
      <c r="C889" s="27">
        <f>IF(A889="","",MES!B889)</f>
        <v>0</v>
      </c>
      <c r="D889" s="27">
        <f>IF(A889="","",IFERROR(AVERAGEIFS(Prensa!$B$2:$B$5001,Prensa!$E$2:$E$5001,N889,Prensa!$F$2:$F$5001,1,Prensa!$G$2:$G$5001,1),""))</f>
        <v>0</v>
      </c>
      <c r="E889" s="27">
        <f>IF(A889="","",IFERROR(AVERAGEIFS(Prensa!$B$2:$B$5001,Prensa!$E$2:$E$5001,N889,Prensa!$F$2:$F$5001,2,Prensa!$G$2:$G$5001,1),""))</f>
        <v>0</v>
      </c>
      <c r="F889" s="27">
        <f>IF(A889="","",IFERROR(AVERAGEIFS(Prensa!$B$2:$B$5001,Prensa!$E$2:$E$5001,N889,Prensa!$F$2:$F$5001,3,Prensa!$G$2:$G$5001,1),""))</f>
        <v>0</v>
      </c>
      <c r="G889" s="27">
        <f>IF(A889="","",IFERROR(AVERAGEIFS(Prensa!$B$2:$B$5001,Prensa!$E$2:$E$5001,N889,Prensa!$F$2:$F$5001,4,Prensa!$G$2:$G$5001,1),""))</f>
        <v>0</v>
      </c>
      <c r="H889" s="26">
        <f>IF(A889="","",COUNT(D889:G889))</f>
        <v>0</v>
      </c>
      <c r="I889" s="27">
        <f>IF(A889="","",IF(H889=0,"",AVERAGE(D889:G889)))</f>
        <v>0</v>
      </c>
      <c r="J889" s="27">
        <f>IF(OR(I889="",C889=""),"",I889-C889)</f>
        <v>0</v>
      </c>
      <c r="K889" s="26">
        <f>IF(A889="","",IF(MES!E889&lt;&gt;4,"Horário do MES fora do padrão",IF(H889&lt;cfgMinCortes,"Cortes insuficientes","Válida")))</f>
        <v>0</v>
      </c>
      <c r="L889" s="27">
        <f>IF(K889="Válida",ABS(J889),"")</f>
        <v>0</v>
      </c>
      <c r="M889" s="26">
        <f>IF(K889="Válida",IF(L889&lt;=cfgTolerancia,"Sim","Não"),"")</f>
        <v>0</v>
      </c>
      <c r="N889" s="26">
        <f>IF(A889="","",MES!D889)</f>
        <v>0</v>
      </c>
      <c r="O889" s="25">
        <f>IF(K889="Válida",A889,NA())</f>
        <v>0</v>
      </c>
      <c r="P889" s="27">
        <f>IF(K889="Válida",C889,NA())</f>
        <v>0</v>
      </c>
      <c r="Q889" s="27">
        <f>IF(K889="Válida",I889,NA())</f>
        <v>0</v>
      </c>
      <c r="R889" s="27">
        <f>IF(K889="Válida",J889,NA())</f>
        <v>0</v>
      </c>
      <c r="S889" s="27">
        <f>IF(K889="Válida",C889,"")</f>
        <v>0</v>
      </c>
      <c r="T889" s="27">
        <f>IF(K889="Válida",I889,"")</f>
        <v>0</v>
      </c>
      <c r="U889" s="27">
        <f>IF(K889="Válida",J889,"")</f>
        <v>0</v>
      </c>
    </row>
    <row r="890" spans="1:21">
      <c r="A890" s="25">
        <f>IF(MES!A890="","",MES!C890/48)</f>
        <v>0</v>
      </c>
      <c r="B890" s="26">
        <f>IF(A890="","",TEXT((N890*4+cfgDeslocamento)/48,"hh:mm")&amp;" a "&amp;TEXT(A890,"hh:mm"))</f>
        <v>0</v>
      </c>
      <c r="C890" s="27">
        <f>IF(A890="","",MES!B890)</f>
        <v>0</v>
      </c>
      <c r="D890" s="27">
        <f>IF(A890="","",IFERROR(AVERAGEIFS(Prensa!$B$2:$B$5001,Prensa!$E$2:$E$5001,N890,Prensa!$F$2:$F$5001,1,Prensa!$G$2:$G$5001,1),""))</f>
        <v>0</v>
      </c>
      <c r="E890" s="27">
        <f>IF(A890="","",IFERROR(AVERAGEIFS(Prensa!$B$2:$B$5001,Prensa!$E$2:$E$5001,N890,Prensa!$F$2:$F$5001,2,Prensa!$G$2:$G$5001,1),""))</f>
        <v>0</v>
      </c>
      <c r="F890" s="27">
        <f>IF(A890="","",IFERROR(AVERAGEIFS(Prensa!$B$2:$B$5001,Prensa!$E$2:$E$5001,N890,Prensa!$F$2:$F$5001,3,Prensa!$G$2:$G$5001,1),""))</f>
        <v>0</v>
      </c>
      <c r="G890" s="27">
        <f>IF(A890="","",IFERROR(AVERAGEIFS(Prensa!$B$2:$B$5001,Prensa!$E$2:$E$5001,N890,Prensa!$F$2:$F$5001,4,Prensa!$G$2:$G$5001,1),""))</f>
        <v>0</v>
      </c>
      <c r="H890" s="26">
        <f>IF(A890="","",COUNT(D890:G890))</f>
        <v>0</v>
      </c>
      <c r="I890" s="27">
        <f>IF(A890="","",IF(H890=0,"",AVERAGE(D890:G890)))</f>
        <v>0</v>
      </c>
      <c r="J890" s="27">
        <f>IF(OR(I890="",C890=""),"",I890-C890)</f>
        <v>0</v>
      </c>
      <c r="K890" s="26">
        <f>IF(A890="","",IF(MES!E890&lt;&gt;4,"Horário do MES fora do padrão",IF(H890&lt;cfgMinCortes,"Cortes insuficientes","Válida")))</f>
        <v>0</v>
      </c>
      <c r="L890" s="27">
        <f>IF(K890="Válida",ABS(J890),"")</f>
        <v>0</v>
      </c>
      <c r="M890" s="26">
        <f>IF(K890="Válida",IF(L890&lt;=cfgTolerancia,"Sim","Não"),"")</f>
        <v>0</v>
      </c>
      <c r="N890" s="26">
        <f>IF(A890="","",MES!D890)</f>
        <v>0</v>
      </c>
      <c r="O890" s="25">
        <f>IF(K890="Válida",A890,NA())</f>
        <v>0</v>
      </c>
      <c r="P890" s="27">
        <f>IF(K890="Válida",C890,NA())</f>
        <v>0</v>
      </c>
      <c r="Q890" s="27">
        <f>IF(K890="Válida",I890,NA())</f>
        <v>0</v>
      </c>
      <c r="R890" s="27">
        <f>IF(K890="Válida",J890,NA())</f>
        <v>0</v>
      </c>
      <c r="S890" s="27">
        <f>IF(K890="Válida",C890,"")</f>
        <v>0</v>
      </c>
      <c r="T890" s="27">
        <f>IF(K890="Válida",I890,"")</f>
        <v>0</v>
      </c>
      <c r="U890" s="27">
        <f>IF(K890="Válida",J890,"")</f>
        <v>0</v>
      </c>
    </row>
    <row r="891" spans="1:21">
      <c r="A891" s="25">
        <f>IF(MES!A891="","",MES!C891/48)</f>
        <v>0</v>
      </c>
      <c r="B891" s="26">
        <f>IF(A891="","",TEXT((N891*4+cfgDeslocamento)/48,"hh:mm")&amp;" a "&amp;TEXT(A891,"hh:mm"))</f>
        <v>0</v>
      </c>
      <c r="C891" s="27">
        <f>IF(A891="","",MES!B891)</f>
        <v>0</v>
      </c>
      <c r="D891" s="27">
        <f>IF(A891="","",IFERROR(AVERAGEIFS(Prensa!$B$2:$B$5001,Prensa!$E$2:$E$5001,N891,Prensa!$F$2:$F$5001,1,Prensa!$G$2:$G$5001,1),""))</f>
        <v>0</v>
      </c>
      <c r="E891" s="27">
        <f>IF(A891="","",IFERROR(AVERAGEIFS(Prensa!$B$2:$B$5001,Prensa!$E$2:$E$5001,N891,Prensa!$F$2:$F$5001,2,Prensa!$G$2:$G$5001,1),""))</f>
        <v>0</v>
      </c>
      <c r="F891" s="27">
        <f>IF(A891="","",IFERROR(AVERAGEIFS(Prensa!$B$2:$B$5001,Prensa!$E$2:$E$5001,N891,Prensa!$F$2:$F$5001,3,Prensa!$G$2:$G$5001,1),""))</f>
        <v>0</v>
      </c>
      <c r="G891" s="27">
        <f>IF(A891="","",IFERROR(AVERAGEIFS(Prensa!$B$2:$B$5001,Prensa!$E$2:$E$5001,N891,Prensa!$F$2:$F$5001,4,Prensa!$G$2:$G$5001,1),""))</f>
        <v>0</v>
      </c>
      <c r="H891" s="26">
        <f>IF(A891="","",COUNT(D891:G891))</f>
        <v>0</v>
      </c>
      <c r="I891" s="27">
        <f>IF(A891="","",IF(H891=0,"",AVERAGE(D891:G891)))</f>
        <v>0</v>
      </c>
      <c r="J891" s="27">
        <f>IF(OR(I891="",C891=""),"",I891-C891)</f>
        <v>0</v>
      </c>
      <c r="K891" s="26">
        <f>IF(A891="","",IF(MES!E891&lt;&gt;4,"Horário do MES fora do padrão",IF(H891&lt;cfgMinCortes,"Cortes insuficientes","Válida")))</f>
        <v>0</v>
      </c>
      <c r="L891" s="27">
        <f>IF(K891="Válida",ABS(J891),"")</f>
        <v>0</v>
      </c>
      <c r="M891" s="26">
        <f>IF(K891="Válida",IF(L891&lt;=cfgTolerancia,"Sim","Não"),"")</f>
        <v>0</v>
      </c>
      <c r="N891" s="26">
        <f>IF(A891="","",MES!D891)</f>
        <v>0</v>
      </c>
      <c r="O891" s="25">
        <f>IF(K891="Válida",A891,NA())</f>
        <v>0</v>
      </c>
      <c r="P891" s="27">
        <f>IF(K891="Válida",C891,NA())</f>
        <v>0</v>
      </c>
      <c r="Q891" s="27">
        <f>IF(K891="Válida",I891,NA())</f>
        <v>0</v>
      </c>
      <c r="R891" s="27">
        <f>IF(K891="Válida",J891,NA())</f>
        <v>0</v>
      </c>
      <c r="S891" s="27">
        <f>IF(K891="Válida",C891,"")</f>
        <v>0</v>
      </c>
      <c r="T891" s="27">
        <f>IF(K891="Válida",I891,"")</f>
        <v>0</v>
      </c>
      <c r="U891" s="27">
        <f>IF(K891="Válida",J891,"")</f>
        <v>0</v>
      </c>
    </row>
    <row r="892" spans="1:21">
      <c r="A892" s="25">
        <f>IF(MES!A892="","",MES!C892/48)</f>
        <v>0</v>
      </c>
      <c r="B892" s="26">
        <f>IF(A892="","",TEXT((N892*4+cfgDeslocamento)/48,"hh:mm")&amp;" a "&amp;TEXT(A892,"hh:mm"))</f>
        <v>0</v>
      </c>
      <c r="C892" s="27">
        <f>IF(A892="","",MES!B892)</f>
        <v>0</v>
      </c>
      <c r="D892" s="27">
        <f>IF(A892="","",IFERROR(AVERAGEIFS(Prensa!$B$2:$B$5001,Prensa!$E$2:$E$5001,N892,Prensa!$F$2:$F$5001,1,Prensa!$G$2:$G$5001,1),""))</f>
        <v>0</v>
      </c>
      <c r="E892" s="27">
        <f>IF(A892="","",IFERROR(AVERAGEIFS(Prensa!$B$2:$B$5001,Prensa!$E$2:$E$5001,N892,Prensa!$F$2:$F$5001,2,Prensa!$G$2:$G$5001,1),""))</f>
        <v>0</v>
      </c>
      <c r="F892" s="27">
        <f>IF(A892="","",IFERROR(AVERAGEIFS(Prensa!$B$2:$B$5001,Prensa!$E$2:$E$5001,N892,Prensa!$F$2:$F$5001,3,Prensa!$G$2:$G$5001,1),""))</f>
        <v>0</v>
      </c>
      <c r="G892" s="27">
        <f>IF(A892="","",IFERROR(AVERAGEIFS(Prensa!$B$2:$B$5001,Prensa!$E$2:$E$5001,N892,Prensa!$F$2:$F$5001,4,Prensa!$G$2:$G$5001,1),""))</f>
        <v>0</v>
      </c>
      <c r="H892" s="26">
        <f>IF(A892="","",COUNT(D892:G892))</f>
        <v>0</v>
      </c>
      <c r="I892" s="27">
        <f>IF(A892="","",IF(H892=0,"",AVERAGE(D892:G892)))</f>
        <v>0</v>
      </c>
      <c r="J892" s="27">
        <f>IF(OR(I892="",C892=""),"",I892-C892)</f>
        <v>0</v>
      </c>
      <c r="K892" s="26">
        <f>IF(A892="","",IF(MES!E892&lt;&gt;4,"Horário do MES fora do padrão",IF(H892&lt;cfgMinCortes,"Cortes insuficientes","Válida")))</f>
        <v>0</v>
      </c>
      <c r="L892" s="27">
        <f>IF(K892="Válida",ABS(J892),"")</f>
        <v>0</v>
      </c>
      <c r="M892" s="26">
        <f>IF(K892="Válida",IF(L892&lt;=cfgTolerancia,"Sim","Não"),"")</f>
        <v>0</v>
      </c>
      <c r="N892" s="26">
        <f>IF(A892="","",MES!D892)</f>
        <v>0</v>
      </c>
      <c r="O892" s="25">
        <f>IF(K892="Válida",A892,NA())</f>
        <v>0</v>
      </c>
      <c r="P892" s="27">
        <f>IF(K892="Válida",C892,NA())</f>
        <v>0</v>
      </c>
      <c r="Q892" s="27">
        <f>IF(K892="Válida",I892,NA())</f>
        <v>0</v>
      </c>
      <c r="R892" s="27">
        <f>IF(K892="Válida",J892,NA())</f>
        <v>0</v>
      </c>
      <c r="S892" s="27">
        <f>IF(K892="Válida",C892,"")</f>
        <v>0</v>
      </c>
      <c r="T892" s="27">
        <f>IF(K892="Válida",I892,"")</f>
        <v>0</v>
      </c>
      <c r="U892" s="27">
        <f>IF(K892="Válida",J892,"")</f>
        <v>0</v>
      </c>
    </row>
    <row r="893" spans="1:21">
      <c r="A893" s="25">
        <f>IF(MES!A893="","",MES!C893/48)</f>
        <v>0</v>
      </c>
      <c r="B893" s="26">
        <f>IF(A893="","",TEXT((N893*4+cfgDeslocamento)/48,"hh:mm")&amp;" a "&amp;TEXT(A893,"hh:mm"))</f>
        <v>0</v>
      </c>
      <c r="C893" s="27">
        <f>IF(A893="","",MES!B893)</f>
        <v>0</v>
      </c>
      <c r="D893" s="27">
        <f>IF(A893="","",IFERROR(AVERAGEIFS(Prensa!$B$2:$B$5001,Prensa!$E$2:$E$5001,N893,Prensa!$F$2:$F$5001,1,Prensa!$G$2:$G$5001,1),""))</f>
        <v>0</v>
      </c>
      <c r="E893" s="27">
        <f>IF(A893="","",IFERROR(AVERAGEIFS(Prensa!$B$2:$B$5001,Prensa!$E$2:$E$5001,N893,Prensa!$F$2:$F$5001,2,Prensa!$G$2:$G$5001,1),""))</f>
        <v>0</v>
      </c>
      <c r="F893" s="27">
        <f>IF(A893="","",IFERROR(AVERAGEIFS(Prensa!$B$2:$B$5001,Prensa!$E$2:$E$5001,N893,Prensa!$F$2:$F$5001,3,Prensa!$G$2:$G$5001,1),""))</f>
        <v>0</v>
      </c>
      <c r="G893" s="27">
        <f>IF(A893="","",IFERROR(AVERAGEIFS(Prensa!$B$2:$B$5001,Prensa!$E$2:$E$5001,N893,Prensa!$F$2:$F$5001,4,Prensa!$G$2:$G$5001,1),""))</f>
        <v>0</v>
      </c>
      <c r="H893" s="26">
        <f>IF(A893="","",COUNT(D893:G893))</f>
        <v>0</v>
      </c>
      <c r="I893" s="27">
        <f>IF(A893="","",IF(H893=0,"",AVERAGE(D893:G893)))</f>
        <v>0</v>
      </c>
      <c r="J893" s="27">
        <f>IF(OR(I893="",C893=""),"",I893-C893)</f>
        <v>0</v>
      </c>
      <c r="K893" s="26">
        <f>IF(A893="","",IF(MES!E893&lt;&gt;4,"Horário do MES fora do padrão",IF(H893&lt;cfgMinCortes,"Cortes insuficientes","Válida")))</f>
        <v>0</v>
      </c>
      <c r="L893" s="27">
        <f>IF(K893="Válida",ABS(J893),"")</f>
        <v>0</v>
      </c>
      <c r="M893" s="26">
        <f>IF(K893="Válida",IF(L893&lt;=cfgTolerancia,"Sim","Não"),"")</f>
        <v>0</v>
      </c>
      <c r="N893" s="26">
        <f>IF(A893="","",MES!D893)</f>
        <v>0</v>
      </c>
      <c r="O893" s="25">
        <f>IF(K893="Válida",A893,NA())</f>
        <v>0</v>
      </c>
      <c r="P893" s="27">
        <f>IF(K893="Válida",C893,NA())</f>
        <v>0</v>
      </c>
      <c r="Q893" s="27">
        <f>IF(K893="Válida",I893,NA())</f>
        <v>0</v>
      </c>
      <c r="R893" s="27">
        <f>IF(K893="Válida",J893,NA())</f>
        <v>0</v>
      </c>
      <c r="S893" s="27">
        <f>IF(K893="Válida",C893,"")</f>
        <v>0</v>
      </c>
      <c r="T893" s="27">
        <f>IF(K893="Válida",I893,"")</f>
        <v>0</v>
      </c>
      <c r="U893" s="27">
        <f>IF(K893="Válida",J893,"")</f>
        <v>0</v>
      </c>
    </row>
    <row r="894" spans="1:21">
      <c r="A894" s="25">
        <f>IF(MES!A894="","",MES!C894/48)</f>
        <v>0</v>
      </c>
      <c r="B894" s="26">
        <f>IF(A894="","",TEXT((N894*4+cfgDeslocamento)/48,"hh:mm")&amp;" a "&amp;TEXT(A894,"hh:mm"))</f>
        <v>0</v>
      </c>
      <c r="C894" s="27">
        <f>IF(A894="","",MES!B894)</f>
        <v>0</v>
      </c>
      <c r="D894" s="27">
        <f>IF(A894="","",IFERROR(AVERAGEIFS(Prensa!$B$2:$B$5001,Prensa!$E$2:$E$5001,N894,Prensa!$F$2:$F$5001,1,Prensa!$G$2:$G$5001,1),""))</f>
        <v>0</v>
      </c>
      <c r="E894" s="27">
        <f>IF(A894="","",IFERROR(AVERAGEIFS(Prensa!$B$2:$B$5001,Prensa!$E$2:$E$5001,N894,Prensa!$F$2:$F$5001,2,Prensa!$G$2:$G$5001,1),""))</f>
        <v>0</v>
      </c>
      <c r="F894" s="27">
        <f>IF(A894="","",IFERROR(AVERAGEIFS(Prensa!$B$2:$B$5001,Prensa!$E$2:$E$5001,N894,Prensa!$F$2:$F$5001,3,Prensa!$G$2:$G$5001,1),""))</f>
        <v>0</v>
      </c>
      <c r="G894" s="27">
        <f>IF(A894="","",IFERROR(AVERAGEIFS(Prensa!$B$2:$B$5001,Prensa!$E$2:$E$5001,N894,Prensa!$F$2:$F$5001,4,Prensa!$G$2:$G$5001,1),""))</f>
        <v>0</v>
      </c>
      <c r="H894" s="26">
        <f>IF(A894="","",COUNT(D894:G894))</f>
        <v>0</v>
      </c>
      <c r="I894" s="27">
        <f>IF(A894="","",IF(H894=0,"",AVERAGE(D894:G894)))</f>
        <v>0</v>
      </c>
      <c r="J894" s="27">
        <f>IF(OR(I894="",C894=""),"",I894-C894)</f>
        <v>0</v>
      </c>
      <c r="K894" s="26">
        <f>IF(A894="","",IF(MES!E894&lt;&gt;4,"Horário do MES fora do padrão",IF(H894&lt;cfgMinCortes,"Cortes insuficientes","Válida")))</f>
        <v>0</v>
      </c>
      <c r="L894" s="27">
        <f>IF(K894="Válida",ABS(J894),"")</f>
        <v>0</v>
      </c>
      <c r="M894" s="26">
        <f>IF(K894="Válida",IF(L894&lt;=cfgTolerancia,"Sim","Não"),"")</f>
        <v>0</v>
      </c>
      <c r="N894" s="26">
        <f>IF(A894="","",MES!D894)</f>
        <v>0</v>
      </c>
      <c r="O894" s="25">
        <f>IF(K894="Válida",A894,NA())</f>
        <v>0</v>
      </c>
      <c r="P894" s="27">
        <f>IF(K894="Válida",C894,NA())</f>
        <v>0</v>
      </c>
      <c r="Q894" s="27">
        <f>IF(K894="Válida",I894,NA())</f>
        <v>0</v>
      </c>
      <c r="R894" s="27">
        <f>IF(K894="Válida",J894,NA())</f>
        <v>0</v>
      </c>
      <c r="S894" s="27">
        <f>IF(K894="Válida",C894,"")</f>
        <v>0</v>
      </c>
      <c r="T894" s="27">
        <f>IF(K894="Válida",I894,"")</f>
        <v>0</v>
      </c>
      <c r="U894" s="27">
        <f>IF(K894="Válida",J894,"")</f>
        <v>0</v>
      </c>
    </row>
    <row r="895" spans="1:21">
      <c r="A895" s="25">
        <f>IF(MES!A895="","",MES!C895/48)</f>
        <v>0</v>
      </c>
      <c r="B895" s="26">
        <f>IF(A895="","",TEXT((N895*4+cfgDeslocamento)/48,"hh:mm")&amp;" a "&amp;TEXT(A895,"hh:mm"))</f>
        <v>0</v>
      </c>
      <c r="C895" s="27">
        <f>IF(A895="","",MES!B895)</f>
        <v>0</v>
      </c>
      <c r="D895" s="27">
        <f>IF(A895="","",IFERROR(AVERAGEIFS(Prensa!$B$2:$B$5001,Prensa!$E$2:$E$5001,N895,Prensa!$F$2:$F$5001,1,Prensa!$G$2:$G$5001,1),""))</f>
        <v>0</v>
      </c>
      <c r="E895" s="27">
        <f>IF(A895="","",IFERROR(AVERAGEIFS(Prensa!$B$2:$B$5001,Prensa!$E$2:$E$5001,N895,Prensa!$F$2:$F$5001,2,Prensa!$G$2:$G$5001,1),""))</f>
        <v>0</v>
      </c>
      <c r="F895" s="27">
        <f>IF(A895="","",IFERROR(AVERAGEIFS(Prensa!$B$2:$B$5001,Prensa!$E$2:$E$5001,N895,Prensa!$F$2:$F$5001,3,Prensa!$G$2:$G$5001,1),""))</f>
        <v>0</v>
      </c>
      <c r="G895" s="27">
        <f>IF(A895="","",IFERROR(AVERAGEIFS(Prensa!$B$2:$B$5001,Prensa!$E$2:$E$5001,N895,Prensa!$F$2:$F$5001,4,Prensa!$G$2:$G$5001,1),""))</f>
        <v>0</v>
      </c>
      <c r="H895" s="26">
        <f>IF(A895="","",COUNT(D895:G895))</f>
        <v>0</v>
      </c>
      <c r="I895" s="27">
        <f>IF(A895="","",IF(H895=0,"",AVERAGE(D895:G895)))</f>
        <v>0</v>
      </c>
      <c r="J895" s="27">
        <f>IF(OR(I895="",C895=""),"",I895-C895)</f>
        <v>0</v>
      </c>
      <c r="K895" s="26">
        <f>IF(A895="","",IF(MES!E895&lt;&gt;4,"Horário do MES fora do padrão",IF(H895&lt;cfgMinCortes,"Cortes insuficientes","Válida")))</f>
        <v>0</v>
      </c>
      <c r="L895" s="27">
        <f>IF(K895="Válida",ABS(J895),"")</f>
        <v>0</v>
      </c>
      <c r="M895" s="26">
        <f>IF(K895="Válida",IF(L895&lt;=cfgTolerancia,"Sim","Não"),"")</f>
        <v>0</v>
      </c>
      <c r="N895" s="26">
        <f>IF(A895="","",MES!D895)</f>
        <v>0</v>
      </c>
      <c r="O895" s="25">
        <f>IF(K895="Válida",A895,NA())</f>
        <v>0</v>
      </c>
      <c r="P895" s="27">
        <f>IF(K895="Válida",C895,NA())</f>
        <v>0</v>
      </c>
      <c r="Q895" s="27">
        <f>IF(K895="Válida",I895,NA())</f>
        <v>0</v>
      </c>
      <c r="R895" s="27">
        <f>IF(K895="Válida",J895,NA())</f>
        <v>0</v>
      </c>
      <c r="S895" s="27">
        <f>IF(K895="Válida",C895,"")</f>
        <v>0</v>
      </c>
      <c r="T895" s="27">
        <f>IF(K895="Válida",I895,"")</f>
        <v>0</v>
      </c>
      <c r="U895" s="27">
        <f>IF(K895="Válida",J895,"")</f>
        <v>0</v>
      </c>
    </row>
    <row r="896" spans="1:21">
      <c r="A896" s="25">
        <f>IF(MES!A896="","",MES!C896/48)</f>
        <v>0</v>
      </c>
      <c r="B896" s="26">
        <f>IF(A896="","",TEXT((N896*4+cfgDeslocamento)/48,"hh:mm")&amp;" a "&amp;TEXT(A896,"hh:mm"))</f>
        <v>0</v>
      </c>
      <c r="C896" s="27">
        <f>IF(A896="","",MES!B896)</f>
        <v>0</v>
      </c>
      <c r="D896" s="27">
        <f>IF(A896="","",IFERROR(AVERAGEIFS(Prensa!$B$2:$B$5001,Prensa!$E$2:$E$5001,N896,Prensa!$F$2:$F$5001,1,Prensa!$G$2:$G$5001,1),""))</f>
        <v>0</v>
      </c>
      <c r="E896" s="27">
        <f>IF(A896="","",IFERROR(AVERAGEIFS(Prensa!$B$2:$B$5001,Prensa!$E$2:$E$5001,N896,Prensa!$F$2:$F$5001,2,Prensa!$G$2:$G$5001,1),""))</f>
        <v>0</v>
      </c>
      <c r="F896" s="27">
        <f>IF(A896="","",IFERROR(AVERAGEIFS(Prensa!$B$2:$B$5001,Prensa!$E$2:$E$5001,N896,Prensa!$F$2:$F$5001,3,Prensa!$G$2:$G$5001,1),""))</f>
        <v>0</v>
      </c>
      <c r="G896" s="27">
        <f>IF(A896="","",IFERROR(AVERAGEIFS(Prensa!$B$2:$B$5001,Prensa!$E$2:$E$5001,N896,Prensa!$F$2:$F$5001,4,Prensa!$G$2:$G$5001,1),""))</f>
        <v>0</v>
      </c>
      <c r="H896" s="26">
        <f>IF(A896="","",COUNT(D896:G896))</f>
        <v>0</v>
      </c>
      <c r="I896" s="27">
        <f>IF(A896="","",IF(H896=0,"",AVERAGE(D896:G896)))</f>
        <v>0</v>
      </c>
      <c r="J896" s="27">
        <f>IF(OR(I896="",C896=""),"",I896-C896)</f>
        <v>0</v>
      </c>
      <c r="K896" s="26">
        <f>IF(A896="","",IF(MES!E896&lt;&gt;4,"Horário do MES fora do padrão",IF(H896&lt;cfgMinCortes,"Cortes insuficientes","Válida")))</f>
        <v>0</v>
      </c>
      <c r="L896" s="27">
        <f>IF(K896="Válida",ABS(J896),"")</f>
        <v>0</v>
      </c>
      <c r="M896" s="26">
        <f>IF(K896="Válida",IF(L896&lt;=cfgTolerancia,"Sim","Não"),"")</f>
        <v>0</v>
      </c>
      <c r="N896" s="26">
        <f>IF(A896="","",MES!D896)</f>
        <v>0</v>
      </c>
      <c r="O896" s="25">
        <f>IF(K896="Válida",A896,NA())</f>
        <v>0</v>
      </c>
      <c r="P896" s="27">
        <f>IF(K896="Válida",C896,NA())</f>
        <v>0</v>
      </c>
      <c r="Q896" s="27">
        <f>IF(K896="Válida",I896,NA())</f>
        <v>0</v>
      </c>
      <c r="R896" s="27">
        <f>IF(K896="Válida",J896,NA())</f>
        <v>0</v>
      </c>
      <c r="S896" s="27">
        <f>IF(K896="Válida",C896,"")</f>
        <v>0</v>
      </c>
      <c r="T896" s="27">
        <f>IF(K896="Válida",I896,"")</f>
        <v>0</v>
      </c>
      <c r="U896" s="27">
        <f>IF(K896="Válida",J896,"")</f>
        <v>0</v>
      </c>
    </row>
    <row r="897" spans="1:21">
      <c r="A897" s="25">
        <f>IF(MES!A897="","",MES!C897/48)</f>
        <v>0</v>
      </c>
      <c r="B897" s="26">
        <f>IF(A897="","",TEXT((N897*4+cfgDeslocamento)/48,"hh:mm")&amp;" a "&amp;TEXT(A897,"hh:mm"))</f>
        <v>0</v>
      </c>
      <c r="C897" s="27">
        <f>IF(A897="","",MES!B897)</f>
        <v>0</v>
      </c>
      <c r="D897" s="27">
        <f>IF(A897="","",IFERROR(AVERAGEIFS(Prensa!$B$2:$B$5001,Prensa!$E$2:$E$5001,N897,Prensa!$F$2:$F$5001,1,Prensa!$G$2:$G$5001,1),""))</f>
        <v>0</v>
      </c>
      <c r="E897" s="27">
        <f>IF(A897="","",IFERROR(AVERAGEIFS(Prensa!$B$2:$B$5001,Prensa!$E$2:$E$5001,N897,Prensa!$F$2:$F$5001,2,Prensa!$G$2:$G$5001,1),""))</f>
        <v>0</v>
      </c>
      <c r="F897" s="27">
        <f>IF(A897="","",IFERROR(AVERAGEIFS(Prensa!$B$2:$B$5001,Prensa!$E$2:$E$5001,N897,Prensa!$F$2:$F$5001,3,Prensa!$G$2:$G$5001,1),""))</f>
        <v>0</v>
      </c>
      <c r="G897" s="27">
        <f>IF(A897="","",IFERROR(AVERAGEIFS(Prensa!$B$2:$B$5001,Prensa!$E$2:$E$5001,N897,Prensa!$F$2:$F$5001,4,Prensa!$G$2:$G$5001,1),""))</f>
        <v>0</v>
      </c>
      <c r="H897" s="26">
        <f>IF(A897="","",COUNT(D897:G897))</f>
        <v>0</v>
      </c>
      <c r="I897" s="27">
        <f>IF(A897="","",IF(H897=0,"",AVERAGE(D897:G897)))</f>
        <v>0</v>
      </c>
      <c r="J897" s="27">
        <f>IF(OR(I897="",C897=""),"",I897-C897)</f>
        <v>0</v>
      </c>
      <c r="K897" s="26">
        <f>IF(A897="","",IF(MES!E897&lt;&gt;4,"Horário do MES fora do padrão",IF(H897&lt;cfgMinCortes,"Cortes insuficientes","Válida")))</f>
        <v>0</v>
      </c>
      <c r="L897" s="27">
        <f>IF(K897="Válida",ABS(J897),"")</f>
        <v>0</v>
      </c>
      <c r="M897" s="26">
        <f>IF(K897="Válida",IF(L897&lt;=cfgTolerancia,"Sim","Não"),"")</f>
        <v>0</v>
      </c>
      <c r="N897" s="26">
        <f>IF(A897="","",MES!D897)</f>
        <v>0</v>
      </c>
      <c r="O897" s="25">
        <f>IF(K897="Válida",A897,NA())</f>
        <v>0</v>
      </c>
      <c r="P897" s="27">
        <f>IF(K897="Válida",C897,NA())</f>
        <v>0</v>
      </c>
      <c r="Q897" s="27">
        <f>IF(K897="Válida",I897,NA())</f>
        <v>0</v>
      </c>
      <c r="R897" s="27">
        <f>IF(K897="Válida",J897,NA())</f>
        <v>0</v>
      </c>
      <c r="S897" s="27">
        <f>IF(K897="Válida",C897,"")</f>
        <v>0</v>
      </c>
      <c r="T897" s="27">
        <f>IF(K897="Válida",I897,"")</f>
        <v>0</v>
      </c>
      <c r="U897" s="27">
        <f>IF(K897="Válida",J897,"")</f>
        <v>0</v>
      </c>
    </row>
    <row r="898" spans="1:21">
      <c r="A898" s="25">
        <f>IF(MES!A898="","",MES!C898/48)</f>
        <v>0</v>
      </c>
      <c r="B898" s="26">
        <f>IF(A898="","",TEXT((N898*4+cfgDeslocamento)/48,"hh:mm")&amp;" a "&amp;TEXT(A898,"hh:mm"))</f>
        <v>0</v>
      </c>
      <c r="C898" s="27">
        <f>IF(A898="","",MES!B898)</f>
        <v>0</v>
      </c>
      <c r="D898" s="27">
        <f>IF(A898="","",IFERROR(AVERAGEIFS(Prensa!$B$2:$B$5001,Prensa!$E$2:$E$5001,N898,Prensa!$F$2:$F$5001,1,Prensa!$G$2:$G$5001,1),""))</f>
        <v>0</v>
      </c>
      <c r="E898" s="27">
        <f>IF(A898="","",IFERROR(AVERAGEIFS(Prensa!$B$2:$B$5001,Prensa!$E$2:$E$5001,N898,Prensa!$F$2:$F$5001,2,Prensa!$G$2:$G$5001,1),""))</f>
        <v>0</v>
      </c>
      <c r="F898" s="27">
        <f>IF(A898="","",IFERROR(AVERAGEIFS(Prensa!$B$2:$B$5001,Prensa!$E$2:$E$5001,N898,Prensa!$F$2:$F$5001,3,Prensa!$G$2:$G$5001,1),""))</f>
        <v>0</v>
      </c>
      <c r="G898" s="27">
        <f>IF(A898="","",IFERROR(AVERAGEIFS(Prensa!$B$2:$B$5001,Prensa!$E$2:$E$5001,N898,Prensa!$F$2:$F$5001,4,Prensa!$G$2:$G$5001,1),""))</f>
        <v>0</v>
      </c>
      <c r="H898" s="26">
        <f>IF(A898="","",COUNT(D898:G898))</f>
        <v>0</v>
      </c>
      <c r="I898" s="27">
        <f>IF(A898="","",IF(H898=0,"",AVERAGE(D898:G898)))</f>
        <v>0</v>
      </c>
      <c r="J898" s="27">
        <f>IF(OR(I898="",C898=""),"",I898-C898)</f>
        <v>0</v>
      </c>
      <c r="K898" s="26">
        <f>IF(A898="","",IF(MES!E898&lt;&gt;4,"Horário do MES fora do padrão",IF(H898&lt;cfgMinCortes,"Cortes insuficientes","Válida")))</f>
        <v>0</v>
      </c>
      <c r="L898" s="27">
        <f>IF(K898="Válida",ABS(J898),"")</f>
        <v>0</v>
      </c>
      <c r="M898" s="26">
        <f>IF(K898="Válida",IF(L898&lt;=cfgTolerancia,"Sim","Não"),"")</f>
        <v>0</v>
      </c>
      <c r="N898" s="26">
        <f>IF(A898="","",MES!D898)</f>
        <v>0</v>
      </c>
      <c r="O898" s="25">
        <f>IF(K898="Válida",A898,NA())</f>
        <v>0</v>
      </c>
      <c r="P898" s="27">
        <f>IF(K898="Válida",C898,NA())</f>
        <v>0</v>
      </c>
      <c r="Q898" s="27">
        <f>IF(K898="Válida",I898,NA())</f>
        <v>0</v>
      </c>
      <c r="R898" s="27">
        <f>IF(K898="Válida",J898,NA())</f>
        <v>0</v>
      </c>
      <c r="S898" s="27">
        <f>IF(K898="Válida",C898,"")</f>
        <v>0</v>
      </c>
      <c r="T898" s="27">
        <f>IF(K898="Válida",I898,"")</f>
        <v>0</v>
      </c>
      <c r="U898" s="27">
        <f>IF(K898="Válida",J898,"")</f>
        <v>0</v>
      </c>
    </row>
    <row r="899" spans="1:21">
      <c r="A899" s="25">
        <f>IF(MES!A899="","",MES!C899/48)</f>
        <v>0</v>
      </c>
      <c r="B899" s="26">
        <f>IF(A899="","",TEXT((N899*4+cfgDeslocamento)/48,"hh:mm")&amp;" a "&amp;TEXT(A899,"hh:mm"))</f>
        <v>0</v>
      </c>
      <c r="C899" s="27">
        <f>IF(A899="","",MES!B899)</f>
        <v>0</v>
      </c>
      <c r="D899" s="27">
        <f>IF(A899="","",IFERROR(AVERAGEIFS(Prensa!$B$2:$B$5001,Prensa!$E$2:$E$5001,N899,Prensa!$F$2:$F$5001,1,Prensa!$G$2:$G$5001,1),""))</f>
        <v>0</v>
      </c>
      <c r="E899" s="27">
        <f>IF(A899="","",IFERROR(AVERAGEIFS(Prensa!$B$2:$B$5001,Prensa!$E$2:$E$5001,N899,Prensa!$F$2:$F$5001,2,Prensa!$G$2:$G$5001,1),""))</f>
        <v>0</v>
      </c>
      <c r="F899" s="27">
        <f>IF(A899="","",IFERROR(AVERAGEIFS(Prensa!$B$2:$B$5001,Prensa!$E$2:$E$5001,N899,Prensa!$F$2:$F$5001,3,Prensa!$G$2:$G$5001,1),""))</f>
        <v>0</v>
      </c>
      <c r="G899" s="27">
        <f>IF(A899="","",IFERROR(AVERAGEIFS(Prensa!$B$2:$B$5001,Prensa!$E$2:$E$5001,N899,Prensa!$F$2:$F$5001,4,Prensa!$G$2:$G$5001,1),""))</f>
        <v>0</v>
      </c>
      <c r="H899" s="26">
        <f>IF(A899="","",COUNT(D899:G899))</f>
        <v>0</v>
      </c>
      <c r="I899" s="27">
        <f>IF(A899="","",IF(H899=0,"",AVERAGE(D899:G899)))</f>
        <v>0</v>
      </c>
      <c r="J899" s="27">
        <f>IF(OR(I899="",C899=""),"",I899-C899)</f>
        <v>0</v>
      </c>
      <c r="K899" s="26">
        <f>IF(A899="","",IF(MES!E899&lt;&gt;4,"Horário do MES fora do padrão",IF(H899&lt;cfgMinCortes,"Cortes insuficientes","Válida")))</f>
        <v>0</v>
      </c>
      <c r="L899" s="27">
        <f>IF(K899="Válida",ABS(J899),"")</f>
        <v>0</v>
      </c>
      <c r="M899" s="26">
        <f>IF(K899="Válida",IF(L899&lt;=cfgTolerancia,"Sim","Não"),"")</f>
        <v>0</v>
      </c>
      <c r="N899" s="26">
        <f>IF(A899="","",MES!D899)</f>
        <v>0</v>
      </c>
      <c r="O899" s="25">
        <f>IF(K899="Válida",A899,NA())</f>
        <v>0</v>
      </c>
      <c r="P899" s="27">
        <f>IF(K899="Válida",C899,NA())</f>
        <v>0</v>
      </c>
      <c r="Q899" s="27">
        <f>IF(K899="Válida",I899,NA())</f>
        <v>0</v>
      </c>
      <c r="R899" s="27">
        <f>IF(K899="Válida",J899,NA())</f>
        <v>0</v>
      </c>
      <c r="S899" s="27">
        <f>IF(K899="Válida",C899,"")</f>
        <v>0</v>
      </c>
      <c r="T899" s="27">
        <f>IF(K899="Válida",I899,"")</f>
        <v>0</v>
      </c>
      <c r="U899" s="27">
        <f>IF(K899="Válida",J899,"")</f>
        <v>0</v>
      </c>
    </row>
    <row r="900" spans="1:21">
      <c r="A900" s="25">
        <f>IF(MES!A900="","",MES!C900/48)</f>
        <v>0</v>
      </c>
      <c r="B900" s="26">
        <f>IF(A900="","",TEXT((N900*4+cfgDeslocamento)/48,"hh:mm")&amp;" a "&amp;TEXT(A900,"hh:mm"))</f>
        <v>0</v>
      </c>
      <c r="C900" s="27">
        <f>IF(A900="","",MES!B900)</f>
        <v>0</v>
      </c>
      <c r="D900" s="27">
        <f>IF(A900="","",IFERROR(AVERAGEIFS(Prensa!$B$2:$B$5001,Prensa!$E$2:$E$5001,N900,Prensa!$F$2:$F$5001,1,Prensa!$G$2:$G$5001,1),""))</f>
        <v>0</v>
      </c>
      <c r="E900" s="27">
        <f>IF(A900="","",IFERROR(AVERAGEIFS(Prensa!$B$2:$B$5001,Prensa!$E$2:$E$5001,N900,Prensa!$F$2:$F$5001,2,Prensa!$G$2:$G$5001,1),""))</f>
        <v>0</v>
      </c>
      <c r="F900" s="27">
        <f>IF(A900="","",IFERROR(AVERAGEIFS(Prensa!$B$2:$B$5001,Prensa!$E$2:$E$5001,N900,Prensa!$F$2:$F$5001,3,Prensa!$G$2:$G$5001,1),""))</f>
        <v>0</v>
      </c>
      <c r="G900" s="27">
        <f>IF(A900="","",IFERROR(AVERAGEIFS(Prensa!$B$2:$B$5001,Prensa!$E$2:$E$5001,N900,Prensa!$F$2:$F$5001,4,Prensa!$G$2:$G$5001,1),""))</f>
        <v>0</v>
      </c>
      <c r="H900" s="26">
        <f>IF(A900="","",COUNT(D900:G900))</f>
        <v>0</v>
      </c>
      <c r="I900" s="27">
        <f>IF(A900="","",IF(H900=0,"",AVERAGE(D900:G900)))</f>
        <v>0</v>
      </c>
      <c r="J900" s="27">
        <f>IF(OR(I900="",C900=""),"",I900-C900)</f>
        <v>0</v>
      </c>
      <c r="K900" s="26">
        <f>IF(A900="","",IF(MES!E900&lt;&gt;4,"Horário do MES fora do padrão",IF(H900&lt;cfgMinCortes,"Cortes insuficientes","Válida")))</f>
        <v>0</v>
      </c>
      <c r="L900" s="27">
        <f>IF(K900="Válida",ABS(J900),"")</f>
        <v>0</v>
      </c>
      <c r="M900" s="26">
        <f>IF(K900="Válida",IF(L900&lt;=cfgTolerancia,"Sim","Não"),"")</f>
        <v>0</v>
      </c>
      <c r="N900" s="26">
        <f>IF(A900="","",MES!D900)</f>
        <v>0</v>
      </c>
      <c r="O900" s="25">
        <f>IF(K900="Válida",A900,NA())</f>
        <v>0</v>
      </c>
      <c r="P900" s="27">
        <f>IF(K900="Válida",C900,NA())</f>
        <v>0</v>
      </c>
      <c r="Q900" s="27">
        <f>IF(K900="Válida",I900,NA())</f>
        <v>0</v>
      </c>
      <c r="R900" s="27">
        <f>IF(K900="Válida",J900,NA())</f>
        <v>0</v>
      </c>
      <c r="S900" s="27">
        <f>IF(K900="Válida",C900,"")</f>
        <v>0</v>
      </c>
      <c r="T900" s="27">
        <f>IF(K900="Válida",I900,"")</f>
        <v>0</v>
      </c>
      <c r="U900" s="27">
        <f>IF(K900="Válida",J900,"")</f>
        <v>0</v>
      </c>
    </row>
    <row r="901" spans="1:21">
      <c r="A901" s="25">
        <f>IF(MES!A901="","",MES!C901/48)</f>
        <v>0</v>
      </c>
      <c r="B901" s="26">
        <f>IF(A901="","",TEXT((N901*4+cfgDeslocamento)/48,"hh:mm")&amp;" a "&amp;TEXT(A901,"hh:mm"))</f>
        <v>0</v>
      </c>
      <c r="C901" s="27">
        <f>IF(A901="","",MES!B901)</f>
        <v>0</v>
      </c>
      <c r="D901" s="27">
        <f>IF(A901="","",IFERROR(AVERAGEIFS(Prensa!$B$2:$B$5001,Prensa!$E$2:$E$5001,N901,Prensa!$F$2:$F$5001,1,Prensa!$G$2:$G$5001,1),""))</f>
        <v>0</v>
      </c>
      <c r="E901" s="27">
        <f>IF(A901="","",IFERROR(AVERAGEIFS(Prensa!$B$2:$B$5001,Prensa!$E$2:$E$5001,N901,Prensa!$F$2:$F$5001,2,Prensa!$G$2:$G$5001,1),""))</f>
        <v>0</v>
      </c>
      <c r="F901" s="27">
        <f>IF(A901="","",IFERROR(AVERAGEIFS(Prensa!$B$2:$B$5001,Prensa!$E$2:$E$5001,N901,Prensa!$F$2:$F$5001,3,Prensa!$G$2:$G$5001,1),""))</f>
        <v>0</v>
      </c>
      <c r="G901" s="27">
        <f>IF(A901="","",IFERROR(AVERAGEIFS(Prensa!$B$2:$B$5001,Prensa!$E$2:$E$5001,N901,Prensa!$F$2:$F$5001,4,Prensa!$G$2:$G$5001,1),""))</f>
        <v>0</v>
      </c>
      <c r="H901" s="26">
        <f>IF(A901="","",COUNT(D901:G901))</f>
        <v>0</v>
      </c>
      <c r="I901" s="27">
        <f>IF(A901="","",IF(H901=0,"",AVERAGE(D901:G901)))</f>
        <v>0</v>
      </c>
      <c r="J901" s="27">
        <f>IF(OR(I901="",C901=""),"",I901-C901)</f>
        <v>0</v>
      </c>
      <c r="K901" s="26">
        <f>IF(A901="","",IF(MES!E901&lt;&gt;4,"Horário do MES fora do padrão",IF(H901&lt;cfgMinCortes,"Cortes insuficientes","Válida")))</f>
        <v>0</v>
      </c>
      <c r="L901" s="27">
        <f>IF(K901="Válida",ABS(J901),"")</f>
        <v>0</v>
      </c>
      <c r="M901" s="26">
        <f>IF(K901="Válida",IF(L901&lt;=cfgTolerancia,"Sim","Não"),"")</f>
        <v>0</v>
      </c>
      <c r="N901" s="26">
        <f>IF(A901="","",MES!D901)</f>
        <v>0</v>
      </c>
      <c r="O901" s="25">
        <f>IF(K901="Válida",A901,NA())</f>
        <v>0</v>
      </c>
      <c r="P901" s="27">
        <f>IF(K901="Válida",C901,NA())</f>
        <v>0</v>
      </c>
      <c r="Q901" s="27">
        <f>IF(K901="Válida",I901,NA())</f>
        <v>0</v>
      </c>
      <c r="R901" s="27">
        <f>IF(K901="Válida",J901,NA())</f>
        <v>0</v>
      </c>
      <c r="S901" s="27">
        <f>IF(K901="Válida",C901,"")</f>
        <v>0</v>
      </c>
      <c r="T901" s="27">
        <f>IF(K901="Válida",I901,"")</f>
        <v>0</v>
      </c>
      <c r="U901" s="27">
        <f>IF(K901="Válida",J901,"")</f>
        <v>0</v>
      </c>
    </row>
    <row r="902" spans="1:21">
      <c r="A902" s="25">
        <f>IF(MES!A902="","",MES!C902/48)</f>
        <v>0</v>
      </c>
      <c r="B902" s="26">
        <f>IF(A902="","",TEXT((N902*4+cfgDeslocamento)/48,"hh:mm")&amp;" a "&amp;TEXT(A902,"hh:mm"))</f>
        <v>0</v>
      </c>
      <c r="C902" s="27">
        <f>IF(A902="","",MES!B902)</f>
        <v>0</v>
      </c>
      <c r="D902" s="27">
        <f>IF(A902="","",IFERROR(AVERAGEIFS(Prensa!$B$2:$B$5001,Prensa!$E$2:$E$5001,N902,Prensa!$F$2:$F$5001,1,Prensa!$G$2:$G$5001,1),""))</f>
        <v>0</v>
      </c>
      <c r="E902" s="27">
        <f>IF(A902="","",IFERROR(AVERAGEIFS(Prensa!$B$2:$B$5001,Prensa!$E$2:$E$5001,N902,Prensa!$F$2:$F$5001,2,Prensa!$G$2:$G$5001,1),""))</f>
        <v>0</v>
      </c>
      <c r="F902" s="27">
        <f>IF(A902="","",IFERROR(AVERAGEIFS(Prensa!$B$2:$B$5001,Prensa!$E$2:$E$5001,N902,Prensa!$F$2:$F$5001,3,Prensa!$G$2:$G$5001,1),""))</f>
        <v>0</v>
      </c>
      <c r="G902" s="27">
        <f>IF(A902="","",IFERROR(AVERAGEIFS(Prensa!$B$2:$B$5001,Prensa!$E$2:$E$5001,N902,Prensa!$F$2:$F$5001,4,Prensa!$G$2:$G$5001,1),""))</f>
        <v>0</v>
      </c>
      <c r="H902" s="26">
        <f>IF(A902="","",COUNT(D902:G902))</f>
        <v>0</v>
      </c>
      <c r="I902" s="27">
        <f>IF(A902="","",IF(H902=0,"",AVERAGE(D902:G902)))</f>
        <v>0</v>
      </c>
      <c r="J902" s="27">
        <f>IF(OR(I902="",C902=""),"",I902-C902)</f>
        <v>0</v>
      </c>
      <c r="K902" s="26">
        <f>IF(A902="","",IF(MES!E902&lt;&gt;4,"Horário do MES fora do padrão",IF(H902&lt;cfgMinCortes,"Cortes insuficientes","Válida")))</f>
        <v>0</v>
      </c>
      <c r="L902" s="27">
        <f>IF(K902="Válida",ABS(J902),"")</f>
        <v>0</v>
      </c>
      <c r="M902" s="26">
        <f>IF(K902="Válida",IF(L902&lt;=cfgTolerancia,"Sim","Não"),"")</f>
        <v>0</v>
      </c>
      <c r="N902" s="26">
        <f>IF(A902="","",MES!D902)</f>
        <v>0</v>
      </c>
      <c r="O902" s="25">
        <f>IF(K902="Válida",A902,NA())</f>
        <v>0</v>
      </c>
      <c r="P902" s="27">
        <f>IF(K902="Válida",C902,NA())</f>
        <v>0</v>
      </c>
      <c r="Q902" s="27">
        <f>IF(K902="Válida",I902,NA())</f>
        <v>0</v>
      </c>
      <c r="R902" s="27">
        <f>IF(K902="Válida",J902,NA())</f>
        <v>0</v>
      </c>
      <c r="S902" s="27">
        <f>IF(K902="Válida",C902,"")</f>
        <v>0</v>
      </c>
      <c r="T902" s="27">
        <f>IF(K902="Válida",I902,"")</f>
        <v>0</v>
      </c>
      <c r="U902" s="27">
        <f>IF(K902="Válida",J902,"")</f>
        <v>0</v>
      </c>
    </row>
    <row r="903" spans="1:21">
      <c r="A903" s="25">
        <f>IF(MES!A903="","",MES!C903/48)</f>
        <v>0</v>
      </c>
      <c r="B903" s="26">
        <f>IF(A903="","",TEXT((N903*4+cfgDeslocamento)/48,"hh:mm")&amp;" a "&amp;TEXT(A903,"hh:mm"))</f>
        <v>0</v>
      </c>
      <c r="C903" s="27">
        <f>IF(A903="","",MES!B903)</f>
        <v>0</v>
      </c>
      <c r="D903" s="27">
        <f>IF(A903="","",IFERROR(AVERAGEIFS(Prensa!$B$2:$B$5001,Prensa!$E$2:$E$5001,N903,Prensa!$F$2:$F$5001,1,Prensa!$G$2:$G$5001,1),""))</f>
        <v>0</v>
      </c>
      <c r="E903" s="27">
        <f>IF(A903="","",IFERROR(AVERAGEIFS(Prensa!$B$2:$B$5001,Prensa!$E$2:$E$5001,N903,Prensa!$F$2:$F$5001,2,Prensa!$G$2:$G$5001,1),""))</f>
        <v>0</v>
      </c>
      <c r="F903" s="27">
        <f>IF(A903="","",IFERROR(AVERAGEIFS(Prensa!$B$2:$B$5001,Prensa!$E$2:$E$5001,N903,Prensa!$F$2:$F$5001,3,Prensa!$G$2:$G$5001,1),""))</f>
        <v>0</v>
      </c>
      <c r="G903" s="27">
        <f>IF(A903="","",IFERROR(AVERAGEIFS(Prensa!$B$2:$B$5001,Prensa!$E$2:$E$5001,N903,Prensa!$F$2:$F$5001,4,Prensa!$G$2:$G$5001,1),""))</f>
        <v>0</v>
      </c>
      <c r="H903" s="26">
        <f>IF(A903="","",COUNT(D903:G903))</f>
        <v>0</v>
      </c>
      <c r="I903" s="27">
        <f>IF(A903="","",IF(H903=0,"",AVERAGE(D903:G903)))</f>
        <v>0</v>
      </c>
      <c r="J903" s="27">
        <f>IF(OR(I903="",C903=""),"",I903-C903)</f>
        <v>0</v>
      </c>
      <c r="K903" s="26">
        <f>IF(A903="","",IF(MES!E903&lt;&gt;4,"Horário do MES fora do padrão",IF(H903&lt;cfgMinCortes,"Cortes insuficientes","Válida")))</f>
        <v>0</v>
      </c>
      <c r="L903" s="27">
        <f>IF(K903="Válida",ABS(J903),"")</f>
        <v>0</v>
      </c>
      <c r="M903" s="26">
        <f>IF(K903="Válida",IF(L903&lt;=cfgTolerancia,"Sim","Não"),"")</f>
        <v>0</v>
      </c>
      <c r="N903" s="26">
        <f>IF(A903="","",MES!D903)</f>
        <v>0</v>
      </c>
      <c r="O903" s="25">
        <f>IF(K903="Válida",A903,NA())</f>
        <v>0</v>
      </c>
      <c r="P903" s="27">
        <f>IF(K903="Válida",C903,NA())</f>
        <v>0</v>
      </c>
      <c r="Q903" s="27">
        <f>IF(K903="Válida",I903,NA())</f>
        <v>0</v>
      </c>
      <c r="R903" s="27">
        <f>IF(K903="Válida",J903,NA())</f>
        <v>0</v>
      </c>
      <c r="S903" s="27">
        <f>IF(K903="Válida",C903,"")</f>
        <v>0</v>
      </c>
      <c r="T903" s="27">
        <f>IF(K903="Válida",I903,"")</f>
        <v>0</v>
      </c>
      <c r="U903" s="27">
        <f>IF(K903="Válida",J903,"")</f>
        <v>0</v>
      </c>
    </row>
    <row r="904" spans="1:21">
      <c r="A904" s="25">
        <f>IF(MES!A904="","",MES!C904/48)</f>
        <v>0</v>
      </c>
      <c r="B904" s="26">
        <f>IF(A904="","",TEXT((N904*4+cfgDeslocamento)/48,"hh:mm")&amp;" a "&amp;TEXT(A904,"hh:mm"))</f>
        <v>0</v>
      </c>
      <c r="C904" s="27">
        <f>IF(A904="","",MES!B904)</f>
        <v>0</v>
      </c>
      <c r="D904" s="27">
        <f>IF(A904="","",IFERROR(AVERAGEIFS(Prensa!$B$2:$B$5001,Prensa!$E$2:$E$5001,N904,Prensa!$F$2:$F$5001,1,Prensa!$G$2:$G$5001,1),""))</f>
        <v>0</v>
      </c>
      <c r="E904" s="27">
        <f>IF(A904="","",IFERROR(AVERAGEIFS(Prensa!$B$2:$B$5001,Prensa!$E$2:$E$5001,N904,Prensa!$F$2:$F$5001,2,Prensa!$G$2:$G$5001,1),""))</f>
        <v>0</v>
      </c>
      <c r="F904" s="27">
        <f>IF(A904="","",IFERROR(AVERAGEIFS(Prensa!$B$2:$B$5001,Prensa!$E$2:$E$5001,N904,Prensa!$F$2:$F$5001,3,Prensa!$G$2:$G$5001,1),""))</f>
        <v>0</v>
      </c>
      <c r="G904" s="27">
        <f>IF(A904="","",IFERROR(AVERAGEIFS(Prensa!$B$2:$B$5001,Prensa!$E$2:$E$5001,N904,Prensa!$F$2:$F$5001,4,Prensa!$G$2:$G$5001,1),""))</f>
        <v>0</v>
      </c>
      <c r="H904" s="26">
        <f>IF(A904="","",COUNT(D904:G904))</f>
        <v>0</v>
      </c>
      <c r="I904" s="27">
        <f>IF(A904="","",IF(H904=0,"",AVERAGE(D904:G904)))</f>
        <v>0</v>
      </c>
      <c r="J904" s="27">
        <f>IF(OR(I904="",C904=""),"",I904-C904)</f>
        <v>0</v>
      </c>
      <c r="K904" s="26">
        <f>IF(A904="","",IF(MES!E904&lt;&gt;4,"Horário do MES fora do padrão",IF(H904&lt;cfgMinCortes,"Cortes insuficientes","Válida")))</f>
        <v>0</v>
      </c>
      <c r="L904" s="27">
        <f>IF(K904="Válida",ABS(J904),"")</f>
        <v>0</v>
      </c>
      <c r="M904" s="26">
        <f>IF(K904="Válida",IF(L904&lt;=cfgTolerancia,"Sim","Não"),"")</f>
        <v>0</v>
      </c>
      <c r="N904" s="26">
        <f>IF(A904="","",MES!D904)</f>
        <v>0</v>
      </c>
      <c r="O904" s="25">
        <f>IF(K904="Válida",A904,NA())</f>
        <v>0</v>
      </c>
      <c r="P904" s="27">
        <f>IF(K904="Válida",C904,NA())</f>
        <v>0</v>
      </c>
      <c r="Q904" s="27">
        <f>IF(K904="Válida",I904,NA())</f>
        <v>0</v>
      </c>
      <c r="R904" s="27">
        <f>IF(K904="Válida",J904,NA())</f>
        <v>0</v>
      </c>
      <c r="S904" s="27">
        <f>IF(K904="Válida",C904,"")</f>
        <v>0</v>
      </c>
      <c r="T904" s="27">
        <f>IF(K904="Válida",I904,"")</f>
        <v>0</v>
      </c>
      <c r="U904" s="27">
        <f>IF(K904="Válida",J904,"")</f>
        <v>0</v>
      </c>
    </row>
    <row r="905" spans="1:21">
      <c r="A905" s="25">
        <f>IF(MES!A905="","",MES!C905/48)</f>
        <v>0</v>
      </c>
      <c r="B905" s="26">
        <f>IF(A905="","",TEXT((N905*4+cfgDeslocamento)/48,"hh:mm")&amp;" a "&amp;TEXT(A905,"hh:mm"))</f>
        <v>0</v>
      </c>
      <c r="C905" s="27">
        <f>IF(A905="","",MES!B905)</f>
        <v>0</v>
      </c>
      <c r="D905" s="27">
        <f>IF(A905="","",IFERROR(AVERAGEIFS(Prensa!$B$2:$B$5001,Prensa!$E$2:$E$5001,N905,Prensa!$F$2:$F$5001,1,Prensa!$G$2:$G$5001,1),""))</f>
        <v>0</v>
      </c>
      <c r="E905" s="27">
        <f>IF(A905="","",IFERROR(AVERAGEIFS(Prensa!$B$2:$B$5001,Prensa!$E$2:$E$5001,N905,Prensa!$F$2:$F$5001,2,Prensa!$G$2:$G$5001,1),""))</f>
        <v>0</v>
      </c>
      <c r="F905" s="27">
        <f>IF(A905="","",IFERROR(AVERAGEIFS(Prensa!$B$2:$B$5001,Prensa!$E$2:$E$5001,N905,Prensa!$F$2:$F$5001,3,Prensa!$G$2:$G$5001,1),""))</f>
        <v>0</v>
      </c>
      <c r="G905" s="27">
        <f>IF(A905="","",IFERROR(AVERAGEIFS(Prensa!$B$2:$B$5001,Prensa!$E$2:$E$5001,N905,Prensa!$F$2:$F$5001,4,Prensa!$G$2:$G$5001,1),""))</f>
        <v>0</v>
      </c>
      <c r="H905" s="26">
        <f>IF(A905="","",COUNT(D905:G905))</f>
        <v>0</v>
      </c>
      <c r="I905" s="27">
        <f>IF(A905="","",IF(H905=0,"",AVERAGE(D905:G905)))</f>
        <v>0</v>
      </c>
      <c r="J905" s="27">
        <f>IF(OR(I905="",C905=""),"",I905-C905)</f>
        <v>0</v>
      </c>
      <c r="K905" s="26">
        <f>IF(A905="","",IF(MES!E905&lt;&gt;4,"Horário do MES fora do padrão",IF(H905&lt;cfgMinCortes,"Cortes insuficientes","Válida")))</f>
        <v>0</v>
      </c>
      <c r="L905" s="27">
        <f>IF(K905="Válida",ABS(J905),"")</f>
        <v>0</v>
      </c>
      <c r="M905" s="26">
        <f>IF(K905="Válida",IF(L905&lt;=cfgTolerancia,"Sim","Não"),"")</f>
        <v>0</v>
      </c>
      <c r="N905" s="26">
        <f>IF(A905="","",MES!D905)</f>
        <v>0</v>
      </c>
      <c r="O905" s="25">
        <f>IF(K905="Válida",A905,NA())</f>
        <v>0</v>
      </c>
      <c r="P905" s="27">
        <f>IF(K905="Válida",C905,NA())</f>
        <v>0</v>
      </c>
      <c r="Q905" s="27">
        <f>IF(K905="Válida",I905,NA())</f>
        <v>0</v>
      </c>
      <c r="R905" s="27">
        <f>IF(K905="Válida",J905,NA())</f>
        <v>0</v>
      </c>
      <c r="S905" s="27">
        <f>IF(K905="Válida",C905,"")</f>
        <v>0</v>
      </c>
      <c r="T905" s="27">
        <f>IF(K905="Válida",I905,"")</f>
        <v>0</v>
      </c>
      <c r="U905" s="27">
        <f>IF(K905="Válida",J905,"")</f>
        <v>0</v>
      </c>
    </row>
    <row r="906" spans="1:21">
      <c r="A906" s="25">
        <f>IF(MES!A906="","",MES!C906/48)</f>
        <v>0</v>
      </c>
      <c r="B906" s="26">
        <f>IF(A906="","",TEXT((N906*4+cfgDeslocamento)/48,"hh:mm")&amp;" a "&amp;TEXT(A906,"hh:mm"))</f>
        <v>0</v>
      </c>
      <c r="C906" s="27">
        <f>IF(A906="","",MES!B906)</f>
        <v>0</v>
      </c>
      <c r="D906" s="27">
        <f>IF(A906="","",IFERROR(AVERAGEIFS(Prensa!$B$2:$B$5001,Prensa!$E$2:$E$5001,N906,Prensa!$F$2:$F$5001,1,Prensa!$G$2:$G$5001,1),""))</f>
        <v>0</v>
      </c>
      <c r="E906" s="27">
        <f>IF(A906="","",IFERROR(AVERAGEIFS(Prensa!$B$2:$B$5001,Prensa!$E$2:$E$5001,N906,Prensa!$F$2:$F$5001,2,Prensa!$G$2:$G$5001,1),""))</f>
        <v>0</v>
      </c>
      <c r="F906" s="27">
        <f>IF(A906="","",IFERROR(AVERAGEIFS(Prensa!$B$2:$B$5001,Prensa!$E$2:$E$5001,N906,Prensa!$F$2:$F$5001,3,Prensa!$G$2:$G$5001,1),""))</f>
        <v>0</v>
      </c>
      <c r="G906" s="27">
        <f>IF(A906="","",IFERROR(AVERAGEIFS(Prensa!$B$2:$B$5001,Prensa!$E$2:$E$5001,N906,Prensa!$F$2:$F$5001,4,Prensa!$G$2:$G$5001,1),""))</f>
        <v>0</v>
      </c>
      <c r="H906" s="26">
        <f>IF(A906="","",COUNT(D906:G906))</f>
        <v>0</v>
      </c>
      <c r="I906" s="27">
        <f>IF(A906="","",IF(H906=0,"",AVERAGE(D906:G906)))</f>
        <v>0</v>
      </c>
      <c r="J906" s="27">
        <f>IF(OR(I906="",C906=""),"",I906-C906)</f>
        <v>0</v>
      </c>
      <c r="K906" s="26">
        <f>IF(A906="","",IF(MES!E906&lt;&gt;4,"Horário do MES fora do padrão",IF(H906&lt;cfgMinCortes,"Cortes insuficientes","Válida")))</f>
        <v>0</v>
      </c>
      <c r="L906" s="27">
        <f>IF(K906="Válida",ABS(J906),"")</f>
        <v>0</v>
      </c>
      <c r="M906" s="26">
        <f>IF(K906="Válida",IF(L906&lt;=cfgTolerancia,"Sim","Não"),"")</f>
        <v>0</v>
      </c>
      <c r="N906" s="26">
        <f>IF(A906="","",MES!D906)</f>
        <v>0</v>
      </c>
      <c r="O906" s="25">
        <f>IF(K906="Válida",A906,NA())</f>
        <v>0</v>
      </c>
      <c r="P906" s="27">
        <f>IF(K906="Válida",C906,NA())</f>
        <v>0</v>
      </c>
      <c r="Q906" s="27">
        <f>IF(K906="Válida",I906,NA())</f>
        <v>0</v>
      </c>
      <c r="R906" s="27">
        <f>IF(K906="Válida",J906,NA())</f>
        <v>0</v>
      </c>
      <c r="S906" s="27">
        <f>IF(K906="Válida",C906,"")</f>
        <v>0</v>
      </c>
      <c r="T906" s="27">
        <f>IF(K906="Válida",I906,"")</f>
        <v>0</v>
      </c>
      <c r="U906" s="27">
        <f>IF(K906="Válida",J906,"")</f>
        <v>0</v>
      </c>
    </row>
    <row r="907" spans="1:21">
      <c r="A907" s="25">
        <f>IF(MES!A907="","",MES!C907/48)</f>
        <v>0</v>
      </c>
      <c r="B907" s="26">
        <f>IF(A907="","",TEXT((N907*4+cfgDeslocamento)/48,"hh:mm")&amp;" a "&amp;TEXT(A907,"hh:mm"))</f>
        <v>0</v>
      </c>
      <c r="C907" s="27">
        <f>IF(A907="","",MES!B907)</f>
        <v>0</v>
      </c>
      <c r="D907" s="27">
        <f>IF(A907="","",IFERROR(AVERAGEIFS(Prensa!$B$2:$B$5001,Prensa!$E$2:$E$5001,N907,Prensa!$F$2:$F$5001,1,Prensa!$G$2:$G$5001,1),""))</f>
        <v>0</v>
      </c>
      <c r="E907" s="27">
        <f>IF(A907="","",IFERROR(AVERAGEIFS(Prensa!$B$2:$B$5001,Prensa!$E$2:$E$5001,N907,Prensa!$F$2:$F$5001,2,Prensa!$G$2:$G$5001,1),""))</f>
        <v>0</v>
      </c>
      <c r="F907" s="27">
        <f>IF(A907="","",IFERROR(AVERAGEIFS(Prensa!$B$2:$B$5001,Prensa!$E$2:$E$5001,N907,Prensa!$F$2:$F$5001,3,Prensa!$G$2:$G$5001,1),""))</f>
        <v>0</v>
      </c>
      <c r="G907" s="27">
        <f>IF(A907="","",IFERROR(AVERAGEIFS(Prensa!$B$2:$B$5001,Prensa!$E$2:$E$5001,N907,Prensa!$F$2:$F$5001,4,Prensa!$G$2:$G$5001,1),""))</f>
        <v>0</v>
      </c>
      <c r="H907" s="26">
        <f>IF(A907="","",COUNT(D907:G907))</f>
        <v>0</v>
      </c>
      <c r="I907" s="27">
        <f>IF(A907="","",IF(H907=0,"",AVERAGE(D907:G907)))</f>
        <v>0</v>
      </c>
      <c r="J907" s="27">
        <f>IF(OR(I907="",C907=""),"",I907-C907)</f>
        <v>0</v>
      </c>
      <c r="K907" s="26">
        <f>IF(A907="","",IF(MES!E907&lt;&gt;4,"Horário do MES fora do padrão",IF(H907&lt;cfgMinCortes,"Cortes insuficientes","Válida")))</f>
        <v>0</v>
      </c>
      <c r="L907" s="27">
        <f>IF(K907="Válida",ABS(J907),"")</f>
        <v>0</v>
      </c>
      <c r="M907" s="26">
        <f>IF(K907="Válida",IF(L907&lt;=cfgTolerancia,"Sim","Não"),"")</f>
        <v>0</v>
      </c>
      <c r="N907" s="26">
        <f>IF(A907="","",MES!D907)</f>
        <v>0</v>
      </c>
      <c r="O907" s="25">
        <f>IF(K907="Válida",A907,NA())</f>
        <v>0</v>
      </c>
      <c r="P907" s="27">
        <f>IF(K907="Válida",C907,NA())</f>
        <v>0</v>
      </c>
      <c r="Q907" s="27">
        <f>IF(K907="Válida",I907,NA())</f>
        <v>0</v>
      </c>
      <c r="R907" s="27">
        <f>IF(K907="Válida",J907,NA())</f>
        <v>0</v>
      </c>
      <c r="S907" s="27">
        <f>IF(K907="Válida",C907,"")</f>
        <v>0</v>
      </c>
      <c r="T907" s="27">
        <f>IF(K907="Válida",I907,"")</f>
        <v>0</v>
      </c>
      <c r="U907" s="27">
        <f>IF(K907="Válida",J907,"")</f>
        <v>0</v>
      </c>
    </row>
    <row r="908" spans="1:21">
      <c r="A908" s="25">
        <f>IF(MES!A908="","",MES!C908/48)</f>
        <v>0</v>
      </c>
      <c r="B908" s="26">
        <f>IF(A908="","",TEXT((N908*4+cfgDeslocamento)/48,"hh:mm")&amp;" a "&amp;TEXT(A908,"hh:mm"))</f>
        <v>0</v>
      </c>
      <c r="C908" s="27">
        <f>IF(A908="","",MES!B908)</f>
        <v>0</v>
      </c>
      <c r="D908" s="27">
        <f>IF(A908="","",IFERROR(AVERAGEIFS(Prensa!$B$2:$B$5001,Prensa!$E$2:$E$5001,N908,Prensa!$F$2:$F$5001,1,Prensa!$G$2:$G$5001,1),""))</f>
        <v>0</v>
      </c>
      <c r="E908" s="27">
        <f>IF(A908="","",IFERROR(AVERAGEIFS(Prensa!$B$2:$B$5001,Prensa!$E$2:$E$5001,N908,Prensa!$F$2:$F$5001,2,Prensa!$G$2:$G$5001,1),""))</f>
        <v>0</v>
      </c>
      <c r="F908" s="27">
        <f>IF(A908="","",IFERROR(AVERAGEIFS(Prensa!$B$2:$B$5001,Prensa!$E$2:$E$5001,N908,Prensa!$F$2:$F$5001,3,Prensa!$G$2:$G$5001,1),""))</f>
        <v>0</v>
      </c>
      <c r="G908" s="27">
        <f>IF(A908="","",IFERROR(AVERAGEIFS(Prensa!$B$2:$B$5001,Prensa!$E$2:$E$5001,N908,Prensa!$F$2:$F$5001,4,Prensa!$G$2:$G$5001,1),""))</f>
        <v>0</v>
      </c>
      <c r="H908" s="26">
        <f>IF(A908="","",COUNT(D908:G908))</f>
        <v>0</v>
      </c>
      <c r="I908" s="27">
        <f>IF(A908="","",IF(H908=0,"",AVERAGE(D908:G908)))</f>
        <v>0</v>
      </c>
      <c r="J908" s="27">
        <f>IF(OR(I908="",C908=""),"",I908-C908)</f>
        <v>0</v>
      </c>
      <c r="K908" s="26">
        <f>IF(A908="","",IF(MES!E908&lt;&gt;4,"Horário do MES fora do padrão",IF(H908&lt;cfgMinCortes,"Cortes insuficientes","Válida")))</f>
        <v>0</v>
      </c>
      <c r="L908" s="27">
        <f>IF(K908="Válida",ABS(J908),"")</f>
        <v>0</v>
      </c>
      <c r="M908" s="26">
        <f>IF(K908="Válida",IF(L908&lt;=cfgTolerancia,"Sim","Não"),"")</f>
        <v>0</v>
      </c>
      <c r="N908" s="26">
        <f>IF(A908="","",MES!D908)</f>
        <v>0</v>
      </c>
      <c r="O908" s="25">
        <f>IF(K908="Válida",A908,NA())</f>
        <v>0</v>
      </c>
      <c r="P908" s="27">
        <f>IF(K908="Válida",C908,NA())</f>
        <v>0</v>
      </c>
      <c r="Q908" s="27">
        <f>IF(K908="Válida",I908,NA())</f>
        <v>0</v>
      </c>
      <c r="R908" s="27">
        <f>IF(K908="Válida",J908,NA())</f>
        <v>0</v>
      </c>
      <c r="S908" s="27">
        <f>IF(K908="Válida",C908,"")</f>
        <v>0</v>
      </c>
      <c r="T908" s="27">
        <f>IF(K908="Válida",I908,"")</f>
        <v>0</v>
      </c>
      <c r="U908" s="27">
        <f>IF(K908="Válida",J908,"")</f>
        <v>0</v>
      </c>
    </row>
    <row r="909" spans="1:21">
      <c r="A909" s="25">
        <f>IF(MES!A909="","",MES!C909/48)</f>
        <v>0</v>
      </c>
      <c r="B909" s="26">
        <f>IF(A909="","",TEXT((N909*4+cfgDeslocamento)/48,"hh:mm")&amp;" a "&amp;TEXT(A909,"hh:mm"))</f>
        <v>0</v>
      </c>
      <c r="C909" s="27">
        <f>IF(A909="","",MES!B909)</f>
        <v>0</v>
      </c>
      <c r="D909" s="27">
        <f>IF(A909="","",IFERROR(AVERAGEIFS(Prensa!$B$2:$B$5001,Prensa!$E$2:$E$5001,N909,Prensa!$F$2:$F$5001,1,Prensa!$G$2:$G$5001,1),""))</f>
        <v>0</v>
      </c>
      <c r="E909" s="27">
        <f>IF(A909="","",IFERROR(AVERAGEIFS(Prensa!$B$2:$B$5001,Prensa!$E$2:$E$5001,N909,Prensa!$F$2:$F$5001,2,Prensa!$G$2:$G$5001,1),""))</f>
        <v>0</v>
      </c>
      <c r="F909" s="27">
        <f>IF(A909="","",IFERROR(AVERAGEIFS(Prensa!$B$2:$B$5001,Prensa!$E$2:$E$5001,N909,Prensa!$F$2:$F$5001,3,Prensa!$G$2:$G$5001,1),""))</f>
        <v>0</v>
      </c>
      <c r="G909" s="27">
        <f>IF(A909="","",IFERROR(AVERAGEIFS(Prensa!$B$2:$B$5001,Prensa!$E$2:$E$5001,N909,Prensa!$F$2:$F$5001,4,Prensa!$G$2:$G$5001,1),""))</f>
        <v>0</v>
      </c>
      <c r="H909" s="26">
        <f>IF(A909="","",COUNT(D909:G909))</f>
        <v>0</v>
      </c>
      <c r="I909" s="27">
        <f>IF(A909="","",IF(H909=0,"",AVERAGE(D909:G909)))</f>
        <v>0</v>
      </c>
      <c r="J909" s="27">
        <f>IF(OR(I909="",C909=""),"",I909-C909)</f>
        <v>0</v>
      </c>
      <c r="K909" s="26">
        <f>IF(A909="","",IF(MES!E909&lt;&gt;4,"Horário do MES fora do padrão",IF(H909&lt;cfgMinCortes,"Cortes insuficientes","Válida")))</f>
        <v>0</v>
      </c>
      <c r="L909" s="27">
        <f>IF(K909="Válida",ABS(J909),"")</f>
        <v>0</v>
      </c>
      <c r="M909" s="26">
        <f>IF(K909="Válida",IF(L909&lt;=cfgTolerancia,"Sim","Não"),"")</f>
        <v>0</v>
      </c>
      <c r="N909" s="26">
        <f>IF(A909="","",MES!D909)</f>
        <v>0</v>
      </c>
      <c r="O909" s="25">
        <f>IF(K909="Válida",A909,NA())</f>
        <v>0</v>
      </c>
      <c r="P909" s="27">
        <f>IF(K909="Válida",C909,NA())</f>
        <v>0</v>
      </c>
      <c r="Q909" s="27">
        <f>IF(K909="Válida",I909,NA())</f>
        <v>0</v>
      </c>
      <c r="R909" s="27">
        <f>IF(K909="Válida",J909,NA())</f>
        <v>0</v>
      </c>
      <c r="S909" s="27">
        <f>IF(K909="Válida",C909,"")</f>
        <v>0</v>
      </c>
      <c r="T909" s="27">
        <f>IF(K909="Válida",I909,"")</f>
        <v>0</v>
      </c>
      <c r="U909" s="27">
        <f>IF(K909="Válida",J909,"")</f>
        <v>0</v>
      </c>
    </row>
    <row r="910" spans="1:21">
      <c r="A910" s="25">
        <f>IF(MES!A910="","",MES!C910/48)</f>
        <v>0</v>
      </c>
      <c r="B910" s="26">
        <f>IF(A910="","",TEXT((N910*4+cfgDeslocamento)/48,"hh:mm")&amp;" a "&amp;TEXT(A910,"hh:mm"))</f>
        <v>0</v>
      </c>
      <c r="C910" s="27">
        <f>IF(A910="","",MES!B910)</f>
        <v>0</v>
      </c>
      <c r="D910" s="27">
        <f>IF(A910="","",IFERROR(AVERAGEIFS(Prensa!$B$2:$B$5001,Prensa!$E$2:$E$5001,N910,Prensa!$F$2:$F$5001,1,Prensa!$G$2:$G$5001,1),""))</f>
        <v>0</v>
      </c>
      <c r="E910" s="27">
        <f>IF(A910="","",IFERROR(AVERAGEIFS(Prensa!$B$2:$B$5001,Prensa!$E$2:$E$5001,N910,Prensa!$F$2:$F$5001,2,Prensa!$G$2:$G$5001,1),""))</f>
        <v>0</v>
      </c>
      <c r="F910" s="27">
        <f>IF(A910="","",IFERROR(AVERAGEIFS(Prensa!$B$2:$B$5001,Prensa!$E$2:$E$5001,N910,Prensa!$F$2:$F$5001,3,Prensa!$G$2:$G$5001,1),""))</f>
        <v>0</v>
      </c>
      <c r="G910" s="27">
        <f>IF(A910="","",IFERROR(AVERAGEIFS(Prensa!$B$2:$B$5001,Prensa!$E$2:$E$5001,N910,Prensa!$F$2:$F$5001,4,Prensa!$G$2:$G$5001,1),""))</f>
        <v>0</v>
      </c>
      <c r="H910" s="26">
        <f>IF(A910="","",COUNT(D910:G910))</f>
        <v>0</v>
      </c>
      <c r="I910" s="27">
        <f>IF(A910="","",IF(H910=0,"",AVERAGE(D910:G910)))</f>
        <v>0</v>
      </c>
      <c r="J910" s="27">
        <f>IF(OR(I910="",C910=""),"",I910-C910)</f>
        <v>0</v>
      </c>
      <c r="K910" s="26">
        <f>IF(A910="","",IF(MES!E910&lt;&gt;4,"Horário do MES fora do padrão",IF(H910&lt;cfgMinCortes,"Cortes insuficientes","Válida")))</f>
        <v>0</v>
      </c>
      <c r="L910" s="27">
        <f>IF(K910="Válida",ABS(J910),"")</f>
        <v>0</v>
      </c>
      <c r="M910" s="26">
        <f>IF(K910="Válida",IF(L910&lt;=cfgTolerancia,"Sim","Não"),"")</f>
        <v>0</v>
      </c>
      <c r="N910" s="26">
        <f>IF(A910="","",MES!D910)</f>
        <v>0</v>
      </c>
      <c r="O910" s="25">
        <f>IF(K910="Válida",A910,NA())</f>
        <v>0</v>
      </c>
      <c r="P910" s="27">
        <f>IF(K910="Válida",C910,NA())</f>
        <v>0</v>
      </c>
      <c r="Q910" s="27">
        <f>IF(K910="Válida",I910,NA())</f>
        <v>0</v>
      </c>
      <c r="R910" s="27">
        <f>IF(K910="Válida",J910,NA())</f>
        <v>0</v>
      </c>
      <c r="S910" s="27">
        <f>IF(K910="Válida",C910,"")</f>
        <v>0</v>
      </c>
      <c r="T910" s="27">
        <f>IF(K910="Válida",I910,"")</f>
        <v>0</v>
      </c>
      <c r="U910" s="27">
        <f>IF(K910="Válida",J910,"")</f>
        <v>0</v>
      </c>
    </row>
    <row r="911" spans="1:21">
      <c r="A911" s="25">
        <f>IF(MES!A911="","",MES!C911/48)</f>
        <v>0</v>
      </c>
      <c r="B911" s="26">
        <f>IF(A911="","",TEXT((N911*4+cfgDeslocamento)/48,"hh:mm")&amp;" a "&amp;TEXT(A911,"hh:mm"))</f>
        <v>0</v>
      </c>
      <c r="C911" s="27">
        <f>IF(A911="","",MES!B911)</f>
        <v>0</v>
      </c>
      <c r="D911" s="27">
        <f>IF(A911="","",IFERROR(AVERAGEIFS(Prensa!$B$2:$B$5001,Prensa!$E$2:$E$5001,N911,Prensa!$F$2:$F$5001,1,Prensa!$G$2:$G$5001,1),""))</f>
        <v>0</v>
      </c>
      <c r="E911" s="27">
        <f>IF(A911="","",IFERROR(AVERAGEIFS(Prensa!$B$2:$B$5001,Prensa!$E$2:$E$5001,N911,Prensa!$F$2:$F$5001,2,Prensa!$G$2:$G$5001,1),""))</f>
        <v>0</v>
      </c>
      <c r="F911" s="27">
        <f>IF(A911="","",IFERROR(AVERAGEIFS(Prensa!$B$2:$B$5001,Prensa!$E$2:$E$5001,N911,Prensa!$F$2:$F$5001,3,Prensa!$G$2:$G$5001,1),""))</f>
        <v>0</v>
      </c>
      <c r="G911" s="27">
        <f>IF(A911="","",IFERROR(AVERAGEIFS(Prensa!$B$2:$B$5001,Prensa!$E$2:$E$5001,N911,Prensa!$F$2:$F$5001,4,Prensa!$G$2:$G$5001,1),""))</f>
        <v>0</v>
      </c>
      <c r="H911" s="26">
        <f>IF(A911="","",COUNT(D911:G911))</f>
        <v>0</v>
      </c>
      <c r="I911" s="27">
        <f>IF(A911="","",IF(H911=0,"",AVERAGE(D911:G911)))</f>
        <v>0</v>
      </c>
      <c r="J911" s="27">
        <f>IF(OR(I911="",C911=""),"",I911-C911)</f>
        <v>0</v>
      </c>
      <c r="K911" s="26">
        <f>IF(A911="","",IF(MES!E911&lt;&gt;4,"Horário do MES fora do padrão",IF(H911&lt;cfgMinCortes,"Cortes insuficientes","Válida")))</f>
        <v>0</v>
      </c>
      <c r="L911" s="27">
        <f>IF(K911="Válida",ABS(J911),"")</f>
        <v>0</v>
      </c>
      <c r="M911" s="26">
        <f>IF(K911="Válida",IF(L911&lt;=cfgTolerancia,"Sim","Não"),"")</f>
        <v>0</v>
      </c>
      <c r="N911" s="26">
        <f>IF(A911="","",MES!D911)</f>
        <v>0</v>
      </c>
      <c r="O911" s="25">
        <f>IF(K911="Válida",A911,NA())</f>
        <v>0</v>
      </c>
      <c r="P911" s="27">
        <f>IF(K911="Válida",C911,NA())</f>
        <v>0</v>
      </c>
      <c r="Q911" s="27">
        <f>IF(K911="Válida",I911,NA())</f>
        <v>0</v>
      </c>
      <c r="R911" s="27">
        <f>IF(K911="Válida",J911,NA())</f>
        <v>0</v>
      </c>
      <c r="S911" s="27">
        <f>IF(K911="Válida",C911,"")</f>
        <v>0</v>
      </c>
      <c r="T911" s="27">
        <f>IF(K911="Válida",I911,"")</f>
        <v>0</v>
      </c>
      <c r="U911" s="27">
        <f>IF(K911="Válida",J911,"")</f>
        <v>0</v>
      </c>
    </row>
    <row r="912" spans="1:21">
      <c r="A912" s="25">
        <f>IF(MES!A912="","",MES!C912/48)</f>
        <v>0</v>
      </c>
      <c r="B912" s="26">
        <f>IF(A912="","",TEXT((N912*4+cfgDeslocamento)/48,"hh:mm")&amp;" a "&amp;TEXT(A912,"hh:mm"))</f>
        <v>0</v>
      </c>
      <c r="C912" s="27">
        <f>IF(A912="","",MES!B912)</f>
        <v>0</v>
      </c>
      <c r="D912" s="27">
        <f>IF(A912="","",IFERROR(AVERAGEIFS(Prensa!$B$2:$B$5001,Prensa!$E$2:$E$5001,N912,Prensa!$F$2:$F$5001,1,Prensa!$G$2:$G$5001,1),""))</f>
        <v>0</v>
      </c>
      <c r="E912" s="27">
        <f>IF(A912="","",IFERROR(AVERAGEIFS(Prensa!$B$2:$B$5001,Prensa!$E$2:$E$5001,N912,Prensa!$F$2:$F$5001,2,Prensa!$G$2:$G$5001,1),""))</f>
        <v>0</v>
      </c>
      <c r="F912" s="27">
        <f>IF(A912="","",IFERROR(AVERAGEIFS(Prensa!$B$2:$B$5001,Prensa!$E$2:$E$5001,N912,Prensa!$F$2:$F$5001,3,Prensa!$G$2:$G$5001,1),""))</f>
        <v>0</v>
      </c>
      <c r="G912" s="27">
        <f>IF(A912="","",IFERROR(AVERAGEIFS(Prensa!$B$2:$B$5001,Prensa!$E$2:$E$5001,N912,Prensa!$F$2:$F$5001,4,Prensa!$G$2:$G$5001,1),""))</f>
        <v>0</v>
      </c>
      <c r="H912" s="26">
        <f>IF(A912="","",COUNT(D912:G912))</f>
        <v>0</v>
      </c>
      <c r="I912" s="27">
        <f>IF(A912="","",IF(H912=0,"",AVERAGE(D912:G912)))</f>
        <v>0</v>
      </c>
      <c r="J912" s="27">
        <f>IF(OR(I912="",C912=""),"",I912-C912)</f>
        <v>0</v>
      </c>
      <c r="K912" s="26">
        <f>IF(A912="","",IF(MES!E912&lt;&gt;4,"Horário do MES fora do padrão",IF(H912&lt;cfgMinCortes,"Cortes insuficientes","Válida")))</f>
        <v>0</v>
      </c>
      <c r="L912" s="27">
        <f>IF(K912="Válida",ABS(J912),"")</f>
        <v>0</v>
      </c>
      <c r="M912" s="26">
        <f>IF(K912="Válida",IF(L912&lt;=cfgTolerancia,"Sim","Não"),"")</f>
        <v>0</v>
      </c>
      <c r="N912" s="26">
        <f>IF(A912="","",MES!D912)</f>
        <v>0</v>
      </c>
      <c r="O912" s="25">
        <f>IF(K912="Válida",A912,NA())</f>
        <v>0</v>
      </c>
      <c r="P912" s="27">
        <f>IF(K912="Válida",C912,NA())</f>
        <v>0</v>
      </c>
      <c r="Q912" s="27">
        <f>IF(K912="Válida",I912,NA())</f>
        <v>0</v>
      </c>
      <c r="R912" s="27">
        <f>IF(K912="Válida",J912,NA())</f>
        <v>0</v>
      </c>
      <c r="S912" s="27">
        <f>IF(K912="Válida",C912,"")</f>
        <v>0</v>
      </c>
      <c r="T912" s="27">
        <f>IF(K912="Válida",I912,"")</f>
        <v>0</v>
      </c>
      <c r="U912" s="27">
        <f>IF(K912="Válida",J912,"")</f>
        <v>0</v>
      </c>
    </row>
    <row r="913" spans="1:21">
      <c r="A913" s="25">
        <f>IF(MES!A913="","",MES!C913/48)</f>
        <v>0</v>
      </c>
      <c r="B913" s="26">
        <f>IF(A913="","",TEXT((N913*4+cfgDeslocamento)/48,"hh:mm")&amp;" a "&amp;TEXT(A913,"hh:mm"))</f>
        <v>0</v>
      </c>
      <c r="C913" s="27">
        <f>IF(A913="","",MES!B913)</f>
        <v>0</v>
      </c>
      <c r="D913" s="27">
        <f>IF(A913="","",IFERROR(AVERAGEIFS(Prensa!$B$2:$B$5001,Prensa!$E$2:$E$5001,N913,Prensa!$F$2:$F$5001,1,Prensa!$G$2:$G$5001,1),""))</f>
        <v>0</v>
      </c>
      <c r="E913" s="27">
        <f>IF(A913="","",IFERROR(AVERAGEIFS(Prensa!$B$2:$B$5001,Prensa!$E$2:$E$5001,N913,Prensa!$F$2:$F$5001,2,Prensa!$G$2:$G$5001,1),""))</f>
        <v>0</v>
      </c>
      <c r="F913" s="27">
        <f>IF(A913="","",IFERROR(AVERAGEIFS(Prensa!$B$2:$B$5001,Prensa!$E$2:$E$5001,N913,Prensa!$F$2:$F$5001,3,Prensa!$G$2:$G$5001,1),""))</f>
        <v>0</v>
      </c>
      <c r="G913" s="27">
        <f>IF(A913="","",IFERROR(AVERAGEIFS(Prensa!$B$2:$B$5001,Prensa!$E$2:$E$5001,N913,Prensa!$F$2:$F$5001,4,Prensa!$G$2:$G$5001,1),""))</f>
        <v>0</v>
      </c>
      <c r="H913" s="26">
        <f>IF(A913="","",COUNT(D913:G913))</f>
        <v>0</v>
      </c>
      <c r="I913" s="27">
        <f>IF(A913="","",IF(H913=0,"",AVERAGE(D913:G913)))</f>
        <v>0</v>
      </c>
      <c r="J913" s="27">
        <f>IF(OR(I913="",C913=""),"",I913-C913)</f>
        <v>0</v>
      </c>
      <c r="K913" s="26">
        <f>IF(A913="","",IF(MES!E913&lt;&gt;4,"Horário do MES fora do padrão",IF(H913&lt;cfgMinCortes,"Cortes insuficientes","Válida")))</f>
        <v>0</v>
      </c>
      <c r="L913" s="27">
        <f>IF(K913="Válida",ABS(J913),"")</f>
        <v>0</v>
      </c>
      <c r="M913" s="26">
        <f>IF(K913="Válida",IF(L913&lt;=cfgTolerancia,"Sim","Não"),"")</f>
        <v>0</v>
      </c>
      <c r="N913" s="26">
        <f>IF(A913="","",MES!D913)</f>
        <v>0</v>
      </c>
      <c r="O913" s="25">
        <f>IF(K913="Válida",A913,NA())</f>
        <v>0</v>
      </c>
      <c r="P913" s="27">
        <f>IF(K913="Válida",C913,NA())</f>
        <v>0</v>
      </c>
      <c r="Q913" s="27">
        <f>IF(K913="Válida",I913,NA())</f>
        <v>0</v>
      </c>
      <c r="R913" s="27">
        <f>IF(K913="Válida",J913,NA())</f>
        <v>0</v>
      </c>
      <c r="S913" s="27">
        <f>IF(K913="Válida",C913,"")</f>
        <v>0</v>
      </c>
      <c r="T913" s="27">
        <f>IF(K913="Válida",I913,"")</f>
        <v>0</v>
      </c>
      <c r="U913" s="27">
        <f>IF(K913="Válida",J913,"")</f>
        <v>0</v>
      </c>
    </row>
    <row r="914" spans="1:21">
      <c r="A914" s="25">
        <f>IF(MES!A914="","",MES!C914/48)</f>
        <v>0</v>
      </c>
      <c r="B914" s="26">
        <f>IF(A914="","",TEXT((N914*4+cfgDeslocamento)/48,"hh:mm")&amp;" a "&amp;TEXT(A914,"hh:mm"))</f>
        <v>0</v>
      </c>
      <c r="C914" s="27">
        <f>IF(A914="","",MES!B914)</f>
        <v>0</v>
      </c>
      <c r="D914" s="27">
        <f>IF(A914="","",IFERROR(AVERAGEIFS(Prensa!$B$2:$B$5001,Prensa!$E$2:$E$5001,N914,Prensa!$F$2:$F$5001,1,Prensa!$G$2:$G$5001,1),""))</f>
        <v>0</v>
      </c>
      <c r="E914" s="27">
        <f>IF(A914="","",IFERROR(AVERAGEIFS(Prensa!$B$2:$B$5001,Prensa!$E$2:$E$5001,N914,Prensa!$F$2:$F$5001,2,Prensa!$G$2:$G$5001,1),""))</f>
        <v>0</v>
      </c>
      <c r="F914" s="27">
        <f>IF(A914="","",IFERROR(AVERAGEIFS(Prensa!$B$2:$B$5001,Prensa!$E$2:$E$5001,N914,Prensa!$F$2:$F$5001,3,Prensa!$G$2:$G$5001,1),""))</f>
        <v>0</v>
      </c>
      <c r="G914" s="27">
        <f>IF(A914="","",IFERROR(AVERAGEIFS(Prensa!$B$2:$B$5001,Prensa!$E$2:$E$5001,N914,Prensa!$F$2:$F$5001,4,Prensa!$G$2:$G$5001,1),""))</f>
        <v>0</v>
      </c>
      <c r="H914" s="26">
        <f>IF(A914="","",COUNT(D914:G914))</f>
        <v>0</v>
      </c>
      <c r="I914" s="27">
        <f>IF(A914="","",IF(H914=0,"",AVERAGE(D914:G914)))</f>
        <v>0</v>
      </c>
      <c r="J914" s="27">
        <f>IF(OR(I914="",C914=""),"",I914-C914)</f>
        <v>0</v>
      </c>
      <c r="K914" s="26">
        <f>IF(A914="","",IF(MES!E914&lt;&gt;4,"Horário do MES fora do padrão",IF(H914&lt;cfgMinCortes,"Cortes insuficientes","Válida")))</f>
        <v>0</v>
      </c>
      <c r="L914" s="27">
        <f>IF(K914="Válida",ABS(J914),"")</f>
        <v>0</v>
      </c>
      <c r="M914" s="26">
        <f>IF(K914="Válida",IF(L914&lt;=cfgTolerancia,"Sim","Não"),"")</f>
        <v>0</v>
      </c>
      <c r="N914" s="26">
        <f>IF(A914="","",MES!D914)</f>
        <v>0</v>
      </c>
      <c r="O914" s="25">
        <f>IF(K914="Válida",A914,NA())</f>
        <v>0</v>
      </c>
      <c r="P914" s="27">
        <f>IF(K914="Válida",C914,NA())</f>
        <v>0</v>
      </c>
      <c r="Q914" s="27">
        <f>IF(K914="Válida",I914,NA())</f>
        <v>0</v>
      </c>
      <c r="R914" s="27">
        <f>IF(K914="Válida",J914,NA())</f>
        <v>0</v>
      </c>
      <c r="S914" s="27">
        <f>IF(K914="Válida",C914,"")</f>
        <v>0</v>
      </c>
      <c r="T914" s="27">
        <f>IF(K914="Válida",I914,"")</f>
        <v>0</v>
      </c>
      <c r="U914" s="27">
        <f>IF(K914="Válida",J914,"")</f>
        <v>0</v>
      </c>
    </row>
    <row r="915" spans="1:21">
      <c r="A915" s="25">
        <f>IF(MES!A915="","",MES!C915/48)</f>
        <v>0</v>
      </c>
      <c r="B915" s="26">
        <f>IF(A915="","",TEXT((N915*4+cfgDeslocamento)/48,"hh:mm")&amp;" a "&amp;TEXT(A915,"hh:mm"))</f>
        <v>0</v>
      </c>
      <c r="C915" s="27">
        <f>IF(A915="","",MES!B915)</f>
        <v>0</v>
      </c>
      <c r="D915" s="27">
        <f>IF(A915="","",IFERROR(AVERAGEIFS(Prensa!$B$2:$B$5001,Prensa!$E$2:$E$5001,N915,Prensa!$F$2:$F$5001,1,Prensa!$G$2:$G$5001,1),""))</f>
        <v>0</v>
      </c>
      <c r="E915" s="27">
        <f>IF(A915="","",IFERROR(AVERAGEIFS(Prensa!$B$2:$B$5001,Prensa!$E$2:$E$5001,N915,Prensa!$F$2:$F$5001,2,Prensa!$G$2:$G$5001,1),""))</f>
        <v>0</v>
      </c>
      <c r="F915" s="27">
        <f>IF(A915="","",IFERROR(AVERAGEIFS(Prensa!$B$2:$B$5001,Prensa!$E$2:$E$5001,N915,Prensa!$F$2:$F$5001,3,Prensa!$G$2:$G$5001,1),""))</f>
        <v>0</v>
      </c>
      <c r="G915" s="27">
        <f>IF(A915="","",IFERROR(AVERAGEIFS(Prensa!$B$2:$B$5001,Prensa!$E$2:$E$5001,N915,Prensa!$F$2:$F$5001,4,Prensa!$G$2:$G$5001,1),""))</f>
        <v>0</v>
      </c>
      <c r="H915" s="26">
        <f>IF(A915="","",COUNT(D915:G915))</f>
        <v>0</v>
      </c>
      <c r="I915" s="27">
        <f>IF(A915="","",IF(H915=0,"",AVERAGE(D915:G915)))</f>
        <v>0</v>
      </c>
      <c r="J915" s="27">
        <f>IF(OR(I915="",C915=""),"",I915-C915)</f>
        <v>0</v>
      </c>
      <c r="K915" s="26">
        <f>IF(A915="","",IF(MES!E915&lt;&gt;4,"Horário do MES fora do padrão",IF(H915&lt;cfgMinCortes,"Cortes insuficientes","Válida")))</f>
        <v>0</v>
      </c>
      <c r="L915" s="27">
        <f>IF(K915="Válida",ABS(J915),"")</f>
        <v>0</v>
      </c>
      <c r="M915" s="26">
        <f>IF(K915="Válida",IF(L915&lt;=cfgTolerancia,"Sim","Não"),"")</f>
        <v>0</v>
      </c>
      <c r="N915" s="26">
        <f>IF(A915="","",MES!D915)</f>
        <v>0</v>
      </c>
      <c r="O915" s="25">
        <f>IF(K915="Válida",A915,NA())</f>
        <v>0</v>
      </c>
      <c r="P915" s="27">
        <f>IF(K915="Válida",C915,NA())</f>
        <v>0</v>
      </c>
      <c r="Q915" s="27">
        <f>IF(K915="Válida",I915,NA())</f>
        <v>0</v>
      </c>
      <c r="R915" s="27">
        <f>IF(K915="Válida",J915,NA())</f>
        <v>0</v>
      </c>
      <c r="S915" s="27">
        <f>IF(K915="Válida",C915,"")</f>
        <v>0</v>
      </c>
      <c r="T915" s="27">
        <f>IF(K915="Válida",I915,"")</f>
        <v>0</v>
      </c>
      <c r="U915" s="27">
        <f>IF(K915="Válida",J915,"")</f>
        <v>0</v>
      </c>
    </row>
    <row r="916" spans="1:21">
      <c r="A916" s="25">
        <f>IF(MES!A916="","",MES!C916/48)</f>
        <v>0</v>
      </c>
      <c r="B916" s="26">
        <f>IF(A916="","",TEXT((N916*4+cfgDeslocamento)/48,"hh:mm")&amp;" a "&amp;TEXT(A916,"hh:mm"))</f>
        <v>0</v>
      </c>
      <c r="C916" s="27">
        <f>IF(A916="","",MES!B916)</f>
        <v>0</v>
      </c>
      <c r="D916" s="27">
        <f>IF(A916="","",IFERROR(AVERAGEIFS(Prensa!$B$2:$B$5001,Prensa!$E$2:$E$5001,N916,Prensa!$F$2:$F$5001,1,Prensa!$G$2:$G$5001,1),""))</f>
        <v>0</v>
      </c>
      <c r="E916" s="27">
        <f>IF(A916="","",IFERROR(AVERAGEIFS(Prensa!$B$2:$B$5001,Prensa!$E$2:$E$5001,N916,Prensa!$F$2:$F$5001,2,Prensa!$G$2:$G$5001,1),""))</f>
        <v>0</v>
      </c>
      <c r="F916" s="27">
        <f>IF(A916="","",IFERROR(AVERAGEIFS(Prensa!$B$2:$B$5001,Prensa!$E$2:$E$5001,N916,Prensa!$F$2:$F$5001,3,Prensa!$G$2:$G$5001,1),""))</f>
        <v>0</v>
      </c>
      <c r="G916" s="27">
        <f>IF(A916="","",IFERROR(AVERAGEIFS(Prensa!$B$2:$B$5001,Prensa!$E$2:$E$5001,N916,Prensa!$F$2:$F$5001,4,Prensa!$G$2:$G$5001,1),""))</f>
        <v>0</v>
      </c>
      <c r="H916" s="26">
        <f>IF(A916="","",COUNT(D916:G916))</f>
        <v>0</v>
      </c>
      <c r="I916" s="27">
        <f>IF(A916="","",IF(H916=0,"",AVERAGE(D916:G916)))</f>
        <v>0</v>
      </c>
      <c r="J916" s="27">
        <f>IF(OR(I916="",C916=""),"",I916-C916)</f>
        <v>0</v>
      </c>
      <c r="K916" s="26">
        <f>IF(A916="","",IF(MES!E916&lt;&gt;4,"Horário do MES fora do padrão",IF(H916&lt;cfgMinCortes,"Cortes insuficientes","Válida")))</f>
        <v>0</v>
      </c>
      <c r="L916" s="27">
        <f>IF(K916="Válida",ABS(J916),"")</f>
        <v>0</v>
      </c>
      <c r="M916" s="26">
        <f>IF(K916="Válida",IF(L916&lt;=cfgTolerancia,"Sim","Não"),"")</f>
        <v>0</v>
      </c>
      <c r="N916" s="26">
        <f>IF(A916="","",MES!D916)</f>
        <v>0</v>
      </c>
      <c r="O916" s="25">
        <f>IF(K916="Válida",A916,NA())</f>
        <v>0</v>
      </c>
      <c r="P916" s="27">
        <f>IF(K916="Válida",C916,NA())</f>
        <v>0</v>
      </c>
      <c r="Q916" s="27">
        <f>IF(K916="Válida",I916,NA())</f>
        <v>0</v>
      </c>
      <c r="R916" s="27">
        <f>IF(K916="Válida",J916,NA())</f>
        <v>0</v>
      </c>
      <c r="S916" s="27">
        <f>IF(K916="Válida",C916,"")</f>
        <v>0</v>
      </c>
      <c r="T916" s="27">
        <f>IF(K916="Válida",I916,"")</f>
        <v>0</v>
      </c>
      <c r="U916" s="27">
        <f>IF(K916="Válida",J916,"")</f>
        <v>0</v>
      </c>
    </row>
    <row r="917" spans="1:21">
      <c r="A917" s="25">
        <f>IF(MES!A917="","",MES!C917/48)</f>
        <v>0</v>
      </c>
      <c r="B917" s="26">
        <f>IF(A917="","",TEXT((N917*4+cfgDeslocamento)/48,"hh:mm")&amp;" a "&amp;TEXT(A917,"hh:mm"))</f>
        <v>0</v>
      </c>
      <c r="C917" s="27">
        <f>IF(A917="","",MES!B917)</f>
        <v>0</v>
      </c>
      <c r="D917" s="27">
        <f>IF(A917="","",IFERROR(AVERAGEIFS(Prensa!$B$2:$B$5001,Prensa!$E$2:$E$5001,N917,Prensa!$F$2:$F$5001,1,Prensa!$G$2:$G$5001,1),""))</f>
        <v>0</v>
      </c>
      <c r="E917" s="27">
        <f>IF(A917="","",IFERROR(AVERAGEIFS(Prensa!$B$2:$B$5001,Prensa!$E$2:$E$5001,N917,Prensa!$F$2:$F$5001,2,Prensa!$G$2:$G$5001,1),""))</f>
        <v>0</v>
      </c>
      <c r="F917" s="27">
        <f>IF(A917="","",IFERROR(AVERAGEIFS(Prensa!$B$2:$B$5001,Prensa!$E$2:$E$5001,N917,Prensa!$F$2:$F$5001,3,Prensa!$G$2:$G$5001,1),""))</f>
        <v>0</v>
      </c>
      <c r="G917" s="27">
        <f>IF(A917="","",IFERROR(AVERAGEIFS(Prensa!$B$2:$B$5001,Prensa!$E$2:$E$5001,N917,Prensa!$F$2:$F$5001,4,Prensa!$G$2:$G$5001,1),""))</f>
        <v>0</v>
      </c>
      <c r="H917" s="26">
        <f>IF(A917="","",COUNT(D917:G917))</f>
        <v>0</v>
      </c>
      <c r="I917" s="27">
        <f>IF(A917="","",IF(H917=0,"",AVERAGE(D917:G917)))</f>
        <v>0</v>
      </c>
      <c r="J917" s="27">
        <f>IF(OR(I917="",C917=""),"",I917-C917)</f>
        <v>0</v>
      </c>
      <c r="K917" s="26">
        <f>IF(A917="","",IF(MES!E917&lt;&gt;4,"Horário do MES fora do padrão",IF(H917&lt;cfgMinCortes,"Cortes insuficientes","Válida")))</f>
        <v>0</v>
      </c>
      <c r="L917" s="27">
        <f>IF(K917="Válida",ABS(J917),"")</f>
        <v>0</v>
      </c>
      <c r="M917" s="26">
        <f>IF(K917="Válida",IF(L917&lt;=cfgTolerancia,"Sim","Não"),"")</f>
        <v>0</v>
      </c>
      <c r="N917" s="26">
        <f>IF(A917="","",MES!D917)</f>
        <v>0</v>
      </c>
      <c r="O917" s="25">
        <f>IF(K917="Válida",A917,NA())</f>
        <v>0</v>
      </c>
      <c r="P917" s="27">
        <f>IF(K917="Válida",C917,NA())</f>
        <v>0</v>
      </c>
      <c r="Q917" s="27">
        <f>IF(K917="Válida",I917,NA())</f>
        <v>0</v>
      </c>
      <c r="R917" s="27">
        <f>IF(K917="Válida",J917,NA())</f>
        <v>0</v>
      </c>
      <c r="S917" s="27">
        <f>IF(K917="Válida",C917,"")</f>
        <v>0</v>
      </c>
      <c r="T917" s="27">
        <f>IF(K917="Válida",I917,"")</f>
        <v>0</v>
      </c>
      <c r="U917" s="27">
        <f>IF(K917="Válida",J917,"")</f>
        <v>0</v>
      </c>
    </row>
    <row r="918" spans="1:21">
      <c r="A918" s="25">
        <f>IF(MES!A918="","",MES!C918/48)</f>
        <v>0</v>
      </c>
      <c r="B918" s="26">
        <f>IF(A918="","",TEXT((N918*4+cfgDeslocamento)/48,"hh:mm")&amp;" a "&amp;TEXT(A918,"hh:mm"))</f>
        <v>0</v>
      </c>
      <c r="C918" s="27">
        <f>IF(A918="","",MES!B918)</f>
        <v>0</v>
      </c>
      <c r="D918" s="27">
        <f>IF(A918="","",IFERROR(AVERAGEIFS(Prensa!$B$2:$B$5001,Prensa!$E$2:$E$5001,N918,Prensa!$F$2:$F$5001,1,Prensa!$G$2:$G$5001,1),""))</f>
        <v>0</v>
      </c>
      <c r="E918" s="27">
        <f>IF(A918="","",IFERROR(AVERAGEIFS(Prensa!$B$2:$B$5001,Prensa!$E$2:$E$5001,N918,Prensa!$F$2:$F$5001,2,Prensa!$G$2:$G$5001,1),""))</f>
        <v>0</v>
      </c>
      <c r="F918" s="27">
        <f>IF(A918="","",IFERROR(AVERAGEIFS(Prensa!$B$2:$B$5001,Prensa!$E$2:$E$5001,N918,Prensa!$F$2:$F$5001,3,Prensa!$G$2:$G$5001,1),""))</f>
        <v>0</v>
      </c>
      <c r="G918" s="27">
        <f>IF(A918="","",IFERROR(AVERAGEIFS(Prensa!$B$2:$B$5001,Prensa!$E$2:$E$5001,N918,Prensa!$F$2:$F$5001,4,Prensa!$G$2:$G$5001,1),""))</f>
        <v>0</v>
      </c>
      <c r="H918" s="26">
        <f>IF(A918="","",COUNT(D918:G918))</f>
        <v>0</v>
      </c>
      <c r="I918" s="27">
        <f>IF(A918="","",IF(H918=0,"",AVERAGE(D918:G918)))</f>
        <v>0</v>
      </c>
      <c r="J918" s="27">
        <f>IF(OR(I918="",C918=""),"",I918-C918)</f>
        <v>0</v>
      </c>
      <c r="K918" s="26">
        <f>IF(A918="","",IF(MES!E918&lt;&gt;4,"Horário do MES fora do padrão",IF(H918&lt;cfgMinCortes,"Cortes insuficientes","Válida")))</f>
        <v>0</v>
      </c>
      <c r="L918" s="27">
        <f>IF(K918="Válida",ABS(J918),"")</f>
        <v>0</v>
      </c>
      <c r="M918" s="26">
        <f>IF(K918="Válida",IF(L918&lt;=cfgTolerancia,"Sim","Não"),"")</f>
        <v>0</v>
      </c>
      <c r="N918" s="26">
        <f>IF(A918="","",MES!D918)</f>
        <v>0</v>
      </c>
      <c r="O918" s="25">
        <f>IF(K918="Válida",A918,NA())</f>
        <v>0</v>
      </c>
      <c r="P918" s="27">
        <f>IF(K918="Válida",C918,NA())</f>
        <v>0</v>
      </c>
      <c r="Q918" s="27">
        <f>IF(K918="Válida",I918,NA())</f>
        <v>0</v>
      </c>
      <c r="R918" s="27">
        <f>IF(K918="Válida",J918,NA())</f>
        <v>0</v>
      </c>
      <c r="S918" s="27">
        <f>IF(K918="Válida",C918,"")</f>
        <v>0</v>
      </c>
      <c r="T918" s="27">
        <f>IF(K918="Válida",I918,"")</f>
        <v>0</v>
      </c>
      <c r="U918" s="27">
        <f>IF(K918="Válida",J918,"")</f>
        <v>0</v>
      </c>
    </row>
    <row r="919" spans="1:21">
      <c r="A919" s="25">
        <f>IF(MES!A919="","",MES!C919/48)</f>
        <v>0</v>
      </c>
      <c r="B919" s="26">
        <f>IF(A919="","",TEXT((N919*4+cfgDeslocamento)/48,"hh:mm")&amp;" a "&amp;TEXT(A919,"hh:mm"))</f>
        <v>0</v>
      </c>
      <c r="C919" s="27">
        <f>IF(A919="","",MES!B919)</f>
        <v>0</v>
      </c>
      <c r="D919" s="27">
        <f>IF(A919="","",IFERROR(AVERAGEIFS(Prensa!$B$2:$B$5001,Prensa!$E$2:$E$5001,N919,Prensa!$F$2:$F$5001,1,Prensa!$G$2:$G$5001,1),""))</f>
        <v>0</v>
      </c>
      <c r="E919" s="27">
        <f>IF(A919="","",IFERROR(AVERAGEIFS(Prensa!$B$2:$B$5001,Prensa!$E$2:$E$5001,N919,Prensa!$F$2:$F$5001,2,Prensa!$G$2:$G$5001,1),""))</f>
        <v>0</v>
      </c>
      <c r="F919" s="27">
        <f>IF(A919="","",IFERROR(AVERAGEIFS(Prensa!$B$2:$B$5001,Prensa!$E$2:$E$5001,N919,Prensa!$F$2:$F$5001,3,Prensa!$G$2:$G$5001,1),""))</f>
        <v>0</v>
      </c>
      <c r="G919" s="27">
        <f>IF(A919="","",IFERROR(AVERAGEIFS(Prensa!$B$2:$B$5001,Prensa!$E$2:$E$5001,N919,Prensa!$F$2:$F$5001,4,Prensa!$G$2:$G$5001,1),""))</f>
        <v>0</v>
      </c>
      <c r="H919" s="26">
        <f>IF(A919="","",COUNT(D919:G919))</f>
        <v>0</v>
      </c>
      <c r="I919" s="27">
        <f>IF(A919="","",IF(H919=0,"",AVERAGE(D919:G919)))</f>
        <v>0</v>
      </c>
      <c r="J919" s="27">
        <f>IF(OR(I919="",C919=""),"",I919-C919)</f>
        <v>0</v>
      </c>
      <c r="K919" s="26">
        <f>IF(A919="","",IF(MES!E919&lt;&gt;4,"Horário do MES fora do padrão",IF(H919&lt;cfgMinCortes,"Cortes insuficientes","Válida")))</f>
        <v>0</v>
      </c>
      <c r="L919" s="27">
        <f>IF(K919="Válida",ABS(J919),"")</f>
        <v>0</v>
      </c>
      <c r="M919" s="26">
        <f>IF(K919="Válida",IF(L919&lt;=cfgTolerancia,"Sim","Não"),"")</f>
        <v>0</v>
      </c>
      <c r="N919" s="26">
        <f>IF(A919="","",MES!D919)</f>
        <v>0</v>
      </c>
      <c r="O919" s="25">
        <f>IF(K919="Válida",A919,NA())</f>
        <v>0</v>
      </c>
      <c r="P919" s="27">
        <f>IF(K919="Válida",C919,NA())</f>
        <v>0</v>
      </c>
      <c r="Q919" s="27">
        <f>IF(K919="Válida",I919,NA())</f>
        <v>0</v>
      </c>
      <c r="R919" s="27">
        <f>IF(K919="Válida",J919,NA())</f>
        <v>0</v>
      </c>
      <c r="S919" s="27">
        <f>IF(K919="Válida",C919,"")</f>
        <v>0</v>
      </c>
      <c r="T919" s="27">
        <f>IF(K919="Válida",I919,"")</f>
        <v>0</v>
      </c>
      <c r="U919" s="27">
        <f>IF(K919="Válida",J919,"")</f>
        <v>0</v>
      </c>
    </row>
    <row r="920" spans="1:21">
      <c r="A920" s="25">
        <f>IF(MES!A920="","",MES!C920/48)</f>
        <v>0</v>
      </c>
      <c r="B920" s="26">
        <f>IF(A920="","",TEXT((N920*4+cfgDeslocamento)/48,"hh:mm")&amp;" a "&amp;TEXT(A920,"hh:mm"))</f>
        <v>0</v>
      </c>
      <c r="C920" s="27">
        <f>IF(A920="","",MES!B920)</f>
        <v>0</v>
      </c>
      <c r="D920" s="27">
        <f>IF(A920="","",IFERROR(AVERAGEIFS(Prensa!$B$2:$B$5001,Prensa!$E$2:$E$5001,N920,Prensa!$F$2:$F$5001,1,Prensa!$G$2:$G$5001,1),""))</f>
        <v>0</v>
      </c>
      <c r="E920" s="27">
        <f>IF(A920="","",IFERROR(AVERAGEIFS(Prensa!$B$2:$B$5001,Prensa!$E$2:$E$5001,N920,Prensa!$F$2:$F$5001,2,Prensa!$G$2:$G$5001,1),""))</f>
        <v>0</v>
      </c>
      <c r="F920" s="27">
        <f>IF(A920="","",IFERROR(AVERAGEIFS(Prensa!$B$2:$B$5001,Prensa!$E$2:$E$5001,N920,Prensa!$F$2:$F$5001,3,Prensa!$G$2:$G$5001,1),""))</f>
        <v>0</v>
      </c>
      <c r="G920" s="27">
        <f>IF(A920="","",IFERROR(AVERAGEIFS(Prensa!$B$2:$B$5001,Prensa!$E$2:$E$5001,N920,Prensa!$F$2:$F$5001,4,Prensa!$G$2:$G$5001,1),""))</f>
        <v>0</v>
      </c>
      <c r="H920" s="26">
        <f>IF(A920="","",COUNT(D920:G920))</f>
        <v>0</v>
      </c>
      <c r="I920" s="27">
        <f>IF(A920="","",IF(H920=0,"",AVERAGE(D920:G920)))</f>
        <v>0</v>
      </c>
      <c r="J920" s="27">
        <f>IF(OR(I920="",C920=""),"",I920-C920)</f>
        <v>0</v>
      </c>
      <c r="K920" s="26">
        <f>IF(A920="","",IF(MES!E920&lt;&gt;4,"Horário do MES fora do padrão",IF(H920&lt;cfgMinCortes,"Cortes insuficientes","Válida")))</f>
        <v>0</v>
      </c>
      <c r="L920" s="27">
        <f>IF(K920="Válida",ABS(J920),"")</f>
        <v>0</v>
      </c>
      <c r="M920" s="26">
        <f>IF(K920="Válida",IF(L920&lt;=cfgTolerancia,"Sim","Não"),"")</f>
        <v>0</v>
      </c>
      <c r="N920" s="26">
        <f>IF(A920="","",MES!D920)</f>
        <v>0</v>
      </c>
      <c r="O920" s="25">
        <f>IF(K920="Válida",A920,NA())</f>
        <v>0</v>
      </c>
      <c r="P920" s="27">
        <f>IF(K920="Válida",C920,NA())</f>
        <v>0</v>
      </c>
      <c r="Q920" s="27">
        <f>IF(K920="Válida",I920,NA())</f>
        <v>0</v>
      </c>
      <c r="R920" s="27">
        <f>IF(K920="Válida",J920,NA())</f>
        <v>0</v>
      </c>
      <c r="S920" s="27">
        <f>IF(K920="Válida",C920,"")</f>
        <v>0</v>
      </c>
      <c r="T920" s="27">
        <f>IF(K920="Válida",I920,"")</f>
        <v>0</v>
      </c>
      <c r="U920" s="27">
        <f>IF(K920="Válida",J920,"")</f>
        <v>0</v>
      </c>
    </row>
    <row r="921" spans="1:21">
      <c r="A921" s="25">
        <f>IF(MES!A921="","",MES!C921/48)</f>
        <v>0</v>
      </c>
      <c r="B921" s="26">
        <f>IF(A921="","",TEXT((N921*4+cfgDeslocamento)/48,"hh:mm")&amp;" a "&amp;TEXT(A921,"hh:mm"))</f>
        <v>0</v>
      </c>
      <c r="C921" s="27">
        <f>IF(A921="","",MES!B921)</f>
        <v>0</v>
      </c>
      <c r="D921" s="27">
        <f>IF(A921="","",IFERROR(AVERAGEIFS(Prensa!$B$2:$B$5001,Prensa!$E$2:$E$5001,N921,Prensa!$F$2:$F$5001,1,Prensa!$G$2:$G$5001,1),""))</f>
        <v>0</v>
      </c>
      <c r="E921" s="27">
        <f>IF(A921="","",IFERROR(AVERAGEIFS(Prensa!$B$2:$B$5001,Prensa!$E$2:$E$5001,N921,Prensa!$F$2:$F$5001,2,Prensa!$G$2:$G$5001,1),""))</f>
        <v>0</v>
      </c>
      <c r="F921" s="27">
        <f>IF(A921="","",IFERROR(AVERAGEIFS(Prensa!$B$2:$B$5001,Prensa!$E$2:$E$5001,N921,Prensa!$F$2:$F$5001,3,Prensa!$G$2:$G$5001,1),""))</f>
        <v>0</v>
      </c>
      <c r="G921" s="27">
        <f>IF(A921="","",IFERROR(AVERAGEIFS(Prensa!$B$2:$B$5001,Prensa!$E$2:$E$5001,N921,Prensa!$F$2:$F$5001,4,Prensa!$G$2:$G$5001,1),""))</f>
        <v>0</v>
      </c>
      <c r="H921" s="26">
        <f>IF(A921="","",COUNT(D921:G921))</f>
        <v>0</v>
      </c>
      <c r="I921" s="27">
        <f>IF(A921="","",IF(H921=0,"",AVERAGE(D921:G921)))</f>
        <v>0</v>
      </c>
      <c r="J921" s="27">
        <f>IF(OR(I921="",C921=""),"",I921-C921)</f>
        <v>0</v>
      </c>
      <c r="K921" s="26">
        <f>IF(A921="","",IF(MES!E921&lt;&gt;4,"Horário do MES fora do padrão",IF(H921&lt;cfgMinCortes,"Cortes insuficientes","Válida")))</f>
        <v>0</v>
      </c>
      <c r="L921" s="27">
        <f>IF(K921="Válida",ABS(J921),"")</f>
        <v>0</v>
      </c>
      <c r="M921" s="26">
        <f>IF(K921="Válida",IF(L921&lt;=cfgTolerancia,"Sim","Não"),"")</f>
        <v>0</v>
      </c>
      <c r="N921" s="26">
        <f>IF(A921="","",MES!D921)</f>
        <v>0</v>
      </c>
      <c r="O921" s="25">
        <f>IF(K921="Válida",A921,NA())</f>
        <v>0</v>
      </c>
      <c r="P921" s="27">
        <f>IF(K921="Válida",C921,NA())</f>
        <v>0</v>
      </c>
      <c r="Q921" s="27">
        <f>IF(K921="Válida",I921,NA())</f>
        <v>0</v>
      </c>
      <c r="R921" s="27">
        <f>IF(K921="Válida",J921,NA())</f>
        <v>0</v>
      </c>
      <c r="S921" s="27">
        <f>IF(K921="Válida",C921,"")</f>
        <v>0</v>
      </c>
      <c r="T921" s="27">
        <f>IF(K921="Válida",I921,"")</f>
        <v>0</v>
      </c>
      <c r="U921" s="27">
        <f>IF(K921="Válida",J921,"")</f>
        <v>0</v>
      </c>
    </row>
    <row r="922" spans="1:21">
      <c r="A922" s="25">
        <f>IF(MES!A922="","",MES!C922/48)</f>
        <v>0</v>
      </c>
      <c r="B922" s="26">
        <f>IF(A922="","",TEXT((N922*4+cfgDeslocamento)/48,"hh:mm")&amp;" a "&amp;TEXT(A922,"hh:mm"))</f>
        <v>0</v>
      </c>
      <c r="C922" s="27">
        <f>IF(A922="","",MES!B922)</f>
        <v>0</v>
      </c>
      <c r="D922" s="27">
        <f>IF(A922="","",IFERROR(AVERAGEIFS(Prensa!$B$2:$B$5001,Prensa!$E$2:$E$5001,N922,Prensa!$F$2:$F$5001,1,Prensa!$G$2:$G$5001,1),""))</f>
        <v>0</v>
      </c>
      <c r="E922" s="27">
        <f>IF(A922="","",IFERROR(AVERAGEIFS(Prensa!$B$2:$B$5001,Prensa!$E$2:$E$5001,N922,Prensa!$F$2:$F$5001,2,Prensa!$G$2:$G$5001,1),""))</f>
        <v>0</v>
      </c>
      <c r="F922" s="27">
        <f>IF(A922="","",IFERROR(AVERAGEIFS(Prensa!$B$2:$B$5001,Prensa!$E$2:$E$5001,N922,Prensa!$F$2:$F$5001,3,Prensa!$G$2:$G$5001,1),""))</f>
        <v>0</v>
      </c>
      <c r="G922" s="27">
        <f>IF(A922="","",IFERROR(AVERAGEIFS(Prensa!$B$2:$B$5001,Prensa!$E$2:$E$5001,N922,Prensa!$F$2:$F$5001,4,Prensa!$G$2:$G$5001,1),""))</f>
        <v>0</v>
      </c>
      <c r="H922" s="26">
        <f>IF(A922="","",COUNT(D922:G922))</f>
        <v>0</v>
      </c>
      <c r="I922" s="27">
        <f>IF(A922="","",IF(H922=0,"",AVERAGE(D922:G922)))</f>
        <v>0</v>
      </c>
      <c r="J922" s="27">
        <f>IF(OR(I922="",C922=""),"",I922-C922)</f>
        <v>0</v>
      </c>
      <c r="K922" s="26">
        <f>IF(A922="","",IF(MES!E922&lt;&gt;4,"Horário do MES fora do padrão",IF(H922&lt;cfgMinCortes,"Cortes insuficientes","Válida")))</f>
        <v>0</v>
      </c>
      <c r="L922" s="27">
        <f>IF(K922="Válida",ABS(J922),"")</f>
        <v>0</v>
      </c>
      <c r="M922" s="26">
        <f>IF(K922="Válida",IF(L922&lt;=cfgTolerancia,"Sim","Não"),"")</f>
        <v>0</v>
      </c>
      <c r="N922" s="26">
        <f>IF(A922="","",MES!D922)</f>
        <v>0</v>
      </c>
      <c r="O922" s="25">
        <f>IF(K922="Válida",A922,NA())</f>
        <v>0</v>
      </c>
      <c r="P922" s="27">
        <f>IF(K922="Válida",C922,NA())</f>
        <v>0</v>
      </c>
      <c r="Q922" s="27">
        <f>IF(K922="Válida",I922,NA())</f>
        <v>0</v>
      </c>
      <c r="R922" s="27">
        <f>IF(K922="Válida",J922,NA())</f>
        <v>0</v>
      </c>
      <c r="S922" s="27">
        <f>IF(K922="Válida",C922,"")</f>
        <v>0</v>
      </c>
      <c r="T922" s="27">
        <f>IF(K922="Válida",I922,"")</f>
        <v>0</v>
      </c>
      <c r="U922" s="27">
        <f>IF(K922="Válida",J922,"")</f>
        <v>0</v>
      </c>
    </row>
    <row r="923" spans="1:21">
      <c r="A923" s="25">
        <f>IF(MES!A923="","",MES!C923/48)</f>
        <v>0</v>
      </c>
      <c r="B923" s="26">
        <f>IF(A923="","",TEXT((N923*4+cfgDeslocamento)/48,"hh:mm")&amp;" a "&amp;TEXT(A923,"hh:mm"))</f>
        <v>0</v>
      </c>
      <c r="C923" s="27">
        <f>IF(A923="","",MES!B923)</f>
        <v>0</v>
      </c>
      <c r="D923" s="27">
        <f>IF(A923="","",IFERROR(AVERAGEIFS(Prensa!$B$2:$B$5001,Prensa!$E$2:$E$5001,N923,Prensa!$F$2:$F$5001,1,Prensa!$G$2:$G$5001,1),""))</f>
        <v>0</v>
      </c>
      <c r="E923" s="27">
        <f>IF(A923="","",IFERROR(AVERAGEIFS(Prensa!$B$2:$B$5001,Prensa!$E$2:$E$5001,N923,Prensa!$F$2:$F$5001,2,Prensa!$G$2:$G$5001,1),""))</f>
        <v>0</v>
      </c>
      <c r="F923" s="27">
        <f>IF(A923="","",IFERROR(AVERAGEIFS(Prensa!$B$2:$B$5001,Prensa!$E$2:$E$5001,N923,Prensa!$F$2:$F$5001,3,Prensa!$G$2:$G$5001,1),""))</f>
        <v>0</v>
      </c>
      <c r="G923" s="27">
        <f>IF(A923="","",IFERROR(AVERAGEIFS(Prensa!$B$2:$B$5001,Prensa!$E$2:$E$5001,N923,Prensa!$F$2:$F$5001,4,Prensa!$G$2:$G$5001,1),""))</f>
        <v>0</v>
      </c>
      <c r="H923" s="26">
        <f>IF(A923="","",COUNT(D923:G923))</f>
        <v>0</v>
      </c>
      <c r="I923" s="27">
        <f>IF(A923="","",IF(H923=0,"",AVERAGE(D923:G923)))</f>
        <v>0</v>
      </c>
      <c r="J923" s="27">
        <f>IF(OR(I923="",C923=""),"",I923-C923)</f>
        <v>0</v>
      </c>
      <c r="K923" s="26">
        <f>IF(A923="","",IF(MES!E923&lt;&gt;4,"Horário do MES fora do padrão",IF(H923&lt;cfgMinCortes,"Cortes insuficientes","Válida")))</f>
        <v>0</v>
      </c>
      <c r="L923" s="27">
        <f>IF(K923="Válida",ABS(J923),"")</f>
        <v>0</v>
      </c>
      <c r="M923" s="26">
        <f>IF(K923="Válida",IF(L923&lt;=cfgTolerancia,"Sim","Não"),"")</f>
        <v>0</v>
      </c>
      <c r="N923" s="26">
        <f>IF(A923="","",MES!D923)</f>
        <v>0</v>
      </c>
      <c r="O923" s="25">
        <f>IF(K923="Válida",A923,NA())</f>
        <v>0</v>
      </c>
      <c r="P923" s="27">
        <f>IF(K923="Válida",C923,NA())</f>
        <v>0</v>
      </c>
      <c r="Q923" s="27">
        <f>IF(K923="Válida",I923,NA())</f>
        <v>0</v>
      </c>
      <c r="R923" s="27">
        <f>IF(K923="Válida",J923,NA())</f>
        <v>0</v>
      </c>
      <c r="S923" s="27">
        <f>IF(K923="Válida",C923,"")</f>
        <v>0</v>
      </c>
      <c r="T923" s="27">
        <f>IF(K923="Válida",I923,"")</f>
        <v>0</v>
      </c>
      <c r="U923" s="27">
        <f>IF(K923="Válida",J923,"")</f>
        <v>0</v>
      </c>
    </row>
    <row r="924" spans="1:21">
      <c r="A924" s="25">
        <f>IF(MES!A924="","",MES!C924/48)</f>
        <v>0</v>
      </c>
      <c r="B924" s="26">
        <f>IF(A924="","",TEXT((N924*4+cfgDeslocamento)/48,"hh:mm")&amp;" a "&amp;TEXT(A924,"hh:mm"))</f>
        <v>0</v>
      </c>
      <c r="C924" s="27">
        <f>IF(A924="","",MES!B924)</f>
        <v>0</v>
      </c>
      <c r="D924" s="27">
        <f>IF(A924="","",IFERROR(AVERAGEIFS(Prensa!$B$2:$B$5001,Prensa!$E$2:$E$5001,N924,Prensa!$F$2:$F$5001,1,Prensa!$G$2:$G$5001,1),""))</f>
        <v>0</v>
      </c>
      <c r="E924" s="27">
        <f>IF(A924="","",IFERROR(AVERAGEIFS(Prensa!$B$2:$B$5001,Prensa!$E$2:$E$5001,N924,Prensa!$F$2:$F$5001,2,Prensa!$G$2:$G$5001,1),""))</f>
        <v>0</v>
      </c>
      <c r="F924" s="27">
        <f>IF(A924="","",IFERROR(AVERAGEIFS(Prensa!$B$2:$B$5001,Prensa!$E$2:$E$5001,N924,Prensa!$F$2:$F$5001,3,Prensa!$G$2:$G$5001,1),""))</f>
        <v>0</v>
      </c>
      <c r="G924" s="27">
        <f>IF(A924="","",IFERROR(AVERAGEIFS(Prensa!$B$2:$B$5001,Prensa!$E$2:$E$5001,N924,Prensa!$F$2:$F$5001,4,Prensa!$G$2:$G$5001,1),""))</f>
        <v>0</v>
      </c>
      <c r="H924" s="26">
        <f>IF(A924="","",COUNT(D924:G924))</f>
        <v>0</v>
      </c>
      <c r="I924" s="27">
        <f>IF(A924="","",IF(H924=0,"",AVERAGE(D924:G924)))</f>
        <v>0</v>
      </c>
      <c r="J924" s="27">
        <f>IF(OR(I924="",C924=""),"",I924-C924)</f>
        <v>0</v>
      </c>
      <c r="K924" s="26">
        <f>IF(A924="","",IF(MES!E924&lt;&gt;4,"Horário do MES fora do padrão",IF(H924&lt;cfgMinCortes,"Cortes insuficientes","Válida")))</f>
        <v>0</v>
      </c>
      <c r="L924" s="27">
        <f>IF(K924="Válida",ABS(J924),"")</f>
        <v>0</v>
      </c>
      <c r="M924" s="26">
        <f>IF(K924="Válida",IF(L924&lt;=cfgTolerancia,"Sim","Não"),"")</f>
        <v>0</v>
      </c>
      <c r="N924" s="26">
        <f>IF(A924="","",MES!D924)</f>
        <v>0</v>
      </c>
      <c r="O924" s="25">
        <f>IF(K924="Válida",A924,NA())</f>
        <v>0</v>
      </c>
      <c r="P924" s="27">
        <f>IF(K924="Válida",C924,NA())</f>
        <v>0</v>
      </c>
      <c r="Q924" s="27">
        <f>IF(K924="Válida",I924,NA())</f>
        <v>0</v>
      </c>
      <c r="R924" s="27">
        <f>IF(K924="Válida",J924,NA())</f>
        <v>0</v>
      </c>
      <c r="S924" s="27">
        <f>IF(K924="Válida",C924,"")</f>
        <v>0</v>
      </c>
      <c r="T924" s="27">
        <f>IF(K924="Válida",I924,"")</f>
        <v>0</v>
      </c>
      <c r="U924" s="27">
        <f>IF(K924="Válida",J924,"")</f>
        <v>0</v>
      </c>
    </row>
    <row r="925" spans="1:21">
      <c r="A925" s="25">
        <f>IF(MES!A925="","",MES!C925/48)</f>
        <v>0</v>
      </c>
      <c r="B925" s="26">
        <f>IF(A925="","",TEXT((N925*4+cfgDeslocamento)/48,"hh:mm")&amp;" a "&amp;TEXT(A925,"hh:mm"))</f>
        <v>0</v>
      </c>
      <c r="C925" s="27">
        <f>IF(A925="","",MES!B925)</f>
        <v>0</v>
      </c>
      <c r="D925" s="27">
        <f>IF(A925="","",IFERROR(AVERAGEIFS(Prensa!$B$2:$B$5001,Prensa!$E$2:$E$5001,N925,Prensa!$F$2:$F$5001,1,Prensa!$G$2:$G$5001,1),""))</f>
        <v>0</v>
      </c>
      <c r="E925" s="27">
        <f>IF(A925="","",IFERROR(AVERAGEIFS(Prensa!$B$2:$B$5001,Prensa!$E$2:$E$5001,N925,Prensa!$F$2:$F$5001,2,Prensa!$G$2:$G$5001,1),""))</f>
        <v>0</v>
      </c>
      <c r="F925" s="27">
        <f>IF(A925="","",IFERROR(AVERAGEIFS(Prensa!$B$2:$B$5001,Prensa!$E$2:$E$5001,N925,Prensa!$F$2:$F$5001,3,Prensa!$G$2:$G$5001,1),""))</f>
        <v>0</v>
      </c>
      <c r="G925" s="27">
        <f>IF(A925="","",IFERROR(AVERAGEIFS(Prensa!$B$2:$B$5001,Prensa!$E$2:$E$5001,N925,Prensa!$F$2:$F$5001,4,Prensa!$G$2:$G$5001,1),""))</f>
        <v>0</v>
      </c>
      <c r="H925" s="26">
        <f>IF(A925="","",COUNT(D925:G925))</f>
        <v>0</v>
      </c>
      <c r="I925" s="27">
        <f>IF(A925="","",IF(H925=0,"",AVERAGE(D925:G925)))</f>
        <v>0</v>
      </c>
      <c r="J925" s="27">
        <f>IF(OR(I925="",C925=""),"",I925-C925)</f>
        <v>0</v>
      </c>
      <c r="K925" s="26">
        <f>IF(A925="","",IF(MES!E925&lt;&gt;4,"Horário do MES fora do padrão",IF(H925&lt;cfgMinCortes,"Cortes insuficientes","Válida")))</f>
        <v>0</v>
      </c>
      <c r="L925" s="27">
        <f>IF(K925="Válida",ABS(J925),"")</f>
        <v>0</v>
      </c>
      <c r="M925" s="26">
        <f>IF(K925="Válida",IF(L925&lt;=cfgTolerancia,"Sim","Não"),"")</f>
        <v>0</v>
      </c>
      <c r="N925" s="26">
        <f>IF(A925="","",MES!D925)</f>
        <v>0</v>
      </c>
      <c r="O925" s="25">
        <f>IF(K925="Válida",A925,NA())</f>
        <v>0</v>
      </c>
      <c r="P925" s="27">
        <f>IF(K925="Válida",C925,NA())</f>
        <v>0</v>
      </c>
      <c r="Q925" s="27">
        <f>IF(K925="Válida",I925,NA())</f>
        <v>0</v>
      </c>
      <c r="R925" s="27">
        <f>IF(K925="Válida",J925,NA())</f>
        <v>0</v>
      </c>
      <c r="S925" s="27">
        <f>IF(K925="Válida",C925,"")</f>
        <v>0</v>
      </c>
      <c r="T925" s="27">
        <f>IF(K925="Válida",I925,"")</f>
        <v>0</v>
      </c>
      <c r="U925" s="27">
        <f>IF(K925="Válida",J925,"")</f>
        <v>0</v>
      </c>
    </row>
    <row r="926" spans="1:21">
      <c r="A926" s="25">
        <f>IF(MES!A926="","",MES!C926/48)</f>
        <v>0</v>
      </c>
      <c r="B926" s="26">
        <f>IF(A926="","",TEXT((N926*4+cfgDeslocamento)/48,"hh:mm")&amp;" a "&amp;TEXT(A926,"hh:mm"))</f>
        <v>0</v>
      </c>
      <c r="C926" s="27">
        <f>IF(A926="","",MES!B926)</f>
        <v>0</v>
      </c>
      <c r="D926" s="27">
        <f>IF(A926="","",IFERROR(AVERAGEIFS(Prensa!$B$2:$B$5001,Prensa!$E$2:$E$5001,N926,Prensa!$F$2:$F$5001,1,Prensa!$G$2:$G$5001,1),""))</f>
        <v>0</v>
      </c>
      <c r="E926" s="27">
        <f>IF(A926="","",IFERROR(AVERAGEIFS(Prensa!$B$2:$B$5001,Prensa!$E$2:$E$5001,N926,Prensa!$F$2:$F$5001,2,Prensa!$G$2:$G$5001,1),""))</f>
        <v>0</v>
      </c>
      <c r="F926" s="27">
        <f>IF(A926="","",IFERROR(AVERAGEIFS(Prensa!$B$2:$B$5001,Prensa!$E$2:$E$5001,N926,Prensa!$F$2:$F$5001,3,Prensa!$G$2:$G$5001,1),""))</f>
        <v>0</v>
      </c>
      <c r="G926" s="27">
        <f>IF(A926="","",IFERROR(AVERAGEIFS(Prensa!$B$2:$B$5001,Prensa!$E$2:$E$5001,N926,Prensa!$F$2:$F$5001,4,Prensa!$G$2:$G$5001,1),""))</f>
        <v>0</v>
      </c>
      <c r="H926" s="26">
        <f>IF(A926="","",COUNT(D926:G926))</f>
        <v>0</v>
      </c>
      <c r="I926" s="27">
        <f>IF(A926="","",IF(H926=0,"",AVERAGE(D926:G926)))</f>
        <v>0</v>
      </c>
      <c r="J926" s="27">
        <f>IF(OR(I926="",C926=""),"",I926-C926)</f>
        <v>0</v>
      </c>
      <c r="K926" s="26">
        <f>IF(A926="","",IF(MES!E926&lt;&gt;4,"Horário do MES fora do padrão",IF(H926&lt;cfgMinCortes,"Cortes insuficientes","Válida")))</f>
        <v>0</v>
      </c>
      <c r="L926" s="27">
        <f>IF(K926="Válida",ABS(J926),"")</f>
        <v>0</v>
      </c>
      <c r="M926" s="26">
        <f>IF(K926="Válida",IF(L926&lt;=cfgTolerancia,"Sim","Não"),"")</f>
        <v>0</v>
      </c>
      <c r="N926" s="26">
        <f>IF(A926="","",MES!D926)</f>
        <v>0</v>
      </c>
      <c r="O926" s="25">
        <f>IF(K926="Válida",A926,NA())</f>
        <v>0</v>
      </c>
      <c r="P926" s="27">
        <f>IF(K926="Válida",C926,NA())</f>
        <v>0</v>
      </c>
      <c r="Q926" s="27">
        <f>IF(K926="Válida",I926,NA())</f>
        <v>0</v>
      </c>
      <c r="R926" s="27">
        <f>IF(K926="Válida",J926,NA())</f>
        <v>0</v>
      </c>
      <c r="S926" s="27">
        <f>IF(K926="Válida",C926,"")</f>
        <v>0</v>
      </c>
      <c r="T926" s="27">
        <f>IF(K926="Válida",I926,"")</f>
        <v>0</v>
      </c>
      <c r="U926" s="27">
        <f>IF(K926="Válida",J926,"")</f>
        <v>0</v>
      </c>
    </row>
    <row r="927" spans="1:21">
      <c r="A927" s="25">
        <f>IF(MES!A927="","",MES!C927/48)</f>
        <v>0</v>
      </c>
      <c r="B927" s="26">
        <f>IF(A927="","",TEXT((N927*4+cfgDeslocamento)/48,"hh:mm")&amp;" a "&amp;TEXT(A927,"hh:mm"))</f>
        <v>0</v>
      </c>
      <c r="C927" s="27">
        <f>IF(A927="","",MES!B927)</f>
        <v>0</v>
      </c>
      <c r="D927" s="27">
        <f>IF(A927="","",IFERROR(AVERAGEIFS(Prensa!$B$2:$B$5001,Prensa!$E$2:$E$5001,N927,Prensa!$F$2:$F$5001,1,Prensa!$G$2:$G$5001,1),""))</f>
        <v>0</v>
      </c>
      <c r="E927" s="27">
        <f>IF(A927="","",IFERROR(AVERAGEIFS(Prensa!$B$2:$B$5001,Prensa!$E$2:$E$5001,N927,Prensa!$F$2:$F$5001,2,Prensa!$G$2:$G$5001,1),""))</f>
        <v>0</v>
      </c>
      <c r="F927" s="27">
        <f>IF(A927="","",IFERROR(AVERAGEIFS(Prensa!$B$2:$B$5001,Prensa!$E$2:$E$5001,N927,Prensa!$F$2:$F$5001,3,Prensa!$G$2:$G$5001,1),""))</f>
        <v>0</v>
      </c>
      <c r="G927" s="27">
        <f>IF(A927="","",IFERROR(AVERAGEIFS(Prensa!$B$2:$B$5001,Prensa!$E$2:$E$5001,N927,Prensa!$F$2:$F$5001,4,Prensa!$G$2:$G$5001,1),""))</f>
        <v>0</v>
      </c>
      <c r="H927" s="26">
        <f>IF(A927="","",COUNT(D927:G927))</f>
        <v>0</v>
      </c>
      <c r="I927" s="27">
        <f>IF(A927="","",IF(H927=0,"",AVERAGE(D927:G927)))</f>
        <v>0</v>
      </c>
      <c r="J927" s="27">
        <f>IF(OR(I927="",C927=""),"",I927-C927)</f>
        <v>0</v>
      </c>
      <c r="K927" s="26">
        <f>IF(A927="","",IF(MES!E927&lt;&gt;4,"Horário do MES fora do padrão",IF(H927&lt;cfgMinCortes,"Cortes insuficientes","Válida")))</f>
        <v>0</v>
      </c>
      <c r="L927" s="27">
        <f>IF(K927="Válida",ABS(J927),"")</f>
        <v>0</v>
      </c>
      <c r="M927" s="26">
        <f>IF(K927="Válida",IF(L927&lt;=cfgTolerancia,"Sim","Não"),"")</f>
        <v>0</v>
      </c>
      <c r="N927" s="26">
        <f>IF(A927="","",MES!D927)</f>
        <v>0</v>
      </c>
      <c r="O927" s="25">
        <f>IF(K927="Válida",A927,NA())</f>
        <v>0</v>
      </c>
      <c r="P927" s="27">
        <f>IF(K927="Válida",C927,NA())</f>
        <v>0</v>
      </c>
      <c r="Q927" s="27">
        <f>IF(K927="Válida",I927,NA())</f>
        <v>0</v>
      </c>
      <c r="R927" s="27">
        <f>IF(K927="Válida",J927,NA())</f>
        <v>0</v>
      </c>
      <c r="S927" s="27">
        <f>IF(K927="Válida",C927,"")</f>
        <v>0</v>
      </c>
      <c r="T927" s="27">
        <f>IF(K927="Válida",I927,"")</f>
        <v>0</v>
      </c>
      <c r="U927" s="27">
        <f>IF(K927="Válida",J927,"")</f>
        <v>0</v>
      </c>
    </row>
    <row r="928" spans="1:21">
      <c r="A928" s="25">
        <f>IF(MES!A928="","",MES!C928/48)</f>
        <v>0</v>
      </c>
      <c r="B928" s="26">
        <f>IF(A928="","",TEXT((N928*4+cfgDeslocamento)/48,"hh:mm")&amp;" a "&amp;TEXT(A928,"hh:mm"))</f>
        <v>0</v>
      </c>
      <c r="C928" s="27">
        <f>IF(A928="","",MES!B928)</f>
        <v>0</v>
      </c>
      <c r="D928" s="27">
        <f>IF(A928="","",IFERROR(AVERAGEIFS(Prensa!$B$2:$B$5001,Prensa!$E$2:$E$5001,N928,Prensa!$F$2:$F$5001,1,Prensa!$G$2:$G$5001,1),""))</f>
        <v>0</v>
      </c>
      <c r="E928" s="27">
        <f>IF(A928="","",IFERROR(AVERAGEIFS(Prensa!$B$2:$B$5001,Prensa!$E$2:$E$5001,N928,Prensa!$F$2:$F$5001,2,Prensa!$G$2:$G$5001,1),""))</f>
        <v>0</v>
      </c>
      <c r="F928" s="27">
        <f>IF(A928="","",IFERROR(AVERAGEIFS(Prensa!$B$2:$B$5001,Prensa!$E$2:$E$5001,N928,Prensa!$F$2:$F$5001,3,Prensa!$G$2:$G$5001,1),""))</f>
        <v>0</v>
      </c>
      <c r="G928" s="27">
        <f>IF(A928="","",IFERROR(AVERAGEIFS(Prensa!$B$2:$B$5001,Prensa!$E$2:$E$5001,N928,Prensa!$F$2:$F$5001,4,Prensa!$G$2:$G$5001,1),""))</f>
        <v>0</v>
      </c>
      <c r="H928" s="26">
        <f>IF(A928="","",COUNT(D928:G928))</f>
        <v>0</v>
      </c>
      <c r="I928" s="27">
        <f>IF(A928="","",IF(H928=0,"",AVERAGE(D928:G928)))</f>
        <v>0</v>
      </c>
      <c r="J928" s="27">
        <f>IF(OR(I928="",C928=""),"",I928-C928)</f>
        <v>0</v>
      </c>
      <c r="K928" s="26">
        <f>IF(A928="","",IF(MES!E928&lt;&gt;4,"Horário do MES fora do padrão",IF(H928&lt;cfgMinCortes,"Cortes insuficientes","Válida")))</f>
        <v>0</v>
      </c>
      <c r="L928" s="27">
        <f>IF(K928="Válida",ABS(J928),"")</f>
        <v>0</v>
      </c>
      <c r="M928" s="26">
        <f>IF(K928="Válida",IF(L928&lt;=cfgTolerancia,"Sim","Não"),"")</f>
        <v>0</v>
      </c>
      <c r="N928" s="26">
        <f>IF(A928="","",MES!D928)</f>
        <v>0</v>
      </c>
      <c r="O928" s="25">
        <f>IF(K928="Válida",A928,NA())</f>
        <v>0</v>
      </c>
      <c r="P928" s="27">
        <f>IF(K928="Válida",C928,NA())</f>
        <v>0</v>
      </c>
      <c r="Q928" s="27">
        <f>IF(K928="Válida",I928,NA())</f>
        <v>0</v>
      </c>
      <c r="R928" s="27">
        <f>IF(K928="Válida",J928,NA())</f>
        <v>0</v>
      </c>
      <c r="S928" s="27">
        <f>IF(K928="Válida",C928,"")</f>
        <v>0</v>
      </c>
      <c r="T928" s="27">
        <f>IF(K928="Válida",I928,"")</f>
        <v>0</v>
      </c>
      <c r="U928" s="27">
        <f>IF(K928="Válida",J928,"")</f>
        <v>0</v>
      </c>
    </row>
    <row r="929" spans="1:21">
      <c r="A929" s="25">
        <f>IF(MES!A929="","",MES!C929/48)</f>
        <v>0</v>
      </c>
      <c r="B929" s="26">
        <f>IF(A929="","",TEXT((N929*4+cfgDeslocamento)/48,"hh:mm")&amp;" a "&amp;TEXT(A929,"hh:mm"))</f>
        <v>0</v>
      </c>
      <c r="C929" s="27">
        <f>IF(A929="","",MES!B929)</f>
        <v>0</v>
      </c>
      <c r="D929" s="27">
        <f>IF(A929="","",IFERROR(AVERAGEIFS(Prensa!$B$2:$B$5001,Prensa!$E$2:$E$5001,N929,Prensa!$F$2:$F$5001,1,Prensa!$G$2:$G$5001,1),""))</f>
        <v>0</v>
      </c>
      <c r="E929" s="27">
        <f>IF(A929="","",IFERROR(AVERAGEIFS(Prensa!$B$2:$B$5001,Prensa!$E$2:$E$5001,N929,Prensa!$F$2:$F$5001,2,Prensa!$G$2:$G$5001,1),""))</f>
        <v>0</v>
      </c>
      <c r="F929" s="27">
        <f>IF(A929="","",IFERROR(AVERAGEIFS(Prensa!$B$2:$B$5001,Prensa!$E$2:$E$5001,N929,Prensa!$F$2:$F$5001,3,Prensa!$G$2:$G$5001,1),""))</f>
        <v>0</v>
      </c>
      <c r="G929" s="27">
        <f>IF(A929="","",IFERROR(AVERAGEIFS(Prensa!$B$2:$B$5001,Prensa!$E$2:$E$5001,N929,Prensa!$F$2:$F$5001,4,Prensa!$G$2:$G$5001,1),""))</f>
        <v>0</v>
      </c>
      <c r="H929" s="26">
        <f>IF(A929="","",COUNT(D929:G929))</f>
        <v>0</v>
      </c>
      <c r="I929" s="27">
        <f>IF(A929="","",IF(H929=0,"",AVERAGE(D929:G929)))</f>
        <v>0</v>
      </c>
      <c r="J929" s="27">
        <f>IF(OR(I929="",C929=""),"",I929-C929)</f>
        <v>0</v>
      </c>
      <c r="K929" s="26">
        <f>IF(A929="","",IF(MES!E929&lt;&gt;4,"Horário do MES fora do padrão",IF(H929&lt;cfgMinCortes,"Cortes insuficientes","Válida")))</f>
        <v>0</v>
      </c>
      <c r="L929" s="27">
        <f>IF(K929="Válida",ABS(J929),"")</f>
        <v>0</v>
      </c>
      <c r="M929" s="26">
        <f>IF(K929="Válida",IF(L929&lt;=cfgTolerancia,"Sim","Não"),"")</f>
        <v>0</v>
      </c>
      <c r="N929" s="26">
        <f>IF(A929="","",MES!D929)</f>
        <v>0</v>
      </c>
      <c r="O929" s="25">
        <f>IF(K929="Válida",A929,NA())</f>
        <v>0</v>
      </c>
      <c r="P929" s="27">
        <f>IF(K929="Válida",C929,NA())</f>
        <v>0</v>
      </c>
      <c r="Q929" s="27">
        <f>IF(K929="Válida",I929,NA())</f>
        <v>0</v>
      </c>
      <c r="R929" s="27">
        <f>IF(K929="Válida",J929,NA())</f>
        <v>0</v>
      </c>
      <c r="S929" s="27">
        <f>IF(K929="Válida",C929,"")</f>
        <v>0</v>
      </c>
      <c r="T929" s="27">
        <f>IF(K929="Válida",I929,"")</f>
        <v>0</v>
      </c>
      <c r="U929" s="27">
        <f>IF(K929="Válida",J929,"")</f>
        <v>0</v>
      </c>
    </row>
    <row r="930" spans="1:21">
      <c r="A930" s="25">
        <f>IF(MES!A930="","",MES!C930/48)</f>
        <v>0</v>
      </c>
      <c r="B930" s="26">
        <f>IF(A930="","",TEXT((N930*4+cfgDeslocamento)/48,"hh:mm")&amp;" a "&amp;TEXT(A930,"hh:mm"))</f>
        <v>0</v>
      </c>
      <c r="C930" s="27">
        <f>IF(A930="","",MES!B930)</f>
        <v>0</v>
      </c>
      <c r="D930" s="27">
        <f>IF(A930="","",IFERROR(AVERAGEIFS(Prensa!$B$2:$B$5001,Prensa!$E$2:$E$5001,N930,Prensa!$F$2:$F$5001,1,Prensa!$G$2:$G$5001,1),""))</f>
        <v>0</v>
      </c>
      <c r="E930" s="27">
        <f>IF(A930="","",IFERROR(AVERAGEIFS(Prensa!$B$2:$B$5001,Prensa!$E$2:$E$5001,N930,Prensa!$F$2:$F$5001,2,Prensa!$G$2:$G$5001,1),""))</f>
        <v>0</v>
      </c>
      <c r="F930" s="27">
        <f>IF(A930="","",IFERROR(AVERAGEIFS(Prensa!$B$2:$B$5001,Prensa!$E$2:$E$5001,N930,Prensa!$F$2:$F$5001,3,Prensa!$G$2:$G$5001,1),""))</f>
        <v>0</v>
      </c>
      <c r="G930" s="27">
        <f>IF(A930="","",IFERROR(AVERAGEIFS(Prensa!$B$2:$B$5001,Prensa!$E$2:$E$5001,N930,Prensa!$F$2:$F$5001,4,Prensa!$G$2:$G$5001,1),""))</f>
        <v>0</v>
      </c>
      <c r="H930" s="26">
        <f>IF(A930="","",COUNT(D930:G930))</f>
        <v>0</v>
      </c>
      <c r="I930" s="27">
        <f>IF(A930="","",IF(H930=0,"",AVERAGE(D930:G930)))</f>
        <v>0</v>
      </c>
      <c r="J930" s="27">
        <f>IF(OR(I930="",C930=""),"",I930-C930)</f>
        <v>0</v>
      </c>
      <c r="K930" s="26">
        <f>IF(A930="","",IF(MES!E930&lt;&gt;4,"Horário do MES fora do padrão",IF(H930&lt;cfgMinCortes,"Cortes insuficientes","Válida")))</f>
        <v>0</v>
      </c>
      <c r="L930" s="27">
        <f>IF(K930="Válida",ABS(J930),"")</f>
        <v>0</v>
      </c>
      <c r="M930" s="26">
        <f>IF(K930="Válida",IF(L930&lt;=cfgTolerancia,"Sim","Não"),"")</f>
        <v>0</v>
      </c>
      <c r="N930" s="26">
        <f>IF(A930="","",MES!D930)</f>
        <v>0</v>
      </c>
      <c r="O930" s="25">
        <f>IF(K930="Válida",A930,NA())</f>
        <v>0</v>
      </c>
      <c r="P930" s="27">
        <f>IF(K930="Válida",C930,NA())</f>
        <v>0</v>
      </c>
      <c r="Q930" s="27">
        <f>IF(K930="Válida",I930,NA())</f>
        <v>0</v>
      </c>
      <c r="R930" s="27">
        <f>IF(K930="Válida",J930,NA())</f>
        <v>0</v>
      </c>
      <c r="S930" s="27">
        <f>IF(K930="Válida",C930,"")</f>
        <v>0</v>
      </c>
      <c r="T930" s="27">
        <f>IF(K930="Válida",I930,"")</f>
        <v>0</v>
      </c>
      <c r="U930" s="27">
        <f>IF(K930="Válida",J930,"")</f>
        <v>0</v>
      </c>
    </row>
    <row r="931" spans="1:21">
      <c r="A931" s="25">
        <f>IF(MES!A931="","",MES!C931/48)</f>
        <v>0</v>
      </c>
      <c r="B931" s="26">
        <f>IF(A931="","",TEXT((N931*4+cfgDeslocamento)/48,"hh:mm")&amp;" a "&amp;TEXT(A931,"hh:mm"))</f>
        <v>0</v>
      </c>
      <c r="C931" s="27">
        <f>IF(A931="","",MES!B931)</f>
        <v>0</v>
      </c>
      <c r="D931" s="27">
        <f>IF(A931="","",IFERROR(AVERAGEIFS(Prensa!$B$2:$B$5001,Prensa!$E$2:$E$5001,N931,Prensa!$F$2:$F$5001,1,Prensa!$G$2:$G$5001,1),""))</f>
        <v>0</v>
      </c>
      <c r="E931" s="27">
        <f>IF(A931="","",IFERROR(AVERAGEIFS(Prensa!$B$2:$B$5001,Prensa!$E$2:$E$5001,N931,Prensa!$F$2:$F$5001,2,Prensa!$G$2:$G$5001,1),""))</f>
        <v>0</v>
      </c>
      <c r="F931" s="27">
        <f>IF(A931="","",IFERROR(AVERAGEIFS(Prensa!$B$2:$B$5001,Prensa!$E$2:$E$5001,N931,Prensa!$F$2:$F$5001,3,Prensa!$G$2:$G$5001,1),""))</f>
        <v>0</v>
      </c>
      <c r="G931" s="27">
        <f>IF(A931="","",IFERROR(AVERAGEIFS(Prensa!$B$2:$B$5001,Prensa!$E$2:$E$5001,N931,Prensa!$F$2:$F$5001,4,Prensa!$G$2:$G$5001,1),""))</f>
        <v>0</v>
      </c>
      <c r="H931" s="26">
        <f>IF(A931="","",COUNT(D931:G931))</f>
        <v>0</v>
      </c>
      <c r="I931" s="27">
        <f>IF(A931="","",IF(H931=0,"",AVERAGE(D931:G931)))</f>
        <v>0</v>
      </c>
      <c r="J931" s="27">
        <f>IF(OR(I931="",C931=""),"",I931-C931)</f>
        <v>0</v>
      </c>
      <c r="K931" s="26">
        <f>IF(A931="","",IF(MES!E931&lt;&gt;4,"Horário do MES fora do padrão",IF(H931&lt;cfgMinCortes,"Cortes insuficientes","Válida")))</f>
        <v>0</v>
      </c>
      <c r="L931" s="27">
        <f>IF(K931="Válida",ABS(J931),"")</f>
        <v>0</v>
      </c>
      <c r="M931" s="26">
        <f>IF(K931="Válida",IF(L931&lt;=cfgTolerancia,"Sim","Não"),"")</f>
        <v>0</v>
      </c>
      <c r="N931" s="26">
        <f>IF(A931="","",MES!D931)</f>
        <v>0</v>
      </c>
      <c r="O931" s="25">
        <f>IF(K931="Válida",A931,NA())</f>
        <v>0</v>
      </c>
      <c r="P931" s="27">
        <f>IF(K931="Válida",C931,NA())</f>
        <v>0</v>
      </c>
      <c r="Q931" s="27">
        <f>IF(K931="Válida",I931,NA())</f>
        <v>0</v>
      </c>
      <c r="R931" s="27">
        <f>IF(K931="Válida",J931,NA())</f>
        <v>0</v>
      </c>
      <c r="S931" s="27">
        <f>IF(K931="Válida",C931,"")</f>
        <v>0</v>
      </c>
      <c r="T931" s="27">
        <f>IF(K931="Válida",I931,"")</f>
        <v>0</v>
      </c>
      <c r="U931" s="27">
        <f>IF(K931="Válida",J931,"")</f>
        <v>0</v>
      </c>
    </row>
    <row r="932" spans="1:21">
      <c r="A932" s="25">
        <f>IF(MES!A932="","",MES!C932/48)</f>
        <v>0</v>
      </c>
      <c r="B932" s="26">
        <f>IF(A932="","",TEXT((N932*4+cfgDeslocamento)/48,"hh:mm")&amp;" a "&amp;TEXT(A932,"hh:mm"))</f>
        <v>0</v>
      </c>
      <c r="C932" s="27">
        <f>IF(A932="","",MES!B932)</f>
        <v>0</v>
      </c>
      <c r="D932" s="27">
        <f>IF(A932="","",IFERROR(AVERAGEIFS(Prensa!$B$2:$B$5001,Prensa!$E$2:$E$5001,N932,Prensa!$F$2:$F$5001,1,Prensa!$G$2:$G$5001,1),""))</f>
        <v>0</v>
      </c>
      <c r="E932" s="27">
        <f>IF(A932="","",IFERROR(AVERAGEIFS(Prensa!$B$2:$B$5001,Prensa!$E$2:$E$5001,N932,Prensa!$F$2:$F$5001,2,Prensa!$G$2:$G$5001,1),""))</f>
        <v>0</v>
      </c>
      <c r="F932" s="27">
        <f>IF(A932="","",IFERROR(AVERAGEIFS(Prensa!$B$2:$B$5001,Prensa!$E$2:$E$5001,N932,Prensa!$F$2:$F$5001,3,Prensa!$G$2:$G$5001,1),""))</f>
        <v>0</v>
      </c>
      <c r="G932" s="27">
        <f>IF(A932="","",IFERROR(AVERAGEIFS(Prensa!$B$2:$B$5001,Prensa!$E$2:$E$5001,N932,Prensa!$F$2:$F$5001,4,Prensa!$G$2:$G$5001,1),""))</f>
        <v>0</v>
      </c>
      <c r="H932" s="26">
        <f>IF(A932="","",COUNT(D932:G932))</f>
        <v>0</v>
      </c>
      <c r="I932" s="27">
        <f>IF(A932="","",IF(H932=0,"",AVERAGE(D932:G932)))</f>
        <v>0</v>
      </c>
      <c r="J932" s="27">
        <f>IF(OR(I932="",C932=""),"",I932-C932)</f>
        <v>0</v>
      </c>
      <c r="K932" s="26">
        <f>IF(A932="","",IF(MES!E932&lt;&gt;4,"Horário do MES fora do padrão",IF(H932&lt;cfgMinCortes,"Cortes insuficientes","Válida")))</f>
        <v>0</v>
      </c>
      <c r="L932" s="27">
        <f>IF(K932="Válida",ABS(J932),"")</f>
        <v>0</v>
      </c>
      <c r="M932" s="26">
        <f>IF(K932="Válida",IF(L932&lt;=cfgTolerancia,"Sim","Não"),"")</f>
        <v>0</v>
      </c>
      <c r="N932" s="26">
        <f>IF(A932="","",MES!D932)</f>
        <v>0</v>
      </c>
      <c r="O932" s="25">
        <f>IF(K932="Válida",A932,NA())</f>
        <v>0</v>
      </c>
      <c r="P932" s="27">
        <f>IF(K932="Válida",C932,NA())</f>
        <v>0</v>
      </c>
      <c r="Q932" s="27">
        <f>IF(K932="Válida",I932,NA())</f>
        <v>0</v>
      </c>
      <c r="R932" s="27">
        <f>IF(K932="Válida",J932,NA())</f>
        <v>0</v>
      </c>
      <c r="S932" s="27">
        <f>IF(K932="Válida",C932,"")</f>
        <v>0</v>
      </c>
      <c r="T932" s="27">
        <f>IF(K932="Válida",I932,"")</f>
        <v>0</v>
      </c>
      <c r="U932" s="27">
        <f>IF(K932="Válida",J932,"")</f>
        <v>0</v>
      </c>
    </row>
    <row r="933" spans="1:21">
      <c r="A933" s="25">
        <f>IF(MES!A933="","",MES!C933/48)</f>
        <v>0</v>
      </c>
      <c r="B933" s="26">
        <f>IF(A933="","",TEXT((N933*4+cfgDeslocamento)/48,"hh:mm")&amp;" a "&amp;TEXT(A933,"hh:mm"))</f>
        <v>0</v>
      </c>
      <c r="C933" s="27">
        <f>IF(A933="","",MES!B933)</f>
        <v>0</v>
      </c>
      <c r="D933" s="27">
        <f>IF(A933="","",IFERROR(AVERAGEIFS(Prensa!$B$2:$B$5001,Prensa!$E$2:$E$5001,N933,Prensa!$F$2:$F$5001,1,Prensa!$G$2:$G$5001,1),""))</f>
        <v>0</v>
      </c>
      <c r="E933" s="27">
        <f>IF(A933="","",IFERROR(AVERAGEIFS(Prensa!$B$2:$B$5001,Prensa!$E$2:$E$5001,N933,Prensa!$F$2:$F$5001,2,Prensa!$G$2:$G$5001,1),""))</f>
        <v>0</v>
      </c>
      <c r="F933" s="27">
        <f>IF(A933="","",IFERROR(AVERAGEIFS(Prensa!$B$2:$B$5001,Prensa!$E$2:$E$5001,N933,Prensa!$F$2:$F$5001,3,Prensa!$G$2:$G$5001,1),""))</f>
        <v>0</v>
      </c>
      <c r="G933" s="27">
        <f>IF(A933="","",IFERROR(AVERAGEIFS(Prensa!$B$2:$B$5001,Prensa!$E$2:$E$5001,N933,Prensa!$F$2:$F$5001,4,Prensa!$G$2:$G$5001,1),""))</f>
        <v>0</v>
      </c>
      <c r="H933" s="26">
        <f>IF(A933="","",COUNT(D933:G933))</f>
        <v>0</v>
      </c>
      <c r="I933" s="27">
        <f>IF(A933="","",IF(H933=0,"",AVERAGE(D933:G933)))</f>
        <v>0</v>
      </c>
      <c r="J933" s="27">
        <f>IF(OR(I933="",C933=""),"",I933-C933)</f>
        <v>0</v>
      </c>
      <c r="K933" s="26">
        <f>IF(A933="","",IF(MES!E933&lt;&gt;4,"Horário do MES fora do padrão",IF(H933&lt;cfgMinCortes,"Cortes insuficientes","Válida")))</f>
        <v>0</v>
      </c>
      <c r="L933" s="27">
        <f>IF(K933="Válida",ABS(J933),"")</f>
        <v>0</v>
      </c>
      <c r="M933" s="26">
        <f>IF(K933="Válida",IF(L933&lt;=cfgTolerancia,"Sim","Não"),"")</f>
        <v>0</v>
      </c>
      <c r="N933" s="26">
        <f>IF(A933="","",MES!D933)</f>
        <v>0</v>
      </c>
      <c r="O933" s="25">
        <f>IF(K933="Válida",A933,NA())</f>
        <v>0</v>
      </c>
      <c r="P933" s="27">
        <f>IF(K933="Válida",C933,NA())</f>
        <v>0</v>
      </c>
      <c r="Q933" s="27">
        <f>IF(K933="Válida",I933,NA())</f>
        <v>0</v>
      </c>
      <c r="R933" s="27">
        <f>IF(K933="Válida",J933,NA())</f>
        <v>0</v>
      </c>
      <c r="S933" s="27">
        <f>IF(K933="Válida",C933,"")</f>
        <v>0</v>
      </c>
      <c r="T933" s="27">
        <f>IF(K933="Válida",I933,"")</f>
        <v>0</v>
      </c>
      <c r="U933" s="27">
        <f>IF(K933="Válida",J933,"")</f>
        <v>0</v>
      </c>
    </row>
    <row r="934" spans="1:21">
      <c r="A934" s="25">
        <f>IF(MES!A934="","",MES!C934/48)</f>
        <v>0</v>
      </c>
      <c r="B934" s="26">
        <f>IF(A934="","",TEXT((N934*4+cfgDeslocamento)/48,"hh:mm")&amp;" a "&amp;TEXT(A934,"hh:mm"))</f>
        <v>0</v>
      </c>
      <c r="C934" s="27">
        <f>IF(A934="","",MES!B934)</f>
        <v>0</v>
      </c>
      <c r="D934" s="27">
        <f>IF(A934="","",IFERROR(AVERAGEIFS(Prensa!$B$2:$B$5001,Prensa!$E$2:$E$5001,N934,Prensa!$F$2:$F$5001,1,Prensa!$G$2:$G$5001,1),""))</f>
        <v>0</v>
      </c>
      <c r="E934" s="27">
        <f>IF(A934="","",IFERROR(AVERAGEIFS(Prensa!$B$2:$B$5001,Prensa!$E$2:$E$5001,N934,Prensa!$F$2:$F$5001,2,Prensa!$G$2:$G$5001,1),""))</f>
        <v>0</v>
      </c>
      <c r="F934" s="27">
        <f>IF(A934="","",IFERROR(AVERAGEIFS(Prensa!$B$2:$B$5001,Prensa!$E$2:$E$5001,N934,Prensa!$F$2:$F$5001,3,Prensa!$G$2:$G$5001,1),""))</f>
        <v>0</v>
      </c>
      <c r="G934" s="27">
        <f>IF(A934="","",IFERROR(AVERAGEIFS(Prensa!$B$2:$B$5001,Prensa!$E$2:$E$5001,N934,Prensa!$F$2:$F$5001,4,Prensa!$G$2:$G$5001,1),""))</f>
        <v>0</v>
      </c>
      <c r="H934" s="26">
        <f>IF(A934="","",COUNT(D934:G934))</f>
        <v>0</v>
      </c>
      <c r="I934" s="27">
        <f>IF(A934="","",IF(H934=0,"",AVERAGE(D934:G934)))</f>
        <v>0</v>
      </c>
      <c r="J934" s="27">
        <f>IF(OR(I934="",C934=""),"",I934-C934)</f>
        <v>0</v>
      </c>
      <c r="K934" s="26">
        <f>IF(A934="","",IF(MES!E934&lt;&gt;4,"Horário do MES fora do padrão",IF(H934&lt;cfgMinCortes,"Cortes insuficientes","Válida")))</f>
        <v>0</v>
      </c>
      <c r="L934" s="27">
        <f>IF(K934="Válida",ABS(J934),"")</f>
        <v>0</v>
      </c>
      <c r="M934" s="26">
        <f>IF(K934="Válida",IF(L934&lt;=cfgTolerancia,"Sim","Não"),"")</f>
        <v>0</v>
      </c>
      <c r="N934" s="26">
        <f>IF(A934="","",MES!D934)</f>
        <v>0</v>
      </c>
      <c r="O934" s="25">
        <f>IF(K934="Válida",A934,NA())</f>
        <v>0</v>
      </c>
      <c r="P934" s="27">
        <f>IF(K934="Válida",C934,NA())</f>
        <v>0</v>
      </c>
      <c r="Q934" s="27">
        <f>IF(K934="Válida",I934,NA())</f>
        <v>0</v>
      </c>
      <c r="R934" s="27">
        <f>IF(K934="Válida",J934,NA())</f>
        <v>0</v>
      </c>
      <c r="S934" s="27">
        <f>IF(K934="Válida",C934,"")</f>
        <v>0</v>
      </c>
      <c r="T934" s="27">
        <f>IF(K934="Válida",I934,"")</f>
        <v>0</v>
      </c>
      <c r="U934" s="27">
        <f>IF(K934="Válida",J934,"")</f>
        <v>0</v>
      </c>
    </row>
    <row r="935" spans="1:21">
      <c r="A935" s="25">
        <f>IF(MES!A935="","",MES!C935/48)</f>
        <v>0</v>
      </c>
      <c r="B935" s="26">
        <f>IF(A935="","",TEXT((N935*4+cfgDeslocamento)/48,"hh:mm")&amp;" a "&amp;TEXT(A935,"hh:mm"))</f>
        <v>0</v>
      </c>
      <c r="C935" s="27">
        <f>IF(A935="","",MES!B935)</f>
        <v>0</v>
      </c>
      <c r="D935" s="27">
        <f>IF(A935="","",IFERROR(AVERAGEIFS(Prensa!$B$2:$B$5001,Prensa!$E$2:$E$5001,N935,Prensa!$F$2:$F$5001,1,Prensa!$G$2:$G$5001,1),""))</f>
        <v>0</v>
      </c>
      <c r="E935" s="27">
        <f>IF(A935="","",IFERROR(AVERAGEIFS(Prensa!$B$2:$B$5001,Prensa!$E$2:$E$5001,N935,Prensa!$F$2:$F$5001,2,Prensa!$G$2:$G$5001,1),""))</f>
        <v>0</v>
      </c>
      <c r="F935" s="27">
        <f>IF(A935="","",IFERROR(AVERAGEIFS(Prensa!$B$2:$B$5001,Prensa!$E$2:$E$5001,N935,Prensa!$F$2:$F$5001,3,Prensa!$G$2:$G$5001,1),""))</f>
        <v>0</v>
      </c>
      <c r="G935" s="27">
        <f>IF(A935="","",IFERROR(AVERAGEIFS(Prensa!$B$2:$B$5001,Prensa!$E$2:$E$5001,N935,Prensa!$F$2:$F$5001,4,Prensa!$G$2:$G$5001,1),""))</f>
        <v>0</v>
      </c>
      <c r="H935" s="26">
        <f>IF(A935="","",COUNT(D935:G935))</f>
        <v>0</v>
      </c>
      <c r="I935" s="27">
        <f>IF(A935="","",IF(H935=0,"",AVERAGE(D935:G935)))</f>
        <v>0</v>
      </c>
      <c r="J935" s="27">
        <f>IF(OR(I935="",C935=""),"",I935-C935)</f>
        <v>0</v>
      </c>
      <c r="K935" s="26">
        <f>IF(A935="","",IF(MES!E935&lt;&gt;4,"Horário do MES fora do padrão",IF(H935&lt;cfgMinCortes,"Cortes insuficientes","Válida")))</f>
        <v>0</v>
      </c>
      <c r="L935" s="27">
        <f>IF(K935="Válida",ABS(J935),"")</f>
        <v>0</v>
      </c>
      <c r="M935" s="26">
        <f>IF(K935="Válida",IF(L935&lt;=cfgTolerancia,"Sim","Não"),"")</f>
        <v>0</v>
      </c>
      <c r="N935" s="26">
        <f>IF(A935="","",MES!D935)</f>
        <v>0</v>
      </c>
      <c r="O935" s="25">
        <f>IF(K935="Válida",A935,NA())</f>
        <v>0</v>
      </c>
      <c r="P935" s="27">
        <f>IF(K935="Válida",C935,NA())</f>
        <v>0</v>
      </c>
      <c r="Q935" s="27">
        <f>IF(K935="Válida",I935,NA())</f>
        <v>0</v>
      </c>
      <c r="R935" s="27">
        <f>IF(K935="Válida",J935,NA())</f>
        <v>0</v>
      </c>
      <c r="S935" s="27">
        <f>IF(K935="Válida",C935,"")</f>
        <v>0</v>
      </c>
      <c r="T935" s="27">
        <f>IF(K935="Válida",I935,"")</f>
        <v>0</v>
      </c>
      <c r="U935" s="27">
        <f>IF(K935="Válida",J935,"")</f>
        <v>0</v>
      </c>
    </row>
    <row r="936" spans="1:21">
      <c r="A936" s="25">
        <f>IF(MES!A936="","",MES!C936/48)</f>
        <v>0</v>
      </c>
      <c r="B936" s="26">
        <f>IF(A936="","",TEXT((N936*4+cfgDeslocamento)/48,"hh:mm")&amp;" a "&amp;TEXT(A936,"hh:mm"))</f>
        <v>0</v>
      </c>
      <c r="C936" s="27">
        <f>IF(A936="","",MES!B936)</f>
        <v>0</v>
      </c>
      <c r="D936" s="27">
        <f>IF(A936="","",IFERROR(AVERAGEIFS(Prensa!$B$2:$B$5001,Prensa!$E$2:$E$5001,N936,Prensa!$F$2:$F$5001,1,Prensa!$G$2:$G$5001,1),""))</f>
        <v>0</v>
      </c>
      <c r="E936" s="27">
        <f>IF(A936="","",IFERROR(AVERAGEIFS(Prensa!$B$2:$B$5001,Prensa!$E$2:$E$5001,N936,Prensa!$F$2:$F$5001,2,Prensa!$G$2:$G$5001,1),""))</f>
        <v>0</v>
      </c>
      <c r="F936" s="27">
        <f>IF(A936="","",IFERROR(AVERAGEIFS(Prensa!$B$2:$B$5001,Prensa!$E$2:$E$5001,N936,Prensa!$F$2:$F$5001,3,Prensa!$G$2:$G$5001,1),""))</f>
        <v>0</v>
      </c>
      <c r="G936" s="27">
        <f>IF(A936="","",IFERROR(AVERAGEIFS(Prensa!$B$2:$B$5001,Prensa!$E$2:$E$5001,N936,Prensa!$F$2:$F$5001,4,Prensa!$G$2:$G$5001,1),""))</f>
        <v>0</v>
      </c>
      <c r="H936" s="26">
        <f>IF(A936="","",COUNT(D936:G936))</f>
        <v>0</v>
      </c>
      <c r="I936" s="27">
        <f>IF(A936="","",IF(H936=0,"",AVERAGE(D936:G936)))</f>
        <v>0</v>
      </c>
      <c r="J936" s="27">
        <f>IF(OR(I936="",C936=""),"",I936-C936)</f>
        <v>0</v>
      </c>
      <c r="K936" s="26">
        <f>IF(A936="","",IF(MES!E936&lt;&gt;4,"Horário do MES fora do padrão",IF(H936&lt;cfgMinCortes,"Cortes insuficientes","Válida")))</f>
        <v>0</v>
      </c>
      <c r="L936" s="27">
        <f>IF(K936="Válida",ABS(J936),"")</f>
        <v>0</v>
      </c>
      <c r="M936" s="26">
        <f>IF(K936="Válida",IF(L936&lt;=cfgTolerancia,"Sim","Não"),"")</f>
        <v>0</v>
      </c>
      <c r="N936" s="26">
        <f>IF(A936="","",MES!D936)</f>
        <v>0</v>
      </c>
      <c r="O936" s="25">
        <f>IF(K936="Válida",A936,NA())</f>
        <v>0</v>
      </c>
      <c r="P936" s="27">
        <f>IF(K936="Válida",C936,NA())</f>
        <v>0</v>
      </c>
      <c r="Q936" s="27">
        <f>IF(K936="Válida",I936,NA())</f>
        <v>0</v>
      </c>
      <c r="R936" s="27">
        <f>IF(K936="Válida",J936,NA())</f>
        <v>0</v>
      </c>
      <c r="S936" s="27">
        <f>IF(K936="Válida",C936,"")</f>
        <v>0</v>
      </c>
      <c r="T936" s="27">
        <f>IF(K936="Válida",I936,"")</f>
        <v>0</v>
      </c>
      <c r="U936" s="27">
        <f>IF(K936="Válida",J936,"")</f>
        <v>0</v>
      </c>
    </row>
    <row r="937" spans="1:21">
      <c r="A937" s="25">
        <f>IF(MES!A937="","",MES!C937/48)</f>
        <v>0</v>
      </c>
      <c r="B937" s="26">
        <f>IF(A937="","",TEXT((N937*4+cfgDeslocamento)/48,"hh:mm")&amp;" a "&amp;TEXT(A937,"hh:mm"))</f>
        <v>0</v>
      </c>
      <c r="C937" s="27">
        <f>IF(A937="","",MES!B937)</f>
        <v>0</v>
      </c>
      <c r="D937" s="27">
        <f>IF(A937="","",IFERROR(AVERAGEIFS(Prensa!$B$2:$B$5001,Prensa!$E$2:$E$5001,N937,Prensa!$F$2:$F$5001,1,Prensa!$G$2:$G$5001,1),""))</f>
        <v>0</v>
      </c>
      <c r="E937" s="27">
        <f>IF(A937="","",IFERROR(AVERAGEIFS(Prensa!$B$2:$B$5001,Prensa!$E$2:$E$5001,N937,Prensa!$F$2:$F$5001,2,Prensa!$G$2:$G$5001,1),""))</f>
        <v>0</v>
      </c>
      <c r="F937" s="27">
        <f>IF(A937="","",IFERROR(AVERAGEIFS(Prensa!$B$2:$B$5001,Prensa!$E$2:$E$5001,N937,Prensa!$F$2:$F$5001,3,Prensa!$G$2:$G$5001,1),""))</f>
        <v>0</v>
      </c>
      <c r="G937" s="27">
        <f>IF(A937="","",IFERROR(AVERAGEIFS(Prensa!$B$2:$B$5001,Prensa!$E$2:$E$5001,N937,Prensa!$F$2:$F$5001,4,Prensa!$G$2:$G$5001,1),""))</f>
        <v>0</v>
      </c>
      <c r="H937" s="26">
        <f>IF(A937="","",COUNT(D937:G937))</f>
        <v>0</v>
      </c>
      <c r="I937" s="27">
        <f>IF(A937="","",IF(H937=0,"",AVERAGE(D937:G937)))</f>
        <v>0</v>
      </c>
      <c r="J937" s="27">
        <f>IF(OR(I937="",C937=""),"",I937-C937)</f>
        <v>0</v>
      </c>
      <c r="K937" s="26">
        <f>IF(A937="","",IF(MES!E937&lt;&gt;4,"Horário do MES fora do padrão",IF(H937&lt;cfgMinCortes,"Cortes insuficientes","Válida")))</f>
        <v>0</v>
      </c>
      <c r="L937" s="27">
        <f>IF(K937="Válida",ABS(J937),"")</f>
        <v>0</v>
      </c>
      <c r="M937" s="26">
        <f>IF(K937="Válida",IF(L937&lt;=cfgTolerancia,"Sim","Não"),"")</f>
        <v>0</v>
      </c>
      <c r="N937" s="26">
        <f>IF(A937="","",MES!D937)</f>
        <v>0</v>
      </c>
      <c r="O937" s="25">
        <f>IF(K937="Válida",A937,NA())</f>
        <v>0</v>
      </c>
      <c r="P937" s="27">
        <f>IF(K937="Válida",C937,NA())</f>
        <v>0</v>
      </c>
      <c r="Q937" s="27">
        <f>IF(K937="Válida",I937,NA())</f>
        <v>0</v>
      </c>
      <c r="R937" s="27">
        <f>IF(K937="Válida",J937,NA())</f>
        <v>0</v>
      </c>
      <c r="S937" s="27">
        <f>IF(K937="Válida",C937,"")</f>
        <v>0</v>
      </c>
      <c r="T937" s="27">
        <f>IF(K937="Válida",I937,"")</f>
        <v>0</v>
      </c>
      <c r="U937" s="27">
        <f>IF(K937="Válida",J937,"")</f>
        <v>0</v>
      </c>
    </row>
    <row r="938" spans="1:21">
      <c r="A938" s="25">
        <f>IF(MES!A938="","",MES!C938/48)</f>
        <v>0</v>
      </c>
      <c r="B938" s="26">
        <f>IF(A938="","",TEXT((N938*4+cfgDeslocamento)/48,"hh:mm")&amp;" a "&amp;TEXT(A938,"hh:mm"))</f>
        <v>0</v>
      </c>
      <c r="C938" s="27">
        <f>IF(A938="","",MES!B938)</f>
        <v>0</v>
      </c>
      <c r="D938" s="27">
        <f>IF(A938="","",IFERROR(AVERAGEIFS(Prensa!$B$2:$B$5001,Prensa!$E$2:$E$5001,N938,Prensa!$F$2:$F$5001,1,Prensa!$G$2:$G$5001,1),""))</f>
        <v>0</v>
      </c>
      <c r="E938" s="27">
        <f>IF(A938="","",IFERROR(AVERAGEIFS(Prensa!$B$2:$B$5001,Prensa!$E$2:$E$5001,N938,Prensa!$F$2:$F$5001,2,Prensa!$G$2:$G$5001,1),""))</f>
        <v>0</v>
      </c>
      <c r="F938" s="27">
        <f>IF(A938="","",IFERROR(AVERAGEIFS(Prensa!$B$2:$B$5001,Prensa!$E$2:$E$5001,N938,Prensa!$F$2:$F$5001,3,Prensa!$G$2:$G$5001,1),""))</f>
        <v>0</v>
      </c>
      <c r="G938" s="27">
        <f>IF(A938="","",IFERROR(AVERAGEIFS(Prensa!$B$2:$B$5001,Prensa!$E$2:$E$5001,N938,Prensa!$F$2:$F$5001,4,Prensa!$G$2:$G$5001,1),""))</f>
        <v>0</v>
      </c>
      <c r="H938" s="26">
        <f>IF(A938="","",COUNT(D938:G938))</f>
        <v>0</v>
      </c>
      <c r="I938" s="27">
        <f>IF(A938="","",IF(H938=0,"",AVERAGE(D938:G938)))</f>
        <v>0</v>
      </c>
      <c r="J938" s="27">
        <f>IF(OR(I938="",C938=""),"",I938-C938)</f>
        <v>0</v>
      </c>
      <c r="K938" s="26">
        <f>IF(A938="","",IF(MES!E938&lt;&gt;4,"Horário do MES fora do padrão",IF(H938&lt;cfgMinCortes,"Cortes insuficientes","Válida")))</f>
        <v>0</v>
      </c>
      <c r="L938" s="27">
        <f>IF(K938="Válida",ABS(J938),"")</f>
        <v>0</v>
      </c>
      <c r="M938" s="26">
        <f>IF(K938="Válida",IF(L938&lt;=cfgTolerancia,"Sim","Não"),"")</f>
        <v>0</v>
      </c>
      <c r="N938" s="26">
        <f>IF(A938="","",MES!D938)</f>
        <v>0</v>
      </c>
      <c r="O938" s="25">
        <f>IF(K938="Válida",A938,NA())</f>
        <v>0</v>
      </c>
      <c r="P938" s="27">
        <f>IF(K938="Válida",C938,NA())</f>
        <v>0</v>
      </c>
      <c r="Q938" s="27">
        <f>IF(K938="Válida",I938,NA())</f>
        <v>0</v>
      </c>
      <c r="R938" s="27">
        <f>IF(K938="Válida",J938,NA())</f>
        <v>0</v>
      </c>
      <c r="S938" s="27">
        <f>IF(K938="Válida",C938,"")</f>
        <v>0</v>
      </c>
      <c r="T938" s="27">
        <f>IF(K938="Válida",I938,"")</f>
        <v>0</v>
      </c>
      <c r="U938" s="27">
        <f>IF(K938="Válida",J938,"")</f>
        <v>0</v>
      </c>
    </row>
    <row r="939" spans="1:21">
      <c r="A939" s="25">
        <f>IF(MES!A939="","",MES!C939/48)</f>
        <v>0</v>
      </c>
      <c r="B939" s="26">
        <f>IF(A939="","",TEXT((N939*4+cfgDeslocamento)/48,"hh:mm")&amp;" a "&amp;TEXT(A939,"hh:mm"))</f>
        <v>0</v>
      </c>
      <c r="C939" s="27">
        <f>IF(A939="","",MES!B939)</f>
        <v>0</v>
      </c>
      <c r="D939" s="27">
        <f>IF(A939="","",IFERROR(AVERAGEIFS(Prensa!$B$2:$B$5001,Prensa!$E$2:$E$5001,N939,Prensa!$F$2:$F$5001,1,Prensa!$G$2:$G$5001,1),""))</f>
        <v>0</v>
      </c>
      <c r="E939" s="27">
        <f>IF(A939="","",IFERROR(AVERAGEIFS(Prensa!$B$2:$B$5001,Prensa!$E$2:$E$5001,N939,Prensa!$F$2:$F$5001,2,Prensa!$G$2:$G$5001,1),""))</f>
        <v>0</v>
      </c>
      <c r="F939" s="27">
        <f>IF(A939="","",IFERROR(AVERAGEIFS(Prensa!$B$2:$B$5001,Prensa!$E$2:$E$5001,N939,Prensa!$F$2:$F$5001,3,Prensa!$G$2:$G$5001,1),""))</f>
        <v>0</v>
      </c>
      <c r="G939" s="27">
        <f>IF(A939="","",IFERROR(AVERAGEIFS(Prensa!$B$2:$B$5001,Prensa!$E$2:$E$5001,N939,Prensa!$F$2:$F$5001,4,Prensa!$G$2:$G$5001,1),""))</f>
        <v>0</v>
      </c>
      <c r="H939" s="26">
        <f>IF(A939="","",COUNT(D939:G939))</f>
        <v>0</v>
      </c>
      <c r="I939" s="27">
        <f>IF(A939="","",IF(H939=0,"",AVERAGE(D939:G939)))</f>
        <v>0</v>
      </c>
      <c r="J939" s="27">
        <f>IF(OR(I939="",C939=""),"",I939-C939)</f>
        <v>0</v>
      </c>
      <c r="K939" s="26">
        <f>IF(A939="","",IF(MES!E939&lt;&gt;4,"Horário do MES fora do padrão",IF(H939&lt;cfgMinCortes,"Cortes insuficientes","Válida")))</f>
        <v>0</v>
      </c>
      <c r="L939" s="27">
        <f>IF(K939="Válida",ABS(J939),"")</f>
        <v>0</v>
      </c>
      <c r="M939" s="26">
        <f>IF(K939="Válida",IF(L939&lt;=cfgTolerancia,"Sim","Não"),"")</f>
        <v>0</v>
      </c>
      <c r="N939" s="26">
        <f>IF(A939="","",MES!D939)</f>
        <v>0</v>
      </c>
      <c r="O939" s="25">
        <f>IF(K939="Válida",A939,NA())</f>
        <v>0</v>
      </c>
      <c r="P939" s="27">
        <f>IF(K939="Válida",C939,NA())</f>
        <v>0</v>
      </c>
      <c r="Q939" s="27">
        <f>IF(K939="Válida",I939,NA())</f>
        <v>0</v>
      </c>
      <c r="R939" s="27">
        <f>IF(K939="Válida",J939,NA())</f>
        <v>0</v>
      </c>
      <c r="S939" s="27">
        <f>IF(K939="Válida",C939,"")</f>
        <v>0</v>
      </c>
      <c r="T939" s="27">
        <f>IF(K939="Válida",I939,"")</f>
        <v>0</v>
      </c>
      <c r="U939" s="27">
        <f>IF(K939="Válida",J939,"")</f>
        <v>0</v>
      </c>
    </row>
    <row r="940" spans="1:21">
      <c r="A940" s="25">
        <f>IF(MES!A940="","",MES!C940/48)</f>
        <v>0</v>
      </c>
      <c r="B940" s="26">
        <f>IF(A940="","",TEXT((N940*4+cfgDeslocamento)/48,"hh:mm")&amp;" a "&amp;TEXT(A940,"hh:mm"))</f>
        <v>0</v>
      </c>
      <c r="C940" s="27">
        <f>IF(A940="","",MES!B940)</f>
        <v>0</v>
      </c>
      <c r="D940" s="27">
        <f>IF(A940="","",IFERROR(AVERAGEIFS(Prensa!$B$2:$B$5001,Prensa!$E$2:$E$5001,N940,Prensa!$F$2:$F$5001,1,Prensa!$G$2:$G$5001,1),""))</f>
        <v>0</v>
      </c>
      <c r="E940" s="27">
        <f>IF(A940="","",IFERROR(AVERAGEIFS(Prensa!$B$2:$B$5001,Prensa!$E$2:$E$5001,N940,Prensa!$F$2:$F$5001,2,Prensa!$G$2:$G$5001,1),""))</f>
        <v>0</v>
      </c>
      <c r="F940" s="27">
        <f>IF(A940="","",IFERROR(AVERAGEIFS(Prensa!$B$2:$B$5001,Prensa!$E$2:$E$5001,N940,Prensa!$F$2:$F$5001,3,Prensa!$G$2:$G$5001,1),""))</f>
        <v>0</v>
      </c>
      <c r="G940" s="27">
        <f>IF(A940="","",IFERROR(AVERAGEIFS(Prensa!$B$2:$B$5001,Prensa!$E$2:$E$5001,N940,Prensa!$F$2:$F$5001,4,Prensa!$G$2:$G$5001,1),""))</f>
        <v>0</v>
      </c>
      <c r="H940" s="26">
        <f>IF(A940="","",COUNT(D940:G940))</f>
        <v>0</v>
      </c>
      <c r="I940" s="27">
        <f>IF(A940="","",IF(H940=0,"",AVERAGE(D940:G940)))</f>
        <v>0</v>
      </c>
      <c r="J940" s="27">
        <f>IF(OR(I940="",C940=""),"",I940-C940)</f>
        <v>0</v>
      </c>
      <c r="K940" s="26">
        <f>IF(A940="","",IF(MES!E940&lt;&gt;4,"Horário do MES fora do padrão",IF(H940&lt;cfgMinCortes,"Cortes insuficientes","Válida")))</f>
        <v>0</v>
      </c>
      <c r="L940" s="27">
        <f>IF(K940="Válida",ABS(J940),"")</f>
        <v>0</v>
      </c>
      <c r="M940" s="26">
        <f>IF(K940="Válida",IF(L940&lt;=cfgTolerancia,"Sim","Não"),"")</f>
        <v>0</v>
      </c>
      <c r="N940" s="26">
        <f>IF(A940="","",MES!D940)</f>
        <v>0</v>
      </c>
      <c r="O940" s="25">
        <f>IF(K940="Válida",A940,NA())</f>
        <v>0</v>
      </c>
      <c r="P940" s="27">
        <f>IF(K940="Válida",C940,NA())</f>
        <v>0</v>
      </c>
      <c r="Q940" s="27">
        <f>IF(K940="Válida",I940,NA())</f>
        <v>0</v>
      </c>
      <c r="R940" s="27">
        <f>IF(K940="Válida",J940,NA())</f>
        <v>0</v>
      </c>
      <c r="S940" s="27">
        <f>IF(K940="Válida",C940,"")</f>
        <v>0</v>
      </c>
      <c r="T940" s="27">
        <f>IF(K940="Válida",I940,"")</f>
        <v>0</v>
      </c>
      <c r="U940" s="27">
        <f>IF(K940="Válida",J940,"")</f>
        <v>0</v>
      </c>
    </row>
    <row r="941" spans="1:21">
      <c r="A941" s="25">
        <f>IF(MES!A941="","",MES!C941/48)</f>
        <v>0</v>
      </c>
      <c r="B941" s="26">
        <f>IF(A941="","",TEXT((N941*4+cfgDeslocamento)/48,"hh:mm")&amp;" a "&amp;TEXT(A941,"hh:mm"))</f>
        <v>0</v>
      </c>
      <c r="C941" s="27">
        <f>IF(A941="","",MES!B941)</f>
        <v>0</v>
      </c>
      <c r="D941" s="27">
        <f>IF(A941="","",IFERROR(AVERAGEIFS(Prensa!$B$2:$B$5001,Prensa!$E$2:$E$5001,N941,Prensa!$F$2:$F$5001,1,Prensa!$G$2:$G$5001,1),""))</f>
        <v>0</v>
      </c>
      <c r="E941" s="27">
        <f>IF(A941="","",IFERROR(AVERAGEIFS(Prensa!$B$2:$B$5001,Prensa!$E$2:$E$5001,N941,Prensa!$F$2:$F$5001,2,Prensa!$G$2:$G$5001,1),""))</f>
        <v>0</v>
      </c>
      <c r="F941" s="27">
        <f>IF(A941="","",IFERROR(AVERAGEIFS(Prensa!$B$2:$B$5001,Prensa!$E$2:$E$5001,N941,Prensa!$F$2:$F$5001,3,Prensa!$G$2:$G$5001,1),""))</f>
        <v>0</v>
      </c>
      <c r="G941" s="27">
        <f>IF(A941="","",IFERROR(AVERAGEIFS(Prensa!$B$2:$B$5001,Prensa!$E$2:$E$5001,N941,Prensa!$F$2:$F$5001,4,Prensa!$G$2:$G$5001,1),""))</f>
        <v>0</v>
      </c>
      <c r="H941" s="26">
        <f>IF(A941="","",COUNT(D941:G941))</f>
        <v>0</v>
      </c>
      <c r="I941" s="27">
        <f>IF(A941="","",IF(H941=0,"",AVERAGE(D941:G941)))</f>
        <v>0</v>
      </c>
      <c r="J941" s="27">
        <f>IF(OR(I941="",C941=""),"",I941-C941)</f>
        <v>0</v>
      </c>
      <c r="K941" s="26">
        <f>IF(A941="","",IF(MES!E941&lt;&gt;4,"Horário do MES fora do padrão",IF(H941&lt;cfgMinCortes,"Cortes insuficientes","Válida")))</f>
        <v>0</v>
      </c>
      <c r="L941" s="27">
        <f>IF(K941="Válida",ABS(J941),"")</f>
        <v>0</v>
      </c>
      <c r="M941" s="26">
        <f>IF(K941="Válida",IF(L941&lt;=cfgTolerancia,"Sim","Não"),"")</f>
        <v>0</v>
      </c>
      <c r="N941" s="26">
        <f>IF(A941="","",MES!D941)</f>
        <v>0</v>
      </c>
      <c r="O941" s="25">
        <f>IF(K941="Válida",A941,NA())</f>
        <v>0</v>
      </c>
      <c r="P941" s="27">
        <f>IF(K941="Válida",C941,NA())</f>
        <v>0</v>
      </c>
      <c r="Q941" s="27">
        <f>IF(K941="Válida",I941,NA())</f>
        <v>0</v>
      </c>
      <c r="R941" s="27">
        <f>IF(K941="Válida",J941,NA())</f>
        <v>0</v>
      </c>
      <c r="S941" s="27">
        <f>IF(K941="Válida",C941,"")</f>
        <v>0</v>
      </c>
      <c r="T941" s="27">
        <f>IF(K941="Válida",I941,"")</f>
        <v>0</v>
      </c>
      <c r="U941" s="27">
        <f>IF(K941="Válida",J941,"")</f>
        <v>0</v>
      </c>
    </row>
    <row r="942" spans="1:21">
      <c r="A942" s="25">
        <f>IF(MES!A942="","",MES!C942/48)</f>
        <v>0</v>
      </c>
      <c r="B942" s="26">
        <f>IF(A942="","",TEXT((N942*4+cfgDeslocamento)/48,"hh:mm")&amp;" a "&amp;TEXT(A942,"hh:mm"))</f>
        <v>0</v>
      </c>
      <c r="C942" s="27">
        <f>IF(A942="","",MES!B942)</f>
        <v>0</v>
      </c>
      <c r="D942" s="27">
        <f>IF(A942="","",IFERROR(AVERAGEIFS(Prensa!$B$2:$B$5001,Prensa!$E$2:$E$5001,N942,Prensa!$F$2:$F$5001,1,Prensa!$G$2:$G$5001,1),""))</f>
        <v>0</v>
      </c>
      <c r="E942" s="27">
        <f>IF(A942="","",IFERROR(AVERAGEIFS(Prensa!$B$2:$B$5001,Prensa!$E$2:$E$5001,N942,Prensa!$F$2:$F$5001,2,Prensa!$G$2:$G$5001,1),""))</f>
        <v>0</v>
      </c>
      <c r="F942" s="27">
        <f>IF(A942="","",IFERROR(AVERAGEIFS(Prensa!$B$2:$B$5001,Prensa!$E$2:$E$5001,N942,Prensa!$F$2:$F$5001,3,Prensa!$G$2:$G$5001,1),""))</f>
        <v>0</v>
      </c>
      <c r="G942" s="27">
        <f>IF(A942="","",IFERROR(AVERAGEIFS(Prensa!$B$2:$B$5001,Prensa!$E$2:$E$5001,N942,Prensa!$F$2:$F$5001,4,Prensa!$G$2:$G$5001,1),""))</f>
        <v>0</v>
      </c>
      <c r="H942" s="26">
        <f>IF(A942="","",COUNT(D942:G942))</f>
        <v>0</v>
      </c>
      <c r="I942" s="27">
        <f>IF(A942="","",IF(H942=0,"",AVERAGE(D942:G942)))</f>
        <v>0</v>
      </c>
      <c r="J942" s="27">
        <f>IF(OR(I942="",C942=""),"",I942-C942)</f>
        <v>0</v>
      </c>
      <c r="K942" s="26">
        <f>IF(A942="","",IF(MES!E942&lt;&gt;4,"Horário do MES fora do padrão",IF(H942&lt;cfgMinCortes,"Cortes insuficientes","Válida")))</f>
        <v>0</v>
      </c>
      <c r="L942" s="27">
        <f>IF(K942="Válida",ABS(J942),"")</f>
        <v>0</v>
      </c>
      <c r="M942" s="26">
        <f>IF(K942="Válida",IF(L942&lt;=cfgTolerancia,"Sim","Não"),"")</f>
        <v>0</v>
      </c>
      <c r="N942" s="26">
        <f>IF(A942="","",MES!D942)</f>
        <v>0</v>
      </c>
      <c r="O942" s="25">
        <f>IF(K942="Válida",A942,NA())</f>
        <v>0</v>
      </c>
      <c r="P942" s="27">
        <f>IF(K942="Válida",C942,NA())</f>
        <v>0</v>
      </c>
      <c r="Q942" s="27">
        <f>IF(K942="Válida",I942,NA())</f>
        <v>0</v>
      </c>
      <c r="R942" s="27">
        <f>IF(K942="Válida",J942,NA())</f>
        <v>0</v>
      </c>
      <c r="S942" s="27">
        <f>IF(K942="Válida",C942,"")</f>
        <v>0</v>
      </c>
      <c r="T942" s="27">
        <f>IF(K942="Válida",I942,"")</f>
        <v>0</v>
      </c>
      <c r="U942" s="27">
        <f>IF(K942="Válida",J942,"")</f>
        <v>0</v>
      </c>
    </row>
    <row r="943" spans="1:21">
      <c r="A943" s="25">
        <f>IF(MES!A943="","",MES!C943/48)</f>
        <v>0</v>
      </c>
      <c r="B943" s="26">
        <f>IF(A943="","",TEXT((N943*4+cfgDeslocamento)/48,"hh:mm")&amp;" a "&amp;TEXT(A943,"hh:mm"))</f>
        <v>0</v>
      </c>
      <c r="C943" s="27">
        <f>IF(A943="","",MES!B943)</f>
        <v>0</v>
      </c>
      <c r="D943" s="27">
        <f>IF(A943="","",IFERROR(AVERAGEIFS(Prensa!$B$2:$B$5001,Prensa!$E$2:$E$5001,N943,Prensa!$F$2:$F$5001,1,Prensa!$G$2:$G$5001,1),""))</f>
        <v>0</v>
      </c>
      <c r="E943" s="27">
        <f>IF(A943="","",IFERROR(AVERAGEIFS(Prensa!$B$2:$B$5001,Prensa!$E$2:$E$5001,N943,Prensa!$F$2:$F$5001,2,Prensa!$G$2:$G$5001,1),""))</f>
        <v>0</v>
      </c>
      <c r="F943" s="27">
        <f>IF(A943="","",IFERROR(AVERAGEIFS(Prensa!$B$2:$B$5001,Prensa!$E$2:$E$5001,N943,Prensa!$F$2:$F$5001,3,Prensa!$G$2:$G$5001,1),""))</f>
        <v>0</v>
      </c>
      <c r="G943" s="27">
        <f>IF(A943="","",IFERROR(AVERAGEIFS(Prensa!$B$2:$B$5001,Prensa!$E$2:$E$5001,N943,Prensa!$F$2:$F$5001,4,Prensa!$G$2:$G$5001,1),""))</f>
        <v>0</v>
      </c>
      <c r="H943" s="26">
        <f>IF(A943="","",COUNT(D943:G943))</f>
        <v>0</v>
      </c>
      <c r="I943" s="27">
        <f>IF(A943="","",IF(H943=0,"",AVERAGE(D943:G943)))</f>
        <v>0</v>
      </c>
      <c r="J943" s="27">
        <f>IF(OR(I943="",C943=""),"",I943-C943)</f>
        <v>0</v>
      </c>
      <c r="K943" s="26">
        <f>IF(A943="","",IF(MES!E943&lt;&gt;4,"Horário do MES fora do padrão",IF(H943&lt;cfgMinCortes,"Cortes insuficientes","Válida")))</f>
        <v>0</v>
      </c>
      <c r="L943" s="27">
        <f>IF(K943="Válida",ABS(J943),"")</f>
        <v>0</v>
      </c>
      <c r="M943" s="26">
        <f>IF(K943="Válida",IF(L943&lt;=cfgTolerancia,"Sim","Não"),"")</f>
        <v>0</v>
      </c>
      <c r="N943" s="26">
        <f>IF(A943="","",MES!D943)</f>
        <v>0</v>
      </c>
      <c r="O943" s="25">
        <f>IF(K943="Válida",A943,NA())</f>
        <v>0</v>
      </c>
      <c r="P943" s="27">
        <f>IF(K943="Válida",C943,NA())</f>
        <v>0</v>
      </c>
      <c r="Q943" s="27">
        <f>IF(K943="Válida",I943,NA())</f>
        <v>0</v>
      </c>
      <c r="R943" s="27">
        <f>IF(K943="Válida",J943,NA())</f>
        <v>0</v>
      </c>
      <c r="S943" s="27">
        <f>IF(K943="Válida",C943,"")</f>
        <v>0</v>
      </c>
      <c r="T943" s="27">
        <f>IF(K943="Válida",I943,"")</f>
        <v>0</v>
      </c>
      <c r="U943" s="27">
        <f>IF(K943="Válida",J943,"")</f>
        <v>0</v>
      </c>
    </row>
    <row r="944" spans="1:21">
      <c r="A944" s="25">
        <f>IF(MES!A944="","",MES!C944/48)</f>
        <v>0</v>
      </c>
      <c r="B944" s="26">
        <f>IF(A944="","",TEXT((N944*4+cfgDeslocamento)/48,"hh:mm")&amp;" a "&amp;TEXT(A944,"hh:mm"))</f>
        <v>0</v>
      </c>
      <c r="C944" s="27">
        <f>IF(A944="","",MES!B944)</f>
        <v>0</v>
      </c>
      <c r="D944" s="27">
        <f>IF(A944="","",IFERROR(AVERAGEIFS(Prensa!$B$2:$B$5001,Prensa!$E$2:$E$5001,N944,Prensa!$F$2:$F$5001,1,Prensa!$G$2:$G$5001,1),""))</f>
        <v>0</v>
      </c>
      <c r="E944" s="27">
        <f>IF(A944="","",IFERROR(AVERAGEIFS(Prensa!$B$2:$B$5001,Prensa!$E$2:$E$5001,N944,Prensa!$F$2:$F$5001,2,Prensa!$G$2:$G$5001,1),""))</f>
        <v>0</v>
      </c>
      <c r="F944" s="27">
        <f>IF(A944="","",IFERROR(AVERAGEIFS(Prensa!$B$2:$B$5001,Prensa!$E$2:$E$5001,N944,Prensa!$F$2:$F$5001,3,Prensa!$G$2:$G$5001,1),""))</f>
        <v>0</v>
      </c>
      <c r="G944" s="27">
        <f>IF(A944="","",IFERROR(AVERAGEIFS(Prensa!$B$2:$B$5001,Prensa!$E$2:$E$5001,N944,Prensa!$F$2:$F$5001,4,Prensa!$G$2:$G$5001,1),""))</f>
        <v>0</v>
      </c>
      <c r="H944" s="26">
        <f>IF(A944="","",COUNT(D944:G944))</f>
        <v>0</v>
      </c>
      <c r="I944" s="27">
        <f>IF(A944="","",IF(H944=0,"",AVERAGE(D944:G944)))</f>
        <v>0</v>
      </c>
      <c r="J944" s="27">
        <f>IF(OR(I944="",C944=""),"",I944-C944)</f>
        <v>0</v>
      </c>
      <c r="K944" s="26">
        <f>IF(A944="","",IF(MES!E944&lt;&gt;4,"Horário do MES fora do padrão",IF(H944&lt;cfgMinCortes,"Cortes insuficientes","Válida")))</f>
        <v>0</v>
      </c>
      <c r="L944" s="27">
        <f>IF(K944="Válida",ABS(J944),"")</f>
        <v>0</v>
      </c>
      <c r="M944" s="26">
        <f>IF(K944="Válida",IF(L944&lt;=cfgTolerancia,"Sim","Não"),"")</f>
        <v>0</v>
      </c>
      <c r="N944" s="26">
        <f>IF(A944="","",MES!D944)</f>
        <v>0</v>
      </c>
      <c r="O944" s="25">
        <f>IF(K944="Válida",A944,NA())</f>
        <v>0</v>
      </c>
      <c r="P944" s="27">
        <f>IF(K944="Válida",C944,NA())</f>
        <v>0</v>
      </c>
      <c r="Q944" s="27">
        <f>IF(K944="Válida",I944,NA())</f>
        <v>0</v>
      </c>
      <c r="R944" s="27">
        <f>IF(K944="Válida",J944,NA())</f>
        <v>0</v>
      </c>
      <c r="S944" s="27">
        <f>IF(K944="Válida",C944,"")</f>
        <v>0</v>
      </c>
      <c r="T944" s="27">
        <f>IF(K944="Válida",I944,"")</f>
        <v>0</v>
      </c>
      <c r="U944" s="27">
        <f>IF(K944="Válida",J944,"")</f>
        <v>0</v>
      </c>
    </row>
    <row r="945" spans="1:21">
      <c r="A945" s="25">
        <f>IF(MES!A945="","",MES!C945/48)</f>
        <v>0</v>
      </c>
      <c r="B945" s="26">
        <f>IF(A945="","",TEXT((N945*4+cfgDeslocamento)/48,"hh:mm")&amp;" a "&amp;TEXT(A945,"hh:mm"))</f>
        <v>0</v>
      </c>
      <c r="C945" s="27">
        <f>IF(A945="","",MES!B945)</f>
        <v>0</v>
      </c>
      <c r="D945" s="27">
        <f>IF(A945="","",IFERROR(AVERAGEIFS(Prensa!$B$2:$B$5001,Prensa!$E$2:$E$5001,N945,Prensa!$F$2:$F$5001,1,Prensa!$G$2:$G$5001,1),""))</f>
        <v>0</v>
      </c>
      <c r="E945" s="27">
        <f>IF(A945="","",IFERROR(AVERAGEIFS(Prensa!$B$2:$B$5001,Prensa!$E$2:$E$5001,N945,Prensa!$F$2:$F$5001,2,Prensa!$G$2:$G$5001,1),""))</f>
        <v>0</v>
      </c>
      <c r="F945" s="27">
        <f>IF(A945="","",IFERROR(AVERAGEIFS(Prensa!$B$2:$B$5001,Prensa!$E$2:$E$5001,N945,Prensa!$F$2:$F$5001,3,Prensa!$G$2:$G$5001,1),""))</f>
        <v>0</v>
      </c>
      <c r="G945" s="27">
        <f>IF(A945="","",IFERROR(AVERAGEIFS(Prensa!$B$2:$B$5001,Prensa!$E$2:$E$5001,N945,Prensa!$F$2:$F$5001,4,Prensa!$G$2:$G$5001,1),""))</f>
        <v>0</v>
      </c>
      <c r="H945" s="26">
        <f>IF(A945="","",COUNT(D945:G945))</f>
        <v>0</v>
      </c>
      <c r="I945" s="27">
        <f>IF(A945="","",IF(H945=0,"",AVERAGE(D945:G945)))</f>
        <v>0</v>
      </c>
      <c r="J945" s="27">
        <f>IF(OR(I945="",C945=""),"",I945-C945)</f>
        <v>0</v>
      </c>
      <c r="K945" s="26">
        <f>IF(A945="","",IF(MES!E945&lt;&gt;4,"Horário do MES fora do padrão",IF(H945&lt;cfgMinCortes,"Cortes insuficientes","Válida")))</f>
        <v>0</v>
      </c>
      <c r="L945" s="27">
        <f>IF(K945="Válida",ABS(J945),"")</f>
        <v>0</v>
      </c>
      <c r="M945" s="26">
        <f>IF(K945="Válida",IF(L945&lt;=cfgTolerancia,"Sim","Não"),"")</f>
        <v>0</v>
      </c>
      <c r="N945" s="26">
        <f>IF(A945="","",MES!D945)</f>
        <v>0</v>
      </c>
      <c r="O945" s="25">
        <f>IF(K945="Válida",A945,NA())</f>
        <v>0</v>
      </c>
      <c r="P945" s="27">
        <f>IF(K945="Válida",C945,NA())</f>
        <v>0</v>
      </c>
      <c r="Q945" s="27">
        <f>IF(K945="Válida",I945,NA())</f>
        <v>0</v>
      </c>
      <c r="R945" s="27">
        <f>IF(K945="Válida",J945,NA())</f>
        <v>0</v>
      </c>
      <c r="S945" s="27">
        <f>IF(K945="Válida",C945,"")</f>
        <v>0</v>
      </c>
      <c r="T945" s="27">
        <f>IF(K945="Válida",I945,"")</f>
        <v>0</v>
      </c>
      <c r="U945" s="27">
        <f>IF(K945="Válida",J945,"")</f>
        <v>0</v>
      </c>
    </row>
    <row r="946" spans="1:21">
      <c r="A946" s="25">
        <f>IF(MES!A946="","",MES!C946/48)</f>
        <v>0</v>
      </c>
      <c r="B946" s="26">
        <f>IF(A946="","",TEXT((N946*4+cfgDeslocamento)/48,"hh:mm")&amp;" a "&amp;TEXT(A946,"hh:mm"))</f>
        <v>0</v>
      </c>
      <c r="C946" s="27">
        <f>IF(A946="","",MES!B946)</f>
        <v>0</v>
      </c>
      <c r="D946" s="27">
        <f>IF(A946="","",IFERROR(AVERAGEIFS(Prensa!$B$2:$B$5001,Prensa!$E$2:$E$5001,N946,Prensa!$F$2:$F$5001,1,Prensa!$G$2:$G$5001,1),""))</f>
        <v>0</v>
      </c>
      <c r="E946" s="27">
        <f>IF(A946="","",IFERROR(AVERAGEIFS(Prensa!$B$2:$B$5001,Prensa!$E$2:$E$5001,N946,Prensa!$F$2:$F$5001,2,Prensa!$G$2:$G$5001,1),""))</f>
        <v>0</v>
      </c>
      <c r="F946" s="27">
        <f>IF(A946="","",IFERROR(AVERAGEIFS(Prensa!$B$2:$B$5001,Prensa!$E$2:$E$5001,N946,Prensa!$F$2:$F$5001,3,Prensa!$G$2:$G$5001,1),""))</f>
        <v>0</v>
      </c>
      <c r="G946" s="27">
        <f>IF(A946="","",IFERROR(AVERAGEIFS(Prensa!$B$2:$B$5001,Prensa!$E$2:$E$5001,N946,Prensa!$F$2:$F$5001,4,Prensa!$G$2:$G$5001,1),""))</f>
        <v>0</v>
      </c>
      <c r="H946" s="26">
        <f>IF(A946="","",COUNT(D946:G946))</f>
        <v>0</v>
      </c>
      <c r="I946" s="27">
        <f>IF(A946="","",IF(H946=0,"",AVERAGE(D946:G946)))</f>
        <v>0</v>
      </c>
      <c r="J946" s="27">
        <f>IF(OR(I946="",C946=""),"",I946-C946)</f>
        <v>0</v>
      </c>
      <c r="K946" s="26">
        <f>IF(A946="","",IF(MES!E946&lt;&gt;4,"Horário do MES fora do padrão",IF(H946&lt;cfgMinCortes,"Cortes insuficientes","Válida")))</f>
        <v>0</v>
      </c>
      <c r="L946" s="27">
        <f>IF(K946="Válida",ABS(J946),"")</f>
        <v>0</v>
      </c>
      <c r="M946" s="26">
        <f>IF(K946="Válida",IF(L946&lt;=cfgTolerancia,"Sim","Não"),"")</f>
        <v>0</v>
      </c>
      <c r="N946" s="26">
        <f>IF(A946="","",MES!D946)</f>
        <v>0</v>
      </c>
      <c r="O946" s="25">
        <f>IF(K946="Válida",A946,NA())</f>
        <v>0</v>
      </c>
      <c r="P946" s="27">
        <f>IF(K946="Válida",C946,NA())</f>
        <v>0</v>
      </c>
      <c r="Q946" s="27">
        <f>IF(K946="Válida",I946,NA())</f>
        <v>0</v>
      </c>
      <c r="R946" s="27">
        <f>IF(K946="Válida",J946,NA())</f>
        <v>0</v>
      </c>
      <c r="S946" s="27">
        <f>IF(K946="Válida",C946,"")</f>
        <v>0</v>
      </c>
      <c r="T946" s="27">
        <f>IF(K946="Válida",I946,"")</f>
        <v>0</v>
      </c>
      <c r="U946" s="27">
        <f>IF(K946="Válida",J946,"")</f>
        <v>0</v>
      </c>
    </row>
    <row r="947" spans="1:21">
      <c r="A947" s="25">
        <f>IF(MES!A947="","",MES!C947/48)</f>
        <v>0</v>
      </c>
      <c r="B947" s="26">
        <f>IF(A947="","",TEXT((N947*4+cfgDeslocamento)/48,"hh:mm")&amp;" a "&amp;TEXT(A947,"hh:mm"))</f>
        <v>0</v>
      </c>
      <c r="C947" s="27">
        <f>IF(A947="","",MES!B947)</f>
        <v>0</v>
      </c>
      <c r="D947" s="27">
        <f>IF(A947="","",IFERROR(AVERAGEIFS(Prensa!$B$2:$B$5001,Prensa!$E$2:$E$5001,N947,Prensa!$F$2:$F$5001,1,Prensa!$G$2:$G$5001,1),""))</f>
        <v>0</v>
      </c>
      <c r="E947" s="27">
        <f>IF(A947="","",IFERROR(AVERAGEIFS(Prensa!$B$2:$B$5001,Prensa!$E$2:$E$5001,N947,Prensa!$F$2:$F$5001,2,Prensa!$G$2:$G$5001,1),""))</f>
        <v>0</v>
      </c>
      <c r="F947" s="27">
        <f>IF(A947="","",IFERROR(AVERAGEIFS(Prensa!$B$2:$B$5001,Prensa!$E$2:$E$5001,N947,Prensa!$F$2:$F$5001,3,Prensa!$G$2:$G$5001,1),""))</f>
        <v>0</v>
      </c>
      <c r="G947" s="27">
        <f>IF(A947="","",IFERROR(AVERAGEIFS(Prensa!$B$2:$B$5001,Prensa!$E$2:$E$5001,N947,Prensa!$F$2:$F$5001,4,Prensa!$G$2:$G$5001,1),""))</f>
        <v>0</v>
      </c>
      <c r="H947" s="26">
        <f>IF(A947="","",COUNT(D947:G947))</f>
        <v>0</v>
      </c>
      <c r="I947" s="27">
        <f>IF(A947="","",IF(H947=0,"",AVERAGE(D947:G947)))</f>
        <v>0</v>
      </c>
      <c r="J947" s="27">
        <f>IF(OR(I947="",C947=""),"",I947-C947)</f>
        <v>0</v>
      </c>
      <c r="K947" s="26">
        <f>IF(A947="","",IF(MES!E947&lt;&gt;4,"Horário do MES fora do padrão",IF(H947&lt;cfgMinCortes,"Cortes insuficientes","Válida")))</f>
        <v>0</v>
      </c>
      <c r="L947" s="27">
        <f>IF(K947="Válida",ABS(J947),"")</f>
        <v>0</v>
      </c>
      <c r="M947" s="26">
        <f>IF(K947="Válida",IF(L947&lt;=cfgTolerancia,"Sim","Não"),"")</f>
        <v>0</v>
      </c>
      <c r="N947" s="26">
        <f>IF(A947="","",MES!D947)</f>
        <v>0</v>
      </c>
      <c r="O947" s="25">
        <f>IF(K947="Válida",A947,NA())</f>
        <v>0</v>
      </c>
      <c r="P947" s="27">
        <f>IF(K947="Válida",C947,NA())</f>
        <v>0</v>
      </c>
      <c r="Q947" s="27">
        <f>IF(K947="Válida",I947,NA())</f>
        <v>0</v>
      </c>
      <c r="R947" s="27">
        <f>IF(K947="Válida",J947,NA())</f>
        <v>0</v>
      </c>
      <c r="S947" s="27">
        <f>IF(K947="Válida",C947,"")</f>
        <v>0</v>
      </c>
      <c r="T947" s="27">
        <f>IF(K947="Válida",I947,"")</f>
        <v>0</v>
      </c>
      <c r="U947" s="27">
        <f>IF(K947="Válida",J947,"")</f>
        <v>0</v>
      </c>
    </row>
    <row r="948" spans="1:21">
      <c r="A948" s="25">
        <f>IF(MES!A948="","",MES!C948/48)</f>
        <v>0</v>
      </c>
      <c r="B948" s="26">
        <f>IF(A948="","",TEXT((N948*4+cfgDeslocamento)/48,"hh:mm")&amp;" a "&amp;TEXT(A948,"hh:mm"))</f>
        <v>0</v>
      </c>
      <c r="C948" s="27">
        <f>IF(A948="","",MES!B948)</f>
        <v>0</v>
      </c>
      <c r="D948" s="27">
        <f>IF(A948="","",IFERROR(AVERAGEIFS(Prensa!$B$2:$B$5001,Prensa!$E$2:$E$5001,N948,Prensa!$F$2:$F$5001,1,Prensa!$G$2:$G$5001,1),""))</f>
        <v>0</v>
      </c>
      <c r="E948" s="27">
        <f>IF(A948="","",IFERROR(AVERAGEIFS(Prensa!$B$2:$B$5001,Prensa!$E$2:$E$5001,N948,Prensa!$F$2:$F$5001,2,Prensa!$G$2:$G$5001,1),""))</f>
        <v>0</v>
      </c>
      <c r="F948" s="27">
        <f>IF(A948="","",IFERROR(AVERAGEIFS(Prensa!$B$2:$B$5001,Prensa!$E$2:$E$5001,N948,Prensa!$F$2:$F$5001,3,Prensa!$G$2:$G$5001,1),""))</f>
        <v>0</v>
      </c>
      <c r="G948" s="27">
        <f>IF(A948="","",IFERROR(AVERAGEIFS(Prensa!$B$2:$B$5001,Prensa!$E$2:$E$5001,N948,Prensa!$F$2:$F$5001,4,Prensa!$G$2:$G$5001,1),""))</f>
        <v>0</v>
      </c>
      <c r="H948" s="26">
        <f>IF(A948="","",COUNT(D948:G948))</f>
        <v>0</v>
      </c>
      <c r="I948" s="27">
        <f>IF(A948="","",IF(H948=0,"",AVERAGE(D948:G948)))</f>
        <v>0</v>
      </c>
      <c r="J948" s="27">
        <f>IF(OR(I948="",C948=""),"",I948-C948)</f>
        <v>0</v>
      </c>
      <c r="K948" s="26">
        <f>IF(A948="","",IF(MES!E948&lt;&gt;4,"Horário do MES fora do padrão",IF(H948&lt;cfgMinCortes,"Cortes insuficientes","Válida")))</f>
        <v>0</v>
      </c>
      <c r="L948" s="27">
        <f>IF(K948="Válida",ABS(J948),"")</f>
        <v>0</v>
      </c>
      <c r="M948" s="26">
        <f>IF(K948="Válida",IF(L948&lt;=cfgTolerancia,"Sim","Não"),"")</f>
        <v>0</v>
      </c>
      <c r="N948" s="26">
        <f>IF(A948="","",MES!D948)</f>
        <v>0</v>
      </c>
      <c r="O948" s="25">
        <f>IF(K948="Válida",A948,NA())</f>
        <v>0</v>
      </c>
      <c r="P948" s="27">
        <f>IF(K948="Válida",C948,NA())</f>
        <v>0</v>
      </c>
      <c r="Q948" s="27">
        <f>IF(K948="Válida",I948,NA())</f>
        <v>0</v>
      </c>
      <c r="R948" s="27">
        <f>IF(K948="Válida",J948,NA())</f>
        <v>0</v>
      </c>
      <c r="S948" s="27">
        <f>IF(K948="Válida",C948,"")</f>
        <v>0</v>
      </c>
      <c r="T948" s="27">
        <f>IF(K948="Válida",I948,"")</f>
        <v>0</v>
      </c>
      <c r="U948" s="27">
        <f>IF(K948="Válida",J948,"")</f>
        <v>0</v>
      </c>
    </row>
    <row r="949" spans="1:21">
      <c r="A949" s="25">
        <f>IF(MES!A949="","",MES!C949/48)</f>
        <v>0</v>
      </c>
      <c r="B949" s="26">
        <f>IF(A949="","",TEXT((N949*4+cfgDeslocamento)/48,"hh:mm")&amp;" a "&amp;TEXT(A949,"hh:mm"))</f>
        <v>0</v>
      </c>
      <c r="C949" s="27">
        <f>IF(A949="","",MES!B949)</f>
        <v>0</v>
      </c>
      <c r="D949" s="27">
        <f>IF(A949="","",IFERROR(AVERAGEIFS(Prensa!$B$2:$B$5001,Prensa!$E$2:$E$5001,N949,Prensa!$F$2:$F$5001,1,Prensa!$G$2:$G$5001,1),""))</f>
        <v>0</v>
      </c>
      <c r="E949" s="27">
        <f>IF(A949="","",IFERROR(AVERAGEIFS(Prensa!$B$2:$B$5001,Prensa!$E$2:$E$5001,N949,Prensa!$F$2:$F$5001,2,Prensa!$G$2:$G$5001,1),""))</f>
        <v>0</v>
      </c>
      <c r="F949" s="27">
        <f>IF(A949="","",IFERROR(AVERAGEIFS(Prensa!$B$2:$B$5001,Prensa!$E$2:$E$5001,N949,Prensa!$F$2:$F$5001,3,Prensa!$G$2:$G$5001,1),""))</f>
        <v>0</v>
      </c>
      <c r="G949" s="27">
        <f>IF(A949="","",IFERROR(AVERAGEIFS(Prensa!$B$2:$B$5001,Prensa!$E$2:$E$5001,N949,Prensa!$F$2:$F$5001,4,Prensa!$G$2:$G$5001,1),""))</f>
        <v>0</v>
      </c>
      <c r="H949" s="26">
        <f>IF(A949="","",COUNT(D949:G949))</f>
        <v>0</v>
      </c>
      <c r="I949" s="27">
        <f>IF(A949="","",IF(H949=0,"",AVERAGE(D949:G949)))</f>
        <v>0</v>
      </c>
      <c r="J949" s="27">
        <f>IF(OR(I949="",C949=""),"",I949-C949)</f>
        <v>0</v>
      </c>
      <c r="K949" s="26">
        <f>IF(A949="","",IF(MES!E949&lt;&gt;4,"Horário do MES fora do padrão",IF(H949&lt;cfgMinCortes,"Cortes insuficientes","Válida")))</f>
        <v>0</v>
      </c>
      <c r="L949" s="27">
        <f>IF(K949="Válida",ABS(J949),"")</f>
        <v>0</v>
      </c>
      <c r="M949" s="26">
        <f>IF(K949="Válida",IF(L949&lt;=cfgTolerancia,"Sim","Não"),"")</f>
        <v>0</v>
      </c>
      <c r="N949" s="26">
        <f>IF(A949="","",MES!D949)</f>
        <v>0</v>
      </c>
      <c r="O949" s="25">
        <f>IF(K949="Válida",A949,NA())</f>
        <v>0</v>
      </c>
      <c r="P949" s="27">
        <f>IF(K949="Válida",C949,NA())</f>
        <v>0</v>
      </c>
      <c r="Q949" s="27">
        <f>IF(K949="Válida",I949,NA())</f>
        <v>0</v>
      </c>
      <c r="R949" s="27">
        <f>IF(K949="Válida",J949,NA())</f>
        <v>0</v>
      </c>
      <c r="S949" s="27">
        <f>IF(K949="Válida",C949,"")</f>
        <v>0</v>
      </c>
      <c r="T949" s="27">
        <f>IF(K949="Válida",I949,"")</f>
        <v>0</v>
      </c>
      <c r="U949" s="27">
        <f>IF(K949="Válida",J949,"")</f>
        <v>0</v>
      </c>
    </row>
    <row r="950" spans="1:21">
      <c r="A950" s="25">
        <f>IF(MES!A950="","",MES!C950/48)</f>
        <v>0</v>
      </c>
      <c r="B950" s="26">
        <f>IF(A950="","",TEXT((N950*4+cfgDeslocamento)/48,"hh:mm")&amp;" a "&amp;TEXT(A950,"hh:mm"))</f>
        <v>0</v>
      </c>
      <c r="C950" s="27">
        <f>IF(A950="","",MES!B950)</f>
        <v>0</v>
      </c>
      <c r="D950" s="27">
        <f>IF(A950="","",IFERROR(AVERAGEIFS(Prensa!$B$2:$B$5001,Prensa!$E$2:$E$5001,N950,Prensa!$F$2:$F$5001,1,Prensa!$G$2:$G$5001,1),""))</f>
        <v>0</v>
      </c>
      <c r="E950" s="27">
        <f>IF(A950="","",IFERROR(AVERAGEIFS(Prensa!$B$2:$B$5001,Prensa!$E$2:$E$5001,N950,Prensa!$F$2:$F$5001,2,Prensa!$G$2:$G$5001,1),""))</f>
        <v>0</v>
      </c>
      <c r="F950" s="27">
        <f>IF(A950="","",IFERROR(AVERAGEIFS(Prensa!$B$2:$B$5001,Prensa!$E$2:$E$5001,N950,Prensa!$F$2:$F$5001,3,Prensa!$G$2:$G$5001,1),""))</f>
        <v>0</v>
      </c>
      <c r="G950" s="27">
        <f>IF(A950="","",IFERROR(AVERAGEIFS(Prensa!$B$2:$B$5001,Prensa!$E$2:$E$5001,N950,Prensa!$F$2:$F$5001,4,Prensa!$G$2:$G$5001,1),""))</f>
        <v>0</v>
      </c>
      <c r="H950" s="26">
        <f>IF(A950="","",COUNT(D950:G950))</f>
        <v>0</v>
      </c>
      <c r="I950" s="27">
        <f>IF(A950="","",IF(H950=0,"",AVERAGE(D950:G950)))</f>
        <v>0</v>
      </c>
      <c r="J950" s="27">
        <f>IF(OR(I950="",C950=""),"",I950-C950)</f>
        <v>0</v>
      </c>
      <c r="K950" s="26">
        <f>IF(A950="","",IF(MES!E950&lt;&gt;4,"Horário do MES fora do padrão",IF(H950&lt;cfgMinCortes,"Cortes insuficientes","Válida")))</f>
        <v>0</v>
      </c>
      <c r="L950" s="27">
        <f>IF(K950="Válida",ABS(J950),"")</f>
        <v>0</v>
      </c>
      <c r="M950" s="26">
        <f>IF(K950="Válida",IF(L950&lt;=cfgTolerancia,"Sim","Não"),"")</f>
        <v>0</v>
      </c>
      <c r="N950" s="26">
        <f>IF(A950="","",MES!D950)</f>
        <v>0</v>
      </c>
      <c r="O950" s="25">
        <f>IF(K950="Válida",A950,NA())</f>
        <v>0</v>
      </c>
      <c r="P950" s="27">
        <f>IF(K950="Válida",C950,NA())</f>
        <v>0</v>
      </c>
      <c r="Q950" s="27">
        <f>IF(K950="Válida",I950,NA())</f>
        <v>0</v>
      </c>
      <c r="R950" s="27">
        <f>IF(K950="Válida",J950,NA())</f>
        <v>0</v>
      </c>
      <c r="S950" s="27">
        <f>IF(K950="Válida",C950,"")</f>
        <v>0</v>
      </c>
      <c r="T950" s="27">
        <f>IF(K950="Válida",I950,"")</f>
        <v>0</v>
      </c>
      <c r="U950" s="27">
        <f>IF(K950="Válida",J950,"")</f>
        <v>0</v>
      </c>
    </row>
    <row r="951" spans="1:21">
      <c r="A951" s="25">
        <f>IF(MES!A951="","",MES!C951/48)</f>
        <v>0</v>
      </c>
      <c r="B951" s="26">
        <f>IF(A951="","",TEXT((N951*4+cfgDeslocamento)/48,"hh:mm")&amp;" a "&amp;TEXT(A951,"hh:mm"))</f>
        <v>0</v>
      </c>
      <c r="C951" s="27">
        <f>IF(A951="","",MES!B951)</f>
        <v>0</v>
      </c>
      <c r="D951" s="27">
        <f>IF(A951="","",IFERROR(AVERAGEIFS(Prensa!$B$2:$B$5001,Prensa!$E$2:$E$5001,N951,Prensa!$F$2:$F$5001,1,Prensa!$G$2:$G$5001,1),""))</f>
        <v>0</v>
      </c>
      <c r="E951" s="27">
        <f>IF(A951="","",IFERROR(AVERAGEIFS(Prensa!$B$2:$B$5001,Prensa!$E$2:$E$5001,N951,Prensa!$F$2:$F$5001,2,Prensa!$G$2:$G$5001,1),""))</f>
        <v>0</v>
      </c>
      <c r="F951" s="27">
        <f>IF(A951="","",IFERROR(AVERAGEIFS(Prensa!$B$2:$B$5001,Prensa!$E$2:$E$5001,N951,Prensa!$F$2:$F$5001,3,Prensa!$G$2:$G$5001,1),""))</f>
        <v>0</v>
      </c>
      <c r="G951" s="27">
        <f>IF(A951="","",IFERROR(AVERAGEIFS(Prensa!$B$2:$B$5001,Prensa!$E$2:$E$5001,N951,Prensa!$F$2:$F$5001,4,Prensa!$G$2:$G$5001,1),""))</f>
        <v>0</v>
      </c>
      <c r="H951" s="26">
        <f>IF(A951="","",COUNT(D951:G951))</f>
        <v>0</v>
      </c>
      <c r="I951" s="27">
        <f>IF(A951="","",IF(H951=0,"",AVERAGE(D951:G951)))</f>
        <v>0</v>
      </c>
      <c r="J951" s="27">
        <f>IF(OR(I951="",C951=""),"",I951-C951)</f>
        <v>0</v>
      </c>
      <c r="K951" s="26">
        <f>IF(A951="","",IF(MES!E951&lt;&gt;4,"Horário do MES fora do padrão",IF(H951&lt;cfgMinCortes,"Cortes insuficientes","Válida")))</f>
        <v>0</v>
      </c>
      <c r="L951" s="27">
        <f>IF(K951="Válida",ABS(J951),"")</f>
        <v>0</v>
      </c>
      <c r="M951" s="26">
        <f>IF(K951="Válida",IF(L951&lt;=cfgTolerancia,"Sim","Não"),"")</f>
        <v>0</v>
      </c>
      <c r="N951" s="26">
        <f>IF(A951="","",MES!D951)</f>
        <v>0</v>
      </c>
      <c r="O951" s="25">
        <f>IF(K951="Válida",A951,NA())</f>
        <v>0</v>
      </c>
      <c r="P951" s="27">
        <f>IF(K951="Válida",C951,NA())</f>
        <v>0</v>
      </c>
      <c r="Q951" s="27">
        <f>IF(K951="Válida",I951,NA())</f>
        <v>0</v>
      </c>
      <c r="R951" s="27">
        <f>IF(K951="Válida",J951,NA())</f>
        <v>0</v>
      </c>
      <c r="S951" s="27">
        <f>IF(K951="Válida",C951,"")</f>
        <v>0</v>
      </c>
      <c r="T951" s="27">
        <f>IF(K951="Válida",I951,"")</f>
        <v>0</v>
      </c>
      <c r="U951" s="27">
        <f>IF(K951="Válida",J951,"")</f>
        <v>0</v>
      </c>
    </row>
    <row r="952" spans="1:21">
      <c r="A952" s="25">
        <f>IF(MES!A952="","",MES!C952/48)</f>
        <v>0</v>
      </c>
      <c r="B952" s="26">
        <f>IF(A952="","",TEXT((N952*4+cfgDeslocamento)/48,"hh:mm")&amp;" a "&amp;TEXT(A952,"hh:mm"))</f>
        <v>0</v>
      </c>
      <c r="C952" s="27">
        <f>IF(A952="","",MES!B952)</f>
        <v>0</v>
      </c>
      <c r="D952" s="27">
        <f>IF(A952="","",IFERROR(AVERAGEIFS(Prensa!$B$2:$B$5001,Prensa!$E$2:$E$5001,N952,Prensa!$F$2:$F$5001,1,Prensa!$G$2:$G$5001,1),""))</f>
        <v>0</v>
      </c>
      <c r="E952" s="27">
        <f>IF(A952="","",IFERROR(AVERAGEIFS(Prensa!$B$2:$B$5001,Prensa!$E$2:$E$5001,N952,Prensa!$F$2:$F$5001,2,Prensa!$G$2:$G$5001,1),""))</f>
        <v>0</v>
      </c>
      <c r="F952" s="27">
        <f>IF(A952="","",IFERROR(AVERAGEIFS(Prensa!$B$2:$B$5001,Prensa!$E$2:$E$5001,N952,Prensa!$F$2:$F$5001,3,Prensa!$G$2:$G$5001,1),""))</f>
        <v>0</v>
      </c>
      <c r="G952" s="27">
        <f>IF(A952="","",IFERROR(AVERAGEIFS(Prensa!$B$2:$B$5001,Prensa!$E$2:$E$5001,N952,Prensa!$F$2:$F$5001,4,Prensa!$G$2:$G$5001,1),""))</f>
        <v>0</v>
      </c>
      <c r="H952" s="26">
        <f>IF(A952="","",COUNT(D952:G952))</f>
        <v>0</v>
      </c>
      <c r="I952" s="27">
        <f>IF(A952="","",IF(H952=0,"",AVERAGE(D952:G952)))</f>
        <v>0</v>
      </c>
      <c r="J952" s="27">
        <f>IF(OR(I952="",C952=""),"",I952-C952)</f>
        <v>0</v>
      </c>
      <c r="K952" s="26">
        <f>IF(A952="","",IF(MES!E952&lt;&gt;4,"Horário do MES fora do padrão",IF(H952&lt;cfgMinCortes,"Cortes insuficientes","Válida")))</f>
        <v>0</v>
      </c>
      <c r="L952" s="27">
        <f>IF(K952="Válida",ABS(J952),"")</f>
        <v>0</v>
      </c>
      <c r="M952" s="26">
        <f>IF(K952="Válida",IF(L952&lt;=cfgTolerancia,"Sim","Não"),"")</f>
        <v>0</v>
      </c>
      <c r="N952" s="26">
        <f>IF(A952="","",MES!D952)</f>
        <v>0</v>
      </c>
      <c r="O952" s="25">
        <f>IF(K952="Válida",A952,NA())</f>
        <v>0</v>
      </c>
      <c r="P952" s="27">
        <f>IF(K952="Válida",C952,NA())</f>
        <v>0</v>
      </c>
      <c r="Q952" s="27">
        <f>IF(K952="Válida",I952,NA())</f>
        <v>0</v>
      </c>
      <c r="R952" s="27">
        <f>IF(K952="Válida",J952,NA())</f>
        <v>0</v>
      </c>
      <c r="S952" s="27">
        <f>IF(K952="Válida",C952,"")</f>
        <v>0</v>
      </c>
      <c r="T952" s="27">
        <f>IF(K952="Válida",I952,"")</f>
        <v>0</v>
      </c>
      <c r="U952" s="27">
        <f>IF(K952="Válida",J952,"")</f>
        <v>0</v>
      </c>
    </row>
    <row r="953" spans="1:21">
      <c r="A953" s="25">
        <f>IF(MES!A953="","",MES!C953/48)</f>
        <v>0</v>
      </c>
      <c r="B953" s="26">
        <f>IF(A953="","",TEXT((N953*4+cfgDeslocamento)/48,"hh:mm")&amp;" a "&amp;TEXT(A953,"hh:mm"))</f>
        <v>0</v>
      </c>
      <c r="C953" s="27">
        <f>IF(A953="","",MES!B953)</f>
        <v>0</v>
      </c>
      <c r="D953" s="27">
        <f>IF(A953="","",IFERROR(AVERAGEIFS(Prensa!$B$2:$B$5001,Prensa!$E$2:$E$5001,N953,Prensa!$F$2:$F$5001,1,Prensa!$G$2:$G$5001,1),""))</f>
        <v>0</v>
      </c>
      <c r="E953" s="27">
        <f>IF(A953="","",IFERROR(AVERAGEIFS(Prensa!$B$2:$B$5001,Prensa!$E$2:$E$5001,N953,Prensa!$F$2:$F$5001,2,Prensa!$G$2:$G$5001,1),""))</f>
        <v>0</v>
      </c>
      <c r="F953" s="27">
        <f>IF(A953="","",IFERROR(AVERAGEIFS(Prensa!$B$2:$B$5001,Prensa!$E$2:$E$5001,N953,Prensa!$F$2:$F$5001,3,Prensa!$G$2:$G$5001,1),""))</f>
        <v>0</v>
      </c>
      <c r="G953" s="27">
        <f>IF(A953="","",IFERROR(AVERAGEIFS(Prensa!$B$2:$B$5001,Prensa!$E$2:$E$5001,N953,Prensa!$F$2:$F$5001,4,Prensa!$G$2:$G$5001,1),""))</f>
        <v>0</v>
      </c>
      <c r="H953" s="26">
        <f>IF(A953="","",COUNT(D953:G953))</f>
        <v>0</v>
      </c>
      <c r="I953" s="27">
        <f>IF(A953="","",IF(H953=0,"",AVERAGE(D953:G953)))</f>
        <v>0</v>
      </c>
      <c r="J953" s="27">
        <f>IF(OR(I953="",C953=""),"",I953-C953)</f>
        <v>0</v>
      </c>
      <c r="K953" s="26">
        <f>IF(A953="","",IF(MES!E953&lt;&gt;4,"Horário do MES fora do padrão",IF(H953&lt;cfgMinCortes,"Cortes insuficientes","Válida")))</f>
        <v>0</v>
      </c>
      <c r="L953" s="27">
        <f>IF(K953="Válida",ABS(J953),"")</f>
        <v>0</v>
      </c>
      <c r="M953" s="26">
        <f>IF(K953="Válida",IF(L953&lt;=cfgTolerancia,"Sim","Não"),"")</f>
        <v>0</v>
      </c>
      <c r="N953" s="26">
        <f>IF(A953="","",MES!D953)</f>
        <v>0</v>
      </c>
      <c r="O953" s="25">
        <f>IF(K953="Válida",A953,NA())</f>
        <v>0</v>
      </c>
      <c r="P953" s="27">
        <f>IF(K953="Válida",C953,NA())</f>
        <v>0</v>
      </c>
      <c r="Q953" s="27">
        <f>IF(K953="Válida",I953,NA())</f>
        <v>0</v>
      </c>
      <c r="R953" s="27">
        <f>IF(K953="Válida",J953,NA())</f>
        <v>0</v>
      </c>
      <c r="S953" s="27">
        <f>IF(K953="Válida",C953,"")</f>
        <v>0</v>
      </c>
      <c r="T953" s="27">
        <f>IF(K953="Válida",I953,"")</f>
        <v>0</v>
      </c>
      <c r="U953" s="27">
        <f>IF(K953="Válida",J953,"")</f>
        <v>0</v>
      </c>
    </row>
    <row r="954" spans="1:21">
      <c r="A954" s="25">
        <f>IF(MES!A954="","",MES!C954/48)</f>
        <v>0</v>
      </c>
      <c r="B954" s="26">
        <f>IF(A954="","",TEXT((N954*4+cfgDeslocamento)/48,"hh:mm")&amp;" a "&amp;TEXT(A954,"hh:mm"))</f>
        <v>0</v>
      </c>
      <c r="C954" s="27">
        <f>IF(A954="","",MES!B954)</f>
        <v>0</v>
      </c>
      <c r="D954" s="27">
        <f>IF(A954="","",IFERROR(AVERAGEIFS(Prensa!$B$2:$B$5001,Prensa!$E$2:$E$5001,N954,Prensa!$F$2:$F$5001,1,Prensa!$G$2:$G$5001,1),""))</f>
        <v>0</v>
      </c>
      <c r="E954" s="27">
        <f>IF(A954="","",IFERROR(AVERAGEIFS(Prensa!$B$2:$B$5001,Prensa!$E$2:$E$5001,N954,Prensa!$F$2:$F$5001,2,Prensa!$G$2:$G$5001,1),""))</f>
        <v>0</v>
      </c>
      <c r="F954" s="27">
        <f>IF(A954="","",IFERROR(AVERAGEIFS(Prensa!$B$2:$B$5001,Prensa!$E$2:$E$5001,N954,Prensa!$F$2:$F$5001,3,Prensa!$G$2:$G$5001,1),""))</f>
        <v>0</v>
      </c>
      <c r="G954" s="27">
        <f>IF(A954="","",IFERROR(AVERAGEIFS(Prensa!$B$2:$B$5001,Prensa!$E$2:$E$5001,N954,Prensa!$F$2:$F$5001,4,Prensa!$G$2:$G$5001,1),""))</f>
        <v>0</v>
      </c>
      <c r="H954" s="26">
        <f>IF(A954="","",COUNT(D954:G954))</f>
        <v>0</v>
      </c>
      <c r="I954" s="27">
        <f>IF(A954="","",IF(H954=0,"",AVERAGE(D954:G954)))</f>
        <v>0</v>
      </c>
      <c r="J954" s="27">
        <f>IF(OR(I954="",C954=""),"",I954-C954)</f>
        <v>0</v>
      </c>
      <c r="K954" s="26">
        <f>IF(A954="","",IF(MES!E954&lt;&gt;4,"Horário do MES fora do padrão",IF(H954&lt;cfgMinCortes,"Cortes insuficientes","Válida")))</f>
        <v>0</v>
      </c>
      <c r="L954" s="27">
        <f>IF(K954="Válida",ABS(J954),"")</f>
        <v>0</v>
      </c>
      <c r="M954" s="26">
        <f>IF(K954="Válida",IF(L954&lt;=cfgTolerancia,"Sim","Não"),"")</f>
        <v>0</v>
      </c>
      <c r="N954" s="26">
        <f>IF(A954="","",MES!D954)</f>
        <v>0</v>
      </c>
      <c r="O954" s="25">
        <f>IF(K954="Válida",A954,NA())</f>
        <v>0</v>
      </c>
      <c r="P954" s="27">
        <f>IF(K954="Válida",C954,NA())</f>
        <v>0</v>
      </c>
      <c r="Q954" s="27">
        <f>IF(K954="Válida",I954,NA())</f>
        <v>0</v>
      </c>
      <c r="R954" s="27">
        <f>IF(K954="Válida",J954,NA())</f>
        <v>0</v>
      </c>
      <c r="S954" s="27">
        <f>IF(K954="Válida",C954,"")</f>
        <v>0</v>
      </c>
      <c r="T954" s="27">
        <f>IF(K954="Válida",I954,"")</f>
        <v>0</v>
      </c>
      <c r="U954" s="27">
        <f>IF(K954="Válida",J954,"")</f>
        <v>0</v>
      </c>
    </row>
    <row r="955" spans="1:21">
      <c r="A955" s="25">
        <f>IF(MES!A955="","",MES!C955/48)</f>
        <v>0</v>
      </c>
      <c r="B955" s="26">
        <f>IF(A955="","",TEXT((N955*4+cfgDeslocamento)/48,"hh:mm")&amp;" a "&amp;TEXT(A955,"hh:mm"))</f>
        <v>0</v>
      </c>
      <c r="C955" s="27">
        <f>IF(A955="","",MES!B955)</f>
        <v>0</v>
      </c>
      <c r="D955" s="27">
        <f>IF(A955="","",IFERROR(AVERAGEIFS(Prensa!$B$2:$B$5001,Prensa!$E$2:$E$5001,N955,Prensa!$F$2:$F$5001,1,Prensa!$G$2:$G$5001,1),""))</f>
        <v>0</v>
      </c>
      <c r="E955" s="27">
        <f>IF(A955="","",IFERROR(AVERAGEIFS(Prensa!$B$2:$B$5001,Prensa!$E$2:$E$5001,N955,Prensa!$F$2:$F$5001,2,Prensa!$G$2:$G$5001,1),""))</f>
        <v>0</v>
      </c>
      <c r="F955" s="27">
        <f>IF(A955="","",IFERROR(AVERAGEIFS(Prensa!$B$2:$B$5001,Prensa!$E$2:$E$5001,N955,Prensa!$F$2:$F$5001,3,Prensa!$G$2:$G$5001,1),""))</f>
        <v>0</v>
      </c>
      <c r="G955" s="27">
        <f>IF(A955="","",IFERROR(AVERAGEIFS(Prensa!$B$2:$B$5001,Prensa!$E$2:$E$5001,N955,Prensa!$F$2:$F$5001,4,Prensa!$G$2:$G$5001,1),""))</f>
        <v>0</v>
      </c>
      <c r="H955" s="26">
        <f>IF(A955="","",COUNT(D955:G955))</f>
        <v>0</v>
      </c>
      <c r="I955" s="27">
        <f>IF(A955="","",IF(H955=0,"",AVERAGE(D955:G955)))</f>
        <v>0</v>
      </c>
      <c r="J955" s="27">
        <f>IF(OR(I955="",C955=""),"",I955-C955)</f>
        <v>0</v>
      </c>
      <c r="K955" s="26">
        <f>IF(A955="","",IF(MES!E955&lt;&gt;4,"Horário do MES fora do padrão",IF(H955&lt;cfgMinCortes,"Cortes insuficientes","Válida")))</f>
        <v>0</v>
      </c>
      <c r="L955" s="27">
        <f>IF(K955="Válida",ABS(J955),"")</f>
        <v>0</v>
      </c>
      <c r="M955" s="26">
        <f>IF(K955="Válida",IF(L955&lt;=cfgTolerancia,"Sim","Não"),"")</f>
        <v>0</v>
      </c>
      <c r="N955" s="26">
        <f>IF(A955="","",MES!D955)</f>
        <v>0</v>
      </c>
      <c r="O955" s="25">
        <f>IF(K955="Válida",A955,NA())</f>
        <v>0</v>
      </c>
      <c r="P955" s="27">
        <f>IF(K955="Válida",C955,NA())</f>
        <v>0</v>
      </c>
      <c r="Q955" s="27">
        <f>IF(K955="Válida",I955,NA())</f>
        <v>0</v>
      </c>
      <c r="R955" s="27">
        <f>IF(K955="Válida",J955,NA())</f>
        <v>0</v>
      </c>
      <c r="S955" s="27">
        <f>IF(K955="Válida",C955,"")</f>
        <v>0</v>
      </c>
      <c r="T955" s="27">
        <f>IF(K955="Válida",I955,"")</f>
        <v>0</v>
      </c>
      <c r="U955" s="27">
        <f>IF(K955="Válida",J955,"")</f>
        <v>0</v>
      </c>
    </row>
    <row r="956" spans="1:21">
      <c r="A956" s="25">
        <f>IF(MES!A956="","",MES!C956/48)</f>
        <v>0</v>
      </c>
      <c r="B956" s="26">
        <f>IF(A956="","",TEXT((N956*4+cfgDeslocamento)/48,"hh:mm")&amp;" a "&amp;TEXT(A956,"hh:mm"))</f>
        <v>0</v>
      </c>
      <c r="C956" s="27">
        <f>IF(A956="","",MES!B956)</f>
        <v>0</v>
      </c>
      <c r="D956" s="27">
        <f>IF(A956="","",IFERROR(AVERAGEIFS(Prensa!$B$2:$B$5001,Prensa!$E$2:$E$5001,N956,Prensa!$F$2:$F$5001,1,Prensa!$G$2:$G$5001,1),""))</f>
        <v>0</v>
      </c>
      <c r="E956" s="27">
        <f>IF(A956="","",IFERROR(AVERAGEIFS(Prensa!$B$2:$B$5001,Prensa!$E$2:$E$5001,N956,Prensa!$F$2:$F$5001,2,Prensa!$G$2:$G$5001,1),""))</f>
        <v>0</v>
      </c>
      <c r="F956" s="27">
        <f>IF(A956="","",IFERROR(AVERAGEIFS(Prensa!$B$2:$B$5001,Prensa!$E$2:$E$5001,N956,Prensa!$F$2:$F$5001,3,Prensa!$G$2:$G$5001,1),""))</f>
        <v>0</v>
      </c>
      <c r="G956" s="27">
        <f>IF(A956="","",IFERROR(AVERAGEIFS(Prensa!$B$2:$B$5001,Prensa!$E$2:$E$5001,N956,Prensa!$F$2:$F$5001,4,Prensa!$G$2:$G$5001,1),""))</f>
        <v>0</v>
      </c>
      <c r="H956" s="26">
        <f>IF(A956="","",COUNT(D956:G956))</f>
        <v>0</v>
      </c>
      <c r="I956" s="27">
        <f>IF(A956="","",IF(H956=0,"",AVERAGE(D956:G956)))</f>
        <v>0</v>
      </c>
      <c r="J956" s="27">
        <f>IF(OR(I956="",C956=""),"",I956-C956)</f>
        <v>0</v>
      </c>
      <c r="K956" s="26">
        <f>IF(A956="","",IF(MES!E956&lt;&gt;4,"Horário do MES fora do padrão",IF(H956&lt;cfgMinCortes,"Cortes insuficientes","Válida")))</f>
        <v>0</v>
      </c>
      <c r="L956" s="27">
        <f>IF(K956="Válida",ABS(J956),"")</f>
        <v>0</v>
      </c>
      <c r="M956" s="26">
        <f>IF(K956="Válida",IF(L956&lt;=cfgTolerancia,"Sim","Não"),"")</f>
        <v>0</v>
      </c>
      <c r="N956" s="26">
        <f>IF(A956="","",MES!D956)</f>
        <v>0</v>
      </c>
      <c r="O956" s="25">
        <f>IF(K956="Válida",A956,NA())</f>
        <v>0</v>
      </c>
      <c r="P956" s="27">
        <f>IF(K956="Válida",C956,NA())</f>
        <v>0</v>
      </c>
      <c r="Q956" s="27">
        <f>IF(K956="Válida",I956,NA())</f>
        <v>0</v>
      </c>
      <c r="R956" s="27">
        <f>IF(K956="Válida",J956,NA())</f>
        <v>0</v>
      </c>
      <c r="S956" s="27">
        <f>IF(K956="Válida",C956,"")</f>
        <v>0</v>
      </c>
      <c r="T956" s="27">
        <f>IF(K956="Válida",I956,"")</f>
        <v>0</v>
      </c>
      <c r="U956" s="27">
        <f>IF(K956="Válida",J956,"")</f>
        <v>0</v>
      </c>
    </row>
    <row r="957" spans="1:21">
      <c r="A957" s="25">
        <f>IF(MES!A957="","",MES!C957/48)</f>
        <v>0</v>
      </c>
      <c r="B957" s="26">
        <f>IF(A957="","",TEXT((N957*4+cfgDeslocamento)/48,"hh:mm")&amp;" a "&amp;TEXT(A957,"hh:mm"))</f>
        <v>0</v>
      </c>
      <c r="C957" s="27">
        <f>IF(A957="","",MES!B957)</f>
        <v>0</v>
      </c>
      <c r="D957" s="27">
        <f>IF(A957="","",IFERROR(AVERAGEIFS(Prensa!$B$2:$B$5001,Prensa!$E$2:$E$5001,N957,Prensa!$F$2:$F$5001,1,Prensa!$G$2:$G$5001,1),""))</f>
        <v>0</v>
      </c>
      <c r="E957" s="27">
        <f>IF(A957="","",IFERROR(AVERAGEIFS(Prensa!$B$2:$B$5001,Prensa!$E$2:$E$5001,N957,Prensa!$F$2:$F$5001,2,Prensa!$G$2:$G$5001,1),""))</f>
        <v>0</v>
      </c>
      <c r="F957" s="27">
        <f>IF(A957="","",IFERROR(AVERAGEIFS(Prensa!$B$2:$B$5001,Prensa!$E$2:$E$5001,N957,Prensa!$F$2:$F$5001,3,Prensa!$G$2:$G$5001,1),""))</f>
        <v>0</v>
      </c>
      <c r="G957" s="27">
        <f>IF(A957="","",IFERROR(AVERAGEIFS(Prensa!$B$2:$B$5001,Prensa!$E$2:$E$5001,N957,Prensa!$F$2:$F$5001,4,Prensa!$G$2:$G$5001,1),""))</f>
        <v>0</v>
      </c>
      <c r="H957" s="26">
        <f>IF(A957="","",COUNT(D957:G957))</f>
        <v>0</v>
      </c>
      <c r="I957" s="27">
        <f>IF(A957="","",IF(H957=0,"",AVERAGE(D957:G957)))</f>
        <v>0</v>
      </c>
      <c r="J957" s="27">
        <f>IF(OR(I957="",C957=""),"",I957-C957)</f>
        <v>0</v>
      </c>
      <c r="K957" s="26">
        <f>IF(A957="","",IF(MES!E957&lt;&gt;4,"Horário do MES fora do padrão",IF(H957&lt;cfgMinCortes,"Cortes insuficientes","Válida")))</f>
        <v>0</v>
      </c>
      <c r="L957" s="27">
        <f>IF(K957="Válida",ABS(J957),"")</f>
        <v>0</v>
      </c>
      <c r="M957" s="26">
        <f>IF(K957="Válida",IF(L957&lt;=cfgTolerancia,"Sim","Não"),"")</f>
        <v>0</v>
      </c>
      <c r="N957" s="26">
        <f>IF(A957="","",MES!D957)</f>
        <v>0</v>
      </c>
      <c r="O957" s="25">
        <f>IF(K957="Válida",A957,NA())</f>
        <v>0</v>
      </c>
      <c r="P957" s="27">
        <f>IF(K957="Válida",C957,NA())</f>
        <v>0</v>
      </c>
      <c r="Q957" s="27">
        <f>IF(K957="Válida",I957,NA())</f>
        <v>0</v>
      </c>
      <c r="R957" s="27">
        <f>IF(K957="Válida",J957,NA())</f>
        <v>0</v>
      </c>
      <c r="S957" s="27">
        <f>IF(K957="Válida",C957,"")</f>
        <v>0</v>
      </c>
      <c r="T957" s="27">
        <f>IF(K957="Válida",I957,"")</f>
        <v>0</v>
      </c>
      <c r="U957" s="27">
        <f>IF(K957="Válida",J957,"")</f>
        <v>0</v>
      </c>
    </row>
    <row r="958" spans="1:21">
      <c r="A958" s="25">
        <f>IF(MES!A958="","",MES!C958/48)</f>
        <v>0</v>
      </c>
      <c r="B958" s="26">
        <f>IF(A958="","",TEXT((N958*4+cfgDeslocamento)/48,"hh:mm")&amp;" a "&amp;TEXT(A958,"hh:mm"))</f>
        <v>0</v>
      </c>
      <c r="C958" s="27">
        <f>IF(A958="","",MES!B958)</f>
        <v>0</v>
      </c>
      <c r="D958" s="27">
        <f>IF(A958="","",IFERROR(AVERAGEIFS(Prensa!$B$2:$B$5001,Prensa!$E$2:$E$5001,N958,Prensa!$F$2:$F$5001,1,Prensa!$G$2:$G$5001,1),""))</f>
        <v>0</v>
      </c>
      <c r="E958" s="27">
        <f>IF(A958="","",IFERROR(AVERAGEIFS(Prensa!$B$2:$B$5001,Prensa!$E$2:$E$5001,N958,Prensa!$F$2:$F$5001,2,Prensa!$G$2:$G$5001,1),""))</f>
        <v>0</v>
      </c>
      <c r="F958" s="27">
        <f>IF(A958="","",IFERROR(AVERAGEIFS(Prensa!$B$2:$B$5001,Prensa!$E$2:$E$5001,N958,Prensa!$F$2:$F$5001,3,Prensa!$G$2:$G$5001,1),""))</f>
        <v>0</v>
      </c>
      <c r="G958" s="27">
        <f>IF(A958="","",IFERROR(AVERAGEIFS(Prensa!$B$2:$B$5001,Prensa!$E$2:$E$5001,N958,Prensa!$F$2:$F$5001,4,Prensa!$G$2:$G$5001,1),""))</f>
        <v>0</v>
      </c>
      <c r="H958" s="26">
        <f>IF(A958="","",COUNT(D958:G958))</f>
        <v>0</v>
      </c>
      <c r="I958" s="27">
        <f>IF(A958="","",IF(H958=0,"",AVERAGE(D958:G958)))</f>
        <v>0</v>
      </c>
      <c r="J958" s="27">
        <f>IF(OR(I958="",C958=""),"",I958-C958)</f>
        <v>0</v>
      </c>
      <c r="K958" s="26">
        <f>IF(A958="","",IF(MES!E958&lt;&gt;4,"Horário do MES fora do padrão",IF(H958&lt;cfgMinCortes,"Cortes insuficientes","Válida")))</f>
        <v>0</v>
      </c>
      <c r="L958" s="27">
        <f>IF(K958="Válida",ABS(J958),"")</f>
        <v>0</v>
      </c>
      <c r="M958" s="26">
        <f>IF(K958="Válida",IF(L958&lt;=cfgTolerancia,"Sim","Não"),"")</f>
        <v>0</v>
      </c>
      <c r="N958" s="26">
        <f>IF(A958="","",MES!D958)</f>
        <v>0</v>
      </c>
      <c r="O958" s="25">
        <f>IF(K958="Válida",A958,NA())</f>
        <v>0</v>
      </c>
      <c r="P958" s="27">
        <f>IF(K958="Válida",C958,NA())</f>
        <v>0</v>
      </c>
      <c r="Q958" s="27">
        <f>IF(K958="Válida",I958,NA())</f>
        <v>0</v>
      </c>
      <c r="R958" s="27">
        <f>IF(K958="Válida",J958,NA())</f>
        <v>0</v>
      </c>
      <c r="S958" s="27">
        <f>IF(K958="Válida",C958,"")</f>
        <v>0</v>
      </c>
      <c r="T958" s="27">
        <f>IF(K958="Válida",I958,"")</f>
        <v>0</v>
      </c>
      <c r="U958" s="27">
        <f>IF(K958="Válida",J958,"")</f>
        <v>0</v>
      </c>
    </row>
    <row r="959" spans="1:21">
      <c r="A959" s="25">
        <f>IF(MES!A959="","",MES!C959/48)</f>
        <v>0</v>
      </c>
      <c r="B959" s="26">
        <f>IF(A959="","",TEXT((N959*4+cfgDeslocamento)/48,"hh:mm")&amp;" a "&amp;TEXT(A959,"hh:mm"))</f>
        <v>0</v>
      </c>
      <c r="C959" s="27">
        <f>IF(A959="","",MES!B959)</f>
        <v>0</v>
      </c>
      <c r="D959" s="27">
        <f>IF(A959="","",IFERROR(AVERAGEIFS(Prensa!$B$2:$B$5001,Prensa!$E$2:$E$5001,N959,Prensa!$F$2:$F$5001,1,Prensa!$G$2:$G$5001,1),""))</f>
        <v>0</v>
      </c>
      <c r="E959" s="27">
        <f>IF(A959="","",IFERROR(AVERAGEIFS(Prensa!$B$2:$B$5001,Prensa!$E$2:$E$5001,N959,Prensa!$F$2:$F$5001,2,Prensa!$G$2:$G$5001,1),""))</f>
        <v>0</v>
      </c>
      <c r="F959" s="27">
        <f>IF(A959="","",IFERROR(AVERAGEIFS(Prensa!$B$2:$B$5001,Prensa!$E$2:$E$5001,N959,Prensa!$F$2:$F$5001,3,Prensa!$G$2:$G$5001,1),""))</f>
        <v>0</v>
      </c>
      <c r="G959" s="27">
        <f>IF(A959="","",IFERROR(AVERAGEIFS(Prensa!$B$2:$B$5001,Prensa!$E$2:$E$5001,N959,Prensa!$F$2:$F$5001,4,Prensa!$G$2:$G$5001,1),""))</f>
        <v>0</v>
      </c>
      <c r="H959" s="26">
        <f>IF(A959="","",COUNT(D959:G959))</f>
        <v>0</v>
      </c>
      <c r="I959" s="27">
        <f>IF(A959="","",IF(H959=0,"",AVERAGE(D959:G959)))</f>
        <v>0</v>
      </c>
      <c r="J959" s="27">
        <f>IF(OR(I959="",C959=""),"",I959-C959)</f>
        <v>0</v>
      </c>
      <c r="K959" s="26">
        <f>IF(A959="","",IF(MES!E959&lt;&gt;4,"Horário do MES fora do padrão",IF(H959&lt;cfgMinCortes,"Cortes insuficientes","Válida")))</f>
        <v>0</v>
      </c>
      <c r="L959" s="27">
        <f>IF(K959="Válida",ABS(J959),"")</f>
        <v>0</v>
      </c>
      <c r="M959" s="26">
        <f>IF(K959="Válida",IF(L959&lt;=cfgTolerancia,"Sim","Não"),"")</f>
        <v>0</v>
      </c>
      <c r="N959" s="26">
        <f>IF(A959="","",MES!D959)</f>
        <v>0</v>
      </c>
      <c r="O959" s="25">
        <f>IF(K959="Válida",A959,NA())</f>
        <v>0</v>
      </c>
      <c r="P959" s="27">
        <f>IF(K959="Válida",C959,NA())</f>
        <v>0</v>
      </c>
      <c r="Q959" s="27">
        <f>IF(K959="Válida",I959,NA())</f>
        <v>0</v>
      </c>
      <c r="R959" s="27">
        <f>IF(K959="Válida",J959,NA())</f>
        <v>0</v>
      </c>
      <c r="S959" s="27">
        <f>IF(K959="Válida",C959,"")</f>
        <v>0</v>
      </c>
      <c r="T959" s="27">
        <f>IF(K959="Válida",I959,"")</f>
        <v>0</v>
      </c>
      <c r="U959" s="27">
        <f>IF(K959="Válida",J959,"")</f>
        <v>0</v>
      </c>
    </row>
    <row r="960" spans="1:21">
      <c r="A960" s="25">
        <f>IF(MES!A960="","",MES!C960/48)</f>
        <v>0</v>
      </c>
      <c r="B960" s="26">
        <f>IF(A960="","",TEXT((N960*4+cfgDeslocamento)/48,"hh:mm")&amp;" a "&amp;TEXT(A960,"hh:mm"))</f>
        <v>0</v>
      </c>
      <c r="C960" s="27">
        <f>IF(A960="","",MES!B960)</f>
        <v>0</v>
      </c>
      <c r="D960" s="27">
        <f>IF(A960="","",IFERROR(AVERAGEIFS(Prensa!$B$2:$B$5001,Prensa!$E$2:$E$5001,N960,Prensa!$F$2:$F$5001,1,Prensa!$G$2:$G$5001,1),""))</f>
        <v>0</v>
      </c>
      <c r="E960" s="27">
        <f>IF(A960="","",IFERROR(AVERAGEIFS(Prensa!$B$2:$B$5001,Prensa!$E$2:$E$5001,N960,Prensa!$F$2:$F$5001,2,Prensa!$G$2:$G$5001,1),""))</f>
        <v>0</v>
      </c>
      <c r="F960" s="27">
        <f>IF(A960="","",IFERROR(AVERAGEIFS(Prensa!$B$2:$B$5001,Prensa!$E$2:$E$5001,N960,Prensa!$F$2:$F$5001,3,Prensa!$G$2:$G$5001,1),""))</f>
        <v>0</v>
      </c>
      <c r="G960" s="27">
        <f>IF(A960="","",IFERROR(AVERAGEIFS(Prensa!$B$2:$B$5001,Prensa!$E$2:$E$5001,N960,Prensa!$F$2:$F$5001,4,Prensa!$G$2:$G$5001,1),""))</f>
        <v>0</v>
      </c>
      <c r="H960" s="26">
        <f>IF(A960="","",COUNT(D960:G960))</f>
        <v>0</v>
      </c>
      <c r="I960" s="27">
        <f>IF(A960="","",IF(H960=0,"",AVERAGE(D960:G960)))</f>
        <v>0</v>
      </c>
      <c r="J960" s="27">
        <f>IF(OR(I960="",C960=""),"",I960-C960)</f>
        <v>0</v>
      </c>
      <c r="K960" s="26">
        <f>IF(A960="","",IF(MES!E960&lt;&gt;4,"Horário do MES fora do padrão",IF(H960&lt;cfgMinCortes,"Cortes insuficientes","Válida")))</f>
        <v>0</v>
      </c>
      <c r="L960" s="27">
        <f>IF(K960="Válida",ABS(J960),"")</f>
        <v>0</v>
      </c>
      <c r="M960" s="26">
        <f>IF(K960="Válida",IF(L960&lt;=cfgTolerancia,"Sim","Não"),"")</f>
        <v>0</v>
      </c>
      <c r="N960" s="26">
        <f>IF(A960="","",MES!D960)</f>
        <v>0</v>
      </c>
      <c r="O960" s="25">
        <f>IF(K960="Válida",A960,NA())</f>
        <v>0</v>
      </c>
      <c r="P960" s="27">
        <f>IF(K960="Válida",C960,NA())</f>
        <v>0</v>
      </c>
      <c r="Q960" s="27">
        <f>IF(K960="Válida",I960,NA())</f>
        <v>0</v>
      </c>
      <c r="R960" s="27">
        <f>IF(K960="Válida",J960,NA())</f>
        <v>0</v>
      </c>
      <c r="S960" s="27">
        <f>IF(K960="Válida",C960,"")</f>
        <v>0</v>
      </c>
      <c r="T960" s="27">
        <f>IF(K960="Válida",I960,"")</f>
        <v>0</v>
      </c>
      <c r="U960" s="27">
        <f>IF(K960="Válida",J960,"")</f>
        <v>0</v>
      </c>
    </row>
    <row r="961" spans="1:21">
      <c r="A961" s="25">
        <f>IF(MES!A961="","",MES!C961/48)</f>
        <v>0</v>
      </c>
      <c r="B961" s="26">
        <f>IF(A961="","",TEXT((N961*4+cfgDeslocamento)/48,"hh:mm")&amp;" a "&amp;TEXT(A961,"hh:mm"))</f>
        <v>0</v>
      </c>
      <c r="C961" s="27">
        <f>IF(A961="","",MES!B961)</f>
        <v>0</v>
      </c>
      <c r="D961" s="27">
        <f>IF(A961="","",IFERROR(AVERAGEIFS(Prensa!$B$2:$B$5001,Prensa!$E$2:$E$5001,N961,Prensa!$F$2:$F$5001,1,Prensa!$G$2:$G$5001,1),""))</f>
        <v>0</v>
      </c>
      <c r="E961" s="27">
        <f>IF(A961="","",IFERROR(AVERAGEIFS(Prensa!$B$2:$B$5001,Prensa!$E$2:$E$5001,N961,Prensa!$F$2:$F$5001,2,Prensa!$G$2:$G$5001,1),""))</f>
        <v>0</v>
      </c>
      <c r="F961" s="27">
        <f>IF(A961="","",IFERROR(AVERAGEIFS(Prensa!$B$2:$B$5001,Prensa!$E$2:$E$5001,N961,Prensa!$F$2:$F$5001,3,Prensa!$G$2:$G$5001,1),""))</f>
        <v>0</v>
      </c>
      <c r="G961" s="27">
        <f>IF(A961="","",IFERROR(AVERAGEIFS(Prensa!$B$2:$B$5001,Prensa!$E$2:$E$5001,N961,Prensa!$F$2:$F$5001,4,Prensa!$G$2:$G$5001,1),""))</f>
        <v>0</v>
      </c>
      <c r="H961" s="26">
        <f>IF(A961="","",COUNT(D961:G961))</f>
        <v>0</v>
      </c>
      <c r="I961" s="27">
        <f>IF(A961="","",IF(H961=0,"",AVERAGE(D961:G961)))</f>
        <v>0</v>
      </c>
      <c r="J961" s="27">
        <f>IF(OR(I961="",C961=""),"",I961-C961)</f>
        <v>0</v>
      </c>
      <c r="K961" s="26">
        <f>IF(A961="","",IF(MES!E961&lt;&gt;4,"Horário do MES fora do padrão",IF(H961&lt;cfgMinCortes,"Cortes insuficientes","Válida")))</f>
        <v>0</v>
      </c>
      <c r="L961" s="27">
        <f>IF(K961="Válida",ABS(J961),"")</f>
        <v>0</v>
      </c>
      <c r="M961" s="26">
        <f>IF(K961="Válida",IF(L961&lt;=cfgTolerancia,"Sim","Não"),"")</f>
        <v>0</v>
      </c>
      <c r="N961" s="26">
        <f>IF(A961="","",MES!D961)</f>
        <v>0</v>
      </c>
      <c r="O961" s="25">
        <f>IF(K961="Válida",A961,NA())</f>
        <v>0</v>
      </c>
      <c r="P961" s="27">
        <f>IF(K961="Válida",C961,NA())</f>
        <v>0</v>
      </c>
      <c r="Q961" s="27">
        <f>IF(K961="Válida",I961,NA())</f>
        <v>0</v>
      </c>
      <c r="R961" s="27">
        <f>IF(K961="Válida",J961,NA())</f>
        <v>0</v>
      </c>
      <c r="S961" s="27">
        <f>IF(K961="Válida",C961,"")</f>
        <v>0</v>
      </c>
      <c r="T961" s="27">
        <f>IF(K961="Válida",I961,"")</f>
        <v>0</v>
      </c>
      <c r="U961" s="27">
        <f>IF(K961="Válida",J961,"")</f>
        <v>0</v>
      </c>
    </row>
    <row r="962" spans="1:21">
      <c r="A962" s="25">
        <f>IF(MES!A962="","",MES!C962/48)</f>
        <v>0</v>
      </c>
      <c r="B962" s="26">
        <f>IF(A962="","",TEXT((N962*4+cfgDeslocamento)/48,"hh:mm")&amp;" a "&amp;TEXT(A962,"hh:mm"))</f>
        <v>0</v>
      </c>
      <c r="C962" s="27">
        <f>IF(A962="","",MES!B962)</f>
        <v>0</v>
      </c>
      <c r="D962" s="27">
        <f>IF(A962="","",IFERROR(AVERAGEIFS(Prensa!$B$2:$B$5001,Prensa!$E$2:$E$5001,N962,Prensa!$F$2:$F$5001,1,Prensa!$G$2:$G$5001,1),""))</f>
        <v>0</v>
      </c>
      <c r="E962" s="27">
        <f>IF(A962="","",IFERROR(AVERAGEIFS(Prensa!$B$2:$B$5001,Prensa!$E$2:$E$5001,N962,Prensa!$F$2:$F$5001,2,Prensa!$G$2:$G$5001,1),""))</f>
        <v>0</v>
      </c>
      <c r="F962" s="27">
        <f>IF(A962="","",IFERROR(AVERAGEIFS(Prensa!$B$2:$B$5001,Prensa!$E$2:$E$5001,N962,Prensa!$F$2:$F$5001,3,Prensa!$G$2:$G$5001,1),""))</f>
        <v>0</v>
      </c>
      <c r="G962" s="27">
        <f>IF(A962="","",IFERROR(AVERAGEIFS(Prensa!$B$2:$B$5001,Prensa!$E$2:$E$5001,N962,Prensa!$F$2:$F$5001,4,Prensa!$G$2:$G$5001,1),""))</f>
        <v>0</v>
      </c>
      <c r="H962" s="26">
        <f>IF(A962="","",COUNT(D962:G962))</f>
        <v>0</v>
      </c>
      <c r="I962" s="27">
        <f>IF(A962="","",IF(H962=0,"",AVERAGE(D962:G962)))</f>
        <v>0</v>
      </c>
      <c r="J962" s="27">
        <f>IF(OR(I962="",C962=""),"",I962-C962)</f>
        <v>0</v>
      </c>
      <c r="K962" s="26">
        <f>IF(A962="","",IF(MES!E962&lt;&gt;4,"Horário do MES fora do padrão",IF(H962&lt;cfgMinCortes,"Cortes insuficientes","Válida")))</f>
        <v>0</v>
      </c>
      <c r="L962" s="27">
        <f>IF(K962="Válida",ABS(J962),"")</f>
        <v>0</v>
      </c>
      <c r="M962" s="26">
        <f>IF(K962="Válida",IF(L962&lt;=cfgTolerancia,"Sim","Não"),"")</f>
        <v>0</v>
      </c>
      <c r="N962" s="26">
        <f>IF(A962="","",MES!D962)</f>
        <v>0</v>
      </c>
      <c r="O962" s="25">
        <f>IF(K962="Válida",A962,NA())</f>
        <v>0</v>
      </c>
      <c r="P962" s="27">
        <f>IF(K962="Válida",C962,NA())</f>
        <v>0</v>
      </c>
      <c r="Q962" s="27">
        <f>IF(K962="Válida",I962,NA())</f>
        <v>0</v>
      </c>
      <c r="R962" s="27">
        <f>IF(K962="Válida",J962,NA())</f>
        <v>0</v>
      </c>
      <c r="S962" s="27">
        <f>IF(K962="Válida",C962,"")</f>
        <v>0</v>
      </c>
      <c r="T962" s="27">
        <f>IF(K962="Válida",I962,"")</f>
        <v>0</v>
      </c>
      <c r="U962" s="27">
        <f>IF(K962="Válida",J962,"")</f>
        <v>0</v>
      </c>
    </row>
    <row r="963" spans="1:21">
      <c r="A963" s="25">
        <f>IF(MES!A963="","",MES!C963/48)</f>
        <v>0</v>
      </c>
      <c r="B963" s="26">
        <f>IF(A963="","",TEXT((N963*4+cfgDeslocamento)/48,"hh:mm")&amp;" a "&amp;TEXT(A963,"hh:mm"))</f>
        <v>0</v>
      </c>
      <c r="C963" s="27">
        <f>IF(A963="","",MES!B963)</f>
        <v>0</v>
      </c>
      <c r="D963" s="27">
        <f>IF(A963="","",IFERROR(AVERAGEIFS(Prensa!$B$2:$B$5001,Prensa!$E$2:$E$5001,N963,Prensa!$F$2:$F$5001,1,Prensa!$G$2:$G$5001,1),""))</f>
        <v>0</v>
      </c>
      <c r="E963" s="27">
        <f>IF(A963="","",IFERROR(AVERAGEIFS(Prensa!$B$2:$B$5001,Prensa!$E$2:$E$5001,N963,Prensa!$F$2:$F$5001,2,Prensa!$G$2:$G$5001,1),""))</f>
        <v>0</v>
      </c>
      <c r="F963" s="27">
        <f>IF(A963="","",IFERROR(AVERAGEIFS(Prensa!$B$2:$B$5001,Prensa!$E$2:$E$5001,N963,Prensa!$F$2:$F$5001,3,Prensa!$G$2:$G$5001,1),""))</f>
        <v>0</v>
      </c>
      <c r="G963" s="27">
        <f>IF(A963="","",IFERROR(AVERAGEIFS(Prensa!$B$2:$B$5001,Prensa!$E$2:$E$5001,N963,Prensa!$F$2:$F$5001,4,Prensa!$G$2:$G$5001,1),""))</f>
        <v>0</v>
      </c>
      <c r="H963" s="26">
        <f>IF(A963="","",COUNT(D963:G963))</f>
        <v>0</v>
      </c>
      <c r="I963" s="27">
        <f>IF(A963="","",IF(H963=0,"",AVERAGE(D963:G963)))</f>
        <v>0</v>
      </c>
      <c r="J963" s="27">
        <f>IF(OR(I963="",C963=""),"",I963-C963)</f>
        <v>0</v>
      </c>
      <c r="K963" s="26">
        <f>IF(A963="","",IF(MES!E963&lt;&gt;4,"Horário do MES fora do padrão",IF(H963&lt;cfgMinCortes,"Cortes insuficientes","Válida")))</f>
        <v>0</v>
      </c>
      <c r="L963" s="27">
        <f>IF(K963="Válida",ABS(J963),"")</f>
        <v>0</v>
      </c>
      <c r="M963" s="26">
        <f>IF(K963="Válida",IF(L963&lt;=cfgTolerancia,"Sim","Não"),"")</f>
        <v>0</v>
      </c>
      <c r="N963" s="26">
        <f>IF(A963="","",MES!D963)</f>
        <v>0</v>
      </c>
      <c r="O963" s="25">
        <f>IF(K963="Válida",A963,NA())</f>
        <v>0</v>
      </c>
      <c r="P963" s="27">
        <f>IF(K963="Válida",C963,NA())</f>
        <v>0</v>
      </c>
      <c r="Q963" s="27">
        <f>IF(K963="Válida",I963,NA())</f>
        <v>0</v>
      </c>
      <c r="R963" s="27">
        <f>IF(K963="Válida",J963,NA())</f>
        <v>0</v>
      </c>
      <c r="S963" s="27">
        <f>IF(K963="Válida",C963,"")</f>
        <v>0</v>
      </c>
      <c r="T963" s="27">
        <f>IF(K963="Válida",I963,"")</f>
        <v>0</v>
      </c>
      <c r="U963" s="27">
        <f>IF(K963="Válida",J963,"")</f>
        <v>0</v>
      </c>
    </row>
    <row r="964" spans="1:21">
      <c r="A964" s="25">
        <f>IF(MES!A964="","",MES!C964/48)</f>
        <v>0</v>
      </c>
      <c r="B964" s="26">
        <f>IF(A964="","",TEXT((N964*4+cfgDeslocamento)/48,"hh:mm")&amp;" a "&amp;TEXT(A964,"hh:mm"))</f>
        <v>0</v>
      </c>
      <c r="C964" s="27">
        <f>IF(A964="","",MES!B964)</f>
        <v>0</v>
      </c>
      <c r="D964" s="27">
        <f>IF(A964="","",IFERROR(AVERAGEIFS(Prensa!$B$2:$B$5001,Prensa!$E$2:$E$5001,N964,Prensa!$F$2:$F$5001,1,Prensa!$G$2:$G$5001,1),""))</f>
        <v>0</v>
      </c>
      <c r="E964" s="27">
        <f>IF(A964="","",IFERROR(AVERAGEIFS(Prensa!$B$2:$B$5001,Prensa!$E$2:$E$5001,N964,Prensa!$F$2:$F$5001,2,Prensa!$G$2:$G$5001,1),""))</f>
        <v>0</v>
      </c>
      <c r="F964" s="27">
        <f>IF(A964="","",IFERROR(AVERAGEIFS(Prensa!$B$2:$B$5001,Prensa!$E$2:$E$5001,N964,Prensa!$F$2:$F$5001,3,Prensa!$G$2:$G$5001,1),""))</f>
        <v>0</v>
      </c>
      <c r="G964" s="27">
        <f>IF(A964="","",IFERROR(AVERAGEIFS(Prensa!$B$2:$B$5001,Prensa!$E$2:$E$5001,N964,Prensa!$F$2:$F$5001,4,Prensa!$G$2:$G$5001,1),""))</f>
        <v>0</v>
      </c>
      <c r="H964" s="26">
        <f>IF(A964="","",COUNT(D964:G964))</f>
        <v>0</v>
      </c>
      <c r="I964" s="27">
        <f>IF(A964="","",IF(H964=0,"",AVERAGE(D964:G964)))</f>
        <v>0</v>
      </c>
      <c r="J964" s="27">
        <f>IF(OR(I964="",C964=""),"",I964-C964)</f>
        <v>0</v>
      </c>
      <c r="K964" s="26">
        <f>IF(A964="","",IF(MES!E964&lt;&gt;4,"Horário do MES fora do padrão",IF(H964&lt;cfgMinCortes,"Cortes insuficientes","Válida")))</f>
        <v>0</v>
      </c>
      <c r="L964" s="27">
        <f>IF(K964="Válida",ABS(J964),"")</f>
        <v>0</v>
      </c>
      <c r="M964" s="26">
        <f>IF(K964="Válida",IF(L964&lt;=cfgTolerancia,"Sim","Não"),"")</f>
        <v>0</v>
      </c>
      <c r="N964" s="26">
        <f>IF(A964="","",MES!D964)</f>
        <v>0</v>
      </c>
      <c r="O964" s="25">
        <f>IF(K964="Válida",A964,NA())</f>
        <v>0</v>
      </c>
      <c r="P964" s="27">
        <f>IF(K964="Válida",C964,NA())</f>
        <v>0</v>
      </c>
      <c r="Q964" s="27">
        <f>IF(K964="Válida",I964,NA())</f>
        <v>0</v>
      </c>
      <c r="R964" s="27">
        <f>IF(K964="Válida",J964,NA())</f>
        <v>0</v>
      </c>
      <c r="S964" s="27">
        <f>IF(K964="Válida",C964,"")</f>
        <v>0</v>
      </c>
      <c r="T964" s="27">
        <f>IF(K964="Válida",I964,"")</f>
        <v>0</v>
      </c>
      <c r="U964" s="27">
        <f>IF(K964="Válida",J964,"")</f>
        <v>0</v>
      </c>
    </row>
    <row r="965" spans="1:21">
      <c r="A965" s="25">
        <f>IF(MES!A965="","",MES!C965/48)</f>
        <v>0</v>
      </c>
      <c r="B965" s="26">
        <f>IF(A965="","",TEXT((N965*4+cfgDeslocamento)/48,"hh:mm")&amp;" a "&amp;TEXT(A965,"hh:mm"))</f>
        <v>0</v>
      </c>
      <c r="C965" s="27">
        <f>IF(A965="","",MES!B965)</f>
        <v>0</v>
      </c>
      <c r="D965" s="27">
        <f>IF(A965="","",IFERROR(AVERAGEIFS(Prensa!$B$2:$B$5001,Prensa!$E$2:$E$5001,N965,Prensa!$F$2:$F$5001,1,Prensa!$G$2:$G$5001,1),""))</f>
        <v>0</v>
      </c>
      <c r="E965" s="27">
        <f>IF(A965="","",IFERROR(AVERAGEIFS(Prensa!$B$2:$B$5001,Prensa!$E$2:$E$5001,N965,Prensa!$F$2:$F$5001,2,Prensa!$G$2:$G$5001,1),""))</f>
        <v>0</v>
      </c>
      <c r="F965" s="27">
        <f>IF(A965="","",IFERROR(AVERAGEIFS(Prensa!$B$2:$B$5001,Prensa!$E$2:$E$5001,N965,Prensa!$F$2:$F$5001,3,Prensa!$G$2:$G$5001,1),""))</f>
        <v>0</v>
      </c>
      <c r="G965" s="27">
        <f>IF(A965="","",IFERROR(AVERAGEIFS(Prensa!$B$2:$B$5001,Prensa!$E$2:$E$5001,N965,Prensa!$F$2:$F$5001,4,Prensa!$G$2:$G$5001,1),""))</f>
        <v>0</v>
      </c>
      <c r="H965" s="26">
        <f>IF(A965="","",COUNT(D965:G965))</f>
        <v>0</v>
      </c>
      <c r="I965" s="27">
        <f>IF(A965="","",IF(H965=0,"",AVERAGE(D965:G965)))</f>
        <v>0</v>
      </c>
      <c r="J965" s="27">
        <f>IF(OR(I965="",C965=""),"",I965-C965)</f>
        <v>0</v>
      </c>
      <c r="K965" s="26">
        <f>IF(A965="","",IF(MES!E965&lt;&gt;4,"Horário do MES fora do padrão",IF(H965&lt;cfgMinCortes,"Cortes insuficientes","Válida")))</f>
        <v>0</v>
      </c>
      <c r="L965" s="27">
        <f>IF(K965="Válida",ABS(J965),"")</f>
        <v>0</v>
      </c>
      <c r="M965" s="26">
        <f>IF(K965="Válida",IF(L965&lt;=cfgTolerancia,"Sim","Não"),"")</f>
        <v>0</v>
      </c>
      <c r="N965" s="26">
        <f>IF(A965="","",MES!D965)</f>
        <v>0</v>
      </c>
      <c r="O965" s="25">
        <f>IF(K965="Válida",A965,NA())</f>
        <v>0</v>
      </c>
      <c r="P965" s="27">
        <f>IF(K965="Válida",C965,NA())</f>
        <v>0</v>
      </c>
      <c r="Q965" s="27">
        <f>IF(K965="Válida",I965,NA())</f>
        <v>0</v>
      </c>
      <c r="R965" s="27">
        <f>IF(K965="Válida",J965,NA())</f>
        <v>0</v>
      </c>
      <c r="S965" s="27">
        <f>IF(K965="Válida",C965,"")</f>
        <v>0</v>
      </c>
      <c r="T965" s="27">
        <f>IF(K965="Válida",I965,"")</f>
        <v>0</v>
      </c>
      <c r="U965" s="27">
        <f>IF(K965="Válida",J965,"")</f>
        <v>0</v>
      </c>
    </row>
    <row r="966" spans="1:21">
      <c r="A966" s="25">
        <f>IF(MES!A966="","",MES!C966/48)</f>
        <v>0</v>
      </c>
      <c r="B966" s="26">
        <f>IF(A966="","",TEXT((N966*4+cfgDeslocamento)/48,"hh:mm")&amp;" a "&amp;TEXT(A966,"hh:mm"))</f>
        <v>0</v>
      </c>
      <c r="C966" s="27">
        <f>IF(A966="","",MES!B966)</f>
        <v>0</v>
      </c>
      <c r="D966" s="27">
        <f>IF(A966="","",IFERROR(AVERAGEIFS(Prensa!$B$2:$B$5001,Prensa!$E$2:$E$5001,N966,Prensa!$F$2:$F$5001,1,Prensa!$G$2:$G$5001,1),""))</f>
        <v>0</v>
      </c>
      <c r="E966" s="27">
        <f>IF(A966="","",IFERROR(AVERAGEIFS(Prensa!$B$2:$B$5001,Prensa!$E$2:$E$5001,N966,Prensa!$F$2:$F$5001,2,Prensa!$G$2:$G$5001,1),""))</f>
        <v>0</v>
      </c>
      <c r="F966" s="27">
        <f>IF(A966="","",IFERROR(AVERAGEIFS(Prensa!$B$2:$B$5001,Prensa!$E$2:$E$5001,N966,Prensa!$F$2:$F$5001,3,Prensa!$G$2:$G$5001,1),""))</f>
        <v>0</v>
      </c>
      <c r="G966" s="27">
        <f>IF(A966="","",IFERROR(AVERAGEIFS(Prensa!$B$2:$B$5001,Prensa!$E$2:$E$5001,N966,Prensa!$F$2:$F$5001,4,Prensa!$G$2:$G$5001,1),""))</f>
        <v>0</v>
      </c>
      <c r="H966" s="26">
        <f>IF(A966="","",COUNT(D966:G966))</f>
        <v>0</v>
      </c>
      <c r="I966" s="27">
        <f>IF(A966="","",IF(H966=0,"",AVERAGE(D966:G966)))</f>
        <v>0</v>
      </c>
      <c r="J966" s="27">
        <f>IF(OR(I966="",C966=""),"",I966-C966)</f>
        <v>0</v>
      </c>
      <c r="K966" s="26">
        <f>IF(A966="","",IF(MES!E966&lt;&gt;4,"Horário do MES fora do padrão",IF(H966&lt;cfgMinCortes,"Cortes insuficientes","Válida")))</f>
        <v>0</v>
      </c>
      <c r="L966" s="27">
        <f>IF(K966="Válida",ABS(J966),"")</f>
        <v>0</v>
      </c>
      <c r="M966" s="26">
        <f>IF(K966="Válida",IF(L966&lt;=cfgTolerancia,"Sim","Não"),"")</f>
        <v>0</v>
      </c>
      <c r="N966" s="26">
        <f>IF(A966="","",MES!D966)</f>
        <v>0</v>
      </c>
      <c r="O966" s="25">
        <f>IF(K966="Válida",A966,NA())</f>
        <v>0</v>
      </c>
      <c r="P966" s="27">
        <f>IF(K966="Válida",C966,NA())</f>
        <v>0</v>
      </c>
      <c r="Q966" s="27">
        <f>IF(K966="Válida",I966,NA())</f>
        <v>0</v>
      </c>
      <c r="R966" s="27">
        <f>IF(K966="Válida",J966,NA())</f>
        <v>0</v>
      </c>
      <c r="S966" s="27">
        <f>IF(K966="Válida",C966,"")</f>
        <v>0</v>
      </c>
      <c r="T966" s="27">
        <f>IF(K966="Válida",I966,"")</f>
        <v>0</v>
      </c>
      <c r="U966" s="27">
        <f>IF(K966="Válida",J966,"")</f>
        <v>0</v>
      </c>
    </row>
    <row r="967" spans="1:21">
      <c r="A967" s="25">
        <f>IF(MES!A967="","",MES!C967/48)</f>
        <v>0</v>
      </c>
      <c r="B967" s="26">
        <f>IF(A967="","",TEXT((N967*4+cfgDeslocamento)/48,"hh:mm")&amp;" a "&amp;TEXT(A967,"hh:mm"))</f>
        <v>0</v>
      </c>
      <c r="C967" s="27">
        <f>IF(A967="","",MES!B967)</f>
        <v>0</v>
      </c>
      <c r="D967" s="27">
        <f>IF(A967="","",IFERROR(AVERAGEIFS(Prensa!$B$2:$B$5001,Prensa!$E$2:$E$5001,N967,Prensa!$F$2:$F$5001,1,Prensa!$G$2:$G$5001,1),""))</f>
        <v>0</v>
      </c>
      <c r="E967" s="27">
        <f>IF(A967="","",IFERROR(AVERAGEIFS(Prensa!$B$2:$B$5001,Prensa!$E$2:$E$5001,N967,Prensa!$F$2:$F$5001,2,Prensa!$G$2:$G$5001,1),""))</f>
        <v>0</v>
      </c>
      <c r="F967" s="27">
        <f>IF(A967="","",IFERROR(AVERAGEIFS(Prensa!$B$2:$B$5001,Prensa!$E$2:$E$5001,N967,Prensa!$F$2:$F$5001,3,Prensa!$G$2:$G$5001,1),""))</f>
        <v>0</v>
      </c>
      <c r="G967" s="27">
        <f>IF(A967="","",IFERROR(AVERAGEIFS(Prensa!$B$2:$B$5001,Prensa!$E$2:$E$5001,N967,Prensa!$F$2:$F$5001,4,Prensa!$G$2:$G$5001,1),""))</f>
        <v>0</v>
      </c>
      <c r="H967" s="26">
        <f>IF(A967="","",COUNT(D967:G967))</f>
        <v>0</v>
      </c>
      <c r="I967" s="27">
        <f>IF(A967="","",IF(H967=0,"",AVERAGE(D967:G967)))</f>
        <v>0</v>
      </c>
      <c r="J967" s="27">
        <f>IF(OR(I967="",C967=""),"",I967-C967)</f>
        <v>0</v>
      </c>
      <c r="K967" s="26">
        <f>IF(A967="","",IF(MES!E967&lt;&gt;4,"Horário do MES fora do padrão",IF(H967&lt;cfgMinCortes,"Cortes insuficientes","Válida")))</f>
        <v>0</v>
      </c>
      <c r="L967" s="27">
        <f>IF(K967="Válida",ABS(J967),"")</f>
        <v>0</v>
      </c>
      <c r="M967" s="26">
        <f>IF(K967="Válida",IF(L967&lt;=cfgTolerancia,"Sim","Não"),"")</f>
        <v>0</v>
      </c>
      <c r="N967" s="26">
        <f>IF(A967="","",MES!D967)</f>
        <v>0</v>
      </c>
      <c r="O967" s="25">
        <f>IF(K967="Válida",A967,NA())</f>
        <v>0</v>
      </c>
      <c r="P967" s="27">
        <f>IF(K967="Válida",C967,NA())</f>
        <v>0</v>
      </c>
      <c r="Q967" s="27">
        <f>IF(K967="Válida",I967,NA())</f>
        <v>0</v>
      </c>
      <c r="R967" s="27">
        <f>IF(K967="Válida",J967,NA())</f>
        <v>0</v>
      </c>
      <c r="S967" s="27">
        <f>IF(K967="Válida",C967,"")</f>
        <v>0</v>
      </c>
      <c r="T967" s="27">
        <f>IF(K967="Válida",I967,"")</f>
        <v>0</v>
      </c>
      <c r="U967" s="27">
        <f>IF(K967="Válida",J967,"")</f>
        <v>0</v>
      </c>
    </row>
    <row r="968" spans="1:21">
      <c r="A968" s="25">
        <f>IF(MES!A968="","",MES!C968/48)</f>
        <v>0</v>
      </c>
      <c r="B968" s="26">
        <f>IF(A968="","",TEXT((N968*4+cfgDeslocamento)/48,"hh:mm")&amp;" a "&amp;TEXT(A968,"hh:mm"))</f>
        <v>0</v>
      </c>
      <c r="C968" s="27">
        <f>IF(A968="","",MES!B968)</f>
        <v>0</v>
      </c>
      <c r="D968" s="27">
        <f>IF(A968="","",IFERROR(AVERAGEIFS(Prensa!$B$2:$B$5001,Prensa!$E$2:$E$5001,N968,Prensa!$F$2:$F$5001,1,Prensa!$G$2:$G$5001,1),""))</f>
        <v>0</v>
      </c>
      <c r="E968" s="27">
        <f>IF(A968="","",IFERROR(AVERAGEIFS(Prensa!$B$2:$B$5001,Prensa!$E$2:$E$5001,N968,Prensa!$F$2:$F$5001,2,Prensa!$G$2:$G$5001,1),""))</f>
        <v>0</v>
      </c>
      <c r="F968" s="27">
        <f>IF(A968="","",IFERROR(AVERAGEIFS(Prensa!$B$2:$B$5001,Prensa!$E$2:$E$5001,N968,Prensa!$F$2:$F$5001,3,Prensa!$G$2:$G$5001,1),""))</f>
        <v>0</v>
      </c>
      <c r="G968" s="27">
        <f>IF(A968="","",IFERROR(AVERAGEIFS(Prensa!$B$2:$B$5001,Prensa!$E$2:$E$5001,N968,Prensa!$F$2:$F$5001,4,Prensa!$G$2:$G$5001,1),""))</f>
        <v>0</v>
      </c>
      <c r="H968" s="26">
        <f>IF(A968="","",COUNT(D968:G968))</f>
        <v>0</v>
      </c>
      <c r="I968" s="27">
        <f>IF(A968="","",IF(H968=0,"",AVERAGE(D968:G968)))</f>
        <v>0</v>
      </c>
      <c r="J968" s="27">
        <f>IF(OR(I968="",C968=""),"",I968-C968)</f>
        <v>0</v>
      </c>
      <c r="K968" s="26">
        <f>IF(A968="","",IF(MES!E968&lt;&gt;4,"Horário do MES fora do padrão",IF(H968&lt;cfgMinCortes,"Cortes insuficientes","Válida")))</f>
        <v>0</v>
      </c>
      <c r="L968" s="27">
        <f>IF(K968="Válida",ABS(J968),"")</f>
        <v>0</v>
      </c>
      <c r="M968" s="26">
        <f>IF(K968="Válida",IF(L968&lt;=cfgTolerancia,"Sim","Não"),"")</f>
        <v>0</v>
      </c>
      <c r="N968" s="26">
        <f>IF(A968="","",MES!D968)</f>
        <v>0</v>
      </c>
      <c r="O968" s="25">
        <f>IF(K968="Válida",A968,NA())</f>
        <v>0</v>
      </c>
      <c r="P968" s="27">
        <f>IF(K968="Válida",C968,NA())</f>
        <v>0</v>
      </c>
      <c r="Q968" s="27">
        <f>IF(K968="Válida",I968,NA())</f>
        <v>0</v>
      </c>
      <c r="R968" s="27">
        <f>IF(K968="Válida",J968,NA())</f>
        <v>0</v>
      </c>
      <c r="S968" s="27">
        <f>IF(K968="Válida",C968,"")</f>
        <v>0</v>
      </c>
      <c r="T968" s="27">
        <f>IF(K968="Válida",I968,"")</f>
        <v>0</v>
      </c>
      <c r="U968" s="27">
        <f>IF(K968="Válida",J968,"")</f>
        <v>0</v>
      </c>
    </row>
    <row r="969" spans="1:21">
      <c r="A969" s="25">
        <f>IF(MES!A969="","",MES!C969/48)</f>
        <v>0</v>
      </c>
      <c r="B969" s="26">
        <f>IF(A969="","",TEXT((N969*4+cfgDeslocamento)/48,"hh:mm")&amp;" a "&amp;TEXT(A969,"hh:mm"))</f>
        <v>0</v>
      </c>
      <c r="C969" s="27">
        <f>IF(A969="","",MES!B969)</f>
        <v>0</v>
      </c>
      <c r="D969" s="27">
        <f>IF(A969="","",IFERROR(AVERAGEIFS(Prensa!$B$2:$B$5001,Prensa!$E$2:$E$5001,N969,Prensa!$F$2:$F$5001,1,Prensa!$G$2:$G$5001,1),""))</f>
        <v>0</v>
      </c>
      <c r="E969" s="27">
        <f>IF(A969="","",IFERROR(AVERAGEIFS(Prensa!$B$2:$B$5001,Prensa!$E$2:$E$5001,N969,Prensa!$F$2:$F$5001,2,Prensa!$G$2:$G$5001,1),""))</f>
        <v>0</v>
      </c>
      <c r="F969" s="27">
        <f>IF(A969="","",IFERROR(AVERAGEIFS(Prensa!$B$2:$B$5001,Prensa!$E$2:$E$5001,N969,Prensa!$F$2:$F$5001,3,Prensa!$G$2:$G$5001,1),""))</f>
        <v>0</v>
      </c>
      <c r="G969" s="27">
        <f>IF(A969="","",IFERROR(AVERAGEIFS(Prensa!$B$2:$B$5001,Prensa!$E$2:$E$5001,N969,Prensa!$F$2:$F$5001,4,Prensa!$G$2:$G$5001,1),""))</f>
        <v>0</v>
      </c>
      <c r="H969" s="26">
        <f>IF(A969="","",COUNT(D969:G969))</f>
        <v>0</v>
      </c>
      <c r="I969" s="27">
        <f>IF(A969="","",IF(H969=0,"",AVERAGE(D969:G969)))</f>
        <v>0</v>
      </c>
      <c r="J969" s="27">
        <f>IF(OR(I969="",C969=""),"",I969-C969)</f>
        <v>0</v>
      </c>
      <c r="K969" s="26">
        <f>IF(A969="","",IF(MES!E969&lt;&gt;4,"Horário do MES fora do padrão",IF(H969&lt;cfgMinCortes,"Cortes insuficientes","Válida")))</f>
        <v>0</v>
      </c>
      <c r="L969" s="27">
        <f>IF(K969="Válida",ABS(J969),"")</f>
        <v>0</v>
      </c>
      <c r="M969" s="26">
        <f>IF(K969="Válida",IF(L969&lt;=cfgTolerancia,"Sim","Não"),"")</f>
        <v>0</v>
      </c>
      <c r="N969" s="26">
        <f>IF(A969="","",MES!D969)</f>
        <v>0</v>
      </c>
      <c r="O969" s="25">
        <f>IF(K969="Válida",A969,NA())</f>
        <v>0</v>
      </c>
      <c r="P969" s="27">
        <f>IF(K969="Válida",C969,NA())</f>
        <v>0</v>
      </c>
      <c r="Q969" s="27">
        <f>IF(K969="Válida",I969,NA())</f>
        <v>0</v>
      </c>
      <c r="R969" s="27">
        <f>IF(K969="Válida",J969,NA())</f>
        <v>0</v>
      </c>
      <c r="S969" s="27">
        <f>IF(K969="Válida",C969,"")</f>
        <v>0</v>
      </c>
      <c r="T969" s="27">
        <f>IF(K969="Válida",I969,"")</f>
        <v>0</v>
      </c>
      <c r="U969" s="27">
        <f>IF(K969="Válida",J969,"")</f>
        <v>0</v>
      </c>
    </row>
    <row r="970" spans="1:21">
      <c r="A970" s="25">
        <f>IF(MES!A970="","",MES!C970/48)</f>
        <v>0</v>
      </c>
      <c r="B970" s="26">
        <f>IF(A970="","",TEXT((N970*4+cfgDeslocamento)/48,"hh:mm")&amp;" a "&amp;TEXT(A970,"hh:mm"))</f>
        <v>0</v>
      </c>
      <c r="C970" s="27">
        <f>IF(A970="","",MES!B970)</f>
        <v>0</v>
      </c>
      <c r="D970" s="27">
        <f>IF(A970="","",IFERROR(AVERAGEIFS(Prensa!$B$2:$B$5001,Prensa!$E$2:$E$5001,N970,Prensa!$F$2:$F$5001,1,Prensa!$G$2:$G$5001,1),""))</f>
        <v>0</v>
      </c>
      <c r="E970" s="27">
        <f>IF(A970="","",IFERROR(AVERAGEIFS(Prensa!$B$2:$B$5001,Prensa!$E$2:$E$5001,N970,Prensa!$F$2:$F$5001,2,Prensa!$G$2:$G$5001,1),""))</f>
        <v>0</v>
      </c>
      <c r="F970" s="27">
        <f>IF(A970="","",IFERROR(AVERAGEIFS(Prensa!$B$2:$B$5001,Prensa!$E$2:$E$5001,N970,Prensa!$F$2:$F$5001,3,Prensa!$G$2:$G$5001,1),""))</f>
        <v>0</v>
      </c>
      <c r="G970" s="27">
        <f>IF(A970="","",IFERROR(AVERAGEIFS(Prensa!$B$2:$B$5001,Prensa!$E$2:$E$5001,N970,Prensa!$F$2:$F$5001,4,Prensa!$G$2:$G$5001,1),""))</f>
        <v>0</v>
      </c>
      <c r="H970" s="26">
        <f>IF(A970="","",COUNT(D970:G970))</f>
        <v>0</v>
      </c>
      <c r="I970" s="27">
        <f>IF(A970="","",IF(H970=0,"",AVERAGE(D970:G970)))</f>
        <v>0</v>
      </c>
      <c r="J970" s="27">
        <f>IF(OR(I970="",C970=""),"",I970-C970)</f>
        <v>0</v>
      </c>
      <c r="K970" s="26">
        <f>IF(A970="","",IF(MES!E970&lt;&gt;4,"Horário do MES fora do padrão",IF(H970&lt;cfgMinCortes,"Cortes insuficientes","Válida")))</f>
        <v>0</v>
      </c>
      <c r="L970" s="27">
        <f>IF(K970="Válida",ABS(J970),"")</f>
        <v>0</v>
      </c>
      <c r="M970" s="26">
        <f>IF(K970="Válida",IF(L970&lt;=cfgTolerancia,"Sim","Não"),"")</f>
        <v>0</v>
      </c>
      <c r="N970" s="26">
        <f>IF(A970="","",MES!D970)</f>
        <v>0</v>
      </c>
      <c r="O970" s="25">
        <f>IF(K970="Válida",A970,NA())</f>
        <v>0</v>
      </c>
      <c r="P970" s="27">
        <f>IF(K970="Válida",C970,NA())</f>
        <v>0</v>
      </c>
      <c r="Q970" s="27">
        <f>IF(K970="Válida",I970,NA())</f>
        <v>0</v>
      </c>
      <c r="R970" s="27">
        <f>IF(K970="Válida",J970,NA())</f>
        <v>0</v>
      </c>
      <c r="S970" s="27">
        <f>IF(K970="Válida",C970,"")</f>
        <v>0</v>
      </c>
      <c r="T970" s="27">
        <f>IF(K970="Válida",I970,"")</f>
        <v>0</v>
      </c>
      <c r="U970" s="27">
        <f>IF(K970="Válida",J970,"")</f>
        <v>0</v>
      </c>
    </row>
    <row r="971" spans="1:21">
      <c r="A971" s="25">
        <f>IF(MES!A971="","",MES!C971/48)</f>
        <v>0</v>
      </c>
      <c r="B971" s="26">
        <f>IF(A971="","",TEXT((N971*4+cfgDeslocamento)/48,"hh:mm")&amp;" a "&amp;TEXT(A971,"hh:mm"))</f>
        <v>0</v>
      </c>
      <c r="C971" s="27">
        <f>IF(A971="","",MES!B971)</f>
        <v>0</v>
      </c>
      <c r="D971" s="27">
        <f>IF(A971="","",IFERROR(AVERAGEIFS(Prensa!$B$2:$B$5001,Prensa!$E$2:$E$5001,N971,Prensa!$F$2:$F$5001,1,Prensa!$G$2:$G$5001,1),""))</f>
        <v>0</v>
      </c>
      <c r="E971" s="27">
        <f>IF(A971="","",IFERROR(AVERAGEIFS(Prensa!$B$2:$B$5001,Prensa!$E$2:$E$5001,N971,Prensa!$F$2:$F$5001,2,Prensa!$G$2:$G$5001,1),""))</f>
        <v>0</v>
      </c>
      <c r="F971" s="27">
        <f>IF(A971="","",IFERROR(AVERAGEIFS(Prensa!$B$2:$B$5001,Prensa!$E$2:$E$5001,N971,Prensa!$F$2:$F$5001,3,Prensa!$G$2:$G$5001,1),""))</f>
        <v>0</v>
      </c>
      <c r="G971" s="27">
        <f>IF(A971="","",IFERROR(AVERAGEIFS(Prensa!$B$2:$B$5001,Prensa!$E$2:$E$5001,N971,Prensa!$F$2:$F$5001,4,Prensa!$G$2:$G$5001,1),""))</f>
        <v>0</v>
      </c>
      <c r="H971" s="26">
        <f>IF(A971="","",COUNT(D971:G971))</f>
        <v>0</v>
      </c>
      <c r="I971" s="27">
        <f>IF(A971="","",IF(H971=0,"",AVERAGE(D971:G971)))</f>
        <v>0</v>
      </c>
      <c r="J971" s="27">
        <f>IF(OR(I971="",C971=""),"",I971-C971)</f>
        <v>0</v>
      </c>
      <c r="K971" s="26">
        <f>IF(A971="","",IF(MES!E971&lt;&gt;4,"Horário do MES fora do padrão",IF(H971&lt;cfgMinCortes,"Cortes insuficientes","Válida")))</f>
        <v>0</v>
      </c>
      <c r="L971" s="27">
        <f>IF(K971="Válida",ABS(J971),"")</f>
        <v>0</v>
      </c>
      <c r="M971" s="26">
        <f>IF(K971="Válida",IF(L971&lt;=cfgTolerancia,"Sim","Não"),"")</f>
        <v>0</v>
      </c>
      <c r="N971" s="26">
        <f>IF(A971="","",MES!D971)</f>
        <v>0</v>
      </c>
      <c r="O971" s="25">
        <f>IF(K971="Válida",A971,NA())</f>
        <v>0</v>
      </c>
      <c r="P971" s="27">
        <f>IF(K971="Válida",C971,NA())</f>
        <v>0</v>
      </c>
      <c r="Q971" s="27">
        <f>IF(K971="Válida",I971,NA())</f>
        <v>0</v>
      </c>
      <c r="R971" s="27">
        <f>IF(K971="Válida",J971,NA())</f>
        <v>0</v>
      </c>
      <c r="S971" s="27">
        <f>IF(K971="Válida",C971,"")</f>
        <v>0</v>
      </c>
      <c r="T971" s="27">
        <f>IF(K971="Válida",I971,"")</f>
        <v>0</v>
      </c>
      <c r="U971" s="27">
        <f>IF(K971="Válida",J971,"")</f>
        <v>0</v>
      </c>
    </row>
    <row r="972" spans="1:21">
      <c r="A972" s="25">
        <f>IF(MES!A972="","",MES!C972/48)</f>
        <v>0</v>
      </c>
      <c r="B972" s="26">
        <f>IF(A972="","",TEXT((N972*4+cfgDeslocamento)/48,"hh:mm")&amp;" a "&amp;TEXT(A972,"hh:mm"))</f>
        <v>0</v>
      </c>
      <c r="C972" s="27">
        <f>IF(A972="","",MES!B972)</f>
        <v>0</v>
      </c>
      <c r="D972" s="27">
        <f>IF(A972="","",IFERROR(AVERAGEIFS(Prensa!$B$2:$B$5001,Prensa!$E$2:$E$5001,N972,Prensa!$F$2:$F$5001,1,Prensa!$G$2:$G$5001,1),""))</f>
        <v>0</v>
      </c>
      <c r="E972" s="27">
        <f>IF(A972="","",IFERROR(AVERAGEIFS(Prensa!$B$2:$B$5001,Prensa!$E$2:$E$5001,N972,Prensa!$F$2:$F$5001,2,Prensa!$G$2:$G$5001,1),""))</f>
        <v>0</v>
      </c>
      <c r="F972" s="27">
        <f>IF(A972="","",IFERROR(AVERAGEIFS(Prensa!$B$2:$B$5001,Prensa!$E$2:$E$5001,N972,Prensa!$F$2:$F$5001,3,Prensa!$G$2:$G$5001,1),""))</f>
        <v>0</v>
      </c>
      <c r="G972" s="27">
        <f>IF(A972="","",IFERROR(AVERAGEIFS(Prensa!$B$2:$B$5001,Prensa!$E$2:$E$5001,N972,Prensa!$F$2:$F$5001,4,Prensa!$G$2:$G$5001,1),""))</f>
        <v>0</v>
      </c>
      <c r="H972" s="26">
        <f>IF(A972="","",COUNT(D972:G972))</f>
        <v>0</v>
      </c>
      <c r="I972" s="27">
        <f>IF(A972="","",IF(H972=0,"",AVERAGE(D972:G972)))</f>
        <v>0</v>
      </c>
      <c r="J972" s="27">
        <f>IF(OR(I972="",C972=""),"",I972-C972)</f>
        <v>0</v>
      </c>
      <c r="K972" s="26">
        <f>IF(A972="","",IF(MES!E972&lt;&gt;4,"Horário do MES fora do padrão",IF(H972&lt;cfgMinCortes,"Cortes insuficientes","Válida")))</f>
        <v>0</v>
      </c>
      <c r="L972" s="27">
        <f>IF(K972="Válida",ABS(J972),"")</f>
        <v>0</v>
      </c>
      <c r="M972" s="26">
        <f>IF(K972="Válida",IF(L972&lt;=cfgTolerancia,"Sim","Não"),"")</f>
        <v>0</v>
      </c>
      <c r="N972" s="26">
        <f>IF(A972="","",MES!D972)</f>
        <v>0</v>
      </c>
      <c r="O972" s="25">
        <f>IF(K972="Válida",A972,NA())</f>
        <v>0</v>
      </c>
      <c r="P972" s="27">
        <f>IF(K972="Válida",C972,NA())</f>
        <v>0</v>
      </c>
      <c r="Q972" s="27">
        <f>IF(K972="Válida",I972,NA())</f>
        <v>0</v>
      </c>
      <c r="R972" s="27">
        <f>IF(K972="Válida",J972,NA())</f>
        <v>0</v>
      </c>
      <c r="S972" s="27">
        <f>IF(K972="Válida",C972,"")</f>
        <v>0</v>
      </c>
      <c r="T972" s="27">
        <f>IF(K972="Válida",I972,"")</f>
        <v>0</v>
      </c>
      <c r="U972" s="27">
        <f>IF(K972="Válida",J972,"")</f>
        <v>0</v>
      </c>
    </row>
    <row r="973" spans="1:21">
      <c r="A973" s="25">
        <f>IF(MES!A973="","",MES!C973/48)</f>
        <v>0</v>
      </c>
      <c r="B973" s="26">
        <f>IF(A973="","",TEXT((N973*4+cfgDeslocamento)/48,"hh:mm")&amp;" a "&amp;TEXT(A973,"hh:mm"))</f>
        <v>0</v>
      </c>
      <c r="C973" s="27">
        <f>IF(A973="","",MES!B973)</f>
        <v>0</v>
      </c>
      <c r="D973" s="27">
        <f>IF(A973="","",IFERROR(AVERAGEIFS(Prensa!$B$2:$B$5001,Prensa!$E$2:$E$5001,N973,Prensa!$F$2:$F$5001,1,Prensa!$G$2:$G$5001,1),""))</f>
        <v>0</v>
      </c>
      <c r="E973" s="27">
        <f>IF(A973="","",IFERROR(AVERAGEIFS(Prensa!$B$2:$B$5001,Prensa!$E$2:$E$5001,N973,Prensa!$F$2:$F$5001,2,Prensa!$G$2:$G$5001,1),""))</f>
        <v>0</v>
      </c>
      <c r="F973" s="27">
        <f>IF(A973="","",IFERROR(AVERAGEIFS(Prensa!$B$2:$B$5001,Prensa!$E$2:$E$5001,N973,Prensa!$F$2:$F$5001,3,Prensa!$G$2:$G$5001,1),""))</f>
        <v>0</v>
      </c>
      <c r="G973" s="27">
        <f>IF(A973="","",IFERROR(AVERAGEIFS(Prensa!$B$2:$B$5001,Prensa!$E$2:$E$5001,N973,Prensa!$F$2:$F$5001,4,Prensa!$G$2:$G$5001,1),""))</f>
        <v>0</v>
      </c>
      <c r="H973" s="26">
        <f>IF(A973="","",COUNT(D973:G973))</f>
        <v>0</v>
      </c>
      <c r="I973" s="27">
        <f>IF(A973="","",IF(H973=0,"",AVERAGE(D973:G973)))</f>
        <v>0</v>
      </c>
      <c r="J973" s="27">
        <f>IF(OR(I973="",C973=""),"",I973-C973)</f>
        <v>0</v>
      </c>
      <c r="K973" s="26">
        <f>IF(A973="","",IF(MES!E973&lt;&gt;4,"Horário do MES fora do padrão",IF(H973&lt;cfgMinCortes,"Cortes insuficientes","Válida")))</f>
        <v>0</v>
      </c>
      <c r="L973" s="27">
        <f>IF(K973="Válida",ABS(J973),"")</f>
        <v>0</v>
      </c>
      <c r="M973" s="26">
        <f>IF(K973="Válida",IF(L973&lt;=cfgTolerancia,"Sim","Não"),"")</f>
        <v>0</v>
      </c>
      <c r="N973" s="26">
        <f>IF(A973="","",MES!D973)</f>
        <v>0</v>
      </c>
      <c r="O973" s="25">
        <f>IF(K973="Válida",A973,NA())</f>
        <v>0</v>
      </c>
      <c r="P973" s="27">
        <f>IF(K973="Válida",C973,NA())</f>
        <v>0</v>
      </c>
      <c r="Q973" s="27">
        <f>IF(K973="Válida",I973,NA())</f>
        <v>0</v>
      </c>
      <c r="R973" s="27">
        <f>IF(K973="Válida",J973,NA())</f>
        <v>0</v>
      </c>
      <c r="S973" s="27">
        <f>IF(K973="Válida",C973,"")</f>
        <v>0</v>
      </c>
      <c r="T973" s="27">
        <f>IF(K973="Válida",I973,"")</f>
        <v>0</v>
      </c>
      <c r="U973" s="27">
        <f>IF(K973="Válida",J973,"")</f>
        <v>0</v>
      </c>
    </row>
    <row r="974" spans="1:21">
      <c r="A974" s="25">
        <f>IF(MES!A974="","",MES!C974/48)</f>
        <v>0</v>
      </c>
      <c r="B974" s="26">
        <f>IF(A974="","",TEXT((N974*4+cfgDeslocamento)/48,"hh:mm")&amp;" a "&amp;TEXT(A974,"hh:mm"))</f>
        <v>0</v>
      </c>
      <c r="C974" s="27">
        <f>IF(A974="","",MES!B974)</f>
        <v>0</v>
      </c>
      <c r="D974" s="27">
        <f>IF(A974="","",IFERROR(AVERAGEIFS(Prensa!$B$2:$B$5001,Prensa!$E$2:$E$5001,N974,Prensa!$F$2:$F$5001,1,Prensa!$G$2:$G$5001,1),""))</f>
        <v>0</v>
      </c>
      <c r="E974" s="27">
        <f>IF(A974="","",IFERROR(AVERAGEIFS(Prensa!$B$2:$B$5001,Prensa!$E$2:$E$5001,N974,Prensa!$F$2:$F$5001,2,Prensa!$G$2:$G$5001,1),""))</f>
        <v>0</v>
      </c>
      <c r="F974" s="27">
        <f>IF(A974="","",IFERROR(AVERAGEIFS(Prensa!$B$2:$B$5001,Prensa!$E$2:$E$5001,N974,Prensa!$F$2:$F$5001,3,Prensa!$G$2:$G$5001,1),""))</f>
        <v>0</v>
      </c>
      <c r="G974" s="27">
        <f>IF(A974="","",IFERROR(AVERAGEIFS(Prensa!$B$2:$B$5001,Prensa!$E$2:$E$5001,N974,Prensa!$F$2:$F$5001,4,Prensa!$G$2:$G$5001,1),""))</f>
        <v>0</v>
      </c>
      <c r="H974" s="26">
        <f>IF(A974="","",COUNT(D974:G974))</f>
        <v>0</v>
      </c>
      <c r="I974" s="27">
        <f>IF(A974="","",IF(H974=0,"",AVERAGE(D974:G974)))</f>
        <v>0</v>
      </c>
      <c r="J974" s="27">
        <f>IF(OR(I974="",C974=""),"",I974-C974)</f>
        <v>0</v>
      </c>
      <c r="K974" s="26">
        <f>IF(A974="","",IF(MES!E974&lt;&gt;4,"Horário do MES fora do padrão",IF(H974&lt;cfgMinCortes,"Cortes insuficientes","Válida")))</f>
        <v>0</v>
      </c>
      <c r="L974" s="27">
        <f>IF(K974="Válida",ABS(J974),"")</f>
        <v>0</v>
      </c>
      <c r="M974" s="26">
        <f>IF(K974="Válida",IF(L974&lt;=cfgTolerancia,"Sim","Não"),"")</f>
        <v>0</v>
      </c>
      <c r="N974" s="26">
        <f>IF(A974="","",MES!D974)</f>
        <v>0</v>
      </c>
      <c r="O974" s="25">
        <f>IF(K974="Válida",A974,NA())</f>
        <v>0</v>
      </c>
      <c r="P974" s="27">
        <f>IF(K974="Válida",C974,NA())</f>
        <v>0</v>
      </c>
      <c r="Q974" s="27">
        <f>IF(K974="Válida",I974,NA())</f>
        <v>0</v>
      </c>
      <c r="R974" s="27">
        <f>IF(K974="Válida",J974,NA())</f>
        <v>0</v>
      </c>
      <c r="S974" s="27">
        <f>IF(K974="Válida",C974,"")</f>
        <v>0</v>
      </c>
      <c r="T974" s="27">
        <f>IF(K974="Válida",I974,"")</f>
        <v>0</v>
      </c>
      <c r="U974" s="27">
        <f>IF(K974="Válida",J974,"")</f>
        <v>0</v>
      </c>
    </row>
    <row r="975" spans="1:21">
      <c r="A975" s="25">
        <f>IF(MES!A975="","",MES!C975/48)</f>
        <v>0</v>
      </c>
      <c r="B975" s="26">
        <f>IF(A975="","",TEXT((N975*4+cfgDeslocamento)/48,"hh:mm")&amp;" a "&amp;TEXT(A975,"hh:mm"))</f>
        <v>0</v>
      </c>
      <c r="C975" s="27">
        <f>IF(A975="","",MES!B975)</f>
        <v>0</v>
      </c>
      <c r="D975" s="27">
        <f>IF(A975="","",IFERROR(AVERAGEIFS(Prensa!$B$2:$B$5001,Prensa!$E$2:$E$5001,N975,Prensa!$F$2:$F$5001,1,Prensa!$G$2:$G$5001,1),""))</f>
        <v>0</v>
      </c>
      <c r="E975" s="27">
        <f>IF(A975="","",IFERROR(AVERAGEIFS(Prensa!$B$2:$B$5001,Prensa!$E$2:$E$5001,N975,Prensa!$F$2:$F$5001,2,Prensa!$G$2:$G$5001,1),""))</f>
        <v>0</v>
      </c>
      <c r="F975" s="27">
        <f>IF(A975="","",IFERROR(AVERAGEIFS(Prensa!$B$2:$B$5001,Prensa!$E$2:$E$5001,N975,Prensa!$F$2:$F$5001,3,Prensa!$G$2:$G$5001,1),""))</f>
        <v>0</v>
      </c>
      <c r="G975" s="27">
        <f>IF(A975="","",IFERROR(AVERAGEIFS(Prensa!$B$2:$B$5001,Prensa!$E$2:$E$5001,N975,Prensa!$F$2:$F$5001,4,Prensa!$G$2:$G$5001,1),""))</f>
        <v>0</v>
      </c>
      <c r="H975" s="26">
        <f>IF(A975="","",COUNT(D975:G975))</f>
        <v>0</v>
      </c>
      <c r="I975" s="27">
        <f>IF(A975="","",IF(H975=0,"",AVERAGE(D975:G975)))</f>
        <v>0</v>
      </c>
      <c r="J975" s="27">
        <f>IF(OR(I975="",C975=""),"",I975-C975)</f>
        <v>0</v>
      </c>
      <c r="K975" s="26">
        <f>IF(A975="","",IF(MES!E975&lt;&gt;4,"Horário do MES fora do padrão",IF(H975&lt;cfgMinCortes,"Cortes insuficientes","Válida")))</f>
        <v>0</v>
      </c>
      <c r="L975" s="27">
        <f>IF(K975="Válida",ABS(J975),"")</f>
        <v>0</v>
      </c>
      <c r="M975" s="26">
        <f>IF(K975="Válida",IF(L975&lt;=cfgTolerancia,"Sim","Não"),"")</f>
        <v>0</v>
      </c>
      <c r="N975" s="26">
        <f>IF(A975="","",MES!D975)</f>
        <v>0</v>
      </c>
      <c r="O975" s="25">
        <f>IF(K975="Válida",A975,NA())</f>
        <v>0</v>
      </c>
      <c r="P975" s="27">
        <f>IF(K975="Válida",C975,NA())</f>
        <v>0</v>
      </c>
      <c r="Q975" s="27">
        <f>IF(K975="Válida",I975,NA())</f>
        <v>0</v>
      </c>
      <c r="R975" s="27">
        <f>IF(K975="Válida",J975,NA())</f>
        <v>0</v>
      </c>
      <c r="S975" s="27">
        <f>IF(K975="Válida",C975,"")</f>
        <v>0</v>
      </c>
      <c r="T975" s="27">
        <f>IF(K975="Válida",I975,"")</f>
        <v>0</v>
      </c>
      <c r="U975" s="27">
        <f>IF(K975="Válida",J975,"")</f>
        <v>0</v>
      </c>
    </row>
    <row r="976" spans="1:21">
      <c r="A976" s="25">
        <f>IF(MES!A976="","",MES!C976/48)</f>
        <v>0</v>
      </c>
      <c r="B976" s="26">
        <f>IF(A976="","",TEXT((N976*4+cfgDeslocamento)/48,"hh:mm")&amp;" a "&amp;TEXT(A976,"hh:mm"))</f>
        <v>0</v>
      </c>
      <c r="C976" s="27">
        <f>IF(A976="","",MES!B976)</f>
        <v>0</v>
      </c>
      <c r="D976" s="27">
        <f>IF(A976="","",IFERROR(AVERAGEIFS(Prensa!$B$2:$B$5001,Prensa!$E$2:$E$5001,N976,Prensa!$F$2:$F$5001,1,Prensa!$G$2:$G$5001,1),""))</f>
        <v>0</v>
      </c>
      <c r="E976" s="27">
        <f>IF(A976="","",IFERROR(AVERAGEIFS(Prensa!$B$2:$B$5001,Prensa!$E$2:$E$5001,N976,Prensa!$F$2:$F$5001,2,Prensa!$G$2:$G$5001,1),""))</f>
        <v>0</v>
      </c>
      <c r="F976" s="27">
        <f>IF(A976="","",IFERROR(AVERAGEIFS(Prensa!$B$2:$B$5001,Prensa!$E$2:$E$5001,N976,Prensa!$F$2:$F$5001,3,Prensa!$G$2:$G$5001,1),""))</f>
        <v>0</v>
      </c>
      <c r="G976" s="27">
        <f>IF(A976="","",IFERROR(AVERAGEIFS(Prensa!$B$2:$B$5001,Prensa!$E$2:$E$5001,N976,Prensa!$F$2:$F$5001,4,Prensa!$G$2:$G$5001,1),""))</f>
        <v>0</v>
      </c>
      <c r="H976" s="26">
        <f>IF(A976="","",COUNT(D976:G976))</f>
        <v>0</v>
      </c>
      <c r="I976" s="27">
        <f>IF(A976="","",IF(H976=0,"",AVERAGE(D976:G976)))</f>
        <v>0</v>
      </c>
      <c r="J976" s="27">
        <f>IF(OR(I976="",C976=""),"",I976-C976)</f>
        <v>0</v>
      </c>
      <c r="K976" s="26">
        <f>IF(A976="","",IF(MES!E976&lt;&gt;4,"Horário do MES fora do padrão",IF(H976&lt;cfgMinCortes,"Cortes insuficientes","Válida")))</f>
        <v>0</v>
      </c>
      <c r="L976" s="27">
        <f>IF(K976="Válida",ABS(J976),"")</f>
        <v>0</v>
      </c>
      <c r="M976" s="26">
        <f>IF(K976="Válida",IF(L976&lt;=cfgTolerancia,"Sim","Não"),"")</f>
        <v>0</v>
      </c>
      <c r="N976" s="26">
        <f>IF(A976="","",MES!D976)</f>
        <v>0</v>
      </c>
      <c r="O976" s="25">
        <f>IF(K976="Válida",A976,NA())</f>
        <v>0</v>
      </c>
      <c r="P976" s="27">
        <f>IF(K976="Válida",C976,NA())</f>
        <v>0</v>
      </c>
      <c r="Q976" s="27">
        <f>IF(K976="Válida",I976,NA())</f>
        <v>0</v>
      </c>
      <c r="R976" s="27">
        <f>IF(K976="Válida",J976,NA())</f>
        <v>0</v>
      </c>
      <c r="S976" s="27">
        <f>IF(K976="Válida",C976,"")</f>
        <v>0</v>
      </c>
      <c r="T976" s="27">
        <f>IF(K976="Válida",I976,"")</f>
        <v>0</v>
      </c>
      <c r="U976" s="27">
        <f>IF(K976="Válida",J976,"")</f>
        <v>0</v>
      </c>
    </row>
    <row r="977" spans="1:21">
      <c r="A977" s="25">
        <f>IF(MES!A977="","",MES!C977/48)</f>
        <v>0</v>
      </c>
      <c r="B977" s="26">
        <f>IF(A977="","",TEXT((N977*4+cfgDeslocamento)/48,"hh:mm")&amp;" a "&amp;TEXT(A977,"hh:mm"))</f>
        <v>0</v>
      </c>
      <c r="C977" s="27">
        <f>IF(A977="","",MES!B977)</f>
        <v>0</v>
      </c>
      <c r="D977" s="27">
        <f>IF(A977="","",IFERROR(AVERAGEIFS(Prensa!$B$2:$B$5001,Prensa!$E$2:$E$5001,N977,Prensa!$F$2:$F$5001,1,Prensa!$G$2:$G$5001,1),""))</f>
        <v>0</v>
      </c>
      <c r="E977" s="27">
        <f>IF(A977="","",IFERROR(AVERAGEIFS(Prensa!$B$2:$B$5001,Prensa!$E$2:$E$5001,N977,Prensa!$F$2:$F$5001,2,Prensa!$G$2:$G$5001,1),""))</f>
        <v>0</v>
      </c>
      <c r="F977" s="27">
        <f>IF(A977="","",IFERROR(AVERAGEIFS(Prensa!$B$2:$B$5001,Prensa!$E$2:$E$5001,N977,Prensa!$F$2:$F$5001,3,Prensa!$G$2:$G$5001,1),""))</f>
        <v>0</v>
      </c>
      <c r="G977" s="27">
        <f>IF(A977="","",IFERROR(AVERAGEIFS(Prensa!$B$2:$B$5001,Prensa!$E$2:$E$5001,N977,Prensa!$F$2:$F$5001,4,Prensa!$G$2:$G$5001,1),""))</f>
        <v>0</v>
      </c>
      <c r="H977" s="26">
        <f>IF(A977="","",COUNT(D977:G977))</f>
        <v>0</v>
      </c>
      <c r="I977" s="27">
        <f>IF(A977="","",IF(H977=0,"",AVERAGE(D977:G977)))</f>
        <v>0</v>
      </c>
      <c r="J977" s="27">
        <f>IF(OR(I977="",C977=""),"",I977-C977)</f>
        <v>0</v>
      </c>
      <c r="K977" s="26">
        <f>IF(A977="","",IF(MES!E977&lt;&gt;4,"Horário do MES fora do padrão",IF(H977&lt;cfgMinCortes,"Cortes insuficientes","Válida")))</f>
        <v>0</v>
      </c>
      <c r="L977" s="27">
        <f>IF(K977="Válida",ABS(J977),"")</f>
        <v>0</v>
      </c>
      <c r="M977" s="26">
        <f>IF(K977="Válida",IF(L977&lt;=cfgTolerancia,"Sim","Não"),"")</f>
        <v>0</v>
      </c>
      <c r="N977" s="26">
        <f>IF(A977="","",MES!D977)</f>
        <v>0</v>
      </c>
      <c r="O977" s="25">
        <f>IF(K977="Válida",A977,NA())</f>
        <v>0</v>
      </c>
      <c r="P977" s="27">
        <f>IF(K977="Válida",C977,NA())</f>
        <v>0</v>
      </c>
      <c r="Q977" s="27">
        <f>IF(K977="Válida",I977,NA())</f>
        <v>0</v>
      </c>
      <c r="R977" s="27">
        <f>IF(K977="Válida",J977,NA())</f>
        <v>0</v>
      </c>
      <c r="S977" s="27">
        <f>IF(K977="Válida",C977,"")</f>
        <v>0</v>
      </c>
      <c r="T977" s="27">
        <f>IF(K977="Válida",I977,"")</f>
        <v>0</v>
      </c>
      <c r="U977" s="27">
        <f>IF(K977="Válida",J977,"")</f>
        <v>0</v>
      </c>
    </row>
    <row r="978" spans="1:21">
      <c r="A978" s="25">
        <f>IF(MES!A978="","",MES!C978/48)</f>
        <v>0</v>
      </c>
      <c r="B978" s="26">
        <f>IF(A978="","",TEXT((N978*4+cfgDeslocamento)/48,"hh:mm")&amp;" a "&amp;TEXT(A978,"hh:mm"))</f>
        <v>0</v>
      </c>
      <c r="C978" s="27">
        <f>IF(A978="","",MES!B978)</f>
        <v>0</v>
      </c>
      <c r="D978" s="27">
        <f>IF(A978="","",IFERROR(AVERAGEIFS(Prensa!$B$2:$B$5001,Prensa!$E$2:$E$5001,N978,Prensa!$F$2:$F$5001,1,Prensa!$G$2:$G$5001,1),""))</f>
        <v>0</v>
      </c>
      <c r="E978" s="27">
        <f>IF(A978="","",IFERROR(AVERAGEIFS(Prensa!$B$2:$B$5001,Prensa!$E$2:$E$5001,N978,Prensa!$F$2:$F$5001,2,Prensa!$G$2:$G$5001,1),""))</f>
        <v>0</v>
      </c>
      <c r="F978" s="27">
        <f>IF(A978="","",IFERROR(AVERAGEIFS(Prensa!$B$2:$B$5001,Prensa!$E$2:$E$5001,N978,Prensa!$F$2:$F$5001,3,Prensa!$G$2:$G$5001,1),""))</f>
        <v>0</v>
      </c>
      <c r="G978" s="27">
        <f>IF(A978="","",IFERROR(AVERAGEIFS(Prensa!$B$2:$B$5001,Prensa!$E$2:$E$5001,N978,Prensa!$F$2:$F$5001,4,Prensa!$G$2:$G$5001,1),""))</f>
        <v>0</v>
      </c>
      <c r="H978" s="26">
        <f>IF(A978="","",COUNT(D978:G978))</f>
        <v>0</v>
      </c>
      <c r="I978" s="27">
        <f>IF(A978="","",IF(H978=0,"",AVERAGE(D978:G978)))</f>
        <v>0</v>
      </c>
      <c r="J978" s="27">
        <f>IF(OR(I978="",C978=""),"",I978-C978)</f>
        <v>0</v>
      </c>
      <c r="K978" s="26">
        <f>IF(A978="","",IF(MES!E978&lt;&gt;4,"Horário do MES fora do padrão",IF(H978&lt;cfgMinCortes,"Cortes insuficientes","Válida")))</f>
        <v>0</v>
      </c>
      <c r="L978" s="27">
        <f>IF(K978="Válida",ABS(J978),"")</f>
        <v>0</v>
      </c>
      <c r="M978" s="26">
        <f>IF(K978="Válida",IF(L978&lt;=cfgTolerancia,"Sim","Não"),"")</f>
        <v>0</v>
      </c>
      <c r="N978" s="26">
        <f>IF(A978="","",MES!D978)</f>
        <v>0</v>
      </c>
      <c r="O978" s="25">
        <f>IF(K978="Válida",A978,NA())</f>
        <v>0</v>
      </c>
      <c r="P978" s="27">
        <f>IF(K978="Válida",C978,NA())</f>
        <v>0</v>
      </c>
      <c r="Q978" s="27">
        <f>IF(K978="Válida",I978,NA())</f>
        <v>0</v>
      </c>
      <c r="R978" s="27">
        <f>IF(K978="Válida",J978,NA())</f>
        <v>0</v>
      </c>
      <c r="S978" s="27">
        <f>IF(K978="Válida",C978,"")</f>
        <v>0</v>
      </c>
      <c r="T978" s="27">
        <f>IF(K978="Válida",I978,"")</f>
        <v>0</v>
      </c>
      <c r="U978" s="27">
        <f>IF(K978="Válida",J978,"")</f>
        <v>0</v>
      </c>
    </row>
    <row r="979" spans="1:21">
      <c r="A979" s="25">
        <f>IF(MES!A979="","",MES!C979/48)</f>
        <v>0</v>
      </c>
      <c r="B979" s="26">
        <f>IF(A979="","",TEXT((N979*4+cfgDeslocamento)/48,"hh:mm")&amp;" a "&amp;TEXT(A979,"hh:mm"))</f>
        <v>0</v>
      </c>
      <c r="C979" s="27">
        <f>IF(A979="","",MES!B979)</f>
        <v>0</v>
      </c>
      <c r="D979" s="27">
        <f>IF(A979="","",IFERROR(AVERAGEIFS(Prensa!$B$2:$B$5001,Prensa!$E$2:$E$5001,N979,Prensa!$F$2:$F$5001,1,Prensa!$G$2:$G$5001,1),""))</f>
        <v>0</v>
      </c>
      <c r="E979" s="27">
        <f>IF(A979="","",IFERROR(AVERAGEIFS(Prensa!$B$2:$B$5001,Prensa!$E$2:$E$5001,N979,Prensa!$F$2:$F$5001,2,Prensa!$G$2:$G$5001,1),""))</f>
        <v>0</v>
      </c>
      <c r="F979" s="27">
        <f>IF(A979="","",IFERROR(AVERAGEIFS(Prensa!$B$2:$B$5001,Prensa!$E$2:$E$5001,N979,Prensa!$F$2:$F$5001,3,Prensa!$G$2:$G$5001,1),""))</f>
        <v>0</v>
      </c>
      <c r="G979" s="27">
        <f>IF(A979="","",IFERROR(AVERAGEIFS(Prensa!$B$2:$B$5001,Prensa!$E$2:$E$5001,N979,Prensa!$F$2:$F$5001,4,Prensa!$G$2:$G$5001,1),""))</f>
        <v>0</v>
      </c>
      <c r="H979" s="26">
        <f>IF(A979="","",COUNT(D979:G979))</f>
        <v>0</v>
      </c>
      <c r="I979" s="27">
        <f>IF(A979="","",IF(H979=0,"",AVERAGE(D979:G979)))</f>
        <v>0</v>
      </c>
      <c r="J979" s="27">
        <f>IF(OR(I979="",C979=""),"",I979-C979)</f>
        <v>0</v>
      </c>
      <c r="K979" s="26">
        <f>IF(A979="","",IF(MES!E979&lt;&gt;4,"Horário do MES fora do padrão",IF(H979&lt;cfgMinCortes,"Cortes insuficientes","Válida")))</f>
        <v>0</v>
      </c>
      <c r="L979" s="27">
        <f>IF(K979="Válida",ABS(J979),"")</f>
        <v>0</v>
      </c>
      <c r="M979" s="26">
        <f>IF(K979="Válida",IF(L979&lt;=cfgTolerancia,"Sim","Não"),"")</f>
        <v>0</v>
      </c>
      <c r="N979" s="26">
        <f>IF(A979="","",MES!D979)</f>
        <v>0</v>
      </c>
      <c r="O979" s="25">
        <f>IF(K979="Válida",A979,NA())</f>
        <v>0</v>
      </c>
      <c r="P979" s="27">
        <f>IF(K979="Válida",C979,NA())</f>
        <v>0</v>
      </c>
      <c r="Q979" s="27">
        <f>IF(K979="Válida",I979,NA())</f>
        <v>0</v>
      </c>
      <c r="R979" s="27">
        <f>IF(K979="Válida",J979,NA())</f>
        <v>0</v>
      </c>
      <c r="S979" s="27">
        <f>IF(K979="Válida",C979,"")</f>
        <v>0</v>
      </c>
      <c r="T979" s="27">
        <f>IF(K979="Válida",I979,"")</f>
        <v>0</v>
      </c>
      <c r="U979" s="27">
        <f>IF(K979="Válida",J979,"")</f>
        <v>0</v>
      </c>
    </row>
    <row r="980" spans="1:21">
      <c r="A980" s="25">
        <f>IF(MES!A980="","",MES!C980/48)</f>
        <v>0</v>
      </c>
      <c r="B980" s="26">
        <f>IF(A980="","",TEXT((N980*4+cfgDeslocamento)/48,"hh:mm")&amp;" a "&amp;TEXT(A980,"hh:mm"))</f>
        <v>0</v>
      </c>
      <c r="C980" s="27">
        <f>IF(A980="","",MES!B980)</f>
        <v>0</v>
      </c>
      <c r="D980" s="27">
        <f>IF(A980="","",IFERROR(AVERAGEIFS(Prensa!$B$2:$B$5001,Prensa!$E$2:$E$5001,N980,Prensa!$F$2:$F$5001,1,Prensa!$G$2:$G$5001,1),""))</f>
        <v>0</v>
      </c>
      <c r="E980" s="27">
        <f>IF(A980="","",IFERROR(AVERAGEIFS(Prensa!$B$2:$B$5001,Prensa!$E$2:$E$5001,N980,Prensa!$F$2:$F$5001,2,Prensa!$G$2:$G$5001,1),""))</f>
        <v>0</v>
      </c>
      <c r="F980" s="27">
        <f>IF(A980="","",IFERROR(AVERAGEIFS(Prensa!$B$2:$B$5001,Prensa!$E$2:$E$5001,N980,Prensa!$F$2:$F$5001,3,Prensa!$G$2:$G$5001,1),""))</f>
        <v>0</v>
      </c>
      <c r="G980" s="27">
        <f>IF(A980="","",IFERROR(AVERAGEIFS(Prensa!$B$2:$B$5001,Prensa!$E$2:$E$5001,N980,Prensa!$F$2:$F$5001,4,Prensa!$G$2:$G$5001,1),""))</f>
        <v>0</v>
      </c>
      <c r="H980" s="26">
        <f>IF(A980="","",COUNT(D980:G980))</f>
        <v>0</v>
      </c>
      <c r="I980" s="27">
        <f>IF(A980="","",IF(H980=0,"",AVERAGE(D980:G980)))</f>
        <v>0</v>
      </c>
      <c r="J980" s="27">
        <f>IF(OR(I980="",C980=""),"",I980-C980)</f>
        <v>0</v>
      </c>
      <c r="K980" s="26">
        <f>IF(A980="","",IF(MES!E980&lt;&gt;4,"Horário do MES fora do padrão",IF(H980&lt;cfgMinCortes,"Cortes insuficientes","Válida")))</f>
        <v>0</v>
      </c>
      <c r="L980" s="27">
        <f>IF(K980="Válida",ABS(J980),"")</f>
        <v>0</v>
      </c>
      <c r="M980" s="26">
        <f>IF(K980="Válida",IF(L980&lt;=cfgTolerancia,"Sim","Não"),"")</f>
        <v>0</v>
      </c>
      <c r="N980" s="26">
        <f>IF(A980="","",MES!D980)</f>
        <v>0</v>
      </c>
      <c r="O980" s="25">
        <f>IF(K980="Válida",A980,NA())</f>
        <v>0</v>
      </c>
      <c r="P980" s="27">
        <f>IF(K980="Válida",C980,NA())</f>
        <v>0</v>
      </c>
      <c r="Q980" s="27">
        <f>IF(K980="Válida",I980,NA())</f>
        <v>0</v>
      </c>
      <c r="R980" s="27">
        <f>IF(K980="Válida",J980,NA())</f>
        <v>0</v>
      </c>
      <c r="S980" s="27">
        <f>IF(K980="Válida",C980,"")</f>
        <v>0</v>
      </c>
      <c r="T980" s="27">
        <f>IF(K980="Válida",I980,"")</f>
        <v>0</v>
      </c>
      <c r="U980" s="27">
        <f>IF(K980="Válida",J980,"")</f>
        <v>0</v>
      </c>
    </row>
    <row r="981" spans="1:21">
      <c r="A981" s="25">
        <f>IF(MES!A981="","",MES!C981/48)</f>
        <v>0</v>
      </c>
      <c r="B981" s="26">
        <f>IF(A981="","",TEXT((N981*4+cfgDeslocamento)/48,"hh:mm")&amp;" a "&amp;TEXT(A981,"hh:mm"))</f>
        <v>0</v>
      </c>
      <c r="C981" s="27">
        <f>IF(A981="","",MES!B981)</f>
        <v>0</v>
      </c>
      <c r="D981" s="27">
        <f>IF(A981="","",IFERROR(AVERAGEIFS(Prensa!$B$2:$B$5001,Prensa!$E$2:$E$5001,N981,Prensa!$F$2:$F$5001,1,Prensa!$G$2:$G$5001,1),""))</f>
        <v>0</v>
      </c>
      <c r="E981" s="27">
        <f>IF(A981="","",IFERROR(AVERAGEIFS(Prensa!$B$2:$B$5001,Prensa!$E$2:$E$5001,N981,Prensa!$F$2:$F$5001,2,Prensa!$G$2:$G$5001,1),""))</f>
        <v>0</v>
      </c>
      <c r="F981" s="27">
        <f>IF(A981="","",IFERROR(AVERAGEIFS(Prensa!$B$2:$B$5001,Prensa!$E$2:$E$5001,N981,Prensa!$F$2:$F$5001,3,Prensa!$G$2:$G$5001,1),""))</f>
        <v>0</v>
      </c>
      <c r="G981" s="27">
        <f>IF(A981="","",IFERROR(AVERAGEIFS(Prensa!$B$2:$B$5001,Prensa!$E$2:$E$5001,N981,Prensa!$F$2:$F$5001,4,Prensa!$G$2:$G$5001,1),""))</f>
        <v>0</v>
      </c>
      <c r="H981" s="26">
        <f>IF(A981="","",COUNT(D981:G981))</f>
        <v>0</v>
      </c>
      <c r="I981" s="27">
        <f>IF(A981="","",IF(H981=0,"",AVERAGE(D981:G981)))</f>
        <v>0</v>
      </c>
      <c r="J981" s="27">
        <f>IF(OR(I981="",C981=""),"",I981-C981)</f>
        <v>0</v>
      </c>
      <c r="K981" s="26">
        <f>IF(A981="","",IF(MES!E981&lt;&gt;4,"Horário do MES fora do padrão",IF(H981&lt;cfgMinCortes,"Cortes insuficientes","Válida")))</f>
        <v>0</v>
      </c>
      <c r="L981" s="27">
        <f>IF(K981="Válida",ABS(J981),"")</f>
        <v>0</v>
      </c>
      <c r="M981" s="26">
        <f>IF(K981="Válida",IF(L981&lt;=cfgTolerancia,"Sim","Não"),"")</f>
        <v>0</v>
      </c>
      <c r="N981" s="26">
        <f>IF(A981="","",MES!D981)</f>
        <v>0</v>
      </c>
      <c r="O981" s="25">
        <f>IF(K981="Válida",A981,NA())</f>
        <v>0</v>
      </c>
      <c r="P981" s="27">
        <f>IF(K981="Válida",C981,NA())</f>
        <v>0</v>
      </c>
      <c r="Q981" s="27">
        <f>IF(K981="Válida",I981,NA())</f>
        <v>0</v>
      </c>
      <c r="R981" s="27">
        <f>IF(K981="Válida",J981,NA())</f>
        <v>0</v>
      </c>
      <c r="S981" s="27">
        <f>IF(K981="Válida",C981,"")</f>
        <v>0</v>
      </c>
      <c r="T981" s="27">
        <f>IF(K981="Válida",I981,"")</f>
        <v>0</v>
      </c>
      <c r="U981" s="27">
        <f>IF(K981="Válida",J981,"")</f>
        <v>0</v>
      </c>
    </row>
    <row r="982" spans="1:21">
      <c r="A982" s="25">
        <f>IF(MES!A982="","",MES!C982/48)</f>
        <v>0</v>
      </c>
      <c r="B982" s="26">
        <f>IF(A982="","",TEXT((N982*4+cfgDeslocamento)/48,"hh:mm")&amp;" a "&amp;TEXT(A982,"hh:mm"))</f>
        <v>0</v>
      </c>
      <c r="C982" s="27">
        <f>IF(A982="","",MES!B982)</f>
        <v>0</v>
      </c>
      <c r="D982" s="27">
        <f>IF(A982="","",IFERROR(AVERAGEIFS(Prensa!$B$2:$B$5001,Prensa!$E$2:$E$5001,N982,Prensa!$F$2:$F$5001,1,Prensa!$G$2:$G$5001,1),""))</f>
        <v>0</v>
      </c>
      <c r="E982" s="27">
        <f>IF(A982="","",IFERROR(AVERAGEIFS(Prensa!$B$2:$B$5001,Prensa!$E$2:$E$5001,N982,Prensa!$F$2:$F$5001,2,Prensa!$G$2:$G$5001,1),""))</f>
        <v>0</v>
      </c>
      <c r="F982" s="27">
        <f>IF(A982="","",IFERROR(AVERAGEIFS(Prensa!$B$2:$B$5001,Prensa!$E$2:$E$5001,N982,Prensa!$F$2:$F$5001,3,Prensa!$G$2:$G$5001,1),""))</f>
        <v>0</v>
      </c>
      <c r="G982" s="27">
        <f>IF(A982="","",IFERROR(AVERAGEIFS(Prensa!$B$2:$B$5001,Prensa!$E$2:$E$5001,N982,Prensa!$F$2:$F$5001,4,Prensa!$G$2:$G$5001,1),""))</f>
        <v>0</v>
      </c>
      <c r="H982" s="26">
        <f>IF(A982="","",COUNT(D982:G982))</f>
        <v>0</v>
      </c>
      <c r="I982" s="27">
        <f>IF(A982="","",IF(H982=0,"",AVERAGE(D982:G982)))</f>
        <v>0</v>
      </c>
      <c r="J982" s="27">
        <f>IF(OR(I982="",C982=""),"",I982-C982)</f>
        <v>0</v>
      </c>
      <c r="K982" s="26">
        <f>IF(A982="","",IF(MES!E982&lt;&gt;4,"Horário do MES fora do padrão",IF(H982&lt;cfgMinCortes,"Cortes insuficientes","Válida")))</f>
        <v>0</v>
      </c>
      <c r="L982" s="27">
        <f>IF(K982="Válida",ABS(J982),"")</f>
        <v>0</v>
      </c>
      <c r="M982" s="26">
        <f>IF(K982="Válida",IF(L982&lt;=cfgTolerancia,"Sim","Não"),"")</f>
        <v>0</v>
      </c>
      <c r="N982" s="26">
        <f>IF(A982="","",MES!D982)</f>
        <v>0</v>
      </c>
      <c r="O982" s="25">
        <f>IF(K982="Válida",A982,NA())</f>
        <v>0</v>
      </c>
      <c r="P982" s="27">
        <f>IF(K982="Válida",C982,NA())</f>
        <v>0</v>
      </c>
      <c r="Q982" s="27">
        <f>IF(K982="Válida",I982,NA())</f>
        <v>0</v>
      </c>
      <c r="R982" s="27">
        <f>IF(K982="Válida",J982,NA())</f>
        <v>0</v>
      </c>
      <c r="S982" s="27">
        <f>IF(K982="Válida",C982,"")</f>
        <v>0</v>
      </c>
      <c r="T982" s="27">
        <f>IF(K982="Válida",I982,"")</f>
        <v>0</v>
      </c>
      <c r="U982" s="27">
        <f>IF(K982="Válida",J982,"")</f>
        <v>0</v>
      </c>
    </row>
    <row r="983" spans="1:21">
      <c r="A983" s="25">
        <f>IF(MES!A983="","",MES!C983/48)</f>
        <v>0</v>
      </c>
      <c r="B983" s="26">
        <f>IF(A983="","",TEXT((N983*4+cfgDeslocamento)/48,"hh:mm")&amp;" a "&amp;TEXT(A983,"hh:mm"))</f>
        <v>0</v>
      </c>
      <c r="C983" s="27">
        <f>IF(A983="","",MES!B983)</f>
        <v>0</v>
      </c>
      <c r="D983" s="27">
        <f>IF(A983="","",IFERROR(AVERAGEIFS(Prensa!$B$2:$B$5001,Prensa!$E$2:$E$5001,N983,Prensa!$F$2:$F$5001,1,Prensa!$G$2:$G$5001,1),""))</f>
        <v>0</v>
      </c>
      <c r="E983" s="27">
        <f>IF(A983="","",IFERROR(AVERAGEIFS(Prensa!$B$2:$B$5001,Prensa!$E$2:$E$5001,N983,Prensa!$F$2:$F$5001,2,Prensa!$G$2:$G$5001,1),""))</f>
        <v>0</v>
      </c>
      <c r="F983" s="27">
        <f>IF(A983="","",IFERROR(AVERAGEIFS(Prensa!$B$2:$B$5001,Prensa!$E$2:$E$5001,N983,Prensa!$F$2:$F$5001,3,Prensa!$G$2:$G$5001,1),""))</f>
        <v>0</v>
      </c>
      <c r="G983" s="27">
        <f>IF(A983="","",IFERROR(AVERAGEIFS(Prensa!$B$2:$B$5001,Prensa!$E$2:$E$5001,N983,Prensa!$F$2:$F$5001,4,Prensa!$G$2:$G$5001,1),""))</f>
        <v>0</v>
      </c>
      <c r="H983" s="26">
        <f>IF(A983="","",COUNT(D983:G983))</f>
        <v>0</v>
      </c>
      <c r="I983" s="27">
        <f>IF(A983="","",IF(H983=0,"",AVERAGE(D983:G983)))</f>
        <v>0</v>
      </c>
      <c r="J983" s="27">
        <f>IF(OR(I983="",C983=""),"",I983-C983)</f>
        <v>0</v>
      </c>
      <c r="K983" s="26">
        <f>IF(A983="","",IF(MES!E983&lt;&gt;4,"Horário do MES fora do padrão",IF(H983&lt;cfgMinCortes,"Cortes insuficientes","Válida")))</f>
        <v>0</v>
      </c>
      <c r="L983" s="27">
        <f>IF(K983="Válida",ABS(J983),"")</f>
        <v>0</v>
      </c>
      <c r="M983" s="26">
        <f>IF(K983="Válida",IF(L983&lt;=cfgTolerancia,"Sim","Não"),"")</f>
        <v>0</v>
      </c>
      <c r="N983" s="26">
        <f>IF(A983="","",MES!D983)</f>
        <v>0</v>
      </c>
      <c r="O983" s="25">
        <f>IF(K983="Válida",A983,NA())</f>
        <v>0</v>
      </c>
      <c r="P983" s="27">
        <f>IF(K983="Válida",C983,NA())</f>
        <v>0</v>
      </c>
      <c r="Q983" s="27">
        <f>IF(K983="Válida",I983,NA())</f>
        <v>0</v>
      </c>
      <c r="R983" s="27">
        <f>IF(K983="Válida",J983,NA())</f>
        <v>0</v>
      </c>
      <c r="S983" s="27">
        <f>IF(K983="Válida",C983,"")</f>
        <v>0</v>
      </c>
      <c r="T983" s="27">
        <f>IF(K983="Válida",I983,"")</f>
        <v>0</v>
      </c>
      <c r="U983" s="27">
        <f>IF(K983="Válida",J983,"")</f>
        <v>0</v>
      </c>
    </row>
    <row r="984" spans="1:21">
      <c r="A984" s="25">
        <f>IF(MES!A984="","",MES!C984/48)</f>
        <v>0</v>
      </c>
      <c r="B984" s="26">
        <f>IF(A984="","",TEXT((N984*4+cfgDeslocamento)/48,"hh:mm")&amp;" a "&amp;TEXT(A984,"hh:mm"))</f>
        <v>0</v>
      </c>
      <c r="C984" s="27">
        <f>IF(A984="","",MES!B984)</f>
        <v>0</v>
      </c>
      <c r="D984" s="27">
        <f>IF(A984="","",IFERROR(AVERAGEIFS(Prensa!$B$2:$B$5001,Prensa!$E$2:$E$5001,N984,Prensa!$F$2:$F$5001,1,Prensa!$G$2:$G$5001,1),""))</f>
        <v>0</v>
      </c>
      <c r="E984" s="27">
        <f>IF(A984="","",IFERROR(AVERAGEIFS(Prensa!$B$2:$B$5001,Prensa!$E$2:$E$5001,N984,Prensa!$F$2:$F$5001,2,Prensa!$G$2:$G$5001,1),""))</f>
        <v>0</v>
      </c>
      <c r="F984" s="27">
        <f>IF(A984="","",IFERROR(AVERAGEIFS(Prensa!$B$2:$B$5001,Prensa!$E$2:$E$5001,N984,Prensa!$F$2:$F$5001,3,Prensa!$G$2:$G$5001,1),""))</f>
        <v>0</v>
      </c>
      <c r="G984" s="27">
        <f>IF(A984="","",IFERROR(AVERAGEIFS(Prensa!$B$2:$B$5001,Prensa!$E$2:$E$5001,N984,Prensa!$F$2:$F$5001,4,Prensa!$G$2:$G$5001,1),""))</f>
        <v>0</v>
      </c>
      <c r="H984" s="26">
        <f>IF(A984="","",COUNT(D984:G984))</f>
        <v>0</v>
      </c>
      <c r="I984" s="27">
        <f>IF(A984="","",IF(H984=0,"",AVERAGE(D984:G984)))</f>
        <v>0</v>
      </c>
      <c r="J984" s="27">
        <f>IF(OR(I984="",C984=""),"",I984-C984)</f>
        <v>0</v>
      </c>
      <c r="K984" s="26">
        <f>IF(A984="","",IF(MES!E984&lt;&gt;4,"Horário do MES fora do padrão",IF(H984&lt;cfgMinCortes,"Cortes insuficientes","Válida")))</f>
        <v>0</v>
      </c>
      <c r="L984" s="27">
        <f>IF(K984="Válida",ABS(J984),"")</f>
        <v>0</v>
      </c>
      <c r="M984" s="26">
        <f>IF(K984="Válida",IF(L984&lt;=cfgTolerancia,"Sim","Não"),"")</f>
        <v>0</v>
      </c>
      <c r="N984" s="26">
        <f>IF(A984="","",MES!D984)</f>
        <v>0</v>
      </c>
      <c r="O984" s="25">
        <f>IF(K984="Válida",A984,NA())</f>
        <v>0</v>
      </c>
      <c r="P984" s="27">
        <f>IF(K984="Válida",C984,NA())</f>
        <v>0</v>
      </c>
      <c r="Q984" s="27">
        <f>IF(K984="Válida",I984,NA())</f>
        <v>0</v>
      </c>
      <c r="R984" s="27">
        <f>IF(K984="Válida",J984,NA())</f>
        <v>0</v>
      </c>
      <c r="S984" s="27">
        <f>IF(K984="Válida",C984,"")</f>
        <v>0</v>
      </c>
      <c r="T984" s="27">
        <f>IF(K984="Válida",I984,"")</f>
        <v>0</v>
      </c>
      <c r="U984" s="27">
        <f>IF(K984="Válida",J984,"")</f>
        <v>0</v>
      </c>
    </row>
    <row r="985" spans="1:21">
      <c r="A985" s="25">
        <f>IF(MES!A985="","",MES!C985/48)</f>
        <v>0</v>
      </c>
      <c r="B985" s="26">
        <f>IF(A985="","",TEXT((N985*4+cfgDeslocamento)/48,"hh:mm")&amp;" a "&amp;TEXT(A985,"hh:mm"))</f>
        <v>0</v>
      </c>
      <c r="C985" s="27">
        <f>IF(A985="","",MES!B985)</f>
        <v>0</v>
      </c>
      <c r="D985" s="27">
        <f>IF(A985="","",IFERROR(AVERAGEIFS(Prensa!$B$2:$B$5001,Prensa!$E$2:$E$5001,N985,Prensa!$F$2:$F$5001,1,Prensa!$G$2:$G$5001,1),""))</f>
        <v>0</v>
      </c>
      <c r="E985" s="27">
        <f>IF(A985="","",IFERROR(AVERAGEIFS(Prensa!$B$2:$B$5001,Prensa!$E$2:$E$5001,N985,Prensa!$F$2:$F$5001,2,Prensa!$G$2:$G$5001,1),""))</f>
        <v>0</v>
      </c>
      <c r="F985" s="27">
        <f>IF(A985="","",IFERROR(AVERAGEIFS(Prensa!$B$2:$B$5001,Prensa!$E$2:$E$5001,N985,Prensa!$F$2:$F$5001,3,Prensa!$G$2:$G$5001,1),""))</f>
        <v>0</v>
      </c>
      <c r="G985" s="27">
        <f>IF(A985="","",IFERROR(AVERAGEIFS(Prensa!$B$2:$B$5001,Prensa!$E$2:$E$5001,N985,Prensa!$F$2:$F$5001,4,Prensa!$G$2:$G$5001,1),""))</f>
        <v>0</v>
      </c>
      <c r="H985" s="26">
        <f>IF(A985="","",COUNT(D985:G985))</f>
        <v>0</v>
      </c>
      <c r="I985" s="27">
        <f>IF(A985="","",IF(H985=0,"",AVERAGE(D985:G985)))</f>
        <v>0</v>
      </c>
      <c r="J985" s="27">
        <f>IF(OR(I985="",C985=""),"",I985-C985)</f>
        <v>0</v>
      </c>
      <c r="K985" s="26">
        <f>IF(A985="","",IF(MES!E985&lt;&gt;4,"Horário do MES fora do padrão",IF(H985&lt;cfgMinCortes,"Cortes insuficientes","Válida")))</f>
        <v>0</v>
      </c>
      <c r="L985" s="27">
        <f>IF(K985="Válida",ABS(J985),"")</f>
        <v>0</v>
      </c>
      <c r="M985" s="26">
        <f>IF(K985="Válida",IF(L985&lt;=cfgTolerancia,"Sim","Não"),"")</f>
        <v>0</v>
      </c>
      <c r="N985" s="26">
        <f>IF(A985="","",MES!D985)</f>
        <v>0</v>
      </c>
      <c r="O985" s="25">
        <f>IF(K985="Válida",A985,NA())</f>
        <v>0</v>
      </c>
      <c r="P985" s="27">
        <f>IF(K985="Válida",C985,NA())</f>
        <v>0</v>
      </c>
      <c r="Q985" s="27">
        <f>IF(K985="Válida",I985,NA())</f>
        <v>0</v>
      </c>
      <c r="R985" s="27">
        <f>IF(K985="Válida",J985,NA())</f>
        <v>0</v>
      </c>
      <c r="S985" s="27">
        <f>IF(K985="Válida",C985,"")</f>
        <v>0</v>
      </c>
      <c r="T985" s="27">
        <f>IF(K985="Válida",I985,"")</f>
        <v>0</v>
      </c>
      <c r="U985" s="27">
        <f>IF(K985="Válida",J985,"")</f>
        <v>0</v>
      </c>
    </row>
    <row r="986" spans="1:21">
      <c r="A986" s="25">
        <f>IF(MES!A986="","",MES!C986/48)</f>
        <v>0</v>
      </c>
      <c r="B986" s="26">
        <f>IF(A986="","",TEXT((N986*4+cfgDeslocamento)/48,"hh:mm")&amp;" a "&amp;TEXT(A986,"hh:mm"))</f>
        <v>0</v>
      </c>
      <c r="C986" s="27">
        <f>IF(A986="","",MES!B986)</f>
        <v>0</v>
      </c>
      <c r="D986" s="27">
        <f>IF(A986="","",IFERROR(AVERAGEIFS(Prensa!$B$2:$B$5001,Prensa!$E$2:$E$5001,N986,Prensa!$F$2:$F$5001,1,Prensa!$G$2:$G$5001,1),""))</f>
        <v>0</v>
      </c>
      <c r="E986" s="27">
        <f>IF(A986="","",IFERROR(AVERAGEIFS(Prensa!$B$2:$B$5001,Prensa!$E$2:$E$5001,N986,Prensa!$F$2:$F$5001,2,Prensa!$G$2:$G$5001,1),""))</f>
        <v>0</v>
      </c>
      <c r="F986" s="27">
        <f>IF(A986="","",IFERROR(AVERAGEIFS(Prensa!$B$2:$B$5001,Prensa!$E$2:$E$5001,N986,Prensa!$F$2:$F$5001,3,Prensa!$G$2:$G$5001,1),""))</f>
        <v>0</v>
      </c>
      <c r="G986" s="27">
        <f>IF(A986="","",IFERROR(AVERAGEIFS(Prensa!$B$2:$B$5001,Prensa!$E$2:$E$5001,N986,Prensa!$F$2:$F$5001,4,Prensa!$G$2:$G$5001,1),""))</f>
        <v>0</v>
      </c>
      <c r="H986" s="26">
        <f>IF(A986="","",COUNT(D986:G986))</f>
        <v>0</v>
      </c>
      <c r="I986" s="27">
        <f>IF(A986="","",IF(H986=0,"",AVERAGE(D986:G986)))</f>
        <v>0</v>
      </c>
      <c r="J986" s="27">
        <f>IF(OR(I986="",C986=""),"",I986-C986)</f>
        <v>0</v>
      </c>
      <c r="K986" s="26">
        <f>IF(A986="","",IF(MES!E986&lt;&gt;4,"Horário do MES fora do padrão",IF(H986&lt;cfgMinCortes,"Cortes insuficientes","Válida")))</f>
        <v>0</v>
      </c>
      <c r="L986" s="27">
        <f>IF(K986="Válida",ABS(J986),"")</f>
        <v>0</v>
      </c>
      <c r="M986" s="26">
        <f>IF(K986="Válida",IF(L986&lt;=cfgTolerancia,"Sim","Não"),"")</f>
        <v>0</v>
      </c>
      <c r="N986" s="26">
        <f>IF(A986="","",MES!D986)</f>
        <v>0</v>
      </c>
      <c r="O986" s="25">
        <f>IF(K986="Válida",A986,NA())</f>
        <v>0</v>
      </c>
      <c r="P986" s="27">
        <f>IF(K986="Válida",C986,NA())</f>
        <v>0</v>
      </c>
      <c r="Q986" s="27">
        <f>IF(K986="Válida",I986,NA())</f>
        <v>0</v>
      </c>
      <c r="R986" s="27">
        <f>IF(K986="Válida",J986,NA())</f>
        <v>0</v>
      </c>
      <c r="S986" s="27">
        <f>IF(K986="Válida",C986,"")</f>
        <v>0</v>
      </c>
      <c r="T986" s="27">
        <f>IF(K986="Válida",I986,"")</f>
        <v>0</v>
      </c>
      <c r="U986" s="27">
        <f>IF(K986="Válida",J986,"")</f>
        <v>0</v>
      </c>
    </row>
    <row r="987" spans="1:21">
      <c r="A987" s="25">
        <f>IF(MES!A987="","",MES!C987/48)</f>
        <v>0</v>
      </c>
      <c r="B987" s="26">
        <f>IF(A987="","",TEXT((N987*4+cfgDeslocamento)/48,"hh:mm")&amp;" a "&amp;TEXT(A987,"hh:mm"))</f>
        <v>0</v>
      </c>
      <c r="C987" s="27">
        <f>IF(A987="","",MES!B987)</f>
        <v>0</v>
      </c>
      <c r="D987" s="27">
        <f>IF(A987="","",IFERROR(AVERAGEIFS(Prensa!$B$2:$B$5001,Prensa!$E$2:$E$5001,N987,Prensa!$F$2:$F$5001,1,Prensa!$G$2:$G$5001,1),""))</f>
        <v>0</v>
      </c>
      <c r="E987" s="27">
        <f>IF(A987="","",IFERROR(AVERAGEIFS(Prensa!$B$2:$B$5001,Prensa!$E$2:$E$5001,N987,Prensa!$F$2:$F$5001,2,Prensa!$G$2:$G$5001,1),""))</f>
        <v>0</v>
      </c>
      <c r="F987" s="27">
        <f>IF(A987="","",IFERROR(AVERAGEIFS(Prensa!$B$2:$B$5001,Prensa!$E$2:$E$5001,N987,Prensa!$F$2:$F$5001,3,Prensa!$G$2:$G$5001,1),""))</f>
        <v>0</v>
      </c>
      <c r="G987" s="27">
        <f>IF(A987="","",IFERROR(AVERAGEIFS(Prensa!$B$2:$B$5001,Prensa!$E$2:$E$5001,N987,Prensa!$F$2:$F$5001,4,Prensa!$G$2:$G$5001,1),""))</f>
        <v>0</v>
      </c>
      <c r="H987" s="26">
        <f>IF(A987="","",COUNT(D987:G987))</f>
        <v>0</v>
      </c>
      <c r="I987" s="27">
        <f>IF(A987="","",IF(H987=0,"",AVERAGE(D987:G987)))</f>
        <v>0</v>
      </c>
      <c r="J987" s="27">
        <f>IF(OR(I987="",C987=""),"",I987-C987)</f>
        <v>0</v>
      </c>
      <c r="K987" s="26">
        <f>IF(A987="","",IF(MES!E987&lt;&gt;4,"Horário do MES fora do padrão",IF(H987&lt;cfgMinCortes,"Cortes insuficientes","Válida")))</f>
        <v>0</v>
      </c>
      <c r="L987" s="27">
        <f>IF(K987="Válida",ABS(J987),"")</f>
        <v>0</v>
      </c>
      <c r="M987" s="26">
        <f>IF(K987="Válida",IF(L987&lt;=cfgTolerancia,"Sim","Não"),"")</f>
        <v>0</v>
      </c>
      <c r="N987" s="26">
        <f>IF(A987="","",MES!D987)</f>
        <v>0</v>
      </c>
      <c r="O987" s="25">
        <f>IF(K987="Válida",A987,NA())</f>
        <v>0</v>
      </c>
      <c r="P987" s="27">
        <f>IF(K987="Válida",C987,NA())</f>
        <v>0</v>
      </c>
      <c r="Q987" s="27">
        <f>IF(K987="Válida",I987,NA())</f>
        <v>0</v>
      </c>
      <c r="R987" s="27">
        <f>IF(K987="Válida",J987,NA())</f>
        <v>0</v>
      </c>
      <c r="S987" s="27">
        <f>IF(K987="Válida",C987,"")</f>
        <v>0</v>
      </c>
      <c r="T987" s="27">
        <f>IF(K987="Válida",I987,"")</f>
        <v>0</v>
      </c>
      <c r="U987" s="27">
        <f>IF(K987="Válida",J987,"")</f>
        <v>0</v>
      </c>
    </row>
    <row r="988" spans="1:21">
      <c r="A988" s="25">
        <f>IF(MES!A988="","",MES!C988/48)</f>
        <v>0</v>
      </c>
      <c r="B988" s="26">
        <f>IF(A988="","",TEXT((N988*4+cfgDeslocamento)/48,"hh:mm")&amp;" a "&amp;TEXT(A988,"hh:mm"))</f>
        <v>0</v>
      </c>
      <c r="C988" s="27">
        <f>IF(A988="","",MES!B988)</f>
        <v>0</v>
      </c>
      <c r="D988" s="27">
        <f>IF(A988="","",IFERROR(AVERAGEIFS(Prensa!$B$2:$B$5001,Prensa!$E$2:$E$5001,N988,Prensa!$F$2:$F$5001,1,Prensa!$G$2:$G$5001,1),""))</f>
        <v>0</v>
      </c>
      <c r="E988" s="27">
        <f>IF(A988="","",IFERROR(AVERAGEIFS(Prensa!$B$2:$B$5001,Prensa!$E$2:$E$5001,N988,Prensa!$F$2:$F$5001,2,Prensa!$G$2:$G$5001,1),""))</f>
        <v>0</v>
      </c>
      <c r="F988" s="27">
        <f>IF(A988="","",IFERROR(AVERAGEIFS(Prensa!$B$2:$B$5001,Prensa!$E$2:$E$5001,N988,Prensa!$F$2:$F$5001,3,Prensa!$G$2:$G$5001,1),""))</f>
        <v>0</v>
      </c>
      <c r="G988" s="27">
        <f>IF(A988="","",IFERROR(AVERAGEIFS(Prensa!$B$2:$B$5001,Prensa!$E$2:$E$5001,N988,Prensa!$F$2:$F$5001,4,Prensa!$G$2:$G$5001,1),""))</f>
        <v>0</v>
      </c>
      <c r="H988" s="26">
        <f>IF(A988="","",COUNT(D988:G988))</f>
        <v>0</v>
      </c>
      <c r="I988" s="27">
        <f>IF(A988="","",IF(H988=0,"",AVERAGE(D988:G988)))</f>
        <v>0</v>
      </c>
      <c r="J988" s="27">
        <f>IF(OR(I988="",C988=""),"",I988-C988)</f>
        <v>0</v>
      </c>
      <c r="K988" s="26">
        <f>IF(A988="","",IF(MES!E988&lt;&gt;4,"Horário do MES fora do padrão",IF(H988&lt;cfgMinCortes,"Cortes insuficientes","Válida")))</f>
        <v>0</v>
      </c>
      <c r="L988" s="27">
        <f>IF(K988="Válida",ABS(J988),"")</f>
        <v>0</v>
      </c>
      <c r="M988" s="26">
        <f>IF(K988="Válida",IF(L988&lt;=cfgTolerancia,"Sim","Não"),"")</f>
        <v>0</v>
      </c>
      <c r="N988" s="26">
        <f>IF(A988="","",MES!D988)</f>
        <v>0</v>
      </c>
      <c r="O988" s="25">
        <f>IF(K988="Válida",A988,NA())</f>
        <v>0</v>
      </c>
      <c r="P988" s="27">
        <f>IF(K988="Válida",C988,NA())</f>
        <v>0</v>
      </c>
      <c r="Q988" s="27">
        <f>IF(K988="Válida",I988,NA())</f>
        <v>0</v>
      </c>
      <c r="R988" s="27">
        <f>IF(K988="Válida",J988,NA())</f>
        <v>0</v>
      </c>
      <c r="S988" s="27">
        <f>IF(K988="Válida",C988,"")</f>
        <v>0</v>
      </c>
      <c r="T988" s="27">
        <f>IF(K988="Válida",I988,"")</f>
        <v>0</v>
      </c>
      <c r="U988" s="27">
        <f>IF(K988="Válida",J988,"")</f>
        <v>0</v>
      </c>
    </row>
    <row r="989" spans="1:21">
      <c r="A989" s="25">
        <f>IF(MES!A989="","",MES!C989/48)</f>
        <v>0</v>
      </c>
      <c r="B989" s="26">
        <f>IF(A989="","",TEXT((N989*4+cfgDeslocamento)/48,"hh:mm")&amp;" a "&amp;TEXT(A989,"hh:mm"))</f>
        <v>0</v>
      </c>
      <c r="C989" s="27">
        <f>IF(A989="","",MES!B989)</f>
        <v>0</v>
      </c>
      <c r="D989" s="27">
        <f>IF(A989="","",IFERROR(AVERAGEIFS(Prensa!$B$2:$B$5001,Prensa!$E$2:$E$5001,N989,Prensa!$F$2:$F$5001,1,Prensa!$G$2:$G$5001,1),""))</f>
        <v>0</v>
      </c>
      <c r="E989" s="27">
        <f>IF(A989="","",IFERROR(AVERAGEIFS(Prensa!$B$2:$B$5001,Prensa!$E$2:$E$5001,N989,Prensa!$F$2:$F$5001,2,Prensa!$G$2:$G$5001,1),""))</f>
        <v>0</v>
      </c>
      <c r="F989" s="27">
        <f>IF(A989="","",IFERROR(AVERAGEIFS(Prensa!$B$2:$B$5001,Prensa!$E$2:$E$5001,N989,Prensa!$F$2:$F$5001,3,Prensa!$G$2:$G$5001,1),""))</f>
        <v>0</v>
      </c>
      <c r="G989" s="27">
        <f>IF(A989="","",IFERROR(AVERAGEIFS(Prensa!$B$2:$B$5001,Prensa!$E$2:$E$5001,N989,Prensa!$F$2:$F$5001,4,Prensa!$G$2:$G$5001,1),""))</f>
        <v>0</v>
      </c>
      <c r="H989" s="26">
        <f>IF(A989="","",COUNT(D989:G989))</f>
        <v>0</v>
      </c>
      <c r="I989" s="27">
        <f>IF(A989="","",IF(H989=0,"",AVERAGE(D989:G989)))</f>
        <v>0</v>
      </c>
      <c r="J989" s="27">
        <f>IF(OR(I989="",C989=""),"",I989-C989)</f>
        <v>0</v>
      </c>
      <c r="K989" s="26">
        <f>IF(A989="","",IF(MES!E989&lt;&gt;4,"Horário do MES fora do padrão",IF(H989&lt;cfgMinCortes,"Cortes insuficientes","Válida")))</f>
        <v>0</v>
      </c>
      <c r="L989" s="27">
        <f>IF(K989="Válida",ABS(J989),"")</f>
        <v>0</v>
      </c>
      <c r="M989" s="26">
        <f>IF(K989="Válida",IF(L989&lt;=cfgTolerancia,"Sim","Não"),"")</f>
        <v>0</v>
      </c>
      <c r="N989" s="26">
        <f>IF(A989="","",MES!D989)</f>
        <v>0</v>
      </c>
      <c r="O989" s="25">
        <f>IF(K989="Válida",A989,NA())</f>
        <v>0</v>
      </c>
      <c r="P989" s="27">
        <f>IF(K989="Válida",C989,NA())</f>
        <v>0</v>
      </c>
      <c r="Q989" s="27">
        <f>IF(K989="Válida",I989,NA())</f>
        <v>0</v>
      </c>
      <c r="R989" s="27">
        <f>IF(K989="Válida",J989,NA())</f>
        <v>0</v>
      </c>
      <c r="S989" s="27">
        <f>IF(K989="Válida",C989,"")</f>
        <v>0</v>
      </c>
      <c r="T989" s="27">
        <f>IF(K989="Válida",I989,"")</f>
        <v>0</v>
      </c>
      <c r="U989" s="27">
        <f>IF(K989="Válida",J989,"")</f>
        <v>0</v>
      </c>
    </row>
    <row r="990" spans="1:21">
      <c r="A990" s="25">
        <f>IF(MES!A990="","",MES!C990/48)</f>
        <v>0</v>
      </c>
      <c r="B990" s="26">
        <f>IF(A990="","",TEXT((N990*4+cfgDeslocamento)/48,"hh:mm")&amp;" a "&amp;TEXT(A990,"hh:mm"))</f>
        <v>0</v>
      </c>
      <c r="C990" s="27">
        <f>IF(A990="","",MES!B990)</f>
        <v>0</v>
      </c>
      <c r="D990" s="27">
        <f>IF(A990="","",IFERROR(AVERAGEIFS(Prensa!$B$2:$B$5001,Prensa!$E$2:$E$5001,N990,Prensa!$F$2:$F$5001,1,Prensa!$G$2:$G$5001,1),""))</f>
        <v>0</v>
      </c>
      <c r="E990" s="27">
        <f>IF(A990="","",IFERROR(AVERAGEIFS(Prensa!$B$2:$B$5001,Prensa!$E$2:$E$5001,N990,Prensa!$F$2:$F$5001,2,Prensa!$G$2:$G$5001,1),""))</f>
        <v>0</v>
      </c>
      <c r="F990" s="27">
        <f>IF(A990="","",IFERROR(AVERAGEIFS(Prensa!$B$2:$B$5001,Prensa!$E$2:$E$5001,N990,Prensa!$F$2:$F$5001,3,Prensa!$G$2:$G$5001,1),""))</f>
        <v>0</v>
      </c>
      <c r="G990" s="27">
        <f>IF(A990="","",IFERROR(AVERAGEIFS(Prensa!$B$2:$B$5001,Prensa!$E$2:$E$5001,N990,Prensa!$F$2:$F$5001,4,Prensa!$G$2:$G$5001,1),""))</f>
        <v>0</v>
      </c>
      <c r="H990" s="26">
        <f>IF(A990="","",COUNT(D990:G990))</f>
        <v>0</v>
      </c>
      <c r="I990" s="27">
        <f>IF(A990="","",IF(H990=0,"",AVERAGE(D990:G990)))</f>
        <v>0</v>
      </c>
      <c r="J990" s="27">
        <f>IF(OR(I990="",C990=""),"",I990-C990)</f>
        <v>0</v>
      </c>
      <c r="K990" s="26">
        <f>IF(A990="","",IF(MES!E990&lt;&gt;4,"Horário do MES fora do padrão",IF(H990&lt;cfgMinCortes,"Cortes insuficientes","Válida")))</f>
        <v>0</v>
      </c>
      <c r="L990" s="27">
        <f>IF(K990="Válida",ABS(J990),"")</f>
        <v>0</v>
      </c>
      <c r="M990" s="26">
        <f>IF(K990="Válida",IF(L990&lt;=cfgTolerancia,"Sim","Não"),"")</f>
        <v>0</v>
      </c>
      <c r="N990" s="26">
        <f>IF(A990="","",MES!D990)</f>
        <v>0</v>
      </c>
      <c r="O990" s="25">
        <f>IF(K990="Válida",A990,NA())</f>
        <v>0</v>
      </c>
      <c r="P990" s="27">
        <f>IF(K990="Válida",C990,NA())</f>
        <v>0</v>
      </c>
      <c r="Q990" s="27">
        <f>IF(K990="Válida",I990,NA())</f>
        <v>0</v>
      </c>
      <c r="R990" s="27">
        <f>IF(K990="Válida",J990,NA())</f>
        <v>0</v>
      </c>
      <c r="S990" s="27">
        <f>IF(K990="Válida",C990,"")</f>
        <v>0</v>
      </c>
      <c r="T990" s="27">
        <f>IF(K990="Válida",I990,"")</f>
        <v>0</v>
      </c>
      <c r="U990" s="27">
        <f>IF(K990="Válida",J990,"")</f>
        <v>0</v>
      </c>
    </row>
    <row r="991" spans="1:21">
      <c r="A991" s="25">
        <f>IF(MES!A991="","",MES!C991/48)</f>
        <v>0</v>
      </c>
      <c r="B991" s="26">
        <f>IF(A991="","",TEXT((N991*4+cfgDeslocamento)/48,"hh:mm")&amp;" a "&amp;TEXT(A991,"hh:mm"))</f>
        <v>0</v>
      </c>
      <c r="C991" s="27">
        <f>IF(A991="","",MES!B991)</f>
        <v>0</v>
      </c>
      <c r="D991" s="27">
        <f>IF(A991="","",IFERROR(AVERAGEIFS(Prensa!$B$2:$B$5001,Prensa!$E$2:$E$5001,N991,Prensa!$F$2:$F$5001,1,Prensa!$G$2:$G$5001,1),""))</f>
        <v>0</v>
      </c>
      <c r="E991" s="27">
        <f>IF(A991="","",IFERROR(AVERAGEIFS(Prensa!$B$2:$B$5001,Prensa!$E$2:$E$5001,N991,Prensa!$F$2:$F$5001,2,Prensa!$G$2:$G$5001,1),""))</f>
        <v>0</v>
      </c>
      <c r="F991" s="27">
        <f>IF(A991="","",IFERROR(AVERAGEIFS(Prensa!$B$2:$B$5001,Prensa!$E$2:$E$5001,N991,Prensa!$F$2:$F$5001,3,Prensa!$G$2:$G$5001,1),""))</f>
        <v>0</v>
      </c>
      <c r="G991" s="27">
        <f>IF(A991="","",IFERROR(AVERAGEIFS(Prensa!$B$2:$B$5001,Prensa!$E$2:$E$5001,N991,Prensa!$F$2:$F$5001,4,Prensa!$G$2:$G$5001,1),""))</f>
        <v>0</v>
      </c>
      <c r="H991" s="26">
        <f>IF(A991="","",COUNT(D991:G991))</f>
        <v>0</v>
      </c>
      <c r="I991" s="27">
        <f>IF(A991="","",IF(H991=0,"",AVERAGE(D991:G991)))</f>
        <v>0</v>
      </c>
      <c r="J991" s="27">
        <f>IF(OR(I991="",C991=""),"",I991-C991)</f>
        <v>0</v>
      </c>
      <c r="K991" s="26">
        <f>IF(A991="","",IF(MES!E991&lt;&gt;4,"Horário do MES fora do padrão",IF(H991&lt;cfgMinCortes,"Cortes insuficientes","Válida")))</f>
        <v>0</v>
      </c>
      <c r="L991" s="27">
        <f>IF(K991="Válida",ABS(J991),"")</f>
        <v>0</v>
      </c>
      <c r="M991" s="26">
        <f>IF(K991="Válida",IF(L991&lt;=cfgTolerancia,"Sim","Não"),"")</f>
        <v>0</v>
      </c>
      <c r="N991" s="26">
        <f>IF(A991="","",MES!D991)</f>
        <v>0</v>
      </c>
      <c r="O991" s="25">
        <f>IF(K991="Válida",A991,NA())</f>
        <v>0</v>
      </c>
      <c r="P991" s="27">
        <f>IF(K991="Válida",C991,NA())</f>
        <v>0</v>
      </c>
      <c r="Q991" s="27">
        <f>IF(K991="Válida",I991,NA())</f>
        <v>0</v>
      </c>
      <c r="R991" s="27">
        <f>IF(K991="Válida",J991,NA())</f>
        <v>0</v>
      </c>
      <c r="S991" s="27">
        <f>IF(K991="Válida",C991,"")</f>
        <v>0</v>
      </c>
      <c r="T991" s="27">
        <f>IF(K991="Válida",I991,"")</f>
        <v>0</v>
      </c>
      <c r="U991" s="27">
        <f>IF(K991="Válida",J991,"")</f>
        <v>0</v>
      </c>
    </row>
    <row r="992" spans="1:21">
      <c r="A992" s="25">
        <f>IF(MES!A992="","",MES!C992/48)</f>
        <v>0</v>
      </c>
      <c r="B992" s="26">
        <f>IF(A992="","",TEXT((N992*4+cfgDeslocamento)/48,"hh:mm")&amp;" a "&amp;TEXT(A992,"hh:mm"))</f>
        <v>0</v>
      </c>
      <c r="C992" s="27">
        <f>IF(A992="","",MES!B992)</f>
        <v>0</v>
      </c>
      <c r="D992" s="27">
        <f>IF(A992="","",IFERROR(AVERAGEIFS(Prensa!$B$2:$B$5001,Prensa!$E$2:$E$5001,N992,Prensa!$F$2:$F$5001,1,Prensa!$G$2:$G$5001,1),""))</f>
        <v>0</v>
      </c>
      <c r="E992" s="27">
        <f>IF(A992="","",IFERROR(AVERAGEIFS(Prensa!$B$2:$B$5001,Prensa!$E$2:$E$5001,N992,Prensa!$F$2:$F$5001,2,Prensa!$G$2:$G$5001,1),""))</f>
        <v>0</v>
      </c>
      <c r="F992" s="27">
        <f>IF(A992="","",IFERROR(AVERAGEIFS(Prensa!$B$2:$B$5001,Prensa!$E$2:$E$5001,N992,Prensa!$F$2:$F$5001,3,Prensa!$G$2:$G$5001,1),""))</f>
        <v>0</v>
      </c>
      <c r="G992" s="27">
        <f>IF(A992="","",IFERROR(AVERAGEIFS(Prensa!$B$2:$B$5001,Prensa!$E$2:$E$5001,N992,Prensa!$F$2:$F$5001,4,Prensa!$G$2:$G$5001,1),""))</f>
        <v>0</v>
      </c>
      <c r="H992" s="26">
        <f>IF(A992="","",COUNT(D992:G992))</f>
        <v>0</v>
      </c>
      <c r="I992" s="27">
        <f>IF(A992="","",IF(H992=0,"",AVERAGE(D992:G992)))</f>
        <v>0</v>
      </c>
      <c r="J992" s="27">
        <f>IF(OR(I992="",C992=""),"",I992-C992)</f>
        <v>0</v>
      </c>
      <c r="K992" s="26">
        <f>IF(A992="","",IF(MES!E992&lt;&gt;4,"Horário do MES fora do padrão",IF(H992&lt;cfgMinCortes,"Cortes insuficientes","Válida")))</f>
        <v>0</v>
      </c>
      <c r="L992" s="27">
        <f>IF(K992="Válida",ABS(J992),"")</f>
        <v>0</v>
      </c>
      <c r="M992" s="26">
        <f>IF(K992="Válida",IF(L992&lt;=cfgTolerancia,"Sim","Não"),"")</f>
        <v>0</v>
      </c>
      <c r="N992" s="26">
        <f>IF(A992="","",MES!D992)</f>
        <v>0</v>
      </c>
      <c r="O992" s="25">
        <f>IF(K992="Válida",A992,NA())</f>
        <v>0</v>
      </c>
      <c r="P992" s="27">
        <f>IF(K992="Válida",C992,NA())</f>
        <v>0</v>
      </c>
      <c r="Q992" s="27">
        <f>IF(K992="Válida",I992,NA())</f>
        <v>0</v>
      </c>
      <c r="R992" s="27">
        <f>IF(K992="Válida",J992,NA())</f>
        <v>0</v>
      </c>
      <c r="S992" s="27">
        <f>IF(K992="Válida",C992,"")</f>
        <v>0</v>
      </c>
      <c r="T992" s="27">
        <f>IF(K992="Válida",I992,"")</f>
        <v>0</v>
      </c>
      <c r="U992" s="27">
        <f>IF(K992="Válida",J992,"")</f>
        <v>0</v>
      </c>
    </row>
    <row r="993" spans="1:21">
      <c r="A993" s="25">
        <f>IF(MES!A993="","",MES!C993/48)</f>
        <v>0</v>
      </c>
      <c r="B993" s="26">
        <f>IF(A993="","",TEXT((N993*4+cfgDeslocamento)/48,"hh:mm")&amp;" a "&amp;TEXT(A993,"hh:mm"))</f>
        <v>0</v>
      </c>
      <c r="C993" s="27">
        <f>IF(A993="","",MES!B993)</f>
        <v>0</v>
      </c>
      <c r="D993" s="27">
        <f>IF(A993="","",IFERROR(AVERAGEIFS(Prensa!$B$2:$B$5001,Prensa!$E$2:$E$5001,N993,Prensa!$F$2:$F$5001,1,Prensa!$G$2:$G$5001,1),""))</f>
        <v>0</v>
      </c>
      <c r="E993" s="27">
        <f>IF(A993="","",IFERROR(AVERAGEIFS(Prensa!$B$2:$B$5001,Prensa!$E$2:$E$5001,N993,Prensa!$F$2:$F$5001,2,Prensa!$G$2:$G$5001,1),""))</f>
        <v>0</v>
      </c>
      <c r="F993" s="27">
        <f>IF(A993="","",IFERROR(AVERAGEIFS(Prensa!$B$2:$B$5001,Prensa!$E$2:$E$5001,N993,Prensa!$F$2:$F$5001,3,Prensa!$G$2:$G$5001,1),""))</f>
        <v>0</v>
      </c>
      <c r="G993" s="27">
        <f>IF(A993="","",IFERROR(AVERAGEIFS(Prensa!$B$2:$B$5001,Prensa!$E$2:$E$5001,N993,Prensa!$F$2:$F$5001,4,Prensa!$G$2:$G$5001,1),""))</f>
        <v>0</v>
      </c>
      <c r="H993" s="26">
        <f>IF(A993="","",COUNT(D993:G993))</f>
        <v>0</v>
      </c>
      <c r="I993" s="27">
        <f>IF(A993="","",IF(H993=0,"",AVERAGE(D993:G993)))</f>
        <v>0</v>
      </c>
      <c r="J993" s="27">
        <f>IF(OR(I993="",C993=""),"",I993-C993)</f>
        <v>0</v>
      </c>
      <c r="K993" s="26">
        <f>IF(A993="","",IF(MES!E993&lt;&gt;4,"Horário do MES fora do padrão",IF(H993&lt;cfgMinCortes,"Cortes insuficientes","Válida")))</f>
        <v>0</v>
      </c>
      <c r="L993" s="27">
        <f>IF(K993="Válida",ABS(J993),"")</f>
        <v>0</v>
      </c>
      <c r="M993" s="26">
        <f>IF(K993="Válida",IF(L993&lt;=cfgTolerancia,"Sim","Não"),"")</f>
        <v>0</v>
      </c>
      <c r="N993" s="26">
        <f>IF(A993="","",MES!D993)</f>
        <v>0</v>
      </c>
      <c r="O993" s="25">
        <f>IF(K993="Válida",A993,NA())</f>
        <v>0</v>
      </c>
      <c r="P993" s="27">
        <f>IF(K993="Válida",C993,NA())</f>
        <v>0</v>
      </c>
      <c r="Q993" s="27">
        <f>IF(K993="Válida",I993,NA())</f>
        <v>0</v>
      </c>
      <c r="R993" s="27">
        <f>IF(K993="Válida",J993,NA())</f>
        <v>0</v>
      </c>
      <c r="S993" s="27">
        <f>IF(K993="Válida",C993,"")</f>
        <v>0</v>
      </c>
      <c r="T993" s="27">
        <f>IF(K993="Válida",I993,"")</f>
        <v>0</v>
      </c>
      <c r="U993" s="27">
        <f>IF(K993="Válida",J993,"")</f>
        <v>0</v>
      </c>
    </row>
    <row r="994" spans="1:21">
      <c r="A994" s="25">
        <f>IF(MES!A994="","",MES!C994/48)</f>
        <v>0</v>
      </c>
      <c r="B994" s="26">
        <f>IF(A994="","",TEXT((N994*4+cfgDeslocamento)/48,"hh:mm")&amp;" a "&amp;TEXT(A994,"hh:mm"))</f>
        <v>0</v>
      </c>
      <c r="C994" s="27">
        <f>IF(A994="","",MES!B994)</f>
        <v>0</v>
      </c>
      <c r="D994" s="27">
        <f>IF(A994="","",IFERROR(AVERAGEIFS(Prensa!$B$2:$B$5001,Prensa!$E$2:$E$5001,N994,Prensa!$F$2:$F$5001,1,Prensa!$G$2:$G$5001,1),""))</f>
        <v>0</v>
      </c>
      <c r="E994" s="27">
        <f>IF(A994="","",IFERROR(AVERAGEIFS(Prensa!$B$2:$B$5001,Prensa!$E$2:$E$5001,N994,Prensa!$F$2:$F$5001,2,Prensa!$G$2:$G$5001,1),""))</f>
        <v>0</v>
      </c>
      <c r="F994" s="27">
        <f>IF(A994="","",IFERROR(AVERAGEIFS(Prensa!$B$2:$B$5001,Prensa!$E$2:$E$5001,N994,Prensa!$F$2:$F$5001,3,Prensa!$G$2:$G$5001,1),""))</f>
        <v>0</v>
      </c>
      <c r="G994" s="27">
        <f>IF(A994="","",IFERROR(AVERAGEIFS(Prensa!$B$2:$B$5001,Prensa!$E$2:$E$5001,N994,Prensa!$F$2:$F$5001,4,Prensa!$G$2:$G$5001,1),""))</f>
        <v>0</v>
      </c>
      <c r="H994" s="26">
        <f>IF(A994="","",COUNT(D994:G994))</f>
        <v>0</v>
      </c>
      <c r="I994" s="27">
        <f>IF(A994="","",IF(H994=0,"",AVERAGE(D994:G994)))</f>
        <v>0</v>
      </c>
      <c r="J994" s="27">
        <f>IF(OR(I994="",C994=""),"",I994-C994)</f>
        <v>0</v>
      </c>
      <c r="K994" s="26">
        <f>IF(A994="","",IF(MES!E994&lt;&gt;4,"Horário do MES fora do padrão",IF(H994&lt;cfgMinCortes,"Cortes insuficientes","Válida")))</f>
        <v>0</v>
      </c>
      <c r="L994" s="27">
        <f>IF(K994="Válida",ABS(J994),"")</f>
        <v>0</v>
      </c>
      <c r="M994" s="26">
        <f>IF(K994="Válida",IF(L994&lt;=cfgTolerancia,"Sim","Não"),"")</f>
        <v>0</v>
      </c>
      <c r="N994" s="26">
        <f>IF(A994="","",MES!D994)</f>
        <v>0</v>
      </c>
      <c r="O994" s="25">
        <f>IF(K994="Válida",A994,NA())</f>
        <v>0</v>
      </c>
      <c r="P994" s="27">
        <f>IF(K994="Válida",C994,NA())</f>
        <v>0</v>
      </c>
      <c r="Q994" s="27">
        <f>IF(K994="Válida",I994,NA())</f>
        <v>0</v>
      </c>
      <c r="R994" s="27">
        <f>IF(K994="Válida",J994,NA())</f>
        <v>0</v>
      </c>
      <c r="S994" s="27">
        <f>IF(K994="Válida",C994,"")</f>
        <v>0</v>
      </c>
      <c r="T994" s="27">
        <f>IF(K994="Válida",I994,"")</f>
        <v>0</v>
      </c>
      <c r="U994" s="27">
        <f>IF(K994="Válida",J994,"")</f>
        <v>0</v>
      </c>
    </row>
    <row r="995" spans="1:21">
      <c r="A995" s="25">
        <f>IF(MES!A995="","",MES!C995/48)</f>
        <v>0</v>
      </c>
      <c r="B995" s="26">
        <f>IF(A995="","",TEXT((N995*4+cfgDeslocamento)/48,"hh:mm")&amp;" a "&amp;TEXT(A995,"hh:mm"))</f>
        <v>0</v>
      </c>
      <c r="C995" s="27">
        <f>IF(A995="","",MES!B995)</f>
        <v>0</v>
      </c>
      <c r="D995" s="27">
        <f>IF(A995="","",IFERROR(AVERAGEIFS(Prensa!$B$2:$B$5001,Prensa!$E$2:$E$5001,N995,Prensa!$F$2:$F$5001,1,Prensa!$G$2:$G$5001,1),""))</f>
        <v>0</v>
      </c>
      <c r="E995" s="27">
        <f>IF(A995="","",IFERROR(AVERAGEIFS(Prensa!$B$2:$B$5001,Prensa!$E$2:$E$5001,N995,Prensa!$F$2:$F$5001,2,Prensa!$G$2:$G$5001,1),""))</f>
        <v>0</v>
      </c>
      <c r="F995" s="27">
        <f>IF(A995="","",IFERROR(AVERAGEIFS(Prensa!$B$2:$B$5001,Prensa!$E$2:$E$5001,N995,Prensa!$F$2:$F$5001,3,Prensa!$G$2:$G$5001,1),""))</f>
        <v>0</v>
      </c>
      <c r="G995" s="27">
        <f>IF(A995="","",IFERROR(AVERAGEIFS(Prensa!$B$2:$B$5001,Prensa!$E$2:$E$5001,N995,Prensa!$F$2:$F$5001,4,Prensa!$G$2:$G$5001,1),""))</f>
        <v>0</v>
      </c>
      <c r="H995" s="26">
        <f>IF(A995="","",COUNT(D995:G995))</f>
        <v>0</v>
      </c>
      <c r="I995" s="27">
        <f>IF(A995="","",IF(H995=0,"",AVERAGE(D995:G995)))</f>
        <v>0</v>
      </c>
      <c r="J995" s="27">
        <f>IF(OR(I995="",C995=""),"",I995-C995)</f>
        <v>0</v>
      </c>
      <c r="K995" s="26">
        <f>IF(A995="","",IF(MES!E995&lt;&gt;4,"Horário do MES fora do padrão",IF(H995&lt;cfgMinCortes,"Cortes insuficientes","Válida")))</f>
        <v>0</v>
      </c>
      <c r="L995" s="27">
        <f>IF(K995="Válida",ABS(J995),"")</f>
        <v>0</v>
      </c>
      <c r="M995" s="26">
        <f>IF(K995="Válida",IF(L995&lt;=cfgTolerancia,"Sim","Não"),"")</f>
        <v>0</v>
      </c>
      <c r="N995" s="26">
        <f>IF(A995="","",MES!D995)</f>
        <v>0</v>
      </c>
      <c r="O995" s="25">
        <f>IF(K995="Válida",A995,NA())</f>
        <v>0</v>
      </c>
      <c r="P995" s="27">
        <f>IF(K995="Válida",C995,NA())</f>
        <v>0</v>
      </c>
      <c r="Q995" s="27">
        <f>IF(K995="Válida",I995,NA())</f>
        <v>0</v>
      </c>
      <c r="R995" s="27">
        <f>IF(K995="Válida",J995,NA())</f>
        <v>0</v>
      </c>
      <c r="S995" s="27">
        <f>IF(K995="Válida",C995,"")</f>
        <v>0</v>
      </c>
      <c r="T995" s="27">
        <f>IF(K995="Válida",I995,"")</f>
        <v>0</v>
      </c>
      <c r="U995" s="27">
        <f>IF(K995="Válida",J995,"")</f>
        <v>0</v>
      </c>
    </row>
    <row r="996" spans="1:21">
      <c r="A996" s="25">
        <f>IF(MES!A996="","",MES!C996/48)</f>
        <v>0</v>
      </c>
      <c r="B996" s="26">
        <f>IF(A996="","",TEXT((N996*4+cfgDeslocamento)/48,"hh:mm")&amp;" a "&amp;TEXT(A996,"hh:mm"))</f>
        <v>0</v>
      </c>
      <c r="C996" s="27">
        <f>IF(A996="","",MES!B996)</f>
        <v>0</v>
      </c>
      <c r="D996" s="27">
        <f>IF(A996="","",IFERROR(AVERAGEIFS(Prensa!$B$2:$B$5001,Prensa!$E$2:$E$5001,N996,Prensa!$F$2:$F$5001,1,Prensa!$G$2:$G$5001,1),""))</f>
        <v>0</v>
      </c>
      <c r="E996" s="27">
        <f>IF(A996="","",IFERROR(AVERAGEIFS(Prensa!$B$2:$B$5001,Prensa!$E$2:$E$5001,N996,Prensa!$F$2:$F$5001,2,Prensa!$G$2:$G$5001,1),""))</f>
        <v>0</v>
      </c>
      <c r="F996" s="27">
        <f>IF(A996="","",IFERROR(AVERAGEIFS(Prensa!$B$2:$B$5001,Prensa!$E$2:$E$5001,N996,Prensa!$F$2:$F$5001,3,Prensa!$G$2:$G$5001,1),""))</f>
        <v>0</v>
      </c>
      <c r="G996" s="27">
        <f>IF(A996="","",IFERROR(AVERAGEIFS(Prensa!$B$2:$B$5001,Prensa!$E$2:$E$5001,N996,Prensa!$F$2:$F$5001,4,Prensa!$G$2:$G$5001,1),""))</f>
        <v>0</v>
      </c>
      <c r="H996" s="26">
        <f>IF(A996="","",COUNT(D996:G996))</f>
        <v>0</v>
      </c>
      <c r="I996" s="27">
        <f>IF(A996="","",IF(H996=0,"",AVERAGE(D996:G996)))</f>
        <v>0</v>
      </c>
      <c r="J996" s="27">
        <f>IF(OR(I996="",C996=""),"",I996-C996)</f>
        <v>0</v>
      </c>
      <c r="K996" s="26">
        <f>IF(A996="","",IF(MES!E996&lt;&gt;4,"Horário do MES fora do padrão",IF(H996&lt;cfgMinCortes,"Cortes insuficientes","Válida")))</f>
        <v>0</v>
      </c>
      <c r="L996" s="27">
        <f>IF(K996="Válida",ABS(J996),"")</f>
        <v>0</v>
      </c>
      <c r="M996" s="26">
        <f>IF(K996="Válida",IF(L996&lt;=cfgTolerancia,"Sim","Não"),"")</f>
        <v>0</v>
      </c>
      <c r="N996" s="26">
        <f>IF(A996="","",MES!D996)</f>
        <v>0</v>
      </c>
      <c r="O996" s="25">
        <f>IF(K996="Válida",A996,NA())</f>
        <v>0</v>
      </c>
      <c r="P996" s="27">
        <f>IF(K996="Válida",C996,NA())</f>
        <v>0</v>
      </c>
      <c r="Q996" s="27">
        <f>IF(K996="Válida",I996,NA())</f>
        <v>0</v>
      </c>
      <c r="R996" s="27">
        <f>IF(K996="Válida",J996,NA())</f>
        <v>0</v>
      </c>
      <c r="S996" s="27">
        <f>IF(K996="Válida",C996,"")</f>
        <v>0</v>
      </c>
      <c r="T996" s="27">
        <f>IF(K996="Válida",I996,"")</f>
        <v>0</v>
      </c>
      <c r="U996" s="27">
        <f>IF(K996="Válida",J996,"")</f>
        <v>0</v>
      </c>
    </row>
    <row r="997" spans="1:21">
      <c r="A997" s="25">
        <f>IF(MES!A997="","",MES!C997/48)</f>
        <v>0</v>
      </c>
      <c r="B997" s="26">
        <f>IF(A997="","",TEXT((N997*4+cfgDeslocamento)/48,"hh:mm")&amp;" a "&amp;TEXT(A997,"hh:mm"))</f>
        <v>0</v>
      </c>
      <c r="C997" s="27">
        <f>IF(A997="","",MES!B997)</f>
        <v>0</v>
      </c>
      <c r="D997" s="27">
        <f>IF(A997="","",IFERROR(AVERAGEIFS(Prensa!$B$2:$B$5001,Prensa!$E$2:$E$5001,N997,Prensa!$F$2:$F$5001,1,Prensa!$G$2:$G$5001,1),""))</f>
        <v>0</v>
      </c>
      <c r="E997" s="27">
        <f>IF(A997="","",IFERROR(AVERAGEIFS(Prensa!$B$2:$B$5001,Prensa!$E$2:$E$5001,N997,Prensa!$F$2:$F$5001,2,Prensa!$G$2:$G$5001,1),""))</f>
        <v>0</v>
      </c>
      <c r="F997" s="27">
        <f>IF(A997="","",IFERROR(AVERAGEIFS(Prensa!$B$2:$B$5001,Prensa!$E$2:$E$5001,N997,Prensa!$F$2:$F$5001,3,Prensa!$G$2:$G$5001,1),""))</f>
        <v>0</v>
      </c>
      <c r="G997" s="27">
        <f>IF(A997="","",IFERROR(AVERAGEIFS(Prensa!$B$2:$B$5001,Prensa!$E$2:$E$5001,N997,Prensa!$F$2:$F$5001,4,Prensa!$G$2:$G$5001,1),""))</f>
        <v>0</v>
      </c>
      <c r="H997" s="26">
        <f>IF(A997="","",COUNT(D997:G997))</f>
        <v>0</v>
      </c>
      <c r="I997" s="27">
        <f>IF(A997="","",IF(H997=0,"",AVERAGE(D997:G997)))</f>
        <v>0</v>
      </c>
      <c r="J997" s="27">
        <f>IF(OR(I997="",C997=""),"",I997-C997)</f>
        <v>0</v>
      </c>
      <c r="K997" s="26">
        <f>IF(A997="","",IF(MES!E997&lt;&gt;4,"Horário do MES fora do padrão",IF(H997&lt;cfgMinCortes,"Cortes insuficientes","Válida")))</f>
        <v>0</v>
      </c>
      <c r="L997" s="27">
        <f>IF(K997="Válida",ABS(J997),"")</f>
        <v>0</v>
      </c>
      <c r="M997" s="26">
        <f>IF(K997="Válida",IF(L997&lt;=cfgTolerancia,"Sim","Não"),"")</f>
        <v>0</v>
      </c>
      <c r="N997" s="26">
        <f>IF(A997="","",MES!D997)</f>
        <v>0</v>
      </c>
      <c r="O997" s="25">
        <f>IF(K997="Válida",A997,NA())</f>
        <v>0</v>
      </c>
      <c r="P997" s="27">
        <f>IF(K997="Válida",C997,NA())</f>
        <v>0</v>
      </c>
      <c r="Q997" s="27">
        <f>IF(K997="Válida",I997,NA())</f>
        <v>0</v>
      </c>
      <c r="R997" s="27">
        <f>IF(K997="Válida",J997,NA())</f>
        <v>0</v>
      </c>
      <c r="S997" s="27">
        <f>IF(K997="Válida",C997,"")</f>
        <v>0</v>
      </c>
      <c r="T997" s="27">
        <f>IF(K997="Válida",I997,"")</f>
        <v>0</v>
      </c>
      <c r="U997" s="27">
        <f>IF(K997="Válida",J997,"")</f>
        <v>0</v>
      </c>
    </row>
    <row r="998" spans="1:21">
      <c r="A998" s="25">
        <f>IF(MES!A998="","",MES!C998/48)</f>
        <v>0</v>
      </c>
      <c r="B998" s="26">
        <f>IF(A998="","",TEXT((N998*4+cfgDeslocamento)/48,"hh:mm")&amp;" a "&amp;TEXT(A998,"hh:mm"))</f>
        <v>0</v>
      </c>
      <c r="C998" s="27">
        <f>IF(A998="","",MES!B998)</f>
        <v>0</v>
      </c>
      <c r="D998" s="27">
        <f>IF(A998="","",IFERROR(AVERAGEIFS(Prensa!$B$2:$B$5001,Prensa!$E$2:$E$5001,N998,Prensa!$F$2:$F$5001,1,Prensa!$G$2:$G$5001,1),""))</f>
        <v>0</v>
      </c>
      <c r="E998" s="27">
        <f>IF(A998="","",IFERROR(AVERAGEIFS(Prensa!$B$2:$B$5001,Prensa!$E$2:$E$5001,N998,Prensa!$F$2:$F$5001,2,Prensa!$G$2:$G$5001,1),""))</f>
        <v>0</v>
      </c>
      <c r="F998" s="27">
        <f>IF(A998="","",IFERROR(AVERAGEIFS(Prensa!$B$2:$B$5001,Prensa!$E$2:$E$5001,N998,Prensa!$F$2:$F$5001,3,Prensa!$G$2:$G$5001,1),""))</f>
        <v>0</v>
      </c>
      <c r="G998" s="27">
        <f>IF(A998="","",IFERROR(AVERAGEIFS(Prensa!$B$2:$B$5001,Prensa!$E$2:$E$5001,N998,Prensa!$F$2:$F$5001,4,Prensa!$G$2:$G$5001,1),""))</f>
        <v>0</v>
      </c>
      <c r="H998" s="26">
        <f>IF(A998="","",COUNT(D998:G998))</f>
        <v>0</v>
      </c>
      <c r="I998" s="27">
        <f>IF(A998="","",IF(H998=0,"",AVERAGE(D998:G998)))</f>
        <v>0</v>
      </c>
      <c r="J998" s="27">
        <f>IF(OR(I998="",C998=""),"",I998-C998)</f>
        <v>0</v>
      </c>
      <c r="K998" s="26">
        <f>IF(A998="","",IF(MES!E998&lt;&gt;4,"Horário do MES fora do padrão",IF(H998&lt;cfgMinCortes,"Cortes insuficientes","Válida")))</f>
        <v>0</v>
      </c>
      <c r="L998" s="27">
        <f>IF(K998="Válida",ABS(J998),"")</f>
        <v>0</v>
      </c>
      <c r="M998" s="26">
        <f>IF(K998="Válida",IF(L998&lt;=cfgTolerancia,"Sim","Não"),"")</f>
        <v>0</v>
      </c>
      <c r="N998" s="26">
        <f>IF(A998="","",MES!D998)</f>
        <v>0</v>
      </c>
      <c r="O998" s="25">
        <f>IF(K998="Válida",A998,NA())</f>
        <v>0</v>
      </c>
      <c r="P998" s="27">
        <f>IF(K998="Válida",C998,NA())</f>
        <v>0</v>
      </c>
      <c r="Q998" s="27">
        <f>IF(K998="Válida",I998,NA())</f>
        <v>0</v>
      </c>
      <c r="R998" s="27">
        <f>IF(K998="Válida",J998,NA())</f>
        <v>0</v>
      </c>
      <c r="S998" s="27">
        <f>IF(K998="Válida",C998,"")</f>
        <v>0</v>
      </c>
      <c r="T998" s="27">
        <f>IF(K998="Válida",I998,"")</f>
        <v>0</v>
      </c>
      <c r="U998" s="27">
        <f>IF(K998="Válida",J998,"")</f>
        <v>0</v>
      </c>
    </row>
    <row r="999" spans="1:21">
      <c r="A999" s="25">
        <f>IF(MES!A999="","",MES!C999/48)</f>
        <v>0</v>
      </c>
      <c r="B999" s="26">
        <f>IF(A999="","",TEXT((N999*4+cfgDeslocamento)/48,"hh:mm")&amp;" a "&amp;TEXT(A999,"hh:mm"))</f>
        <v>0</v>
      </c>
      <c r="C999" s="27">
        <f>IF(A999="","",MES!B999)</f>
        <v>0</v>
      </c>
      <c r="D999" s="27">
        <f>IF(A999="","",IFERROR(AVERAGEIFS(Prensa!$B$2:$B$5001,Prensa!$E$2:$E$5001,N999,Prensa!$F$2:$F$5001,1,Prensa!$G$2:$G$5001,1),""))</f>
        <v>0</v>
      </c>
      <c r="E999" s="27">
        <f>IF(A999="","",IFERROR(AVERAGEIFS(Prensa!$B$2:$B$5001,Prensa!$E$2:$E$5001,N999,Prensa!$F$2:$F$5001,2,Prensa!$G$2:$G$5001,1),""))</f>
        <v>0</v>
      </c>
      <c r="F999" s="27">
        <f>IF(A999="","",IFERROR(AVERAGEIFS(Prensa!$B$2:$B$5001,Prensa!$E$2:$E$5001,N999,Prensa!$F$2:$F$5001,3,Prensa!$G$2:$G$5001,1),""))</f>
        <v>0</v>
      </c>
      <c r="G999" s="27">
        <f>IF(A999="","",IFERROR(AVERAGEIFS(Prensa!$B$2:$B$5001,Prensa!$E$2:$E$5001,N999,Prensa!$F$2:$F$5001,4,Prensa!$G$2:$G$5001,1),""))</f>
        <v>0</v>
      </c>
      <c r="H999" s="26">
        <f>IF(A999="","",COUNT(D999:G999))</f>
        <v>0</v>
      </c>
      <c r="I999" s="27">
        <f>IF(A999="","",IF(H999=0,"",AVERAGE(D999:G999)))</f>
        <v>0</v>
      </c>
      <c r="J999" s="27">
        <f>IF(OR(I999="",C999=""),"",I999-C999)</f>
        <v>0</v>
      </c>
      <c r="K999" s="26">
        <f>IF(A999="","",IF(MES!E999&lt;&gt;4,"Horário do MES fora do padrão",IF(H999&lt;cfgMinCortes,"Cortes insuficientes","Válida")))</f>
        <v>0</v>
      </c>
      <c r="L999" s="27">
        <f>IF(K999="Válida",ABS(J999),"")</f>
        <v>0</v>
      </c>
      <c r="M999" s="26">
        <f>IF(K999="Válida",IF(L999&lt;=cfgTolerancia,"Sim","Não"),"")</f>
        <v>0</v>
      </c>
      <c r="N999" s="26">
        <f>IF(A999="","",MES!D999)</f>
        <v>0</v>
      </c>
      <c r="O999" s="25">
        <f>IF(K999="Válida",A999,NA())</f>
        <v>0</v>
      </c>
      <c r="P999" s="27">
        <f>IF(K999="Válida",C999,NA())</f>
        <v>0</v>
      </c>
      <c r="Q999" s="27">
        <f>IF(K999="Válida",I999,NA())</f>
        <v>0</v>
      </c>
      <c r="R999" s="27">
        <f>IF(K999="Válida",J999,NA())</f>
        <v>0</v>
      </c>
      <c r="S999" s="27">
        <f>IF(K999="Válida",C999,"")</f>
        <v>0</v>
      </c>
      <c r="T999" s="27">
        <f>IF(K999="Válida",I999,"")</f>
        <v>0</v>
      </c>
      <c r="U999" s="27">
        <f>IF(K999="Válida",J999,"")</f>
        <v>0</v>
      </c>
    </row>
    <row r="1000" spans="1:21">
      <c r="A1000" s="25">
        <f>IF(MES!A1000="","",MES!C1000/48)</f>
        <v>0</v>
      </c>
      <c r="B1000" s="26">
        <f>IF(A1000="","",TEXT((N1000*4+cfgDeslocamento)/48,"hh:mm")&amp;" a "&amp;TEXT(A1000,"hh:mm"))</f>
        <v>0</v>
      </c>
      <c r="C1000" s="27">
        <f>IF(A1000="","",MES!B1000)</f>
        <v>0</v>
      </c>
      <c r="D1000" s="27">
        <f>IF(A1000="","",IFERROR(AVERAGEIFS(Prensa!$B$2:$B$5001,Prensa!$E$2:$E$5001,N1000,Prensa!$F$2:$F$5001,1,Prensa!$G$2:$G$5001,1),""))</f>
        <v>0</v>
      </c>
      <c r="E1000" s="27">
        <f>IF(A1000="","",IFERROR(AVERAGEIFS(Prensa!$B$2:$B$5001,Prensa!$E$2:$E$5001,N1000,Prensa!$F$2:$F$5001,2,Prensa!$G$2:$G$5001,1),""))</f>
        <v>0</v>
      </c>
      <c r="F1000" s="27">
        <f>IF(A1000="","",IFERROR(AVERAGEIFS(Prensa!$B$2:$B$5001,Prensa!$E$2:$E$5001,N1000,Prensa!$F$2:$F$5001,3,Prensa!$G$2:$G$5001,1),""))</f>
        <v>0</v>
      </c>
      <c r="G1000" s="27">
        <f>IF(A1000="","",IFERROR(AVERAGEIFS(Prensa!$B$2:$B$5001,Prensa!$E$2:$E$5001,N1000,Prensa!$F$2:$F$5001,4,Prensa!$G$2:$G$5001,1),""))</f>
        <v>0</v>
      </c>
      <c r="H1000" s="26">
        <f>IF(A1000="","",COUNT(D1000:G1000))</f>
        <v>0</v>
      </c>
      <c r="I1000" s="27">
        <f>IF(A1000="","",IF(H1000=0,"",AVERAGE(D1000:G1000)))</f>
        <v>0</v>
      </c>
      <c r="J1000" s="27">
        <f>IF(OR(I1000="",C1000=""),"",I1000-C1000)</f>
        <v>0</v>
      </c>
      <c r="K1000" s="26">
        <f>IF(A1000="","",IF(MES!E1000&lt;&gt;4,"Horário do MES fora do padrão",IF(H1000&lt;cfgMinCortes,"Cortes insuficientes","Válida")))</f>
        <v>0</v>
      </c>
      <c r="L1000" s="27">
        <f>IF(K1000="Válida",ABS(J1000),"")</f>
        <v>0</v>
      </c>
      <c r="M1000" s="26">
        <f>IF(K1000="Válida",IF(L1000&lt;=cfgTolerancia,"Sim","Não"),"")</f>
        <v>0</v>
      </c>
      <c r="N1000" s="26">
        <f>IF(A1000="","",MES!D1000)</f>
        <v>0</v>
      </c>
      <c r="O1000" s="25">
        <f>IF(K1000="Válida",A1000,NA())</f>
        <v>0</v>
      </c>
      <c r="P1000" s="27">
        <f>IF(K1000="Válida",C1000,NA())</f>
        <v>0</v>
      </c>
      <c r="Q1000" s="27">
        <f>IF(K1000="Válida",I1000,NA())</f>
        <v>0</v>
      </c>
      <c r="R1000" s="27">
        <f>IF(K1000="Válida",J1000,NA())</f>
        <v>0</v>
      </c>
      <c r="S1000" s="27">
        <f>IF(K1000="Válida",C1000,"")</f>
        <v>0</v>
      </c>
      <c r="T1000" s="27">
        <f>IF(K1000="Válida",I1000,"")</f>
        <v>0</v>
      </c>
      <c r="U1000" s="27">
        <f>IF(K1000="Válida",J1000,"")</f>
        <v>0</v>
      </c>
    </row>
    <row r="1001" spans="1:21">
      <c r="A1001" s="25">
        <f>IF(MES!A1001="","",MES!C1001/48)</f>
        <v>0</v>
      </c>
      <c r="B1001" s="26">
        <f>IF(A1001="","",TEXT((N1001*4+cfgDeslocamento)/48,"hh:mm")&amp;" a "&amp;TEXT(A1001,"hh:mm"))</f>
        <v>0</v>
      </c>
      <c r="C1001" s="27">
        <f>IF(A1001="","",MES!B1001)</f>
        <v>0</v>
      </c>
      <c r="D1001" s="27">
        <f>IF(A1001="","",IFERROR(AVERAGEIFS(Prensa!$B$2:$B$5001,Prensa!$E$2:$E$5001,N1001,Prensa!$F$2:$F$5001,1,Prensa!$G$2:$G$5001,1),""))</f>
        <v>0</v>
      </c>
      <c r="E1001" s="27">
        <f>IF(A1001="","",IFERROR(AVERAGEIFS(Prensa!$B$2:$B$5001,Prensa!$E$2:$E$5001,N1001,Prensa!$F$2:$F$5001,2,Prensa!$G$2:$G$5001,1),""))</f>
        <v>0</v>
      </c>
      <c r="F1001" s="27">
        <f>IF(A1001="","",IFERROR(AVERAGEIFS(Prensa!$B$2:$B$5001,Prensa!$E$2:$E$5001,N1001,Prensa!$F$2:$F$5001,3,Prensa!$G$2:$G$5001,1),""))</f>
        <v>0</v>
      </c>
      <c r="G1001" s="27">
        <f>IF(A1001="","",IFERROR(AVERAGEIFS(Prensa!$B$2:$B$5001,Prensa!$E$2:$E$5001,N1001,Prensa!$F$2:$F$5001,4,Prensa!$G$2:$G$5001,1),""))</f>
        <v>0</v>
      </c>
      <c r="H1001" s="26">
        <f>IF(A1001="","",COUNT(D1001:G1001))</f>
        <v>0</v>
      </c>
      <c r="I1001" s="27">
        <f>IF(A1001="","",IF(H1001=0,"",AVERAGE(D1001:G1001)))</f>
        <v>0</v>
      </c>
      <c r="J1001" s="27">
        <f>IF(OR(I1001="",C1001=""),"",I1001-C1001)</f>
        <v>0</v>
      </c>
      <c r="K1001" s="26">
        <f>IF(A1001="","",IF(MES!E1001&lt;&gt;4,"Horário do MES fora do padrão",IF(H1001&lt;cfgMinCortes,"Cortes insuficientes","Válida")))</f>
        <v>0</v>
      </c>
      <c r="L1001" s="27">
        <f>IF(K1001="Válida",ABS(J1001),"")</f>
        <v>0</v>
      </c>
      <c r="M1001" s="26">
        <f>IF(K1001="Válida",IF(L1001&lt;=cfgTolerancia,"Sim","Não"),"")</f>
        <v>0</v>
      </c>
      <c r="N1001" s="26">
        <f>IF(A1001="","",MES!D1001)</f>
        <v>0</v>
      </c>
      <c r="O1001" s="25">
        <f>IF(K1001="Válida",A1001,NA())</f>
        <v>0</v>
      </c>
      <c r="P1001" s="27">
        <f>IF(K1001="Válida",C1001,NA())</f>
        <v>0</v>
      </c>
      <c r="Q1001" s="27">
        <f>IF(K1001="Válida",I1001,NA())</f>
        <v>0</v>
      </c>
      <c r="R1001" s="27">
        <f>IF(K1001="Válida",J1001,NA())</f>
        <v>0</v>
      </c>
      <c r="S1001" s="27">
        <f>IF(K1001="Válida",C1001,"")</f>
        <v>0</v>
      </c>
      <c r="T1001" s="27">
        <f>IF(K1001="Válida",I1001,"")</f>
        <v>0</v>
      </c>
      <c r="U1001" s="27">
        <f>IF(K1001="Válida",J1001,"")</f>
        <v>0</v>
      </c>
    </row>
    <row r="1002" spans="1:21">
      <c r="A1002" s="25">
        <f>IF(MES!A1002="","",MES!C1002/48)</f>
        <v>0</v>
      </c>
      <c r="B1002" s="26">
        <f>IF(A1002="","",TEXT((N1002*4+cfgDeslocamento)/48,"hh:mm")&amp;" a "&amp;TEXT(A1002,"hh:mm"))</f>
        <v>0</v>
      </c>
      <c r="C1002" s="27">
        <f>IF(A1002="","",MES!B1002)</f>
        <v>0</v>
      </c>
      <c r="D1002" s="27">
        <f>IF(A1002="","",IFERROR(AVERAGEIFS(Prensa!$B$2:$B$5001,Prensa!$E$2:$E$5001,N1002,Prensa!$F$2:$F$5001,1,Prensa!$G$2:$G$5001,1),""))</f>
        <v>0</v>
      </c>
      <c r="E1002" s="27">
        <f>IF(A1002="","",IFERROR(AVERAGEIFS(Prensa!$B$2:$B$5001,Prensa!$E$2:$E$5001,N1002,Prensa!$F$2:$F$5001,2,Prensa!$G$2:$G$5001,1),""))</f>
        <v>0</v>
      </c>
      <c r="F1002" s="27">
        <f>IF(A1002="","",IFERROR(AVERAGEIFS(Prensa!$B$2:$B$5001,Prensa!$E$2:$E$5001,N1002,Prensa!$F$2:$F$5001,3,Prensa!$G$2:$G$5001,1),""))</f>
        <v>0</v>
      </c>
      <c r="G1002" s="27">
        <f>IF(A1002="","",IFERROR(AVERAGEIFS(Prensa!$B$2:$B$5001,Prensa!$E$2:$E$5001,N1002,Prensa!$F$2:$F$5001,4,Prensa!$G$2:$G$5001,1),""))</f>
        <v>0</v>
      </c>
      <c r="H1002" s="26">
        <f>IF(A1002="","",COUNT(D1002:G1002))</f>
        <v>0</v>
      </c>
      <c r="I1002" s="27">
        <f>IF(A1002="","",IF(H1002=0,"",AVERAGE(D1002:G1002)))</f>
        <v>0</v>
      </c>
      <c r="J1002" s="27">
        <f>IF(OR(I1002="",C1002=""),"",I1002-C1002)</f>
        <v>0</v>
      </c>
      <c r="K1002" s="26">
        <f>IF(A1002="","",IF(MES!E1002&lt;&gt;4,"Horário do MES fora do padrão",IF(H1002&lt;cfgMinCortes,"Cortes insuficientes","Válida")))</f>
        <v>0</v>
      </c>
      <c r="L1002" s="27">
        <f>IF(K1002="Válida",ABS(J1002),"")</f>
        <v>0</v>
      </c>
      <c r="M1002" s="26">
        <f>IF(K1002="Válida",IF(L1002&lt;=cfgTolerancia,"Sim","Não"),"")</f>
        <v>0</v>
      </c>
      <c r="N1002" s="26">
        <f>IF(A1002="","",MES!D1002)</f>
        <v>0</v>
      </c>
      <c r="O1002" s="25">
        <f>IF(K1002="Válida",A1002,NA())</f>
        <v>0</v>
      </c>
      <c r="P1002" s="27">
        <f>IF(K1002="Válida",C1002,NA())</f>
        <v>0</v>
      </c>
      <c r="Q1002" s="27">
        <f>IF(K1002="Válida",I1002,NA())</f>
        <v>0</v>
      </c>
      <c r="R1002" s="27">
        <f>IF(K1002="Válida",J1002,NA())</f>
        <v>0</v>
      </c>
      <c r="S1002" s="27">
        <f>IF(K1002="Válida",C1002,"")</f>
        <v>0</v>
      </c>
      <c r="T1002" s="27">
        <f>IF(K1002="Válida",I1002,"")</f>
        <v>0</v>
      </c>
      <c r="U1002" s="27">
        <f>IF(K1002="Válida",J1002,"")</f>
        <v>0</v>
      </c>
    </row>
    <row r="1003" spans="1:21">
      <c r="A1003" s="25">
        <f>IF(MES!A1003="","",MES!C1003/48)</f>
        <v>0</v>
      </c>
      <c r="B1003" s="26">
        <f>IF(A1003="","",TEXT((N1003*4+cfgDeslocamento)/48,"hh:mm")&amp;" a "&amp;TEXT(A1003,"hh:mm"))</f>
        <v>0</v>
      </c>
      <c r="C1003" s="27">
        <f>IF(A1003="","",MES!B1003)</f>
        <v>0</v>
      </c>
      <c r="D1003" s="27">
        <f>IF(A1003="","",IFERROR(AVERAGEIFS(Prensa!$B$2:$B$5001,Prensa!$E$2:$E$5001,N1003,Prensa!$F$2:$F$5001,1,Prensa!$G$2:$G$5001,1),""))</f>
        <v>0</v>
      </c>
      <c r="E1003" s="27">
        <f>IF(A1003="","",IFERROR(AVERAGEIFS(Prensa!$B$2:$B$5001,Prensa!$E$2:$E$5001,N1003,Prensa!$F$2:$F$5001,2,Prensa!$G$2:$G$5001,1),""))</f>
        <v>0</v>
      </c>
      <c r="F1003" s="27">
        <f>IF(A1003="","",IFERROR(AVERAGEIFS(Prensa!$B$2:$B$5001,Prensa!$E$2:$E$5001,N1003,Prensa!$F$2:$F$5001,3,Prensa!$G$2:$G$5001,1),""))</f>
        <v>0</v>
      </c>
      <c r="G1003" s="27">
        <f>IF(A1003="","",IFERROR(AVERAGEIFS(Prensa!$B$2:$B$5001,Prensa!$E$2:$E$5001,N1003,Prensa!$F$2:$F$5001,4,Prensa!$G$2:$G$5001,1),""))</f>
        <v>0</v>
      </c>
      <c r="H1003" s="26">
        <f>IF(A1003="","",COUNT(D1003:G1003))</f>
        <v>0</v>
      </c>
      <c r="I1003" s="27">
        <f>IF(A1003="","",IF(H1003=0,"",AVERAGE(D1003:G1003)))</f>
        <v>0</v>
      </c>
      <c r="J1003" s="27">
        <f>IF(OR(I1003="",C1003=""),"",I1003-C1003)</f>
        <v>0</v>
      </c>
      <c r="K1003" s="26">
        <f>IF(A1003="","",IF(MES!E1003&lt;&gt;4,"Horário do MES fora do padrão",IF(H1003&lt;cfgMinCortes,"Cortes insuficientes","Válida")))</f>
        <v>0</v>
      </c>
      <c r="L1003" s="27">
        <f>IF(K1003="Válida",ABS(J1003),"")</f>
        <v>0</v>
      </c>
      <c r="M1003" s="26">
        <f>IF(K1003="Válida",IF(L1003&lt;=cfgTolerancia,"Sim","Não"),"")</f>
        <v>0</v>
      </c>
      <c r="N1003" s="26">
        <f>IF(A1003="","",MES!D1003)</f>
        <v>0</v>
      </c>
      <c r="O1003" s="25">
        <f>IF(K1003="Válida",A1003,NA())</f>
        <v>0</v>
      </c>
      <c r="P1003" s="27">
        <f>IF(K1003="Válida",C1003,NA())</f>
        <v>0</v>
      </c>
      <c r="Q1003" s="27">
        <f>IF(K1003="Válida",I1003,NA())</f>
        <v>0</v>
      </c>
      <c r="R1003" s="27">
        <f>IF(K1003="Válida",J1003,NA())</f>
        <v>0</v>
      </c>
      <c r="S1003" s="27">
        <f>IF(K1003="Válida",C1003,"")</f>
        <v>0</v>
      </c>
      <c r="T1003" s="27">
        <f>IF(K1003="Válida",I1003,"")</f>
        <v>0</v>
      </c>
      <c r="U1003" s="27">
        <f>IF(K1003="Válida",J1003,"")</f>
        <v>0</v>
      </c>
    </row>
    <row r="1004" spans="1:21">
      <c r="A1004" s="25">
        <f>IF(MES!A1004="","",MES!C1004/48)</f>
        <v>0</v>
      </c>
      <c r="B1004" s="26">
        <f>IF(A1004="","",TEXT((N1004*4+cfgDeslocamento)/48,"hh:mm")&amp;" a "&amp;TEXT(A1004,"hh:mm"))</f>
        <v>0</v>
      </c>
      <c r="C1004" s="27">
        <f>IF(A1004="","",MES!B1004)</f>
        <v>0</v>
      </c>
      <c r="D1004" s="27">
        <f>IF(A1004="","",IFERROR(AVERAGEIFS(Prensa!$B$2:$B$5001,Prensa!$E$2:$E$5001,N1004,Prensa!$F$2:$F$5001,1,Prensa!$G$2:$G$5001,1),""))</f>
        <v>0</v>
      </c>
      <c r="E1004" s="27">
        <f>IF(A1004="","",IFERROR(AVERAGEIFS(Prensa!$B$2:$B$5001,Prensa!$E$2:$E$5001,N1004,Prensa!$F$2:$F$5001,2,Prensa!$G$2:$G$5001,1),""))</f>
        <v>0</v>
      </c>
      <c r="F1004" s="27">
        <f>IF(A1004="","",IFERROR(AVERAGEIFS(Prensa!$B$2:$B$5001,Prensa!$E$2:$E$5001,N1004,Prensa!$F$2:$F$5001,3,Prensa!$G$2:$G$5001,1),""))</f>
        <v>0</v>
      </c>
      <c r="G1004" s="27">
        <f>IF(A1004="","",IFERROR(AVERAGEIFS(Prensa!$B$2:$B$5001,Prensa!$E$2:$E$5001,N1004,Prensa!$F$2:$F$5001,4,Prensa!$G$2:$G$5001,1),""))</f>
        <v>0</v>
      </c>
      <c r="H1004" s="26">
        <f>IF(A1004="","",COUNT(D1004:G1004))</f>
        <v>0</v>
      </c>
      <c r="I1004" s="27">
        <f>IF(A1004="","",IF(H1004=0,"",AVERAGE(D1004:G1004)))</f>
        <v>0</v>
      </c>
      <c r="J1004" s="27">
        <f>IF(OR(I1004="",C1004=""),"",I1004-C1004)</f>
        <v>0</v>
      </c>
      <c r="K1004" s="26">
        <f>IF(A1004="","",IF(MES!E1004&lt;&gt;4,"Horário do MES fora do padrão",IF(H1004&lt;cfgMinCortes,"Cortes insuficientes","Válida")))</f>
        <v>0</v>
      </c>
      <c r="L1004" s="27">
        <f>IF(K1004="Válida",ABS(J1004),"")</f>
        <v>0</v>
      </c>
      <c r="M1004" s="26">
        <f>IF(K1004="Válida",IF(L1004&lt;=cfgTolerancia,"Sim","Não"),"")</f>
        <v>0</v>
      </c>
      <c r="N1004" s="26">
        <f>IF(A1004="","",MES!D1004)</f>
        <v>0</v>
      </c>
      <c r="O1004" s="25">
        <f>IF(K1004="Válida",A1004,NA())</f>
        <v>0</v>
      </c>
      <c r="P1004" s="27">
        <f>IF(K1004="Válida",C1004,NA())</f>
        <v>0</v>
      </c>
      <c r="Q1004" s="27">
        <f>IF(K1004="Válida",I1004,NA())</f>
        <v>0</v>
      </c>
      <c r="R1004" s="27">
        <f>IF(K1004="Válida",J1004,NA())</f>
        <v>0</v>
      </c>
      <c r="S1004" s="27">
        <f>IF(K1004="Válida",C1004,"")</f>
        <v>0</v>
      </c>
      <c r="T1004" s="27">
        <f>IF(K1004="Válida",I1004,"")</f>
        <v>0</v>
      </c>
      <c r="U1004" s="27">
        <f>IF(K1004="Válida",J1004,"")</f>
        <v>0</v>
      </c>
    </row>
    <row r="1005" spans="1:21">
      <c r="A1005" s="25">
        <f>IF(MES!A1005="","",MES!C1005/48)</f>
        <v>0</v>
      </c>
      <c r="B1005" s="26">
        <f>IF(A1005="","",TEXT((N1005*4+cfgDeslocamento)/48,"hh:mm")&amp;" a "&amp;TEXT(A1005,"hh:mm"))</f>
        <v>0</v>
      </c>
      <c r="C1005" s="27">
        <f>IF(A1005="","",MES!B1005)</f>
        <v>0</v>
      </c>
      <c r="D1005" s="27">
        <f>IF(A1005="","",IFERROR(AVERAGEIFS(Prensa!$B$2:$B$5001,Prensa!$E$2:$E$5001,N1005,Prensa!$F$2:$F$5001,1,Prensa!$G$2:$G$5001,1),""))</f>
        <v>0</v>
      </c>
      <c r="E1005" s="27">
        <f>IF(A1005="","",IFERROR(AVERAGEIFS(Prensa!$B$2:$B$5001,Prensa!$E$2:$E$5001,N1005,Prensa!$F$2:$F$5001,2,Prensa!$G$2:$G$5001,1),""))</f>
        <v>0</v>
      </c>
      <c r="F1005" s="27">
        <f>IF(A1005="","",IFERROR(AVERAGEIFS(Prensa!$B$2:$B$5001,Prensa!$E$2:$E$5001,N1005,Prensa!$F$2:$F$5001,3,Prensa!$G$2:$G$5001,1),""))</f>
        <v>0</v>
      </c>
      <c r="G1005" s="27">
        <f>IF(A1005="","",IFERROR(AVERAGEIFS(Prensa!$B$2:$B$5001,Prensa!$E$2:$E$5001,N1005,Prensa!$F$2:$F$5001,4,Prensa!$G$2:$G$5001,1),""))</f>
        <v>0</v>
      </c>
      <c r="H1005" s="26">
        <f>IF(A1005="","",COUNT(D1005:G1005))</f>
        <v>0</v>
      </c>
      <c r="I1005" s="27">
        <f>IF(A1005="","",IF(H1005=0,"",AVERAGE(D1005:G1005)))</f>
        <v>0</v>
      </c>
      <c r="J1005" s="27">
        <f>IF(OR(I1005="",C1005=""),"",I1005-C1005)</f>
        <v>0</v>
      </c>
      <c r="K1005" s="26">
        <f>IF(A1005="","",IF(MES!E1005&lt;&gt;4,"Horário do MES fora do padrão",IF(H1005&lt;cfgMinCortes,"Cortes insuficientes","Válida")))</f>
        <v>0</v>
      </c>
      <c r="L1005" s="27">
        <f>IF(K1005="Válida",ABS(J1005),"")</f>
        <v>0</v>
      </c>
      <c r="M1005" s="26">
        <f>IF(K1005="Válida",IF(L1005&lt;=cfgTolerancia,"Sim","Não"),"")</f>
        <v>0</v>
      </c>
      <c r="N1005" s="26">
        <f>IF(A1005="","",MES!D1005)</f>
        <v>0</v>
      </c>
      <c r="O1005" s="25">
        <f>IF(K1005="Válida",A1005,NA())</f>
        <v>0</v>
      </c>
      <c r="P1005" s="27">
        <f>IF(K1005="Válida",C1005,NA())</f>
        <v>0</v>
      </c>
      <c r="Q1005" s="27">
        <f>IF(K1005="Válida",I1005,NA())</f>
        <v>0</v>
      </c>
      <c r="R1005" s="27">
        <f>IF(K1005="Válida",J1005,NA())</f>
        <v>0</v>
      </c>
      <c r="S1005" s="27">
        <f>IF(K1005="Válida",C1005,"")</f>
        <v>0</v>
      </c>
      <c r="T1005" s="27">
        <f>IF(K1005="Válida",I1005,"")</f>
        <v>0</v>
      </c>
      <c r="U1005" s="27">
        <f>IF(K1005="Válida",J1005,"")</f>
        <v>0</v>
      </c>
    </row>
    <row r="1006" spans="1:21">
      <c r="A1006" s="25">
        <f>IF(MES!A1006="","",MES!C1006/48)</f>
        <v>0</v>
      </c>
      <c r="B1006" s="26">
        <f>IF(A1006="","",TEXT((N1006*4+cfgDeslocamento)/48,"hh:mm")&amp;" a "&amp;TEXT(A1006,"hh:mm"))</f>
        <v>0</v>
      </c>
      <c r="C1006" s="27">
        <f>IF(A1006="","",MES!B1006)</f>
        <v>0</v>
      </c>
      <c r="D1006" s="27">
        <f>IF(A1006="","",IFERROR(AVERAGEIFS(Prensa!$B$2:$B$5001,Prensa!$E$2:$E$5001,N1006,Prensa!$F$2:$F$5001,1,Prensa!$G$2:$G$5001,1),""))</f>
        <v>0</v>
      </c>
      <c r="E1006" s="27">
        <f>IF(A1006="","",IFERROR(AVERAGEIFS(Prensa!$B$2:$B$5001,Prensa!$E$2:$E$5001,N1006,Prensa!$F$2:$F$5001,2,Prensa!$G$2:$G$5001,1),""))</f>
        <v>0</v>
      </c>
      <c r="F1006" s="27">
        <f>IF(A1006="","",IFERROR(AVERAGEIFS(Prensa!$B$2:$B$5001,Prensa!$E$2:$E$5001,N1006,Prensa!$F$2:$F$5001,3,Prensa!$G$2:$G$5001,1),""))</f>
        <v>0</v>
      </c>
      <c r="G1006" s="27">
        <f>IF(A1006="","",IFERROR(AVERAGEIFS(Prensa!$B$2:$B$5001,Prensa!$E$2:$E$5001,N1006,Prensa!$F$2:$F$5001,4,Prensa!$G$2:$G$5001,1),""))</f>
        <v>0</v>
      </c>
      <c r="H1006" s="26">
        <f>IF(A1006="","",COUNT(D1006:G1006))</f>
        <v>0</v>
      </c>
      <c r="I1006" s="27">
        <f>IF(A1006="","",IF(H1006=0,"",AVERAGE(D1006:G1006)))</f>
        <v>0</v>
      </c>
      <c r="J1006" s="27">
        <f>IF(OR(I1006="",C1006=""),"",I1006-C1006)</f>
        <v>0</v>
      </c>
      <c r="K1006" s="26">
        <f>IF(A1006="","",IF(MES!E1006&lt;&gt;4,"Horário do MES fora do padrão",IF(H1006&lt;cfgMinCortes,"Cortes insuficientes","Válida")))</f>
        <v>0</v>
      </c>
      <c r="L1006" s="27">
        <f>IF(K1006="Válida",ABS(J1006),"")</f>
        <v>0</v>
      </c>
      <c r="M1006" s="26">
        <f>IF(K1006="Válida",IF(L1006&lt;=cfgTolerancia,"Sim","Não"),"")</f>
        <v>0</v>
      </c>
      <c r="N1006" s="26">
        <f>IF(A1006="","",MES!D1006)</f>
        <v>0</v>
      </c>
      <c r="O1006" s="25">
        <f>IF(K1006="Válida",A1006,NA())</f>
        <v>0</v>
      </c>
      <c r="P1006" s="27">
        <f>IF(K1006="Válida",C1006,NA())</f>
        <v>0</v>
      </c>
      <c r="Q1006" s="27">
        <f>IF(K1006="Válida",I1006,NA())</f>
        <v>0</v>
      </c>
      <c r="R1006" s="27">
        <f>IF(K1006="Válida",J1006,NA())</f>
        <v>0</v>
      </c>
      <c r="S1006" s="27">
        <f>IF(K1006="Válida",C1006,"")</f>
        <v>0</v>
      </c>
      <c r="T1006" s="27">
        <f>IF(K1006="Válida",I1006,"")</f>
        <v>0</v>
      </c>
      <c r="U1006" s="27">
        <f>IF(K1006="Válida",J1006,"")</f>
        <v>0</v>
      </c>
    </row>
    <row r="1007" spans="1:21">
      <c r="A1007" s="25">
        <f>IF(MES!A1007="","",MES!C1007/48)</f>
        <v>0</v>
      </c>
      <c r="B1007" s="26">
        <f>IF(A1007="","",TEXT((N1007*4+cfgDeslocamento)/48,"hh:mm")&amp;" a "&amp;TEXT(A1007,"hh:mm"))</f>
        <v>0</v>
      </c>
      <c r="C1007" s="27">
        <f>IF(A1007="","",MES!B1007)</f>
        <v>0</v>
      </c>
      <c r="D1007" s="27">
        <f>IF(A1007="","",IFERROR(AVERAGEIFS(Prensa!$B$2:$B$5001,Prensa!$E$2:$E$5001,N1007,Prensa!$F$2:$F$5001,1,Prensa!$G$2:$G$5001,1),""))</f>
        <v>0</v>
      </c>
      <c r="E1007" s="27">
        <f>IF(A1007="","",IFERROR(AVERAGEIFS(Prensa!$B$2:$B$5001,Prensa!$E$2:$E$5001,N1007,Prensa!$F$2:$F$5001,2,Prensa!$G$2:$G$5001,1),""))</f>
        <v>0</v>
      </c>
      <c r="F1007" s="27">
        <f>IF(A1007="","",IFERROR(AVERAGEIFS(Prensa!$B$2:$B$5001,Prensa!$E$2:$E$5001,N1007,Prensa!$F$2:$F$5001,3,Prensa!$G$2:$G$5001,1),""))</f>
        <v>0</v>
      </c>
      <c r="G1007" s="27">
        <f>IF(A1007="","",IFERROR(AVERAGEIFS(Prensa!$B$2:$B$5001,Prensa!$E$2:$E$5001,N1007,Prensa!$F$2:$F$5001,4,Prensa!$G$2:$G$5001,1),""))</f>
        <v>0</v>
      </c>
      <c r="H1007" s="26">
        <f>IF(A1007="","",COUNT(D1007:G1007))</f>
        <v>0</v>
      </c>
      <c r="I1007" s="27">
        <f>IF(A1007="","",IF(H1007=0,"",AVERAGE(D1007:G1007)))</f>
        <v>0</v>
      </c>
      <c r="J1007" s="27">
        <f>IF(OR(I1007="",C1007=""),"",I1007-C1007)</f>
        <v>0</v>
      </c>
      <c r="K1007" s="26">
        <f>IF(A1007="","",IF(MES!E1007&lt;&gt;4,"Horário do MES fora do padrão",IF(H1007&lt;cfgMinCortes,"Cortes insuficientes","Válida")))</f>
        <v>0</v>
      </c>
      <c r="L1007" s="27">
        <f>IF(K1007="Válida",ABS(J1007),"")</f>
        <v>0</v>
      </c>
      <c r="M1007" s="26">
        <f>IF(K1007="Válida",IF(L1007&lt;=cfgTolerancia,"Sim","Não"),"")</f>
        <v>0</v>
      </c>
      <c r="N1007" s="26">
        <f>IF(A1007="","",MES!D1007)</f>
        <v>0</v>
      </c>
      <c r="O1007" s="25">
        <f>IF(K1007="Válida",A1007,NA())</f>
        <v>0</v>
      </c>
      <c r="P1007" s="27">
        <f>IF(K1007="Válida",C1007,NA())</f>
        <v>0</v>
      </c>
      <c r="Q1007" s="27">
        <f>IF(K1007="Válida",I1007,NA())</f>
        <v>0</v>
      </c>
      <c r="R1007" s="27">
        <f>IF(K1007="Válida",J1007,NA())</f>
        <v>0</v>
      </c>
      <c r="S1007" s="27">
        <f>IF(K1007="Válida",C1007,"")</f>
        <v>0</v>
      </c>
      <c r="T1007" s="27">
        <f>IF(K1007="Válida",I1007,"")</f>
        <v>0</v>
      </c>
      <c r="U1007" s="27">
        <f>IF(K1007="Válida",J1007,"")</f>
        <v>0</v>
      </c>
    </row>
    <row r="1008" spans="1:21">
      <c r="A1008" s="25">
        <f>IF(MES!A1008="","",MES!C1008/48)</f>
        <v>0</v>
      </c>
      <c r="B1008" s="26">
        <f>IF(A1008="","",TEXT((N1008*4+cfgDeslocamento)/48,"hh:mm")&amp;" a "&amp;TEXT(A1008,"hh:mm"))</f>
        <v>0</v>
      </c>
      <c r="C1008" s="27">
        <f>IF(A1008="","",MES!B1008)</f>
        <v>0</v>
      </c>
      <c r="D1008" s="27">
        <f>IF(A1008="","",IFERROR(AVERAGEIFS(Prensa!$B$2:$B$5001,Prensa!$E$2:$E$5001,N1008,Prensa!$F$2:$F$5001,1,Prensa!$G$2:$G$5001,1),""))</f>
        <v>0</v>
      </c>
      <c r="E1008" s="27">
        <f>IF(A1008="","",IFERROR(AVERAGEIFS(Prensa!$B$2:$B$5001,Prensa!$E$2:$E$5001,N1008,Prensa!$F$2:$F$5001,2,Prensa!$G$2:$G$5001,1),""))</f>
        <v>0</v>
      </c>
      <c r="F1008" s="27">
        <f>IF(A1008="","",IFERROR(AVERAGEIFS(Prensa!$B$2:$B$5001,Prensa!$E$2:$E$5001,N1008,Prensa!$F$2:$F$5001,3,Prensa!$G$2:$G$5001,1),""))</f>
        <v>0</v>
      </c>
      <c r="G1008" s="27">
        <f>IF(A1008="","",IFERROR(AVERAGEIFS(Prensa!$B$2:$B$5001,Prensa!$E$2:$E$5001,N1008,Prensa!$F$2:$F$5001,4,Prensa!$G$2:$G$5001,1),""))</f>
        <v>0</v>
      </c>
      <c r="H1008" s="26">
        <f>IF(A1008="","",COUNT(D1008:G1008))</f>
        <v>0</v>
      </c>
      <c r="I1008" s="27">
        <f>IF(A1008="","",IF(H1008=0,"",AVERAGE(D1008:G1008)))</f>
        <v>0</v>
      </c>
      <c r="J1008" s="27">
        <f>IF(OR(I1008="",C1008=""),"",I1008-C1008)</f>
        <v>0</v>
      </c>
      <c r="K1008" s="26">
        <f>IF(A1008="","",IF(MES!E1008&lt;&gt;4,"Horário do MES fora do padrão",IF(H1008&lt;cfgMinCortes,"Cortes insuficientes","Válida")))</f>
        <v>0</v>
      </c>
      <c r="L1008" s="27">
        <f>IF(K1008="Válida",ABS(J1008),"")</f>
        <v>0</v>
      </c>
      <c r="M1008" s="26">
        <f>IF(K1008="Válida",IF(L1008&lt;=cfgTolerancia,"Sim","Não"),"")</f>
        <v>0</v>
      </c>
      <c r="N1008" s="26">
        <f>IF(A1008="","",MES!D1008)</f>
        <v>0</v>
      </c>
      <c r="O1008" s="25">
        <f>IF(K1008="Válida",A1008,NA())</f>
        <v>0</v>
      </c>
      <c r="P1008" s="27">
        <f>IF(K1008="Válida",C1008,NA())</f>
        <v>0</v>
      </c>
      <c r="Q1008" s="27">
        <f>IF(K1008="Válida",I1008,NA())</f>
        <v>0</v>
      </c>
      <c r="R1008" s="27">
        <f>IF(K1008="Válida",J1008,NA())</f>
        <v>0</v>
      </c>
      <c r="S1008" s="27">
        <f>IF(K1008="Válida",C1008,"")</f>
        <v>0</v>
      </c>
      <c r="T1008" s="27">
        <f>IF(K1008="Válida",I1008,"")</f>
        <v>0</v>
      </c>
      <c r="U1008" s="27">
        <f>IF(K1008="Válida",J1008,"")</f>
        <v>0</v>
      </c>
    </row>
    <row r="1009" spans="1:21">
      <c r="A1009" s="25">
        <f>IF(MES!A1009="","",MES!C1009/48)</f>
        <v>0</v>
      </c>
      <c r="B1009" s="26">
        <f>IF(A1009="","",TEXT((N1009*4+cfgDeslocamento)/48,"hh:mm")&amp;" a "&amp;TEXT(A1009,"hh:mm"))</f>
        <v>0</v>
      </c>
      <c r="C1009" s="27">
        <f>IF(A1009="","",MES!B1009)</f>
        <v>0</v>
      </c>
      <c r="D1009" s="27">
        <f>IF(A1009="","",IFERROR(AVERAGEIFS(Prensa!$B$2:$B$5001,Prensa!$E$2:$E$5001,N1009,Prensa!$F$2:$F$5001,1,Prensa!$G$2:$G$5001,1),""))</f>
        <v>0</v>
      </c>
      <c r="E1009" s="27">
        <f>IF(A1009="","",IFERROR(AVERAGEIFS(Prensa!$B$2:$B$5001,Prensa!$E$2:$E$5001,N1009,Prensa!$F$2:$F$5001,2,Prensa!$G$2:$G$5001,1),""))</f>
        <v>0</v>
      </c>
      <c r="F1009" s="27">
        <f>IF(A1009="","",IFERROR(AVERAGEIFS(Prensa!$B$2:$B$5001,Prensa!$E$2:$E$5001,N1009,Prensa!$F$2:$F$5001,3,Prensa!$G$2:$G$5001,1),""))</f>
        <v>0</v>
      </c>
      <c r="G1009" s="27">
        <f>IF(A1009="","",IFERROR(AVERAGEIFS(Prensa!$B$2:$B$5001,Prensa!$E$2:$E$5001,N1009,Prensa!$F$2:$F$5001,4,Prensa!$G$2:$G$5001,1),""))</f>
        <v>0</v>
      </c>
      <c r="H1009" s="26">
        <f>IF(A1009="","",COUNT(D1009:G1009))</f>
        <v>0</v>
      </c>
      <c r="I1009" s="27">
        <f>IF(A1009="","",IF(H1009=0,"",AVERAGE(D1009:G1009)))</f>
        <v>0</v>
      </c>
      <c r="J1009" s="27">
        <f>IF(OR(I1009="",C1009=""),"",I1009-C1009)</f>
        <v>0</v>
      </c>
      <c r="K1009" s="26">
        <f>IF(A1009="","",IF(MES!E1009&lt;&gt;4,"Horário do MES fora do padrão",IF(H1009&lt;cfgMinCortes,"Cortes insuficientes","Válida")))</f>
        <v>0</v>
      </c>
      <c r="L1009" s="27">
        <f>IF(K1009="Válida",ABS(J1009),"")</f>
        <v>0</v>
      </c>
      <c r="M1009" s="26">
        <f>IF(K1009="Válida",IF(L1009&lt;=cfgTolerancia,"Sim","Não"),"")</f>
        <v>0</v>
      </c>
      <c r="N1009" s="26">
        <f>IF(A1009="","",MES!D1009)</f>
        <v>0</v>
      </c>
      <c r="O1009" s="25">
        <f>IF(K1009="Válida",A1009,NA())</f>
        <v>0</v>
      </c>
      <c r="P1009" s="27">
        <f>IF(K1009="Válida",C1009,NA())</f>
        <v>0</v>
      </c>
      <c r="Q1009" s="27">
        <f>IF(K1009="Válida",I1009,NA())</f>
        <v>0</v>
      </c>
      <c r="R1009" s="27">
        <f>IF(K1009="Válida",J1009,NA())</f>
        <v>0</v>
      </c>
      <c r="S1009" s="27">
        <f>IF(K1009="Válida",C1009,"")</f>
        <v>0</v>
      </c>
      <c r="T1009" s="27">
        <f>IF(K1009="Válida",I1009,"")</f>
        <v>0</v>
      </c>
      <c r="U1009" s="27">
        <f>IF(K1009="Válida",J1009,"")</f>
        <v>0</v>
      </c>
    </row>
    <row r="1010" spans="1:21">
      <c r="A1010" s="25">
        <f>IF(MES!A1010="","",MES!C1010/48)</f>
        <v>0</v>
      </c>
      <c r="B1010" s="26">
        <f>IF(A1010="","",TEXT((N1010*4+cfgDeslocamento)/48,"hh:mm")&amp;" a "&amp;TEXT(A1010,"hh:mm"))</f>
        <v>0</v>
      </c>
      <c r="C1010" s="27">
        <f>IF(A1010="","",MES!B1010)</f>
        <v>0</v>
      </c>
      <c r="D1010" s="27">
        <f>IF(A1010="","",IFERROR(AVERAGEIFS(Prensa!$B$2:$B$5001,Prensa!$E$2:$E$5001,N1010,Prensa!$F$2:$F$5001,1,Prensa!$G$2:$G$5001,1),""))</f>
        <v>0</v>
      </c>
      <c r="E1010" s="27">
        <f>IF(A1010="","",IFERROR(AVERAGEIFS(Prensa!$B$2:$B$5001,Prensa!$E$2:$E$5001,N1010,Prensa!$F$2:$F$5001,2,Prensa!$G$2:$G$5001,1),""))</f>
        <v>0</v>
      </c>
      <c r="F1010" s="27">
        <f>IF(A1010="","",IFERROR(AVERAGEIFS(Prensa!$B$2:$B$5001,Prensa!$E$2:$E$5001,N1010,Prensa!$F$2:$F$5001,3,Prensa!$G$2:$G$5001,1),""))</f>
        <v>0</v>
      </c>
      <c r="G1010" s="27">
        <f>IF(A1010="","",IFERROR(AVERAGEIFS(Prensa!$B$2:$B$5001,Prensa!$E$2:$E$5001,N1010,Prensa!$F$2:$F$5001,4,Prensa!$G$2:$G$5001,1),""))</f>
        <v>0</v>
      </c>
      <c r="H1010" s="26">
        <f>IF(A1010="","",COUNT(D1010:G1010))</f>
        <v>0</v>
      </c>
      <c r="I1010" s="27">
        <f>IF(A1010="","",IF(H1010=0,"",AVERAGE(D1010:G1010)))</f>
        <v>0</v>
      </c>
      <c r="J1010" s="27">
        <f>IF(OR(I1010="",C1010=""),"",I1010-C1010)</f>
        <v>0</v>
      </c>
      <c r="K1010" s="26">
        <f>IF(A1010="","",IF(MES!E1010&lt;&gt;4,"Horário do MES fora do padrão",IF(H1010&lt;cfgMinCortes,"Cortes insuficientes","Válida")))</f>
        <v>0</v>
      </c>
      <c r="L1010" s="27">
        <f>IF(K1010="Válida",ABS(J1010),"")</f>
        <v>0</v>
      </c>
      <c r="M1010" s="26">
        <f>IF(K1010="Válida",IF(L1010&lt;=cfgTolerancia,"Sim","Não"),"")</f>
        <v>0</v>
      </c>
      <c r="N1010" s="26">
        <f>IF(A1010="","",MES!D1010)</f>
        <v>0</v>
      </c>
      <c r="O1010" s="25">
        <f>IF(K1010="Válida",A1010,NA())</f>
        <v>0</v>
      </c>
      <c r="P1010" s="27">
        <f>IF(K1010="Válida",C1010,NA())</f>
        <v>0</v>
      </c>
      <c r="Q1010" s="27">
        <f>IF(K1010="Válida",I1010,NA())</f>
        <v>0</v>
      </c>
      <c r="R1010" s="27">
        <f>IF(K1010="Válida",J1010,NA())</f>
        <v>0</v>
      </c>
      <c r="S1010" s="27">
        <f>IF(K1010="Válida",C1010,"")</f>
        <v>0</v>
      </c>
      <c r="T1010" s="27">
        <f>IF(K1010="Válida",I1010,"")</f>
        <v>0</v>
      </c>
      <c r="U1010" s="27">
        <f>IF(K1010="Válida",J1010,"")</f>
        <v>0</v>
      </c>
    </row>
    <row r="1011" spans="1:21">
      <c r="A1011" s="25">
        <f>IF(MES!A1011="","",MES!C1011/48)</f>
        <v>0</v>
      </c>
      <c r="B1011" s="26">
        <f>IF(A1011="","",TEXT((N1011*4+cfgDeslocamento)/48,"hh:mm")&amp;" a "&amp;TEXT(A1011,"hh:mm"))</f>
        <v>0</v>
      </c>
      <c r="C1011" s="27">
        <f>IF(A1011="","",MES!B1011)</f>
        <v>0</v>
      </c>
      <c r="D1011" s="27">
        <f>IF(A1011="","",IFERROR(AVERAGEIFS(Prensa!$B$2:$B$5001,Prensa!$E$2:$E$5001,N1011,Prensa!$F$2:$F$5001,1,Prensa!$G$2:$G$5001,1),""))</f>
        <v>0</v>
      </c>
      <c r="E1011" s="27">
        <f>IF(A1011="","",IFERROR(AVERAGEIFS(Prensa!$B$2:$B$5001,Prensa!$E$2:$E$5001,N1011,Prensa!$F$2:$F$5001,2,Prensa!$G$2:$G$5001,1),""))</f>
        <v>0</v>
      </c>
      <c r="F1011" s="27">
        <f>IF(A1011="","",IFERROR(AVERAGEIFS(Prensa!$B$2:$B$5001,Prensa!$E$2:$E$5001,N1011,Prensa!$F$2:$F$5001,3,Prensa!$G$2:$G$5001,1),""))</f>
        <v>0</v>
      </c>
      <c r="G1011" s="27">
        <f>IF(A1011="","",IFERROR(AVERAGEIFS(Prensa!$B$2:$B$5001,Prensa!$E$2:$E$5001,N1011,Prensa!$F$2:$F$5001,4,Prensa!$G$2:$G$5001,1),""))</f>
        <v>0</v>
      </c>
      <c r="H1011" s="26">
        <f>IF(A1011="","",COUNT(D1011:G1011))</f>
        <v>0</v>
      </c>
      <c r="I1011" s="27">
        <f>IF(A1011="","",IF(H1011=0,"",AVERAGE(D1011:G1011)))</f>
        <v>0</v>
      </c>
      <c r="J1011" s="27">
        <f>IF(OR(I1011="",C1011=""),"",I1011-C1011)</f>
        <v>0</v>
      </c>
      <c r="K1011" s="26">
        <f>IF(A1011="","",IF(MES!E1011&lt;&gt;4,"Horário do MES fora do padrão",IF(H1011&lt;cfgMinCortes,"Cortes insuficientes","Válida")))</f>
        <v>0</v>
      </c>
      <c r="L1011" s="27">
        <f>IF(K1011="Válida",ABS(J1011),"")</f>
        <v>0</v>
      </c>
      <c r="M1011" s="26">
        <f>IF(K1011="Válida",IF(L1011&lt;=cfgTolerancia,"Sim","Não"),"")</f>
        <v>0</v>
      </c>
      <c r="N1011" s="26">
        <f>IF(A1011="","",MES!D1011)</f>
        <v>0</v>
      </c>
      <c r="O1011" s="25">
        <f>IF(K1011="Válida",A1011,NA())</f>
        <v>0</v>
      </c>
      <c r="P1011" s="27">
        <f>IF(K1011="Válida",C1011,NA())</f>
        <v>0</v>
      </c>
      <c r="Q1011" s="27">
        <f>IF(K1011="Válida",I1011,NA())</f>
        <v>0</v>
      </c>
      <c r="R1011" s="27">
        <f>IF(K1011="Válida",J1011,NA())</f>
        <v>0</v>
      </c>
      <c r="S1011" s="27">
        <f>IF(K1011="Válida",C1011,"")</f>
        <v>0</v>
      </c>
      <c r="T1011" s="27">
        <f>IF(K1011="Válida",I1011,"")</f>
        <v>0</v>
      </c>
      <c r="U1011" s="27">
        <f>IF(K1011="Válida",J1011,"")</f>
        <v>0</v>
      </c>
    </row>
    <row r="1012" spans="1:21">
      <c r="A1012" s="25">
        <f>IF(MES!A1012="","",MES!C1012/48)</f>
        <v>0</v>
      </c>
      <c r="B1012" s="26">
        <f>IF(A1012="","",TEXT((N1012*4+cfgDeslocamento)/48,"hh:mm")&amp;" a "&amp;TEXT(A1012,"hh:mm"))</f>
        <v>0</v>
      </c>
      <c r="C1012" s="27">
        <f>IF(A1012="","",MES!B1012)</f>
        <v>0</v>
      </c>
      <c r="D1012" s="27">
        <f>IF(A1012="","",IFERROR(AVERAGEIFS(Prensa!$B$2:$B$5001,Prensa!$E$2:$E$5001,N1012,Prensa!$F$2:$F$5001,1,Prensa!$G$2:$G$5001,1),""))</f>
        <v>0</v>
      </c>
      <c r="E1012" s="27">
        <f>IF(A1012="","",IFERROR(AVERAGEIFS(Prensa!$B$2:$B$5001,Prensa!$E$2:$E$5001,N1012,Prensa!$F$2:$F$5001,2,Prensa!$G$2:$G$5001,1),""))</f>
        <v>0</v>
      </c>
      <c r="F1012" s="27">
        <f>IF(A1012="","",IFERROR(AVERAGEIFS(Prensa!$B$2:$B$5001,Prensa!$E$2:$E$5001,N1012,Prensa!$F$2:$F$5001,3,Prensa!$G$2:$G$5001,1),""))</f>
        <v>0</v>
      </c>
      <c r="G1012" s="27">
        <f>IF(A1012="","",IFERROR(AVERAGEIFS(Prensa!$B$2:$B$5001,Prensa!$E$2:$E$5001,N1012,Prensa!$F$2:$F$5001,4,Prensa!$G$2:$G$5001,1),""))</f>
        <v>0</v>
      </c>
      <c r="H1012" s="26">
        <f>IF(A1012="","",COUNT(D1012:G1012))</f>
        <v>0</v>
      </c>
      <c r="I1012" s="27">
        <f>IF(A1012="","",IF(H1012=0,"",AVERAGE(D1012:G1012)))</f>
        <v>0</v>
      </c>
      <c r="J1012" s="27">
        <f>IF(OR(I1012="",C1012=""),"",I1012-C1012)</f>
        <v>0</v>
      </c>
      <c r="K1012" s="26">
        <f>IF(A1012="","",IF(MES!E1012&lt;&gt;4,"Horário do MES fora do padrão",IF(H1012&lt;cfgMinCortes,"Cortes insuficientes","Válida")))</f>
        <v>0</v>
      </c>
      <c r="L1012" s="27">
        <f>IF(K1012="Válida",ABS(J1012),"")</f>
        <v>0</v>
      </c>
      <c r="M1012" s="26">
        <f>IF(K1012="Válida",IF(L1012&lt;=cfgTolerancia,"Sim","Não"),"")</f>
        <v>0</v>
      </c>
      <c r="N1012" s="26">
        <f>IF(A1012="","",MES!D1012)</f>
        <v>0</v>
      </c>
      <c r="O1012" s="25">
        <f>IF(K1012="Válida",A1012,NA())</f>
        <v>0</v>
      </c>
      <c r="P1012" s="27">
        <f>IF(K1012="Válida",C1012,NA())</f>
        <v>0</v>
      </c>
      <c r="Q1012" s="27">
        <f>IF(K1012="Válida",I1012,NA())</f>
        <v>0</v>
      </c>
      <c r="R1012" s="27">
        <f>IF(K1012="Válida",J1012,NA())</f>
        <v>0</v>
      </c>
      <c r="S1012" s="27">
        <f>IF(K1012="Válida",C1012,"")</f>
        <v>0</v>
      </c>
      <c r="T1012" s="27">
        <f>IF(K1012="Válida",I1012,"")</f>
        <v>0</v>
      </c>
      <c r="U1012" s="27">
        <f>IF(K1012="Válida",J1012,"")</f>
        <v>0</v>
      </c>
    </row>
    <row r="1013" spans="1:21">
      <c r="A1013" s="25">
        <f>IF(MES!A1013="","",MES!C1013/48)</f>
        <v>0</v>
      </c>
      <c r="B1013" s="26">
        <f>IF(A1013="","",TEXT((N1013*4+cfgDeslocamento)/48,"hh:mm")&amp;" a "&amp;TEXT(A1013,"hh:mm"))</f>
        <v>0</v>
      </c>
      <c r="C1013" s="27">
        <f>IF(A1013="","",MES!B1013)</f>
        <v>0</v>
      </c>
      <c r="D1013" s="27">
        <f>IF(A1013="","",IFERROR(AVERAGEIFS(Prensa!$B$2:$B$5001,Prensa!$E$2:$E$5001,N1013,Prensa!$F$2:$F$5001,1,Prensa!$G$2:$G$5001,1),""))</f>
        <v>0</v>
      </c>
      <c r="E1013" s="27">
        <f>IF(A1013="","",IFERROR(AVERAGEIFS(Prensa!$B$2:$B$5001,Prensa!$E$2:$E$5001,N1013,Prensa!$F$2:$F$5001,2,Prensa!$G$2:$G$5001,1),""))</f>
        <v>0</v>
      </c>
      <c r="F1013" s="27">
        <f>IF(A1013="","",IFERROR(AVERAGEIFS(Prensa!$B$2:$B$5001,Prensa!$E$2:$E$5001,N1013,Prensa!$F$2:$F$5001,3,Prensa!$G$2:$G$5001,1),""))</f>
        <v>0</v>
      </c>
      <c r="G1013" s="27">
        <f>IF(A1013="","",IFERROR(AVERAGEIFS(Prensa!$B$2:$B$5001,Prensa!$E$2:$E$5001,N1013,Prensa!$F$2:$F$5001,4,Prensa!$G$2:$G$5001,1),""))</f>
        <v>0</v>
      </c>
      <c r="H1013" s="26">
        <f>IF(A1013="","",COUNT(D1013:G1013))</f>
        <v>0</v>
      </c>
      <c r="I1013" s="27">
        <f>IF(A1013="","",IF(H1013=0,"",AVERAGE(D1013:G1013)))</f>
        <v>0</v>
      </c>
      <c r="J1013" s="27">
        <f>IF(OR(I1013="",C1013=""),"",I1013-C1013)</f>
        <v>0</v>
      </c>
      <c r="K1013" s="26">
        <f>IF(A1013="","",IF(MES!E1013&lt;&gt;4,"Horário do MES fora do padrão",IF(H1013&lt;cfgMinCortes,"Cortes insuficientes","Válida")))</f>
        <v>0</v>
      </c>
      <c r="L1013" s="27">
        <f>IF(K1013="Válida",ABS(J1013),"")</f>
        <v>0</v>
      </c>
      <c r="M1013" s="26">
        <f>IF(K1013="Válida",IF(L1013&lt;=cfgTolerancia,"Sim","Não"),"")</f>
        <v>0</v>
      </c>
      <c r="N1013" s="26">
        <f>IF(A1013="","",MES!D1013)</f>
        <v>0</v>
      </c>
      <c r="O1013" s="25">
        <f>IF(K1013="Válida",A1013,NA())</f>
        <v>0</v>
      </c>
      <c r="P1013" s="27">
        <f>IF(K1013="Válida",C1013,NA())</f>
        <v>0</v>
      </c>
      <c r="Q1013" s="27">
        <f>IF(K1013="Válida",I1013,NA())</f>
        <v>0</v>
      </c>
      <c r="R1013" s="27">
        <f>IF(K1013="Válida",J1013,NA())</f>
        <v>0</v>
      </c>
      <c r="S1013" s="27">
        <f>IF(K1013="Válida",C1013,"")</f>
        <v>0</v>
      </c>
      <c r="T1013" s="27">
        <f>IF(K1013="Válida",I1013,"")</f>
        <v>0</v>
      </c>
      <c r="U1013" s="27">
        <f>IF(K1013="Válida",J1013,"")</f>
        <v>0</v>
      </c>
    </row>
    <row r="1014" spans="1:21">
      <c r="A1014" s="25">
        <f>IF(MES!A1014="","",MES!C1014/48)</f>
        <v>0</v>
      </c>
      <c r="B1014" s="26">
        <f>IF(A1014="","",TEXT((N1014*4+cfgDeslocamento)/48,"hh:mm")&amp;" a "&amp;TEXT(A1014,"hh:mm"))</f>
        <v>0</v>
      </c>
      <c r="C1014" s="27">
        <f>IF(A1014="","",MES!B1014)</f>
        <v>0</v>
      </c>
      <c r="D1014" s="27">
        <f>IF(A1014="","",IFERROR(AVERAGEIFS(Prensa!$B$2:$B$5001,Prensa!$E$2:$E$5001,N1014,Prensa!$F$2:$F$5001,1,Prensa!$G$2:$G$5001,1),""))</f>
        <v>0</v>
      </c>
      <c r="E1014" s="27">
        <f>IF(A1014="","",IFERROR(AVERAGEIFS(Prensa!$B$2:$B$5001,Prensa!$E$2:$E$5001,N1014,Prensa!$F$2:$F$5001,2,Prensa!$G$2:$G$5001,1),""))</f>
        <v>0</v>
      </c>
      <c r="F1014" s="27">
        <f>IF(A1014="","",IFERROR(AVERAGEIFS(Prensa!$B$2:$B$5001,Prensa!$E$2:$E$5001,N1014,Prensa!$F$2:$F$5001,3,Prensa!$G$2:$G$5001,1),""))</f>
        <v>0</v>
      </c>
      <c r="G1014" s="27">
        <f>IF(A1014="","",IFERROR(AVERAGEIFS(Prensa!$B$2:$B$5001,Prensa!$E$2:$E$5001,N1014,Prensa!$F$2:$F$5001,4,Prensa!$G$2:$G$5001,1),""))</f>
        <v>0</v>
      </c>
      <c r="H1014" s="26">
        <f>IF(A1014="","",COUNT(D1014:G1014))</f>
        <v>0</v>
      </c>
      <c r="I1014" s="27">
        <f>IF(A1014="","",IF(H1014=0,"",AVERAGE(D1014:G1014)))</f>
        <v>0</v>
      </c>
      <c r="J1014" s="27">
        <f>IF(OR(I1014="",C1014=""),"",I1014-C1014)</f>
        <v>0</v>
      </c>
      <c r="K1014" s="26">
        <f>IF(A1014="","",IF(MES!E1014&lt;&gt;4,"Horário do MES fora do padrão",IF(H1014&lt;cfgMinCortes,"Cortes insuficientes","Válida")))</f>
        <v>0</v>
      </c>
      <c r="L1014" s="27">
        <f>IF(K1014="Válida",ABS(J1014),"")</f>
        <v>0</v>
      </c>
      <c r="M1014" s="26">
        <f>IF(K1014="Válida",IF(L1014&lt;=cfgTolerancia,"Sim","Não"),"")</f>
        <v>0</v>
      </c>
      <c r="N1014" s="26">
        <f>IF(A1014="","",MES!D1014)</f>
        <v>0</v>
      </c>
      <c r="O1014" s="25">
        <f>IF(K1014="Válida",A1014,NA())</f>
        <v>0</v>
      </c>
      <c r="P1014" s="27">
        <f>IF(K1014="Válida",C1014,NA())</f>
        <v>0</v>
      </c>
      <c r="Q1014" s="27">
        <f>IF(K1014="Válida",I1014,NA())</f>
        <v>0</v>
      </c>
      <c r="R1014" s="27">
        <f>IF(K1014="Válida",J1014,NA())</f>
        <v>0</v>
      </c>
      <c r="S1014" s="27">
        <f>IF(K1014="Válida",C1014,"")</f>
        <v>0</v>
      </c>
      <c r="T1014" s="27">
        <f>IF(K1014="Válida",I1014,"")</f>
        <v>0</v>
      </c>
      <c r="U1014" s="27">
        <f>IF(K1014="Válida",J1014,"")</f>
        <v>0</v>
      </c>
    </row>
    <row r="1015" spans="1:21">
      <c r="A1015" s="25">
        <f>IF(MES!A1015="","",MES!C1015/48)</f>
        <v>0</v>
      </c>
      <c r="B1015" s="26">
        <f>IF(A1015="","",TEXT((N1015*4+cfgDeslocamento)/48,"hh:mm")&amp;" a "&amp;TEXT(A1015,"hh:mm"))</f>
        <v>0</v>
      </c>
      <c r="C1015" s="27">
        <f>IF(A1015="","",MES!B1015)</f>
        <v>0</v>
      </c>
      <c r="D1015" s="27">
        <f>IF(A1015="","",IFERROR(AVERAGEIFS(Prensa!$B$2:$B$5001,Prensa!$E$2:$E$5001,N1015,Prensa!$F$2:$F$5001,1,Prensa!$G$2:$G$5001,1),""))</f>
        <v>0</v>
      </c>
      <c r="E1015" s="27">
        <f>IF(A1015="","",IFERROR(AVERAGEIFS(Prensa!$B$2:$B$5001,Prensa!$E$2:$E$5001,N1015,Prensa!$F$2:$F$5001,2,Prensa!$G$2:$G$5001,1),""))</f>
        <v>0</v>
      </c>
      <c r="F1015" s="27">
        <f>IF(A1015="","",IFERROR(AVERAGEIFS(Prensa!$B$2:$B$5001,Prensa!$E$2:$E$5001,N1015,Prensa!$F$2:$F$5001,3,Prensa!$G$2:$G$5001,1),""))</f>
        <v>0</v>
      </c>
      <c r="G1015" s="27">
        <f>IF(A1015="","",IFERROR(AVERAGEIFS(Prensa!$B$2:$B$5001,Prensa!$E$2:$E$5001,N1015,Prensa!$F$2:$F$5001,4,Prensa!$G$2:$G$5001,1),""))</f>
        <v>0</v>
      </c>
      <c r="H1015" s="26">
        <f>IF(A1015="","",COUNT(D1015:G1015))</f>
        <v>0</v>
      </c>
      <c r="I1015" s="27">
        <f>IF(A1015="","",IF(H1015=0,"",AVERAGE(D1015:G1015)))</f>
        <v>0</v>
      </c>
      <c r="J1015" s="27">
        <f>IF(OR(I1015="",C1015=""),"",I1015-C1015)</f>
        <v>0</v>
      </c>
      <c r="K1015" s="26">
        <f>IF(A1015="","",IF(MES!E1015&lt;&gt;4,"Horário do MES fora do padrão",IF(H1015&lt;cfgMinCortes,"Cortes insuficientes","Válida")))</f>
        <v>0</v>
      </c>
      <c r="L1015" s="27">
        <f>IF(K1015="Válida",ABS(J1015),"")</f>
        <v>0</v>
      </c>
      <c r="M1015" s="26">
        <f>IF(K1015="Válida",IF(L1015&lt;=cfgTolerancia,"Sim","Não"),"")</f>
        <v>0</v>
      </c>
      <c r="N1015" s="26">
        <f>IF(A1015="","",MES!D1015)</f>
        <v>0</v>
      </c>
      <c r="O1015" s="25">
        <f>IF(K1015="Válida",A1015,NA())</f>
        <v>0</v>
      </c>
      <c r="P1015" s="27">
        <f>IF(K1015="Válida",C1015,NA())</f>
        <v>0</v>
      </c>
      <c r="Q1015" s="27">
        <f>IF(K1015="Válida",I1015,NA())</f>
        <v>0</v>
      </c>
      <c r="R1015" s="27">
        <f>IF(K1015="Válida",J1015,NA())</f>
        <v>0</v>
      </c>
      <c r="S1015" s="27">
        <f>IF(K1015="Válida",C1015,"")</f>
        <v>0</v>
      </c>
      <c r="T1015" s="27">
        <f>IF(K1015="Válida",I1015,"")</f>
        <v>0</v>
      </c>
      <c r="U1015" s="27">
        <f>IF(K1015="Válida",J1015,"")</f>
        <v>0</v>
      </c>
    </row>
    <row r="1016" spans="1:21">
      <c r="A1016" s="25">
        <f>IF(MES!A1016="","",MES!C1016/48)</f>
        <v>0</v>
      </c>
      <c r="B1016" s="26">
        <f>IF(A1016="","",TEXT((N1016*4+cfgDeslocamento)/48,"hh:mm")&amp;" a "&amp;TEXT(A1016,"hh:mm"))</f>
        <v>0</v>
      </c>
      <c r="C1016" s="27">
        <f>IF(A1016="","",MES!B1016)</f>
        <v>0</v>
      </c>
      <c r="D1016" s="27">
        <f>IF(A1016="","",IFERROR(AVERAGEIFS(Prensa!$B$2:$B$5001,Prensa!$E$2:$E$5001,N1016,Prensa!$F$2:$F$5001,1,Prensa!$G$2:$G$5001,1),""))</f>
        <v>0</v>
      </c>
      <c r="E1016" s="27">
        <f>IF(A1016="","",IFERROR(AVERAGEIFS(Prensa!$B$2:$B$5001,Prensa!$E$2:$E$5001,N1016,Prensa!$F$2:$F$5001,2,Prensa!$G$2:$G$5001,1),""))</f>
        <v>0</v>
      </c>
      <c r="F1016" s="27">
        <f>IF(A1016="","",IFERROR(AVERAGEIFS(Prensa!$B$2:$B$5001,Prensa!$E$2:$E$5001,N1016,Prensa!$F$2:$F$5001,3,Prensa!$G$2:$G$5001,1),""))</f>
        <v>0</v>
      </c>
      <c r="G1016" s="27">
        <f>IF(A1016="","",IFERROR(AVERAGEIFS(Prensa!$B$2:$B$5001,Prensa!$E$2:$E$5001,N1016,Prensa!$F$2:$F$5001,4,Prensa!$G$2:$G$5001,1),""))</f>
        <v>0</v>
      </c>
      <c r="H1016" s="26">
        <f>IF(A1016="","",COUNT(D1016:G1016))</f>
        <v>0</v>
      </c>
      <c r="I1016" s="27">
        <f>IF(A1016="","",IF(H1016=0,"",AVERAGE(D1016:G1016)))</f>
        <v>0</v>
      </c>
      <c r="J1016" s="27">
        <f>IF(OR(I1016="",C1016=""),"",I1016-C1016)</f>
        <v>0</v>
      </c>
      <c r="K1016" s="26">
        <f>IF(A1016="","",IF(MES!E1016&lt;&gt;4,"Horário do MES fora do padrão",IF(H1016&lt;cfgMinCortes,"Cortes insuficientes","Válida")))</f>
        <v>0</v>
      </c>
      <c r="L1016" s="27">
        <f>IF(K1016="Válida",ABS(J1016),"")</f>
        <v>0</v>
      </c>
      <c r="M1016" s="26">
        <f>IF(K1016="Válida",IF(L1016&lt;=cfgTolerancia,"Sim","Não"),"")</f>
        <v>0</v>
      </c>
      <c r="N1016" s="26">
        <f>IF(A1016="","",MES!D1016)</f>
        <v>0</v>
      </c>
      <c r="O1016" s="25">
        <f>IF(K1016="Válida",A1016,NA())</f>
        <v>0</v>
      </c>
      <c r="P1016" s="27">
        <f>IF(K1016="Válida",C1016,NA())</f>
        <v>0</v>
      </c>
      <c r="Q1016" s="27">
        <f>IF(K1016="Válida",I1016,NA())</f>
        <v>0</v>
      </c>
      <c r="R1016" s="27">
        <f>IF(K1016="Válida",J1016,NA())</f>
        <v>0</v>
      </c>
      <c r="S1016" s="27">
        <f>IF(K1016="Válida",C1016,"")</f>
        <v>0</v>
      </c>
      <c r="T1016" s="27">
        <f>IF(K1016="Válida",I1016,"")</f>
        <v>0</v>
      </c>
      <c r="U1016" s="27">
        <f>IF(K1016="Válida",J1016,"")</f>
        <v>0</v>
      </c>
    </row>
    <row r="1017" spans="1:21">
      <c r="A1017" s="25">
        <f>IF(MES!A1017="","",MES!C1017/48)</f>
        <v>0</v>
      </c>
      <c r="B1017" s="26">
        <f>IF(A1017="","",TEXT((N1017*4+cfgDeslocamento)/48,"hh:mm")&amp;" a "&amp;TEXT(A1017,"hh:mm"))</f>
        <v>0</v>
      </c>
      <c r="C1017" s="27">
        <f>IF(A1017="","",MES!B1017)</f>
        <v>0</v>
      </c>
      <c r="D1017" s="27">
        <f>IF(A1017="","",IFERROR(AVERAGEIFS(Prensa!$B$2:$B$5001,Prensa!$E$2:$E$5001,N1017,Prensa!$F$2:$F$5001,1,Prensa!$G$2:$G$5001,1),""))</f>
        <v>0</v>
      </c>
      <c r="E1017" s="27">
        <f>IF(A1017="","",IFERROR(AVERAGEIFS(Prensa!$B$2:$B$5001,Prensa!$E$2:$E$5001,N1017,Prensa!$F$2:$F$5001,2,Prensa!$G$2:$G$5001,1),""))</f>
        <v>0</v>
      </c>
      <c r="F1017" s="27">
        <f>IF(A1017="","",IFERROR(AVERAGEIFS(Prensa!$B$2:$B$5001,Prensa!$E$2:$E$5001,N1017,Prensa!$F$2:$F$5001,3,Prensa!$G$2:$G$5001,1),""))</f>
        <v>0</v>
      </c>
      <c r="G1017" s="27">
        <f>IF(A1017="","",IFERROR(AVERAGEIFS(Prensa!$B$2:$B$5001,Prensa!$E$2:$E$5001,N1017,Prensa!$F$2:$F$5001,4,Prensa!$G$2:$G$5001,1),""))</f>
        <v>0</v>
      </c>
      <c r="H1017" s="26">
        <f>IF(A1017="","",COUNT(D1017:G1017))</f>
        <v>0</v>
      </c>
      <c r="I1017" s="27">
        <f>IF(A1017="","",IF(H1017=0,"",AVERAGE(D1017:G1017)))</f>
        <v>0</v>
      </c>
      <c r="J1017" s="27">
        <f>IF(OR(I1017="",C1017=""),"",I1017-C1017)</f>
        <v>0</v>
      </c>
      <c r="K1017" s="26">
        <f>IF(A1017="","",IF(MES!E1017&lt;&gt;4,"Horário do MES fora do padrão",IF(H1017&lt;cfgMinCortes,"Cortes insuficientes","Válida")))</f>
        <v>0</v>
      </c>
      <c r="L1017" s="27">
        <f>IF(K1017="Válida",ABS(J1017),"")</f>
        <v>0</v>
      </c>
      <c r="M1017" s="26">
        <f>IF(K1017="Válida",IF(L1017&lt;=cfgTolerancia,"Sim","Não"),"")</f>
        <v>0</v>
      </c>
      <c r="N1017" s="26">
        <f>IF(A1017="","",MES!D1017)</f>
        <v>0</v>
      </c>
      <c r="O1017" s="25">
        <f>IF(K1017="Válida",A1017,NA())</f>
        <v>0</v>
      </c>
      <c r="P1017" s="27">
        <f>IF(K1017="Válida",C1017,NA())</f>
        <v>0</v>
      </c>
      <c r="Q1017" s="27">
        <f>IF(K1017="Válida",I1017,NA())</f>
        <v>0</v>
      </c>
      <c r="R1017" s="27">
        <f>IF(K1017="Válida",J1017,NA())</f>
        <v>0</v>
      </c>
      <c r="S1017" s="27">
        <f>IF(K1017="Válida",C1017,"")</f>
        <v>0</v>
      </c>
      <c r="T1017" s="27">
        <f>IF(K1017="Válida",I1017,"")</f>
        <v>0</v>
      </c>
      <c r="U1017" s="27">
        <f>IF(K1017="Válida",J1017,"")</f>
        <v>0</v>
      </c>
    </row>
    <row r="1018" spans="1:21">
      <c r="A1018" s="25">
        <f>IF(MES!A1018="","",MES!C1018/48)</f>
        <v>0</v>
      </c>
      <c r="B1018" s="26">
        <f>IF(A1018="","",TEXT((N1018*4+cfgDeslocamento)/48,"hh:mm")&amp;" a "&amp;TEXT(A1018,"hh:mm"))</f>
        <v>0</v>
      </c>
      <c r="C1018" s="27">
        <f>IF(A1018="","",MES!B1018)</f>
        <v>0</v>
      </c>
      <c r="D1018" s="27">
        <f>IF(A1018="","",IFERROR(AVERAGEIFS(Prensa!$B$2:$B$5001,Prensa!$E$2:$E$5001,N1018,Prensa!$F$2:$F$5001,1,Prensa!$G$2:$G$5001,1),""))</f>
        <v>0</v>
      </c>
      <c r="E1018" s="27">
        <f>IF(A1018="","",IFERROR(AVERAGEIFS(Prensa!$B$2:$B$5001,Prensa!$E$2:$E$5001,N1018,Prensa!$F$2:$F$5001,2,Prensa!$G$2:$G$5001,1),""))</f>
        <v>0</v>
      </c>
      <c r="F1018" s="27">
        <f>IF(A1018="","",IFERROR(AVERAGEIFS(Prensa!$B$2:$B$5001,Prensa!$E$2:$E$5001,N1018,Prensa!$F$2:$F$5001,3,Prensa!$G$2:$G$5001,1),""))</f>
        <v>0</v>
      </c>
      <c r="G1018" s="27">
        <f>IF(A1018="","",IFERROR(AVERAGEIFS(Prensa!$B$2:$B$5001,Prensa!$E$2:$E$5001,N1018,Prensa!$F$2:$F$5001,4,Prensa!$G$2:$G$5001,1),""))</f>
        <v>0</v>
      </c>
      <c r="H1018" s="26">
        <f>IF(A1018="","",COUNT(D1018:G1018))</f>
        <v>0</v>
      </c>
      <c r="I1018" s="27">
        <f>IF(A1018="","",IF(H1018=0,"",AVERAGE(D1018:G1018)))</f>
        <v>0</v>
      </c>
      <c r="J1018" s="27">
        <f>IF(OR(I1018="",C1018=""),"",I1018-C1018)</f>
        <v>0</v>
      </c>
      <c r="K1018" s="26">
        <f>IF(A1018="","",IF(MES!E1018&lt;&gt;4,"Horário do MES fora do padrão",IF(H1018&lt;cfgMinCortes,"Cortes insuficientes","Válida")))</f>
        <v>0</v>
      </c>
      <c r="L1018" s="27">
        <f>IF(K1018="Válida",ABS(J1018),"")</f>
        <v>0</v>
      </c>
      <c r="M1018" s="26">
        <f>IF(K1018="Válida",IF(L1018&lt;=cfgTolerancia,"Sim","Não"),"")</f>
        <v>0</v>
      </c>
      <c r="N1018" s="26">
        <f>IF(A1018="","",MES!D1018)</f>
        <v>0</v>
      </c>
      <c r="O1018" s="25">
        <f>IF(K1018="Válida",A1018,NA())</f>
        <v>0</v>
      </c>
      <c r="P1018" s="27">
        <f>IF(K1018="Válida",C1018,NA())</f>
        <v>0</v>
      </c>
      <c r="Q1018" s="27">
        <f>IF(K1018="Válida",I1018,NA())</f>
        <v>0</v>
      </c>
      <c r="R1018" s="27">
        <f>IF(K1018="Válida",J1018,NA())</f>
        <v>0</v>
      </c>
      <c r="S1018" s="27">
        <f>IF(K1018="Válida",C1018,"")</f>
        <v>0</v>
      </c>
      <c r="T1018" s="27">
        <f>IF(K1018="Válida",I1018,"")</f>
        <v>0</v>
      </c>
      <c r="U1018" s="27">
        <f>IF(K1018="Válida",J1018,"")</f>
        <v>0</v>
      </c>
    </row>
    <row r="1019" spans="1:21">
      <c r="A1019" s="25">
        <f>IF(MES!A1019="","",MES!C1019/48)</f>
        <v>0</v>
      </c>
      <c r="B1019" s="26">
        <f>IF(A1019="","",TEXT((N1019*4+cfgDeslocamento)/48,"hh:mm")&amp;" a "&amp;TEXT(A1019,"hh:mm"))</f>
        <v>0</v>
      </c>
      <c r="C1019" s="27">
        <f>IF(A1019="","",MES!B1019)</f>
        <v>0</v>
      </c>
      <c r="D1019" s="27">
        <f>IF(A1019="","",IFERROR(AVERAGEIFS(Prensa!$B$2:$B$5001,Prensa!$E$2:$E$5001,N1019,Prensa!$F$2:$F$5001,1,Prensa!$G$2:$G$5001,1),""))</f>
        <v>0</v>
      </c>
      <c r="E1019" s="27">
        <f>IF(A1019="","",IFERROR(AVERAGEIFS(Prensa!$B$2:$B$5001,Prensa!$E$2:$E$5001,N1019,Prensa!$F$2:$F$5001,2,Prensa!$G$2:$G$5001,1),""))</f>
        <v>0</v>
      </c>
      <c r="F1019" s="27">
        <f>IF(A1019="","",IFERROR(AVERAGEIFS(Prensa!$B$2:$B$5001,Prensa!$E$2:$E$5001,N1019,Prensa!$F$2:$F$5001,3,Prensa!$G$2:$G$5001,1),""))</f>
        <v>0</v>
      </c>
      <c r="G1019" s="27">
        <f>IF(A1019="","",IFERROR(AVERAGEIFS(Prensa!$B$2:$B$5001,Prensa!$E$2:$E$5001,N1019,Prensa!$F$2:$F$5001,4,Prensa!$G$2:$G$5001,1),""))</f>
        <v>0</v>
      </c>
      <c r="H1019" s="26">
        <f>IF(A1019="","",COUNT(D1019:G1019))</f>
        <v>0</v>
      </c>
      <c r="I1019" s="27">
        <f>IF(A1019="","",IF(H1019=0,"",AVERAGE(D1019:G1019)))</f>
        <v>0</v>
      </c>
      <c r="J1019" s="27">
        <f>IF(OR(I1019="",C1019=""),"",I1019-C1019)</f>
        <v>0</v>
      </c>
      <c r="K1019" s="26">
        <f>IF(A1019="","",IF(MES!E1019&lt;&gt;4,"Horário do MES fora do padrão",IF(H1019&lt;cfgMinCortes,"Cortes insuficientes","Válida")))</f>
        <v>0</v>
      </c>
      <c r="L1019" s="27">
        <f>IF(K1019="Válida",ABS(J1019),"")</f>
        <v>0</v>
      </c>
      <c r="M1019" s="26">
        <f>IF(K1019="Válida",IF(L1019&lt;=cfgTolerancia,"Sim","Não"),"")</f>
        <v>0</v>
      </c>
      <c r="N1019" s="26">
        <f>IF(A1019="","",MES!D1019)</f>
        <v>0</v>
      </c>
      <c r="O1019" s="25">
        <f>IF(K1019="Válida",A1019,NA())</f>
        <v>0</v>
      </c>
      <c r="P1019" s="27">
        <f>IF(K1019="Válida",C1019,NA())</f>
        <v>0</v>
      </c>
      <c r="Q1019" s="27">
        <f>IF(K1019="Válida",I1019,NA())</f>
        <v>0</v>
      </c>
      <c r="R1019" s="27">
        <f>IF(K1019="Válida",J1019,NA())</f>
        <v>0</v>
      </c>
      <c r="S1019" s="27">
        <f>IF(K1019="Válida",C1019,"")</f>
        <v>0</v>
      </c>
      <c r="T1019" s="27">
        <f>IF(K1019="Válida",I1019,"")</f>
        <v>0</v>
      </c>
      <c r="U1019" s="27">
        <f>IF(K1019="Válida",J1019,"")</f>
        <v>0</v>
      </c>
    </row>
    <row r="1020" spans="1:21">
      <c r="A1020" s="25">
        <f>IF(MES!A1020="","",MES!C1020/48)</f>
        <v>0</v>
      </c>
      <c r="B1020" s="26">
        <f>IF(A1020="","",TEXT((N1020*4+cfgDeslocamento)/48,"hh:mm")&amp;" a "&amp;TEXT(A1020,"hh:mm"))</f>
        <v>0</v>
      </c>
      <c r="C1020" s="27">
        <f>IF(A1020="","",MES!B1020)</f>
        <v>0</v>
      </c>
      <c r="D1020" s="27">
        <f>IF(A1020="","",IFERROR(AVERAGEIFS(Prensa!$B$2:$B$5001,Prensa!$E$2:$E$5001,N1020,Prensa!$F$2:$F$5001,1,Prensa!$G$2:$G$5001,1),""))</f>
        <v>0</v>
      </c>
      <c r="E1020" s="27">
        <f>IF(A1020="","",IFERROR(AVERAGEIFS(Prensa!$B$2:$B$5001,Prensa!$E$2:$E$5001,N1020,Prensa!$F$2:$F$5001,2,Prensa!$G$2:$G$5001,1),""))</f>
        <v>0</v>
      </c>
      <c r="F1020" s="27">
        <f>IF(A1020="","",IFERROR(AVERAGEIFS(Prensa!$B$2:$B$5001,Prensa!$E$2:$E$5001,N1020,Prensa!$F$2:$F$5001,3,Prensa!$G$2:$G$5001,1),""))</f>
        <v>0</v>
      </c>
      <c r="G1020" s="27">
        <f>IF(A1020="","",IFERROR(AVERAGEIFS(Prensa!$B$2:$B$5001,Prensa!$E$2:$E$5001,N1020,Prensa!$F$2:$F$5001,4,Prensa!$G$2:$G$5001,1),""))</f>
        <v>0</v>
      </c>
      <c r="H1020" s="26">
        <f>IF(A1020="","",COUNT(D1020:G1020))</f>
        <v>0</v>
      </c>
      <c r="I1020" s="27">
        <f>IF(A1020="","",IF(H1020=0,"",AVERAGE(D1020:G1020)))</f>
        <v>0</v>
      </c>
      <c r="J1020" s="27">
        <f>IF(OR(I1020="",C1020=""),"",I1020-C1020)</f>
        <v>0</v>
      </c>
      <c r="K1020" s="26">
        <f>IF(A1020="","",IF(MES!E1020&lt;&gt;4,"Horário do MES fora do padrão",IF(H1020&lt;cfgMinCortes,"Cortes insuficientes","Válida")))</f>
        <v>0</v>
      </c>
      <c r="L1020" s="27">
        <f>IF(K1020="Válida",ABS(J1020),"")</f>
        <v>0</v>
      </c>
      <c r="M1020" s="26">
        <f>IF(K1020="Válida",IF(L1020&lt;=cfgTolerancia,"Sim","Não"),"")</f>
        <v>0</v>
      </c>
      <c r="N1020" s="26">
        <f>IF(A1020="","",MES!D1020)</f>
        <v>0</v>
      </c>
      <c r="O1020" s="25">
        <f>IF(K1020="Válida",A1020,NA())</f>
        <v>0</v>
      </c>
      <c r="P1020" s="27">
        <f>IF(K1020="Válida",C1020,NA())</f>
        <v>0</v>
      </c>
      <c r="Q1020" s="27">
        <f>IF(K1020="Válida",I1020,NA())</f>
        <v>0</v>
      </c>
      <c r="R1020" s="27">
        <f>IF(K1020="Válida",J1020,NA())</f>
        <v>0</v>
      </c>
      <c r="S1020" s="27">
        <f>IF(K1020="Válida",C1020,"")</f>
        <v>0</v>
      </c>
      <c r="T1020" s="27">
        <f>IF(K1020="Válida",I1020,"")</f>
        <v>0</v>
      </c>
      <c r="U1020" s="27">
        <f>IF(K1020="Válida",J1020,"")</f>
        <v>0</v>
      </c>
    </row>
    <row r="1021" spans="1:21">
      <c r="A1021" s="25">
        <f>IF(MES!A1021="","",MES!C1021/48)</f>
        <v>0</v>
      </c>
      <c r="B1021" s="26">
        <f>IF(A1021="","",TEXT((N1021*4+cfgDeslocamento)/48,"hh:mm")&amp;" a "&amp;TEXT(A1021,"hh:mm"))</f>
        <v>0</v>
      </c>
      <c r="C1021" s="27">
        <f>IF(A1021="","",MES!B1021)</f>
        <v>0</v>
      </c>
      <c r="D1021" s="27">
        <f>IF(A1021="","",IFERROR(AVERAGEIFS(Prensa!$B$2:$B$5001,Prensa!$E$2:$E$5001,N1021,Prensa!$F$2:$F$5001,1,Prensa!$G$2:$G$5001,1),""))</f>
        <v>0</v>
      </c>
      <c r="E1021" s="27">
        <f>IF(A1021="","",IFERROR(AVERAGEIFS(Prensa!$B$2:$B$5001,Prensa!$E$2:$E$5001,N1021,Prensa!$F$2:$F$5001,2,Prensa!$G$2:$G$5001,1),""))</f>
        <v>0</v>
      </c>
      <c r="F1021" s="27">
        <f>IF(A1021="","",IFERROR(AVERAGEIFS(Prensa!$B$2:$B$5001,Prensa!$E$2:$E$5001,N1021,Prensa!$F$2:$F$5001,3,Prensa!$G$2:$G$5001,1),""))</f>
        <v>0</v>
      </c>
      <c r="G1021" s="27">
        <f>IF(A1021="","",IFERROR(AVERAGEIFS(Prensa!$B$2:$B$5001,Prensa!$E$2:$E$5001,N1021,Prensa!$F$2:$F$5001,4,Prensa!$G$2:$G$5001,1),""))</f>
        <v>0</v>
      </c>
      <c r="H1021" s="26">
        <f>IF(A1021="","",COUNT(D1021:G1021))</f>
        <v>0</v>
      </c>
      <c r="I1021" s="27">
        <f>IF(A1021="","",IF(H1021=0,"",AVERAGE(D1021:G1021)))</f>
        <v>0</v>
      </c>
      <c r="J1021" s="27">
        <f>IF(OR(I1021="",C1021=""),"",I1021-C1021)</f>
        <v>0</v>
      </c>
      <c r="K1021" s="26">
        <f>IF(A1021="","",IF(MES!E1021&lt;&gt;4,"Horário do MES fora do padrão",IF(H1021&lt;cfgMinCortes,"Cortes insuficientes","Válida")))</f>
        <v>0</v>
      </c>
      <c r="L1021" s="27">
        <f>IF(K1021="Válida",ABS(J1021),"")</f>
        <v>0</v>
      </c>
      <c r="M1021" s="26">
        <f>IF(K1021="Válida",IF(L1021&lt;=cfgTolerancia,"Sim","Não"),"")</f>
        <v>0</v>
      </c>
      <c r="N1021" s="26">
        <f>IF(A1021="","",MES!D1021)</f>
        <v>0</v>
      </c>
      <c r="O1021" s="25">
        <f>IF(K1021="Válida",A1021,NA())</f>
        <v>0</v>
      </c>
      <c r="P1021" s="27">
        <f>IF(K1021="Válida",C1021,NA())</f>
        <v>0</v>
      </c>
      <c r="Q1021" s="27">
        <f>IF(K1021="Válida",I1021,NA())</f>
        <v>0</v>
      </c>
      <c r="R1021" s="27">
        <f>IF(K1021="Válida",J1021,NA())</f>
        <v>0</v>
      </c>
      <c r="S1021" s="27">
        <f>IF(K1021="Válida",C1021,"")</f>
        <v>0</v>
      </c>
      <c r="T1021" s="27">
        <f>IF(K1021="Válida",I1021,"")</f>
        <v>0</v>
      </c>
      <c r="U1021" s="27">
        <f>IF(K1021="Válida",J1021,"")</f>
        <v>0</v>
      </c>
    </row>
    <row r="1022" spans="1:21">
      <c r="A1022" s="25">
        <f>IF(MES!A1022="","",MES!C1022/48)</f>
        <v>0</v>
      </c>
      <c r="B1022" s="26">
        <f>IF(A1022="","",TEXT((N1022*4+cfgDeslocamento)/48,"hh:mm")&amp;" a "&amp;TEXT(A1022,"hh:mm"))</f>
        <v>0</v>
      </c>
      <c r="C1022" s="27">
        <f>IF(A1022="","",MES!B1022)</f>
        <v>0</v>
      </c>
      <c r="D1022" s="27">
        <f>IF(A1022="","",IFERROR(AVERAGEIFS(Prensa!$B$2:$B$5001,Prensa!$E$2:$E$5001,N1022,Prensa!$F$2:$F$5001,1,Prensa!$G$2:$G$5001,1),""))</f>
        <v>0</v>
      </c>
      <c r="E1022" s="27">
        <f>IF(A1022="","",IFERROR(AVERAGEIFS(Prensa!$B$2:$B$5001,Prensa!$E$2:$E$5001,N1022,Prensa!$F$2:$F$5001,2,Prensa!$G$2:$G$5001,1),""))</f>
        <v>0</v>
      </c>
      <c r="F1022" s="27">
        <f>IF(A1022="","",IFERROR(AVERAGEIFS(Prensa!$B$2:$B$5001,Prensa!$E$2:$E$5001,N1022,Prensa!$F$2:$F$5001,3,Prensa!$G$2:$G$5001,1),""))</f>
        <v>0</v>
      </c>
      <c r="G1022" s="27">
        <f>IF(A1022="","",IFERROR(AVERAGEIFS(Prensa!$B$2:$B$5001,Prensa!$E$2:$E$5001,N1022,Prensa!$F$2:$F$5001,4,Prensa!$G$2:$G$5001,1),""))</f>
        <v>0</v>
      </c>
      <c r="H1022" s="26">
        <f>IF(A1022="","",COUNT(D1022:G1022))</f>
        <v>0</v>
      </c>
      <c r="I1022" s="27">
        <f>IF(A1022="","",IF(H1022=0,"",AVERAGE(D1022:G1022)))</f>
        <v>0</v>
      </c>
      <c r="J1022" s="27">
        <f>IF(OR(I1022="",C1022=""),"",I1022-C1022)</f>
        <v>0</v>
      </c>
      <c r="K1022" s="26">
        <f>IF(A1022="","",IF(MES!E1022&lt;&gt;4,"Horário do MES fora do padrão",IF(H1022&lt;cfgMinCortes,"Cortes insuficientes","Válida")))</f>
        <v>0</v>
      </c>
      <c r="L1022" s="27">
        <f>IF(K1022="Válida",ABS(J1022),"")</f>
        <v>0</v>
      </c>
      <c r="M1022" s="26">
        <f>IF(K1022="Válida",IF(L1022&lt;=cfgTolerancia,"Sim","Não"),"")</f>
        <v>0</v>
      </c>
      <c r="N1022" s="26">
        <f>IF(A1022="","",MES!D1022)</f>
        <v>0</v>
      </c>
      <c r="O1022" s="25">
        <f>IF(K1022="Válida",A1022,NA())</f>
        <v>0</v>
      </c>
      <c r="P1022" s="27">
        <f>IF(K1022="Válida",C1022,NA())</f>
        <v>0</v>
      </c>
      <c r="Q1022" s="27">
        <f>IF(K1022="Válida",I1022,NA())</f>
        <v>0</v>
      </c>
      <c r="R1022" s="27">
        <f>IF(K1022="Válida",J1022,NA())</f>
        <v>0</v>
      </c>
      <c r="S1022" s="27">
        <f>IF(K1022="Válida",C1022,"")</f>
        <v>0</v>
      </c>
      <c r="T1022" s="27">
        <f>IF(K1022="Válida",I1022,"")</f>
        <v>0</v>
      </c>
      <c r="U1022" s="27">
        <f>IF(K1022="Válida",J1022,"")</f>
        <v>0</v>
      </c>
    </row>
    <row r="1023" spans="1:21">
      <c r="A1023" s="25">
        <f>IF(MES!A1023="","",MES!C1023/48)</f>
        <v>0</v>
      </c>
      <c r="B1023" s="26">
        <f>IF(A1023="","",TEXT((N1023*4+cfgDeslocamento)/48,"hh:mm")&amp;" a "&amp;TEXT(A1023,"hh:mm"))</f>
        <v>0</v>
      </c>
      <c r="C1023" s="27">
        <f>IF(A1023="","",MES!B1023)</f>
        <v>0</v>
      </c>
      <c r="D1023" s="27">
        <f>IF(A1023="","",IFERROR(AVERAGEIFS(Prensa!$B$2:$B$5001,Prensa!$E$2:$E$5001,N1023,Prensa!$F$2:$F$5001,1,Prensa!$G$2:$G$5001,1),""))</f>
        <v>0</v>
      </c>
      <c r="E1023" s="27">
        <f>IF(A1023="","",IFERROR(AVERAGEIFS(Prensa!$B$2:$B$5001,Prensa!$E$2:$E$5001,N1023,Prensa!$F$2:$F$5001,2,Prensa!$G$2:$G$5001,1),""))</f>
        <v>0</v>
      </c>
      <c r="F1023" s="27">
        <f>IF(A1023="","",IFERROR(AVERAGEIFS(Prensa!$B$2:$B$5001,Prensa!$E$2:$E$5001,N1023,Prensa!$F$2:$F$5001,3,Prensa!$G$2:$G$5001,1),""))</f>
        <v>0</v>
      </c>
      <c r="G1023" s="27">
        <f>IF(A1023="","",IFERROR(AVERAGEIFS(Prensa!$B$2:$B$5001,Prensa!$E$2:$E$5001,N1023,Prensa!$F$2:$F$5001,4,Prensa!$G$2:$G$5001,1),""))</f>
        <v>0</v>
      </c>
      <c r="H1023" s="26">
        <f>IF(A1023="","",COUNT(D1023:G1023))</f>
        <v>0</v>
      </c>
      <c r="I1023" s="27">
        <f>IF(A1023="","",IF(H1023=0,"",AVERAGE(D1023:G1023)))</f>
        <v>0</v>
      </c>
      <c r="J1023" s="27">
        <f>IF(OR(I1023="",C1023=""),"",I1023-C1023)</f>
        <v>0</v>
      </c>
      <c r="K1023" s="26">
        <f>IF(A1023="","",IF(MES!E1023&lt;&gt;4,"Horário do MES fora do padrão",IF(H1023&lt;cfgMinCortes,"Cortes insuficientes","Válida")))</f>
        <v>0</v>
      </c>
      <c r="L1023" s="27">
        <f>IF(K1023="Válida",ABS(J1023),"")</f>
        <v>0</v>
      </c>
      <c r="M1023" s="26">
        <f>IF(K1023="Válida",IF(L1023&lt;=cfgTolerancia,"Sim","Não"),"")</f>
        <v>0</v>
      </c>
      <c r="N1023" s="26">
        <f>IF(A1023="","",MES!D1023)</f>
        <v>0</v>
      </c>
      <c r="O1023" s="25">
        <f>IF(K1023="Válida",A1023,NA())</f>
        <v>0</v>
      </c>
      <c r="P1023" s="27">
        <f>IF(K1023="Válida",C1023,NA())</f>
        <v>0</v>
      </c>
      <c r="Q1023" s="27">
        <f>IF(K1023="Válida",I1023,NA())</f>
        <v>0</v>
      </c>
      <c r="R1023" s="27">
        <f>IF(K1023="Válida",J1023,NA())</f>
        <v>0</v>
      </c>
      <c r="S1023" s="27">
        <f>IF(K1023="Válida",C1023,"")</f>
        <v>0</v>
      </c>
      <c r="T1023" s="27">
        <f>IF(K1023="Válida",I1023,"")</f>
        <v>0</v>
      </c>
      <c r="U1023" s="27">
        <f>IF(K1023="Válida",J1023,"")</f>
        <v>0</v>
      </c>
    </row>
    <row r="1024" spans="1:21">
      <c r="A1024" s="25">
        <f>IF(MES!A1024="","",MES!C1024/48)</f>
        <v>0</v>
      </c>
      <c r="B1024" s="26">
        <f>IF(A1024="","",TEXT((N1024*4+cfgDeslocamento)/48,"hh:mm")&amp;" a "&amp;TEXT(A1024,"hh:mm"))</f>
        <v>0</v>
      </c>
      <c r="C1024" s="27">
        <f>IF(A1024="","",MES!B1024)</f>
        <v>0</v>
      </c>
      <c r="D1024" s="27">
        <f>IF(A1024="","",IFERROR(AVERAGEIFS(Prensa!$B$2:$B$5001,Prensa!$E$2:$E$5001,N1024,Prensa!$F$2:$F$5001,1,Prensa!$G$2:$G$5001,1),""))</f>
        <v>0</v>
      </c>
      <c r="E1024" s="27">
        <f>IF(A1024="","",IFERROR(AVERAGEIFS(Prensa!$B$2:$B$5001,Prensa!$E$2:$E$5001,N1024,Prensa!$F$2:$F$5001,2,Prensa!$G$2:$G$5001,1),""))</f>
        <v>0</v>
      </c>
      <c r="F1024" s="27">
        <f>IF(A1024="","",IFERROR(AVERAGEIFS(Prensa!$B$2:$B$5001,Prensa!$E$2:$E$5001,N1024,Prensa!$F$2:$F$5001,3,Prensa!$G$2:$G$5001,1),""))</f>
        <v>0</v>
      </c>
      <c r="G1024" s="27">
        <f>IF(A1024="","",IFERROR(AVERAGEIFS(Prensa!$B$2:$B$5001,Prensa!$E$2:$E$5001,N1024,Prensa!$F$2:$F$5001,4,Prensa!$G$2:$G$5001,1),""))</f>
        <v>0</v>
      </c>
      <c r="H1024" s="26">
        <f>IF(A1024="","",COUNT(D1024:G1024))</f>
        <v>0</v>
      </c>
      <c r="I1024" s="27">
        <f>IF(A1024="","",IF(H1024=0,"",AVERAGE(D1024:G1024)))</f>
        <v>0</v>
      </c>
      <c r="J1024" s="27">
        <f>IF(OR(I1024="",C1024=""),"",I1024-C1024)</f>
        <v>0</v>
      </c>
      <c r="K1024" s="26">
        <f>IF(A1024="","",IF(MES!E1024&lt;&gt;4,"Horário do MES fora do padrão",IF(H1024&lt;cfgMinCortes,"Cortes insuficientes","Válida")))</f>
        <v>0</v>
      </c>
      <c r="L1024" s="27">
        <f>IF(K1024="Válida",ABS(J1024),"")</f>
        <v>0</v>
      </c>
      <c r="M1024" s="26">
        <f>IF(K1024="Válida",IF(L1024&lt;=cfgTolerancia,"Sim","Não"),"")</f>
        <v>0</v>
      </c>
      <c r="N1024" s="26">
        <f>IF(A1024="","",MES!D1024)</f>
        <v>0</v>
      </c>
      <c r="O1024" s="25">
        <f>IF(K1024="Válida",A1024,NA())</f>
        <v>0</v>
      </c>
      <c r="P1024" s="27">
        <f>IF(K1024="Válida",C1024,NA())</f>
        <v>0</v>
      </c>
      <c r="Q1024" s="27">
        <f>IF(K1024="Válida",I1024,NA())</f>
        <v>0</v>
      </c>
      <c r="R1024" s="27">
        <f>IF(K1024="Válida",J1024,NA())</f>
        <v>0</v>
      </c>
      <c r="S1024" s="27">
        <f>IF(K1024="Válida",C1024,"")</f>
        <v>0</v>
      </c>
      <c r="T1024" s="27">
        <f>IF(K1024="Válida",I1024,"")</f>
        <v>0</v>
      </c>
      <c r="U1024" s="27">
        <f>IF(K1024="Válida",J1024,"")</f>
        <v>0</v>
      </c>
    </row>
    <row r="1025" spans="1:21">
      <c r="A1025" s="25">
        <f>IF(MES!A1025="","",MES!C1025/48)</f>
        <v>0</v>
      </c>
      <c r="B1025" s="26">
        <f>IF(A1025="","",TEXT((N1025*4+cfgDeslocamento)/48,"hh:mm")&amp;" a "&amp;TEXT(A1025,"hh:mm"))</f>
        <v>0</v>
      </c>
      <c r="C1025" s="27">
        <f>IF(A1025="","",MES!B1025)</f>
        <v>0</v>
      </c>
      <c r="D1025" s="27">
        <f>IF(A1025="","",IFERROR(AVERAGEIFS(Prensa!$B$2:$B$5001,Prensa!$E$2:$E$5001,N1025,Prensa!$F$2:$F$5001,1,Prensa!$G$2:$G$5001,1),""))</f>
        <v>0</v>
      </c>
      <c r="E1025" s="27">
        <f>IF(A1025="","",IFERROR(AVERAGEIFS(Prensa!$B$2:$B$5001,Prensa!$E$2:$E$5001,N1025,Prensa!$F$2:$F$5001,2,Prensa!$G$2:$G$5001,1),""))</f>
        <v>0</v>
      </c>
      <c r="F1025" s="27">
        <f>IF(A1025="","",IFERROR(AVERAGEIFS(Prensa!$B$2:$B$5001,Prensa!$E$2:$E$5001,N1025,Prensa!$F$2:$F$5001,3,Prensa!$G$2:$G$5001,1),""))</f>
        <v>0</v>
      </c>
      <c r="G1025" s="27">
        <f>IF(A1025="","",IFERROR(AVERAGEIFS(Prensa!$B$2:$B$5001,Prensa!$E$2:$E$5001,N1025,Prensa!$F$2:$F$5001,4,Prensa!$G$2:$G$5001,1),""))</f>
        <v>0</v>
      </c>
      <c r="H1025" s="26">
        <f>IF(A1025="","",COUNT(D1025:G1025))</f>
        <v>0</v>
      </c>
      <c r="I1025" s="27">
        <f>IF(A1025="","",IF(H1025=0,"",AVERAGE(D1025:G1025)))</f>
        <v>0</v>
      </c>
      <c r="J1025" s="27">
        <f>IF(OR(I1025="",C1025=""),"",I1025-C1025)</f>
        <v>0</v>
      </c>
      <c r="K1025" s="26">
        <f>IF(A1025="","",IF(MES!E1025&lt;&gt;4,"Horário do MES fora do padrão",IF(H1025&lt;cfgMinCortes,"Cortes insuficientes","Válida")))</f>
        <v>0</v>
      </c>
      <c r="L1025" s="27">
        <f>IF(K1025="Válida",ABS(J1025),"")</f>
        <v>0</v>
      </c>
      <c r="M1025" s="26">
        <f>IF(K1025="Válida",IF(L1025&lt;=cfgTolerancia,"Sim","Não"),"")</f>
        <v>0</v>
      </c>
      <c r="N1025" s="26">
        <f>IF(A1025="","",MES!D1025)</f>
        <v>0</v>
      </c>
      <c r="O1025" s="25">
        <f>IF(K1025="Válida",A1025,NA())</f>
        <v>0</v>
      </c>
      <c r="P1025" s="27">
        <f>IF(K1025="Válida",C1025,NA())</f>
        <v>0</v>
      </c>
      <c r="Q1025" s="27">
        <f>IF(K1025="Válida",I1025,NA())</f>
        <v>0</v>
      </c>
      <c r="R1025" s="27">
        <f>IF(K1025="Válida",J1025,NA())</f>
        <v>0</v>
      </c>
      <c r="S1025" s="27">
        <f>IF(K1025="Válida",C1025,"")</f>
        <v>0</v>
      </c>
      <c r="T1025" s="27">
        <f>IF(K1025="Válida",I1025,"")</f>
        <v>0</v>
      </c>
      <c r="U1025" s="27">
        <f>IF(K1025="Válida",J1025,"")</f>
        <v>0</v>
      </c>
    </row>
    <row r="1026" spans="1:21">
      <c r="A1026" s="25">
        <f>IF(MES!A1026="","",MES!C1026/48)</f>
        <v>0</v>
      </c>
      <c r="B1026" s="26">
        <f>IF(A1026="","",TEXT((N1026*4+cfgDeslocamento)/48,"hh:mm")&amp;" a "&amp;TEXT(A1026,"hh:mm"))</f>
        <v>0</v>
      </c>
      <c r="C1026" s="27">
        <f>IF(A1026="","",MES!B1026)</f>
        <v>0</v>
      </c>
      <c r="D1026" s="27">
        <f>IF(A1026="","",IFERROR(AVERAGEIFS(Prensa!$B$2:$B$5001,Prensa!$E$2:$E$5001,N1026,Prensa!$F$2:$F$5001,1,Prensa!$G$2:$G$5001,1),""))</f>
        <v>0</v>
      </c>
      <c r="E1026" s="27">
        <f>IF(A1026="","",IFERROR(AVERAGEIFS(Prensa!$B$2:$B$5001,Prensa!$E$2:$E$5001,N1026,Prensa!$F$2:$F$5001,2,Prensa!$G$2:$G$5001,1),""))</f>
        <v>0</v>
      </c>
      <c r="F1026" s="27">
        <f>IF(A1026="","",IFERROR(AVERAGEIFS(Prensa!$B$2:$B$5001,Prensa!$E$2:$E$5001,N1026,Prensa!$F$2:$F$5001,3,Prensa!$G$2:$G$5001,1),""))</f>
        <v>0</v>
      </c>
      <c r="G1026" s="27">
        <f>IF(A1026="","",IFERROR(AVERAGEIFS(Prensa!$B$2:$B$5001,Prensa!$E$2:$E$5001,N1026,Prensa!$F$2:$F$5001,4,Prensa!$G$2:$G$5001,1),""))</f>
        <v>0</v>
      </c>
      <c r="H1026" s="26">
        <f>IF(A1026="","",COUNT(D1026:G1026))</f>
        <v>0</v>
      </c>
      <c r="I1026" s="27">
        <f>IF(A1026="","",IF(H1026=0,"",AVERAGE(D1026:G1026)))</f>
        <v>0</v>
      </c>
      <c r="J1026" s="27">
        <f>IF(OR(I1026="",C1026=""),"",I1026-C1026)</f>
        <v>0</v>
      </c>
      <c r="K1026" s="26">
        <f>IF(A1026="","",IF(MES!E1026&lt;&gt;4,"Horário do MES fora do padrão",IF(H1026&lt;cfgMinCortes,"Cortes insuficientes","Válida")))</f>
        <v>0</v>
      </c>
      <c r="L1026" s="27">
        <f>IF(K1026="Válida",ABS(J1026),"")</f>
        <v>0</v>
      </c>
      <c r="M1026" s="26">
        <f>IF(K1026="Válida",IF(L1026&lt;=cfgTolerancia,"Sim","Não"),"")</f>
        <v>0</v>
      </c>
      <c r="N1026" s="26">
        <f>IF(A1026="","",MES!D1026)</f>
        <v>0</v>
      </c>
      <c r="O1026" s="25">
        <f>IF(K1026="Válida",A1026,NA())</f>
        <v>0</v>
      </c>
      <c r="P1026" s="27">
        <f>IF(K1026="Válida",C1026,NA())</f>
        <v>0</v>
      </c>
      <c r="Q1026" s="27">
        <f>IF(K1026="Válida",I1026,NA())</f>
        <v>0</v>
      </c>
      <c r="R1026" s="27">
        <f>IF(K1026="Válida",J1026,NA())</f>
        <v>0</v>
      </c>
      <c r="S1026" s="27">
        <f>IF(K1026="Válida",C1026,"")</f>
        <v>0</v>
      </c>
      <c r="T1026" s="27">
        <f>IF(K1026="Válida",I1026,"")</f>
        <v>0</v>
      </c>
      <c r="U1026" s="27">
        <f>IF(K1026="Válida",J1026,"")</f>
        <v>0</v>
      </c>
    </row>
    <row r="1027" spans="1:21">
      <c r="A1027" s="25">
        <f>IF(MES!A1027="","",MES!C1027/48)</f>
        <v>0</v>
      </c>
      <c r="B1027" s="26">
        <f>IF(A1027="","",TEXT((N1027*4+cfgDeslocamento)/48,"hh:mm")&amp;" a "&amp;TEXT(A1027,"hh:mm"))</f>
        <v>0</v>
      </c>
      <c r="C1027" s="27">
        <f>IF(A1027="","",MES!B1027)</f>
        <v>0</v>
      </c>
      <c r="D1027" s="27">
        <f>IF(A1027="","",IFERROR(AVERAGEIFS(Prensa!$B$2:$B$5001,Prensa!$E$2:$E$5001,N1027,Prensa!$F$2:$F$5001,1,Prensa!$G$2:$G$5001,1),""))</f>
        <v>0</v>
      </c>
      <c r="E1027" s="27">
        <f>IF(A1027="","",IFERROR(AVERAGEIFS(Prensa!$B$2:$B$5001,Prensa!$E$2:$E$5001,N1027,Prensa!$F$2:$F$5001,2,Prensa!$G$2:$G$5001,1),""))</f>
        <v>0</v>
      </c>
      <c r="F1027" s="27">
        <f>IF(A1027="","",IFERROR(AVERAGEIFS(Prensa!$B$2:$B$5001,Prensa!$E$2:$E$5001,N1027,Prensa!$F$2:$F$5001,3,Prensa!$G$2:$G$5001,1),""))</f>
        <v>0</v>
      </c>
      <c r="G1027" s="27">
        <f>IF(A1027="","",IFERROR(AVERAGEIFS(Prensa!$B$2:$B$5001,Prensa!$E$2:$E$5001,N1027,Prensa!$F$2:$F$5001,4,Prensa!$G$2:$G$5001,1),""))</f>
        <v>0</v>
      </c>
      <c r="H1027" s="26">
        <f>IF(A1027="","",COUNT(D1027:G1027))</f>
        <v>0</v>
      </c>
      <c r="I1027" s="27">
        <f>IF(A1027="","",IF(H1027=0,"",AVERAGE(D1027:G1027)))</f>
        <v>0</v>
      </c>
      <c r="J1027" s="27">
        <f>IF(OR(I1027="",C1027=""),"",I1027-C1027)</f>
        <v>0</v>
      </c>
      <c r="K1027" s="26">
        <f>IF(A1027="","",IF(MES!E1027&lt;&gt;4,"Horário do MES fora do padrão",IF(H1027&lt;cfgMinCortes,"Cortes insuficientes","Válida")))</f>
        <v>0</v>
      </c>
      <c r="L1027" s="27">
        <f>IF(K1027="Válida",ABS(J1027),"")</f>
        <v>0</v>
      </c>
      <c r="M1027" s="26">
        <f>IF(K1027="Válida",IF(L1027&lt;=cfgTolerancia,"Sim","Não"),"")</f>
        <v>0</v>
      </c>
      <c r="N1027" s="26">
        <f>IF(A1027="","",MES!D1027)</f>
        <v>0</v>
      </c>
      <c r="O1027" s="25">
        <f>IF(K1027="Válida",A1027,NA())</f>
        <v>0</v>
      </c>
      <c r="P1027" s="27">
        <f>IF(K1027="Válida",C1027,NA())</f>
        <v>0</v>
      </c>
      <c r="Q1027" s="27">
        <f>IF(K1027="Válida",I1027,NA())</f>
        <v>0</v>
      </c>
      <c r="R1027" s="27">
        <f>IF(K1027="Válida",J1027,NA())</f>
        <v>0</v>
      </c>
      <c r="S1027" s="27">
        <f>IF(K1027="Válida",C1027,"")</f>
        <v>0</v>
      </c>
      <c r="T1027" s="27">
        <f>IF(K1027="Válida",I1027,"")</f>
        <v>0</v>
      </c>
      <c r="U1027" s="27">
        <f>IF(K1027="Válida",J1027,"")</f>
        <v>0</v>
      </c>
    </row>
    <row r="1028" spans="1:21">
      <c r="A1028" s="25">
        <f>IF(MES!A1028="","",MES!C1028/48)</f>
        <v>0</v>
      </c>
      <c r="B1028" s="26">
        <f>IF(A1028="","",TEXT((N1028*4+cfgDeslocamento)/48,"hh:mm")&amp;" a "&amp;TEXT(A1028,"hh:mm"))</f>
        <v>0</v>
      </c>
      <c r="C1028" s="27">
        <f>IF(A1028="","",MES!B1028)</f>
        <v>0</v>
      </c>
      <c r="D1028" s="27">
        <f>IF(A1028="","",IFERROR(AVERAGEIFS(Prensa!$B$2:$B$5001,Prensa!$E$2:$E$5001,N1028,Prensa!$F$2:$F$5001,1,Prensa!$G$2:$G$5001,1),""))</f>
        <v>0</v>
      </c>
      <c r="E1028" s="27">
        <f>IF(A1028="","",IFERROR(AVERAGEIFS(Prensa!$B$2:$B$5001,Prensa!$E$2:$E$5001,N1028,Prensa!$F$2:$F$5001,2,Prensa!$G$2:$G$5001,1),""))</f>
        <v>0</v>
      </c>
      <c r="F1028" s="27">
        <f>IF(A1028="","",IFERROR(AVERAGEIFS(Prensa!$B$2:$B$5001,Prensa!$E$2:$E$5001,N1028,Prensa!$F$2:$F$5001,3,Prensa!$G$2:$G$5001,1),""))</f>
        <v>0</v>
      </c>
      <c r="G1028" s="27">
        <f>IF(A1028="","",IFERROR(AVERAGEIFS(Prensa!$B$2:$B$5001,Prensa!$E$2:$E$5001,N1028,Prensa!$F$2:$F$5001,4,Prensa!$G$2:$G$5001,1),""))</f>
        <v>0</v>
      </c>
      <c r="H1028" s="26">
        <f>IF(A1028="","",COUNT(D1028:G1028))</f>
        <v>0</v>
      </c>
      <c r="I1028" s="27">
        <f>IF(A1028="","",IF(H1028=0,"",AVERAGE(D1028:G1028)))</f>
        <v>0</v>
      </c>
      <c r="J1028" s="27">
        <f>IF(OR(I1028="",C1028=""),"",I1028-C1028)</f>
        <v>0</v>
      </c>
      <c r="K1028" s="26">
        <f>IF(A1028="","",IF(MES!E1028&lt;&gt;4,"Horário do MES fora do padrão",IF(H1028&lt;cfgMinCortes,"Cortes insuficientes","Válida")))</f>
        <v>0</v>
      </c>
      <c r="L1028" s="27">
        <f>IF(K1028="Válida",ABS(J1028),"")</f>
        <v>0</v>
      </c>
      <c r="M1028" s="26">
        <f>IF(K1028="Válida",IF(L1028&lt;=cfgTolerancia,"Sim","Não"),"")</f>
        <v>0</v>
      </c>
      <c r="N1028" s="26">
        <f>IF(A1028="","",MES!D1028)</f>
        <v>0</v>
      </c>
      <c r="O1028" s="25">
        <f>IF(K1028="Válida",A1028,NA())</f>
        <v>0</v>
      </c>
      <c r="P1028" s="27">
        <f>IF(K1028="Válida",C1028,NA())</f>
        <v>0</v>
      </c>
      <c r="Q1028" s="27">
        <f>IF(K1028="Válida",I1028,NA())</f>
        <v>0</v>
      </c>
      <c r="R1028" s="27">
        <f>IF(K1028="Válida",J1028,NA())</f>
        <v>0</v>
      </c>
      <c r="S1028" s="27">
        <f>IF(K1028="Válida",C1028,"")</f>
        <v>0</v>
      </c>
      <c r="T1028" s="27">
        <f>IF(K1028="Válida",I1028,"")</f>
        <v>0</v>
      </c>
      <c r="U1028" s="27">
        <f>IF(K1028="Válida",J1028,"")</f>
        <v>0</v>
      </c>
    </row>
    <row r="1029" spans="1:21">
      <c r="A1029" s="25">
        <f>IF(MES!A1029="","",MES!C1029/48)</f>
        <v>0</v>
      </c>
      <c r="B1029" s="26">
        <f>IF(A1029="","",TEXT((N1029*4+cfgDeslocamento)/48,"hh:mm")&amp;" a "&amp;TEXT(A1029,"hh:mm"))</f>
        <v>0</v>
      </c>
      <c r="C1029" s="27">
        <f>IF(A1029="","",MES!B1029)</f>
        <v>0</v>
      </c>
      <c r="D1029" s="27">
        <f>IF(A1029="","",IFERROR(AVERAGEIFS(Prensa!$B$2:$B$5001,Prensa!$E$2:$E$5001,N1029,Prensa!$F$2:$F$5001,1,Prensa!$G$2:$G$5001,1),""))</f>
        <v>0</v>
      </c>
      <c r="E1029" s="27">
        <f>IF(A1029="","",IFERROR(AVERAGEIFS(Prensa!$B$2:$B$5001,Prensa!$E$2:$E$5001,N1029,Prensa!$F$2:$F$5001,2,Prensa!$G$2:$G$5001,1),""))</f>
        <v>0</v>
      </c>
      <c r="F1029" s="27">
        <f>IF(A1029="","",IFERROR(AVERAGEIFS(Prensa!$B$2:$B$5001,Prensa!$E$2:$E$5001,N1029,Prensa!$F$2:$F$5001,3,Prensa!$G$2:$G$5001,1),""))</f>
        <v>0</v>
      </c>
      <c r="G1029" s="27">
        <f>IF(A1029="","",IFERROR(AVERAGEIFS(Prensa!$B$2:$B$5001,Prensa!$E$2:$E$5001,N1029,Prensa!$F$2:$F$5001,4,Prensa!$G$2:$G$5001,1),""))</f>
        <v>0</v>
      </c>
      <c r="H1029" s="26">
        <f>IF(A1029="","",COUNT(D1029:G1029))</f>
        <v>0</v>
      </c>
      <c r="I1029" s="27">
        <f>IF(A1029="","",IF(H1029=0,"",AVERAGE(D1029:G1029)))</f>
        <v>0</v>
      </c>
      <c r="J1029" s="27">
        <f>IF(OR(I1029="",C1029=""),"",I1029-C1029)</f>
        <v>0</v>
      </c>
      <c r="K1029" s="26">
        <f>IF(A1029="","",IF(MES!E1029&lt;&gt;4,"Horário do MES fora do padrão",IF(H1029&lt;cfgMinCortes,"Cortes insuficientes","Válida")))</f>
        <v>0</v>
      </c>
      <c r="L1029" s="27">
        <f>IF(K1029="Válida",ABS(J1029),"")</f>
        <v>0</v>
      </c>
      <c r="M1029" s="26">
        <f>IF(K1029="Válida",IF(L1029&lt;=cfgTolerancia,"Sim","Não"),"")</f>
        <v>0</v>
      </c>
      <c r="N1029" s="26">
        <f>IF(A1029="","",MES!D1029)</f>
        <v>0</v>
      </c>
      <c r="O1029" s="25">
        <f>IF(K1029="Válida",A1029,NA())</f>
        <v>0</v>
      </c>
      <c r="P1029" s="27">
        <f>IF(K1029="Válida",C1029,NA())</f>
        <v>0</v>
      </c>
      <c r="Q1029" s="27">
        <f>IF(K1029="Válida",I1029,NA())</f>
        <v>0</v>
      </c>
      <c r="R1029" s="27">
        <f>IF(K1029="Válida",J1029,NA())</f>
        <v>0</v>
      </c>
      <c r="S1029" s="27">
        <f>IF(K1029="Válida",C1029,"")</f>
        <v>0</v>
      </c>
      <c r="T1029" s="27">
        <f>IF(K1029="Válida",I1029,"")</f>
        <v>0</v>
      </c>
      <c r="U1029" s="27">
        <f>IF(K1029="Válida",J1029,"")</f>
        <v>0</v>
      </c>
    </row>
    <row r="1030" spans="1:21">
      <c r="A1030" s="25">
        <f>IF(MES!A1030="","",MES!C1030/48)</f>
        <v>0</v>
      </c>
      <c r="B1030" s="26">
        <f>IF(A1030="","",TEXT((N1030*4+cfgDeslocamento)/48,"hh:mm")&amp;" a "&amp;TEXT(A1030,"hh:mm"))</f>
        <v>0</v>
      </c>
      <c r="C1030" s="27">
        <f>IF(A1030="","",MES!B1030)</f>
        <v>0</v>
      </c>
      <c r="D1030" s="27">
        <f>IF(A1030="","",IFERROR(AVERAGEIFS(Prensa!$B$2:$B$5001,Prensa!$E$2:$E$5001,N1030,Prensa!$F$2:$F$5001,1,Prensa!$G$2:$G$5001,1),""))</f>
        <v>0</v>
      </c>
      <c r="E1030" s="27">
        <f>IF(A1030="","",IFERROR(AVERAGEIFS(Prensa!$B$2:$B$5001,Prensa!$E$2:$E$5001,N1030,Prensa!$F$2:$F$5001,2,Prensa!$G$2:$G$5001,1),""))</f>
        <v>0</v>
      </c>
      <c r="F1030" s="27">
        <f>IF(A1030="","",IFERROR(AVERAGEIFS(Prensa!$B$2:$B$5001,Prensa!$E$2:$E$5001,N1030,Prensa!$F$2:$F$5001,3,Prensa!$G$2:$G$5001,1),""))</f>
        <v>0</v>
      </c>
      <c r="G1030" s="27">
        <f>IF(A1030="","",IFERROR(AVERAGEIFS(Prensa!$B$2:$B$5001,Prensa!$E$2:$E$5001,N1030,Prensa!$F$2:$F$5001,4,Prensa!$G$2:$G$5001,1),""))</f>
        <v>0</v>
      </c>
      <c r="H1030" s="26">
        <f>IF(A1030="","",COUNT(D1030:G1030))</f>
        <v>0</v>
      </c>
      <c r="I1030" s="27">
        <f>IF(A1030="","",IF(H1030=0,"",AVERAGE(D1030:G1030)))</f>
        <v>0</v>
      </c>
      <c r="J1030" s="27">
        <f>IF(OR(I1030="",C1030=""),"",I1030-C1030)</f>
        <v>0</v>
      </c>
      <c r="K1030" s="26">
        <f>IF(A1030="","",IF(MES!E1030&lt;&gt;4,"Horário do MES fora do padrão",IF(H1030&lt;cfgMinCortes,"Cortes insuficientes","Válida")))</f>
        <v>0</v>
      </c>
      <c r="L1030" s="27">
        <f>IF(K1030="Válida",ABS(J1030),"")</f>
        <v>0</v>
      </c>
      <c r="M1030" s="26">
        <f>IF(K1030="Válida",IF(L1030&lt;=cfgTolerancia,"Sim","Não"),"")</f>
        <v>0</v>
      </c>
      <c r="N1030" s="26">
        <f>IF(A1030="","",MES!D1030)</f>
        <v>0</v>
      </c>
      <c r="O1030" s="25">
        <f>IF(K1030="Válida",A1030,NA())</f>
        <v>0</v>
      </c>
      <c r="P1030" s="27">
        <f>IF(K1030="Válida",C1030,NA())</f>
        <v>0</v>
      </c>
      <c r="Q1030" s="27">
        <f>IF(K1030="Válida",I1030,NA())</f>
        <v>0</v>
      </c>
      <c r="R1030" s="27">
        <f>IF(K1030="Válida",J1030,NA())</f>
        <v>0</v>
      </c>
      <c r="S1030" s="27">
        <f>IF(K1030="Válida",C1030,"")</f>
        <v>0</v>
      </c>
      <c r="T1030" s="27">
        <f>IF(K1030="Válida",I1030,"")</f>
        <v>0</v>
      </c>
      <c r="U1030" s="27">
        <f>IF(K1030="Válida",J1030,"")</f>
        <v>0</v>
      </c>
    </row>
    <row r="1031" spans="1:21">
      <c r="A1031" s="25">
        <f>IF(MES!A1031="","",MES!C1031/48)</f>
        <v>0</v>
      </c>
      <c r="B1031" s="26">
        <f>IF(A1031="","",TEXT((N1031*4+cfgDeslocamento)/48,"hh:mm")&amp;" a "&amp;TEXT(A1031,"hh:mm"))</f>
        <v>0</v>
      </c>
      <c r="C1031" s="27">
        <f>IF(A1031="","",MES!B1031)</f>
        <v>0</v>
      </c>
      <c r="D1031" s="27">
        <f>IF(A1031="","",IFERROR(AVERAGEIFS(Prensa!$B$2:$B$5001,Prensa!$E$2:$E$5001,N1031,Prensa!$F$2:$F$5001,1,Prensa!$G$2:$G$5001,1),""))</f>
        <v>0</v>
      </c>
      <c r="E1031" s="27">
        <f>IF(A1031="","",IFERROR(AVERAGEIFS(Prensa!$B$2:$B$5001,Prensa!$E$2:$E$5001,N1031,Prensa!$F$2:$F$5001,2,Prensa!$G$2:$G$5001,1),""))</f>
        <v>0</v>
      </c>
      <c r="F1031" s="27">
        <f>IF(A1031="","",IFERROR(AVERAGEIFS(Prensa!$B$2:$B$5001,Prensa!$E$2:$E$5001,N1031,Prensa!$F$2:$F$5001,3,Prensa!$G$2:$G$5001,1),""))</f>
        <v>0</v>
      </c>
      <c r="G1031" s="27">
        <f>IF(A1031="","",IFERROR(AVERAGEIFS(Prensa!$B$2:$B$5001,Prensa!$E$2:$E$5001,N1031,Prensa!$F$2:$F$5001,4,Prensa!$G$2:$G$5001,1),""))</f>
        <v>0</v>
      </c>
      <c r="H1031" s="26">
        <f>IF(A1031="","",COUNT(D1031:G1031))</f>
        <v>0</v>
      </c>
      <c r="I1031" s="27">
        <f>IF(A1031="","",IF(H1031=0,"",AVERAGE(D1031:G1031)))</f>
        <v>0</v>
      </c>
      <c r="J1031" s="27">
        <f>IF(OR(I1031="",C1031=""),"",I1031-C1031)</f>
        <v>0</v>
      </c>
      <c r="K1031" s="26">
        <f>IF(A1031="","",IF(MES!E1031&lt;&gt;4,"Horário do MES fora do padrão",IF(H1031&lt;cfgMinCortes,"Cortes insuficientes","Válida")))</f>
        <v>0</v>
      </c>
      <c r="L1031" s="27">
        <f>IF(K1031="Válida",ABS(J1031),"")</f>
        <v>0</v>
      </c>
      <c r="M1031" s="26">
        <f>IF(K1031="Válida",IF(L1031&lt;=cfgTolerancia,"Sim","Não"),"")</f>
        <v>0</v>
      </c>
      <c r="N1031" s="26">
        <f>IF(A1031="","",MES!D1031)</f>
        <v>0</v>
      </c>
      <c r="O1031" s="25">
        <f>IF(K1031="Válida",A1031,NA())</f>
        <v>0</v>
      </c>
      <c r="P1031" s="27">
        <f>IF(K1031="Válida",C1031,NA())</f>
        <v>0</v>
      </c>
      <c r="Q1031" s="27">
        <f>IF(K1031="Válida",I1031,NA())</f>
        <v>0</v>
      </c>
      <c r="R1031" s="27">
        <f>IF(K1031="Válida",J1031,NA())</f>
        <v>0</v>
      </c>
      <c r="S1031" s="27">
        <f>IF(K1031="Válida",C1031,"")</f>
        <v>0</v>
      </c>
      <c r="T1031" s="27">
        <f>IF(K1031="Válida",I1031,"")</f>
        <v>0</v>
      </c>
      <c r="U1031" s="27">
        <f>IF(K1031="Válida",J1031,"")</f>
        <v>0</v>
      </c>
    </row>
    <row r="1032" spans="1:21">
      <c r="A1032" s="25">
        <f>IF(MES!A1032="","",MES!C1032/48)</f>
        <v>0</v>
      </c>
      <c r="B1032" s="26">
        <f>IF(A1032="","",TEXT((N1032*4+cfgDeslocamento)/48,"hh:mm")&amp;" a "&amp;TEXT(A1032,"hh:mm"))</f>
        <v>0</v>
      </c>
      <c r="C1032" s="27">
        <f>IF(A1032="","",MES!B1032)</f>
        <v>0</v>
      </c>
      <c r="D1032" s="27">
        <f>IF(A1032="","",IFERROR(AVERAGEIFS(Prensa!$B$2:$B$5001,Prensa!$E$2:$E$5001,N1032,Prensa!$F$2:$F$5001,1,Prensa!$G$2:$G$5001,1),""))</f>
        <v>0</v>
      </c>
      <c r="E1032" s="27">
        <f>IF(A1032="","",IFERROR(AVERAGEIFS(Prensa!$B$2:$B$5001,Prensa!$E$2:$E$5001,N1032,Prensa!$F$2:$F$5001,2,Prensa!$G$2:$G$5001,1),""))</f>
        <v>0</v>
      </c>
      <c r="F1032" s="27">
        <f>IF(A1032="","",IFERROR(AVERAGEIFS(Prensa!$B$2:$B$5001,Prensa!$E$2:$E$5001,N1032,Prensa!$F$2:$F$5001,3,Prensa!$G$2:$G$5001,1),""))</f>
        <v>0</v>
      </c>
      <c r="G1032" s="27">
        <f>IF(A1032="","",IFERROR(AVERAGEIFS(Prensa!$B$2:$B$5001,Prensa!$E$2:$E$5001,N1032,Prensa!$F$2:$F$5001,4,Prensa!$G$2:$G$5001,1),""))</f>
        <v>0</v>
      </c>
      <c r="H1032" s="26">
        <f>IF(A1032="","",COUNT(D1032:G1032))</f>
        <v>0</v>
      </c>
      <c r="I1032" s="27">
        <f>IF(A1032="","",IF(H1032=0,"",AVERAGE(D1032:G1032)))</f>
        <v>0</v>
      </c>
      <c r="J1032" s="27">
        <f>IF(OR(I1032="",C1032=""),"",I1032-C1032)</f>
        <v>0</v>
      </c>
      <c r="K1032" s="26">
        <f>IF(A1032="","",IF(MES!E1032&lt;&gt;4,"Horário do MES fora do padrão",IF(H1032&lt;cfgMinCortes,"Cortes insuficientes","Válida")))</f>
        <v>0</v>
      </c>
      <c r="L1032" s="27">
        <f>IF(K1032="Válida",ABS(J1032),"")</f>
        <v>0</v>
      </c>
      <c r="M1032" s="26">
        <f>IF(K1032="Válida",IF(L1032&lt;=cfgTolerancia,"Sim","Não"),"")</f>
        <v>0</v>
      </c>
      <c r="N1032" s="26">
        <f>IF(A1032="","",MES!D1032)</f>
        <v>0</v>
      </c>
      <c r="O1032" s="25">
        <f>IF(K1032="Válida",A1032,NA())</f>
        <v>0</v>
      </c>
      <c r="P1032" s="27">
        <f>IF(K1032="Válida",C1032,NA())</f>
        <v>0</v>
      </c>
      <c r="Q1032" s="27">
        <f>IF(K1032="Válida",I1032,NA())</f>
        <v>0</v>
      </c>
      <c r="R1032" s="27">
        <f>IF(K1032="Válida",J1032,NA())</f>
        <v>0</v>
      </c>
      <c r="S1032" s="27">
        <f>IF(K1032="Válida",C1032,"")</f>
        <v>0</v>
      </c>
      <c r="T1032" s="27">
        <f>IF(K1032="Válida",I1032,"")</f>
        <v>0</v>
      </c>
      <c r="U1032" s="27">
        <f>IF(K1032="Válida",J1032,"")</f>
        <v>0</v>
      </c>
    </row>
    <row r="1033" spans="1:21">
      <c r="A1033" s="25">
        <f>IF(MES!A1033="","",MES!C1033/48)</f>
        <v>0</v>
      </c>
      <c r="B1033" s="26">
        <f>IF(A1033="","",TEXT((N1033*4+cfgDeslocamento)/48,"hh:mm")&amp;" a "&amp;TEXT(A1033,"hh:mm"))</f>
        <v>0</v>
      </c>
      <c r="C1033" s="27">
        <f>IF(A1033="","",MES!B1033)</f>
        <v>0</v>
      </c>
      <c r="D1033" s="27">
        <f>IF(A1033="","",IFERROR(AVERAGEIFS(Prensa!$B$2:$B$5001,Prensa!$E$2:$E$5001,N1033,Prensa!$F$2:$F$5001,1,Prensa!$G$2:$G$5001,1),""))</f>
        <v>0</v>
      </c>
      <c r="E1033" s="27">
        <f>IF(A1033="","",IFERROR(AVERAGEIFS(Prensa!$B$2:$B$5001,Prensa!$E$2:$E$5001,N1033,Prensa!$F$2:$F$5001,2,Prensa!$G$2:$G$5001,1),""))</f>
        <v>0</v>
      </c>
      <c r="F1033" s="27">
        <f>IF(A1033="","",IFERROR(AVERAGEIFS(Prensa!$B$2:$B$5001,Prensa!$E$2:$E$5001,N1033,Prensa!$F$2:$F$5001,3,Prensa!$G$2:$G$5001,1),""))</f>
        <v>0</v>
      </c>
      <c r="G1033" s="27">
        <f>IF(A1033="","",IFERROR(AVERAGEIFS(Prensa!$B$2:$B$5001,Prensa!$E$2:$E$5001,N1033,Prensa!$F$2:$F$5001,4,Prensa!$G$2:$G$5001,1),""))</f>
        <v>0</v>
      </c>
      <c r="H1033" s="26">
        <f>IF(A1033="","",COUNT(D1033:G1033))</f>
        <v>0</v>
      </c>
      <c r="I1033" s="27">
        <f>IF(A1033="","",IF(H1033=0,"",AVERAGE(D1033:G1033)))</f>
        <v>0</v>
      </c>
      <c r="J1033" s="27">
        <f>IF(OR(I1033="",C1033=""),"",I1033-C1033)</f>
        <v>0</v>
      </c>
      <c r="K1033" s="26">
        <f>IF(A1033="","",IF(MES!E1033&lt;&gt;4,"Horário do MES fora do padrão",IF(H1033&lt;cfgMinCortes,"Cortes insuficientes","Válida")))</f>
        <v>0</v>
      </c>
      <c r="L1033" s="27">
        <f>IF(K1033="Válida",ABS(J1033),"")</f>
        <v>0</v>
      </c>
      <c r="M1033" s="26">
        <f>IF(K1033="Válida",IF(L1033&lt;=cfgTolerancia,"Sim","Não"),"")</f>
        <v>0</v>
      </c>
      <c r="N1033" s="26">
        <f>IF(A1033="","",MES!D1033)</f>
        <v>0</v>
      </c>
      <c r="O1033" s="25">
        <f>IF(K1033="Válida",A1033,NA())</f>
        <v>0</v>
      </c>
      <c r="P1033" s="27">
        <f>IF(K1033="Válida",C1033,NA())</f>
        <v>0</v>
      </c>
      <c r="Q1033" s="27">
        <f>IF(K1033="Válida",I1033,NA())</f>
        <v>0</v>
      </c>
      <c r="R1033" s="27">
        <f>IF(K1033="Válida",J1033,NA())</f>
        <v>0</v>
      </c>
      <c r="S1033" s="27">
        <f>IF(K1033="Válida",C1033,"")</f>
        <v>0</v>
      </c>
      <c r="T1033" s="27">
        <f>IF(K1033="Válida",I1033,"")</f>
        <v>0</v>
      </c>
      <c r="U1033" s="27">
        <f>IF(K1033="Válida",J1033,"")</f>
        <v>0</v>
      </c>
    </row>
    <row r="1034" spans="1:21">
      <c r="A1034" s="25">
        <f>IF(MES!A1034="","",MES!C1034/48)</f>
        <v>0</v>
      </c>
      <c r="B1034" s="26">
        <f>IF(A1034="","",TEXT((N1034*4+cfgDeslocamento)/48,"hh:mm")&amp;" a "&amp;TEXT(A1034,"hh:mm"))</f>
        <v>0</v>
      </c>
      <c r="C1034" s="27">
        <f>IF(A1034="","",MES!B1034)</f>
        <v>0</v>
      </c>
      <c r="D1034" s="27">
        <f>IF(A1034="","",IFERROR(AVERAGEIFS(Prensa!$B$2:$B$5001,Prensa!$E$2:$E$5001,N1034,Prensa!$F$2:$F$5001,1,Prensa!$G$2:$G$5001,1),""))</f>
        <v>0</v>
      </c>
      <c r="E1034" s="27">
        <f>IF(A1034="","",IFERROR(AVERAGEIFS(Prensa!$B$2:$B$5001,Prensa!$E$2:$E$5001,N1034,Prensa!$F$2:$F$5001,2,Prensa!$G$2:$G$5001,1),""))</f>
        <v>0</v>
      </c>
      <c r="F1034" s="27">
        <f>IF(A1034="","",IFERROR(AVERAGEIFS(Prensa!$B$2:$B$5001,Prensa!$E$2:$E$5001,N1034,Prensa!$F$2:$F$5001,3,Prensa!$G$2:$G$5001,1),""))</f>
        <v>0</v>
      </c>
      <c r="G1034" s="27">
        <f>IF(A1034="","",IFERROR(AVERAGEIFS(Prensa!$B$2:$B$5001,Prensa!$E$2:$E$5001,N1034,Prensa!$F$2:$F$5001,4,Prensa!$G$2:$G$5001,1),""))</f>
        <v>0</v>
      </c>
      <c r="H1034" s="26">
        <f>IF(A1034="","",COUNT(D1034:G1034))</f>
        <v>0</v>
      </c>
      <c r="I1034" s="27">
        <f>IF(A1034="","",IF(H1034=0,"",AVERAGE(D1034:G1034)))</f>
        <v>0</v>
      </c>
      <c r="J1034" s="27">
        <f>IF(OR(I1034="",C1034=""),"",I1034-C1034)</f>
        <v>0</v>
      </c>
      <c r="K1034" s="26">
        <f>IF(A1034="","",IF(MES!E1034&lt;&gt;4,"Horário do MES fora do padrão",IF(H1034&lt;cfgMinCortes,"Cortes insuficientes","Válida")))</f>
        <v>0</v>
      </c>
      <c r="L1034" s="27">
        <f>IF(K1034="Válida",ABS(J1034),"")</f>
        <v>0</v>
      </c>
      <c r="M1034" s="26">
        <f>IF(K1034="Válida",IF(L1034&lt;=cfgTolerancia,"Sim","Não"),"")</f>
        <v>0</v>
      </c>
      <c r="N1034" s="26">
        <f>IF(A1034="","",MES!D1034)</f>
        <v>0</v>
      </c>
      <c r="O1034" s="25">
        <f>IF(K1034="Válida",A1034,NA())</f>
        <v>0</v>
      </c>
      <c r="P1034" s="27">
        <f>IF(K1034="Válida",C1034,NA())</f>
        <v>0</v>
      </c>
      <c r="Q1034" s="27">
        <f>IF(K1034="Válida",I1034,NA())</f>
        <v>0</v>
      </c>
      <c r="R1034" s="27">
        <f>IF(K1034="Válida",J1034,NA())</f>
        <v>0</v>
      </c>
      <c r="S1034" s="27">
        <f>IF(K1034="Válida",C1034,"")</f>
        <v>0</v>
      </c>
      <c r="T1034" s="27">
        <f>IF(K1034="Válida",I1034,"")</f>
        <v>0</v>
      </c>
      <c r="U1034" s="27">
        <f>IF(K1034="Válida",J1034,"")</f>
        <v>0</v>
      </c>
    </row>
    <row r="1035" spans="1:21">
      <c r="A1035" s="25">
        <f>IF(MES!A1035="","",MES!C1035/48)</f>
        <v>0</v>
      </c>
      <c r="B1035" s="26">
        <f>IF(A1035="","",TEXT((N1035*4+cfgDeslocamento)/48,"hh:mm")&amp;" a "&amp;TEXT(A1035,"hh:mm"))</f>
        <v>0</v>
      </c>
      <c r="C1035" s="27">
        <f>IF(A1035="","",MES!B1035)</f>
        <v>0</v>
      </c>
      <c r="D1035" s="27">
        <f>IF(A1035="","",IFERROR(AVERAGEIFS(Prensa!$B$2:$B$5001,Prensa!$E$2:$E$5001,N1035,Prensa!$F$2:$F$5001,1,Prensa!$G$2:$G$5001,1),""))</f>
        <v>0</v>
      </c>
      <c r="E1035" s="27">
        <f>IF(A1035="","",IFERROR(AVERAGEIFS(Prensa!$B$2:$B$5001,Prensa!$E$2:$E$5001,N1035,Prensa!$F$2:$F$5001,2,Prensa!$G$2:$G$5001,1),""))</f>
        <v>0</v>
      </c>
      <c r="F1035" s="27">
        <f>IF(A1035="","",IFERROR(AVERAGEIFS(Prensa!$B$2:$B$5001,Prensa!$E$2:$E$5001,N1035,Prensa!$F$2:$F$5001,3,Prensa!$G$2:$G$5001,1),""))</f>
        <v>0</v>
      </c>
      <c r="G1035" s="27">
        <f>IF(A1035="","",IFERROR(AVERAGEIFS(Prensa!$B$2:$B$5001,Prensa!$E$2:$E$5001,N1035,Prensa!$F$2:$F$5001,4,Prensa!$G$2:$G$5001,1),""))</f>
        <v>0</v>
      </c>
      <c r="H1035" s="26">
        <f>IF(A1035="","",COUNT(D1035:G1035))</f>
        <v>0</v>
      </c>
      <c r="I1035" s="27">
        <f>IF(A1035="","",IF(H1035=0,"",AVERAGE(D1035:G1035)))</f>
        <v>0</v>
      </c>
      <c r="J1035" s="27">
        <f>IF(OR(I1035="",C1035=""),"",I1035-C1035)</f>
        <v>0</v>
      </c>
      <c r="K1035" s="26">
        <f>IF(A1035="","",IF(MES!E1035&lt;&gt;4,"Horário do MES fora do padrão",IF(H1035&lt;cfgMinCortes,"Cortes insuficientes","Válida")))</f>
        <v>0</v>
      </c>
      <c r="L1035" s="27">
        <f>IF(K1035="Válida",ABS(J1035),"")</f>
        <v>0</v>
      </c>
      <c r="M1035" s="26">
        <f>IF(K1035="Válida",IF(L1035&lt;=cfgTolerancia,"Sim","Não"),"")</f>
        <v>0</v>
      </c>
      <c r="N1035" s="26">
        <f>IF(A1035="","",MES!D1035)</f>
        <v>0</v>
      </c>
      <c r="O1035" s="25">
        <f>IF(K1035="Válida",A1035,NA())</f>
        <v>0</v>
      </c>
      <c r="P1035" s="27">
        <f>IF(K1035="Válida",C1035,NA())</f>
        <v>0</v>
      </c>
      <c r="Q1035" s="27">
        <f>IF(K1035="Válida",I1035,NA())</f>
        <v>0</v>
      </c>
      <c r="R1035" s="27">
        <f>IF(K1035="Válida",J1035,NA())</f>
        <v>0</v>
      </c>
      <c r="S1035" s="27">
        <f>IF(K1035="Válida",C1035,"")</f>
        <v>0</v>
      </c>
      <c r="T1035" s="27">
        <f>IF(K1035="Válida",I1035,"")</f>
        <v>0</v>
      </c>
      <c r="U1035" s="27">
        <f>IF(K1035="Válida",J1035,"")</f>
        <v>0</v>
      </c>
    </row>
    <row r="1036" spans="1:21">
      <c r="A1036" s="25">
        <f>IF(MES!A1036="","",MES!C1036/48)</f>
        <v>0</v>
      </c>
      <c r="B1036" s="26">
        <f>IF(A1036="","",TEXT((N1036*4+cfgDeslocamento)/48,"hh:mm")&amp;" a "&amp;TEXT(A1036,"hh:mm"))</f>
        <v>0</v>
      </c>
      <c r="C1036" s="27">
        <f>IF(A1036="","",MES!B1036)</f>
        <v>0</v>
      </c>
      <c r="D1036" s="27">
        <f>IF(A1036="","",IFERROR(AVERAGEIFS(Prensa!$B$2:$B$5001,Prensa!$E$2:$E$5001,N1036,Prensa!$F$2:$F$5001,1,Prensa!$G$2:$G$5001,1),""))</f>
        <v>0</v>
      </c>
      <c r="E1036" s="27">
        <f>IF(A1036="","",IFERROR(AVERAGEIFS(Prensa!$B$2:$B$5001,Prensa!$E$2:$E$5001,N1036,Prensa!$F$2:$F$5001,2,Prensa!$G$2:$G$5001,1),""))</f>
        <v>0</v>
      </c>
      <c r="F1036" s="27">
        <f>IF(A1036="","",IFERROR(AVERAGEIFS(Prensa!$B$2:$B$5001,Prensa!$E$2:$E$5001,N1036,Prensa!$F$2:$F$5001,3,Prensa!$G$2:$G$5001,1),""))</f>
        <v>0</v>
      </c>
      <c r="G1036" s="27">
        <f>IF(A1036="","",IFERROR(AVERAGEIFS(Prensa!$B$2:$B$5001,Prensa!$E$2:$E$5001,N1036,Prensa!$F$2:$F$5001,4,Prensa!$G$2:$G$5001,1),""))</f>
        <v>0</v>
      </c>
      <c r="H1036" s="26">
        <f>IF(A1036="","",COUNT(D1036:G1036))</f>
        <v>0</v>
      </c>
      <c r="I1036" s="27">
        <f>IF(A1036="","",IF(H1036=0,"",AVERAGE(D1036:G1036)))</f>
        <v>0</v>
      </c>
      <c r="J1036" s="27">
        <f>IF(OR(I1036="",C1036=""),"",I1036-C1036)</f>
        <v>0</v>
      </c>
      <c r="K1036" s="26">
        <f>IF(A1036="","",IF(MES!E1036&lt;&gt;4,"Horário do MES fora do padrão",IF(H1036&lt;cfgMinCortes,"Cortes insuficientes","Válida")))</f>
        <v>0</v>
      </c>
      <c r="L1036" s="27">
        <f>IF(K1036="Válida",ABS(J1036),"")</f>
        <v>0</v>
      </c>
      <c r="M1036" s="26">
        <f>IF(K1036="Válida",IF(L1036&lt;=cfgTolerancia,"Sim","Não"),"")</f>
        <v>0</v>
      </c>
      <c r="N1036" s="26">
        <f>IF(A1036="","",MES!D1036)</f>
        <v>0</v>
      </c>
      <c r="O1036" s="25">
        <f>IF(K1036="Válida",A1036,NA())</f>
        <v>0</v>
      </c>
      <c r="P1036" s="27">
        <f>IF(K1036="Válida",C1036,NA())</f>
        <v>0</v>
      </c>
      <c r="Q1036" s="27">
        <f>IF(K1036="Válida",I1036,NA())</f>
        <v>0</v>
      </c>
      <c r="R1036" s="27">
        <f>IF(K1036="Válida",J1036,NA())</f>
        <v>0</v>
      </c>
      <c r="S1036" s="27">
        <f>IF(K1036="Válida",C1036,"")</f>
        <v>0</v>
      </c>
      <c r="T1036" s="27">
        <f>IF(K1036="Válida",I1036,"")</f>
        <v>0</v>
      </c>
      <c r="U1036" s="27">
        <f>IF(K1036="Válida",J1036,"")</f>
        <v>0</v>
      </c>
    </row>
    <row r="1037" spans="1:21">
      <c r="A1037" s="25">
        <f>IF(MES!A1037="","",MES!C1037/48)</f>
        <v>0</v>
      </c>
      <c r="B1037" s="26">
        <f>IF(A1037="","",TEXT((N1037*4+cfgDeslocamento)/48,"hh:mm")&amp;" a "&amp;TEXT(A1037,"hh:mm"))</f>
        <v>0</v>
      </c>
      <c r="C1037" s="27">
        <f>IF(A1037="","",MES!B1037)</f>
        <v>0</v>
      </c>
      <c r="D1037" s="27">
        <f>IF(A1037="","",IFERROR(AVERAGEIFS(Prensa!$B$2:$B$5001,Prensa!$E$2:$E$5001,N1037,Prensa!$F$2:$F$5001,1,Prensa!$G$2:$G$5001,1),""))</f>
        <v>0</v>
      </c>
      <c r="E1037" s="27">
        <f>IF(A1037="","",IFERROR(AVERAGEIFS(Prensa!$B$2:$B$5001,Prensa!$E$2:$E$5001,N1037,Prensa!$F$2:$F$5001,2,Prensa!$G$2:$G$5001,1),""))</f>
        <v>0</v>
      </c>
      <c r="F1037" s="27">
        <f>IF(A1037="","",IFERROR(AVERAGEIFS(Prensa!$B$2:$B$5001,Prensa!$E$2:$E$5001,N1037,Prensa!$F$2:$F$5001,3,Prensa!$G$2:$G$5001,1),""))</f>
        <v>0</v>
      </c>
      <c r="G1037" s="27">
        <f>IF(A1037="","",IFERROR(AVERAGEIFS(Prensa!$B$2:$B$5001,Prensa!$E$2:$E$5001,N1037,Prensa!$F$2:$F$5001,4,Prensa!$G$2:$G$5001,1),""))</f>
        <v>0</v>
      </c>
      <c r="H1037" s="26">
        <f>IF(A1037="","",COUNT(D1037:G1037))</f>
        <v>0</v>
      </c>
      <c r="I1037" s="27">
        <f>IF(A1037="","",IF(H1037=0,"",AVERAGE(D1037:G1037)))</f>
        <v>0</v>
      </c>
      <c r="J1037" s="27">
        <f>IF(OR(I1037="",C1037=""),"",I1037-C1037)</f>
        <v>0</v>
      </c>
      <c r="K1037" s="26">
        <f>IF(A1037="","",IF(MES!E1037&lt;&gt;4,"Horário do MES fora do padrão",IF(H1037&lt;cfgMinCortes,"Cortes insuficientes","Válida")))</f>
        <v>0</v>
      </c>
      <c r="L1037" s="27">
        <f>IF(K1037="Válida",ABS(J1037),"")</f>
        <v>0</v>
      </c>
      <c r="M1037" s="26">
        <f>IF(K1037="Válida",IF(L1037&lt;=cfgTolerancia,"Sim","Não"),"")</f>
        <v>0</v>
      </c>
      <c r="N1037" s="26">
        <f>IF(A1037="","",MES!D1037)</f>
        <v>0</v>
      </c>
      <c r="O1037" s="25">
        <f>IF(K1037="Válida",A1037,NA())</f>
        <v>0</v>
      </c>
      <c r="P1037" s="27">
        <f>IF(K1037="Válida",C1037,NA())</f>
        <v>0</v>
      </c>
      <c r="Q1037" s="27">
        <f>IF(K1037="Válida",I1037,NA())</f>
        <v>0</v>
      </c>
      <c r="R1037" s="27">
        <f>IF(K1037="Válida",J1037,NA())</f>
        <v>0</v>
      </c>
      <c r="S1037" s="27">
        <f>IF(K1037="Válida",C1037,"")</f>
        <v>0</v>
      </c>
      <c r="T1037" s="27">
        <f>IF(K1037="Válida",I1037,"")</f>
        <v>0</v>
      </c>
      <c r="U1037" s="27">
        <f>IF(K1037="Válida",J1037,"")</f>
        <v>0</v>
      </c>
    </row>
    <row r="1038" spans="1:21">
      <c r="A1038" s="25">
        <f>IF(MES!A1038="","",MES!C1038/48)</f>
        <v>0</v>
      </c>
      <c r="B1038" s="26">
        <f>IF(A1038="","",TEXT((N1038*4+cfgDeslocamento)/48,"hh:mm")&amp;" a "&amp;TEXT(A1038,"hh:mm"))</f>
        <v>0</v>
      </c>
      <c r="C1038" s="27">
        <f>IF(A1038="","",MES!B1038)</f>
        <v>0</v>
      </c>
      <c r="D1038" s="27">
        <f>IF(A1038="","",IFERROR(AVERAGEIFS(Prensa!$B$2:$B$5001,Prensa!$E$2:$E$5001,N1038,Prensa!$F$2:$F$5001,1,Prensa!$G$2:$G$5001,1),""))</f>
        <v>0</v>
      </c>
      <c r="E1038" s="27">
        <f>IF(A1038="","",IFERROR(AVERAGEIFS(Prensa!$B$2:$B$5001,Prensa!$E$2:$E$5001,N1038,Prensa!$F$2:$F$5001,2,Prensa!$G$2:$G$5001,1),""))</f>
        <v>0</v>
      </c>
      <c r="F1038" s="27">
        <f>IF(A1038="","",IFERROR(AVERAGEIFS(Prensa!$B$2:$B$5001,Prensa!$E$2:$E$5001,N1038,Prensa!$F$2:$F$5001,3,Prensa!$G$2:$G$5001,1),""))</f>
        <v>0</v>
      </c>
      <c r="G1038" s="27">
        <f>IF(A1038="","",IFERROR(AVERAGEIFS(Prensa!$B$2:$B$5001,Prensa!$E$2:$E$5001,N1038,Prensa!$F$2:$F$5001,4,Prensa!$G$2:$G$5001,1),""))</f>
        <v>0</v>
      </c>
      <c r="H1038" s="26">
        <f>IF(A1038="","",COUNT(D1038:G1038))</f>
        <v>0</v>
      </c>
      <c r="I1038" s="27">
        <f>IF(A1038="","",IF(H1038=0,"",AVERAGE(D1038:G1038)))</f>
        <v>0</v>
      </c>
      <c r="J1038" s="27">
        <f>IF(OR(I1038="",C1038=""),"",I1038-C1038)</f>
        <v>0</v>
      </c>
      <c r="K1038" s="26">
        <f>IF(A1038="","",IF(MES!E1038&lt;&gt;4,"Horário do MES fora do padrão",IF(H1038&lt;cfgMinCortes,"Cortes insuficientes","Válida")))</f>
        <v>0</v>
      </c>
      <c r="L1038" s="27">
        <f>IF(K1038="Válida",ABS(J1038),"")</f>
        <v>0</v>
      </c>
      <c r="M1038" s="26">
        <f>IF(K1038="Válida",IF(L1038&lt;=cfgTolerancia,"Sim","Não"),"")</f>
        <v>0</v>
      </c>
      <c r="N1038" s="26">
        <f>IF(A1038="","",MES!D1038)</f>
        <v>0</v>
      </c>
      <c r="O1038" s="25">
        <f>IF(K1038="Válida",A1038,NA())</f>
        <v>0</v>
      </c>
      <c r="P1038" s="27">
        <f>IF(K1038="Válida",C1038,NA())</f>
        <v>0</v>
      </c>
      <c r="Q1038" s="27">
        <f>IF(K1038="Válida",I1038,NA())</f>
        <v>0</v>
      </c>
      <c r="R1038" s="27">
        <f>IF(K1038="Válida",J1038,NA())</f>
        <v>0</v>
      </c>
      <c r="S1038" s="27">
        <f>IF(K1038="Válida",C1038,"")</f>
        <v>0</v>
      </c>
      <c r="T1038" s="27">
        <f>IF(K1038="Válida",I1038,"")</f>
        <v>0</v>
      </c>
      <c r="U1038" s="27">
        <f>IF(K1038="Válida",J1038,"")</f>
        <v>0</v>
      </c>
    </row>
    <row r="1039" spans="1:21">
      <c r="A1039" s="25">
        <f>IF(MES!A1039="","",MES!C1039/48)</f>
        <v>0</v>
      </c>
      <c r="B1039" s="26">
        <f>IF(A1039="","",TEXT((N1039*4+cfgDeslocamento)/48,"hh:mm")&amp;" a "&amp;TEXT(A1039,"hh:mm"))</f>
        <v>0</v>
      </c>
      <c r="C1039" s="27">
        <f>IF(A1039="","",MES!B1039)</f>
        <v>0</v>
      </c>
      <c r="D1039" s="27">
        <f>IF(A1039="","",IFERROR(AVERAGEIFS(Prensa!$B$2:$B$5001,Prensa!$E$2:$E$5001,N1039,Prensa!$F$2:$F$5001,1,Prensa!$G$2:$G$5001,1),""))</f>
        <v>0</v>
      </c>
      <c r="E1039" s="27">
        <f>IF(A1039="","",IFERROR(AVERAGEIFS(Prensa!$B$2:$B$5001,Prensa!$E$2:$E$5001,N1039,Prensa!$F$2:$F$5001,2,Prensa!$G$2:$G$5001,1),""))</f>
        <v>0</v>
      </c>
      <c r="F1039" s="27">
        <f>IF(A1039="","",IFERROR(AVERAGEIFS(Prensa!$B$2:$B$5001,Prensa!$E$2:$E$5001,N1039,Prensa!$F$2:$F$5001,3,Prensa!$G$2:$G$5001,1),""))</f>
        <v>0</v>
      </c>
      <c r="G1039" s="27">
        <f>IF(A1039="","",IFERROR(AVERAGEIFS(Prensa!$B$2:$B$5001,Prensa!$E$2:$E$5001,N1039,Prensa!$F$2:$F$5001,4,Prensa!$G$2:$G$5001,1),""))</f>
        <v>0</v>
      </c>
      <c r="H1039" s="26">
        <f>IF(A1039="","",COUNT(D1039:G1039))</f>
        <v>0</v>
      </c>
      <c r="I1039" s="27">
        <f>IF(A1039="","",IF(H1039=0,"",AVERAGE(D1039:G1039)))</f>
        <v>0</v>
      </c>
      <c r="J1039" s="27">
        <f>IF(OR(I1039="",C1039=""),"",I1039-C1039)</f>
        <v>0</v>
      </c>
      <c r="K1039" s="26">
        <f>IF(A1039="","",IF(MES!E1039&lt;&gt;4,"Horário do MES fora do padrão",IF(H1039&lt;cfgMinCortes,"Cortes insuficientes","Válida")))</f>
        <v>0</v>
      </c>
      <c r="L1039" s="27">
        <f>IF(K1039="Válida",ABS(J1039),"")</f>
        <v>0</v>
      </c>
      <c r="M1039" s="26">
        <f>IF(K1039="Válida",IF(L1039&lt;=cfgTolerancia,"Sim","Não"),"")</f>
        <v>0</v>
      </c>
      <c r="N1039" s="26">
        <f>IF(A1039="","",MES!D1039)</f>
        <v>0</v>
      </c>
      <c r="O1039" s="25">
        <f>IF(K1039="Válida",A1039,NA())</f>
        <v>0</v>
      </c>
      <c r="P1039" s="27">
        <f>IF(K1039="Válida",C1039,NA())</f>
        <v>0</v>
      </c>
      <c r="Q1039" s="27">
        <f>IF(K1039="Válida",I1039,NA())</f>
        <v>0</v>
      </c>
      <c r="R1039" s="27">
        <f>IF(K1039="Válida",J1039,NA())</f>
        <v>0</v>
      </c>
      <c r="S1039" s="27">
        <f>IF(K1039="Válida",C1039,"")</f>
        <v>0</v>
      </c>
      <c r="T1039" s="27">
        <f>IF(K1039="Válida",I1039,"")</f>
        <v>0</v>
      </c>
      <c r="U1039" s="27">
        <f>IF(K1039="Válida",J1039,"")</f>
        <v>0</v>
      </c>
    </row>
    <row r="1040" spans="1:21">
      <c r="A1040" s="25">
        <f>IF(MES!A1040="","",MES!C1040/48)</f>
        <v>0</v>
      </c>
      <c r="B1040" s="26">
        <f>IF(A1040="","",TEXT((N1040*4+cfgDeslocamento)/48,"hh:mm")&amp;" a "&amp;TEXT(A1040,"hh:mm"))</f>
        <v>0</v>
      </c>
      <c r="C1040" s="27">
        <f>IF(A1040="","",MES!B1040)</f>
        <v>0</v>
      </c>
      <c r="D1040" s="27">
        <f>IF(A1040="","",IFERROR(AVERAGEIFS(Prensa!$B$2:$B$5001,Prensa!$E$2:$E$5001,N1040,Prensa!$F$2:$F$5001,1,Prensa!$G$2:$G$5001,1),""))</f>
        <v>0</v>
      </c>
      <c r="E1040" s="27">
        <f>IF(A1040="","",IFERROR(AVERAGEIFS(Prensa!$B$2:$B$5001,Prensa!$E$2:$E$5001,N1040,Prensa!$F$2:$F$5001,2,Prensa!$G$2:$G$5001,1),""))</f>
        <v>0</v>
      </c>
      <c r="F1040" s="27">
        <f>IF(A1040="","",IFERROR(AVERAGEIFS(Prensa!$B$2:$B$5001,Prensa!$E$2:$E$5001,N1040,Prensa!$F$2:$F$5001,3,Prensa!$G$2:$G$5001,1),""))</f>
        <v>0</v>
      </c>
      <c r="G1040" s="27">
        <f>IF(A1040="","",IFERROR(AVERAGEIFS(Prensa!$B$2:$B$5001,Prensa!$E$2:$E$5001,N1040,Prensa!$F$2:$F$5001,4,Prensa!$G$2:$G$5001,1),""))</f>
        <v>0</v>
      </c>
      <c r="H1040" s="26">
        <f>IF(A1040="","",COUNT(D1040:G1040))</f>
        <v>0</v>
      </c>
      <c r="I1040" s="27">
        <f>IF(A1040="","",IF(H1040=0,"",AVERAGE(D1040:G1040)))</f>
        <v>0</v>
      </c>
      <c r="J1040" s="27">
        <f>IF(OR(I1040="",C1040=""),"",I1040-C1040)</f>
        <v>0</v>
      </c>
      <c r="K1040" s="26">
        <f>IF(A1040="","",IF(MES!E1040&lt;&gt;4,"Horário do MES fora do padrão",IF(H1040&lt;cfgMinCortes,"Cortes insuficientes","Válida")))</f>
        <v>0</v>
      </c>
      <c r="L1040" s="27">
        <f>IF(K1040="Válida",ABS(J1040),"")</f>
        <v>0</v>
      </c>
      <c r="M1040" s="26">
        <f>IF(K1040="Válida",IF(L1040&lt;=cfgTolerancia,"Sim","Não"),"")</f>
        <v>0</v>
      </c>
      <c r="N1040" s="26">
        <f>IF(A1040="","",MES!D1040)</f>
        <v>0</v>
      </c>
      <c r="O1040" s="25">
        <f>IF(K1040="Válida",A1040,NA())</f>
        <v>0</v>
      </c>
      <c r="P1040" s="27">
        <f>IF(K1040="Válida",C1040,NA())</f>
        <v>0</v>
      </c>
      <c r="Q1040" s="27">
        <f>IF(K1040="Válida",I1040,NA())</f>
        <v>0</v>
      </c>
      <c r="R1040" s="27">
        <f>IF(K1040="Válida",J1040,NA())</f>
        <v>0</v>
      </c>
      <c r="S1040" s="27">
        <f>IF(K1040="Válida",C1040,"")</f>
        <v>0</v>
      </c>
      <c r="T1040" s="27">
        <f>IF(K1040="Válida",I1040,"")</f>
        <v>0</v>
      </c>
      <c r="U1040" s="27">
        <f>IF(K1040="Válida",J1040,"")</f>
        <v>0</v>
      </c>
    </row>
    <row r="1041" spans="1:21">
      <c r="A1041" s="25">
        <f>IF(MES!A1041="","",MES!C1041/48)</f>
        <v>0</v>
      </c>
      <c r="B1041" s="26">
        <f>IF(A1041="","",TEXT((N1041*4+cfgDeslocamento)/48,"hh:mm")&amp;" a "&amp;TEXT(A1041,"hh:mm"))</f>
        <v>0</v>
      </c>
      <c r="C1041" s="27">
        <f>IF(A1041="","",MES!B1041)</f>
        <v>0</v>
      </c>
      <c r="D1041" s="27">
        <f>IF(A1041="","",IFERROR(AVERAGEIFS(Prensa!$B$2:$B$5001,Prensa!$E$2:$E$5001,N1041,Prensa!$F$2:$F$5001,1,Prensa!$G$2:$G$5001,1),""))</f>
        <v>0</v>
      </c>
      <c r="E1041" s="27">
        <f>IF(A1041="","",IFERROR(AVERAGEIFS(Prensa!$B$2:$B$5001,Prensa!$E$2:$E$5001,N1041,Prensa!$F$2:$F$5001,2,Prensa!$G$2:$G$5001,1),""))</f>
        <v>0</v>
      </c>
      <c r="F1041" s="27">
        <f>IF(A1041="","",IFERROR(AVERAGEIFS(Prensa!$B$2:$B$5001,Prensa!$E$2:$E$5001,N1041,Prensa!$F$2:$F$5001,3,Prensa!$G$2:$G$5001,1),""))</f>
        <v>0</v>
      </c>
      <c r="G1041" s="27">
        <f>IF(A1041="","",IFERROR(AVERAGEIFS(Prensa!$B$2:$B$5001,Prensa!$E$2:$E$5001,N1041,Prensa!$F$2:$F$5001,4,Prensa!$G$2:$G$5001,1),""))</f>
        <v>0</v>
      </c>
      <c r="H1041" s="26">
        <f>IF(A1041="","",COUNT(D1041:G1041))</f>
        <v>0</v>
      </c>
      <c r="I1041" s="27">
        <f>IF(A1041="","",IF(H1041=0,"",AVERAGE(D1041:G1041)))</f>
        <v>0</v>
      </c>
      <c r="J1041" s="27">
        <f>IF(OR(I1041="",C1041=""),"",I1041-C1041)</f>
        <v>0</v>
      </c>
      <c r="K1041" s="26">
        <f>IF(A1041="","",IF(MES!E1041&lt;&gt;4,"Horário do MES fora do padrão",IF(H1041&lt;cfgMinCortes,"Cortes insuficientes","Válida")))</f>
        <v>0</v>
      </c>
      <c r="L1041" s="27">
        <f>IF(K1041="Válida",ABS(J1041),"")</f>
        <v>0</v>
      </c>
      <c r="M1041" s="26">
        <f>IF(K1041="Válida",IF(L1041&lt;=cfgTolerancia,"Sim","Não"),"")</f>
        <v>0</v>
      </c>
      <c r="N1041" s="26">
        <f>IF(A1041="","",MES!D1041)</f>
        <v>0</v>
      </c>
      <c r="O1041" s="25">
        <f>IF(K1041="Válida",A1041,NA())</f>
        <v>0</v>
      </c>
      <c r="P1041" s="27">
        <f>IF(K1041="Válida",C1041,NA())</f>
        <v>0</v>
      </c>
      <c r="Q1041" s="27">
        <f>IF(K1041="Válida",I1041,NA())</f>
        <v>0</v>
      </c>
      <c r="R1041" s="27">
        <f>IF(K1041="Válida",J1041,NA())</f>
        <v>0</v>
      </c>
      <c r="S1041" s="27">
        <f>IF(K1041="Válida",C1041,"")</f>
        <v>0</v>
      </c>
      <c r="T1041" s="27">
        <f>IF(K1041="Válida",I1041,"")</f>
        <v>0</v>
      </c>
      <c r="U1041" s="27">
        <f>IF(K1041="Válida",J1041,"")</f>
        <v>0</v>
      </c>
    </row>
    <row r="1042" spans="1:21">
      <c r="A1042" s="25">
        <f>IF(MES!A1042="","",MES!C1042/48)</f>
        <v>0</v>
      </c>
      <c r="B1042" s="26">
        <f>IF(A1042="","",TEXT((N1042*4+cfgDeslocamento)/48,"hh:mm")&amp;" a "&amp;TEXT(A1042,"hh:mm"))</f>
        <v>0</v>
      </c>
      <c r="C1042" s="27">
        <f>IF(A1042="","",MES!B1042)</f>
        <v>0</v>
      </c>
      <c r="D1042" s="27">
        <f>IF(A1042="","",IFERROR(AVERAGEIFS(Prensa!$B$2:$B$5001,Prensa!$E$2:$E$5001,N1042,Prensa!$F$2:$F$5001,1,Prensa!$G$2:$G$5001,1),""))</f>
        <v>0</v>
      </c>
      <c r="E1042" s="27">
        <f>IF(A1042="","",IFERROR(AVERAGEIFS(Prensa!$B$2:$B$5001,Prensa!$E$2:$E$5001,N1042,Prensa!$F$2:$F$5001,2,Prensa!$G$2:$G$5001,1),""))</f>
        <v>0</v>
      </c>
      <c r="F1042" s="27">
        <f>IF(A1042="","",IFERROR(AVERAGEIFS(Prensa!$B$2:$B$5001,Prensa!$E$2:$E$5001,N1042,Prensa!$F$2:$F$5001,3,Prensa!$G$2:$G$5001,1),""))</f>
        <v>0</v>
      </c>
      <c r="G1042" s="27">
        <f>IF(A1042="","",IFERROR(AVERAGEIFS(Prensa!$B$2:$B$5001,Prensa!$E$2:$E$5001,N1042,Prensa!$F$2:$F$5001,4,Prensa!$G$2:$G$5001,1),""))</f>
        <v>0</v>
      </c>
      <c r="H1042" s="26">
        <f>IF(A1042="","",COUNT(D1042:G1042))</f>
        <v>0</v>
      </c>
      <c r="I1042" s="27">
        <f>IF(A1042="","",IF(H1042=0,"",AVERAGE(D1042:G1042)))</f>
        <v>0</v>
      </c>
      <c r="J1042" s="27">
        <f>IF(OR(I1042="",C1042=""),"",I1042-C1042)</f>
        <v>0</v>
      </c>
      <c r="K1042" s="26">
        <f>IF(A1042="","",IF(MES!E1042&lt;&gt;4,"Horário do MES fora do padrão",IF(H1042&lt;cfgMinCortes,"Cortes insuficientes","Válida")))</f>
        <v>0</v>
      </c>
      <c r="L1042" s="27">
        <f>IF(K1042="Válida",ABS(J1042),"")</f>
        <v>0</v>
      </c>
      <c r="M1042" s="26">
        <f>IF(K1042="Válida",IF(L1042&lt;=cfgTolerancia,"Sim","Não"),"")</f>
        <v>0</v>
      </c>
      <c r="N1042" s="26">
        <f>IF(A1042="","",MES!D1042)</f>
        <v>0</v>
      </c>
      <c r="O1042" s="25">
        <f>IF(K1042="Válida",A1042,NA())</f>
        <v>0</v>
      </c>
      <c r="P1042" s="27">
        <f>IF(K1042="Válida",C1042,NA())</f>
        <v>0</v>
      </c>
      <c r="Q1042" s="27">
        <f>IF(K1042="Válida",I1042,NA())</f>
        <v>0</v>
      </c>
      <c r="R1042" s="27">
        <f>IF(K1042="Válida",J1042,NA())</f>
        <v>0</v>
      </c>
      <c r="S1042" s="27">
        <f>IF(K1042="Válida",C1042,"")</f>
        <v>0</v>
      </c>
      <c r="T1042" s="27">
        <f>IF(K1042="Válida",I1042,"")</f>
        <v>0</v>
      </c>
      <c r="U1042" s="27">
        <f>IF(K1042="Válida",J1042,"")</f>
        <v>0</v>
      </c>
    </row>
    <row r="1043" spans="1:21">
      <c r="A1043" s="25">
        <f>IF(MES!A1043="","",MES!C1043/48)</f>
        <v>0</v>
      </c>
      <c r="B1043" s="26">
        <f>IF(A1043="","",TEXT((N1043*4+cfgDeslocamento)/48,"hh:mm")&amp;" a "&amp;TEXT(A1043,"hh:mm"))</f>
        <v>0</v>
      </c>
      <c r="C1043" s="27">
        <f>IF(A1043="","",MES!B1043)</f>
        <v>0</v>
      </c>
      <c r="D1043" s="27">
        <f>IF(A1043="","",IFERROR(AVERAGEIFS(Prensa!$B$2:$B$5001,Prensa!$E$2:$E$5001,N1043,Prensa!$F$2:$F$5001,1,Prensa!$G$2:$G$5001,1),""))</f>
        <v>0</v>
      </c>
      <c r="E1043" s="27">
        <f>IF(A1043="","",IFERROR(AVERAGEIFS(Prensa!$B$2:$B$5001,Prensa!$E$2:$E$5001,N1043,Prensa!$F$2:$F$5001,2,Prensa!$G$2:$G$5001,1),""))</f>
        <v>0</v>
      </c>
      <c r="F1043" s="27">
        <f>IF(A1043="","",IFERROR(AVERAGEIFS(Prensa!$B$2:$B$5001,Prensa!$E$2:$E$5001,N1043,Prensa!$F$2:$F$5001,3,Prensa!$G$2:$G$5001,1),""))</f>
        <v>0</v>
      </c>
      <c r="G1043" s="27">
        <f>IF(A1043="","",IFERROR(AVERAGEIFS(Prensa!$B$2:$B$5001,Prensa!$E$2:$E$5001,N1043,Prensa!$F$2:$F$5001,4,Prensa!$G$2:$G$5001,1),""))</f>
        <v>0</v>
      </c>
      <c r="H1043" s="26">
        <f>IF(A1043="","",COUNT(D1043:G1043))</f>
        <v>0</v>
      </c>
      <c r="I1043" s="27">
        <f>IF(A1043="","",IF(H1043=0,"",AVERAGE(D1043:G1043)))</f>
        <v>0</v>
      </c>
      <c r="J1043" s="27">
        <f>IF(OR(I1043="",C1043=""),"",I1043-C1043)</f>
        <v>0</v>
      </c>
      <c r="K1043" s="26">
        <f>IF(A1043="","",IF(MES!E1043&lt;&gt;4,"Horário do MES fora do padrão",IF(H1043&lt;cfgMinCortes,"Cortes insuficientes","Válida")))</f>
        <v>0</v>
      </c>
      <c r="L1043" s="27">
        <f>IF(K1043="Válida",ABS(J1043),"")</f>
        <v>0</v>
      </c>
      <c r="M1043" s="26">
        <f>IF(K1043="Válida",IF(L1043&lt;=cfgTolerancia,"Sim","Não"),"")</f>
        <v>0</v>
      </c>
      <c r="N1043" s="26">
        <f>IF(A1043="","",MES!D1043)</f>
        <v>0</v>
      </c>
      <c r="O1043" s="25">
        <f>IF(K1043="Válida",A1043,NA())</f>
        <v>0</v>
      </c>
      <c r="P1043" s="27">
        <f>IF(K1043="Válida",C1043,NA())</f>
        <v>0</v>
      </c>
      <c r="Q1043" s="27">
        <f>IF(K1043="Válida",I1043,NA())</f>
        <v>0</v>
      </c>
      <c r="R1043" s="27">
        <f>IF(K1043="Válida",J1043,NA())</f>
        <v>0</v>
      </c>
      <c r="S1043" s="27">
        <f>IF(K1043="Válida",C1043,"")</f>
        <v>0</v>
      </c>
      <c r="T1043" s="27">
        <f>IF(K1043="Válida",I1043,"")</f>
        <v>0</v>
      </c>
      <c r="U1043" s="27">
        <f>IF(K1043="Válida",J1043,"")</f>
        <v>0</v>
      </c>
    </row>
    <row r="1044" spans="1:21">
      <c r="A1044" s="25">
        <f>IF(MES!A1044="","",MES!C1044/48)</f>
        <v>0</v>
      </c>
      <c r="B1044" s="26">
        <f>IF(A1044="","",TEXT((N1044*4+cfgDeslocamento)/48,"hh:mm")&amp;" a "&amp;TEXT(A1044,"hh:mm"))</f>
        <v>0</v>
      </c>
      <c r="C1044" s="27">
        <f>IF(A1044="","",MES!B1044)</f>
        <v>0</v>
      </c>
      <c r="D1044" s="27">
        <f>IF(A1044="","",IFERROR(AVERAGEIFS(Prensa!$B$2:$B$5001,Prensa!$E$2:$E$5001,N1044,Prensa!$F$2:$F$5001,1,Prensa!$G$2:$G$5001,1),""))</f>
        <v>0</v>
      </c>
      <c r="E1044" s="27">
        <f>IF(A1044="","",IFERROR(AVERAGEIFS(Prensa!$B$2:$B$5001,Prensa!$E$2:$E$5001,N1044,Prensa!$F$2:$F$5001,2,Prensa!$G$2:$G$5001,1),""))</f>
        <v>0</v>
      </c>
      <c r="F1044" s="27">
        <f>IF(A1044="","",IFERROR(AVERAGEIFS(Prensa!$B$2:$B$5001,Prensa!$E$2:$E$5001,N1044,Prensa!$F$2:$F$5001,3,Prensa!$G$2:$G$5001,1),""))</f>
        <v>0</v>
      </c>
      <c r="G1044" s="27">
        <f>IF(A1044="","",IFERROR(AVERAGEIFS(Prensa!$B$2:$B$5001,Prensa!$E$2:$E$5001,N1044,Prensa!$F$2:$F$5001,4,Prensa!$G$2:$G$5001,1),""))</f>
        <v>0</v>
      </c>
      <c r="H1044" s="26">
        <f>IF(A1044="","",COUNT(D1044:G1044))</f>
        <v>0</v>
      </c>
      <c r="I1044" s="27">
        <f>IF(A1044="","",IF(H1044=0,"",AVERAGE(D1044:G1044)))</f>
        <v>0</v>
      </c>
      <c r="J1044" s="27">
        <f>IF(OR(I1044="",C1044=""),"",I1044-C1044)</f>
        <v>0</v>
      </c>
      <c r="K1044" s="26">
        <f>IF(A1044="","",IF(MES!E1044&lt;&gt;4,"Horário do MES fora do padrão",IF(H1044&lt;cfgMinCortes,"Cortes insuficientes","Válida")))</f>
        <v>0</v>
      </c>
      <c r="L1044" s="27">
        <f>IF(K1044="Válida",ABS(J1044),"")</f>
        <v>0</v>
      </c>
      <c r="M1044" s="26">
        <f>IF(K1044="Válida",IF(L1044&lt;=cfgTolerancia,"Sim","Não"),"")</f>
        <v>0</v>
      </c>
      <c r="N1044" s="26">
        <f>IF(A1044="","",MES!D1044)</f>
        <v>0</v>
      </c>
      <c r="O1044" s="25">
        <f>IF(K1044="Válida",A1044,NA())</f>
        <v>0</v>
      </c>
      <c r="P1044" s="27">
        <f>IF(K1044="Válida",C1044,NA())</f>
        <v>0</v>
      </c>
      <c r="Q1044" s="27">
        <f>IF(K1044="Válida",I1044,NA())</f>
        <v>0</v>
      </c>
      <c r="R1044" s="27">
        <f>IF(K1044="Válida",J1044,NA())</f>
        <v>0</v>
      </c>
      <c r="S1044" s="27">
        <f>IF(K1044="Válida",C1044,"")</f>
        <v>0</v>
      </c>
      <c r="T1044" s="27">
        <f>IF(K1044="Válida",I1044,"")</f>
        <v>0</v>
      </c>
      <c r="U1044" s="27">
        <f>IF(K1044="Válida",J1044,"")</f>
        <v>0</v>
      </c>
    </row>
    <row r="1045" spans="1:21">
      <c r="A1045" s="25">
        <f>IF(MES!A1045="","",MES!C1045/48)</f>
        <v>0</v>
      </c>
      <c r="B1045" s="26">
        <f>IF(A1045="","",TEXT((N1045*4+cfgDeslocamento)/48,"hh:mm")&amp;" a "&amp;TEXT(A1045,"hh:mm"))</f>
        <v>0</v>
      </c>
      <c r="C1045" s="27">
        <f>IF(A1045="","",MES!B1045)</f>
        <v>0</v>
      </c>
      <c r="D1045" s="27">
        <f>IF(A1045="","",IFERROR(AVERAGEIFS(Prensa!$B$2:$B$5001,Prensa!$E$2:$E$5001,N1045,Prensa!$F$2:$F$5001,1,Prensa!$G$2:$G$5001,1),""))</f>
        <v>0</v>
      </c>
      <c r="E1045" s="27">
        <f>IF(A1045="","",IFERROR(AVERAGEIFS(Prensa!$B$2:$B$5001,Prensa!$E$2:$E$5001,N1045,Prensa!$F$2:$F$5001,2,Prensa!$G$2:$G$5001,1),""))</f>
        <v>0</v>
      </c>
      <c r="F1045" s="27">
        <f>IF(A1045="","",IFERROR(AVERAGEIFS(Prensa!$B$2:$B$5001,Prensa!$E$2:$E$5001,N1045,Prensa!$F$2:$F$5001,3,Prensa!$G$2:$G$5001,1),""))</f>
        <v>0</v>
      </c>
      <c r="G1045" s="27">
        <f>IF(A1045="","",IFERROR(AVERAGEIFS(Prensa!$B$2:$B$5001,Prensa!$E$2:$E$5001,N1045,Prensa!$F$2:$F$5001,4,Prensa!$G$2:$G$5001,1),""))</f>
        <v>0</v>
      </c>
      <c r="H1045" s="26">
        <f>IF(A1045="","",COUNT(D1045:G1045))</f>
        <v>0</v>
      </c>
      <c r="I1045" s="27">
        <f>IF(A1045="","",IF(H1045=0,"",AVERAGE(D1045:G1045)))</f>
        <v>0</v>
      </c>
      <c r="J1045" s="27">
        <f>IF(OR(I1045="",C1045=""),"",I1045-C1045)</f>
        <v>0</v>
      </c>
      <c r="K1045" s="26">
        <f>IF(A1045="","",IF(MES!E1045&lt;&gt;4,"Horário do MES fora do padrão",IF(H1045&lt;cfgMinCortes,"Cortes insuficientes","Válida")))</f>
        <v>0</v>
      </c>
      <c r="L1045" s="27">
        <f>IF(K1045="Válida",ABS(J1045),"")</f>
        <v>0</v>
      </c>
      <c r="M1045" s="26">
        <f>IF(K1045="Válida",IF(L1045&lt;=cfgTolerancia,"Sim","Não"),"")</f>
        <v>0</v>
      </c>
      <c r="N1045" s="26">
        <f>IF(A1045="","",MES!D1045)</f>
        <v>0</v>
      </c>
      <c r="O1045" s="25">
        <f>IF(K1045="Válida",A1045,NA())</f>
        <v>0</v>
      </c>
      <c r="P1045" s="27">
        <f>IF(K1045="Válida",C1045,NA())</f>
        <v>0</v>
      </c>
      <c r="Q1045" s="27">
        <f>IF(K1045="Válida",I1045,NA())</f>
        <v>0</v>
      </c>
      <c r="R1045" s="27">
        <f>IF(K1045="Válida",J1045,NA())</f>
        <v>0</v>
      </c>
      <c r="S1045" s="27">
        <f>IF(K1045="Válida",C1045,"")</f>
        <v>0</v>
      </c>
      <c r="T1045" s="27">
        <f>IF(K1045="Válida",I1045,"")</f>
        <v>0</v>
      </c>
      <c r="U1045" s="27">
        <f>IF(K1045="Válida",J1045,"")</f>
        <v>0</v>
      </c>
    </row>
    <row r="1046" spans="1:21">
      <c r="A1046" s="25">
        <f>IF(MES!A1046="","",MES!C1046/48)</f>
        <v>0</v>
      </c>
      <c r="B1046" s="26">
        <f>IF(A1046="","",TEXT((N1046*4+cfgDeslocamento)/48,"hh:mm")&amp;" a "&amp;TEXT(A1046,"hh:mm"))</f>
        <v>0</v>
      </c>
      <c r="C1046" s="27">
        <f>IF(A1046="","",MES!B1046)</f>
        <v>0</v>
      </c>
      <c r="D1046" s="27">
        <f>IF(A1046="","",IFERROR(AVERAGEIFS(Prensa!$B$2:$B$5001,Prensa!$E$2:$E$5001,N1046,Prensa!$F$2:$F$5001,1,Prensa!$G$2:$G$5001,1),""))</f>
        <v>0</v>
      </c>
      <c r="E1046" s="27">
        <f>IF(A1046="","",IFERROR(AVERAGEIFS(Prensa!$B$2:$B$5001,Prensa!$E$2:$E$5001,N1046,Prensa!$F$2:$F$5001,2,Prensa!$G$2:$G$5001,1),""))</f>
        <v>0</v>
      </c>
      <c r="F1046" s="27">
        <f>IF(A1046="","",IFERROR(AVERAGEIFS(Prensa!$B$2:$B$5001,Prensa!$E$2:$E$5001,N1046,Prensa!$F$2:$F$5001,3,Prensa!$G$2:$G$5001,1),""))</f>
        <v>0</v>
      </c>
      <c r="G1046" s="27">
        <f>IF(A1046="","",IFERROR(AVERAGEIFS(Prensa!$B$2:$B$5001,Prensa!$E$2:$E$5001,N1046,Prensa!$F$2:$F$5001,4,Prensa!$G$2:$G$5001,1),""))</f>
        <v>0</v>
      </c>
      <c r="H1046" s="26">
        <f>IF(A1046="","",COUNT(D1046:G1046))</f>
        <v>0</v>
      </c>
      <c r="I1046" s="27">
        <f>IF(A1046="","",IF(H1046=0,"",AVERAGE(D1046:G1046)))</f>
        <v>0</v>
      </c>
      <c r="J1046" s="27">
        <f>IF(OR(I1046="",C1046=""),"",I1046-C1046)</f>
        <v>0</v>
      </c>
      <c r="K1046" s="26">
        <f>IF(A1046="","",IF(MES!E1046&lt;&gt;4,"Horário do MES fora do padrão",IF(H1046&lt;cfgMinCortes,"Cortes insuficientes","Válida")))</f>
        <v>0</v>
      </c>
      <c r="L1046" s="27">
        <f>IF(K1046="Válida",ABS(J1046),"")</f>
        <v>0</v>
      </c>
      <c r="M1046" s="26">
        <f>IF(K1046="Válida",IF(L1046&lt;=cfgTolerancia,"Sim","Não"),"")</f>
        <v>0</v>
      </c>
      <c r="N1046" s="26">
        <f>IF(A1046="","",MES!D1046)</f>
        <v>0</v>
      </c>
      <c r="O1046" s="25">
        <f>IF(K1046="Válida",A1046,NA())</f>
        <v>0</v>
      </c>
      <c r="P1046" s="27">
        <f>IF(K1046="Válida",C1046,NA())</f>
        <v>0</v>
      </c>
      <c r="Q1046" s="27">
        <f>IF(K1046="Válida",I1046,NA())</f>
        <v>0</v>
      </c>
      <c r="R1046" s="27">
        <f>IF(K1046="Válida",J1046,NA())</f>
        <v>0</v>
      </c>
      <c r="S1046" s="27">
        <f>IF(K1046="Válida",C1046,"")</f>
        <v>0</v>
      </c>
      <c r="T1046" s="27">
        <f>IF(K1046="Válida",I1046,"")</f>
        <v>0</v>
      </c>
      <c r="U1046" s="27">
        <f>IF(K1046="Válida",J1046,"")</f>
        <v>0</v>
      </c>
    </row>
    <row r="1047" spans="1:21">
      <c r="A1047" s="25">
        <f>IF(MES!A1047="","",MES!C1047/48)</f>
        <v>0</v>
      </c>
      <c r="B1047" s="26">
        <f>IF(A1047="","",TEXT((N1047*4+cfgDeslocamento)/48,"hh:mm")&amp;" a "&amp;TEXT(A1047,"hh:mm"))</f>
        <v>0</v>
      </c>
      <c r="C1047" s="27">
        <f>IF(A1047="","",MES!B1047)</f>
        <v>0</v>
      </c>
      <c r="D1047" s="27">
        <f>IF(A1047="","",IFERROR(AVERAGEIFS(Prensa!$B$2:$B$5001,Prensa!$E$2:$E$5001,N1047,Prensa!$F$2:$F$5001,1,Prensa!$G$2:$G$5001,1),""))</f>
        <v>0</v>
      </c>
      <c r="E1047" s="27">
        <f>IF(A1047="","",IFERROR(AVERAGEIFS(Prensa!$B$2:$B$5001,Prensa!$E$2:$E$5001,N1047,Prensa!$F$2:$F$5001,2,Prensa!$G$2:$G$5001,1),""))</f>
        <v>0</v>
      </c>
      <c r="F1047" s="27">
        <f>IF(A1047="","",IFERROR(AVERAGEIFS(Prensa!$B$2:$B$5001,Prensa!$E$2:$E$5001,N1047,Prensa!$F$2:$F$5001,3,Prensa!$G$2:$G$5001,1),""))</f>
        <v>0</v>
      </c>
      <c r="G1047" s="27">
        <f>IF(A1047="","",IFERROR(AVERAGEIFS(Prensa!$B$2:$B$5001,Prensa!$E$2:$E$5001,N1047,Prensa!$F$2:$F$5001,4,Prensa!$G$2:$G$5001,1),""))</f>
        <v>0</v>
      </c>
      <c r="H1047" s="26">
        <f>IF(A1047="","",COUNT(D1047:G1047))</f>
        <v>0</v>
      </c>
      <c r="I1047" s="27">
        <f>IF(A1047="","",IF(H1047=0,"",AVERAGE(D1047:G1047)))</f>
        <v>0</v>
      </c>
      <c r="J1047" s="27">
        <f>IF(OR(I1047="",C1047=""),"",I1047-C1047)</f>
        <v>0</v>
      </c>
      <c r="K1047" s="26">
        <f>IF(A1047="","",IF(MES!E1047&lt;&gt;4,"Horário do MES fora do padrão",IF(H1047&lt;cfgMinCortes,"Cortes insuficientes","Válida")))</f>
        <v>0</v>
      </c>
      <c r="L1047" s="27">
        <f>IF(K1047="Válida",ABS(J1047),"")</f>
        <v>0</v>
      </c>
      <c r="M1047" s="26">
        <f>IF(K1047="Válida",IF(L1047&lt;=cfgTolerancia,"Sim","Não"),"")</f>
        <v>0</v>
      </c>
      <c r="N1047" s="26">
        <f>IF(A1047="","",MES!D1047)</f>
        <v>0</v>
      </c>
      <c r="O1047" s="25">
        <f>IF(K1047="Válida",A1047,NA())</f>
        <v>0</v>
      </c>
      <c r="P1047" s="27">
        <f>IF(K1047="Válida",C1047,NA())</f>
        <v>0</v>
      </c>
      <c r="Q1047" s="27">
        <f>IF(K1047="Válida",I1047,NA())</f>
        <v>0</v>
      </c>
      <c r="R1047" s="27">
        <f>IF(K1047="Válida",J1047,NA())</f>
        <v>0</v>
      </c>
      <c r="S1047" s="27">
        <f>IF(K1047="Válida",C1047,"")</f>
        <v>0</v>
      </c>
      <c r="T1047" s="27">
        <f>IF(K1047="Válida",I1047,"")</f>
        <v>0</v>
      </c>
      <c r="U1047" s="27">
        <f>IF(K1047="Válida",J1047,"")</f>
        <v>0</v>
      </c>
    </row>
    <row r="1048" spans="1:21">
      <c r="A1048" s="25">
        <f>IF(MES!A1048="","",MES!C1048/48)</f>
        <v>0</v>
      </c>
      <c r="B1048" s="26">
        <f>IF(A1048="","",TEXT((N1048*4+cfgDeslocamento)/48,"hh:mm")&amp;" a "&amp;TEXT(A1048,"hh:mm"))</f>
        <v>0</v>
      </c>
      <c r="C1048" s="27">
        <f>IF(A1048="","",MES!B1048)</f>
        <v>0</v>
      </c>
      <c r="D1048" s="27">
        <f>IF(A1048="","",IFERROR(AVERAGEIFS(Prensa!$B$2:$B$5001,Prensa!$E$2:$E$5001,N1048,Prensa!$F$2:$F$5001,1,Prensa!$G$2:$G$5001,1),""))</f>
        <v>0</v>
      </c>
      <c r="E1048" s="27">
        <f>IF(A1048="","",IFERROR(AVERAGEIFS(Prensa!$B$2:$B$5001,Prensa!$E$2:$E$5001,N1048,Prensa!$F$2:$F$5001,2,Prensa!$G$2:$G$5001,1),""))</f>
        <v>0</v>
      </c>
      <c r="F1048" s="27">
        <f>IF(A1048="","",IFERROR(AVERAGEIFS(Prensa!$B$2:$B$5001,Prensa!$E$2:$E$5001,N1048,Prensa!$F$2:$F$5001,3,Prensa!$G$2:$G$5001,1),""))</f>
        <v>0</v>
      </c>
      <c r="G1048" s="27">
        <f>IF(A1048="","",IFERROR(AVERAGEIFS(Prensa!$B$2:$B$5001,Prensa!$E$2:$E$5001,N1048,Prensa!$F$2:$F$5001,4,Prensa!$G$2:$G$5001,1),""))</f>
        <v>0</v>
      </c>
      <c r="H1048" s="26">
        <f>IF(A1048="","",COUNT(D1048:G1048))</f>
        <v>0</v>
      </c>
      <c r="I1048" s="27">
        <f>IF(A1048="","",IF(H1048=0,"",AVERAGE(D1048:G1048)))</f>
        <v>0</v>
      </c>
      <c r="J1048" s="27">
        <f>IF(OR(I1048="",C1048=""),"",I1048-C1048)</f>
        <v>0</v>
      </c>
      <c r="K1048" s="26">
        <f>IF(A1048="","",IF(MES!E1048&lt;&gt;4,"Horário do MES fora do padrão",IF(H1048&lt;cfgMinCortes,"Cortes insuficientes","Válida")))</f>
        <v>0</v>
      </c>
      <c r="L1048" s="27">
        <f>IF(K1048="Válida",ABS(J1048),"")</f>
        <v>0</v>
      </c>
      <c r="M1048" s="26">
        <f>IF(K1048="Válida",IF(L1048&lt;=cfgTolerancia,"Sim","Não"),"")</f>
        <v>0</v>
      </c>
      <c r="N1048" s="26">
        <f>IF(A1048="","",MES!D1048)</f>
        <v>0</v>
      </c>
      <c r="O1048" s="25">
        <f>IF(K1048="Válida",A1048,NA())</f>
        <v>0</v>
      </c>
      <c r="P1048" s="27">
        <f>IF(K1048="Válida",C1048,NA())</f>
        <v>0</v>
      </c>
      <c r="Q1048" s="27">
        <f>IF(K1048="Válida",I1048,NA())</f>
        <v>0</v>
      </c>
      <c r="R1048" s="27">
        <f>IF(K1048="Válida",J1048,NA())</f>
        <v>0</v>
      </c>
      <c r="S1048" s="27">
        <f>IF(K1048="Válida",C1048,"")</f>
        <v>0</v>
      </c>
      <c r="T1048" s="27">
        <f>IF(K1048="Válida",I1048,"")</f>
        <v>0</v>
      </c>
      <c r="U1048" s="27">
        <f>IF(K1048="Válida",J1048,"")</f>
        <v>0</v>
      </c>
    </row>
    <row r="1049" spans="1:21">
      <c r="A1049" s="25">
        <f>IF(MES!A1049="","",MES!C1049/48)</f>
        <v>0</v>
      </c>
      <c r="B1049" s="26">
        <f>IF(A1049="","",TEXT((N1049*4+cfgDeslocamento)/48,"hh:mm")&amp;" a "&amp;TEXT(A1049,"hh:mm"))</f>
        <v>0</v>
      </c>
      <c r="C1049" s="27">
        <f>IF(A1049="","",MES!B1049)</f>
        <v>0</v>
      </c>
      <c r="D1049" s="27">
        <f>IF(A1049="","",IFERROR(AVERAGEIFS(Prensa!$B$2:$B$5001,Prensa!$E$2:$E$5001,N1049,Prensa!$F$2:$F$5001,1,Prensa!$G$2:$G$5001,1),""))</f>
        <v>0</v>
      </c>
      <c r="E1049" s="27">
        <f>IF(A1049="","",IFERROR(AVERAGEIFS(Prensa!$B$2:$B$5001,Prensa!$E$2:$E$5001,N1049,Prensa!$F$2:$F$5001,2,Prensa!$G$2:$G$5001,1),""))</f>
        <v>0</v>
      </c>
      <c r="F1049" s="27">
        <f>IF(A1049="","",IFERROR(AVERAGEIFS(Prensa!$B$2:$B$5001,Prensa!$E$2:$E$5001,N1049,Prensa!$F$2:$F$5001,3,Prensa!$G$2:$G$5001,1),""))</f>
        <v>0</v>
      </c>
      <c r="G1049" s="27">
        <f>IF(A1049="","",IFERROR(AVERAGEIFS(Prensa!$B$2:$B$5001,Prensa!$E$2:$E$5001,N1049,Prensa!$F$2:$F$5001,4,Prensa!$G$2:$G$5001,1),""))</f>
        <v>0</v>
      </c>
      <c r="H1049" s="26">
        <f>IF(A1049="","",COUNT(D1049:G1049))</f>
        <v>0</v>
      </c>
      <c r="I1049" s="27">
        <f>IF(A1049="","",IF(H1049=0,"",AVERAGE(D1049:G1049)))</f>
        <v>0</v>
      </c>
      <c r="J1049" s="27">
        <f>IF(OR(I1049="",C1049=""),"",I1049-C1049)</f>
        <v>0</v>
      </c>
      <c r="K1049" s="26">
        <f>IF(A1049="","",IF(MES!E1049&lt;&gt;4,"Horário do MES fora do padrão",IF(H1049&lt;cfgMinCortes,"Cortes insuficientes","Válida")))</f>
        <v>0</v>
      </c>
      <c r="L1049" s="27">
        <f>IF(K1049="Válida",ABS(J1049),"")</f>
        <v>0</v>
      </c>
      <c r="M1049" s="26">
        <f>IF(K1049="Válida",IF(L1049&lt;=cfgTolerancia,"Sim","Não"),"")</f>
        <v>0</v>
      </c>
      <c r="N1049" s="26">
        <f>IF(A1049="","",MES!D1049)</f>
        <v>0</v>
      </c>
      <c r="O1049" s="25">
        <f>IF(K1049="Válida",A1049,NA())</f>
        <v>0</v>
      </c>
      <c r="P1049" s="27">
        <f>IF(K1049="Válida",C1049,NA())</f>
        <v>0</v>
      </c>
      <c r="Q1049" s="27">
        <f>IF(K1049="Válida",I1049,NA())</f>
        <v>0</v>
      </c>
      <c r="R1049" s="27">
        <f>IF(K1049="Válida",J1049,NA())</f>
        <v>0</v>
      </c>
      <c r="S1049" s="27">
        <f>IF(K1049="Válida",C1049,"")</f>
        <v>0</v>
      </c>
      <c r="T1049" s="27">
        <f>IF(K1049="Válida",I1049,"")</f>
        <v>0</v>
      </c>
      <c r="U1049" s="27">
        <f>IF(K1049="Válida",J1049,"")</f>
        <v>0</v>
      </c>
    </row>
    <row r="1050" spans="1:21">
      <c r="A1050" s="25">
        <f>IF(MES!A1050="","",MES!C1050/48)</f>
        <v>0</v>
      </c>
      <c r="B1050" s="26">
        <f>IF(A1050="","",TEXT((N1050*4+cfgDeslocamento)/48,"hh:mm")&amp;" a "&amp;TEXT(A1050,"hh:mm"))</f>
        <v>0</v>
      </c>
      <c r="C1050" s="27">
        <f>IF(A1050="","",MES!B1050)</f>
        <v>0</v>
      </c>
      <c r="D1050" s="27">
        <f>IF(A1050="","",IFERROR(AVERAGEIFS(Prensa!$B$2:$B$5001,Prensa!$E$2:$E$5001,N1050,Prensa!$F$2:$F$5001,1,Prensa!$G$2:$G$5001,1),""))</f>
        <v>0</v>
      </c>
      <c r="E1050" s="27">
        <f>IF(A1050="","",IFERROR(AVERAGEIFS(Prensa!$B$2:$B$5001,Prensa!$E$2:$E$5001,N1050,Prensa!$F$2:$F$5001,2,Prensa!$G$2:$G$5001,1),""))</f>
        <v>0</v>
      </c>
      <c r="F1050" s="27">
        <f>IF(A1050="","",IFERROR(AVERAGEIFS(Prensa!$B$2:$B$5001,Prensa!$E$2:$E$5001,N1050,Prensa!$F$2:$F$5001,3,Prensa!$G$2:$G$5001,1),""))</f>
        <v>0</v>
      </c>
      <c r="G1050" s="27">
        <f>IF(A1050="","",IFERROR(AVERAGEIFS(Prensa!$B$2:$B$5001,Prensa!$E$2:$E$5001,N1050,Prensa!$F$2:$F$5001,4,Prensa!$G$2:$G$5001,1),""))</f>
        <v>0</v>
      </c>
      <c r="H1050" s="26">
        <f>IF(A1050="","",COUNT(D1050:G1050))</f>
        <v>0</v>
      </c>
      <c r="I1050" s="27">
        <f>IF(A1050="","",IF(H1050=0,"",AVERAGE(D1050:G1050)))</f>
        <v>0</v>
      </c>
      <c r="J1050" s="27">
        <f>IF(OR(I1050="",C1050=""),"",I1050-C1050)</f>
        <v>0</v>
      </c>
      <c r="K1050" s="26">
        <f>IF(A1050="","",IF(MES!E1050&lt;&gt;4,"Horário do MES fora do padrão",IF(H1050&lt;cfgMinCortes,"Cortes insuficientes","Válida")))</f>
        <v>0</v>
      </c>
      <c r="L1050" s="27">
        <f>IF(K1050="Válida",ABS(J1050),"")</f>
        <v>0</v>
      </c>
      <c r="M1050" s="26">
        <f>IF(K1050="Válida",IF(L1050&lt;=cfgTolerancia,"Sim","Não"),"")</f>
        <v>0</v>
      </c>
      <c r="N1050" s="26">
        <f>IF(A1050="","",MES!D1050)</f>
        <v>0</v>
      </c>
      <c r="O1050" s="25">
        <f>IF(K1050="Válida",A1050,NA())</f>
        <v>0</v>
      </c>
      <c r="P1050" s="27">
        <f>IF(K1050="Válida",C1050,NA())</f>
        <v>0</v>
      </c>
      <c r="Q1050" s="27">
        <f>IF(K1050="Válida",I1050,NA())</f>
        <v>0</v>
      </c>
      <c r="R1050" s="27">
        <f>IF(K1050="Válida",J1050,NA())</f>
        <v>0</v>
      </c>
      <c r="S1050" s="27">
        <f>IF(K1050="Válida",C1050,"")</f>
        <v>0</v>
      </c>
      <c r="T1050" s="27">
        <f>IF(K1050="Válida",I1050,"")</f>
        <v>0</v>
      </c>
      <c r="U1050" s="27">
        <f>IF(K1050="Válida",J1050,"")</f>
        <v>0</v>
      </c>
    </row>
    <row r="1051" spans="1:21">
      <c r="A1051" s="25">
        <f>IF(MES!A1051="","",MES!C1051/48)</f>
        <v>0</v>
      </c>
      <c r="B1051" s="26">
        <f>IF(A1051="","",TEXT((N1051*4+cfgDeslocamento)/48,"hh:mm")&amp;" a "&amp;TEXT(A1051,"hh:mm"))</f>
        <v>0</v>
      </c>
      <c r="C1051" s="27">
        <f>IF(A1051="","",MES!B1051)</f>
        <v>0</v>
      </c>
      <c r="D1051" s="27">
        <f>IF(A1051="","",IFERROR(AVERAGEIFS(Prensa!$B$2:$B$5001,Prensa!$E$2:$E$5001,N1051,Prensa!$F$2:$F$5001,1,Prensa!$G$2:$G$5001,1),""))</f>
        <v>0</v>
      </c>
      <c r="E1051" s="27">
        <f>IF(A1051="","",IFERROR(AVERAGEIFS(Prensa!$B$2:$B$5001,Prensa!$E$2:$E$5001,N1051,Prensa!$F$2:$F$5001,2,Prensa!$G$2:$G$5001,1),""))</f>
        <v>0</v>
      </c>
      <c r="F1051" s="27">
        <f>IF(A1051="","",IFERROR(AVERAGEIFS(Prensa!$B$2:$B$5001,Prensa!$E$2:$E$5001,N1051,Prensa!$F$2:$F$5001,3,Prensa!$G$2:$G$5001,1),""))</f>
        <v>0</v>
      </c>
      <c r="G1051" s="27">
        <f>IF(A1051="","",IFERROR(AVERAGEIFS(Prensa!$B$2:$B$5001,Prensa!$E$2:$E$5001,N1051,Prensa!$F$2:$F$5001,4,Prensa!$G$2:$G$5001,1),""))</f>
        <v>0</v>
      </c>
      <c r="H1051" s="26">
        <f>IF(A1051="","",COUNT(D1051:G1051))</f>
        <v>0</v>
      </c>
      <c r="I1051" s="27">
        <f>IF(A1051="","",IF(H1051=0,"",AVERAGE(D1051:G1051)))</f>
        <v>0</v>
      </c>
      <c r="J1051" s="27">
        <f>IF(OR(I1051="",C1051=""),"",I1051-C1051)</f>
        <v>0</v>
      </c>
      <c r="K1051" s="26">
        <f>IF(A1051="","",IF(MES!E1051&lt;&gt;4,"Horário do MES fora do padrão",IF(H1051&lt;cfgMinCortes,"Cortes insuficientes","Válida")))</f>
        <v>0</v>
      </c>
      <c r="L1051" s="27">
        <f>IF(K1051="Válida",ABS(J1051),"")</f>
        <v>0</v>
      </c>
      <c r="M1051" s="26">
        <f>IF(K1051="Válida",IF(L1051&lt;=cfgTolerancia,"Sim","Não"),"")</f>
        <v>0</v>
      </c>
      <c r="N1051" s="26">
        <f>IF(A1051="","",MES!D1051)</f>
        <v>0</v>
      </c>
      <c r="O1051" s="25">
        <f>IF(K1051="Válida",A1051,NA())</f>
        <v>0</v>
      </c>
      <c r="P1051" s="27">
        <f>IF(K1051="Válida",C1051,NA())</f>
        <v>0</v>
      </c>
      <c r="Q1051" s="27">
        <f>IF(K1051="Válida",I1051,NA())</f>
        <v>0</v>
      </c>
      <c r="R1051" s="27">
        <f>IF(K1051="Válida",J1051,NA())</f>
        <v>0</v>
      </c>
      <c r="S1051" s="27">
        <f>IF(K1051="Válida",C1051,"")</f>
        <v>0</v>
      </c>
      <c r="T1051" s="27">
        <f>IF(K1051="Válida",I1051,"")</f>
        <v>0</v>
      </c>
      <c r="U1051" s="27">
        <f>IF(K1051="Válida",J1051,"")</f>
        <v>0</v>
      </c>
    </row>
    <row r="1052" spans="1:21">
      <c r="A1052" s="25">
        <f>IF(MES!A1052="","",MES!C1052/48)</f>
        <v>0</v>
      </c>
      <c r="B1052" s="26">
        <f>IF(A1052="","",TEXT((N1052*4+cfgDeslocamento)/48,"hh:mm")&amp;" a "&amp;TEXT(A1052,"hh:mm"))</f>
        <v>0</v>
      </c>
      <c r="C1052" s="27">
        <f>IF(A1052="","",MES!B1052)</f>
        <v>0</v>
      </c>
      <c r="D1052" s="27">
        <f>IF(A1052="","",IFERROR(AVERAGEIFS(Prensa!$B$2:$B$5001,Prensa!$E$2:$E$5001,N1052,Prensa!$F$2:$F$5001,1,Prensa!$G$2:$G$5001,1),""))</f>
        <v>0</v>
      </c>
      <c r="E1052" s="27">
        <f>IF(A1052="","",IFERROR(AVERAGEIFS(Prensa!$B$2:$B$5001,Prensa!$E$2:$E$5001,N1052,Prensa!$F$2:$F$5001,2,Prensa!$G$2:$G$5001,1),""))</f>
        <v>0</v>
      </c>
      <c r="F1052" s="27">
        <f>IF(A1052="","",IFERROR(AVERAGEIFS(Prensa!$B$2:$B$5001,Prensa!$E$2:$E$5001,N1052,Prensa!$F$2:$F$5001,3,Prensa!$G$2:$G$5001,1),""))</f>
        <v>0</v>
      </c>
      <c r="G1052" s="27">
        <f>IF(A1052="","",IFERROR(AVERAGEIFS(Prensa!$B$2:$B$5001,Prensa!$E$2:$E$5001,N1052,Prensa!$F$2:$F$5001,4,Prensa!$G$2:$G$5001,1),""))</f>
        <v>0</v>
      </c>
      <c r="H1052" s="26">
        <f>IF(A1052="","",COUNT(D1052:G1052))</f>
        <v>0</v>
      </c>
      <c r="I1052" s="27">
        <f>IF(A1052="","",IF(H1052=0,"",AVERAGE(D1052:G1052)))</f>
        <v>0</v>
      </c>
      <c r="J1052" s="27">
        <f>IF(OR(I1052="",C1052=""),"",I1052-C1052)</f>
        <v>0</v>
      </c>
      <c r="K1052" s="26">
        <f>IF(A1052="","",IF(MES!E1052&lt;&gt;4,"Horário do MES fora do padrão",IF(H1052&lt;cfgMinCortes,"Cortes insuficientes","Válida")))</f>
        <v>0</v>
      </c>
      <c r="L1052" s="27">
        <f>IF(K1052="Válida",ABS(J1052),"")</f>
        <v>0</v>
      </c>
      <c r="M1052" s="26">
        <f>IF(K1052="Válida",IF(L1052&lt;=cfgTolerancia,"Sim","Não"),"")</f>
        <v>0</v>
      </c>
      <c r="N1052" s="26">
        <f>IF(A1052="","",MES!D1052)</f>
        <v>0</v>
      </c>
      <c r="O1052" s="25">
        <f>IF(K1052="Válida",A1052,NA())</f>
        <v>0</v>
      </c>
      <c r="P1052" s="27">
        <f>IF(K1052="Válida",C1052,NA())</f>
        <v>0</v>
      </c>
      <c r="Q1052" s="27">
        <f>IF(K1052="Válida",I1052,NA())</f>
        <v>0</v>
      </c>
      <c r="R1052" s="27">
        <f>IF(K1052="Válida",J1052,NA())</f>
        <v>0</v>
      </c>
      <c r="S1052" s="27">
        <f>IF(K1052="Válida",C1052,"")</f>
        <v>0</v>
      </c>
      <c r="T1052" s="27">
        <f>IF(K1052="Válida",I1052,"")</f>
        <v>0</v>
      </c>
      <c r="U1052" s="27">
        <f>IF(K1052="Válida",J1052,"")</f>
        <v>0</v>
      </c>
    </row>
    <row r="1053" spans="1:21">
      <c r="A1053" s="25">
        <f>IF(MES!A1053="","",MES!C1053/48)</f>
        <v>0</v>
      </c>
      <c r="B1053" s="26">
        <f>IF(A1053="","",TEXT((N1053*4+cfgDeslocamento)/48,"hh:mm")&amp;" a "&amp;TEXT(A1053,"hh:mm"))</f>
        <v>0</v>
      </c>
      <c r="C1053" s="27">
        <f>IF(A1053="","",MES!B1053)</f>
        <v>0</v>
      </c>
      <c r="D1053" s="27">
        <f>IF(A1053="","",IFERROR(AVERAGEIFS(Prensa!$B$2:$B$5001,Prensa!$E$2:$E$5001,N1053,Prensa!$F$2:$F$5001,1,Prensa!$G$2:$G$5001,1),""))</f>
        <v>0</v>
      </c>
      <c r="E1053" s="27">
        <f>IF(A1053="","",IFERROR(AVERAGEIFS(Prensa!$B$2:$B$5001,Prensa!$E$2:$E$5001,N1053,Prensa!$F$2:$F$5001,2,Prensa!$G$2:$G$5001,1),""))</f>
        <v>0</v>
      </c>
      <c r="F1053" s="27">
        <f>IF(A1053="","",IFERROR(AVERAGEIFS(Prensa!$B$2:$B$5001,Prensa!$E$2:$E$5001,N1053,Prensa!$F$2:$F$5001,3,Prensa!$G$2:$G$5001,1),""))</f>
        <v>0</v>
      </c>
      <c r="G1053" s="27">
        <f>IF(A1053="","",IFERROR(AVERAGEIFS(Prensa!$B$2:$B$5001,Prensa!$E$2:$E$5001,N1053,Prensa!$F$2:$F$5001,4,Prensa!$G$2:$G$5001,1),""))</f>
        <v>0</v>
      </c>
      <c r="H1053" s="26">
        <f>IF(A1053="","",COUNT(D1053:G1053))</f>
        <v>0</v>
      </c>
      <c r="I1053" s="27">
        <f>IF(A1053="","",IF(H1053=0,"",AVERAGE(D1053:G1053)))</f>
        <v>0</v>
      </c>
      <c r="J1053" s="27">
        <f>IF(OR(I1053="",C1053=""),"",I1053-C1053)</f>
        <v>0</v>
      </c>
      <c r="K1053" s="26">
        <f>IF(A1053="","",IF(MES!E1053&lt;&gt;4,"Horário do MES fora do padrão",IF(H1053&lt;cfgMinCortes,"Cortes insuficientes","Válida")))</f>
        <v>0</v>
      </c>
      <c r="L1053" s="27">
        <f>IF(K1053="Válida",ABS(J1053),"")</f>
        <v>0</v>
      </c>
      <c r="M1053" s="26">
        <f>IF(K1053="Válida",IF(L1053&lt;=cfgTolerancia,"Sim","Não"),"")</f>
        <v>0</v>
      </c>
      <c r="N1053" s="26">
        <f>IF(A1053="","",MES!D1053)</f>
        <v>0</v>
      </c>
      <c r="O1053" s="25">
        <f>IF(K1053="Válida",A1053,NA())</f>
        <v>0</v>
      </c>
      <c r="P1053" s="27">
        <f>IF(K1053="Válida",C1053,NA())</f>
        <v>0</v>
      </c>
      <c r="Q1053" s="27">
        <f>IF(K1053="Válida",I1053,NA())</f>
        <v>0</v>
      </c>
      <c r="R1053" s="27">
        <f>IF(K1053="Válida",J1053,NA())</f>
        <v>0</v>
      </c>
      <c r="S1053" s="27">
        <f>IF(K1053="Válida",C1053,"")</f>
        <v>0</v>
      </c>
      <c r="T1053" s="27">
        <f>IF(K1053="Válida",I1053,"")</f>
        <v>0</v>
      </c>
      <c r="U1053" s="27">
        <f>IF(K1053="Válida",J1053,"")</f>
        <v>0</v>
      </c>
    </row>
    <row r="1054" spans="1:21">
      <c r="A1054" s="25">
        <f>IF(MES!A1054="","",MES!C1054/48)</f>
        <v>0</v>
      </c>
      <c r="B1054" s="26">
        <f>IF(A1054="","",TEXT((N1054*4+cfgDeslocamento)/48,"hh:mm")&amp;" a "&amp;TEXT(A1054,"hh:mm"))</f>
        <v>0</v>
      </c>
      <c r="C1054" s="27">
        <f>IF(A1054="","",MES!B1054)</f>
        <v>0</v>
      </c>
      <c r="D1054" s="27">
        <f>IF(A1054="","",IFERROR(AVERAGEIFS(Prensa!$B$2:$B$5001,Prensa!$E$2:$E$5001,N1054,Prensa!$F$2:$F$5001,1,Prensa!$G$2:$G$5001,1),""))</f>
        <v>0</v>
      </c>
      <c r="E1054" s="27">
        <f>IF(A1054="","",IFERROR(AVERAGEIFS(Prensa!$B$2:$B$5001,Prensa!$E$2:$E$5001,N1054,Prensa!$F$2:$F$5001,2,Prensa!$G$2:$G$5001,1),""))</f>
        <v>0</v>
      </c>
      <c r="F1054" s="27">
        <f>IF(A1054="","",IFERROR(AVERAGEIFS(Prensa!$B$2:$B$5001,Prensa!$E$2:$E$5001,N1054,Prensa!$F$2:$F$5001,3,Prensa!$G$2:$G$5001,1),""))</f>
        <v>0</v>
      </c>
      <c r="G1054" s="27">
        <f>IF(A1054="","",IFERROR(AVERAGEIFS(Prensa!$B$2:$B$5001,Prensa!$E$2:$E$5001,N1054,Prensa!$F$2:$F$5001,4,Prensa!$G$2:$G$5001,1),""))</f>
        <v>0</v>
      </c>
      <c r="H1054" s="26">
        <f>IF(A1054="","",COUNT(D1054:G1054))</f>
        <v>0</v>
      </c>
      <c r="I1054" s="27">
        <f>IF(A1054="","",IF(H1054=0,"",AVERAGE(D1054:G1054)))</f>
        <v>0</v>
      </c>
      <c r="J1054" s="27">
        <f>IF(OR(I1054="",C1054=""),"",I1054-C1054)</f>
        <v>0</v>
      </c>
      <c r="K1054" s="26">
        <f>IF(A1054="","",IF(MES!E1054&lt;&gt;4,"Horário do MES fora do padrão",IF(H1054&lt;cfgMinCortes,"Cortes insuficientes","Válida")))</f>
        <v>0</v>
      </c>
      <c r="L1054" s="27">
        <f>IF(K1054="Válida",ABS(J1054),"")</f>
        <v>0</v>
      </c>
      <c r="M1054" s="26">
        <f>IF(K1054="Válida",IF(L1054&lt;=cfgTolerancia,"Sim","Não"),"")</f>
        <v>0</v>
      </c>
      <c r="N1054" s="26">
        <f>IF(A1054="","",MES!D1054)</f>
        <v>0</v>
      </c>
      <c r="O1054" s="25">
        <f>IF(K1054="Válida",A1054,NA())</f>
        <v>0</v>
      </c>
      <c r="P1054" s="27">
        <f>IF(K1054="Válida",C1054,NA())</f>
        <v>0</v>
      </c>
      <c r="Q1054" s="27">
        <f>IF(K1054="Válida",I1054,NA())</f>
        <v>0</v>
      </c>
      <c r="R1054" s="27">
        <f>IF(K1054="Válida",J1054,NA())</f>
        <v>0</v>
      </c>
      <c r="S1054" s="27">
        <f>IF(K1054="Válida",C1054,"")</f>
        <v>0</v>
      </c>
      <c r="T1054" s="27">
        <f>IF(K1054="Válida",I1054,"")</f>
        <v>0</v>
      </c>
      <c r="U1054" s="27">
        <f>IF(K1054="Válida",J1054,"")</f>
        <v>0</v>
      </c>
    </row>
    <row r="1055" spans="1:21">
      <c r="A1055" s="25">
        <f>IF(MES!A1055="","",MES!C1055/48)</f>
        <v>0</v>
      </c>
      <c r="B1055" s="26">
        <f>IF(A1055="","",TEXT((N1055*4+cfgDeslocamento)/48,"hh:mm")&amp;" a "&amp;TEXT(A1055,"hh:mm"))</f>
        <v>0</v>
      </c>
      <c r="C1055" s="27">
        <f>IF(A1055="","",MES!B1055)</f>
        <v>0</v>
      </c>
      <c r="D1055" s="27">
        <f>IF(A1055="","",IFERROR(AVERAGEIFS(Prensa!$B$2:$B$5001,Prensa!$E$2:$E$5001,N1055,Prensa!$F$2:$F$5001,1,Prensa!$G$2:$G$5001,1),""))</f>
        <v>0</v>
      </c>
      <c r="E1055" s="27">
        <f>IF(A1055="","",IFERROR(AVERAGEIFS(Prensa!$B$2:$B$5001,Prensa!$E$2:$E$5001,N1055,Prensa!$F$2:$F$5001,2,Prensa!$G$2:$G$5001,1),""))</f>
        <v>0</v>
      </c>
      <c r="F1055" s="27">
        <f>IF(A1055="","",IFERROR(AVERAGEIFS(Prensa!$B$2:$B$5001,Prensa!$E$2:$E$5001,N1055,Prensa!$F$2:$F$5001,3,Prensa!$G$2:$G$5001,1),""))</f>
        <v>0</v>
      </c>
      <c r="G1055" s="27">
        <f>IF(A1055="","",IFERROR(AVERAGEIFS(Prensa!$B$2:$B$5001,Prensa!$E$2:$E$5001,N1055,Prensa!$F$2:$F$5001,4,Prensa!$G$2:$G$5001,1),""))</f>
        <v>0</v>
      </c>
      <c r="H1055" s="26">
        <f>IF(A1055="","",COUNT(D1055:G1055))</f>
        <v>0</v>
      </c>
      <c r="I1055" s="27">
        <f>IF(A1055="","",IF(H1055=0,"",AVERAGE(D1055:G1055)))</f>
        <v>0</v>
      </c>
      <c r="J1055" s="27">
        <f>IF(OR(I1055="",C1055=""),"",I1055-C1055)</f>
        <v>0</v>
      </c>
      <c r="K1055" s="26">
        <f>IF(A1055="","",IF(MES!E1055&lt;&gt;4,"Horário do MES fora do padrão",IF(H1055&lt;cfgMinCortes,"Cortes insuficientes","Válida")))</f>
        <v>0</v>
      </c>
      <c r="L1055" s="27">
        <f>IF(K1055="Válida",ABS(J1055),"")</f>
        <v>0</v>
      </c>
      <c r="M1055" s="26">
        <f>IF(K1055="Válida",IF(L1055&lt;=cfgTolerancia,"Sim","Não"),"")</f>
        <v>0</v>
      </c>
      <c r="N1055" s="26">
        <f>IF(A1055="","",MES!D1055)</f>
        <v>0</v>
      </c>
      <c r="O1055" s="25">
        <f>IF(K1055="Válida",A1055,NA())</f>
        <v>0</v>
      </c>
      <c r="P1055" s="27">
        <f>IF(K1055="Válida",C1055,NA())</f>
        <v>0</v>
      </c>
      <c r="Q1055" s="27">
        <f>IF(K1055="Válida",I1055,NA())</f>
        <v>0</v>
      </c>
      <c r="R1055" s="27">
        <f>IF(K1055="Válida",J1055,NA())</f>
        <v>0</v>
      </c>
      <c r="S1055" s="27">
        <f>IF(K1055="Válida",C1055,"")</f>
        <v>0</v>
      </c>
      <c r="T1055" s="27">
        <f>IF(K1055="Válida",I1055,"")</f>
        <v>0</v>
      </c>
      <c r="U1055" s="27">
        <f>IF(K1055="Válida",J1055,"")</f>
        <v>0</v>
      </c>
    </row>
    <row r="1056" spans="1:21">
      <c r="A1056" s="25">
        <f>IF(MES!A1056="","",MES!C1056/48)</f>
        <v>0</v>
      </c>
      <c r="B1056" s="26">
        <f>IF(A1056="","",TEXT((N1056*4+cfgDeslocamento)/48,"hh:mm")&amp;" a "&amp;TEXT(A1056,"hh:mm"))</f>
        <v>0</v>
      </c>
      <c r="C1056" s="27">
        <f>IF(A1056="","",MES!B1056)</f>
        <v>0</v>
      </c>
      <c r="D1056" s="27">
        <f>IF(A1056="","",IFERROR(AVERAGEIFS(Prensa!$B$2:$B$5001,Prensa!$E$2:$E$5001,N1056,Prensa!$F$2:$F$5001,1,Prensa!$G$2:$G$5001,1),""))</f>
        <v>0</v>
      </c>
      <c r="E1056" s="27">
        <f>IF(A1056="","",IFERROR(AVERAGEIFS(Prensa!$B$2:$B$5001,Prensa!$E$2:$E$5001,N1056,Prensa!$F$2:$F$5001,2,Prensa!$G$2:$G$5001,1),""))</f>
        <v>0</v>
      </c>
      <c r="F1056" s="27">
        <f>IF(A1056="","",IFERROR(AVERAGEIFS(Prensa!$B$2:$B$5001,Prensa!$E$2:$E$5001,N1056,Prensa!$F$2:$F$5001,3,Prensa!$G$2:$G$5001,1),""))</f>
        <v>0</v>
      </c>
      <c r="G1056" s="27">
        <f>IF(A1056="","",IFERROR(AVERAGEIFS(Prensa!$B$2:$B$5001,Prensa!$E$2:$E$5001,N1056,Prensa!$F$2:$F$5001,4,Prensa!$G$2:$G$5001,1),""))</f>
        <v>0</v>
      </c>
      <c r="H1056" s="26">
        <f>IF(A1056="","",COUNT(D1056:G1056))</f>
        <v>0</v>
      </c>
      <c r="I1056" s="27">
        <f>IF(A1056="","",IF(H1056=0,"",AVERAGE(D1056:G1056)))</f>
        <v>0</v>
      </c>
      <c r="J1056" s="27">
        <f>IF(OR(I1056="",C1056=""),"",I1056-C1056)</f>
        <v>0</v>
      </c>
      <c r="K1056" s="26">
        <f>IF(A1056="","",IF(MES!E1056&lt;&gt;4,"Horário do MES fora do padrão",IF(H1056&lt;cfgMinCortes,"Cortes insuficientes","Válida")))</f>
        <v>0</v>
      </c>
      <c r="L1056" s="27">
        <f>IF(K1056="Válida",ABS(J1056),"")</f>
        <v>0</v>
      </c>
      <c r="M1056" s="26">
        <f>IF(K1056="Válida",IF(L1056&lt;=cfgTolerancia,"Sim","Não"),"")</f>
        <v>0</v>
      </c>
      <c r="N1056" s="26">
        <f>IF(A1056="","",MES!D1056)</f>
        <v>0</v>
      </c>
      <c r="O1056" s="25">
        <f>IF(K1056="Válida",A1056,NA())</f>
        <v>0</v>
      </c>
      <c r="P1056" s="27">
        <f>IF(K1056="Válida",C1056,NA())</f>
        <v>0</v>
      </c>
      <c r="Q1056" s="27">
        <f>IF(K1056="Válida",I1056,NA())</f>
        <v>0</v>
      </c>
      <c r="R1056" s="27">
        <f>IF(K1056="Válida",J1056,NA())</f>
        <v>0</v>
      </c>
      <c r="S1056" s="27">
        <f>IF(K1056="Válida",C1056,"")</f>
        <v>0</v>
      </c>
      <c r="T1056" s="27">
        <f>IF(K1056="Válida",I1056,"")</f>
        <v>0</v>
      </c>
      <c r="U1056" s="27">
        <f>IF(K1056="Válida",J1056,"")</f>
        <v>0</v>
      </c>
    </row>
    <row r="1057" spans="1:21">
      <c r="A1057" s="25">
        <f>IF(MES!A1057="","",MES!C1057/48)</f>
        <v>0</v>
      </c>
      <c r="B1057" s="26">
        <f>IF(A1057="","",TEXT((N1057*4+cfgDeslocamento)/48,"hh:mm")&amp;" a "&amp;TEXT(A1057,"hh:mm"))</f>
        <v>0</v>
      </c>
      <c r="C1057" s="27">
        <f>IF(A1057="","",MES!B1057)</f>
        <v>0</v>
      </c>
      <c r="D1057" s="27">
        <f>IF(A1057="","",IFERROR(AVERAGEIFS(Prensa!$B$2:$B$5001,Prensa!$E$2:$E$5001,N1057,Prensa!$F$2:$F$5001,1,Prensa!$G$2:$G$5001,1),""))</f>
        <v>0</v>
      </c>
      <c r="E1057" s="27">
        <f>IF(A1057="","",IFERROR(AVERAGEIFS(Prensa!$B$2:$B$5001,Prensa!$E$2:$E$5001,N1057,Prensa!$F$2:$F$5001,2,Prensa!$G$2:$G$5001,1),""))</f>
        <v>0</v>
      </c>
      <c r="F1057" s="27">
        <f>IF(A1057="","",IFERROR(AVERAGEIFS(Prensa!$B$2:$B$5001,Prensa!$E$2:$E$5001,N1057,Prensa!$F$2:$F$5001,3,Prensa!$G$2:$G$5001,1),""))</f>
        <v>0</v>
      </c>
      <c r="G1057" s="27">
        <f>IF(A1057="","",IFERROR(AVERAGEIFS(Prensa!$B$2:$B$5001,Prensa!$E$2:$E$5001,N1057,Prensa!$F$2:$F$5001,4,Prensa!$G$2:$G$5001,1),""))</f>
        <v>0</v>
      </c>
      <c r="H1057" s="26">
        <f>IF(A1057="","",COUNT(D1057:G1057))</f>
        <v>0</v>
      </c>
      <c r="I1057" s="27">
        <f>IF(A1057="","",IF(H1057=0,"",AVERAGE(D1057:G1057)))</f>
        <v>0</v>
      </c>
      <c r="J1057" s="27">
        <f>IF(OR(I1057="",C1057=""),"",I1057-C1057)</f>
        <v>0</v>
      </c>
      <c r="K1057" s="26">
        <f>IF(A1057="","",IF(MES!E1057&lt;&gt;4,"Horário do MES fora do padrão",IF(H1057&lt;cfgMinCortes,"Cortes insuficientes","Válida")))</f>
        <v>0</v>
      </c>
      <c r="L1057" s="27">
        <f>IF(K1057="Válida",ABS(J1057),"")</f>
        <v>0</v>
      </c>
      <c r="M1057" s="26">
        <f>IF(K1057="Válida",IF(L1057&lt;=cfgTolerancia,"Sim","Não"),"")</f>
        <v>0</v>
      </c>
      <c r="N1057" s="26">
        <f>IF(A1057="","",MES!D1057)</f>
        <v>0</v>
      </c>
      <c r="O1057" s="25">
        <f>IF(K1057="Válida",A1057,NA())</f>
        <v>0</v>
      </c>
      <c r="P1057" s="27">
        <f>IF(K1057="Válida",C1057,NA())</f>
        <v>0</v>
      </c>
      <c r="Q1057" s="27">
        <f>IF(K1057="Válida",I1057,NA())</f>
        <v>0</v>
      </c>
      <c r="R1057" s="27">
        <f>IF(K1057="Válida",J1057,NA())</f>
        <v>0</v>
      </c>
      <c r="S1057" s="27">
        <f>IF(K1057="Válida",C1057,"")</f>
        <v>0</v>
      </c>
      <c r="T1057" s="27">
        <f>IF(K1057="Válida",I1057,"")</f>
        <v>0</v>
      </c>
      <c r="U1057" s="27">
        <f>IF(K1057="Válida",J1057,"")</f>
        <v>0</v>
      </c>
    </row>
    <row r="1058" spans="1:21">
      <c r="A1058" s="25">
        <f>IF(MES!A1058="","",MES!C1058/48)</f>
        <v>0</v>
      </c>
      <c r="B1058" s="26">
        <f>IF(A1058="","",TEXT((N1058*4+cfgDeslocamento)/48,"hh:mm")&amp;" a "&amp;TEXT(A1058,"hh:mm"))</f>
        <v>0</v>
      </c>
      <c r="C1058" s="27">
        <f>IF(A1058="","",MES!B1058)</f>
        <v>0</v>
      </c>
      <c r="D1058" s="27">
        <f>IF(A1058="","",IFERROR(AVERAGEIFS(Prensa!$B$2:$B$5001,Prensa!$E$2:$E$5001,N1058,Prensa!$F$2:$F$5001,1,Prensa!$G$2:$G$5001,1),""))</f>
        <v>0</v>
      </c>
      <c r="E1058" s="27">
        <f>IF(A1058="","",IFERROR(AVERAGEIFS(Prensa!$B$2:$B$5001,Prensa!$E$2:$E$5001,N1058,Prensa!$F$2:$F$5001,2,Prensa!$G$2:$G$5001,1),""))</f>
        <v>0</v>
      </c>
      <c r="F1058" s="27">
        <f>IF(A1058="","",IFERROR(AVERAGEIFS(Prensa!$B$2:$B$5001,Prensa!$E$2:$E$5001,N1058,Prensa!$F$2:$F$5001,3,Prensa!$G$2:$G$5001,1),""))</f>
        <v>0</v>
      </c>
      <c r="G1058" s="27">
        <f>IF(A1058="","",IFERROR(AVERAGEIFS(Prensa!$B$2:$B$5001,Prensa!$E$2:$E$5001,N1058,Prensa!$F$2:$F$5001,4,Prensa!$G$2:$G$5001,1),""))</f>
        <v>0</v>
      </c>
      <c r="H1058" s="26">
        <f>IF(A1058="","",COUNT(D1058:G1058))</f>
        <v>0</v>
      </c>
      <c r="I1058" s="27">
        <f>IF(A1058="","",IF(H1058=0,"",AVERAGE(D1058:G1058)))</f>
        <v>0</v>
      </c>
      <c r="J1058" s="27">
        <f>IF(OR(I1058="",C1058=""),"",I1058-C1058)</f>
        <v>0</v>
      </c>
      <c r="K1058" s="26">
        <f>IF(A1058="","",IF(MES!E1058&lt;&gt;4,"Horário do MES fora do padrão",IF(H1058&lt;cfgMinCortes,"Cortes insuficientes","Válida")))</f>
        <v>0</v>
      </c>
      <c r="L1058" s="27">
        <f>IF(K1058="Válida",ABS(J1058),"")</f>
        <v>0</v>
      </c>
      <c r="M1058" s="26">
        <f>IF(K1058="Válida",IF(L1058&lt;=cfgTolerancia,"Sim","Não"),"")</f>
        <v>0</v>
      </c>
      <c r="N1058" s="26">
        <f>IF(A1058="","",MES!D1058)</f>
        <v>0</v>
      </c>
      <c r="O1058" s="25">
        <f>IF(K1058="Válida",A1058,NA())</f>
        <v>0</v>
      </c>
      <c r="P1058" s="27">
        <f>IF(K1058="Válida",C1058,NA())</f>
        <v>0</v>
      </c>
      <c r="Q1058" s="27">
        <f>IF(K1058="Válida",I1058,NA())</f>
        <v>0</v>
      </c>
      <c r="R1058" s="27">
        <f>IF(K1058="Válida",J1058,NA())</f>
        <v>0</v>
      </c>
      <c r="S1058" s="27">
        <f>IF(K1058="Válida",C1058,"")</f>
        <v>0</v>
      </c>
      <c r="T1058" s="27">
        <f>IF(K1058="Válida",I1058,"")</f>
        <v>0</v>
      </c>
      <c r="U1058" s="27">
        <f>IF(K1058="Válida",J1058,"")</f>
        <v>0</v>
      </c>
    </row>
    <row r="1059" spans="1:21">
      <c r="A1059" s="25">
        <f>IF(MES!A1059="","",MES!C1059/48)</f>
        <v>0</v>
      </c>
      <c r="B1059" s="26">
        <f>IF(A1059="","",TEXT((N1059*4+cfgDeslocamento)/48,"hh:mm")&amp;" a "&amp;TEXT(A1059,"hh:mm"))</f>
        <v>0</v>
      </c>
      <c r="C1059" s="27">
        <f>IF(A1059="","",MES!B1059)</f>
        <v>0</v>
      </c>
      <c r="D1059" s="27">
        <f>IF(A1059="","",IFERROR(AVERAGEIFS(Prensa!$B$2:$B$5001,Prensa!$E$2:$E$5001,N1059,Prensa!$F$2:$F$5001,1,Prensa!$G$2:$G$5001,1),""))</f>
        <v>0</v>
      </c>
      <c r="E1059" s="27">
        <f>IF(A1059="","",IFERROR(AVERAGEIFS(Prensa!$B$2:$B$5001,Prensa!$E$2:$E$5001,N1059,Prensa!$F$2:$F$5001,2,Prensa!$G$2:$G$5001,1),""))</f>
        <v>0</v>
      </c>
      <c r="F1059" s="27">
        <f>IF(A1059="","",IFERROR(AVERAGEIFS(Prensa!$B$2:$B$5001,Prensa!$E$2:$E$5001,N1059,Prensa!$F$2:$F$5001,3,Prensa!$G$2:$G$5001,1),""))</f>
        <v>0</v>
      </c>
      <c r="G1059" s="27">
        <f>IF(A1059="","",IFERROR(AVERAGEIFS(Prensa!$B$2:$B$5001,Prensa!$E$2:$E$5001,N1059,Prensa!$F$2:$F$5001,4,Prensa!$G$2:$G$5001,1),""))</f>
        <v>0</v>
      </c>
      <c r="H1059" s="26">
        <f>IF(A1059="","",COUNT(D1059:G1059))</f>
        <v>0</v>
      </c>
      <c r="I1059" s="27">
        <f>IF(A1059="","",IF(H1059=0,"",AVERAGE(D1059:G1059)))</f>
        <v>0</v>
      </c>
      <c r="J1059" s="27">
        <f>IF(OR(I1059="",C1059=""),"",I1059-C1059)</f>
        <v>0</v>
      </c>
      <c r="K1059" s="26">
        <f>IF(A1059="","",IF(MES!E1059&lt;&gt;4,"Horário do MES fora do padrão",IF(H1059&lt;cfgMinCortes,"Cortes insuficientes","Válida")))</f>
        <v>0</v>
      </c>
      <c r="L1059" s="27">
        <f>IF(K1059="Válida",ABS(J1059),"")</f>
        <v>0</v>
      </c>
      <c r="M1059" s="26">
        <f>IF(K1059="Válida",IF(L1059&lt;=cfgTolerancia,"Sim","Não"),"")</f>
        <v>0</v>
      </c>
      <c r="N1059" s="26">
        <f>IF(A1059="","",MES!D1059)</f>
        <v>0</v>
      </c>
      <c r="O1059" s="25">
        <f>IF(K1059="Válida",A1059,NA())</f>
        <v>0</v>
      </c>
      <c r="P1059" s="27">
        <f>IF(K1059="Válida",C1059,NA())</f>
        <v>0</v>
      </c>
      <c r="Q1059" s="27">
        <f>IF(K1059="Válida",I1059,NA())</f>
        <v>0</v>
      </c>
      <c r="R1059" s="27">
        <f>IF(K1059="Válida",J1059,NA())</f>
        <v>0</v>
      </c>
      <c r="S1059" s="27">
        <f>IF(K1059="Válida",C1059,"")</f>
        <v>0</v>
      </c>
      <c r="T1059" s="27">
        <f>IF(K1059="Válida",I1059,"")</f>
        <v>0</v>
      </c>
      <c r="U1059" s="27">
        <f>IF(K1059="Válida",J1059,"")</f>
        <v>0</v>
      </c>
    </row>
    <row r="1060" spans="1:21">
      <c r="A1060" s="25">
        <f>IF(MES!A1060="","",MES!C1060/48)</f>
        <v>0</v>
      </c>
      <c r="B1060" s="26">
        <f>IF(A1060="","",TEXT((N1060*4+cfgDeslocamento)/48,"hh:mm")&amp;" a "&amp;TEXT(A1060,"hh:mm"))</f>
        <v>0</v>
      </c>
      <c r="C1060" s="27">
        <f>IF(A1060="","",MES!B1060)</f>
        <v>0</v>
      </c>
      <c r="D1060" s="27">
        <f>IF(A1060="","",IFERROR(AVERAGEIFS(Prensa!$B$2:$B$5001,Prensa!$E$2:$E$5001,N1060,Prensa!$F$2:$F$5001,1,Prensa!$G$2:$G$5001,1),""))</f>
        <v>0</v>
      </c>
      <c r="E1060" s="27">
        <f>IF(A1060="","",IFERROR(AVERAGEIFS(Prensa!$B$2:$B$5001,Prensa!$E$2:$E$5001,N1060,Prensa!$F$2:$F$5001,2,Prensa!$G$2:$G$5001,1),""))</f>
        <v>0</v>
      </c>
      <c r="F1060" s="27">
        <f>IF(A1060="","",IFERROR(AVERAGEIFS(Prensa!$B$2:$B$5001,Prensa!$E$2:$E$5001,N1060,Prensa!$F$2:$F$5001,3,Prensa!$G$2:$G$5001,1),""))</f>
        <v>0</v>
      </c>
      <c r="G1060" s="27">
        <f>IF(A1060="","",IFERROR(AVERAGEIFS(Prensa!$B$2:$B$5001,Prensa!$E$2:$E$5001,N1060,Prensa!$F$2:$F$5001,4,Prensa!$G$2:$G$5001,1),""))</f>
        <v>0</v>
      </c>
      <c r="H1060" s="26">
        <f>IF(A1060="","",COUNT(D1060:G1060))</f>
        <v>0</v>
      </c>
      <c r="I1060" s="27">
        <f>IF(A1060="","",IF(H1060=0,"",AVERAGE(D1060:G1060)))</f>
        <v>0</v>
      </c>
      <c r="J1060" s="27">
        <f>IF(OR(I1060="",C1060=""),"",I1060-C1060)</f>
        <v>0</v>
      </c>
      <c r="K1060" s="26">
        <f>IF(A1060="","",IF(MES!E1060&lt;&gt;4,"Horário do MES fora do padrão",IF(H1060&lt;cfgMinCortes,"Cortes insuficientes","Válida")))</f>
        <v>0</v>
      </c>
      <c r="L1060" s="27">
        <f>IF(K1060="Válida",ABS(J1060),"")</f>
        <v>0</v>
      </c>
      <c r="M1060" s="26">
        <f>IF(K1060="Válida",IF(L1060&lt;=cfgTolerancia,"Sim","Não"),"")</f>
        <v>0</v>
      </c>
      <c r="N1060" s="26">
        <f>IF(A1060="","",MES!D1060)</f>
        <v>0</v>
      </c>
      <c r="O1060" s="25">
        <f>IF(K1060="Válida",A1060,NA())</f>
        <v>0</v>
      </c>
      <c r="P1060" s="27">
        <f>IF(K1060="Válida",C1060,NA())</f>
        <v>0</v>
      </c>
      <c r="Q1060" s="27">
        <f>IF(K1060="Válida",I1060,NA())</f>
        <v>0</v>
      </c>
      <c r="R1060" s="27">
        <f>IF(K1060="Válida",J1060,NA())</f>
        <v>0</v>
      </c>
      <c r="S1060" s="27">
        <f>IF(K1060="Válida",C1060,"")</f>
        <v>0</v>
      </c>
      <c r="T1060" s="27">
        <f>IF(K1060="Válida",I1060,"")</f>
        <v>0</v>
      </c>
      <c r="U1060" s="27">
        <f>IF(K1060="Válida",J1060,"")</f>
        <v>0</v>
      </c>
    </row>
    <row r="1061" spans="1:21">
      <c r="A1061" s="25">
        <f>IF(MES!A1061="","",MES!C1061/48)</f>
        <v>0</v>
      </c>
      <c r="B1061" s="26">
        <f>IF(A1061="","",TEXT((N1061*4+cfgDeslocamento)/48,"hh:mm")&amp;" a "&amp;TEXT(A1061,"hh:mm"))</f>
        <v>0</v>
      </c>
      <c r="C1061" s="27">
        <f>IF(A1061="","",MES!B1061)</f>
        <v>0</v>
      </c>
      <c r="D1061" s="27">
        <f>IF(A1061="","",IFERROR(AVERAGEIFS(Prensa!$B$2:$B$5001,Prensa!$E$2:$E$5001,N1061,Prensa!$F$2:$F$5001,1,Prensa!$G$2:$G$5001,1),""))</f>
        <v>0</v>
      </c>
      <c r="E1061" s="27">
        <f>IF(A1061="","",IFERROR(AVERAGEIFS(Prensa!$B$2:$B$5001,Prensa!$E$2:$E$5001,N1061,Prensa!$F$2:$F$5001,2,Prensa!$G$2:$G$5001,1),""))</f>
        <v>0</v>
      </c>
      <c r="F1061" s="27">
        <f>IF(A1061="","",IFERROR(AVERAGEIFS(Prensa!$B$2:$B$5001,Prensa!$E$2:$E$5001,N1061,Prensa!$F$2:$F$5001,3,Prensa!$G$2:$G$5001,1),""))</f>
        <v>0</v>
      </c>
      <c r="G1061" s="27">
        <f>IF(A1061="","",IFERROR(AVERAGEIFS(Prensa!$B$2:$B$5001,Prensa!$E$2:$E$5001,N1061,Prensa!$F$2:$F$5001,4,Prensa!$G$2:$G$5001,1),""))</f>
        <v>0</v>
      </c>
      <c r="H1061" s="26">
        <f>IF(A1061="","",COUNT(D1061:G1061))</f>
        <v>0</v>
      </c>
      <c r="I1061" s="27">
        <f>IF(A1061="","",IF(H1061=0,"",AVERAGE(D1061:G1061)))</f>
        <v>0</v>
      </c>
      <c r="J1061" s="27">
        <f>IF(OR(I1061="",C1061=""),"",I1061-C1061)</f>
        <v>0</v>
      </c>
      <c r="K1061" s="26">
        <f>IF(A1061="","",IF(MES!E1061&lt;&gt;4,"Horário do MES fora do padrão",IF(H1061&lt;cfgMinCortes,"Cortes insuficientes","Válida")))</f>
        <v>0</v>
      </c>
      <c r="L1061" s="27">
        <f>IF(K1061="Válida",ABS(J1061),"")</f>
        <v>0</v>
      </c>
      <c r="M1061" s="26">
        <f>IF(K1061="Válida",IF(L1061&lt;=cfgTolerancia,"Sim","Não"),"")</f>
        <v>0</v>
      </c>
      <c r="N1061" s="26">
        <f>IF(A1061="","",MES!D1061)</f>
        <v>0</v>
      </c>
      <c r="O1061" s="25">
        <f>IF(K1061="Válida",A1061,NA())</f>
        <v>0</v>
      </c>
      <c r="P1061" s="27">
        <f>IF(K1061="Válida",C1061,NA())</f>
        <v>0</v>
      </c>
      <c r="Q1061" s="27">
        <f>IF(K1061="Válida",I1061,NA())</f>
        <v>0</v>
      </c>
      <c r="R1061" s="27">
        <f>IF(K1061="Válida",J1061,NA())</f>
        <v>0</v>
      </c>
      <c r="S1061" s="27">
        <f>IF(K1061="Válida",C1061,"")</f>
        <v>0</v>
      </c>
      <c r="T1061" s="27">
        <f>IF(K1061="Válida",I1061,"")</f>
        <v>0</v>
      </c>
      <c r="U1061" s="27">
        <f>IF(K1061="Válida",J1061,"")</f>
        <v>0</v>
      </c>
    </row>
    <row r="1062" spans="1:21">
      <c r="A1062" s="25">
        <f>IF(MES!A1062="","",MES!C1062/48)</f>
        <v>0</v>
      </c>
      <c r="B1062" s="26">
        <f>IF(A1062="","",TEXT((N1062*4+cfgDeslocamento)/48,"hh:mm")&amp;" a "&amp;TEXT(A1062,"hh:mm"))</f>
        <v>0</v>
      </c>
      <c r="C1062" s="27">
        <f>IF(A1062="","",MES!B1062)</f>
        <v>0</v>
      </c>
      <c r="D1062" s="27">
        <f>IF(A1062="","",IFERROR(AVERAGEIFS(Prensa!$B$2:$B$5001,Prensa!$E$2:$E$5001,N1062,Prensa!$F$2:$F$5001,1,Prensa!$G$2:$G$5001,1),""))</f>
        <v>0</v>
      </c>
      <c r="E1062" s="27">
        <f>IF(A1062="","",IFERROR(AVERAGEIFS(Prensa!$B$2:$B$5001,Prensa!$E$2:$E$5001,N1062,Prensa!$F$2:$F$5001,2,Prensa!$G$2:$G$5001,1),""))</f>
        <v>0</v>
      </c>
      <c r="F1062" s="27">
        <f>IF(A1062="","",IFERROR(AVERAGEIFS(Prensa!$B$2:$B$5001,Prensa!$E$2:$E$5001,N1062,Prensa!$F$2:$F$5001,3,Prensa!$G$2:$G$5001,1),""))</f>
        <v>0</v>
      </c>
      <c r="G1062" s="27">
        <f>IF(A1062="","",IFERROR(AVERAGEIFS(Prensa!$B$2:$B$5001,Prensa!$E$2:$E$5001,N1062,Prensa!$F$2:$F$5001,4,Prensa!$G$2:$G$5001,1),""))</f>
        <v>0</v>
      </c>
      <c r="H1062" s="26">
        <f>IF(A1062="","",COUNT(D1062:G1062))</f>
        <v>0</v>
      </c>
      <c r="I1062" s="27">
        <f>IF(A1062="","",IF(H1062=0,"",AVERAGE(D1062:G1062)))</f>
        <v>0</v>
      </c>
      <c r="J1062" s="27">
        <f>IF(OR(I1062="",C1062=""),"",I1062-C1062)</f>
        <v>0</v>
      </c>
      <c r="K1062" s="26">
        <f>IF(A1062="","",IF(MES!E1062&lt;&gt;4,"Horário do MES fora do padrão",IF(H1062&lt;cfgMinCortes,"Cortes insuficientes","Válida")))</f>
        <v>0</v>
      </c>
      <c r="L1062" s="27">
        <f>IF(K1062="Válida",ABS(J1062),"")</f>
        <v>0</v>
      </c>
      <c r="M1062" s="26">
        <f>IF(K1062="Válida",IF(L1062&lt;=cfgTolerancia,"Sim","Não"),"")</f>
        <v>0</v>
      </c>
      <c r="N1062" s="26">
        <f>IF(A1062="","",MES!D1062)</f>
        <v>0</v>
      </c>
      <c r="O1062" s="25">
        <f>IF(K1062="Válida",A1062,NA())</f>
        <v>0</v>
      </c>
      <c r="P1062" s="27">
        <f>IF(K1062="Válida",C1062,NA())</f>
        <v>0</v>
      </c>
      <c r="Q1062" s="27">
        <f>IF(K1062="Válida",I1062,NA())</f>
        <v>0</v>
      </c>
      <c r="R1062" s="27">
        <f>IF(K1062="Válida",J1062,NA())</f>
        <v>0</v>
      </c>
      <c r="S1062" s="27">
        <f>IF(K1062="Válida",C1062,"")</f>
        <v>0</v>
      </c>
      <c r="T1062" s="27">
        <f>IF(K1062="Válida",I1062,"")</f>
        <v>0</v>
      </c>
      <c r="U1062" s="27">
        <f>IF(K1062="Válida",J1062,"")</f>
        <v>0</v>
      </c>
    </row>
    <row r="1063" spans="1:21">
      <c r="A1063" s="25">
        <f>IF(MES!A1063="","",MES!C1063/48)</f>
        <v>0</v>
      </c>
      <c r="B1063" s="26">
        <f>IF(A1063="","",TEXT((N1063*4+cfgDeslocamento)/48,"hh:mm")&amp;" a "&amp;TEXT(A1063,"hh:mm"))</f>
        <v>0</v>
      </c>
      <c r="C1063" s="27">
        <f>IF(A1063="","",MES!B1063)</f>
        <v>0</v>
      </c>
      <c r="D1063" s="27">
        <f>IF(A1063="","",IFERROR(AVERAGEIFS(Prensa!$B$2:$B$5001,Prensa!$E$2:$E$5001,N1063,Prensa!$F$2:$F$5001,1,Prensa!$G$2:$G$5001,1),""))</f>
        <v>0</v>
      </c>
      <c r="E1063" s="27">
        <f>IF(A1063="","",IFERROR(AVERAGEIFS(Prensa!$B$2:$B$5001,Prensa!$E$2:$E$5001,N1063,Prensa!$F$2:$F$5001,2,Prensa!$G$2:$G$5001,1),""))</f>
        <v>0</v>
      </c>
      <c r="F1063" s="27">
        <f>IF(A1063="","",IFERROR(AVERAGEIFS(Prensa!$B$2:$B$5001,Prensa!$E$2:$E$5001,N1063,Prensa!$F$2:$F$5001,3,Prensa!$G$2:$G$5001,1),""))</f>
        <v>0</v>
      </c>
      <c r="G1063" s="27">
        <f>IF(A1063="","",IFERROR(AVERAGEIFS(Prensa!$B$2:$B$5001,Prensa!$E$2:$E$5001,N1063,Prensa!$F$2:$F$5001,4,Prensa!$G$2:$G$5001,1),""))</f>
        <v>0</v>
      </c>
      <c r="H1063" s="26">
        <f>IF(A1063="","",COUNT(D1063:G1063))</f>
        <v>0</v>
      </c>
      <c r="I1063" s="27">
        <f>IF(A1063="","",IF(H1063=0,"",AVERAGE(D1063:G1063)))</f>
        <v>0</v>
      </c>
      <c r="J1063" s="27">
        <f>IF(OR(I1063="",C1063=""),"",I1063-C1063)</f>
        <v>0</v>
      </c>
      <c r="K1063" s="26">
        <f>IF(A1063="","",IF(MES!E1063&lt;&gt;4,"Horário do MES fora do padrão",IF(H1063&lt;cfgMinCortes,"Cortes insuficientes","Válida")))</f>
        <v>0</v>
      </c>
      <c r="L1063" s="27">
        <f>IF(K1063="Válida",ABS(J1063),"")</f>
        <v>0</v>
      </c>
      <c r="M1063" s="26">
        <f>IF(K1063="Válida",IF(L1063&lt;=cfgTolerancia,"Sim","Não"),"")</f>
        <v>0</v>
      </c>
      <c r="N1063" s="26">
        <f>IF(A1063="","",MES!D1063)</f>
        <v>0</v>
      </c>
      <c r="O1063" s="25">
        <f>IF(K1063="Válida",A1063,NA())</f>
        <v>0</v>
      </c>
      <c r="P1063" s="27">
        <f>IF(K1063="Válida",C1063,NA())</f>
        <v>0</v>
      </c>
      <c r="Q1063" s="27">
        <f>IF(K1063="Válida",I1063,NA())</f>
        <v>0</v>
      </c>
      <c r="R1063" s="27">
        <f>IF(K1063="Válida",J1063,NA())</f>
        <v>0</v>
      </c>
      <c r="S1063" s="27">
        <f>IF(K1063="Válida",C1063,"")</f>
        <v>0</v>
      </c>
      <c r="T1063" s="27">
        <f>IF(K1063="Válida",I1063,"")</f>
        <v>0</v>
      </c>
      <c r="U1063" s="27">
        <f>IF(K1063="Válida",J1063,"")</f>
        <v>0</v>
      </c>
    </row>
    <row r="1064" spans="1:21">
      <c r="A1064" s="25">
        <f>IF(MES!A1064="","",MES!C1064/48)</f>
        <v>0</v>
      </c>
      <c r="B1064" s="26">
        <f>IF(A1064="","",TEXT((N1064*4+cfgDeslocamento)/48,"hh:mm")&amp;" a "&amp;TEXT(A1064,"hh:mm"))</f>
        <v>0</v>
      </c>
      <c r="C1064" s="27">
        <f>IF(A1064="","",MES!B1064)</f>
        <v>0</v>
      </c>
      <c r="D1064" s="27">
        <f>IF(A1064="","",IFERROR(AVERAGEIFS(Prensa!$B$2:$B$5001,Prensa!$E$2:$E$5001,N1064,Prensa!$F$2:$F$5001,1,Prensa!$G$2:$G$5001,1),""))</f>
        <v>0</v>
      </c>
      <c r="E1064" s="27">
        <f>IF(A1064="","",IFERROR(AVERAGEIFS(Prensa!$B$2:$B$5001,Prensa!$E$2:$E$5001,N1064,Prensa!$F$2:$F$5001,2,Prensa!$G$2:$G$5001,1),""))</f>
        <v>0</v>
      </c>
      <c r="F1064" s="27">
        <f>IF(A1064="","",IFERROR(AVERAGEIFS(Prensa!$B$2:$B$5001,Prensa!$E$2:$E$5001,N1064,Prensa!$F$2:$F$5001,3,Prensa!$G$2:$G$5001,1),""))</f>
        <v>0</v>
      </c>
      <c r="G1064" s="27">
        <f>IF(A1064="","",IFERROR(AVERAGEIFS(Prensa!$B$2:$B$5001,Prensa!$E$2:$E$5001,N1064,Prensa!$F$2:$F$5001,4,Prensa!$G$2:$G$5001,1),""))</f>
        <v>0</v>
      </c>
      <c r="H1064" s="26">
        <f>IF(A1064="","",COUNT(D1064:G1064))</f>
        <v>0</v>
      </c>
      <c r="I1064" s="27">
        <f>IF(A1064="","",IF(H1064=0,"",AVERAGE(D1064:G1064)))</f>
        <v>0</v>
      </c>
      <c r="J1064" s="27">
        <f>IF(OR(I1064="",C1064=""),"",I1064-C1064)</f>
        <v>0</v>
      </c>
      <c r="K1064" s="26">
        <f>IF(A1064="","",IF(MES!E1064&lt;&gt;4,"Horário do MES fora do padrão",IF(H1064&lt;cfgMinCortes,"Cortes insuficientes","Válida")))</f>
        <v>0</v>
      </c>
      <c r="L1064" s="27">
        <f>IF(K1064="Válida",ABS(J1064),"")</f>
        <v>0</v>
      </c>
      <c r="M1064" s="26">
        <f>IF(K1064="Válida",IF(L1064&lt;=cfgTolerancia,"Sim","Não"),"")</f>
        <v>0</v>
      </c>
      <c r="N1064" s="26">
        <f>IF(A1064="","",MES!D1064)</f>
        <v>0</v>
      </c>
      <c r="O1064" s="25">
        <f>IF(K1064="Válida",A1064,NA())</f>
        <v>0</v>
      </c>
      <c r="P1064" s="27">
        <f>IF(K1064="Válida",C1064,NA())</f>
        <v>0</v>
      </c>
      <c r="Q1064" s="27">
        <f>IF(K1064="Válida",I1064,NA())</f>
        <v>0</v>
      </c>
      <c r="R1064" s="27">
        <f>IF(K1064="Válida",J1064,NA())</f>
        <v>0</v>
      </c>
      <c r="S1064" s="27">
        <f>IF(K1064="Válida",C1064,"")</f>
        <v>0</v>
      </c>
      <c r="T1064" s="27">
        <f>IF(K1064="Válida",I1064,"")</f>
        <v>0</v>
      </c>
      <c r="U1064" s="27">
        <f>IF(K1064="Válida",J1064,"")</f>
        <v>0</v>
      </c>
    </row>
    <row r="1065" spans="1:21">
      <c r="A1065" s="25">
        <f>IF(MES!A1065="","",MES!C1065/48)</f>
        <v>0</v>
      </c>
      <c r="B1065" s="26">
        <f>IF(A1065="","",TEXT((N1065*4+cfgDeslocamento)/48,"hh:mm")&amp;" a "&amp;TEXT(A1065,"hh:mm"))</f>
        <v>0</v>
      </c>
      <c r="C1065" s="27">
        <f>IF(A1065="","",MES!B1065)</f>
        <v>0</v>
      </c>
      <c r="D1065" s="27">
        <f>IF(A1065="","",IFERROR(AVERAGEIFS(Prensa!$B$2:$B$5001,Prensa!$E$2:$E$5001,N1065,Prensa!$F$2:$F$5001,1,Prensa!$G$2:$G$5001,1),""))</f>
        <v>0</v>
      </c>
      <c r="E1065" s="27">
        <f>IF(A1065="","",IFERROR(AVERAGEIFS(Prensa!$B$2:$B$5001,Prensa!$E$2:$E$5001,N1065,Prensa!$F$2:$F$5001,2,Prensa!$G$2:$G$5001,1),""))</f>
        <v>0</v>
      </c>
      <c r="F1065" s="27">
        <f>IF(A1065="","",IFERROR(AVERAGEIFS(Prensa!$B$2:$B$5001,Prensa!$E$2:$E$5001,N1065,Prensa!$F$2:$F$5001,3,Prensa!$G$2:$G$5001,1),""))</f>
        <v>0</v>
      </c>
      <c r="G1065" s="27">
        <f>IF(A1065="","",IFERROR(AVERAGEIFS(Prensa!$B$2:$B$5001,Prensa!$E$2:$E$5001,N1065,Prensa!$F$2:$F$5001,4,Prensa!$G$2:$G$5001,1),""))</f>
        <v>0</v>
      </c>
      <c r="H1065" s="26">
        <f>IF(A1065="","",COUNT(D1065:G1065))</f>
        <v>0</v>
      </c>
      <c r="I1065" s="27">
        <f>IF(A1065="","",IF(H1065=0,"",AVERAGE(D1065:G1065)))</f>
        <v>0</v>
      </c>
      <c r="J1065" s="27">
        <f>IF(OR(I1065="",C1065=""),"",I1065-C1065)</f>
        <v>0</v>
      </c>
      <c r="K1065" s="26">
        <f>IF(A1065="","",IF(MES!E1065&lt;&gt;4,"Horário do MES fora do padrão",IF(H1065&lt;cfgMinCortes,"Cortes insuficientes","Válida")))</f>
        <v>0</v>
      </c>
      <c r="L1065" s="27">
        <f>IF(K1065="Válida",ABS(J1065),"")</f>
        <v>0</v>
      </c>
      <c r="M1065" s="26">
        <f>IF(K1065="Válida",IF(L1065&lt;=cfgTolerancia,"Sim","Não"),"")</f>
        <v>0</v>
      </c>
      <c r="N1065" s="26">
        <f>IF(A1065="","",MES!D1065)</f>
        <v>0</v>
      </c>
      <c r="O1065" s="25">
        <f>IF(K1065="Válida",A1065,NA())</f>
        <v>0</v>
      </c>
      <c r="P1065" s="27">
        <f>IF(K1065="Válida",C1065,NA())</f>
        <v>0</v>
      </c>
      <c r="Q1065" s="27">
        <f>IF(K1065="Válida",I1065,NA())</f>
        <v>0</v>
      </c>
      <c r="R1065" s="27">
        <f>IF(K1065="Válida",J1065,NA())</f>
        <v>0</v>
      </c>
      <c r="S1065" s="27">
        <f>IF(K1065="Válida",C1065,"")</f>
        <v>0</v>
      </c>
      <c r="T1065" s="27">
        <f>IF(K1065="Válida",I1065,"")</f>
        <v>0</v>
      </c>
      <c r="U1065" s="27">
        <f>IF(K1065="Válida",J1065,"")</f>
        <v>0</v>
      </c>
    </row>
    <row r="1066" spans="1:21">
      <c r="A1066" s="25">
        <f>IF(MES!A1066="","",MES!C1066/48)</f>
        <v>0</v>
      </c>
      <c r="B1066" s="26">
        <f>IF(A1066="","",TEXT((N1066*4+cfgDeslocamento)/48,"hh:mm")&amp;" a "&amp;TEXT(A1066,"hh:mm"))</f>
        <v>0</v>
      </c>
      <c r="C1066" s="27">
        <f>IF(A1066="","",MES!B1066)</f>
        <v>0</v>
      </c>
      <c r="D1066" s="27">
        <f>IF(A1066="","",IFERROR(AVERAGEIFS(Prensa!$B$2:$B$5001,Prensa!$E$2:$E$5001,N1066,Prensa!$F$2:$F$5001,1,Prensa!$G$2:$G$5001,1),""))</f>
        <v>0</v>
      </c>
      <c r="E1066" s="27">
        <f>IF(A1066="","",IFERROR(AVERAGEIFS(Prensa!$B$2:$B$5001,Prensa!$E$2:$E$5001,N1066,Prensa!$F$2:$F$5001,2,Prensa!$G$2:$G$5001,1),""))</f>
        <v>0</v>
      </c>
      <c r="F1066" s="27">
        <f>IF(A1066="","",IFERROR(AVERAGEIFS(Prensa!$B$2:$B$5001,Prensa!$E$2:$E$5001,N1066,Prensa!$F$2:$F$5001,3,Prensa!$G$2:$G$5001,1),""))</f>
        <v>0</v>
      </c>
      <c r="G1066" s="27">
        <f>IF(A1066="","",IFERROR(AVERAGEIFS(Prensa!$B$2:$B$5001,Prensa!$E$2:$E$5001,N1066,Prensa!$F$2:$F$5001,4,Prensa!$G$2:$G$5001,1),""))</f>
        <v>0</v>
      </c>
      <c r="H1066" s="26">
        <f>IF(A1066="","",COUNT(D1066:G1066))</f>
        <v>0</v>
      </c>
      <c r="I1066" s="27">
        <f>IF(A1066="","",IF(H1066=0,"",AVERAGE(D1066:G1066)))</f>
        <v>0</v>
      </c>
      <c r="J1066" s="27">
        <f>IF(OR(I1066="",C1066=""),"",I1066-C1066)</f>
        <v>0</v>
      </c>
      <c r="K1066" s="26">
        <f>IF(A1066="","",IF(MES!E1066&lt;&gt;4,"Horário do MES fora do padrão",IF(H1066&lt;cfgMinCortes,"Cortes insuficientes","Válida")))</f>
        <v>0</v>
      </c>
      <c r="L1066" s="27">
        <f>IF(K1066="Válida",ABS(J1066),"")</f>
        <v>0</v>
      </c>
      <c r="M1066" s="26">
        <f>IF(K1066="Válida",IF(L1066&lt;=cfgTolerancia,"Sim","Não"),"")</f>
        <v>0</v>
      </c>
      <c r="N1066" s="26">
        <f>IF(A1066="","",MES!D1066)</f>
        <v>0</v>
      </c>
      <c r="O1066" s="25">
        <f>IF(K1066="Válida",A1066,NA())</f>
        <v>0</v>
      </c>
      <c r="P1066" s="27">
        <f>IF(K1066="Válida",C1066,NA())</f>
        <v>0</v>
      </c>
      <c r="Q1066" s="27">
        <f>IF(K1066="Válida",I1066,NA())</f>
        <v>0</v>
      </c>
      <c r="R1066" s="27">
        <f>IF(K1066="Válida",J1066,NA())</f>
        <v>0</v>
      </c>
      <c r="S1066" s="27">
        <f>IF(K1066="Válida",C1066,"")</f>
        <v>0</v>
      </c>
      <c r="T1066" s="27">
        <f>IF(K1066="Válida",I1066,"")</f>
        <v>0</v>
      </c>
      <c r="U1066" s="27">
        <f>IF(K1066="Válida",J1066,"")</f>
        <v>0</v>
      </c>
    </row>
    <row r="1067" spans="1:21">
      <c r="A1067" s="25">
        <f>IF(MES!A1067="","",MES!C1067/48)</f>
        <v>0</v>
      </c>
      <c r="B1067" s="26">
        <f>IF(A1067="","",TEXT((N1067*4+cfgDeslocamento)/48,"hh:mm")&amp;" a "&amp;TEXT(A1067,"hh:mm"))</f>
        <v>0</v>
      </c>
      <c r="C1067" s="27">
        <f>IF(A1067="","",MES!B1067)</f>
        <v>0</v>
      </c>
      <c r="D1067" s="27">
        <f>IF(A1067="","",IFERROR(AVERAGEIFS(Prensa!$B$2:$B$5001,Prensa!$E$2:$E$5001,N1067,Prensa!$F$2:$F$5001,1,Prensa!$G$2:$G$5001,1),""))</f>
        <v>0</v>
      </c>
      <c r="E1067" s="27">
        <f>IF(A1067="","",IFERROR(AVERAGEIFS(Prensa!$B$2:$B$5001,Prensa!$E$2:$E$5001,N1067,Prensa!$F$2:$F$5001,2,Prensa!$G$2:$G$5001,1),""))</f>
        <v>0</v>
      </c>
      <c r="F1067" s="27">
        <f>IF(A1067="","",IFERROR(AVERAGEIFS(Prensa!$B$2:$B$5001,Prensa!$E$2:$E$5001,N1067,Prensa!$F$2:$F$5001,3,Prensa!$G$2:$G$5001,1),""))</f>
        <v>0</v>
      </c>
      <c r="G1067" s="27">
        <f>IF(A1067="","",IFERROR(AVERAGEIFS(Prensa!$B$2:$B$5001,Prensa!$E$2:$E$5001,N1067,Prensa!$F$2:$F$5001,4,Prensa!$G$2:$G$5001,1),""))</f>
        <v>0</v>
      </c>
      <c r="H1067" s="26">
        <f>IF(A1067="","",COUNT(D1067:G1067))</f>
        <v>0</v>
      </c>
      <c r="I1067" s="27">
        <f>IF(A1067="","",IF(H1067=0,"",AVERAGE(D1067:G1067)))</f>
        <v>0</v>
      </c>
      <c r="J1067" s="27">
        <f>IF(OR(I1067="",C1067=""),"",I1067-C1067)</f>
        <v>0</v>
      </c>
      <c r="K1067" s="26">
        <f>IF(A1067="","",IF(MES!E1067&lt;&gt;4,"Horário do MES fora do padrão",IF(H1067&lt;cfgMinCortes,"Cortes insuficientes","Válida")))</f>
        <v>0</v>
      </c>
      <c r="L1067" s="27">
        <f>IF(K1067="Válida",ABS(J1067),"")</f>
        <v>0</v>
      </c>
      <c r="M1067" s="26">
        <f>IF(K1067="Válida",IF(L1067&lt;=cfgTolerancia,"Sim","Não"),"")</f>
        <v>0</v>
      </c>
      <c r="N1067" s="26">
        <f>IF(A1067="","",MES!D1067)</f>
        <v>0</v>
      </c>
      <c r="O1067" s="25">
        <f>IF(K1067="Válida",A1067,NA())</f>
        <v>0</v>
      </c>
      <c r="P1067" s="27">
        <f>IF(K1067="Válida",C1067,NA())</f>
        <v>0</v>
      </c>
      <c r="Q1067" s="27">
        <f>IF(K1067="Válida",I1067,NA())</f>
        <v>0</v>
      </c>
      <c r="R1067" s="27">
        <f>IF(K1067="Válida",J1067,NA())</f>
        <v>0</v>
      </c>
      <c r="S1067" s="27">
        <f>IF(K1067="Válida",C1067,"")</f>
        <v>0</v>
      </c>
      <c r="T1067" s="27">
        <f>IF(K1067="Válida",I1067,"")</f>
        <v>0</v>
      </c>
      <c r="U1067" s="27">
        <f>IF(K1067="Válida",J1067,"")</f>
        <v>0</v>
      </c>
    </row>
    <row r="1068" spans="1:21">
      <c r="A1068" s="25">
        <f>IF(MES!A1068="","",MES!C1068/48)</f>
        <v>0</v>
      </c>
      <c r="B1068" s="26">
        <f>IF(A1068="","",TEXT((N1068*4+cfgDeslocamento)/48,"hh:mm")&amp;" a "&amp;TEXT(A1068,"hh:mm"))</f>
        <v>0</v>
      </c>
      <c r="C1068" s="27">
        <f>IF(A1068="","",MES!B1068)</f>
        <v>0</v>
      </c>
      <c r="D1068" s="27">
        <f>IF(A1068="","",IFERROR(AVERAGEIFS(Prensa!$B$2:$B$5001,Prensa!$E$2:$E$5001,N1068,Prensa!$F$2:$F$5001,1,Prensa!$G$2:$G$5001,1),""))</f>
        <v>0</v>
      </c>
      <c r="E1068" s="27">
        <f>IF(A1068="","",IFERROR(AVERAGEIFS(Prensa!$B$2:$B$5001,Prensa!$E$2:$E$5001,N1068,Prensa!$F$2:$F$5001,2,Prensa!$G$2:$G$5001,1),""))</f>
        <v>0</v>
      </c>
      <c r="F1068" s="27">
        <f>IF(A1068="","",IFERROR(AVERAGEIFS(Prensa!$B$2:$B$5001,Prensa!$E$2:$E$5001,N1068,Prensa!$F$2:$F$5001,3,Prensa!$G$2:$G$5001,1),""))</f>
        <v>0</v>
      </c>
      <c r="G1068" s="27">
        <f>IF(A1068="","",IFERROR(AVERAGEIFS(Prensa!$B$2:$B$5001,Prensa!$E$2:$E$5001,N1068,Prensa!$F$2:$F$5001,4,Prensa!$G$2:$G$5001,1),""))</f>
        <v>0</v>
      </c>
      <c r="H1068" s="26">
        <f>IF(A1068="","",COUNT(D1068:G1068))</f>
        <v>0</v>
      </c>
      <c r="I1068" s="27">
        <f>IF(A1068="","",IF(H1068=0,"",AVERAGE(D1068:G1068)))</f>
        <v>0</v>
      </c>
      <c r="J1068" s="27">
        <f>IF(OR(I1068="",C1068=""),"",I1068-C1068)</f>
        <v>0</v>
      </c>
      <c r="K1068" s="26">
        <f>IF(A1068="","",IF(MES!E1068&lt;&gt;4,"Horário do MES fora do padrão",IF(H1068&lt;cfgMinCortes,"Cortes insuficientes","Válida")))</f>
        <v>0</v>
      </c>
      <c r="L1068" s="27">
        <f>IF(K1068="Válida",ABS(J1068),"")</f>
        <v>0</v>
      </c>
      <c r="M1068" s="26">
        <f>IF(K1068="Válida",IF(L1068&lt;=cfgTolerancia,"Sim","Não"),"")</f>
        <v>0</v>
      </c>
      <c r="N1068" s="26">
        <f>IF(A1068="","",MES!D1068)</f>
        <v>0</v>
      </c>
      <c r="O1068" s="25">
        <f>IF(K1068="Válida",A1068,NA())</f>
        <v>0</v>
      </c>
      <c r="P1068" s="27">
        <f>IF(K1068="Válida",C1068,NA())</f>
        <v>0</v>
      </c>
      <c r="Q1068" s="27">
        <f>IF(K1068="Válida",I1068,NA())</f>
        <v>0</v>
      </c>
      <c r="R1068" s="27">
        <f>IF(K1068="Válida",J1068,NA())</f>
        <v>0</v>
      </c>
      <c r="S1068" s="27">
        <f>IF(K1068="Válida",C1068,"")</f>
        <v>0</v>
      </c>
      <c r="T1068" s="27">
        <f>IF(K1068="Válida",I1068,"")</f>
        <v>0</v>
      </c>
      <c r="U1068" s="27">
        <f>IF(K1068="Válida",J1068,"")</f>
        <v>0</v>
      </c>
    </row>
    <row r="1069" spans="1:21">
      <c r="A1069" s="25">
        <f>IF(MES!A1069="","",MES!C1069/48)</f>
        <v>0</v>
      </c>
      <c r="B1069" s="26">
        <f>IF(A1069="","",TEXT((N1069*4+cfgDeslocamento)/48,"hh:mm")&amp;" a "&amp;TEXT(A1069,"hh:mm"))</f>
        <v>0</v>
      </c>
      <c r="C1069" s="27">
        <f>IF(A1069="","",MES!B1069)</f>
        <v>0</v>
      </c>
      <c r="D1069" s="27">
        <f>IF(A1069="","",IFERROR(AVERAGEIFS(Prensa!$B$2:$B$5001,Prensa!$E$2:$E$5001,N1069,Prensa!$F$2:$F$5001,1,Prensa!$G$2:$G$5001,1),""))</f>
        <v>0</v>
      </c>
      <c r="E1069" s="27">
        <f>IF(A1069="","",IFERROR(AVERAGEIFS(Prensa!$B$2:$B$5001,Prensa!$E$2:$E$5001,N1069,Prensa!$F$2:$F$5001,2,Prensa!$G$2:$G$5001,1),""))</f>
        <v>0</v>
      </c>
      <c r="F1069" s="27">
        <f>IF(A1069="","",IFERROR(AVERAGEIFS(Prensa!$B$2:$B$5001,Prensa!$E$2:$E$5001,N1069,Prensa!$F$2:$F$5001,3,Prensa!$G$2:$G$5001,1),""))</f>
        <v>0</v>
      </c>
      <c r="G1069" s="27">
        <f>IF(A1069="","",IFERROR(AVERAGEIFS(Prensa!$B$2:$B$5001,Prensa!$E$2:$E$5001,N1069,Prensa!$F$2:$F$5001,4,Prensa!$G$2:$G$5001,1),""))</f>
        <v>0</v>
      </c>
      <c r="H1069" s="26">
        <f>IF(A1069="","",COUNT(D1069:G1069))</f>
        <v>0</v>
      </c>
      <c r="I1069" s="27">
        <f>IF(A1069="","",IF(H1069=0,"",AVERAGE(D1069:G1069)))</f>
        <v>0</v>
      </c>
      <c r="J1069" s="27">
        <f>IF(OR(I1069="",C1069=""),"",I1069-C1069)</f>
        <v>0</v>
      </c>
      <c r="K1069" s="26">
        <f>IF(A1069="","",IF(MES!E1069&lt;&gt;4,"Horário do MES fora do padrão",IF(H1069&lt;cfgMinCortes,"Cortes insuficientes","Válida")))</f>
        <v>0</v>
      </c>
      <c r="L1069" s="27">
        <f>IF(K1069="Válida",ABS(J1069),"")</f>
        <v>0</v>
      </c>
      <c r="M1069" s="26">
        <f>IF(K1069="Válida",IF(L1069&lt;=cfgTolerancia,"Sim","Não"),"")</f>
        <v>0</v>
      </c>
      <c r="N1069" s="26">
        <f>IF(A1069="","",MES!D1069)</f>
        <v>0</v>
      </c>
      <c r="O1069" s="25">
        <f>IF(K1069="Válida",A1069,NA())</f>
        <v>0</v>
      </c>
      <c r="P1069" s="27">
        <f>IF(K1069="Válida",C1069,NA())</f>
        <v>0</v>
      </c>
      <c r="Q1069" s="27">
        <f>IF(K1069="Válida",I1069,NA())</f>
        <v>0</v>
      </c>
      <c r="R1069" s="27">
        <f>IF(K1069="Válida",J1069,NA())</f>
        <v>0</v>
      </c>
      <c r="S1069" s="27">
        <f>IF(K1069="Válida",C1069,"")</f>
        <v>0</v>
      </c>
      <c r="T1069" s="27">
        <f>IF(K1069="Válida",I1069,"")</f>
        <v>0</v>
      </c>
      <c r="U1069" s="27">
        <f>IF(K1069="Válida",J1069,"")</f>
        <v>0</v>
      </c>
    </row>
    <row r="1070" spans="1:21">
      <c r="A1070" s="25">
        <f>IF(MES!A1070="","",MES!C1070/48)</f>
        <v>0</v>
      </c>
      <c r="B1070" s="26">
        <f>IF(A1070="","",TEXT((N1070*4+cfgDeslocamento)/48,"hh:mm")&amp;" a "&amp;TEXT(A1070,"hh:mm"))</f>
        <v>0</v>
      </c>
      <c r="C1070" s="27">
        <f>IF(A1070="","",MES!B1070)</f>
        <v>0</v>
      </c>
      <c r="D1070" s="27">
        <f>IF(A1070="","",IFERROR(AVERAGEIFS(Prensa!$B$2:$B$5001,Prensa!$E$2:$E$5001,N1070,Prensa!$F$2:$F$5001,1,Prensa!$G$2:$G$5001,1),""))</f>
        <v>0</v>
      </c>
      <c r="E1070" s="27">
        <f>IF(A1070="","",IFERROR(AVERAGEIFS(Prensa!$B$2:$B$5001,Prensa!$E$2:$E$5001,N1070,Prensa!$F$2:$F$5001,2,Prensa!$G$2:$G$5001,1),""))</f>
        <v>0</v>
      </c>
      <c r="F1070" s="27">
        <f>IF(A1070="","",IFERROR(AVERAGEIFS(Prensa!$B$2:$B$5001,Prensa!$E$2:$E$5001,N1070,Prensa!$F$2:$F$5001,3,Prensa!$G$2:$G$5001,1),""))</f>
        <v>0</v>
      </c>
      <c r="G1070" s="27">
        <f>IF(A1070="","",IFERROR(AVERAGEIFS(Prensa!$B$2:$B$5001,Prensa!$E$2:$E$5001,N1070,Prensa!$F$2:$F$5001,4,Prensa!$G$2:$G$5001,1),""))</f>
        <v>0</v>
      </c>
      <c r="H1070" s="26">
        <f>IF(A1070="","",COUNT(D1070:G1070))</f>
        <v>0</v>
      </c>
      <c r="I1070" s="27">
        <f>IF(A1070="","",IF(H1070=0,"",AVERAGE(D1070:G1070)))</f>
        <v>0</v>
      </c>
      <c r="J1070" s="27">
        <f>IF(OR(I1070="",C1070=""),"",I1070-C1070)</f>
        <v>0</v>
      </c>
      <c r="K1070" s="26">
        <f>IF(A1070="","",IF(MES!E1070&lt;&gt;4,"Horário do MES fora do padrão",IF(H1070&lt;cfgMinCortes,"Cortes insuficientes","Válida")))</f>
        <v>0</v>
      </c>
      <c r="L1070" s="27">
        <f>IF(K1070="Válida",ABS(J1070),"")</f>
        <v>0</v>
      </c>
      <c r="M1070" s="26">
        <f>IF(K1070="Válida",IF(L1070&lt;=cfgTolerancia,"Sim","Não"),"")</f>
        <v>0</v>
      </c>
      <c r="N1070" s="26">
        <f>IF(A1070="","",MES!D1070)</f>
        <v>0</v>
      </c>
      <c r="O1070" s="25">
        <f>IF(K1070="Válida",A1070,NA())</f>
        <v>0</v>
      </c>
      <c r="P1070" s="27">
        <f>IF(K1070="Válida",C1070,NA())</f>
        <v>0</v>
      </c>
      <c r="Q1070" s="27">
        <f>IF(K1070="Válida",I1070,NA())</f>
        <v>0</v>
      </c>
      <c r="R1070" s="27">
        <f>IF(K1070="Válida",J1070,NA())</f>
        <v>0</v>
      </c>
      <c r="S1070" s="27">
        <f>IF(K1070="Válida",C1070,"")</f>
        <v>0</v>
      </c>
      <c r="T1070" s="27">
        <f>IF(K1070="Válida",I1070,"")</f>
        <v>0</v>
      </c>
      <c r="U1070" s="27">
        <f>IF(K1070="Válida",J1070,"")</f>
        <v>0</v>
      </c>
    </row>
    <row r="1071" spans="1:21">
      <c r="A1071" s="25">
        <f>IF(MES!A1071="","",MES!C1071/48)</f>
        <v>0</v>
      </c>
      <c r="B1071" s="26">
        <f>IF(A1071="","",TEXT((N1071*4+cfgDeslocamento)/48,"hh:mm")&amp;" a "&amp;TEXT(A1071,"hh:mm"))</f>
        <v>0</v>
      </c>
      <c r="C1071" s="27">
        <f>IF(A1071="","",MES!B1071)</f>
        <v>0</v>
      </c>
      <c r="D1071" s="27">
        <f>IF(A1071="","",IFERROR(AVERAGEIFS(Prensa!$B$2:$B$5001,Prensa!$E$2:$E$5001,N1071,Prensa!$F$2:$F$5001,1,Prensa!$G$2:$G$5001,1),""))</f>
        <v>0</v>
      </c>
      <c r="E1071" s="27">
        <f>IF(A1071="","",IFERROR(AVERAGEIFS(Prensa!$B$2:$B$5001,Prensa!$E$2:$E$5001,N1071,Prensa!$F$2:$F$5001,2,Prensa!$G$2:$G$5001,1),""))</f>
        <v>0</v>
      </c>
      <c r="F1071" s="27">
        <f>IF(A1071="","",IFERROR(AVERAGEIFS(Prensa!$B$2:$B$5001,Prensa!$E$2:$E$5001,N1071,Prensa!$F$2:$F$5001,3,Prensa!$G$2:$G$5001,1),""))</f>
        <v>0</v>
      </c>
      <c r="G1071" s="27">
        <f>IF(A1071="","",IFERROR(AVERAGEIFS(Prensa!$B$2:$B$5001,Prensa!$E$2:$E$5001,N1071,Prensa!$F$2:$F$5001,4,Prensa!$G$2:$G$5001,1),""))</f>
        <v>0</v>
      </c>
      <c r="H1071" s="26">
        <f>IF(A1071="","",COUNT(D1071:G1071))</f>
        <v>0</v>
      </c>
      <c r="I1071" s="27">
        <f>IF(A1071="","",IF(H1071=0,"",AVERAGE(D1071:G1071)))</f>
        <v>0</v>
      </c>
      <c r="J1071" s="27">
        <f>IF(OR(I1071="",C1071=""),"",I1071-C1071)</f>
        <v>0</v>
      </c>
      <c r="K1071" s="26">
        <f>IF(A1071="","",IF(MES!E1071&lt;&gt;4,"Horário do MES fora do padrão",IF(H1071&lt;cfgMinCortes,"Cortes insuficientes","Válida")))</f>
        <v>0</v>
      </c>
      <c r="L1071" s="27">
        <f>IF(K1071="Válida",ABS(J1071),"")</f>
        <v>0</v>
      </c>
      <c r="M1071" s="26">
        <f>IF(K1071="Válida",IF(L1071&lt;=cfgTolerancia,"Sim","Não"),"")</f>
        <v>0</v>
      </c>
      <c r="N1071" s="26">
        <f>IF(A1071="","",MES!D1071)</f>
        <v>0</v>
      </c>
      <c r="O1071" s="25">
        <f>IF(K1071="Válida",A1071,NA())</f>
        <v>0</v>
      </c>
      <c r="P1071" s="27">
        <f>IF(K1071="Válida",C1071,NA())</f>
        <v>0</v>
      </c>
      <c r="Q1071" s="27">
        <f>IF(K1071="Válida",I1071,NA())</f>
        <v>0</v>
      </c>
      <c r="R1071" s="27">
        <f>IF(K1071="Válida",J1071,NA())</f>
        <v>0</v>
      </c>
      <c r="S1071" s="27">
        <f>IF(K1071="Válida",C1071,"")</f>
        <v>0</v>
      </c>
      <c r="T1071" s="27">
        <f>IF(K1071="Válida",I1071,"")</f>
        <v>0</v>
      </c>
      <c r="U1071" s="27">
        <f>IF(K1071="Válida",J1071,"")</f>
        <v>0</v>
      </c>
    </row>
    <row r="1072" spans="1:21">
      <c r="A1072" s="25">
        <f>IF(MES!A1072="","",MES!C1072/48)</f>
        <v>0</v>
      </c>
      <c r="B1072" s="26">
        <f>IF(A1072="","",TEXT((N1072*4+cfgDeslocamento)/48,"hh:mm")&amp;" a "&amp;TEXT(A1072,"hh:mm"))</f>
        <v>0</v>
      </c>
      <c r="C1072" s="27">
        <f>IF(A1072="","",MES!B1072)</f>
        <v>0</v>
      </c>
      <c r="D1072" s="27">
        <f>IF(A1072="","",IFERROR(AVERAGEIFS(Prensa!$B$2:$B$5001,Prensa!$E$2:$E$5001,N1072,Prensa!$F$2:$F$5001,1,Prensa!$G$2:$G$5001,1),""))</f>
        <v>0</v>
      </c>
      <c r="E1072" s="27">
        <f>IF(A1072="","",IFERROR(AVERAGEIFS(Prensa!$B$2:$B$5001,Prensa!$E$2:$E$5001,N1072,Prensa!$F$2:$F$5001,2,Prensa!$G$2:$G$5001,1),""))</f>
        <v>0</v>
      </c>
      <c r="F1072" s="27">
        <f>IF(A1072="","",IFERROR(AVERAGEIFS(Prensa!$B$2:$B$5001,Prensa!$E$2:$E$5001,N1072,Prensa!$F$2:$F$5001,3,Prensa!$G$2:$G$5001,1),""))</f>
        <v>0</v>
      </c>
      <c r="G1072" s="27">
        <f>IF(A1072="","",IFERROR(AVERAGEIFS(Prensa!$B$2:$B$5001,Prensa!$E$2:$E$5001,N1072,Prensa!$F$2:$F$5001,4,Prensa!$G$2:$G$5001,1),""))</f>
        <v>0</v>
      </c>
      <c r="H1072" s="26">
        <f>IF(A1072="","",COUNT(D1072:G1072))</f>
        <v>0</v>
      </c>
      <c r="I1072" s="27">
        <f>IF(A1072="","",IF(H1072=0,"",AVERAGE(D1072:G1072)))</f>
        <v>0</v>
      </c>
      <c r="J1072" s="27">
        <f>IF(OR(I1072="",C1072=""),"",I1072-C1072)</f>
        <v>0</v>
      </c>
      <c r="K1072" s="26">
        <f>IF(A1072="","",IF(MES!E1072&lt;&gt;4,"Horário do MES fora do padrão",IF(H1072&lt;cfgMinCortes,"Cortes insuficientes","Válida")))</f>
        <v>0</v>
      </c>
      <c r="L1072" s="27">
        <f>IF(K1072="Válida",ABS(J1072),"")</f>
        <v>0</v>
      </c>
      <c r="M1072" s="26">
        <f>IF(K1072="Válida",IF(L1072&lt;=cfgTolerancia,"Sim","Não"),"")</f>
        <v>0</v>
      </c>
      <c r="N1072" s="26">
        <f>IF(A1072="","",MES!D1072)</f>
        <v>0</v>
      </c>
      <c r="O1072" s="25">
        <f>IF(K1072="Válida",A1072,NA())</f>
        <v>0</v>
      </c>
      <c r="P1072" s="27">
        <f>IF(K1072="Válida",C1072,NA())</f>
        <v>0</v>
      </c>
      <c r="Q1072" s="27">
        <f>IF(K1072="Válida",I1072,NA())</f>
        <v>0</v>
      </c>
      <c r="R1072" s="27">
        <f>IF(K1072="Válida",J1072,NA())</f>
        <v>0</v>
      </c>
      <c r="S1072" s="27">
        <f>IF(K1072="Válida",C1072,"")</f>
        <v>0</v>
      </c>
      <c r="T1072" s="27">
        <f>IF(K1072="Válida",I1072,"")</f>
        <v>0</v>
      </c>
      <c r="U1072" s="27">
        <f>IF(K1072="Válida",J1072,"")</f>
        <v>0</v>
      </c>
    </row>
    <row r="1073" spans="1:21">
      <c r="A1073" s="25">
        <f>IF(MES!A1073="","",MES!C1073/48)</f>
        <v>0</v>
      </c>
      <c r="B1073" s="26">
        <f>IF(A1073="","",TEXT((N1073*4+cfgDeslocamento)/48,"hh:mm")&amp;" a "&amp;TEXT(A1073,"hh:mm"))</f>
        <v>0</v>
      </c>
      <c r="C1073" s="27">
        <f>IF(A1073="","",MES!B1073)</f>
        <v>0</v>
      </c>
      <c r="D1073" s="27">
        <f>IF(A1073="","",IFERROR(AVERAGEIFS(Prensa!$B$2:$B$5001,Prensa!$E$2:$E$5001,N1073,Prensa!$F$2:$F$5001,1,Prensa!$G$2:$G$5001,1),""))</f>
        <v>0</v>
      </c>
      <c r="E1073" s="27">
        <f>IF(A1073="","",IFERROR(AVERAGEIFS(Prensa!$B$2:$B$5001,Prensa!$E$2:$E$5001,N1073,Prensa!$F$2:$F$5001,2,Prensa!$G$2:$G$5001,1),""))</f>
        <v>0</v>
      </c>
      <c r="F1073" s="27">
        <f>IF(A1073="","",IFERROR(AVERAGEIFS(Prensa!$B$2:$B$5001,Prensa!$E$2:$E$5001,N1073,Prensa!$F$2:$F$5001,3,Prensa!$G$2:$G$5001,1),""))</f>
        <v>0</v>
      </c>
      <c r="G1073" s="27">
        <f>IF(A1073="","",IFERROR(AVERAGEIFS(Prensa!$B$2:$B$5001,Prensa!$E$2:$E$5001,N1073,Prensa!$F$2:$F$5001,4,Prensa!$G$2:$G$5001,1),""))</f>
        <v>0</v>
      </c>
      <c r="H1073" s="26">
        <f>IF(A1073="","",COUNT(D1073:G1073))</f>
        <v>0</v>
      </c>
      <c r="I1073" s="27">
        <f>IF(A1073="","",IF(H1073=0,"",AVERAGE(D1073:G1073)))</f>
        <v>0</v>
      </c>
      <c r="J1073" s="27">
        <f>IF(OR(I1073="",C1073=""),"",I1073-C1073)</f>
        <v>0</v>
      </c>
      <c r="K1073" s="26">
        <f>IF(A1073="","",IF(MES!E1073&lt;&gt;4,"Horário do MES fora do padrão",IF(H1073&lt;cfgMinCortes,"Cortes insuficientes","Válida")))</f>
        <v>0</v>
      </c>
      <c r="L1073" s="27">
        <f>IF(K1073="Válida",ABS(J1073),"")</f>
        <v>0</v>
      </c>
      <c r="M1073" s="26">
        <f>IF(K1073="Válida",IF(L1073&lt;=cfgTolerancia,"Sim","Não"),"")</f>
        <v>0</v>
      </c>
      <c r="N1073" s="26">
        <f>IF(A1073="","",MES!D1073)</f>
        <v>0</v>
      </c>
      <c r="O1073" s="25">
        <f>IF(K1073="Válida",A1073,NA())</f>
        <v>0</v>
      </c>
      <c r="P1073" s="27">
        <f>IF(K1073="Válida",C1073,NA())</f>
        <v>0</v>
      </c>
      <c r="Q1073" s="27">
        <f>IF(K1073="Válida",I1073,NA())</f>
        <v>0</v>
      </c>
      <c r="R1073" s="27">
        <f>IF(K1073="Válida",J1073,NA())</f>
        <v>0</v>
      </c>
      <c r="S1073" s="27">
        <f>IF(K1073="Válida",C1073,"")</f>
        <v>0</v>
      </c>
      <c r="T1073" s="27">
        <f>IF(K1073="Válida",I1073,"")</f>
        <v>0</v>
      </c>
      <c r="U1073" s="27">
        <f>IF(K1073="Válida",J1073,"")</f>
        <v>0</v>
      </c>
    </row>
    <row r="1074" spans="1:21">
      <c r="A1074" s="25">
        <f>IF(MES!A1074="","",MES!C1074/48)</f>
        <v>0</v>
      </c>
      <c r="B1074" s="26">
        <f>IF(A1074="","",TEXT((N1074*4+cfgDeslocamento)/48,"hh:mm")&amp;" a "&amp;TEXT(A1074,"hh:mm"))</f>
        <v>0</v>
      </c>
      <c r="C1074" s="27">
        <f>IF(A1074="","",MES!B1074)</f>
        <v>0</v>
      </c>
      <c r="D1074" s="27">
        <f>IF(A1074="","",IFERROR(AVERAGEIFS(Prensa!$B$2:$B$5001,Prensa!$E$2:$E$5001,N1074,Prensa!$F$2:$F$5001,1,Prensa!$G$2:$G$5001,1),""))</f>
        <v>0</v>
      </c>
      <c r="E1074" s="27">
        <f>IF(A1074="","",IFERROR(AVERAGEIFS(Prensa!$B$2:$B$5001,Prensa!$E$2:$E$5001,N1074,Prensa!$F$2:$F$5001,2,Prensa!$G$2:$G$5001,1),""))</f>
        <v>0</v>
      </c>
      <c r="F1074" s="27">
        <f>IF(A1074="","",IFERROR(AVERAGEIFS(Prensa!$B$2:$B$5001,Prensa!$E$2:$E$5001,N1074,Prensa!$F$2:$F$5001,3,Prensa!$G$2:$G$5001,1),""))</f>
        <v>0</v>
      </c>
      <c r="G1074" s="27">
        <f>IF(A1074="","",IFERROR(AVERAGEIFS(Prensa!$B$2:$B$5001,Prensa!$E$2:$E$5001,N1074,Prensa!$F$2:$F$5001,4,Prensa!$G$2:$G$5001,1),""))</f>
        <v>0</v>
      </c>
      <c r="H1074" s="26">
        <f>IF(A1074="","",COUNT(D1074:G1074))</f>
        <v>0</v>
      </c>
      <c r="I1074" s="27">
        <f>IF(A1074="","",IF(H1074=0,"",AVERAGE(D1074:G1074)))</f>
        <v>0</v>
      </c>
      <c r="J1074" s="27">
        <f>IF(OR(I1074="",C1074=""),"",I1074-C1074)</f>
        <v>0</v>
      </c>
      <c r="K1074" s="26">
        <f>IF(A1074="","",IF(MES!E1074&lt;&gt;4,"Horário do MES fora do padrão",IF(H1074&lt;cfgMinCortes,"Cortes insuficientes","Válida")))</f>
        <v>0</v>
      </c>
      <c r="L1074" s="27">
        <f>IF(K1074="Válida",ABS(J1074),"")</f>
        <v>0</v>
      </c>
      <c r="M1074" s="26">
        <f>IF(K1074="Válida",IF(L1074&lt;=cfgTolerancia,"Sim","Não"),"")</f>
        <v>0</v>
      </c>
      <c r="N1074" s="26">
        <f>IF(A1074="","",MES!D1074)</f>
        <v>0</v>
      </c>
      <c r="O1074" s="25">
        <f>IF(K1074="Válida",A1074,NA())</f>
        <v>0</v>
      </c>
      <c r="P1074" s="27">
        <f>IF(K1074="Válida",C1074,NA())</f>
        <v>0</v>
      </c>
      <c r="Q1074" s="27">
        <f>IF(K1074="Válida",I1074,NA())</f>
        <v>0</v>
      </c>
      <c r="R1074" s="27">
        <f>IF(K1074="Válida",J1074,NA())</f>
        <v>0</v>
      </c>
      <c r="S1074" s="27">
        <f>IF(K1074="Válida",C1074,"")</f>
        <v>0</v>
      </c>
      <c r="T1074" s="27">
        <f>IF(K1074="Válida",I1074,"")</f>
        <v>0</v>
      </c>
      <c r="U1074" s="27">
        <f>IF(K1074="Válida",J1074,"")</f>
        <v>0</v>
      </c>
    </row>
    <row r="1075" spans="1:21">
      <c r="A1075" s="25">
        <f>IF(MES!A1075="","",MES!C1075/48)</f>
        <v>0</v>
      </c>
      <c r="B1075" s="26">
        <f>IF(A1075="","",TEXT((N1075*4+cfgDeslocamento)/48,"hh:mm")&amp;" a "&amp;TEXT(A1075,"hh:mm"))</f>
        <v>0</v>
      </c>
      <c r="C1075" s="27">
        <f>IF(A1075="","",MES!B1075)</f>
        <v>0</v>
      </c>
      <c r="D1075" s="27">
        <f>IF(A1075="","",IFERROR(AVERAGEIFS(Prensa!$B$2:$B$5001,Prensa!$E$2:$E$5001,N1075,Prensa!$F$2:$F$5001,1,Prensa!$G$2:$G$5001,1),""))</f>
        <v>0</v>
      </c>
      <c r="E1075" s="27">
        <f>IF(A1075="","",IFERROR(AVERAGEIFS(Prensa!$B$2:$B$5001,Prensa!$E$2:$E$5001,N1075,Prensa!$F$2:$F$5001,2,Prensa!$G$2:$G$5001,1),""))</f>
        <v>0</v>
      </c>
      <c r="F1075" s="27">
        <f>IF(A1075="","",IFERROR(AVERAGEIFS(Prensa!$B$2:$B$5001,Prensa!$E$2:$E$5001,N1075,Prensa!$F$2:$F$5001,3,Prensa!$G$2:$G$5001,1),""))</f>
        <v>0</v>
      </c>
      <c r="G1075" s="27">
        <f>IF(A1075="","",IFERROR(AVERAGEIFS(Prensa!$B$2:$B$5001,Prensa!$E$2:$E$5001,N1075,Prensa!$F$2:$F$5001,4,Prensa!$G$2:$G$5001,1),""))</f>
        <v>0</v>
      </c>
      <c r="H1075" s="26">
        <f>IF(A1075="","",COUNT(D1075:G1075))</f>
        <v>0</v>
      </c>
      <c r="I1075" s="27">
        <f>IF(A1075="","",IF(H1075=0,"",AVERAGE(D1075:G1075)))</f>
        <v>0</v>
      </c>
      <c r="J1075" s="27">
        <f>IF(OR(I1075="",C1075=""),"",I1075-C1075)</f>
        <v>0</v>
      </c>
      <c r="K1075" s="26">
        <f>IF(A1075="","",IF(MES!E1075&lt;&gt;4,"Horário do MES fora do padrão",IF(H1075&lt;cfgMinCortes,"Cortes insuficientes","Válida")))</f>
        <v>0</v>
      </c>
      <c r="L1075" s="27">
        <f>IF(K1075="Válida",ABS(J1075),"")</f>
        <v>0</v>
      </c>
      <c r="M1075" s="26">
        <f>IF(K1075="Válida",IF(L1075&lt;=cfgTolerancia,"Sim","Não"),"")</f>
        <v>0</v>
      </c>
      <c r="N1075" s="26">
        <f>IF(A1075="","",MES!D1075)</f>
        <v>0</v>
      </c>
      <c r="O1075" s="25">
        <f>IF(K1075="Válida",A1075,NA())</f>
        <v>0</v>
      </c>
      <c r="P1075" s="27">
        <f>IF(K1075="Válida",C1075,NA())</f>
        <v>0</v>
      </c>
      <c r="Q1075" s="27">
        <f>IF(K1075="Válida",I1075,NA())</f>
        <v>0</v>
      </c>
      <c r="R1075" s="27">
        <f>IF(K1075="Válida",J1075,NA())</f>
        <v>0</v>
      </c>
      <c r="S1075" s="27">
        <f>IF(K1075="Válida",C1075,"")</f>
        <v>0</v>
      </c>
      <c r="T1075" s="27">
        <f>IF(K1075="Válida",I1075,"")</f>
        <v>0</v>
      </c>
      <c r="U1075" s="27">
        <f>IF(K1075="Válida",J1075,"")</f>
        <v>0</v>
      </c>
    </row>
    <row r="1076" spans="1:21">
      <c r="A1076" s="25">
        <f>IF(MES!A1076="","",MES!C1076/48)</f>
        <v>0</v>
      </c>
      <c r="B1076" s="26">
        <f>IF(A1076="","",TEXT((N1076*4+cfgDeslocamento)/48,"hh:mm")&amp;" a "&amp;TEXT(A1076,"hh:mm"))</f>
        <v>0</v>
      </c>
      <c r="C1076" s="27">
        <f>IF(A1076="","",MES!B1076)</f>
        <v>0</v>
      </c>
      <c r="D1076" s="27">
        <f>IF(A1076="","",IFERROR(AVERAGEIFS(Prensa!$B$2:$B$5001,Prensa!$E$2:$E$5001,N1076,Prensa!$F$2:$F$5001,1,Prensa!$G$2:$G$5001,1),""))</f>
        <v>0</v>
      </c>
      <c r="E1076" s="27">
        <f>IF(A1076="","",IFERROR(AVERAGEIFS(Prensa!$B$2:$B$5001,Prensa!$E$2:$E$5001,N1076,Prensa!$F$2:$F$5001,2,Prensa!$G$2:$G$5001,1),""))</f>
        <v>0</v>
      </c>
      <c r="F1076" s="27">
        <f>IF(A1076="","",IFERROR(AVERAGEIFS(Prensa!$B$2:$B$5001,Prensa!$E$2:$E$5001,N1076,Prensa!$F$2:$F$5001,3,Prensa!$G$2:$G$5001,1),""))</f>
        <v>0</v>
      </c>
      <c r="G1076" s="27">
        <f>IF(A1076="","",IFERROR(AVERAGEIFS(Prensa!$B$2:$B$5001,Prensa!$E$2:$E$5001,N1076,Prensa!$F$2:$F$5001,4,Prensa!$G$2:$G$5001,1),""))</f>
        <v>0</v>
      </c>
      <c r="H1076" s="26">
        <f>IF(A1076="","",COUNT(D1076:G1076))</f>
        <v>0</v>
      </c>
      <c r="I1076" s="27">
        <f>IF(A1076="","",IF(H1076=0,"",AVERAGE(D1076:G1076)))</f>
        <v>0</v>
      </c>
      <c r="J1076" s="27">
        <f>IF(OR(I1076="",C1076=""),"",I1076-C1076)</f>
        <v>0</v>
      </c>
      <c r="K1076" s="26">
        <f>IF(A1076="","",IF(MES!E1076&lt;&gt;4,"Horário do MES fora do padrão",IF(H1076&lt;cfgMinCortes,"Cortes insuficientes","Válida")))</f>
        <v>0</v>
      </c>
      <c r="L1076" s="27">
        <f>IF(K1076="Válida",ABS(J1076),"")</f>
        <v>0</v>
      </c>
      <c r="M1076" s="26">
        <f>IF(K1076="Válida",IF(L1076&lt;=cfgTolerancia,"Sim","Não"),"")</f>
        <v>0</v>
      </c>
      <c r="N1076" s="26">
        <f>IF(A1076="","",MES!D1076)</f>
        <v>0</v>
      </c>
      <c r="O1076" s="25">
        <f>IF(K1076="Válida",A1076,NA())</f>
        <v>0</v>
      </c>
      <c r="P1076" s="27">
        <f>IF(K1076="Válida",C1076,NA())</f>
        <v>0</v>
      </c>
      <c r="Q1076" s="27">
        <f>IF(K1076="Válida",I1076,NA())</f>
        <v>0</v>
      </c>
      <c r="R1076" s="27">
        <f>IF(K1076="Válida",J1076,NA())</f>
        <v>0</v>
      </c>
      <c r="S1076" s="27">
        <f>IF(K1076="Válida",C1076,"")</f>
        <v>0</v>
      </c>
      <c r="T1076" s="27">
        <f>IF(K1076="Válida",I1076,"")</f>
        <v>0</v>
      </c>
      <c r="U1076" s="27">
        <f>IF(K1076="Válida",J1076,"")</f>
        <v>0</v>
      </c>
    </row>
    <row r="1077" spans="1:21">
      <c r="A1077" s="25">
        <f>IF(MES!A1077="","",MES!C1077/48)</f>
        <v>0</v>
      </c>
      <c r="B1077" s="26">
        <f>IF(A1077="","",TEXT((N1077*4+cfgDeslocamento)/48,"hh:mm")&amp;" a "&amp;TEXT(A1077,"hh:mm"))</f>
        <v>0</v>
      </c>
      <c r="C1077" s="27">
        <f>IF(A1077="","",MES!B1077)</f>
        <v>0</v>
      </c>
      <c r="D1077" s="27">
        <f>IF(A1077="","",IFERROR(AVERAGEIFS(Prensa!$B$2:$B$5001,Prensa!$E$2:$E$5001,N1077,Prensa!$F$2:$F$5001,1,Prensa!$G$2:$G$5001,1),""))</f>
        <v>0</v>
      </c>
      <c r="E1077" s="27">
        <f>IF(A1077="","",IFERROR(AVERAGEIFS(Prensa!$B$2:$B$5001,Prensa!$E$2:$E$5001,N1077,Prensa!$F$2:$F$5001,2,Prensa!$G$2:$G$5001,1),""))</f>
        <v>0</v>
      </c>
      <c r="F1077" s="27">
        <f>IF(A1077="","",IFERROR(AVERAGEIFS(Prensa!$B$2:$B$5001,Prensa!$E$2:$E$5001,N1077,Prensa!$F$2:$F$5001,3,Prensa!$G$2:$G$5001,1),""))</f>
        <v>0</v>
      </c>
      <c r="G1077" s="27">
        <f>IF(A1077="","",IFERROR(AVERAGEIFS(Prensa!$B$2:$B$5001,Prensa!$E$2:$E$5001,N1077,Prensa!$F$2:$F$5001,4,Prensa!$G$2:$G$5001,1),""))</f>
        <v>0</v>
      </c>
      <c r="H1077" s="26">
        <f>IF(A1077="","",COUNT(D1077:G1077))</f>
        <v>0</v>
      </c>
      <c r="I1077" s="27">
        <f>IF(A1077="","",IF(H1077=0,"",AVERAGE(D1077:G1077)))</f>
        <v>0</v>
      </c>
      <c r="J1077" s="27">
        <f>IF(OR(I1077="",C1077=""),"",I1077-C1077)</f>
        <v>0</v>
      </c>
      <c r="K1077" s="26">
        <f>IF(A1077="","",IF(MES!E1077&lt;&gt;4,"Horário do MES fora do padrão",IF(H1077&lt;cfgMinCortes,"Cortes insuficientes","Válida")))</f>
        <v>0</v>
      </c>
      <c r="L1077" s="27">
        <f>IF(K1077="Válida",ABS(J1077),"")</f>
        <v>0</v>
      </c>
      <c r="M1077" s="26">
        <f>IF(K1077="Válida",IF(L1077&lt;=cfgTolerancia,"Sim","Não"),"")</f>
        <v>0</v>
      </c>
      <c r="N1077" s="26">
        <f>IF(A1077="","",MES!D1077)</f>
        <v>0</v>
      </c>
      <c r="O1077" s="25">
        <f>IF(K1077="Válida",A1077,NA())</f>
        <v>0</v>
      </c>
      <c r="P1077" s="27">
        <f>IF(K1077="Válida",C1077,NA())</f>
        <v>0</v>
      </c>
      <c r="Q1077" s="27">
        <f>IF(K1077="Válida",I1077,NA())</f>
        <v>0</v>
      </c>
      <c r="R1077" s="27">
        <f>IF(K1077="Válida",J1077,NA())</f>
        <v>0</v>
      </c>
      <c r="S1077" s="27">
        <f>IF(K1077="Válida",C1077,"")</f>
        <v>0</v>
      </c>
      <c r="T1077" s="27">
        <f>IF(K1077="Válida",I1077,"")</f>
        <v>0</v>
      </c>
      <c r="U1077" s="27">
        <f>IF(K1077="Válida",J1077,"")</f>
        <v>0</v>
      </c>
    </row>
    <row r="1078" spans="1:21">
      <c r="A1078" s="25">
        <f>IF(MES!A1078="","",MES!C1078/48)</f>
        <v>0</v>
      </c>
      <c r="B1078" s="26">
        <f>IF(A1078="","",TEXT((N1078*4+cfgDeslocamento)/48,"hh:mm")&amp;" a "&amp;TEXT(A1078,"hh:mm"))</f>
        <v>0</v>
      </c>
      <c r="C1078" s="27">
        <f>IF(A1078="","",MES!B1078)</f>
        <v>0</v>
      </c>
      <c r="D1078" s="27">
        <f>IF(A1078="","",IFERROR(AVERAGEIFS(Prensa!$B$2:$B$5001,Prensa!$E$2:$E$5001,N1078,Prensa!$F$2:$F$5001,1,Prensa!$G$2:$G$5001,1),""))</f>
        <v>0</v>
      </c>
      <c r="E1078" s="27">
        <f>IF(A1078="","",IFERROR(AVERAGEIFS(Prensa!$B$2:$B$5001,Prensa!$E$2:$E$5001,N1078,Prensa!$F$2:$F$5001,2,Prensa!$G$2:$G$5001,1),""))</f>
        <v>0</v>
      </c>
      <c r="F1078" s="27">
        <f>IF(A1078="","",IFERROR(AVERAGEIFS(Prensa!$B$2:$B$5001,Prensa!$E$2:$E$5001,N1078,Prensa!$F$2:$F$5001,3,Prensa!$G$2:$G$5001,1),""))</f>
        <v>0</v>
      </c>
      <c r="G1078" s="27">
        <f>IF(A1078="","",IFERROR(AVERAGEIFS(Prensa!$B$2:$B$5001,Prensa!$E$2:$E$5001,N1078,Prensa!$F$2:$F$5001,4,Prensa!$G$2:$G$5001,1),""))</f>
        <v>0</v>
      </c>
      <c r="H1078" s="26">
        <f>IF(A1078="","",COUNT(D1078:G1078))</f>
        <v>0</v>
      </c>
      <c r="I1078" s="27">
        <f>IF(A1078="","",IF(H1078=0,"",AVERAGE(D1078:G1078)))</f>
        <v>0</v>
      </c>
      <c r="J1078" s="27">
        <f>IF(OR(I1078="",C1078=""),"",I1078-C1078)</f>
        <v>0</v>
      </c>
      <c r="K1078" s="26">
        <f>IF(A1078="","",IF(MES!E1078&lt;&gt;4,"Horário do MES fora do padrão",IF(H1078&lt;cfgMinCortes,"Cortes insuficientes","Válida")))</f>
        <v>0</v>
      </c>
      <c r="L1078" s="27">
        <f>IF(K1078="Válida",ABS(J1078),"")</f>
        <v>0</v>
      </c>
      <c r="M1078" s="26">
        <f>IF(K1078="Válida",IF(L1078&lt;=cfgTolerancia,"Sim","Não"),"")</f>
        <v>0</v>
      </c>
      <c r="N1078" s="26">
        <f>IF(A1078="","",MES!D1078)</f>
        <v>0</v>
      </c>
      <c r="O1078" s="25">
        <f>IF(K1078="Válida",A1078,NA())</f>
        <v>0</v>
      </c>
      <c r="P1078" s="27">
        <f>IF(K1078="Válida",C1078,NA())</f>
        <v>0</v>
      </c>
      <c r="Q1078" s="27">
        <f>IF(K1078="Válida",I1078,NA())</f>
        <v>0</v>
      </c>
      <c r="R1078" s="27">
        <f>IF(K1078="Válida",J1078,NA())</f>
        <v>0</v>
      </c>
      <c r="S1078" s="27">
        <f>IF(K1078="Válida",C1078,"")</f>
        <v>0</v>
      </c>
      <c r="T1078" s="27">
        <f>IF(K1078="Válida",I1078,"")</f>
        <v>0</v>
      </c>
      <c r="U1078" s="27">
        <f>IF(K1078="Válida",J1078,"")</f>
        <v>0</v>
      </c>
    </row>
    <row r="1079" spans="1:21">
      <c r="A1079" s="25">
        <f>IF(MES!A1079="","",MES!C1079/48)</f>
        <v>0</v>
      </c>
      <c r="B1079" s="26">
        <f>IF(A1079="","",TEXT((N1079*4+cfgDeslocamento)/48,"hh:mm")&amp;" a "&amp;TEXT(A1079,"hh:mm"))</f>
        <v>0</v>
      </c>
      <c r="C1079" s="27">
        <f>IF(A1079="","",MES!B1079)</f>
        <v>0</v>
      </c>
      <c r="D1079" s="27">
        <f>IF(A1079="","",IFERROR(AVERAGEIFS(Prensa!$B$2:$B$5001,Prensa!$E$2:$E$5001,N1079,Prensa!$F$2:$F$5001,1,Prensa!$G$2:$G$5001,1),""))</f>
        <v>0</v>
      </c>
      <c r="E1079" s="27">
        <f>IF(A1079="","",IFERROR(AVERAGEIFS(Prensa!$B$2:$B$5001,Prensa!$E$2:$E$5001,N1079,Prensa!$F$2:$F$5001,2,Prensa!$G$2:$G$5001,1),""))</f>
        <v>0</v>
      </c>
      <c r="F1079" s="27">
        <f>IF(A1079="","",IFERROR(AVERAGEIFS(Prensa!$B$2:$B$5001,Prensa!$E$2:$E$5001,N1079,Prensa!$F$2:$F$5001,3,Prensa!$G$2:$G$5001,1),""))</f>
        <v>0</v>
      </c>
      <c r="G1079" s="27">
        <f>IF(A1079="","",IFERROR(AVERAGEIFS(Prensa!$B$2:$B$5001,Prensa!$E$2:$E$5001,N1079,Prensa!$F$2:$F$5001,4,Prensa!$G$2:$G$5001,1),""))</f>
        <v>0</v>
      </c>
      <c r="H1079" s="26">
        <f>IF(A1079="","",COUNT(D1079:G1079))</f>
        <v>0</v>
      </c>
      <c r="I1079" s="27">
        <f>IF(A1079="","",IF(H1079=0,"",AVERAGE(D1079:G1079)))</f>
        <v>0</v>
      </c>
      <c r="J1079" s="27">
        <f>IF(OR(I1079="",C1079=""),"",I1079-C1079)</f>
        <v>0</v>
      </c>
      <c r="K1079" s="26">
        <f>IF(A1079="","",IF(MES!E1079&lt;&gt;4,"Horário do MES fora do padrão",IF(H1079&lt;cfgMinCortes,"Cortes insuficientes","Válida")))</f>
        <v>0</v>
      </c>
      <c r="L1079" s="27">
        <f>IF(K1079="Válida",ABS(J1079),"")</f>
        <v>0</v>
      </c>
      <c r="M1079" s="26">
        <f>IF(K1079="Válida",IF(L1079&lt;=cfgTolerancia,"Sim","Não"),"")</f>
        <v>0</v>
      </c>
      <c r="N1079" s="26">
        <f>IF(A1079="","",MES!D1079)</f>
        <v>0</v>
      </c>
      <c r="O1079" s="25">
        <f>IF(K1079="Válida",A1079,NA())</f>
        <v>0</v>
      </c>
      <c r="P1079" s="27">
        <f>IF(K1079="Válida",C1079,NA())</f>
        <v>0</v>
      </c>
      <c r="Q1079" s="27">
        <f>IF(K1079="Válida",I1079,NA())</f>
        <v>0</v>
      </c>
      <c r="R1079" s="27">
        <f>IF(K1079="Válida",J1079,NA())</f>
        <v>0</v>
      </c>
      <c r="S1079" s="27">
        <f>IF(K1079="Válida",C1079,"")</f>
        <v>0</v>
      </c>
      <c r="T1079" s="27">
        <f>IF(K1079="Válida",I1079,"")</f>
        <v>0</v>
      </c>
      <c r="U1079" s="27">
        <f>IF(K1079="Válida",J1079,"")</f>
        <v>0</v>
      </c>
    </row>
    <row r="1080" spans="1:21">
      <c r="A1080" s="25">
        <f>IF(MES!A1080="","",MES!C1080/48)</f>
        <v>0</v>
      </c>
      <c r="B1080" s="26">
        <f>IF(A1080="","",TEXT((N1080*4+cfgDeslocamento)/48,"hh:mm")&amp;" a "&amp;TEXT(A1080,"hh:mm"))</f>
        <v>0</v>
      </c>
      <c r="C1080" s="27">
        <f>IF(A1080="","",MES!B1080)</f>
        <v>0</v>
      </c>
      <c r="D1080" s="27">
        <f>IF(A1080="","",IFERROR(AVERAGEIFS(Prensa!$B$2:$B$5001,Prensa!$E$2:$E$5001,N1080,Prensa!$F$2:$F$5001,1,Prensa!$G$2:$G$5001,1),""))</f>
        <v>0</v>
      </c>
      <c r="E1080" s="27">
        <f>IF(A1080="","",IFERROR(AVERAGEIFS(Prensa!$B$2:$B$5001,Prensa!$E$2:$E$5001,N1080,Prensa!$F$2:$F$5001,2,Prensa!$G$2:$G$5001,1),""))</f>
        <v>0</v>
      </c>
      <c r="F1080" s="27">
        <f>IF(A1080="","",IFERROR(AVERAGEIFS(Prensa!$B$2:$B$5001,Prensa!$E$2:$E$5001,N1080,Prensa!$F$2:$F$5001,3,Prensa!$G$2:$G$5001,1),""))</f>
        <v>0</v>
      </c>
      <c r="G1080" s="27">
        <f>IF(A1080="","",IFERROR(AVERAGEIFS(Prensa!$B$2:$B$5001,Prensa!$E$2:$E$5001,N1080,Prensa!$F$2:$F$5001,4,Prensa!$G$2:$G$5001,1),""))</f>
        <v>0</v>
      </c>
      <c r="H1080" s="26">
        <f>IF(A1080="","",COUNT(D1080:G1080))</f>
        <v>0</v>
      </c>
      <c r="I1080" s="27">
        <f>IF(A1080="","",IF(H1080=0,"",AVERAGE(D1080:G1080)))</f>
        <v>0</v>
      </c>
      <c r="J1080" s="27">
        <f>IF(OR(I1080="",C1080=""),"",I1080-C1080)</f>
        <v>0</v>
      </c>
      <c r="K1080" s="26">
        <f>IF(A1080="","",IF(MES!E1080&lt;&gt;4,"Horário do MES fora do padrão",IF(H1080&lt;cfgMinCortes,"Cortes insuficientes","Válida")))</f>
        <v>0</v>
      </c>
      <c r="L1080" s="27">
        <f>IF(K1080="Válida",ABS(J1080),"")</f>
        <v>0</v>
      </c>
      <c r="M1080" s="26">
        <f>IF(K1080="Válida",IF(L1080&lt;=cfgTolerancia,"Sim","Não"),"")</f>
        <v>0</v>
      </c>
      <c r="N1080" s="26">
        <f>IF(A1080="","",MES!D1080)</f>
        <v>0</v>
      </c>
      <c r="O1080" s="25">
        <f>IF(K1080="Válida",A1080,NA())</f>
        <v>0</v>
      </c>
      <c r="P1080" s="27">
        <f>IF(K1080="Válida",C1080,NA())</f>
        <v>0</v>
      </c>
      <c r="Q1080" s="27">
        <f>IF(K1080="Válida",I1080,NA())</f>
        <v>0</v>
      </c>
      <c r="R1080" s="27">
        <f>IF(K1080="Válida",J1080,NA())</f>
        <v>0</v>
      </c>
      <c r="S1080" s="27">
        <f>IF(K1080="Válida",C1080,"")</f>
        <v>0</v>
      </c>
      <c r="T1080" s="27">
        <f>IF(K1080="Válida",I1080,"")</f>
        <v>0</v>
      </c>
      <c r="U1080" s="27">
        <f>IF(K1080="Válida",J1080,"")</f>
        <v>0</v>
      </c>
    </row>
    <row r="1081" spans="1:21">
      <c r="A1081" s="25">
        <f>IF(MES!A1081="","",MES!C1081/48)</f>
        <v>0</v>
      </c>
      <c r="B1081" s="26">
        <f>IF(A1081="","",TEXT((N1081*4+cfgDeslocamento)/48,"hh:mm")&amp;" a "&amp;TEXT(A1081,"hh:mm"))</f>
        <v>0</v>
      </c>
      <c r="C1081" s="27">
        <f>IF(A1081="","",MES!B1081)</f>
        <v>0</v>
      </c>
      <c r="D1081" s="27">
        <f>IF(A1081="","",IFERROR(AVERAGEIFS(Prensa!$B$2:$B$5001,Prensa!$E$2:$E$5001,N1081,Prensa!$F$2:$F$5001,1,Prensa!$G$2:$G$5001,1),""))</f>
        <v>0</v>
      </c>
      <c r="E1081" s="27">
        <f>IF(A1081="","",IFERROR(AVERAGEIFS(Prensa!$B$2:$B$5001,Prensa!$E$2:$E$5001,N1081,Prensa!$F$2:$F$5001,2,Prensa!$G$2:$G$5001,1),""))</f>
        <v>0</v>
      </c>
      <c r="F1081" s="27">
        <f>IF(A1081="","",IFERROR(AVERAGEIFS(Prensa!$B$2:$B$5001,Prensa!$E$2:$E$5001,N1081,Prensa!$F$2:$F$5001,3,Prensa!$G$2:$G$5001,1),""))</f>
        <v>0</v>
      </c>
      <c r="G1081" s="27">
        <f>IF(A1081="","",IFERROR(AVERAGEIFS(Prensa!$B$2:$B$5001,Prensa!$E$2:$E$5001,N1081,Prensa!$F$2:$F$5001,4,Prensa!$G$2:$G$5001,1),""))</f>
        <v>0</v>
      </c>
      <c r="H1081" s="26">
        <f>IF(A1081="","",COUNT(D1081:G1081))</f>
        <v>0</v>
      </c>
      <c r="I1081" s="27">
        <f>IF(A1081="","",IF(H1081=0,"",AVERAGE(D1081:G1081)))</f>
        <v>0</v>
      </c>
      <c r="J1081" s="27">
        <f>IF(OR(I1081="",C1081=""),"",I1081-C1081)</f>
        <v>0</v>
      </c>
      <c r="K1081" s="26">
        <f>IF(A1081="","",IF(MES!E1081&lt;&gt;4,"Horário do MES fora do padrão",IF(H1081&lt;cfgMinCortes,"Cortes insuficientes","Válida")))</f>
        <v>0</v>
      </c>
      <c r="L1081" s="27">
        <f>IF(K1081="Válida",ABS(J1081),"")</f>
        <v>0</v>
      </c>
      <c r="M1081" s="26">
        <f>IF(K1081="Válida",IF(L1081&lt;=cfgTolerancia,"Sim","Não"),"")</f>
        <v>0</v>
      </c>
      <c r="N1081" s="26">
        <f>IF(A1081="","",MES!D1081)</f>
        <v>0</v>
      </c>
      <c r="O1081" s="25">
        <f>IF(K1081="Válida",A1081,NA())</f>
        <v>0</v>
      </c>
      <c r="P1081" s="27">
        <f>IF(K1081="Válida",C1081,NA())</f>
        <v>0</v>
      </c>
      <c r="Q1081" s="27">
        <f>IF(K1081="Válida",I1081,NA())</f>
        <v>0</v>
      </c>
      <c r="R1081" s="27">
        <f>IF(K1081="Válida",J1081,NA())</f>
        <v>0</v>
      </c>
      <c r="S1081" s="27">
        <f>IF(K1081="Válida",C1081,"")</f>
        <v>0</v>
      </c>
      <c r="T1081" s="27">
        <f>IF(K1081="Válida",I1081,"")</f>
        <v>0</v>
      </c>
      <c r="U1081" s="27">
        <f>IF(K1081="Válida",J1081,"")</f>
        <v>0</v>
      </c>
    </row>
    <row r="1082" spans="1:21">
      <c r="A1082" s="25">
        <f>IF(MES!A1082="","",MES!C1082/48)</f>
        <v>0</v>
      </c>
      <c r="B1082" s="26">
        <f>IF(A1082="","",TEXT((N1082*4+cfgDeslocamento)/48,"hh:mm")&amp;" a "&amp;TEXT(A1082,"hh:mm"))</f>
        <v>0</v>
      </c>
      <c r="C1082" s="27">
        <f>IF(A1082="","",MES!B1082)</f>
        <v>0</v>
      </c>
      <c r="D1082" s="27">
        <f>IF(A1082="","",IFERROR(AVERAGEIFS(Prensa!$B$2:$B$5001,Prensa!$E$2:$E$5001,N1082,Prensa!$F$2:$F$5001,1,Prensa!$G$2:$G$5001,1),""))</f>
        <v>0</v>
      </c>
      <c r="E1082" s="27">
        <f>IF(A1082="","",IFERROR(AVERAGEIFS(Prensa!$B$2:$B$5001,Prensa!$E$2:$E$5001,N1082,Prensa!$F$2:$F$5001,2,Prensa!$G$2:$G$5001,1),""))</f>
        <v>0</v>
      </c>
      <c r="F1082" s="27">
        <f>IF(A1082="","",IFERROR(AVERAGEIFS(Prensa!$B$2:$B$5001,Prensa!$E$2:$E$5001,N1082,Prensa!$F$2:$F$5001,3,Prensa!$G$2:$G$5001,1),""))</f>
        <v>0</v>
      </c>
      <c r="G1082" s="27">
        <f>IF(A1082="","",IFERROR(AVERAGEIFS(Prensa!$B$2:$B$5001,Prensa!$E$2:$E$5001,N1082,Prensa!$F$2:$F$5001,4,Prensa!$G$2:$G$5001,1),""))</f>
        <v>0</v>
      </c>
      <c r="H1082" s="26">
        <f>IF(A1082="","",COUNT(D1082:G1082))</f>
        <v>0</v>
      </c>
      <c r="I1082" s="27">
        <f>IF(A1082="","",IF(H1082=0,"",AVERAGE(D1082:G1082)))</f>
        <v>0</v>
      </c>
      <c r="J1082" s="27">
        <f>IF(OR(I1082="",C1082=""),"",I1082-C1082)</f>
        <v>0</v>
      </c>
      <c r="K1082" s="26">
        <f>IF(A1082="","",IF(MES!E1082&lt;&gt;4,"Horário do MES fora do padrão",IF(H1082&lt;cfgMinCortes,"Cortes insuficientes","Válida")))</f>
        <v>0</v>
      </c>
      <c r="L1082" s="27">
        <f>IF(K1082="Válida",ABS(J1082),"")</f>
        <v>0</v>
      </c>
      <c r="M1082" s="26">
        <f>IF(K1082="Válida",IF(L1082&lt;=cfgTolerancia,"Sim","Não"),"")</f>
        <v>0</v>
      </c>
      <c r="N1082" s="26">
        <f>IF(A1082="","",MES!D1082)</f>
        <v>0</v>
      </c>
      <c r="O1082" s="25">
        <f>IF(K1082="Válida",A1082,NA())</f>
        <v>0</v>
      </c>
      <c r="P1082" s="27">
        <f>IF(K1082="Válida",C1082,NA())</f>
        <v>0</v>
      </c>
      <c r="Q1082" s="27">
        <f>IF(K1082="Válida",I1082,NA())</f>
        <v>0</v>
      </c>
      <c r="R1082" s="27">
        <f>IF(K1082="Válida",J1082,NA())</f>
        <v>0</v>
      </c>
      <c r="S1082" s="27">
        <f>IF(K1082="Válida",C1082,"")</f>
        <v>0</v>
      </c>
      <c r="T1082" s="27">
        <f>IF(K1082="Válida",I1082,"")</f>
        <v>0</v>
      </c>
      <c r="U1082" s="27">
        <f>IF(K1082="Válida",J1082,"")</f>
        <v>0</v>
      </c>
    </row>
    <row r="1083" spans="1:21">
      <c r="A1083" s="25">
        <f>IF(MES!A1083="","",MES!C1083/48)</f>
        <v>0</v>
      </c>
      <c r="B1083" s="26">
        <f>IF(A1083="","",TEXT((N1083*4+cfgDeslocamento)/48,"hh:mm")&amp;" a "&amp;TEXT(A1083,"hh:mm"))</f>
        <v>0</v>
      </c>
      <c r="C1083" s="27">
        <f>IF(A1083="","",MES!B1083)</f>
        <v>0</v>
      </c>
      <c r="D1083" s="27">
        <f>IF(A1083="","",IFERROR(AVERAGEIFS(Prensa!$B$2:$B$5001,Prensa!$E$2:$E$5001,N1083,Prensa!$F$2:$F$5001,1,Prensa!$G$2:$G$5001,1),""))</f>
        <v>0</v>
      </c>
      <c r="E1083" s="27">
        <f>IF(A1083="","",IFERROR(AVERAGEIFS(Prensa!$B$2:$B$5001,Prensa!$E$2:$E$5001,N1083,Prensa!$F$2:$F$5001,2,Prensa!$G$2:$G$5001,1),""))</f>
        <v>0</v>
      </c>
      <c r="F1083" s="27">
        <f>IF(A1083="","",IFERROR(AVERAGEIFS(Prensa!$B$2:$B$5001,Prensa!$E$2:$E$5001,N1083,Prensa!$F$2:$F$5001,3,Prensa!$G$2:$G$5001,1),""))</f>
        <v>0</v>
      </c>
      <c r="G1083" s="27">
        <f>IF(A1083="","",IFERROR(AVERAGEIFS(Prensa!$B$2:$B$5001,Prensa!$E$2:$E$5001,N1083,Prensa!$F$2:$F$5001,4,Prensa!$G$2:$G$5001,1),""))</f>
        <v>0</v>
      </c>
      <c r="H1083" s="26">
        <f>IF(A1083="","",COUNT(D1083:G1083))</f>
        <v>0</v>
      </c>
      <c r="I1083" s="27">
        <f>IF(A1083="","",IF(H1083=0,"",AVERAGE(D1083:G1083)))</f>
        <v>0</v>
      </c>
      <c r="J1083" s="27">
        <f>IF(OR(I1083="",C1083=""),"",I1083-C1083)</f>
        <v>0</v>
      </c>
      <c r="K1083" s="26">
        <f>IF(A1083="","",IF(MES!E1083&lt;&gt;4,"Horário do MES fora do padrão",IF(H1083&lt;cfgMinCortes,"Cortes insuficientes","Válida")))</f>
        <v>0</v>
      </c>
      <c r="L1083" s="27">
        <f>IF(K1083="Válida",ABS(J1083),"")</f>
        <v>0</v>
      </c>
      <c r="M1083" s="26">
        <f>IF(K1083="Válida",IF(L1083&lt;=cfgTolerancia,"Sim","Não"),"")</f>
        <v>0</v>
      </c>
      <c r="N1083" s="26">
        <f>IF(A1083="","",MES!D1083)</f>
        <v>0</v>
      </c>
      <c r="O1083" s="25">
        <f>IF(K1083="Válida",A1083,NA())</f>
        <v>0</v>
      </c>
      <c r="P1083" s="27">
        <f>IF(K1083="Válida",C1083,NA())</f>
        <v>0</v>
      </c>
      <c r="Q1083" s="27">
        <f>IF(K1083="Válida",I1083,NA())</f>
        <v>0</v>
      </c>
      <c r="R1083" s="27">
        <f>IF(K1083="Válida",J1083,NA())</f>
        <v>0</v>
      </c>
      <c r="S1083" s="27">
        <f>IF(K1083="Válida",C1083,"")</f>
        <v>0</v>
      </c>
      <c r="T1083" s="27">
        <f>IF(K1083="Válida",I1083,"")</f>
        <v>0</v>
      </c>
      <c r="U1083" s="27">
        <f>IF(K1083="Válida",J1083,"")</f>
        <v>0</v>
      </c>
    </row>
    <row r="1084" spans="1:21">
      <c r="A1084" s="25">
        <f>IF(MES!A1084="","",MES!C1084/48)</f>
        <v>0</v>
      </c>
      <c r="B1084" s="26">
        <f>IF(A1084="","",TEXT((N1084*4+cfgDeslocamento)/48,"hh:mm")&amp;" a "&amp;TEXT(A1084,"hh:mm"))</f>
        <v>0</v>
      </c>
      <c r="C1084" s="27">
        <f>IF(A1084="","",MES!B1084)</f>
        <v>0</v>
      </c>
      <c r="D1084" s="27">
        <f>IF(A1084="","",IFERROR(AVERAGEIFS(Prensa!$B$2:$B$5001,Prensa!$E$2:$E$5001,N1084,Prensa!$F$2:$F$5001,1,Prensa!$G$2:$G$5001,1),""))</f>
        <v>0</v>
      </c>
      <c r="E1084" s="27">
        <f>IF(A1084="","",IFERROR(AVERAGEIFS(Prensa!$B$2:$B$5001,Prensa!$E$2:$E$5001,N1084,Prensa!$F$2:$F$5001,2,Prensa!$G$2:$G$5001,1),""))</f>
        <v>0</v>
      </c>
      <c r="F1084" s="27">
        <f>IF(A1084="","",IFERROR(AVERAGEIFS(Prensa!$B$2:$B$5001,Prensa!$E$2:$E$5001,N1084,Prensa!$F$2:$F$5001,3,Prensa!$G$2:$G$5001,1),""))</f>
        <v>0</v>
      </c>
      <c r="G1084" s="27">
        <f>IF(A1084="","",IFERROR(AVERAGEIFS(Prensa!$B$2:$B$5001,Prensa!$E$2:$E$5001,N1084,Prensa!$F$2:$F$5001,4,Prensa!$G$2:$G$5001,1),""))</f>
        <v>0</v>
      </c>
      <c r="H1084" s="26">
        <f>IF(A1084="","",COUNT(D1084:G1084))</f>
        <v>0</v>
      </c>
      <c r="I1084" s="27">
        <f>IF(A1084="","",IF(H1084=0,"",AVERAGE(D1084:G1084)))</f>
        <v>0</v>
      </c>
      <c r="J1084" s="27">
        <f>IF(OR(I1084="",C1084=""),"",I1084-C1084)</f>
        <v>0</v>
      </c>
      <c r="K1084" s="26">
        <f>IF(A1084="","",IF(MES!E1084&lt;&gt;4,"Horário do MES fora do padrão",IF(H1084&lt;cfgMinCortes,"Cortes insuficientes","Válida")))</f>
        <v>0</v>
      </c>
      <c r="L1084" s="27">
        <f>IF(K1084="Válida",ABS(J1084),"")</f>
        <v>0</v>
      </c>
      <c r="M1084" s="26">
        <f>IF(K1084="Válida",IF(L1084&lt;=cfgTolerancia,"Sim","Não"),"")</f>
        <v>0</v>
      </c>
      <c r="N1084" s="26">
        <f>IF(A1084="","",MES!D1084)</f>
        <v>0</v>
      </c>
      <c r="O1084" s="25">
        <f>IF(K1084="Válida",A1084,NA())</f>
        <v>0</v>
      </c>
      <c r="P1084" s="27">
        <f>IF(K1084="Válida",C1084,NA())</f>
        <v>0</v>
      </c>
      <c r="Q1084" s="27">
        <f>IF(K1084="Válida",I1084,NA())</f>
        <v>0</v>
      </c>
      <c r="R1084" s="27">
        <f>IF(K1084="Válida",J1084,NA())</f>
        <v>0</v>
      </c>
      <c r="S1084" s="27">
        <f>IF(K1084="Válida",C1084,"")</f>
        <v>0</v>
      </c>
      <c r="T1084" s="27">
        <f>IF(K1084="Válida",I1084,"")</f>
        <v>0</v>
      </c>
      <c r="U1084" s="27">
        <f>IF(K1084="Válida",J1084,"")</f>
        <v>0</v>
      </c>
    </row>
    <row r="1085" spans="1:21">
      <c r="A1085" s="25">
        <f>IF(MES!A1085="","",MES!C1085/48)</f>
        <v>0</v>
      </c>
      <c r="B1085" s="26">
        <f>IF(A1085="","",TEXT((N1085*4+cfgDeslocamento)/48,"hh:mm")&amp;" a "&amp;TEXT(A1085,"hh:mm"))</f>
        <v>0</v>
      </c>
      <c r="C1085" s="27">
        <f>IF(A1085="","",MES!B1085)</f>
        <v>0</v>
      </c>
      <c r="D1085" s="27">
        <f>IF(A1085="","",IFERROR(AVERAGEIFS(Prensa!$B$2:$B$5001,Prensa!$E$2:$E$5001,N1085,Prensa!$F$2:$F$5001,1,Prensa!$G$2:$G$5001,1),""))</f>
        <v>0</v>
      </c>
      <c r="E1085" s="27">
        <f>IF(A1085="","",IFERROR(AVERAGEIFS(Prensa!$B$2:$B$5001,Prensa!$E$2:$E$5001,N1085,Prensa!$F$2:$F$5001,2,Prensa!$G$2:$G$5001,1),""))</f>
        <v>0</v>
      </c>
      <c r="F1085" s="27">
        <f>IF(A1085="","",IFERROR(AVERAGEIFS(Prensa!$B$2:$B$5001,Prensa!$E$2:$E$5001,N1085,Prensa!$F$2:$F$5001,3,Prensa!$G$2:$G$5001,1),""))</f>
        <v>0</v>
      </c>
      <c r="G1085" s="27">
        <f>IF(A1085="","",IFERROR(AVERAGEIFS(Prensa!$B$2:$B$5001,Prensa!$E$2:$E$5001,N1085,Prensa!$F$2:$F$5001,4,Prensa!$G$2:$G$5001,1),""))</f>
        <v>0</v>
      </c>
      <c r="H1085" s="26">
        <f>IF(A1085="","",COUNT(D1085:G1085))</f>
        <v>0</v>
      </c>
      <c r="I1085" s="27">
        <f>IF(A1085="","",IF(H1085=0,"",AVERAGE(D1085:G1085)))</f>
        <v>0</v>
      </c>
      <c r="J1085" s="27">
        <f>IF(OR(I1085="",C1085=""),"",I1085-C1085)</f>
        <v>0</v>
      </c>
      <c r="K1085" s="26">
        <f>IF(A1085="","",IF(MES!E1085&lt;&gt;4,"Horário do MES fora do padrão",IF(H1085&lt;cfgMinCortes,"Cortes insuficientes","Válida")))</f>
        <v>0</v>
      </c>
      <c r="L1085" s="27">
        <f>IF(K1085="Válida",ABS(J1085),"")</f>
        <v>0</v>
      </c>
      <c r="M1085" s="26">
        <f>IF(K1085="Válida",IF(L1085&lt;=cfgTolerancia,"Sim","Não"),"")</f>
        <v>0</v>
      </c>
      <c r="N1085" s="26">
        <f>IF(A1085="","",MES!D1085)</f>
        <v>0</v>
      </c>
      <c r="O1085" s="25">
        <f>IF(K1085="Válida",A1085,NA())</f>
        <v>0</v>
      </c>
      <c r="P1085" s="27">
        <f>IF(K1085="Válida",C1085,NA())</f>
        <v>0</v>
      </c>
      <c r="Q1085" s="27">
        <f>IF(K1085="Válida",I1085,NA())</f>
        <v>0</v>
      </c>
      <c r="R1085" s="27">
        <f>IF(K1085="Válida",J1085,NA())</f>
        <v>0</v>
      </c>
      <c r="S1085" s="27">
        <f>IF(K1085="Válida",C1085,"")</f>
        <v>0</v>
      </c>
      <c r="T1085" s="27">
        <f>IF(K1085="Válida",I1085,"")</f>
        <v>0</v>
      </c>
      <c r="U1085" s="27">
        <f>IF(K1085="Válida",J1085,"")</f>
        <v>0</v>
      </c>
    </row>
    <row r="1086" spans="1:21">
      <c r="A1086" s="25">
        <f>IF(MES!A1086="","",MES!C1086/48)</f>
        <v>0</v>
      </c>
      <c r="B1086" s="26">
        <f>IF(A1086="","",TEXT((N1086*4+cfgDeslocamento)/48,"hh:mm")&amp;" a "&amp;TEXT(A1086,"hh:mm"))</f>
        <v>0</v>
      </c>
      <c r="C1086" s="27">
        <f>IF(A1086="","",MES!B1086)</f>
        <v>0</v>
      </c>
      <c r="D1086" s="27">
        <f>IF(A1086="","",IFERROR(AVERAGEIFS(Prensa!$B$2:$B$5001,Prensa!$E$2:$E$5001,N1086,Prensa!$F$2:$F$5001,1,Prensa!$G$2:$G$5001,1),""))</f>
        <v>0</v>
      </c>
      <c r="E1086" s="27">
        <f>IF(A1086="","",IFERROR(AVERAGEIFS(Prensa!$B$2:$B$5001,Prensa!$E$2:$E$5001,N1086,Prensa!$F$2:$F$5001,2,Prensa!$G$2:$G$5001,1),""))</f>
        <v>0</v>
      </c>
      <c r="F1086" s="27">
        <f>IF(A1086="","",IFERROR(AVERAGEIFS(Prensa!$B$2:$B$5001,Prensa!$E$2:$E$5001,N1086,Prensa!$F$2:$F$5001,3,Prensa!$G$2:$G$5001,1),""))</f>
        <v>0</v>
      </c>
      <c r="G1086" s="27">
        <f>IF(A1086="","",IFERROR(AVERAGEIFS(Prensa!$B$2:$B$5001,Prensa!$E$2:$E$5001,N1086,Prensa!$F$2:$F$5001,4,Prensa!$G$2:$G$5001,1),""))</f>
        <v>0</v>
      </c>
      <c r="H1086" s="26">
        <f>IF(A1086="","",COUNT(D1086:G1086))</f>
        <v>0</v>
      </c>
      <c r="I1086" s="27">
        <f>IF(A1086="","",IF(H1086=0,"",AVERAGE(D1086:G1086)))</f>
        <v>0</v>
      </c>
      <c r="J1086" s="27">
        <f>IF(OR(I1086="",C1086=""),"",I1086-C1086)</f>
        <v>0</v>
      </c>
      <c r="K1086" s="26">
        <f>IF(A1086="","",IF(MES!E1086&lt;&gt;4,"Horário do MES fora do padrão",IF(H1086&lt;cfgMinCortes,"Cortes insuficientes","Válida")))</f>
        <v>0</v>
      </c>
      <c r="L1086" s="27">
        <f>IF(K1086="Válida",ABS(J1086),"")</f>
        <v>0</v>
      </c>
      <c r="M1086" s="26">
        <f>IF(K1086="Válida",IF(L1086&lt;=cfgTolerancia,"Sim","Não"),"")</f>
        <v>0</v>
      </c>
      <c r="N1086" s="26">
        <f>IF(A1086="","",MES!D1086)</f>
        <v>0</v>
      </c>
      <c r="O1086" s="25">
        <f>IF(K1086="Válida",A1086,NA())</f>
        <v>0</v>
      </c>
      <c r="P1086" s="27">
        <f>IF(K1086="Válida",C1086,NA())</f>
        <v>0</v>
      </c>
      <c r="Q1086" s="27">
        <f>IF(K1086="Válida",I1086,NA())</f>
        <v>0</v>
      </c>
      <c r="R1086" s="27">
        <f>IF(K1086="Válida",J1086,NA())</f>
        <v>0</v>
      </c>
      <c r="S1086" s="27">
        <f>IF(K1086="Válida",C1086,"")</f>
        <v>0</v>
      </c>
      <c r="T1086" s="27">
        <f>IF(K1086="Válida",I1086,"")</f>
        <v>0</v>
      </c>
      <c r="U1086" s="27">
        <f>IF(K1086="Válida",J1086,"")</f>
        <v>0</v>
      </c>
    </row>
    <row r="1087" spans="1:21">
      <c r="A1087" s="25">
        <f>IF(MES!A1087="","",MES!C1087/48)</f>
        <v>0</v>
      </c>
      <c r="B1087" s="26">
        <f>IF(A1087="","",TEXT((N1087*4+cfgDeslocamento)/48,"hh:mm")&amp;" a "&amp;TEXT(A1087,"hh:mm"))</f>
        <v>0</v>
      </c>
      <c r="C1087" s="27">
        <f>IF(A1087="","",MES!B1087)</f>
        <v>0</v>
      </c>
      <c r="D1087" s="27">
        <f>IF(A1087="","",IFERROR(AVERAGEIFS(Prensa!$B$2:$B$5001,Prensa!$E$2:$E$5001,N1087,Prensa!$F$2:$F$5001,1,Prensa!$G$2:$G$5001,1),""))</f>
        <v>0</v>
      </c>
      <c r="E1087" s="27">
        <f>IF(A1087="","",IFERROR(AVERAGEIFS(Prensa!$B$2:$B$5001,Prensa!$E$2:$E$5001,N1087,Prensa!$F$2:$F$5001,2,Prensa!$G$2:$G$5001,1),""))</f>
        <v>0</v>
      </c>
      <c r="F1087" s="27">
        <f>IF(A1087="","",IFERROR(AVERAGEIFS(Prensa!$B$2:$B$5001,Prensa!$E$2:$E$5001,N1087,Prensa!$F$2:$F$5001,3,Prensa!$G$2:$G$5001,1),""))</f>
        <v>0</v>
      </c>
      <c r="G1087" s="27">
        <f>IF(A1087="","",IFERROR(AVERAGEIFS(Prensa!$B$2:$B$5001,Prensa!$E$2:$E$5001,N1087,Prensa!$F$2:$F$5001,4,Prensa!$G$2:$G$5001,1),""))</f>
        <v>0</v>
      </c>
      <c r="H1087" s="26">
        <f>IF(A1087="","",COUNT(D1087:G1087))</f>
        <v>0</v>
      </c>
      <c r="I1087" s="27">
        <f>IF(A1087="","",IF(H1087=0,"",AVERAGE(D1087:G1087)))</f>
        <v>0</v>
      </c>
      <c r="J1087" s="27">
        <f>IF(OR(I1087="",C1087=""),"",I1087-C1087)</f>
        <v>0</v>
      </c>
      <c r="K1087" s="26">
        <f>IF(A1087="","",IF(MES!E1087&lt;&gt;4,"Horário do MES fora do padrão",IF(H1087&lt;cfgMinCortes,"Cortes insuficientes","Válida")))</f>
        <v>0</v>
      </c>
      <c r="L1087" s="27">
        <f>IF(K1087="Válida",ABS(J1087),"")</f>
        <v>0</v>
      </c>
      <c r="M1087" s="26">
        <f>IF(K1087="Válida",IF(L1087&lt;=cfgTolerancia,"Sim","Não"),"")</f>
        <v>0</v>
      </c>
      <c r="N1087" s="26">
        <f>IF(A1087="","",MES!D1087)</f>
        <v>0</v>
      </c>
      <c r="O1087" s="25">
        <f>IF(K1087="Válida",A1087,NA())</f>
        <v>0</v>
      </c>
      <c r="P1087" s="27">
        <f>IF(K1087="Válida",C1087,NA())</f>
        <v>0</v>
      </c>
      <c r="Q1087" s="27">
        <f>IF(K1087="Válida",I1087,NA())</f>
        <v>0</v>
      </c>
      <c r="R1087" s="27">
        <f>IF(K1087="Válida",J1087,NA())</f>
        <v>0</v>
      </c>
      <c r="S1087" s="27">
        <f>IF(K1087="Válida",C1087,"")</f>
        <v>0</v>
      </c>
      <c r="T1087" s="27">
        <f>IF(K1087="Válida",I1087,"")</f>
        <v>0</v>
      </c>
      <c r="U1087" s="27">
        <f>IF(K1087="Válida",J1087,"")</f>
        <v>0</v>
      </c>
    </row>
    <row r="1088" spans="1:21">
      <c r="A1088" s="25">
        <f>IF(MES!A1088="","",MES!C1088/48)</f>
        <v>0</v>
      </c>
      <c r="B1088" s="26">
        <f>IF(A1088="","",TEXT((N1088*4+cfgDeslocamento)/48,"hh:mm")&amp;" a "&amp;TEXT(A1088,"hh:mm"))</f>
        <v>0</v>
      </c>
      <c r="C1088" s="27">
        <f>IF(A1088="","",MES!B1088)</f>
        <v>0</v>
      </c>
      <c r="D1088" s="27">
        <f>IF(A1088="","",IFERROR(AVERAGEIFS(Prensa!$B$2:$B$5001,Prensa!$E$2:$E$5001,N1088,Prensa!$F$2:$F$5001,1,Prensa!$G$2:$G$5001,1),""))</f>
        <v>0</v>
      </c>
      <c r="E1088" s="27">
        <f>IF(A1088="","",IFERROR(AVERAGEIFS(Prensa!$B$2:$B$5001,Prensa!$E$2:$E$5001,N1088,Prensa!$F$2:$F$5001,2,Prensa!$G$2:$G$5001,1),""))</f>
        <v>0</v>
      </c>
      <c r="F1088" s="27">
        <f>IF(A1088="","",IFERROR(AVERAGEIFS(Prensa!$B$2:$B$5001,Prensa!$E$2:$E$5001,N1088,Prensa!$F$2:$F$5001,3,Prensa!$G$2:$G$5001,1),""))</f>
        <v>0</v>
      </c>
      <c r="G1088" s="27">
        <f>IF(A1088="","",IFERROR(AVERAGEIFS(Prensa!$B$2:$B$5001,Prensa!$E$2:$E$5001,N1088,Prensa!$F$2:$F$5001,4,Prensa!$G$2:$G$5001,1),""))</f>
        <v>0</v>
      </c>
      <c r="H1088" s="26">
        <f>IF(A1088="","",COUNT(D1088:G1088))</f>
        <v>0</v>
      </c>
      <c r="I1088" s="27">
        <f>IF(A1088="","",IF(H1088=0,"",AVERAGE(D1088:G1088)))</f>
        <v>0</v>
      </c>
      <c r="J1088" s="27">
        <f>IF(OR(I1088="",C1088=""),"",I1088-C1088)</f>
        <v>0</v>
      </c>
      <c r="K1088" s="26">
        <f>IF(A1088="","",IF(MES!E1088&lt;&gt;4,"Horário do MES fora do padrão",IF(H1088&lt;cfgMinCortes,"Cortes insuficientes","Válida")))</f>
        <v>0</v>
      </c>
      <c r="L1088" s="27">
        <f>IF(K1088="Válida",ABS(J1088),"")</f>
        <v>0</v>
      </c>
      <c r="M1088" s="26">
        <f>IF(K1088="Válida",IF(L1088&lt;=cfgTolerancia,"Sim","Não"),"")</f>
        <v>0</v>
      </c>
      <c r="N1088" s="26">
        <f>IF(A1088="","",MES!D1088)</f>
        <v>0</v>
      </c>
      <c r="O1088" s="25">
        <f>IF(K1088="Válida",A1088,NA())</f>
        <v>0</v>
      </c>
      <c r="P1088" s="27">
        <f>IF(K1088="Válida",C1088,NA())</f>
        <v>0</v>
      </c>
      <c r="Q1088" s="27">
        <f>IF(K1088="Válida",I1088,NA())</f>
        <v>0</v>
      </c>
      <c r="R1088" s="27">
        <f>IF(K1088="Válida",J1088,NA())</f>
        <v>0</v>
      </c>
      <c r="S1088" s="27">
        <f>IF(K1088="Válida",C1088,"")</f>
        <v>0</v>
      </c>
      <c r="T1088" s="27">
        <f>IF(K1088="Válida",I1088,"")</f>
        <v>0</v>
      </c>
      <c r="U1088" s="27">
        <f>IF(K1088="Válida",J1088,"")</f>
        <v>0</v>
      </c>
    </row>
    <row r="1089" spans="1:21">
      <c r="A1089" s="25">
        <f>IF(MES!A1089="","",MES!C1089/48)</f>
        <v>0</v>
      </c>
      <c r="B1089" s="26">
        <f>IF(A1089="","",TEXT((N1089*4+cfgDeslocamento)/48,"hh:mm")&amp;" a "&amp;TEXT(A1089,"hh:mm"))</f>
        <v>0</v>
      </c>
      <c r="C1089" s="27">
        <f>IF(A1089="","",MES!B1089)</f>
        <v>0</v>
      </c>
      <c r="D1089" s="27">
        <f>IF(A1089="","",IFERROR(AVERAGEIFS(Prensa!$B$2:$B$5001,Prensa!$E$2:$E$5001,N1089,Prensa!$F$2:$F$5001,1,Prensa!$G$2:$G$5001,1),""))</f>
        <v>0</v>
      </c>
      <c r="E1089" s="27">
        <f>IF(A1089="","",IFERROR(AVERAGEIFS(Prensa!$B$2:$B$5001,Prensa!$E$2:$E$5001,N1089,Prensa!$F$2:$F$5001,2,Prensa!$G$2:$G$5001,1),""))</f>
        <v>0</v>
      </c>
      <c r="F1089" s="27">
        <f>IF(A1089="","",IFERROR(AVERAGEIFS(Prensa!$B$2:$B$5001,Prensa!$E$2:$E$5001,N1089,Prensa!$F$2:$F$5001,3,Prensa!$G$2:$G$5001,1),""))</f>
        <v>0</v>
      </c>
      <c r="G1089" s="27">
        <f>IF(A1089="","",IFERROR(AVERAGEIFS(Prensa!$B$2:$B$5001,Prensa!$E$2:$E$5001,N1089,Prensa!$F$2:$F$5001,4,Prensa!$G$2:$G$5001,1),""))</f>
        <v>0</v>
      </c>
      <c r="H1089" s="26">
        <f>IF(A1089="","",COUNT(D1089:G1089))</f>
        <v>0</v>
      </c>
      <c r="I1089" s="27">
        <f>IF(A1089="","",IF(H1089=0,"",AVERAGE(D1089:G1089)))</f>
        <v>0</v>
      </c>
      <c r="J1089" s="27">
        <f>IF(OR(I1089="",C1089=""),"",I1089-C1089)</f>
        <v>0</v>
      </c>
      <c r="K1089" s="26">
        <f>IF(A1089="","",IF(MES!E1089&lt;&gt;4,"Horário do MES fora do padrão",IF(H1089&lt;cfgMinCortes,"Cortes insuficientes","Válida")))</f>
        <v>0</v>
      </c>
      <c r="L1089" s="27">
        <f>IF(K1089="Válida",ABS(J1089),"")</f>
        <v>0</v>
      </c>
      <c r="M1089" s="26">
        <f>IF(K1089="Válida",IF(L1089&lt;=cfgTolerancia,"Sim","Não"),"")</f>
        <v>0</v>
      </c>
      <c r="N1089" s="26">
        <f>IF(A1089="","",MES!D1089)</f>
        <v>0</v>
      </c>
      <c r="O1089" s="25">
        <f>IF(K1089="Válida",A1089,NA())</f>
        <v>0</v>
      </c>
      <c r="P1089" s="27">
        <f>IF(K1089="Válida",C1089,NA())</f>
        <v>0</v>
      </c>
      <c r="Q1089" s="27">
        <f>IF(K1089="Válida",I1089,NA())</f>
        <v>0</v>
      </c>
      <c r="R1089" s="27">
        <f>IF(K1089="Válida",J1089,NA())</f>
        <v>0</v>
      </c>
      <c r="S1089" s="27">
        <f>IF(K1089="Válida",C1089,"")</f>
        <v>0</v>
      </c>
      <c r="T1089" s="27">
        <f>IF(K1089="Válida",I1089,"")</f>
        <v>0</v>
      </c>
      <c r="U1089" s="27">
        <f>IF(K1089="Válida",J1089,"")</f>
        <v>0</v>
      </c>
    </row>
    <row r="1090" spans="1:21">
      <c r="A1090" s="25">
        <f>IF(MES!A1090="","",MES!C1090/48)</f>
        <v>0</v>
      </c>
      <c r="B1090" s="26">
        <f>IF(A1090="","",TEXT((N1090*4+cfgDeslocamento)/48,"hh:mm")&amp;" a "&amp;TEXT(A1090,"hh:mm"))</f>
        <v>0</v>
      </c>
      <c r="C1090" s="27">
        <f>IF(A1090="","",MES!B1090)</f>
        <v>0</v>
      </c>
      <c r="D1090" s="27">
        <f>IF(A1090="","",IFERROR(AVERAGEIFS(Prensa!$B$2:$B$5001,Prensa!$E$2:$E$5001,N1090,Prensa!$F$2:$F$5001,1,Prensa!$G$2:$G$5001,1),""))</f>
        <v>0</v>
      </c>
      <c r="E1090" s="27">
        <f>IF(A1090="","",IFERROR(AVERAGEIFS(Prensa!$B$2:$B$5001,Prensa!$E$2:$E$5001,N1090,Prensa!$F$2:$F$5001,2,Prensa!$G$2:$G$5001,1),""))</f>
        <v>0</v>
      </c>
      <c r="F1090" s="27">
        <f>IF(A1090="","",IFERROR(AVERAGEIFS(Prensa!$B$2:$B$5001,Prensa!$E$2:$E$5001,N1090,Prensa!$F$2:$F$5001,3,Prensa!$G$2:$G$5001,1),""))</f>
        <v>0</v>
      </c>
      <c r="G1090" s="27">
        <f>IF(A1090="","",IFERROR(AVERAGEIFS(Prensa!$B$2:$B$5001,Prensa!$E$2:$E$5001,N1090,Prensa!$F$2:$F$5001,4,Prensa!$G$2:$G$5001,1),""))</f>
        <v>0</v>
      </c>
      <c r="H1090" s="26">
        <f>IF(A1090="","",COUNT(D1090:G1090))</f>
        <v>0</v>
      </c>
      <c r="I1090" s="27">
        <f>IF(A1090="","",IF(H1090=0,"",AVERAGE(D1090:G1090)))</f>
        <v>0</v>
      </c>
      <c r="J1090" s="27">
        <f>IF(OR(I1090="",C1090=""),"",I1090-C1090)</f>
        <v>0</v>
      </c>
      <c r="K1090" s="26">
        <f>IF(A1090="","",IF(MES!E1090&lt;&gt;4,"Horário do MES fora do padrão",IF(H1090&lt;cfgMinCortes,"Cortes insuficientes","Válida")))</f>
        <v>0</v>
      </c>
      <c r="L1090" s="27">
        <f>IF(K1090="Válida",ABS(J1090),"")</f>
        <v>0</v>
      </c>
      <c r="M1090" s="26">
        <f>IF(K1090="Válida",IF(L1090&lt;=cfgTolerancia,"Sim","Não"),"")</f>
        <v>0</v>
      </c>
      <c r="N1090" s="26">
        <f>IF(A1090="","",MES!D1090)</f>
        <v>0</v>
      </c>
      <c r="O1090" s="25">
        <f>IF(K1090="Válida",A1090,NA())</f>
        <v>0</v>
      </c>
      <c r="P1090" s="27">
        <f>IF(K1090="Válida",C1090,NA())</f>
        <v>0</v>
      </c>
      <c r="Q1090" s="27">
        <f>IF(K1090="Válida",I1090,NA())</f>
        <v>0</v>
      </c>
      <c r="R1090" s="27">
        <f>IF(K1090="Válida",J1090,NA())</f>
        <v>0</v>
      </c>
      <c r="S1090" s="27">
        <f>IF(K1090="Válida",C1090,"")</f>
        <v>0</v>
      </c>
      <c r="T1090" s="27">
        <f>IF(K1090="Válida",I1090,"")</f>
        <v>0</v>
      </c>
      <c r="U1090" s="27">
        <f>IF(K1090="Válida",J1090,"")</f>
        <v>0</v>
      </c>
    </row>
    <row r="1091" spans="1:21">
      <c r="A1091" s="25">
        <f>IF(MES!A1091="","",MES!C1091/48)</f>
        <v>0</v>
      </c>
      <c r="B1091" s="26">
        <f>IF(A1091="","",TEXT((N1091*4+cfgDeslocamento)/48,"hh:mm")&amp;" a "&amp;TEXT(A1091,"hh:mm"))</f>
        <v>0</v>
      </c>
      <c r="C1091" s="27">
        <f>IF(A1091="","",MES!B1091)</f>
        <v>0</v>
      </c>
      <c r="D1091" s="27">
        <f>IF(A1091="","",IFERROR(AVERAGEIFS(Prensa!$B$2:$B$5001,Prensa!$E$2:$E$5001,N1091,Prensa!$F$2:$F$5001,1,Prensa!$G$2:$G$5001,1),""))</f>
        <v>0</v>
      </c>
      <c r="E1091" s="27">
        <f>IF(A1091="","",IFERROR(AVERAGEIFS(Prensa!$B$2:$B$5001,Prensa!$E$2:$E$5001,N1091,Prensa!$F$2:$F$5001,2,Prensa!$G$2:$G$5001,1),""))</f>
        <v>0</v>
      </c>
      <c r="F1091" s="27">
        <f>IF(A1091="","",IFERROR(AVERAGEIFS(Prensa!$B$2:$B$5001,Prensa!$E$2:$E$5001,N1091,Prensa!$F$2:$F$5001,3,Prensa!$G$2:$G$5001,1),""))</f>
        <v>0</v>
      </c>
      <c r="G1091" s="27">
        <f>IF(A1091="","",IFERROR(AVERAGEIFS(Prensa!$B$2:$B$5001,Prensa!$E$2:$E$5001,N1091,Prensa!$F$2:$F$5001,4,Prensa!$G$2:$G$5001,1),""))</f>
        <v>0</v>
      </c>
      <c r="H1091" s="26">
        <f>IF(A1091="","",COUNT(D1091:G1091))</f>
        <v>0</v>
      </c>
      <c r="I1091" s="27">
        <f>IF(A1091="","",IF(H1091=0,"",AVERAGE(D1091:G1091)))</f>
        <v>0</v>
      </c>
      <c r="J1091" s="27">
        <f>IF(OR(I1091="",C1091=""),"",I1091-C1091)</f>
        <v>0</v>
      </c>
      <c r="K1091" s="26">
        <f>IF(A1091="","",IF(MES!E1091&lt;&gt;4,"Horário do MES fora do padrão",IF(H1091&lt;cfgMinCortes,"Cortes insuficientes","Válida")))</f>
        <v>0</v>
      </c>
      <c r="L1091" s="27">
        <f>IF(K1091="Válida",ABS(J1091),"")</f>
        <v>0</v>
      </c>
      <c r="M1091" s="26">
        <f>IF(K1091="Válida",IF(L1091&lt;=cfgTolerancia,"Sim","Não"),"")</f>
        <v>0</v>
      </c>
      <c r="N1091" s="26">
        <f>IF(A1091="","",MES!D1091)</f>
        <v>0</v>
      </c>
      <c r="O1091" s="25">
        <f>IF(K1091="Válida",A1091,NA())</f>
        <v>0</v>
      </c>
      <c r="P1091" s="27">
        <f>IF(K1091="Válida",C1091,NA())</f>
        <v>0</v>
      </c>
      <c r="Q1091" s="27">
        <f>IF(K1091="Válida",I1091,NA())</f>
        <v>0</v>
      </c>
      <c r="R1091" s="27">
        <f>IF(K1091="Válida",J1091,NA())</f>
        <v>0</v>
      </c>
      <c r="S1091" s="27">
        <f>IF(K1091="Válida",C1091,"")</f>
        <v>0</v>
      </c>
      <c r="T1091" s="27">
        <f>IF(K1091="Válida",I1091,"")</f>
        <v>0</v>
      </c>
      <c r="U1091" s="27">
        <f>IF(K1091="Válida",J1091,"")</f>
        <v>0</v>
      </c>
    </row>
    <row r="1092" spans="1:21">
      <c r="A1092" s="25">
        <f>IF(MES!A1092="","",MES!C1092/48)</f>
        <v>0</v>
      </c>
      <c r="B1092" s="26">
        <f>IF(A1092="","",TEXT((N1092*4+cfgDeslocamento)/48,"hh:mm")&amp;" a "&amp;TEXT(A1092,"hh:mm"))</f>
        <v>0</v>
      </c>
      <c r="C1092" s="27">
        <f>IF(A1092="","",MES!B1092)</f>
        <v>0</v>
      </c>
      <c r="D1092" s="27">
        <f>IF(A1092="","",IFERROR(AVERAGEIFS(Prensa!$B$2:$B$5001,Prensa!$E$2:$E$5001,N1092,Prensa!$F$2:$F$5001,1,Prensa!$G$2:$G$5001,1),""))</f>
        <v>0</v>
      </c>
      <c r="E1092" s="27">
        <f>IF(A1092="","",IFERROR(AVERAGEIFS(Prensa!$B$2:$B$5001,Prensa!$E$2:$E$5001,N1092,Prensa!$F$2:$F$5001,2,Prensa!$G$2:$G$5001,1),""))</f>
        <v>0</v>
      </c>
      <c r="F1092" s="27">
        <f>IF(A1092="","",IFERROR(AVERAGEIFS(Prensa!$B$2:$B$5001,Prensa!$E$2:$E$5001,N1092,Prensa!$F$2:$F$5001,3,Prensa!$G$2:$G$5001,1),""))</f>
        <v>0</v>
      </c>
      <c r="G1092" s="27">
        <f>IF(A1092="","",IFERROR(AVERAGEIFS(Prensa!$B$2:$B$5001,Prensa!$E$2:$E$5001,N1092,Prensa!$F$2:$F$5001,4,Prensa!$G$2:$G$5001,1),""))</f>
        <v>0</v>
      </c>
      <c r="H1092" s="26">
        <f>IF(A1092="","",COUNT(D1092:G1092))</f>
        <v>0</v>
      </c>
      <c r="I1092" s="27">
        <f>IF(A1092="","",IF(H1092=0,"",AVERAGE(D1092:G1092)))</f>
        <v>0</v>
      </c>
      <c r="J1092" s="27">
        <f>IF(OR(I1092="",C1092=""),"",I1092-C1092)</f>
        <v>0</v>
      </c>
      <c r="K1092" s="26">
        <f>IF(A1092="","",IF(MES!E1092&lt;&gt;4,"Horário do MES fora do padrão",IF(H1092&lt;cfgMinCortes,"Cortes insuficientes","Válida")))</f>
        <v>0</v>
      </c>
      <c r="L1092" s="27">
        <f>IF(K1092="Válida",ABS(J1092),"")</f>
        <v>0</v>
      </c>
      <c r="M1092" s="26">
        <f>IF(K1092="Válida",IF(L1092&lt;=cfgTolerancia,"Sim","Não"),"")</f>
        <v>0</v>
      </c>
      <c r="N1092" s="26">
        <f>IF(A1092="","",MES!D1092)</f>
        <v>0</v>
      </c>
      <c r="O1092" s="25">
        <f>IF(K1092="Válida",A1092,NA())</f>
        <v>0</v>
      </c>
      <c r="P1092" s="27">
        <f>IF(K1092="Válida",C1092,NA())</f>
        <v>0</v>
      </c>
      <c r="Q1092" s="27">
        <f>IF(K1092="Válida",I1092,NA())</f>
        <v>0</v>
      </c>
      <c r="R1092" s="27">
        <f>IF(K1092="Válida",J1092,NA())</f>
        <v>0</v>
      </c>
      <c r="S1092" s="27">
        <f>IF(K1092="Válida",C1092,"")</f>
        <v>0</v>
      </c>
      <c r="T1092" s="27">
        <f>IF(K1092="Válida",I1092,"")</f>
        <v>0</v>
      </c>
      <c r="U1092" s="27">
        <f>IF(K1092="Válida",J1092,"")</f>
        <v>0</v>
      </c>
    </row>
    <row r="1093" spans="1:21">
      <c r="A1093" s="25">
        <f>IF(MES!A1093="","",MES!C1093/48)</f>
        <v>0</v>
      </c>
      <c r="B1093" s="26">
        <f>IF(A1093="","",TEXT((N1093*4+cfgDeslocamento)/48,"hh:mm")&amp;" a "&amp;TEXT(A1093,"hh:mm"))</f>
        <v>0</v>
      </c>
      <c r="C1093" s="27">
        <f>IF(A1093="","",MES!B1093)</f>
        <v>0</v>
      </c>
      <c r="D1093" s="27">
        <f>IF(A1093="","",IFERROR(AVERAGEIFS(Prensa!$B$2:$B$5001,Prensa!$E$2:$E$5001,N1093,Prensa!$F$2:$F$5001,1,Prensa!$G$2:$G$5001,1),""))</f>
        <v>0</v>
      </c>
      <c r="E1093" s="27">
        <f>IF(A1093="","",IFERROR(AVERAGEIFS(Prensa!$B$2:$B$5001,Prensa!$E$2:$E$5001,N1093,Prensa!$F$2:$F$5001,2,Prensa!$G$2:$G$5001,1),""))</f>
        <v>0</v>
      </c>
      <c r="F1093" s="27">
        <f>IF(A1093="","",IFERROR(AVERAGEIFS(Prensa!$B$2:$B$5001,Prensa!$E$2:$E$5001,N1093,Prensa!$F$2:$F$5001,3,Prensa!$G$2:$G$5001,1),""))</f>
        <v>0</v>
      </c>
      <c r="G1093" s="27">
        <f>IF(A1093="","",IFERROR(AVERAGEIFS(Prensa!$B$2:$B$5001,Prensa!$E$2:$E$5001,N1093,Prensa!$F$2:$F$5001,4,Prensa!$G$2:$G$5001,1),""))</f>
        <v>0</v>
      </c>
      <c r="H1093" s="26">
        <f>IF(A1093="","",COUNT(D1093:G1093))</f>
        <v>0</v>
      </c>
      <c r="I1093" s="27">
        <f>IF(A1093="","",IF(H1093=0,"",AVERAGE(D1093:G1093)))</f>
        <v>0</v>
      </c>
      <c r="J1093" s="27">
        <f>IF(OR(I1093="",C1093=""),"",I1093-C1093)</f>
        <v>0</v>
      </c>
      <c r="K1093" s="26">
        <f>IF(A1093="","",IF(MES!E1093&lt;&gt;4,"Horário do MES fora do padrão",IF(H1093&lt;cfgMinCortes,"Cortes insuficientes","Válida")))</f>
        <v>0</v>
      </c>
      <c r="L1093" s="27">
        <f>IF(K1093="Válida",ABS(J1093),"")</f>
        <v>0</v>
      </c>
      <c r="M1093" s="26">
        <f>IF(K1093="Válida",IF(L1093&lt;=cfgTolerancia,"Sim","Não"),"")</f>
        <v>0</v>
      </c>
      <c r="N1093" s="26">
        <f>IF(A1093="","",MES!D1093)</f>
        <v>0</v>
      </c>
      <c r="O1093" s="25">
        <f>IF(K1093="Válida",A1093,NA())</f>
        <v>0</v>
      </c>
      <c r="P1093" s="27">
        <f>IF(K1093="Válida",C1093,NA())</f>
        <v>0</v>
      </c>
      <c r="Q1093" s="27">
        <f>IF(K1093="Válida",I1093,NA())</f>
        <v>0</v>
      </c>
      <c r="R1093" s="27">
        <f>IF(K1093="Válida",J1093,NA())</f>
        <v>0</v>
      </c>
      <c r="S1093" s="27">
        <f>IF(K1093="Válida",C1093,"")</f>
        <v>0</v>
      </c>
      <c r="T1093" s="27">
        <f>IF(K1093="Válida",I1093,"")</f>
        <v>0</v>
      </c>
      <c r="U1093" s="27">
        <f>IF(K1093="Válida",J1093,"")</f>
        <v>0</v>
      </c>
    </row>
    <row r="1094" spans="1:21">
      <c r="A1094" s="25">
        <f>IF(MES!A1094="","",MES!C1094/48)</f>
        <v>0</v>
      </c>
      <c r="B1094" s="26">
        <f>IF(A1094="","",TEXT((N1094*4+cfgDeslocamento)/48,"hh:mm")&amp;" a "&amp;TEXT(A1094,"hh:mm"))</f>
        <v>0</v>
      </c>
      <c r="C1094" s="27">
        <f>IF(A1094="","",MES!B1094)</f>
        <v>0</v>
      </c>
      <c r="D1094" s="27">
        <f>IF(A1094="","",IFERROR(AVERAGEIFS(Prensa!$B$2:$B$5001,Prensa!$E$2:$E$5001,N1094,Prensa!$F$2:$F$5001,1,Prensa!$G$2:$G$5001,1),""))</f>
        <v>0</v>
      </c>
      <c r="E1094" s="27">
        <f>IF(A1094="","",IFERROR(AVERAGEIFS(Prensa!$B$2:$B$5001,Prensa!$E$2:$E$5001,N1094,Prensa!$F$2:$F$5001,2,Prensa!$G$2:$G$5001,1),""))</f>
        <v>0</v>
      </c>
      <c r="F1094" s="27">
        <f>IF(A1094="","",IFERROR(AVERAGEIFS(Prensa!$B$2:$B$5001,Prensa!$E$2:$E$5001,N1094,Prensa!$F$2:$F$5001,3,Prensa!$G$2:$G$5001,1),""))</f>
        <v>0</v>
      </c>
      <c r="G1094" s="27">
        <f>IF(A1094="","",IFERROR(AVERAGEIFS(Prensa!$B$2:$B$5001,Prensa!$E$2:$E$5001,N1094,Prensa!$F$2:$F$5001,4,Prensa!$G$2:$G$5001,1),""))</f>
        <v>0</v>
      </c>
      <c r="H1094" s="26">
        <f>IF(A1094="","",COUNT(D1094:G1094))</f>
        <v>0</v>
      </c>
      <c r="I1094" s="27">
        <f>IF(A1094="","",IF(H1094=0,"",AVERAGE(D1094:G1094)))</f>
        <v>0</v>
      </c>
      <c r="J1094" s="27">
        <f>IF(OR(I1094="",C1094=""),"",I1094-C1094)</f>
        <v>0</v>
      </c>
      <c r="K1094" s="26">
        <f>IF(A1094="","",IF(MES!E1094&lt;&gt;4,"Horário do MES fora do padrão",IF(H1094&lt;cfgMinCortes,"Cortes insuficientes","Válida")))</f>
        <v>0</v>
      </c>
      <c r="L1094" s="27">
        <f>IF(K1094="Válida",ABS(J1094),"")</f>
        <v>0</v>
      </c>
      <c r="M1094" s="26">
        <f>IF(K1094="Válida",IF(L1094&lt;=cfgTolerancia,"Sim","Não"),"")</f>
        <v>0</v>
      </c>
      <c r="N1094" s="26">
        <f>IF(A1094="","",MES!D1094)</f>
        <v>0</v>
      </c>
      <c r="O1094" s="25">
        <f>IF(K1094="Válida",A1094,NA())</f>
        <v>0</v>
      </c>
      <c r="P1094" s="27">
        <f>IF(K1094="Válida",C1094,NA())</f>
        <v>0</v>
      </c>
      <c r="Q1094" s="27">
        <f>IF(K1094="Válida",I1094,NA())</f>
        <v>0</v>
      </c>
      <c r="R1094" s="27">
        <f>IF(K1094="Válida",J1094,NA())</f>
        <v>0</v>
      </c>
      <c r="S1094" s="27">
        <f>IF(K1094="Válida",C1094,"")</f>
        <v>0</v>
      </c>
      <c r="T1094" s="27">
        <f>IF(K1094="Válida",I1094,"")</f>
        <v>0</v>
      </c>
      <c r="U1094" s="27">
        <f>IF(K1094="Válida",J1094,"")</f>
        <v>0</v>
      </c>
    </row>
    <row r="1095" spans="1:21">
      <c r="A1095" s="25">
        <f>IF(MES!A1095="","",MES!C1095/48)</f>
        <v>0</v>
      </c>
      <c r="B1095" s="26">
        <f>IF(A1095="","",TEXT((N1095*4+cfgDeslocamento)/48,"hh:mm")&amp;" a "&amp;TEXT(A1095,"hh:mm"))</f>
        <v>0</v>
      </c>
      <c r="C1095" s="27">
        <f>IF(A1095="","",MES!B1095)</f>
        <v>0</v>
      </c>
      <c r="D1095" s="27">
        <f>IF(A1095="","",IFERROR(AVERAGEIFS(Prensa!$B$2:$B$5001,Prensa!$E$2:$E$5001,N1095,Prensa!$F$2:$F$5001,1,Prensa!$G$2:$G$5001,1),""))</f>
        <v>0</v>
      </c>
      <c r="E1095" s="27">
        <f>IF(A1095="","",IFERROR(AVERAGEIFS(Prensa!$B$2:$B$5001,Prensa!$E$2:$E$5001,N1095,Prensa!$F$2:$F$5001,2,Prensa!$G$2:$G$5001,1),""))</f>
        <v>0</v>
      </c>
      <c r="F1095" s="27">
        <f>IF(A1095="","",IFERROR(AVERAGEIFS(Prensa!$B$2:$B$5001,Prensa!$E$2:$E$5001,N1095,Prensa!$F$2:$F$5001,3,Prensa!$G$2:$G$5001,1),""))</f>
        <v>0</v>
      </c>
      <c r="G1095" s="27">
        <f>IF(A1095="","",IFERROR(AVERAGEIFS(Prensa!$B$2:$B$5001,Prensa!$E$2:$E$5001,N1095,Prensa!$F$2:$F$5001,4,Prensa!$G$2:$G$5001,1),""))</f>
        <v>0</v>
      </c>
      <c r="H1095" s="26">
        <f>IF(A1095="","",COUNT(D1095:G1095))</f>
        <v>0</v>
      </c>
      <c r="I1095" s="27">
        <f>IF(A1095="","",IF(H1095=0,"",AVERAGE(D1095:G1095)))</f>
        <v>0</v>
      </c>
      <c r="J1095" s="27">
        <f>IF(OR(I1095="",C1095=""),"",I1095-C1095)</f>
        <v>0</v>
      </c>
      <c r="K1095" s="26">
        <f>IF(A1095="","",IF(MES!E1095&lt;&gt;4,"Horário do MES fora do padrão",IF(H1095&lt;cfgMinCortes,"Cortes insuficientes","Válida")))</f>
        <v>0</v>
      </c>
      <c r="L1095" s="27">
        <f>IF(K1095="Válida",ABS(J1095),"")</f>
        <v>0</v>
      </c>
      <c r="M1095" s="26">
        <f>IF(K1095="Válida",IF(L1095&lt;=cfgTolerancia,"Sim","Não"),"")</f>
        <v>0</v>
      </c>
      <c r="N1095" s="26">
        <f>IF(A1095="","",MES!D1095)</f>
        <v>0</v>
      </c>
      <c r="O1095" s="25">
        <f>IF(K1095="Válida",A1095,NA())</f>
        <v>0</v>
      </c>
      <c r="P1095" s="27">
        <f>IF(K1095="Válida",C1095,NA())</f>
        <v>0</v>
      </c>
      <c r="Q1095" s="27">
        <f>IF(K1095="Válida",I1095,NA())</f>
        <v>0</v>
      </c>
      <c r="R1095" s="27">
        <f>IF(K1095="Válida",J1095,NA())</f>
        <v>0</v>
      </c>
      <c r="S1095" s="27">
        <f>IF(K1095="Válida",C1095,"")</f>
        <v>0</v>
      </c>
      <c r="T1095" s="27">
        <f>IF(K1095="Válida",I1095,"")</f>
        <v>0</v>
      </c>
      <c r="U1095" s="27">
        <f>IF(K1095="Válida",J1095,"")</f>
        <v>0</v>
      </c>
    </row>
    <row r="1096" spans="1:21">
      <c r="A1096" s="25">
        <f>IF(MES!A1096="","",MES!C1096/48)</f>
        <v>0</v>
      </c>
      <c r="B1096" s="26">
        <f>IF(A1096="","",TEXT((N1096*4+cfgDeslocamento)/48,"hh:mm")&amp;" a "&amp;TEXT(A1096,"hh:mm"))</f>
        <v>0</v>
      </c>
      <c r="C1096" s="27">
        <f>IF(A1096="","",MES!B1096)</f>
        <v>0</v>
      </c>
      <c r="D1096" s="27">
        <f>IF(A1096="","",IFERROR(AVERAGEIFS(Prensa!$B$2:$B$5001,Prensa!$E$2:$E$5001,N1096,Prensa!$F$2:$F$5001,1,Prensa!$G$2:$G$5001,1),""))</f>
        <v>0</v>
      </c>
      <c r="E1096" s="27">
        <f>IF(A1096="","",IFERROR(AVERAGEIFS(Prensa!$B$2:$B$5001,Prensa!$E$2:$E$5001,N1096,Prensa!$F$2:$F$5001,2,Prensa!$G$2:$G$5001,1),""))</f>
        <v>0</v>
      </c>
      <c r="F1096" s="27">
        <f>IF(A1096="","",IFERROR(AVERAGEIFS(Prensa!$B$2:$B$5001,Prensa!$E$2:$E$5001,N1096,Prensa!$F$2:$F$5001,3,Prensa!$G$2:$G$5001,1),""))</f>
        <v>0</v>
      </c>
      <c r="G1096" s="27">
        <f>IF(A1096="","",IFERROR(AVERAGEIFS(Prensa!$B$2:$B$5001,Prensa!$E$2:$E$5001,N1096,Prensa!$F$2:$F$5001,4,Prensa!$G$2:$G$5001,1),""))</f>
        <v>0</v>
      </c>
      <c r="H1096" s="26">
        <f>IF(A1096="","",COUNT(D1096:G1096))</f>
        <v>0</v>
      </c>
      <c r="I1096" s="27">
        <f>IF(A1096="","",IF(H1096=0,"",AVERAGE(D1096:G1096)))</f>
        <v>0</v>
      </c>
      <c r="J1096" s="27">
        <f>IF(OR(I1096="",C1096=""),"",I1096-C1096)</f>
        <v>0</v>
      </c>
      <c r="K1096" s="26">
        <f>IF(A1096="","",IF(MES!E1096&lt;&gt;4,"Horário do MES fora do padrão",IF(H1096&lt;cfgMinCortes,"Cortes insuficientes","Válida")))</f>
        <v>0</v>
      </c>
      <c r="L1096" s="27">
        <f>IF(K1096="Válida",ABS(J1096),"")</f>
        <v>0</v>
      </c>
      <c r="M1096" s="26">
        <f>IF(K1096="Válida",IF(L1096&lt;=cfgTolerancia,"Sim","Não"),"")</f>
        <v>0</v>
      </c>
      <c r="N1096" s="26">
        <f>IF(A1096="","",MES!D1096)</f>
        <v>0</v>
      </c>
      <c r="O1096" s="25">
        <f>IF(K1096="Válida",A1096,NA())</f>
        <v>0</v>
      </c>
      <c r="P1096" s="27">
        <f>IF(K1096="Válida",C1096,NA())</f>
        <v>0</v>
      </c>
      <c r="Q1096" s="27">
        <f>IF(K1096="Válida",I1096,NA())</f>
        <v>0</v>
      </c>
      <c r="R1096" s="27">
        <f>IF(K1096="Válida",J1096,NA())</f>
        <v>0</v>
      </c>
      <c r="S1096" s="27">
        <f>IF(K1096="Válida",C1096,"")</f>
        <v>0</v>
      </c>
      <c r="T1096" s="27">
        <f>IF(K1096="Válida",I1096,"")</f>
        <v>0</v>
      </c>
      <c r="U1096" s="27">
        <f>IF(K1096="Válida",J1096,"")</f>
        <v>0</v>
      </c>
    </row>
    <row r="1097" spans="1:21">
      <c r="A1097" s="25">
        <f>IF(MES!A1097="","",MES!C1097/48)</f>
        <v>0</v>
      </c>
      <c r="B1097" s="26">
        <f>IF(A1097="","",TEXT((N1097*4+cfgDeslocamento)/48,"hh:mm")&amp;" a "&amp;TEXT(A1097,"hh:mm"))</f>
        <v>0</v>
      </c>
      <c r="C1097" s="27">
        <f>IF(A1097="","",MES!B1097)</f>
        <v>0</v>
      </c>
      <c r="D1097" s="27">
        <f>IF(A1097="","",IFERROR(AVERAGEIFS(Prensa!$B$2:$B$5001,Prensa!$E$2:$E$5001,N1097,Prensa!$F$2:$F$5001,1,Prensa!$G$2:$G$5001,1),""))</f>
        <v>0</v>
      </c>
      <c r="E1097" s="27">
        <f>IF(A1097="","",IFERROR(AVERAGEIFS(Prensa!$B$2:$B$5001,Prensa!$E$2:$E$5001,N1097,Prensa!$F$2:$F$5001,2,Prensa!$G$2:$G$5001,1),""))</f>
        <v>0</v>
      </c>
      <c r="F1097" s="27">
        <f>IF(A1097="","",IFERROR(AVERAGEIFS(Prensa!$B$2:$B$5001,Prensa!$E$2:$E$5001,N1097,Prensa!$F$2:$F$5001,3,Prensa!$G$2:$G$5001,1),""))</f>
        <v>0</v>
      </c>
      <c r="G1097" s="27">
        <f>IF(A1097="","",IFERROR(AVERAGEIFS(Prensa!$B$2:$B$5001,Prensa!$E$2:$E$5001,N1097,Prensa!$F$2:$F$5001,4,Prensa!$G$2:$G$5001,1),""))</f>
        <v>0</v>
      </c>
      <c r="H1097" s="26">
        <f>IF(A1097="","",COUNT(D1097:G1097))</f>
        <v>0</v>
      </c>
      <c r="I1097" s="27">
        <f>IF(A1097="","",IF(H1097=0,"",AVERAGE(D1097:G1097)))</f>
        <v>0</v>
      </c>
      <c r="J1097" s="27">
        <f>IF(OR(I1097="",C1097=""),"",I1097-C1097)</f>
        <v>0</v>
      </c>
      <c r="K1097" s="26">
        <f>IF(A1097="","",IF(MES!E1097&lt;&gt;4,"Horário do MES fora do padrão",IF(H1097&lt;cfgMinCortes,"Cortes insuficientes","Válida")))</f>
        <v>0</v>
      </c>
      <c r="L1097" s="27">
        <f>IF(K1097="Válida",ABS(J1097),"")</f>
        <v>0</v>
      </c>
      <c r="M1097" s="26">
        <f>IF(K1097="Válida",IF(L1097&lt;=cfgTolerancia,"Sim","Não"),"")</f>
        <v>0</v>
      </c>
      <c r="N1097" s="26">
        <f>IF(A1097="","",MES!D1097)</f>
        <v>0</v>
      </c>
      <c r="O1097" s="25">
        <f>IF(K1097="Válida",A1097,NA())</f>
        <v>0</v>
      </c>
      <c r="P1097" s="27">
        <f>IF(K1097="Válida",C1097,NA())</f>
        <v>0</v>
      </c>
      <c r="Q1097" s="27">
        <f>IF(K1097="Válida",I1097,NA())</f>
        <v>0</v>
      </c>
      <c r="R1097" s="27">
        <f>IF(K1097="Válida",J1097,NA())</f>
        <v>0</v>
      </c>
      <c r="S1097" s="27">
        <f>IF(K1097="Válida",C1097,"")</f>
        <v>0</v>
      </c>
      <c r="T1097" s="27">
        <f>IF(K1097="Válida",I1097,"")</f>
        <v>0</v>
      </c>
      <c r="U1097" s="27">
        <f>IF(K1097="Válida",J1097,"")</f>
        <v>0</v>
      </c>
    </row>
    <row r="1098" spans="1:21">
      <c r="A1098" s="25">
        <f>IF(MES!A1098="","",MES!C1098/48)</f>
        <v>0</v>
      </c>
      <c r="B1098" s="26">
        <f>IF(A1098="","",TEXT((N1098*4+cfgDeslocamento)/48,"hh:mm")&amp;" a "&amp;TEXT(A1098,"hh:mm"))</f>
        <v>0</v>
      </c>
      <c r="C1098" s="27">
        <f>IF(A1098="","",MES!B1098)</f>
        <v>0</v>
      </c>
      <c r="D1098" s="27">
        <f>IF(A1098="","",IFERROR(AVERAGEIFS(Prensa!$B$2:$B$5001,Prensa!$E$2:$E$5001,N1098,Prensa!$F$2:$F$5001,1,Prensa!$G$2:$G$5001,1),""))</f>
        <v>0</v>
      </c>
      <c r="E1098" s="27">
        <f>IF(A1098="","",IFERROR(AVERAGEIFS(Prensa!$B$2:$B$5001,Prensa!$E$2:$E$5001,N1098,Prensa!$F$2:$F$5001,2,Prensa!$G$2:$G$5001,1),""))</f>
        <v>0</v>
      </c>
      <c r="F1098" s="27">
        <f>IF(A1098="","",IFERROR(AVERAGEIFS(Prensa!$B$2:$B$5001,Prensa!$E$2:$E$5001,N1098,Prensa!$F$2:$F$5001,3,Prensa!$G$2:$G$5001,1),""))</f>
        <v>0</v>
      </c>
      <c r="G1098" s="27">
        <f>IF(A1098="","",IFERROR(AVERAGEIFS(Prensa!$B$2:$B$5001,Prensa!$E$2:$E$5001,N1098,Prensa!$F$2:$F$5001,4,Prensa!$G$2:$G$5001,1),""))</f>
        <v>0</v>
      </c>
      <c r="H1098" s="26">
        <f>IF(A1098="","",COUNT(D1098:G1098))</f>
        <v>0</v>
      </c>
      <c r="I1098" s="27">
        <f>IF(A1098="","",IF(H1098=0,"",AVERAGE(D1098:G1098)))</f>
        <v>0</v>
      </c>
      <c r="J1098" s="27">
        <f>IF(OR(I1098="",C1098=""),"",I1098-C1098)</f>
        <v>0</v>
      </c>
      <c r="K1098" s="26">
        <f>IF(A1098="","",IF(MES!E1098&lt;&gt;4,"Horário do MES fora do padrão",IF(H1098&lt;cfgMinCortes,"Cortes insuficientes","Válida")))</f>
        <v>0</v>
      </c>
      <c r="L1098" s="27">
        <f>IF(K1098="Válida",ABS(J1098),"")</f>
        <v>0</v>
      </c>
      <c r="M1098" s="26">
        <f>IF(K1098="Válida",IF(L1098&lt;=cfgTolerancia,"Sim","Não"),"")</f>
        <v>0</v>
      </c>
      <c r="N1098" s="26">
        <f>IF(A1098="","",MES!D1098)</f>
        <v>0</v>
      </c>
      <c r="O1098" s="25">
        <f>IF(K1098="Válida",A1098,NA())</f>
        <v>0</v>
      </c>
      <c r="P1098" s="27">
        <f>IF(K1098="Válida",C1098,NA())</f>
        <v>0</v>
      </c>
      <c r="Q1098" s="27">
        <f>IF(K1098="Válida",I1098,NA())</f>
        <v>0</v>
      </c>
      <c r="R1098" s="27">
        <f>IF(K1098="Válida",J1098,NA())</f>
        <v>0</v>
      </c>
      <c r="S1098" s="27">
        <f>IF(K1098="Válida",C1098,"")</f>
        <v>0</v>
      </c>
      <c r="T1098" s="27">
        <f>IF(K1098="Válida",I1098,"")</f>
        <v>0</v>
      </c>
      <c r="U1098" s="27">
        <f>IF(K1098="Válida",J1098,"")</f>
        <v>0</v>
      </c>
    </row>
    <row r="1099" spans="1:21">
      <c r="A1099" s="25">
        <f>IF(MES!A1099="","",MES!C1099/48)</f>
        <v>0</v>
      </c>
      <c r="B1099" s="26">
        <f>IF(A1099="","",TEXT((N1099*4+cfgDeslocamento)/48,"hh:mm")&amp;" a "&amp;TEXT(A1099,"hh:mm"))</f>
        <v>0</v>
      </c>
      <c r="C1099" s="27">
        <f>IF(A1099="","",MES!B1099)</f>
        <v>0</v>
      </c>
      <c r="D1099" s="27">
        <f>IF(A1099="","",IFERROR(AVERAGEIFS(Prensa!$B$2:$B$5001,Prensa!$E$2:$E$5001,N1099,Prensa!$F$2:$F$5001,1,Prensa!$G$2:$G$5001,1),""))</f>
        <v>0</v>
      </c>
      <c r="E1099" s="27">
        <f>IF(A1099="","",IFERROR(AVERAGEIFS(Prensa!$B$2:$B$5001,Prensa!$E$2:$E$5001,N1099,Prensa!$F$2:$F$5001,2,Prensa!$G$2:$G$5001,1),""))</f>
        <v>0</v>
      </c>
      <c r="F1099" s="27">
        <f>IF(A1099="","",IFERROR(AVERAGEIFS(Prensa!$B$2:$B$5001,Prensa!$E$2:$E$5001,N1099,Prensa!$F$2:$F$5001,3,Prensa!$G$2:$G$5001,1),""))</f>
        <v>0</v>
      </c>
      <c r="G1099" s="27">
        <f>IF(A1099="","",IFERROR(AVERAGEIFS(Prensa!$B$2:$B$5001,Prensa!$E$2:$E$5001,N1099,Prensa!$F$2:$F$5001,4,Prensa!$G$2:$G$5001,1),""))</f>
        <v>0</v>
      </c>
      <c r="H1099" s="26">
        <f>IF(A1099="","",COUNT(D1099:G1099))</f>
        <v>0</v>
      </c>
      <c r="I1099" s="27">
        <f>IF(A1099="","",IF(H1099=0,"",AVERAGE(D1099:G1099)))</f>
        <v>0</v>
      </c>
      <c r="J1099" s="27">
        <f>IF(OR(I1099="",C1099=""),"",I1099-C1099)</f>
        <v>0</v>
      </c>
      <c r="K1099" s="26">
        <f>IF(A1099="","",IF(MES!E1099&lt;&gt;4,"Horário do MES fora do padrão",IF(H1099&lt;cfgMinCortes,"Cortes insuficientes","Válida")))</f>
        <v>0</v>
      </c>
      <c r="L1099" s="27">
        <f>IF(K1099="Válida",ABS(J1099),"")</f>
        <v>0</v>
      </c>
      <c r="M1099" s="26">
        <f>IF(K1099="Válida",IF(L1099&lt;=cfgTolerancia,"Sim","Não"),"")</f>
        <v>0</v>
      </c>
      <c r="N1099" s="26">
        <f>IF(A1099="","",MES!D1099)</f>
        <v>0</v>
      </c>
      <c r="O1099" s="25">
        <f>IF(K1099="Válida",A1099,NA())</f>
        <v>0</v>
      </c>
      <c r="P1099" s="27">
        <f>IF(K1099="Válida",C1099,NA())</f>
        <v>0</v>
      </c>
      <c r="Q1099" s="27">
        <f>IF(K1099="Válida",I1099,NA())</f>
        <v>0</v>
      </c>
      <c r="R1099" s="27">
        <f>IF(K1099="Válida",J1099,NA())</f>
        <v>0</v>
      </c>
      <c r="S1099" s="27">
        <f>IF(K1099="Válida",C1099,"")</f>
        <v>0</v>
      </c>
      <c r="T1099" s="27">
        <f>IF(K1099="Válida",I1099,"")</f>
        <v>0</v>
      </c>
      <c r="U1099" s="27">
        <f>IF(K1099="Válida",J1099,"")</f>
        <v>0</v>
      </c>
    </row>
    <row r="1100" spans="1:21">
      <c r="A1100" s="25">
        <f>IF(MES!A1100="","",MES!C1100/48)</f>
        <v>0</v>
      </c>
      <c r="B1100" s="26">
        <f>IF(A1100="","",TEXT((N1100*4+cfgDeslocamento)/48,"hh:mm")&amp;" a "&amp;TEXT(A1100,"hh:mm"))</f>
        <v>0</v>
      </c>
      <c r="C1100" s="27">
        <f>IF(A1100="","",MES!B1100)</f>
        <v>0</v>
      </c>
      <c r="D1100" s="27">
        <f>IF(A1100="","",IFERROR(AVERAGEIFS(Prensa!$B$2:$B$5001,Prensa!$E$2:$E$5001,N1100,Prensa!$F$2:$F$5001,1,Prensa!$G$2:$G$5001,1),""))</f>
        <v>0</v>
      </c>
      <c r="E1100" s="27">
        <f>IF(A1100="","",IFERROR(AVERAGEIFS(Prensa!$B$2:$B$5001,Prensa!$E$2:$E$5001,N1100,Prensa!$F$2:$F$5001,2,Prensa!$G$2:$G$5001,1),""))</f>
        <v>0</v>
      </c>
      <c r="F1100" s="27">
        <f>IF(A1100="","",IFERROR(AVERAGEIFS(Prensa!$B$2:$B$5001,Prensa!$E$2:$E$5001,N1100,Prensa!$F$2:$F$5001,3,Prensa!$G$2:$G$5001,1),""))</f>
        <v>0</v>
      </c>
      <c r="G1100" s="27">
        <f>IF(A1100="","",IFERROR(AVERAGEIFS(Prensa!$B$2:$B$5001,Prensa!$E$2:$E$5001,N1100,Prensa!$F$2:$F$5001,4,Prensa!$G$2:$G$5001,1),""))</f>
        <v>0</v>
      </c>
      <c r="H1100" s="26">
        <f>IF(A1100="","",COUNT(D1100:G1100))</f>
        <v>0</v>
      </c>
      <c r="I1100" s="27">
        <f>IF(A1100="","",IF(H1100=0,"",AVERAGE(D1100:G1100)))</f>
        <v>0</v>
      </c>
      <c r="J1100" s="27">
        <f>IF(OR(I1100="",C1100=""),"",I1100-C1100)</f>
        <v>0</v>
      </c>
      <c r="K1100" s="26">
        <f>IF(A1100="","",IF(MES!E1100&lt;&gt;4,"Horário do MES fora do padrão",IF(H1100&lt;cfgMinCortes,"Cortes insuficientes","Válida")))</f>
        <v>0</v>
      </c>
      <c r="L1100" s="27">
        <f>IF(K1100="Válida",ABS(J1100),"")</f>
        <v>0</v>
      </c>
      <c r="M1100" s="26">
        <f>IF(K1100="Válida",IF(L1100&lt;=cfgTolerancia,"Sim","Não"),"")</f>
        <v>0</v>
      </c>
      <c r="N1100" s="26">
        <f>IF(A1100="","",MES!D1100)</f>
        <v>0</v>
      </c>
      <c r="O1100" s="25">
        <f>IF(K1100="Válida",A1100,NA())</f>
        <v>0</v>
      </c>
      <c r="P1100" s="27">
        <f>IF(K1100="Válida",C1100,NA())</f>
        <v>0</v>
      </c>
      <c r="Q1100" s="27">
        <f>IF(K1100="Válida",I1100,NA())</f>
        <v>0</v>
      </c>
      <c r="R1100" s="27">
        <f>IF(K1100="Válida",J1100,NA())</f>
        <v>0</v>
      </c>
      <c r="S1100" s="27">
        <f>IF(K1100="Válida",C1100,"")</f>
        <v>0</v>
      </c>
      <c r="T1100" s="27">
        <f>IF(K1100="Válida",I1100,"")</f>
        <v>0</v>
      </c>
      <c r="U1100" s="27">
        <f>IF(K1100="Válida",J1100,"")</f>
        <v>0</v>
      </c>
    </row>
    <row r="1101" spans="1:21">
      <c r="A1101" s="25">
        <f>IF(MES!A1101="","",MES!C1101/48)</f>
        <v>0</v>
      </c>
      <c r="B1101" s="26">
        <f>IF(A1101="","",TEXT((N1101*4+cfgDeslocamento)/48,"hh:mm")&amp;" a "&amp;TEXT(A1101,"hh:mm"))</f>
        <v>0</v>
      </c>
      <c r="C1101" s="27">
        <f>IF(A1101="","",MES!B1101)</f>
        <v>0</v>
      </c>
      <c r="D1101" s="27">
        <f>IF(A1101="","",IFERROR(AVERAGEIFS(Prensa!$B$2:$B$5001,Prensa!$E$2:$E$5001,N1101,Prensa!$F$2:$F$5001,1,Prensa!$G$2:$G$5001,1),""))</f>
        <v>0</v>
      </c>
      <c r="E1101" s="27">
        <f>IF(A1101="","",IFERROR(AVERAGEIFS(Prensa!$B$2:$B$5001,Prensa!$E$2:$E$5001,N1101,Prensa!$F$2:$F$5001,2,Prensa!$G$2:$G$5001,1),""))</f>
        <v>0</v>
      </c>
      <c r="F1101" s="27">
        <f>IF(A1101="","",IFERROR(AVERAGEIFS(Prensa!$B$2:$B$5001,Prensa!$E$2:$E$5001,N1101,Prensa!$F$2:$F$5001,3,Prensa!$G$2:$G$5001,1),""))</f>
        <v>0</v>
      </c>
      <c r="G1101" s="27">
        <f>IF(A1101="","",IFERROR(AVERAGEIFS(Prensa!$B$2:$B$5001,Prensa!$E$2:$E$5001,N1101,Prensa!$F$2:$F$5001,4,Prensa!$G$2:$G$5001,1),""))</f>
        <v>0</v>
      </c>
      <c r="H1101" s="26">
        <f>IF(A1101="","",COUNT(D1101:G1101))</f>
        <v>0</v>
      </c>
      <c r="I1101" s="27">
        <f>IF(A1101="","",IF(H1101=0,"",AVERAGE(D1101:G1101)))</f>
        <v>0</v>
      </c>
      <c r="J1101" s="27">
        <f>IF(OR(I1101="",C1101=""),"",I1101-C1101)</f>
        <v>0</v>
      </c>
      <c r="K1101" s="26">
        <f>IF(A1101="","",IF(MES!E1101&lt;&gt;4,"Horário do MES fora do padrão",IF(H1101&lt;cfgMinCortes,"Cortes insuficientes","Válida")))</f>
        <v>0</v>
      </c>
      <c r="L1101" s="27">
        <f>IF(K1101="Válida",ABS(J1101),"")</f>
        <v>0</v>
      </c>
      <c r="M1101" s="26">
        <f>IF(K1101="Válida",IF(L1101&lt;=cfgTolerancia,"Sim","Não"),"")</f>
        <v>0</v>
      </c>
      <c r="N1101" s="26">
        <f>IF(A1101="","",MES!D1101)</f>
        <v>0</v>
      </c>
      <c r="O1101" s="25">
        <f>IF(K1101="Válida",A1101,NA())</f>
        <v>0</v>
      </c>
      <c r="P1101" s="27">
        <f>IF(K1101="Válida",C1101,NA())</f>
        <v>0</v>
      </c>
      <c r="Q1101" s="27">
        <f>IF(K1101="Válida",I1101,NA())</f>
        <v>0</v>
      </c>
      <c r="R1101" s="27">
        <f>IF(K1101="Válida",J1101,NA())</f>
        <v>0</v>
      </c>
      <c r="S1101" s="27">
        <f>IF(K1101="Válida",C1101,"")</f>
        <v>0</v>
      </c>
      <c r="T1101" s="27">
        <f>IF(K1101="Válida",I1101,"")</f>
        <v>0</v>
      </c>
      <c r="U1101" s="27">
        <f>IF(K1101="Válida",J1101,"")</f>
        <v>0</v>
      </c>
    </row>
    <row r="1102" spans="1:21">
      <c r="A1102" s="25">
        <f>IF(MES!A1102="","",MES!C1102/48)</f>
        <v>0</v>
      </c>
      <c r="B1102" s="26">
        <f>IF(A1102="","",TEXT((N1102*4+cfgDeslocamento)/48,"hh:mm")&amp;" a "&amp;TEXT(A1102,"hh:mm"))</f>
        <v>0</v>
      </c>
      <c r="C1102" s="27">
        <f>IF(A1102="","",MES!B1102)</f>
        <v>0</v>
      </c>
      <c r="D1102" s="27">
        <f>IF(A1102="","",IFERROR(AVERAGEIFS(Prensa!$B$2:$B$5001,Prensa!$E$2:$E$5001,N1102,Prensa!$F$2:$F$5001,1,Prensa!$G$2:$G$5001,1),""))</f>
        <v>0</v>
      </c>
      <c r="E1102" s="27">
        <f>IF(A1102="","",IFERROR(AVERAGEIFS(Prensa!$B$2:$B$5001,Prensa!$E$2:$E$5001,N1102,Prensa!$F$2:$F$5001,2,Prensa!$G$2:$G$5001,1),""))</f>
        <v>0</v>
      </c>
      <c r="F1102" s="27">
        <f>IF(A1102="","",IFERROR(AVERAGEIFS(Prensa!$B$2:$B$5001,Prensa!$E$2:$E$5001,N1102,Prensa!$F$2:$F$5001,3,Prensa!$G$2:$G$5001,1),""))</f>
        <v>0</v>
      </c>
      <c r="G1102" s="27">
        <f>IF(A1102="","",IFERROR(AVERAGEIFS(Prensa!$B$2:$B$5001,Prensa!$E$2:$E$5001,N1102,Prensa!$F$2:$F$5001,4,Prensa!$G$2:$G$5001,1),""))</f>
        <v>0</v>
      </c>
      <c r="H1102" s="26">
        <f>IF(A1102="","",COUNT(D1102:G1102))</f>
        <v>0</v>
      </c>
      <c r="I1102" s="27">
        <f>IF(A1102="","",IF(H1102=0,"",AVERAGE(D1102:G1102)))</f>
        <v>0</v>
      </c>
      <c r="J1102" s="27">
        <f>IF(OR(I1102="",C1102=""),"",I1102-C1102)</f>
        <v>0</v>
      </c>
      <c r="K1102" s="26">
        <f>IF(A1102="","",IF(MES!E1102&lt;&gt;4,"Horário do MES fora do padrão",IF(H1102&lt;cfgMinCortes,"Cortes insuficientes","Válida")))</f>
        <v>0</v>
      </c>
      <c r="L1102" s="27">
        <f>IF(K1102="Válida",ABS(J1102),"")</f>
        <v>0</v>
      </c>
      <c r="M1102" s="26">
        <f>IF(K1102="Válida",IF(L1102&lt;=cfgTolerancia,"Sim","Não"),"")</f>
        <v>0</v>
      </c>
      <c r="N1102" s="26">
        <f>IF(A1102="","",MES!D1102)</f>
        <v>0</v>
      </c>
      <c r="O1102" s="25">
        <f>IF(K1102="Válida",A1102,NA())</f>
        <v>0</v>
      </c>
      <c r="P1102" s="27">
        <f>IF(K1102="Válida",C1102,NA())</f>
        <v>0</v>
      </c>
      <c r="Q1102" s="27">
        <f>IF(K1102="Válida",I1102,NA())</f>
        <v>0</v>
      </c>
      <c r="R1102" s="27">
        <f>IF(K1102="Válida",J1102,NA())</f>
        <v>0</v>
      </c>
      <c r="S1102" s="27">
        <f>IF(K1102="Válida",C1102,"")</f>
        <v>0</v>
      </c>
      <c r="T1102" s="27">
        <f>IF(K1102="Válida",I1102,"")</f>
        <v>0</v>
      </c>
      <c r="U1102" s="27">
        <f>IF(K1102="Válida",J1102,"")</f>
        <v>0</v>
      </c>
    </row>
    <row r="1103" spans="1:21">
      <c r="A1103" s="25">
        <f>IF(MES!A1103="","",MES!C1103/48)</f>
        <v>0</v>
      </c>
      <c r="B1103" s="26">
        <f>IF(A1103="","",TEXT((N1103*4+cfgDeslocamento)/48,"hh:mm")&amp;" a "&amp;TEXT(A1103,"hh:mm"))</f>
        <v>0</v>
      </c>
      <c r="C1103" s="27">
        <f>IF(A1103="","",MES!B1103)</f>
        <v>0</v>
      </c>
      <c r="D1103" s="27">
        <f>IF(A1103="","",IFERROR(AVERAGEIFS(Prensa!$B$2:$B$5001,Prensa!$E$2:$E$5001,N1103,Prensa!$F$2:$F$5001,1,Prensa!$G$2:$G$5001,1),""))</f>
        <v>0</v>
      </c>
      <c r="E1103" s="27">
        <f>IF(A1103="","",IFERROR(AVERAGEIFS(Prensa!$B$2:$B$5001,Prensa!$E$2:$E$5001,N1103,Prensa!$F$2:$F$5001,2,Prensa!$G$2:$G$5001,1),""))</f>
        <v>0</v>
      </c>
      <c r="F1103" s="27">
        <f>IF(A1103="","",IFERROR(AVERAGEIFS(Prensa!$B$2:$B$5001,Prensa!$E$2:$E$5001,N1103,Prensa!$F$2:$F$5001,3,Prensa!$G$2:$G$5001,1),""))</f>
        <v>0</v>
      </c>
      <c r="G1103" s="27">
        <f>IF(A1103="","",IFERROR(AVERAGEIFS(Prensa!$B$2:$B$5001,Prensa!$E$2:$E$5001,N1103,Prensa!$F$2:$F$5001,4,Prensa!$G$2:$G$5001,1),""))</f>
        <v>0</v>
      </c>
      <c r="H1103" s="26">
        <f>IF(A1103="","",COUNT(D1103:G1103))</f>
        <v>0</v>
      </c>
      <c r="I1103" s="27">
        <f>IF(A1103="","",IF(H1103=0,"",AVERAGE(D1103:G1103)))</f>
        <v>0</v>
      </c>
      <c r="J1103" s="27">
        <f>IF(OR(I1103="",C1103=""),"",I1103-C1103)</f>
        <v>0</v>
      </c>
      <c r="K1103" s="26">
        <f>IF(A1103="","",IF(MES!E1103&lt;&gt;4,"Horário do MES fora do padrão",IF(H1103&lt;cfgMinCortes,"Cortes insuficientes","Válida")))</f>
        <v>0</v>
      </c>
      <c r="L1103" s="27">
        <f>IF(K1103="Válida",ABS(J1103),"")</f>
        <v>0</v>
      </c>
      <c r="M1103" s="26">
        <f>IF(K1103="Válida",IF(L1103&lt;=cfgTolerancia,"Sim","Não"),"")</f>
        <v>0</v>
      </c>
      <c r="N1103" s="26">
        <f>IF(A1103="","",MES!D1103)</f>
        <v>0</v>
      </c>
      <c r="O1103" s="25">
        <f>IF(K1103="Válida",A1103,NA())</f>
        <v>0</v>
      </c>
      <c r="P1103" s="27">
        <f>IF(K1103="Válida",C1103,NA())</f>
        <v>0</v>
      </c>
      <c r="Q1103" s="27">
        <f>IF(K1103="Válida",I1103,NA())</f>
        <v>0</v>
      </c>
      <c r="R1103" s="27">
        <f>IF(K1103="Válida",J1103,NA())</f>
        <v>0</v>
      </c>
      <c r="S1103" s="27">
        <f>IF(K1103="Válida",C1103,"")</f>
        <v>0</v>
      </c>
      <c r="T1103" s="27">
        <f>IF(K1103="Válida",I1103,"")</f>
        <v>0</v>
      </c>
      <c r="U1103" s="27">
        <f>IF(K1103="Válida",J1103,"")</f>
        <v>0</v>
      </c>
    </row>
    <row r="1104" spans="1:21">
      <c r="A1104" s="25">
        <f>IF(MES!A1104="","",MES!C1104/48)</f>
        <v>0</v>
      </c>
      <c r="B1104" s="26">
        <f>IF(A1104="","",TEXT((N1104*4+cfgDeslocamento)/48,"hh:mm")&amp;" a "&amp;TEXT(A1104,"hh:mm"))</f>
        <v>0</v>
      </c>
      <c r="C1104" s="27">
        <f>IF(A1104="","",MES!B1104)</f>
        <v>0</v>
      </c>
      <c r="D1104" s="27">
        <f>IF(A1104="","",IFERROR(AVERAGEIFS(Prensa!$B$2:$B$5001,Prensa!$E$2:$E$5001,N1104,Prensa!$F$2:$F$5001,1,Prensa!$G$2:$G$5001,1),""))</f>
        <v>0</v>
      </c>
      <c r="E1104" s="27">
        <f>IF(A1104="","",IFERROR(AVERAGEIFS(Prensa!$B$2:$B$5001,Prensa!$E$2:$E$5001,N1104,Prensa!$F$2:$F$5001,2,Prensa!$G$2:$G$5001,1),""))</f>
        <v>0</v>
      </c>
      <c r="F1104" s="27">
        <f>IF(A1104="","",IFERROR(AVERAGEIFS(Prensa!$B$2:$B$5001,Prensa!$E$2:$E$5001,N1104,Prensa!$F$2:$F$5001,3,Prensa!$G$2:$G$5001,1),""))</f>
        <v>0</v>
      </c>
      <c r="G1104" s="27">
        <f>IF(A1104="","",IFERROR(AVERAGEIFS(Prensa!$B$2:$B$5001,Prensa!$E$2:$E$5001,N1104,Prensa!$F$2:$F$5001,4,Prensa!$G$2:$G$5001,1),""))</f>
        <v>0</v>
      </c>
      <c r="H1104" s="26">
        <f>IF(A1104="","",COUNT(D1104:G1104))</f>
        <v>0</v>
      </c>
      <c r="I1104" s="27">
        <f>IF(A1104="","",IF(H1104=0,"",AVERAGE(D1104:G1104)))</f>
        <v>0</v>
      </c>
      <c r="J1104" s="27">
        <f>IF(OR(I1104="",C1104=""),"",I1104-C1104)</f>
        <v>0</v>
      </c>
      <c r="K1104" s="26">
        <f>IF(A1104="","",IF(MES!E1104&lt;&gt;4,"Horário do MES fora do padrão",IF(H1104&lt;cfgMinCortes,"Cortes insuficientes","Válida")))</f>
        <v>0</v>
      </c>
      <c r="L1104" s="27">
        <f>IF(K1104="Válida",ABS(J1104),"")</f>
        <v>0</v>
      </c>
      <c r="M1104" s="26">
        <f>IF(K1104="Válida",IF(L1104&lt;=cfgTolerancia,"Sim","Não"),"")</f>
        <v>0</v>
      </c>
      <c r="N1104" s="26">
        <f>IF(A1104="","",MES!D1104)</f>
        <v>0</v>
      </c>
      <c r="O1104" s="25">
        <f>IF(K1104="Válida",A1104,NA())</f>
        <v>0</v>
      </c>
      <c r="P1104" s="27">
        <f>IF(K1104="Válida",C1104,NA())</f>
        <v>0</v>
      </c>
      <c r="Q1104" s="27">
        <f>IF(K1104="Válida",I1104,NA())</f>
        <v>0</v>
      </c>
      <c r="R1104" s="27">
        <f>IF(K1104="Válida",J1104,NA())</f>
        <v>0</v>
      </c>
      <c r="S1104" s="27">
        <f>IF(K1104="Válida",C1104,"")</f>
        <v>0</v>
      </c>
      <c r="T1104" s="27">
        <f>IF(K1104="Válida",I1104,"")</f>
        <v>0</v>
      </c>
      <c r="U1104" s="27">
        <f>IF(K1104="Válida",J1104,"")</f>
        <v>0</v>
      </c>
    </row>
    <row r="1105" spans="1:21">
      <c r="A1105" s="25">
        <f>IF(MES!A1105="","",MES!C1105/48)</f>
        <v>0</v>
      </c>
      <c r="B1105" s="26">
        <f>IF(A1105="","",TEXT((N1105*4+cfgDeslocamento)/48,"hh:mm")&amp;" a "&amp;TEXT(A1105,"hh:mm"))</f>
        <v>0</v>
      </c>
      <c r="C1105" s="27">
        <f>IF(A1105="","",MES!B1105)</f>
        <v>0</v>
      </c>
      <c r="D1105" s="27">
        <f>IF(A1105="","",IFERROR(AVERAGEIFS(Prensa!$B$2:$B$5001,Prensa!$E$2:$E$5001,N1105,Prensa!$F$2:$F$5001,1,Prensa!$G$2:$G$5001,1),""))</f>
        <v>0</v>
      </c>
      <c r="E1105" s="27">
        <f>IF(A1105="","",IFERROR(AVERAGEIFS(Prensa!$B$2:$B$5001,Prensa!$E$2:$E$5001,N1105,Prensa!$F$2:$F$5001,2,Prensa!$G$2:$G$5001,1),""))</f>
        <v>0</v>
      </c>
      <c r="F1105" s="27">
        <f>IF(A1105="","",IFERROR(AVERAGEIFS(Prensa!$B$2:$B$5001,Prensa!$E$2:$E$5001,N1105,Prensa!$F$2:$F$5001,3,Prensa!$G$2:$G$5001,1),""))</f>
        <v>0</v>
      </c>
      <c r="G1105" s="27">
        <f>IF(A1105="","",IFERROR(AVERAGEIFS(Prensa!$B$2:$B$5001,Prensa!$E$2:$E$5001,N1105,Prensa!$F$2:$F$5001,4,Prensa!$G$2:$G$5001,1),""))</f>
        <v>0</v>
      </c>
      <c r="H1105" s="26">
        <f>IF(A1105="","",COUNT(D1105:G1105))</f>
        <v>0</v>
      </c>
      <c r="I1105" s="27">
        <f>IF(A1105="","",IF(H1105=0,"",AVERAGE(D1105:G1105)))</f>
        <v>0</v>
      </c>
      <c r="J1105" s="27">
        <f>IF(OR(I1105="",C1105=""),"",I1105-C1105)</f>
        <v>0</v>
      </c>
      <c r="K1105" s="26">
        <f>IF(A1105="","",IF(MES!E1105&lt;&gt;4,"Horário do MES fora do padrão",IF(H1105&lt;cfgMinCortes,"Cortes insuficientes","Válida")))</f>
        <v>0</v>
      </c>
      <c r="L1105" s="27">
        <f>IF(K1105="Válida",ABS(J1105),"")</f>
        <v>0</v>
      </c>
      <c r="M1105" s="26">
        <f>IF(K1105="Válida",IF(L1105&lt;=cfgTolerancia,"Sim","Não"),"")</f>
        <v>0</v>
      </c>
      <c r="N1105" s="26">
        <f>IF(A1105="","",MES!D1105)</f>
        <v>0</v>
      </c>
      <c r="O1105" s="25">
        <f>IF(K1105="Válida",A1105,NA())</f>
        <v>0</v>
      </c>
      <c r="P1105" s="27">
        <f>IF(K1105="Válida",C1105,NA())</f>
        <v>0</v>
      </c>
      <c r="Q1105" s="27">
        <f>IF(K1105="Válida",I1105,NA())</f>
        <v>0</v>
      </c>
      <c r="R1105" s="27">
        <f>IF(K1105="Válida",J1105,NA())</f>
        <v>0</v>
      </c>
      <c r="S1105" s="27">
        <f>IF(K1105="Válida",C1105,"")</f>
        <v>0</v>
      </c>
      <c r="T1105" s="27">
        <f>IF(K1105="Válida",I1105,"")</f>
        <v>0</v>
      </c>
      <c r="U1105" s="27">
        <f>IF(K1105="Válida",J1105,"")</f>
        <v>0</v>
      </c>
    </row>
    <row r="1106" spans="1:21">
      <c r="A1106" s="25">
        <f>IF(MES!A1106="","",MES!C1106/48)</f>
        <v>0</v>
      </c>
      <c r="B1106" s="26">
        <f>IF(A1106="","",TEXT((N1106*4+cfgDeslocamento)/48,"hh:mm")&amp;" a "&amp;TEXT(A1106,"hh:mm"))</f>
        <v>0</v>
      </c>
      <c r="C1106" s="27">
        <f>IF(A1106="","",MES!B1106)</f>
        <v>0</v>
      </c>
      <c r="D1106" s="27">
        <f>IF(A1106="","",IFERROR(AVERAGEIFS(Prensa!$B$2:$B$5001,Prensa!$E$2:$E$5001,N1106,Prensa!$F$2:$F$5001,1,Prensa!$G$2:$G$5001,1),""))</f>
        <v>0</v>
      </c>
      <c r="E1106" s="27">
        <f>IF(A1106="","",IFERROR(AVERAGEIFS(Prensa!$B$2:$B$5001,Prensa!$E$2:$E$5001,N1106,Prensa!$F$2:$F$5001,2,Prensa!$G$2:$G$5001,1),""))</f>
        <v>0</v>
      </c>
      <c r="F1106" s="27">
        <f>IF(A1106="","",IFERROR(AVERAGEIFS(Prensa!$B$2:$B$5001,Prensa!$E$2:$E$5001,N1106,Prensa!$F$2:$F$5001,3,Prensa!$G$2:$G$5001,1),""))</f>
        <v>0</v>
      </c>
      <c r="G1106" s="27">
        <f>IF(A1106="","",IFERROR(AVERAGEIFS(Prensa!$B$2:$B$5001,Prensa!$E$2:$E$5001,N1106,Prensa!$F$2:$F$5001,4,Prensa!$G$2:$G$5001,1),""))</f>
        <v>0</v>
      </c>
      <c r="H1106" s="26">
        <f>IF(A1106="","",COUNT(D1106:G1106))</f>
        <v>0</v>
      </c>
      <c r="I1106" s="27">
        <f>IF(A1106="","",IF(H1106=0,"",AVERAGE(D1106:G1106)))</f>
        <v>0</v>
      </c>
      <c r="J1106" s="27">
        <f>IF(OR(I1106="",C1106=""),"",I1106-C1106)</f>
        <v>0</v>
      </c>
      <c r="K1106" s="26">
        <f>IF(A1106="","",IF(MES!E1106&lt;&gt;4,"Horário do MES fora do padrão",IF(H1106&lt;cfgMinCortes,"Cortes insuficientes","Válida")))</f>
        <v>0</v>
      </c>
      <c r="L1106" s="27">
        <f>IF(K1106="Válida",ABS(J1106),"")</f>
        <v>0</v>
      </c>
      <c r="M1106" s="26">
        <f>IF(K1106="Válida",IF(L1106&lt;=cfgTolerancia,"Sim","Não"),"")</f>
        <v>0</v>
      </c>
      <c r="N1106" s="26">
        <f>IF(A1106="","",MES!D1106)</f>
        <v>0</v>
      </c>
      <c r="O1106" s="25">
        <f>IF(K1106="Válida",A1106,NA())</f>
        <v>0</v>
      </c>
      <c r="P1106" s="27">
        <f>IF(K1106="Válida",C1106,NA())</f>
        <v>0</v>
      </c>
      <c r="Q1106" s="27">
        <f>IF(K1106="Válida",I1106,NA())</f>
        <v>0</v>
      </c>
      <c r="R1106" s="27">
        <f>IF(K1106="Válida",J1106,NA())</f>
        <v>0</v>
      </c>
      <c r="S1106" s="27">
        <f>IF(K1106="Válida",C1106,"")</f>
        <v>0</v>
      </c>
      <c r="T1106" s="27">
        <f>IF(K1106="Válida",I1106,"")</f>
        <v>0</v>
      </c>
      <c r="U1106" s="27">
        <f>IF(K1106="Válida",J1106,"")</f>
        <v>0</v>
      </c>
    </row>
    <row r="1107" spans="1:21">
      <c r="A1107" s="25">
        <f>IF(MES!A1107="","",MES!C1107/48)</f>
        <v>0</v>
      </c>
      <c r="B1107" s="26">
        <f>IF(A1107="","",TEXT((N1107*4+cfgDeslocamento)/48,"hh:mm")&amp;" a "&amp;TEXT(A1107,"hh:mm"))</f>
        <v>0</v>
      </c>
      <c r="C1107" s="27">
        <f>IF(A1107="","",MES!B1107)</f>
        <v>0</v>
      </c>
      <c r="D1107" s="27">
        <f>IF(A1107="","",IFERROR(AVERAGEIFS(Prensa!$B$2:$B$5001,Prensa!$E$2:$E$5001,N1107,Prensa!$F$2:$F$5001,1,Prensa!$G$2:$G$5001,1),""))</f>
        <v>0</v>
      </c>
      <c r="E1107" s="27">
        <f>IF(A1107="","",IFERROR(AVERAGEIFS(Prensa!$B$2:$B$5001,Prensa!$E$2:$E$5001,N1107,Prensa!$F$2:$F$5001,2,Prensa!$G$2:$G$5001,1),""))</f>
        <v>0</v>
      </c>
      <c r="F1107" s="27">
        <f>IF(A1107="","",IFERROR(AVERAGEIFS(Prensa!$B$2:$B$5001,Prensa!$E$2:$E$5001,N1107,Prensa!$F$2:$F$5001,3,Prensa!$G$2:$G$5001,1),""))</f>
        <v>0</v>
      </c>
      <c r="G1107" s="27">
        <f>IF(A1107="","",IFERROR(AVERAGEIFS(Prensa!$B$2:$B$5001,Prensa!$E$2:$E$5001,N1107,Prensa!$F$2:$F$5001,4,Prensa!$G$2:$G$5001,1),""))</f>
        <v>0</v>
      </c>
      <c r="H1107" s="26">
        <f>IF(A1107="","",COUNT(D1107:G1107))</f>
        <v>0</v>
      </c>
      <c r="I1107" s="27">
        <f>IF(A1107="","",IF(H1107=0,"",AVERAGE(D1107:G1107)))</f>
        <v>0</v>
      </c>
      <c r="J1107" s="27">
        <f>IF(OR(I1107="",C1107=""),"",I1107-C1107)</f>
        <v>0</v>
      </c>
      <c r="K1107" s="26">
        <f>IF(A1107="","",IF(MES!E1107&lt;&gt;4,"Horário do MES fora do padrão",IF(H1107&lt;cfgMinCortes,"Cortes insuficientes","Válida")))</f>
        <v>0</v>
      </c>
      <c r="L1107" s="27">
        <f>IF(K1107="Válida",ABS(J1107),"")</f>
        <v>0</v>
      </c>
      <c r="M1107" s="26">
        <f>IF(K1107="Válida",IF(L1107&lt;=cfgTolerancia,"Sim","Não"),"")</f>
        <v>0</v>
      </c>
      <c r="N1107" s="26">
        <f>IF(A1107="","",MES!D1107)</f>
        <v>0</v>
      </c>
      <c r="O1107" s="25">
        <f>IF(K1107="Válida",A1107,NA())</f>
        <v>0</v>
      </c>
      <c r="P1107" s="27">
        <f>IF(K1107="Válida",C1107,NA())</f>
        <v>0</v>
      </c>
      <c r="Q1107" s="27">
        <f>IF(K1107="Válida",I1107,NA())</f>
        <v>0</v>
      </c>
      <c r="R1107" s="27">
        <f>IF(K1107="Válida",J1107,NA())</f>
        <v>0</v>
      </c>
      <c r="S1107" s="27">
        <f>IF(K1107="Válida",C1107,"")</f>
        <v>0</v>
      </c>
      <c r="T1107" s="27">
        <f>IF(K1107="Válida",I1107,"")</f>
        <v>0</v>
      </c>
      <c r="U1107" s="27">
        <f>IF(K1107="Válida",J1107,"")</f>
        <v>0</v>
      </c>
    </row>
    <row r="1108" spans="1:21">
      <c r="A1108" s="25">
        <f>IF(MES!A1108="","",MES!C1108/48)</f>
        <v>0</v>
      </c>
      <c r="B1108" s="26">
        <f>IF(A1108="","",TEXT((N1108*4+cfgDeslocamento)/48,"hh:mm")&amp;" a "&amp;TEXT(A1108,"hh:mm"))</f>
        <v>0</v>
      </c>
      <c r="C1108" s="27">
        <f>IF(A1108="","",MES!B1108)</f>
        <v>0</v>
      </c>
      <c r="D1108" s="27">
        <f>IF(A1108="","",IFERROR(AVERAGEIFS(Prensa!$B$2:$B$5001,Prensa!$E$2:$E$5001,N1108,Prensa!$F$2:$F$5001,1,Prensa!$G$2:$G$5001,1),""))</f>
        <v>0</v>
      </c>
      <c r="E1108" s="27">
        <f>IF(A1108="","",IFERROR(AVERAGEIFS(Prensa!$B$2:$B$5001,Prensa!$E$2:$E$5001,N1108,Prensa!$F$2:$F$5001,2,Prensa!$G$2:$G$5001,1),""))</f>
        <v>0</v>
      </c>
      <c r="F1108" s="27">
        <f>IF(A1108="","",IFERROR(AVERAGEIFS(Prensa!$B$2:$B$5001,Prensa!$E$2:$E$5001,N1108,Prensa!$F$2:$F$5001,3,Prensa!$G$2:$G$5001,1),""))</f>
        <v>0</v>
      </c>
      <c r="G1108" s="27">
        <f>IF(A1108="","",IFERROR(AVERAGEIFS(Prensa!$B$2:$B$5001,Prensa!$E$2:$E$5001,N1108,Prensa!$F$2:$F$5001,4,Prensa!$G$2:$G$5001,1),""))</f>
        <v>0</v>
      </c>
      <c r="H1108" s="26">
        <f>IF(A1108="","",COUNT(D1108:G1108))</f>
        <v>0</v>
      </c>
      <c r="I1108" s="27">
        <f>IF(A1108="","",IF(H1108=0,"",AVERAGE(D1108:G1108)))</f>
        <v>0</v>
      </c>
      <c r="J1108" s="27">
        <f>IF(OR(I1108="",C1108=""),"",I1108-C1108)</f>
        <v>0</v>
      </c>
      <c r="K1108" s="26">
        <f>IF(A1108="","",IF(MES!E1108&lt;&gt;4,"Horário do MES fora do padrão",IF(H1108&lt;cfgMinCortes,"Cortes insuficientes","Válida")))</f>
        <v>0</v>
      </c>
      <c r="L1108" s="27">
        <f>IF(K1108="Válida",ABS(J1108),"")</f>
        <v>0</v>
      </c>
      <c r="M1108" s="26">
        <f>IF(K1108="Válida",IF(L1108&lt;=cfgTolerancia,"Sim","Não"),"")</f>
        <v>0</v>
      </c>
      <c r="N1108" s="26">
        <f>IF(A1108="","",MES!D1108)</f>
        <v>0</v>
      </c>
      <c r="O1108" s="25">
        <f>IF(K1108="Válida",A1108,NA())</f>
        <v>0</v>
      </c>
      <c r="P1108" s="27">
        <f>IF(K1108="Válida",C1108,NA())</f>
        <v>0</v>
      </c>
      <c r="Q1108" s="27">
        <f>IF(K1108="Válida",I1108,NA())</f>
        <v>0</v>
      </c>
      <c r="R1108" s="27">
        <f>IF(K1108="Válida",J1108,NA())</f>
        <v>0</v>
      </c>
      <c r="S1108" s="27">
        <f>IF(K1108="Válida",C1108,"")</f>
        <v>0</v>
      </c>
      <c r="T1108" s="27">
        <f>IF(K1108="Válida",I1108,"")</f>
        <v>0</v>
      </c>
      <c r="U1108" s="27">
        <f>IF(K1108="Válida",J1108,"")</f>
        <v>0</v>
      </c>
    </row>
    <row r="1109" spans="1:21">
      <c r="A1109" s="25">
        <f>IF(MES!A1109="","",MES!C1109/48)</f>
        <v>0</v>
      </c>
      <c r="B1109" s="26">
        <f>IF(A1109="","",TEXT((N1109*4+cfgDeslocamento)/48,"hh:mm")&amp;" a "&amp;TEXT(A1109,"hh:mm"))</f>
        <v>0</v>
      </c>
      <c r="C1109" s="27">
        <f>IF(A1109="","",MES!B1109)</f>
        <v>0</v>
      </c>
      <c r="D1109" s="27">
        <f>IF(A1109="","",IFERROR(AVERAGEIFS(Prensa!$B$2:$B$5001,Prensa!$E$2:$E$5001,N1109,Prensa!$F$2:$F$5001,1,Prensa!$G$2:$G$5001,1),""))</f>
        <v>0</v>
      </c>
      <c r="E1109" s="27">
        <f>IF(A1109="","",IFERROR(AVERAGEIFS(Prensa!$B$2:$B$5001,Prensa!$E$2:$E$5001,N1109,Prensa!$F$2:$F$5001,2,Prensa!$G$2:$G$5001,1),""))</f>
        <v>0</v>
      </c>
      <c r="F1109" s="27">
        <f>IF(A1109="","",IFERROR(AVERAGEIFS(Prensa!$B$2:$B$5001,Prensa!$E$2:$E$5001,N1109,Prensa!$F$2:$F$5001,3,Prensa!$G$2:$G$5001,1),""))</f>
        <v>0</v>
      </c>
      <c r="G1109" s="27">
        <f>IF(A1109="","",IFERROR(AVERAGEIFS(Prensa!$B$2:$B$5001,Prensa!$E$2:$E$5001,N1109,Prensa!$F$2:$F$5001,4,Prensa!$G$2:$G$5001,1),""))</f>
        <v>0</v>
      </c>
      <c r="H1109" s="26">
        <f>IF(A1109="","",COUNT(D1109:G1109))</f>
        <v>0</v>
      </c>
      <c r="I1109" s="27">
        <f>IF(A1109="","",IF(H1109=0,"",AVERAGE(D1109:G1109)))</f>
        <v>0</v>
      </c>
      <c r="J1109" s="27">
        <f>IF(OR(I1109="",C1109=""),"",I1109-C1109)</f>
        <v>0</v>
      </c>
      <c r="K1109" s="26">
        <f>IF(A1109="","",IF(MES!E1109&lt;&gt;4,"Horário do MES fora do padrão",IF(H1109&lt;cfgMinCortes,"Cortes insuficientes","Válida")))</f>
        <v>0</v>
      </c>
      <c r="L1109" s="27">
        <f>IF(K1109="Válida",ABS(J1109),"")</f>
        <v>0</v>
      </c>
      <c r="M1109" s="26">
        <f>IF(K1109="Válida",IF(L1109&lt;=cfgTolerancia,"Sim","Não"),"")</f>
        <v>0</v>
      </c>
      <c r="N1109" s="26">
        <f>IF(A1109="","",MES!D1109)</f>
        <v>0</v>
      </c>
      <c r="O1109" s="25">
        <f>IF(K1109="Válida",A1109,NA())</f>
        <v>0</v>
      </c>
      <c r="P1109" s="27">
        <f>IF(K1109="Válida",C1109,NA())</f>
        <v>0</v>
      </c>
      <c r="Q1109" s="27">
        <f>IF(K1109="Válida",I1109,NA())</f>
        <v>0</v>
      </c>
      <c r="R1109" s="27">
        <f>IF(K1109="Válida",J1109,NA())</f>
        <v>0</v>
      </c>
      <c r="S1109" s="27">
        <f>IF(K1109="Válida",C1109,"")</f>
        <v>0</v>
      </c>
      <c r="T1109" s="27">
        <f>IF(K1109="Válida",I1109,"")</f>
        <v>0</v>
      </c>
      <c r="U1109" s="27">
        <f>IF(K1109="Válida",J1109,"")</f>
        <v>0</v>
      </c>
    </row>
    <row r="1110" spans="1:21">
      <c r="A1110" s="25">
        <f>IF(MES!A1110="","",MES!C1110/48)</f>
        <v>0</v>
      </c>
      <c r="B1110" s="26">
        <f>IF(A1110="","",TEXT((N1110*4+cfgDeslocamento)/48,"hh:mm")&amp;" a "&amp;TEXT(A1110,"hh:mm"))</f>
        <v>0</v>
      </c>
      <c r="C1110" s="27">
        <f>IF(A1110="","",MES!B1110)</f>
        <v>0</v>
      </c>
      <c r="D1110" s="27">
        <f>IF(A1110="","",IFERROR(AVERAGEIFS(Prensa!$B$2:$B$5001,Prensa!$E$2:$E$5001,N1110,Prensa!$F$2:$F$5001,1,Prensa!$G$2:$G$5001,1),""))</f>
        <v>0</v>
      </c>
      <c r="E1110" s="27">
        <f>IF(A1110="","",IFERROR(AVERAGEIFS(Prensa!$B$2:$B$5001,Prensa!$E$2:$E$5001,N1110,Prensa!$F$2:$F$5001,2,Prensa!$G$2:$G$5001,1),""))</f>
        <v>0</v>
      </c>
      <c r="F1110" s="27">
        <f>IF(A1110="","",IFERROR(AVERAGEIFS(Prensa!$B$2:$B$5001,Prensa!$E$2:$E$5001,N1110,Prensa!$F$2:$F$5001,3,Prensa!$G$2:$G$5001,1),""))</f>
        <v>0</v>
      </c>
      <c r="G1110" s="27">
        <f>IF(A1110="","",IFERROR(AVERAGEIFS(Prensa!$B$2:$B$5001,Prensa!$E$2:$E$5001,N1110,Prensa!$F$2:$F$5001,4,Prensa!$G$2:$G$5001,1),""))</f>
        <v>0</v>
      </c>
      <c r="H1110" s="26">
        <f>IF(A1110="","",COUNT(D1110:G1110))</f>
        <v>0</v>
      </c>
      <c r="I1110" s="27">
        <f>IF(A1110="","",IF(H1110=0,"",AVERAGE(D1110:G1110)))</f>
        <v>0</v>
      </c>
      <c r="J1110" s="27">
        <f>IF(OR(I1110="",C1110=""),"",I1110-C1110)</f>
        <v>0</v>
      </c>
      <c r="K1110" s="26">
        <f>IF(A1110="","",IF(MES!E1110&lt;&gt;4,"Horário do MES fora do padrão",IF(H1110&lt;cfgMinCortes,"Cortes insuficientes","Válida")))</f>
        <v>0</v>
      </c>
      <c r="L1110" s="27">
        <f>IF(K1110="Válida",ABS(J1110),"")</f>
        <v>0</v>
      </c>
      <c r="M1110" s="26">
        <f>IF(K1110="Válida",IF(L1110&lt;=cfgTolerancia,"Sim","Não"),"")</f>
        <v>0</v>
      </c>
      <c r="N1110" s="26">
        <f>IF(A1110="","",MES!D1110)</f>
        <v>0</v>
      </c>
      <c r="O1110" s="25">
        <f>IF(K1110="Válida",A1110,NA())</f>
        <v>0</v>
      </c>
      <c r="P1110" s="27">
        <f>IF(K1110="Válida",C1110,NA())</f>
        <v>0</v>
      </c>
      <c r="Q1110" s="27">
        <f>IF(K1110="Válida",I1110,NA())</f>
        <v>0</v>
      </c>
      <c r="R1110" s="27">
        <f>IF(K1110="Válida",J1110,NA())</f>
        <v>0</v>
      </c>
      <c r="S1110" s="27">
        <f>IF(K1110="Válida",C1110,"")</f>
        <v>0</v>
      </c>
      <c r="T1110" s="27">
        <f>IF(K1110="Válida",I1110,"")</f>
        <v>0</v>
      </c>
      <c r="U1110" s="27">
        <f>IF(K1110="Válida",J1110,"")</f>
        <v>0</v>
      </c>
    </row>
    <row r="1111" spans="1:21">
      <c r="A1111" s="25">
        <f>IF(MES!A1111="","",MES!C1111/48)</f>
        <v>0</v>
      </c>
      <c r="B1111" s="26">
        <f>IF(A1111="","",TEXT((N1111*4+cfgDeslocamento)/48,"hh:mm")&amp;" a "&amp;TEXT(A1111,"hh:mm"))</f>
        <v>0</v>
      </c>
      <c r="C1111" s="27">
        <f>IF(A1111="","",MES!B1111)</f>
        <v>0</v>
      </c>
      <c r="D1111" s="27">
        <f>IF(A1111="","",IFERROR(AVERAGEIFS(Prensa!$B$2:$B$5001,Prensa!$E$2:$E$5001,N1111,Prensa!$F$2:$F$5001,1,Prensa!$G$2:$G$5001,1),""))</f>
        <v>0</v>
      </c>
      <c r="E1111" s="27">
        <f>IF(A1111="","",IFERROR(AVERAGEIFS(Prensa!$B$2:$B$5001,Prensa!$E$2:$E$5001,N1111,Prensa!$F$2:$F$5001,2,Prensa!$G$2:$G$5001,1),""))</f>
        <v>0</v>
      </c>
      <c r="F1111" s="27">
        <f>IF(A1111="","",IFERROR(AVERAGEIFS(Prensa!$B$2:$B$5001,Prensa!$E$2:$E$5001,N1111,Prensa!$F$2:$F$5001,3,Prensa!$G$2:$G$5001,1),""))</f>
        <v>0</v>
      </c>
      <c r="G1111" s="27">
        <f>IF(A1111="","",IFERROR(AVERAGEIFS(Prensa!$B$2:$B$5001,Prensa!$E$2:$E$5001,N1111,Prensa!$F$2:$F$5001,4,Prensa!$G$2:$G$5001,1),""))</f>
        <v>0</v>
      </c>
      <c r="H1111" s="26">
        <f>IF(A1111="","",COUNT(D1111:G1111))</f>
        <v>0</v>
      </c>
      <c r="I1111" s="27">
        <f>IF(A1111="","",IF(H1111=0,"",AVERAGE(D1111:G1111)))</f>
        <v>0</v>
      </c>
      <c r="J1111" s="27">
        <f>IF(OR(I1111="",C1111=""),"",I1111-C1111)</f>
        <v>0</v>
      </c>
      <c r="K1111" s="26">
        <f>IF(A1111="","",IF(MES!E1111&lt;&gt;4,"Horário do MES fora do padrão",IF(H1111&lt;cfgMinCortes,"Cortes insuficientes","Válida")))</f>
        <v>0</v>
      </c>
      <c r="L1111" s="27">
        <f>IF(K1111="Válida",ABS(J1111),"")</f>
        <v>0</v>
      </c>
      <c r="M1111" s="26">
        <f>IF(K1111="Válida",IF(L1111&lt;=cfgTolerancia,"Sim","Não"),"")</f>
        <v>0</v>
      </c>
      <c r="N1111" s="26">
        <f>IF(A1111="","",MES!D1111)</f>
        <v>0</v>
      </c>
      <c r="O1111" s="25">
        <f>IF(K1111="Válida",A1111,NA())</f>
        <v>0</v>
      </c>
      <c r="P1111" s="27">
        <f>IF(K1111="Válida",C1111,NA())</f>
        <v>0</v>
      </c>
      <c r="Q1111" s="27">
        <f>IF(K1111="Válida",I1111,NA())</f>
        <v>0</v>
      </c>
      <c r="R1111" s="27">
        <f>IF(K1111="Válida",J1111,NA())</f>
        <v>0</v>
      </c>
      <c r="S1111" s="27">
        <f>IF(K1111="Válida",C1111,"")</f>
        <v>0</v>
      </c>
      <c r="T1111" s="27">
        <f>IF(K1111="Válida",I1111,"")</f>
        <v>0</v>
      </c>
      <c r="U1111" s="27">
        <f>IF(K1111="Válida",J1111,"")</f>
        <v>0</v>
      </c>
    </row>
    <row r="1112" spans="1:21">
      <c r="A1112" s="25">
        <f>IF(MES!A1112="","",MES!C1112/48)</f>
        <v>0</v>
      </c>
      <c r="B1112" s="26">
        <f>IF(A1112="","",TEXT((N1112*4+cfgDeslocamento)/48,"hh:mm")&amp;" a "&amp;TEXT(A1112,"hh:mm"))</f>
        <v>0</v>
      </c>
      <c r="C1112" s="27">
        <f>IF(A1112="","",MES!B1112)</f>
        <v>0</v>
      </c>
      <c r="D1112" s="27">
        <f>IF(A1112="","",IFERROR(AVERAGEIFS(Prensa!$B$2:$B$5001,Prensa!$E$2:$E$5001,N1112,Prensa!$F$2:$F$5001,1,Prensa!$G$2:$G$5001,1),""))</f>
        <v>0</v>
      </c>
      <c r="E1112" s="27">
        <f>IF(A1112="","",IFERROR(AVERAGEIFS(Prensa!$B$2:$B$5001,Prensa!$E$2:$E$5001,N1112,Prensa!$F$2:$F$5001,2,Prensa!$G$2:$G$5001,1),""))</f>
        <v>0</v>
      </c>
      <c r="F1112" s="27">
        <f>IF(A1112="","",IFERROR(AVERAGEIFS(Prensa!$B$2:$B$5001,Prensa!$E$2:$E$5001,N1112,Prensa!$F$2:$F$5001,3,Prensa!$G$2:$G$5001,1),""))</f>
        <v>0</v>
      </c>
      <c r="G1112" s="27">
        <f>IF(A1112="","",IFERROR(AVERAGEIFS(Prensa!$B$2:$B$5001,Prensa!$E$2:$E$5001,N1112,Prensa!$F$2:$F$5001,4,Prensa!$G$2:$G$5001,1),""))</f>
        <v>0</v>
      </c>
      <c r="H1112" s="26">
        <f>IF(A1112="","",COUNT(D1112:G1112))</f>
        <v>0</v>
      </c>
      <c r="I1112" s="27">
        <f>IF(A1112="","",IF(H1112=0,"",AVERAGE(D1112:G1112)))</f>
        <v>0</v>
      </c>
      <c r="J1112" s="27">
        <f>IF(OR(I1112="",C1112=""),"",I1112-C1112)</f>
        <v>0</v>
      </c>
      <c r="K1112" s="26">
        <f>IF(A1112="","",IF(MES!E1112&lt;&gt;4,"Horário do MES fora do padrão",IF(H1112&lt;cfgMinCortes,"Cortes insuficientes","Válida")))</f>
        <v>0</v>
      </c>
      <c r="L1112" s="27">
        <f>IF(K1112="Válida",ABS(J1112),"")</f>
        <v>0</v>
      </c>
      <c r="M1112" s="26">
        <f>IF(K1112="Válida",IF(L1112&lt;=cfgTolerancia,"Sim","Não"),"")</f>
        <v>0</v>
      </c>
      <c r="N1112" s="26">
        <f>IF(A1112="","",MES!D1112)</f>
        <v>0</v>
      </c>
      <c r="O1112" s="25">
        <f>IF(K1112="Válida",A1112,NA())</f>
        <v>0</v>
      </c>
      <c r="P1112" s="27">
        <f>IF(K1112="Válida",C1112,NA())</f>
        <v>0</v>
      </c>
      <c r="Q1112" s="27">
        <f>IF(K1112="Válida",I1112,NA())</f>
        <v>0</v>
      </c>
      <c r="R1112" s="27">
        <f>IF(K1112="Válida",J1112,NA())</f>
        <v>0</v>
      </c>
      <c r="S1112" s="27">
        <f>IF(K1112="Válida",C1112,"")</f>
        <v>0</v>
      </c>
      <c r="T1112" s="27">
        <f>IF(K1112="Válida",I1112,"")</f>
        <v>0</v>
      </c>
      <c r="U1112" s="27">
        <f>IF(K1112="Válida",J1112,"")</f>
        <v>0</v>
      </c>
    </row>
    <row r="1113" spans="1:21">
      <c r="A1113" s="25">
        <f>IF(MES!A1113="","",MES!C1113/48)</f>
        <v>0</v>
      </c>
      <c r="B1113" s="26">
        <f>IF(A1113="","",TEXT((N1113*4+cfgDeslocamento)/48,"hh:mm")&amp;" a "&amp;TEXT(A1113,"hh:mm"))</f>
        <v>0</v>
      </c>
      <c r="C1113" s="27">
        <f>IF(A1113="","",MES!B1113)</f>
        <v>0</v>
      </c>
      <c r="D1113" s="27">
        <f>IF(A1113="","",IFERROR(AVERAGEIFS(Prensa!$B$2:$B$5001,Prensa!$E$2:$E$5001,N1113,Prensa!$F$2:$F$5001,1,Prensa!$G$2:$G$5001,1),""))</f>
        <v>0</v>
      </c>
      <c r="E1113" s="27">
        <f>IF(A1113="","",IFERROR(AVERAGEIFS(Prensa!$B$2:$B$5001,Prensa!$E$2:$E$5001,N1113,Prensa!$F$2:$F$5001,2,Prensa!$G$2:$G$5001,1),""))</f>
        <v>0</v>
      </c>
      <c r="F1113" s="27">
        <f>IF(A1113="","",IFERROR(AVERAGEIFS(Prensa!$B$2:$B$5001,Prensa!$E$2:$E$5001,N1113,Prensa!$F$2:$F$5001,3,Prensa!$G$2:$G$5001,1),""))</f>
        <v>0</v>
      </c>
      <c r="G1113" s="27">
        <f>IF(A1113="","",IFERROR(AVERAGEIFS(Prensa!$B$2:$B$5001,Prensa!$E$2:$E$5001,N1113,Prensa!$F$2:$F$5001,4,Prensa!$G$2:$G$5001,1),""))</f>
        <v>0</v>
      </c>
      <c r="H1113" s="26">
        <f>IF(A1113="","",COUNT(D1113:G1113))</f>
        <v>0</v>
      </c>
      <c r="I1113" s="27">
        <f>IF(A1113="","",IF(H1113=0,"",AVERAGE(D1113:G1113)))</f>
        <v>0</v>
      </c>
      <c r="J1113" s="27">
        <f>IF(OR(I1113="",C1113=""),"",I1113-C1113)</f>
        <v>0</v>
      </c>
      <c r="K1113" s="26">
        <f>IF(A1113="","",IF(MES!E1113&lt;&gt;4,"Horário do MES fora do padrão",IF(H1113&lt;cfgMinCortes,"Cortes insuficientes","Válida")))</f>
        <v>0</v>
      </c>
      <c r="L1113" s="27">
        <f>IF(K1113="Válida",ABS(J1113),"")</f>
        <v>0</v>
      </c>
      <c r="M1113" s="26">
        <f>IF(K1113="Válida",IF(L1113&lt;=cfgTolerancia,"Sim","Não"),"")</f>
        <v>0</v>
      </c>
      <c r="N1113" s="26">
        <f>IF(A1113="","",MES!D1113)</f>
        <v>0</v>
      </c>
      <c r="O1113" s="25">
        <f>IF(K1113="Válida",A1113,NA())</f>
        <v>0</v>
      </c>
      <c r="P1113" s="27">
        <f>IF(K1113="Válida",C1113,NA())</f>
        <v>0</v>
      </c>
      <c r="Q1113" s="27">
        <f>IF(K1113="Válida",I1113,NA())</f>
        <v>0</v>
      </c>
      <c r="R1113" s="27">
        <f>IF(K1113="Válida",J1113,NA())</f>
        <v>0</v>
      </c>
      <c r="S1113" s="27">
        <f>IF(K1113="Válida",C1113,"")</f>
        <v>0</v>
      </c>
      <c r="T1113" s="27">
        <f>IF(K1113="Válida",I1113,"")</f>
        <v>0</v>
      </c>
      <c r="U1113" s="27">
        <f>IF(K1113="Válida",J1113,"")</f>
        <v>0</v>
      </c>
    </row>
    <row r="1114" spans="1:21">
      <c r="A1114" s="25">
        <f>IF(MES!A1114="","",MES!C1114/48)</f>
        <v>0</v>
      </c>
      <c r="B1114" s="26">
        <f>IF(A1114="","",TEXT((N1114*4+cfgDeslocamento)/48,"hh:mm")&amp;" a "&amp;TEXT(A1114,"hh:mm"))</f>
        <v>0</v>
      </c>
      <c r="C1114" s="27">
        <f>IF(A1114="","",MES!B1114)</f>
        <v>0</v>
      </c>
      <c r="D1114" s="27">
        <f>IF(A1114="","",IFERROR(AVERAGEIFS(Prensa!$B$2:$B$5001,Prensa!$E$2:$E$5001,N1114,Prensa!$F$2:$F$5001,1,Prensa!$G$2:$G$5001,1),""))</f>
        <v>0</v>
      </c>
      <c r="E1114" s="27">
        <f>IF(A1114="","",IFERROR(AVERAGEIFS(Prensa!$B$2:$B$5001,Prensa!$E$2:$E$5001,N1114,Prensa!$F$2:$F$5001,2,Prensa!$G$2:$G$5001,1),""))</f>
        <v>0</v>
      </c>
      <c r="F1114" s="27">
        <f>IF(A1114="","",IFERROR(AVERAGEIFS(Prensa!$B$2:$B$5001,Prensa!$E$2:$E$5001,N1114,Prensa!$F$2:$F$5001,3,Prensa!$G$2:$G$5001,1),""))</f>
        <v>0</v>
      </c>
      <c r="G1114" s="27">
        <f>IF(A1114="","",IFERROR(AVERAGEIFS(Prensa!$B$2:$B$5001,Prensa!$E$2:$E$5001,N1114,Prensa!$F$2:$F$5001,4,Prensa!$G$2:$G$5001,1),""))</f>
        <v>0</v>
      </c>
      <c r="H1114" s="26">
        <f>IF(A1114="","",COUNT(D1114:G1114))</f>
        <v>0</v>
      </c>
      <c r="I1114" s="27">
        <f>IF(A1114="","",IF(H1114=0,"",AVERAGE(D1114:G1114)))</f>
        <v>0</v>
      </c>
      <c r="J1114" s="27">
        <f>IF(OR(I1114="",C1114=""),"",I1114-C1114)</f>
        <v>0</v>
      </c>
      <c r="K1114" s="26">
        <f>IF(A1114="","",IF(MES!E1114&lt;&gt;4,"Horário do MES fora do padrão",IF(H1114&lt;cfgMinCortes,"Cortes insuficientes","Válida")))</f>
        <v>0</v>
      </c>
      <c r="L1114" s="27">
        <f>IF(K1114="Válida",ABS(J1114),"")</f>
        <v>0</v>
      </c>
      <c r="M1114" s="26">
        <f>IF(K1114="Válida",IF(L1114&lt;=cfgTolerancia,"Sim","Não"),"")</f>
        <v>0</v>
      </c>
      <c r="N1114" s="26">
        <f>IF(A1114="","",MES!D1114)</f>
        <v>0</v>
      </c>
      <c r="O1114" s="25">
        <f>IF(K1114="Válida",A1114,NA())</f>
        <v>0</v>
      </c>
      <c r="P1114" s="27">
        <f>IF(K1114="Válida",C1114,NA())</f>
        <v>0</v>
      </c>
      <c r="Q1114" s="27">
        <f>IF(K1114="Válida",I1114,NA())</f>
        <v>0</v>
      </c>
      <c r="R1114" s="27">
        <f>IF(K1114="Válida",J1114,NA())</f>
        <v>0</v>
      </c>
      <c r="S1114" s="27">
        <f>IF(K1114="Válida",C1114,"")</f>
        <v>0</v>
      </c>
      <c r="T1114" s="27">
        <f>IF(K1114="Válida",I1114,"")</f>
        <v>0</v>
      </c>
      <c r="U1114" s="27">
        <f>IF(K1114="Válida",J1114,"")</f>
        <v>0</v>
      </c>
    </row>
    <row r="1115" spans="1:21">
      <c r="A1115" s="25">
        <f>IF(MES!A1115="","",MES!C1115/48)</f>
        <v>0</v>
      </c>
      <c r="B1115" s="26">
        <f>IF(A1115="","",TEXT((N1115*4+cfgDeslocamento)/48,"hh:mm")&amp;" a "&amp;TEXT(A1115,"hh:mm"))</f>
        <v>0</v>
      </c>
      <c r="C1115" s="27">
        <f>IF(A1115="","",MES!B1115)</f>
        <v>0</v>
      </c>
      <c r="D1115" s="27">
        <f>IF(A1115="","",IFERROR(AVERAGEIFS(Prensa!$B$2:$B$5001,Prensa!$E$2:$E$5001,N1115,Prensa!$F$2:$F$5001,1,Prensa!$G$2:$G$5001,1),""))</f>
        <v>0</v>
      </c>
      <c r="E1115" s="27">
        <f>IF(A1115="","",IFERROR(AVERAGEIFS(Prensa!$B$2:$B$5001,Prensa!$E$2:$E$5001,N1115,Prensa!$F$2:$F$5001,2,Prensa!$G$2:$G$5001,1),""))</f>
        <v>0</v>
      </c>
      <c r="F1115" s="27">
        <f>IF(A1115="","",IFERROR(AVERAGEIFS(Prensa!$B$2:$B$5001,Prensa!$E$2:$E$5001,N1115,Prensa!$F$2:$F$5001,3,Prensa!$G$2:$G$5001,1),""))</f>
        <v>0</v>
      </c>
      <c r="G1115" s="27">
        <f>IF(A1115="","",IFERROR(AVERAGEIFS(Prensa!$B$2:$B$5001,Prensa!$E$2:$E$5001,N1115,Prensa!$F$2:$F$5001,4,Prensa!$G$2:$G$5001,1),""))</f>
        <v>0</v>
      </c>
      <c r="H1115" s="26">
        <f>IF(A1115="","",COUNT(D1115:G1115))</f>
        <v>0</v>
      </c>
      <c r="I1115" s="27">
        <f>IF(A1115="","",IF(H1115=0,"",AVERAGE(D1115:G1115)))</f>
        <v>0</v>
      </c>
      <c r="J1115" s="27">
        <f>IF(OR(I1115="",C1115=""),"",I1115-C1115)</f>
        <v>0</v>
      </c>
      <c r="K1115" s="26">
        <f>IF(A1115="","",IF(MES!E1115&lt;&gt;4,"Horário do MES fora do padrão",IF(H1115&lt;cfgMinCortes,"Cortes insuficientes","Válida")))</f>
        <v>0</v>
      </c>
      <c r="L1115" s="27">
        <f>IF(K1115="Válida",ABS(J1115),"")</f>
        <v>0</v>
      </c>
      <c r="M1115" s="26">
        <f>IF(K1115="Válida",IF(L1115&lt;=cfgTolerancia,"Sim","Não"),"")</f>
        <v>0</v>
      </c>
      <c r="N1115" s="26">
        <f>IF(A1115="","",MES!D1115)</f>
        <v>0</v>
      </c>
      <c r="O1115" s="25">
        <f>IF(K1115="Válida",A1115,NA())</f>
        <v>0</v>
      </c>
      <c r="P1115" s="27">
        <f>IF(K1115="Válida",C1115,NA())</f>
        <v>0</v>
      </c>
      <c r="Q1115" s="27">
        <f>IF(K1115="Válida",I1115,NA())</f>
        <v>0</v>
      </c>
      <c r="R1115" s="27">
        <f>IF(K1115="Válida",J1115,NA())</f>
        <v>0</v>
      </c>
      <c r="S1115" s="27">
        <f>IF(K1115="Válida",C1115,"")</f>
        <v>0</v>
      </c>
      <c r="T1115" s="27">
        <f>IF(K1115="Válida",I1115,"")</f>
        <v>0</v>
      </c>
      <c r="U1115" s="27">
        <f>IF(K1115="Válida",J1115,"")</f>
        <v>0</v>
      </c>
    </row>
    <row r="1116" spans="1:21">
      <c r="A1116" s="25">
        <f>IF(MES!A1116="","",MES!C1116/48)</f>
        <v>0</v>
      </c>
      <c r="B1116" s="26">
        <f>IF(A1116="","",TEXT((N1116*4+cfgDeslocamento)/48,"hh:mm")&amp;" a "&amp;TEXT(A1116,"hh:mm"))</f>
        <v>0</v>
      </c>
      <c r="C1116" s="27">
        <f>IF(A1116="","",MES!B1116)</f>
        <v>0</v>
      </c>
      <c r="D1116" s="27">
        <f>IF(A1116="","",IFERROR(AVERAGEIFS(Prensa!$B$2:$B$5001,Prensa!$E$2:$E$5001,N1116,Prensa!$F$2:$F$5001,1,Prensa!$G$2:$G$5001,1),""))</f>
        <v>0</v>
      </c>
      <c r="E1116" s="27">
        <f>IF(A1116="","",IFERROR(AVERAGEIFS(Prensa!$B$2:$B$5001,Prensa!$E$2:$E$5001,N1116,Prensa!$F$2:$F$5001,2,Prensa!$G$2:$G$5001,1),""))</f>
        <v>0</v>
      </c>
      <c r="F1116" s="27">
        <f>IF(A1116="","",IFERROR(AVERAGEIFS(Prensa!$B$2:$B$5001,Prensa!$E$2:$E$5001,N1116,Prensa!$F$2:$F$5001,3,Prensa!$G$2:$G$5001,1),""))</f>
        <v>0</v>
      </c>
      <c r="G1116" s="27">
        <f>IF(A1116="","",IFERROR(AVERAGEIFS(Prensa!$B$2:$B$5001,Prensa!$E$2:$E$5001,N1116,Prensa!$F$2:$F$5001,4,Prensa!$G$2:$G$5001,1),""))</f>
        <v>0</v>
      </c>
      <c r="H1116" s="26">
        <f>IF(A1116="","",COUNT(D1116:G1116))</f>
        <v>0</v>
      </c>
      <c r="I1116" s="27">
        <f>IF(A1116="","",IF(H1116=0,"",AVERAGE(D1116:G1116)))</f>
        <v>0</v>
      </c>
      <c r="J1116" s="27">
        <f>IF(OR(I1116="",C1116=""),"",I1116-C1116)</f>
        <v>0</v>
      </c>
      <c r="K1116" s="26">
        <f>IF(A1116="","",IF(MES!E1116&lt;&gt;4,"Horário do MES fora do padrão",IF(H1116&lt;cfgMinCortes,"Cortes insuficientes","Válida")))</f>
        <v>0</v>
      </c>
      <c r="L1116" s="27">
        <f>IF(K1116="Válida",ABS(J1116),"")</f>
        <v>0</v>
      </c>
      <c r="M1116" s="26">
        <f>IF(K1116="Válida",IF(L1116&lt;=cfgTolerancia,"Sim","Não"),"")</f>
        <v>0</v>
      </c>
      <c r="N1116" s="26">
        <f>IF(A1116="","",MES!D1116)</f>
        <v>0</v>
      </c>
      <c r="O1116" s="25">
        <f>IF(K1116="Válida",A1116,NA())</f>
        <v>0</v>
      </c>
      <c r="P1116" s="27">
        <f>IF(K1116="Válida",C1116,NA())</f>
        <v>0</v>
      </c>
      <c r="Q1116" s="27">
        <f>IF(K1116="Válida",I1116,NA())</f>
        <v>0</v>
      </c>
      <c r="R1116" s="27">
        <f>IF(K1116="Válida",J1116,NA())</f>
        <v>0</v>
      </c>
      <c r="S1116" s="27">
        <f>IF(K1116="Válida",C1116,"")</f>
        <v>0</v>
      </c>
      <c r="T1116" s="27">
        <f>IF(K1116="Válida",I1116,"")</f>
        <v>0</v>
      </c>
      <c r="U1116" s="27">
        <f>IF(K1116="Válida",J1116,"")</f>
        <v>0</v>
      </c>
    </row>
    <row r="1117" spans="1:21">
      <c r="A1117" s="25">
        <f>IF(MES!A1117="","",MES!C1117/48)</f>
        <v>0</v>
      </c>
      <c r="B1117" s="26">
        <f>IF(A1117="","",TEXT((N1117*4+cfgDeslocamento)/48,"hh:mm")&amp;" a "&amp;TEXT(A1117,"hh:mm"))</f>
        <v>0</v>
      </c>
      <c r="C1117" s="27">
        <f>IF(A1117="","",MES!B1117)</f>
        <v>0</v>
      </c>
      <c r="D1117" s="27">
        <f>IF(A1117="","",IFERROR(AVERAGEIFS(Prensa!$B$2:$B$5001,Prensa!$E$2:$E$5001,N1117,Prensa!$F$2:$F$5001,1,Prensa!$G$2:$G$5001,1),""))</f>
        <v>0</v>
      </c>
      <c r="E1117" s="27">
        <f>IF(A1117="","",IFERROR(AVERAGEIFS(Prensa!$B$2:$B$5001,Prensa!$E$2:$E$5001,N1117,Prensa!$F$2:$F$5001,2,Prensa!$G$2:$G$5001,1),""))</f>
        <v>0</v>
      </c>
      <c r="F1117" s="27">
        <f>IF(A1117="","",IFERROR(AVERAGEIFS(Prensa!$B$2:$B$5001,Prensa!$E$2:$E$5001,N1117,Prensa!$F$2:$F$5001,3,Prensa!$G$2:$G$5001,1),""))</f>
        <v>0</v>
      </c>
      <c r="G1117" s="27">
        <f>IF(A1117="","",IFERROR(AVERAGEIFS(Prensa!$B$2:$B$5001,Prensa!$E$2:$E$5001,N1117,Prensa!$F$2:$F$5001,4,Prensa!$G$2:$G$5001,1),""))</f>
        <v>0</v>
      </c>
      <c r="H1117" s="26">
        <f>IF(A1117="","",COUNT(D1117:G1117))</f>
        <v>0</v>
      </c>
      <c r="I1117" s="27">
        <f>IF(A1117="","",IF(H1117=0,"",AVERAGE(D1117:G1117)))</f>
        <v>0</v>
      </c>
      <c r="J1117" s="27">
        <f>IF(OR(I1117="",C1117=""),"",I1117-C1117)</f>
        <v>0</v>
      </c>
      <c r="K1117" s="26">
        <f>IF(A1117="","",IF(MES!E1117&lt;&gt;4,"Horário do MES fora do padrão",IF(H1117&lt;cfgMinCortes,"Cortes insuficientes","Válida")))</f>
        <v>0</v>
      </c>
      <c r="L1117" s="27">
        <f>IF(K1117="Válida",ABS(J1117),"")</f>
        <v>0</v>
      </c>
      <c r="M1117" s="26">
        <f>IF(K1117="Válida",IF(L1117&lt;=cfgTolerancia,"Sim","Não"),"")</f>
        <v>0</v>
      </c>
      <c r="N1117" s="26">
        <f>IF(A1117="","",MES!D1117)</f>
        <v>0</v>
      </c>
      <c r="O1117" s="25">
        <f>IF(K1117="Válida",A1117,NA())</f>
        <v>0</v>
      </c>
      <c r="P1117" s="27">
        <f>IF(K1117="Válida",C1117,NA())</f>
        <v>0</v>
      </c>
      <c r="Q1117" s="27">
        <f>IF(K1117="Válida",I1117,NA())</f>
        <v>0</v>
      </c>
      <c r="R1117" s="27">
        <f>IF(K1117="Válida",J1117,NA())</f>
        <v>0</v>
      </c>
      <c r="S1117" s="27">
        <f>IF(K1117="Válida",C1117,"")</f>
        <v>0</v>
      </c>
      <c r="T1117" s="27">
        <f>IF(K1117="Válida",I1117,"")</f>
        <v>0</v>
      </c>
      <c r="U1117" s="27">
        <f>IF(K1117="Válida",J1117,"")</f>
        <v>0</v>
      </c>
    </row>
    <row r="1118" spans="1:21">
      <c r="A1118" s="25">
        <f>IF(MES!A1118="","",MES!C1118/48)</f>
        <v>0</v>
      </c>
      <c r="B1118" s="26">
        <f>IF(A1118="","",TEXT((N1118*4+cfgDeslocamento)/48,"hh:mm")&amp;" a "&amp;TEXT(A1118,"hh:mm"))</f>
        <v>0</v>
      </c>
      <c r="C1118" s="27">
        <f>IF(A1118="","",MES!B1118)</f>
        <v>0</v>
      </c>
      <c r="D1118" s="27">
        <f>IF(A1118="","",IFERROR(AVERAGEIFS(Prensa!$B$2:$B$5001,Prensa!$E$2:$E$5001,N1118,Prensa!$F$2:$F$5001,1,Prensa!$G$2:$G$5001,1),""))</f>
        <v>0</v>
      </c>
      <c r="E1118" s="27">
        <f>IF(A1118="","",IFERROR(AVERAGEIFS(Prensa!$B$2:$B$5001,Prensa!$E$2:$E$5001,N1118,Prensa!$F$2:$F$5001,2,Prensa!$G$2:$G$5001,1),""))</f>
        <v>0</v>
      </c>
      <c r="F1118" s="27">
        <f>IF(A1118="","",IFERROR(AVERAGEIFS(Prensa!$B$2:$B$5001,Prensa!$E$2:$E$5001,N1118,Prensa!$F$2:$F$5001,3,Prensa!$G$2:$G$5001,1),""))</f>
        <v>0</v>
      </c>
      <c r="G1118" s="27">
        <f>IF(A1118="","",IFERROR(AVERAGEIFS(Prensa!$B$2:$B$5001,Prensa!$E$2:$E$5001,N1118,Prensa!$F$2:$F$5001,4,Prensa!$G$2:$G$5001,1),""))</f>
        <v>0</v>
      </c>
      <c r="H1118" s="26">
        <f>IF(A1118="","",COUNT(D1118:G1118))</f>
        <v>0</v>
      </c>
      <c r="I1118" s="27">
        <f>IF(A1118="","",IF(H1118=0,"",AVERAGE(D1118:G1118)))</f>
        <v>0</v>
      </c>
      <c r="J1118" s="27">
        <f>IF(OR(I1118="",C1118=""),"",I1118-C1118)</f>
        <v>0</v>
      </c>
      <c r="K1118" s="26">
        <f>IF(A1118="","",IF(MES!E1118&lt;&gt;4,"Horário do MES fora do padrão",IF(H1118&lt;cfgMinCortes,"Cortes insuficientes","Válida")))</f>
        <v>0</v>
      </c>
      <c r="L1118" s="27">
        <f>IF(K1118="Válida",ABS(J1118),"")</f>
        <v>0</v>
      </c>
      <c r="M1118" s="26">
        <f>IF(K1118="Válida",IF(L1118&lt;=cfgTolerancia,"Sim","Não"),"")</f>
        <v>0</v>
      </c>
      <c r="N1118" s="26">
        <f>IF(A1118="","",MES!D1118)</f>
        <v>0</v>
      </c>
      <c r="O1118" s="25">
        <f>IF(K1118="Válida",A1118,NA())</f>
        <v>0</v>
      </c>
      <c r="P1118" s="27">
        <f>IF(K1118="Válida",C1118,NA())</f>
        <v>0</v>
      </c>
      <c r="Q1118" s="27">
        <f>IF(K1118="Válida",I1118,NA())</f>
        <v>0</v>
      </c>
      <c r="R1118" s="27">
        <f>IF(K1118="Válida",J1118,NA())</f>
        <v>0</v>
      </c>
      <c r="S1118" s="27">
        <f>IF(K1118="Válida",C1118,"")</f>
        <v>0</v>
      </c>
      <c r="T1118" s="27">
        <f>IF(K1118="Válida",I1118,"")</f>
        <v>0</v>
      </c>
      <c r="U1118" s="27">
        <f>IF(K1118="Válida",J1118,"")</f>
        <v>0</v>
      </c>
    </row>
    <row r="1119" spans="1:21">
      <c r="A1119" s="25">
        <f>IF(MES!A1119="","",MES!C1119/48)</f>
        <v>0</v>
      </c>
      <c r="B1119" s="26">
        <f>IF(A1119="","",TEXT((N1119*4+cfgDeslocamento)/48,"hh:mm")&amp;" a "&amp;TEXT(A1119,"hh:mm"))</f>
        <v>0</v>
      </c>
      <c r="C1119" s="27">
        <f>IF(A1119="","",MES!B1119)</f>
        <v>0</v>
      </c>
      <c r="D1119" s="27">
        <f>IF(A1119="","",IFERROR(AVERAGEIFS(Prensa!$B$2:$B$5001,Prensa!$E$2:$E$5001,N1119,Prensa!$F$2:$F$5001,1,Prensa!$G$2:$G$5001,1),""))</f>
        <v>0</v>
      </c>
      <c r="E1119" s="27">
        <f>IF(A1119="","",IFERROR(AVERAGEIFS(Prensa!$B$2:$B$5001,Prensa!$E$2:$E$5001,N1119,Prensa!$F$2:$F$5001,2,Prensa!$G$2:$G$5001,1),""))</f>
        <v>0</v>
      </c>
      <c r="F1119" s="27">
        <f>IF(A1119="","",IFERROR(AVERAGEIFS(Prensa!$B$2:$B$5001,Prensa!$E$2:$E$5001,N1119,Prensa!$F$2:$F$5001,3,Prensa!$G$2:$G$5001,1),""))</f>
        <v>0</v>
      </c>
      <c r="G1119" s="27">
        <f>IF(A1119="","",IFERROR(AVERAGEIFS(Prensa!$B$2:$B$5001,Prensa!$E$2:$E$5001,N1119,Prensa!$F$2:$F$5001,4,Prensa!$G$2:$G$5001,1),""))</f>
        <v>0</v>
      </c>
      <c r="H1119" s="26">
        <f>IF(A1119="","",COUNT(D1119:G1119))</f>
        <v>0</v>
      </c>
      <c r="I1119" s="27">
        <f>IF(A1119="","",IF(H1119=0,"",AVERAGE(D1119:G1119)))</f>
        <v>0</v>
      </c>
      <c r="J1119" s="27">
        <f>IF(OR(I1119="",C1119=""),"",I1119-C1119)</f>
        <v>0</v>
      </c>
      <c r="K1119" s="26">
        <f>IF(A1119="","",IF(MES!E1119&lt;&gt;4,"Horário do MES fora do padrão",IF(H1119&lt;cfgMinCortes,"Cortes insuficientes","Válida")))</f>
        <v>0</v>
      </c>
      <c r="L1119" s="27">
        <f>IF(K1119="Válida",ABS(J1119),"")</f>
        <v>0</v>
      </c>
      <c r="M1119" s="26">
        <f>IF(K1119="Válida",IF(L1119&lt;=cfgTolerancia,"Sim","Não"),"")</f>
        <v>0</v>
      </c>
      <c r="N1119" s="26">
        <f>IF(A1119="","",MES!D1119)</f>
        <v>0</v>
      </c>
      <c r="O1119" s="25">
        <f>IF(K1119="Válida",A1119,NA())</f>
        <v>0</v>
      </c>
      <c r="P1119" s="27">
        <f>IF(K1119="Válida",C1119,NA())</f>
        <v>0</v>
      </c>
      <c r="Q1119" s="27">
        <f>IF(K1119="Válida",I1119,NA())</f>
        <v>0</v>
      </c>
      <c r="R1119" s="27">
        <f>IF(K1119="Válida",J1119,NA())</f>
        <v>0</v>
      </c>
      <c r="S1119" s="27">
        <f>IF(K1119="Válida",C1119,"")</f>
        <v>0</v>
      </c>
      <c r="T1119" s="27">
        <f>IF(K1119="Válida",I1119,"")</f>
        <v>0</v>
      </c>
      <c r="U1119" s="27">
        <f>IF(K1119="Válida",J1119,"")</f>
        <v>0</v>
      </c>
    </row>
    <row r="1120" spans="1:21">
      <c r="A1120" s="25">
        <f>IF(MES!A1120="","",MES!C1120/48)</f>
        <v>0</v>
      </c>
      <c r="B1120" s="26">
        <f>IF(A1120="","",TEXT((N1120*4+cfgDeslocamento)/48,"hh:mm")&amp;" a "&amp;TEXT(A1120,"hh:mm"))</f>
        <v>0</v>
      </c>
      <c r="C1120" s="27">
        <f>IF(A1120="","",MES!B1120)</f>
        <v>0</v>
      </c>
      <c r="D1120" s="27">
        <f>IF(A1120="","",IFERROR(AVERAGEIFS(Prensa!$B$2:$B$5001,Prensa!$E$2:$E$5001,N1120,Prensa!$F$2:$F$5001,1,Prensa!$G$2:$G$5001,1),""))</f>
        <v>0</v>
      </c>
      <c r="E1120" s="27">
        <f>IF(A1120="","",IFERROR(AVERAGEIFS(Prensa!$B$2:$B$5001,Prensa!$E$2:$E$5001,N1120,Prensa!$F$2:$F$5001,2,Prensa!$G$2:$G$5001,1),""))</f>
        <v>0</v>
      </c>
      <c r="F1120" s="27">
        <f>IF(A1120="","",IFERROR(AVERAGEIFS(Prensa!$B$2:$B$5001,Prensa!$E$2:$E$5001,N1120,Prensa!$F$2:$F$5001,3,Prensa!$G$2:$G$5001,1),""))</f>
        <v>0</v>
      </c>
      <c r="G1120" s="27">
        <f>IF(A1120="","",IFERROR(AVERAGEIFS(Prensa!$B$2:$B$5001,Prensa!$E$2:$E$5001,N1120,Prensa!$F$2:$F$5001,4,Prensa!$G$2:$G$5001,1),""))</f>
        <v>0</v>
      </c>
      <c r="H1120" s="26">
        <f>IF(A1120="","",COUNT(D1120:G1120))</f>
        <v>0</v>
      </c>
      <c r="I1120" s="27">
        <f>IF(A1120="","",IF(H1120=0,"",AVERAGE(D1120:G1120)))</f>
        <v>0</v>
      </c>
      <c r="J1120" s="27">
        <f>IF(OR(I1120="",C1120=""),"",I1120-C1120)</f>
        <v>0</v>
      </c>
      <c r="K1120" s="26">
        <f>IF(A1120="","",IF(MES!E1120&lt;&gt;4,"Horário do MES fora do padrão",IF(H1120&lt;cfgMinCortes,"Cortes insuficientes","Válida")))</f>
        <v>0</v>
      </c>
      <c r="L1120" s="27">
        <f>IF(K1120="Válida",ABS(J1120),"")</f>
        <v>0</v>
      </c>
      <c r="M1120" s="26">
        <f>IF(K1120="Válida",IF(L1120&lt;=cfgTolerancia,"Sim","Não"),"")</f>
        <v>0</v>
      </c>
      <c r="N1120" s="26">
        <f>IF(A1120="","",MES!D1120)</f>
        <v>0</v>
      </c>
      <c r="O1120" s="25">
        <f>IF(K1120="Válida",A1120,NA())</f>
        <v>0</v>
      </c>
      <c r="P1120" s="27">
        <f>IF(K1120="Válida",C1120,NA())</f>
        <v>0</v>
      </c>
      <c r="Q1120" s="27">
        <f>IF(K1120="Válida",I1120,NA())</f>
        <v>0</v>
      </c>
      <c r="R1120" s="27">
        <f>IF(K1120="Válida",J1120,NA())</f>
        <v>0</v>
      </c>
      <c r="S1120" s="27">
        <f>IF(K1120="Válida",C1120,"")</f>
        <v>0</v>
      </c>
      <c r="T1120" s="27">
        <f>IF(K1120="Válida",I1120,"")</f>
        <v>0</v>
      </c>
      <c r="U1120" s="27">
        <f>IF(K1120="Válida",J1120,"")</f>
        <v>0</v>
      </c>
    </row>
    <row r="1121" spans="1:21">
      <c r="A1121" s="25">
        <f>IF(MES!A1121="","",MES!C1121/48)</f>
        <v>0</v>
      </c>
      <c r="B1121" s="26">
        <f>IF(A1121="","",TEXT((N1121*4+cfgDeslocamento)/48,"hh:mm")&amp;" a "&amp;TEXT(A1121,"hh:mm"))</f>
        <v>0</v>
      </c>
      <c r="C1121" s="27">
        <f>IF(A1121="","",MES!B1121)</f>
        <v>0</v>
      </c>
      <c r="D1121" s="27">
        <f>IF(A1121="","",IFERROR(AVERAGEIFS(Prensa!$B$2:$B$5001,Prensa!$E$2:$E$5001,N1121,Prensa!$F$2:$F$5001,1,Prensa!$G$2:$G$5001,1),""))</f>
        <v>0</v>
      </c>
      <c r="E1121" s="27">
        <f>IF(A1121="","",IFERROR(AVERAGEIFS(Prensa!$B$2:$B$5001,Prensa!$E$2:$E$5001,N1121,Prensa!$F$2:$F$5001,2,Prensa!$G$2:$G$5001,1),""))</f>
        <v>0</v>
      </c>
      <c r="F1121" s="27">
        <f>IF(A1121="","",IFERROR(AVERAGEIFS(Prensa!$B$2:$B$5001,Prensa!$E$2:$E$5001,N1121,Prensa!$F$2:$F$5001,3,Prensa!$G$2:$G$5001,1),""))</f>
        <v>0</v>
      </c>
      <c r="G1121" s="27">
        <f>IF(A1121="","",IFERROR(AVERAGEIFS(Prensa!$B$2:$B$5001,Prensa!$E$2:$E$5001,N1121,Prensa!$F$2:$F$5001,4,Prensa!$G$2:$G$5001,1),""))</f>
        <v>0</v>
      </c>
      <c r="H1121" s="26">
        <f>IF(A1121="","",COUNT(D1121:G1121))</f>
        <v>0</v>
      </c>
      <c r="I1121" s="27">
        <f>IF(A1121="","",IF(H1121=0,"",AVERAGE(D1121:G1121)))</f>
        <v>0</v>
      </c>
      <c r="J1121" s="27">
        <f>IF(OR(I1121="",C1121=""),"",I1121-C1121)</f>
        <v>0</v>
      </c>
      <c r="K1121" s="26">
        <f>IF(A1121="","",IF(MES!E1121&lt;&gt;4,"Horário do MES fora do padrão",IF(H1121&lt;cfgMinCortes,"Cortes insuficientes","Válida")))</f>
        <v>0</v>
      </c>
      <c r="L1121" s="27">
        <f>IF(K1121="Válida",ABS(J1121),"")</f>
        <v>0</v>
      </c>
      <c r="M1121" s="26">
        <f>IF(K1121="Válida",IF(L1121&lt;=cfgTolerancia,"Sim","Não"),"")</f>
        <v>0</v>
      </c>
      <c r="N1121" s="26">
        <f>IF(A1121="","",MES!D1121)</f>
        <v>0</v>
      </c>
      <c r="O1121" s="25">
        <f>IF(K1121="Válida",A1121,NA())</f>
        <v>0</v>
      </c>
      <c r="P1121" s="27">
        <f>IF(K1121="Válida",C1121,NA())</f>
        <v>0</v>
      </c>
      <c r="Q1121" s="27">
        <f>IF(K1121="Válida",I1121,NA())</f>
        <v>0</v>
      </c>
      <c r="R1121" s="27">
        <f>IF(K1121="Válida",J1121,NA())</f>
        <v>0</v>
      </c>
      <c r="S1121" s="27">
        <f>IF(K1121="Válida",C1121,"")</f>
        <v>0</v>
      </c>
      <c r="T1121" s="27">
        <f>IF(K1121="Válida",I1121,"")</f>
        <v>0</v>
      </c>
      <c r="U1121" s="27">
        <f>IF(K1121="Válida",J1121,"")</f>
        <v>0</v>
      </c>
    </row>
    <row r="1122" spans="1:21">
      <c r="A1122" s="25">
        <f>IF(MES!A1122="","",MES!C1122/48)</f>
        <v>0</v>
      </c>
      <c r="B1122" s="26">
        <f>IF(A1122="","",TEXT((N1122*4+cfgDeslocamento)/48,"hh:mm")&amp;" a "&amp;TEXT(A1122,"hh:mm"))</f>
        <v>0</v>
      </c>
      <c r="C1122" s="27">
        <f>IF(A1122="","",MES!B1122)</f>
        <v>0</v>
      </c>
      <c r="D1122" s="27">
        <f>IF(A1122="","",IFERROR(AVERAGEIFS(Prensa!$B$2:$B$5001,Prensa!$E$2:$E$5001,N1122,Prensa!$F$2:$F$5001,1,Prensa!$G$2:$G$5001,1),""))</f>
        <v>0</v>
      </c>
      <c r="E1122" s="27">
        <f>IF(A1122="","",IFERROR(AVERAGEIFS(Prensa!$B$2:$B$5001,Prensa!$E$2:$E$5001,N1122,Prensa!$F$2:$F$5001,2,Prensa!$G$2:$G$5001,1),""))</f>
        <v>0</v>
      </c>
      <c r="F1122" s="27">
        <f>IF(A1122="","",IFERROR(AVERAGEIFS(Prensa!$B$2:$B$5001,Prensa!$E$2:$E$5001,N1122,Prensa!$F$2:$F$5001,3,Prensa!$G$2:$G$5001,1),""))</f>
        <v>0</v>
      </c>
      <c r="G1122" s="27">
        <f>IF(A1122="","",IFERROR(AVERAGEIFS(Prensa!$B$2:$B$5001,Prensa!$E$2:$E$5001,N1122,Prensa!$F$2:$F$5001,4,Prensa!$G$2:$G$5001,1),""))</f>
        <v>0</v>
      </c>
      <c r="H1122" s="26">
        <f>IF(A1122="","",COUNT(D1122:G1122))</f>
        <v>0</v>
      </c>
      <c r="I1122" s="27">
        <f>IF(A1122="","",IF(H1122=0,"",AVERAGE(D1122:G1122)))</f>
        <v>0</v>
      </c>
      <c r="J1122" s="27">
        <f>IF(OR(I1122="",C1122=""),"",I1122-C1122)</f>
        <v>0</v>
      </c>
      <c r="K1122" s="26">
        <f>IF(A1122="","",IF(MES!E1122&lt;&gt;4,"Horário do MES fora do padrão",IF(H1122&lt;cfgMinCortes,"Cortes insuficientes","Válida")))</f>
        <v>0</v>
      </c>
      <c r="L1122" s="27">
        <f>IF(K1122="Válida",ABS(J1122),"")</f>
        <v>0</v>
      </c>
      <c r="M1122" s="26">
        <f>IF(K1122="Válida",IF(L1122&lt;=cfgTolerancia,"Sim","Não"),"")</f>
        <v>0</v>
      </c>
      <c r="N1122" s="26">
        <f>IF(A1122="","",MES!D1122)</f>
        <v>0</v>
      </c>
      <c r="O1122" s="25">
        <f>IF(K1122="Válida",A1122,NA())</f>
        <v>0</v>
      </c>
      <c r="P1122" s="27">
        <f>IF(K1122="Válida",C1122,NA())</f>
        <v>0</v>
      </c>
      <c r="Q1122" s="27">
        <f>IF(K1122="Válida",I1122,NA())</f>
        <v>0</v>
      </c>
      <c r="R1122" s="27">
        <f>IF(K1122="Válida",J1122,NA())</f>
        <v>0</v>
      </c>
      <c r="S1122" s="27">
        <f>IF(K1122="Válida",C1122,"")</f>
        <v>0</v>
      </c>
      <c r="T1122" s="27">
        <f>IF(K1122="Válida",I1122,"")</f>
        <v>0</v>
      </c>
      <c r="U1122" s="27">
        <f>IF(K1122="Válida",J1122,"")</f>
        <v>0</v>
      </c>
    </row>
    <row r="1123" spans="1:21">
      <c r="A1123" s="25">
        <f>IF(MES!A1123="","",MES!C1123/48)</f>
        <v>0</v>
      </c>
      <c r="B1123" s="26">
        <f>IF(A1123="","",TEXT((N1123*4+cfgDeslocamento)/48,"hh:mm")&amp;" a "&amp;TEXT(A1123,"hh:mm"))</f>
        <v>0</v>
      </c>
      <c r="C1123" s="27">
        <f>IF(A1123="","",MES!B1123)</f>
        <v>0</v>
      </c>
      <c r="D1123" s="27">
        <f>IF(A1123="","",IFERROR(AVERAGEIFS(Prensa!$B$2:$B$5001,Prensa!$E$2:$E$5001,N1123,Prensa!$F$2:$F$5001,1,Prensa!$G$2:$G$5001,1),""))</f>
        <v>0</v>
      </c>
      <c r="E1123" s="27">
        <f>IF(A1123="","",IFERROR(AVERAGEIFS(Prensa!$B$2:$B$5001,Prensa!$E$2:$E$5001,N1123,Prensa!$F$2:$F$5001,2,Prensa!$G$2:$G$5001,1),""))</f>
        <v>0</v>
      </c>
      <c r="F1123" s="27">
        <f>IF(A1123="","",IFERROR(AVERAGEIFS(Prensa!$B$2:$B$5001,Prensa!$E$2:$E$5001,N1123,Prensa!$F$2:$F$5001,3,Prensa!$G$2:$G$5001,1),""))</f>
        <v>0</v>
      </c>
      <c r="G1123" s="27">
        <f>IF(A1123="","",IFERROR(AVERAGEIFS(Prensa!$B$2:$B$5001,Prensa!$E$2:$E$5001,N1123,Prensa!$F$2:$F$5001,4,Prensa!$G$2:$G$5001,1),""))</f>
        <v>0</v>
      </c>
      <c r="H1123" s="26">
        <f>IF(A1123="","",COUNT(D1123:G1123))</f>
        <v>0</v>
      </c>
      <c r="I1123" s="27">
        <f>IF(A1123="","",IF(H1123=0,"",AVERAGE(D1123:G1123)))</f>
        <v>0</v>
      </c>
      <c r="J1123" s="27">
        <f>IF(OR(I1123="",C1123=""),"",I1123-C1123)</f>
        <v>0</v>
      </c>
      <c r="K1123" s="26">
        <f>IF(A1123="","",IF(MES!E1123&lt;&gt;4,"Horário do MES fora do padrão",IF(H1123&lt;cfgMinCortes,"Cortes insuficientes","Válida")))</f>
        <v>0</v>
      </c>
      <c r="L1123" s="27">
        <f>IF(K1123="Válida",ABS(J1123),"")</f>
        <v>0</v>
      </c>
      <c r="M1123" s="26">
        <f>IF(K1123="Válida",IF(L1123&lt;=cfgTolerancia,"Sim","Não"),"")</f>
        <v>0</v>
      </c>
      <c r="N1123" s="26">
        <f>IF(A1123="","",MES!D1123)</f>
        <v>0</v>
      </c>
      <c r="O1123" s="25">
        <f>IF(K1123="Válida",A1123,NA())</f>
        <v>0</v>
      </c>
      <c r="P1123" s="27">
        <f>IF(K1123="Válida",C1123,NA())</f>
        <v>0</v>
      </c>
      <c r="Q1123" s="27">
        <f>IF(K1123="Válida",I1123,NA())</f>
        <v>0</v>
      </c>
      <c r="R1123" s="27">
        <f>IF(K1123="Válida",J1123,NA())</f>
        <v>0</v>
      </c>
      <c r="S1123" s="27">
        <f>IF(K1123="Válida",C1123,"")</f>
        <v>0</v>
      </c>
      <c r="T1123" s="27">
        <f>IF(K1123="Válida",I1123,"")</f>
        <v>0</v>
      </c>
      <c r="U1123" s="27">
        <f>IF(K1123="Válida",J1123,"")</f>
        <v>0</v>
      </c>
    </row>
    <row r="1124" spans="1:21">
      <c r="A1124" s="25">
        <f>IF(MES!A1124="","",MES!C1124/48)</f>
        <v>0</v>
      </c>
      <c r="B1124" s="26">
        <f>IF(A1124="","",TEXT((N1124*4+cfgDeslocamento)/48,"hh:mm")&amp;" a "&amp;TEXT(A1124,"hh:mm"))</f>
        <v>0</v>
      </c>
      <c r="C1124" s="27">
        <f>IF(A1124="","",MES!B1124)</f>
        <v>0</v>
      </c>
      <c r="D1124" s="27">
        <f>IF(A1124="","",IFERROR(AVERAGEIFS(Prensa!$B$2:$B$5001,Prensa!$E$2:$E$5001,N1124,Prensa!$F$2:$F$5001,1,Prensa!$G$2:$G$5001,1),""))</f>
        <v>0</v>
      </c>
      <c r="E1124" s="27">
        <f>IF(A1124="","",IFERROR(AVERAGEIFS(Prensa!$B$2:$B$5001,Prensa!$E$2:$E$5001,N1124,Prensa!$F$2:$F$5001,2,Prensa!$G$2:$G$5001,1),""))</f>
        <v>0</v>
      </c>
      <c r="F1124" s="27">
        <f>IF(A1124="","",IFERROR(AVERAGEIFS(Prensa!$B$2:$B$5001,Prensa!$E$2:$E$5001,N1124,Prensa!$F$2:$F$5001,3,Prensa!$G$2:$G$5001,1),""))</f>
        <v>0</v>
      </c>
      <c r="G1124" s="27">
        <f>IF(A1124="","",IFERROR(AVERAGEIFS(Prensa!$B$2:$B$5001,Prensa!$E$2:$E$5001,N1124,Prensa!$F$2:$F$5001,4,Prensa!$G$2:$G$5001,1),""))</f>
        <v>0</v>
      </c>
      <c r="H1124" s="26">
        <f>IF(A1124="","",COUNT(D1124:G1124))</f>
        <v>0</v>
      </c>
      <c r="I1124" s="27">
        <f>IF(A1124="","",IF(H1124=0,"",AVERAGE(D1124:G1124)))</f>
        <v>0</v>
      </c>
      <c r="J1124" s="27">
        <f>IF(OR(I1124="",C1124=""),"",I1124-C1124)</f>
        <v>0</v>
      </c>
      <c r="K1124" s="26">
        <f>IF(A1124="","",IF(MES!E1124&lt;&gt;4,"Horário do MES fora do padrão",IF(H1124&lt;cfgMinCortes,"Cortes insuficientes","Válida")))</f>
        <v>0</v>
      </c>
      <c r="L1124" s="27">
        <f>IF(K1124="Válida",ABS(J1124),"")</f>
        <v>0</v>
      </c>
      <c r="M1124" s="26">
        <f>IF(K1124="Válida",IF(L1124&lt;=cfgTolerancia,"Sim","Não"),"")</f>
        <v>0</v>
      </c>
      <c r="N1124" s="26">
        <f>IF(A1124="","",MES!D1124)</f>
        <v>0</v>
      </c>
      <c r="O1124" s="25">
        <f>IF(K1124="Válida",A1124,NA())</f>
        <v>0</v>
      </c>
      <c r="P1124" s="27">
        <f>IF(K1124="Válida",C1124,NA())</f>
        <v>0</v>
      </c>
      <c r="Q1124" s="27">
        <f>IF(K1124="Válida",I1124,NA())</f>
        <v>0</v>
      </c>
      <c r="R1124" s="27">
        <f>IF(K1124="Válida",J1124,NA())</f>
        <v>0</v>
      </c>
      <c r="S1124" s="27">
        <f>IF(K1124="Válida",C1124,"")</f>
        <v>0</v>
      </c>
      <c r="T1124" s="27">
        <f>IF(K1124="Válida",I1124,"")</f>
        <v>0</v>
      </c>
      <c r="U1124" s="27">
        <f>IF(K1124="Válida",J1124,"")</f>
        <v>0</v>
      </c>
    </row>
    <row r="1125" spans="1:21">
      <c r="A1125" s="25">
        <f>IF(MES!A1125="","",MES!C1125/48)</f>
        <v>0</v>
      </c>
      <c r="B1125" s="26">
        <f>IF(A1125="","",TEXT((N1125*4+cfgDeslocamento)/48,"hh:mm")&amp;" a "&amp;TEXT(A1125,"hh:mm"))</f>
        <v>0</v>
      </c>
      <c r="C1125" s="27">
        <f>IF(A1125="","",MES!B1125)</f>
        <v>0</v>
      </c>
      <c r="D1125" s="27">
        <f>IF(A1125="","",IFERROR(AVERAGEIFS(Prensa!$B$2:$B$5001,Prensa!$E$2:$E$5001,N1125,Prensa!$F$2:$F$5001,1,Prensa!$G$2:$G$5001,1),""))</f>
        <v>0</v>
      </c>
      <c r="E1125" s="27">
        <f>IF(A1125="","",IFERROR(AVERAGEIFS(Prensa!$B$2:$B$5001,Prensa!$E$2:$E$5001,N1125,Prensa!$F$2:$F$5001,2,Prensa!$G$2:$G$5001,1),""))</f>
        <v>0</v>
      </c>
      <c r="F1125" s="27">
        <f>IF(A1125="","",IFERROR(AVERAGEIFS(Prensa!$B$2:$B$5001,Prensa!$E$2:$E$5001,N1125,Prensa!$F$2:$F$5001,3,Prensa!$G$2:$G$5001,1),""))</f>
        <v>0</v>
      </c>
      <c r="G1125" s="27">
        <f>IF(A1125="","",IFERROR(AVERAGEIFS(Prensa!$B$2:$B$5001,Prensa!$E$2:$E$5001,N1125,Prensa!$F$2:$F$5001,4,Prensa!$G$2:$G$5001,1),""))</f>
        <v>0</v>
      </c>
      <c r="H1125" s="26">
        <f>IF(A1125="","",COUNT(D1125:G1125))</f>
        <v>0</v>
      </c>
      <c r="I1125" s="27">
        <f>IF(A1125="","",IF(H1125=0,"",AVERAGE(D1125:G1125)))</f>
        <v>0</v>
      </c>
      <c r="J1125" s="27">
        <f>IF(OR(I1125="",C1125=""),"",I1125-C1125)</f>
        <v>0</v>
      </c>
      <c r="K1125" s="26">
        <f>IF(A1125="","",IF(MES!E1125&lt;&gt;4,"Horário do MES fora do padrão",IF(H1125&lt;cfgMinCortes,"Cortes insuficientes","Válida")))</f>
        <v>0</v>
      </c>
      <c r="L1125" s="27">
        <f>IF(K1125="Válida",ABS(J1125),"")</f>
        <v>0</v>
      </c>
      <c r="M1125" s="26">
        <f>IF(K1125="Válida",IF(L1125&lt;=cfgTolerancia,"Sim","Não"),"")</f>
        <v>0</v>
      </c>
      <c r="N1125" s="26">
        <f>IF(A1125="","",MES!D1125)</f>
        <v>0</v>
      </c>
      <c r="O1125" s="25">
        <f>IF(K1125="Válida",A1125,NA())</f>
        <v>0</v>
      </c>
      <c r="P1125" s="27">
        <f>IF(K1125="Válida",C1125,NA())</f>
        <v>0</v>
      </c>
      <c r="Q1125" s="27">
        <f>IF(K1125="Válida",I1125,NA())</f>
        <v>0</v>
      </c>
      <c r="R1125" s="27">
        <f>IF(K1125="Válida",J1125,NA())</f>
        <v>0</v>
      </c>
      <c r="S1125" s="27">
        <f>IF(K1125="Válida",C1125,"")</f>
        <v>0</v>
      </c>
      <c r="T1125" s="27">
        <f>IF(K1125="Válida",I1125,"")</f>
        <v>0</v>
      </c>
      <c r="U1125" s="27">
        <f>IF(K1125="Válida",J1125,"")</f>
        <v>0</v>
      </c>
    </row>
    <row r="1126" spans="1:21">
      <c r="A1126" s="25">
        <f>IF(MES!A1126="","",MES!C1126/48)</f>
        <v>0</v>
      </c>
      <c r="B1126" s="26">
        <f>IF(A1126="","",TEXT((N1126*4+cfgDeslocamento)/48,"hh:mm")&amp;" a "&amp;TEXT(A1126,"hh:mm"))</f>
        <v>0</v>
      </c>
      <c r="C1126" s="27">
        <f>IF(A1126="","",MES!B1126)</f>
        <v>0</v>
      </c>
      <c r="D1126" s="27">
        <f>IF(A1126="","",IFERROR(AVERAGEIFS(Prensa!$B$2:$B$5001,Prensa!$E$2:$E$5001,N1126,Prensa!$F$2:$F$5001,1,Prensa!$G$2:$G$5001,1),""))</f>
        <v>0</v>
      </c>
      <c r="E1126" s="27">
        <f>IF(A1126="","",IFERROR(AVERAGEIFS(Prensa!$B$2:$B$5001,Prensa!$E$2:$E$5001,N1126,Prensa!$F$2:$F$5001,2,Prensa!$G$2:$G$5001,1),""))</f>
        <v>0</v>
      </c>
      <c r="F1126" s="27">
        <f>IF(A1126="","",IFERROR(AVERAGEIFS(Prensa!$B$2:$B$5001,Prensa!$E$2:$E$5001,N1126,Prensa!$F$2:$F$5001,3,Prensa!$G$2:$G$5001,1),""))</f>
        <v>0</v>
      </c>
      <c r="G1126" s="27">
        <f>IF(A1126="","",IFERROR(AVERAGEIFS(Prensa!$B$2:$B$5001,Prensa!$E$2:$E$5001,N1126,Prensa!$F$2:$F$5001,4,Prensa!$G$2:$G$5001,1),""))</f>
        <v>0</v>
      </c>
      <c r="H1126" s="26">
        <f>IF(A1126="","",COUNT(D1126:G1126))</f>
        <v>0</v>
      </c>
      <c r="I1126" s="27">
        <f>IF(A1126="","",IF(H1126=0,"",AVERAGE(D1126:G1126)))</f>
        <v>0</v>
      </c>
      <c r="J1126" s="27">
        <f>IF(OR(I1126="",C1126=""),"",I1126-C1126)</f>
        <v>0</v>
      </c>
      <c r="K1126" s="26">
        <f>IF(A1126="","",IF(MES!E1126&lt;&gt;4,"Horário do MES fora do padrão",IF(H1126&lt;cfgMinCortes,"Cortes insuficientes","Válida")))</f>
        <v>0</v>
      </c>
      <c r="L1126" s="27">
        <f>IF(K1126="Válida",ABS(J1126),"")</f>
        <v>0</v>
      </c>
      <c r="M1126" s="26">
        <f>IF(K1126="Válida",IF(L1126&lt;=cfgTolerancia,"Sim","Não"),"")</f>
        <v>0</v>
      </c>
      <c r="N1126" s="26">
        <f>IF(A1126="","",MES!D1126)</f>
        <v>0</v>
      </c>
      <c r="O1126" s="25">
        <f>IF(K1126="Válida",A1126,NA())</f>
        <v>0</v>
      </c>
      <c r="P1126" s="27">
        <f>IF(K1126="Válida",C1126,NA())</f>
        <v>0</v>
      </c>
      <c r="Q1126" s="27">
        <f>IF(K1126="Válida",I1126,NA())</f>
        <v>0</v>
      </c>
      <c r="R1126" s="27">
        <f>IF(K1126="Válida",J1126,NA())</f>
        <v>0</v>
      </c>
      <c r="S1126" s="27">
        <f>IF(K1126="Válida",C1126,"")</f>
        <v>0</v>
      </c>
      <c r="T1126" s="27">
        <f>IF(K1126="Válida",I1126,"")</f>
        <v>0</v>
      </c>
      <c r="U1126" s="27">
        <f>IF(K1126="Válida",J1126,"")</f>
        <v>0</v>
      </c>
    </row>
    <row r="1127" spans="1:21">
      <c r="A1127" s="25">
        <f>IF(MES!A1127="","",MES!C1127/48)</f>
        <v>0</v>
      </c>
      <c r="B1127" s="26">
        <f>IF(A1127="","",TEXT((N1127*4+cfgDeslocamento)/48,"hh:mm")&amp;" a "&amp;TEXT(A1127,"hh:mm"))</f>
        <v>0</v>
      </c>
      <c r="C1127" s="27">
        <f>IF(A1127="","",MES!B1127)</f>
        <v>0</v>
      </c>
      <c r="D1127" s="27">
        <f>IF(A1127="","",IFERROR(AVERAGEIFS(Prensa!$B$2:$B$5001,Prensa!$E$2:$E$5001,N1127,Prensa!$F$2:$F$5001,1,Prensa!$G$2:$G$5001,1),""))</f>
        <v>0</v>
      </c>
      <c r="E1127" s="27">
        <f>IF(A1127="","",IFERROR(AVERAGEIFS(Prensa!$B$2:$B$5001,Prensa!$E$2:$E$5001,N1127,Prensa!$F$2:$F$5001,2,Prensa!$G$2:$G$5001,1),""))</f>
        <v>0</v>
      </c>
      <c r="F1127" s="27">
        <f>IF(A1127="","",IFERROR(AVERAGEIFS(Prensa!$B$2:$B$5001,Prensa!$E$2:$E$5001,N1127,Prensa!$F$2:$F$5001,3,Prensa!$G$2:$G$5001,1),""))</f>
        <v>0</v>
      </c>
      <c r="G1127" s="27">
        <f>IF(A1127="","",IFERROR(AVERAGEIFS(Prensa!$B$2:$B$5001,Prensa!$E$2:$E$5001,N1127,Prensa!$F$2:$F$5001,4,Prensa!$G$2:$G$5001,1),""))</f>
        <v>0</v>
      </c>
      <c r="H1127" s="26">
        <f>IF(A1127="","",COUNT(D1127:G1127))</f>
        <v>0</v>
      </c>
      <c r="I1127" s="27">
        <f>IF(A1127="","",IF(H1127=0,"",AVERAGE(D1127:G1127)))</f>
        <v>0</v>
      </c>
      <c r="J1127" s="27">
        <f>IF(OR(I1127="",C1127=""),"",I1127-C1127)</f>
        <v>0</v>
      </c>
      <c r="K1127" s="26">
        <f>IF(A1127="","",IF(MES!E1127&lt;&gt;4,"Horário do MES fora do padrão",IF(H1127&lt;cfgMinCortes,"Cortes insuficientes","Válida")))</f>
        <v>0</v>
      </c>
      <c r="L1127" s="27">
        <f>IF(K1127="Válida",ABS(J1127),"")</f>
        <v>0</v>
      </c>
      <c r="M1127" s="26">
        <f>IF(K1127="Válida",IF(L1127&lt;=cfgTolerancia,"Sim","Não"),"")</f>
        <v>0</v>
      </c>
      <c r="N1127" s="26">
        <f>IF(A1127="","",MES!D1127)</f>
        <v>0</v>
      </c>
      <c r="O1127" s="25">
        <f>IF(K1127="Válida",A1127,NA())</f>
        <v>0</v>
      </c>
      <c r="P1127" s="27">
        <f>IF(K1127="Válida",C1127,NA())</f>
        <v>0</v>
      </c>
      <c r="Q1127" s="27">
        <f>IF(K1127="Válida",I1127,NA())</f>
        <v>0</v>
      </c>
      <c r="R1127" s="27">
        <f>IF(K1127="Válida",J1127,NA())</f>
        <v>0</v>
      </c>
      <c r="S1127" s="27">
        <f>IF(K1127="Válida",C1127,"")</f>
        <v>0</v>
      </c>
      <c r="T1127" s="27">
        <f>IF(K1127="Válida",I1127,"")</f>
        <v>0</v>
      </c>
      <c r="U1127" s="27">
        <f>IF(K1127="Válida",J1127,"")</f>
        <v>0</v>
      </c>
    </row>
    <row r="1128" spans="1:21">
      <c r="A1128" s="25">
        <f>IF(MES!A1128="","",MES!C1128/48)</f>
        <v>0</v>
      </c>
      <c r="B1128" s="26">
        <f>IF(A1128="","",TEXT((N1128*4+cfgDeslocamento)/48,"hh:mm")&amp;" a "&amp;TEXT(A1128,"hh:mm"))</f>
        <v>0</v>
      </c>
      <c r="C1128" s="27">
        <f>IF(A1128="","",MES!B1128)</f>
        <v>0</v>
      </c>
      <c r="D1128" s="27">
        <f>IF(A1128="","",IFERROR(AVERAGEIFS(Prensa!$B$2:$B$5001,Prensa!$E$2:$E$5001,N1128,Prensa!$F$2:$F$5001,1,Prensa!$G$2:$G$5001,1),""))</f>
        <v>0</v>
      </c>
      <c r="E1128" s="27">
        <f>IF(A1128="","",IFERROR(AVERAGEIFS(Prensa!$B$2:$B$5001,Prensa!$E$2:$E$5001,N1128,Prensa!$F$2:$F$5001,2,Prensa!$G$2:$G$5001,1),""))</f>
        <v>0</v>
      </c>
      <c r="F1128" s="27">
        <f>IF(A1128="","",IFERROR(AVERAGEIFS(Prensa!$B$2:$B$5001,Prensa!$E$2:$E$5001,N1128,Prensa!$F$2:$F$5001,3,Prensa!$G$2:$G$5001,1),""))</f>
        <v>0</v>
      </c>
      <c r="G1128" s="27">
        <f>IF(A1128="","",IFERROR(AVERAGEIFS(Prensa!$B$2:$B$5001,Prensa!$E$2:$E$5001,N1128,Prensa!$F$2:$F$5001,4,Prensa!$G$2:$G$5001,1),""))</f>
        <v>0</v>
      </c>
      <c r="H1128" s="26">
        <f>IF(A1128="","",COUNT(D1128:G1128))</f>
        <v>0</v>
      </c>
      <c r="I1128" s="27">
        <f>IF(A1128="","",IF(H1128=0,"",AVERAGE(D1128:G1128)))</f>
        <v>0</v>
      </c>
      <c r="J1128" s="27">
        <f>IF(OR(I1128="",C1128=""),"",I1128-C1128)</f>
        <v>0</v>
      </c>
      <c r="K1128" s="26">
        <f>IF(A1128="","",IF(MES!E1128&lt;&gt;4,"Horário do MES fora do padrão",IF(H1128&lt;cfgMinCortes,"Cortes insuficientes","Válida")))</f>
        <v>0</v>
      </c>
      <c r="L1128" s="27">
        <f>IF(K1128="Válida",ABS(J1128),"")</f>
        <v>0</v>
      </c>
      <c r="M1128" s="26">
        <f>IF(K1128="Válida",IF(L1128&lt;=cfgTolerancia,"Sim","Não"),"")</f>
        <v>0</v>
      </c>
      <c r="N1128" s="26">
        <f>IF(A1128="","",MES!D1128)</f>
        <v>0</v>
      </c>
      <c r="O1128" s="25">
        <f>IF(K1128="Válida",A1128,NA())</f>
        <v>0</v>
      </c>
      <c r="P1128" s="27">
        <f>IF(K1128="Válida",C1128,NA())</f>
        <v>0</v>
      </c>
      <c r="Q1128" s="27">
        <f>IF(K1128="Válida",I1128,NA())</f>
        <v>0</v>
      </c>
      <c r="R1128" s="27">
        <f>IF(K1128="Válida",J1128,NA())</f>
        <v>0</v>
      </c>
      <c r="S1128" s="27">
        <f>IF(K1128="Válida",C1128,"")</f>
        <v>0</v>
      </c>
      <c r="T1128" s="27">
        <f>IF(K1128="Válida",I1128,"")</f>
        <v>0</v>
      </c>
      <c r="U1128" s="27">
        <f>IF(K1128="Válida",J1128,"")</f>
        <v>0</v>
      </c>
    </row>
    <row r="1129" spans="1:21">
      <c r="A1129" s="25">
        <f>IF(MES!A1129="","",MES!C1129/48)</f>
        <v>0</v>
      </c>
      <c r="B1129" s="26">
        <f>IF(A1129="","",TEXT((N1129*4+cfgDeslocamento)/48,"hh:mm")&amp;" a "&amp;TEXT(A1129,"hh:mm"))</f>
        <v>0</v>
      </c>
      <c r="C1129" s="27">
        <f>IF(A1129="","",MES!B1129)</f>
        <v>0</v>
      </c>
      <c r="D1129" s="27">
        <f>IF(A1129="","",IFERROR(AVERAGEIFS(Prensa!$B$2:$B$5001,Prensa!$E$2:$E$5001,N1129,Prensa!$F$2:$F$5001,1,Prensa!$G$2:$G$5001,1),""))</f>
        <v>0</v>
      </c>
      <c r="E1129" s="27">
        <f>IF(A1129="","",IFERROR(AVERAGEIFS(Prensa!$B$2:$B$5001,Prensa!$E$2:$E$5001,N1129,Prensa!$F$2:$F$5001,2,Prensa!$G$2:$G$5001,1),""))</f>
        <v>0</v>
      </c>
      <c r="F1129" s="27">
        <f>IF(A1129="","",IFERROR(AVERAGEIFS(Prensa!$B$2:$B$5001,Prensa!$E$2:$E$5001,N1129,Prensa!$F$2:$F$5001,3,Prensa!$G$2:$G$5001,1),""))</f>
        <v>0</v>
      </c>
      <c r="G1129" s="27">
        <f>IF(A1129="","",IFERROR(AVERAGEIFS(Prensa!$B$2:$B$5001,Prensa!$E$2:$E$5001,N1129,Prensa!$F$2:$F$5001,4,Prensa!$G$2:$G$5001,1),""))</f>
        <v>0</v>
      </c>
      <c r="H1129" s="26">
        <f>IF(A1129="","",COUNT(D1129:G1129))</f>
        <v>0</v>
      </c>
      <c r="I1129" s="27">
        <f>IF(A1129="","",IF(H1129=0,"",AVERAGE(D1129:G1129)))</f>
        <v>0</v>
      </c>
      <c r="J1129" s="27">
        <f>IF(OR(I1129="",C1129=""),"",I1129-C1129)</f>
        <v>0</v>
      </c>
      <c r="K1129" s="26">
        <f>IF(A1129="","",IF(MES!E1129&lt;&gt;4,"Horário do MES fora do padrão",IF(H1129&lt;cfgMinCortes,"Cortes insuficientes","Válida")))</f>
        <v>0</v>
      </c>
      <c r="L1129" s="27">
        <f>IF(K1129="Válida",ABS(J1129),"")</f>
        <v>0</v>
      </c>
      <c r="M1129" s="26">
        <f>IF(K1129="Válida",IF(L1129&lt;=cfgTolerancia,"Sim","Não"),"")</f>
        <v>0</v>
      </c>
      <c r="N1129" s="26">
        <f>IF(A1129="","",MES!D1129)</f>
        <v>0</v>
      </c>
      <c r="O1129" s="25">
        <f>IF(K1129="Válida",A1129,NA())</f>
        <v>0</v>
      </c>
      <c r="P1129" s="27">
        <f>IF(K1129="Válida",C1129,NA())</f>
        <v>0</v>
      </c>
      <c r="Q1129" s="27">
        <f>IF(K1129="Válida",I1129,NA())</f>
        <v>0</v>
      </c>
      <c r="R1129" s="27">
        <f>IF(K1129="Válida",J1129,NA())</f>
        <v>0</v>
      </c>
      <c r="S1129" s="27">
        <f>IF(K1129="Válida",C1129,"")</f>
        <v>0</v>
      </c>
      <c r="T1129" s="27">
        <f>IF(K1129="Válida",I1129,"")</f>
        <v>0</v>
      </c>
      <c r="U1129" s="27">
        <f>IF(K1129="Válida",J1129,"")</f>
        <v>0</v>
      </c>
    </row>
    <row r="1130" spans="1:21">
      <c r="A1130" s="25">
        <f>IF(MES!A1130="","",MES!C1130/48)</f>
        <v>0</v>
      </c>
      <c r="B1130" s="26">
        <f>IF(A1130="","",TEXT((N1130*4+cfgDeslocamento)/48,"hh:mm")&amp;" a "&amp;TEXT(A1130,"hh:mm"))</f>
        <v>0</v>
      </c>
      <c r="C1130" s="27">
        <f>IF(A1130="","",MES!B1130)</f>
        <v>0</v>
      </c>
      <c r="D1130" s="27">
        <f>IF(A1130="","",IFERROR(AVERAGEIFS(Prensa!$B$2:$B$5001,Prensa!$E$2:$E$5001,N1130,Prensa!$F$2:$F$5001,1,Prensa!$G$2:$G$5001,1),""))</f>
        <v>0</v>
      </c>
      <c r="E1130" s="27">
        <f>IF(A1130="","",IFERROR(AVERAGEIFS(Prensa!$B$2:$B$5001,Prensa!$E$2:$E$5001,N1130,Prensa!$F$2:$F$5001,2,Prensa!$G$2:$G$5001,1),""))</f>
        <v>0</v>
      </c>
      <c r="F1130" s="27">
        <f>IF(A1130="","",IFERROR(AVERAGEIFS(Prensa!$B$2:$B$5001,Prensa!$E$2:$E$5001,N1130,Prensa!$F$2:$F$5001,3,Prensa!$G$2:$G$5001,1),""))</f>
        <v>0</v>
      </c>
      <c r="G1130" s="27">
        <f>IF(A1130="","",IFERROR(AVERAGEIFS(Prensa!$B$2:$B$5001,Prensa!$E$2:$E$5001,N1130,Prensa!$F$2:$F$5001,4,Prensa!$G$2:$G$5001,1),""))</f>
        <v>0</v>
      </c>
      <c r="H1130" s="26">
        <f>IF(A1130="","",COUNT(D1130:G1130))</f>
        <v>0</v>
      </c>
      <c r="I1130" s="27">
        <f>IF(A1130="","",IF(H1130=0,"",AVERAGE(D1130:G1130)))</f>
        <v>0</v>
      </c>
      <c r="J1130" s="27">
        <f>IF(OR(I1130="",C1130=""),"",I1130-C1130)</f>
        <v>0</v>
      </c>
      <c r="K1130" s="26">
        <f>IF(A1130="","",IF(MES!E1130&lt;&gt;4,"Horário do MES fora do padrão",IF(H1130&lt;cfgMinCortes,"Cortes insuficientes","Válida")))</f>
        <v>0</v>
      </c>
      <c r="L1130" s="27">
        <f>IF(K1130="Válida",ABS(J1130),"")</f>
        <v>0</v>
      </c>
      <c r="M1130" s="26">
        <f>IF(K1130="Válida",IF(L1130&lt;=cfgTolerancia,"Sim","Não"),"")</f>
        <v>0</v>
      </c>
      <c r="N1130" s="26">
        <f>IF(A1130="","",MES!D1130)</f>
        <v>0</v>
      </c>
      <c r="O1130" s="25">
        <f>IF(K1130="Válida",A1130,NA())</f>
        <v>0</v>
      </c>
      <c r="P1130" s="27">
        <f>IF(K1130="Válida",C1130,NA())</f>
        <v>0</v>
      </c>
      <c r="Q1130" s="27">
        <f>IF(K1130="Válida",I1130,NA())</f>
        <v>0</v>
      </c>
      <c r="R1130" s="27">
        <f>IF(K1130="Válida",J1130,NA())</f>
        <v>0</v>
      </c>
      <c r="S1130" s="27">
        <f>IF(K1130="Válida",C1130,"")</f>
        <v>0</v>
      </c>
      <c r="T1130" s="27">
        <f>IF(K1130="Válida",I1130,"")</f>
        <v>0</v>
      </c>
      <c r="U1130" s="27">
        <f>IF(K1130="Válida",J1130,"")</f>
        <v>0</v>
      </c>
    </row>
    <row r="1131" spans="1:21">
      <c r="A1131" s="25">
        <f>IF(MES!A1131="","",MES!C1131/48)</f>
        <v>0</v>
      </c>
      <c r="B1131" s="26">
        <f>IF(A1131="","",TEXT((N1131*4+cfgDeslocamento)/48,"hh:mm")&amp;" a "&amp;TEXT(A1131,"hh:mm"))</f>
        <v>0</v>
      </c>
      <c r="C1131" s="27">
        <f>IF(A1131="","",MES!B1131)</f>
        <v>0</v>
      </c>
      <c r="D1131" s="27">
        <f>IF(A1131="","",IFERROR(AVERAGEIFS(Prensa!$B$2:$B$5001,Prensa!$E$2:$E$5001,N1131,Prensa!$F$2:$F$5001,1,Prensa!$G$2:$G$5001,1),""))</f>
        <v>0</v>
      </c>
      <c r="E1131" s="27">
        <f>IF(A1131="","",IFERROR(AVERAGEIFS(Prensa!$B$2:$B$5001,Prensa!$E$2:$E$5001,N1131,Prensa!$F$2:$F$5001,2,Prensa!$G$2:$G$5001,1),""))</f>
        <v>0</v>
      </c>
      <c r="F1131" s="27">
        <f>IF(A1131="","",IFERROR(AVERAGEIFS(Prensa!$B$2:$B$5001,Prensa!$E$2:$E$5001,N1131,Prensa!$F$2:$F$5001,3,Prensa!$G$2:$G$5001,1),""))</f>
        <v>0</v>
      </c>
      <c r="G1131" s="27">
        <f>IF(A1131="","",IFERROR(AVERAGEIFS(Prensa!$B$2:$B$5001,Prensa!$E$2:$E$5001,N1131,Prensa!$F$2:$F$5001,4,Prensa!$G$2:$G$5001,1),""))</f>
        <v>0</v>
      </c>
      <c r="H1131" s="26">
        <f>IF(A1131="","",COUNT(D1131:G1131))</f>
        <v>0</v>
      </c>
      <c r="I1131" s="27">
        <f>IF(A1131="","",IF(H1131=0,"",AVERAGE(D1131:G1131)))</f>
        <v>0</v>
      </c>
      <c r="J1131" s="27">
        <f>IF(OR(I1131="",C1131=""),"",I1131-C1131)</f>
        <v>0</v>
      </c>
      <c r="K1131" s="26">
        <f>IF(A1131="","",IF(MES!E1131&lt;&gt;4,"Horário do MES fora do padrão",IF(H1131&lt;cfgMinCortes,"Cortes insuficientes","Válida")))</f>
        <v>0</v>
      </c>
      <c r="L1131" s="27">
        <f>IF(K1131="Válida",ABS(J1131),"")</f>
        <v>0</v>
      </c>
      <c r="M1131" s="26">
        <f>IF(K1131="Válida",IF(L1131&lt;=cfgTolerancia,"Sim","Não"),"")</f>
        <v>0</v>
      </c>
      <c r="N1131" s="26">
        <f>IF(A1131="","",MES!D1131)</f>
        <v>0</v>
      </c>
      <c r="O1131" s="25">
        <f>IF(K1131="Válida",A1131,NA())</f>
        <v>0</v>
      </c>
      <c r="P1131" s="27">
        <f>IF(K1131="Válida",C1131,NA())</f>
        <v>0</v>
      </c>
      <c r="Q1131" s="27">
        <f>IF(K1131="Válida",I1131,NA())</f>
        <v>0</v>
      </c>
      <c r="R1131" s="27">
        <f>IF(K1131="Válida",J1131,NA())</f>
        <v>0</v>
      </c>
      <c r="S1131" s="27">
        <f>IF(K1131="Válida",C1131,"")</f>
        <v>0</v>
      </c>
      <c r="T1131" s="27">
        <f>IF(K1131="Válida",I1131,"")</f>
        <v>0</v>
      </c>
      <c r="U1131" s="27">
        <f>IF(K1131="Válida",J1131,"")</f>
        <v>0</v>
      </c>
    </row>
    <row r="1132" spans="1:21">
      <c r="A1132" s="25">
        <f>IF(MES!A1132="","",MES!C1132/48)</f>
        <v>0</v>
      </c>
      <c r="B1132" s="26">
        <f>IF(A1132="","",TEXT((N1132*4+cfgDeslocamento)/48,"hh:mm")&amp;" a "&amp;TEXT(A1132,"hh:mm"))</f>
        <v>0</v>
      </c>
      <c r="C1132" s="27">
        <f>IF(A1132="","",MES!B1132)</f>
        <v>0</v>
      </c>
      <c r="D1132" s="27">
        <f>IF(A1132="","",IFERROR(AVERAGEIFS(Prensa!$B$2:$B$5001,Prensa!$E$2:$E$5001,N1132,Prensa!$F$2:$F$5001,1,Prensa!$G$2:$G$5001,1),""))</f>
        <v>0</v>
      </c>
      <c r="E1132" s="27">
        <f>IF(A1132="","",IFERROR(AVERAGEIFS(Prensa!$B$2:$B$5001,Prensa!$E$2:$E$5001,N1132,Prensa!$F$2:$F$5001,2,Prensa!$G$2:$G$5001,1),""))</f>
        <v>0</v>
      </c>
      <c r="F1132" s="27">
        <f>IF(A1132="","",IFERROR(AVERAGEIFS(Prensa!$B$2:$B$5001,Prensa!$E$2:$E$5001,N1132,Prensa!$F$2:$F$5001,3,Prensa!$G$2:$G$5001,1),""))</f>
        <v>0</v>
      </c>
      <c r="G1132" s="27">
        <f>IF(A1132="","",IFERROR(AVERAGEIFS(Prensa!$B$2:$B$5001,Prensa!$E$2:$E$5001,N1132,Prensa!$F$2:$F$5001,4,Prensa!$G$2:$G$5001,1),""))</f>
        <v>0</v>
      </c>
      <c r="H1132" s="26">
        <f>IF(A1132="","",COUNT(D1132:G1132))</f>
        <v>0</v>
      </c>
      <c r="I1132" s="27">
        <f>IF(A1132="","",IF(H1132=0,"",AVERAGE(D1132:G1132)))</f>
        <v>0</v>
      </c>
      <c r="J1132" s="27">
        <f>IF(OR(I1132="",C1132=""),"",I1132-C1132)</f>
        <v>0</v>
      </c>
      <c r="K1132" s="26">
        <f>IF(A1132="","",IF(MES!E1132&lt;&gt;4,"Horário do MES fora do padrão",IF(H1132&lt;cfgMinCortes,"Cortes insuficientes","Válida")))</f>
        <v>0</v>
      </c>
      <c r="L1132" s="27">
        <f>IF(K1132="Válida",ABS(J1132),"")</f>
        <v>0</v>
      </c>
      <c r="M1132" s="26">
        <f>IF(K1132="Válida",IF(L1132&lt;=cfgTolerancia,"Sim","Não"),"")</f>
        <v>0</v>
      </c>
      <c r="N1132" s="26">
        <f>IF(A1132="","",MES!D1132)</f>
        <v>0</v>
      </c>
      <c r="O1132" s="25">
        <f>IF(K1132="Válida",A1132,NA())</f>
        <v>0</v>
      </c>
      <c r="P1132" s="27">
        <f>IF(K1132="Válida",C1132,NA())</f>
        <v>0</v>
      </c>
      <c r="Q1132" s="27">
        <f>IF(K1132="Válida",I1132,NA())</f>
        <v>0</v>
      </c>
      <c r="R1132" s="27">
        <f>IF(K1132="Válida",J1132,NA())</f>
        <v>0</v>
      </c>
      <c r="S1132" s="27">
        <f>IF(K1132="Válida",C1132,"")</f>
        <v>0</v>
      </c>
      <c r="T1132" s="27">
        <f>IF(K1132="Válida",I1132,"")</f>
        <v>0</v>
      </c>
      <c r="U1132" s="27">
        <f>IF(K1132="Válida",J1132,"")</f>
        <v>0</v>
      </c>
    </row>
    <row r="1133" spans="1:21">
      <c r="A1133" s="25">
        <f>IF(MES!A1133="","",MES!C1133/48)</f>
        <v>0</v>
      </c>
      <c r="B1133" s="26">
        <f>IF(A1133="","",TEXT((N1133*4+cfgDeslocamento)/48,"hh:mm")&amp;" a "&amp;TEXT(A1133,"hh:mm"))</f>
        <v>0</v>
      </c>
      <c r="C1133" s="27">
        <f>IF(A1133="","",MES!B1133)</f>
        <v>0</v>
      </c>
      <c r="D1133" s="27">
        <f>IF(A1133="","",IFERROR(AVERAGEIFS(Prensa!$B$2:$B$5001,Prensa!$E$2:$E$5001,N1133,Prensa!$F$2:$F$5001,1,Prensa!$G$2:$G$5001,1),""))</f>
        <v>0</v>
      </c>
      <c r="E1133" s="27">
        <f>IF(A1133="","",IFERROR(AVERAGEIFS(Prensa!$B$2:$B$5001,Prensa!$E$2:$E$5001,N1133,Prensa!$F$2:$F$5001,2,Prensa!$G$2:$G$5001,1),""))</f>
        <v>0</v>
      </c>
      <c r="F1133" s="27">
        <f>IF(A1133="","",IFERROR(AVERAGEIFS(Prensa!$B$2:$B$5001,Prensa!$E$2:$E$5001,N1133,Prensa!$F$2:$F$5001,3,Prensa!$G$2:$G$5001,1),""))</f>
        <v>0</v>
      </c>
      <c r="G1133" s="27">
        <f>IF(A1133="","",IFERROR(AVERAGEIFS(Prensa!$B$2:$B$5001,Prensa!$E$2:$E$5001,N1133,Prensa!$F$2:$F$5001,4,Prensa!$G$2:$G$5001,1),""))</f>
        <v>0</v>
      </c>
      <c r="H1133" s="26">
        <f>IF(A1133="","",COUNT(D1133:G1133))</f>
        <v>0</v>
      </c>
      <c r="I1133" s="27">
        <f>IF(A1133="","",IF(H1133=0,"",AVERAGE(D1133:G1133)))</f>
        <v>0</v>
      </c>
      <c r="J1133" s="27">
        <f>IF(OR(I1133="",C1133=""),"",I1133-C1133)</f>
        <v>0</v>
      </c>
      <c r="K1133" s="26">
        <f>IF(A1133="","",IF(MES!E1133&lt;&gt;4,"Horário do MES fora do padrão",IF(H1133&lt;cfgMinCortes,"Cortes insuficientes","Válida")))</f>
        <v>0</v>
      </c>
      <c r="L1133" s="27">
        <f>IF(K1133="Válida",ABS(J1133),"")</f>
        <v>0</v>
      </c>
      <c r="M1133" s="26">
        <f>IF(K1133="Válida",IF(L1133&lt;=cfgTolerancia,"Sim","Não"),"")</f>
        <v>0</v>
      </c>
      <c r="N1133" s="26">
        <f>IF(A1133="","",MES!D1133)</f>
        <v>0</v>
      </c>
      <c r="O1133" s="25">
        <f>IF(K1133="Válida",A1133,NA())</f>
        <v>0</v>
      </c>
      <c r="P1133" s="27">
        <f>IF(K1133="Válida",C1133,NA())</f>
        <v>0</v>
      </c>
      <c r="Q1133" s="27">
        <f>IF(K1133="Válida",I1133,NA())</f>
        <v>0</v>
      </c>
      <c r="R1133" s="27">
        <f>IF(K1133="Válida",J1133,NA())</f>
        <v>0</v>
      </c>
      <c r="S1133" s="27">
        <f>IF(K1133="Válida",C1133,"")</f>
        <v>0</v>
      </c>
      <c r="T1133" s="27">
        <f>IF(K1133="Válida",I1133,"")</f>
        <v>0</v>
      </c>
      <c r="U1133" s="27">
        <f>IF(K1133="Válida",J1133,"")</f>
        <v>0</v>
      </c>
    </row>
    <row r="1134" spans="1:21">
      <c r="A1134" s="25">
        <f>IF(MES!A1134="","",MES!C1134/48)</f>
        <v>0</v>
      </c>
      <c r="B1134" s="26">
        <f>IF(A1134="","",TEXT((N1134*4+cfgDeslocamento)/48,"hh:mm")&amp;" a "&amp;TEXT(A1134,"hh:mm"))</f>
        <v>0</v>
      </c>
      <c r="C1134" s="27">
        <f>IF(A1134="","",MES!B1134)</f>
        <v>0</v>
      </c>
      <c r="D1134" s="27">
        <f>IF(A1134="","",IFERROR(AVERAGEIFS(Prensa!$B$2:$B$5001,Prensa!$E$2:$E$5001,N1134,Prensa!$F$2:$F$5001,1,Prensa!$G$2:$G$5001,1),""))</f>
        <v>0</v>
      </c>
      <c r="E1134" s="27">
        <f>IF(A1134="","",IFERROR(AVERAGEIFS(Prensa!$B$2:$B$5001,Prensa!$E$2:$E$5001,N1134,Prensa!$F$2:$F$5001,2,Prensa!$G$2:$G$5001,1),""))</f>
        <v>0</v>
      </c>
      <c r="F1134" s="27">
        <f>IF(A1134="","",IFERROR(AVERAGEIFS(Prensa!$B$2:$B$5001,Prensa!$E$2:$E$5001,N1134,Prensa!$F$2:$F$5001,3,Prensa!$G$2:$G$5001,1),""))</f>
        <v>0</v>
      </c>
      <c r="G1134" s="27">
        <f>IF(A1134="","",IFERROR(AVERAGEIFS(Prensa!$B$2:$B$5001,Prensa!$E$2:$E$5001,N1134,Prensa!$F$2:$F$5001,4,Prensa!$G$2:$G$5001,1),""))</f>
        <v>0</v>
      </c>
      <c r="H1134" s="26">
        <f>IF(A1134="","",COUNT(D1134:G1134))</f>
        <v>0</v>
      </c>
      <c r="I1134" s="27">
        <f>IF(A1134="","",IF(H1134=0,"",AVERAGE(D1134:G1134)))</f>
        <v>0</v>
      </c>
      <c r="J1134" s="27">
        <f>IF(OR(I1134="",C1134=""),"",I1134-C1134)</f>
        <v>0</v>
      </c>
      <c r="K1134" s="26">
        <f>IF(A1134="","",IF(MES!E1134&lt;&gt;4,"Horário do MES fora do padrão",IF(H1134&lt;cfgMinCortes,"Cortes insuficientes","Válida")))</f>
        <v>0</v>
      </c>
      <c r="L1134" s="27">
        <f>IF(K1134="Válida",ABS(J1134),"")</f>
        <v>0</v>
      </c>
      <c r="M1134" s="26">
        <f>IF(K1134="Válida",IF(L1134&lt;=cfgTolerancia,"Sim","Não"),"")</f>
        <v>0</v>
      </c>
      <c r="N1134" s="26">
        <f>IF(A1134="","",MES!D1134)</f>
        <v>0</v>
      </c>
      <c r="O1134" s="25">
        <f>IF(K1134="Válida",A1134,NA())</f>
        <v>0</v>
      </c>
      <c r="P1134" s="27">
        <f>IF(K1134="Válida",C1134,NA())</f>
        <v>0</v>
      </c>
      <c r="Q1134" s="27">
        <f>IF(K1134="Válida",I1134,NA())</f>
        <v>0</v>
      </c>
      <c r="R1134" s="27">
        <f>IF(K1134="Válida",J1134,NA())</f>
        <v>0</v>
      </c>
      <c r="S1134" s="27">
        <f>IF(K1134="Válida",C1134,"")</f>
        <v>0</v>
      </c>
      <c r="T1134" s="27">
        <f>IF(K1134="Válida",I1134,"")</f>
        <v>0</v>
      </c>
      <c r="U1134" s="27">
        <f>IF(K1134="Válida",J1134,"")</f>
        <v>0</v>
      </c>
    </row>
    <row r="1135" spans="1:21">
      <c r="A1135" s="25">
        <f>IF(MES!A1135="","",MES!C1135/48)</f>
        <v>0</v>
      </c>
      <c r="B1135" s="26">
        <f>IF(A1135="","",TEXT((N1135*4+cfgDeslocamento)/48,"hh:mm")&amp;" a "&amp;TEXT(A1135,"hh:mm"))</f>
        <v>0</v>
      </c>
      <c r="C1135" s="27">
        <f>IF(A1135="","",MES!B1135)</f>
        <v>0</v>
      </c>
      <c r="D1135" s="27">
        <f>IF(A1135="","",IFERROR(AVERAGEIFS(Prensa!$B$2:$B$5001,Prensa!$E$2:$E$5001,N1135,Prensa!$F$2:$F$5001,1,Prensa!$G$2:$G$5001,1),""))</f>
        <v>0</v>
      </c>
      <c r="E1135" s="27">
        <f>IF(A1135="","",IFERROR(AVERAGEIFS(Prensa!$B$2:$B$5001,Prensa!$E$2:$E$5001,N1135,Prensa!$F$2:$F$5001,2,Prensa!$G$2:$G$5001,1),""))</f>
        <v>0</v>
      </c>
      <c r="F1135" s="27">
        <f>IF(A1135="","",IFERROR(AVERAGEIFS(Prensa!$B$2:$B$5001,Prensa!$E$2:$E$5001,N1135,Prensa!$F$2:$F$5001,3,Prensa!$G$2:$G$5001,1),""))</f>
        <v>0</v>
      </c>
      <c r="G1135" s="27">
        <f>IF(A1135="","",IFERROR(AVERAGEIFS(Prensa!$B$2:$B$5001,Prensa!$E$2:$E$5001,N1135,Prensa!$F$2:$F$5001,4,Prensa!$G$2:$G$5001,1),""))</f>
        <v>0</v>
      </c>
      <c r="H1135" s="26">
        <f>IF(A1135="","",COUNT(D1135:G1135))</f>
        <v>0</v>
      </c>
      <c r="I1135" s="27">
        <f>IF(A1135="","",IF(H1135=0,"",AVERAGE(D1135:G1135)))</f>
        <v>0</v>
      </c>
      <c r="J1135" s="27">
        <f>IF(OR(I1135="",C1135=""),"",I1135-C1135)</f>
        <v>0</v>
      </c>
      <c r="K1135" s="26">
        <f>IF(A1135="","",IF(MES!E1135&lt;&gt;4,"Horário do MES fora do padrão",IF(H1135&lt;cfgMinCortes,"Cortes insuficientes","Válida")))</f>
        <v>0</v>
      </c>
      <c r="L1135" s="27">
        <f>IF(K1135="Válida",ABS(J1135),"")</f>
        <v>0</v>
      </c>
      <c r="M1135" s="26">
        <f>IF(K1135="Válida",IF(L1135&lt;=cfgTolerancia,"Sim","Não"),"")</f>
        <v>0</v>
      </c>
      <c r="N1135" s="26">
        <f>IF(A1135="","",MES!D1135)</f>
        <v>0</v>
      </c>
      <c r="O1135" s="25">
        <f>IF(K1135="Válida",A1135,NA())</f>
        <v>0</v>
      </c>
      <c r="P1135" s="27">
        <f>IF(K1135="Válida",C1135,NA())</f>
        <v>0</v>
      </c>
      <c r="Q1135" s="27">
        <f>IF(K1135="Válida",I1135,NA())</f>
        <v>0</v>
      </c>
      <c r="R1135" s="27">
        <f>IF(K1135="Válida",J1135,NA())</f>
        <v>0</v>
      </c>
      <c r="S1135" s="27">
        <f>IF(K1135="Válida",C1135,"")</f>
        <v>0</v>
      </c>
      <c r="T1135" s="27">
        <f>IF(K1135="Válida",I1135,"")</f>
        <v>0</v>
      </c>
      <c r="U1135" s="27">
        <f>IF(K1135="Válida",J1135,"")</f>
        <v>0</v>
      </c>
    </row>
    <row r="1136" spans="1:21">
      <c r="A1136" s="25">
        <f>IF(MES!A1136="","",MES!C1136/48)</f>
        <v>0</v>
      </c>
      <c r="B1136" s="26">
        <f>IF(A1136="","",TEXT((N1136*4+cfgDeslocamento)/48,"hh:mm")&amp;" a "&amp;TEXT(A1136,"hh:mm"))</f>
        <v>0</v>
      </c>
      <c r="C1136" s="27">
        <f>IF(A1136="","",MES!B1136)</f>
        <v>0</v>
      </c>
      <c r="D1136" s="27">
        <f>IF(A1136="","",IFERROR(AVERAGEIFS(Prensa!$B$2:$B$5001,Prensa!$E$2:$E$5001,N1136,Prensa!$F$2:$F$5001,1,Prensa!$G$2:$G$5001,1),""))</f>
        <v>0</v>
      </c>
      <c r="E1136" s="27">
        <f>IF(A1136="","",IFERROR(AVERAGEIFS(Prensa!$B$2:$B$5001,Prensa!$E$2:$E$5001,N1136,Prensa!$F$2:$F$5001,2,Prensa!$G$2:$G$5001,1),""))</f>
        <v>0</v>
      </c>
      <c r="F1136" s="27">
        <f>IF(A1136="","",IFERROR(AVERAGEIFS(Prensa!$B$2:$B$5001,Prensa!$E$2:$E$5001,N1136,Prensa!$F$2:$F$5001,3,Prensa!$G$2:$G$5001,1),""))</f>
        <v>0</v>
      </c>
      <c r="G1136" s="27">
        <f>IF(A1136="","",IFERROR(AVERAGEIFS(Prensa!$B$2:$B$5001,Prensa!$E$2:$E$5001,N1136,Prensa!$F$2:$F$5001,4,Prensa!$G$2:$G$5001,1),""))</f>
        <v>0</v>
      </c>
      <c r="H1136" s="26">
        <f>IF(A1136="","",COUNT(D1136:G1136))</f>
        <v>0</v>
      </c>
      <c r="I1136" s="27">
        <f>IF(A1136="","",IF(H1136=0,"",AVERAGE(D1136:G1136)))</f>
        <v>0</v>
      </c>
      <c r="J1136" s="27">
        <f>IF(OR(I1136="",C1136=""),"",I1136-C1136)</f>
        <v>0</v>
      </c>
      <c r="K1136" s="26">
        <f>IF(A1136="","",IF(MES!E1136&lt;&gt;4,"Horário do MES fora do padrão",IF(H1136&lt;cfgMinCortes,"Cortes insuficientes","Válida")))</f>
        <v>0</v>
      </c>
      <c r="L1136" s="27">
        <f>IF(K1136="Válida",ABS(J1136),"")</f>
        <v>0</v>
      </c>
      <c r="M1136" s="26">
        <f>IF(K1136="Válida",IF(L1136&lt;=cfgTolerancia,"Sim","Não"),"")</f>
        <v>0</v>
      </c>
      <c r="N1136" s="26">
        <f>IF(A1136="","",MES!D1136)</f>
        <v>0</v>
      </c>
      <c r="O1136" s="25">
        <f>IF(K1136="Válida",A1136,NA())</f>
        <v>0</v>
      </c>
      <c r="P1136" s="27">
        <f>IF(K1136="Válida",C1136,NA())</f>
        <v>0</v>
      </c>
      <c r="Q1136" s="27">
        <f>IF(K1136="Válida",I1136,NA())</f>
        <v>0</v>
      </c>
      <c r="R1136" s="27">
        <f>IF(K1136="Válida",J1136,NA())</f>
        <v>0</v>
      </c>
      <c r="S1136" s="27">
        <f>IF(K1136="Válida",C1136,"")</f>
        <v>0</v>
      </c>
      <c r="T1136" s="27">
        <f>IF(K1136="Válida",I1136,"")</f>
        <v>0</v>
      </c>
      <c r="U1136" s="27">
        <f>IF(K1136="Válida",J1136,"")</f>
        <v>0</v>
      </c>
    </row>
    <row r="1137" spans="1:21">
      <c r="A1137" s="25">
        <f>IF(MES!A1137="","",MES!C1137/48)</f>
        <v>0</v>
      </c>
      <c r="B1137" s="26">
        <f>IF(A1137="","",TEXT((N1137*4+cfgDeslocamento)/48,"hh:mm")&amp;" a "&amp;TEXT(A1137,"hh:mm"))</f>
        <v>0</v>
      </c>
      <c r="C1137" s="27">
        <f>IF(A1137="","",MES!B1137)</f>
        <v>0</v>
      </c>
      <c r="D1137" s="27">
        <f>IF(A1137="","",IFERROR(AVERAGEIFS(Prensa!$B$2:$B$5001,Prensa!$E$2:$E$5001,N1137,Prensa!$F$2:$F$5001,1,Prensa!$G$2:$G$5001,1),""))</f>
        <v>0</v>
      </c>
      <c r="E1137" s="27">
        <f>IF(A1137="","",IFERROR(AVERAGEIFS(Prensa!$B$2:$B$5001,Prensa!$E$2:$E$5001,N1137,Prensa!$F$2:$F$5001,2,Prensa!$G$2:$G$5001,1),""))</f>
        <v>0</v>
      </c>
      <c r="F1137" s="27">
        <f>IF(A1137="","",IFERROR(AVERAGEIFS(Prensa!$B$2:$B$5001,Prensa!$E$2:$E$5001,N1137,Prensa!$F$2:$F$5001,3,Prensa!$G$2:$G$5001,1),""))</f>
        <v>0</v>
      </c>
      <c r="G1137" s="27">
        <f>IF(A1137="","",IFERROR(AVERAGEIFS(Prensa!$B$2:$B$5001,Prensa!$E$2:$E$5001,N1137,Prensa!$F$2:$F$5001,4,Prensa!$G$2:$G$5001,1),""))</f>
        <v>0</v>
      </c>
      <c r="H1137" s="26">
        <f>IF(A1137="","",COUNT(D1137:G1137))</f>
        <v>0</v>
      </c>
      <c r="I1137" s="27">
        <f>IF(A1137="","",IF(H1137=0,"",AVERAGE(D1137:G1137)))</f>
        <v>0</v>
      </c>
      <c r="J1137" s="27">
        <f>IF(OR(I1137="",C1137=""),"",I1137-C1137)</f>
        <v>0</v>
      </c>
      <c r="K1137" s="26">
        <f>IF(A1137="","",IF(MES!E1137&lt;&gt;4,"Horário do MES fora do padrão",IF(H1137&lt;cfgMinCortes,"Cortes insuficientes","Válida")))</f>
        <v>0</v>
      </c>
      <c r="L1137" s="27">
        <f>IF(K1137="Válida",ABS(J1137),"")</f>
        <v>0</v>
      </c>
      <c r="M1137" s="26">
        <f>IF(K1137="Válida",IF(L1137&lt;=cfgTolerancia,"Sim","Não"),"")</f>
        <v>0</v>
      </c>
      <c r="N1137" s="26">
        <f>IF(A1137="","",MES!D1137)</f>
        <v>0</v>
      </c>
      <c r="O1137" s="25">
        <f>IF(K1137="Válida",A1137,NA())</f>
        <v>0</v>
      </c>
      <c r="P1137" s="27">
        <f>IF(K1137="Válida",C1137,NA())</f>
        <v>0</v>
      </c>
      <c r="Q1137" s="27">
        <f>IF(K1137="Válida",I1137,NA())</f>
        <v>0</v>
      </c>
      <c r="R1137" s="27">
        <f>IF(K1137="Válida",J1137,NA())</f>
        <v>0</v>
      </c>
      <c r="S1137" s="27">
        <f>IF(K1137="Válida",C1137,"")</f>
        <v>0</v>
      </c>
      <c r="T1137" s="27">
        <f>IF(K1137="Válida",I1137,"")</f>
        <v>0</v>
      </c>
      <c r="U1137" s="27">
        <f>IF(K1137="Válida",J1137,"")</f>
        <v>0</v>
      </c>
    </row>
    <row r="1138" spans="1:21">
      <c r="A1138" s="25">
        <f>IF(MES!A1138="","",MES!C1138/48)</f>
        <v>0</v>
      </c>
      <c r="B1138" s="26">
        <f>IF(A1138="","",TEXT((N1138*4+cfgDeslocamento)/48,"hh:mm")&amp;" a "&amp;TEXT(A1138,"hh:mm"))</f>
        <v>0</v>
      </c>
      <c r="C1138" s="27">
        <f>IF(A1138="","",MES!B1138)</f>
        <v>0</v>
      </c>
      <c r="D1138" s="27">
        <f>IF(A1138="","",IFERROR(AVERAGEIFS(Prensa!$B$2:$B$5001,Prensa!$E$2:$E$5001,N1138,Prensa!$F$2:$F$5001,1,Prensa!$G$2:$G$5001,1),""))</f>
        <v>0</v>
      </c>
      <c r="E1138" s="27">
        <f>IF(A1138="","",IFERROR(AVERAGEIFS(Prensa!$B$2:$B$5001,Prensa!$E$2:$E$5001,N1138,Prensa!$F$2:$F$5001,2,Prensa!$G$2:$G$5001,1),""))</f>
        <v>0</v>
      </c>
      <c r="F1138" s="27">
        <f>IF(A1138="","",IFERROR(AVERAGEIFS(Prensa!$B$2:$B$5001,Prensa!$E$2:$E$5001,N1138,Prensa!$F$2:$F$5001,3,Prensa!$G$2:$G$5001,1),""))</f>
        <v>0</v>
      </c>
      <c r="G1138" s="27">
        <f>IF(A1138="","",IFERROR(AVERAGEIFS(Prensa!$B$2:$B$5001,Prensa!$E$2:$E$5001,N1138,Prensa!$F$2:$F$5001,4,Prensa!$G$2:$G$5001,1),""))</f>
        <v>0</v>
      </c>
      <c r="H1138" s="26">
        <f>IF(A1138="","",COUNT(D1138:G1138))</f>
        <v>0</v>
      </c>
      <c r="I1138" s="27">
        <f>IF(A1138="","",IF(H1138=0,"",AVERAGE(D1138:G1138)))</f>
        <v>0</v>
      </c>
      <c r="J1138" s="27">
        <f>IF(OR(I1138="",C1138=""),"",I1138-C1138)</f>
        <v>0</v>
      </c>
      <c r="K1138" s="26">
        <f>IF(A1138="","",IF(MES!E1138&lt;&gt;4,"Horário do MES fora do padrão",IF(H1138&lt;cfgMinCortes,"Cortes insuficientes","Válida")))</f>
        <v>0</v>
      </c>
      <c r="L1138" s="27">
        <f>IF(K1138="Válida",ABS(J1138),"")</f>
        <v>0</v>
      </c>
      <c r="M1138" s="26">
        <f>IF(K1138="Válida",IF(L1138&lt;=cfgTolerancia,"Sim","Não"),"")</f>
        <v>0</v>
      </c>
      <c r="N1138" s="26">
        <f>IF(A1138="","",MES!D1138)</f>
        <v>0</v>
      </c>
      <c r="O1138" s="25">
        <f>IF(K1138="Válida",A1138,NA())</f>
        <v>0</v>
      </c>
      <c r="P1138" s="27">
        <f>IF(K1138="Válida",C1138,NA())</f>
        <v>0</v>
      </c>
      <c r="Q1138" s="27">
        <f>IF(K1138="Válida",I1138,NA())</f>
        <v>0</v>
      </c>
      <c r="R1138" s="27">
        <f>IF(K1138="Válida",J1138,NA())</f>
        <v>0</v>
      </c>
      <c r="S1138" s="27">
        <f>IF(K1138="Válida",C1138,"")</f>
        <v>0</v>
      </c>
      <c r="T1138" s="27">
        <f>IF(K1138="Válida",I1138,"")</f>
        <v>0</v>
      </c>
      <c r="U1138" s="27">
        <f>IF(K1138="Válida",J1138,"")</f>
        <v>0</v>
      </c>
    </row>
    <row r="1139" spans="1:21">
      <c r="A1139" s="25">
        <f>IF(MES!A1139="","",MES!C1139/48)</f>
        <v>0</v>
      </c>
      <c r="B1139" s="26">
        <f>IF(A1139="","",TEXT((N1139*4+cfgDeslocamento)/48,"hh:mm")&amp;" a "&amp;TEXT(A1139,"hh:mm"))</f>
        <v>0</v>
      </c>
      <c r="C1139" s="27">
        <f>IF(A1139="","",MES!B1139)</f>
        <v>0</v>
      </c>
      <c r="D1139" s="27">
        <f>IF(A1139="","",IFERROR(AVERAGEIFS(Prensa!$B$2:$B$5001,Prensa!$E$2:$E$5001,N1139,Prensa!$F$2:$F$5001,1,Prensa!$G$2:$G$5001,1),""))</f>
        <v>0</v>
      </c>
      <c r="E1139" s="27">
        <f>IF(A1139="","",IFERROR(AVERAGEIFS(Prensa!$B$2:$B$5001,Prensa!$E$2:$E$5001,N1139,Prensa!$F$2:$F$5001,2,Prensa!$G$2:$G$5001,1),""))</f>
        <v>0</v>
      </c>
      <c r="F1139" s="27">
        <f>IF(A1139="","",IFERROR(AVERAGEIFS(Prensa!$B$2:$B$5001,Prensa!$E$2:$E$5001,N1139,Prensa!$F$2:$F$5001,3,Prensa!$G$2:$G$5001,1),""))</f>
        <v>0</v>
      </c>
      <c r="G1139" s="27">
        <f>IF(A1139="","",IFERROR(AVERAGEIFS(Prensa!$B$2:$B$5001,Prensa!$E$2:$E$5001,N1139,Prensa!$F$2:$F$5001,4,Prensa!$G$2:$G$5001,1),""))</f>
        <v>0</v>
      </c>
      <c r="H1139" s="26">
        <f>IF(A1139="","",COUNT(D1139:G1139))</f>
        <v>0</v>
      </c>
      <c r="I1139" s="27">
        <f>IF(A1139="","",IF(H1139=0,"",AVERAGE(D1139:G1139)))</f>
        <v>0</v>
      </c>
      <c r="J1139" s="27">
        <f>IF(OR(I1139="",C1139=""),"",I1139-C1139)</f>
        <v>0</v>
      </c>
      <c r="K1139" s="26">
        <f>IF(A1139="","",IF(MES!E1139&lt;&gt;4,"Horário do MES fora do padrão",IF(H1139&lt;cfgMinCortes,"Cortes insuficientes","Válida")))</f>
        <v>0</v>
      </c>
      <c r="L1139" s="27">
        <f>IF(K1139="Válida",ABS(J1139),"")</f>
        <v>0</v>
      </c>
      <c r="M1139" s="26">
        <f>IF(K1139="Válida",IF(L1139&lt;=cfgTolerancia,"Sim","Não"),"")</f>
        <v>0</v>
      </c>
      <c r="N1139" s="26">
        <f>IF(A1139="","",MES!D1139)</f>
        <v>0</v>
      </c>
      <c r="O1139" s="25">
        <f>IF(K1139="Válida",A1139,NA())</f>
        <v>0</v>
      </c>
      <c r="P1139" s="27">
        <f>IF(K1139="Válida",C1139,NA())</f>
        <v>0</v>
      </c>
      <c r="Q1139" s="27">
        <f>IF(K1139="Válida",I1139,NA())</f>
        <v>0</v>
      </c>
      <c r="R1139" s="27">
        <f>IF(K1139="Válida",J1139,NA())</f>
        <v>0</v>
      </c>
      <c r="S1139" s="27">
        <f>IF(K1139="Válida",C1139,"")</f>
        <v>0</v>
      </c>
      <c r="T1139" s="27">
        <f>IF(K1139="Válida",I1139,"")</f>
        <v>0</v>
      </c>
      <c r="U1139" s="27">
        <f>IF(K1139="Válida",J1139,"")</f>
        <v>0</v>
      </c>
    </row>
    <row r="1140" spans="1:21">
      <c r="A1140" s="25">
        <f>IF(MES!A1140="","",MES!C1140/48)</f>
        <v>0</v>
      </c>
      <c r="B1140" s="26">
        <f>IF(A1140="","",TEXT((N1140*4+cfgDeslocamento)/48,"hh:mm")&amp;" a "&amp;TEXT(A1140,"hh:mm"))</f>
        <v>0</v>
      </c>
      <c r="C1140" s="27">
        <f>IF(A1140="","",MES!B1140)</f>
        <v>0</v>
      </c>
      <c r="D1140" s="27">
        <f>IF(A1140="","",IFERROR(AVERAGEIFS(Prensa!$B$2:$B$5001,Prensa!$E$2:$E$5001,N1140,Prensa!$F$2:$F$5001,1,Prensa!$G$2:$G$5001,1),""))</f>
        <v>0</v>
      </c>
      <c r="E1140" s="27">
        <f>IF(A1140="","",IFERROR(AVERAGEIFS(Prensa!$B$2:$B$5001,Prensa!$E$2:$E$5001,N1140,Prensa!$F$2:$F$5001,2,Prensa!$G$2:$G$5001,1),""))</f>
        <v>0</v>
      </c>
      <c r="F1140" s="27">
        <f>IF(A1140="","",IFERROR(AVERAGEIFS(Prensa!$B$2:$B$5001,Prensa!$E$2:$E$5001,N1140,Prensa!$F$2:$F$5001,3,Prensa!$G$2:$G$5001,1),""))</f>
        <v>0</v>
      </c>
      <c r="G1140" s="27">
        <f>IF(A1140="","",IFERROR(AVERAGEIFS(Prensa!$B$2:$B$5001,Prensa!$E$2:$E$5001,N1140,Prensa!$F$2:$F$5001,4,Prensa!$G$2:$G$5001,1),""))</f>
        <v>0</v>
      </c>
      <c r="H1140" s="26">
        <f>IF(A1140="","",COUNT(D1140:G1140))</f>
        <v>0</v>
      </c>
      <c r="I1140" s="27">
        <f>IF(A1140="","",IF(H1140=0,"",AVERAGE(D1140:G1140)))</f>
        <v>0</v>
      </c>
      <c r="J1140" s="27">
        <f>IF(OR(I1140="",C1140=""),"",I1140-C1140)</f>
        <v>0</v>
      </c>
      <c r="K1140" s="26">
        <f>IF(A1140="","",IF(MES!E1140&lt;&gt;4,"Horário do MES fora do padrão",IF(H1140&lt;cfgMinCortes,"Cortes insuficientes","Válida")))</f>
        <v>0</v>
      </c>
      <c r="L1140" s="27">
        <f>IF(K1140="Válida",ABS(J1140),"")</f>
        <v>0</v>
      </c>
      <c r="M1140" s="26">
        <f>IF(K1140="Válida",IF(L1140&lt;=cfgTolerancia,"Sim","Não"),"")</f>
        <v>0</v>
      </c>
      <c r="N1140" s="26">
        <f>IF(A1140="","",MES!D1140)</f>
        <v>0</v>
      </c>
      <c r="O1140" s="25">
        <f>IF(K1140="Válida",A1140,NA())</f>
        <v>0</v>
      </c>
      <c r="P1140" s="27">
        <f>IF(K1140="Válida",C1140,NA())</f>
        <v>0</v>
      </c>
      <c r="Q1140" s="27">
        <f>IF(K1140="Válida",I1140,NA())</f>
        <v>0</v>
      </c>
      <c r="R1140" s="27">
        <f>IF(K1140="Válida",J1140,NA())</f>
        <v>0</v>
      </c>
      <c r="S1140" s="27">
        <f>IF(K1140="Válida",C1140,"")</f>
        <v>0</v>
      </c>
      <c r="T1140" s="27">
        <f>IF(K1140="Válida",I1140,"")</f>
        <v>0</v>
      </c>
      <c r="U1140" s="27">
        <f>IF(K1140="Válida",J1140,"")</f>
        <v>0</v>
      </c>
    </row>
    <row r="1141" spans="1:21">
      <c r="A1141" s="25">
        <f>IF(MES!A1141="","",MES!C1141/48)</f>
        <v>0</v>
      </c>
      <c r="B1141" s="26">
        <f>IF(A1141="","",TEXT((N1141*4+cfgDeslocamento)/48,"hh:mm")&amp;" a "&amp;TEXT(A1141,"hh:mm"))</f>
        <v>0</v>
      </c>
      <c r="C1141" s="27">
        <f>IF(A1141="","",MES!B1141)</f>
        <v>0</v>
      </c>
      <c r="D1141" s="27">
        <f>IF(A1141="","",IFERROR(AVERAGEIFS(Prensa!$B$2:$B$5001,Prensa!$E$2:$E$5001,N1141,Prensa!$F$2:$F$5001,1,Prensa!$G$2:$G$5001,1),""))</f>
        <v>0</v>
      </c>
      <c r="E1141" s="27">
        <f>IF(A1141="","",IFERROR(AVERAGEIFS(Prensa!$B$2:$B$5001,Prensa!$E$2:$E$5001,N1141,Prensa!$F$2:$F$5001,2,Prensa!$G$2:$G$5001,1),""))</f>
        <v>0</v>
      </c>
      <c r="F1141" s="27">
        <f>IF(A1141="","",IFERROR(AVERAGEIFS(Prensa!$B$2:$B$5001,Prensa!$E$2:$E$5001,N1141,Prensa!$F$2:$F$5001,3,Prensa!$G$2:$G$5001,1),""))</f>
        <v>0</v>
      </c>
      <c r="G1141" s="27">
        <f>IF(A1141="","",IFERROR(AVERAGEIFS(Prensa!$B$2:$B$5001,Prensa!$E$2:$E$5001,N1141,Prensa!$F$2:$F$5001,4,Prensa!$G$2:$G$5001,1),""))</f>
        <v>0</v>
      </c>
      <c r="H1141" s="26">
        <f>IF(A1141="","",COUNT(D1141:G1141))</f>
        <v>0</v>
      </c>
      <c r="I1141" s="27">
        <f>IF(A1141="","",IF(H1141=0,"",AVERAGE(D1141:G1141)))</f>
        <v>0</v>
      </c>
      <c r="J1141" s="27">
        <f>IF(OR(I1141="",C1141=""),"",I1141-C1141)</f>
        <v>0</v>
      </c>
      <c r="K1141" s="26">
        <f>IF(A1141="","",IF(MES!E1141&lt;&gt;4,"Horário do MES fora do padrão",IF(H1141&lt;cfgMinCortes,"Cortes insuficientes","Válida")))</f>
        <v>0</v>
      </c>
      <c r="L1141" s="27">
        <f>IF(K1141="Válida",ABS(J1141),"")</f>
        <v>0</v>
      </c>
      <c r="M1141" s="26">
        <f>IF(K1141="Válida",IF(L1141&lt;=cfgTolerancia,"Sim","Não"),"")</f>
        <v>0</v>
      </c>
      <c r="N1141" s="26">
        <f>IF(A1141="","",MES!D1141)</f>
        <v>0</v>
      </c>
      <c r="O1141" s="25">
        <f>IF(K1141="Válida",A1141,NA())</f>
        <v>0</v>
      </c>
      <c r="P1141" s="27">
        <f>IF(K1141="Válida",C1141,NA())</f>
        <v>0</v>
      </c>
      <c r="Q1141" s="27">
        <f>IF(K1141="Válida",I1141,NA())</f>
        <v>0</v>
      </c>
      <c r="R1141" s="27">
        <f>IF(K1141="Válida",J1141,NA())</f>
        <v>0</v>
      </c>
      <c r="S1141" s="27">
        <f>IF(K1141="Válida",C1141,"")</f>
        <v>0</v>
      </c>
      <c r="T1141" s="27">
        <f>IF(K1141="Válida",I1141,"")</f>
        <v>0</v>
      </c>
      <c r="U1141" s="27">
        <f>IF(K1141="Válida",J1141,"")</f>
        <v>0</v>
      </c>
    </row>
    <row r="1142" spans="1:21">
      <c r="A1142" s="25">
        <f>IF(MES!A1142="","",MES!C1142/48)</f>
        <v>0</v>
      </c>
      <c r="B1142" s="26">
        <f>IF(A1142="","",TEXT((N1142*4+cfgDeslocamento)/48,"hh:mm")&amp;" a "&amp;TEXT(A1142,"hh:mm"))</f>
        <v>0</v>
      </c>
      <c r="C1142" s="27">
        <f>IF(A1142="","",MES!B1142)</f>
        <v>0</v>
      </c>
      <c r="D1142" s="27">
        <f>IF(A1142="","",IFERROR(AVERAGEIFS(Prensa!$B$2:$B$5001,Prensa!$E$2:$E$5001,N1142,Prensa!$F$2:$F$5001,1,Prensa!$G$2:$G$5001,1),""))</f>
        <v>0</v>
      </c>
      <c r="E1142" s="27">
        <f>IF(A1142="","",IFERROR(AVERAGEIFS(Prensa!$B$2:$B$5001,Prensa!$E$2:$E$5001,N1142,Prensa!$F$2:$F$5001,2,Prensa!$G$2:$G$5001,1),""))</f>
        <v>0</v>
      </c>
      <c r="F1142" s="27">
        <f>IF(A1142="","",IFERROR(AVERAGEIFS(Prensa!$B$2:$B$5001,Prensa!$E$2:$E$5001,N1142,Prensa!$F$2:$F$5001,3,Prensa!$G$2:$G$5001,1),""))</f>
        <v>0</v>
      </c>
      <c r="G1142" s="27">
        <f>IF(A1142="","",IFERROR(AVERAGEIFS(Prensa!$B$2:$B$5001,Prensa!$E$2:$E$5001,N1142,Prensa!$F$2:$F$5001,4,Prensa!$G$2:$G$5001,1),""))</f>
        <v>0</v>
      </c>
      <c r="H1142" s="26">
        <f>IF(A1142="","",COUNT(D1142:G1142))</f>
        <v>0</v>
      </c>
      <c r="I1142" s="27">
        <f>IF(A1142="","",IF(H1142=0,"",AVERAGE(D1142:G1142)))</f>
        <v>0</v>
      </c>
      <c r="J1142" s="27">
        <f>IF(OR(I1142="",C1142=""),"",I1142-C1142)</f>
        <v>0</v>
      </c>
      <c r="K1142" s="26">
        <f>IF(A1142="","",IF(MES!E1142&lt;&gt;4,"Horário do MES fora do padrão",IF(H1142&lt;cfgMinCortes,"Cortes insuficientes","Válida")))</f>
        <v>0</v>
      </c>
      <c r="L1142" s="27">
        <f>IF(K1142="Válida",ABS(J1142),"")</f>
        <v>0</v>
      </c>
      <c r="M1142" s="26">
        <f>IF(K1142="Válida",IF(L1142&lt;=cfgTolerancia,"Sim","Não"),"")</f>
        <v>0</v>
      </c>
      <c r="N1142" s="26">
        <f>IF(A1142="","",MES!D1142)</f>
        <v>0</v>
      </c>
      <c r="O1142" s="25">
        <f>IF(K1142="Válida",A1142,NA())</f>
        <v>0</v>
      </c>
      <c r="P1142" s="27">
        <f>IF(K1142="Válida",C1142,NA())</f>
        <v>0</v>
      </c>
      <c r="Q1142" s="27">
        <f>IF(K1142="Válida",I1142,NA())</f>
        <v>0</v>
      </c>
      <c r="R1142" s="27">
        <f>IF(K1142="Válida",J1142,NA())</f>
        <v>0</v>
      </c>
      <c r="S1142" s="27">
        <f>IF(K1142="Válida",C1142,"")</f>
        <v>0</v>
      </c>
      <c r="T1142" s="27">
        <f>IF(K1142="Válida",I1142,"")</f>
        <v>0</v>
      </c>
      <c r="U1142" s="27">
        <f>IF(K1142="Válida",J1142,"")</f>
        <v>0</v>
      </c>
    </row>
    <row r="1143" spans="1:21">
      <c r="A1143" s="25">
        <f>IF(MES!A1143="","",MES!C1143/48)</f>
        <v>0</v>
      </c>
      <c r="B1143" s="26">
        <f>IF(A1143="","",TEXT((N1143*4+cfgDeslocamento)/48,"hh:mm")&amp;" a "&amp;TEXT(A1143,"hh:mm"))</f>
        <v>0</v>
      </c>
      <c r="C1143" s="27">
        <f>IF(A1143="","",MES!B1143)</f>
        <v>0</v>
      </c>
      <c r="D1143" s="27">
        <f>IF(A1143="","",IFERROR(AVERAGEIFS(Prensa!$B$2:$B$5001,Prensa!$E$2:$E$5001,N1143,Prensa!$F$2:$F$5001,1,Prensa!$G$2:$G$5001,1),""))</f>
        <v>0</v>
      </c>
      <c r="E1143" s="27">
        <f>IF(A1143="","",IFERROR(AVERAGEIFS(Prensa!$B$2:$B$5001,Prensa!$E$2:$E$5001,N1143,Prensa!$F$2:$F$5001,2,Prensa!$G$2:$G$5001,1),""))</f>
        <v>0</v>
      </c>
      <c r="F1143" s="27">
        <f>IF(A1143="","",IFERROR(AVERAGEIFS(Prensa!$B$2:$B$5001,Prensa!$E$2:$E$5001,N1143,Prensa!$F$2:$F$5001,3,Prensa!$G$2:$G$5001,1),""))</f>
        <v>0</v>
      </c>
      <c r="G1143" s="27">
        <f>IF(A1143="","",IFERROR(AVERAGEIFS(Prensa!$B$2:$B$5001,Prensa!$E$2:$E$5001,N1143,Prensa!$F$2:$F$5001,4,Prensa!$G$2:$G$5001,1),""))</f>
        <v>0</v>
      </c>
      <c r="H1143" s="26">
        <f>IF(A1143="","",COUNT(D1143:G1143))</f>
        <v>0</v>
      </c>
      <c r="I1143" s="27">
        <f>IF(A1143="","",IF(H1143=0,"",AVERAGE(D1143:G1143)))</f>
        <v>0</v>
      </c>
      <c r="J1143" s="27">
        <f>IF(OR(I1143="",C1143=""),"",I1143-C1143)</f>
        <v>0</v>
      </c>
      <c r="K1143" s="26">
        <f>IF(A1143="","",IF(MES!E1143&lt;&gt;4,"Horário do MES fora do padrão",IF(H1143&lt;cfgMinCortes,"Cortes insuficientes","Válida")))</f>
        <v>0</v>
      </c>
      <c r="L1143" s="27">
        <f>IF(K1143="Válida",ABS(J1143),"")</f>
        <v>0</v>
      </c>
      <c r="M1143" s="26">
        <f>IF(K1143="Válida",IF(L1143&lt;=cfgTolerancia,"Sim","Não"),"")</f>
        <v>0</v>
      </c>
      <c r="N1143" s="26">
        <f>IF(A1143="","",MES!D1143)</f>
        <v>0</v>
      </c>
      <c r="O1143" s="25">
        <f>IF(K1143="Válida",A1143,NA())</f>
        <v>0</v>
      </c>
      <c r="P1143" s="27">
        <f>IF(K1143="Válida",C1143,NA())</f>
        <v>0</v>
      </c>
      <c r="Q1143" s="27">
        <f>IF(K1143="Válida",I1143,NA())</f>
        <v>0</v>
      </c>
      <c r="R1143" s="27">
        <f>IF(K1143="Válida",J1143,NA())</f>
        <v>0</v>
      </c>
      <c r="S1143" s="27">
        <f>IF(K1143="Válida",C1143,"")</f>
        <v>0</v>
      </c>
      <c r="T1143" s="27">
        <f>IF(K1143="Válida",I1143,"")</f>
        <v>0</v>
      </c>
      <c r="U1143" s="27">
        <f>IF(K1143="Válida",J1143,"")</f>
        <v>0</v>
      </c>
    </row>
    <row r="1144" spans="1:21">
      <c r="A1144" s="25">
        <f>IF(MES!A1144="","",MES!C1144/48)</f>
        <v>0</v>
      </c>
      <c r="B1144" s="26">
        <f>IF(A1144="","",TEXT((N1144*4+cfgDeslocamento)/48,"hh:mm")&amp;" a "&amp;TEXT(A1144,"hh:mm"))</f>
        <v>0</v>
      </c>
      <c r="C1144" s="27">
        <f>IF(A1144="","",MES!B1144)</f>
        <v>0</v>
      </c>
      <c r="D1144" s="27">
        <f>IF(A1144="","",IFERROR(AVERAGEIFS(Prensa!$B$2:$B$5001,Prensa!$E$2:$E$5001,N1144,Prensa!$F$2:$F$5001,1,Prensa!$G$2:$G$5001,1),""))</f>
        <v>0</v>
      </c>
      <c r="E1144" s="27">
        <f>IF(A1144="","",IFERROR(AVERAGEIFS(Prensa!$B$2:$B$5001,Prensa!$E$2:$E$5001,N1144,Prensa!$F$2:$F$5001,2,Prensa!$G$2:$G$5001,1),""))</f>
        <v>0</v>
      </c>
      <c r="F1144" s="27">
        <f>IF(A1144="","",IFERROR(AVERAGEIFS(Prensa!$B$2:$B$5001,Prensa!$E$2:$E$5001,N1144,Prensa!$F$2:$F$5001,3,Prensa!$G$2:$G$5001,1),""))</f>
        <v>0</v>
      </c>
      <c r="G1144" s="27">
        <f>IF(A1144="","",IFERROR(AVERAGEIFS(Prensa!$B$2:$B$5001,Prensa!$E$2:$E$5001,N1144,Prensa!$F$2:$F$5001,4,Prensa!$G$2:$G$5001,1),""))</f>
        <v>0</v>
      </c>
      <c r="H1144" s="26">
        <f>IF(A1144="","",COUNT(D1144:G1144))</f>
        <v>0</v>
      </c>
      <c r="I1144" s="27">
        <f>IF(A1144="","",IF(H1144=0,"",AVERAGE(D1144:G1144)))</f>
        <v>0</v>
      </c>
      <c r="J1144" s="27">
        <f>IF(OR(I1144="",C1144=""),"",I1144-C1144)</f>
        <v>0</v>
      </c>
      <c r="K1144" s="26">
        <f>IF(A1144="","",IF(MES!E1144&lt;&gt;4,"Horário do MES fora do padrão",IF(H1144&lt;cfgMinCortes,"Cortes insuficientes","Válida")))</f>
        <v>0</v>
      </c>
      <c r="L1144" s="27">
        <f>IF(K1144="Válida",ABS(J1144),"")</f>
        <v>0</v>
      </c>
      <c r="M1144" s="26">
        <f>IF(K1144="Válida",IF(L1144&lt;=cfgTolerancia,"Sim","Não"),"")</f>
        <v>0</v>
      </c>
      <c r="N1144" s="26">
        <f>IF(A1144="","",MES!D1144)</f>
        <v>0</v>
      </c>
      <c r="O1144" s="25">
        <f>IF(K1144="Válida",A1144,NA())</f>
        <v>0</v>
      </c>
      <c r="P1144" s="27">
        <f>IF(K1144="Válida",C1144,NA())</f>
        <v>0</v>
      </c>
      <c r="Q1144" s="27">
        <f>IF(K1144="Válida",I1144,NA())</f>
        <v>0</v>
      </c>
      <c r="R1144" s="27">
        <f>IF(K1144="Válida",J1144,NA())</f>
        <v>0</v>
      </c>
      <c r="S1144" s="27">
        <f>IF(K1144="Válida",C1144,"")</f>
        <v>0</v>
      </c>
      <c r="T1144" s="27">
        <f>IF(K1144="Válida",I1144,"")</f>
        <v>0</v>
      </c>
      <c r="U1144" s="27">
        <f>IF(K1144="Válida",J1144,"")</f>
        <v>0</v>
      </c>
    </row>
    <row r="1145" spans="1:21">
      <c r="A1145" s="25">
        <f>IF(MES!A1145="","",MES!C1145/48)</f>
        <v>0</v>
      </c>
      <c r="B1145" s="26">
        <f>IF(A1145="","",TEXT((N1145*4+cfgDeslocamento)/48,"hh:mm")&amp;" a "&amp;TEXT(A1145,"hh:mm"))</f>
        <v>0</v>
      </c>
      <c r="C1145" s="27">
        <f>IF(A1145="","",MES!B1145)</f>
        <v>0</v>
      </c>
      <c r="D1145" s="27">
        <f>IF(A1145="","",IFERROR(AVERAGEIFS(Prensa!$B$2:$B$5001,Prensa!$E$2:$E$5001,N1145,Prensa!$F$2:$F$5001,1,Prensa!$G$2:$G$5001,1),""))</f>
        <v>0</v>
      </c>
      <c r="E1145" s="27">
        <f>IF(A1145="","",IFERROR(AVERAGEIFS(Prensa!$B$2:$B$5001,Prensa!$E$2:$E$5001,N1145,Prensa!$F$2:$F$5001,2,Prensa!$G$2:$G$5001,1),""))</f>
        <v>0</v>
      </c>
      <c r="F1145" s="27">
        <f>IF(A1145="","",IFERROR(AVERAGEIFS(Prensa!$B$2:$B$5001,Prensa!$E$2:$E$5001,N1145,Prensa!$F$2:$F$5001,3,Prensa!$G$2:$G$5001,1),""))</f>
        <v>0</v>
      </c>
      <c r="G1145" s="27">
        <f>IF(A1145="","",IFERROR(AVERAGEIFS(Prensa!$B$2:$B$5001,Prensa!$E$2:$E$5001,N1145,Prensa!$F$2:$F$5001,4,Prensa!$G$2:$G$5001,1),""))</f>
        <v>0</v>
      </c>
      <c r="H1145" s="26">
        <f>IF(A1145="","",COUNT(D1145:G1145))</f>
        <v>0</v>
      </c>
      <c r="I1145" s="27">
        <f>IF(A1145="","",IF(H1145=0,"",AVERAGE(D1145:G1145)))</f>
        <v>0</v>
      </c>
      <c r="J1145" s="27">
        <f>IF(OR(I1145="",C1145=""),"",I1145-C1145)</f>
        <v>0</v>
      </c>
      <c r="K1145" s="26">
        <f>IF(A1145="","",IF(MES!E1145&lt;&gt;4,"Horário do MES fora do padrão",IF(H1145&lt;cfgMinCortes,"Cortes insuficientes","Válida")))</f>
        <v>0</v>
      </c>
      <c r="L1145" s="27">
        <f>IF(K1145="Válida",ABS(J1145),"")</f>
        <v>0</v>
      </c>
      <c r="M1145" s="26">
        <f>IF(K1145="Válida",IF(L1145&lt;=cfgTolerancia,"Sim","Não"),"")</f>
        <v>0</v>
      </c>
      <c r="N1145" s="26">
        <f>IF(A1145="","",MES!D1145)</f>
        <v>0</v>
      </c>
      <c r="O1145" s="25">
        <f>IF(K1145="Válida",A1145,NA())</f>
        <v>0</v>
      </c>
      <c r="P1145" s="27">
        <f>IF(K1145="Válida",C1145,NA())</f>
        <v>0</v>
      </c>
      <c r="Q1145" s="27">
        <f>IF(K1145="Válida",I1145,NA())</f>
        <v>0</v>
      </c>
      <c r="R1145" s="27">
        <f>IF(K1145="Válida",J1145,NA())</f>
        <v>0</v>
      </c>
      <c r="S1145" s="27">
        <f>IF(K1145="Válida",C1145,"")</f>
        <v>0</v>
      </c>
      <c r="T1145" s="27">
        <f>IF(K1145="Válida",I1145,"")</f>
        <v>0</v>
      </c>
      <c r="U1145" s="27">
        <f>IF(K1145="Válida",J1145,"")</f>
        <v>0</v>
      </c>
    </row>
    <row r="1146" spans="1:21">
      <c r="A1146" s="25">
        <f>IF(MES!A1146="","",MES!C1146/48)</f>
        <v>0</v>
      </c>
      <c r="B1146" s="26">
        <f>IF(A1146="","",TEXT((N1146*4+cfgDeslocamento)/48,"hh:mm")&amp;" a "&amp;TEXT(A1146,"hh:mm"))</f>
        <v>0</v>
      </c>
      <c r="C1146" s="27">
        <f>IF(A1146="","",MES!B1146)</f>
        <v>0</v>
      </c>
      <c r="D1146" s="27">
        <f>IF(A1146="","",IFERROR(AVERAGEIFS(Prensa!$B$2:$B$5001,Prensa!$E$2:$E$5001,N1146,Prensa!$F$2:$F$5001,1,Prensa!$G$2:$G$5001,1),""))</f>
        <v>0</v>
      </c>
      <c r="E1146" s="27">
        <f>IF(A1146="","",IFERROR(AVERAGEIFS(Prensa!$B$2:$B$5001,Prensa!$E$2:$E$5001,N1146,Prensa!$F$2:$F$5001,2,Prensa!$G$2:$G$5001,1),""))</f>
        <v>0</v>
      </c>
      <c r="F1146" s="27">
        <f>IF(A1146="","",IFERROR(AVERAGEIFS(Prensa!$B$2:$B$5001,Prensa!$E$2:$E$5001,N1146,Prensa!$F$2:$F$5001,3,Prensa!$G$2:$G$5001,1),""))</f>
        <v>0</v>
      </c>
      <c r="G1146" s="27">
        <f>IF(A1146="","",IFERROR(AVERAGEIFS(Prensa!$B$2:$B$5001,Prensa!$E$2:$E$5001,N1146,Prensa!$F$2:$F$5001,4,Prensa!$G$2:$G$5001,1),""))</f>
        <v>0</v>
      </c>
      <c r="H1146" s="26">
        <f>IF(A1146="","",COUNT(D1146:G1146))</f>
        <v>0</v>
      </c>
      <c r="I1146" s="27">
        <f>IF(A1146="","",IF(H1146=0,"",AVERAGE(D1146:G1146)))</f>
        <v>0</v>
      </c>
      <c r="J1146" s="27">
        <f>IF(OR(I1146="",C1146=""),"",I1146-C1146)</f>
        <v>0</v>
      </c>
      <c r="K1146" s="26">
        <f>IF(A1146="","",IF(MES!E1146&lt;&gt;4,"Horário do MES fora do padrão",IF(H1146&lt;cfgMinCortes,"Cortes insuficientes","Válida")))</f>
        <v>0</v>
      </c>
      <c r="L1146" s="27">
        <f>IF(K1146="Válida",ABS(J1146),"")</f>
        <v>0</v>
      </c>
      <c r="M1146" s="26">
        <f>IF(K1146="Válida",IF(L1146&lt;=cfgTolerancia,"Sim","Não"),"")</f>
        <v>0</v>
      </c>
      <c r="N1146" s="26">
        <f>IF(A1146="","",MES!D1146)</f>
        <v>0</v>
      </c>
      <c r="O1146" s="25">
        <f>IF(K1146="Válida",A1146,NA())</f>
        <v>0</v>
      </c>
      <c r="P1146" s="27">
        <f>IF(K1146="Válida",C1146,NA())</f>
        <v>0</v>
      </c>
      <c r="Q1146" s="27">
        <f>IF(K1146="Válida",I1146,NA())</f>
        <v>0</v>
      </c>
      <c r="R1146" s="27">
        <f>IF(K1146="Válida",J1146,NA())</f>
        <v>0</v>
      </c>
      <c r="S1146" s="27">
        <f>IF(K1146="Válida",C1146,"")</f>
        <v>0</v>
      </c>
      <c r="T1146" s="27">
        <f>IF(K1146="Válida",I1146,"")</f>
        <v>0</v>
      </c>
      <c r="U1146" s="27">
        <f>IF(K1146="Válida",J1146,"")</f>
        <v>0</v>
      </c>
    </row>
    <row r="1147" spans="1:21">
      <c r="A1147" s="25">
        <f>IF(MES!A1147="","",MES!C1147/48)</f>
        <v>0</v>
      </c>
      <c r="B1147" s="26">
        <f>IF(A1147="","",TEXT((N1147*4+cfgDeslocamento)/48,"hh:mm")&amp;" a "&amp;TEXT(A1147,"hh:mm"))</f>
        <v>0</v>
      </c>
      <c r="C1147" s="27">
        <f>IF(A1147="","",MES!B1147)</f>
        <v>0</v>
      </c>
      <c r="D1147" s="27">
        <f>IF(A1147="","",IFERROR(AVERAGEIFS(Prensa!$B$2:$B$5001,Prensa!$E$2:$E$5001,N1147,Prensa!$F$2:$F$5001,1,Prensa!$G$2:$G$5001,1),""))</f>
        <v>0</v>
      </c>
      <c r="E1147" s="27">
        <f>IF(A1147="","",IFERROR(AVERAGEIFS(Prensa!$B$2:$B$5001,Prensa!$E$2:$E$5001,N1147,Prensa!$F$2:$F$5001,2,Prensa!$G$2:$G$5001,1),""))</f>
        <v>0</v>
      </c>
      <c r="F1147" s="27">
        <f>IF(A1147="","",IFERROR(AVERAGEIFS(Prensa!$B$2:$B$5001,Prensa!$E$2:$E$5001,N1147,Prensa!$F$2:$F$5001,3,Prensa!$G$2:$G$5001,1),""))</f>
        <v>0</v>
      </c>
      <c r="G1147" s="27">
        <f>IF(A1147="","",IFERROR(AVERAGEIFS(Prensa!$B$2:$B$5001,Prensa!$E$2:$E$5001,N1147,Prensa!$F$2:$F$5001,4,Prensa!$G$2:$G$5001,1),""))</f>
        <v>0</v>
      </c>
      <c r="H1147" s="26">
        <f>IF(A1147="","",COUNT(D1147:G1147))</f>
        <v>0</v>
      </c>
      <c r="I1147" s="27">
        <f>IF(A1147="","",IF(H1147=0,"",AVERAGE(D1147:G1147)))</f>
        <v>0</v>
      </c>
      <c r="J1147" s="27">
        <f>IF(OR(I1147="",C1147=""),"",I1147-C1147)</f>
        <v>0</v>
      </c>
      <c r="K1147" s="26">
        <f>IF(A1147="","",IF(MES!E1147&lt;&gt;4,"Horário do MES fora do padrão",IF(H1147&lt;cfgMinCortes,"Cortes insuficientes","Válida")))</f>
        <v>0</v>
      </c>
      <c r="L1147" s="27">
        <f>IF(K1147="Válida",ABS(J1147),"")</f>
        <v>0</v>
      </c>
      <c r="M1147" s="26">
        <f>IF(K1147="Válida",IF(L1147&lt;=cfgTolerancia,"Sim","Não"),"")</f>
        <v>0</v>
      </c>
      <c r="N1147" s="26">
        <f>IF(A1147="","",MES!D1147)</f>
        <v>0</v>
      </c>
      <c r="O1147" s="25">
        <f>IF(K1147="Válida",A1147,NA())</f>
        <v>0</v>
      </c>
      <c r="P1147" s="27">
        <f>IF(K1147="Válida",C1147,NA())</f>
        <v>0</v>
      </c>
      <c r="Q1147" s="27">
        <f>IF(K1147="Válida",I1147,NA())</f>
        <v>0</v>
      </c>
      <c r="R1147" s="27">
        <f>IF(K1147="Válida",J1147,NA())</f>
        <v>0</v>
      </c>
      <c r="S1147" s="27">
        <f>IF(K1147="Válida",C1147,"")</f>
        <v>0</v>
      </c>
      <c r="T1147" s="27">
        <f>IF(K1147="Válida",I1147,"")</f>
        <v>0</v>
      </c>
      <c r="U1147" s="27">
        <f>IF(K1147="Válida",J1147,"")</f>
        <v>0</v>
      </c>
    </row>
    <row r="1148" spans="1:21">
      <c r="A1148" s="25">
        <f>IF(MES!A1148="","",MES!C1148/48)</f>
        <v>0</v>
      </c>
      <c r="B1148" s="26">
        <f>IF(A1148="","",TEXT((N1148*4+cfgDeslocamento)/48,"hh:mm")&amp;" a "&amp;TEXT(A1148,"hh:mm"))</f>
        <v>0</v>
      </c>
      <c r="C1148" s="27">
        <f>IF(A1148="","",MES!B1148)</f>
        <v>0</v>
      </c>
      <c r="D1148" s="27">
        <f>IF(A1148="","",IFERROR(AVERAGEIFS(Prensa!$B$2:$B$5001,Prensa!$E$2:$E$5001,N1148,Prensa!$F$2:$F$5001,1,Prensa!$G$2:$G$5001,1),""))</f>
        <v>0</v>
      </c>
      <c r="E1148" s="27">
        <f>IF(A1148="","",IFERROR(AVERAGEIFS(Prensa!$B$2:$B$5001,Prensa!$E$2:$E$5001,N1148,Prensa!$F$2:$F$5001,2,Prensa!$G$2:$G$5001,1),""))</f>
        <v>0</v>
      </c>
      <c r="F1148" s="27">
        <f>IF(A1148="","",IFERROR(AVERAGEIFS(Prensa!$B$2:$B$5001,Prensa!$E$2:$E$5001,N1148,Prensa!$F$2:$F$5001,3,Prensa!$G$2:$G$5001,1),""))</f>
        <v>0</v>
      </c>
      <c r="G1148" s="27">
        <f>IF(A1148="","",IFERROR(AVERAGEIFS(Prensa!$B$2:$B$5001,Prensa!$E$2:$E$5001,N1148,Prensa!$F$2:$F$5001,4,Prensa!$G$2:$G$5001,1),""))</f>
        <v>0</v>
      </c>
      <c r="H1148" s="26">
        <f>IF(A1148="","",COUNT(D1148:G1148))</f>
        <v>0</v>
      </c>
      <c r="I1148" s="27">
        <f>IF(A1148="","",IF(H1148=0,"",AVERAGE(D1148:G1148)))</f>
        <v>0</v>
      </c>
      <c r="J1148" s="27">
        <f>IF(OR(I1148="",C1148=""),"",I1148-C1148)</f>
        <v>0</v>
      </c>
      <c r="K1148" s="26">
        <f>IF(A1148="","",IF(MES!E1148&lt;&gt;4,"Horário do MES fora do padrão",IF(H1148&lt;cfgMinCortes,"Cortes insuficientes","Válida")))</f>
        <v>0</v>
      </c>
      <c r="L1148" s="27">
        <f>IF(K1148="Válida",ABS(J1148),"")</f>
        <v>0</v>
      </c>
      <c r="M1148" s="26">
        <f>IF(K1148="Válida",IF(L1148&lt;=cfgTolerancia,"Sim","Não"),"")</f>
        <v>0</v>
      </c>
      <c r="N1148" s="26">
        <f>IF(A1148="","",MES!D1148)</f>
        <v>0</v>
      </c>
      <c r="O1148" s="25">
        <f>IF(K1148="Válida",A1148,NA())</f>
        <v>0</v>
      </c>
      <c r="P1148" s="27">
        <f>IF(K1148="Válida",C1148,NA())</f>
        <v>0</v>
      </c>
      <c r="Q1148" s="27">
        <f>IF(K1148="Válida",I1148,NA())</f>
        <v>0</v>
      </c>
      <c r="R1148" s="27">
        <f>IF(K1148="Válida",J1148,NA())</f>
        <v>0</v>
      </c>
      <c r="S1148" s="27">
        <f>IF(K1148="Válida",C1148,"")</f>
        <v>0</v>
      </c>
      <c r="T1148" s="27">
        <f>IF(K1148="Válida",I1148,"")</f>
        <v>0</v>
      </c>
      <c r="U1148" s="27">
        <f>IF(K1148="Válida",J1148,"")</f>
        <v>0</v>
      </c>
    </row>
    <row r="1149" spans="1:21">
      <c r="A1149" s="25">
        <f>IF(MES!A1149="","",MES!C1149/48)</f>
        <v>0</v>
      </c>
      <c r="B1149" s="26">
        <f>IF(A1149="","",TEXT((N1149*4+cfgDeslocamento)/48,"hh:mm")&amp;" a "&amp;TEXT(A1149,"hh:mm"))</f>
        <v>0</v>
      </c>
      <c r="C1149" s="27">
        <f>IF(A1149="","",MES!B1149)</f>
        <v>0</v>
      </c>
      <c r="D1149" s="27">
        <f>IF(A1149="","",IFERROR(AVERAGEIFS(Prensa!$B$2:$B$5001,Prensa!$E$2:$E$5001,N1149,Prensa!$F$2:$F$5001,1,Prensa!$G$2:$G$5001,1),""))</f>
        <v>0</v>
      </c>
      <c r="E1149" s="27">
        <f>IF(A1149="","",IFERROR(AVERAGEIFS(Prensa!$B$2:$B$5001,Prensa!$E$2:$E$5001,N1149,Prensa!$F$2:$F$5001,2,Prensa!$G$2:$G$5001,1),""))</f>
        <v>0</v>
      </c>
      <c r="F1149" s="27">
        <f>IF(A1149="","",IFERROR(AVERAGEIFS(Prensa!$B$2:$B$5001,Prensa!$E$2:$E$5001,N1149,Prensa!$F$2:$F$5001,3,Prensa!$G$2:$G$5001,1),""))</f>
        <v>0</v>
      </c>
      <c r="G1149" s="27">
        <f>IF(A1149="","",IFERROR(AVERAGEIFS(Prensa!$B$2:$B$5001,Prensa!$E$2:$E$5001,N1149,Prensa!$F$2:$F$5001,4,Prensa!$G$2:$G$5001,1),""))</f>
        <v>0</v>
      </c>
      <c r="H1149" s="26">
        <f>IF(A1149="","",COUNT(D1149:G1149))</f>
        <v>0</v>
      </c>
      <c r="I1149" s="27">
        <f>IF(A1149="","",IF(H1149=0,"",AVERAGE(D1149:G1149)))</f>
        <v>0</v>
      </c>
      <c r="J1149" s="27">
        <f>IF(OR(I1149="",C1149=""),"",I1149-C1149)</f>
        <v>0</v>
      </c>
      <c r="K1149" s="26">
        <f>IF(A1149="","",IF(MES!E1149&lt;&gt;4,"Horário do MES fora do padrão",IF(H1149&lt;cfgMinCortes,"Cortes insuficientes","Válida")))</f>
        <v>0</v>
      </c>
      <c r="L1149" s="27">
        <f>IF(K1149="Válida",ABS(J1149),"")</f>
        <v>0</v>
      </c>
      <c r="M1149" s="26">
        <f>IF(K1149="Válida",IF(L1149&lt;=cfgTolerancia,"Sim","Não"),"")</f>
        <v>0</v>
      </c>
      <c r="N1149" s="26">
        <f>IF(A1149="","",MES!D1149)</f>
        <v>0</v>
      </c>
      <c r="O1149" s="25">
        <f>IF(K1149="Válida",A1149,NA())</f>
        <v>0</v>
      </c>
      <c r="P1149" s="27">
        <f>IF(K1149="Válida",C1149,NA())</f>
        <v>0</v>
      </c>
      <c r="Q1149" s="27">
        <f>IF(K1149="Válida",I1149,NA())</f>
        <v>0</v>
      </c>
      <c r="R1149" s="27">
        <f>IF(K1149="Válida",J1149,NA())</f>
        <v>0</v>
      </c>
      <c r="S1149" s="27">
        <f>IF(K1149="Válida",C1149,"")</f>
        <v>0</v>
      </c>
      <c r="T1149" s="27">
        <f>IF(K1149="Válida",I1149,"")</f>
        <v>0</v>
      </c>
      <c r="U1149" s="27">
        <f>IF(K1149="Válida",J1149,"")</f>
        <v>0</v>
      </c>
    </row>
    <row r="1150" spans="1:21">
      <c r="A1150" s="25">
        <f>IF(MES!A1150="","",MES!C1150/48)</f>
        <v>0</v>
      </c>
      <c r="B1150" s="26">
        <f>IF(A1150="","",TEXT((N1150*4+cfgDeslocamento)/48,"hh:mm")&amp;" a "&amp;TEXT(A1150,"hh:mm"))</f>
        <v>0</v>
      </c>
      <c r="C1150" s="27">
        <f>IF(A1150="","",MES!B1150)</f>
        <v>0</v>
      </c>
      <c r="D1150" s="27">
        <f>IF(A1150="","",IFERROR(AVERAGEIFS(Prensa!$B$2:$B$5001,Prensa!$E$2:$E$5001,N1150,Prensa!$F$2:$F$5001,1,Prensa!$G$2:$G$5001,1),""))</f>
        <v>0</v>
      </c>
      <c r="E1150" s="27">
        <f>IF(A1150="","",IFERROR(AVERAGEIFS(Prensa!$B$2:$B$5001,Prensa!$E$2:$E$5001,N1150,Prensa!$F$2:$F$5001,2,Prensa!$G$2:$G$5001,1),""))</f>
        <v>0</v>
      </c>
      <c r="F1150" s="27">
        <f>IF(A1150="","",IFERROR(AVERAGEIFS(Prensa!$B$2:$B$5001,Prensa!$E$2:$E$5001,N1150,Prensa!$F$2:$F$5001,3,Prensa!$G$2:$G$5001,1),""))</f>
        <v>0</v>
      </c>
      <c r="G1150" s="27">
        <f>IF(A1150="","",IFERROR(AVERAGEIFS(Prensa!$B$2:$B$5001,Prensa!$E$2:$E$5001,N1150,Prensa!$F$2:$F$5001,4,Prensa!$G$2:$G$5001,1),""))</f>
        <v>0</v>
      </c>
      <c r="H1150" s="26">
        <f>IF(A1150="","",COUNT(D1150:G1150))</f>
        <v>0</v>
      </c>
      <c r="I1150" s="27">
        <f>IF(A1150="","",IF(H1150=0,"",AVERAGE(D1150:G1150)))</f>
        <v>0</v>
      </c>
      <c r="J1150" s="27">
        <f>IF(OR(I1150="",C1150=""),"",I1150-C1150)</f>
        <v>0</v>
      </c>
      <c r="K1150" s="26">
        <f>IF(A1150="","",IF(MES!E1150&lt;&gt;4,"Horário do MES fora do padrão",IF(H1150&lt;cfgMinCortes,"Cortes insuficientes","Válida")))</f>
        <v>0</v>
      </c>
      <c r="L1150" s="27">
        <f>IF(K1150="Válida",ABS(J1150),"")</f>
        <v>0</v>
      </c>
      <c r="M1150" s="26">
        <f>IF(K1150="Válida",IF(L1150&lt;=cfgTolerancia,"Sim","Não"),"")</f>
        <v>0</v>
      </c>
      <c r="N1150" s="26">
        <f>IF(A1150="","",MES!D1150)</f>
        <v>0</v>
      </c>
      <c r="O1150" s="25">
        <f>IF(K1150="Válida",A1150,NA())</f>
        <v>0</v>
      </c>
      <c r="P1150" s="27">
        <f>IF(K1150="Válida",C1150,NA())</f>
        <v>0</v>
      </c>
      <c r="Q1150" s="27">
        <f>IF(K1150="Válida",I1150,NA())</f>
        <v>0</v>
      </c>
      <c r="R1150" s="27">
        <f>IF(K1150="Válida",J1150,NA())</f>
        <v>0</v>
      </c>
      <c r="S1150" s="27">
        <f>IF(K1150="Válida",C1150,"")</f>
        <v>0</v>
      </c>
      <c r="T1150" s="27">
        <f>IF(K1150="Válida",I1150,"")</f>
        <v>0</v>
      </c>
      <c r="U1150" s="27">
        <f>IF(K1150="Válida",J1150,"")</f>
        <v>0</v>
      </c>
    </row>
    <row r="1151" spans="1:21">
      <c r="A1151" s="25">
        <f>IF(MES!A1151="","",MES!C1151/48)</f>
        <v>0</v>
      </c>
      <c r="B1151" s="26">
        <f>IF(A1151="","",TEXT((N1151*4+cfgDeslocamento)/48,"hh:mm")&amp;" a "&amp;TEXT(A1151,"hh:mm"))</f>
        <v>0</v>
      </c>
      <c r="C1151" s="27">
        <f>IF(A1151="","",MES!B1151)</f>
        <v>0</v>
      </c>
      <c r="D1151" s="27">
        <f>IF(A1151="","",IFERROR(AVERAGEIFS(Prensa!$B$2:$B$5001,Prensa!$E$2:$E$5001,N1151,Prensa!$F$2:$F$5001,1,Prensa!$G$2:$G$5001,1),""))</f>
        <v>0</v>
      </c>
      <c r="E1151" s="27">
        <f>IF(A1151="","",IFERROR(AVERAGEIFS(Prensa!$B$2:$B$5001,Prensa!$E$2:$E$5001,N1151,Prensa!$F$2:$F$5001,2,Prensa!$G$2:$G$5001,1),""))</f>
        <v>0</v>
      </c>
      <c r="F1151" s="27">
        <f>IF(A1151="","",IFERROR(AVERAGEIFS(Prensa!$B$2:$B$5001,Prensa!$E$2:$E$5001,N1151,Prensa!$F$2:$F$5001,3,Prensa!$G$2:$G$5001,1),""))</f>
        <v>0</v>
      </c>
      <c r="G1151" s="27">
        <f>IF(A1151="","",IFERROR(AVERAGEIFS(Prensa!$B$2:$B$5001,Prensa!$E$2:$E$5001,N1151,Prensa!$F$2:$F$5001,4,Prensa!$G$2:$G$5001,1),""))</f>
        <v>0</v>
      </c>
      <c r="H1151" s="26">
        <f>IF(A1151="","",COUNT(D1151:G1151))</f>
        <v>0</v>
      </c>
      <c r="I1151" s="27">
        <f>IF(A1151="","",IF(H1151=0,"",AVERAGE(D1151:G1151)))</f>
        <v>0</v>
      </c>
      <c r="J1151" s="27">
        <f>IF(OR(I1151="",C1151=""),"",I1151-C1151)</f>
        <v>0</v>
      </c>
      <c r="K1151" s="26">
        <f>IF(A1151="","",IF(MES!E1151&lt;&gt;4,"Horário do MES fora do padrão",IF(H1151&lt;cfgMinCortes,"Cortes insuficientes","Válida")))</f>
        <v>0</v>
      </c>
      <c r="L1151" s="27">
        <f>IF(K1151="Válida",ABS(J1151),"")</f>
        <v>0</v>
      </c>
      <c r="M1151" s="26">
        <f>IF(K1151="Válida",IF(L1151&lt;=cfgTolerancia,"Sim","Não"),"")</f>
        <v>0</v>
      </c>
      <c r="N1151" s="26">
        <f>IF(A1151="","",MES!D1151)</f>
        <v>0</v>
      </c>
      <c r="O1151" s="25">
        <f>IF(K1151="Válida",A1151,NA())</f>
        <v>0</v>
      </c>
      <c r="P1151" s="27">
        <f>IF(K1151="Válida",C1151,NA())</f>
        <v>0</v>
      </c>
      <c r="Q1151" s="27">
        <f>IF(K1151="Válida",I1151,NA())</f>
        <v>0</v>
      </c>
      <c r="R1151" s="27">
        <f>IF(K1151="Válida",J1151,NA())</f>
        <v>0</v>
      </c>
      <c r="S1151" s="27">
        <f>IF(K1151="Válida",C1151,"")</f>
        <v>0</v>
      </c>
      <c r="T1151" s="27">
        <f>IF(K1151="Válida",I1151,"")</f>
        <v>0</v>
      </c>
      <c r="U1151" s="27">
        <f>IF(K1151="Válida",J1151,"")</f>
        <v>0</v>
      </c>
    </row>
    <row r="1152" spans="1:21">
      <c r="A1152" s="25">
        <f>IF(MES!A1152="","",MES!C1152/48)</f>
        <v>0</v>
      </c>
      <c r="B1152" s="26">
        <f>IF(A1152="","",TEXT((N1152*4+cfgDeslocamento)/48,"hh:mm")&amp;" a "&amp;TEXT(A1152,"hh:mm"))</f>
        <v>0</v>
      </c>
      <c r="C1152" s="27">
        <f>IF(A1152="","",MES!B1152)</f>
        <v>0</v>
      </c>
      <c r="D1152" s="27">
        <f>IF(A1152="","",IFERROR(AVERAGEIFS(Prensa!$B$2:$B$5001,Prensa!$E$2:$E$5001,N1152,Prensa!$F$2:$F$5001,1,Prensa!$G$2:$G$5001,1),""))</f>
        <v>0</v>
      </c>
      <c r="E1152" s="27">
        <f>IF(A1152="","",IFERROR(AVERAGEIFS(Prensa!$B$2:$B$5001,Prensa!$E$2:$E$5001,N1152,Prensa!$F$2:$F$5001,2,Prensa!$G$2:$G$5001,1),""))</f>
        <v>0</v>
      </c>
      <c r="F1152" s="27">
        <f>IF(A1152="","",IFERROR(AVERAGEIFS(Prensa!$B$2:$B$5001,Prensa!$E$2:$E$5001,N1152,Prensa!$F$2:$F$5001,3,Prensa!$G$2:$G$5001,1),""))</f>
        <v>0</v>
      </c>
      <c r="G1152" s="27">
        <f>IF(A1152="","",IFERROR(AVERAGEIFS(Prensa!$B$2:$B$5001,Prensa!$E$2:$E$5001,N1152,Prensa!$F$2:$F$5001,4,Prensa!$G$2:$G$5001,1),""))</f>
        <v>0</v>
      </c>
      <c r="H1152" s="26">
        <f>IF(A1152="","",COUNT(D1152:G1152))</f>
        <v>0</v>
      </c>
      <c r="I1152" s="27">
        <f>IF(A1152="","",IF(H1152=0,"",AVERAGE(D1152:G1152)))</f>
        <v>0</v>
      </c>
      <c r="J1152" s="27">
        <f>IF(OR(I1152="",C1152=""),"",I1152-C1152)</f>
        <v>0</v>
      </c>
      <c r="K1152" s="26">
        <f>IF(A1152="","",IF(MES!E1152&lt;&gt;4,"Horário do MES fora do padrão",IF(H1152&lt;cfgMinCortes,"Cortes insuficientes","Válida")))</f>
        <v>0</v>
      </c>
      <c r="L1152" s="27">
        <f>IF(K1152="Válida",ABS(J1152),"")</f>
        <v>0</v>
      </c>
      <c r="M1152" s="26">
        <f>IF(K1152="Válida",IF(L1152&lt;=cfgTolerancia,"Sim","Não"),"")</f>
        <v>0</v>
      </c>
      <c r="N1152" s="26">
        <f>IF(A1152="","",MES!D1152)</f>
        <v>0</v>
      </c>
      <c r="O1152" s="25">
        <f>IF(K1152="Válida",A1152,NA())</f>
        <v>0</v>
      </c>
      <c r="P1152" s="27">
        <f>IF(K1152="Válida",C1152,NA())</f>
        <v>0</v>
      </c>
      <c r="Q1152" s="27">
        <f>IF(K1152="Válida",I1152,NA())</f>
        <v>0</v>
      </c>
      <c r="R1152" s="27">
        <f>IF(K1152="Válida",J1152,NA())</f>
        <v>0</v>
      </c>
      <c r="S1152" s="27">
        <f>IF(K1152="Válida",C1152,"")</f>
        <v>0</v>
      </c>
      <c r="T1152" s="27">
        <f>IF(K1152="Válida",I1152,"")</f>
        <v>0</v>
      </c>
      <c r="U1152" s="27">
        <f>IF(K1152="Válida",J1152,"")</f>
        <v>0</v>
      </c>
    </row>
    <row r="1153" spans="1:21">
      <c r="A1153" s="25">
        <f>IF(MES!A1153="","",MES!C1153/48)</f>
        <v>0</v>
      </c>
      <c r="B1153" s="26">
        <f>IF(A1153="","",TEXT((N1153*4+cfgDeslocamento)/48,"hh:mm")&amp;" a "&amp;TEXT(A1153,"hh:mm"))</f>
        <v>0</v>
      </c>
      <c r="C1153" s="27">
        <f>IF(A1153="","",MES!B1153)</f>
        <v>0</v>
      </c>
      <c r="D1153" s="27">
        <f>IF(A1153="","",IFERROR(AVERAGEIFS(Prensa!$B$2:$B$5001,Prensa!$E$2:$E$5001,N1153,Prensa!$F$2:$F$5001,1,Prensa!$G$2:$G$5001,1),""))</f>
        <v>0</v>
      </c>
      <c r="E1153" s="27">
        <f>IF(A1153="","",IFERROR(AVERAGEIFS(Prensa!$B$2:$B$5001,Prensa!$E$2:$E$5001,N1153,Prensa!$F$2:$F$5001,2,Prensa!$G$2:$G$5001,1),""))</f>
        <v>0</v>
      </c>
      <c r="F1153" s="27">
        <f>IF(A1153="","",IFERROR(AVERAGEIFS(Prensa!$B$2:$B$5001,Prensa!$E$2:$E$5001,N1153,Prensa!$F$2:$F$5001,3,Prensa!$G$2:$G$5001,1),""))</f>
        <v>0</v>
      </c>
      <c r="G1153" s="27">
        <f>IF(A1153="","",IFERROR(AVERAGEIFS(Prensa!$B$2:$B$5001,Prensa!$E$2:$E$5001,N1153,Prensa!$F$2:$F$5001,4,Prensa!$G$2:$G$5001,1),""))</f>
        <v>0</v>
      </c>
      <c r="H1153" s="26">
        <f>IF(A1153="","",COUNT(D1153:G1153))</f>
        <v>0</v>
      </c>
      <c r="I1153" s="27">
        <f>IF(A1153="","",IF(H1153=0,"",AVERAGE(D1153:G1153)))</f>
        <v>0</v>
      </c>
      <c r="J1153" s="27">
        <f>IF(OR(I1153="",C1153=""),"",I1153-C1153)</f>
        <v>0</v>
      </c>
      <c r="K1153" s="26">
        <f>IF(A1153="","",IF(MES!E1153&lt;&gt;4,"Horário do MES fora do padrão",IF(H1153&lt;cfgMinCortes,"Cortes insuficientes","Válida")))</f>
        <v>0</v>
      </c>
      <c r="L1153" s="27">
        <f>IF(K1153="Válida",ABS(J1153),"")</f>
        <v>0</v>
      </c>
      <c r="M1153" s="26">
        <f>IF(K1153="Válida",IF(L1153&lt;=cfgTolerancia,"Sim","Não"),"")</f>
        <v>0</v>
      </c>
      <c r="N1153" s="26">
        <f>IF(A1153="","",MES!D1153)</f>
        <v>0</v>
      </c>
      <c r="O1153" s="25">
        <f>IF(K1153="Válida",A1153,NA())</f>
        <v>0</v>
      </c>
      <c r="P1153" s="27">
        <f>IF(K1153="Válida",C1153,NA())</f>
        <v>0</v>
      </c>
      <c r="Q1153" s="27">
        <f>IF(K1153="Válida",I1153,NA())</f>
        <v>0</v>
      </c>
      <c r="R1153" s="27">
        <f>IF(K1153="Válida",J1153,NA())</f>
        <v>0</v>
      </c>
      <c r="S1153" s="27">
        <f>IF(K1153="Válida",C1153,"")</f>
        <v>0</v>
      </c>
      <c r="T1153" s="27">
        <f>IF(K1153="Válida",I1153,"")</f>
        <v>0</v>
      </c>
      <c r="U1153" s="27">
        <f>IF(K1153="Válida",J1153,"")</f>
        <v>0</v>
      </c>
    </row>
    <row r="1154" spans="1:21">
      <c r="A1154" s="25">
        <f>IF(MES!A1154="","",MES!C1154/48)</f>
        <v>0</v>
      </c>
      <c r="B1154" s="26">
        <f>IF(A1154="","",TEXT((N1154*4+cfgDeslocamento)/48,"hh:mm")&amp;" a "&amp;TEXT(A1154,"hh:mm"))</f>
        <v>0</v>
      </c>
      <c r="C1154" s="27">
        <f>IF(A1154="","",MES!B1154)</f>
        <v>0</v>
      </c>
      <c r="D1154" s="27">
        <f>IF(A1154="","",IFERROR(AVERAGEIFS(Prensa!$B$2:$B$5001,Prensa!$E$2:$E$5001,N1154,Prensa!$F$2:$F$5001,1,Prensa!$G$2:$G$5001,1),""))</f>
        <v>0</v>
      </c>
      <c r="E1154" s="27">
        <f>IF(A1154="","",IFERROR(AVERAGEIFS(Prensa!$B$2:$B$5001,Prensa!$E$2:$E$5001,N1154,Prensa!$F$2:$F$5001,2,Prensa!$G$2:$G$5001,1),""))</f>
        <v>0</v>
      </c>
      <c r="F1154" s="27">
        <f>IF(A1154="","",IFERROR(AVERAGEIFS(Prensa!$B$2:$B$5001,Prensa!$E$2:$E$5001,N1154,Prensa!$F$2:$F$5001,3,Prensa!$G$2:$G$5001,1),""))</f>
        <v>0</v>
      </c>
      <c r="G1154" s="27">
        <f>IF(A1154="","",IFERROR(AVERAGEIFS(Prensa!$B$2:$B$5001,Prensa!$E$2:$E$5001,N1154,Prensa!$F$2:$F$5001,4,Prensa!$G$2:$G$5001,1),""))</f>
        <v>0</v>
      </c>
      <c r="H1154" s="26">
        <f>IF(A1154="","",COUNT(D1154:G1154))</f>
        <v>0</v>
      </c>
      <c r="I1154" s="27">
        <f>IF(A1154="","",IF(H1154=0,"",AVERAGE(D1154:G1154)))</f>
        <v>0</v>
      </c>
      <c r="J1154" s="27">
        <f>IF(OR(I1154="",C1154=""),"",I1154-C1154)</f>
        <v>0</v>
      </c>
      <c r="K1154" s="26">
        <f>IF(A1154="","",IF(MES!E1154&lt;&gt;4,"Horário do MES fora do padrão",IF(H1154&lt;cfgMinCortes,"Cortes insuficientes","Válida")))</f>
        <v>0</v>
      </c>
      <c r="L1154" s="27">
        <f>IF(K1154="Válida",ABS(J1154),"")</f>
        <v>0</v>
      </c>
      <c r="M1154" s="26">
        <f>IF(K1154="Válida",IF(L1154&lt;=cfgTolerancia,"Sim","Não"),"")</f>
        <v>0</v>
      </c>
      <c r="N1154" s="26">
        <f>IF(A1154="","",MES!D1154)</f>
        <v>0</v>
      </c>
      <c r="O1154" s="25">
        <f>IF(K1154="Válida",A1154,NA())</f>
        <v>0</v>
      </c>
      <c r="P1154" s="27">
        <f>IF(K1154="Válida",C1154,NA())</f>
        <v>0</v>
      </c>
      <c r="Q1154" s="27">
        <f>IF(K1154="Válida",I1154,NA())</f>
        <v>0</v>
      </c>
      <c r="R1154" s="27">
        <f>IF(K1154="Válida",J1154,NA())</f>
        <v>0</v>
      </c>
      <c r="S1154" s="27">
        <f>IF(K1154="Válida",C1154,"")</f>
        <v>0</v>
      </c>
      <c r="T1154" s="27">
        <f>IF(K1154="Válida",I1154,"")</f>
        <v>0</v>
      </c>
      <c r="U1154" s="27">
        <f>IF(K1154="Válida",J1154,"")</f>
        <v>0</v>
      </c>
    </row>
    <row r="1155" spans="1:21">
      <c r="A1155" s="25">
        <f>IF(MES!A1155="","",MES!C1155/48)</f>
        <v>0</v>
      </c>
      <c r="B1155" s="26">
        <f>IF(A1155="","",TEXT((N1155*4+cfgDeslocamento)/48,"hh:mm")&amp;" a "&amp;TEXT(A1155,"hh:mm"))</f>
        <v>0</v>
      </c>
      <c r="C1155" s="27">
        <f>IF(A1155="","",MES!B1155)</f>
        <v>0</v>
      </c>
      <c r="D1155" s="27">
        <f>IF(A1155="","",IFERROR(AVERAGEIFS(Prensa!$B$2:$B$5001,Prensa!$E$2:$E$5001,N1155,Prensa!$F$2:$F$5001,1,Prensa!$G$2:$G$5001,1),""))</f>
        <v>0</v>
      </c>
      <c r="E1155" s="27">
        <f>IF(A1155="","",IFERROR(AVERAGEIFS(Prensa!$B$2:$B$5001,Prensa!$E$2:$E$5001,N1155,Prensa!$F$2:$F$5001,2,Prensa!$G$2:$G$5001,1),""))</f>
        <v>0</v>
      </c>
      <c r="F1155" s="27">
        <f>IF(A1155="","",IFERROR(AVERAGEIFS(Prensa!$B$2:$B$5001,Prensa!$E$2:$E$5001,N1155,Prensa!$F$2:$F$5001,3,Prensa!$G$2:$G$5001,1),""))</f>
        <v>0</v>
      </c>
      <c r="G1155" s="27">
        <f>IF(A1155="","",IFERROR(AVERAGEIFS(Prensa!$B$2:$B$5001,Prensa!$E$2:$E$5001,N1155,Prensa!$F$2:$F$5001,4,Prensa!$G$2:$G$5001,1),""))</f>
        <v>0</v>
      </c>
      <c r="H1155" s="26">
        <f>IF(A1155="","",COUNT(D1155:G1155))</f>
        <v>0</v>
      </c>
      <c r="I1155" s="27">
        <f>IF(A1155="","",IF(H1155=0,"",AVERAGE(D1155:G1155)))</f>
        <v>0</v>
      </c>
      <c r="J1155" s="27">
        <f>IF(OR(I1155="",C1155=""),"",I1155-C1155)</f>
        <v>0</v>
      </c>
      <c r="K1155" s="26">
        <f>IF(A1155="","",IF(MES!E1155&lt;&gt;4,"Horário do MES fora do padrão",IF(H1155&lt;cfgMinCortes,"Cortes insuficientes","Válida")))</f>
        <v>0</v>
      </c>
      <c r="L1155" s="27">
        <f>IF(K1155="Válida",ABS(J1155),"")</f>
        <v>0</v>
      </c>
      <c r="M1155" s="26">
        <f>IF(K1155="Válida",IF(L1155&lt;=cfgTolerancia,"Sim","Não"),"")</f>
        <v>0</v>
      </c>
      <c r="N1155" s="26">
        <f>IF(A1155="","",MES!D1155)</f>
        <v>0</v>
      </c>
      <c r="O1155" s="25">
        <f>IF(K1155="Válida",A1155,NA())</f>
        <v>0</v>
      </c>
      <c r="P1155" s="27">
        <f>IF(K1155="Válida",C1155,NA())</f>
        <v>0</v>
      </c>
      <c r="Q1155" s="27">
        <f>IF(K1155="Válida",I1155,NA())</f>
        <v>0</v>
      </c>
      <c r="R1155" s="27">
        <f>IF(K1155="Válida",J1155,NA())</f>
        <v>0</v>
      </c>
      <c r="S1155" s="27">
        <f>IF(K1155="Válida",C1155,"")</f>
        <v>0</v>
      </c>
      <c r="T1155" s="27">
        <f>IF(K1155="Válida",I1155,"")</f>
        <v>0</v>
      </c>
      <c r="U1155" s="27">
        <f>IF(K1155="Válida",J1155,"")</f>
        <v>0</v>
      </c>
    </row>
    <row r="1156" spans="1:21">
      <c r="A1156" s="25">
        <f>IF(MES!A1156="","",MES!C1156/48)</f>
        <v>0</v>
      </c>
      <c r="B1156" s="26">
        <f>IF(A1156="","",TEXT((N1156*4+cfgDeslocamento)/48,"hh:mm")&amp;" a "&amp;TEXT(A1156,"hh:mm"))</f>
        <v>0</v>
      </c>
      <c r="C1156" s="27">
        <f>IF(A1156="","",MES!B1156)</f>
        <v>0</v>
      </c>
      <c r="D1156" s="27">
        <f>IF(A1156="","",IFERROR(AVERAGEIFS(Prensa!$B$2:$B$5001,Prensa!$E$2:$E$5001,N1156,Prensa!$F$2:$F$5001,1,Prensa!$G$2:$G$5001,1),""))</f>
        <v>0</v>
      </c>
      <c r="E1156" s="27">
        <f>IF(A1156="","",IFERROR(AVERAGEIFS(Prensa!$B$2:$B$5001,Prensa!$E$2:$E$5001,N1156,Prensa!$F$2:$F$5001,2,Prensa!$G$2:$G$5001,1),""))</f>
        <v>0</v>
      </c>
      <c r="F1156" s="27">
        <f>IF(A1156="","",IFERROR(AVERAGEIFS(Prensa!$B$2:$B$5001,Prensa!$E$2:$E$5001,N1156,Prensa!$F$2:$F$5001,3,Prensa!$G$2:$G$5001,1),""))</f>
        <v>0</v>
      </c>
      <c r="G1156" s="27">
        <f>IF(A1156="","",IFERROR(AVERAGEIFS(Prensa!$B$2:$B$5001,Prensa!$E$2:$E$5001,N1156,Prensa!$F$2:$F$5001,4,Prensa!$G$2:$G$5001,1),""))</f>
        <v>0</v>
      </c>
      <c r="H1156" s="26">
        <f>IF(A1156="","",COUNT(D1156:G1156))</f>
        <v>0</v>
      </c>
      <c r="I1156" s="27">
        <f>IF(A1156="","",IF(H1156=0,"",AVERAGE(D1156:G1156)))</f>
        <v>0</v>
      </c>
      <c r="J1156" s="27">
        <f>IF(OR(I1156="",C1156=""),"",I1156-C1156)</f>
        <v>0</v>
      </c>
      <c r="K1156" s="26">
        <f>IF(A1156="","",IF(MES!E1156&lt;&gt;4,"Horário do MES fora do padrão",IF(H1156&lt;cfgMinCortes,"Cortes insuficientes","Válida")))</f>
        <v>0</v>
      </c>
      <c r="L1156" s="27">
        <f>IF(K1156="Válida",ABS(J1156),"")</f>
        <v>0</v>
      </c>
      <c r="M1156" s="26">
        <f>IF(K1156="Válida",IF(L1156&lt;=cfgTolerancia,"Sim","Não"),"")</f>
        <v>0</v>
      </c>
      <c r="N1156" s="26">
        <f>IF(A1156="","",MES!D1156)</f>
        <v>0</v>
      </c>
      <c r="O1156" s="25">
        <f>IF(K1156="Válida",A1156,NA())</f>
        <v>0</v>
      </c>
      <c r="P1156" s="27">
        <f>IF(K1156="Válida",C1156,NA())</f>
        <v>0</v>
      </c>
      <c r="Q1156" s="27">
        <f>IF(K1156="Válida",I1156,NA())</f>
        <v>0</v>
      </c>
      <c r="R1156" s="27">
        <f>IF(K1156="Válida",J1156,NA())</f>
        <v>0</v>
      </c>
      <c r="S1156" s="27">
        <f>IF(K1156="Válida",C1156,"")</f>
        <v>0</v>
      </c>
      <c r="T1156" s="27">
        <f>IF(K1156="Válida",I1156,"")</f>
        <v>0</v>
      </c>
      <c r="U1156" s="27">
        <f>IF(K1156="Válida",J1156,"")</f>
        <v>0</v>
      </c>
    </row>
    <row r="1157" spans="1:21">
      <c r="A1157" s="25">
        <f>IF(MES!A1157="","",MES!C1157/48)</f>
        <v>0</v>
      </c>
      <c r="B1157" s="26">
        <f>IF(A1157="","",TEXT((N1157*4+cfgDeslocamento)/48,"hh:mm")&amp;" a "&amp;TEXT(A1157,"hh:mm"))</f>
        <v>0</v>
      </c>
      <c r="C1157" s="27">
        <f>IF(A1157="","",MES!B1157)</f>
        <v>0</v>
      </c>
      <c r="D1157" s="27">
        <f>IF(A1157="","",IFERROR(AVERAGEIFS(Prensa!$B$2:$B$5001,Prensa!$E$2:$E$5001,N1157,Prensa!$F$2:$F$5001,1,Prensa!$G$2:$G$5001,1),""))</f>
        <v>0</v>
      </c>
      <c r="E1157" s="27">
        <f>IF(A1157="","",IFERROR(AVERAGEIFS(Prensa!$B$2:$B$5001,Prensa!$E$2:$E$5001,N1157,Prensa!$F$2:$F$5001,2,Prensa!$G$2:$G$5001,1),""))</f>
        <v>0</v>
      </c>
      <c r="F1157" s="27">
        <f>IF(A1157="","",IFERROR(AVERAGEIFS(Prensa!$B$2:$B$5001,Prensa!$E$2:$E$5001,N1157,Prensa!$F$2:$F$5001,3,Prensa!$G$2:$G$5001,1),""))</f>
        <v>0</v>
      </c>
      <c r="G1157" s="27">
        <f>IF(A1157="","",IFERROR(AVERAGEIFS(Prensa!$B$2:$B$5001,Prensa!$E$2:$E$5001,N1157,Prensa!$F$2:$F$5001,4,Prensa!$G$2:$G$5001,1),""))</f>
        <v>0</v>
      </c>
      <c r="H1157" s="26">
        <f>IF(A1157="","",COUNT(D1157:G1157))</f>
        <v>0</v>
      </c>
      <c r="I1157" s="27">
        <f>IF(A1157="","",IF(H1157=0,"",AVERAGE(D1157:G1157)))</f>
        <v>0</v>
      </c>
      <c r="J1157" s="27">
        <f>IF(OR(I1157="",C1157=""),"",I1157-C1157)</f>
        <v>0</v>
      </c>
      <c r="K1157" s="26">
        <f>IF(A1157="","",IF(MES!E1157&lt;&gt;4,"Horário do MES fora do padrão",IF(H1157&lt;cfgMinCortes,"Cortes insuficientes","Válida")))</f>
        <v>0</v>
      </c>
      <c r="L1157" s="27">
        <f>IF(K1157="Válida",ABS(J1157),"")</f>
        <v>0</v>
      </c>
      <c r="M1157" s="26">
        <f>IF(K1157="Válida",IF(L1157&lt;=cfgTolerancia,"Sim","Não"),"")</f>
        <v>0</v>
      </c>
      <c r="N1157" s="26">
        <f>IF(A1157="","",MES!D1157)</f>
        <v>0</v>
      </c>
      <c r="O1157" s="25">
        <f>IF(K1157="Válida",A1157,NA())</f>
        <v>0</v>
      </c>
      <c r="P1157" s="27">
        <f>IF(K1157="Válida",C1157,NA())</f>
        <v>0</v>
      </c>
      <c r="Q1157" s="27">
        <f>IF(K1157="Válida",I1157,NA())</f>
        <v>0</v>
      </c>
      <c r="R1157" s="27">
        <f>IF(K1157="Válida",J1157,NA())</f>
        <v>0</v>
      </c>
      <c r="S1157" s="27">
        <f>IF(K1157="Válida",C1157,"")</f>
        <v>0</v>
      </c>
      <c r="T1157" s="27">
        <f>IF(K1157="Válida",I1157,"")</f>
        <v>0</v>
      </c>
      <c r="U1157" s="27">
        <f>IF(K1157="Válida",J1157,"")</f>
        <v>0</v>
      </c>
    </row>
    <row r="1158" spans="1:21">
      <c r="A1158" s="25">
        <f>IF(MES!A1158="","",MES!C1158/48)</f>
        <v>0</v>
      </c>
      <c r="B1158" s="26">
        <f>IF(A1158="","",TEXT((N1158*4+cfgDeslocamento)/48,"hh:mm")&amp;" a "&amp;TEXT(A1158,"hh:mm"))</f>
        <v>0</v>
      </c>
      <c r="C1158" s="27">
        <f>IF(A1158="","",MES!B1158)</f>
        <v>0</v>
      </c>
      <c r="D1158" s="27">
        <f>IF(A1158="","",IFERROR(AVERAGEIFS(Prensa!$B$2:$B$5001,Prensa!$E$2:$E$5001,N1158,Prensa!$F$2:$F$5001,1,Prensa!$G$2:$G$5001,1),""))</f>
        <v>0</v>
      </c>
      <c r="E1158" s="27">
        <f>IF(A1158="","",IFERROR(AVERAGEIFS(Prensa!$B$2:$B$5001,Prensa!$E$2:$E$5001,N1158,Prensa!$F$2:$F$5001,2,Prensa!$G$2:$G$5001,1),""))</f>
        <v>0</v>
      </c>
      <c r="F1158" s="27">
        <f>IF(A1158="","",IFERROR(AVERAGEIFS(Prensa!$B$2:$B$5001,Prensa!$E$2:$E$5001,N1158,Prensa!$F$2:$F$5001,3,Prensa!$G$2:$G$5001,1),""))</f>
        <v>0</v>
      </c>
      <c r="G1158" s="27">
        <f>IF(A1158="","",IFERROR(AVERAGEIFS(Prensa!$B$2:$B$5001,Prensa!$E$2:$E$5001,N1158,Prensa!$F$2:$F$5001,4,Prensa!$G$2:$G$5001,1),""))</f>
        <v>0</v>
      </c>
      <c r="H1158" s="26">
        <f>IF(A1158="","",COUNT(D1158:G1158))</f>
        <v>0</v>
      </c>
      <c r="I1158" s="27">
        <f>IF(A1158="","",IF(H1158=0,"",AVERAGE(D1158:G1158)))</f>
        <v>0</v>
      </c>
      <c r="J1158" s="27">
        <f>IF(OR(I1158="",C1158=""),"",I1158-C1158)</f>
        <v>0</v>
      </c>
      <c r="K1158" s="26">
        <f>IF(A1158="","",IF(MES!E1158&lt;&gt;4,"Horário do MES fora do padrão",IF(H1158&lt;cfgMinCortes,"Cortes insuficientes","Válida")))</f>
        <v>0</v>
      </c>
      <c r="L1158" s="27">
        <f>IF(K1158="Válida",ABS(J1158),"")</f>
        <v>0</v>
      </c>
      <c r="M1158" s="26">
        <f>IF(K1158="Válida",IF(L1158&lt;=cfgTolerancia,"Sim","Não"),"")</f>
        <v>0</v>
      </c>
      <c r="N1158" s="26">
        <f>IF(A1158="","",MES!D1158)</f>
        <v>0</v>
      </c>
      <c r="O1158" s="25">
        <f>IF(K1158="Válida",A1158,NA())</f>
        <v>0</v>
      </c>
      <c r="P1158" s="27">
        <f>IF(K1158="Válida",C1158,NA())</f>
        <v>0</v>
      </c>
      <c r="Q1158" s="27">
        <f>IF(K1158="Válida",I1158,NA())</f>
        <v>0</v>
      </c>
      <c r="R1158" s="27">
        <f>IF(K1158="Válida",J1158,NA())</f>
        <v>0</v>
      </c>
      <c r="S1158" s="27">
        <f>IF(K1158="Válida",C1158,"")</f>
        <v>0</v>
      </c>
      <c r="T1158" s="27">
        <f>IF(K1158="Válida",I1158,"")</f>
        <v>0</v>
      </c>
      <c r="U1158" s="27">
        <f>IF(K1158="Válida",J1158,"")</f>
        <v>0</v>
      </c>
    </row>
    <row r="1159" spans="1:21">
      <c r="A1159" s="25">
        <f>IF(MES!A1159="","",MES!C1159/48)</f>
        <v>0</v>
      </c>
      <c r="B1159" s="26">
        <f>IF(A1159="","",TEXT((N1159*4+cfgDeslocamento)/48,"hh:mm")&amp;" a "&amp;TEXT(A1159,"hh:mm"))</f>
        <v>0</v>
      </c>
      <c r="C1159" s="27">
        <f>IF(A1159="","",MES!B1159)</f>
        <v>0</v>
      </c>
      <c r="D1159" s="27">
        <f>IF(A1159="","",IFERROR(AVERAGEIFS(Prensa!$B$2:$B$5001,Prensa!$E$2:$E$5001,N1159,Prensa!$F$2:$F$5001,1,Prensa!$G$2:$G$5001,1),""))</f>
        <v>0</v>
      </c>
      <c r="E1159" s="27">
        <f>IF(A1159="","",IFERROR(AVERAGEIFS(Prensa!$B$2:$B$5001,Prensa!$E$2:$E$5001,N1159,Prensa!$F$2:$F$5001,2,Prensa!$G$2:$G$5001,1),""))</f>
        <v>0</v>
      </c>
      <c r="F1159" s="27">
        <f>IF(A1159="","",IFERROR(AVERAGEIFS(Prensa!$B$2:$B$5001,Prensa!$E$2:$E$5001,N1159,Prensa!$F$2:$F$5001,3,Prensa!$G$2:$G$5001,1),""))</f>
        <v>0</v>
      </c>
      <c r="G1159" s="27">
        <f>IF(A1159="","",IFERROR(AVERAGEIFS(Prensa!$B$2:$B$5001,Prensa!$E$2:$E$5001,N1159,Prensa!$F$2:$F$5001,4,Prensa!$G$2:$G$5001,1),""))</f>
        <v>0</v>
      </c>
      <c r="H1159" s="26">
        <f>IF(A1159="","",COUNT(D1159:G1159))</f>
        <v>0</v>
      </c>
      <c r="I1159" s="27">
        <f>IF(A1159="","",IF(H1159=0,"",AVERAGE(D1159:G1159)))</f>
        <v>0</v>
      </c>
      <c r="J1159" s="27">
        <f>IF(OR(I1159="",C1159=""),"",I1159-C1159)</f>
        <v>0</v>
      </c>
      <c r="K1159" s="26">
        <f>IF(A1159="","",IF(MES!E1159&lt;&gt;4,"Horário do MES fora do padrão",IF(H1159&lt;cfgMinCortes,"Cortes insuficientes","Válida")))</f>
        <v>0</v>
      </c>
      <c r="L1159" s="27">
        <f>IF(K1159="Válida",ABS(J1159),"")</f>
        <v>0</v>
      </c>
      <c r="M1159" s="26">
        <f>IF(K1159="Válida",IF(L1159&lt;=cfgTolerancia,"Sim","Não"),"")</f>
        <v>0</v>
      </c>
      <c r="N1159" s="26">
        <f>IF(A1159="","",MES!D1159)</f>
        <v>0</v>
      </c>
      <c r="O1159" s="25">
        <f>IF(K1159="Válida",A1159,NA())</f>
        <v>0</v>
      </c>
      <c r="P1159" s="27">
        <f>IF(K1159="Válida",C1159,NA())</f>
        <v>0</v>
      </c>
      <c r="Q1159" s="27">
        <f>IF(K1159="Válida",I1159,NA())</f>
        <v>0</v>
      </c>
      <c r="R1159" s="27">
        <f>IF(K1159="Válida",J1159,NA())</f>
        <v>0</v>
      </c>
      <c r="S1159" s="27">
        <f>IF(K1159="Válida",C1159,"")</f>
        <v>0</v>
      </c>
      <c r="T1159" s="27">
        <f>IF(K1159="Válida",I1159,"")</f>
        <v>0</v>
      </c>
      <c r="U1159" s="27">
        <f>IF(K1159="Válida",J1159,"")</f>
        <v>0</v>
      </c>
    </row>
    <row r="1160" spans="1:21">
      <c r="A1160" s="25">
        <f>IF(MES!A1160="","",MES!C1160/48)</f>
        <v>0</v>
      </c>
      <c r="B1160" s="26">
        <f>IF(A1160="","",TEXT((N1160*4+cfgDeslocamento)/48,"hh:mm")&amp;" a "&amp;TEXT(A1160,"hh:mm"))</f>
        <v>0</v>
      </c>
      <c r="C1160" s="27">
        <f>IF(A1160="","",MES!B1160)</f>
        <v>0</v>
      </c>
      <c r="D1160" s="27">
        <f>IF(A1160="","",IFERROR(AVERAGEIFS(Prensa!$B$2:$B$5001,Prensa!$E$2:$E$5001,N1160,Prensa!$F$2:$F$5001,1,Prensa!$G$2:$G$5001,1),""))</f>
        <v>0</v>
      </c>
      <c r="E1160" s="27">
        <f>IF(A1160="","",IFERROR(AVERAGEIFS(Prensa!$B$2:$B$5001,Prensa!$E$2:$E$5001,N1160,Prensa!$F$2:$F$5001,2,Prensa!$G$2:$G$5001,1),""))</f>
        <v>0</v>
      </c>
      <c r="F1160" s="27">
        <f>IF(A1160="","",IFERROR(AVERAGEIFS(Prensa!$B$2:$B$5001,Prensa!$E$2:$E$5001,N1160,Prensa!$F$2:$F$5001,3,Prensa!$G$2:$G$5001,1),""))</f>
        <v>0</v>
      </c>
      <c r="G1160" s="27">
        <f>IF(A1160="","",IFERROR(AVERAGEIFS(Prensa!$B$2:$B$5001,Prensa!$E$2:$E$5001,N1160,Prensa!$F$2:$F$5001,4,Prensa!$G$2:$G$5001,1),""))</f>
        <v>0</v>
      </c>
      <c r="H1160" s="26">
        <f>IF(A1160="","",COUNT(D1160:G1160))</f>
        <v>0</v>
      </c>
      <c r="I1160" s="27">
        <f>IF(A1160="","",IF(H1160=0,"",AVERAGE(D1160:G1160)))</f>
        <v>0</v>
      </c>
      <c r="J1160" s="27">
        <f>IF(OR(I1160="",C1160=""),"",I1160-C1160)</f>
        <v>0</v>
      </c>
      <c r="K1160" s="26">
        <f>IF(A1160="","",IF(MES!E1160&lt;&gt;4,"Horário do MES fora do padrão",IF(H1160&lt;cfgMinCortes,"Cortes insuficientes","Válida")))</f>
        <v>0</v>
      </c>
      <c r="L1160" s="27">
        <f>IF(K1160="Válida",ABS(J1160),"")</f>
        <v>0</v>
      </c>
      <c r="M1160" s="26">
        <f>IF(K1160="Válida",IF(L1160&lt;=cfgTolerancia,"Sim","Não"),"")</f>
        <v>0</v>
      </c>
      <c r="N1160" s="26">
        <f>IF(A1160="","",MES!D1160)</f>
        <v>0</v>
      </c>
      <c r="O1160" s="25">
        <f>IF(K1160="Válida",A1160,NA())</f>
        <v>0</v>
      </c>
      <c r="P1160" s="27">
        <f>IF(K1160="Válida",C1160,NA())</f>
        <v>0</v>
      </c>
      <c r="Q1160" s="27">
        <f>IF(K1160="Válida",I1160,NA())</f>
        <v>0</v>
      </c>
      <c r="R1160" s="27">
        <f>IF(K1160="Válida",J1160,NA())</f>
        <v>0</v>
      </c>
      <c r="S1160" s="27">
        <f>IF(K1160="Válida",C1160,"")</f>
        <v>0</v>
      </c>
      <c r="T1160" s="27">
        <f>IF(K1160="Válida",I1160,"")</f>
        <v>0</v>
      </c>
      <c r="U1160" s="27">
        <f>IF(K1160="Válida",J1160,"")</f>
        <v>0</v>
      </c>
    </row>
    <row r="1161" spans="1:21">
      <c r="A1161" s="25">
        <f>IF(MES!A1161="","",MES!C1161/48)</f>
        <v>0</v>
      </c>
      <c r="B1161" s="26">
        <f>IF(A1161="","",TEXT((N1161*4+cfgDeslocamento)/48,"hh:mm")&amp;" a "&amp;TEXT(A1161,"hh:mm"))</f>
        <v>0</v>
      </c>
      <c r="C1161" s="27">
        <f>IF(A1161="","",MES!B1161)</f>
        <v>0</v>
      </c>
      <c r="D1161" s="27">
        <f>IF(A1161="","",IFERROR(AVERAGEIFS(Prensa!$B$2:$B$5001,Prensa!$E$2:$E$5001,N1161,Prensa!$F$2:$F$5001,1,Prensa!$G$2:$G$5001,1),""))</f>
        <v>0</v>
      </c>
      <c r="E1161" s="27">
        <f>IF(A1161="","",IFERROR(AVERAGEIFS(Prensa!$B$2:$B$5001,Prensa!$E$2:$E$5001,N1161,Prensa!$F$2:$F$5001,2,Prensa!$G$2:$G$5001,1),""))</f>
        <v>0</v>
      </c>
      <c r="F1161" s="27">
        <f>IF(A1161="","",IFERROR(AVERAGEIFS(Prensa!$B$2:$B$5001,Prensa!$E$2:$E$5001,N1161,Prensa!$F$2:$F$5001,3,Prensa!$G$2:$G$5001,1),""))</f>
        <v>0</v>
      </c>
      <c r="G1161" s="27">
        <f>IF(A1161="","",IFERROR(AVERAGEIFS(Prensa!$B$2:$B$5001,Prensa!$E$2:$E$5001,N1161,Prensa!$F$2:$F$5001,4,Prensa!$G$2:$G$5001,1),""))</f>
        <v>0</v>
      </c>
      <c r="H1161" s="26">
        <f>IF(A1161="","",COUNT(D1161:G1161))</f>
        <v>0</v>
      </c>
      <c r="I1161" s="27">
        <f>IF(A1161="","",IF(H1161=0,"",AVERAGE(D1161:G1161)))</f>
        <v>0</v>
      </c>
      <c r="J1161" s="27">
        <f>IF(OR(I1161="",C1161=""),"",I1161-C1161)</f>
        <v>0</v>
      </c>
      <c r="K1161" s="26">
        <f>IF(A1161="","",IF(MES!E1161&lt;&gt;4,"Horário do MES fora do padrão",IF(H1161&lt;cfgMinCortes,"Cortes insuficientes","Válida")))</f>
        <v>0</v>
      </c>
      <c r="L1161" s="27">
        <f>IF(K1161="Válida",ABS(J1161),"")</f>
        <v>0</v>
      </c>
      <c r="M1161" s="26">
        <f>IF(K1161="Válida",IF(L1161&lt;=cfgTolerancia,"Sim","Não"),"")</f>
        <v>0</v>
      </c>
      <c r="N1161" s="26">
        <f>IF(A1161="","",MES!D1161)</f>
        <v>0</v>
      </c>
      <c r="O1161" s="25">
        <f>IF(K1161="Válida",A1161,NA())</f>
        <v>0</v>
      </c>
      <c r="P1161" s="27">
        <f>IF(K1161="Válida",C1161,NA())</f>
        <v>0</v>
      </c>
      <c r="Q1161" s="27">
        <f>IF(K1161="Válida",I1161,NA())</f>
        <v>0</v>
      </c>
      <c r="R1161" s="27">
        <f>IF(K1161="Válida",J1161,NA())</f>
        <v>0</v>
      </c>
      <c r="S1161" s="27">
        <f>IF(K1161="Válida",C1161,"")</f>
        <v>0</v>
      </c>
      <c r="T1161" s="27">
        <f>IF(K1161="Válida",I1161,"")</f>
        <v>0</v>
      </c>
      <c r="U1161" s="27">
        <f>IF(K1161="Válida",J1161,"")</f>
        <v>0</v>
      </c>
    </row>
    <row r="1162" spans="1:21">
      <c r="A1162" s="25">
        <f>IF(MES!A1162="","",MES!C1162/48)</f>
        <v>0</v>
      </c>
      <c r="B1162" s="26">
        <f>IF(A1162="","",TEXT((N1162*4+cfgDeslocamento)/48,"hh:mm")&amp;" a "&amp;TEXT(A1162,"hh:mm"))</f>
        <v>0</v>
      </c>
      <c r="C1162" s="27">
        <f>IF(A1162="","",MES!B1162)</f>
        <v>0</v>
      </c>
      <c r="D1162" s="27">
        <f>IF(A1162="","",IFERROR(AVERAGEIFS(Prensa!$B$2:$B$5001,Prensa!$E$2:$E$5001,N1162,Prensa!$F$2:$F$5001,1,Prensa!$G$2:$G$5001,1),""))</f>
        <v>0</v>
      </c>
      <c r="E1162" s="27">
        <f>IF(A1162="","",IFERROR(AVERAGEIFS(Prensa!$B$2:$B$5001,Prensa!$E$2:$E$5001,N1162,Prensa!$F$2:$F$5001,2,Prensa!$G$2:$G$5001,1),""))</f>
        <v>0</v>
      </c>
      <c r="F1162" s="27">
        <f>IF(A1162="","",IFERROR(AVERAGEIFS(Prensa!$B$2:$B$5001,Prensa!$E$2:$E$5001,N1162,Prensa!$F$2:$F$5001,3,Prensa!$G$2:$G$5001,1),""))</f>
        <v>0</v>
      </c>
      <c r="G1162" s="27">
        <f>IF(A1162="","",IFERROR(AVERAGEIFS(Prensa!$B$2:$B$5001,Prensa!$E$2:$E$5001,N1162,Prensa!$F$2:$F$5001,4,Prensa!$G$2:$G$5001,1),""))</f>
        <v>0</v>
      </c>
      <c r="H1162" s="26">
        <f>IF(A1162="","",COUNT(D1162:G1162))</f>
        <v>0</v>
      </c>
      <c r="I1162" s="27">
        <f>IF(A1162="","",IF(H1162=0,"",AVERAGE(D1162:G1162)))</f>
        <v>0</v>
      </c>
      <c r="J1162" s="27">
        <f>IF(OR(I1162="",C1162=""),"",I1162-C1162)</f>
        <v>0</v>
      </c>
      <c r="K1162" s="26">
        <f>IF(A1162="","",IF(MES!E1162&lt;&gt;4,"Horário do MES fora do padrão",IF(H1162&lt;cfgMinCortes,"Cortes insuficientes","Válida")))</f>
        <v>0</v>
      </c>
      <c r="L1162" s="27">
        <f>IF(K1162="Válida",ABS(J1162),"")</f>
        <v>0</v>
      </c>
      <c r="M1162" s="26">
        <f>IF(K1162="Válida",IF(L1162&lt;=cfgTolerancia,"Sim","Não"),"")</f>
        <v>0</v>
      </c>
      <c r="N1162" s="26">
        <f>IF(A1162="","",MES!D1162)</f>
        <v>0</v>
      </c>
      <c r="O1162" s="25">
        <f>IF(K1162="Válida",A1162,NA())</f>
        <v>0</v>
      </c>
      <c r="P1162" s="27">
        <f>IF(K1162="Válida",C1162,NA())</f>
        <v>0</v>
      </c>
      <c r="Q1162" s="27">
        <f>IF(K1162="Válida",I1162,NA())</f>
        <v>0</v>
      </c>
      <c r="R1162" s="27">
        <f>IF(K1162="Válida",J1162,NA())</f>
        <v>0</v>
      </c>
      <c r="S1162" s="27">
        <f>IF(K1162="Válida",C1162,"")</f>
        <v>0</v>
      </c>
      <c r="T1162" s="27">
        <f>IF(K1162="Válida",I1162,"")</f>
        <v>0</v>
      </c>
      <c r="U1162" s="27">
        <f>IF(K1162="Válida",J1162,"")</f>
        <v>0</v>
      </c>
    </row>
    <row r="1163" spans="1:21">
      <c r="A1163" s="25">
        <f>IF(MES!A1163="","",MES!C1163/48)</f>
        <v>0</v>
      </c>
      <c r="B1163" s="26">
        <f>IF(A1163="","",TEXT((N1163*4+cfgDeslocamento)/48,"hh:mm")&amp;" a "&amp;TEXT(A1163,"hh:mm"))</f>
        <v>0</v>
      </c>
      <c r="C1163" s="27">
        <f>IF(A1163="","",MES!B1163)</f>
        <v>0</v>
      </c>
      <c r="D1163" s="27">
        <f>IF(A1163="","",IFERROR(AVERAGEIFS(Prensa!$B$2:$B$5001,Prensa!$E$2:$E$5001,N1163,Prensa!$F$2:$F$5001,1,Prensa!$G$2:$G$5001,1),""))</f>
        <v>0</v>
      </c>
      <c r="E1163" s="27">
        <f>IF(A1163="","",IFERROR(AVERAGEIFS(Prensa!$B$2:$B$5001,Prensa!$E$2:$E$5001,N1163,Prensa!$F$2:$F$5001,2,Prensa!$G$2:$G$5001,1),""))</f>
        <v>0</v>
      </c>
      <c r="F1163" s="27">
        <f>IF(A1163="","",IFERROR(AVERAGEIFS(Prensa!$B$2:$B$5001,Prensa!$E$2:$E$5001,N1163,Prensa!$F$2:$F$5001,3,Prensa!$G$2:$G$5001,1),""))</f>
        <v>0</v>
      </c>
      <c r="G1163" s="27">
        <f>IF(A1163="","",IFERROR(AVERAGEIFS(Prensa!$B$2:$B$5001,Prensa!$E$2:$E$5001,N1163,Prensa!$F$2:$F$5001,4,Prensa!$G$2:$G$5001,1),""))</f>
        <v>0</v>
      </c>
      <c r="H1163" s="26">
        <f>IF(A1163="","",COUNT(D1163:G1163))</f>
        <v>0</v>
      </c>
      <c r="I1163" s="27">
        <f>IF(A1163="","",IF(H1163=0,"",AVERAGE(D1163:G1163)))</f>
        <v>0</v>
      </c>
      <c r="J1163" s="27">
        <f>IF(OR(I1163="",C1163=""),"",I1163-C1163)</f>
        <v>0</v>
      </c>
      <c r="K1163" s="26">
        <f>IF(A1163="","",IF(MES!E1163&lt;&gt;4,"Horário do MES fora do padrão",IF(H1163&lt;cfgMinCortes,"Cortes insuficientes","Válida")))</f>
        <v>0</v>
      </c>
      <c r="L1163" s="27">
        <f>IF(K1163="Válida",ABS(J1163),"")</f>
        <v>0</v>
      </c>
      <c r="M1163" s="26">
        <f>IF(K1163="Válida",IF(L1163&lt;=cfgTolerancia,"Sim","Não"),"")</f>
        <v>0</v>
      </c>
      <c r="N1163" s="26">
        <f>IF(A1163="","",MES!D1163)</f>
        <v>0</v>
      </c>
      <c r="O1163" s="25">
        <f>IF(K1163="Válida",A1163,NA())</f>
        <v>0</v>
      </c>
      <c r="P1163" s="27">
        <f>IF(K1163="Válida",C1163,NA())</f>
        <v>0</v>
      </c>
      <c r="Q1163" s="27">
        <f>IF(K1163="Válida",I1163,NA())</f>
        <v>0</v>
      </c>
      <c r="R1163" s="27">
        <f>IF(K1163="Válida",J1163,NA())</f>
        <v>0</v>
      </c>
      <c r="S1163" s="27">
        <f>IF(K1163="Válida",C1163,"")</f>
        <v>0</v>
      </c>
      <c r="T1163" s="27">
        <f>IF(K1163="Válida",I1163,"")</f>
        <v>0</v>
      </c>
      <c r="U1163" s="27">
        <f>IF(K1163="Válida",J1163,"")</f>
        <v>0</v>
      </c>
    </row>
    <row r="1164" spans="1:21">
      <c r="A1164" s="25">
        <f>IF(MES!A1164="","",MES!C1164/48)</f>
        <v>0</v>
      </c>
      <c r="B1164" s="26">
        <f>IF(A1164="","",TEXT((N1164*4+cfgDeslocamento)/48,"hh:mm")&amp;" a "&amp;TEXT(A1164,"hh:mm"))</f>
        <v>0</v>
      </c>
      <c r="C1164" s="27">
        <f>IF(A1164="","",MES!B1164)</f>
        <v>0</v>
      </c>
      <c r="D1164" s="27">
        <f>IF(A1164="","",IFERROR(AVERAGEIFS(Prensa!$B$2:$B$5001,Prensa!$E$2:$E$5001,N1164,Prensa!$F$2:$F$5001,1,Prensa!$G$2:$G$5001,1),""))</f>
        <v>0</v>
      </c>
      <c r="E1164" s="27">
        <f>IF(A1164="","",IFERROR(AVERAGEIFS(Prensa!$B$2:$B$5001,Prensa!$E$2:$E$5001,N1164,Prensa!$F$2:$F$5001,2,Prensa!$G$2:$G$5001,1),""))</f>
        <v>0</v>
      </c>
      <c r="F1164" s="27">
        <f>IF(A1164="","",IFERROR(AVERAGEIFS(Prensa!$B$2:$B$5001,Prensa!$E$2:$E$5001,N1164,Prensa!$F$2:$F$5001,3,Prensa!$G$2:$G$5001,1),""))</f>
        <v>0</v>
      </c>
      <c r="G1164" s="27">
        <f>IF(A1164="","",IFERROR(AVERAGEIFS(Prensa!$B$2:$B$5001,Prensa!$E$2:$E$5001,N1164,Prensa!$F$2:$F$5001,4,Prensa!$G$2:$G$5001,1),""))</f>
        <v>0</v>
      </c>
      <c r="H1164" s="26">
        <f>IF(A1164="","",COUNT(D1164:G1164))</f>
        <v>0</v>
      </c>
      <c r="I1164" s="27">
        <f>IF(A1164="","",IF(H1164=0,"",AVERAGE(D1164:G1164)))</f>
        <v>0</v>
      </c>
      <c r="J1164" s="27">
        <f>IF(OR(I1164="",C1164=""),"",I1164-C1164)</f>
        <v>0</v>
      </c>
      <c r="K1164" s="26">
        <f>IF(A1164="","",IF(MES!E1164&lt;&gt;4,"Horário do MES fora do padrão",IF(H1164&lt;cfgMinCortes,"Cortes insuficientes","Válida")))</f>
        <v>0</v>
      </c>
      <c r="L1164" s="27">
        <f>IF(K1164="Válida",ABS(J1164),"")</f>
        <v>0</v>
      </c>
      <c r="M1164" s="26">
        <f>IF(K1164="Válida",IF(L1164&lt;=cfgTolerancia,"Sim","Não"),"")</f>
        <v>0</v>
      </c>
      <c r="N1164" s="26">
        <f>IF(A1164="","",MES!D1164)</f>
        <v>0</v>
      </c>
      <c r="O1164" s="25">
        <f>IF(K1164="Válida",A1164,NA())</f>
        <v>0</v>
      </c>
      <c r="P1164" s="27">
        <f>IF(K1164="Válida",C1164,NA())</f>
        <v>0</v>
      </c>
      <c r="Q1164" s="27">
        <f>IF(K1164="Válida",I1164,NA())</f>
        <v>0</v>
      </c>
      <c r="R1164" s="27">
        <f>IF(K1164="Válida",J1164,NA())</f>
        <v>0</v>
      </c>
      <c r="S1164" s="27">
        <f>IF(K1164="Válida",C1164,"")</f>
        <v>0</v>
      </c>
      <c r="T1164" s="27">
        <f>IF(K1164="Válida",I1164,"")</f>
        <v>0</v>
      </c>
      <c r="U1164" s="27">
        <f>IF(K1164="Válida",J1164,"")</f>
        <v>0</v>
      </c>
    </row>
    <row r="1165" spans="1:21">
      <c r="A1165" s="25">
        <f>IF(MES!A1165="","",MES!C1165/48)</f>
        <v>0</v>
      </c>
      <c r="B1165" s="26">
        <f>IF(A1165="","",TEXT((N1165*4+cfgDeslocamento)/48,"hh:mm")&amp;" a "&amp;TEXT(A1165,"hh:mm"))</f>
        <v>0</v>
      </c>
      <c r="C1165" s="27">
        <f>IF(A1165="","",MES!B1165)</f>
        <v>0</v>
      </c>
      <c r="D1165" s="27">
        <f>IF(A1165="","",IFERROR(AVERAGEIFS(Prensa!$B$2:$B$5001,Prensa!$E$2:$E$5001,N1165,Prensa!$F$2:$F$5001,1,Prensa!$G$2:$G$5001,1),""))</f>
        <v>0</v>
      </c>
      <c r="E1165" s="27">
        <f>IF(A1165="","",IFERROR(AVERAGEIFS(Prensa!$B$2:$B$5001,Prensa!$E$2:$E$5001,N1165,Prensa!$F$2:$F$5001,2,Prensa!$G$2:$G$5001,1),""))</f>
        <v>0</v>
      </c>
      <c r="F1165" s="27">
        <f>IF(A1165="","",IFERROR(AVERAGEIFS(Prensa!$B$2:$B$5001,Prensa!$E$2:$E$5001,N1165,Prensa!$F$2:$F$5001,3,Prensa!$G$2:$G$5001,1),""))</f>
        <v>0</v>
      </c>
      <c r="G1165" s="27">
        <f>IF(A1165="","",IFERROR(AVERAGEIFS(Prensa!$B$2:$B$5001,Prensa!$E$2:$E$5001,N1165,Prensa!$F$2:$F$5001,4,Prensa!$G$2:$G$5001,1),""))</f>
        <v>0</v>
      </c>
      <c r="H1165" s="26">
        <f>IF(A1165="","",COUNT(D1165:G1165))</f>
        <v>0</v>
      </c>
      <c r="I1165" s="27">
        <f>IF(A1165="","",IF(H1165=0,"",AVERAGE(D1165:G1165)))</f>
        <v>0</v>
      </c>
      <c r="J1165" s="27">
        <f>IF(OR(I1165="",C1165=""),"",I1165-C1165)</f>
        <v>0</v>
      </c>
      <c r="K1165" s="26">
        <f>IF(A1165="","",IF(MES!E1165&lt;&gt;4,"Horário do MES fora do padrão",IF(H1165&lt;cfgMinCortes,"Cortes insuficientes","Válida")))</f>
        <v>0</v>
      </c>
      <c r="L1165" s="27">
        <f>IF(K1165="Válida",ABS(J1165),"")</f>
        <v>0</v>
      </c>
      <c r="M1165" s="26">
        <f>IF(K1165="Válida",IF(L1165&lt;=cfgTolerancia,"Sim","Não"),"")</f>
        <v>0</v>
      </c>
      <c r="N1165" s="26">
        <f>IF(A1165="","",MES!D1165)</f>
        <v>0</v>
      </c>
      <c r="O1165" s="25">
        <f>IF(K1165="Válida",A1165,NA())</f>
        <v>0</v>
      </c>
      <c r="P1165" s="27">
        <f>IF(K1165="Válida",C1165,NA())</f>
        <v>0</v>
      </c>
      <c r="Q1165" s="27">
        <f>IF(K1165="Válida",I1165,NA())</f>
        <v>0</v>
      </c>
      <c r="R1165" s="27">
        <f>IF(K1165="Válida",J1165,NA())</f>
        <v>0</v>
      </c>
      <c r="S1165" s="27">
        <f>IF(K1165="Válida",C1165,"")</f>
        <v>0</v>
      </c>
      <c r="T1165" s="27">
        <f>IF(K1165="Válida",I1165,"")</f>
        <v>0</v>
      </c>
      <c r="U1165" s="27">
        <f>IF(K1165="Válida",J1165,"")</f>
        <v>0</v>
      </c>
    </row>
    <row r="1166" spans="1:21">
      <c r="A1166" s="25">
        <f>IF(MES!A1166="","",MES!C1166/48)</f>
        <v>0</v>
      </c>
      <c r="B1166" s="26">
        <f>IF(A1166="","",TEXT((N1166*4+cfgDeslocamento)/48,"hh:mm")&amp;" a "&amp;TEXT(A1166,"hh:mm"))</f>
        <v>0</v>
      </c>
      <c r="C1166" s="27">
        <f>IF(A1166="","",MES!B1166)</f>
        <v>0</v>
      </c>
      <c r="D1166" s="27">
        <f>IF(A1166="","",IFERROR(AVERAGEIFS(Prensa!$B$2:$B$5001,Prensa!$E$2:$E$5001,N1166,Prensa!$F$2:$F$5001,1,Prensa!$G$2:$G$5001,1),""))</f>
        <v>0</v>
      </c>
      <c r="E1166" s="27">
        <f>IF(A1166="","",IFERROR(AVERAGEIFS(Prensa!$B$2:$B$5001,Prensa!$E$2:$E$5001,N1166,Prensa!$F$2:$F$5001,2,Prensa!$G$2:$G$5001,1),""))</f>
        <v>0</v>
      </c>
      <c r="F1166" s="27">
        <f>IF(A1166="","",IFERROR(AVERAGEIFS(Prensa!$B$2:$B$5001,Prensa!$E$2:$E$5001,N1166,Prensa!$F$2:$F$5001,3,Prensa!$G$2:$G$5001,1),""))</f>
        <v>0</v>
      </c>
      <c r="G1166" s="27">
        <f>IF(A1166="","",IFERROR(AVERAGEIFS(Prensa!$B$2:$B$5001,Prensa!$E$2:$E$5001,N1166,Prensa!$F$2:$F$5001,4,Prensa!$G$2:$G$5001,1),""))</f>
        <v>0</v>
      </c>
      <c r="H1166" s="26">
        <f>IF(A1166="","",COUNT(D1166:G1166))</f>
        <v>0</v>
      </c>
      <c r="I1166" s="27">
        <f>IF(A1166="","",IF(H1166=0,"",AVERAGE(D1166:G1166)))</f>
        <v>0</v>
      </c>
      <c r="J1166" s="27">
        <f>IF(OR(I1166="",C1166=""),"",I1166-C1166)</f>
        <v>0</v>
      </c>
      <c r="K1166" s="26">
        <f>IF(A1166="","",IF(MES!E1166&lt;&gt;4,"Horário do MES fora do padrão",IF(H1166&lt;cfgMinCortes,"Cortes insuficientes","Válida")))</f>
        <v>0</v>
      </c>
      <c r="L1166" s="27">
        <f>IF(K1166="Válida",ABS(J1166),"")</f>
        <v>0</v>
      </c>
      <c r="M1166" s="26">
        <f>IF(K1166="Válida",IF(L1166&lt;=cfgTolerancia,"Sim","Não"),"")</f>
        <v>0</v>
      </c>
      <c r="N1166" s="26">
        <f>IF(A1166="","",MES!D1166)</f>
        <v>0</v>
      </c>
      <c r="O1166" s="25">
        <f>IF(K1166="Válida",A1166,NA())</f>
        <v>0</v>
      </c>
      <c r="P1166" s="27">
        <f>IF(K1166="Válida",C1166,NA())</f>
        <v>0</v>
      </c>
      <c r="Q1166" s="27">
        <f>IF(K1166="Válida",I1166,NA())</f>
        <v>0</v>
      </c>
      <c r="R1166" s="27">
        <f>IF(K1166="Válida",J1166,NA())</f>
        <v>0</v>
      </c>
      <c r="S1166" s="27">
        <f>IF(K1166="Válida",C1166,"")</f>
        <v>0</v>
      </c>
      <c r="T1166" s="27">
        <f>IF(K1166="Válida",I1166,"")</f>
        <v>0</v>
      </c>
      <c r="U1166" s="27">
        <f>IF(K1166="Válida",J1166,"")</f>
        <v>0</v>
      </c>
    </row>
    <row r="1167" spans="1:21">
      <c r="A1167" s="25">
        <f>IF(MES!A1167="","",MES!C1167/48)</f>
        <v>0</v>
      </c>
      <c r="B1167" s="26">
        <f>IF(A1167="","",TEXT((N1167*4+cfgDeslocamento)/48,"hh:mm")&amp;" a "&amp;TEXT(A1167,"hh:mm"))</f>
        <v>0</v>
      </c>
      <c r="C1167" s="27">
        <f>IF(A1167="","",MES!B1167)</f>
        <v>0</v>
      </c>
      <c r="D1167" s="27">
        <f>IF(A1167="","",IFERROR(AVERAGEIFS(Prensa!$B$2:$B$5001,Prensa!$E$2:$E$5001,N1167,Prensa!$F$2:$F$5001,1,Prensa!$G$2:$G$5001,1),""))</f>
        <v>0</v>
      </c>
      <c r="E1167" s="27">
        <f>IF(A1167="","",IFERROR(AVERAGEIFS(Prensa!$B$2:$B$5001,Prensa!$E$2:$E$5001,N1167,Prensa!$F$2:$F$5001,2,Prensa!$G$2:$G$5001,1),""))</f>
        <v>0</v>
      </c>
      <c r="F1167" s="27">
        <f>IF(A1167="","",IFERROR(AVERAGEIFS(Prensa!$B$2:$B$5001,Prensa!$E$2:$E$5001,N1167,Prensa!$F$2:$F$5001,3,Prensa!$G$2:$G$5001,1),""))</f>
        <v>0</v>
      </c>
      <c r="G1167" s="27">
        <f>IF(A1167="","",IFERROR(AVERAGEIFS(Prensa!$B$2:$B$5001,Prensa!$E$2:$E$5001,N1167,Prensa!$F$2:$F$5001,4,Prensa!$G$2:$G$5001,1),""))</f>
        <v>0</v>
      </c>
      <c r="H1167" s="26">
        <f>IF(A1167="","",COUNT(D1167:G1167))</f>
        <v>0</v>
      </c>
      <c r="I1167" s="27">
        <f>IF(A1167="","",IF(H1167=0,"",AVERAGE(D1167:G1167)))</f>
        <v>0</v>
      </c>
      <c r="J1167" s="27">
        <f>IF(OR(I1167="",C1167=""),"",I1167-C1167)</f>
        <v>0</v>
      </c>
      <c r="K1167" s="26">
        <f>IF(A1167="","",IF(MES!E1167&lt;&gt;4,"Horário do MES fora do padrão",IF(H1167&lt;cfgMinCortes,"Cortes insuficientes","Válida")))</f>
        <v>0</v>
      </c>
      <c r="L1167" s="27">
        <f>IF(K1167="Válida",ABS(J1167),"")</f>
        <v>0</v>
      </c>
      <c r="M1167" s="26">
        <f>IF(K1167="Válida",IF(L1167&lt;=cfgTolerancia,"Sim","Não"),"")</f>
        <v>0</v>
      </c>
      <c r="N1167" s="26">
        <f>IF(A1167="","",MES!D1167)</f>
        <v>0</v>
      </c>
      <c r="O1167" s="25">
        <f>IF(K1167="Válida",A1167,NA())</f>
        <v>0</v>
      </c>
      <c r="P1167" s="27">
        <f>IF(K1167="Válida",C1167,NA())</f>
        <v>0</v>
      </c>
      <c r="Q1167" s="27">
        <f>IF(K1167="Válida",I1167,NA())</f>
        <v>0</v>
      </c>
      <c r="R1167" s="27">
        <f>IF(K1167="Válida",J1167,NA())</f>
        <v>0</v>
      </c>
      <c r="S1167" s="27">
        <f>IF(K1167="Válida",C1167,"")</f>
        <v>0</v>
      </c>
      <c r="T1167" s="27">
        <f>IF(K1167="Válida",I1167,"")</f>
        <v>0</v>
      </c>
      <c r="U1167" s="27">
        <f>IF(K1167="Válida",J1167,"")</f>
        <v>0</v>
      </c>
    </row>
    <row r="1168" spans="1:21">
      <c r="A1168" s="25">
        <f>IF(MES!A1168="","",MES!C1168/48)</f>
        <v>0</v>
      </c>
      <c r="B1168" s="26">
        <f>IF(A1168="","",TEXT((N1168*4+cfgDeslocamento)/48,"hh:mm")&amp;" a "&amp;TEXT(A1168,"hh:mm"))</f>
        <v>0</v>
      </c>
      <c r="C1168" s="27">
        <f>IF(A1168="","",MES!B1168)</f>
        <v>0</v>
      </c>
      <c r="D1168" s="27">
        <f>IF(A1168="","",IFERROR(AVERAGEIFS(Prensa!$B$2:$B$5001,Prensa!$E$2:$E$5001,N1168,Prensa!$F$2:$F$5001,1,Prensa!$G$2:$G$5001,1),""))</f>
        <v>0</v>
      </c>
      <c r="E1168" s="27">
        <f>IF(A1168="","",IFERROR(AVERAGEIFS(Prensa!$B$2:$B$5001,Prensa!$E$2:$E$5001,N1168,Prensa!$F$2:$F$5001,2,Prensa!$G$2:$G$5001,1),""))</f>
        <v>0</v>
      </c>
      <c r="F1168" s="27">
        <f>IF(A1168="","",IFERROR(AVERAGEIFS(Prensa!$B$2:$B$5001,Prensa!$E$2:$E$5001,N1168,Prensa!$F$2:$F$5001,3,Prensa!$G$2:$G$5001,1),""))</f>
        <v>0</v>
      </c>
      <c r="G1168" s="27">
        <f>IF(A1168="","",IFERROR(AVERAGEIFS(Prensa!$B$2:$B$5001,Prensa!$E$2:$E$5001,N1168,Prensa!$F$2:$F$5001,4,Prensa!$G$2:$G$5001,1),""))</f>
        <v>0</v>
      </c>
      <c r="H1168" s="26">
        <f>IF(A1168="","",COUNT(D1168:G1168))</f>
        <v>0</v>
      </c>
      <c r="I1168" s="27">
        <f>IF(A1168="","",IF(H1168=0,"",AVERAGE(D1168:G1168)))</f>
        <v>0</v>
      </c>
      <c r="J1168" s="27">
        <f>IF(OR(I1168="",C1168=""),"",I1168-C1168)</f>
        <v>0</v>
      </c>
      <c r="K1168" s="26">
        <f>IF(A1168="","",IF(MES!E1168&lt;&gt;4,"Horário do MES fora do padrão",IF(H1168&lt;cfgMinCortes,"Cortes insuficientes","Válida")))</f>
        <v>0</v>
      </c>
      <c r="L1168" s="27">
        <f>IF(K1168="Válida",ABS(J1168),"")</f>
        <v>0</v>
      </c>
      <c r="M1168" s="26">
        <f>IF(K1168="Válida",IF(L1168&lt;=cfgTolerancia,"Sim","Não"),"")</f>
        <v>0</v>
      </c>
      <c r="N1168" s="26">
        <f>IF(A1168="","",MES!D1168)</f>
        <v>0</v>
      </c>
      <c r="O1168" s="25">
        <f>IF(K1168="Válida",A1168,NA())</f>
        <v>0</v>
      </c>
      <c r="P1168" s="27">
        <f>IF(K1168="Válida",C1168,NA())</f>
        <v>0</v>
      </c>
      <c r="Q1168" s="27">
        <f>IF(K1168="Válida",I1168,NA())</f>
        <v>0</v>
      </c>
      <c r="R1168" s="27">
        <f>IF(K1168="Válida",J1168,NA())</f>
        <v>0</v>
      </c>
      <c r="S1168" s="27">
        <f>IF(K1168="Válida",C1168,"")</f>
        <v>0</v>
      </c>
      <c r="T1168" s="27">
        <f>IF(K1168="Válida",I1168,"")</f>
        <v>0</v>
      </c>
      <c r="U1168" s="27">
        <f>IF(K1168="Válida",J1168,"")</f>
        <v>0</v>
      </c>
    </row>
    <row r="1169" spans="1:21">
      <c r="A1169" s="25">
        <f>IF(MES!A1169="","",MES!C1169/48)</f>
        <v>0</v>
      </c>
      <c r="B1169" s="26">
        <f>IF(A1169="","",TEXT((N1169*4+cfgDeslocamento)/48,"hh:mm")&amp;" a "&amp;TEXT(A1169,"hh:mm"))</f>
        <v>0</v>
      </c>
      <c r="C1169" s="27">
        <f>IF(A1169="","",MES!B1169)</f>
        <v>0</v>
      </c>
      <c r="D1169" s="27">
        <f>IF(A1169="","",IFERROR(AVERAGEIFS(Prensa!$B$2:$B$5001,Prensa!$E$2:$E$5001,N1169,Prensa!$F$2:$F$5001,1,Prensa!$G$2:$G$5001,1),""))</f>
        <v>0</v>
      </c>
      <c r="E1169" s="27">
        <f>IF(A1169="","",IFERROR(AVERAGEIFS(Prensa!$B$2:$B$5001,Prensa!$E$2:$E$5001,N1169,Prensa!$F$2:$F$5001,2,Prensa!$G$2:$G$5001,1),""))</f>
        <v>0</v>
      </c>
      <c r="F1169" s="27">
        <f>IF(A1169="","",IFERROR(AVERAGEIFS(Prensa!$B$2:$B$5001,Prensa!$E$2:$E$5001,N1169,Prensa!$F$2:$F$5001,3,Prensa!$G$2:$G$5001,1),""))</f>
        <v>0</v>
      </c>
      <c r="G1169" s="27">
        <f>IF(A1169="","",IFERROR(AVERAGEIFS(Prensa!$B$2:$B$5001,Prensa!$E$2:$E$5001,N1169,Prensa!$F$2:$F$5001,4,Prensa!$G$2:$G$5001,1),""))</f>
        <v>0</v>
      </c>
      <c r="H1169" s="26">
        <f>IF(A1169="","",COUNT(D1169:G1169))</f>
        <v>0</v>
      </c>
      <c r="I1169" s="27">
        <f>IF(A1169="","",IF(H1169=0,"",AVERAGE(D1169:G1169)))</f>
        <v>0</v>
      </c>
      <c r="J1169" s="27">
        <f>IF(OR(I1169="",C1169=""),"",I1169-C1169)</f>
        <v>0</v>
      </c>
      <c r="K1169" s="26">
        <f>IF(A1169="","",IF(MES!E1169&lt;&gt;4,"Horário do MES fora do padrão",IF(H1169&lt;cfgMinCortes,"Cortes insuficientes","Válida")))</f>
        <v>0</v>
      </c>
      <c r="L1169" s="27">
        <f>IF(K1169="Válida",ABS(J1169),"")</f>
        <v>0</v>
      </c>
      <c r="M1169" s="26">
        <f>IF(K1169="Válida",IF(L1169&lt;=cfgTolerancia,"Sim","Não"),"")</f>
        <v>0</v>
      </c>
      <c r="N1169" s="26">
        <f>IF(A1169="","",MES!D1169)</f>
        <v>0</v>
      </c>
      <c r="O1169" s="25">
        <f>IF(K1169="Válida",A1169,NA())</f>
        <v>0</v>
      </c>
      <c r="P1169" s="27">
        <f>IF(K1169="Válida",C1169,NA())</f>
        <v>0</v>
      </c>
      <c r="Q1169" s="27">
        <f>IF(K1169="Válida",I1169,NA())</f>
        <v>0</v>
      </c>
      <c r="R1169" s="27">
        <f>IF(K1169="Válida",J1169,NA())</f>
        <v>0</v>
      </c>
      <c r="S1169" s="27">
        <f>IF(K1169="Válida",C1169,"")</f>
        <v>0</v>
      </c>
      <c r="T1169" s="27">
        <f>IF(K1169="Válida",I1169,"")</f>
        <v>0</v>
      </c>
      <c r="U1169" s="27">
        <f>IF(K1169="Válida",J1169,"")</f>
        <v>0</v>
      </c>
    </row>
    <row r="1170" spans="1:21">
      <c r="A1170" s="25">
        <f>IF(MES!A1170="","",MES!C1170/48)</f>
        <v>0</v>
      </c>
      <c r="B1170" s="26">
        <f>IF(A1170="","",TEXT((N1170*4+cfgDeslocamento)/48,"hh:mm")&amp;" a "&amp;TEXT(A1170,"hh:mm"))</f>
        <v>0</v>
      </c>
      <c r="C1170" s="27">
        <f>IF(A1170="","",MES!B1170)</f>
        <v>0</v>
      </c>
      <c r="D1170" s="27">
        <f>IF(A1170="","",IFERROR(AVERAGEIFS(Prensa!$B$2:$B$5001,Prensa!$E$2:$E$5001,N1170,Prensa!$F$2:$F$5001,1,Prensa!$G$2:$G$5001,1),""))</f>
        <v>0</v>
      </c>
      <c r="E1170" s="27">
        <f>IF(A1170="","",IFERROR(AVERAGEIFS(Prensa!$B$2:$B$5001,Prensa!$E$2:$E$5001,N1170,Prensa!$F$2:$F$5001,2,Prensa!$G$2:$G$5001,1),""))</f>
        <v>0</v>
      </c>
      <c r="F1170" s="27">
        <f>IF(A1170="","",IFERROR(AVERAGEIFS(Prensa!$B$2:$B$5001,Prensa!$E$2:$E$5001,N1170,Prensa!$F$2:$F$5001,3,Prensa!$G$2:$G$5001,1),""))</f>
        <v>0</v>
      </c>
      <c r="G1170" s="27">
        <f>IF(A1170="","",IFERROR(AVERAGEIFS(Prensa!$B$2:$B$5001,Prensa!$E$2:$E$5001,N1170,Prensa!$F$2:$F$5001,4,Prensa!$G$2:$G$5001,1),""))</f>
        <v>0</v>
      </c>
      <c r="H1170" s="26">
        <f>IF(A1170="","",COUNT(D1170:G1170))</f>
        <v>0</v>
      </c>
      <c r="I1170" s="27">
        <f>IF(A1170="","",IF(H1170=0,"",AVERAGE(D1170:G1170)))</f>
        <v>0</v>
      </c>
      <c r="J1170" s="27">
        <f>IF(OR(I1170="",C1170=""),"",I1170-C1170)</f>
        <v>0</v>
      </c>
      <c r="K1170" s="26">
        <f>IF(A1170="","",IF(MES!E1170&lt;&gt;4,"Horário do MES fora do padrão",IF(H1170&lt;cfgMinCortes,"Cortes insuficientes","Válida")))</f>
        <v>0</v>
      </c>
      <c r="L1170" s="27">
        <f>IF(K1170="Válida",ABS(J1170),"")</f>
        <v>0</v>
      </c>
      <c r="M1170" s="26">
        <f>IF(K1170="Válida",IF(L1170&lt;=cfgTolerancia,"Sim","Não"),"")</f>
        <v>0</v>
      </c>
      <c r="N1170" s="26">
        <f>IF(A1170="","",MES!D1170)</f>
        <v>0</v>
      </c>
      <c r="O1170" s="25">
        <f>IF(K1170="Válida",A1170,NA())</f>
        <v>0</v>
      </c>
      <c r="P1170" s="27">
        <f>IF(K1170="Válida",C1170,NA())</f>
        <v>0</v>
      </c>
      <c r="Q1170" s="27">
        <f>IF(K1170="Válida",I1170,NA())</f>
        <v>0</v>
      </c>
      <c r="R1170" s="27">
        <f>IF(K1170="Válida",J1170,NA())</f>
        <v>0</v>
      </c>
      <c r="S1170" s="27">
        <f>IF(K1170="Válida",C1170,"")</f>
        <v>0</v>
      </c>
      <c r="T1170" s="27">
        <f>IF(K1170="Válida",I1170,"")</f>
        <v>0</v>
      </c>
      <c r="U1170" s="27">
        <f>IF(K1170="Válida",J1170,"")</f>
        <v>0</v>
      </c>
    </row>
    <row r="1171" spans="1:21">
      <c r="A1171" s="25">
        <f>IF(MES!A1171="","",MES!C1171/48)</f>
        <v>0</v>
      </c>
      <c r="B1171" s="26">
        <f>IF(A1171="","",TEXT((N1171*4+cfgDeslocamento)/48,"hh:mm")&amp;" a "&amp;TEXT(A1171,"hh:mm"))</f>
        <v>0</v>
      </c>
      <c r="C1171" s="27">
        <f>IF(A1171="","",MES!B1171)</f>
        <v>0</v>
      </c>
      <c r="D1171" s="27">
        <f>IF(A1171="","",IFERROR(AVERAGEIFS(Prensa!$B$2:$B$5001,Prensa!$E$2:$E$5001,N1171,Prensa!$F$2:$F$5001,1,Prensa!$G$2:$G$5001,1),""))</f>
        <v>0</v>
      </c>
      <c r="E1171" s="27">
        <f>IF(A1171="","",IFERROR(AVERAGEIFS(Prensa!$B$2:$B$5001,Prensa!$E$2:$E$5001,N1171,Prensa!$F$2:$F$5001,2,Prensa!$G$2:$G$5001,1),""))</f>
        <v>0</v>
      </c>
      <c r="F1171" s="27">
        <f>IF(A1171="","",IFERROR(AVERAGEIFS(Prensa!$B$2:$B$5001,Prensa!$E$2:$E$5001,N1171,Prensa!$F$2:$F$5001,3,Prensa!$G$2:$G$5001,1),""))</f>
        <v>0</v>
      </c>
      <c r="G1171" s="27">
        <f>IF(A1171="","",IFERROR(AVERAGEIFS(Prensa!$B$2:$B$5001,Prensa!$E$2:$E$5001,N1171,Prensa!$F$2:$F$5001,4,Prensa!$G$2:$G$5001,1),""))</f>
        <v>0</v>
      </c>
      <c r="H1171" s="26">
        <f>IF(A1171="","",COUNT(D1171:G1171))</f>
        <v>0</v>
      </c>
      <c r="I1171" s="27">
        <f>IF(A1171="","",IF(H1171=0,"",AVERAGE(D1171:G1171)))</f>
        <v>0</v>
      </c>
      <c r="J1171" s="27">
        <f>IF(OR(I1171="",C1171=""),"",I1171-C1171)</f>
        <v>0</v>
      </c>
      <c r="K1171" s="26">
        <f>IF(A1171="","",IF(MES!E1171&lt;&gt;4,"Horário do MES fora do padrão",IF(H1171&lt;cfgMinCortes,"Cortes insuficientes","Válida")))</f>
        <v>0</v>
      </c>
      <c r="L1171" s="27">
        <f>IF(K1171="Válida",ABS(J1171),"")</f>
        <v>0</v>
      </c>
      <c r="M1171" s="26">
        <f>IF(K1171="Válida",IF(L1171&lt;=cfgTolerancia,"Sim","Não"),"")</f>
        <v>0</v>
      </c>
      <c r="N1171" s="26">
        <f>IF(A1171="","",MES!D1171)</f>
        <v>0</v>
      </c>
      <c r="O1171" s="25">
        <f>IF(K1171="Válida",A1171,NA())</f>
        <v>0</v>
      </c>
      <c r="P1171" s="27">
        <f>IF(K1171="Válida",C1171,NA())</f>
        <v>0</v>
      </c>
      <c r="Q1171" s="27">
        <f>IF(K1171="Válida",I1171,NA())</f>
        <v>0</v>
      </c>
      <c r="R1171" s="27">
        <f>IF(K1171="Válida",J1171,NA())</f>
        <v>0</v>
      </c>
      <c r="S1171" s="27">
        <f>IF(K1171="Válida",C1171,"")</f>
        <v>0</v>
      </c>
      <c r="T1171" s="27">
        <f>IF(K1171="Válida",I1171,"")</f>
        <v>0</v>
      </c>
      <c r="U1171" s="27">
        <f>IF(K1171="Válida",J1171,"")</f>
        <v>0</v>
      </c>
    </row>
    <row r="1172" spans="1:21">
      <c r="A1172" s="25">
        <f>IF(MES!A1172="","",MES!C1172/48)</f>
        <v>0</v>
      </c>
      <c r="B1172" s="26">
        <f>IF(A1172="","",TEXT((N1172*4+cfgDeslocamento)/48,"hh:mm")&amp;" a "&amp;TEXT(A1172,"hh:mm"))</f>
        <v>0</v>
      </c>
      <c r="C1172" s="27">
        <f>IF(A1172="","",MES!B1172)</f>
        <v>0</v>
      </c>
      <c r="D1172" s="27">
        <f>IF(A1172="","",IFERROR(AVERAGEIFS(Prensa!$B$2:$B$5001,Prensa!$E$2:$E$5001,N1172,Prensa!$F$2:$F$5001,1,Prensa!$G$2:$G$5001,1),""))</f>
        <v>0</v>
      </c>
      <c r="E1172" s="27">
        <f>IF(A1172="","",IFERROR(AVERAGEIFS(Prensa!$B$2:$B$5001,Prensa!$E$2:$E$5001,N1172,Prensa!$F$2:$F$5001,2,Prensa!$G$2:$G$5001,1),""))</f>
        <v>0</v>
      </c>
      <c r="F1172" s="27">
        <f>IF(A1172="","",IFERROR(AVERAGEIFS(Prensa!$B$2:$B$5001,Prensa!$E$2:$E$5001,N1172,Prensa!$F$2:$F$5001,3,Prensa!$G$2:$G$5001,1),""))</f>
        <v>0</v>
      </c>
      <c r="G1172" s="27">
        <f>IF(A1172="","",IFERROR(AVERAGEIFS(Prensa!$B$2:$B$5001,Prensa!$E$2:$E$5001,N1172,Prensa!$F$2:$F$5001,4,Prensa!$G$2:$G$5001,1),""))</f>
        <v>0</v>
      </c>
      <c r="H1172" s="26">
        <f>IF(A1172="","",COUNT(D1172:G1172))</f>
        <v>0</v>
      </c>
      <c r="I1172" s="27">
        <f>IF(A1172="","",IF(H1172=0,"",AVERAGE(D1172:G1172)))</f>
        <v>0</v>
      </c>
      <c r="J1172" s="27">
        <f>IF(OR(I1172="",C1172=""),"",I1172-C1172)</f>
        <v>0</v>
      </c>
      <c r="K1172" s="26">
        <f>IF(A1172="","",IF(MES!E1172&lt;&gt;4,"Horário do MES fora do padrão",IF(H1172&lt;cfgMinCortes,"Cortes insuficientes","Válida")))</f>
        <v>0</v>
      </c>
      <c r="L1172" s="27">
        <f>IF(K1172="Válida",ABS(J1172),"")</f>
        <v>0</v>
      </c>
      <c r="M1172" s="26">
        <f>IF(K1172="Válida",IF(L1172&lt;=cfgTolerancia,"Sim","Não"),"")</f>
        <v>0</v>
      </c>
      <c r="N1172" s="26">
        <f>IF(A1172="","",MES!D1172)</f>
        <v>0</v>
      </c>
      <c r="O1172" s="25">
        <f>IF(K1172="Válida",A1172,NA())</f>
        <v>0</v>
      </c>
      <c r="P1172" s="27">
        <f>IF(K1172="Válida",C1172,NA())</f>
        <v>0</v>
      </c>
      <c r="Q1172" s="27">
        <f>IF(K1172="Válida",I1172,NA())</f>
        <v>0</v>
      </c>
      <c r="R1172" s="27">
        <f>IF(K1172="Válida",J1172,NA())</f>
        <v>0</v>
      </c>
      <c r="S1172" s="27">
        <f>IF(K1172="Válida",C1172,"")</f>
        <v>0</v>
      </c>
      <c r="T1172" s="27">
        <f>IF(K1172="Válida",I1172,"")</f>
        <v>0</v>
      </c>
      <c r="U1172" s="27">
        <f>IF(K1172="Válida",J1172,"")</f>
        <v>0</v>
      </c>
    </row>
    <row r="1173" spans="1:21">
      <c r="A1173" s="25">
        <f>IF(MES!A1173="","",MES!C1173/48)</f>
        <v>0</v>
      </c>
      <c r="B1173" s="26">
        <f>IF(A1173="","",TEXT((N1173*4+cfgDeslocamento)/48,"hh:mm")&amp;" a "&amp;TEXT(A1173,"hh:mm"))</f>
        <v>0</v>
      </c>
      <c r="C1173" s="27">
        <f>IF(A1173="","",MES!B1173)</f>
        <v>0</v>
      </c>
      <c r="D1173" s="27">
        <f>IF(A1173="","",IFERROR(AVERAGEIFS(Prensa!$B$2:$B$5001,Prensa!$E$2:$E$5001,N1173,Prensa!$F$2:$F$5001,1,Prensa!$G$2:$G$5001,1),""))</f>
        <v>0</v>
      </c>
      <c r="E1173" s="27">
        <f>IF(A1173="","",IFERROR(AVERAGEIFS(Prensa!$B$2:$B$5001,Prensa!$E$2:$E$5001,N1173,Prensa!$F$2:$F$5001,2,Prensa!$G$2:$G$5001,1),""))</f>
        <v>0</v>
      </c>
      <c r="F1173" s="27">
        <f>IF(A1173="","",IFERROR(AVERAGEIFS(Prensa!$B$2:$B$5001,Prensa!$E$2:$E$5001,N1173,Prensa!$F$2:$F$5001,3,Prensa!$G$2:$G$5001,1),""))</f>
        <v>0</v>
      </c>
      <c r="G1173" s="27">
        <f>IF(A1173="","",IFERROR(AVERAGEIFS(Prensa!$B$2:$B$5001,Prensa!$E$2:$E$5001,N1173,Prensa!$F$2:$F$5001,4,Prensa!$G$2:$G$5001,1),""))</f>
        <v>0</v>
      </c>
      <c r="H1173" s="26">
        <f>IF(A1173="","",COUNT(D1173:G1173))</f>
        <v>0</v>
      </c>
      <c r="I1173" s="27">
        <f>IF(A1173="","",IF(H1173=0,"",AVERAGE(D1173:G1173)))</f>
        <v>0</v>
      </c>
      <c r="J1173" s="27">
        <f>IF(OR(I1173="",C1173=""),"",I1173-C1173)</f>
        <v>0</v>
      </c>
      <c r="K1173" s="26">
        <f>IF(A1173="","",IF(MES!E1173&lt;&gt;4,"Horário do MES fora do padrão",IF(H1173&lt;cfgMinCortes,"Cortes insuficientes","Válida")))</f>
        <v>0</v>
      </c>
      <c r="L1173" s="27">
        <f>IF(K1173="Válida",ABS(J1173),"")</f>
        <v>0</v>
      </c>
      <c r="M1173" s="26">
        <f>IF(K1173="Válida",IF(L1173&lt;=cfgTolerancia,"Sim","Não"),"")</f>
        <v>0</v>
      </c>
      <c r="N1173" s="26">
        <f>IF(A1173="","",MES!D1173)</f>
        <v>0</v>
      </c>
      <c r="O1173" s="25">
        <f>IF(K1173="Válida",A1173,NA())</f>
        <v>0</v>
      </c>
      <c r="P1173" s="27">
        <f>IF(K1173="Válida",C1173,NA())</f>
        <v>0</v>
      </c>
      <c r="Q1173" s="27">
        <f>IF(K1173="Válida",I1173,NA())</f>
        <v>0</v>
      </c>
      <c r="R1173" s="27">
        <f>IF(K1173="Válida",J1173,NA())</f>
        <v>0</v>
      </c>
      <c r="S1173" s="27">
        <f>IF(K1173="Válida",C1173,"")</f>
        <v>0</v>
      </c>
      <c r="T1173" s="27">
        <f>IF(K1173="Válida",I1173,"")</f>
        <v>0</v>
      </c>
      <c r="U1173" s="27">
        <f>IF(K1173="Válida",J1173,"")</f>
        <v>0</v>
      </c>
    </row>
    <row r="1174" spans="1:21">
      <c r="A1174" s="25">
        <f>IF(MES!A1174="","",MES!C1174/48)</f>
        <v>0</v>
      </c>
      <c r="B1174" s="26">
        <f>IF(A1174="","",TEXT((N1174*4+cfgDeslocamento)/48,"hh:mm")&amp;" a "&amp;TEXT(A1174,"hh:mm"))</f>
        <v>0</v>
      </c>
      <c r="C1174" s="27">
        <f>IF(A1174="","",MES!B1174)</f>
        <v>0</v>
      </c>
      <c r="D1174" s="27">
        <f>IF(A1174="","",IFERROR(AVERAGEIFS(Prensa!$B$2:$B$5001,Prensa!$E$2:$E$5001,N1174,Prensa!$F$2:$F$5001,1,Prensa!$G$2:$G$5001,1),""))</f>
        <v>0</v>
      </c>
      <c r="E1174" s="27">
        <f>IF(A1174="","",IFERROR(AVERAGEIFS(Prensa!$B$2:$B$5001,Prensa!$E$2:$E$5001,N1174,Prensa!$F$2:$F$5001,2,Prensa!$G$2:$G$5001,1),""))</f>
        <v>0</v>
      </c>
      <c r="F1174" s="27">
        <f>IF(A1174="","",IFERROR(AVERAGEIFS(Prensa!$B$2:$B$5001,Prensa!$E$2:$E$5001,N1174,Prensa!$F$2:$F$5001,3,Prensa!$G$2:$G$5001,1),""))</f>
        <v>0</v>
      </c>
      <c r="G1174" s="27">
        <f>IF(A1174="","",IFERROR(AVERAGEIFS(Prensa!$B$2:$B$5001,Prensa!$E$2:$E$5001,N1174,Prensa!$F$2:$F$5001,4,Prensa!$G$2:$G$5001,1),""))</f>
        <v>0</v>
      </c>
      <c r="H1174" s="26">
        <f>IF(A1174="","",COUNT(D1174:G1174))</f>
        <v>0</v>
      </c>
      <c r="I1174" s="27">
        <f>IF(A1174="","",IF(H1174=0,"",AVERAGE(D1174:G1174)))</f>
        <v>0</v>
      </c>
      <c r="J1174" s="27">
        <f>IF(OR(I1174="",C1174=""),"",I1174-C1174)</f>
        <v>0</v>
      </c>
      <c r="K1174" s="26">
        <f>IF(A1174="","",IF(MES!E1174&lt;&gt;4,"Horário do MES fora do padrão",IF(H1174&lt;cfgMinCortes,"Cortes insuficientes","Válida")))</f>
        <v>0</v>
      </c>
      <c r="L1174" s="27">
        <f>IF(K1174="Válida",ABS(J1174),"")</f>
        <v>0</v>
      </c>
      <c r="M1174" s="26">
        <f>IF(K1174="Válida",IF(L1174&lt;=cfgTolerancia,"Sim","Não"),"")</f>
        <v>0</v>
      </c>
      <c r="N1174" s="26">
        <f>IF(A1174="","",MES!D1174)</f>
        <v>0</v>
      </c>
      <c r="O1174" s="25">
        <f>IF(K1174="Válida",A1174,NA())</f>
        <v>0</v>
      </c>
      <c r="P1174" s="27">
        <f>IF(K1174="Válida",C1174,NA())</f>
        <v>0</v>
      </c>
      <c r="Q1174" s="27">
        <f>IF(K1174="Válida",I1174,NA())</f>
        <v>0</v>
      </c>
      <c r="R1174" s="27">
        <f>IF(K1174="Válida",J1174,NA())</f>
        <v>0</v>
      </c>
      <c r="S1174" s="27">
        <f>IF(K1174="Válida",C1174,"")</f>
        <v>0</v>
      </c>
      <c r="T1174" s="27">
        <f>IF(K1174="Válida",I1174,"")</f>
        <v>0</v>
      </c>
      <c r="U1174" s="27">
        <f>IF(K1174="Válida",J1174,"")</f>
        <v>0</v>
      </c>
    </row>
    <row r="1175" spans="1:21">
      <c r="A1175" s="25">
        <f>IF(MES!A1175="","",MES!C1175/48)</f>
        <v>0</v>
      </c>
      <c r="B1175" s="26">
        <f>IF(A1175="","",TEXT((N1175*4+cfgDeslocamento)/48,"hh:mm")&amp;" a "&amp;TEXT(A1175,"hh:mm"))</f>
        <v>0</v>
      </c>
      <c r="C1175" s="27">
        <f>IF(A1175="","",MES!B1175)</f>
        <v>0</v>
      </c>
      <c r="D1175" s="27">
        <f>IF(A1175="","",IFERROR(AVERAGEIFS(Prensa!$B$2:$B$5001,Prensa!$E$2:$E$5001,N1175,Prensa!$F$2:$F$5001,1,Prensa!$G$2:$G$5001,1),""))</f>
        <v>0</v>
      </c>
      <c r="E1175" s="27">
        <f>IF(A1175="","",IFERROR(AVERAGEIFS(Prensa!$B$2:$B$5001,Prensa!$E$2:$E$5001,N1175,Prensa!$F$2:$F$5001,2,Prensa!$G$2:$G$5001,1),""))</f>
        <v>0</v>
      </c>
      <c r="F1175" s="27">
        <f>IF(A1175="","",IFERROR(AVERAGEIFS(Prensa!$B$2:$B$5001,Prensa!$E$2:$E$5001,N1175,Prensa!$F$2:$F$5001,3,Prensa!$G$2:$G$5001,1),""))</f>
        <v>0</v>
      </c>
      <c r="G1175" s="27">
        <f>IF(A1175="","",IFERROR(AVERAGEIFS(Prensa!$B$2:$B$5001,Prensa!$E$2:$E$5001,N1175,Prensa!$F$2:$F$5001,4,Prensa!$G$2:$G$5001,1),""))</f>
        <v>0</v>
      </c>
      <c r="H1175" s="26">
        <f>IF(A1175="","",COUNT(D1175:G1175))</f>
        <v>0</v>
      </c>
      <c r="I1175" s="27">
        <f>IF(A1175="","",IF(H1175=0,"",AVERAGE(D1175:G1175)))</f>
        <v>0</v>
      </c>
      <c r="J1175" s="27">
        <f>IF(OR(I1175="",C1175=""),"",I1175-C1175)</f>
        <v>0</v>
      </c>
      <c r="K1175" s="26">
        <f>IF(A1175="","",IF(MES!E1175&lt;&gt;4,"Horário do MES fora do padrão",IF(H1175&lt;cfgMinCortes,"Cortes insuficientes","Válida")))</f>
        <v>0</v>
      </c>
      <c r="L1175" s="27">
        <f>IF(K1175="Válida",ABS(J1175),"")</f>
        <v>0</v>
      </c>
      <c r="M1175" s="26">
        <f>IF(K1175="Válida",IF(L1175&lt;=cfgTolerancia,"Sim","Não"),"")</f>
        <v>0</v>
      </c>
      <c r="N1175" s="26">
        <f>IF(A1175="","",MES!D1175)</f>
        <v>0</v>
      </c>
      <c r="O1175" s="25">
        <f>IF(K1175="Válida",A1175,NA())</f>
        <v>0</v>
      </c>
      <c r="P1175" s="27">
        <f>IF(K1175="Válida",C1175,NA())</f>
        <v>0</v>
      </c>
      <c r="Q1175" s="27">
        <f>IF(K1175="Válida",I1175,NA())</f>
        <v>0</v>
      </c>
      <c r="R1175" s="27">
        <f>IF(K1175="Válida",J1175,NA())</f>
        <v>0</v>
      </c>
      <c r="S1175" s="27">
        <f>IF(K1175="Válida",C1175,"")</f>
        <v>0</v>
      </c>
      <c r="T1175" s="27">
        <f>IF(K1175="Válida",I1175,"")</f>
        <v>0</v>
      </c>
      <c r="U1175" s="27">
        <f>IF(K1175="Válida",J1175,"")</f>
        <v>0</v>
      </c>
    </row>
    <row r="1176" spans="1:21">
      <c r="A1176" s="25">
        <f>IF(MES!A1176="","",MES!C1176/48)</f>
        <v>0</v>
      </c>
      <c r="B1176" s="26">
        <f>IF(A1176="","",TEXT((N1176*4+cfgDeslocamento)/48,"hh:mm")&amp;" a "&amp;TEXT(A1176,"hh:mm"))</f>
        <v>0</v>
      </c>
      <c r="C1176" s="27">
        <f>IF(A1176="","",MES!B1176)</f>
        <v>0</v>
      </c>
      <c r="D1176" s="27">
        <f>IF(A1176="","",IFERROR(AVERAGEIFS(Prensa!$B$2:$B$5001,Prensa!$E$2:$E$5001,N1176,Prensa!$F$2:$F$5001,1,Prensa!$G$2:$G$5001,1),""))</f>
        <v>0</v>
      </c>
      <c r="E1176" s="27">
        <f>IF(A1176="","",IFERROR(AVERAGEIFS(Prensa!$B$2:$B$5001,Prensa!$E$2:$E$5001,N1176,Prensa!$F$2:$F$5001,2,Prensa!$G$2:$G$5001,1),""))</f>
        <v>0</v>
      </c>
      <c r="F1176" s="27">
        <f>IF(A1176="","",IFERROR(AVERAGEIFS(Prensa!$B$2:$B$5001,Prensa!$E$2:$E$5001,N1176,Prensa!$F$2:$F$5001,3,Prensa!$G$2:$G$5001,1),""))</f>
        <v>0</v>
      </c>
      <c r="G1176" s="27">
        <f>IF(A1176="","",IFERROR(AVERAGEIFS(Prensa!$B$2:$B$5001,Prensa!$E$2:$E$5001,N1176,Prensa!$F$2:$F$5001,4,Prensa!$G$2:$G$5001,1),""))</f>
        <v>0</v>
      </c>
      <c r="H1176" s="26">
        <f>IF(A1176="","",COUNT(D1176:G1176))</f>
        <v>0</v>
      </c>
      <c r="I1176" s="27">
        <f>IF(A1176="","",IF(H1176=0,"",AVERAGE(D1176:G1176)))</f>
        <v>0</v>
      </c>
      <c r="J1176" s="27">
        <f>IF(OR(I1176="",C1176=""),"",I1176-C1176)</f>
        <v>0</v>
      </c>
      <c r="K1176" s="26">
        <f>IF(A1176="","",IF(MES!E1176&lt;&gt;4,"Horário do MES fora do padrão",IF(H1176&lt;cfgMinCortes,"Cortes insuficientes","Válida")))</f>
        <v>0</v>
      </c>
      <c r="L1176" s="27">
        <f>IF(K1176="Válida",ABS(J1176),"")</f>
        <v>0</v>
      </c>
      <c r="M1176" s="26">
        <f>IF(K1176="Válida",IF(L1176&lt;=cfgTolerancia,"Sim","Não"),"")</f>
        <v>0</v>
      </c>
      <c r="N1176" s="26">
        <f>IF(A1176="","",MES!D1176)</f>
        <v>0</v>
      </c>
      <c r="O1176" s="25">
        <f>IF(K1176="Válida",A1176,NA())</f>
        <v>0</v>
      </c>
      <c r="P1176" s="27">
        <f>IF(K1176="Válida",C1176,NA())</f>
        <v>0</v>
      </c>
      <c r="Q1176" s="27">
        <f>IF(K1176="Válida",I1176,NA())</f>
        <v>0</v>
      </c>
      <c r="R1176" s="27">
        <f>IF(K1176="Válida",J1176,NA())</f>
        <v>0</v>
      </c>
      <c r="S1176" s="27">
        <f>IF(K1176="Válida",C1176,"")</f>
        <v>0</v>
      </c>
      <c r="T1176" s="27">
        <f>IF(K1176="Válida",I1176,"")</f>
        <v>0</v>
      </c>
      <c r="U1176" s="27">
        <f>IF(K1176="Válida",J1176,"")</f>
        <v>0</v>
      </c>
    </row>
    <row r="1177" spans="1:21">
      <c r="A1177" s="25">
        <f>IF(MES!A1177="","",MES!C1177/48)</f>
        <v>0</v>
      </c>
      <c r="B1177" s="26">
        <f>IF(A1177="","",TEXT((N1177*4+cfgDeslocamento)/48,"hh:mm")&amp;" a "&amp;TEXT(A1177,"hh:mm"))</f>
        <v>0</v>
      </c>
      <c r="C1177" s="27">
        <f>IF(A1177="","",MES!B1177)</f>
        <v>0</v>
      </c>
      <c r="D1177" s="27">
        <f>IF(A1177="","",IFERROR(AVERAGEIFS(Prensa!$B$2:$B$5001,Prensa!$E$2:$E$5001,N1177,Prensa!$F$2:$F$5001,1,Prensa!$G$2:$G$5001,1),""))</f>
        <v>0</v>
      </c>
      <c r="E1177" s="27">
        <f>IF(A1177="","",IFERROR(AVERAGEIFS(Prensa!$B$2:$B$5001,Prensa!$E$2:$E$5001,N1177,Prensa!$F$2:$F$5001,2,Prensa!$G$2:$G$5001,1),""))</f>
        <v>0</v>
      </c>
      <c r="F1177" s="27">
        <f>IF(A1177="","",IFERROR(AVERAGEIFS(Prensa!$B$2:$B$5001,Prensa!$E$2:$E$5001,N1177,Prensa!$F$2:$F$5001,3,Prensa!$G$2:$G$5001,1),""))</f>
        <v>0</v>
      </c>
      <c r="G1177" s="27">
        <f>IF(A1177="","",IFERROR(AVERAGEIFS(Prensa!$B$2:$B$5001,Prensa!$E$2:$E$5001,N1177,Prensa!$F$2:$F$5001,4,Prensa!$G$2:$G$5001,1),""))</f>
        <v>0</v>
      </c>
      <c r="H1177" s="26">
        <f>IF(A1177="","",COUNT(D1177:G1177))</f>
        <v>0</v>
      </c>
      <c r="I1177" s="27">
        <f>IF(A1177="","",IF(H1177=0,"",AVERAGE(D1177:G1177)))</f>
        <v>0</v>
      </c>
      <c r="J1177" s="27">
        <f>IF(OR(I1177="",C1177=""),"",I1177-C1177)</f>
        <v>0</v>
      </c>
      <c r="K1177" s="26">
        <f>IF(A1177="","",IF(MES!E1177&lt;&gt;4,"Horário do MES fora do padrão",IF(H1177&lt;cfgMinCortes,"Cortes insuficientes","Válida")))</f>
        <v>0</v>
      </c>
      <c r="L1177" s="27">
        <f>IF(K1177="Válida",ABS(J1177),"")</f>
        <v>0</v>
      </c>
      <c r="M1177" s="26">
        <f>IF(K1177="Válida",IF(L1177&lt;=cfgTolerancia,"Sim","Não"),"")</f>
        <v>0</v>
      </c>
      <c r="N1177" s="26">
        <f>IF(A1177="","",MES!D1177)</f>
        <v>0</v>
      </c>
      <c r="O1177" s="25">
        <f>IF(K1177="Válida",A1177,NA())</f>
        <v>0</v>
      </c>
      <c r="P1177" s="27">
        <f>IF(K1177="Válida",C1177,NA())</f>
        <v>0</v>
      </c>
      <c r="Q1177" s="27">
        <f>IF(K1177="Válida",I1177,NA())</f>
        <v>0</v>
      </c>
      <c r="R1177" s="27">
        <f>IF(K1177="Válida",J1177,NA())</f>
        <v>0</v>
      </c>
      <c r="S1177" s="27">
        <f>IF(K1177="Válida",C1177,"")</f>
        <v>0</v>
      </c>
      <c r="T1177" s="27">
        <f>IF(K1177="Válida",I1177,"")</f>
        <v>0</v>
      </c>
      <c r="U1177" s="27">
        <f>IF(K1177="Válida",J1177,"")</f>
        <v>0</v>
      </c>
    </row>
    <row r="1178" spans="1:21">
      <c r="A1178" s="25">
        <f>IF(MES!A1178="","",MES!C1178/48)</f>
        <v>0</v>
      </c>
      <c r="B1178" s="26">
        <f>IF(A1178="","",TEXT((N1178*4+cfgDeslocamento)/48,"hh:mm")&amp;" a "&amp;TEXT(A1178,"hh:mm"))</f>
        <v>0</v>
      </c>
      <c r="C1178" s="27">
        <f>IF(A1178="","",MES!B1178)</f>
        <v>0</v>
      </c>
      <c r="D1178" s="27">
        <f>IF(A1178="","",IFERROR(AVERAGEIFS(Prensa!$B$2:$B$5001,Prensa!$E$2:$E$5001,N1178,Prensa!$F$2:$F$5001,1,Prensa!$G$2:$G$5001,1),""))</f>
        <v>0</v>
      </c>
      <c r="E1178" s="27">
        <f>IF(A1178="","",IFERROR(AVERAGEIFS(Prensa!$B$2:$B$5001,Prensa!$E$2:$E$5001,N1178,Prensa!$F$2:$F$5001,2,Prensa!$G$2:$G$5001,1),""))</f>
        <v>0</v>
      </c>
      <c r="F1178" s="27">
        <f>IF(A1178="","",IFERROR(AVERAGEIFS(Prensa!$B$2:$B$5001,Prensa!$E$2:$E$5001,N1178,Prensa!$F$2:$F$5001,3,Prensa!$G$2:$G$5001,1),""))</f>
        <v>0</v>
      </c>
      <c r="G1178" s="27">
        <f>IF(A1178="","",IFERROR(AVERAGEIFS(Prensa!$B$2:$B$5001,Prensa!$E$2:$E$5001,N1178,Prensa!$F$2:$F$5001,4,Prensa!$G$2:$G$5001,1),""))</f>
        <v>0</v>
      </c>
      <c r="H1178" s="26">
        <f>IF(A1178="","",COUNT(D1178:G1178))</f>
        <v>0</v>
      </c>
      <c r="I1178" s="27">
        <f>IF(A1178="","",IF(H1178=0,"",AVERAGE(D1178:G1178)))</f>
        <v>0</v>
      </c>
      <c r="J1178" s="27">
        <f>IF(OR(I1178="",C1178=""),"",I1178-C1178)</f>
        <v>0</v>
      </c>
      <c r="K1178" s="26">
        <f>IF(A1178="","",IF(MES!E1178&lt;&gt;4,"Horário do MES fora do padrão",IF(H1178&lt;cfgMinCortes,"Cortes insuficientes","Válida")))</f>
        <v>0</v>
      </c>
      <c r="L1178" s="27">
        <f>IF(K1178="Válida",ABS(J1178),"")</f>
        <v>0</v>
      </c>
      <c r="M1178" s="26">
        <f>IF(K1178="Válida",IF(L1178&lt;=cfgTolerancia,"Sim","Não"),"")</f>
        <v>0</v>
      </c>
      <c r="N1178" s="26">
        <f>IF(A1178="","",MES!D1178)</f>
        <v>0</v>
      </c>
      <c r="O1178" s="25">
        <f>IF(K1178="Válida",A1178,NA())</f>
        <v>0</v>
      </c>
      <c r="P1178" s="27">
        <f>IF(K1178="Válida",C1178,NA())</f>
        <v>0</v>
      </c>
      <c r="Q1178" s="27">
        <f>IF(K1178="Válida",I1178,NA())</f>
        <v>0</v>
      </c>
      <c r="R1178" s="27">
        <f>IF(K1178="Válida",J1178,NA())</f>
        <v>0</v>
      </c>
      <c r="S1178" s="27">
        <f>IF(K1178="Válida",C1178,"")</f>
        <v>0</v>
      </c>
      <c r="T1178" s="27">
        <f>IF(K1178="Válida",I1178,"")</f>
        <v>0</v>
      </c>
      <c r="U1178" s="27">
        <f>IF(K1178="Válida",J1178,"")</f>
        <v>0</v>
      </c>
    </row>
    <row r="1179" spans="1:21">
      <c r="A1179" s="25">
        <f>IF(MES!A1179="","",MES!C1179/48)</f>
        <v>0</v>
      </c>
      <c r="B1179" s="26">
        <f>IF(A1179="","",TEXT((N1179*4+cfgDeslocamento)/48,"hh:mm")&amp;" a "&amp;TEXT(A1179,"hh:mm"))</f>
        <v>0</v>
      </c>
      <c r="C1179" s="27">
        <f>IF(A1179="","",MES!B1179)</f>
        <v>0</v>
      </c>
      <c r="D1179" s="27">
        <f>IF(A1179="","",IFERROR(AVERAGEIFS(Prensa!$B$2:$B$5001,Prensa!$E$2:$E$5001,N1179,Prensa!$F$2:$F$5001,1,Prensa!$G$2:$G$5001,1),""))</f>
        <v>0</v>
      </c>
      <c r="E1179" s="27">
        <f>IF(A1179="","",IFERROR(AVERAGEIFS(Prensa!$B$2:$B$5001,Prensa!$E$2:$E$5001,N1179,Prensa!$F$2:$F$5001,2,Prensa!$G$2:$G$5001,1),""))</f>
        <v>0</v>
      </c>
      <c r="F1179" s="27">
        <f>IF(A1179="","",IFERROR(AVERAGEIFS(Prensa!$B$2:$B$5001,Prensa!$E$2:$E$5001,N1179,Prensa!$F$2:$F$5001,3,Prensa!$G$2:$G$5001,1),""))</f>
        <v>0</v>
      </c>
      <c r="G1179" s="27">
        <f>IF(A1179="","",IFERROR(AVERAGEIFS(Prensa!$B$2:$B$5001,Prensa!$E$2:$E$5001,N1179,Prensa!$F$2:$F$5001,4,Prensa!$G$2:$G$5001,1),""))</f>
        <v>0</v>
      </c>
      <c r="H1179" s="26">
        <f>IF(A1179="","",COUNT(D1179:G1179))</f>
        <v>0</v>
      </c>
      <c r="I1179" s="27">
        <f>IF(A1179="","",IF(H1179=0,"",AVERAGE(D1179:G1179)))</f>
        <v>0</v>
      </c>
      <c r="J1179" s="27">
        <f>IF(OR(I1179="",C1179=""),"",I1179-C1179)</f>
        <v>0</v>
      </c>
      <c r="K1179" s="26">
        <f>IF(A1179="","",IF(MES!E1179&lt;&gt;4,"Horário do MES fora do padrão",IF(H1179&lt;cfgMinCortes,"Cortes insuficientes","Válida")))</f>
        <v>0</v>
      </c>
      <c r="L1179" s="27">
        <f>IF(K1179="Válida",ABS(J1179),"")</f>
        <v>0</v>
      </c>
      <c r="M1179" s="26">
        <f>IF(K1179="Válida",IF(L1179&lt;=cfgTolerancia,"Sim","Não"),"")</f>
        <v>0</v>
      </c>
      <c r="N1179" s="26">
        <f>IF(A1179="","",MES!D1179)</f>
        <v>0</v>
      </c>
      <c r="O1179" s="25">
        <f>IF(K1179="Válida",A1179,NA())</f>
        <v>0</v>
      </c>
      <c r="P1179" s="27">
        <f>IF(K1179="Válida",C1179,NA())</f>
        <v>0</v>
      </c>
      <c r="Q1179" s="27">
        <f>IF(K1179="Válida",I1179,NA())</f>
        <v>0</v>
      </c>
      <c r="R1179" s="27">
        <f>IF(K1179="Válida",J1179,NA())</f>
        <v>0</v>
      </c>
      <c r="S1179" s="27">
        <f>IF(K1179="Válida",C1179,"")</f>
        <v>0</v>
      </c>
      <c r="T1179" s="27">
        <f>IF(K1179="Válida",I1179,"")</f>
        <v>0</v>
      </c>
      <c r="U1179" s="27">
        <f>IF(K1179="Válida",J1179,"")</f>
        <v>0</v>
      </c>
    </row>
    <row r="1180" spans="1:21">
      <c r="A1180" s="25">
        <f>IF(MES!A1180="","",MES!C1180/48)</f>
        <v>0</v>
      </c>
      <c r="B1180" s="26">
        <f>IF(A1180="","",TEXT((N1180*4+cfgDeslocamento)/48,"hh:mm")&amp;" a "&amp;TEXT(A1180,"hh:mm"))</f>
        <v>0</v>
      </c>
      <c r="C1180" s="27">
        <f>IF(A1180="","",MES!B1180)</f>
        <v>0</v>
      </c>
      <c r="D1180" s="27">
        <f>IF(A1180="","",IFERROR(AVERAGEIFS(Prensa!$B$2:$B$5001,Prensa!$E$2:$E$5001,N1180,Prensa!$F$2:$F$5001,1,Prensa!$G$2:$G$5001,1),""))</f>
        <v>0</v>
      </c>
      <c r="E1180" s="27">
        <f>IF(A1180="","",IFERROR(AVERAGEIFS(Prensa!$B$2:$B$5001,Prensa!$E$2:$E$5001,N1180,Prensa!$F$2:$F$5001,2,Prensa!$G$2:$G$5001,1),""))</f>
        <v>0</v>
      </c>
      <c r="F1180" s="27">
        <f>IF(A1180="","",IFERROR(AVERAGEIFS(Prensa!$B$2:$B$5001,Prensa!$E$2:$E$5001,N1180,Prensa!$F$2:$F$5001,3,Prensa!$G$2:$G$5001,1),""))</f>
        <v>0</v>
      </c>
      <c r="G1180" s="27">
        <f>IF(A1180="","",IFERROR(AVERAGEIFS(Prensa!$B$2:$B$5001,Prensa!$E$2:$E$5001,N1180,Prensa!$F$2:$F$5001,4,Prensa!$G$2:$G$5001,1),""))</f>
        <v>0</v>
      </c>
      <c r="H1180" s="26">
        <f>IF(A1180="","",COUNT(D1180:G1180))</f>
        <v>0</v>
      </c>
      <c r="I1180" s="27">
        <f>IF(A1180="","",IF(H1180=0,"",AVERAGE(D1180:G1180)))</f>
        <v>0</v>
      </c>
      <c r="J1180" s="27">
        <f>IF(OR(I1180="",C1180=""),"",I1180-C1180)</f>
        <v>0</v>
      </c>
      <c r="K1180" s="26">
        <f>IF(A1180="","",IF(MES!E1180&lt;&gt;4,"Horário do MES fora do padrão",IF(H1180&lt;cfgMinCortes,"Cortes insuficientes","Válida")))</f>
        <v>0</v>
      </c>
      <c r="L1180" s="27">
        <f>IF(K1180="Válida",ABS(J1180),"")</f>
        <v>0</v>
      </c>
      <c r="M1180" s="26">
        <f>IF(K1180="Válida",IF(L1180&lt;=cfgTolerancia,"Sim","Não"),"")</f>
        <v>0</v>
      </c>
      <c r="N1180" s="26">
        <f>IF(A1180="","",MES!D1180)</f>
        <v>0</v>
      </c>
      <c r="O1180" s="25">
        <f>IF(K1180="Válida",A1180,NA())</f>
        <v>0</v>
      </c>
      <c r="P1180" s="27">
        <f>IF(K1180="Válida",C1180,NA())</f>
        <v>0</v>
      </c>
      <c r="Q1180" s="27">
        <f>IF(K1180="Válida",I1180,NA())</f>
        <v>0</v>
      </c>
      <c r="R1180" s="27">
        <f>IF(K1180="Válida",J1180,NA())</f>
        <v>0</v>
      </c>
      <c r="S1180" s="27">
        <f>IF(K1180="Válida",C1180,"")</f>
        <v>0</v>
      </c>
      <c r="T1180" s="27">
        <f>IF(K1180="Válida",I1180,"")</f>
        <v>0</v>
      </c>
      <c r="U1180" s="27">
        <f>IF(K1180="Válida",J1180,"")</f>
        <v>0</v>
      </c>
    </row>
    <row r="1181" spans="1:21">
      <c r="A1181" s="25">
        <f>IF(MES!A1181="","",MES!C1181/48)</f>
        <v>0</v>
      </c>
      <c r="B1181" s="26">
        <f>IF(A1181="","",TEXT((N1181*4+cfgDeslocamento)/48,"hh:mm")&amp;" a "&amp;TEXT(A1181,"hh:mm"))</f>
        <v>0</v>
      </c>
      <c r="C1181" s="27">
        <f>IF(A1181="","",MES!B1181)</f>
        <v>0</v>
      </c>
      <c r="D1181" s="27">
        <f>IF(A1181="","",IFERROR(AVERAGEIFS(Prensa!$B$2:$B$5001,Prensa!$E$2:$E$5001,N1181,Prensa!$F$2:$F$5001,1,Prensa!$G$2:$G$5001,1),""))</f>
        <v>0</v>
      </c>
      <c r="E1181" s="27">
        <f>IF(A1181="","",IFERROR(AVERAGEIFS(Prensa!$B$2:$B$5001,Prensa!$E$2:$E$5001,N1181,Prensa!$F$2:$F$5001,2,Prensa!$G$2:$G$5001,1),""))</f>
        <v>0</v>
      </c>
      <c r="F1181" s="27">
        <f>IF(A1181="","",IFERROR(AVERAGEIFS(Prensa!$B$2:$B$5001,Prensa!$E$2:$E$5001,N1181,Prensa!$F$2:$F$5001,3,Prensa!$G$2:$G$5001,1),""))</f>
        <v>0</v>
      </c>
      <c r="G1181" s="27">
        <f>IF(A1181="","",IFERROR(AVERAGEIFS(Prensa!$B$2:$B$5001,Prensa!$E$2:$E$5001,N1181,Prensa!$F$2:$F$5001,4,Prensa!$G$2:$G$5001,1),""))</f>
        <v>0</v>
      </c>
      <c r="H1181" s="26">
        <f>IF(A1181="","",COUNT(D1181:G1181))</f>
        <v>0</v>
      </c>
      <c r="I1181" s="27">
        <f>IF(A1181="","",IF(H1181=0,"",AVERAGE(D1181:G1181)))</f>
        <v>0</v>
      </c>
      <c r="J1181" s="27">
        <f>IF(OR(I1181="",C1181=""),"",I1181-C1181)</f>
        <v>0</v>
      </c>
      <c r="K1181" s="26">
        <f>IF(A1181="","",IF(MES!E1181&lt;&gt;4,"Horário do MES fora do padrão",IF(H1181&lt;cfgMinCortes,"Cortes insuficientes","Válida")))</f>
        <v>0</v>
      </c>
      <c r="L1181" s="27">
        <f>IF(K1181="Válida",ABS(J1181),"")</f>
        <v>0</v>
      </c>
      <c r="M1181" s="26">
        <f>IF(K1181="Válida",IF(L1181&lt;=cfgTolerancia,"Sim","Não"),"")</f>
        <v>0</v>
      </c>
      <c r="N1181" s="26">
        <f>IF(A1181="","",MES!D1181)</f>
        <v>0</v>
      </c>
      <c r="O1181" s="25">
        <f>IF(K1181="Válida",A1181,NA())</f>
        <v>0</v>
      </c>
      <c r="P1181" s="27">
        <f>IF(K1181="Válida",C1181,NA())</f>
        <v>0</v>
      </c>
      <c r="Q1181" s="27">
        <f>IF(K1181="Válida",I1181,NA())</f>
        <v>0</v>
      </c>
      <c r="R1181" s="27">
        <f>IF(K1181="Válida",J1181,NA())</f>
        <v>0</v>
      </c>
      <c r="S1181" s="27">
        <f>IF(K1181="Válida",C1181,"")</f>
        <v>0</v>
      </c>
      <c r="T1181" s="27">
        <f>IF(K1181="Válida",I1181,"")</f>
        <v>0</v>
      </c>
      <c r="U1181" s="27">
        <f>IF(K1181="Válida",J1181,"")</f>
        <v>0</v>
      </c>
    </row>
    <row r="1182" spans="1:21">
      <c r="A1182" s="25">
        <f>IF(MES!A1182="","",MES!C1182/48)</f>
        <v>0</v>
      </c>
      <c r="B1182" s="26">
        <f>IF(A1182="","",TEXT((N1182*4+cfgDeslocamento)/48,"hh:mm")&amp;" a "&amp;TEXT(A1182,"hh:mm"))</f>
        <v>0</v>
      </c>
      <c r="C1182" s="27">
        <f>IF(A1182="","",MES!B1182)</f>
        <v>0</v>
      </c>
      <c r="D1182" s="27">
        <f>IF(A1182="","",IFERROR(AVERAGEIFS(Prensa!$B$2:$B$5001,Prensa!$E$2:$E$5001,N1182,Prensa!$F$2:$F$5001,1,Prensa!$G$2:$G$5001,1),""))</f>
        <v>0</v>
      </c>
      <c r="E1182" s="27">
        <f>IF(A1182="","",IFERROR(AVERAGEIFS(Prensa!$B$2:$B$5001,Prensa!$E$2:$E$5001,N1182,Prensa!$F$2:$F$5001,2,Prensa!$G$2:$G$5001,1),""))</f>
        <v>0</v>
      </c>
      <c r="F1182" s="27">
        <f>IF(A1182="","",IFERROR(AVERAGEIFS(Prensa!$B$2:$B$5001,Prensa!$E$2:$E$5001,N1182,Prensa!$F$2:$F$5001,3,Prensa!$G$2:$G$5001,1),""))</f>
        <v>0</v>
      </c>
      <c r="G1182" s="27">
        <f>IF(A1182="","",IFERROR(AVERAGEIFS(Prensa!$B$2:$B$5001,Prensa!$E$2:$E$5001,N1182,Prensa!$F$2:$F$5001,4,Prensa!$G$2:$G$5001,1),""))</f>
        <v>0</v>
      </c>
      <c r="H1182" s="26">
        <f>IF(A1182="","",COUNT(D1182:G1182))</f>
        <v>0</v>
      </c>
      <c r="I1182" s="27">
        <f>IF(A1182="","",IF(H1182=0,"",AVERAGE(D1182:G1182)))</f>
        <v>0</v>
      </c>
      <c r="J1182" s="27">
        <f>IF(OR(I1182="",C1182=""),"",I1182-C1182)</f>
        <v>0</v>
      </c>
      <c r="K1182" s="26">
        <f>IF(A1182="","",IF(MES!E1182&lt;&gt;4,"Horário do MES fora do padrão",IF(H1182&lt;cfgMinCortes,"Cortes insuficientes","Válida")))</f>
        <v>0</v>
      </c>
      <c r="L1182" s="27">
        <f>IF(K1182="Válida",ABS(J1182),"")</f>
        <v>0</v>
      </c>
      <c r="M1182" s="26">
        <f>IF(K1182="Válida",IF(L1182&lt;=cfgTolerancia,"Sim","Não"),"")</f>
        <v>0</v>
      </c>
      <c r="N1182" s="26">
        <f>IF(A1182="","",MES!D1182)</f>
        <v>0</v>
      </c>
      <c r="O1182" s="25">
        <f>IF(K1182="Válida",A1182,NA())</f>
        <v>0</v>
      </c>
      <c r="P1182" s="27">
        <f>IF(K1182="Válida",C1182,NA())</f>
        <v>0</v>
      </c>
      <c r="Q1182" s="27">
        <f>IF(K1182="Válida",I1182,NA())</f>
        <v>0</v>
      </c>
      <c r="R1182" s="27">
        <f>IF(K1182="Válida",J1182,NA())</f>
        <v>0</v>
      </c>
      <c r="S1182" s="27">
        <f>IF(K1182="Válida",C1182,"")</f>
        <v>0</v>
      </c>
      <c r="T1182" s="27">
        <f>IF(K1182="Válida",I1182,"")</f>
        <v>0</v>
      </c>
      <c r="U1182" s="27">
        <f>IF(K1182="Válida",J1182,"")</f>
        <v>0</v>
      </c>
    </row>
    <row r="1183" spans="1:21">
      <c r="A1183" s="25">
        <f>IF(MES!A1183="","",MES!C1183/48)</f>
        <v>0</v>
      </c>
      <c r="B1183" s="26">
        <f>IF(A1183="","",TEXT((N1183*4+cfgDeslocamento)/48,"hh:mm")&amp;" a "&amp;TEXT(A1183,"hh:mm"))</f>
        <v>0</v>
      </c>
      <c r="C1183" s="27">
        <f>IF(A1183="","",MES!B1183)</f>
        <v>0</v>
      </c>
      <c r="D1183" s="27">
        <f>IF(A1183="","",IFERROR(AVERAGEIFS(Prensa!$B$2:$B$5001,Prensa!$E$2:$E$5001,N1183,Prensa!$F$2:$F$5001,1,Prensa!$G$2:$G$5001,1),""))</f>
        <v>0</v>
      </c>
      <c r="E1183" s="27">
        <f>IF(A1183="","",IFERROR(AVERAGEIFS(Prensa!$B$2:$B$5001,Prensa!$E$2:$E$5001,N1183,Prensa!$F$2:$F$5001,2,Prensa!$G$2:$G$5001,1),""))</f>
        <v>0</v>
      </c>
      <c r="F1183" s="27">
        <f>IF(A1183="","",IFERROR(AVERAGEIFS(Prensa!$B$2:$B$5001,Prensa!$E$2:$E$5001,N1183,Prensa!$F$2:$F$5001,3,Prensa!$G$2:$G$5001,1),""))</f>
        <v>0</v>
      </c>
      <c r="G1183" s="27">
        <f>IF(A1183="","",IFERROR(AVERAGEIFS(Prensa!$B$2:$B$5001,Prensa!$E$2:$E$5001,N1183,Prensa!$F$2:$F$5001,4,Prensa!$G$2:$G$5001,1),""))</f>
        <v>0</v>
      </c>
      <c r="H1183" s="26">
        <f>IF(A1183="","",COUNT(D1183:G1183))</f>
        <v>0</v>
      </c>
      <c r="I1183" s="27">
        <f>IF(A1183="","",IF(H1183=0,"",AVERAGE(D1183:G1183)))</f>
        <v>0</v>
      </c>
      <c r="J1183" s="27">
        <f>IF(OR(I1183="",C1183=""),"",I1183-C1183)</f>
        <v>0</v>
      </c>
      <c r="K1183" s="26">
        <f>IF(A1183="","",IF(MES!E1183&lt;&gt;4,"Horário do MES fora do padrão",IF(H1183&lt;cfgMinCortes,"Cortes insuficientes","Válida")))</f>
        <v>0</v>
      </c>
      <c r="L1183" s="27">
        <f>IF(K1183="Válida",ABS(J1183),"")</f>
        <v>0</v>
      </c>
      <c r="M1183" s="26">
        <f>IF(K1183="Válida",IF(L1183&lt;=cfgTolerancia,"Sim","Não"),"")</f>
        <v>0</v>
      </c>
      <c r="N1183" s="26">
        <f>IF(A1183="","",MES!D1183)</f>
        <v>0</v>
      </c>
      <c r="O1183" s="25">
        <f>IF(K1183="Válida",A1183,NA())</f>
        <v>0</v>
      </c>
      <c r="P1183" s="27">
        <f>IF(K1183="Válida",C1183,NA())</f>
        <v>0</v>
      </c>
      <c r="Q1183" s="27">
        <f>IF(K1183="Válida",I1183,NA())</f>
        <v>0</v>
      </c>
      <c r="R1183" s="27">
        <f>IF(K1183="Válida",J1183,NA())</f>
        <v>0</v>
      </c>
      <c r="S1183" s="27">
        <f>IF(K1183="Válida",C1183,"")</f>
        <v>0</v>
      </c>
      <c r="T1183" s="27">
        <f>IF(K1183="Válida",I1183,"")</f>
        <v>0</v>
      </c>
      <c r="U1183" s="27">
        <f>IF(K1183="Válida",J1183,"")</f>
        <v>0</v>
      </c>
    </row>
    <row r="1184" spans="1:21">
      <c r="A1184" s="25">
        <f>IF(MES!A1184="","",MES!C1184/48)</f>
        <v>0</v>
      </c>
      <c r="B1184" s="26">
        <f>IF(A1184="","",TEXT((N1184*4+cfgDeslocamento)/48,"hh:mm")&amp;" a "&amp;TEXT(A1184,"hh:mm"))</f>
        <v>0</v>
      </c>
      <c r="C1184" s="27">
        <f>IF(A1184="","",MES!B1184)</f>
        <v>0</v>
      </c>
      <c r="D1184" s="27">
        <f>IF(A1184="","",IFERROR(AVERAGEIFS(Prensa!$B$2:$B$5001,Prensa!$E$2:$E$5001,N1184,Prensa!$F$2:$F$5001,1,Prensa!$G$2:$G$5001,1),""))</f>
        <v>0</v>
      </c>
      <c r="E1184" s="27">
        <f>IF(A1184="","",IFERROR(AVERAGEIFS(Prensa!$B$2:$B$5001,Prensa!$E$2:$E$5001,N1184,Prensa!$F$2:$F$5001,2,Prensa!$G$2:$G$5001,1),""))</f>
        <v>0</v>
      </c>
      <c r="F1184" s="27">
        <f>IF(A1184="","",IFERROR(AVERAGEIFS(Prensa!$B$2:$B$5001,Prensa!$E$2:$E$5001,N1184,Prensa!$F$2:$F$5001,3,Prensa!$G$2:$G$5001,1),""))</f>
        <v>0</v>
      </c>
      <c r="G1184" s="27">
        <f>IF(A1184="","",IFERROR(AVERAGEIFS(Prensa!$B$2:$B$5001,Prensa!$E$2:$E$5001,N1184,Prensa!$F$2:$F$5001,4,Prensa!$G$2:$G$5001,1),""))</f>
        <v>0</v>
      </c>
      <c r="H1184" s="26">
        <f>IF(A1184="","",COUNT(D1184:G1184))</f>
        <v>0</v>
      </c>
      <c r="I1184" s="27">
        <f>IF(A1184="","",IF(H1184=0,"",AVERAGE(D1184:G1184)))</f>
        <v>0</v>
      </c>
      <c r="J1184" s="27">
        <f>IF(OR(I1184="",C1184=""),"",I1184-C1184)</f>
        <v>0</v>
      </c>
      <c r="K1184" s="26">
        <f>IF(A1184="","",IF(MES!E1184&lt;&gt;4,"Horário do MES fora do padrão",IF(H1184&lt;cfgMinCortes,"Cortes insuficientes","Válida")))</f>
        <v>0</v>
      </c>
      <c r="L1184" s="27">
        <f>IF(K1184="Válida",ABS(J1184),"")</f>
        <v>0</v>
      </c>
      <c r="M1184" s="26">
        <f>IF(K1184="Válida",IF(L1184&lt;=cfgTolerancia,"Sim","Não"),"")</f>
        <v>0</v>
      </c>
      <c r="N1184" s="26">
        <f>IF(A1184="","",MES!D1184)</f>
        <v>0</v>
      </c>
      <c r="O1184" s="25">
        <f>IF(K1184="Válida",A1184,NA())</f>
        <v>0</v>
      </c>
      <c r="P1184" s="27">
        <f>IF(K1184="Válida",C1184,NA())</f>
        <v>0</v>
      </c>
      <c r="Q1184" s="27">
        <f>IF(K1184="Válida",I1184,NA())</f>
        <v>0</v>
      </c>
      <c r="R1184" s="27">
        <f>IF(K1184="Válida",J1184,NA())</f>
        <v>0</v>
      </c>
      <c r="S1184" s="27">
        <f>IF(K1184="Válida",C1184,"")</f>
        <v>0</v>
      </c>
      <c r="T1184" s="27">
        <f>IF(K1184="Válida",I1184,"")</f>
        <v>0</v>
      </c>
      <c r="U1184" s="27">
        <f>IF(K1184="Válida",J1184,"")</f>
        <v>0</v>
      </c>
    </row>
    <row r="1185" spans="1:21">
      <c r="A1185" s="25">
        <f>IF(MES!A1185="","",MES!C1185/48)</f>
        <v>0</v>
      </c>
      <c r="B1185" s="26">
        <f>IF(A1185="","",TEXT((N1185*4+cfgDeslocamento)/48,"hh:mm")&amp;" a "&amp;TEXT(A1185,"hh:mm"))</f>
        <v>0</v>
      </c>
      <c r="C1185" s="27">
        <f>IF(A1185="","",MES!B1185)</f>
        <v>0</v>
      </c>
      <c r="D1185" s="27">
        <f>IF(A1185="","",IFERROR(AVERAGEIFS(Prensa!$B$2:$B$5001,Prensa!$E$2:$E$5001,N1185,Prensa!$F$2:$F$5001,1,Prensa!$G$2:$G$5001,1),""))</f>
        <v>0</v>
      </c>
      <c r="E1185" s="27">
        <f>IF(A1185="","",IFERROR(AVERAGEIFS(Prensa!$B$2:$B$5001,Prensa!$E$2:$E$5001,N1185,Prensa!$F$2:$F$5001,2,Prensa!$G$2:$G$5001,1),""))</f>
        <v>0</v>
      </c>
      <c r="F1185" s="27">
        <f>IF(A1185="","",IFERROR(AVERAGEIFS(Prensa!$B$2:$B$5001,Prensa!$E$2:$E$5001,N1185,Prensa!$F$2:$F$5001,3,Prensa!$G$2:$G$5001,1),""))</f>
        <v>0</v>
      </c>
      <c r="G1185" s="27">
        <f>IF(A1185="","",IFERROR(AVERAGEIFS(Prensa!$B$2:$B$5001,Prensa!$E$2:$E$5001,N1185,Prensa!$F$2:$F$5001,4,Prensa!$G$2:$G$5001,1),""))</f>
        <v>0</v>
      </c>
      <c r="H1185" s="26">
        <f>IF(A1185="","",COUNT(D1185:G1185))</f>
        <v>0</v>
      </c>
      <c r="I1185" s="27">
        <f>IF(A1185="","",IF(H1185=0,"",AVERAGE(D1185:G1185)))</f>
        <v>0</v>
      </c>
      <c r="J1185" s="27">
        <f>IF(OR(I1185="",C1185=""),"",I1185-C1185)</f>
        <v>0</v>
      </c>
      <c r="K1185" s="26">
        <f>IF(A1185="","",IF(MES!E1185&lt;&gt;4,"Horário do MES fora do padrão",IF(H1185&lt;cfgMinCortes,"Cortes insuficientes","Válida")))</f>
        <v>0</v>
      </c>
      <c r="L1185" s="27">
        <f>IF(K1185="Válida",ABS(J1185),"")</f>
        <v>0</v>
      </c>
      <c r="M1185" s="26">
        <f>IF(K1185="Válida",IF(L1185&lt;=cfgTolerancia,"Sim","Não"),"")</f>
        <v>0</v>
      </c>
      <c r="N1185" s="26">
        <f>IF(A1185="","",MES!D1185)</f>
        <v>0</v>
      </c>
      <c r="O1185" s="25">
        <f>IF(K1185="Válida",A1185,NA())</f>
        <v>0</v>
      </c>
      <c r="P1185" s="27">
        <f>IF(K1185="Válida",C1185,NA())</f>
        <v>0</v>
      </c>
      <c r="Q1185" s="27">
        <f>IF(K1185="Válida",I1185,NA())</f>
        <v>0</v>
      </c>
      <c r="R1185" s="27">
        <f>IF(K1185="Válida",J1185,NA())</f>
        <v>0</v>
      </c>
      <c r="S1185" s="27">
        <f>IF(K1185="Válida",C1185,"")</f>
        <v>0</v>
      </c>
      <c r="T1185" s="27">
        <f>IF(K1185="Válida",I1185,"")</f>
        <v>0</v>
      </c>
      <c r="U1185" s="27">
        <f>IF(K1185="Válida",J1185,"")</f>
        <v>0</v>
      </c>
    </row>
    <row r="1186" spans="1:21">
      <c r="A1186" s="25">
        <f>IF(MES!A1186="","",MES!C1186/48)</f>
        <v>0</v>
      </c>
      <c r="B1186" s="26">
        <f>IF(A1186="","",TEXT((N1186*4+cfgDeslocamento)/48,"hh:mm")&amp;" a "&amp;TEXT(A1186,"hh:mm"))</f>
        <v>0</v>
      </c>
      <c r="C1186" s="27">
        <f>IF(A1186="","",MES!B1186)</f>
        <v>0</v>
      </c>
      <c r="D1186" s="27">
        <f>IF(A1186="","",IFERROR(AVERAGEIFS(Prensa!$B$2:$B$5001,Prensa!$E$2:$E$5001,N1186,Prensa!$F$2:$F$5001,1,Prensa!$G$2:$G$5001,1),""))</f>
        <v>0</v>
      </c>
      <c r="E1186" s="27">
        <f>IF(A1186="","",IFERROR(AVERAGEIFS(Prensa!$B$2:$B$5001,Prensa!$E$2:$E$5001,N1186,Prensa!$F$2:$F$5001,2,Prensa!$G$2:$G$5001,1),""))</f>
        <v>0</v>
      </c>
      <c r="F1186" s="27">
        <f>IF(A1186="","",IFERROR(AVERAGEIFS(Prensa!$B$2:$B$5001,Prensa!$E$2:$E$5001,N1186,Prensa!$F$2:$F$5001,3,Prensa!$G$2:$G$5001,1),""))</f>
        <v>0</v>
      </c>
      <c r="G1186" s="27">
        <f>IF(A1186="","",IFERROR(AVERAGEIFS(Prensa!$B$2:$B$5001,Prensa!$E$2:$E$5001,N1186,Prensa!$F$2:$F$5001,4,Prensa!$G$2:$G$5001,1),""))</f>
        <v>0</v>
      </c>
      <c r="H1186" s="26">
        <f>IF(A1186="","",COUNT(D1186:G1186))</f>
        <v>0</v>
      </c>
      <c r="I1186" s="27">
        <f>IF(A1186="","",IF(H1186=0,"",AVERAGE(D1186:G1186)))</f>
        <v>0</v>
      </c>
      <c r="J1186" s="27">
        <f>IF(OR(I1186="",C1186=""),"",I1186-C1186)</f>
        <v>0</v>
      </c>
      <c r="K1186" s="26">
        <f>IF(A1186="","",IF(MES!E1186&lt;&gt;4,"Horário do MES fora do padrão",IF(H1186&lt;cfgMinCortes,"Cortes insuficientes","Válida")))</f>
        <v>0</v>
      </c>
      <c r="L1186" s="27">
        <f>IF(K1186="Válida",ABS(J1186),"")</f>
        <v>0</v>
      </c>
      <c r="M1186" s="26">
        <f>IF(K1186="Válida",IF(L1186&lt;=cfgTolerancia,"Sim","Não"),"")</f>
        <v>0</v>
      </c>
      <c r="N1186" s="26">
        <f>IF(A1186="","",MES!D1186)</f>
        <v>0</v>
      </c>
      <c r="O1186" s="25">
        <f>IF(K1186="Válida",A1186,NA())</f>
        <v>0</v>
      </c>
      <c r="P1186" s="27">
        <f>IF(K1186="Válida",C1186,NA())</f>
        <v>0</v>
      </c>
      <c r="Q1186" s="27">
        <f>IF(K1186="Válida",I1186,NA())</f>
        <v>0</v>
      </c>
      <c r="R1186" s="27">
        <f>IF(K1186="Válida",J1186,NA())</f>
        <v>0</v>
      </c>
      <c r="S1186" s="27">
        <f>IF(K1186="Válida",C1186,"")</f>
        <v>0</v>
      </c>
      <c r="T1186" s="27">
        <f>IF(K1186="Válida",I1186,"")</f>
        <v>0</v>
      </c>
      <c r="U1186" s="27">
        <f>IF(K1186="Válida",J1186,"")</f>
        <v>0</v>
      </c>
    </row>
    <row r="1187" spans="1:21">
      <c r="A1187" s="25">
        <f>IF(MES!A1187="","",MES!C1187/48)</f>
        <v>0</v>
      </c>
      <c r="B1187" s="26">
        <f>IF(A1187="","",TEXT((N1187*4+cfgDeslocamento)/48,"hh:mm")&amp;" a "&amp;TEXT(A1187,"hh:mm"))</f>
        <v>0</v>
      </c>
      <c r="C1187" s="27">
        <f>IF(A1187="","",MES!B1187)</f>
        <v>0</v>
      </c>
      <c r="D1187" s="27">
        <f>IF(A1187="","",IFERROR(AVERAGEIFS(Prensa!$B$2:$B$5001,Prensa!$E$2:$E$5001,N1187,Prensa!$F$2:$F$5001,1,Prensa!$G$2:$G$5001,1),""))</f>
        <v>0</v>
      </c>
      <c r="E1187" s="27">
        <f>IF(A1187="","",IFERROR(AVERAGEIFS(Prensa!$B$2:$B$5001,Prensa!$E$2:$E$5001,N1187,Prensa!$F$2:$F$5001,2,Prensa!$G$2:$G$5001,1),""))</f>
        <v>0</v>
      </c>
      <c r="F1187" s="27">
        <f>IF(A1187="","",IFERROR(AVERAGEIFS(Prensa!$B$2:$B$5001,Prensa!$E$2:$E$5001,N1187,Prensa!$F$2:$F$5001,3,Prensa!$G$2:$G$5001,1),""))</f>
        <v>0</v>
      </c>
      <c r="G1187" s="27">
        <f>IF(A1187="","",IFERROR(AVERAGEIFS(Prensa!$B$2:$B$5001,Prensa!$E$2:$E$5001,N1187,Prensa!$F$2:$F$5001,4,Prensa!$G$2:$G$5001,1),""))</f>
        <v>0</v>
      </c>
      <c r="H1187" s="26">
        <f>IF(A1187="","",COUNT(D1187:G1187))</f>
        <v>0</v>
      </c>
      <c r="I1187" s="27">
        <f>IF(A1187="","",IF(H1187=0,"",AVERAGE(D1187:G1187)))</f>
        <v>0</v>
      </c>
      <c r="J1187" s="27">
        <f>IF(OR(I1187="",C1187=""),"",I1187-C1187)</f>
        <v>0</v>
      </c>
      <c r="K1187" s="26">
        <f>IF(A1187="","",IF(MES!E1187&lt;&gt;4,"Horário do MES fora do padrão",IF(H1187&lt;cfgMinCortes,"Cortes insuficientes","Válida")))</f>
        <v>0</v>
      </c>
      <c r="L1187" s="27">
        <f>IF(K1187="Válida",ABS(J1187),"")</f>
        <v>0</v>
      </c>
      <c r="M1187" s="26">
        <f>IF(K1187="Válida",IF(L1187&lt;=cfgTolerancia,"Sim","Não"),"")</f>
        <v>0</v>
      </c>
      <c r="N1187" s="26">
        <f>IF(A1187="","",MES!D1187)</f>
        <v>0</v>
      </c>
      <c r="O1187" s="25">
        <f>IF(K1187="Válida",A1187,NA())</f>
        <v>0</v>
      </c>
      <c r="P1187" s="27">
        <f>IF(K1187="Válida",C1187,NA())</f>
        <v>0</v>
      </c>
      <c r="Q1187" s="27">
        <f>IF(K1187="Válida",I1187,NA())</f>
        <v>0</v>
      </c>
      <c r="R1187" s="27">
        <f>IF(K1187="Válida",J1187,NA())</f>
        <v>0</v>
      </c>
      <c r="S1187" s="27">
        <f>IF(K1187="Válida",C1187,"")</f>
        <v>0</v>
      </c>
      <c r="T1187" s="27">
        <f>IF(K1187="Válida",I1187,"")</f>
        <v>0</v>
      </c>
      <c r="U1187" s="27">
        <f>IF(K1187="Válida",J1187,"")</f>
        <v>0</v>
      </c>
    </row>
    <row r="1188" spans="1:21">
      <c r="A1188" s="25">
        <f>IF(MES!A1188="","",MES!C1188/48)</f>
        <v>0</v>
      </c>
      <c r="B1188" s="26">
        <f>IF(A1188="","",TEXT((N1188*4+cfgDeslocamento)/48,"hh:mm")&amp;" a "&amp;TEXT(A1188,"hh:mm"))</f>
        <v>0</v>
      </c>
      <c r="C1188" s="27">
        <f>IF(A1188="","",MES!B1188)</f>
        <v>0</v>
      </c>
      <c r="D1188" s="27">
        <f>IF(A1188="","",IFERROR(AVERAGEIFS(Prensa!$B$2:$B$5001,Prensa!$E$2:$E$5001,N1188,Prensa!$F$2:$F$5001,1,Prensa!$G$2:$G$5001,1),""))</f>
        <v>0</v>
      </c>
      <c r="E1188" s="27">
        <f>IF(A1188="","",IFERROR(AVERAGEIFS(Prensa!$B$2:$B$5001,Prensa!$E$2:$E$5001,N1188,Prensa!$F$2:$F$5001,2,Prensa!$G$2:$G$5001,1),""))</f>
        <v>0</v>
      </c>
      <c r="F1188" s="27">
        <f>IF(A1188="","",IFERROR(AVERAGEIFS(Prensa!$B$2:$B$5001,Prensa!$E$2:$E$5001,N1188,Prensa!$F$2:$F$5001,3,Prensa!$G$2:$G$5001,1),""))</f>
        <v>0</v>
      </c>
      <c r="G1188" s="27">
        <f>IF(A1188="","",IFERROR(AVERAGEIFS(Prensa!$B$2:$B$5001,Prensa!$E$2:$E$5001,N1188,Prensa!$F$2:$F$5001,4,Prensa!$G$2:$G$5001,1),""))</f>
        <v>0</v>
      </c>
      <c r="H1188" s="26">
        <f>IF(A1188="","",COUNT(D1188:G1188))</f>
        <v>0</v>
      </c>
      <c r="I1188" s="27">
        <f>IF(A1188="","",IF(H1188=0,"",AVERAGE(D1188:G1188)))</f>
        <v>0</v>
      </c>
      <c r="J1188" s="27">
        <f>IF(OR(I1188="",C1188=""),"",I1188-C1188)</f>
        <v>0</v>
      </c>
      <c r="K1188" s="26">
        <f>IF(A1188="","",IF(MES!E1188&lt;&gt;4,"Horário do MES fora do padrão",IF(H1188&lt;cfgMinCortes,"Cortes insuficientes","Válida")))</f>
        <v>0</v>
      </c>
      <c r="L1188" s="27">
        <f>IF(K1188="Válida",ABS(J1188),"")</f>
        <v>0</v>
      </c>
      <c r="M1188" s="26">
        <f>IF(K1188="Válida",IF(L1188&lt;=cfgTolerancia,"Sim","Não"),"")</f>
        <v>0</v>
      </c>
      <c r="N1188" s="26">
        <f>IF(A1188="","",MES!D1188)</f>
        <v>0</v>
      </c>
      <c r="O1188" s="25">
        <f>IF(K1188="Válida",A1188,NA())</f>
        <v>0</v>
      </c>
      <c r="P1188" s="27">
        <f>IF(K1188="Válida",C1188,NA())</f>
        <v>0</v>
      </c>
      <c r="Q1188" s="27">
        <f>IF(K1188="Válida",I1188,NA())</f>
        <v>0</v>
      </c>
      <c r="R1188" s="27">
        <f>IF(K1188="Válida",J1188,NA())</f>
        <v>0</v>
      </c>
      <c r="S1188" s="27">
        <f>IF(K1188="Válida",C1188,"")</f>
        <v>0</v>
      </c>
      <c r="T1188" s="27">
        <f>IF(K1188="Válida",I1188,"")</f>
        <v>0</v>
      </c>
      <c r="U1188" s="27">
        <f>IF(K1188="Válida",J1188,"")</f>
        <v>0</v>
      </c>
    </row>
    <row r="1189" spans="1:21">
      <c r="A1189" s="25">
        <f>IF(MES!A1189="","",MES!C1189/48)</f>
        <v>0</v>
      </c>
      <c r="B1189" s="26">
        <f>IF(A1189="","",TEXT((N1189*4+cfgDeslocamento)/48,"hh:mm")&amp;" a "&amp;TEXT(A1189,"hh:mm"))</f>
        <v>0</v>
      </c>
      <c r="C1189" s="27">
        <f>IF(A1189="","",MES!B1189)</f>
        <v>0</v>
      </c>
      <c r="D1189" s="27">
        <f>IF(A1189="","",IFERROR(AVERAGEIFS(Prensa!$B$2:$B$5001,Prensa!$E$2:$E$5001,N1189,Prensa!$F$2:$F$5001,1,Prensa!$G$2:$G$5001,1),""))</f>
        <v>0</v>
      </c>
      <c r="E1189" s="27">
        <f>IF(A1189="","",IFERROR(AVERAGEIFS(Prensa!$B$2:$B$5001,Prensa!$E$2:$E$5001,N1189,Prensa!$F$2:$F$5001,2,Prensa!$G$2:$G$5001,1),""))</f>
        <v>0</v>
      </c>
      <c r="F1189" s="27">
        <f>IF(A1189="","",IFERROR(AVERAGEIFS(Prensa!$B$2:$B$5001,Prensa!$E$2:$E$5001,N1189,Prensa!$F$2:$F$5001,3,Prensa!$G$2:$G$5001,1),""))</f>
        <v>0</v>
      </c>
      <c r="G1189" s="27">
        <f>IF(A1189="","",IFERROR(AVERAGEIFS(Prensa!$B$2:$B$5001,Prensa!$E$2:$E$5001,N1189,Prensa!$F$2:$F$5001,4,Prensa!$G$2:$G$5001,1),""))</f>
        <v>0</v>
      </c>
      <c r="H1189" s="26">
        <f>IF(A1189="","",COUNT(D1189:G1189))</f>
        <v>0</v>
      </c>
      <c r="I1189" s="27">
        <f>IF(A1189="","",IF(H1189=0,"",AVERAGE(D1189:G1189)))</f>
        <v>0</v>
      </c>
      <c r="J1189" s="27">
        <f>IF(OR(I1189="",C1189=""),"",I1189-C1189)</f>
        <v>0</v>
      </c>
      <c r="K1189" s="26">
        <f>IF(A1189="","",IF(MES!E1189&lt;&gt;4,"Horário do MES fora do padrão",IF(H1189&lt;cfgMinCortes,"Cortes insuficientes","Válida")))</f>
        <v>0</v>
      </c>
      <c r="L1189" s="27">
        <f>IF(K1189="Válida",ABS(J1189),"")</f>
        <v>0</v>
      </c>
      <c r="M1189" s="26">
        <f>IF(K1189="Válida",IF(L1189&lt;=cfgTolerancia,"Sim","Não"),"")</f>
        <v>0</v>
      </c>
      <c r="N1189" s="26">
        <f>IF(A1189="","",MES!D1189)</f>
        <v>0</v>
      </c>
      <c r="O1189" s="25">
        <f>IF(K1189="Válida",A1189,NA())</f>
        <v>0</v>
      </c>
      <c r="P1189" s="27">
        <f>IF(K1189="Válida",C1189,NA())</f>
        <v>0</v>
      </c>
      <c r="Q1189" s="27">
        <f>IF(K1189="Válida",I1189,NA())</f>
        <v>0</v>
      </c>
      <c r="R1189" s="27">
        <f>IF(K1189="Válida",J1189,NA())</f>
        <v>0</v>
      </c>
      <c r="S1189" s="27">
        <f>IF(K1189="Válida",C1189,"")</f>
        <v>0</v>
      </c>
      <c r="T1189" s="27">
        <f>IF(K1189="Válida",I1189,"")</f>
        <v>0</v>
      </c>
      <c r="U1189" s="27">
        <f>IF(K1189="Válida",J1189,"")</f>
        <v>0</v>
      </c>
    </row>
    <row r="1190" spans="1:21">
      <c r="A1190" s="25">
        <f>IF(MES!A1190="","",MES!C1190/48)</f>
        <v>0</v>
      </c>
      <c r="B1190" s="26">
        <f>IF(A1190="","",TEXT((N1190*4+cfgDeslocamento)/48,"hh:mm")&amp;" a "&amp;TEXT(A1190,"hh:mm"))</f>
        <v>0</v>
      </c>
      <c r="C1190" s="27">
        <f>IF(A1190="","",MES!B1190)</f>
        <v>0</v>
      </c>
      <c r="D1190" s="27">
        <f>IF(A1190="","",IFERROR(AVERAGEIFS(Prensa!$B$2:$B$5001,Prensa!$E$2:$E$5001,N1190,Prensa!$F$2:$F$5001,1,Prensa!$G$2:$G$5001,1),""))</f>
        <v>0</v>
      </c>
      <c r="E1190" s="27">
        <f>IF(A1190="","",IFERROR(AVERAGEIFS(Prensa!$B$2:$B$5001,Prensa!$E$2:$E$5001,N1190,Prensa!$F$2:$F$5001,2,Prensa!$G$2:$G$5001,1),""))</f>
        <v>0</v>
      </c>
      <c r="F1190" s="27">
        <f>IF(A1190="","",IFERROR(AVERAGEIFS(Prensa!$B$2:$B$5001,Prensa!$E$2:$E$5001,N1190,Prensa!$F$2:$F$5001,3,Prensa!$G$2:$G$5001,1),""))</f>
        <v>0</v>
      </c>
      <c r="G1190" s="27">
        <f>IF(A1190="","",IFERROR(AVERAGEIFS(Prensa!$B$2:$B$5001,Prensa!$E$2:$E$5001,N1190,Prensa!$F$2:$F$5001,4,Prensa!$G$2:$G$5001,1),""))</f>
        <v>0</v>
      </c>
      <c r="H1190" s="26">
        <f>IF(A1190="","",COUNT(D1190:G1190))</f>
        <v>0</v>
      </c>
      <c r="I1190" s="27">
        <f>IF(A1190="","",IF(H1190=0,"",AVERAGE(D1190:G1190)))</f>
        <v>0</v>
      </c>
      <c r="J1190" s="27">
        <f>IF(OR(I1190="",C1190=""),"",I1190-C1190)</f>
        <v>0</v>
      </c>
      <c r="K1190" s="26">
        <f>IF(A1190="","",IF(MES!E1190&lt;&gt;4,"Horário do MES fora do padrão",IF(H1190&lt;cfgMinCortes,"Cortes insuficientes","Válida")))</f>
        <v>0</v>
      </c>
      <c r="L1190" s="27">
        <f>IF(K1190="Válida",ABS(J1190),"")</f>
        <v>0</v>
      </c>
      <c r="M1190" s="26">
        <f>IF(K1190="Válida",IF(L1190&lt;=cfgTolerancia,"Sim","Não"),"")</f>
        <v>0</v>
      </c>
      <c r="N1190" s="26">
        <f>IF(A1190="","",MES!D1190)</f>
        <v>0</v>
      </c>
      <c r="O1190" s="25">
        <f>IF(K1190="Válida",A1190,NA())</f>
        <v>0</v>
      </c>
      <c r="P1190" s="27">
        <f>IF(K1190="Válida",C1190,NA())</f>
        <v>0</v>
      </c>
      <c r="Q1190" s="27">
        <f>IF(K1190="Válida",I1190,NA())</f>
        <v>0</v>
      </c>
      <c r="R1190" s="27">
        <f>IF(K1190="Válida",J1190,NA())</f>
        <v>0</v>
      </c>
      <c r="S1190" s="27">
        <f>IF(K1190="Válida",C1190,"")</f>
        <v>0</v>
      </c>
      <c r="T1190" s="27">
        <f>IF(K1190="Válida",I1190,"")</f>
        <v>0</v>
      </c>
      <c r="U1190" s="27">
        <f>IF(K1190="Válida",J1190,"")</f>
        <v>0</v>
      </c>
    </row>
    <row r="1191" spans="1:21">
      <c r="A1191" s="25">
        <f>IF(MES!A1191="","",MES!C1191/48)</f>
        <v>0</v>
      </c>
      <c r="B1191" s="26">
        <f>IF(A1191="","",TEXT((N1191*4+cfgDeslocamento)/48,"hh:mm")&amp;" a "&amp;TEXT(A1191,"hh:mm"))</f>
        <v>0</v>
      </c>
      <c r="C1191" s="27">
        <f>IF(A1191="","",MES!B1191)</f>
        <v>0</v>
      </c>
      <c r="D1191" s="27">
        <f>IF(A1191="","",IFERROR(AVERAGEIFS(Prensa!$B$2:$B$5001,Prensa!$E$2:$E$5001,N1191,Prensa!$F$2:$F$5001,1,Prensa!$G$2:$G$5001,1),""))</f>
        <v>0</v>
      </c>
      <c r="E1191" s="27">
        <f>IF(A1191="","",IFERROR(AVERAGEIFS(Prensa!$B$2:$B$5001,Prensa!$E$2:$E$5001,N1191,Prensa!$F$2:$F$5001,2,Prensa!$G$2:$G$5001,1),""))</f>
        <v>0</v>
      </c>
      <c r="F1191" s="27">
        <f>IF(A1191="","",IFERROR(AVERAGEIFS(Prensa!$B$2:$B$5001,Prensa!$E$2:$E$5001,N1191,Prensa!$F$2:$F$5001,3,Prensa!$G$2:$G$5001,1),""))</f>
        <v>0</v>
      </c>
      <c r="G1191" s="27">
        <f>IF(A1191="","",IFERROR(AVERAGEIFS(Prensa!$B$2:$B$5001,Prensa!$E$2:$E$5001,N1191,Prensa!$F$2:$F$5001,4,Prensa!$G$2:$G$5001,1),""))</f>
        <v>0</v>
      </c>
      <c r="H1191" s="26">
        <f>IF(A1191="","",COUNT(D1191:G1191))</f>
        <v>0</v>
      </c>
      <c r="I1191" s="27">
        <f>IF(A1191="","",IF(H1191=0,"",AVERAGE(D1191:G1191)))</f>
        <v>0</v>
      </c>
      <c r="J1191" s="27">
        <f>IF(OR(I1191="",C1191=""),"",I1191-C1191)</f>
        <v>0</v>
      </c>
      <c r="K1191" s="26">
        <f>IF(A1191="","",IF(MES!E1191&lt;&gt;4,"Horário do MES fora do padrão",IF(H1191&lt;cfgMinCortes,"Cortes insuficientes","Válida")))</f>
        <v>0</v>
      </c>
      <c r="L1191" s="27">
        <f>IF(K1191="Válida",ABS(J1191),"")</f>
        <v>0</v>
      </c>
      <c r="M1191" s="26">
        <f>IF(K1191="Válida",IF(L1191&lt;=cfgTolerancia,"Sim","Não"),"")</f>
        <v>0</v>
      </c>
      <c r="N1191" s="26">
        <f>IF(A1191="","",MES!D1191)</f>
        <v>0</v>
      </c>
      <c r="O1191" s="25">
        <f>IF(K1191="Válida",A1191,NA())</f>
        <v>0</v>
      </c>
      <c r="P1191" s="27">
        <f>IF(K1191="Válida",C1191,NA())</f>
        <v>0</v>
      </c>
      <c r="Q1191" s="27">
        <f>IF(K1191="Válida",I1191,NA())</f>
        <v>0</v>
      </c>
      <c r="R1191" s="27">
        <f>IF(K1191="Válida",J1191,NA())</f>
        <v>0</v>
      </c>
      <c r="S1191" s="27">
        <f>IF(K1191="Válida",C1191,"")</f>
        <v>0</v>
      </c>
      <c r="T1191" s="27">
        <f>IF(K1191="Válida",I1191,"")</f>
        <v>0</v>
      </c>
      <c r="U1191" s="27">
        <f>IF(K1191="Válida",J1191,"")</f>
        <v>0</v>
      </c>
    </row>
    <row r="1192" spans="1:21">
      <c r="A1192" s="25">
        <f>IF(MES!A1192="","",MES!C1192/48)</f>
        <v>0</v>
      </c>
      <c r="B1192" s="26">
        <f>IF(A1192="","",TEXT((N1192*4+cfgDeslocamento)/48,"hh:mm")&amp;" a "&amp;TEXT(A1192,"hh:mm"))</f>
        <v>0</v>
      </c>
      <c r="C1192" s="27">
        <f>IF(A1192="","",MES!B1192)</f>
        <v>0</v>
      </c>
      <c r="D1192" s="27">
        <f>IF(A1192="","",IFERROR(AVERAGEIFS(Prensa!$B$2:$B$5001,Prensa!$E$2:$E$5001,N1192,Prensa!$F$2:$F$5001,1,Prensa!$G$2:$G$5001,1),""))</f>
        <v>0</v>
      </c>
      <c r="E1192" s="27">
        <f>IF(A1192="","",IFERROR(AVERAGEIFS(Prensa!$B$2:$B$5001,Prensa!$E$2:$E$5001,N1192,Prensa!$F$2:$F$5001,2,Prensa!$G$2:$G$5001,1),""))</f>
        <v>0</v>
      </c>
      <c r="F1192" s="27">
        <f>IF(A1192="","",IFERROR(AVERAGEIFS(Prensa!$B$2:$B$5001,Prensa!$E$2:$E$5001,N1192,Prensa!$F$2:$F$5001,3,Prensa!$G$2:$G$5001,1),""))</f>
        <v>0</v>
      </c>
      <c r="G1192" s="27">
        <f>IF(A1192="","",IFERROR(AVERAGEIFS(Prensa!$B$2:$B$5001,Prensa!$E$2:$E$5001,N1192,Prensa!$F$2:$F$5001,4,Prensa!$G$2:$G$5001,1),""))</f>
        <v>0</v>
      </c>
      <c r="H1192" s="26">
        <f>IF(A1192="","",COUNT(D1192:G1192))</f>
        <v>0</v>
      </c>
      <c r="I1192" s="27">
        <f>IF(A1192="","",IF(H1192=0,"",AVERAGE(D1192:G1192)))</f>
        <v>0</v>
      </c>
      <c r="J1192" s="27">
        <f>IF(OR(I1192="",C1192=""),"",I1192-C1192)</f>
        <v>0</v>
      </c>
      <c r="K1192" s="26">
        <f>IF(A1192="","",IF(MES!E1192&lt;&gt;4,"Horário do MES fora do padrão",IF(H1192&lt;cfgMinCortes,"Cortes insuficientes","Válida")))</f>
        <v>0</v>
      </c>
      <c r="L1192" s="27">
        <f>IF(K1192="Válida",ABS(J1192),"")</f>
        <v>0</v>
      </c>
      <c r="M1192" s="26">
        <f>IF(K1192="Válida",IF(L1192&lt;=cfgTolerancia,"Sim","Não"),"")</f>
        <v>0</v>
      </c>
      <c r="N1192" s="26">
        <f>IF(A1192="","",MES!D1192)</f>
        <v>0</v>
      </c>
      <c r="O1192" s="25">
        <f>IF(K1192="Válida",A1192,NA())</f>
        <v>0</v>
      </c>
      <c r="P1192" s="27">
        <f>IF(K1192="Válida",C1192,NA())</f>
        <v>0</v>
      </c>
      <c r="Q1192" s="27">
        <f>IF(K1192="Válida",I1192,NA())</f>
        <v>0</v>
      </c>
      <c r="R1192" s="27">
        <f>IF(K1192="Válida",J1192,NA())</f>
        <v>0</v>
      </c>
      <c r="S1192" s="27">
        <f>IF(K1192="Válida",C1192,"")</f>
        <v>0</v>
      </c>
      <c r="T1192" s="27">
        <f>IF(K1192="Válida",I1192,"")</f>
        <v>0</v>
      </c>
      <c r="U1192" s="27">
        <f>IF(K1192="Válida",J1192,"")</f>
        <v>0</v>
      </c>
    </row>
    <row r="1193" spans="1:21">
      <c r="A1193" s="25">
        <f>IF(MES!A1193="","",MES!C1193/48)</f>
        <v>0</v>
      </c>
      <c r="B1193" s="26">
        <f>IF(A1193="","",TEXT((N1193*4+cfgDeslocamento)/48,"hh:mm")&amp;" a "&amp;TEXT(A1193,"hh:mm"))</f>
        <v>0</v>
      </c>
      <c r="C1193" s="27">
        <f>IF(A1193="","",MES!B1193)</f>
        <v>0</v>
      </c>
      <c r="D1193" s="27">
        <f>IF(A1193="","",IFERROR(AVERAGEIFS(Prensa!$B$2:$B$5001,Prensa!$E$2:$E$5001,N1193,Prensa!$F$2:$F$5001,1,Prensa!$G$2:$G$5001,1),""))</f>
        <v>0</v>
      </c>
      <c r="E1193" s="27">
        <f>IF(A1193="","",IFERROR(AVERAGEIFS(Prensa!$B$2:$B$5001,Prensa!$E$2:$E$5001,N1193,Prensa!$F$2:$F$5001,2,Prensa!$G$2:$G$5001,1),""))</f>
        <v>0</v>
      </c>
      <c r="F1193" s="27">
        <f>IF(A1193="","",IFERROR(AVERAGEIFS(Prensa!$B$2:$B$5001,Prensa!$E$2:$E$5001,N1193,Prensa!$F$2:$F$5001,3,Prensa!$G$2:$G$5001,1),""))</f>
        <v>0</v>
      </c>
      <c r="G1193" s="27">
        <f>IF(A1193="","",IFERROR(AVERAGEIFS(Prensa!$B$2:$B$5001,Prensa!$E$2:$E$5001,N1193,Prensa!$F$2:$F$5001,4,Prensa!$G$2:$G$5001,1),""))</f>
        <v>0</v>
      </c>
      <c r="H1193" s="26">
        <f>IF(A1193="","",COUNT(D1193:G1193))</f>
        <v>0</v>
      </c>
      <c r="I1193" s="27">
        <f>IF(A1193="","",IF(H1193=0,"",AVERAGE(D1193:G1193)))</f>
        <v>0</v>
      </c>
      <c r="J1193" s="27">
        <f>IF(OR(I1193="",C1193=""),"",I1193-C1193)</f>
        <v>0</v>
      </c>
      <c r="K1193" s="26">
        <f>IF(A1193="","",IF(MES!E1193&lt;&gt;4,"Horário do MES fora do padrão",IF(H1193&lt;cfgMinCortes,"Cortes insuficientes","Válida")))</f>
        <v>0</v>
      </c>
      <c r="L1193" s="27">
        <f>IF(K1193="Válida",ABS(J1193),"")</f>
        <v>0</v>
      </c>
      <c r="M1193" s="26">
        <f>IF(K1193="Válida",IF(L1193&lt;=cfgTolerancia,"Sim","Não"),"")</f>
        <v>0</v>
      </c>
      <c r="N1193" s="26">
        <f>IF(A1193="","",MES!D1193)</f>
        <v>0</v>
      </c>
      <c r="O1193" s="25">
        <f>IF(K1193="Válida",A1193,NA())</f>
        <v>0</v>
      </c>
      <c r="P1193" s="27">
        <f>IF(K1193="Válida",C1193,NA())</f>
        <v>0</v>
      </c>
      <c r="Q1193" s="27">
        <f>IF(K1193="Válida",I1193,NA())</f>
        <v>0</v>
      </c>
      <c r="R1193" s="27">
        <f>IF(K1193="Válida",J1193,NA())</f>
        <v>0</v>
      </c>
      <c r="S1193" s="27">
        <f>IF(K1193="Válida",C1193,"")</f>
        <v>0</v>
      </c>
      <c r="T1193" s="27">
        <f>IF(K1193="Válida",I1193,"")</f>
        <v>0</v>
      </c>
      <c r="U1193" s="27">
        <f>IF(K1193="Válida",J1193,"")</f>
        <v>0</v>
      </c>
    </row>
    <row r="1194" spans="1:21">
      <c r="A1194" s="25">
        <f>IF(MES!A1194="","",MES!C1194/48)</f>
        <v>0</v>
      </c>
      <c r="B1194" s="26">
        <f>IF(A1194="","",TEXT((N1194*4+cfgDeslocamento)/48,"hh:mm")&amp;" a "&amp;TEXT(A1194,"hh:mm"))</f>
        <v>0</v>
      </c>
      <c r="C1194" s="27">
        <f>IF(A1194="","",MES!B1194)</f>
        <v>0</v>
      </c>
      <c r="D1194" s="27">
        <f>IF(A1194="","",IFERROR(AVERAGEIFS(Prensa!$B$2:$B$5001,Prensa!$E$2:$E$5001,N1194,Prensa!$F$2:$F$5001,1,Prensa!$G$2:$G$5001,1),""))</f>
        <v>0</v>
      </c>
      <c r="E1194" s="27">
        <f>IF(A1194="","",IFERROR(AVERAGEIFS(Prensa!$B$2:$B$5001,Prensa!$E$2:$E$5001,N1194,Prensa!$F$2:$F$5001,2,Prensa!$G$2:$G$5001,1),""))</f>
        <v>0</v>
      </c>
      <c r="F1194" s="27">
        <f>IF(A1194="","",IFERROR(AVERAGEIFS(Prensa!$B$2:$B$5001,Prensa!$E$2:$E$5001,N1194,Prensa!$F$2:$F$5001,3,Prensa!$G$2:$G$5001,1),""))</f>
        <v>0</v>
      </c>
      <c r="G1194" s="27">
        <f>IF(A1194="","",IFERROR(AVERAGEIFS(Prensa!$B$2:$B$5001,Prensa!$E$2:$E$5001,N1194,Prensa!$F$2:$F$5001,4,Prensa!$G$2:$G$5001,1),""))</f>
        <v>0</v>
      </c>
      <c r="H1194" s="26">
        <f>IF(A1194="","",COUNT(D1194:G1194))</f>
        <v>0</v>
      </c>
      <c r="I1194" s="27">
        <f>IF(A1194="","",IF(H1194=0,"",AVERAGE(D1194:G1194)))</f>
        <v>0</v>
      </c>
      <c r="J1194" s="27">
        <f>IF(OR(I1194="",C1194=""),"",I1194-C1194)</f>
        <v>0</v>
      </c>
      <c r="K1194" s="26">
        <f>IF(A1194="","",IF(MES!E1194&lt;&gt;4,"Horário do MES fora do padrão",IF(H1194&lt;cfgMinCortes,"Cortes insuficientes","Válida")))</f>
        <v>0</v>
      </c>
      <c r="L1194" s="27">
        <f>IF(K1194="Válida",ABS(J1194),"")</f>
        <v>0</v>
      </c>
      <c r="M1194" s="26">
        <f>IF(K1194="Válida",IF(L1194&lt;=cfgTolerancia,"Sim","Não"),"")</f>
        <v>0</v>
      </c>
      <c r="N1194" s="26">
        <f>IF(A1194="","",MES!D1194)</f>
        <v>0</v>
      </c>
      <c r="O1194" s="25">
        <f>IF(K1194="Válida",A1194,NA())</f>
        <v>0</v>
      </c>
      <c r="P1194" s="27">
        <f>IF(K1194="Válida",C1194,NA())</f>
        <v>0</v>
      </c>
      <c r="Q1194" s="27">
        <f>IF(K1194="Válida",I1194,NA())</f>
        <v>0</v>
      </c>
      <c r="R1194" s="27">
        <f>IF(K1194="Válida",J1194,NA())</f>
        <v>0</v>
      </c>
      <c r="S1194" s="27">
        <f>IF(K1194="Válida",C1194,"")</f>
        <v>0</v>
      </c>
      <c r="T1194" s="27">
        <f>IF(K1194="Válida",I1194,"")</f>
        <v>0</v>
      </c>
      <c r="U1194" s="27">
        <f>IF(K1194="Válida",J1194,"")</f>
        <v>0</v>
      </c>
    </row>
    <row r="1195" spans="1:21">
      <c r="A1195" s="25">
        <f>IF(MES!A1195="","",MES!C1195/48)</f>
        <v>0</v>
      </c>
      <c r="B1195" s="26">
        <f>IF(A1195="","",TEXT((N1195*4+cfgDeslocamento)/48,"hh:mm")&amp;" a "&amp;TEXT(A1195,"hh:mm"))</f>
        <v>0</v>
      </c>
      <c r="C1195" s="27">
        <f>IF(A1195="","",MES!B1195)</f>
        <v>0</v>
      </c>
      <c r="D1195" s="27">
        <f>IF(A1195="","",IFERROR(AVERAGEIFS(Prensa!$B$2:$B$5001,Prensa!$E$2:$E$5001,N1195,Prensa!$F$2:$F$5001,1,Prensa!$G$2:$G$5001,1),""))</f>
        <v>0</v>
      </c>
      <c r="E1195" s="27">
        <f>IF(A1195="","",IFERROR(AVERAGEIFS(Prensa!$B$2:$B$5001,Prensa!$E$2:$E$5001,N1195,Prensa!$F$2:$F$5001,2,Prensa!$G$2:$G$5001,1),""))</f>
        <v>0</v>
      </c>
      <c r="F1195" s="27">
        <f>IF(A1195="","",IFERROR(AVERAGEIFS(Prensa!$B$2:$B$5001,Prensa!$E$2:$E$5001,N1195,Prensa!$F$2:$F$5001,3,Prensa!$G$2:$G$5001,1),""))</f>
        <v>0</v>
      </c>
      <c r="G1195" s="27">
        <f>IF(A1195="","",IFERROR(AVERAGEIFS(Prensa!$B$2:$B$5001,Prensa!$E$2:$E$5001,N1195,Prensa!$F$2:$F$5001,4,Prensa!$G$2:$G$5001,1),""))</f>
        <v>0</v>
      </c>
      <c r="H1195" s="26">
        <f>IF(A1195="","",COUNT(D1195:G1195))</f>
        <v>0</v>
      </c>
      <c r="I1195" s="27">
        <f>IF(A1195="","",IF(H1195=0,"",AVERAGE(D1195:G1195)))</f>
        <v>0</v>
      </c>
      <c r="J1195" s="27">
        <f>IF(OR(I1195="",C1195=""),"",I1195-C1195)</f>
        <v>0</v>
      </c>
      <c r="K1195" s="26">
        <f>IF(A1195="","",IF(MES!E1195&lt;&gt;4,"Horário do MES fora do padrão",IF(H1195&lt;cfgMinCortes,"Cortes insuficientes","Válida")))</f>
        <v>0</v>
      </c>
      <c r="L1195" s="27">
        <f>IF(K1195="Válida",ABS(J1195),"")</f>
        <v>0</v>
      </c>
      <c r="M1195" s="26">
        <f>IF(K1195="Válida",IF(L1195&lt;=cfgTolerancia,"Sim","Não"),"")</f>
        <v>0</v>
      </c>
      <c r="N1195" s="26">
        <f>IF(A1195="","",MES!D1195)</f>
        <v>0</v>
      </c>
      <c r="O1195" s="25">
        <f>IF(K1195="Válida",A1195,NA())</f>
        <v>0</v>
      </c>
      <c r="P1195" s="27">
        <f>IF(K1195="Válida",C1195,NA())</f>
        <v>0</v>
      </c>
      <c r="Q1195" s="27">
        <f>IF(K1195="Válida",I1195,NA())</f>
        <v>0</v>
      </c>
      <c r="R1195" s="27">
        <f>IF(K1195="Válida",J1195,NA())</f>
        <v>0</v>
      </c>
      <c r="S1195" s="27">
        <f>IF(K1195="Válida",C1195,"")</f>
        <v>0</v>
      </c>
      <c r="T1195" s="27">
        <f>IF(K1195="Válida",I1195,"")</f>
        <v>0</v>
      </c>
      <c r="U1195" s="27">
        <f>IF(K1195="Válida",J1195,"")</f>
        <v>0</v>
      </c>
    </row>
    <row r="1196" spans="1:21">
      <c r="A1196" s="25">
        <f>IF(MES!A1196="","",MES!C1196/48)</f>
        <v>0</v>
      </c>
      <c r="B1196" s="26">
        <f>IF(A1196="","",TEXT((N1196*4+cfgDeslocamento)/48,"hh:mm")&amp;" a "&amp;TEXT(A1196,"hh:mm"))</f>
        <v>0</v>
      </c>
      <c r="C1196" s="27">
        <f>IF(A1196="","",MES!B1196)</f>
        <v>0</v>
      </c>
      <c r="D1196" s="27">
        <f>IF(A1196="","",IFERROR(AVERAGEIFS(Prensa!$B$2:$B$5001,Prensa!$E$2:$E$5001,N1196,Prensa!$F$2:$F$5001,1,Prensa!$G$2:$G$5001,1),""))</f>
        <v>0</v>
      </c>
      <c r="E1196" s="27">
        <f>IF(A1196="","",IFERROR(AVERAGEIFS(Prensa!$B$2:$B$5001,Prensa!$E$2:$E$5001,N1196,Prensa!$F$2:$F$5001,2,Prensa!$G$2:$G$5001,1),""))</f>
        <v>0</v>
      </c>
      <c r="F1196" s="27">
        <f>IF(A1196="","",IFERROR(AVERAGEIFS(Prensa!$B$2:$B$5001,Prensa!$E$2:$E$5001,N1196,Prensa!$F$2:$F$5001,3,Prensa!$G$2:$G$5001,1),""))</f>
        <v>0</v>
      </c>
      <c r="G1196" s="27">
        <f>IF(A1196="","",IFERROR(AVERAGEIFS(Prensa!$B$2:$B$5001,Prensa!$E$2:$E$5001,N1196,Prensa!$F$2:$F$5001,4,Prensa!$G$2:$G$5001,1),""))</f>
        <v>0</v>
      </c>
      <c r="H1196" s="26">
        <f>IF(A1196="","",COUNT(D1196:G1196))</f>
        <v>0</v>
      </c>
      <c r="I1196" s="27">
        <f>IF(A1196="","",IF(H1196=0,"",AVERAGE(D1196:G1196)))</f>
        <v>0</v>
      </c>
      <c r="J1196" s="27">
        <f>IF(OR(I1196="",C1196=""),"",I1196-C1196)</f>
        <v>0</v>
      </c>
      <c r="K1196" s="26">
        <f>IF(A1196="","",IF(MES!E1196&lt;&gt;4,"Horário do MES fora do padrão",IF(H1196&lt;cfgMinCortes,"Cortes insuficientes","Válida")))</f>
        <v>0</v>
      </c>
      <c r="L1196" s="27">
        <f>IF(K1196="Válida",ABS(J1196),"")</f>
        <v>0</v>
      </c>
      <c r="M1196" s="26">
        <f>IF(K1196="Válida",IF(L1196&lt;=cfgTolerancia,"Sim","Não"),"")</f>
        <v>0</v>
      </c>
      <c r="N1196" s="26">
        <f>IF(A1196="","",MES!D1196)</f>
        <v>0</v>
      </c>
      <c r="O1196" s="25">
        <f>IF(K1196="Válida",A1196,NA())</f>
        <v>0</v>
      </c>
      <c r="P1196" s="27">
        <f>IF(K1196="Válida",C1196,NA())</f>
        <v>0</v>
      </c>
      <c r="Q1196" s="27">
        <f>IF(K1196="Válida",I1196,NA())</f>
        <v>0</v>
      </c>
      <c r="R1196" s="27">
        <f>IF(K1196="Válida",J1196,NA())</f>
        <v>0</v>
      </c>
      <c r="S1196" s="27">
        <f>IF(K1196="Válida",C1196,"")</f>
        <v>0</v>
      </c>
      <c r="T1196" s="27">
        <f>IF(K1196="Válida",I1196,"")</f>
        <v>0</v>
      </c>
      <c r="U1196" s="27">
        <f>IF(K1196="Válida",J1196,"")</f>
        <v>0</v>
      </c>
    </row>
    <row r="1197" spans="1:21">
      <c r="A1197" s="25">
        <f>IF(MES!A1197="","",MES!C1197/48)</f>
        <v>0</v>
      </c>
      <c r="B1197" s="26">
        <f>IF(A1197="","",TEXT((N1197*4+cfgDeslocamento)/48,"hh:mm")&amp;" a "&amp;TEXT(A1197,"hh:mm"))</f>
        <v>0</v>
      </c>
      <c r="C1197" s="27">
        <f>IF(A1197="","",MES!B1197)</f>
        <v>0</v>
      </c>
      <c r="D1197" s="27">
        <f>IF(A1197="","",IFERROR(AVERAGEIFS(Prensa!$B$2:$B$5001,Prensa!$E$2:$E$5001,N1197,Prensa!$F$2:$F$5001,1,Prensa!$G$2:$G$5001,1),""))</f>
        <v>0</v>
      </c>
      <c r="E1197" s="27">
        <f>IF(A1197="","",IFERROR(AVERAGEIFS(Prensa!$B$2:$B$5001,Prensa!$E$2:$E$5001,N1197,Prensa!$F$2:$F$5001,2,Prensa!$G$2:$G$5001,1),""))</f>
        <v>0</v>
      </c>
      <c r="F1197" s="27">
        <f>IF(A1197="","",IFERROR(AVERAGEIFS(Prensa!$B$2:$B$5001,Prensa!$E$2:$E$5001,N1197,Prensa!$F$2:$F$5001,3,Prensa!$G$2:$G$5001,1),""))</f>
        <v>0</v>
      </c>
      <c r="G1197" s="27">
        <f>IF(A1197="","",IFERROR(AVERAGEIFS(Prensa!$B$2:$B$5001,Prensa!$E$2:$E$5001,N1197,Prensa!$F$2:$F$5001,4,Prensa!$G$2:$G$5001,1),""))</f>
        <v>0</v>
      </c>
      <c r="H1197" s="26">
        <f>IF(A1197="","",COUNT(D1197:G1197))</f>
        <v>0</v>
      </c>
      <c r="I1197" s="27">
        <f>IF(A1197="","",IF(H1197=0,"",AVERAGE(D1197:G1197)))</f>
        <v>0</v>
      </c>
      <c r="J1197" s="27">
        <f>IF(OR(I1197="",C1197=""),"",I1197-C1197)</f>
        <v>0</v>
      </c>
      <c r="K1197" s="26">
        <f>IF(A1197="","",IF(MES!E1197&lt;&gt;4,"Horário do MES fora do padrão",IF(H1197&lt;cfgMinCortes,"Cortes insuficientes","Válida")))</f>
        <v>0</v>
      </c>
      <c r="L1197" s="27">
        <f>IF(K1197="Válida",ABS(J1197),"")</f>
        <v>0</v>
      </c>
      <c r="M1197" s="26">
        <f>IF(K1197="Válida",IF(L1197&lt;=cfgTolerancia,"Sim","Não"),"")</f>
        <v>0</v>
      </c>
      <c r="N1197" s="26">
        <f>IF(A1197="","",MES!D1197)</f>
        <v>0</v>
      </c>
      <c r="O1197" s="25">
        <f>IF(K1197="Válida",A1197,NA())</f>
        <v>0</v>
      </c>
      <c r="P1197" s="27">
        <f>IF(K1197="Válida",C1197,NA())</f>
        <v>0</v>
      </c>
      <c r="Q1197" s="27">
        <f>IF(K1197="Válida",I1197,NA())</f>
        <v>0</v>
      </c>
      <c r="R1197" s="27">
        <f>IF(K1197="Válida",J1197,NA())</f>
        <v>0</v>
      </c>
      <c r="S1197" s="27">
        <f>IF(K1197="Válida",C1197,"")</f>
        <v>0</v>
      </c>
      <c r="T1197" s="27">
        <f>IF(K1197="Válida",I1197,"")</f>
        <v>0</v>
      </c>
      <c r="U1197" s="27">
        <f>IF(K1197="Válida",J1197,"")</f>
        <v>0</v>
      </c>
    </row>
    <row r="1198" spans="1:21">
      <c r="A1198" s="25">
        <f>IF(MES!A1198="","",MES!C1198/48)</f>
        <v>0</v>
      </c>
      <c r="B1198" s="26">
        <f>IF(A1198="","",TEXT((N1198*4+cfgDeslocamento)/48,"hh:mm")&amp;" a "&amp;TEXT(A1198,"hh:mm"))</f>
        <v>0</v>
      </c>
      <c r="C1198" s="27">
        <f>IF(A1198="","",MES!B1198)</f>
        <v>0</v>
      </c>
      <c r="D1198" s="27">
        <f>IF(A1198="","",IFERROR(AVERAGEIFS(Prensa!$B$2:$B$5001,Prensa!$E$2:$E$5001,N1198,Prensa!$F$2:$F$5001,1,Prensa!$G$2:$G$5001,1),""))</f>
        <v>0</v>
      </c>
      <c r="E1198" s="27">
        <f>IF(A1198="","",IFERROR(AVERAGEIFS(Prensa!$B$2:$B$5001,Prensa!$E$2:$E$5001,N1198,Prensa!$F$2:$F$5001,2,Prensa!$G$2:$G$5001,1),""))</f>
        <v>0</v>
      </c>
      <c r="F1198" s="27">
        <f>IF(A1198="","",IFERROR(AVERAGEIFS(Prensa!$B$2:$B$5001,Prensa!$E$2:$E$5001,N1198,Prensa!$F$2:$F$5001,3,Prensa!$G$2:$G$5001,1),""))</f>
        <v>0</v>
      </c>
      <c r="G1198" s="27">
        <f>IF(A1198="","",IFERROR(AVERAGEIFS(Prensa!$B$2:$B$5001,Prensa!$E$2:$E$5001,N1198,Prensa!$F$2:$F$5001,4,Prensa!$G$2:$G$5001,1),""))</f>
        <v>0</v>
      </c>
      <c r="H1198" s="26">
        <f>IF(A1198="","",COUNT(D1198:G1198))</f>
        <v>0</v>
      </c>
      <c r="I1198" s="27">
        <f>IF(A1198="","",IF(H1198=0,"",AVERAGE(D1198:G1198)))</f>
        <v>0</v>
      </c>
      <c r="J1198" s="27">
        <f>IF(OR(I1198="",C1198=""),"",I1198-C1198)</f>
        <v>0</v>
      </c>
      <c r="K1198" s="26">
        <f>IF(A1198="","",IF(MES!E1198&lt;&gt;4,"Horário do MES fora do padrão",IF(H1198&lt;cfgMinCortes,"Cortes insuficientes","Válida")))</f>
        <v>0</v>
      </c>
      <c r="L1198" s="27">
        <f>IF(K1198="Válida",ABS(J1198),"")</f>
        <v>0</v>
      </c>
      <c r="M1198" s="26">
        <f>IF(K1198="Válida",IF(L1198&lt;=cfgTolerancia,"Sim","Não"),"")</f>
        <v>0</v>
      </c>
      <c r="N1198" s="26">
        <f>IF(A1198="","",MES!D1198)</f>
        <v>0</v>
      </c>
      <c r="O1198" s="25">
        <f>IF(K1198="Válida",A1198,NA())</f>
        <v>0</v>
      </c>
      <c r="P1198" s="27">
        <f>IF(K1198="Válida",C1198,NA())</f>
        <v>0</v>
      </c>
      <c r="Q1198" s="27">
        <f>IF(K1198="Válida",I1198,NA())</f>
        <v>0</v>
      </c>
      <c r="R1198" s="27">
        <f>IF(K1198="Válida",J1198,NA())</f>
        <v>0</v>
      </c>
      <c r="S1198" s="27">
        <f>IF(K1198="Válida",C1198,"")</f>
        <v>0</v>
      </c>
      <c r="T1198" s="27">
        <f>IF(K1198="Válida",I1198,"")</f>
        <v>0</v>
      </c>
      <c r="U1198" s="27">
        <f>IF(K1198="Válida",J1198,"")</f>
        <v>0</v>
      </c>
    </row>
    <row r="1199" spans="1:21">
      <c r="A1199" s="25">
        <f>IF(MES!A1199="","",MES!C1199/48)</f>
        <v>0</v>
      </c>
      <c r="B1199" s="26">
        <f>IF(A1199="","",TEXT((N1199*4+cfgDeslocamento)/48,"hh:mm")&amp;" a "&amp;TEXT(A1199,"hh:mm"))</f>
        <v>0</v>
      </c>
      <c r="C1199" s="27">
        <f>IF(A1199="","",MES!B1199)</f>
        <v>0</v>
      </c>
      <c r="D1199" s="27">
        <f>IF(A1199="","",IFERROR(AVERAGEIFS(Prensa!$B$2:$B$5001,Prensa!$E$2:$E$5001,N1199,Prensa!$F$2:$F$5001,1,Prensa!$G$2:$G$5001,1),""))</f>
        <v>0</v>
      </c>
      <c r="E1199" s="27">
        <f>IF(A1199="","",IFERROR(AVERAGEIFS(Prensa!$B$2:$B$5001,Prensa!$E$2:$E$5001,N1199,Prensa!$F$2:$F$5001,2,Prensa!$G$2:$G$5001,1),""))</f>
        <v>0</v>
      </c>
      <c r="F1199" s="27">
        <f>IF(A1199="","",IFERROR(AVERAGEIFS(Prensa!$B$2:$B$5001,Prensa!$E$2:$E$5001,N1199,Prensa!$F$2:$F$5001,3,Prensa!$G$2:$G$5001,1),""))</f>
        <v>0</v>
      </c>
      <c r="G1199" s="27">
        <f>IF(A1199="","",IFERROR(AVERAGEIFS(Prensa!$B$2:$B$5001,Prensa!$E$2:$E$5001,N1199,Prensa!$F$2:$F$5001,4,Prensa!$G$2:$G$5001,1),""))</f>
        <v>0</v>
      </c>
      <c r="H1199" s="26">
        <f>IF(A1199="","",COUNT(D1199:G1199))</f>
        <v>0</v>
      </c>
      <c r="I1199" s="27">
        <f>IF(A1199="","",IF(H1199=0,"",AVERAGE(D1199:G1199)))</f>
        <v>0</v>
      </c>
      <c r="J1199" s="27">
        <f>IF(OR(I1199="",C1199=""),"",I1199-C1199)</f>
        <v>0</v>
      </c>
      <c r="K1199" s="26">
        <f>IF(A1199="","",IF(MES!E1199&lt;&gt;4,"Horário do MES fora do padrão",IF(H1199&lt;cfgMinCortes,"Cortes insuficientes","Válida")))</f>
        <v>0</v>
      </c>
      <c r="L1199" s="27">
        <f>IF(K1199="Válida",ABS(J1199),"")</f>
        <v>0</v>
      </c>
      <c r="M1199" s="26">
        <f>IF(K1199="Válida",IF(L1199&lt;=cfgTolerancia,"Sim","Não"),"")</f>
        <v>0</v>
      </c>
      <c r="N1199" s="26">
        <f>IF(A1199="","",MES!D1199)</f>
        <v>0</v>
      </c>
      <c r="O1199" s="25">
        <f>IF(K1199="Válida",A1199,NA())</f>
        <v>0</v>
      </c>
      <c r="P1199" s="27">
        <f>IF(K1199="Válida",C1199,NA())</f>
        <v>0</v>
      </c>
      <c r="Q1199" s="27">
        <f>IF(K1199="Válida",I1199,NA())</f>
        <v>0</v>
      </c>
      <c r="R1199" s="27">
        <f>IF(K1199="Válida",J1199,NA())</f>
        <v>0</v>
      </c>
      <c r="S1199" s="27">
        <f>IF(K1199="Válida",C1199,"")</f>
        <v>0</v>
      </c>
      <c r="T1199" s="27">
        <f>IF(K1199="Válida",I1199,"")</f>
        <v>0</v>
      </c>
      <c r="U1199" s="27">
        <f>IF(K1199="Válida",J1199,"")</f>
        <v>0</v>
      </c>
    </row>
    <row r="1200" spans="1:21">
      <c r="A1200" s="25">
        <f>IF(MES!A1200="","",MES!C1200/48)</f>
        <v>0</v>
      </c>
      <c r="B1200" s="26">
        <f>IF(A1200="","",TEXT((N1200*4+cfgDeslocamento)/48,"hh:mm")&amp;" a "&amp;TEXT(A1200,"hh:mm"))</f>
        <v>0</v>
      </c>
      <c r="C1200" s="27">
        <f>IF(A1200="","",MES!B1200)</f>
        <v>0</v>
      </c>
      <c r="D1200" s="27">
        <f>IF(A1200="","",IFERROR(AVERAGEIFS(Prensa!$B$2:$B$5001,Prensa!$E$2:$E$5001,N1200,Prensa!$F$2:$F$5001,1,Prensa!$G$2:$G$5001,1),""))</f>
        <v>0</v>
      </c>
      <c r="E1200" s="27">
        <f>IF(A1200="","",IFERROR(AVERAGEIFS(Prensa!$B$2:$B$5001,Prensa!$E$2:$E$5001,N1200,Prensa!$F$2:$F$5001,2,Prensa!$G$2:$G$5001,1),""))</f>
        <v>0</v>
      </c>
      <c r="F1200" s="27">
        <f>IF(A1200="","",IFERROR(AVERAGEIFS(Prensa!$B$2:$B$5001,Prensa!$E$2:$E$5001,N1200,Prensa!$F$2:$F$5001,3,Prensa!$G$2:$G$5001,1),""))</f>
        <v>0</v>
      </c>
      <c r="G1200" s="27">
        <f>IF(A1200="","",IFERROR(AVERAGEIFS(Prensa!$B$2:$B$5001,Prensa!$E$2:$E$5001,N1200,Prensa!$F$2:$F$5001,4,Prensa!$G$2:$G$5001,1),""))</f>
        <v>0</v>
      </c>
      <c r="H1200" s="26">
        <f>IF(A1200="","",COUNT(D1200:G1200))</f>
        <v>0</v>
      </c>
      <c r="I1200" s="27">
        <f>IF(A1200="","",IF(H1200=0,"",AVERAGE(D1200:G1200)))</f>
        <v>0</v>
      </c>
      <c r="J1200" s="27">
        <f>IF(OR(I1200="",C1200=""),"",I1200-C1200)</f>
        <v>0</v>
      </c>
      <c r="K1200" s="26">
        <f>IF(A1200="","",IF(MES!E1200&lt;&gt;4,"Horário do MES fora do padrão",IF(H1200&lt;cfgMinCortes,"Cortes insuficientes","Válida")))</f>
        <v>0</v>
      </c>
      <c r="L1200" s="27">
        <f>IF(K1200="Válida",ABS(J1200),"")</f>
        <v>0</v>
      </c>
      <c r="M1200" s="26">
        <f>IF(K1200="Válida",IF(L1200&lt;=cfgTolerancia,"Sim","Não"),"")</f>
        <v>0</v>
      </c>
      <c r="N1200" s="26">
        <f>IF(A1200="","",MES!D1200)</f>
        <v>0</v>
      </c>
      <c r="O1200" s="25">
        <f>IF(K1200="Válida",A1200,NA())</f>
        <v>0</v>
      </c>
      <c r="P1200" s="27">
        <f>IF(K1200="Válida",C1200,NA())</f>
        <v>0</v>
      </c>
      <c r="Q1200" s="27">
        <f>IF(K1200="Válida",I1200,NA())</f>
        <v>0</v>
      </c>
      <c r="R1200" s="27">
        <f>IF(K1200="Válida",J1200,NA())</f>
        <v>0</v>
      </c>
      <c r="S1200" s="27">
        <f>IF(K1200="Válida",C1200,"")</f>
        <v>0</v>
      </c>
      <c r="T1200" s="27">
        <f>IF(K1200="Válida",I1200,"")</f>
        <v>0</v>
      </c>
      <c r="U1200" s="27">
        <f>IF(K1200="Válida",J1200,"")</f>
        <v>0</v>
      </c>
    </row>
    <row r="1201" spans="1:21">
      <c r="A1201" s="25">
        <f>IF(MES!A1201="","",MES!C1201/48)</f>
        <v>0</v>
      </c>
      <c r="B1201" s="26">
        <f>IF(A1201="","",TEXT((N1201*4+cfgDeslocamento)/48,"hh:mm")&amp;" a "&amp;TEXT(A1201,"hh:mm"))</f>
        <v>0</v>
      </c>
      <c r="C1201" s="27">
        <f>IF(A1201="","",MES!B1201)</f>
        <v>0</v>
      </c>
      <c r="D1201" s="27">
        <f>IF(A1201="","",IFERROR(AVERAGEIFS(Prensa!$B$2:$B$5001,Prensa!$E$2:$E$5001,N1201,Prensa!$F$2:$F$5001,1,Prensa!$G$2:$G$5001,1),""))</f>
        <v>0</v>
      </c>
      <c r="E1201" s="27">
        <f>IF(A1201="","",IFERROR(AVERAGEIFS(Prensa!$B$2:$B$5001,Prensa!$E$2:$E$5001,N1201,Prensa!$F$2:$F$5001,2,Prensa!$G$2:$G$5001,1),""))</f>
        <v>0</v>
      </c>
      <c r="F1201" s="27">
        <f>IF(A1201="","",IFERROR(AVERAGEIFS(Prensa!$B$2:$B$5001,Prensa!$E$2:$E$5001,N1201,Prensa!$F$2:$F$5001,3,Prensa!$G$2:$G$5001,1),""))</f>
        <v>0</v>
      </c>
      <c r="G1201" s="27">
        <f>IF(A1201="","",IFERROR(AVERAGEIFS(Prensa!$B$2:$B$5001,Prensa!$E$2:$E$5001,N1201,Prensa!$F$2:$F$5001,4,Prensa!$G$2:$G$5001,1),""))</f>
        <v>0</v>
      </c>
      <c r="H1201" s="26">
        <f>IF(A1201="","",COUNT(D1201:G1201))</f>
        <v>0</v>
      </c>
      <c r="I1201" s="27">
        <f>IF(A1201="","",IF(H1201=0,"",AVERAGE(D1201:G1201)))</f>
        <v>0</v>
      </c>
      <c r="J1201" s="27">
        <f>IF(OR(I1201="",C1201=""),"",I1201-C1201)</f>
        <v>0</v>
      </c>
      <c r="K1201" s="26">
        <f>IF(A1201="","",IF(MES!E1201&lt;&gt;4,"Horário do MES fora do padrão",IF(H1201&lt;cfgMinCortes,"Cortes insuficientes","Válida")))</f>
        <v>0</v>
      </c>
      <c r="L1201" s="27">
        <f>IF(K1201="Válida",ABS(J1201),"")</f>
        <v>0</v>
      </c>
      <c r="M1201" s="26">
        <f>IF(K1201="Válida",IF(L1201&lt;=cfgTolerancia,"Sim","Não"),"")</f>
        <v>0</v>
      </c>
      <c r="N1201" s="26">
        <f>IF(A1201="","",MES!D1201)</f>
        <v>0</v>
      </c>
      <c r="O1201" s="25">
        <f>IF(K1201="Válida",A1201,NA())</f>
        <v>0</v>
      </c>
      <c r="P1201" s="27">
        <f>IF(K1201="Válida",C1201,NA())</f>
        <v>0</v>
      </c>
      <c r="Q1201" s="27">
        <f>IF(K1201="Válida",I1201,NA())</f>
        <v>0</v>
      </c>
      <c r="R1201" s="27">
        <f>IF(K1201="Válida",J1201,NA())</f>
        <v>0</v>
      </c>
      <c r="S1201" s="27">
        <f>IF(K1201="Válida",C1201,"")</f>
        <v>0</v>
      </c>
      <c r="T1201" s="27">
        <f>IF(K1201="Válida",I1201,"")</f>
        <v>0</v>
      </c>
      <c r="U1201" s="27">
        <f>IF(K1201="Válida",J1201,"")</f>
        <v>0</v>
      </c>
    </row>
    <row r="1202" spans="1:21">
      <c r="A1202" s="25">
        <f>IF(MES!A1202="","",MES!C1202/48)</f>
        <v>0</v>
      </c>
      <c r="B1202" s="26">
        <f>IF(A1202="","",TEXT((N1202*4+cfgDeslocamento)/48,"hh:mm")&amp;" a "&amp;TEXT(A1202,"hh:mm"))</f>
        <v>0</v>
      </c>
      <c r="C1202" s="27">
        <f>IF(A1202="","",MES!B1202)</f>
        <v>0</v>
      </c>
      <c r="D1202" s="27">
        <f>IF(A1202="","",IFERROR(AVERAGEIFS(Prensa!$B$2:$B$5001,Prensa!$E$2:$E$5001,N1202,Prensa!$F$2:$F$5001,1,Prensa!$G$2:$G$5001,1),""))</f>
        <v>0</v>
      </c>
      <c r="E1202" s="27">
        <f>IF(A1202="","",IFERROR(AVERAGEIFS(Prensa!$B$2:$B$5001,Prensa!$E$2:$E$5001,N1202,Prensa!$F$2:$F$5001,2,Prensa!$G$2:$G$5001,1),""))</f>
        <v>0</v>
      </c>
      <c r="F1202" s="27">
        <f>IF(A1202="","",IFERROR(AVERAGEIFS(Prensa!$B$2:$B$5001,Prensa!$E$2:$E$5001,N1202,Prensa!$F$2:$F$5001,3,Prensa!$G$2:$G$5001,1),""))</f>
        <v>0</v>
      </c>
      <c r="G1202" s="27">
        <f>IF(A1202="","",IFERROR(AVERAGEIFS(Prensa!$B$2:$B$5001,Prensa!$E$2:$E$5001,N1202,Prensa!$F$2:$F$5001,4,Prensa!$G$2:$G$5001,1),""))</f>
        <v>0</v>
      </c>
      <c r="H1202" s="26">
        <f>IF(A1202="","",COUNT(D1202:G1202))</f>
        <v>0</v>
      </c>
      <c r="I1202" s="27">
        <f>IF(A1202="","",IF(H1202=0,"",AVERAGE(D1202:G1202)))</f>
        <v>0</v>
      </c>
      <c r="J1202" s="27">
        <f>IF(OR(I1202="",C1202=""),"",I1202-C1202)</f>
        <v>0</v>
      </c>
      <c r="K1202" s="26">
        <f>IF(A1202="","",IF(MES!E1202&lt;&gt;4,"Horário do MES fora do padrão",IF(H1202&lt;cfgMinCortes,"Cortes insuficientes","Válida")))</f>
        <v>0</v>
      </c>
      <c r="L1202" s="27">
        <f>IF(K1202="Válida",ABS(J1202),"")</f>
        <v>0</v>
      </c>
      <c r="M1202" s="26">
        <f>IF(K1202="Válida",IF(L1202&lt;=cfgTolerancia,"Sim","Não"),"")</f>
        <v>0</v>
      </c>
      <c r="N1202" s="26">
        <f>IF(A1202="","",MES!D1202)</f>
        <v>0</v>
      </c>
      <c r="O1202" s="25">
        <f>IF(K1202="Válida",A1202,NA())</f>
        <v>0</v>
      </c>
      <c r="P1202" s="27">
        <f>IF(K1202="Válida",C1202,NA())</f>
        <v>0</v>
      </c>
      <c r="Q1202" s="27">
        <f>IF(K1202="Válida",I1202,NA())</f>
        <v>0</v>
      </c>
      <c r="R1202" s="27">
        <f>IF(K1202="Válida",J1202,NA())</f>
        <v>0</v>
      </c>
      <c r="S1202" s="27">
        <f>IF(K1202="Válida",C1202,"")</f>
        <v>0</v>
      </c>
      <c r="T1202" s="27">
        <f>IF(K1202="Válida",I1202,"")</f>
        <v>0</v>
      </c>
      <c r="U1202" s="27">
        <f>IF(K1202="Válida",J1202,"")</f>
        <v>0</v>
      </c>
    </row>
    <row r="1203" spans="1:21">
      <c r="A1203" s="25">
        <f>IF(MES!A1203="","",MES!C1203/48)</f>
        <v>0</v>
      </c>
      <c r="B1203" s="26">
        <f>IF(A1203="","",TEXT((N1203*4+cfgDeslocamento)/48,"hh:mm")&amp;" a "&amp;TEXT(A1203,"hh:mm"))</f>
        <v>0</v>
      </c>
      <c r="C1203" s="27">
        <f>IF(A1203="","",MES!B1203)</f>
        <v>0</v>
      </c>
      <c r="D1203" s="27">
        <f>IF(A1203="","",IFERROR(AVERAGEIFS(Prensa!$B$2:$B$5001,Prensa!$E$2:$E$5001,N1203,Prensa!$F$2:$F$5001,1,Prensa!$G$2:$G$5001,1),""))</f>
        <v>0</v>
      </c>
      <c r="E1203" s="27">
        <f>IF(A1203="","",IFERROR(AVERAGEIFS(Prensa!$B$2:$B$5001,Prensa!$E$2:$E$5001,N1203,Prensa!$F$2:$F$5001,2,Prensa!$G$2:$G$5001,1),""))</f>
        <v>0</v>
      </c>
      <c r="F1203" s="27">
        <f>IF(A1203="","",IFERROR(AVERAGEIFS(Prensa!$B$2:$B$5001,Prensa!$E$2:$E$5001,N1203,Prensa!$F$2:$F$5001,3,Prensa!$G$2:$G$5001,1),""))</f>
        <v>0</v>
      </c>
      <c r="G1203" s="27">
        <f>IF(A1203="","",IFERROR(AVERAGEIFS(Prensa!$B$2:$B$5001,Prensa!$E$2:$E$5001,N1203,Prensa!$F$2:$F$5001,4,Prensa!$G$2:$G$5001,1),""))</f>
        <v>0</v>
      </c>
      <c r="H1203" s="26">
        <f>IF(A1203="","",COUNT(D1203:G1203))</f>
        <v>0</v>
      </c>
      <c r="I1203" s="27">
        <f>IF(A1203="","",IF(H1203=0,"",AVERAGE(D1203:G1203)))</f>
        <v>0</v>
      </c>
      <c r="J1203" s="27">
        <f>IF(OR(I1203="",C1203=""),"",I1203-C1203)</f>
        <v>0</v>
      </c>
      <c r="K1203" s="26">
        <f>IF(A1203="","",IF(MES!E1203&lt;&gt;4,"Horário do MES fora do padrão",IF(H1203&lt;cfgMinCortes,"Cortes insuficientes","Válida")))</f>
        <v>0</v>
      </c>
      <c r="L1203" s="27">
        <f>IF(K1203="Válida",ABS(J1203),"")</f>
        <v>0</v>
      </c>
      <c r="M1203" s="26">
        <f>IF(K1203="Válida",IF(L1203&lt;=cfgTolerancia,"Sim","Não"),"")</f>
        <v>0</v>
      </c>
      <c r="N1203" s="26">
        <f>IF(A1203="","",MES!D1203)</f>
        <v>0</v>
      </c>
      <c r="O1203" s="25">
        <f>IF(K1203="Válida",A1203,NA())</f>
        <v>0</v>
      </c>
      <c r="P1203" s="27">
        <f>IF(K1203="Válida",C1203,NA())</f>
        <v>0</v>
      </c>
      <c r="Q1203" s="27">
        <f>IF(K1203="Válida",I1203,NA())</f>
        <v>0</v>
      </c>
      <c r="R1203" s="27">
        <f>IF(K1203="Válida",J1203,NA())</f>
        <v>0</v>
      </c>
      <c r="S1203" s="27">
        <f>IF(K1203="Válida",C1203,"")</f>
        <v>0</v>
      </c>
      <c r="T1203" s="27">
        <f>IF(K1203="Válida",I1203,"")</f>
        <v>0</v>
      </c>
      <c r="U1203" s="27">
        <f>IF(K1203="Válida",J1203,"")</f>
        <v>0</v>
      </c>
    </row>
    <row r="1204" spans="1:21">
      <c r="A1204" s="25">
        <f>IF(MES!A1204="","",MES!C1204/48)</f>
        <v>0</v>
      </c>
      <c r="B1204" s="26">
        <f>IF(A1204="","",TEXT((N1204*4+cfgDeslocamento)/48,"hh:mm")&amp;" a "&amp;TEXT(A1204,"hh:mm"))</f>
        <v>0</v>
      </c>
      <c r="C1204" s="27">
        <f>IF(A1204="","",MES!B1204)</f>
        <v>0</v>
      </c>
      <c r="D1204" s="27">
        <f>IF(A1204="","",IFERROR(AVERAGEIFS(Prensa!$B$2:$B$5001,Prensa!$E$2:$E$5001,N1204,Prensa!$F$2:$F$5001,1,Prensa!$G$2:$G$5001,1),""))</f>
        <v>0</v>
      </c>
      <c r="E1204" s="27">
        <f>IF(A1204="","",IFERROR(AVERAGEIFS(Prensa!$B$2:$B$5001,Prensa!$E$2:$E$5001,N1204,Prensa!$F$2:$F$5001,2,Prensa!$G$2:$G$5001,1),""))</f>
        <v>0</v>
      </c>
      <c r="F1204" s="27">
        <f>IF(A1204="","",IFERROR(AVERAGEIFS(Prensa!$B$2:$B$5001,Prensa!$E$2:$E$5001,N1204,Prensa!$F$2:$F$5001,3,Prensa!$G$2:$G$5001,1),""))</f>
        <v>0</v>
      </c>
      <c r="G1204" s="27">
        <f>IF(A1204="","",IFERROR(AVERAGEIFS(Prensa!$B$2:$B$5001,Prensa!$E$2:$E$5001,N1204,Prensa!$F$2:$F$5001,4,Prensa!$G$2:$G$5001,1),""))</f>
        <v>0</v>
      </c>
      <c r="H1204" s="26">
        <f>IF(A1204="","",COUNT(D1204:G1204))</f>
        <v>0</v>
      </c>
      <c r="I1204" s="27">
        <f>IF(A1204="","",IF(H1204=0,"",AVERAGE(D1204:G1204)))</f>
        <v>0</v>
      </c>
      <c r="J1204" s="27">
        <f>IF(OR(I1204="",C1204=""),"",I1204-C1204)</f>
        <v>0</v>
      </c>
      <c r="K1204" s="26">
        <f>IF(A1204="","",IF(MES!E1204&lt;&gt;4,"Horário do MES fora do padrão",IF(H1204&lt;cfgMinCortes,"Cortes insuficientes","Válida")))</f>
        <v>0</v>
      </c>
      <c r="L1204" s="27">
        <f>IF(K1204="Válida",ABS(J1204),"")</f>
        <v>0</v>
      </c>
      <c r="M1204" s="26">
        <f>IF(K1204="Válida",IF(L1204&lt;=cfgTolerancia,"Sim","Não"),"")</f>
        <v>0</v>
      </c>
      <c r="N1204" s="26">
        <f>IF(A1204="","",MES!D1204)</f>
        <v>0</v>
      </c>
      <c r="O1204" s="25">
        <f>IF(K1204="Válida",A1204,NA())</f>
        <v>0</v>
      </c>
      <c r="P1204" s="27">
        <f>IF(K1204="Válida",C1204,NA())</f>
        <v>0</v>
      </c>
      <c r="Q1204" s="27">
        <f>IF(K1204="Válida",I1204,NA())</f>
        <v>0</v>
      </c>
      <c r="R1204" s="27">
        <f>IF(K1204="Válida",J1204,NA())</f>
        <v>0</v>
      </c>
      <c r="S1204" s="27">
        <f>IF(K1204="Válida",C1204,"")</f>
        <v>0</v>
      </c>
      <c r="T1204" s="27">
        <f>IF(K1204="Válida",I1204,"")</f>
        <v>0</v>
      </c>
      <c r="U1204" s="27">
        <f>IF(K1204="Válida",J1204,"")</f>
        <v>0</v>
      </c>
    </row>
    <row r="1205" spans="1:21">
      <c r="A1205" s="25">
        <f>IF(MES!A1205="","",MES!C1205/48)</f>
        <v>0</v>
      </c>
      <c r="B1205" s="26">
        <f>IF(A1205="","",TEXT((N1205*4+cfgDeslocamento)/48,"hh:mm")&amp;" a "&amp;TEXT(A1205,"hh:mm"))</f>
        <v>0</v>
      </c>
      <c r="C1205" s="27">
        <f>IF(A1205="","",MES!B1205)</f>
        <v>0</v>
      </c>
      <c r="D1205" s="27">
        <f>IF(A1205="","",IFERROR(AVERAGEIFS(Prensa!$B$2:$B$5001,Prensa!$E$2:$E$5001,N1205,Prensa!$F$2:$F$5001,1,Prensa!$G$2:$G$5001,1),""))</f>
        <v>0</v>
      </c>
      <c r="E1205" s="27">
        <f>IF(A1205="","",IFERROR(AVERAGEIFS(Prensa!$B$2:$B$5001,Prensa!$E$2:$E$5001,N1205,Prensa!$F$2:$F$5001,2,Prensa!$G$2:$G$5001,1),""))</f>
        <v>0</v>
      </c>
      <c r="F1205" s="27">
        <f>IF(A1205="","",IFERROR(AVERAGEIFS(Prensa!$B$2:$B$5001,Prensa!$E$2:$E$5001,N1205,Prensa!$F$2:$F$5001,3,Prensa!$G$2:$G$5001,1),""))</f>
        <v>0</v>
      </c>
      <c r="G1205" s="27">
        <f>IF(A1205="","",IFERROR(AVERAGEIFS(Prensa!$B$2:$B$5001,Prensa!$E$2:$E$5001,N1205,Prensa!$F$2:$F$5001,4,Prensa!$G$2:$G$5001,1),""))</f>
        <v>0</v>
      </c>
      <c r="H1205" s="26">
        <f>IF(A1205="","",COUNT(D1205:G1205))</f>
        <v>0</v>
      </c>
      <c r="I1205" s="27">
        <f>IF(A1205="","",IF(H1205=0,"",AVERAGE(D1205:G1205)))</f>
        <v>0</v>
      </c>
      <c r="J1205" s="27">
        <f>IF(OR(I1205="",C1205=""),"",I1205-C1205)</f>
        <v>0</v>
      </c>
      <c r="K1205" s="26">
        <f>IF(A1205="","",IF(MES!E1205&lt;&gt;4,"Horário do MES fora do padrão",IF(H1205&lt;cfgMinCortes,"Cortes insuficientes","Válida")))</f>
        <v>0</v>
      </c>
      <c r="L1205" s="27">
        <f>IF(K1205="Válida",ABS(J1205),"")</f>
        <v>0</v>
      </c>
      <c r="M1205" s="26">
        <f>IF(K1205="Válida",IF(L1205&lt;=cfgTolerancia,"Sim","Não"),"")</f>
        <v>0</v>
      </c>
      <c r="N1205" s="26">
        <f>IF(A1205="","",MES!D1205)</f>
        <v>0</v>
      </c>
      <c r="O1205" s="25">
        <f>IF(K1205="Válida",A1205,NA())</f>
        <v>0</v>
      </c>
      <c r="P1205" s="27">
        <f>IF(K1205="Válida",C1205,NA())</f>
        <v>0</v>
      </c>
      <c r="Q1205" s="27">
        <f>IF(K1205="Válida",I1205,NA())</f>
        <v>0</v>
      </c>
      <c r="R1205" s="27">
        <f>IF(K1205="Válida",J1205,NA())</f>
        <v>0</v>
      </c>
      <c r="S1205" s="27">
        <f>IF(K1205="Válida",C1205,"")</f>
        <v>0</v>
      </c>
      <c r="T1205" s="27">
        <f>IF(K1205="Válida",I1205,"")</f>
        <v>0</v>
      </c>
      <c r="U1205" s="27">
        <f>IF(K1205="Válida",J1205,"")</f>
        <v>0</v>
      </c>
    </row>
    <row r="1206" spans="1:21">
      <c r="A1206" s="25">
        <f>IF(MES!A1206="","",MES!C1206/48)</f>
        <v>0</v>
      </c>
      <c r="B1206" s="26">
        <f>IF(A1206="","",TEXT((N1206*4+cfgDeslocamento)/48,"hh:mm")&amp;" a "&amp;TEXT(A1206,"hh:mm"))</f>
        <v>0</v>
      </c>
      <c r="C1206" s="27">
        <f>IF(A1206="","",MES!B1206)</f>
        <v>0</v>
      </c>
      <c r="D1206" s="27">
        <f>IF(A1206="","",IFERROR(AVERAGEIFS(Prensa!$B$2:$B$5001,Prensa!$E$2:$E$5001,N1206,Prensa!$F$2:$F$5001,1,Prensa!$G$2:$G$5001,1),""))</f>
        <v>0</v>
      </c>
      <c r="E1206" s="27">
        <f>IF(A1206="","",IFERROR(AVERAGEIFS(Prensa!$B$2:$B$5001,Prensa!$E$2:$E$5001,N1206,Prensa!$F$2:$F$5001,2,Prensa!$G$2:$G$5001,1),""))</f>
        <v>0</v>
      </c>
      <c r="F1206" s="27">
        <f>IF(A1206="","",IFERROR(AVERAGEIFS(Prensa!$B$2:$B$5001,Prensa!$E$2:$E$5001,N1206,Prensa!$F$2:$F$5001,3,Prensa!$G$2:$G$5001,1),""))</f>
        <v>0</v>
      </c>
      <c r="G1206" s="27">
        <f>IF(A1206="","",IFERROR(AVERAGEIFS(Prensa!$B$2:$B$5001,Prensa!$E$2:$E$5001,N1206,Prensa!$F$2:$F$5001,4,Prensa!$G$2:$G$5001,1),""))</f>
        <v>0</v>
      </c>
      <c r="H1206" s="26">
        <f>IF(A1206="","",COUNT(D1206:G1206))</f>
        <v>0</v>
      </c>
      <c r="I1206" s="27">
        <f>IF(A1206="","",IF(H1206=0,"",AVERAGE(D1206:G1206)))</f>
        <v>0</v>
      </c>
      <c r="J1206" s="27">
        <f>IF(OR(I1206="",C1206=""),"",I1206-C1206)</f>
        <v>0</v>
      </c>
      <c r="K1206" s="26">
        <f>IF(A1206="","",IF(MES!E1206&lt;&gt;4,"Horário do MES fora do padrão",IF(H1206&lt;cfgMinCortes,"Cortes insuficientes","Válida")))</f>
        <v>0</v>
      </c>
      <c r="L1206" s="27">
        <f>IF(K1206="Válida",ABS(J1206),"")</f>
        <v>0</v>
      </c>
      <c r="M1206" s="26">
        <f>IF(K1206="Válida",IF(L1206&lt;=cfgTolerancia,"Sim","Não"),"")</f>
        <v>0</v>
      </c>
      <c r="N1206" s="26">
        <f>IF(A1206="","",MES!D1206)</f>
        <v>0</v>
      </c>
      <c r="O1206" s="25">
        <f>IF(K1206="Válida",A1206,NA())</f>
        <v>0</v>
      </c>
      <c r="P1206" s="27">
        <f>IF(K1206="Válida",C1206,NA())</f>
        <v>0</v>
      </c>
      <c r="Q1206" s="27">
        <f>IF(K1206="Válida",I1206,NA())</f>
        <v>0</v>
      </c>
      <c r="R1206" s="27">
        <f>IF(K1206="Válida",J1206,NA())</f>
        <v>0</v>
      </c>
      <c r="S1206" s="27">
        <f>IF(K1206="Válida",C1206,"")</f>
        <v>0</v>
      </c>
      <c r="T1206" s="27">
        <f>IF(K1206="Válida",I1206,"")</f>
        <v>0</v>
      </c>
      <c r="U1206" s="27">
        <f>IF(K1206="Válida",J1206,"")</f>
        <v>0</v>
      </c>
    </row>
    <row r="1207" spans="1:21">
      <c r="A1207" s="25">
        <f>IF(MES!A1207="","",MES!C1207/48)</f>
        <v>0</v>
      </c>
      <c r="B1207" s="26">
        <f>IF(A1207="","",TEXT((N1207*4+cfgDeslocamento)/48,"hh:mm")&amp;" a "&amp;TEXT(A1207,"hh:mm"))</f>
        <v>0</v>
      </c>
      <c r="C1207" s="27">
        <f>IF(A1207="","",MES!B1207)</f>
        <v>0</v>
      </c>
      <c r="D1207" s="27">
        <f>IF(A1207="","",IFERROR(AVERAGEIFS(Prensa!$B$2:$B$5001,Prensa!$E$2:$E$5001,N1207,Prensa!$F$2:$F$5001,1,Prensa!$G$2:$G$5001,1),""))</f>
        <v>0</v>
      </c>
      <c r="E1207" s="27">
        <f>IF(A1207="","",IFERROR(AVERAGEIFS(Prensa!$B$2:$B$5001,Prensa!$E$2:$E$5001,N1207,Prensa!$F$2:$F$5001,2,Prensa!$G$2:$G$5001,1),""))</f>
        <v>0</v>
      </c>
      <c r="F1207" s="27">
        <f>IF(A1207="","",IFERROR(AVERAGEIFS(Prensa!$B$2:$B$5001,Prensa!$E$2:$E$5001,N1207,Prensa!$F$2:$F$5001,3,Prensa!$G$2:$G$5001,1),""))</f>
        <v>0</v>
      </c>
      <c r="G1207" s="27">
        <f>IF(A1207="","",IFERROR(AVERAGEIFS(Prensa!$B$2:$B$5001,Prensa!$E$2:$E$5001,N1207,Prensa!$F$2:$F$5001,4,Prensa!$G$2:$G$5001,1),""))</f>
        <v>0</v>
      </c>
      <c r="H1207" s="26">
        <f>IF(A1207="","",COUNT(D1207:G1207))</f>
        <v>0</v>
      </c>
      <c r="I1207" s="27">
        <f>IF(A1207="","",IF(H1207=0,"",AVERAGE(D1207:G1207)))</f>
        <v>0</v>
      </c>
      <c r="J1207" s="27">
        <f>IF(OR(I1207="",C1207=""),"",I1207-C1207)</f>
        <v>0</v>
      </c>
      <c r="K1207" s="26">
        <f>IF(A1207="","",IF(MES!E1207&lt;&gt;4,"Horário do MES fora do padrão",IF(H1207&lt;cfgMinCortes,"Cortes insuficientes","Válida")))</f>
        <v>0</v>
      </c>
      <c r="L1207" s="27">
        <f>IF(K1207="Válida",ABS(J1207),"")</f>
        <v>0</v>
      </c>
      <c r="M1207" s="26">
        <f>IF(K1207="Válida",IF(L1207&lt;=cfgTolerancia,"Sim","Não"),"")</f>
        <v>0</v>
      </c>
      <c r="N1207" s="26">
        <f>IF(A1207="","",MES!D1207)</f>
        <v>0</v>
      </c>
      <c r="O1207" s="25">
        <f>IF(K1207="Válida",A1207,NA())</f>
        <v>0</v>
      </c>
      <c r="P1207" s="27">
        <f>IF(K1207="Válida",C1207,NA())</f>
        <v>0</v>
      </c>
      <c r="Q1207" s="27">
        <f>IF(K1207="Válida",I1207,NA())</f>
        <v>0</v>
      </c>
      <c r="R1207" s="27">
        <f>IF(K1207="Válida",J1207,NA())</f>
        <v>0</v>
      </c>
      <c r="S1207" s="27">
        <f>IF(K1207="Válida",C1207,"")</f>
        <v>0</v>
      </c>
      <c r="T1207" s="27">
        <f>IF(K1207="Válida",I1207,"")</f>
        <v>0</v>
      </c>
      <c r="U1207" s="27">
        <f>IF(K1207="Válida",J1207,"")</f>
        <v>0</v>
      </c>
    </row>
    <row r="1208" spans="1:21">
      <c r="A1208" s="25">
        <f>IF(MES!A1208="","",MES!C1208/48)</f>
        <v>0</v>
      </c>
      <c r="B1208" s="26">
        <f>IF(A1208="","",TEXT((N1208*4+cfgDeslocamento)/48,"hh:mm")&amp;" a "&amp;TEXT(A1208,"hh:mm"))</f>
        <v>0</v>
      </c>
      <c r="C1208" s="27">
        <f>IF(A1208="","",MES!B1208)</f>
        <v>0</v>
      </c>
      <c r="D1208" s="27">
        <f>IF(A1208="","",IFERROR(AVERAGEIFS(Prensa!$B$2:$B$5001,Prensa!$E$2:$E$5001,N1208,Prensa!$F$2:$F$5001,1,Prensa!$G$2:$G$5001,1),""))</f>
        <v>0</v>
      </c>
      <c r="E1208" s="27">
        <f>IF(A1208="","",IFERROR(AVERAGEIFS(Prensa!$B$2:$B$5001,Prensa!$E$2:$E$5001,N1208,Prensa!$F$2:$F$5001,2,Prensa!$G$2:$G$5001,1),""))</f>
        <v>0</v>
      </c>
      <c r="F1208" s="27">
        <f>IF(A1208="","",IFERROR(AVERAGEIFS(Prensa!$B$2:$B$5001,Prensa!$E$2:$E$5001,N1208,Prensa!$F$2:$F$5001,3,Prensa!$G$2:$G$5001,1),""))</f>
        <v>0</v>
      </c>
      <c r="G1208" s="27">
        <f>IF(A1208="","",IFERROR(AVERAGEIFS(Prensa!$B$2:$B$5001,Prensa!$E$2:$E$5001,N1208,Prensa!$F$2:$F$5001,4,Prensa!$G$2:$G$5001,1),""))</f>
        <v>0</v>
      </c>
      <c r="H1208" s="26">
        <f>IF(A1208="","",COUNT(D1208:G1208))</f>
        <v>0</v>
      </c>
      <c r="I1208" s="27">
        <f>IF(A1208="","",IF(H1208=0,"",AVERAGE(D1208:G1208)))</f>
        <v>0</v>
      </c>
      <c r="J1208" s="27">
        <f>IF(OR(I1208="",C1208=""),"",I1208-C1208)</f>
        <v>0</v>
      </c>
      <c r="K1208" s="26">
        <f>IF(A1208="","",IF(MES!E1208&lt;&gt;4,"Horário do MES fora do padrão",IF(H1208&lt;cfgMinCortes,"Cortes insuficientes","Válida")))</f>
        <v>0</v>
      </c>
      <c r="L1208" s="27">
        <f>IF(K1208="Válida",ABS(J1208),"")</f>
        <v>0</v>
      </c>
      <c r="M1208" s="26">
        <f>IF(K1208="Válida",IF(L1208&lt;=cfgTolerancia,"Sim","Não"),"")</f>
        <v>0</v>
      </c>
      <c r="N1208" s="26">
        <f>IF(A1208="","",MES!D1208)</f>
        <v>0</v>
      </c>
      <c r="O1208" s="25">
        <f>IF(K1208="Válida",A1208,NA())</f>
        <v>0</v>
      </c>
      <c r="P1208" s="27">
        <f>IF(K1208="Válida",C1208,NA())</f>
        <v>0</v>
      </c>
      <c r="Q1208" s="27">
        <f>IF(K1208="Válida",I1208,NA())</f>
        <v>0</v>
      </c>
      <c r="R1208" s="27">
        <f>IF(K1208="Válida",J1208,NA())</f>
        <v>0</v>
      </c>
      <c r="S1208" s="27">
        <f>IF(K1208="Válida",C1208,"")</f>
        <v>0</v>
      </c>
      <c r="T1208" s="27">
        <f>IF(K1208="Válida",I1208,"")</f>
        <v>0</v>
      </c>
      <c r="U1208" s="27">
        <f>IF(K1208="Válida",J1208,"")</f>
        <v>0</v>
      </c>
    </row>
    <row r="1209" spans="1:21">
      <c r="A1209" s="25">
        <f>IF(MES!A1209="","",MES!C1209/48)</f>
        <v>0</v>
      </c>
      <c r="B1209" s="26">
        <f>IF(A1209="","",TEXT((N1209*4+cfgDeslocamento)/48,"hh:mm")&amp;" a "&amp;TEXT(A1209,"hh:mm"))</f>
        <v>0</v>
      </c>
      <c r="C1209" s="27">
        <f>IF(A1209="","",MES!B1209)</f>
        <v>0</v>
      </c>
      <c r="D1209" s="27">
        <f>IF(A1209="","",IFERROR(AVERAGEIFS(Prensa!$B$2:$B$5001,Prensa!$E$2:$E$5001,N1209,Prensa!$F$2:$F$5001,1,Prensa!$G$2:$G$5001,1),""))</f>
        <v>0</v>
      </c>
      <c r="E1209" s="27">
        <f>IF(A1209="","",IFERROR(AVERAGEIFS(Prensa!$B$2:$B$5001,Prensa!$E$2:$E$5001,N1209,Prensa!$F$2:$F$5001,2,Prensa!$G$2:$G$5001,1),""))</f>
        <v>0</v>
      </c>
      <c r="F1209" s="27">
        <f>IF(A1209="","",IFERROR(AVERAGEIFS(Prensa!$B$2:$B$5001,Prensa!$E$2:$E$5001,N1209,Prensa!$F$2:$F$5001,3,Prensa!$G$2:$G$5001,1),""))</f>
        <v>0</v>
      </c>
      <c r="G1209" s="27">
        <f>IF(A1209="","",IFERROR(AVERAGEIFS(Prensa!$B$2:$B$5001,Prensa!$E$2:$E$5001,N1209,Prensa!$F$2:$F$5001,4,Prensa!$G$2:$G$5001,1),""))</f>
        <v>0</v>
      </c>
      <c r="H1209" s="26">
        <f>IF(A1209="","",COUNT(D1209:G1209))</f>
        <v>0</v>
      </c>
      <c r="I1209" s="27">
        <f>IF(A1209="","",IF(H1209=0,"",AVERAGE(D1209:G1209)))</f>
        <v>0</v>
      </c>
      <c r="J1209" s="27">
        <f>IF(OR(I1209="",C1209=""),"",I1209-C1209)</f>
        <v>0</v>
      </c>
      <c r="K1209" s="26">
        <f>IF(A1209="","",IF(MES!E1209&lt;&gt;4,"Horário do MES fora do padrão",IF(H1209&lt;cfgMinCortes,"Cortes insuficientes","Válida")))</f>
        <v>0</v>
      </c>
      <c r="L1209" s="27">
        <f>IF(K1209="Válida",ABS(J1209),"")</f>
        <v>0</v>
      </c>
      <c r="M1209" s="26">
        <f>IF(K1209="Válida",IF(L1209&lt;=cfgTolerancia,"Sim","Não"),"")</f>
        <v>0</v>
      </c>
      <c r="N1209" s="26">
        <f>IF(A1209="","",MES!D1209)</f>
        <v>0</v>
      </c>
      <c r="O1209" s="25">
        <f>IF(K1209="Válida",A1209,NA())</f>
        <v>0</v>
      </c>
      <c r="P1209" s="27">
        <f>IF(K1209="Válida",C1209,NA())</f>
        <v>0</v>
      </c>
      <c r="Q1209" s="27">
        <f>IF(K1209="Válida",I1209,NA())</f>
        <v>0</v>
      </c>
      <c r="R1209" s="27">
        <f>IF(K1209="Válida",J1209,NA())</f>
        <v>0</v>
      </c>
      <c r="S1209" s="27">
        <f>IF(K1209="Válida",C1209,"")</f>
        <v>0</v>
      </c>
      <c r="T1209" s="27">
        <f>IF(K1209="Válida",I1209,"")</f>
        <v>0</v>
      </c>
      <c r="U1209" s="27">
        <f>IF(K1209="Válida",J1209,"")</f>
        <v>0</v>
      </c>
    </row>
    <row r="1210" spans="1:21">
      <c r="A1210" s="25">
        <f>IF(MES!A1210="","",MES!C1210/48)</f>
        <v>0</v>
      </c>
      <c r="B1210" s="26">
        <f>IF(A1210="","",TEXT((N1210*4+cfgDeslocamento)/48,"hh:mm")&amp;" a "&amp;TEXT(A1210,"hh:mm"))</f>
        <v>0</v>
      </c>
      <c r="C1210" s="27">
        <f>IF(A1210="","",MES!B1210)</f>
        <v>0</v>
      </c>
      <c r="D1210" s="27">
        <f>IF(A1210="","",IFERROR(AVERAGEIFS(Prensa!$B$2:$B$5001,Prensa!$E$2:$E$5001,N1210,Prensa!$F$2:$F$5001,1,Prensa!$G$2:$G$5001,1),""))</f>
        <v>0</v>
      </c>
      <c r="E1210" s="27">
        <f>IF(A1210="","",IFERROR(AVERAGEIFS(Prensa!$B$2:$B$5001,Prensa!$E$2:$E$5001,N1210,Prensa!$F$2:$F$5001,2,Prensa!$G$2:$G$5001,1),""))</f>
        <v>0</v>
      </c>
      <c r="F1210" s="27">
        <f>IF(A1210="","",IFERROR(AVERAGEIFS(Prensa!$B$2:$B$5001,Prensa!$E$2:$E$5001,N1210,Prensa!$F$2:$F$5001,3,Prensa!$G$2:$G$5001,1),""))</f>
        <v>0</v>
      </c>
      <c r="G1210" s="27">
        <f>IF(A1210="","",IFERROR(AVERAGEIFS(Prensa!$B$2:$B$5001,Prensa!$E$2:$E$5001,N1210,Prensa!$F$2:$F$5001,4,Prensa!$G$2:$G$5001,1),""))</f>
        <v>0</v>
      </c>
      <c r="H1210" s="26">
        <f>IF(A1210="","",COUNT(D1210:G1210))</f>
        <v>0</v>
      </c>
      <c r="I1210" s="27">
        <f>IF(A1210="","",IF(H1210=0,"",AVERAGE(D1210:G1210)))</f>
        <v>0</v>
      </c>
      <c r="J1210" s="27">
        <f>IF(OR(I1210="",C1210=""),"",I1210-C1210)</f>
        <v>0</v>
      </c>
      <c r="K1210" s="26">
        <f>IF(A1210="","",IF(MES!E1210&lt;&gt;4,"Horário do MES fora do padrão",IF(H1210&lt;cfgMinCortes,"Cortes insuficientes","Válida")))</f>
        <v>0</v>
      </c>
      <c r="L1210" s="27">
        <f>IF(K1210="Válida",ABS(J1210),"")</f>
        <v>0</v>
      </c>
      <c r="M1210" s="26">
        <f>IF(K1210="Válida",IF(L1210&lt;=cfgTolerancia,"Sim","Não"),"")</f>
        <v>0</v>
      </c>
      <c r="N1210" s="26">
        <f>IF(A1210="","",MES!D1210)</f>
        <v>0</v>
      </c>
      <c r="O1210" s="25">
        <f>IF(K1210="Válida",A1210,NA())</f>
        <v>0</v>
      </c>
      <c r="P1210" s="27">
        <f>IF(K1210="Válida",C1210,NA())</f>
        <v>0</v>
      </c>
      <c r="Q1210" s="27">
        <f>IF(K1210="Válida",I1210,NA())</f>
        <v>0</v>
      </c>
      <c r="R1210" s="27">
        <f>IF(K1210="Válida",J1210,NA())</f>
        <v>0</v>
      </c>
      <c r="S1210" s="27">
        <f>IF(K1210="Válida",C1210,"")</f>
        <v>0</v>
      </c>
      <c r="T1210" s="27">
        <f>IF(K1210="Válida",I1210,"")</f>
        <v>0</v>
      </c>
      <c r="U1210" s="27">
        <f>IF(K1210="Válida",J1210,"")</f>
        <v>0</v>
      </c>
    </row>
    <row r="1211" spans="1:21">
      <c r="A1211" s="25">
        <f>IF(MES!A1211="","",MES!C1211/48)</f>
        <v>0</v>
      </c>
      <c r="B1211" s="26">
        <f>IF(A1211="","",TEXT((N1211*4+cfgDeslocamento)/48,"hh:mm")&amp;" a "&amp;TEXT(A1211,"hh:mm"))</f>
        <v>0</v>
      </c>
      <c r="C1211" s="27">
        <f>IF(A1211="","",MES!B1211)</f>
        <v>0</v>
      </c>
      <c r="D1211" s="27">
        <f>IF(A1211="","",IFERROR(AVERAGEIFS(Prensa!$B$2:$B$5001,Prensa!$E$2:$E$5001,N1211,Prensa!$F$2:$F$5001,1,Prensa!$G$2:$G$5001,1),""))</f>
        <v>0</v>
      </c>
      <c r="E1211" s="27">
        <f>IF(A1211="","",IFERROR(AVERAGEIFS(Prensa!$B$2:$B$5001,Prensa!$E$2:$E$5001,N1211,Prensa!$F$2:$F$5001,2,Prensa!$G$2:$G$5001,1),""))</f>
        <v>0</v>
      </c>
      <c r="F1211" s="27">
        <f>IF(A1211="","",IFERROR(AVERAGEIFS(Prensa!$B$2:$B$5001,Prensa!$E$2:$E$5001,N1211,Prensa!$F$2:$F$5001,3,Prensa!$G$2:$G$5001,1),""))</f>
        <v>0</v>
      </c>
      <c r="G1211" s="27">
        <f>IF(A1211="","",IFERROR(AVERAGEIFS(Prensa!$B$2:$B$5001,Prensa!$E$2:$E$5001,N1211,Prensa!$F$2:$F$5001,4,Prensa!$G$2:$G$5001,1),""))</f>
        <v>0</v>
      </c>
      <c r="H1211" s="26">
        <f>IF(A1211="","",COUNT(D1211:G1211))</f>
        <v>0</v>
      </c>
      <c r="I1211" s="27">
        <f>IF(A1211="","",IF(H1211=0,"",AVERAGE(D1211:G1211)))</f>
        <v>0</v>
      </c>
      <c r="J1211" s="27">
        <f>IF(OR(I1211="",C1211=""),"",I1211-C1211)</f>
        <v>0</v>
      </c>
      <c r="K1211" s="26">
        <f>IF(A1211="","",IF(MES!E1211&lt;&gt;4,"Horário do MES fora do padrão",IF(H1211&lt;cfgMinCortes,"Cortes insuficientes","Válida")))</f>
        <v>0</v>
      </c>
      <c r="L1211" s="27">
        <f>IF(K1211="Válida",ABS(J1211),"")</f>
        <v>0</v>
      </c>
      <c r="M1211" s="26">
        <f>IF(K1211="Válida",IF(L1211&lt;=cfgTolerancia,"Sim","Não"),"")</f>
        <v>0</v>
      </c>
      <c r="N1211" s="26">
        <f>IF(A1211="","",MES!D1211)</f>
        <v>0</v>
      </c>
      <c r="O1211" s="25">
        <f>IF(K1211="Válida",A1211,NA())</f>
        <v>0</v>
      </c>
      <c r="P1211" s="27">
        <f>IF(K1211="Válida",C1211,NA())</f>
        <v>0</v>
      </c>
      <c r="Q1211" s="27">
        <f>IF(K1211="Válida",I1211,NA())</f>
        <v>0</v>
      </c>
      <c r="R1211" s="27">
        <f>IF(K1211="Válida",J1211,NA())</f>
        <v>0</v>
      </c>
      <c r="S1211" s="27">
        <f>IF(K1211="Válida",C1211,"")</f>
        <v>0</v>
      </c>
      <c r="T1211" s="27">
        <f>IF(K1211="Válida",I1211,"")</f>
        <v>0</v>
      </c>
      <c r="U1211" s="27">
        <f>IF(K1211="Válida",J1211,"")</f>
        <v>0</v>
      </c>
    </row>
    <row r="1212" spans="1:21">
      <c r="A1212" s="25">
        <f>IF(MES!A1212="","",MES!C1212/48)</f>
        <v>0</v>
      </c>
      <c r="B1212" s="26">
        <f>IF(A1212="","",TEXT((N1212*4+cfgDeslocamento)/48,"hh:mm")&amp;" a "&amp;TEXT(A1212,"hh:mm"))</f>
        <v>0</v>
      </c>
      <c r="C1212" s="27">
        <f>IF(A1212="","",MES!B1212)</f>
        <v>0</v>
      </c>
      <c r="D1212" s="27">
        <f>IF(A1212="","",IFERROR(AVERAGEIFS(Prensa!$B$2:$B$5001,Prensa!$E$2:$E$5001,N1212,Prensa!$F$2:$F$5001,1,Prensa!$G$2:$G$5001,1),""))</f>
        <v>0</v>
      </c>
      <c r="E1212" s="27">
        <f>IF(A1212="","",IFERROR(AVERAGEIFS(Prensa!$B$2:$B$5001,Prensa!$E$2:$E$5001,N1212,Prensa!$F$2:$F$5001,2,Prensa!$G$2:$G$5001,1),""))</f>
        <v>0</v>
      </c>
      <c r="F1212" s="27">
        <f>IF(A1212="","",IFERROR(AVERAGEIFS(Prensa!$B$2:$B$5001,Prensa!$E$2:$E$5001,N1212,Prensa!$F$2:$F$5001,3,Prensa!$G$2:$G$5001,1),""))</f>
        <v>0</v>
      </c>
      <c r="G1212" s="27">
        <f>IF(A1212="","",IFERROR(AVERAGEIFS(Prensa!$B$2:$B$5001,Prensa!$E$2:$E$5001,N1212,Prensa!$F$2:$F$5001,4,Prensa!$G$2:$G$5001,1),""))</f>
        <v>0</v>
      </c>
      <c r="H1212" s="26">
        <f>IF(A1212="","",COUNT(D1212:G1212))</f>
        <v>0</v>
      </c>
      <c r="I1212" s="27">
        <f>IF(A1212="","",IF(H1212=0,"",AVERAGE(D1212:G1212)))</f>
        <v>0</v>
      </c>
      <c r="J1212" s="27">
        <f>IF(OR(I1212="",C1212=""),"",I1212-C1212)</f>
        <v>0</v>
      </c>
      <c r="K1212" s="26">
        <f>IF(A1212="","",IF(MES!E1212&lt;&gt;4,"Horário do MES fora do padrão",IF(H1212&lt;cfgMinCortes,"Cortes insuficientes","Válida")))</f>
        <v>0</v>
      </c>
      <c r="L1212" s="27">
        <f>IF(K1212="Válida",ABS(J1212),"")</f>
        <v>0</v>
      </c>
      <c r="M1212" s="26">
        <f>IF(K1212="Válida",IF(L1212&lt;=cfgTolerancia,"Sim","Não"),"")</f>
        <v>0</v>
      </c>
      <c r="N1212" s="26">
        <f>IF(A1212="","",MES!D1212)</f>
        <v>0</v>
      </c>
      <c r="O1212" s="25">
        <f>IF(K1212="Válida",A1212,NA())</f>
        <v>0</v>
      </c>
      <c r="P1212" s="27">
        <f>IF(K1212="Válida",C1212,NA())</f>
        <v>0</v>
      </c>
      <c r="Q1212" s="27">
        <f>IF(K1212="Válida",I1212,NA())</f>
        <v>0</v>
      </c>
      <c r="R1212" s="27">
        <f>IF(K1212="Válida",J1212,NA())</f>
        <v>0</v>
      </c>
      <c r="S1212" s="27">
        <f>IF(K1212="Válida",C1212,"")</f>
        <v>0</v>
      </c>
      <c r="T1212" s="27">
        <f>IF(K1212="Válida",I1212,"")</f>
        <v>0</v>
      </c>
      <c r="U1212" s="27">
        <f>IF(K1212="Válida",J1212,"")</f>
        <v>0</v>
      </c>
    </row>
    <row r="1213" spans="1:21">
      <c r="A1213" s="25">
        <f>IF(MES!A1213="","",MES!C1213/48)</f>
        <v>0</v>
      </c>
      <c r="B1213" s="26">
        <f>IF(A1213="","",TEXT((N1213*4+cfgDeslocamento)/48,"hh:mm")&amp;" a "&amp;TEXT(A1213,"hh:mm"))</f>
        <v>0</v>
      </c>
      <c r="C1213" s="27">
        <f>IF(A1213="","",MES!B1213)</f>
        <v>0</v>
      </c>
      <c r="D1213" s="27">
        <f>IF(A1213="","",IFERROR(AVERAGEIFS(Prensa!$B$2:$B$5001,Prensa!$E$2:$E$5001,N1213,Prensa!$F$2:$F$5001,1,Prensa!$G$2:$G$5001,1),""))</f>
        <v>0</v>
      </c>
      <c r="E1213" s="27">
        <f>IF(A1213="","",IFERROR(AVERAGEIFS(Prensa!$B$2:$B$5001,Prensa!$E$2:$E$5001,N1213,Prensa!$F$2:$F$5001,2,Prensa!$G$2:$G$5001,1),""))</f>
        <v>0</v>
      </c>
      <c r="F1213" s="27">
        <f>IF(A1213="","",IFERROR(AVERAGEIFS(Prensa!$B$2:$B$5001,Prensa!$E$2:$E$5001,N1213,Prensa!$F$2:$F$5001,3,Prensa!$G$2:$G$5001,1),""))</f>
        <v>0</v>
      </c>
      <c r="G1213" s="27">
        <f>IF(A1213="","",IFERROR(AVERAGEIFS(Prensa!$B$2:$B$5001,Prensa!$E$2:$E$5001,N1213,Prensa!$F$2:$F$5001,4,Prensa!$G$2:$G$5001,1),""))</f>
        <v>0</v>
      </c>
      <c r="H1213" s="26">
        <f>IF(A1213="","",COUNT(D1213:G1213))</f>
        <v>0</v>
      </c>
      <c r="I1213" s="27">
        <f>IF(A1213="","",IF(H1213=0,"",AVERAGE(D1213:G1213)))</f>
        <v>0</v>
      </c>
      <c r="J1213" s="27">
        <f>IF(OR(I1213="",C1213=""),"",I1213-C1213)</f>
        <v>0</v>
      </c>
      <c r="K1213" s="26">
        <f>IF(A1213="","",IF(MES!E1213&lt;&gt;4,"Horário do MES fora do padrão",IF(H1213&lt;cfgMinCortes,"Cortes insuficientes","Válida")))</f>
        <v>0</v>
      </c>
      <c r="L1213" s="27">
        <f>IF(K1213="Válida",ABS(J1213),"")</f>
        <v>0</v>
      </c>
      <c r="M1213" s="26">
        <f>IF(K1213="Válida",IF(L1213&lt;=cfgTolerancia,"Sim","Não"),"")</f>
        <v>0</v>
      </c>
      <c r="N1213" s="26">
        <f>IF(A1213="","",MES!D1213)</f>
        <v>0</v>
      </c>
      <c r="O1213" s="25">
        <f>IF(K1213="Válida",A1213,NA())</f>
        <v>0</v>
      </c>
      <c r="P1213" s="27">
        <f>IF(K1213="Válida",C1213,NA())</f>
        <v>0</v>
      </c>
      <c r="Q1213" s="27">
        <f>IF(K1213="Válida",I1213,NA())</f>
        <v>0</v>
      </c>
      <c r="R1213" s="27">
        <f>IF(K1213="Válida",J1213,NA())</f>
        <v>0</v>
      </c>
      <c r="S1213" s="27">
        <f>IF(K1213="Válida",C1213,"")</f>
        <v>0</v>
      </c>
      <c r="T1213" s="27">
        <f>IF(K1213="Válida",I1213,"")</f>
        <v>0</v>
      </c>
      <c r="U1213" s="27">
        <f>IF(K1213="Válida",J1213,"")</f>
        <v>0</v>
      </c>
    </row>
    <row r="1214" spans="1:21">
      <c r="A1214" s="25">
        <f>IF(MES!A1214="","",MES!C1214/48)</f>
        <v>0</v>
      </c>
      <c r="B1214" s="26">
        <f>IF(A1214="","",TEXT((N1214*4+cfgDeslocamento)/48,"hh:mm")&amp;" a "&amp;TEXT(A1214,"hh:mm"))</f>
        <v>0</v>
      </c>
      <c r="C1214" s="27">
        <f>IF(A1214="","",MES!B1214)</f>
        <v>0</v>
      </c>
      <c r="D1214" s="27">
        <f>IF(A1214="","",IFERROR(AVERAGEIFS(Prensa!$B$2:$B$5001,Prensa!$E$2:$E$5001,N1214,Prensa!$F$2:$F$5001,1,Prensa!$G$2:$G$5001,1),""))</f>
        <v>0</v>
      </c>
      <c r="E1214" s="27">
        <f>IF(A1214="","",IFERROR(AVERAGEIFS(Prensa!$B$2:$B$5001,Prensa!$E$2:$E$5001,N1214,Prensa!$F$2:$F$5001,2,Prensa!$G$2:$G$5001,1),""))</f>
        <v>0</v>
      </c>
      <c r="F1214" s="27">
        <f>IF(A1214="","",IFERROR(AVERAGEIFS(Prensa!$B$2:$B$5001,Prensa!$E$2:$E$5001,N1214,Prensa!$F$2:$F$5001,3,Prensa!$G$2:$G$5001,1),""))</f>
        <v>0</v>
      </c>
      <c r="G1214" s="27">
        <f>IF(A1214="","",IFERROR(AVERAGEIFS(Prensa!$B$2:$B$5001,Prensa!$E$2:$E$5001,N1214,Prensa!$F$2:$F$5001,4,Prensa!$G$2:$G$5001,1),""))</f>
        <v>0</v>
      </c>
      <c r="H1214" s="26">
        <f>IF(A1214="","",COUNT(D1214:G1214))</f>
        <v>0</v>
      </c>
      <c r="I1214" s="27">
        <f>IF(A1214="","",IF(H1214=0,"",AVERAGE(D1214:G1214)))</f>
        <v>0</v>
      </c>
      <c r="J1214" s="27">
        <f>IF(OR(I1214="",C1214=""),"",I1214-C1214)</f>
        <v>0</v>
      </c>
      <c r="K1214" s="26">
        <f>IF(A1214="","",IF(MES!E1214&lt;&gt;4,"Horário do MES fora do padrão",IF(H1214&lt;cfgMinCortes,"Cortes insuficientes","Válida")))</f>
        <v>0</v>
      </c>
      <c r="L1214" s="27">
        <f>IF(K1214="Válida",ABS(J1214),"")</f>
        <v>0</v>
      </c>
      <c r="M1214" s="26">
        <f>IF(K1214="Válida",IF(L1214&lt;=cfgTolerancia,"Sim","Não"),"")</f>
        <v>0</v>
      </c>
      <c r="N1214" s="26">
        <f>IF(A1214="","",MES!D1214)</f>
        <v>0</v>
      </c>
      <c r="O1214" s="25">
        <f>IF(K1214="Válida",A1214,NA())</f>
        <v>0</v>
      </c>
      <c r="P1214" s="27">
        <f>IF(K1214="Válida",C1214,NA())</f>
        <v>0</v>
      </c>
      <c r="Q1214" s="27">
        <f>IF(K1214="Válida",I1214,NA())</f>
        <v>0</v>
      </c>
      <c r="R1214" s="27">
        <f>IF(K1214="Válida",J1214,NA())</f>
        <v>0</v>
      </c>
      <c r="S1214" s="27">
        <f>IF(K1214="Válida",C1214,"")</f>
        <v>0</v>
      </c>
      <c r="T1214" s="27">
        <f>IF(K1214="Válida",I1214,"")</f>
        <v>0</v>
      </c>
      <c r="U1214" s="27">
        <f>IF(K1214="Válida",J1214,"")</f>
        <v>0</v>
      </c>
    </row>
    <row r="1215" spans="1:21">
      <c r="A1215" s="25">
        <f>IF(MES!A1215="","",MES!C1215/48)</f>
        <v>0</v>
      </c>
      <c r="B1215" s="26">
        <f>IF(A1215="","",TEXT((N1215*4+cfgDeslocamento)/48,"hh:mm")&amp;" a "&amp;TEXT(A1215,"hh:mm"))</f>
        <v>0</v>
      </c>
      <c r="C1215" s="27">
        <f>IF(A1215="","",MES!B1215)</f>
        <v>0</v>
      </c>
      <c r="D1215" s="27">
        <f>IF(A1215="","",IFERROR(AVERAGEIFS(Prensa!$B$2:$B$5001,Prensa!$E$2:$E$5001,N1215,Prensa!$F$2:$F$5001,1,Prensa!$G$2:$G$5001,1),""))</f>
        <v>0</v>
      </c>
      <c r="E1215" s="27">
        <f>IF(A1215="","",IFERROR(AVERAGEIFS(Prensa!$B$2:$B$5001,Prensa!$E$2:$E$5001,N1215,Prensa!$F$2:$F$5001,2,Prensa!$G$2:$G$5001,1),""))</f>
        <v>0</v>
      </c>
      <c r="F1215" s="27">
        <f>IF(A1215="","",IFERROR(AVERAGEIFS(Prensa!$B$2:$B$5001,Prensa!$E$2:$E$5001,N1215,Prensa!$F$2:$F$5001,3,Prensa!$G$2:$G$5001,1),""))</f>
        <v>0</v>
      </c>
      <c r="G1215" s="27">
        <f>IF(A1215="","",IFERROR(AVERAGEIFS(Prensa!$B$2:$B$5001,Prensa!$E$2:$E$5001,N1215,Prensa!$F$2:$F$5001,4,Prensa!$G$2:$G$5001,1),""))</f>
        <v>0</v>
      </c>
      <c r="H1215" s="26">
        <f>IF(A1215="","",COUNT(D1215:G1215))</f>
        <v>0</v>
      </c>
      <c r="I1215" s="27">
        <f>IF(A1215="","",IF(H1215=0,"",AVERAGE(D1215:G1215)))</f>
        <v>0</v>
      </c>
      <c r="J1215" s="27">
        <f>IF(OR(I1215="",C1215=""),"",I1215-C1215)</f>
        <v>0</v>
      </c>
      <c r="K1215" s="26">
        <f>IF(A1215="","",IF(MES!E1215&lt;&gt;4,"Horário do MES fora do padrão",IF(H1215&lt;cfgMinCortes,"Cortes insuficientes","Válida")))</f>
        <v>0</v>
      </c>
      <c r="L1215" s="27">
        <f>IF(K1215="Válida",ABS(J1215),"")</f>
        <v>0</v>
      </c>
      <c r="M1215" s="26">
        <f>IF(K1215="Válida",IF(L1215&lt;=cfgTolerancia,"Sim","Não"),"")</f>
        <v>0</v>
      </c>
      <c r="N1215" s="26">
        <f>IF(A1215="","",MES!D1215)</f>
        <v>0</v>
      </c>
      <c r="O1215" s="25">
        <f>IF(K1215="Válida",A1215,NA())</f>
        <v>0</v>
      </c>
      <c r="P1215" s="27">
        <f>IF(K1215="Válida",C1215,NA())</f>
        <v>0</v>
      </c>
      <c r="Q1215" s="27">
        <f>IF(K1215="Válida",I1215,NA())</f>
        <v>0</v>
      </c>
      <c r="R1215" s="27">
        <f>IF(K1215="Válida",J1215,NA())</f>
        <v>0</v>
      </c>
      <c r="S1215" s="27">
        <f>IF(K1215="Válida",C1215,"")</f>
        <v>0</v>
      </c>
      <c r="T1215" s="27">
        <f>IF(K1215="Válida",I1215,"")</f>
        <v>0</v>
      </c>
      <c r="U1215" s="27">
        <f>IF(K1215="Válida",J1215,"")</f>
        <v>0</v>
      </c>
    </row>
    <row r="1216" spans="1:21">
      <c r="A1216" s="25">
        <f>IF(MES!A1216="","",MES!C1216/48)</f>
        <v>0</v>
      </c>
      <c r="B1216" s="26">
        <f>IF(A1216="","",TEXT((N1216*4+cfgDeslocamento)/48,"hh:mm")&amp;" a "&amp;TEXT(A1216,"hh:mm"))</f>
        <v>0</v>
      </c>
      <c r="C1216" s="27">
        <f>IF(A1216="","",MES!B1216)</f>
        <v>0</v>
      </c>
      <c r="D1216" s="27">
        <f>IF(A1216="","",IFERROR(AVERAGEIFS(Prensa!$B$2:$B$5001,Prensa!$E$2:$E$5001,N1216,Prensa!$F$2:$F$5001,1,Prensa!$G$2:$G$5001,1),""))</f>
        <v>0</v>
      </c>
      <c r="E1216" s="27">
        <f>IF(A1216="","",IFERROR(AVERAGEIFS(Prensa!$B$2:$B$5001,Prensa!$E$2:$E$5001,N1216,Prensa!$F$2:$F$5001,2,Prensa!$G$2:$G$5001,1),""))</f>
        <v>0</v>
      </c>
      <c r="F1216" s="27">
        <f>IF(A1216="","",IFERROR(AVERAGEIFS(Prensa!$B$2:$B$5001,Prensa!$E$2:$E$5001,N1216,Prensa!$F$2:$F$5001,3,Prensa!$G$2:$G$5001,1),""))</f>
        <v>0</v>
      </c>
      <c r="G1216" s="27">
        <f>IF(A1216="","",IFERROR(AVERAGEIFS(Prensa!$B$2:$B$5001,Prensa!$E$2:$E$5001,N1216,Prensa!$F$2:$F$5001,4,Prensa!$G$2:$G$5001,1),""))</f>
        <v>0</v>
      </c>
      <c r="H1216" s="26">
        <f>IF(A1216="","",COUNT(D1216:G1216))</f>
        <v>0</v>
      </c>
      <c r="I1216" s="27">
        <f>IF(A1216="","",IF(H1216=0,"",AVERAGE(D1216:G1216)))</f>
        <v>0</v>
      </c>
      <c r="J1216" s="27">
        <f>IF(OR(I1216="",C1216=""),"",I1216-C1216)</f>
        <v>0</v>
      </c>
      <c r="K1216" s="26">
        <f>IF(A1216="","",IF(MES!E1216&lt;&gt;4,"Horário do MES fora do padrão",IF(H1216&lt;cfgMinCortes,"Cortes insuficientes","Válida")))</f>
        <v>0</v>
      </c>
      <c r="L1216" s="27">
        <f>IF(K1216="Válida",ABS(J1216),"")</f>
        <v>0</v>
      </c>
      <c r="M1216" s="26">
        <f>IF(K1216="Válida",IF(L1216&lt;=cfgTolerancia,"Sim","Não"),"")</f>
        <v>0</v>
      </c>
      <c r="N1216" s="26">
        <f>IF(A1216="","",MES!D1216)</f>
        <v>0</v>
      </c>
      <c r="O1216" s="25">
        <f>IF(K1216="Válida",A1216,NA())</f>
        <v>0</v>
      </c>
      <c r="P1216" s="27">
        <f>IF(K1216="Válida",C1216,NA())</f>
        <v>0</v>
      </c>
      <c r="Q1216" s="27">
        <f>IF(K1216="Válida",I1216,NA())</f>
        <v>0</v>
      </c>
      <c r="R1216" s="27">
        <f>IF(K1216="Válida",J1216,NA())</f>
        <v>0</v>
      </c>
      <c r="S1216" s="27">
        <f>IF(K1216="Válida",C1216,"")</f>
        <v>0</v>
      </c>
      <c r="T1216" s="27">
        <f>IF(K1216="Válida",I1216,"")</f>
        <v>0</v>
      </c>
      <c r="U1216" s="27">
        <f>IF(K1216="Válida",J1216,"")</f>
        <v>0</v>
      </c>
    </row>
    <row r="1217" spans="1:21">
      <c r="A1217" s="25">
        <f>IF(MES!A1217="","",MES!C1217/48)</f>
        <v>0</v>
      </c>
      <c r="B1217" s="26">
        <f>IF(A1217="","",TEXT((N1217*4+cfgDeslocamento)/48,"hh:mm")&amp;" a "&amp;TEXT(A1217,"hh:mm"))</f>
        <v>0</v>
      </c>
      <c r="C1217" s="27">
        <f>IF(A1217="","",MES!B1217)</f>
        <v>0</v>
      </c>
      <c r="D1217" s="27">
        <f>IF(A1217="","",IFERROR(AVERAGEIFS(Prensa!$B$2:$B$5001,Prensa!$E$2:$E$5001,N1217,Prensa!$F$2:$F$5001,1,Prensa!$G$2:$G$5001,1),""))</f>
        <v>0</v>
      </c>
      <c r="E1217" s="27">
        <f>IF(A1217="","",IFERROR(AVERAGEIFS(Prensa!$B$2:$B$5001,Prensa!$E$2:$E$5001,N1217,Prensa!$F$2:$F$5001,2,Prensa!$G$2:$G$5001,1),""))</f>
        <v>0</v>
      </c>
      <c r="F1217" s="27">
        <f>IF(A1217="","",IFERROR(AVERAGEIFS(Prensa!$B$2:$B$5001,Prensa!$E$2:$E$5001,N1217,Prensa!$F$2:$F$5001,3,Prensa!$G$2:$G$5001,1),""))</f>
        <v>0</v>
      </c>
      <c r="G1217" s="27">
        <f>IF(A1217="","",IFERROR(AVERAGEIFS(Prensa!$B$2:$B$5001,Prensa!$E$2:$E$5001,N1217,Prensa!$F$2:$F$5001,4,Prensa!$G$2:$G$5001,1),""))</f>
        <v>0</v>
      </c>
      <c r="H1217" s="26">
        <f>IF(A1217="","",COUNT(D1217:G1217))</f>
        <v>0</v>
      </c>
      <c r="I1217" s="27">
        <f>IF(A1217="","",IF(H1217=0,"",AVERAGE(D1217:G1217)))</f>
        <v>0</v>
      </c>
      <c r="J1217" s="27">
        <f>IF(OR(I1217="",C1217=""),"",I1217-C1217)</f>
        <v>0</v>
      </c>
      <c r="K1217" s="26">
        <f>IF(A1217="","",IF(MES!E1217&lt;&gt;4,"Horário do MES fora do padrão",IF(H1217&lt;cfgMinCortes,"Cortes insuficientes","Válida")))</f>
        <v>0</v>
      </c>
      <c r="L1217" s="27">
        <f>IF(K1217="Válida",ABS(J1217),"")</f>
        <v>0</v>
      </c>
      <c r="M1217" s="26">
        <f>IF(K1217="Válida",IF(L1217&lt;=cfgTolerancia,"Sim","Não"),"")</f>
        <v>0</v>
      </c>
      <c r="N1217" s="26">
        <f>IF(A1217="","",MES!D1217)</f>
        <v>0</v>
      </c>
      <c r="O1217" s="25">
        <f>IF(K1217="Válida",A1217,NA())</f>
        <v>0</v>
      </c>
      <c r="P1217" s="27">
        <f>IF(K1217="Válida",C1217,NA())</f>
        <v>0</v>
      </c>
      <c r="Q1217" s="27">
        <f>IF(K1217="Válida",I1217,NA())</f>
        <v>0</v>
      </c>
      <c r="R1217" s="27">
        <f>IF(K1217="Válida",J1217,NA())</f>
        <v>0</v>
      </c>
      <c r="S1217" s="27">
        <f>IF(K1217="Válida",C1217,"")</f>
        <v>0</v>
      </c>
      <c r="T1217" s="27">
        <f>IF(K1217="Válida",I1217,"")</f>
        <v>0</v>
      </c>
      <c r="U1217" s="27">
        <f>IF(K1217="Válida",J1217,"")</f>
        <v>0</v>
      </c>
    </row>
    <row r="1218" spans="1:21">
      <c r="A1218" s="25">
        <f>IF(MES!A1218="","",MES!C1218/48)</f>
        <v>0</v>
      </c>
      <c r="B1218" s="26">
        <f>IF(A1218="","",TEXT((N1218*4+cfgDeslocamento)/48,"hh:mm")&amp;" a "&amp;TEXT(A1218,"hh:mm"))</f>
        <v>0</v>
      </c>
      <c r="C1218" s="27">
        <f>IF(A1218="","",MES!B1218)</f>
        <v>0</v>
      </c>
      <c r="D1218" s="27">
        <f>IF(A1218="","",IFERROR(AVERAGEIFS(Prensa!$B$2:$B$5001,Prensa!$E$2:$E$5001,N1218,Prensa!$F$2:$F$5001,1,Prensa!$G$2:$G$5001,1),""))</f>
        <v>0</v>
      </c>
      <c r="E1218" s="27">
        <f>IF(A1218="","",IFERROR(AVERAGEIFS(Prensa!$B$2:$B$5001,Prensa!$E$2:$E$5001,N1218,Prensa!$F$2:$F$5001,2,Prensa!$G$2:$G$5001,1),""))</f>
        <v>0</v>
      </c>
      <c r="F1218" s="27">
        <f>IF(A1218="","",IFERROR(AVERAGEIFS(Prensa!$B$2:$B$5001,Prensa!$E$2:$E$5001,N1218,Prensa!$F$2:$F$5001,3,Prensa!$G$2:$G$5001,1),""))</f>
        <v>0</v>
      </c>
      <c r="G1218" s="27">
        <f>IF(A1218="","",IFERROR(AVERAGEIFS(Prensa!$B$2:$B$5001,Prensa!$E$2:$E$5001,N1218,Prensa!$F$2:$F$5001,4,Prensa!$G$2:$G$5001,1),""))</f>
        <v>0</v>
      </c>
      <c r="H1218" s="26">
        <f>IF(A1218="","",COUNT(D1218:G1218))</f>
        <v>0</v>
      </c>
      <c r="I1218" s="27">
        <f>IF(A1218="","",IF(H1218=0,"",AVERAGE(D1218:G1218)))</f>
        <v>0</v>
      </c>
      <c r="J1218" s="27">
        <f>IF(OR(I1218="",C1218=""),"",I1218-C1218)</f>
        <v>0</v>
      </c>
      <c r="K1218" s="26">
        <f>IF(A1218="","",IF(MES!E1218&lt;&gt;4,"Horário do MES fora do padrão",IF(H1218&lt;cfgMinCortes,"Cortes insuficientes","Válida")))</f>
        <v>0</v>
      </c>
      <c r="L1218" s="27">
        <f>IF(K1218="Válida",ABS(J1218),"")</f>
        <v>0</v>
      </c>
      <c r="M1218" s="26">
        <f>IF(K1218="Válida",IF(L1218&lt;=cfgTolerancia,"Sim","Não"),"")</f>
        <v>0</v>
      </c>
      <c r="N1218" s="26">
        <f>IF(A1218="","",MES!D1218)</f>
        <v>0</v>
      </c>
      <c r="O1218" s="25">
        <f>IF(K1218="Válida",A1218,NA())</f>
        <v>0</v>
      </c>
      <c r="P1218" s="27">
        <f>IF(K1218="Válida",C1218,NA())</f>
        <v>0</v>
      </c>
      <c r="Q1218" s="27">
        <f>IF(K1218="Válida",I1218,NA())</f>
        <v>0</v>
      </c>
      <c r="R1218" s="27">
        <f>IF(K1218="Válida",J1218,NA())</f>
        <v>0</v>
      </c>
      <c r="S1218" s="27">
        <f>IF(K1218="Válida",C1218,"")</f>
        <v>0</v>
      </c>
      <c r="T1218" s="27">
        <f>IF(K1218="Válida",I1218,"")</f>
        <v>0</v>
      </c>
      <c r="U1218" s="27">
        <f>IF(K1218="Válida",J1218,"")</f>
        <v>0</v>
      </c>
    </row>
    <row r="1219" spans="1:21">
      <c r="A1219" s="25">
        <f>IF(MES!A1219="","",MES!C1219/48)</f>
        <v>0</v>
      </c>
      <c r="B1219" s="26">
        <f>IF(A1219="","",TEXT((N1219*4+cfgDeslocamento)/48,"hh:mm")&amp;" a "&amp;TEXT(A1219,"hh:mm"))</f>
        <v>0</v>
      </c>
      <c r="C1219" s="27">
        <f>IF(A1219="","",MES!B1219)</f>
        <v>0</v>
      </c>
      <c r="D1219" s="27">
        <f>IF(A1219="","",IFERROR(AVERAGEIFS(Prensa!$B$2:$B$5001,Prensa!$E$2:$E$5001,N1219,Prensa!$F$2:$F$5001,1,Prensa!$G$2:$G$5001,1),""))</f>
        <v>0</v>
      </c>
      <c r="E1219" s="27">
        <f>IF(A1219="","",IFERROR(AVERAGEIFS(Prensa!$B$2:$B$5001,Prensa!$E$2:$E$5001,N1219,Prensa!$F$2:$F$5001,2,Prensa!$G$2:$G$5001,1),""))</f>
        <v>0</v>
      </c>
      <c r="F1219" s="27">
        <f>IF(A1219="","",IFERROR(AVERAGEIFS(Prensa!$B$2:$B$5001,Prensa!$E$2:$E$5001,N1219,Prensa!$F$2:$F$5001,3,Prensa!$G$2:$G$5001,1),""))</f>
        <v>0</v>
      </c>
      <c r="G1219" s="27">
        <f>IF(A1219="","",IFERROR(AVERAGEIFS(Prensa!$B$2:$B$5001,Prensa!$E$2:$E$5001,N1219,Prensa!$F$2:$F$5001,4,Prensa!$G$2:$G$5001,1),""))</f>
        <v>0</v>
      </c>
      <c r="H1219" s="26">
        <f>IF(A1219="","",COUNT(D1219:G1219))</f>
        <v>0</v>
      </c>
      <c r="I1219" s="27">
        <f>IF(A1219="","",IF(H1219=0,"",AVERAGE(D1219:G1219)))</f>
        <v>0</v>
      </c>
      <c r="J1219" s="27">
        <f>IF(OR(I1219="",C1219=""),"",I1219-C1219)</f>
        <v>0</v>
      </c>
      <c r="K1219" s="26">
        <f>IF(A1219="","",IF(MES!E1219&lt;&gt;4,"Horário do MES fora do padrão",IF(H1219&lt;cfgMinCortes,"Cortes insuficientes","Válida")))</f>
        <v>0</v>
      </c>
      <c r="L1219" s="27">
        <f>IF(K1219="Válida",ABS(J1219),"")</f>
        <v>0</v>
      </c>
      <c r="M1219" s="26">
        <f>IF(K1219="Válida",IF(L1219&lt;=cfgTolerancia,"Sim","Não"),"")</f>
        <v>0</v>
      </c>
      <c r="N1219" s="26">
        <f>IF(A1219="","",MES!D1219)</f>
        <v>0</v>
      </c>
      <c r="O1219" s="25">
        <f>IF(K1219="Válida",A1219,NA())</f>
        <v>0</v>
      </c>
      <c r="P1219" s="27">
        <f>IF(K1219="Válida",C1219,NA())</f>
        <v>0</v>
      </c>
      <c r="Q1219" s="27">
        <f>IF(K1219="Válida",I1219,NA())</f>
        <v>0</v>
      </c>
      <c r="R1219" s="27">
        <f>IF(K1219="Válida",J1219,NA())</f>
        <v>0</v>
      </c>
      <c r="S1219" s="27">
        <f>IF(K1219="Válida",C1219,"")</f>
        <v>0</v>
      </c>
      <c r="T1219" s="27">
        <f>IF(K1219="Válida",I1219,"")</f>
        <v>0</v>
      </c>
      <c r="U1219" s="27">
        <f>IF(K1219="Válida",J1219,"")</f>
        <v>0</v>
      </c>
    </row>
    <row r="1220" spans="1:21">
      <c r="A1220" s="25">
        <f>IF(MES!A1220="","",MES!C1220/48)</f>
        <v>0</v>
      </c>
      <c r="B1220" s="26">
        <f>IF(A1220="","",TEXT((N1220*4+cfgDeslocamento)/48,"hh:mm")&amp;" a "&amp;TEXT(A1220,"hh:mm"))</f>
        <v>0</v>
      </c>
      <c r="C1220" s="27">
        <f>IF(A1220="","",MES!B1220)</f>
        <v>0</v>
      </c>
      <c r="D1220" s="27">
        <f>IF(A1220="","",IFERROR(AVERAGEIFS(Prensa!$B$2:$B$5001,Prensa!$E$2:$E$5001,N1220,Prensa!$F$2:$F$5001,1,Prensa!$G$2:$G$5001,1),""))</f>
        <v>0</v>
      </c>
      <c r="E1220" s="27">
        <f>IF(A1220="","",IFERROR(AVERAGEIFS(Prensa!$B$2:$B$5001,Prensa!$E$2:$E$5001,N1220,Prensa!$F$2:$F$5001,2,Prensa!$G$2:$G$5001,1),""))</f>
        <v>0</v>
      </c>
      <c r="F1220" s="27">
        <f>IF(A1220="","",IFERROR(AVERAGEIFS(Prensa!$B$2:$B$5001,Prensa!$E$2:$E$5001,N1220,Prensa!$F$2:$F$5001,3,Prensa!$G$2:$G$5001,1),""))</f>
        <v>0</v>
      </c>
      <c r="G1220" s="27">
        <f>IF(A1220="","",IFERROR(AVERAGEIFS(Prensa!$B$2:$B$5001,Prensa!$E$2:$E$5001,N1220,Prensa!$F$2:$F$5001,4,Prensa!$G$2:$G$5001,1),""))</f>
        <v>0</v>
      </c>
      <c r="H1220" s="26">
        <f>IF(A1220="","",COUNT(D1220:G1220))</f>
        <v>0</v>
      </c>
      <c r="I1220" s="27">
        <f>IF(A1220="","",IF(H1220=0,"",AVERAGE(D1220:G1220)))</f>
        <v>0</v>
      </c>
      <c r="J1220" s="27">
        <f>IF(OR(I1220="",C1220=""),"",I1220-C1220)</f>
        <v>0</v>
      </c>
      <c r="K1220" s="26">
        <f>IF(A1220="","",IF(MES!E1220&lt;&gt;4,"Horário do MES fora do padrão",IF(H1220&lt;cfgMinCortes,"Cortes insuficientes","Válida")))</f>
        <v>0</v>
      </c>
      <c r="L1220" s="27">
        <f>IF(K1220="Válida",ABS(J1220),"")</f>
        <v>0</v>
      </c>
      <c r="M1220" s="26">
        <f>IF(K1220="Válida",IF(L1220&lt;=cfgTolerancia,"Sim","Não"),"")</f>
        <v>0</v>
      </c>
      <c r="N1220" s="26">
        <f>IF(A1220="","",MES!D1220)</f>
        <v>0</v>
      </c>
      <c r="O1220" s="25">
        <f>IF(K1220="Válida",A1220,NA())</f>
        <v>0</v>
      </c>
      <c r="P1220" s="27">
        <f>IF(K1220="Válida",C1220,NA())</f>
        <v>0</v>
      </c>
      <c r="Q1220" s="27">
        <f>IF(K1220="Válida",I1220,NA())</f>
        <v>0</v>
      </c>
      <c r="R1220" s="27">
        <f>IF(K1220="Válida",J1220,NA())</f>
        <v>0</v>
      </c>
      <c r="S1220" s="27">
        <f>IF(K1220="Válida",C1220,"")</f>
        <v>0</v>
      </c>
      <c r="T1220" s="27">
        <f>IF(K1220="Válida",I1220,"")</f>
        <v>0</v>
      </c>
      <c r="U1220" s="27">
        <f>IF(K1220="Válida",J1220,"")</f>
        <v>0</v>
      </c>
    </row>
    <row r="1221" spans="1:21">
      <c r="A1221" s="25">
        <f>IF(MES!A1221="","",MES!C1221/48)</f>
        <v>0</v>
      </c>
      <c r="B1221" s="26">
        <f>IF(A1221="","",TEXT((N1221*4+cfgDeslocamento)/48,"hh:mm")&amp;" a "&amp;TEXT(A1221,"hh:mm"))</f>
        <v>0</v>
      </c>
      <c r="C1221" s="27">
        <f>IF(A1221="","",MES!B1221)</f>
        <v>0</v>
      </c>
      <c r="D1221" s="27">
        <f>IF(A1221="","",IFERROR(AVERAGEIFS(Prensa!$B$2:$B$5001,Prensa!$E$2:$E$5001,N1221,Prensa!$F$2:$F$5001,1,Prensa!$G$2:$G$5001,1),""))</f>
        <v>0</v>
      </c>
      <c r="E1221" s="27">
        <f>IF(A1221="","",IFERROR(AVERAGEIFS(Prensa!$B$2:$B$5001,Prensa!$E$2:$E$5001,N1221,Prensa!$F$2:$F$5001,2,Prensa!$G$2:$G$5001,1),""))</f>
        <v>0</v>
      </c>
      <c r="F1221" s="27">
        <f>IF(A1221="","",IFERROR(AVERAGEIFS(Prensa!$B$2:$B$5001,Prensa!$E$2:$E$5001,N1221,Prensa!$F$2:$F$5001,3,Prensa!$G$2:$G$5001,1),""))</f>
        <v>0</v>
      </c>
      <c r="G1221" s="27">
        <f>IF(A1221="","",IFERROR(AVERAGEIFS(Prensa!$B$2:$B$5001,Prensa!$E$2:$E$5001,N1221,Prensa!$F$2:$F$5001,4,Prensa!$G$2:$G$5001,1),""))</f>
        <v>0</v>
      </c>
      <c r="H1221" s="26">
        <f>IF(A1221="","",COUNT(D1221:G1221))</f>
        <v>0</v>
      </c>
      <c r="I1221" s="27">
        <f>IF(A1221="","",IF(H1221=0,"",AVERAGE(D1221:G1221)))</f>
        <v>0</v>
      </c>
      <c r="J1221" s="27">
        <f>IF(OR(I1221="",C1221=""),"",I1221-C1221)</f>
        <v>0</v>
      </c>
      <c r="K1221" s="26">
        <f>IF(A1221="","",IF(MES!E1221&lt;&gt;4,"Horário do MES fora do padrão",IF(H1221&lt;cfgMinCortes,"Cortes insuficientes","Válida")))</f>
        <v>0</v>
      </c>
      <c r="L1221" s="27">
        <f>IF(K1221="Válida",ABS(J1221),"")</f>
        <v>0</v>
      </c>
      <c r="M1221" s="26">
        <f>IF(K1221="Válida",IF(L1221&lt;=cfgTolerancia,"Sim","Não"),"")</f>
        <v>0</v>
      </c>
      <c r="N1221" s="26">
        <f>IF(A1221="","",MES!D1221)</f>
        <v>0</v>
      </c>
      <c r="O1221" s="25">
        <f>IF(K1221="Válida",A1221,NA())</f>
        <v>0</v>
      </c>
      <c r="P1221" s="27">
        <f>IF(K1221="Válida",C1221,NA())</f>
        <v>0</v>
      </c>
      <c r="Q1221" s="27">
        <f>IF(K1221="Válida",I1221,NA())</f>
        <v>0</v>
      </c>
      <c r="R1221" s="27">
        <f>IF(K1221="Válida",J1221,NA())</f>
        <v>0</v>
      </c>
      <c r="S1221" s="27">
        <f>IF(K1221="Válida",C1221,"")</f>
        <v>0</v>
      </c>
      <c r="T1221" s="27">
        <f>IF(K1221="Válida",I1221,"")</f>
        <v>0</v>
      </c>
      <c r="U1221" s="27">
        <f>IF(K1221="Válida",J1221,"")</f>
        <v>0</v>
      </c>
    </row>
    <row r="1222" spans="1:21">
      <c r="A1222" s="25">
        <f>IF(MES!A1222="","",MES!C1222/48)</f>
        <v>0</v>
      </c>
      <c r="B1222" s="26">
        <f>IF(A1222="","",TEXT((N1222*4+cfgDeslocamento)/48,"hh:mm")&amp;" a "&amp;TEXT(A1222,"hh:mm"))</f>
        <v>0</v>
      </c>
      <c r="C1222" s="27">
        <f>IF(A1222="","",MES!B1222)</f>
        <v>0</v>
      </c>
      <c r="D1222" s="27">
        <f>IF(A1222="","",IFERROR(AVERAGEIFS(Prensa!$B$2:$B$5001,Prensa!$E$2:$E$5001,N1222,Prensa!$F$2:$F$5001,1,Prensa!$G$2:$G$5001,1),""))</f>
        <v>0</v>
      </c>
      <c r="E1222" s="27">
        <f>IF(A1222="","",IFERROR(AVERAGEIFS(Prensa!$B$2:$B$5001,Prensa!$E$2:$E$5001,N1222,Prensa!$F$2:$F$5001,2,Prensa!$G$2:$G$5001,1),""))</f>
        <v>0</v>
      </c>
      <c r="F1222" s="27">
        <f>IF(A1222="","",IFERROR(AVERAGEIFS(Prensa!$B$2:$B$5001,Prensa!$E$2:$E$5001,N1222,Prensa!$F$2:$F$5001,3,Prensa!$G$2:$G$5001,1),""))</f>
        <v>0</v>
      </c>
      <c r="G1222" s="27">
        <f>IF(A1222="","",IFERROR(AVERAGEIFS(Prensa!$B$2:$B$5001,Prensa!$E$2:$E$5001,N1222,Prensa!$F$2:$F$5001,4,Prensa!$G$2:$G$5001,1),""))</f>
        <v>0</v>
      </c>
      <c r="H1222" s="26">
        <f>IF(A1222="","",COUNT(D1222:G1222))</f>
        <v>0</v>
      </c>
      <c r="I1222" s="27">
        <f>IF(A1222="","",IF(H1222=0,"",AVERAGE(D1222:G1222)))</f>
        <v>0</v>
      </c>
      <c r="J1222" s="27">
        <f>IF(OR(I1222="",C1222=""),"",I1222-C1222)</f>
        <v>0</v>
      </c>
      <c r="K1222" s="26">
        <f>IF(A1222="","",IF(MES!E1222&lt;&gt;4,"Horário do MES fora do padrão",IF(H1222&lt;cfgMinCortes,"Cortes insuficientes","Válida")))</f>
        <v>0</v>
      </c>
      <c r="L1222" s="27">
        <f>IF(K1222="Válida",ABS(J1222),"")</f>
        <v>0</v>
      </c>
      <c r="M1222" s="26">
        <f>IF(K1222="Válida",IF(L1222&lt;=cfgTolerancia,"Sim","Não"),"")</f>
        <v>0</v>
      </c>
      <c r="N1222" s="26">
        <f>IF(A1222="","",MES!D1222)</f>
        <v>0</v>
      </c>
      <c r="O1222" s="25">
        <f>IF(K1222="Válida",A1222,NA())</f>
        <v>0</v>
      </c>
      <c r="P1222" s="27">
        <f>IF(K1222="Válida",C1222,NA())</f>
        <v>0</v>
      </c>
      <c r="Q1222" s="27">
        <f>IF(K1222="Válida",I1222,NA())</f>
        <v>0</v>
      </c>
      <c r="R1222" s="27">
        <f>IF(K1222="Válida",J1222,NA())</f>
        <v>0</v>
      </c>
      <c r="S1222" s="27">
        <f>IF(K1222="Válida",C1222,"")</f>
        <v>0</v>
      </c>
      <c r="T1222" s="27">
        <f>IF(K1222="Válida",I1222,"")</f>
        <v>0</v>
      </c>
      <c r="U1222" s="27">
        <f>IF(K1222="Válida",J1222,"")</f>
        <v>0</v>
      </c>
    </row>
    <row r="1223" spans="1:21">
      <c r="A1223" s="25">
        <f>IF(MES!A1223="","",MES!C1223/48)</f>
        <v>0</v>
      </c>
      <c r="B1223" s="26">
        <f>IF(A1223="","",TEXT((N1223*4+cfgDeslocamento)/48,"hh:mm")&amp;" a "&amp;TEXT(A1223,"hh:mm"))</f>
        <v>0</v>
      </c>
      <c r="C1223" s="27">
        <f>IF(A1223="","",MES!B1223)</f>
        <v>0</v>
      </c>
      <c r="D1223" s="27">
        <f>IF(A1223="","",IFERROR(AVERAGEIFS(Prensa!$B$2:$B$5001,Prensa!$E$2:$E$5001,N1223,Prensa!$F$2:$F$5001,1,Prensa!$G$2:$G$5001,1),""))</f>
        <v>0</v>
      </c>
      <c r="E1223" s="27">
        <f>IF(A1223="","",IFERROR(AVERAGEIFS(Prensa!$B$2:$B$5001,Prensa!$E$2:$E$5001,N1223,Prensa!$F$2:$F$5001,2,Prensa!$G$2:$G$5001,1),""))</f>
        <v>0</v>
      </c>
      <c r="F1223" s="27">
        <f>IF(A1223="","",IFERROR(AVERAGEIFS(Prensa!$B$2:$B$5001,Prensa!$E$2:$E$5001,N1223,Prensa!$F$2:$F$5001,3,Prensa!$G$2:$G$5001,1),""))</f>
        <v>0</v>
      </c>
      <c r="G1223" s="27">
        <f>IF(A1223="","",IFERROR(AVERAGEIFS(Prensa!$B$2:$B$5001,Prensa!$E$2:$E$5001,N1223,Prensa!$F$2:$F$5001,4,Prensa!$G$2:$G$5001,1),""))</f>
        <v>0</v>
      </c>
      <c r="H1223" s="26">
        <f>IF(A1223="","",COUNT(D1223:G1223))</f>
        <v>0</v>
      </c>
      <c r="I1223" s="27">
        <f>IF(A1223="","",IF(H1223=0,"",AVERAGE(D1223:G1223)))</f>
        <v>0</v>
      </c>
      <c r="J1223" s="27">
        <f>IF(OR(I1223="",C1223=""),"",I1223-C1223)</f>
        <v>0</v>
      </c>
      <c r="K1223" s="26">
        <f>IF(A1223="","",IF(MES!E1223&lt;&gt;4,"Horário do MES fora do padrão",IF(H1223&lt;cfgMinCortes,"Cortes insuficientes","Válida")))</f>
        <v>0</v>
      </c>
      <c r="L1223" s="27">
        <f>IF(K1223="Válida",ABS(J1223),"")</f>
        <v>0</v>
      </c>
      <c r="M1223" s="26">
        <f>IF(K1223="Válida",IF(L1223&lt;=cfgTolerancia,"Sim","Não"),"")</f>
        <v>0</v>
      </c>
      <c r="N1223" s="26">
        <f>IF(A1223="","",MES!D1223)</f>
        <v>0</v>
      </c>
      <c r="O1223" s="25">
        <f>IF(K1223="Válida",A1223,NA())</f>
        <v>0</v>
      </c>
      <c r="P1223" s="27">
        <f>IF(K1223="Válida",C1223,NA())</f>
        <v>0</v>
      </c>
      <c r="Q1223" s="27">
        <f>IF(K1223="Válida",I1223,NA())</f>
        <v>0</v>
      </c>
      <c r="R1223" s="27">
        <f>IF(K1223="Válida",J1223,NA())</f>
        <v>0</v>
      </c>
      <c r="S1223" s="27">
        <f>IF(K1223="Válida",C1223,"")</f>
        <v>0</v>
      </c>
      <c r="T1223" s="27">
        <f>IF(K1223="Válida",I1223,"")</f>
        <v>0</v>
      </c>
      <c r="U1223" s="27">
        <f>IF(K1223="Válida",J1223,"")</f>
        <v>0</v>
      </c>
    </row>
    <row r="1224" spans="1:21">
      <c r="A1224" s="25">
        <f>IF(MES!A1224="","",MES!C1224/48)</f>
        <v>0</v>
      </c>
      <c r="B1224" s="26">
        <f>IF(A1224="","",TEXT((N1224*4+cfgDeslocamento)/48,"hh:mm")&amp;" a "&amp;TEXT(A1224,"hh:mm"))</f>
        <v>0</v>
      </c>
      <c r="C1224" s="27">
        <f>IF(A1224="","",MES!B1224)</f>
        <v>0</v>
      </c>
      <c r="D1224" s="27">
        <f>IF(A1224="","",IFERROR(AVERAGEIFS(Prensa!$B$2:$B$5001,Prensa!$E$2:$E$5001,N1224,Prensa!$F$2:$F$5001,1,Prensa!$G$2:$G$5001,1),""))</f>
        <v>0</v>
      </c>
      <c r="E1224" s="27">
        <f>IF(A1224="","",IFERROR(AVERAGEIFS(Prensa!$B$2:$B$5001,Prensa!$E$2:$E$5001,N1224,Prensa!$F$2:$F$5001,2,Prensa!$G$2:$G$5001,1),""))</f>
        <v>0</v>
      </c>
      <c r="F1224" s="27">
        <f>IF(A1224="","",IFERROR(AVERAGEIFS(Prensa!$B$2:$B$5001,Prensa!$E$2:$E$5001,N1224,Prensa!$F$2:$F$5001,3,Prensa!$G$2:$G$5001,1),""))</f>
        <v>0</v>
      </c>
      <c r="G1224" s="27">
        <f>IF(A1224="","",IFERROR(AVERAGEIFS(Prensa!$B$2:$B$5001,Prensa!$E$2:$E$5001,N1224,Prensa!$F$2:$F$5001,4,Prensa!$G$2:$G$5001,1),""))</f>
        <v>0</v>
      </c>
      <c r="H1224" s="26">
        <f>IF(A1224="","",COUNT(D1224:G1224))</f>
        <v>0</v>
      </c>
      <c r="I1224" s="27">
        <f>IF(A1224="","",IF(H1224=0,"",AVERAGE(D1224:G1224)))</f>
        <v>0</v>
      </c>
      <c r="J1224" s="27">
        <f>IF(OR(I1224="",C1224=""),"",I1224-C1224)</f>
        <v>0</v>
      </c>
      <c r="K1224" s="26">
        <f>IF(A1224="","",IF(MES!E1224&lt;&gt;4,"Horário do MES fora do padrão",IF(H1224&lt;cfgMinCortes,"Cortes insuficientes","Válida")))</f>
        <v>0</v>
      </c>
      <c r="L1224" s="27">
        <f>IF(K1224="Válida",ABS(J1224),"")</f>
        <v>0</v>
      </c>
      <c r="M1224" s="26">
        <f>IF(K1224="Válida",IF(L1224&lt;=cfgTolerancia,"Sim","Não"),"")</f>
        <v>0</v>
      </c>
      <c r="N1224" s="26">
        <f>IF(A1224="","",MES!D1224)</f>
        <v>0</v>
      </c>
      <c r="O1224" s="25">
        <f>IF(K1224="Válida",A1224,NA())</f>
        <v>0</v>
      </c>
      <c r="P1224" s="27">
        <f>IF(K1224="Válida",C1224,NA())</f>
        <v>0</v>
      </c>
      <c r="Q1224" s="27">
        <f>IF(K1224="Válida",I1224,NA())</f>
        <v>0</v>
      </c>
      <c r="R1224" s="27">
        <f>IF(K1224="Válida",J1224,NA())</f>
        <v>0</v>
      </c>
      <c r="S1224" s="27">
        <f>IF(K1224="Válida",C1224,"")</f>
        <v>0</v>
      </c>
      <c r="T1224" s="27">
        <f>IF(K1224="Válida",I1224,"")</f>
        <v>0</v>
      </c>
      <c r="U1224" s="27">
        <f>IF(K1224="Válida",J1224,"")</f>
        <v>0</v>
      </c>
    </row>
    <row r="1225" spans="1:21">
      <c r="A1225" s="25">
        <f>IF(MES!A1225="","",MES!C1225/48)</f>
        <v>0</v>
      </c>
      <c r="B1225" s="26">
        <f>IF(A1225="","",TEXT((N1225*4+cfgDeslocamento)/48,"hh:mm")&amp;" a "&amp;TEXT(A1225,"hh:mm"))</f>
        <v>0</v>
      </c>
      <c r="C1225" s="27">
        <f>IF(A1225="","",MES!B1225)</f>
        <v>0</v>
      </c>
      <c r="D1225" s="27">
        <f>IF(A1225="","",IFERROR(AVERAGEIFS(Prensa!$B$2:$B$5001,Prensa!$E$2:$E$5001,N1225,Prensa!$F$2:$F$5001,1,Prensa!$G$2:$G$5001,1),""))</f>
        <v>0</v>
      </c>
      <c r="E1225" s="27">
        <f>IF(A1225="","",IFERROR(AVERAGEIFS(Prensa!$B$2:$B$5001,Prensa!$E$2:$E$5001,N1225,Prensa!$F$2:$F$5001,2,Prensa!$G$2:$G$5001,1),""))</f>
        <v>0</v>
      </c>
      <c r="F1225" s="27">
        <f>IF(A1225="","",IFERROR(AVERAGEIFS(Prensa!$B$2:$B$5001,Prensa!$E$2:$E$5001,N1225,Prensa!$F$2:$F$5001,3,Prensa!$G$2:$G$5001,1),""))</f>
        <v>0</v>
      </c>
      <c r="G1225" s="27">
        <f>IF(A1225="","",IFERROR(AVERAGEIFS(Prensa!$B$2:$B$5001,Prensa!$E$2:$E$5001,N1225,Prensa!$F$2:$F$5001,4,Prensa!$G$2:$G$5001,1),""))</f>
        <v>0</v>
      </c>
      <c r="H1225" s="26">
        <f>IF(A1225="","",COUNT(D1225:G1225))</f>
        <v>0</v>
      </c>
      <c r="I1225" s="27">
        <f>IF(A1225="","",IF(H1225=0,"",AVERAGE(D1225:G1225)))</f>
        <v>0</v>
      </c>
      <c r="J1225" s="27">
        <f>IF(OR(I1225="",C1225=""),"",I1225-C1225)</f>
        <v>0</v>
      </c>
      <c r="K1225" s="26">
        <f>IF(A1225="","",IF(MES!E1225&lt;&gt;4,"Horário do MES fora do padrão",IF(H1225&lt;cfgMinCortes,"Cortes insuficientes","Válida")))</f>
        <v>0</v>
      </c>
      <c r="L1225" s="27">
        <f>IF(K1225="Válida",ABS(J1225),"")</f>
        <v>0</v>
      </c>
      <c r="M1225" s="26">
        <f>IF(K1225="Válida",IF(L1225&lt;=cfgTolerancia,"Sim","Não"),"")</f>
        <v>0</v>
      </c>
      <c r="N1225" s="26">
        <f>IF(A1225="","",MES!D1225)</f>
        <v>0</v>
      </c>
      <c r="O1225" s="25">
        <f>IF(K1225="Válida",A1225,NA())</f>
        <v>0</v>
      </c>
      <c r="P1225" s="27">
        <f>IF(K1225="Válida",C1225,NA())</f>
        <v>0</v>
      </c>
      <c r="Q1225" s="27">
        <f>IF(K1225="Válida",I1225,NA())</f>
        <v>0</v>
      </c>
      <c r="R1225" s="27">
        <f>IF(K1225="Válida",J1225,NA())</f>
        <v>0</v>
      </c>
      <c r="S1225" s="27">
        <f>IF(K1225="Válida",C1225,"")</f>
        <v>0</v>
      </c>
      <c r="T1225" s="27">
        <f>IF(K1225="Válida",I1225,"")</f>
        <v>0</v>
      </c>
      <c r="U1225" s="27">
        <f>IF(K1225="Válida",J1225,"")</f>
        <v>0</v>
      </c>
    </row>
    <row r="1226" spans="1:21">
      <c r="A1226" s="25">
        <f>IF(MES!A1226="","",MES!C1226/48)</f>
        <v>0</v>
      </c>
      <c r="B1226" s="26">
        <f>IF(A1226="","",TEXT((N1226*4+cfgDeslocamento)/48,"hh:mm")&amp;" a "&amp;TEXT(A1226,"hh:mm"))</f>
        <v>0</v>
      </c>
      <c r="C1226" s="27">
        <f>IF(A1226="","",MES!B1226)</f>
        <v>0</v>
      </c>
      <c r="D1226" s="27">
        <f>IF(A1226="","",IFERROR(AVERAGEIFS(Prensa!$B$2:$B$5001,Prensa!$E$2:$E$5001,N1226,Prensa!$F$2:$F$5001,1,Prensa!$G$2:$G$5001,1),""))</f>
        <v>0</v>
      </c>
      <c r="E1226" s="27">
        <f>IF(A1226="","",IFERROR(AVERAGEIFS(Prensa!$B$2:$B$5001,Prensa!$E$2:$E$5001,N1226,Prensa!$F$2:$F$5001,2,Prensa!$G$2:$G$5001,1),""))</f>
        <v>0</v>
      </c>
      <c r="F1226" s="27">
        <f>IF(A1226="","",IFERROR(AVERAGEIFS(Prensa!$B$2:$B$5001,Prensa!$E$2:$E$5001,N1226,Prensa!$F$2:$F$5001,3,Prensa!$G$2:$G$5001,1),""))</f>
        <v>0</v>
      </c>
      <c r="G1226" s="27">
        <f>IF(A1226="","",IFERROR(AVERAGEIFS(Prensa!$B$2:$B$5001,Prensa!$E$2:$E$5001,N1226,Prensa!$F$2:$F$5001,4,Prensa!$G$2:$G$5001,1),""))</f>
        <v>0</v>
      </c>
      <c r="H1226" s="26">
        <f>IF(A1226="","",COUNT(D1226:G1226))</f>
        <v>0</v>
      </c>
      <c r="I1226" s="27">
        <f>IF(A1226="","",IF(H1226=0,"",AVERAGE(D1226:G1226)))</f>
        <v>0</v>
      </c>
      <c r="J1226" s="27">
        <f>IF(OR(I1226="",C1226=""),"",I1226-C1226)</f>
        <v>0</v>
      </c>
      <c r="K1226" s="26">
        <f>IF(A1226="","",IF(MES!E1226&lt;&gt;4,"Horário do MES fora do padrão",IF(H1226&lt;cfgMinCortes,"Cortes insuficientes","Válida")))</f>
        <v>0</v>
      </c>
      <c r="L1226" s="27">
        <f>IF(K1226="Válida",ABS(J1226),"")</f>
        <v>0</v>
      </c>
      <c r="M1226" s="26">
        <f>IF(K1226="Válida",IF(L1226&lt;=cfgTolerancia,"Sim","Não"),"")</f>
        <v>0</v>
      </c>
      <c r="N1226" s="26">
        <f>IF(A1226="","",MES!D1226)</f>
        <v>0</v>
      </c>
      <c r="O1226" s="25">
        <f>IF(K1226="Válida",A1226,NA())</f>
        <v>0</v>
      </c>
      <c r="P1226" s="27">
        <f>IF(K1226="Válida",C1226,NA())</f>
        <v>0</v>
      </c>
      <c r="Q1226" s="27">
        <f>IF(K1226="Válida",I1226,NA())</f>
        <v>0</v>
      </c>
      <c r="R1226" s="27">
        <f>IF(K1226="Válida",J1226,NA())</f>
        <v>0</v>
      </c>
      <c r="S1226" s="27">
        <f>IF(K1226="Válida",C1226,"")</f>
        <v>0</v>
      </c>
      <c r="T1226" s="27">
        <f>IF(K1226="Válida",I1226,"")</f>
        <v>0</v>
      </c>
      <c r="U1226" s="27">
        <f>IF(K1226="Válida",J1226,"")</f>
        <v>0</v>
      </c>
    </row>
    <row r="1227" spans="1:21">
      <c r="A1227" s="25">
        <f>IF(MES!A1227="","",MES!C1227/48)</f>
        <v>0</v>
      </c>
      <c r="B1227" s="26">
        <f>IF(A1227="","",TEXT((N1227*4+cfgDeslocamento)/48,"hh:mm")&amp;" a "&amp;TEXT(A1227,"hh:mm"))</f>
        <v>0</v>
      </c>
      <c r="C1227" s="27">
        <f>IF(A1227="","",MES!B1227)</f>
        <v>0</v>
      </c>
      <c r="D1227" s="27">
        <f>IF(A1227="","",IFERROR(AVERAGEIFS(Prensa!$B$2:$B$5001,Prensa!$E$2:$E$5001,N1227,Prensa!$F$2:$F$5001,1,Prensa!$G$2:$G$5001,1),""))</f>
        <v>0</v>
      </c>
      <c r="E1227" s="27">
        <f>IF(A1227="","",IFERROR(AVERAGEIFS(Prensa!$B$2:$B$5001,Prensa!$E$2:$E$5001,N1227,Prensa!$F$2:$F$5001,2,Prensa!$G$2:$G$5001,1),""))</f>
        <v>0</v>
      </c>
      <c r="F1227" s="27">
        <f>IF(A1227="","",IFERROR(AVERAGEIFS(Prensa!$B$2:$B$5001,Prensa!$E$2:$E$5001,N1227,Prensa!$F$2:$F$5001,3,Prensa!$G$2:$G$5001,1),""))</f>
        <v>0</v>
      </c>
      <c r="G1227" s="27">
        <f>IF(A1227="","",IFERROR(AVERAGEIFS(Prensa!$B$2:$B$5001,Prensa!$E$2:$E$5001,N1227,Prensa!$F$2:$F$5001,4,Prensa!$G$2:$G$5001,1),""))</f>
        <v>0</v>
      </c>
      <c r="H1227" s="26">
        <f>IF(A1227="","",COUNT(D1227:G1227))</f>
        <v>0</v>
      </c>
      <c r="I1227" s="27">
        <f>IF(A1227="","",IF(H1227=0,"",AVERAGE(D1227:G1227)))</f>
        <v>0</v>
      </c>
      <c r="J1227" s="27">
        <f>IF(OR(I1227="",C1227=""),"",I1227-C1227)</f>
        <v>0</v>
      </c>
      <c r="K1227" s="26">
        <f>IF(A1227="","",IF(MES!E1227&lt;&gt;4,"Horário do MES fora do padrão",IF(H1227&lt;cfgMinCortes,"Cortes insuficientes","Válida")))</f>
        <v>0</v>
      </c>
      <c r="L1227" s="27">
        <f>IF(K1227="Válida",ABS(J1227),"")</f>
        <v>0</v>
      </c>
      <c r="M1227" s="26">
        <f>IF(K1227="Válida",IF(L1227&lt;=cfgTolerancia,"Sim","Não"),"")</f>
        <v>0</v>
      </c>
      <c r="N1227" s="26">
        <f>IF(A1227="","",MES!D1227)</f>
        <v>0</v>
      </c>
      <c r="O1227" s="25">
        <f>IF(K1227="Válida",A1227,NA())</f>
        <v>0</v>
      </c>
      <c r="P1227" s="27">
        <f>IF(K1227="Válida",C1227,NA())</f>
        <v>0</v>
      </c>
      <c r="Q1227" s="27">
        <f>IF(K1227="Válida",I1227,NA())</f>
        <v>0</v>
      </c>
      <c r="R1227" s="27">
        <f>IF(K1227="Válida",J1227,NA())</f>
        <v>0</v>
      </c>
      <c r="S1227" s="27">
        <f>IF(K1227="Válida",C1227,"")</f>
        <v>0</v>
      </c>
      <c r="T1227" s="27">
        <f>IF(K1227="Válida",I1227,"")</f>
        <v>0</v>
      </c>
      <c r="U1227" s="27">
        <f>IF(K1227="Válida",J1227,"")</f>
        <v>0</v>
      </c>
    </row>
    <row r="1228" spans="1:21">
      <c r="A1228" s="25">
        <f>IF(MES!A1228="","",MES!C1228/48)</f>
        <v>0</v>
      </c>
      <c r="B1228" s="26">
        <f>IF(A1228="","",TEXT((N1228*4+cfgDeslocamento)/48,"hh:mm")&amp;" a "&amp;TEXT(A1228,"hh:mm"))</f>
        <v>0</v>
      </c>
      <c r="C1228" s="27">
        <f>IF(A1228="","",MES!B1228)</f>
        <v>0</v>
      </c>
      <c r="D1228" s="27">
        <f>IF(A1228="","",IFERROR(AVERAGEIFS(Prensa!$B$2:$B$5001,Prensa!$E$2:$E$5001,N1228,Prensa!$F$2:$F$5001,1,Prensa!$G$2:$G$5001,1),""))</f>
        <v>0</v>
      </c>
      <c r="E1228" s="27">
        <f>IF(A1228="","",IFERROR(AVERAGEIFS(Prensa!$B$2:$B$5001,Prensa!$E$2:$E$5001,N1228,Prensa!$F$2:$F$5001,2,Prensa!$G$2:$G$5001,1),""))</f>
        <v>0</v>
      </c>
      <c r="F1228" s="27">
        <f>IF(A1228="","",IFERROR(AVERAGEIFS(Prensa!$B$2:$B$5001,Prensa!$E$2:$E$5001,N1228,Prensa!$F$2:$F$5001,3,Prensa!$G$2:$G$5001,1),""))</f>
        <v>0</v>
      </c>
      <c r="G1228" s="27">
        <f>IF(A1228="","",IFERROR(AVERAGEIFS(Prensa!$B$2:$B$5001,Prensa!$E$2:$E$5001,N1228,Prensa!$F$2:$F$5001,4,Prensa!$G$2:$G$5001,1),""))</f>
        <v>0</v>
      </c>
      <c r="H1228" s="26">
        <f>IF(A1228="","",COUNT(D1228:G1228))</f>
        <v>0</v>
      </c>
      <c r="I1228" s="27">
        <f>IF(A1228="","",IF(H1228=0,"",AVERAGE(D1228:G1228)))</f>
        <v>0</v>
      </c>
      <c r="J1228" s="27">
        <f>IF(OR(I1228="",C1228=""),"",I1228-C1228)</f>
        <v>0</v>
      </c>
      <c r="K1228" s="26">
        <f>IF(A1228="","",IF(MES!E1228&lt;&gt;4,"Horário do MES fora do padrão",IF(H1228&lt;cfgMinCortes,"Cortes insuficientes","Válida")))</f>
        <v>0</v>
      </c>
      <c r="L1228" s="27">
        <f>IF(K1228="Válida",ABS(J1228),"")</f>
        <v>0</v>
      </c>
      <c r="M1228" s="26">
        <f>IF(K1228="Válida",IF(L1228&lt;=cfgTolerancia,"Sim","Não"),"")</f>
        <v>0</v>
      </c>
      <c r="N1228" s="26">
        <f>IF(A1228="","",MES!D1228)</f>
        <v>0</v>
      </c>
      <c r="O1228" s="25">
        <f>IF(K1228="Válida",A1228,NA())</f>
        <v>0</v>
      </c>
      <c r="P1228" s="27">
        <f>IF(K1228="Válida",C1228,NA())</f>
        <v>0</v>
      </c>
      <c r="Q1228" s="27">
        <f>IF(K1228="Válida",I1228,NA())</f>
        <v>0</v>
      </c>
      <c r="R1228" s="27">
        <f>IF(K1228="Válida",J1228,NA())</f>
        <v>0</v>
      </c>
      <c r="S1228" s="27">
        <f>IF(K1228="Válida",C1228,"")</f>
        <v>0</v>
      </c>
      <c r="T1228" s="27">
        <f>IF(K1228="Válida",I1228,"")</f>
        <v>0</v>
      </c>
      <c r="U1228" s="27">
        <f>IF(K1228="Válida",J1228,"")</f>
        <v>0</v>
      </c>
    </row>
    <row r="1229" spans="1:21">
      <c r="A1229" s="25">
        <f>IF(MES!A1229="","",MES!C1229/48)</f>
        <v>0</v>
      </c>
      <c r="B1229" s="26">
        <f>IF(A1229="","",TEXT((N1229*4+cfgDeslocamento)/48,"hh:mm")&amp;" a "&amp;TEXT(A1229,"hh:mm"))</f>
        <v>0</v>
      </c>
      <c r="C1229" s="27">
        <f>IF(A1229="","",MES!B1229)</f>
        <v>0</v>
      </c>
      <c r="D1229" s="27">
        <f>IF(A1229="","",IFERROR(AVERAGEIFS(Prensa!$B$2:$B$5001,Prensa!$E$2:$E$5001,N1229,Prensa!$F$2:$F$5001,1,Prensa!$G$2:$G$5001,1),""))</f>
        <v>0</v>
      </c>
      <c r="E1229" s="27">
        <f>IF(A1229="","",IFERROR(AVERAGEIFS(Prensa!$B$2:$B$5001,Prensa!$E$2:$E$5001,N1229,Prensa!$F$2:$F$5001,2,Prensa!$G$2:$G$5001,1),""))</f>
        <v>0</v>
      </c>
      <c r="F1229" s="27">
        <f>IF(A1229="","",IFERROR(AVERAGEIFS(Prensa!$B$2:$B$5001,Prensa!$E$2:$E$5001,N1229,Prensa!$F$2:$F$5001,3,Prensa!$G$2:$G$5001,1),""))</f>
        <v>0</v>
      </c>
      <c r="G1229" s="27">
        <f>IF(A1229="","",IFERROR(AVERAGEIFS(Prensa!$B$2:$B$5001,Prensa!$E$2:$E$5001,N1229,Prensa!$F$2:$F$5001,4,Prensa!$G$2:$G$5001,1),""))</f>
        <v>0</v>
      </c>
      <c r="H1229" s="26">
        <f>IF(A1229="","",COUNT(D1229:G1229))</f>
        <v>0</v>
      </c>
      <c r="I1229" s="27">
        <f>IF(A1229="","",IF(H1229=0,"",AVERAGE(D1229:G1229)))</f>
        <v>0</v>
      </c>
      <c r="J1229" s="27">
        <f>IF(OR(I1229="",C1229=""),"",I1229-C1229)</f>
        <v>0</v>
      </c>
      <c r="K1229" s="26">
        <f>IF(A1229="","",IF(MES!E1229&lt;&gt;4,"Horário do MES fora do padrão",IF(H1229&lt;cfgMinCortes,"Cortes insuficientes","Válida")))</f>
        <v>0</v>
      </c>
      <c r="L1229" s="27">
        <f>IF(K1229="Válida",ABS(J1229),"")</f>
        <v>0</v>
      </c>
      <c r="M1229" s="26">
        <f>IF(K1229="Válida",IF(L1229&lt;=cfgTolerancia,"Sim","Não"),"")</f>
        <v>0</v>
      </c>
      <c r="N1229" s="26">
        <f>IF(A1229="","",MES!D1229)</f>
        <v>0</v>
      </c>
      <c r="O1229" s="25">
        <f>IF(K1229="Válida",A1229,NA())</f>
        <v>0</v>
      </c>
      <c r="P1229" s="27">
        <f>IF(K1229="Válida",C1229,NA())</f>
        <v>0</v>
      </c>
      <c r="Q1229" s="27">
        <f>IF(K1229="Válida",I1229,NA())</f>
        <v>0</v>
      </c>
      <c r="R1229" s="27">
        <f>IF(K1229="Válida",J1229,NA())</f>
        <v>0</v>
      </c>
      <c r="S1229" s="27">
        <f>IF(K1229="Válida",C1229,"")</f>
        <v>0</v>
      </c>
      <c r="T1229" s="27">
        <f>IF(K1229="Válida",I1229,"")</f>
        <v>0</v>
      </c>
      <c r="U1229" s="27">
        <f>IF(K1229="Válida",J1229,"")</f>
        <v>0</v>
      </c>
    </row>
    <row r="1230" spans="1:21">
      <c r="A1230" s="25">
        <f>IF(MES!A1230="","",MES!C1230/48)</f>
        <v>0</v>
      </c>
      <c r="B1230" s="26">
        <f>IF(A1230="","",TEXT((N1230*4+cfgDeslocamento)/48,"hh:mm")&amp;" a "&amp;TEXT(A1230,"hh:mm"))</f>
        <v>0</v>
      </c>
      <c r="C1230" s="27">
        <f>IF(A1230="","",MES!B1230)</f>
        <v>0</v>
      </c>
      <c r="D1230" s="27">
        <f>IF(A1230="","",IFERROR(AVERAGEIFS(Prensa!$B$2:$B$5001,Prensa!$E$2:$E$5001,N1230,Prensa!$F$2:$F$5001,1,Prensa!$G$2:$G$5001,1),""))</f>
        <v>0</v>
      </c>
      <c r="E1230" s="27">
        <f>IF(A1230="","",IFERROR(AVERAGEIFS(Prensa!$B$2:$B$5001,Prensa!$E$2:$E$5001,N1230,Prensa!$F$2:$F$5001,2,Prensa!$G$2:$G$5001,1),""))</f>
        <v>0</v>
      </c>
      <c r="F1230" s="27">
        <f>IF(A1230="","",IFERROR(AVERAGEIFS(Prensa!$B$2:$B$5001,Prensa!$E$2:$E$5001,N1230,Prensa!$F$2:$F$5001,3,Prensa!$G$2:$G$5001,1),""))</f>
        <v>0</v>
      </c>
      <c r="G1230" s="27">
        <f>IF(A1230="","",IFERROR(AVERAGEIFS(Prensa!$B$2:$B$5001,Prensa!$E$2:$E$5001,N1230,Prensa!$F$2:$F$5001,4,Prensa!$G$2:$G$5001,1),""))</f>
        <v>0</v>
      </c>
      <c r="H1230" s="26">
        <f>IF(A1230="","",COUNT(D1230:G1230))</f>
        <v>0</v>
      </c>
      <c r="I1230" s="27">
        <f>IF(A1230="","",IF(H1230=0,"",AVERAGE(D1230:G1230)))</f>
        <v>0</v>
      </c>
      <c r="J1230" s="27">
        <f>IF(OR(I1230="",C1230=""),"",I1230-C1230)</f>
        <v>0</v>
      </c>
      <c r="K1230" s="26">
        <f>IF(A1230="","",IF(MES!E1230&lt;&gt;4,"Horário do MES fora do padrão",IF(H1230&lt;cfgMinCortes,"Cortes insuficientes","Válida")))</f>
        <v>0</v>
      </c>
      <c r="L1230" s="27">
        <f>IF(K1230="Válida",ABS(J1230),"")</f>
        <v>0</v>
      </c>
      <c r="M1230" s="26">
        <f>IF(K1230="Válida",IF(L1230&lt;=cfgTolerancia,"Sim","Não"),"")</f>
        <v>0</v>
      </c>
      <c r="N1230" s="26">
        <f>IF(A1230="","",MES!D1230)</f>
        <v>0</v>
      </c>
      <c r="O1230" s="25">
        <f>IF(K1230="Válida",A1230,NA())</f>
        <v>0</v>
      </c>
      <c r="P1230" s="27">
        <f>IF(K1230="Válida",C1230,NA())</f>
        <v>0</v>
      </c>
      <c r="Q1230" s="27">
        <f>IF(K1230="Válida",I1230,NA())</f>
        <v>0</v>
      </c>
      <c r="R1230" s="27">
        <f>IF(K1230="Válida",J1230,NA())</f>
        <v>0</v>
      </c>
      <c r="S1230" s="27">
        <f>IF(K1230="Válida",C1230,"")</f>
        <v>0</v>
      </c>
      <c r="T1230" s="27">
        <f>IF(K1230="Válida",I1230,"")</f>
        <v>0</v>
      </c>
      <c r="U1230" s="27">
        <f>IF(K1230="Válida",J1230,"")</f>
        <v>0</v>
      </c>
    </row>
    <row r="1231" spans="1:21">
      <c r="A1231" s="25">
        <f>IF(MES!A1231="","",MES!C1231/48)</f>
        <v>0</v>
      </c>
      <c r="B1231" s="26">
        <f>IF(A1231="","",TEXT((N1231*4+cfgDeslocamento)/48,"hh:mm")&amp;" a "&amp;TEXT(A1231,"hh:mm"))</f>
        <v>0</v>
      </c>
      <c r="C1231" s="27">
        <f>IF(A1231="","",MES!B1231)</f>
        <v>0</v>
      </c>
      <c r="D1231" s="27">
        <f>IF(A1231="","",IFERROR(AVERAGEIFS(Prensa!$B$2:$B$5001,Prensa!$E$2:$E$5001,N1231,Prensa!$F$2:$F$5001,1,Prensa!$G$2:$G$5001,1),""))</f>
        <v>0</v>
      </c>
      <c r="E1231" s="27">
        <f>IF(A1231="","",IFERROR(AVERAGEIFS(Prensa!$B$2:$B$5001,Prensa!$E$2:$E$5001,N1231,Prensa!$F$2:$F$5001,2,Prensa!$G$2:$G$5001,1),""))</f>
        <v>0</v>
      </c>
      <c r="F1231" s="27">
        <f>IF(A1231="","",IFERROR(AVERAGEIFS(Prensa!$B$2:$B$5001,Prensa!$E$2:$E$5001,N1231,Prensa!$F$2:$F$5001,3,Prensa!$G$2:$G$5001,1),""))</f>
        <v>0</v>
      </c>
      <c r="G1231" s="27">
        <f>IF(A1231="","",IFERROR(AVERAGEIFS(Prensa!$B$2:$B$5001,Prensa!$E$2:$E$5001,N1231,Prensa!$F$2:$F$5001,4,Prensa!$G$2:$G$5001,1),""))</f>
        <v>0</v>
      </c>
      <c r="H1231" s="26">
        <f>IF(A1231="","",COUNT(D1231:G1231))</f>
        <v>0</v>
      </c>
      <c r="I1231" s="27">
        <f>IF(A1231="","",IF(H1231=0,"",AVERAGE(D1231:G1231)))</f>
        <v>0</v>
      </c>
      <c r="J1231" s="27">
        <f>IF(OR(I1231="",C1231=""),"",I1231-C1231)</f>
        <v>0</v>
      </c>
      <c r="K1231" s="26">
        <f>IF(A1231="","",IF(MES!E1231&lt;&gt;4,"Horário do MES fora do padrão",IF(H1231&lt;cfgMinCortes,"Cortes insuficientes","Válida")))</f>
        <v>0</v>
      </c>
      <c r="L1231" s="27">
        <f>IF(K1231="Válida",ABS(J1231),"")</f>
        <v>0</v>
      </c>
      <c r="M1231" s="26">
        <f>IF(K1231="Válida",IF(L1231&lt;=cfgTolerancia,"Sim","Não"),"")</f>
        <v>0</v>
      </c>
      <c r="N1231" s="26">
        <f>IF(A1231="","",MES!D1231)</f>
        <v>0</v>
      </c>
      <c r="O1231" s="25">
        <f>IF(K1231="Válida",A1231,NA())</f>
        <v>0</v>
      </c>
      <c r="P1231" s="27">
        <f>IF(K1231="Válida",C1231,NA())</f>
        <v>0</v>
      </c>
      <c r="Q1231" s="27">
        <f>IF(K1231="Válida",I1231,NA())</f>
        <v>0</v>
      </c>
      <c r="R1231" s="27">
        <f>IF(K1231="Válida",J1231,NA())</f>
        <v>0</v>
      </c>
      <c r="S1231" s="27">
        <f>IF(K1231="Válida",C1231,"")</f>
        <v>0</v>
      </c>
      <c r="T1231" s="27">
        <f>IF(K1231="Válida",I1231,"")</f>
        <v>0</v>
      </c>
      <c r="U1231" s="27">
        <f>IF(K1231="Válida",J1231,"")</f>
        <v>0</v>
      </c>
    </row>
    <row r="1232" spans="1:21">
      <c r="A1232" s="25">
        <f>IF(MES!A1232="","",MES!C1232/48)</f>
        <v>0</v>
      </c>
      <c r="B1232" s="26">
        <f>IF(A1232="","",TEXT((N1232*4+cfgDeslocamento)/48,"hh:mm")&amp;" a "&amp;TEXT(A1232,"hh:mm"))</f>
        <v>0</v>
      </c>
      <c r="C1232" s="27">
        <f>IF(A1232="","",MES!B1232)</f>
        <v>0</v>
      </c>
      <c r="D1232" s="27">
        <f>IF(A1232="","",IFERROR(AVERAGEIFS(Prensa!$B$2:$B$5001,Prensa!$E$2:$E$5001,N1232,Prensa!$F$2:$F$5001,1,Prensa!$G$2:$G$5001,1),""))</f>
        <v>0</v>
      </c>
      <c r="E1232" s="27">
        <f>IF(A1232="","",IFERROR(AVERAGEIFS(Prensa!$B$2:$B$5001,Prensa!$E$2:$E$5001,N1232,Prensa!$F$2:$F$5001,2,Prensa!$G$2:$G$5001,1),""))</f>
        <v>0</v>
      </c>
      <c r="F1232" s="27">
        <f>IF(A1232="","",IFERROR(AVERAGEIFS(Prensa!$B$2:$B$5001,Prensa!$E$2:$E$5001,N1232,Prensa!$F$2:$F$5001,3,Prensa!$G$2:$G$5001,1),""))</f>
        <v>0</v>
      </c>
      <c r="G1232" s="27">
        <f>IF(A1232="","",IFERROR(AVERAGEIFS(Prensa!$B$2:$B$5001,Prensa!$E$2:$E$5001,N1232,Prensa!$F$2:$F$5001,4,Prensa!$G$2:$G$5001,1),""))</f>
        <v>0</v>
      </c>
      <c r="H1232" s="26">
        <f>IF(A1232="","",COUNT(D1232:G1232))</f>
        <v>0</v>
      </c>
      <c r="I1232" s="27">
        <f>IF(A1232="","",IF(H1232=0,"",AVERAGE(D1232:G1232)))</f>
        <v>0</v>
      </c>
      <c r="J1232" s="27">
        <f>IF(OR(I1232="",C1232=""),"",I1232-C1232)</f>
        <v>0</v>
      </c>
      <c r="K1232" s="26">
        <f>IF(A1232="","",IF(MES!E1232&lt;&gt;4,"Horário do MES fora do padrão",IF(H1232&lt;cfgMinCortes,"Cortes insuficientes","Válida")))</f>
        <v>0</v>
      </c>
      <c r="L1232" s="27">
        <f>IF(K1232="Válida",ABS(J1232),"")</f>
        <v>0</v>
      </c>
      <c r="M1232" s="26">
        <f>IF(K1232="Válida",IF(L1232&lt;=cfgTolerancia,"Sim","Não"),"")</f>
        <v>0</v>
      </c>
      <c r="N1232" s="26">
        <f>IF(A1232="","",MES!D1232)</f>
        <v>0</v>
      </c>
      <c r="O1232" s="25">
        <f>IF(K1232="Válida",A1232,NA())</f>
        <v>0</v>
      </c>
      <c r="P1232" s="27">
        <f>IF(K1232="Válida",C1232,NA())</f>
        <v>0</v>
      </c>
      <c r="Q1232" s="27">
        <f>IF(K1232="Válida",I1232,NA())</f>
        <v>0</v>
      </c>
      <c r="R1232" s="27">
        <f>IF(K1232="Válida",J1232,NA())</f>
        <v>0</v>
      </c>
      <c r="S1232" s="27">
        <f>IF(K1232="Válida",C1232,"")</f>
        <v>0</v>
      </c>
      <c r="T1232" s="27">
        <f>IF(K1232="Válida",I1232,"")</f>
        <v>0</v>
      </c>
      <c r="U1232" s="27">
        <f>IF(K1232="Válida",J1232,"")</f>
        <v>0</v>
      </c>
    </row>
    <row r="1233" spans="1:21">
      <c r="A1233" s="25">
        <f>IF(MES!A1233="","",MES!C1233/48)</f>
        <v>0</v>
      </c>
      <c r="B1233" s="26">
        <f>IF(A1233="","",TEXT((N1233*4+cfgDeslocamento)/48,"hh:mm")&amp;" a "&amp;TEXT(A1233,"hh:mm"))</f>
        <v>0</v>
      </c>
      <c r="C1233" s="27">
        <f>IF(A1233="","",MES!B1233)</f>
        <v>0</v>
      </c>
      <c r="D1233" s="27">
        <f>IF(A1233="","",IFERROR(AVERAGEIFS(Prensa!$B$2:$B$5001,Prensa!$E$2:$E$5001,N1233,Prensa!$F$2:$F$5001,1,Prensa!$G$2:$G$5001,1),""))</f>
        <v>0</v>
      </c>
      <c r="E1233" s="27">
        <f>IF(A1233="","",IFERROR(AVERAGEIFS(Prensa!$B$2:$B$5001,Prensa!$E$2:$E$5001,N1233,Prensa!$F$2:$F$5001,2,Prensa!$G$2:$G$5001,1),""))</f>
        <v>0</v>
      </c>
      <c r="F1233" s="27">
        <f>IF(A1233="","",IFERROR(AVERAGEIFS(Prensa!$B$2:$B$5001,Prensa!$E$2:$E$5001,N1233,Prensa!$F$2:$F$5001,3,Prensa!$G$2:$G$5001,1),""))</f>
        <v>0</v>
      </c>
      <c r="G1233" s="27">
        <f>IF(A1233="","",IFERROR(AVERAGEIFS(Prensa!$B$2:$B$5001,Prensa!$E$2:$E$5001,N1233,Prensa!$F$2:$F$5001,4,Prensa!$G$2:$G$5001,1),""))</f>
        <v>0</v>
      </c>
      <c r="H1233" s="26">
        <f>IF(A1233="","",COUNT(D1233:G1233))</f>
        <v>0</v>
      </c>
      <c r="I1233" s="27">
        <f>IF(A1233="","",IF(H1233=0,"",AVERAGE(D1233:G1233)))</f>
        <v>0</v>
      </c>
      <c r="J1233" s="27">
        <f>IF(OR(I1233="",C1233=""),"",I1233-C1233)</f>
        <v>0</v>
      </c>
      <c r="K1233" s="26">
        <f>IF(A1233="","",IF(MES!E1233&lt;&gt;4,"Horário do MES fora do padrão",IF(H1233&lt;cfgMinCortes,"Cortes insuficientes","Válida")))</f>
        <v>0</v>
      </c>
      <c r="L1233" s="27">
        <f>IF(K1233="Válida",ABS(J1233),"")</f>
        <v>0</v>
      </c>
      <c r="M1233" s="26">
        <f>IF(K1233="Válida",IF(L1233&lt;=cfgTolerancia,"Sim","Não"),"")</f>
        <v>0</v>
      </c>
      <c r="N1233" s="26">
        <f>IF(A1233="","",MES!D1233)</f>
        <v>0</v>
      </c>
      <c r="O1233" s="25">
        <f>IF(K1233="Válida",A1233,NA())</f>
        <v>0</v>
      </c>
      <c r="P1233" s="27">
        <f>IF(K1233="Válida",C1233,NA())</f>
        <v>0</v>
      </c>
      <c r="Q1233" s="27">
        <f>IF(K1233="Válida",I1233,NA())</f>
        <v>0</v>
      </c>
      <c r="R1233" s="27">
        <f>IF(K1233="Válida",J1233,NA())</f>
        <v>0</v>
      </c>
      <c r="S1233" s="27">
        <f>IF(K1233="Válida",C1233,"")</f>
        <v>0</v>
      </c>
      <c r="T1233" s="27">
        <f>IF(K1233="Válida",I1233,"")</f>
        <v>0</v>
      </c>
      <c r="U1233" s="27">
        <f>IF(K1233="Válida",J1233,"")</f>
        <v>0</v>
      </c>
    </row>
    <row r="1234" spans="1:21">
      <c r="A1234" s="25">
        <f>IF(MES!A1234="","",MES!C1234/48)</f>
        <v>0</v>
      </c>
      <c r="B1234" s="26">
        <f>IF(A1234="","",TEXT((N1234*4+cfgDeslocamento)/48,"hh:mm")&amp;" a "&amp;TEXT(A1234,"hh:mm"))</f>
        <v>0</v>
      </c>
      <c r="C1234" s="27">
        <f>IF(A1234="","",MES!B1234)</f>
        <v>0</v>
      </c>
      <c r="D1234" s="27">
        <f>IF(A1234="","",IFERROR(AVERAGEIFS(Prensa!$B$2:$B$5001,Prensa!$E$2:$E$5001,N1234,Prensa!$F$2:$F$5001,1,Prensa!$G$2:$G$5001,1),""))</f>
        <v>0</v>
      </c>
      <c r="E1234" s="27">
        <f>IF(A1234="","",IFERROR(AVERAGEIFS(Prensa!$B$2:$B$5001,Prensa!$E$2:$E$5001,N1234,Prensa!$F$2:$F$5001,2,Prensa!$G$2:$G$5001,1),""))</f>
        <v>0</v>
      </c>
      <c r="F1234" s="27">
        <f>IF(A1234="","",IFERROR(AVERAGEIFS(Prensa!$B$2:$B$5001,Prensa!$E$2:$E$5001,N1234,Prensa!$F$2:$F$5001,3,Prensa!$G$2:$G$5001,1),""))</f>
        <v>0</v>
      </c>
      <c r="G1234" s="27">
        <f>IF(A1234="","",IFERROR(AVERAGEIFS(Prensa!$B$2:$B$5001,Prensa!$E$2:$E$5001,N1234,Prensa!$F$2:$F$5001,4,Prensa!$G$2:$G$5001,1),""))</f>
        <v>0</v>
      </c>
      <c r="H1234" s="26">
        <f>IF(A1234="","",COUNT(D1234:G1234))</f>
        <v>0</v>
      </c>
      <c r="I1234" s="27">
        <f>IF(A1234="","",IF(H1234=0,"",AVERAGE(D1234:G1234)))</f>
        <v>0</v>
      </c>
      <c r="J1234" s="27">
        <f>IF(OR(I1234="",C1234=""),"",I1234-C1234)</f>
        <v>0</v>
      </c>
      <c r="K1234" s="26">
        <f>IF(A1234="","",IF(MES!E1234&lt;&gt;4,"Horário do MES fora do padrão",IF(H1234&lt;cfgMinCortes,"Cortes insuficientes","Válida")))</f>
        <v>0</v>
      </c>
      <c r="L1234" s="27">
        <f>IF(K1234="Válida",ABS(J1234),"")</f>
        <v>0</v>
      </c>
      <c r="M1234" s="26">
        <f>IF(K1234="Válida",IF(L1234&lt;=cfgTolerancia,"Sim","Não"),"")</f>
        <v>0</v>
      </c>
      <c r="N1234" s="26">
        <f>IF(A1234="","",MES!D1234)</f>
        <v>0</v>
      </c>
      <c r="O1234" s="25">
        <f>IF(K1234="Válida",A1234,NA())</f>
        <v>0</v>
      </c>
      <c r="P1234" s="27">
        <f>IF(K1234="Válida",C1234,NA())</f>
        <v>0</v>
      </c>
      <c r="Q1234" s="27">
        <f>IF(K1234="Válida",I1234,NA())</f>
        <v>0</v>
      </c>
      <c r="R1234" s="27">
        <f>IF(K1234="Válida",J1234,NA())</f>
        <v>0</v>
      </c>
      <c r="S1234" s="27">
        <f>IF(K1234="Válida",C1234,"")</f>
        <v>0</v>
      </c>
      <c r="T1234" s="27">
        <f>IF(K1234="Válida",I1234,"")</f>
        <v>0</v>
      </c>
      <c r="U1234" s="27">
        <f>IF(K1234="Válida",J1234,"")</f>
        <v>0</v>
      </c>
    </row>
    <row r="1235" spans="1:21">
      <c r="A1235" s="25">
        <f>IF(MES!A1235="","",MES!C1235/48)</f>
        <v>0</v>
      </c>
      <c r="B1235" s="26">
        <f>IF(A1235="","",TEXT((N1235*4+cfgDeslocamento)/48,"hh:mm")&amp;" a "&amp;TEXT(A1235,"hh:mm"))</f>
        <v>0</v>
      </c>
      <c r="C1235" s="27">
        <f>IF(A1235="","",MES!B1235)</f>
        <v>0</v>
      </c>
      <c r="D1235" s="27">
        <f>IF(A1235="","",IFERROR(AVERAGEIFS(Prensa!$B$2:$B$5001,Prensa!$E$2:$E$5001,N1235,Prensa!$F$2:$F$5001,1,Prensa!$G$2:$G$5001,1),""))</f>
        <v>0</v>
      </c>
      <c r="E1235" s="27">
        <f>IF(A1235="","",IFERROR(AVERAGEIFS(Prensa!$B$2:$B$5001,Prensa!$E$2:$E$5001,N1235,Prensa!$F$2:$F$5001,2,Prensa!$G$2:$G$5001,1),""))</f>
        <v>0</v>
      </c>
      <c r="F1235" s="27">
        <f>IF(A1235="","",IFERROR(AVERAGEIFS(Prensa!$B$2:$B$5001,Prensa!$E$2:$E$5001,N1235,Prensa!$F$2:$F$5001,3,Prensa!$G$2:$G$5001,1),""))</f>
        <v>0</v>
      </c>
      <c r="G1235" s="27">
        <f>IF(A1235="","",IFERROR(AVERAGEIFS(Prensa!$B$2:$B$5001,Prensa!$E$2:$E$5001,N1235,Prensa!$F$2:$F$5001,4,Prensa!$G$2:$G$5001,1),""))</f>
        <v>0</v>
      </c>
      <c r="H1235" s="26">
        <f>IF(A1235="","",COUNT(D1235:G1235))</f>
        <v>0</v>
      </c>
      <c r="I1235" s="27">
        <f>IF(A1235="","",IF(H1235=0,"",AVERAGE(D1235:G1235)))</f>
        <v>0</v>
      </c>
      <c r="J1235" s="27">
        <f>IF(OR(I1235="",C1235=""),"",I1235-C1235)</f>
        <v>0</v>
      </c>
      <c r="K1235" s="26">
        <f>IF(A1235="","",IF(MES!E1235&lt;&gt;4,"Horário do MES fora do padrão",IF(H1235&lt;cfgMinCortes,"Cortes insuficientes","Válida")))</f>
        <v>0</v>
      </c>
      <c r="L1235" s="27">
        <f>IF(K1235="Válida",ABS(J1235),"")</f>
        <v>0</v>
      </c>
      <c r="M1235" s="26">
        <f>IF(K1235="Válida",IF(L1235&lt;=cfgTolerancia,"Sim","Não"),"")</f>
        <v>0</v>
      </c>
      <c r="N1235" s="26">
        <f>IF(A1235="","",MES!D1235)</f>
        <v>0</v>
      </c>
      <c r="O1235" s="25">
        <f>IF(K1235="Válida",A1235,NA())</f>
        <v>0</v>
      </c>
      <c r="P1235" s="27">
        <f>IF(K1235="Válida",C1235,NA())</f>
        <v>0</v>
      </c>
      <c r="Q1235" s="27">
        <f>IF(K1235="Válida",I1235,NA())</f>
        <v>0</v>
      </c>
      <c r="R1235" s="27">
        <f>IF(K1235="Válida",J1235,NA())</f>
        <v>0</v>
      </c>
      <c r="S1235" s="27">
        <f>IF(K1235="Válida",C1235,"")</f>
        <v>0</v>
      </c>
      <c r="T1235" s="27">
        <f>IF(K1235="Válida",I1235,"")</f>
        <v>0</v>
      </c>
      <c r="U1235" s="27">
        <f>IF(K1235="Válida",J1235,"")</f>
        <v>0</v>
      </c>
    </row>
    <row r="1236" spans="1:21">
      <c r="A1236" s="25">
        <f>IF(MES!A1236="","",MES!C1236/48)</f>
        <v>0</v>
      </c>
      <c r="B1236" s="26">
        <f>IF(A1236="","",TEXT((N1236*4+cfgDeslocamento)/48,"hh:mm")&amp;" a "&amp;TEXT(A1236,"hh:mm"))</f>
        <v>0</v>
      </c>
      <c r="C1236" s="27">
        <f>IF(A1236="","",MES!B1236)</f>
        <v>0</v>
      </c>
      <c r="D1236" s="27">
        <f>IF(A1236="","",IFERROR(AVERAGEIFS(Prensa!$B$2:$B$5001,Prensa!$E$2:$E$5001,N1236,Prensa!$F$2:$F$5001,1,Prensa!$G$2:$G$5001,1),""))</f>
        <v>0</v>
      </c>
      <c r="E1236" s="27">
        <f>IF(A1236="","",IFERROR(AVERAGEIFS(Prensa!$B$2:$B$5001,Prensa!$E$2:$E$5001,N1236,Prensa!$F$2:$F$5001,2,Prensa!$G$2:$G$5001,1),""))</f>
        <v>0</v>
      </c>
      <c r="F1236" s="27">
        <f>IF(A1236="","",IFERROR(AVERAGEIFS(Prensa!$B$2:$B$5001,Prensa!$E$2:$E$5001,N1236,Prensa!$F$2:$F$5001,3,Prensa!$G$2:$G$5001,1),""))</f>
        <v>0</v>
      </c>
      <c r="G1236" s="27">
        <f>IF(A1236="","",IFERROR(AVERAGEIFS(Prensa!$B$2:$B$5001,Prensa!$E$2:$E$5001,N1236,Prensa!$F$2:$F$5001,4,Prensa!$G$2:$G$5001,1),""))</f>
        <v>0</v>
      </c>
      <c r="H1236" s="26">
        <f>IF(A1236="","",COUNT(D1236:G1236))</f>
        <v>0</v>
      </c>
      <c r="I1236" s="27">
        <f>IF(A1236="","",IF(H1236=0,"",AVERAGE(D1236:G1236)))</f>
        <v>0</v>
      </c>
      <c r="J1236" s="27">
        <f>IF(OR(I1236="",C1236=""),"",I1236-C1236)</f>
        <v>0</v>
      </c>
      <c r="K1236" s="26">
        <f>IF(A1236="","",IF(MES!E1236&lt;&gt;4,"Horário do MES fora do padrão",IF(H1236&lt;cfgMinCortes,"Cortes insuficientes","Válida")))</f>
        <v>0</v>
      </c>
      <c r="L1236" s="27">
        <f>IF(K1236="Válida",ABS(J1236),"")</f>
        <v>0</v>
      </c>
      <c r="M1236" s="26">
        <f>IF(K1236="Válida",IF(L1236&lt;=cfgTolerancia,"Sim","Não"),"")</f>
        <v>0</v>
      </c>
      <c r="N1236" s="26">
        <f>IF(A1236="","",MES!D1236)</f>
        <v>0</v>
      </c>
      <c r="O1236" s="25">
        <f>IF(K1236="Válida",A1236,NA())</f>
        <v>0</v>
      </c>
      <c r="P1236" s="27">
        <f>IF(K1236="Válida",C1236,NA())</f>
        <v>0</v>
      </c>
      <c r="Q1236" s="27">
        <f>IF(K1236="Válida",I1236,NA())</f>
        <v>0</v>
      </c>
      <c r="R1236" s="27">
        <f>IF(K1236="Válida",J1236,NA())</f>
        <v>0</v>
      </c>
      <c r="S1236" s="27">
        <f>IF(K1236="Válida",C1236,"")</f>
        <v>0</v>
      </c>
      <c r="T1236" s="27">
        <f>IF(K1236="Válida",I1236,"")</f>
        <v>0</v>
      </c>
      <c r="U1236" s="27">
        <f>IF(K1236="Válida",J1236,"")</f>
        <v>0</v>
      </c>
    </row>
    <row r="1237" spans="1:21">
      <c r="A1237" s="25">
        <f>IF(MES!A1237="","",MES!C1237/48)</f>
        <v>0</v>
      </c>
      <c r="B1237" s="26">
        <f>IF(A1237="","",TEXT((N1237*4+cfgDeslocamento)/48,"hh:mm")&amp;" a "&amp;TEXT(A1237,"hh:mm"))</f>
        <v>0</v>
      </c>
      <c r="C1237" s="27">
        <f>IF(A1237="","",MES!B1237)</f>
        <v>0</v>
      </c>
      <c r="D1237" s="27">
        <f>IF(A1237="","",IFERROR(AVERAGEIFS(Prensa!$B$2:$B$5001,Prensa!$E$2:$E$5001,N1237,Prensa!$F$2:$F$5001,1,Prensa!$G$2:$G$5001,1),""))</f>
        <v>0</v>
      </c>
      <c r="E1237" s="27">
        <f>IF(A1237="","",IFERROR(AVERAGEIFS(Prensa!$B$2:$B$5001,Prensa!$E$2:$E$5001,N1237,Prensa!$F$2:$F$5001,2,Prensa!$G$2:$G$5001,1),""))</f>
        <v>0</v>
      </c>
      <c r="F1237" s="27">
        <f>IF(A1237="","",IFERROR(AVERAGEIFS(Prensa!$B$2:$B$5001,Prensa!$E$2:$E$5001,N1237,Prensa!$F$2:$F$5001,3,Prensa!$G$2:$G$5001,1),""))</f>
        <v>0</v>
      </c>
      <c r="G1237" s="27">
        <f>IF(A1237="","",IFERROR(AVERAGEIFS(Prensa!$B$2:$B$5001,Prensa!$E$2:$E$5001,N1237,Prensa!$F$2:$F$5001,4,Prensa!$G$2:$G$5001,1),""))</f>
        <v>0</v>
      </c>
      <c r="H1237" s="26">
        <f>IF(A1237="","",COUNT(D1237:G1237))</f>
        <v>0</v>
      </c>
      <c r="I1237" s="27">
        <f>IF(A1237="","",IF(H1237=0,"",AVERAGE(D1237:G1237)))</f>
        <v>0</v>
      </c>
      <c r="J1237" s="27">
        <f>IF(OR(I1237="",C1237=""),"",I1237-C1237)</f>
        <v>0</v>
      </c>
      <c r="K1237" s="26">
        <f>IF(A1237="","",IF(MES!E1237&lt;&gt;4,"Horário do MES fora do padrão",IF(H1237&lt;cfgMinCortes,"Cortes insuficientes","Válida")))</f>
        <v>0</v>
      </c>
      <c r="L1237" s="27">
        <f>IF(K1237="Válida",ABS(J1237),"")</f>
        <v>0</v>
      </c>
      <c r="M1237" s="26">
        <f>IF(K1237="Válida",IF(L1237&lt;=cfgTolerancia,"Sim","Não"),"")</f>
        <v>0</v>
      </c>
      <c r="N1237" s="26">
        <f>IF(A1237="","",MES!D1237)</f>
        <v>0</v>
      </c>
      <c r="O1237" s="25">
        <f>IF(K1237="Válida",A1237,NA())</f>
        <v>0</v>
      </c>
      <c r="P1237" s="27">
        <f>IF(K1237="Válida",C1237,NA())</f>
        <v>0</v>
      </c>
      <c r="Q1237" s="27">
        <f>IF(K1237="Válida",I1237,NA())</f>
        <v>0</v>
      </c>
      <c r="R1237" s="27">
        <f>IF(K1237="Válida",J1237,NA())</f>
        <v>0</v>
      </c>
      <c r="S1237" s="27">
        <f>IF(K1237="Válida",C1237,"")</f>
        <v>0</v>
      </c>
      <c r="T1237" s="27">
        <f>IF(K1237="Válida",I1237,"")</f>
        <v>0</v>
      </c>
      <c r="U1237" s="27">
        <f>IF(K1237="Válida",J1237,"")</f>
        <v>0</v>
      </c>
    </row>
    <row r="1238" spans="1:21">
      <c r="A1238" s="25">
        <f>IF(MES!A1238="","",MES!C1238/48)</f>
        <v>0</v>
      </c>
      <c r="B1238" s="26">
        <f>IF(A1238="","",TEXT((N1238*4+cfgDeslocamento)/48,"hh:mm")&amp;" a "&amp;TEXT(A1238,"hh:mm"))</f>
        <v>0</v>
      </c>
      <c r="C1238" s="27">
        <f>IF(A1238="","",MES!B1238)</f>
        <v>0</v>
      </c>
      <c r="D1238" s="27">
        <f>IF(A1238="","",IFERROR(AVERAGEIFS(Prensa!$B$2:$B$5001,Prensa!$E$2:$E$5001,N1238,Prensa!$F$2:$F$5001,1,Prensa!$G$2:$G$5001,1),""))</f>
        <v>0</v>
      </c>
      <c r="E1238" s="27">
        <f>IF(A1238="","",IFERROR(AVERAGEIFS(Prensa!$B$2:$B$5001,Prensa!$E$2:$E$5001,N1238,Prensa!$F$2:$F$5001,2,Prensa!$G$2:$G$5001,1),""))</f>
        <v>0</v>
      </c>
      <c r="F1238" s="27">
        <f>IF(A1238="","",IFERROR(AVERAGEIFS(Prensa!$B$2:$B$5001,Prensa!$E$2:$E$5001,N1238,Prensa!$F$2:$F$5001,3,Prensa!$G$2:$G$5001,1),""))</f>
        <v>0</v>
      </c>
      <c r="G1238" s="27">
        <f>IF(A1238="","",IFERROR(AVERAGEIFS(Prensa!$B$2:$B$5001,Prensa!$E$2:$E$5001,N1238,Prensa!$F$2:$F$5001,4,Prensa!$G$2:$G$5001,1),""))</f>
        <v>0</v>
      </c>
      <c r="H1238" s="26">
        <f>IF(A1238="","",COUNT(D1238:G1238))</f>
        <v>0</v>
      </c>
      <c r="I1238" s="27">
        <f>IF(A1238="","",IF(H1238=0,"",AVERAGE(D1238:G1238)))</f>
        <v>0</v>
      </c>
      <c r="J1238" s="27">
        <f>IF(OR(I1238="",C1238=""),"",I1238-C1238)</f>
        <v>0</v>
      </c>
      <c r="K1238" s="26">
        <f>IF(A1238="","",IF(MES!E1238&lt;&gt;4,"Horário do MES fora do padrão",IF(H1238&lt;cfgMinCortes,"Cortes insuficientes","Válida")))</f>
        <v>0</v>
      </c>
      <c r="L1238" s="27">
        <f>IF(K1238="Válida",ABS(J1238),"")</f>
        <v>0</v>
      </c>
      <c r="M1238" s="26">
        <f>IF(K1238="Válida",IF(L1238&lt;=cfgTolerancia,"Sim","Não"),"")</f>
        <v>0</v>
      </c>
      <c r="N1238" s="26">
        <f>IF(A1238="","",MES!D1238)</f>
        <v>0</v>
      </c>
      <c r="O1238" s="25">
        <f>IF(K1238="Válida",A1238,NA())</f>
        <v>0</v>
      </c>
      <c r="P1238" s="27">
        <f>IF(K1238="Válida",C1238,NA())</f>
        <v>0</v>
      </c>
      <c r="Q1238" s="27">
        <f>IF(K1238="Válida",I1238,NA())</f>
        <v>0</v>
      </c>
      <c r="R1238" s="27">
        <f>IF(K1238="Válida",J1238,NA())</f>
        <v>0</v>
      </c>
      <c r="S1238" s="27">
        <f>IF(K1238="Válida",C1238,"")</f>
        <v>0</v>
      </c>
      <c r="T1238" s="27">
        <f>IF(K1238="Válida",I1238,"")</f>
        <v>0</v>
      </c>
      <c r="U1238" s="27">
        <f>IF(K1238="Válida",J1238,"")</f>
        <v>0</v>
      </c>
    </row>
    <row r="1239" spans="1:21">
      <c r="A1239" s="25">
        <f>IF(MES!A1239="","",MES!C1239/48)</f>
        <v>0</v>
      </c>
      <c r="B1239" s="26">
        <f>IF(A1239="","",TEXT((N1239*4+cfgDeslocamento)/48,"hh:mm")&amp;" a "&amp;TEXT(A1239,"hh:mm"))</f>
        <v>0</v>
      </c>
      <c r="C1239" s="27">
        <f>IF(A1239="","",MES!B1239)</f>
        <v>0</v>
      </c>
      <c r="D1239" s="27">
        <f>IF(A1239="","",IFERROR(AVERAGEIFS(Prensa!$B$2:$B$5001,Prensa!$E$2:$E$5001,N1239,Prensa!$F$2:$F$5001,1,Prensa!$G$2:$G$5001,1),""))</f>
        <v>0</v>
      </c>
      <c r="E1239" s="27">
        <f>IF(A1239="","",IFERROR(AVERAGEIFS(Prensa!$B$2:$B$5001,Prensa!$E$2:$E$5001,N1239,Prensa!$F$2:$F$5001,2,Prensa!$G$2:$G$5001,1),""))</f>
        <v>0</v>
      </c>
      <c r="F1239" s="27">
        <f>IF(A1239="","",IFERROR(AVERAGEIFS(Prensa!$B$2:$B$5001,Prensa!$E$2:$E$5001,N1239,Prensa!$F$2:$F$5001,3,Prensa!$G$2:$G$5001,1),""))</f>
        <v>0</v>
      </c>
      <c r="G1239" s="27">
        <f>IF(A1239="","",IFERROR(AVERAGEIFS(Prensa!$B$2:$B$5001,Prensa!$E$2:$E$5001,N1239,Prensa!$F$2:$F$5001,4,Prensa!$G$2:$G$5001,1),""))</f>
        <v>0</v>
      </c>
      <c r="H1239" s="26">
        <f>IF(A1239="","",COUNT(D1239:G1239))</f>
        <v>0</v>
      </c>
      <c r="I1239" s="27">
        <f>IF(A1239="","",IF(H1239=0,"",AVERAGE(D1239:G1239)))</f>
        <v>0</v>
      </c>
      <c r="J1239" s="27">
        <f>IF(OR(I1239="",C1239=""),"",I1239-C1239)</f>
        <v>0</v>
      </c>
      <c r="K1239" s="26">
        <f>IF(A1239="","",IF(MES!E1239&lt;&gt;4,"Horário do MES fora do padrão",IF(H1239&lt;cfgMinCortes,"Cortes insuficientes","Válida")))</f>
        <v>0</v>
      </c>
      <c r="L1239" s="27">
        <f>IF(K1239="Válida",ABS(J1239),"")</f>
        <v>0</v>
      </c>
      <c r="M1239" s="26">
        <f>IF(K1239="Válida",IF(L1239&lt;=cfgTolerancia,"Sim","Não"),"")</f>
        <v>0</v>
      </c>
      <c r="N1239" s="26">
        <f>IF(A1239="","",MES!D1239)</f>
        <v>0</v>
      </c>
      <c r="O1239" s="25">
        <f>IF(K1239="Válida",A1239,NA())</f>
        <v>0</v>
      </c>
      <c r="P1239" s="27">
        <f>IF(K1239="Válida",C1239,NA())</f>
        <v>0</v>
      </c>
      <c r="Q1239" s="27">
        <f>IF(K1239="Válida",I1239,NA())</f>
        <v>0</v>
      </c>
      <c r="R1239" s="27">
        <f>IF(K1239="Válida",J1239,NA())</f>
        <v>0</v>
      </c>
      <c r="S1239" s="27">
        <f>IF(K1239="Válida",C1239,"")</f>
        <v>0</v>
      </c>
      <c r="T1239" s="27">
        <f>IF(K1239="Válida",I1239,"")</f>
        <v>0</v>
      </c>
      <c r="U1239" s="27">
        <f>IF(K1239="Válida",J1239,"")</f>
        <v>0</v>
      </c>
    </row>
    <row r="1240" spans="1:21">
      <c r="A1240" s="25">
        <f>IF(MES!A1240="","",MES!C1240/48)</f>
        <v>0</v>
      </c>
      <c r="B1240" s="26">
        <f>IF(A1240="","",TEXT((N1240*4+cfgDeslocamento)/48,"hh:mm")&amp;" a "&amp;TEXT(A1240,"hh:mm"))</f>
        <v>0</v>
      </c>
      <c r="C1240" s="27">
        <f>IF(A1240="","",MES!B1240)</f>
        <v>0</v>
      </c>
      <c r="D1240" s="27">
        <f>IF(A1240="","",IFERROR(AVERAGEIFS(Prensa!$B$2:$B$5001,Prensa!$E$2:$E$5001,N1240,Prensa!$F$2:$F$5001,1,Prensa!$G$2:$G$5001,1),""))</f>
        <v>0</v>
      </c>
      <c r="E1240" s="27">
        <f>IF(A1240="","",IFERROR(AVERAGEIFS(Prensa!$B$2:$B$5001,Prensa!$E$2:$E$5001,N1240,Prensa!$F$2:$F$5001,2,Prensa!$G$2:$G$5001,1),""))</f>
        <v>0</v>
      </c>
      <c r="F1240" s="27">
        <f>IF(A1240="","",IFERROR(AVERAGEIFS(Prensa!$B$2:$B$5001,Prensa!$E$2:$E$5001,N1240,Prensa!$F$2:$F$5001,3,Prensa!$G$2:$G$5001,1),""))</f>
        <v>0</v>
      </c>
      <c r="G1240" s="27">
        <f>IF(A1240="","",IFERROR(AVERAGEIFS(Prensa!$B$2:$B$5001,Prensa!$E$2:$E$5001,N1240,Prensa!$F$2:$F$5001,4,Prensa!$G$2:$G$5001,1),""))</f>
        <v>0</v>
      </c>
      <c r="H1240" s="26">
        <f>IF(A1240="","",COUNT(D1240:G1240))</f>
        <v>0</v>
      </c>
      <c r="I1240" s="27">
        <f>IF(A1240="","",IF(H1240=0,"",AVERAGE(D1240:G1240)))</f>
        <v>0</v>
      </c>
      <c r="J1240" s="27">
        <f>IF(OR(I1240="",C1240=""),"",I1240-C1240)</f>
        <v>0</v>
      </c>
      <c r="K1240" s="26">
        <f>IF(A1240="","",IF(MES!E1240&lt;&gt;4,"Horário do MES fora do padrão",IF(H1240&lt;cfgMinCortes,"Cortes insuficientes","Válida")))</f>
        <v>0</v>
      </c>
      <c r="L1240" s="27">
        <f>IF(K1240="Válida",ABS(J1240),"")</f>
        <v>0</v>
      </c>
      <c r="M1240" s="26">
        <f>IF(K1240="Válida",IF(L1240&lt;=cfgTolerancia,"Sim","Não"),"")</f>
        <v>0</v>
      </c>
      <c r="N1240" s="26">
        <f>IF(A1240="","",MES!D1240)</f>
        <v>0</v>
      </c>
      <c r="O1240" s="25">
        <f>IF(K1240="Válida",A1240,NA())</f>
        <v>0</v>
      </c>
      <c r="P1240" s="27">
        <f>IF(K1240="Válida",C1240,NA())</f>
        <v>0</v>
      </c>
      <c r="Q1240" s="27">
        <f>IF(K1240="Válida",I1240,NA())</f>
        <v>0</v>
      </c>
      <c r="R1240" s="27">
        <f>IF(K1240="Válida",J1240,NA())</f>
        <v>0</v>
      </c>
      <c r="S1240" s="27">
        <f>IF(K1240="Válida",C1240,"")</f>
        <v>0</v>
      </c>
      <c r="T1240" s="27">
        <f>IF(K1240="Válida",I1240,"")</f>
        <v>0</v>
      </c>
      <c r="U1240" s="27">
        <f>IF(K1240="Válida",J1240,"")</f>
        <v>0</v>
      </c>
    </row>
    <row r="1241" spans="1:21">
      <c r="A1241" s="25">
        <f>IF(MES!A1241="","",MES!C1241/48)</f>
        <v>0</v>
      </c>
      <c r="B1241" s="26">
        <f>IF(A1241="","",TEXT((N1241*4+cfgDeslocamento)/48,"hh:mm")&amp;" a "&amp;TEXT(A1241,"hh:mm"))</f>
        <v>0</v>
      </c>
      <c r="C1241" s="27">
        <f>IF(A1241="","",MES!B1241)</f>
        <v>0</v>
      </c>
      <c r="D1241" s="27">
        <f>IF(A1241="","",IFERROR(AVERAGEIFS(Prensa!$B$2:$B$5001,Prensa!$E$2:$E$5001,N1241,Prensa!$F$2:$F$5001,1,Prensa!$G$2:$G$5001,1),""))</f>
        <v>0</v>
      </c>
      <c r="E1241" s="27">
        <f>IF(A1241="","",IFERROR(AVERAGEIFS(Prensa!$B$2:$B$5001,Prensa!$E$2:$E$5001,N1241,Prensa!$F$2:$F$5001,2,Prensa!$G$2:$G$5001,1),""))</f>
        <v>0</v>
      </c>
      <c r="F1241" s="27">
        <f>IF(A1241="","",IFERROR(AVERAGEIFS(Prensa!$B$2:$B$5001,Prensa!$E$2:$E$5001,N1241,Prensa!$F$2:$F$5001,3,Prensa!$G$2:$G$5001,1),""))</f>
        <v>0</v>
      </c>
      <c r="G1241" s="27">
        <f>IF(A1241="","",IFERROR(AVERAGEIFS(Prensa!$B$2:$B$5001,Prensa!$E$2:$E$5001,N1241,Prensa!$F$2:$F$5001,4,Prensa!$G$2:$G$5001,1),""))</f>
        <v>0</v>
      </c>
      <c r="H1241" s="26">
        <f>IF(A1241="","",COUNT(D1241:G1241))</f>
        <v>0</v>
      </c>
      <c r="I1241" s="27">
        <f>IF(A1241="","",IF(H1241=0,"",AVERAGE(D1241:G1241)))</f>
        <v>0</v>
      </c>
      <c r="J1241" s="27">
        <f>IF(OR(I1241="",C1241=""),"",I1241-C1241)</f>
        <v>0</v>
      </c>
      <c r="K1241" s="26">
        <f>IF(A1241="","",IF(MES!E1241&lt;&gt;4,"Horário do MES fora do padrão",IF(H1241&lt;cfgMinCortes,"Cortes insuficientes","Válida")))</f>
        <v>0</v>
      </c>
      <c r="L1241" s="27">
        <f>IF(K1241="Válida",ABS(J1241),"")</f>
        <v>0</v>
      </c>
      <c r="M1241" s="26">
        <f>IF(K1241="Válida",IF(L1241&lt;=cfgTolerancia,"Sim","Não"),"")</f>
        <v>0</v>
      </c>
      <c r="N1241" s="26">
        <f>IF(A1241="","",MES!D1241)</f>
        <v>0</v>
      </c>
      <c r="O1241" s="25">
        <f>IF(K1241="Válida",A1241,NA())</f>
        <v>0</v>
      </c>
      <c r="P1241" s="27">
        <f>IF(K1241="Válida",C1241,NA())</f>
        <v>0</v>
      </c>
      <c r="Q1241" s="27">
        <f>IF(K1241="Válida",I1241,NA())</f>
        <v>0</v>
      </c>
      <c r="R1241" s="27">
        <f>IF(K1241="Válida",J1241,NA())</f>
        <v>0</v>
      </c>
      <c r="S1241" s="27">
        <f>IF(K1241="Válida",C1241,"")</f>
        <v>0</v>
      </c>
      <c r="T1241" s="27">
        <f>IF(K1241="Válida",I1241,"")</f>
        <v>0</v>
      </c>
      <c r="U1241" s="27">
        <f>IF(K1241="Válida",J1241,"")</f>
        <v>0</v>
      </c>
    </row>
    <row r="1242" spans="1:21">
      <c r="A1242" s="25">
        <f>IF(MES!A1242="","",MES!C1242/48)</f>
        <v>0</v>
      </c>
      <c r="B1242" s="26">
        <f>IF(A1242="","",TEXT((N1242*4+cfgDeslocamento)/48,"hh:mm")&amp;" a "&amp;TEXT(A1242,"hh:mm"))</f>
        <v>0</v>
      </c>
      <c r="C1242" s="27">
        <f>IF(A1242="","",MES!B1242)</f>
        <v>0</v>
      </c>
      <c r="D1242" s="27">
        <f>IF(A1242="","",IFERROR(AVERAGEIFS(Prensa!$B$2:$B$5001,Prensa!$E$2:$E$5001,N1242,Prensa!$F$2:$F$5001,1,Prensa!$G$2:$G$5001,1),""))</f>
        <v>0</v>
      </c>
      <c r="E1242" s="27">
        <f>IF(A1242="","",IFERROR(AVERAGEIFS(Prensa!$B$2:$B$5001,Prensa!$E$2:$E$5001,N1242,Prensa!$F$2:$F$5001,2,Prensa!$G$2:$G$5001,1),""))</f>
        <v>0</v>
      </c>
      <c r="F1242" s="27">
        <f>IF(A1242="","",IFERROR(AVERAGEIFS(Prensa!$B$2:$B$5001,Prensa!$E$2:$E$5001,N1242,Prensa!$F$2:$F$5001,3,Prensa!$G$2:$G$5001,1),""))</f>
        <v>0</v>
      </c>
      <c r="G1242" s="27">
        <f>IF(A1242="","",IFERROR(AVERAGEIFS(Prensa!$B$2:$B$5001,Prensa!$E$2:$E$5001,N1242,Prensa!$F$2:$F$5001,4,Prensa!$G$2:$G$5001,1),""))</f>
        <v>0</v>
      </c>
      <c r="H1242" s="26">
        <f>IF(A1242="","",COUNT(D1242:G1242))</f>
        <v>0</v>
      </c>
      <c r="I1242" s="27">
        <f>IF(A1242="","",IF(H1242=0,"",AVERAGE(D1242:G1242)))</f>
        <v>0</v>
      </c>
      <c r="J1242" s="27">
        <f>IF(OR(I1242="",C1242=""),"",I1242-C1242)</f>
        <v>0</v>
      </c>
      <c r="K1242" s="26">
        <f>IF(A1242="","",IF(MES!E1242&lt;&gt;4,"Horário do MES fora do padrão",IF(H1242&lt;cfgMinCortes,"Cortes insuficientes","Válida")))</f>
        <v>0</v>
      </c>
      <c r="L1242" s="27">
        <f>IF(K1242="Válida",ABS(J1242),"")</f>
        <v>0</v>
      </c>
      <c r="M1242" s="26">
        <f>IF(K1242="Válida",IF(L1242&lt;=cfgTolerancia,"Sim","Não"),"")</f>
        <v>0</v>
      </c>
      <c r="N1242" s="26">
        <f>IF(A1242="","",MES!D1242)</f>
        <v>0</v>
      </c>
      <c r="O1242" s="25">
        <f>IF(K1242="Válida",A1242,NA())</f>
        <v>0</v>
      </c>
      <c r="P1242" s="27">
        <f>IF(K1242="Válida",C1242,NA())</f>
        <v>0</v>
      </c>
      <c r="Q1242" s="27">
        <f>IF(K1242="Válida",I1242,NA())</f>
        <v>0</v>
      </c>
      <c r="R1242" s="27">
        <f>IF(K1242="Válida",J1242,NA())</f>
        <v>0</v>
      </c>
      <c r="S1242" s="27">
        <f>IF(K1242="Válida",C1242,"")</f>
        <v>0</v>
      </c>
      <c r="T1242" s="27">
        <f>IF(K1242="Válida",I1242,"")</f>
        <v>0</v>
      </c>
      <c r="U1242" s="27">
        <f>IF(K1242="Válida",J1242,"")</f>
        <v>0</v>
      </c>
    </row>
    <row r="1243" spans="1:21">
      <c r="A1243" s="25">
        <f>IF(MES!A1243="","",MES!C1243/48)</f>
        <v>0</v>
      </c>
      <c r="B1243" s="26">
        <f>IF(A1243="","",TEXT((N1243*4+cfgDeslocamento)/48,"hh:mm")&amp;" a "&amp;TEXT(A1243,"hh:mm"))</f>
        <v>0</v>
      </c>
      <c r="C1243" s="27">
        <f>IF(A1243="","",MES!B1243)</f>
        <v>0</v>
      </c>
      <c r="D1243" s="27">
        <f>IF(A1243="","",IFERROR(AVERAGEIFS(Prensa!$B$2:$B$5001,Prensa!$E$2:$E$5001,N1243,Prensa!$F$2:$F$5001,1,Prensa!$G$2:$G$5001,1),""))</f>
        <v>0</v>
      </c>
      <c r="E1243" s="27">
        <f>IF(A1243="","",IFERROR(AVERAGEIFS(Prensa!$B$2:$B$5001,Prensa!$E$2:$E$5001,N1243,Prensa!$F$2:$F$5001,2,Prensa!$G$2:$G$5001,1),""))</f>
        <v>0</v>
      </c>
      <c r="F1243" s="27">
        <f>IF(A1243="","",IFERROR(AVERAGEIFS(Prensa!$B$2:$B$5001,Prensa!$E$2:$E$5001,N1243,Prensa!$F$2:$F$5001,3,Prensa!$G$2:$G$5001,1),""))</f>
        <v>0</v>
      </c>
      <c r="G1243" s="27">
        <f>IF(A1243="","",IFERROR(AVERAGEIFS(Prensa!$B$2:$B$5001,Prensa!$E$2:$E$5001,N1243,Prensa!$F$2:$F$5001,4,Prensa!$G$2:$G$5001,1),""))</f>
        <v>0</v>
      </c>
      <c r="H1243" s="26">
        <f>IF(A1243="","",COUNT(D1243:G1243))</f>
        <v>0</v>
      </c>
      <c r="I1243" s="27">
        <f>IF(A1243="","",IF(H1243=0,"",AVERAGE(D1243:G1243)))</f>
        <v>0</v>
      </c>
      <c r="J1243" s="27">
        <f>IF(OR(I1243="",C1243=""),"",I1243-C1243)</f>
        <v>0</v>
      </c>
      <c r="K1243" s="26">
        <f>IF(A1243="","",IF(MES!E1243&lt;&gt;4,"Horário do MES fora do padrão",IF(H1243&lt;cfgMinCortes,"Cortes insuficientes","Válida")))</f>
        <v>0</v>
      </c>
      <c r="L1243" s="27">
        <f>IF(K1243="Válida",ABS(J1243),"")</f>
        <v>0</v>
      </c>
      <c r="M1243" s="26">
        <f>IF(K1243="Válida",IF(L1243&lt;=cfgTolerancia,"Sim","Não"),"")</f>
        <v>0</v>
      </c>
      <c r="N1243" s="26">
        <f>IF(A1243="","",MES!D1243)</f>
        <v>0</v>
      </c>
      <c r="O1243" s="25">
        <f>IF(K1243="Válida",A1243,NA())</f>
        <v>0</v>
      </c>
      <c r="P1243" s="27">
        <f>IF(K1243="Válida",C1243,NA())</f>
        <v>0</v>
      </c>
      <c r="Q1243" s="27">
        <f>IF(K1243="Válida",I1243,NA())</f>
        <v>0</v>
      </c>
      <c r="R1243" s="27">
        <f>IF(K1243="Válida",J1243,NA())</f>
        <v>0</v>
      </c>
      <c r="S1243" s="27">
        <f>IF(K1243="Válida",C1243,"")</f>
        <v>0</v>
      </c>
      <c r="T1243" s="27">
        <f>IF(K1243="Válida",I1243,"")</f>
        <v>0</v>
      </c>
      <c r="U1243" s="27">
        <f>IF(K1243="Válida",J1243,"")</f>
        <v>0</v>
      </c>
    </row>
    <row r="1244" spans="1:21">
      <c r="A1244" s="25">
        <f>IF(MES!A1244="","",MES!C1244/48)</f>
        <v>0</v>
      </c>
      <c r="B1244" s="26">
        <f>IF(A1244="","",TEXT((N1244*4+cfgDeslocamento)/48,"hh:mm")&amp;" a "&amp;TEXT(A1244,"hh:mm"))</f>
        <v>0</v>
      </c>
      <c r="C1244" s="27">
        <f>IF(A1244="","",MES!B1244)</f>
        <v>0</v>
      </c>
      <c r="D1244" s="27">
        <f>IF(A1244="","",IFERROR(AVERAGEIFS(Prensa!$B$2:$B$5001,Prensa!$E$2:$E$5001,N1244,Prensa!$F$2:$F$5001,1,Prensa!$G$2:$G$5001,1),""))</f>
        <v>0</v>
      </c>
      <c r="E1244" s="27">
        <f>IF(A1244="","",IFERROR(AVERAGEIFS(Prensa!$B$2:$B$5001,Prensa!$E$2:$E$5001,N1244,Prensa!$F$2:$F$5001,2,Prensa!$G$2:$G$5001,1),""))</f>
        <v>0</v>
      </c>
      <c r="F1244" s="27">
        <f>IF(A1244="","",IFERROR(AVERAGEIFS(Prensa!$B$2:$B$5001,Prensa!$E$2:$E$5001,N1244,Prensa!$F$2:$F$5001,3,Prensa!$G$2:$G$5001,1),""))</f>
        <v>0</v>
      </c>
      <c r="G1244" s="27">
        <f>IF(A1244="","",IFERROR(AVERAGEIFS(Prensa!$B$2:$B$5001,Prensa!$E$2:$E$5001,N1244,Prensa!$F$2:$F$5001,4,Prensa!$G$2:$G$5001,1),""))</f>
        <v>0</v>
      </c>
      <c r="H1244" s="26">
        <f>IF(A1244="","",COUNT(D1244:G1244))</f>
        <v>0</v>
      </c>
      <c r="I1244" s="27">
        <f>IF(A1244="","",IF(H1244=0,"",AVERAGE(D1244:G1244)))</f>
        <v>0</v>
      </c>
      <c r="J1244" s="27">
        <f>IF(OR(I1244="",C1244=""),"",I1244-C1244)</f>
        <v>0</v>
      </c>
      <c r="K1244" s="26">
        <f>IF(A1244="","",IF(MES!E1244&lt;&gt;4,"Horário do MES fora do padrão",IF(H1244&lt;cfgMinCortes,"Cortes insuficientes","Válida")))</f>
        <v>0</v>
      </c>
      <c r="L1244" s="27">
        <f>IF(K1244="Válida",ABS(J1244),"")</f>
        <v>0</v>
      </c>
      <c r="M1244" s="26">
        <f>IF(K1244="Válida",IF(L1244&lt;=cfgTolerancia,"Sim","Não"),"")</f>
        <v>0</v>
      </c>
      <c r="N1244" s="26">
        <f>IF(A1244="","",MES!D1244)</f>
        <v>0</v>
      </c>
      <c r="O1244" s="25">
        <f>IF(K1244="Válida",A1244,NA())</f>
        <v>0</v>
      </c>
      <c r="P1244" s="27">
        <f>IF(K1244="Válida",C1244,NA())</f>
        <v>0</v>
      </c>
      <c r="Q1244" s="27">
        <f>IF(K1244="Válida",I1244,NA())</f>
        <v>0</v>
      </c>
      <c r="R1244" s="27">
        <f>IF(K1244="Válida",J1244,NA())</f>
        <v>0</v>
      </c>
      <c r="S1244" s="27">
        <f>IF(K1244="Válida",C1244,"")</f>
        <v>0</v>
      </c>
      <c r="T1244" s="27">
        <f>IF(K1244="Válida",I1244,"")</f>
        <v>0</v>
      </c>
      <c r="U1244" s="27">
        <f>IF(K1244="Válida",J1244,"")</f>
        <v>0</v>
      </c>
    </row>
    <row r="1245" spans="1:21">
      <c r="A1245" s="25">
        <f>IF(MES!A1245="","",MES!C1245/48)</f>
        <v>0</v>
      </c>
      <c r="B1245" s="26">
        <f>IF(A1245="","",TEXT((N1245*4+cfgDeslocamento)/48,"hh:mm")&amp;" a "&amp;TEXT(A1245,"hh:mm"))</f>
        <v>0</v>
      </c>
      <c r="C1245" s="27">
        <f>IF(A1245="","",MES!B1245)</f>
        <v>0</v>
      </c>
      <c r="D1245" s="27">
        <f>IF(A1245="","",IFERROR(AVERAGEIFS(Prensa!$B$2:$B$5001,Prensa!$E$2:$E$5001,N1245,Prensa!$F$2:$F$5001,1,Prensa!$G$2:$G$5001,1),""))</f>
        <v>0</v>
      </c>
      <c r="E1245" s="27">
        <f>IF(A1245="","",IFERROR(AVERAGEIFS(Prensa!$B$2:$B$5001,Prensa!$E$2:$E$5001,N1245,Prensa!$F$2:$F$5001,2,Prensa!$G$2:$G$5001,1),""))</f>
        <v>0</v>
      </c>
      <c r="F1245" s="27">
        <f>IF(A1245="","",IFERROR(AVERAGEIFS(Prensa!$B$2:$B$5001,Prensa!$E$2:$E$5001,N1245,Prensa!$F$2:$F$5001,3,Prensa!$G$2:$G$5001,1),""))</f>
        <v>0</v>
      </c>
      <c r="G1245" s="27">
        <f>IF(A1245="","",IFERROR(AVERAGEIFS(Prensa!$B$2:$B$5001,Prensa!$E$2:$E$5001,N1245,Prensa!$F$2:$F$5001,4,Prensa!$G$2:$G$5001,1),""))</f>
        <v>0</v>
      </c>
      <c r="H1245" s="26">
        <f>IF(A1245="","",COUNT(D1245:G1245))</f>
        <v>0</v>
      </c>
      <c r="I1245" s="27">
        <f>IF(A1245="","",IF(H1245=0,"",AVERAGE(D1245:G1245)))</f>
        <v>0</v>
      </c>
      <c r="J1245" s="27">
        <f>IF(OR(I1245="",C1245=""),"",I1245-C1245)</f>
        <v>0</v>
      </c>
      <c r="K1245" s="26">
        <f>IF(A1245="","",IF(MES!E1245&lt;&gt;4,"Horário do MES fora do padrão",IF(H1245&lt;cfgMinCortes,"Cortes insuficientes","Válida")))</f>
        <v>0</v>
      </c>
      <c r="L1245" s="27">
        <f>IF(K1245="Válida",ABS(J1245),"")</f>
        <v>0</v>
      </c>
      <c r="M1245" s="26">
        <f>IF(K1245="Válida",IF(L1245&lt;=cfgTolerancia,"Sim","Não"),"")</f>
        <v>0</v>
      </c>
      <c r="N1245" s="26">
        <f>IF(A1245="","",MES!D1245)</f>
        <v>0</v>
      </c>
      <c r="O1245" s="25">
        <f>IF(K1245="Válida",A1245,NA())</f>
        <v>0</v>
      </c>
      <c r="P1245" s="27">
        <f>IF(K1245="Válida",C1245,NA())</f>
        <v>0</v>
      </c>
      <c r="Q1245" s="27">
        <f>IF(K1245="Válida",I1245,NA())</f>
        <v>0</v>
      </c>
      <c r="R1245" s="27">
        <f>IF(K1245="Válida",J1245,NA())</f>
        <v>0</v>
      </c>
      <c r="S1245" s="27">
        <f>IF(K1245="Válida",C1245,"")</f>
        <v>0</v>
      </c>
      <c r="T1245" s="27">
        <f>IF(K1245="Válida",I1245,"")</f>
        <v>0</v>
      </c>
      <c r="U1245" s="27">
        <f>IF(K1245="Válida",J1245,"")</f>
        <v>0</v>
      </c>
    </row>
    <row r="1246" spans="1:21">
      <c r="A1246" s="25">
        <f>IF(MES!A1246="","",MES!C1246/48)</f>
        <v>0</v>
      </c>
      <c r="B1246" s="26">
        <f>IF(A1246="","",TEXT((N1246*4+cfgDeslocamento)/48,"hh:mm")&amp;" a "&amp;TEXT(A1246,"hh:mm"))</f>
        <v>0</v>
      </c>
      <c r="C1246" s="27">
        <f>IF(A1246="","",MES!B1246)</f>
        <v>0</v>
      </c>
      <c r="D1246" s="27">
        <f>IF(A1246="","",IFERROR(AVERAGEIFS(Prensa!$B$2:$B$5001,Prensa!$E$2:$E$5001,N1246,Prensa!$F$2:$F$5001,1,Prensa!$G$2:$G$5001,1),""))</f>
        <v>0</v>
      </c>
      <c r="E1246" s="27">
        <f>IF(A1246="","",IFERROR(AVERAGEIFS(Prensa!$B$2:$B$5001,Prensa!$E$2:$E$5001,N1246,Prensa!$F$2:$F$5001,2,Prensa!$G$2:$G$5001,1),""))</f>
        <v>0</v>
      </c>
      <c r="F1246" s="27">
        <f>IF(A1246="","",IFERROR(AVERAGEIFS(Prensa!$B$2:$B$5001,Prensa!$E$2:$E$5001,N1246,Prensa!$F$2:$F$5001,3,Prensa!$G$2:$G$5001,1),""))</f>
        <v>0</v>
      </c>
      <c r="G1246" s="27">
        <f>IF(A1246="","",IFERROR(AVERAGEIFS(Prensa!$B$2:$B$5001,Prensa!$E$2:$E$5001,N1246,Prensa!$F$2:$F$5001,4,Prensa!$G$2:$G$5001,1),""))</f>
        <v>0</v>
      </c>
      <c r="H1246" s="26">
        <f>IF(A1246="","",COUNT(D1246:G1246))</f>
        <v>0</v>
      </c>
      <c r="I1246" s="27">
        <f>IF(A1246="","",IF(H1246=0,"",AVERAGE(D1246:G1246)))</f>
        <v>0</v>
      </c>
      <c r="J1246" s="27">
        <f>IF(OR(I1246="",C1246=""),"",I1246-C1246)</f>
        <v>0</v>
      </c>
      <c r="K1246" s="26">
        <f>IF(A1246="","",IF(MES!E1246&lt;&gt;4,"Horário do MES fora do padrão",IF(H1246&lt;cfgMinCortes,"Cortes insuficientes","Válida")))</f>
        <v>0</v>
      </c>
      <c r="L1246" s="27">
        <f>IF(K1246="Válida",ABS(J1246),"")</f>
        <v>0</v>
      </c>
      <c r="M1246" s="26">
        <f>IF(K1246="Válida",IF(L1246&lt;=cfgTolerancia,"Sim","Não"),"")</f>
        <v>0</v>
      </c>
      <c r="N1246" s="26">
        <f>IF(A1246="","",MES!D1246)</f>
        <v>0</v>
      </c>
      <c r="O1246" s="25">
        <f>IF(K1246="Válida",A1246,NA())</f>
        <v>0</v>
      </c>
      <c r="P1246" s="27">
        <f>IF(K1246="Válida",C1246,NA())</f>
        <v>0</v>
      </c>
      <c r="Q1246" s="27">
        <f>IF(K1246="Válida",I1246,NA())</f>
        <v>0</v>
      </c>
      <c r="R1246" s="27">
        <f>IF(K1246="Válida",J1246,NA())</f>
        <v>0</v>
      </c>
      <c r="S1246" s="27">
        <f>IF(K1246="Válida",C1246,"")</f>
        <v>0</v>
      </c>
      <c r="T1246" s="27">
        <f>IF(K1246="Válida",I1246,"")</f>
        <v>0</v>
      </c>
      <c r="U1246" s="27">
        <f>IF(K1246="Válida",J1246,"")</f>
        <v>0</v>
      </c>
    </row>
    <row r="1247" spans="1:21">
      <c r="A1247" s="25">
        <f>IF(MES!A1247="","",MES!C1247/48)</f>
        <v>0</v>
      </c>
      <c r="B1247" s="26">
        <f>IF(A1247="","",TEXT((N1247*4+cfgDeslocamento)/48,"hh:mm")&amp;" a "&amp;TEXT(A1247,"hh:mm"))</f>
        <v>0</v>
      </c>
      <c r="C1247" s="27">
        <f>IF(A1247="","",MES!B1247)</f>
        <v>0</v>
      </c>
      <c r="D1247" s="27">
        <f>IF(A1247="","",IFERROR(AVERAGEIFS(Prensa!$B$2:$B$5001,Prensa!$E$2:$E$5001,N1247,Prensa!$F$2:$F$5001,1,Prensa!$G$2:$G$5001,1),""))</f>
        <v>0</v>
      </c>
      <c r="E1247" s="27">
        <f>IF(A1247="","",IFERROR(AVERAGEIFS(Prensa!$B$2:$B$5001,Prensa!$E$2:$E$5001,N1247,Prensa!$F$2:$F$5001,2,Prensa!$G$2:$G$5001,1),""))</f>
        <v>0</v>
      </c>
      <c r="F1247" s="27">
        <f>IF(A1247="","",IFERROR(AVERAGEIFS(Prensa!$B$2:$B$5001,Prensa!$E$2:$E$5001,N1247,Prensa!$F$2:$F$5001,3,Prensa!$G$2:$G$5001,1),""))</f>
        <v>0</v>
      </c>
      <c r="G1247" s="27">
        <f>IF(A1247="","",IFERROR(AVERAGEIFS(Prensa!$B$2:$B$5001,Prensa!$E$2:$E$5001,N1247,Prensa!$F$2:$F$5001,4,Prensa!$G$2:$G$5001,1),""))</f>
        <v>0</v>
      </c>
      <c r="H1247" s="26">
        <f>IF(A1247="","",COUNT(D1247:G1247))</f>
        <v>0</v>
      </c>
      <c r="I1247" s="27">
        <f>IF(A1247="","",IF(H1247=0,"",AVERAGE(D1247:G1247)))</f>
        <v>0</v>
      </c>
      <c r="J1247" s="27">
        <f>IF(OR(I1247="",C1247=""),"",I1247-C1247)</f>
        <v>0</v>
      </c>
      <c r="K1247" s="26">
        <f>IF(A1247="","",IF(MES!E1247&lt;&gt;4,"Horário do MES fora do padrão",IF(H1247&lt;cfgMinCortes,"Cortes insuficientes","Válida")))</f>
        <v>0</v>
      </c>
      <c r="L1247" s="27">
        <f>IF(K1247="Válida",ABS(J1247),"")</f>
        <v>0</v>
      </c>
      <c r="M1247" s="26">
        <f>IF(K1247="Válida",IF(L1247&lt;=cfgTolerancia,"Sim","Não"),"")</f>
        <v>0</v>
      </c>
      <c r="N1247" s="26">
        <f>IF(A1247="","",MES!D1247)</f>
        <v>0</v>
      </c>
      <c r="O1247" s="25">
        <f>IF(K1247="Válida",A1247,NA())</f>
        <v>0</v>
      </c>
      <c r="P1247" s="27">
        <f>IF(K1247="Válida",C1247,NA())</f>
        <v>0</v>
      </c>
      <c r="Q1247" s="27">
        <f>IF(K1247="Válida",I1247,NA())</f>
        <v>0</v>
      </c>
      <c r="R1247" s="27">
        <f>IF(K1247="Válida",J1247,NA())</f>
        <v>0</v>
      </c>
      <c r="S1247" s="27">
        <f>IF(K1247="Válida",C1247,"")</f>
        <v>0</v>
      </c>
      <c r="T1247" s="27">
        <f>IF(K1247="Válida",I1247,"")</f>
        <v>0</v>
      </c>
      <c r="U1247" s="27">
        <f>IF(K1247="Válida",J1247,"")</f>
        <v>0</v>
      </c>
    </row>
    <row r="1248" spans="1:21">
      <c r="A1248" s="25">
        <f>IF(MES!A1248="","",MES!C1248/48)</f>
        <v>0</v>
      </c>
      <c r="B1248" s="26">
        <f>IF(A1248="","",TEXT((N1248*4+cfgDeslocamento)/48,"hh:mm")&amp;" a "&amp;TEXT(A1248,"hh:mm"))</f>
        <v>0</v>
      </c>
      <c r="C1248" s="27">
        <f>IF(A1248="","",MES!B1248)</f>
        <v>0</v>
      </c>
      <c r="D1248" s="27">
        <f>IF(A1248="","",IFERROR(AVERAGEIFS(Prensa!$B$2:$B$5001,Prensa!$E$2:$E$5001,N1248,Prensa!$F$2:$F$5001,1,Prensa!$G$2:$G$5001,1),""))</f>
        <v>0</v>
      </c>
      <c r="E1248" s="27">
        <f>IF(A1248="","",IFERROR(AVERAGEIFS(Prensa!$B$2:$B$5001,Prensa!$E$2:$E$5001,N1248,Prensa!$F$2:$F$5001,2,Prensa!$G$2:$G$5001,1),""))</f>
        <v>0</v>
      </c>
      <c r="F1248" s="27">
        <f>IF(A1248="","",IFERROR(AVERAGEIFS(Prensa!$B$2:$B$5001,Prensa!$E$2:$E$5001,N1248,Prensa!$F$2:$F$5001,3,Prensa!$G$2:$G$5001,1),""))</f>
        <v>0</v>
      </c>
      <c r="G1248" s="27">
        <f>IF(A1248="","",IFERROR(AVERAGEIFS(Prensa!$B$2:$B$5001,Prensa!$E$2:$E$5001,N1248,Prensa!$F$2:$F$5001,4,Prensa!$G$2:$G$5001,1),""))</f>
        <v>0</v>
      </c>
      <c r="H1248" s="26">
        <f>IF(A1248="","",COUNT(D1248:G1248))</f>
        <v>0</v>
      </c>
      <c r="I1248" s="27">
        <f>IF(A1248="","",IF(H1248=0,"",AVERAGE(D1248:G1248)))</f>
        <v>0</v>
      </c>
      <c r="J1248" s="27">
        <f>IF(OR(I1248="",C1248=""),"",I1248-C1248)</f>
        <v>0</v>
      </c>
      <c r="K1248" s="26">
        <f>IF(A1248="","",IF(MES!E1248&lt;&gt;4,"Horário do MES fora do padrão",IF(H1248&lt;cfgMinCortes,"Cortes insuficientes","Válida")))</f>
        <v>0</v>
      </c>
      <c r="L1248" s="27">
        <f>IF(K1248="Válida",ABS(J1248),"")</f>
        <v>0</v>
      </c>
      <c r="M1248" s="26">
        <f>IF(K1248="Válida",IF(L1248&lt;=cfgTolerancia,"Sim","Não"),"")</f>
        <v>0</v>
      </c>
      <c r="N1248" s="26">
        <f>IF(A1248="","",MES!D1248)</f>
        <v>0</v>
      </c>
      <c r="O1248" s="25">
        <f>IF(K1248="Válida",A1248,NA())</f>
        <v>0</v>
      </c>
      <c r="P1248" s="27">
        <f>IF(K1248="Válida",C1248,NA())</f>
        <v>0</v>
      </c>
      <c r="Q1248" s="27">
        <f>IF(K1248="Válida",I1248,NA())</f>
        <v>0</v>
      </c>
      <c r="R1248" s="27">
        <f>IF(K1248="Válida",J1248,NA())</f>
        <v>0</v>
      </c>
      <c r="S1248" s="27">
        <f>IF(K1248="Válida",C1248,"")</f>
        <v>0</v>
      </c>
      <c r="T1248" s="27">
        <f>IF(K1248="Válida",I1248,"")</f>
        <v>0</v>
      </c>
      <c r="U1248" s="27">
        <f>IF(K1248="Válida",J1248,"")</f>
        <v>0</v>
      </c>
    </row>
    <row r="1249" spans="1:21">
      <c r="A1249" s="25">
        <f>IF(MES!A1249="","",MES!C1249/48)</f>
        <v>0</v>
      </c>
      <c r="B1249" s="26">
        <f>IF(A1249="","",TEXT((N1249*4+cfgDeslocamento)/48,"hh:mm")&amp;" a "&amp;TEXT(A1249,"hh:mm"))</f>
        <v>0</v>
      </c>
      <c r="C1249" s="27">
        <f>IF(A1249="","",MES!B1249)</f>
        <v>0</v>
      </c>
      <c r="D1249" s="27">
        <f>IF(A1249="","",IFERROR(AVERAGEIFS(Prensa!$B$2:$B$5001,Prensa!$E$2:$E$5001,N1249,Prensa!$F$2:$F$5001,1,Prensa!$G$2:$G$5001,1),""))</f>
        <v>0</v>
      </c>
      <c r="E1249" s="27">
        <f>IF(A1249="","",IFERROR(AVERAGEIFS(Prensa!$B$2:$B$5001,Prensa!$E$2:$E$5001,N1249,Prensa!$F$2:$F$5001,2,Prensa!$G$2:$G$5001,1),""))</f>
        <v>0</v>
      </c>
      <c r="F1249" s="27">
        <f>IF(A1249="","",IFERROR(AVERAGEIFS(Prensa!$B$2:$B$5001,Prensa!$E$2:$E$5001,N1249,Prensa!$F$2:$F$5001,3,Prensa!$G$2:$G$5001,1),""))</f>
        <v>0</v>
      </c>
      <c r="G1249" s="27">
        <f>IF(A1249="","",IFERROR(AVERAGEIFS(Prensa!$B$2:$B$5001,Prensa!$E$2:$E$5001,N1249,Prensa!$F$2:$F$5001,4,Prensa!$G$2:$G$5001,1),""))</f>
        <v>0</v>
      </c>
      <c r="H1249" s="26">
        <f>IF(A1249="","",COUNT(D1249:G1249))</f>
        <v>0</v>
      </c>
      <c r="I1249" s="27">
        <f>IF(A1249="","",IF(H1249=0,"",AVERAGE(D1249:G1249)))</f>
        <v>0</v>
      </c>
      <c r="J1249" s="27">
        <f>IF(OR(I1249="",C1249=""),"",I1249-C1249)</f>
        <v>0</v>
      </c>
      <c r="K1249" s="26">
        <f>IF(A1249="","",IF(MES!E1249&lt;&gt;4,"Horário do MES fora do padrão",IF(H1249&lt;cfgMinCortes,"Cortes insuficientes","Válida")))</f>
        <v>0</v>
      </c>
      <c r="L1249" s="27">
        <f>IF(K1249="Válida",ABS(J1249),"")</f>
        <v>0</v>
      </c>
      <c r="M1249" s="26">
        <f>IF(K1249="Válida",IF(L1249&lt;=cfgTolerancia,"Sim","Não"),"")</f>
        <v>0</v>
      </c>
      <c r="N1249" s="26">
        <f>IF(A1249="","",MES!D1249)</f>
        <v>0</v>
      </c>
      <c r="O1249" s="25">
        <f>IF(K1249="Válida",A1249,NA())</f>
        <v>0</v>
      </c>
      <c r="P1249" s="27">
        <f>IF(K1249="Válida",C1249,NA())</f>
        <v>0</v>
      </c>
      <c r="Q1249" s="27">
        <f>IF(K1249="Válida",I1249,NA())</f>
        <v>0</v>
      </c>
      <c r="R1249" s="27">
        <f>IF(K1249="Válida",J1249,NA())</f>
        <v>0</v>
      </c>
      <c r="S1249" s="27">
        <f>IF(K1249="Válida",C1249,"")</f>
        <v>0</v>
      </c>
      <c r="T1249" s="27">
        <f>IF(K1249="Válida",I1249,"")</f>
        <v>0</v>
      </c>
      <c r="U1249" s="27">
        <f>IF(K1249="Válida",J1249,"")</f>
        <v>0</v>
      </c>
    </row>
    <row r="1250" spans="1:21">
      <c r="A1250" s="25">
        <f>IF(MES!A1250="","",MES!C1250/48)</f>
        <v>0</v>
      </c>
      <c r="B1250" s="26">
        <f>IF(A1250="","",TEXT((N1250*4+cfgDeslocamento)/48,"hh:mm")&amp;" a "&amp;TEXT(A1250,"hh:mm"))</f>
        <v>0</v>
      </c>
      <c r="C1250" s="27">
        <f>IF(A1250="","",MES!B1250)</f>
        <v>0</v>
      </c>
      <c r="D1250" s="27">
        <f>IF(A1250="","",IFERROR(AVERAGEIFS(Prensa!$B$2:$B$5001,Prensa!$E$2:$E$5001,N1250,Prensa!$F$2:$F$5001,1,Prensa!$G$2:$G$5001,1),""))</f>
        <v>0</v>
      </c>
      <c r="E1250" s="27">
        <f>IF(A1250="","",IFERROR(AVERAGEIFS(Prensa!$B$2:$B$5001,Prensa!$E$2:$E$5001,N1250,Prensa!$F$2:$F$5001,2,Prensa!$G$2:$G$5001,1),""))</f>
        <v>0</v>
      </c>
      <c r="F1250" s="27">
        <f>IF(A1250="","",IFERROR(AVERAGEIFS(Prensa!$B$2:$B$5001,Prensa!$E$2:$E$5001,N1250,Prensa!$F$2:$F$5001,3,Prensa!$G$2:$G$5001,1),""))</f>
        <v>0</v>
      </c>
      <c r="G1250" s="27">
        <f>IF(A1250="","",IFERROR(AVERAGEIFS(Prensa!$B$2:$B$5001,Prensa!$E$2:$E$5001,N1250,Prensa!$F$2:$F$5001,4,Prensa!$G$2:$G$5001,1),""))</f>
        <v>0</v>
      </c>
      <c r="H1250" s="26">
        <f>IF(A1250="","",COUNT(D1250:G1250))</f>
        <v>0</v>
      </c>
      <c r="I1250" s="27">
        <f>IF(A1250="","",IF(H1250=0,"",AVERAGE(D1250:G1250)))</f>
        <v>0</v>
      </c>
      <c r="J1250" s="27">
        <f>IF(OR(I1250="",C1250=""),"",I1250-C1250)</f>
        <v>0</v>
      </c>
      <c r="K1250" s="26">
        <f>IF(A1250="","",IF(MES!E1250&lt;&gt;4,"Horário do MES fora do padrão",IF(H1250&lt;cfgMinCortes,"Cortes insuficientes","Válida")))</f>
        <v>0</v>
      </c>
      <c r="L1250" s="27">
        <f>IF(K1250="Válida",ABS(J1250),"")</f>
        <v>0</v>
      </c>
      <c r="M1250" s="26">
        <f>IF(K1250="Válida",IF(L1250&lt;=cfgTolerancia,"Sim","Não"),"")</f>
        <v>0</v>
      </c>
      <c r="N1250" s="26">
        <f>IF(A1250="","",MES!D1250)</f>
        <v>0</v>
      </c>
      <c r="O1250" s="25">
        <f>IF(K1250="Válida",A1250,NA())</f>
        <v>0</v>
      </c>
      <c r="P1250" s="27">
        <f>IF(K1250="Válida",C1250,NA())</f>
        <v>0</v>
      </c>
      <c r="Q1250" s="27">
        <f>IF(K1250="Válida",I1250,NA())</f>
        <v>0</v>
      </c>
      <c r="R1250" s="27">
        <f>IF(K1250="Válida",J1250,NA())</f>
        <v>0</v>
      </c>
      <c r="S1250" s="27">
        <f>IF(K1250="Válida",C1250,"")</f>
        <v>0</v>
      </c>
      <c r="T1250" s="27">
        <f>IF(K1250="Válida",I1250,"")</f>
        <v>0</v>
      </c>
      <c r="U1250" s="27">
        <f>IF(K1250="Válida",J1250,"")</f>
        <v>0</v>
      </c>
    </row>
    <row r="1251" spans="1:21">
      <c r="A1251" s="25">
        <f>IF(MES!A1251="","",MES!C1251/48)</f>
        <v>0</v>
      </c>
      <c r="B1251" s="26">
        <f>IF(A1251="","",TEXT((N1251*4+cfgDeslocamento)/48,"hh:mm")&amp;" a "&amp;TEXT(A1251,"hh:mm"))</f>
        <v>0</v>
      </c>
      <c r="C1251" s="27">
        <f>IF(A1251="","",MES!B1251)</f>
        <v>0</v>
      </c>
      <c r="D1251" s="27">
        <f>IF(A1251="","",IFERROR(AVERAGEIFS(Prensa!$B$2:$B$5001,Prensa!$E$2:$E$5001,N1251,Prensa!$F$2:$F$5001,1,Prensa!$G$2:$G$5001,1),""))</f>
        <v>0</v>
      </c>
      <c r="E1251" s="27">
        <f>IF(A1251="","",IFERROR(AVERAGEIFS(Prensa!$B$2:$B$5001,Prensa!$E$2:$E$5001,N1251,Prensa!$F$2:$F$5001,2,Prensa!$G$2:$G$5001,1),""))</f>
        <v>0</v>
      </c>
      <c r="F1251" s="27">
        <f>IF(A1251="","",IFERROR(AVERAGEIFS(Prensa!$B$2:$B$5001,Prensa!$E$2:$E$5001,N1251,Prensa!$F$2:$F$5001,3,Prensa!$G$2:$G$5001,1),""))</f>
        <v>0</v>
      </c>
      <c r="G1251" s="27">
        <f>IF(A1251="","",IFERROR(AVERAGEIFS(Prensa!$B$2:$B$5001,Prensa!$E$2:$E$5001,N1251,Prensa!$F$2:$F$5001,4,Prensa!$G$2:$G$5001,1),""))</f>
        <v>0</v>
      </c>
      <c r="H1251" s="26">
        <f>IF(A1251="","",COUNT(D1251:G1251))</f>
        <v>0</v>
      </c>
      <c r="I1251" s="27">
        <f>IF(A1251="","",IF(H1251=0,"",AVERAGE(D1251:G1251)))</f>
        <v>0</v>
      </c>
      <c r="J1251" s="27">
        <f>IF(OR(I1251="",C1251=""),"",I1251-C1251)</f>
        <v>0</v>
      </c>
      <c r="K1251" s="26">
        <f>IF(A1251="","",IF(MES!E1251&lt;&gt;4,"Horário do MES fora do padrão",IF(H1251&lt;cfgMinCortes,"Cortes insuficientes","Válida")))</f>
        <v>0</v>
      </c>
      <c r="L1251" s="27">
        <f>IF(K1251="Válida",ABS(J1251),"")</f>
        <v>0</v>
      </c>
      <c r="M1251" s="26">
        <f>IF(K1251="Válida",IF(L1251&lt;=cfgTolerancia,"Sim","Não"),"")</f>
        <v>0</v>
      </c>
      <c r="N1251" s="26">
        <f>IF(A1251="","",MES!D1251)</f>
        <v>0</v>
      </c>
      <c r="O1251" s="25">
        <f>IF(K1251="Válida",A1251,NA())</f>
        <v>0</v>
      </c>
      <c r="P1251" s="27">
        <f>IF(K1251="Válida",C1251,NA())</f>
        <v>0</v>
      </c>
      <c r="Q1251" s="27">
        <f>IF(K1251="Válida",I1251,NA())</f>
        <v>0</v>
      </c>
      <c r="R1251" s="27">
        <f>IF(K1251="Válida",J1251,NA())</f>
        <v>0</v>
      </c>
      <c r="S1251" s="27">
        <f>IF(K1251="Válida",C1251,"")</f>
        <v>0</v>
      </c>
      <c r="T1251" s="27">
        <f>IF(K1251="Válida",I1251,"")</f>
        <v>0</v>
      </c>
      <c r="U1251" s="27">
        <f>IF(K1251="Válida",J1251,"")</f>
        <v>0</v>
      </c>
    </row>
    <row r="1252" spans="1:21">
      <c r="A1252" s="25">
        <f>IF(MES!A1252="","",MES!C1252/48)</f>
        <v>0</v>
      </c>
      <c r="B1252" s="26">
        <f>IF(A1252="","",TEXT((N1252*4+cfgDeslocamento)/48,"hh:mm")&amp;" a "&amp;TEXT(A1252,"hh:mm"))</f>
        <v>0</v>
      </c>
      <c r="C1252" s="27">
        <f>IF(A1252="","",MES!B1252)</f>
        <v>0</v>
      </c>
      <c r="D1252" s="27">
        <f>IF(A1252="","",IFERROR(AVERAGEIFS(Prensa!$B$2:$B$5001,Prensa!$E$2:$E$5001,N1252,Prensa!$F$2:$F$5001,1,Prensa!$G$2:$G$5001,1),""))</f>
        <v>0</v>
      </c>
      <c r="E1252" s="27">
        <f>IF(A1252="","",IFERROR(AVERAGEIFS(Prensa!$B$2:$B$5001,Prensa!$E$2:$E$5001,N1252,Prensa!$F$2:$F$5001,2,Prensa!$G$2:$G$5001,1),""))</f>
        <v>0</v>
      </c>
      <c r="F1252" s="27">
        <f>IF(A1252="","",IFERROR(AVERAGEIFS(Prensa!$B$2:$B$5001,Prensa!$E$2:$E$5001,N1252,Prensa!$F$2:$F$5001,3,Prensa!$G$2:$G$5001,1),""))</f>
        <v>0</v>
      </c>
      <c r="G1252" s="27">
        <f>IF(A1252="","",IFERROR(AVERAGEIFS(Prensa!$B$2:$B$5001,Prensa!$E$2:$E$5001,N1252,Prensa!$F$2:$F$5001,4,Prensa!$G$2:$G$5001,1),""))</f>
        <v>0</v>
      </c>
      <c r="H1252" s="26">
        <f>IF(A1252="","",COUNT(D1252:G1252))</f>
        <v>0</v>
      </c>
      <c r="I1252" s="27">
        <f>IF(A1252="","",IF(H1252=0,"",AVERAGE(D1252:G1252)))</f>
        <v>0</v>
      </c>
      <c r="J1252" s="27">
        <f>IF(OR(I1252="",C1252=""),"",I1252-C1252)</f>
        <v>0</v>
      </c>
      <c r="K1252" s="26">
        <f>IF(A1252="","",IF(MES!E1252&lt;&gt;4,"Horário do MES fora do padrão",IF(H1252&lt;cfgMinCortes,"Cortes insuficientes","Válida")))</f>
        <v>0</v>
      </c>
      <c r="L1252" s="27">
        <f>IF(K1252="Válida",ABS(J1252),"")</f>
        <v>0</v>
      </c>
      <c r="M1252" s="26">
        <f>IF(K1252="Válida",IF(L1252&lt;=cfgTolerancia,"Sim","Não"),"")</f>
        <v>0</v>
      </c>
      <c r="N1252" s="26">
        <f>IF(A1252="","",MES!D1252)</f>
        <v>0</v>
      </c>
      <c r="O1252" s="25">
        <f>IF(K1252="Válida",A1252,NA())</f>
        <v>0</v>
      </c>
      <c r="P1252" s="27">
        <f>IF(K1252="Válida",C1252,NA())</f>
        <v>0</v>
      </c>
      <c r="Q1252" s="27">
        <f>IF(K1252="Válida",I1252,NA())</f>
        <v>0</v>
      </c>
      <c r="R1252" s="27">
        <f>IF(K1252="Válida",J1252,NA())</f>
        <v>0</v>
      </c>
      <c r="S1252" s="27">
        <f>IF(K1252="Válida",C1252,"")</f>
        <v>0</v>
      </c>
      <c r="T1252" s="27">
        <f>IF(K1252="Válida",I1252,"")</f>
        <v>0</v>
      </c>
      <c r="U1252" s="27">
        <f>IF(K1252="Válida",J1252,"")</f>
        <v>0</v>
      </c>
    </row>
    <row r="1253" spans="1:21">
      <c r="A1253" s="25">
        <f>IF(MES!A1253="","",MES!C1253/48)</f>
        <v>0</v>
      </c>
      <c r="B1253" s="26">
        <f>IF(A1253="","",TEXT((N1253*4+cfgDeslocamento)/48,"hh:mm")&amp;" a "&amp;TEXT(A1253,"hh:mm"))</f>
        <v>0</v>
      </c>
      <c r="C1253" s="27">
        <f>IF(A1253="","",MES!B1253)</f>
        <v>0</v>
      </c>
      <c r="D1253" s="27">
        <f>IF(A1253="","",IFERROR(AVERAGEIFS(Prensa!$B$2:$B$5001,Prensa!$E$2:$E$5001,N1253,Prensa!$F$2:$F$5001,1,Prensa!$G$2:$G$5001,1),""))</f>
        <v>0</v>
      </c>
      <c r="E1253" s="27">
        <f>IF(A1253="","",IFERROR(AVERAGEIFS(Prensa!$B$2:$B$5001,Prensa!$E$2:$E$5001,N1253,Prensa!$F$2:$F$5001,2,Prensa!$G$2:$G$5001,1),""))</f>
        <v>0</v>
      </c>
      <c r="F1253" s="27">
        <f>IF(A1253="","",IFERROR(AVERAGEIFS(Prensa!$B$2:$B$5001,Prensa!$E$2:$E$5001,N1253,Prensa!$F$2:$F$5001,3,Prensa!$G$2:$G$5001,1),""))</f>
        <v>0</v>
      </c>
      <c r="G1253" s="27">
        <f>IF(A1253="","",IFERROR(AVERAGEIFS(Prensa!$B$2:$B$5001,Prensa!$E$2:$E$5001,N1253,Prensa!$F$2:$F$5001,4,Prensa!$G$2:$G$5001,1),""))</f>
        <v>0</v>
      </c>
      <c r="H1253" s="26">
        <f>IF(A1253="","",COUNT(D1253:G1253))</f>
        <v>0</v>
      </c>
      <c r="I1253" s="27">
        <f>IF(A1253="","",IF(H1253=0,"",AVERAGE(D1253:G1253)))</f>
        <v>0</v>
      </c>
      <c r="J1253" s="27">
        <f>IF(OR(I1253="",C1253=""),"",I1253-C1253)</f>
        <v>0</v>
      </c>
      <c r="K1253" s="26">
        <f>IF(A1253="","",IF(MES!E1253&lt;&gt;4,"Horário do MES fora do padrão",IF(H1253&lt;cfgMinCortes,"Cortes insuficientes","Válida")))</f>
        <v>0</v>
      </c>
      <c r="L1253" s="27">
        <f>IF(K1253="Válida",ABS(J1253),"")</f>
        <v>0</v>
      </c>
      <c r="M1253" s="26">
        <f>IF(K1253="Válida",IF(L1253&lt;=cfgTolerancia,"Sim","Não"),"")</f>
        <v>0</v>
      </c>
      <c r="N1253" s="26">
        <f>IF(A1253="","",MES!D1253)</f>
        <v>0</v>
      </c>
      <c r="O1253" s="25">
        <f>IF(K1253="Válida",A1253,NA())</f>
        <v>0</v>
      </c>
      <c r="P1253" s="27">
        <f>IF(K1253="Válida",C1253,NA())</f>
        <v>0</v>
      </c>
      <c r="Q1253" s="27">
        <f>IF(K1253="Válida",I1253,NA())</f>
        <v>0</v>
      </c>
      <c r="R1253" s="27">
        <f>IF(K1253="Válida",J1253,NA())</f>
        <v>0</v>
      </c>
      <c r="S1253" s="27">
        <f>IF(K1253="Válida",C1253,"")</f>
        <v>0</v>
      </c>
      <c r="T1253" s="27">
        <f>IF(K1253="Válida",I1253,"")</f>
        <v>0</v>
      </c>
      <c r="U1253" s="27">
        <f>IF(K1253="Válida",J1253,"")</f>
        <v>0</v>
      </c>
    </row>
    <row r="1254" spans="1:21">
      <c r="A1254" s="25">
        <f>IF(MES!A1254="","",MES!C1254/48)</f>
        <v>0</v>
      </c>
      <c r="B1254" s="26">
        <f>IF(A1254="","",TEXT((N1254*4+cfgDeslocamento)/48,"hh:mm")&amp;" a "&amp;TEXT(A1254,"hh:mm"))</f>
        <v>0</v>
      </c>
      <c r="C1254" s="27">
        <f>IF(A1254="","",MES!B1254)</f>
        <v>0</v>
      </c>
      <c r="D1254" s="27">
        <f>IF(A1254="","",IFERROR(AVERAGEIFS(Prensa!$B$2:$B$5001,Prensa!$E$2:$E$5001,N1254,Prensa!$F$2:$F$5001,1,Prensa!$G$2:$G$5001,1),""))</f>
        <v>0</v>
      </c>
      <c r="E1254" s="27">
        <f>IF(A1254="","",IFERROR(AVERAGEIFS(Prensa!$B$2:$B$5001,Prensa!$E$2:$E$5001,N1254,Prensa!$F$2:$F$5001,2,Prensa!$G$2:$G$5001,1),""))</f>
        <v>0</v>
      </c>
      <c r="F1254" s="27">
        <f>IF(A1254="","",IFERROR(AVERAGEIFS(Prensa!$B$2:$B$5001,Prensa!$E$2:$E$5001,N1254,Prensa!$F$2:$F$5001,3,Prensa!$G$2:$G$5001,1),""))</f>
        <v>0</v>
      </c>
      <c r="G1254" s="27">
        <f>IF(A1254="","",IFERROR(AVERAGEIFS(Prensa!$B$2:$B$5001,Prensa!$E$2:$E$5001,N1254,Prensa!$F$2:$F$5001,4,Prensa!$G$2:$G$5001,1),""))</f>
        <v>0</v>
      </c>
      <c r="H1254" s="26">
        <f>IF(A1254="","",COUNT(D1254:G1254))</f>
        <v>0</v>
      </c>
      <c r="I1254" s="27">
        <f>IF(A1254="","",IF(H1254=0,"",AVERAGE(D1254:G1254)))</f>
        <v>0</v>
      </c>
      <c r="J1254" s="27">
        <f>IF(OR(I1254="",C1254=""),"",I1254-C1254)</f>
        <v>0</v>
      </c>
      <c r="K1254" s="26">
        <f>IF(A1254="","",IF(MES!E1254&lt;&gt;4,"Horário do MES fora do padrão",IF(H1254&lt;cfgMinCortes,"Cortes insuficientes","Válida")))</f>
        <v>0</v>
      </c>
      <c r="L1254" s="27">
        <f>IF(K1254="Válida",ABS(J1254),"")</f>
        <v>0</v>
      </c>
      <c r="M1254" s="26">
        <f>IF(K1254="Válida",IF(L1254&lt;=cfgTolerancia,"Sim","Não"),"")</f>
        <v>0</v>
      </c>
      <c r="N1254" s="26">
        <f>IF(A1254="","",MES!D1254)</f>
        <v>0</v>
      </c>
      <c r="O1254" s="25">
        <f>IF(K1254="Válida",A1254,NA())</f>
        <v>0</v>
      </c>
      <c r="P1254" s="27">
        <f>IF(K1254="Válida",C1254,NA())</f>
        <v>0</v>
      </c>
      <c r="Q1254" s="27">
        <f>IF(K1254="Válida",I1254,NA())</f>
        <v>0</v>
      </c>
      <c r="R1254" s="27">
        <f>IF(K1254="Válida",J1254,NA())</f>
        <v>0</v>
      </c>
      <c r="S1254" s="27">
        <f>IF(K1254="Válida",C1254,"")</f>
        <v>0</v>
      </c>
      <c r="T1254" s="27">
        <f>IF(K1254="Válida",I1254,"")</f>
        <v>0</v>
      </c>
      <c r="U1254" s="27">
        <f>IF(K1254="Válida",J1254,"")</f>
        <v>0</v>
      </c>
    </row>
    <row r="1255" spans="1:21">
      <c r="A1255" s="25">
        <f>IF(MES!A1255="","",MES!C1255/48)</f>
        <v>0</v>
      </c>
      <c r="B1255" s="26">
        <f>IF(A1255="","",TEXT((N1255*4+cfgDeslocamento)/48,"hh:mm")&amp;" a "&amp;TEXT(A1255,"hh:mm"))</f>
        <v>0</v>
      </c>
      <c r="C1255" s="27">
        <f>IF(A1255="","",MES!B1255)</f>
        <v>0</v>
      </c>
      <c r="D1255" s="27">
        <f>IF(A1255="","",IFERROR(AVERAGEIFS(Prensa!$B$2:$B$5001,Prensa!$E$2:$E$5001,N1255,Prensa!$F$2:$F$5001,1,Prensa!$G$2:$G$5001,1),""))</f>
        <v>0</v>
      </c>
      <c r="E1255" s="27">
        <f>IF(A1255="","",IFERROR(AVERAGEIFS(Prensa!$B$2:$B$5001,Prensa!$E$2:$E$5001,N1255,Prensa!$F$2:$F$5001,2,Prensa!$G$2:$G$5001,1),""))</f>
        <v>0</v>
      </c>
      <c r="F1255" s="27">
        <f>IF(A1255="","",IFERROR(AVERAGEIFS(Prensa!$B$2:$B$5001,Prensa!$E$2:$E$5001,N1255,Prensa!$F$2:$F$5001,3,Prensa!$G$2:$G$5001,1),""))</f>
        <v>0</v>
      </c>
      <c r="G1255" s="27">
        <f>IF(A1255="","",IFERROR(AVERAGEIFS(Prensa!$B$2:$B$5001,Prensa!$E$2:$E$5001,N1255,Prensa!$F$2:$F$5001,4,Prensa!$G$2:$G$5001,1),""))</f>
        <v>0</v>
      </c>
      <c r="H1255" s="26">
        <f>IF(A1255="","",COUNT(D1255:G1255))</f>
        <v>0</v>
      </c>
      <c r="I1255" s="27">
        <f>IF(A1255="","",IF(H1255=0,"",AVERAGE(D1255:G1255)))</f>
        <v>0</v>
      </c>
      <c r="J1255" s="27">
        <f>IF(OR(I1255="",C1255=""),"",I1255-C1255)</f>
        <v>0</v>
      </c>
      <c r="K1255" s="26">
        <f>IF(A1255="","",IF(MES!E1255&lt;&gt;4,"Horário do MES fora do padrão",IF(H1255&lt;cfgMinCortes,"Cortes insuficientes","Válida")))</f>
        <v>0</v>
      </c>
      <c r="L1255" s="27">
        <f>IF(K1255="Válida",ABS(J1255),"")</f>
        <v>0</v>
      </c>
      <c r="M1255" s="26">
        <f>IF(K1255="Válida",IF(L1255&lt;=cfgTolerancia,"Sim","Não"),"")</f>
        <v>0</v>
      </c>
      <c r="N1255" s="26">
        <f>IF(A1255="","",MES!D1255)</f>
        <v>0</v>
      </c>
      <c r="O1255" s="25">
        <f>IF(K1255="Válida",A1255,NA())</f>
        <v>0</v>
      </c>
      <c r="P1255" s="27">
        <f>IF(K1255="Válida",C1255,NA())</f>
        <v>0</v>
      </c>
      <c r="Q1255" s="27">
        <f>IF(K1255="Válida",I1255,NA())</f>
        <v>0</v>
      </c>
      <c r="R1255" s="27">
        <f>IF(K1255="Válida",J1255,NA())</f>
        <v>0</v>
      </c>
      <c r="S1255" s="27">
        <f>IF(K1255="Válida",C1255,"")</f>
        <v>0</v>
      </c>
      <c r="T1255" s="27">
        <f>IF(K1255="Válida",I1255,"")</f>
        <v>0</v>
      </c>
      <c r="U1255" s="27">
        <f>IF(K1255="Válida",J1255,"")</f>
        <v>0</v>
      </c>
    </row>
    <row r="1256" spans="1:21">
      <c r="A1256" s="25">
        <f>IF(MES!A1256="","",MES!C1256/48)</f>
        <v>0</v>
      </c>
      <c r="B1256" s="26">
        <f>IF(A1256="","",TEXT((N1256*4+cfgDeslocamento)/48,"hh:mm")&amp;" a "&amp;TEXT(A1256,"hh:mm"))</f>
        <v>0</v>
      </c>
      <c r="C1256" s="27">
        <f>IF(A1256="","",MES!B1256)</f>
        <v>0</v>
      </c>
      <c r="D1256" s="27">
        <f>IF(A1256="","",IFERROR(AVERAGEIFS(Prensa!$B$2:$B$5001,Prensa!$E$2:$E$5001,N1256,Prensa!$F$2:$F$5001,1,Prensa!$G$2:$G$5001,1),""))</f>
        <v>0</v>
      </c>
      <c r="E1256" s="27">
        <f>IF(A1256="","",IFERROR(AVERAGEIFS(Prensa!$B$2:$B$5001,Prensa!$E$2:$E$5001,N1256,Prensa!$F$2:$F$5001,2,Prensa!$G$2:$G$5001,1),""))</f>
        <v>0</v>
      </c>
      <c r="F1256" s="27">
        <f>IF(A1256="","",IFERROR(AVERAGEIFS(Prensa!$B$2:$B$5001,Prensa!$E$2:$E$5001,N1256,Prensa!$F$2:$F$5001,3,Prensa!$G$2:$G$5001,1),""))</f>
        <v>0</v>
      </c>
      <c r="G1256" s="27">
        <f>IF(A1256="","",IFERROR(AVERAGEIFS(Prensa!$B$2:$B$5001,Prensa!$E$2:$E$5001,N1256,Prensa!$F$2:$F$5001,4,Prensa!$G$2:$G$5001,1),""))</f>
        <v>0</v>
      </c>
      <c r="H1256" s="26">
        <f>IF(A1256="","",COUNT(D1256:G1256))</f>
        <v>0</v>
      </c>
      <c r="I1256" s="27">
        <f>IF(A1256="","",IF(H1256=0,"",AVERAGE(D1256:G1256)))</f>
        <v>0</v>
      </c>
      <c r="J1256" s="27">
        <f>IF(OR(I1256="",C1256=""),"",I1256-C1256)</f>
        <v>0</v>
      </c>
      <c r="K1256" s="26">
        <f>IF(A1256="","",IF(MES!E1256&lt;&gt;4,"Horário do MES fora do padrão",IF(H1256&lt;cfgMinCortes,"Cortes insuficientes","Válida")))</f>
        <v>0</v>
      </c>
      <c r="L1256" s="27">
        <f>IF(K1256="Válida",ABS(J1256),"")</f>
        <v>0</v>
      </c>
      <c r="M1256" s="26">
        <f>IF(K1256="Válida",IF(L1256&lt;=cfgTolerancia,"Sim","Não"),"")</f>
        <v>0</v>
      </c>
      <c r="N1256" s="26">
        <f>IF(A1256="","",MES!D1256)</f>
        <v>0</v>
      </c>
      <c r="O1256" s="25">
        <f>IF(K1256="Válida",A1256,NA())</f>
        <v>0</v>
      </c>
      <c r="P1256" s="27">
        <f>IF(K1256="Válida",C1256,NA())</f>
        <v>0</v>
      </c>
      <c r="Q1256" s="27">
        <f>IF(K1256="Válida",I1256,NA())</f>
        <v>0</v>
      </c>
      <c r="R1256" s="27">
        <f>IF(K1256="Válida",J1256,NA())</f>
        <v>0</v>
      </c>
      <c r="S1256" s="27">
        <f>IF(K1256="Válida",C1256,"")</f>
        <v>0</v>
      </c>
      <c r="T1256" s="27">
        <f>IF(K1256="Válida",I1256,"")</f>
        <v>0</v>
      </c>
      <c r="U1256" s="27">
        <f>IF(K1256="Válida",J1256,"")</f>
        <v>0</v>
      </c>
    </row>
    <row r="1257" spans="1:21">
      <c r="A1257" s="25">
        <f>IF(MES!A1257="","",MES!C1257/48)</f>
        <v>0</v>
      </c>
      <c r="B1257" s="26">
        <f>IF(A1257="","",TEXT((N1257*4+cfgDeslocamento)/48,"hh:mm")&amp;" a "&amp;TEXT(A1257,"hh:mm"))</f>
        <v>0</v>
      </c>
      <c r="C1257" s="27">
        <f>IF(A1257="","",MES!B1257)</f>
        <v>0</v>
      </c>
      <c r="D1257" s="27">
        <f>IF(A1257="","",IFERROR(AVERAGEIFS(Prensa!$B$2:$B$5001,Prensa!$E$2:$E$5001,N1257,Prensa!$F$2:$F$5001,1,Prensa!$G$2:$G$5001,1),""))</f>
        <v>0</v>
      </c>
      <c r="E1257" s="27">
        <f>IF(A1257="","",IFERROR(AVERAGEIFS(Prensa!$B$2:$B$5001,Prensa!$E$2:$E$5001,N1257,Prensa!$F$2:$F$5001,2,Prensa!$G$2:$G$5001,1),""))</f>
        <v>0</v>
      </c>
      <c r="F1257" s="27">
        <f>IF(A1257="","",IFERROR(AVERAGEIFS(Prensa!$B$2:$B$5001,Prensa!$E$2:$E$5001,N1257,Prensa!$F$2:$F$5001,3,Prensa!$G$2:$G$5001,1),""))</f>
        <v>0</v>
      </c>
      <c r="G1257" s="27">
        <f>IF(A1257="","",IFERROR(AVERAGEIFS(Prensa!$B$2:$B$5001,Prensa!$E$2:$E$5001,N1257,Prensa!$F$2:$F$5001,4,Prensa!$G$2:$G$5001,1),""))</f>
        <v>0</v>
      </c>
      <c r="H1257" s="26">
        <f>IF(A1257="","",COUNT(D1257:G1257))</f>
        <v>0</v>
      </c>
      <c r="I1257" s="27">
        <f>IF(A1257="","",IF(H1257=0,"",AVERAGE(D1257:G1257)))</f>
        <v>0</v>
      </c>
      <c r="J1257" s="27">
        <f>IF(OR(I1257="",C1257=""),"",I1257-C1257)</f>
        <v>0</v>
      </c>
      <c r="K1257" s="26">
        <f>IF(A1257="","",IF(MES!E1257&lt;&gt;4,"Horário do MES fora do padrão",IF(H1257&lt;cfgMinCortes,"Cortes insuficientes","Válida")))</f>
        <v>0</v>
      </c>
      <c r="L1257" s="27">
        <f>IF(K1257="Válida",ABS(J1257),"")</f>
        <v>0</v>
      </c>
      <c r="M1257" s="26">
        <f>IF(K1257="Válida",IF(L1257&lt;=cfgTolerancia,"Sim","Não"),"")</f>
        <v>0</v>
      </c>
      <c r="N1257" s="26">
        <f>IF(A1257="","",MES!D1257)</f>
        <v>0</v>
      </c>
      <c r="O1257" s="25">
        <f>IF(K1257="Válida",A1257,NA())</f>
        <v>0</v>
      </c>
      <c r="P1257" s="27">
        <f>IF(K1257="Válida",C1257,NA())</f>
        <v>0</v>
      </c>
      <c r="Q1257" s="27">
        <f>IF(K1257="Válida",I1257,NA())</f>
        <v>0</v>
      </c>
      <c r="R1257" s="27">
        <f>IF(K1257="Válida",J1257,NA())</f>
        <v>0</v>
      </c>
      <c r="S1257" s="27">
        <f>IF(K1257="Válida",C1257,"")</f>
        <v>0</v>
      </c>
      <c r="T1257" s="27">
        <f>IF(K1257="Válida",I1257,"")</f>
        <v>0</v>
      </c>
      <c r="U1257" s="27">
        <f>IF(K1257="Válida",J1257,"")</f>
        <v>0</v>
      </c>
    </row>
    <row r="1258" spans="1:21">
      <c r="A1258" s="25">
        <f>IF(MES!A1258="","",MES!C1258/48)</f>
        <v>0</v>
      </c>
      <c r="B1258" s="26">
        <f>IF(A1258="","",TEXT((N1258*4+cfgDeslocamento)/48,"hh:mm")&amp;" a "&amp;TEXT(A1258,"hh:mm"))</f>
        <v>0</v>
      </c>
      <c r="C1258" s="27">
        <f>IF(A1258="","",MES!B1258)</f>
        <v>0</v>
      </c>
      <c r="D1258" s="27">
        <f>IF(A1258="","",IFERROR(AVERAGEIFS(Prensa!$B$2:$B$5001,Prensa!$E$2:$E$5001,N1258,Prensa!$F$2:$F$5001,1,Prensa!$G$2:$G$5001,1),""))</f>
        <v>0</v>
      </c>
      <c r="E1258" s="27">
        <f>IF(A1258="","",IFERROR(AVERAGEIFS(Prensa!$B$2:$B$5001,Prensa!$E$2:$E$5001,N1258,Prensa!$F$2:$F$5001,2,Prensa!$G$2:$G$5001,1),""))</f>
        <v>0</v>
      </c>
      <c r="F1258" s="27">
        <f>IF(A1258="","",IFERROR(AVERAGEIFS(Prensa!$B$2:$B$5001,Prensa!$E$2:$E$5001,N1258,Prensa!$F$2:$F$5001,3,Prensa!$G$2:$G$5001,1),""))</f>
        <v>0</v>
      </c>
      <c r="G1258" s="27">
        <f>IF(A1258="","",IFERROR(AVERAGEIFS(Prensa!$B$2:$B$5001,Prensa!$E$2:$E$5001,N1258,Prensa!$F$2:$F$5001,4,Prensa!$G$2:$G$5001,1),""))</f>
        <v>0</v>
      </c>
      <c r="H1258" s="26">
        <f>IF(A1258="","",COUNT(D1258:G1258))</f>
        <v>0</v>
      </c>
      <c r="I1258" s="27">
        <f>IF(A1258="","",IF(H1258=0,"",AVERAGE(D1258:G1258)))</f>
        <v>0</v>
      </c>
      <c r="J1258" s="27">
        <f>IF(OR(I1258="",C1258=""),"",I1258-C1258)</f>
        <v>0</v>
      </c>
      <c r="K1258" s="26">
        <f>IF(A1258="","",IF(MES!E1258&lt;&gt;4,"Horário do MES fora do padrão",IF(H1258&lt;cfgMinCortes,"Cortes insuficientes","Válida")))</f>
        <v>0</v>
      </c>
      <c r="L1258" s="27">
        <f>IF(K1258="Válida",ABS(J1258),"")</f>
        <v>0</v>
      </c>
      <c r="M1258" s="26">
        <f>IF(K1258="Válida",IF(L1258&lt;=cfgTolerancia,"Sim","Não"),"")</f>
        <v>0</v>
      </c>
      <c r="N1258" s="26">
        <f>IF(A1258="","",MES!D1258)</f>
        <v>0</v>
      </c>
      <c r="O1258" s="25">
        <f>IF(K1258="Válida",A1258,NA())</f>
        <v>0</v>
      </c>
      <c r="P1258" s="27">
        <f>IF(K1258="Válida",C1258,NA())</f>
        <v>0</v>
      </c>
      <c r="Q1258" s="27">
        <f>IF(K1258="Válida",I1258,NA())</f>
        <v>0</v>
      </c>
      <c r="R1258" s="27">
        <f>IF(K1258="Válida",J1258,NA())</f>
        <v>0</v>
      </c>
      <c r="S1258" s="27">
        <f>IF(K1258="Válida",C1258,"")</f>
        <v>0</v>
      </c>
      <c r="T1258" s="27">
        <f>IF(K1258="Válida",I1258,"")</f>
        <v>0</v>
      </c>
      <c r="U1258" s="27">
        <f>IF(K1258="Válida",J1258,"")</f>
        <v>0</v>
      </c>
    </row>
    <row r="1259" spans="1:21">
      <c r="A1259" s="25">
        <f>IF(MES!A1259="","",MES!C1259/48)</f>
        <v>0</v>
      </c>
      <c r="B1259" s="26">
        <f>IF(A1259="","",TEXT((N1259*4+cfgDeslocamento)/48,"hh:mm")&amp;" a "&amp;TEXT(A1259,"hh:mm"))</f>
        <v>0</v>
      </c>
      <c r="C1259" s="27">
        <f>IF(A1259="","",MES!B1259)</f>
        <v>0</v>
      </c>
      <c r="D1259" s="27">
        <f>IF(A1259="","",IFERROR(AVERAGEIFS(Prensa!$B$2:$B$5001,Prensa!$E$2:$E$5001,N1259,Prensa!$F$2:$F$5001,1,Prensa!$G$2:$G$5001,1),""))</f>
        <v>0</v>
      </c>
      <c r="E1259" s="27">
        <f>IF(A1259="","",IFERROR(AVERAGEIFS(Prensa!$B$2:$B$5001,Prensa!$E$2:$E$5001,N1259,Prensa!$F$2:$F$5001,2,Prensa!$G$2:$G$5001,1),""))</f>
        <v>0</v>
      </c>
      <c r="F1259" s="27">
        <f>IF(A1259="","",IFERROR(AVERAGEIFS(Prensa!$B$2:$B$5001,Prensa!$E$2:$E$5001,N1259,Prensa!$F$2:$F$5001,3,Prensa!$G$2:$G$5001,1),""))</f>
        <v>0</v>
      </c>
      <c r="G1259" s="27">
        <f>IF(A1259="","",IFERROR(AVERAGEIFS(Prensa!$B$2:$B$5001,Prensa!$E$2:$E$5001,N1259,Prensa!$F$2:$F$5001,4,Prensa!$G$2:$G$5001,1),""))</f>
        <v>0</v>
      </c>
      <c r="H1259" s="26">
        <f>IF(A1259="","",COUNT(D1259:G1259))</f>
        <v>0</v>
      </c>
      <c r="I1259" s="27">
        <f>IF(A1259="","",IF(H1259=0,"",AVERAGE(D1259:G1259)))</f>
        <v>0</v>
      </c>
      <c r="J1259" s="27">
        <f>IF(OR(I1259="",C1259=""),"",I1259-C1259)</f>
        <v>0</v>
      </c>
      <c r="K1259" s="26">
        <f>IF(A1259="","",IF(MES!E1259&lt;&gt;4,"Horário do MES fora do padrão",IF(H1259&lt;cfgMinCortes,"Cortes insuficientes","Válida")))</f>
        <v>0</v>
      </c>
      <c r="L1259" s="27">
        <f>IF(K1259="Válida",ABS(J1259),"")</f>
        <v>0</v>
      </c>
      <c r="M1259" s="26">
        <f>IF(K1259="Válida",IF(L1259&lt;=cfgTolerancia,"Sim","Não"),"")</f>
        <v>0</v>
      </c>
      <c r="N1259" s="26">
        <f>IF(A1259="","",MES!D1259)</f>
        <v>0</v>
      </c>
      <c r="O1259" s="25">
        <f>IF(K1259="Válida",A1259,NA())</f>
        <v>0</v>
      </c>
      <c r="P1259" s="27">
        <f>IF(K1259="Válida",C1259,NA())</f>
        <v>0</v>
      </c>
      <c r="Q1259" s="27">
        <f>IF(K1259="Válida",I1259,NA())</f>
        <v>0</v>
      </c>
      <c r="R1259" s="27">
        <f>IF(K1259="Válida",J1259,NA())</f>
        <v>0</v>
      </c>
      <c r="S1259" s="27">
        <f>IF(K1259="Válida",C1259,"")</f>
        <v>0</v>
      </c>
      <c r="T1259" s="27">
        <f>IF(K1259="Válida",I1259,"")</f>
        <v>0</v>
      </c>
      <c r="U1259" s="27">
        <f>IF(K1259="Válida",J1259,"")</f>
        <v>0</v>
      </c>
    </row>
    <row r="1260" spans="1:21">
      <c r="A1260" s="25">
        <f>IF(MES!A1260="","",MES!C1260/48)</f>
        <v>0</v>
      </c>
      <c r="B1260" s="26">
        <f>IF(A1260="","",TEXT((N1260*4+cfgDeslocamento)/48,"hh:mm")&amp;" a "&amp;TEXT(A1260,"hh:mm"))</f>
        <v>0</v>
      </c>
      <c r="C1260" s="27">
        <f>IF(A1260="","",MES!B1260)</f>
        <v>0</v>
      </c>
      <c r="D1260" s="27">
        <f>IF(A1260="","",IFERROR(AVERAGEIFS(Prensa!$B$2:$B$5001,Prensa!$E$2:$E$5001,N1260,Prensa!$F$2:$F$5001,1,Prensa!$G$2:$G$5001,1),""))</f>
        <v>0</v>
      </c>
      <c r="E1260" s="27">
        <f>IF(A1260="","",IFERROR(AVERAGEIFS(Prensa!$B$2:$B$5001,Prensa!$E$2:$E$5001,N1260,Prensa!$F$2:$F$5001,2,Prensa!$G$2:$G$5001,1),""))</f>
        <v>0</v>
      </c>
      <c r="F1260" s="27">
        <f>IF(A1260="","",IFERROR(AVERAGEIFS(Prensa!$B$2:$B$5001,Prensa!$E$2:$E$5001,N1260,Prensa!$F$2:$F$5001,3,Prensa!$G$2:$G$5001,1),""))</f>
        <v>0</v>
      </c>
      <c r="G1260" s="27">
        <f>IF(A1260="","",IFERROR(AVERAGEIFS(Prensa!$B$2:$B$5001,Prensa!$E$2:$E$5001,N1260,Prensa!$F$2:$F$5001,4,Prensa!$G$2:$G$5001,1),""))</f>
        <v>0</v>
      </c>
      <c r="H1260" s="26">
        <f>IF(A1260="","",COUNT(D1260:G1260))</f>
        <v>0</v>
      </c>
      <c r="I1260" s="27">
        <f>IF(A1260="","",IF(H1260=0,"",AVERAGE(D1260:G1260)))</f>
        <v>0</v>
      </c>
      <c r="J1260" s="27">
        <f>IF(OR(I1260="",C1260=""),"",I1260-C1260)</f>
        <v>0</v>
      </c>
      <c r="K1260" s="26">
        <f>IF(A1260="","",IF(MES!E1260&lt;&gt;4,"Horário do MES fora do padrão",IF(H1260&lt;cfgMinCortes,"Cortes insuficientes","Válida")))</f>
        <v>0</v>
      </c>
      <c r="L1260" s="27">
        <f>IF(K1260="Válida",ABS(J1260),"")</f>
        <v>0</v>
      </c>
      <c r="M1260" s="26">
        <f>IF(K1260="Válida",IF(L1260&lt;=cfgTolerancia,"Sim","Não"),"")</f>
        <v>0</v>
      </c>
      <c r="N1260" s="26">
        <f>IF(A1260="","",MES!D1260)</f>
        <v>0</v>
      </c>
      <c r="O1260" s="25">
        <f>IF(K1260="Válida",A1260,NA())</f>
        <v>0</v>
      </c>
      <c r="P1260" s="27">
        <f>IF(K1260="Válida",C1260,NA())</f>
        <v>0</v>
      </c>
      <c r="Q1260" s="27">
        <f>IF(K1260="Válida",I1260,NA())</f>
        <v>0</v>
      </c>
      <c r="R1260" s="27">
        <f>IF(K1260="Válida",J1260,NA())</f>
        <v>0</v>
      </c>
      <c r="S1260" s="27">
        <f>IF(K1260="Válida",C1260,"")</f>
        <v>0</v>
      </c>
      <c r="T1260" s="27">
        <f>IF(K1260="Válida",I1260,"")</f>
        <v>0</v>
      </c>
      <c r="U1260" s="27">
        <f>IF(K1260="Válida",J1260,"")</f>
        <v>0</v>
      </c>
    </row>
    <row r="1261" spans="1:21">
      <c r="A1261" s="25">
        <f>IF(MES!A1261="","",MES!C1261/48)</f>
        <v>0</v>
      </c>
      <c r="B1261" s="26">
        <f>IF(A1261="","",TEXT((N1261*4+cfgDeslocamento)/48,"hh:mm")&amp;" a "&amp;TEXT(A1261,"hh:mm"))</f>
        <v>0</v>
      </c>
      <c r="C1261" s="27">
        <f>IF(A1261="","",MES!B1261)</f>
        <v>0</v>
      </c>
      <c r="D1261" s="27">
        <f>IF(A1261="","",IFERROR(AVERAGEIFS(Prensa!$B$2:$B$5001,Prensa!$E$2:$E$5001,N1261,Prensa!$F$2:$F$5001,1,Prensa!$G$2:$G$5001,1),""))</f>
        <v>0</v>
      </c>
      <c r="E1261" s="27">
        <f>IF(A1261="","",IFERROR(AVERAGEIFS(Prensa!$B$2:$B$5001,Prensa!$E$2:$E$5001,N1261,Prensa!$F$2:$F$5001,2,Prensa!$G$2:$G$5001,1),""))</f>
        <v>0</v>
      </c>
      <c r="F1261" s="27">
        <f>IF(A1261="","",IFERROR(AVERAGEIFS(Prensa!$B$2:$B$5001,Prensa!$E$2:$E$5001,N1261,Prensa!$F$2:$F$5001,3,Prensa!$G$2:$G$5001,1),""))</f>
        <v>0</v>
      </c>
      <c r="G1261" s="27">
        <f>IF(A1261="","",IFERROR(AVERAGEIFS(Prensa!$B$2:$B$5001,Prensa!$E$2:$E$5001,N1261,Prensa!$F$2:$F$5001,4,Prensa!$G$2:$G$5001,1),""))</f>
        <v>0</v>
      </c>
      <c r="H1261" s="26">
        <f>IF(A1261="","",COUNT(D1261:G1261))</f>
        <v>0</v>
      </c>
      <c r="I1261" s="27">
        <f>IF(A1261="","",IF(H1261=0,"",AVERAGE(D1261:G1261)))</f>
        <v>0</v>
      </c>
      <c r="J1261" s="27">
        <f>IF(OR(I1261="",C1261=""),"",I1261-C1261)</f>
        <v>0</v>
      </c>
      <c r="K1261" s="26">
        <f>IF(A1261="","",IF(MES!E1261&lt;&gt;4,"Horário do MES fora do padrão",IF(H1261&lt;cfgMinCortes,"Cortes insuficientes","Válida")))</f>
        <v>0</v>
      </c>
      <c r="L1261" s="27">
        <f>IF(K1261="Válida",ABS(J1261),"")</f>
        <v>0</v>
      </c>
      <c r="M1261" s="26">
        <f>IF(K1261="Válida",IF(L1261&lt;=cfgTolerancia,"Sim","Não"),"")</f>
        <v>0</v>
      </c>
      <c r="N1261" s="26">
        <f>IF(A1261="","",MES!D1261)</f>
        <v>0</v>
      </c>
      <c r="O1261" s="25">
        <f>IF(K1261="Válida",A1261,NA())</f>
        <v>0</v>
      </c>
      <c r="P1261" s="27">
        <f>IF(K1261="Válida",C1261,NA())</f>
        <v>0</v>
      </c>
      <c r="Q1261" s="27">
        <f>IF(K1261="Válida",I1261,NA())</f>
        <v>0</v>
      </c>
      <c r="R1261" s="27">
        <f>IF(K1261="Válida",J1261,NA())</f>
        <v>0</v>
      </c>
      <c r="S1261" s="27">
        <f>IF(K1261="Válida",C1261,"")</f>
        <v>0</v>
      </c>
      <c r="T1261" s="27">
        <f>IF(K1261="Válida",I1261,"")</f>
        <v>0</v>
      </c>
      <c r="U1261" s="27">
        <f>IF(K1261="Válida",J1261,"")</f>
        <v>0</v>
      </c>
    </row>
    <row r="1262" spans="1:21">
      <c r="A1262" s="25">
        <f>IF(MES!A1262="","",MES!C1262/48)</f>
        <v>0</v>
      </c>
      <c r="B1262" s="26">
        <f>IF(A1262="","",TEXT((N1262*4+cfgDeslocamento)/48,"hh:mm")&amp;" a "&amp;TEXT(A1262,"hh:mm"))</f>
        <v>0</v>
      </c>
      <c r="C1262" s="27">
        <f>IF(A1262="","",MES!B1262)</f>
        <v>0</v>
      </c>
      <c r="D1262" s="27">
        <f>IF(A1262="","",IFERROR(AVERAGEIFS(Prensa!$B$2:$B$5001,Prensa!$E$2:$E$5001,N1262,Prensa!$F$2:$F$5001,1,Prensa!$G$2:$G$5001,1),""))</f>
        <v>0</v>
      </c>
      <c r="E1262" s="27">
        <f>IF(A1262="","",IFERROR(AVERAGEIFS(Prensa!$B$2:$B$5001,Prensa!$E$2:$E$5001,N1262,Prensa!$F$2:$F$5001,2,Prensa!$G$2:$G$5001,1),""))</f>
        <v>0</v>
      </c>
      <c r="F1262" s="27">
        <f>IF(A1262="","",IFERROR(AVERAGEIFS(Prensa!$B$2:$B$5001,Prensa!$E$2:$E$5001,N1262,Prensa!$F$2:$F$5001,3,Prensa!$G$2:$G$5001,1),""))</f>
        <v>0</v>
      </c>
      <c r="G1262" s="27">
        <f>IF(A1262="","",IFERROR(AVERAGEIFS(Prensa!$B$2:$B$5001,Prensa!$E$2:$E$5001,N1262,Prensa!$F$2:$F$5001,4,Prensa!$G$2:$G$5001,1),""))</f>
        <v>0</v>
      </c>
      <c r="H1262" s="26">
        <f>IF(A1262="","",COUNT(D1262:G1262))</f>
        <v>0</v>
      </c>
      <c r="I1262" s="27">
        <f>IF(A1262="","",IF(H1262=0,"",AVERAGE(D1262:G1262)))</f>
        <v>0</v>
      </c>
      <c r="J1262" s="27">
        <f>IF(OR(I1262="",C1262=""),"",I1262-C1262)</f>
        <v>0</v>
      </c>
      <c r="K1262" s="26">
        <f>IF(A1262="","",IF(MES!E1262&lt;&gt;4,"Horário do MES fora do padrão",IF(H1262&lt;cfgMinCortes,"Cortes insuficientes","Válida")))</f>
        <v>0</v>
      </c>
      <c r="L1262" s="27">
        <f>IF(K1262="Válida",ABS(J1262),"")</f>
        <v>0</v>
      </c>
      <c r="M1262" s="26">
        <f>IF(K1262="Válida",IF(L1262&lt;=cfgTolerancia,"Sim","Não"),"")</f>
        <v>0</v>
      </c>
      <c r="N1262" s="26">
        <f>IF(A1262="","",MES!D1262)</f>
        <v>0</v>
      </c>
      <c r="O1262" s="25">
        <f>IF(K1262="Válida",A1262,NA())</f>
        <v>0</v>
      </c>
      <c r="P1262" s="27">
        <f>IF(K1262="Válida",C1262,NA())</f>
        <v>0</v>
      </c>
      <c r="Q1262" s="27">
        <f>IF(K1262="Válida",I1262,NA())</f>
        <v>0</v>
      </c>
      <c r="R1262" s="27">
        <f>IF(K1262="Válida",J1262,NA())</f>
        <v>0</v>
      </c>
      <c r="S1262" s="27">
        <f>IF(K1262="Válida",C1262,"")</f>
        <v>0</v>
      </c>
      <c r="T1262" s="27">
        <f>IF(K1262="Válida",I1262,"")</f>
        <v>0</v>
      </c>
      <c r="U1262" s="27">
        <f>IF(K1262="Válida",J1262,"")</f>
        <v>0</v>
      </c>
    </row>
    <row r="1263" spans="1:21">
      <c r="A1263" s="25">
        <f>IF(MES!A1263="","",MES!C1263/48)</f>
        <v>0</v>
      </c>
      <c r="B1263" s="26">
        <f>IF(A1263="","",TEXT((N1263*4+cfgDeslocamento)/48,"hh:mm")&amp;" a "&amp;TEXT(A1263,"hh:mm"))</f>
        <v>0</v>
      </c>
      <c r="C1263" s="27">
        <f>IF(A1263="","",MES!B1263)</f>
        <v>0</v>
      </c>
      <c r="D1263" s="27">
        <f>IF(A1263="","",IFERROR(AVERAGEIFS(Prensa!$B$2:$B$5001,Prensa!$E$2:$E$5001,N1263,Prensa!$F$2:$F$5001,1,Prensa!$G$2:$G$5001,1),""))</f>
        <v>0</v>
      </c>
      <c r="E1263" s="27">
        <f>IF(A1263="","",IFERROR(AVERAGEIFS(Prensa!$B$2:$B$5001,Prensa!$E$2:$E$5001,N1263,Prensa!$F$2:$F$5001,2,Prensa!$G$2:$G$5001,1),""))</f>
        <v>0</v>
      </c>
      <c r="F1263" s="27">
        <f>IF(A1263="","",IFERROR(AVERAGEIFS(Prensa!$B$2:$B$5001,Prensa!$E$2:$E$5001,N1263,Prensa!$F$2:$F$5001,3,Prensa!$G$2:$G$5001,1),""))</f>
        <v>0</v>
      </c>
      <c r="G1263" s="27">
        <f>IF(A1263="","",IFERROR(AVERAGEIFS(Prensa!$B$2:$B$5001,Prensa!$E$2:$E$5001,N1263,Prensa!$F$2:$F$5001,4,Prensa!$G$2:$G$5001,1),""))</f>
        <v>0</v>
      </c>
      <c r="H1263" s="26">
        <f>IF(A1263="","",COUNT(D1263:G1263))</f>
        <v>0</v>
      </c>
      <c r="I1263" s="27">
        <f>IF(A1263="","",IF(H1263=0,"",AVERAGE(D1263:G1263)))</f>
        <v>0</v>
      </c>
      <c r="J1263" s="27">
        <f>IF(OR(I1263="",C1263=""),"",I1263-C1263)</f>
        <v>0</v>
      </c>
      <c r="K1263" s="26">
        <f>IF(A1263="","",IF(MES!E1263&lt;&gt;4,"Horário do MES fora do padrão",IF(H1263&lt;cfgMinCortes,"Cortes insuficientes","Válida")))</f>
        <v>0</v>
      </c>
      <c r="L1263" s="27">
        <f>IF(K1263="Válida",ABS(J1263),"")</f>
        <v>0</v>
      </c>
      <c r="M1263" s="26">
        <f>IF(K1263="Válida",IF(L1263&lt;=cfgTolerancia,"Sim","Não"),"")</f>
        <v>0</v>
      </c>
      <c r="N1263" s="26">
        <f>IF(A1263="","",MES!D1263)</f>
        <v>0</v>
      </c>
      <c r="O1263" s="25">
        <f>IF(K1263="Válida",A1263,NA())</f>
        <v>0</v>
      </c>
      <c r="P1263" s="27">
        <f>IF(K1263="Válida",C1263,NA())</f>
        <v>0</v>
      </c>
      <c r="Q1263" s="27">
        <f>IF(K1263="Válida",I1263,NA())</f>
        <v>0</v>
      </c>
      <c r="R1263" s="27">
        <f>IF(K1263="Válida",J1263,NA())</f>
        <v>0</v>
      </c>
      <c r="S1263" s="27">
        <f>IF(K1263="Válida",C1263,"")</f>
        <v>0</v>
      </c>
      <c r="T1263" s="27">
        <f>IF(K1263="Válida",I1263,"")</f>
        <v>0</v>
      </c>
      <c r="U1263" s="27">
        <f>IF(K1263="Válida",J1263,"")</f>
        <v>0</v>
      </c>
    </row>
    <row r="1264" spans="1:21">
      <c r="A1264" s="25">
        <f>IF(MES!A1264="","",MES!C1264/48)</f>
        <v>0</v>
      </c>
      <c r="B1264" s="26">
        <f>IF(A1264="","",TEXT((N1264*4+cfgDeslocamento)/48,"hh:mm")&amp;" a "&amp;TEXT(A1264,"hh:mm"))</f>
        <v>0</v>
      </c>
      <c r="C1264" s="27">
        <f>IF(A1264="","",MES!B1264)</f>
        <v>0</v>
      </c>
      <c r="D1264" s="27">
        <f>IF(A1264="","",IFERROR(AVERAGEIFS(Prensa!$B$2:$B$5001,Prensa!$E$2:$E$5001,N1264,Prensa!$F$2:$F$5001,1,Prensa!$G$2:$G$5001,1),""))</f>
        <v>0</v>
      </c>
      <c r="E1264" s="27">
        <f>IF(A1264="","",IFERROR(AVERAGEIFS(Prensa!$B$2:$B$5001,Prensa!$E$2:$E$5001,N1264,Prensa!$F$2:$F$5001,2,Prensa!$G$2:$G$5001,1),""))</f>
        <v>0</v>
      </c>
      <c r="F1264" s="27">
        <f>IF(A1264="","",IFERROR(AVERAGEIFS(Prensa!$B$2:$B$5001,Prensa!$E$2:$E$5001,N1264,Prensa!$F$2:$F$5001,3,Prensa!$G$2:$G$5001,1),""))</f>
        <v>0</v>
      </c>
      <c r="G1264" s="27">
        <f>IF(A1264="","",IFERROR(AVERAGEIFS(Prensa!$B$2:$B$5001,Prensa!$E$2:$E$5001,N1264,Prensa!$F$2:$F$5001,4,Prensa!$G$2:$G$5001,1),""))</f>
        <v>0</v>
      </c>
      <c r="H1264" s="26">
        <f>IF(A1264="","",COUNT(D1264:G1264))</f>
        <v>0</v>
      </c>
      <c r="I1264" s="27">
        <f>IF(A1264="","",IF(H1264=0,"",AVERAGE(D1264:G1264)))</f>
        <v>0</v>
      </c>
      <c r="J1264" s="27">
        <f>IF(OR(I1264="",C1264=""),"",I1264-C1264)</f>
        <v>0</v>
      </c>
      <c r="K1264" s="26">
        <f>IF(A1264="","",IF(MES!E1264&lt;&gt;4,"Horário do MES fora do padrão",IF(H1264&lt;cfgMinCortes,"Cortes insuficientes","Válida")))</f>
        <v>0</v>
      </c>
      <c r="L1264" s="27">
        <f>IF(K1264="Válida",ABS(J1264),"")</f>
        <v>0</v>
      </c>
      <c r="M1264" s="26">
        <f>IF(K1264="Válida",IF(L1264&lt;=cfgTolerancia,"Sim","Não"),"")</f>
        <v>0</v>
      </c>
      <c r="N1264" s="26">
        <f>IF(A1264="","",MES!D1264)</f>
        <v>0</v>
      </c>
      <c r="O1264" s="25">
        <f>IF(K1264="Válida",A1264,NA())</f>
        <v>0</v>
      </c>
      <c r="P1264" s="27">
        <f>IF(K1264="Válida",C1264,NA())</f>
        <v>0</v>
      </c>
      <c r="Q1264" s="27">
        <f>IF(K1264="Válida",I1264,NA())</f>
        <v>0</v>
      </c>
      <c r="R1264" s="27">
        <f>IF(K1264="Válida",J1264,NA())</f>
        <v>0</v>
      </c>
      <c r="S1264" s="27">
        <f>IF(K1264="Válida",C1264,"")</f>
        <v>0</v>
      </c>
      <c r="T1264" s="27">
        <f>IF(K1264="Válida",I1264,"")</f>
        <v>0</v>
      </c>
      <c r="U1264" s="27">
        <f>IF(K1264="Válida",J1264,"")</f>
        <v>0</v>
      </c>
    </row>
    <row r="1265" spans="1:21">
      <c r="A1265" s="25">
        <f>IF(MES!A1265="","",MES!C1265/48)</f>
        <v>0</v>
      </c>
      <c r="B1265" s="26">
        <f>IF(A1265="","",TEXT((N1265*4+cfgDeslocamento)/48,"hh:mm")&amp;" a "&amp;TEXT(A1265,"hh:mm"))</f>
        <v>0</v>
      </c>
      <c r="C1265" s="27">
        <f>IF(A1265="","",MES!B1265)</f>
        <v>0</v>
      </c>
      <c r="D1265" s="27">
        <f>IF(A1265="","",IFERROR(AVERAGEIFS(Prensa!$B$2:$B$5001,Prensa!$E$2:$E$5001,N1265,Prensa!$F$2:$F$5001,1,Prensa!$G$2:$G$5001,1),""))</f>
        <v>0</v>
      </c>
      <c r="E1265" s="27">
        <f>IF(A1265="","",IFERROR(AVERAGEIFS(Prensa!$B$2:$B$5001,Prensa!$E$2:$E$5001,N1265,Prensa!$F$2:$F$5001,2,Prensa!$G$2:$G$5001,1),""))</f>
        <v>0</v>
      </c>
      <c r="F1265" s="27">
        <f>IF(A1265="","",IFERROR(AVERAGEIFS(Prensa!$B$2:$B$5001,Prensa!$E$2:$E$5001,N1265,Prensa!$F$2:$F$5001,3,Prensa!$G$2:$G$5001,1),""))</f>
        <v>0</v>
      </c>
      <c r="G1265" s="27">
        <f>IF(A1265="","",IFERROR(AVERAGEIFS(Prensa!$B$2:$B$5001,Prensa!$E$2:$E$5001,N1265,Prensa!$F$2:$F$5001,4,Prensa!$G$2:$G$5001,1),""))</f>
        <v>0</v>
      </c>
      <c r="H1265" s="26">
        <f>IF(A1265="","",COUNT(D1265:G1265))</f>
        <v>0</v>
      </c>
      <c r="I1265" s="27">
        <f>IF(A1265="","",IF(H1265=0,"",AVERAGE(D1265:G1265)))</f>
        <v>0</v>
      </c>
      <c r="J1265" s="27">
        <f>IF(OR(I1265="",C1265=""),"",I1265-C1265)</f>
        <v>0</v>
      </c>
      <c r="K1265" s="26">
        <f>IF(A1265="","",IF(MES!E1265&lt;&gt;4,"Horário do MES fora do padrão",IF(H1265&lt;cfgMinCortes,"Cortes insuficientes","Válida")))</f>
        <v>0</v>
      </c>
      <c r="L1265" s="27">
        <f>IF(K1265="Válida",ABS(J1265),"")</f>
        <v>0</v>
      </c>
      <c r="M1265" s="26">
        <f>IF(K1265="Válida",IF(L1265&lt;=cfgTolerancia,"Sim","Não"),"")</f>
        <v>0</v>
      </c>
      <c r="N1265" s="26">
        <f>IF(A1265="","",MES!D1265)</f>
        <v>0</v>
      </c>
      <c r="O1265" s="25">
        <f>IF(K1265="Válida",A1265,NA())</f>
        <v>0</v>
      </c>
      <c r="P1265" s="27">
        <f>IF(K1265="Válida",C1265,NA())</f>
        <v>0</v>
      </c>
      <c r="Q1265" s="27">
        <f>IF(K1265="Válida",I1265,NA())</f>
        <v>0</v>
      </c>
      <c r="R1265" s="27">
        <f>IF(K1265="Válida",J1265,NA())</f>
        <v>0</v>
      </c>
      <c r="S1265" s="27">
        <f>IF(K1265="Válida",C1265,"")</f>
        <v>0</v>
      </c>
      <c r="T1265" s="27">
        <f>IF(K1265="Válida",I1265,"")</f>
        <v>0</v>
      </c>
      <c r="U1265" s="27">
        <f>IF(K1265="Válida",J1265,"")</f>
        <v>0</v>
      </c>
    </row>
    <row r="1266" spans="1:21">
      <c r="A1266" s="25">
        <f>IF(MES!A1266="","",MES!C1266/48)</f>
        <v>0</v>
      </c>
      <c r="B1266" s="26">
        <f>IF(A1266="","",TEXT((N1266*4+cfgDeslocamento)/48,"hh:mm")&amp;" a "&amp;TEXT(A1266,"hh:mm"))</f>
        <v>0</v>
      </c>
      <c r="C1266" s="27">
        <f>IF(A1266="","",MES!B1266)</f>
        <v>0</v>
      </c>
      <c r="D1266" s="27">
        <f>IF(A1266="","",IFERROR(AVERAGEIFS(Prensa!$B$2:$B$5001,Prensa!$E$2:$E$5001,N1266,Prensa!$F$2:$F$5001,1,Prensa!$G$2:$G$5001,1),""))</f>
        <v>0</v>
      </c>
      <c r="E1266" s="27">
        <f>IF(A1266="","",IFERROR(AVERAGEIFS(Prensa!$B$2:$B$5001,Prensa!$E$2:$E$5001,N1266,Prensa!$F$2:$F$5001,2,Prensa!$G$2:$G$5001,1),""))</f>
        <v>0</v>
      </c>
      <c r="F1266" s="27">
        <f>IF(A1266="","",IFERROR(AVERAGEIFS(Prensa!$B$2:$B$5001,Prensa!$E$2:$E$5001,N1266,Prensa!$F$2:$F$5001,3,Prensa!$G$2:$G$5001,1),""))</f>
        <v>0</v>
      </c>
      <c r="G1266" s="27">
        <f>IF(A1266="","",IFERROR(AVERAGEIFS(Prensa!$B$2:$B$5001,Prensa!$E$2:$E$5001,N1266,Prensa!$F$2:$F$5001,4,Prensa!$G$2:$G$5001,1),""))</f>
        <v>0</v>
      </c>
      <c r="H1266" s="26">
        <f>IF(A1266="","",COUNT(D1266:G1266))</f>
        <v>0</v>
      </c>
      <c r="I1266" s="27">
        <f>IF(A1266="","",IF(H1266=0,"",AVERAGE(D1266:G1266)))</f>
        <v>0</v>
      </c>
      <c r="J1266" s="27">
        <f>IF(OR(I1266="",C1266=""),"",I1266-C1266)</f>
        <v>0</v>
      </c>
      <c r="K1266" s="26">
        <f>IF(A1266="","",IF(MES!E1266&lt;&gt;4,"Horário do MES fora do padrão",IF(H1266&lt;cfgMinCortes,"Cortes insuficientes","Válida")))</f>
        <v>0</v>
      </c>
      <c r="L1266" s="27">
        <f>IF(K1266="Válida",ABS(J1266),"")</f>
        <v>0</v>
      </c>
      <c r="M1266" s="26">
        <f>IF(K1266="Válida",IF(L1266&lt;=cfgTolerancia,"Sim","Não"),"")</f>
        <v>0</v>
      </c>
      <c r="N1266" s="26">
        <f>IF(A1266="","",MES!D1266)</f>
        <v>0</v>
      </c>
      <c r="O1266" s="25">
        <f>IF(K1266="Válida",A1266,NA())</f>
        <v>0</v>
      </c>
      <c r="P1266" s="27">
        <f>IF(K1266="Válida",C1266,NA())</f>
        <v>0</v>
      </c>
      <c r="Q1266" s="27">
        <f>IF(K1266="Válida",I1266,NA())</f>
        <v>0</v>
      </c>
      <c r="R1266" s="27">
        <f>IF(K1266="Válida",J1266,NA())</f>
        <v>0</v>
      </c>
      <c r="S1266" s="27">
        <f>IF(K1266="Válida",C1266,"")</f>
        <v>0</v>
      </c>
      <c r="T1266" s="27">
        <f>IF(K1266="Válida",I1266,"")</f>
        <v>0</v>
      </c>
      <c r="U1266" s="27">
        <f>IF(K1266="Válida",J1266,"")</f>
        <v>0</v>
      </c>
    </row>
    <row r="1267" spans="1:21">
      <c r="A1267" s="25">
        <f>IF(MES!A1267="","",MES!C1267/48)</f>
        <v>0</v>
      </c>
      <c r="B1267" s="26">
        <f>IF(A1267="","",TEXT((N1267*4+cfgDeslocamento)/48,"hh:mm")&amp;" a "&amp;TEXT(A1267,"hh:mm"))</f>
        <v>0</v>
      </c>
      <c r="C1267" s="27">
        <f>IF(A1267="","",MES!B1267)</f>
        <v>0</v>
      </c>
      <c r="D1267" s="27">
        <f>IF(A1267="","",IFERROR(AVERAGEIFS(Prensa!$B$2:$B$5001,Prensa!$E$2:$E$5001,N1267,Prensa!$F$2:$F$5001,1,Prensa!$G$2:$G$5001,1),""))</f>
        <v>0</v>
      </c>
      <c r="E1267" s="27">
        <f>IF(A1267="","",IFERROR(AVERAGEIFS(Prensa!$B$2:$B$5001,Prensa!$E$2:$E$5001,N1267,Prensa!$F$2:$F$5001,2,Prensa!$G$2:$G$5001,1),""))</f>
        <v>0</v>
      </c>
      <c r="F1267" s="27">
        <f>IF(A1267="","",IFERROR(AVERAGEIFS(Prensa!$B$2:$B$5001,Prensa!$E$2:$E$5001,N1267,Prensa!$F$2:$F$5001,3,Prensa!$G$2:$G$5001,1),""))</f>
        <v>0</v>
      </c>
      <c r="G1267" s="27">
        <f>IF(A1267="","",IFERROR(AVERAGEIFS(Prensa!$B$2:$B$5001,Prensa!$E$2:$E$5001,N1267,Prensa!$F$2:$F$5001,4,Prensa!$G$2:$G$5001,1),""))</f>
        <v>0</v>
      </c>
      <c r="H1267" s="26">
        <f>IF(A1267="","",COUNT(D1267:G1267))</f>
        <v>0</v>
      </c>
      <c r="I1267" s="27">
        <f>IF(A1267="","",IF(H1267=0,"",AVERAGE(D1267:G1267)))</f>
        <v>0</v>
      </c>
      <c r="J1267" s="27">
        <f>IF(OR(I1267="",C1267=""),"",I1267-C1267)</f>
        <v>0</v>
      </c>
      <c r="K1267" s="26">
        <f>IF(A1267="","",IF(MES!E1267&lt;&gt;4,"Horário do MES fora do padrão",IF(H1267&lt;cfgMinCortes,"Cortes insuficientes","Válida")))</f>
        <v>0</v>
      </c>
      <c r="L1267" s="27">
        <f>IF(K1267="Válida",ABS(J1267),"")</f>
        <v>0</v>
      </c>
      <c r="M1267" s="26">
        <f>IF(K1267="Válida",IF(L1267&lt;=cfgTolerancia,"Sim","Não"),"")</f>
        <v>0</v>
      </c>
      <c r="N1267" s="26">
        <f>IF(A1267="","",MES!D1267)</f>
        <v>0</v>
      </c>
      <c r="O1267" s="25">
        <f>IF(K1267="Válida",A1267,NA())</f>
        <v>0</v>
      </c>
      <c r="P1267" s="27">
        <f>IF(K1267="Válida",C1267,NA())</f>
        <v>0</v>
      </c>
      <c r="Q1267" s="27">
        <f>IF(K1267="Válida",I1267,NA())</f>
        <v>0</v>
      </c>
      <c r="R1267" s="27">
        <f>IF(K1267="Válida",J1267,NA())</f>
        <v>0</v>
      </c>
      <c r="S1267" s="27">
        <f>IF(K1267="Válida",C1267,"")</f>
        <v>0</v>
      </c>
      <c r="T1267" s="27">
        <f>IF(K1267="Válida",I1267,"")</f>
        <v>0</v>
      </c>
      <c r="U1267" s="27">
        <f>IF(K1267="Válida",J1267,"")</f>
        <v>0</v>
      </c>
    </row>
    <row r="1268" spans="1:21">
      <c r="A1268" s="25">
        <f>IF(MES!A1268="","",MES!C1268/48)</f>
        <v>0</v>
      </c>
      <c r="B1268" s="26">
        <f>IF(A1268="","",TEXT((N1268*4+cfgDeslocamento)/48,"hh:mm")&amp;" a "&amp;TEXT(A1268,"hh:mm"))</f>
        <v>0</v>
      </c>
      <c r="C1268" s="27">
        <f>IF(A1268="","",MES!B1268)</f>
        <v>0</v>
      </c>
      <c r="D1268" s="27">
        <f>IF(A1268="","",IFERROR(AVERAGEIFS(Prensa!$B$2:$B$5001,Prensa!$E$2:$E$5001,N1268,Prensa!$F$2:$F$5001,1,Prensa!$G$2:$G$5001,1),""))</f>
        <v>0</v>
      </c>
      <c r="E1268" s="27">
        <f>IF(A1268="","",IFERROR(AVERAGEIFS(Prensa!$B$2:$B$5001,Prensa!$E$2:$E$5001,N1268,Prensa!$F$2:$F$5001,2,Prensa!$G$2:$G$5001,1),""))</f>
        <v>0</v>
      </c>
      <c r="F1268" s="27">
        <f>IF(A1268="","",IFERROR(AVERAGEIFS(Prensa!$B$2:$B$5001,Prensa!$E$2:$E$5001,N1268,Prensa!$F$2:$F$5001,3,Prensa!$G$2:$G$5001,1),""))</f>
        <v>0</v>
      </c>
      <c r="G1268" s="27">
        <f>IF(A1268="","",IFERROR(AVERAGEIFS(Prensa!$B$2:$B$5001,Prensa!$E$2:$E$5001,N1268,Prensa!$F$2:$F$5001,4,Prensa!$G$2:$G$5001,1),""))</f>
        <v>0</v>
      </c>
      <c r="H1268" s="26">
        <f>IF(A1268="","",COUNT(D1268:G1268))</f>
        <v>0</v>
      </c>
      <c r="I1268" s="27">
        <f>IF(A1268="","",IF(H1268=0,"",AVERAGE(D1268:G1268)))</f>
        <v>0</v>
      </c>
      <c r="J1268" s="27">
        <f>IF(OR(I1268="",C1268=""),"",I1268-C1268)</f>
        <v>0</v>
      </c>
      <c r="K1268" s="26">
        <f>IF(A1268="","",IF(MES!E1268&lt;&gt;4,"Horário do MES fora do padrão",IF(H1268&lt;cfgMinCortes,"Cortes insuficientes","Válida")))</f>
        <v>0</v>
      </c>
      <c r="L1268" s="27">
        <f>IF(K1268="Válida",ABS(J1268),"")</f>
        <v>0</v>
      </c>
      <c r="M1268" s="26">
        <f>IF(K1268="Válida",IF(L1268&lt;=cfgTolerancia,"Sim","Não"),"")</f>
        <v>0</v>
      </c>
      <c r="N1268" s="26">
        <f>IF(A1268="","",MES!D1268)</f>
        <v>0</v>
      </c>
      <c r="O1268" s="25">
        <f>IF(K1268="Válida",A1268,NA())</f>
        <v>0</v>
      </c>
      <c r="P1268" s="27">
        <f>IF(K1268="Válida",C1268,NA())</f>
        <v>0</v>
      </c>
      <c r="Q1268" s="27">
        <f>IF(K1268="Válida",I1268,NA())</f>
        <v>0</v>
      </c>
      <c r="R1268" s="27">
        <f>IF(K1268="Válida",J1268,NA())</f>
        <v>0</v>
      </c>
      <c r="S1268" s="27">
        <f>IF(K1268="Válida",C1268,"")</f>
        <v>0</v>
      </c>
      <c r="T1268" s="27">
        <f>IF(K1268="Válida",I1268,"")</f>
        <v>0</v>
      </c>
      <c r="U1268" s="27">
        <f>IF(K1268="Válida",J1268,"")</f>
        <v>0</v>
      </c>
    </row>
    <row r="1269" spans="1:21">
      <c r="A1269" s="25">
        <f>IF(MES!A1269="","",MES!C1269/48)</f>
        <v>0</v>
      </c>
      <c r="B1269" s="26">
        <f>IF(A1269="","",TEXT((N1269*4+cfgDeslocamento)/48,"hh:mm")&amp;" a "&amp;TEXT(A1269,"hh:mm"))</f>
        <v>0</v>
      </c>
      <c r="C1269" s="27">
        <f>IF(A1269="","",MES!B1269)</f>
        <v>0</v>
      </c>
      <c r="D1269" s="27">
        <f>IF(A1269="","",IFERROR(AVERAGEIFS(Prensa!$B$2:$B$5001,Prensa!$E$2:$E$5001,N1269,Prensa!$F$2:$F$5001,1,Prensa!$G$2:$G$5001,1),""))</f>
        <v>0</v>
      </c>
      <c r="E1269" s="27">
        <f>IF(A1269="","",IFERROR(AVERAGEIFS(Prensa!$B$2:$B$5001,Prensa!$E$2:$E$5001,N1269,Prensa!$F$2:$F$5001,2,Prensa!$G$2:$G$5001,1),""))</f>
        <v>0</v>
      </c>
      <c r="F1269" s="27">
        <f>IF(A1269="","",IFERROR(AVERAGEIFS(Prensa!$B$2:$B$5001,Prensa!$E$2:$E$5001,N1269,Prensa!$F$2:$F$5001,3,Prensa!$G$2:$G$5001,1),""))</f>
        <v>0</v>
      </c>
      <c r="G1269" s="27">
        <f>IF(A1269="","",IFERROR(AVERAGEIFS(Prensa!$B$2:$B$5001,Prensa!$E$2:$E$5001,N1269,Prensa!$F$2:$F$5001,4,Prensa!$G$2:$G$5001,1),""))</f>
        <v>0</v>
      </c>
      <c r="H1269" s="26">
        <f>IF(A1269="","",COUNT(D1269:G1269))</f>
        <v>0</v>
      </c>
      <c r="I1269" s="27">
        <f>IF(A1269="","",IF(H1269=0,"",AVERAGE(D1269:G1269)))</f>
        <v>0</v>
      </c>
      <c r="J1269" s="27">
        <f>IF(OR(I1269="",C1269=""),"",I1269-C1269)</f>
        <v>0</v>
      </c>
      <c r="K1269" s="26">
        <f>IF(A1269="","",IF(MES!E1269&lt;&gt;4,"Horário do MES fora do padrão",IF(H1269&lt;cfgMinCortes,"Cortes insuficientes","Válida")))</f>
        <v>0</v>
      </c>
      <c r="L1269" s="27">
        <f>IF(K1269="Válida",ABS(J1269),"")</f>
        <v>0</v>
      </c>
      <c r="M1269" s="26">
        <f>IF(K1269="Válida",IF(L1269&lt;=cfgTolerancia,"Sim","Não"),"")</f>
        <v>0</v>
      </c>
      <c r="N1269" s="26">
        <f>IF(A1269="","",MES!D1269)</f>
        <v>0</v>
      </c>
      <c r="O1269" s="25">
        <f>IF(K1269="Válida",A1269,NA())</f>
        <v>0</v>
      </c>
      <c r="P1269" s="27">
        <f>IF(K1269="Válida",C1269,NA())</f>
        <v>0</v>
      </c>
      <c r="Q1269" s="27">
        <f>IF(K1269="Válida",I1269,NA())</f>
        <v>0</v>
      </c>
      <c r="R1269" s="27">
        <f>IF(K1269="Válida",J1269,NA())</f>
        <v>0</v>
      </c>
      <c r="S1269" s="27">
        <f>IF(K1269="Válida",C1269,"")</f>
        <v>0</v>
      </c>
      <c r="T1269" s="27">
        <f>IF(K1269="Válida",I1269,"")</f>
        <v>0</v>
      </c>
      <c r="U1269" s="27">
        <f>IF(K1269="Válida",J1269,"")</f>
        <v>0</v>
      </c>
    </row>
    <row r="1270" spans="1:21">
      <c r="A1270" s="25">
        <f>IF(MES!A1270="","",MES!C1270/48)</f>
        <v>0</v>
      </c>
      <c r="B1270" s="26">
        <f>IF(A1270="","",TEXT((N1270*4+cfgDeslocamento)/48,"hh:mm")&amp;" a "&amp;TEXT(A1270,"hh:mm"))</f>
        <v>0</v>
      </c>
      <c r="C1270" s="27">
        <f>IF(A1270="","",MES!B1270)</f>
        <v>0</v>
      </c>
      <c r="D1270" s="27">
        <f>IF(A1270="","",IFERROR(AVERAGEIFS(Prensa!$B$2:$B$5001,Prensa!$E$2:$E$5001,N1270,Prensa!$F$2:$F$5001,1,Prensa!$G$2:$G$5001,1),""))</f>
        <v>0</v>
      </c>
      <c r="E1270" s="27">
        <f>IF(A1270="","",IFERROR(AVERAGEIFS(Prensa!$B$2:$B$5001,Prensa!$E$2:$E$5001,N1270,Prensa!$F$2:$F$5001,2,Prensa!$G$2:$G$5001,1),""))</f>
        <v>0</v>
      </c>
      <c r="F1270" s="27">
        <f>IF(A1270="","",IFERROR(AVERAGEIFS(Prensa!$B$2:$B$5001,Prensa!$E$2:$E$5001,N1270,Prensa!$F$2:$F$5001,3,Prensa!$G$2:$G$5001,1),""))</f>
        <v>0</v>
      </c>
      <c r="G1270" s="27">
        <f>IF(A1270="","",IFERROR(AVERAGEIFS(Prensa!$B$2:$B$5001,Prensa!$E$2:$E$5001,N1270,Prensa!$F$2:$F$5001,4,Prensa!$G$2:$G$5001,1),""))</f>
        <v>0</v>
      </c>
      <c r="H1270" s="26">
        <f>IF(A1270="","",COUNT(D1270:G1270))</f>
        <v>0</v>
      </c>
      <c r="I1270" s="27">
        <f>IF(A1270="","",IF(H1270=0,"",AVERAGE(D1270:G1270)))</f>
        <v>0</v>
      </c>
      <c r="J1270" s="27">
        <f>IF(OR(I1270="",C1270=""),"",I1270-C1270)</f>
        <v>0</v>
      </c>
      <c r="K1270" s="26">
        <f>IF(A1270="","",IF(MES!E1270&lt;&gt;4,"Horário do MES fora do padrão",IF(H1270&lt;cfgMinCortes,"Cortes insuficientes","Válida")))</f>
        <v>0</v>
      </c>
      <c r="L1270" s="27">
        <f>IF(K1270="Válida",ABS(J1270),"")</f>
        <v>0</v>
      </c>
      <c r="M1270" s="26">
        <f>IF(K1270="Válida",IF(L1270&lt;=cfgTolerancia,"Sim","Não"),"")</f>
        <v>0</v>
      </c>
      <c r="N1270" s="26">
        <f>IF(A1270="","",MES!D1270)</f>
        <v>0</v>
      </c>
      <c r="O1270" s="25">
        <f>IF(K1270="Válida",A1270,NA())</f>
        <v>0</v>
      </c>
      <c r="P1270" s="27">
        <f>IF(K1270="Válida",C1270,NA())</f>
        <v>0</v>
      </c>
      <c r="Q1270" s="27">
        <f>IF(K1270="Válida",I1270,NA())</f>
        <v>0</v>
      </c>
      <c r="R1270" s="27">
        <f>IF(K1270="Válida",J1270,NA())</f>
        <v>0</v>
      </c>
      <c r="S1270" s="27">
        <f>IF(K1270="Válida",C1270,"")</f>
        <v>0</v>
      </c>
      <c r="T1270" s="27">
        <f>IF(K1270="Válida",I1270,"")</f>
        <v>0</v>
      </c>
      <c r="U1270" s="27">
        <f>IF(K1270="Válida",J1270,"")</f>
        <v>0</v>
      </c>
    </row>
    <row r="1271" spans="1:21">
      <c r="A1271" s="25">
        <f>IF(MES!A1271="","",MES!C1271/48)</f>
        <v>0</v>
      </c>
      <c r="B1271" s="26">
        <f>IF(A1271="","",TEXT((N1271*4+cfgDeslocamento)/48,"hh:mm")&amp;" a "&amp;TEXT(A1271,"hh:mm"))</f>
        <v>0</v>
      </c>
      <c r="C1271" s="27">
        <f>IF(A1271="","",MES!B1271)</f>
        <v>0</v>
      </c>
      <c r="D1271" s="27">
        <f>IF(A1271="","",IFERROR(AVERAGEIFS(Prensa!$B$2:$B$5001,Prensa!$E$2:$E$5001,N1271,Prensa!$F$2:$F$5001,1,Prensa!$G$2:$G$5001,1),""))</f>
        <v>0</v>
      </c>
      <c r="E1271" s="27">
        <f>IF(A1271="","",IFERROR(AVERAGEIFS(Prensa!$B$2:$B$5001,Prensa!$E$2:$E$5001,N1271,Prensa!$F$2:$F$5001,2,Prensa!$G$2:$G$5001,1),""))</f>
        <v>0</v>
      </c>
      <c r="F1271" s="27">
        <f>IF(A1271="","",IFERROR(AVERAGEIFS(Prensa!$B$2:$B$5001,Prensa!$E$2:$E$5001,N1271,Prensa!$F$2:$F$5001,3,Prensa!$G$2:$G$5001,1),""))</f>
        <v>0</v>
      </c>
      <c r="G1271" s="27">
        <f>IF(A1271="","",IFERROR(AVERAGEIFS(Prensa!$B$2:$B$5001,Prensa!$E$2:$E$5001,N1271,Prensa!$F$2:$F$5001,4,Prensa!$G$2:$G$5001,1),""))</f>
        <v>0</v>
      </c>
      <c r="H1271" s="26">
        <f>IF(A1271="","",COUNT(D1271:G1271))</f>
        <v>0</v>
      </c>
      <c r="I1271" s="27">
        <f>IF(A1271="","",IF(H1271=0,"",AVERAGE(D1271:G1271)))</f>
        <v>0</v>
      </c>
      <c r="J1271" s="27">
        <f>IF(OR(I1271="",C1271=""),"",I1271-C1271)</f>
        <v>0</v>
      </c>
      <c r="K1271" s="26">
        <f>IF(A1271="","",IF(MES!E1271&lt;&gt;4,"Horário do MES fora do padrão",IF(H1271&lt;cfgMinCortes,"Cortes insuficientes","Válida")))</f>
        <v>0</v>
      </c>
      <c r="L1271" s="27">
        <f>IF(K1271="Válida",ABS(J1271),"")</f>
        <v>0</v>
      </c>
      <c r="M1271" s="26">
        <f>IF(K1271="Válida",IF(L1271&lt;=cfgTolerancia,"Sim","Não"),"")</f>
        <v>0</v>
      </c>
      <c r="N1271" s="26">
        <f>IF(A1271="","",MES!D1271)</f>
        <v>0</v>
      </c>
      <c r="O1271" s="25">
        <f>IF(K1271="Válida",A1271,NA())</f>
        <v>0</v>
      </c>
      <c r="P1271" s="27">
        <f>IF(K1271="Válida",C1271,NA())</f>
        <v>0</v>
      </c>
      <c r="Q1271" s="27">
        <f>IF(K1271="Válida",I1271,NA())</f>
        <v>0</v>
      </c>
      <c r="R1271" s="27">
        <f>IF(K1271="Válida",J1271,NA())</f>
        <v>0</v>
      </c>
      <c r="S1271" s="27">
        <f>IF(K1271="Válida",C1271,"")</f>
        <v>0</v>
      </c>
      <c r="T1271" s="27">
        <f>IF(K1271="Válida",I1271,"")</f>
        <v>0</v>
      </c>
      <c r="U1271" s="27">
        <f>IF(K1271="Válida",J1271,"")</f>
        <v>0</v>
      </c>
    </row>
    <row r="1272" spans="1:21">
      <c r="A1272" s="25">
        <f>IF(MES!A1272="","",MES!C1272/48)</f>
        <v>0</v>
      </c>
      <c r="B1272" s="26">
        <f>IF(A1272="","",TEXT((N1272*4+cfgDeslocamento)/48,"hh:mm")&amp;" a "&amp;TEXT(A1272,"hh:mm"))</f>
        <v>0</v>
      </c>
      <c r="C1272" s="27">
        <f>IF(A1272="","",MES!B1272)</f>
        <v>0</v>
      </c>
      <c r="D1272" s="27">
        <f>IF(A1272="","",IFERROR(AVERAGEIFS(Prensa!$B$2:$B$5001,Prensa!$E$2:$E$5001,N1272,Prensa!$F$2:$F$5001,1,Prensa!$G$2:$G$5001,1),""))</f>
        <v>0</v>
      </c>
      <c r="E1272" s="27">
        <f>IF(A1272="","",IFERROR(AVERAGEIFS(Prensa!$B$2:$B$5001,Prensa!$E$2:$E$5001,N1272,Prensa!$F$2:$F$5001,2,Prensa!$G$2:$G$5001,1),""))</f>
        <v>0</v>
      </c>
      <c r="F1272" s="27">
        <f>IF(A1272="","",IFERROR(AVERAGEIFS(Prensa!$B$2:$B$5001,Prensa!$E$2:$E$5001,N1272,Prensa!$F$2:$F$5001,3,Prensa!$G$2:$G$5001,1),""))</f>
        <v>0</v>
      </c>
      <c r="G1272" s="27">
        <f>IF(A1272="","",IFERROR(AVERAGEIFS(Prensa!$B$2:$B$5001,Prensa!$E$2:$E$5001,N1272,Prensa!$F$2:$F$5001,4,Prensa!$G$2:$G$5001,1),""))</f>
        <v>0</v>
      </c>
      <c r="H1272" s="26">
        <f>IF(A1272="","",COUNT(D1272:G1272))</f>
        <v>0</v>
      </c>
      <c r="I1272" s="27">
        <f>IF(A1272="","",IF(H1272=0,"",AVERAGE(D1272:G1272)))</f>
        <v>0</v>
      </c>
      <c r="J1272" s="27">
        <f>IF(OR(I1272="",C1272=""),"",I1272-C1272)</f>
        <v>0</v>
      </c>
      <c r="K1272" s="26">
        <f>IF(A1272="","",IF(MES!E1272&lt;&gt;4,"Horário do MES fora do padrão",IF(H1272&lt;cfgMinCortes,"Cortes insuficientes","Válida")))</f>
        <v>0</v>
      </c>
      <c r="L1272" s="27">
        <f>IF(K1272="Válida",ABS(J1272),"")</f>
        <v>0</v>
      </c>
      <c r="M1272" s="26">
        <f>IF(K1272="Válida",IF(L1272&lt;=cfgTolerancia,"Sim","Não"),"")</f>
        <v>0</v>
      </c>
      <c r="N1272" s="26">
        <f>IF(A1272="","",MES!D1272)</f>
        <v>0</v>
      </c>
      <c r="O1272" s="25">
        <f>IF(K1272="Válida",A1272,NA())</f>
        <v>0</v>
      </c>
      <c r="P1272" s="27">
        <f>IF(K1272="Válida",C1272,NA())</f>
        <v>0</v>
      </c>
      <c r="Q1272" s="27">
        <f>IF(K1272="Válida",I1272,NA())</f>
        <v>0</v>
      </c>
      <c r="R1272" s="27">
        <f>IF(K1272="Válida",J1272,NA())</f>
        <v>0</v>
      </c>
      <c r="S1272" s="27">
        <f>IF(K1272="Válida",C1272,"")</f>
        <v>0</v>
      </c>
      <c r="T1272" s="27">
        <f>IF(K1272="Válida",I1272,"")</f>
        <v>0</v>
      </c>
      <c r="U1272" s="27">
        <f>IF(K1272="Válida",J1272,"")</f>
        <v>0</v>
      </c>
    </row>
    <row r="1273" spans="1:21">
      <c r="A1273" s="25">
        <f>IF(MES!A1273="","",MES!C1273/48)</f>
        <v>0</v>
      </c>
      <c r="B1273" s="26">
        <f>IF(A1273="","",TEXT((N1273*4+cfgDeslocamento)/48,"hh:mm")&amp;" a "&amp;TEXT(A1273,"hh:mm"))</f>
        <v>0</v>
      </c>
      <c r="C1273" s="27">
        <f>IF(A1273="","",MES!B1273)</f>
        <v>0</v>
      </c>
      <c r="D1273" s="27">
        <f>IF(A1273="","",IFERROR(AVERAGEIFS(Prensa!$B$2:$B$5001,Prensa!$E$2:$E$5001,N1273,Prensa!$F$2:$F$5001,1,Prensa!$G$2:$G$5001,1),""))</f>
        <v>0</v>
      </c>
      <c r="E1273" s="27">
        <f>IF(A1273="","",IFERROR(AVERAGEIFS(Prensa!$B$2:$B$5001,Prensa!$E$2:$E$5001,N1273,Prensa!$F$2:$F$5001,2,Prensa!$G$2:$G$5001,1),""))</f>
        <v>0</v>
      </c>
      <c r="F1273" s="27">
        <f>IF(A1273="","",IFERROR(AVERAGEIFS(Prensa!$B$2:$B$5001,Prensa!$E$2:$E$5001,N1273,Prensa!$F$2:$F$5001,3,Prensa!$G$2:$G$5001,1),""))</f>
        <v>0</v>
      </c>
      <c r="G1273" s="27">
        <f>IF(A1273="","",IFERROR(AVERAGEIFS(Prensa!$B$2:$B$5001,Prensa!$E$2:$E$5001,N1273,Prensa!$F$2:$F$5001,4,Prensa!$G$2:$G$5001,1),""))</f>
        <v>0</v>
      </c>
      <c r="H1273" s="26">
        <f>IF(A1273="","",COUNT(D1273:G1273))</f>
        <v>0</v>
      </c>
      <c r="I1273" s="27">
        <f>IF(A1273="","",IF(H1273=0,"",AVERAGE(D1273:G1273)))</f>
        <v>0</v>
      </c>
      <c r="J1273" s="27">
        <f>IF(OR(I1273="",C1273=""),"",I1273-C1273)</f>
        <v>0</v>
      </c>
      <c r="K1273" s="26">
        <f>IF(A1273="","",IF(MES!E1273&lt;&gt;4,"Horário do MES fora do padrão",IF(H1273&lt;cfgMinCortes,"Cortes insuficientes","Válida")))</f>
        <v>0</v>
      </c>
      <c r="L1273" s="27">
        <f>IF(K1273="Válida",ABS(J1273),"")</f>
        <v>0</v>
      </c>
      <c r="M1273" s="26">
        <f>IF(K1273="Válida",IF(L1273&lt;=cfgTolerancia,"Sim","Não"),"")</f>
        <v>0</v>
      </c>
      <c r="N1273" s="26">
        <f>IF(A1273="","",MES!D1273)</f>
        <v>0</v>
      </c>
      <c r="O1273" s="25">
        <f>IF(K1273="Válida",A1273,NA())</f>
        <v>0</v>
      </c>
      <c r="P1273" s="27">
        <f>IF(K1273="Válida",C1273,NA())</f>
        <v>0</v>
      </c>
      <c r="Q1273" s="27">
        <f>IF(K1273="Válida",I1273,NA())</f>
        <v>0</v>
      </c>
      <c r="R1273" s="27">
        <f>IF(K1273="Válida",J1273,NA())</f>
        <v>0</v>
      </c>
      <c r="S1273" s="27">
        <f>IF(K1273="Válida",C1273,"")</f>
        <v>0</v>
      </c>
      <c r="T1273" s="27">
        <f>IF(K1273="Válida",I1273,"")</f>
        <v>0</v>
      </c>
      <c r="U1273" s="27">
        <f>IF(K1273="Válida",J1273,"")</f>
        <v>0</v>
      </c>
    </row>
    <row r="1274" spans="1:21">
      <c r="A1274" s="25">
        <f>IF(MES!A1274="","",MES!C1274/48)</f>
        <v>0</v>
      </c>
      <c r="B1274" s="26">
        <f>IF(A1274="","",TEXT((N1274*4+cfgDeslocamento)/48,"hh:mm")&amp;" a "&amp;TEXT(A1274,"hh:mm"))</f>
        <v>0</v>
      </c>
      <c r="C1274" s="27">
        <f>IF(A1274="","",MES!B1274)</f>
        <v>0</v>
      </c>
      <c r="D1274" s="27">
        <f>IF(A1274="","",IFERROR(AVERAGEIFS(Prensa!$B$2:$B$5001,Prensa!$E$2:$E$5001,N1274,Prensa!$F$2:$F$5001,1,Prensa!$G$2:$G$5001,1),""))</f>
        <v>0</v>
      </c>
      <c r="E1274" s="27">
        <f>IF(A1274="","",IFERROR(AVERAGEIFS(Prensa!$B$2:$B$5001,Prensa!$E$2:$E$5001,N1274,Prensa!$F$2:$F$5001,2,Prensa!$G$2:$G$5001,1),""))</f>
        <v>0</v>
      </c>
      <c r="F1274" s="27">
        <f>IF(A1274="","",IFERROR(AVERAGEIFS(Prensa!$B$2:$B$5001,Prensa!$E$2:$E$5001,N1274,Prensa!$F$2:$F$5001,3,Prensa!$G$2:$G$5001,1),""))</f>
        <v>0</v>
      </c>
      <c r="G1274" s="27">
        <f>IF(A1274="","",IFERROR(AVERAGEIFS(Prensa!$B$2:$B$5001,Prensa!$E$2:$E$5001,N1274,Prensa!$F$2:$F$5001,4,Prensa!$G$2:$G$5001,1),""))</f>
        <v>0</v>
      </c>
      <c r="H1274" s="26">
        <f>IF(A1274="","",COUNT(D1274:G1274))</f>
        <v>0</v>
      </c>
      <c r="I1274" s="27">
        <f>IF(A1274="","",IF(H1274=0,"",AVERAGE(D1274:G1274)))</f>
        <v>0</v>
      </c>
      <c r="J1274" s="27">
        <f>IF(OR(I1274="",C1274=""),"",I1274-C1274)</f>
        <v>0</v>
      </c>
      <c r="K1274" s="26">
        <f>IF(A1274="","",IF(MES!E1274&lt;&gt;4,"Horário do MES fora do padrão",IF(H1274&lt;cfgMinCortes,"Cortes insuficientes","Válida")))</f>
        <v>0</v>
      </c>
      <c r="L1274" s="27">
        <f>IF(K1274="Válida",ABS(J1274),"")</f>
        <v>0</v>
      </c>
      <c r="M1274" s="26">
        <f>IF(K1274="Válida",IF(L1274&lt;=cfgTolerancia,"Sim","Não"),"")</f>
        <v>0</v>
      </c>
      <c r="N1274" s="26">
        <f>IF(A1274="","",MES!D1274)</f>
        <v>0</v>
      </c>
      <c r="O1274" s="25">
        <f>IF(K1274="Válida",A1274,NA())</f>
        <v>0</v>
      </c>
      <c r="P1274" s="27">
        <f>IF(K1274="Válida",C1274,NA())</f>
        <v>0</v>
      </c>
      <c r="Q1274" s="27">
        <f>IF(K1274="Válida",I1274,NA())</f>
        <v>0</v>
      </c>
      <c r="R1274" s="27">
        <f>IF(K1274="Válida",J1274,NA())</f>
        <v>0</v>
      </c>
      <c r="S1274" s="27">
        <f>IF(K1274="Válida",C1274,"")</f>
        <v>0</v>
      </c>
      <c r="T1274" s="27">
        <f>IF(K1274="Válida",I1274,"")</f>
        <v>0</v>
      </c>
      <c r="U1274" s="27">
        <f>IF(K1274="Válida",J1274,"")</f>
        <v>0</v>
      </c>
    </row>
    <row r="1275" spans="1:21">
      <c r="A1275" s="25">
        <f>IF(MES!A1275="","",MES!C1275/48)</f>
        <v>0</v>
      </c>
      <c r="B1275" s="26">
        <f>IF(A1275="","",TEXT((N1275*4+cfgDeslocamento)/48,"hh:mm")&amp;" a "&amp;TEXT(A1275,"hh:mm"))</f>
        <v>0</v>
      </c>
      <c r="C1275" s="27">
        <f>IF(A1275="","",MES!B1275)</f>
        <v>0</v>
      </c>
      <c r="D1275" s="27">
        <f>IF(A1275="","",IFERROR(AVERAGEIFS(Prensa!$B$2:$B$5001,Prensa!$E$2:$E$5001,N1275,Prensa!$F$2:$F$5001,1,Prensa!$G$2:$G$5001,1),""))</f>
        <v>0</v>
      </c>
      <c r="E1275" s="27">
        <f>IF(A1275="","",IFERROR(AVERAGEIFS(Prensa!$B$2:$B$5001,Prensa!$E$2:$E$5001,N1275,Prensa!$F$2:$F$5001,2,Prensa!$G$2:$G$5001,1),""))</f>
        <v>0</v>
      </c>
      <c r="F1275" s="27">
        <f>IF(A1275="","",IFERROR(AVERAGEIFS(Prensa!$B$2:$B$5001,Prensa!$E$2:$E$5001,N1275,Prensa!$F$2:$F$5001,3,Prensa!$G$2:$G$5001,1),""))</f>
        <v>0</v>
      </c>
      <c r="G1275" s="27">
        <f>IF(A1275="","",IFERROR(AVERAGEIFS(Prensa!$B$2:$B$5001,Prensa!$E$2:$E$5001,N1275,Prensa!$F$2:$F$5001,4,Prensa!$G$2:$G$5001,1),""))</f>
        <v>0</v>
      </c>
      <c r="H1275" s="26">
        <f>IF(A1275="","",COUNT(D1275:G1275))</f>
        <v>0</v>
      </c>
      <c r="I1275" s="27">
        <f>IF(A1275="","",IF(H1275=0,"",AVERAGE(D1275:G1275)))</f>
        <v>0</v>
      </c>
      <c r="J1275" s="27">
        <f>IF(OR(I1275="",C1275=""),"",I1275-C1275)</f>
        <v>0</v>
      </c>
      <c r="K1275" s="26">
        <f>IF(A1275="","",IF(MES!E1275&lt;&gt;4,"Horário do MES fora do padrão",IF(H1275&lt;cfgMinCortes,"Cortes insuficientes","Válida")))</f>
        <v>0</v>
      </c>
      <c r="L1275" s="27">
        <f>IF(K1275="Válida",ABS(J1275),"")</f>
        <v>0</v>
      </c>
      <c r="M1275" s="26">
        <f>IF(K1275="Válida",IF(L1275&lt;=cfgTolerancia,"Sim","Não"),"")</f>
        <v>0</v>
      </c>
      <c r="N1275" s="26">
        <f>IF(A1275="","",MES!D1275)</f>
        <v>0</v>
      </c>
      <c r="O1275" s="25">
        <f>IF(K1275="Válida",A1275,NA())</f>
        <v>0</v>
      </c>
      <c r="P1275" s="27">
        <f>IF(K1275="Válida",C1275,NA())</f>
        <v>0</v>
      </c>
      <c r="Q1275" s="27">
        <f>IF(K1275="Válida",I1275,NA())</f>
        <v>0</v>
      </c>
      <c r="R1275" s="27">
        <f>IF(K1275="Válida",J1275,NA())</f>
        <v>0</v>
      </c>
      <c r="S1275" s="27">
        <f>IF(K1275="Válida",C1275,"")</f>
        <v>0</v>
      </c>
      <c r="T1275" s="27">
        <f>IF(K1275="Válida",I1275,"")</f>
        <v>0</v>
      </c>
      <c r="U1275" s="27">
        <f>IF(K1275="Válida",J1275,"")</f>
        <v>0</v>
      </c>
    </row>
    <row r="1276" spans="1:21">
      <c r="A1276" s="25">
        <f>IF(MES!A1276="","",MES!C1276/48)</f>
        <v>0</v>
      </c>
      <c r="B1276" s="26">
        <f>IF(A1276="","",TEXT((N1276*4+cfgDeslocamento)/48,"hh:mm")&amp;" a "&amp;TEXT(A1276,"hh:mm"))</f>
        <v>0</v>
      </c>
      <c r="C1276" s="27">
        <f>IF(A1276="","",MES!B1276)</f>
        <v>0</v>
      </c>
      <c r="D1276" s="27">
        <f>IF(A1276="","",IFERROR(AVERAGEIFS(Prensa!$B$2:$B$5001,Prensa!$E$2:$E$5001,N1276,Prensa!$F$2:$F$5001,1,Prensa!$G$2:$G$5001,1),""))</f>
        <v>0</v>
      </c>
      <c r="E1276" s="27">
        <f>IF(A1276="","",IFERROR(AVERAGEIFS(Prensa!$B$2:$B$5001,Prensa!$E$2:$E$5001,N1276,Prensa!$F$2:$F$5001,2,Prensa!$G$2:$G$5001,1),""))</f>
        <v>0</v>
      </c>
      <c r="F1276" s="27">
        <f>IF(A1276="","",IFERROR(AVERAGEIFS(Prensa!$B$2:$B$5001,Prensa!$E$2:$E$5001,N1276,Prensa!$F$2:$F$5001,3,Prensa!$G$2:$G$5001,1),""))</f>
        <v>0</v>
      </c>
      <c r="G1276" s="27">
        <f>IF(A1276="","",IFERROR(AVERAGEIFS(Prensa!$B$2:$B$5001,Prensa!$E$2:$E$5001,N1276,Prensa!$F$2:$F$5001,4,Prensa!$G$2:$G$5001,1),""))</f>
        <v>0</v>
      </c>
      <c r="H1276" s="26">
        <f>IF(A1276="","",COUNT(D1276:G1276))</f>
        <v>0</v>
      </c>
      <c r="I1276" s="27">
        <f>IF(A1276="","",IF(H1276=0,"",AVERAGE(D1276:G1276)))</f>
        <v>0</v>
      </c>
      <c r="J1276" s="27">
        <f>IF(OR(I1276="",C1276=""),"",I1276-C1276)</f>
        <v>0</v>
      </c>
      <c r="K1276" s="26">
        <f>IF(A1276="","",IF(MES!E1276&lt;&gt;4,"Horário do MES fora do padrão",IF(H1276&lt;cfgMinCortes,"Cortes insuficientes","Válida")))</f>
        <v>0</v>
      </c>
      <c r="L1276" s="27">
        <f>IF(K1276="Válida",ABS(J1276),"")</f>
        <v>0</v>
      </c>
      <c r="M1276" s="26">
        <f>IF(K1276="Válida",IF(L1276&lt;=cfgTolerancia,"Sim","Não"),"")</f>
        <v>0</v>
      </c>
      <c r="N1276" s="26">
        <f>IF(A1276="","",MES!D1276)</f>
        <v>0</v>
      </c>
      <c r="O1276" s="25">
        <f>IF(K1276="Válida",A1276,NA())</f>
        <v>0</v>
      </c>
      <c r="P1276" s="27">
        <f>IF(K1276="Válida",C1276,NA())</f>
        <v>0</v>
      </c>
      <c r="Q1276" s="27">
        <f>IF(K1276="Válida",I1276,NA())</f>
        <v>0</v>
      </c>
      <c r="R1276" s="27">
        <f>IF(K1276="Válida",J1276,NA())</f>
        <v>0</v>
      </c>
      <c r="S1276" s="27">
        <f>IF(K1276="Válida",C1276,"")</f>
        <v>0</v>
      </c>
      <c r="T1276" s="27">
        <f>IF(K1276="Válida",I1276,"")</f>
        <v>0</v>
      </c>
      <c r="U1276" s="27">
        <f>IF(K1276="Válida",J1276,"")</f>
        <v>0</v>
      </c>
    </row>
    <row r="1277" spans="1:21">
      <c r="A1277" s="25">
        <f>IF(MES!A1277="","",MES!C1277/48)</f>
        <v>0</v>
      </c>
      <c r="B1277" s="26">
        <f>IF(A1277="","",TEXT((N1277*4+cfgDeslocamento)/48,"hh:mm")&amp;" a "&amp;TEXT(A1277,"hh:mm"))</f>
        <v>0</v>
      </c>
      <c r="C1277" s="27">
        <f>IF(A1277="","",MES!B1277)</f>
        <v>0</v>
      </c>
      <c r="D1277" s="27">
        <f>IF(A1277="","",IFERROR(AVERAGEIFS(Prensa!$B$2:$B$5001,Prensa!$E$2:$E$5001,N1277,Prensa!$F$2:$F$5001,1,Prensa!$G$2:$G$5001,1),""))</f>
        <v>0</v>
      </c>
      <c r="E1277" s="27">
        <f>IF(A1277="","",IFERROR(AVERAGEIFS(Prensa!$B$2:$B$5001,Prensa!$E$2:$E$5001,N1277,Prensa!$F$2:$F$5001,2,Prensa!$G$2:$G$5001,1),""))</f>
        <v>0</v>
      </c>
      <c r="F1277" s="27">
        <f>IF(A1277="","",IFERROR(AVERAGEIFS(Prensa!$B$2:$B$5001,Prensa!$E$2:$E$5001,N1277,Prensa!$F$2:$F$5001,3,Prensa!$G$2:$G$5001,1),""))</f>
        <v>0</v>
      </c>
      <c r="G1277" s="27">
        <f>IF(A1277="","",IFERROR(AVERAGEIFS(Prensa!$B$2:$B$5001,Prensa!$E$2:$E$5001,N1277,Prensa!$F$2:$F$5001,4,Prensa!$G$2:$G$5001,1),""))</f>
        <v>0</v>
      </c>
      <c r="H1277" s="26">
        <f>IF(A1277="","",COUNT(D1277:G1277))</f>
        <v>0</v>
      </c>
      <c r="I1277" s="27">
        <f>IF(A1277="","",IF(H1277=0,"",AVERAGE(D1277:G1277)))</f>
        <v>0</v>
      </c>
      <c r="J1277" s="27">
        <f>IF(OR(I1277="",C1277=""),"",I1277-C1277)</f>
        <v>0</v>
      </c>
      <c r="K1277" s="26">
        <f>IF(A1277="","",IF(MES!E1277&lt;&gt;4,"Horário do MES fora do padrão",IF(H1277&lt;cfgMinCortes,"Cortes insuficientes","Válida")))</f>
        <v>0</v>
      </c>
      <c r="L1277" s="27">
        <f>IF(K1277="Válida",ABS(J1277),"")</f>
        <v>0</v>
      </c>
      <c r="M1277" s="26">
        <f>IF(K1277="Válida",IF(L1277&lt;=cfgTolerancia,"Sim","Não"),"")</f>
        <v>0</v>
      </c>
      <c r="N1277" s="26">
        <f>IF(A1277="","",MES!D1277)</f>
        <v>0</v>
      </c>
      <c r="O1277" s="25">
        <f>IF(K1277="Válida",A1277,NA())</f>
        <v>0</v>
      </c>
      <c r="P1277" s="27">
        <f>IF(K1277="Válida",C1277,NA())</f>
        <v>0</v>
      </c>
      <c r="Q1277" s="27">
        <f>IF(K1277="Válida",I1277,NA())</f>
        <v>0</v>
      </c>
      <c r="R1277" s="27">
        <f>IF(K1277="Válida",J1277,NA())</f>
        <v>0</v>
      </c>
      <c r="S1277" s="27">
        <f>IF(K1277="Válida",C1277,"")</f>
        <v>0</v>
      </c>
      <c r="T1277" s="27">
        <f>IF(K1277="Válida",I1277,"")</f>
        <v>0</v>
      </c>
      <c r="U1277" s="27">
        <f>IF(K1277="Válida",J1277,"")</f>
        <v>0</v>
      </c>
    </row>
    <row r="1278" spans="1:21">
      <c r="A1278" s="25">
        <f>IF(MES!A1278="","",MES!C1278/48)</f>
        <v>0</v>
      </c>
      <c r="B1278" s="26">
        <f>IF(A1278="","",TEXT((N1278*4+cfgDeslocamento)/48,"hh:mm")&amp;" a "&amp;TEXT(A1278,"hh:mm"))</f>
        <v>0</v>
      </c>
      <c r="C1278" s="27">
        <f>IF(A1278="","",MES!B1278)</f>
        <v>0</v>
      </c>
      <c r="D1278" s="27">
        <f>IF(A1278="","",IFERROR(AVERAGEIFS(Prensa!$B$2:$B$5001,Prensa!$E$2:$E$5001,N1278,Prensa!$F$2:$F$5001,1,Prensa!$G$2:$G$5001,1),""))</f>
        <v>0</v>
      </c>
      <c r="E1278" s="27">
        <f>IF(A1278="","",IFERROR(AVERAGEIFS(Prensa!$B$2:$B$5001,Prensa!$E$2:$E$5001,N1278,Prensa!$F$2:$F$5001,2,Prensa!$G$2:$G$5001,1),""))</f>
        <v>0</v>
      </c>
      <c r="F1278" s="27">
        <f>IF(A1278="","",IFERROR(AVERAGEIFS(Prensa!$B$2:$B$5001,Prensa!$E$2:$E$5001,N1278,Prensa!$F$2:$F$5001,3,Prensa!$G$2:$G$5001,1),""))</f>
        <v>0</v>
      </c>
      <c r="G1278" s="27">
        <f>IF(A1278="","",IFERROR(AVERAGEIFS(Prensa!$B$2:$B$5001,Prensa!$E$2:$E$5001,N1278,Prensa!$F$2:$F$5001,4,Prensa!$G$2:$G$5001,1),""))</f>
        <v>0</v>
      </c>
      <c r="H1278" s="26">
        <f>IF(A1278="","",COUNT(D1278:G1278))</f>
        <v>0</v>
      </c>
      <c r="I1278" s="27">
        <f>IF(A1278="","",IF(H1278=0,"",AVERAGE(D1278:G1278)))</f>
        <v>0</v>
      </c>
      <c r="J1278" s="27">
        <f>IF(OR(I1278="",C1278=""),"",I1278-C1278)</f>
        <v>0</v>
      </c>
      <c r="K1278" s="26">
        <f>IF(A1278="","",IF(MES!E1278&lt;&gt;4,"Horário do MES fora do padrão",IF(H1278&lt;cfgMinCortes,"Cortes insuficientes","Válida")))</f>
        <v>0</v>
      </c>
      <c r="L1278" s="27">
        <f>IF(K1278="Válida",ABS(J1278),"")</f>
        <v>0</v>
      </c>
      <c r="M1278" s="26">
        <f>IF(K1278="Válida",IF(L1278&lt;=cfgTolerancia,"Sim","Não"),"")</f>
        <v>0</v>
      </c>
      <c r="N1278" s="26">
        <f>IF(A1278="","",MES!D1278)</f>
        <v>0</v>
      </c>
      <c r="O1278" s="25">
        <f>IF(K1278="Válida",A1278,NA())</f>
        <v>0</v>
      </c>
      <c r="P1278" s="27">
        <f>IF(K1278="Válida",C1278,NA())</f>
        <v>0</v>
      </c>
      <c r="Q1278" s="27">
        <f>IF(K1278="Válida",I1278,NA())</f>
        <v>0</v>
      </c>
      <c r="R1278" s="27">
        <f>IF(K1278="Válida",J1278,NA())</f>
        <v>0</v>
      </c>
      <c r="S1278" s="27">
        <f>IF(K1278="Válida",C1278,"")</f>
        <v>0</v>
      </c>
      <c r="T1278" s="27">
        <f>IF(K1278="Válida",I1278,"")</f>
        <v>0</v>
      </c>
      <c r="U1278" s="27">
        <f>IF(K1278="Válida",J1278,"")</f>
        <v>0</v>
      </c>
    </row>
    <row r="1279" spans="1:21">
      <c r="A1279" s="25">
        <f>IF(MES!A1279="","",MES!C1279/48)</f>
        <v>0</v>
      </c>
      <c r="B1279" s="26">
        <f>IF(A1279="","",TEXT((N1279*4+cfgDeslocamento)/48,"hh:mm")&amp;" a "&amp;TEXT(A1279,"hh:mm"))</f>
        <v>0</v>
      </c>
      <c r="C1279" s="27">
        <f>IF(A1279="","",MES!B1279)</f>
        <v>0</v>
      </c>
      <c r="D1279" s="27">
        <f>IF(A1279="","",IFERROR(AVERAGEIFS(Prensa!$B$2:$B$5001,Prensa!$E$2:$E$5001,N1279,Prensa!$F$2:$F$5001,1,Prensa!$G$2:$G$5001,1),""))</f>
        <v>0</v>
      </c>
      <c r="E1279" s="27">
        <f>IF(A1279="","",IFERROR(AVERAGEIFS(Prensa!$B$2:$B$5001,Prensa!$E$2:$E$5001,N1279,Prensa!$F$2:$F$5001,2,Prensa!$G$2:$G$5001,1),""))</f>
        <v>0</v>
      </c>
      <c r="F1279" s="27">
        <f>IF(A1279="","",IFERROR(AVERAGEIFS(Prensa!$B$2:$B$5001,Prensa!$E$2:$E$5001,N1279,Prensa!$F$2:$F$5001,3,Prensa!$G$2:$G$5001,1),""))</f>
        <v>0</v>
      </c>
      <c r="G1279" s="27">
        <f>IF(A1279="","",IFERROR(AVERAGEIFS(Prensa!$B$2:$B$5001,Prensa!$E$2:$E$5001,N1279,Prensa!$F$2:$F$5001,4,Prensa!$G$2:$G$5001,1),""))</f>
        <v>0</v>
      </c>
      <c r="H1279" s="26">
        <f>IF(A1279="","",COUNT(D1279:G1279))</f>
        <v>0</v>
      </c>
      <c r="I1279" s="27">
        <f>IF(A1279="","",IF(H1279=0,"",AVERAGE(D1279:G1279)))</f>
        <v>0</v>
      </c>
      <c r="J1279" s="27">
        <f>IF(OR(I1279="",C1279=""),"",I1279-C1279)</f>
        <v>0</v>
      </c>
      <c r="K1279" s="26">
        <f>IF(A1279="","",IF(MES!E1279&lt;&gt;4,"Horário do MES fora do padrão",IF(H1279&lt;cfgMinCortes,"Cortes insuficientes","Válida")))</f>
        <v>0</v>
      </c>
      <c r="L1279" s="27">
        <f>IF(K1279="Válida",ABS(J1279),"")</f>
        <v>0</v>
      </c>
      <c r="M1279" s="26">
        <f>IF(K1279="Válida",IF(L1279&lt;=cfgTolerancia,"Sim","Não"),"")</f>
        <v>0</v>
      </c>
      <c r="N1279" s="26">
        <f>IF(A1279="","",MES!D1279)</f>
        <v>0</v>
      </c>
      <c r="O1279" s="25">
        <f>IF(K1279="Válida",A1279,NA())</f>
        <v>0</v>
      </c>
      <c r="P1279" s="27">
        <f>IF(K1279="Válida",C1279,NA())</f>
        <v>0</v>
      </c>
      <c r="Q1279" s="27">
        <f>IF(K1279="Válida",I1279,NA())</f>
        <v>0</v>
      </c>
      <c r="R1279" s="27">
        <f>IF(K1279="Válida",J1279,NA())</f>
        <v>0</v>
      </c>
      <c r="S1279" s="27">
        <f>IF(K1279="Válida",C1279,"")</f>
        <v>0</v>
      </c>
      <c r="T1279" s="27">
        <f>IF(K1279="Válida",I1279,"")</f>
        <v>0</v>
      </c>
      <c r="U1279" s="27">
        <f>IF(K1279="Válida",J1279,"")</f>
        <v>0</v>
      </c>
    </row>
    <row r="1280" spans="1:21">
      <c r="A1280" s="25">
        <f>IF(MES!A1280="","",MES!C1280/48)</f>
        <v>0</v>
      </c>
      <c r="B1280" s="26">
        <f>IF(A1280="","",TEXT((N1280*4+cfgDeslocamento)/48,"hh:mm")&amp;" a "&amp;TEXT(A1280,"hh:mm"))</f>
        <v>0</v>
      </c>
      <c r="C1280" s="27">
        <f>IF(A1280="","",MES!B1280)</f>
        <v>0</v>
      </c>
      <c r="D1280" s="27">
        <f>IF(A1280="","",IFERROR(AVERAGEIFS(Prensa!$B$2:$B$5001,Prensa!$E$2:$E$5001,N1280,Prensa!$F$2:$F$5001,1,Prensa!$G$2:$G$5001,1),""))</f>
        <v>0</v>
      </c>
      <c r="E1280" s="27">
        <f>IF(A1280="","",IFERROR(AVERAGEIFS(Prensa!$B$2:$B$5001,Prensa!$E$2:$E$5001,N1280,Prensa!$F$2:$F$5001,2,Prensa!$G$2:$G$5001,1),""))</f>
        <v>0</v>
      </c>
      <c r="F1280" s="27">
        <f>IF(A1280="","",IFERROR(AVERAGEIFS(Prensa!$B$2:$B$5001,Prensa!$E$2:$E$5001,N1280,Prensa!$F$2:$F$5001,3,Prensa!$G$2:$G$5001,1),""))</f>
        <v>0</v>
      </c>
      <c r="G1280" s="27">
        <f>IF(A1280="","",IFERROR(AVERAGEIFS(Prensa!$B$2:$B$5001,Prensa!$E$2:$E$5001,N1280,Prensa!$F$2:$F$5001,4,Prensa!$G$2:$G$5001,1),""))</f>
        <v>0</v>
      </c>
      <c r="H1280" s="26">
        <f>IF(A1280="","",COUNT(D1280:G1280))</f>
        <v>0</v>
      </c>
      <c r="I1280" s="27">
        <f>IF(A1280="","",IF(H1280=0,"",AVERAGE(D1280:G1280)))</f>
        <v>0</v>
      </c>
      <c r="J1280" s="27">
        <f>IF(OR(I1280="",C1280=""),"",I1280-C1280)</f>
        <v>0</v>
      </c>
      <c r="K1280" s="26">
        <f>IF(A1280="","",IF(MES!E1280&lt;&gt;4,"Horário do MES fora do padrão",IF(H1280&lt;cfgMinCortes,"Cortes insuficientes","Válida")))</f>
        <v>0</v>
      </c>
      <c r="L1280" s="27">
        <f>IF(K1280="Válida",ABS(J1280),"")</f>
        <v>0</v>
      </c>
      <c r="M1280" s="26">
        <f>IF(K1280="Válida",IF(L1280&lt;=cfgTolerancia,"Sim","Não"),"")</f>
        <v>0</v>
      </c>
      <c r="N1280" s="26">
        <f>IF(A1280="","",MES!D1280)</f>
        <v>0</v>
      </c>
      <c r="O1280" s="25">
        <f>IF(K1280="Válida",A1280,NA())</f>
        <v>0</v>
      </c>
      <c r="P1280" s="27">
        <f>IF(K1280="Válida",C1280,NA())</f>
        <v>0</v>
      </c>
      <c r="Q1280" s="27">
        <f>IF(K1280="Válida",I1280,NA())</f>
        <v>0</v>
      </c>
      <c r="R1280" s="27">
        <f>IF(K1280="Válida",J1280,NA())</f>
        <v>0</v>
      </c>
      <c r="S1280" s="27">
        <f>IF(K1280="Válida",C1280,"")</f>
        <v>0</v>
      </c>
      <c r="T1280" s="27">
        <f>IF(K1280="Válida",I1280,"")</f>
        <v>0</v>
      </c>
      <c r="U1280" s="27">
        <f>IF(K1280="Válida",J1280,"")</f>
        <v>0</v>
      </c>
    </row>
    <row r="1281" spans="1:21">
      <c r="A1281" s="25">
        <f>IF(MES!A1281="","",MES!C1281/48)</f>
        <v>0</v>
      </c>
      <c r="B1281" s="26">
        <f>IF(A1281="","",TEXT((N1281*4+cfgDeslocamento)/48,"hh:mm")&amp;" a "&amp;TEXT(A1281,"hh:mm"))</f>
        <v>0</v>
      </c>
      <c r="C1281" s="27">
        <f>IF(A1281="","",MES!B1281)</f>
        <v>0</v>
      </c>
      <c r="D1281" s="27">
        <f>IF(A1281="","",IFERROR(AVERAGEIFS(Prensa!$B$2:$B$5001,Prensa!$E$2:$E$5001,N1281,Prensa!$F$2:$F$5001,1,Prensa!$G$2:$G$5001,1),""))</f>
        <v>0</v>
      </c>
      <c r="E1281" s="27">
        <f>IF(A1281="","",IFERROR(AVERAGEIFS(Prensa!$B$2:$B$5001,Prensa!$E$2:$E$5001,N1281,Prensa!$F$2:$F$5001,2,Prensa!$G$2:$G$5001,1),""))</f>
        <v>0</v>
      </c>
      <c r="F1281" s="27">
        <f>IF(A1281="","",IFERROR(AVERAGEIFS(Prensa!$B$2:$B$5001,Prensa!$E$2:$E$5001,N1281,Prensa!$F$2:$F$5001,3,Prensa!$G$2:$G$5001,1),""))</f>
        <v>0</v>
      </c>
      <c r="G1281" s="27">
        <f>IF(A1281="","",IFERROR(AVERAGEIFS(Prensa!$B$2:$B$5001,Prensa!$E$2:$E$5001,N1281,Prensa!$F$2:$F$5001,4,Prensa!$G$2:$G$5001,1),""))</f>
        <v>0</v>
      </c>
      <c r="H1281" s="26">
        <f>IF(A1281="","",COUNT(D1281:G1281))</f>
        <v>0</v>
      </c>
      <c r="I1281" s="27">
        <f>IF(A1281="","",IF(H1281=0,"",AVERAGE(D1281:G1281)))</f>
        <v>0</v>
      </c>
      <c r="J1281" s="27">
        <f>IF(OR(I1281="",C1281=""),"",I1281-C1281)</f>
        <v>0</v>
      </c>
      <c r="K1281" s="26">
        <f>IF(A1281="","",IF(MES!E1281&lt;&gt;4,"Horário do MES fora do padrão",IF(H1281&lt;cfgMinCortes,"Cortes insuficientes","Válida")))</f>
        <v>0</v>
      </c>
      <c r="L1281" s="27">
        <f>IF(K1281="Válida",ABS(J1281),"")</f>
        <v>0</v>
      </c>
      <c r="M1281" s="26">
        <f>IF(K1281="Válida",IF(L1281&lt;=cfgTolerancia,"Sim","Não"),"")</f>
        <v>0</v>
      </c>
      <c r="N1281" s="26">
        <f>IF(A1281="","",MES!D1281)</f>
        <v>0</v>
      </c>
      <c r="O1281" s="25">
        <f>IF(K1281="Válida",A1281,NA())</f>
        <v>0</v>
      </c>
      <c r="P1281" s="27">
        <f>IF(K1281="Válida",C1281,NA())</f>
        <v>0</v>
      </c>
      <c r="Q1281" s="27">
        <f>IF(K1281="Válida",I1281,NA())</f>
        <v>0</v>
      </c>
      <c r="R1281" s="27">
        <f>IF(K1281="Válida",J1281,NA())</f>
        <v>0</v>
      </c>
      <c r="S1281" s="27">
        <f>IF(K1281="Válida",C1281,"")</f>
        <v>0</v>
      </c>
      <c r="T1281" s="27">
        <f>IF(K1281="Válida",I1281,"")</f>
        <v>0</v>
      </c>
      <c r="U1281" s="27">
        <f>IF(K1281="Válida",J1281,"")</f>
        <v>0</v>
      </c>
    </row>
    <row r="1282" spans="1:21">
      <c r="A1282" s="25">
        <f>IF(MES!A1282="","",MES!C1282/48)</f>
        <v>0</v>
      </c>
      <c r="B1282" s="26">
        <f>IF(A1282="","",TEXT((N1282*4+cfgDeslocamento)/48,"hh:mm")&amp;" a "&amp;TEXT(A1282,"hh:mm"))</f>
        <v>0</v>
      </c>
      <c r="C1282" s="27">
        <f>IF(A1282="","",MES!B1282)</f>
        <v>0</v>
      </c>
      <c r="D1282" s="27">
        <f>IF(A1282="","",IFERROR(AVERAGEIFS(Prensa!$B$2:$B$5001,Prensa!$E$2:$E$5001,N1282,Prensa!$F$2:$F$5001,1,Prensa!$G$2:$G$5001,1),""))</f>
        <v>0</v>
      </c>
      <c r="E1282" s="27">
        <f>IF(A1282="","",IFERROR(AVERAGEIFS(Prensa!$B$2:$B$5001,Prensa!$E$2:$E$5001,N1282,Prensa!$F$2:$F$5001,2,Prensa!$G$2:$G$5001,1),""))</f>
        <v>0</v>
      </c>
      <c r="F1282" s="27">
        <f>IF(A1282="","",IFERROR(AVERAGEIFS(Prensa!$B$2:$B$5001,Prensa!$E$2:$E$5001,N1282,Prensa!$F$2:$F$5001,3,Prensa!$G$2:$G$5001,1),""))</f>
        <v>0</v>
      </c>
      <c r="G1282" s="27">
        <f>IF(A1282="","",IFERROR(AVERAGEIFS(Prensa!$B$2:$B$5001,Prensa!$E$2:$E$5001,N1282,Prensa!$F$2:$F$5001,4,Prensa!$G$2:$G$5001,1),""))</f>
        <v>0</v>
      </c>
      <c r="H1282" s="26">
        <f>IF(A1282="","",COUNT(D1282:G1282))</f>
        <v>0</v>
      </c>
      <c r="I1282" s="27">
        <f>IF(A1282="","",IF(H1282=0,"",AVERAGE(D1282:G1282)))</f>
        <v>0</v>
      </c>
      <c r="J1282" s="27">
        <f>IF(OR(I1282="",C1282=""),"",I1282-C1282)</f>
        <v>0</v>
      </c>
      <c r="K1282" s="26">
        <f>IF(A1282="","",IF(MES!E1282&lt;&gt;4,"Horário do MES fora do padrão",IF(H1282&lt;cfgMinCortes,"Cortes insuficientes","Válida")))</f>
        <v>0</v>
      </c>
      <c r="L1282" s="27">
        <f>IF(K1282="Válida",ABS(J1282),"")</f>
        <v>0</v>
      </c>
      <c r="M1282" s="26">
        <f>IF(K1282="Válida",IF(L1282&lt;=cfgTolerancia,"Sim","Não"),"")</f>
        <v>0</v>
      </c>
      <c r="N1282" s="26">
        <f>IF(A1282="","",MES!D1282)</f>
        <v>0</v>
      </c>
      <c r="O1282" s="25">
        <f>IF(K1282="Válida",A1282,NA())</f>
        <v>0</v>
      </c>
      <c r="P1282" s="27">
        <f>IF(K1282="Válida",C1282,NA())</f>
        <v>0</v>
      </c>
      <c r="Q1282" s="27">
        <f>IF(K1282="Válida",I1282,NA())</f>
        <v>0</v>
      </c>
      <c r="R1282" s="27">
        <f>IF(K1282="Válida",J1282,NA())</f>
        <v>0</v>
      </c>
      <c r="S1282" s="27">
        <f>IF(K1282="Válida",C1282,"")</f>
        <v>0</v>
      </c>
      <c r="T1282" s="27">
        <f>IF(K1282="Válida",I1282,"")</f>
        <v>0</v>
      </c>
      <c r="U1282" s="27">
        <f>IF(K1282="Válida",J1282,"")</f>
        <v>0</v>
      </c>
    </row>
    <row r="1283" spans="1:21">
      <c r="A1283" s="25">
        <f>IF(MES!A1283="","",MES!C1283/48)</f>
        <v>0</v>
      </c>
      <c r="B1283" s="26">
        <f>IF(A1283="","",TEXT((N1283*4+cfgDeslocamento)/48,"hh:mm")&amp;" a "&amp;TEXT(A1283,"hh:mm"))</f>
        <v>0</v>
      </c>
      <c r="C1283" s="27">
        <f>IF(A1283="","",MES!B1283)</f>
        <v>0</v>
      </c>
      <c r="D1283" s="27">
        <f>IF(A1283="","",IFERROR(AVERAGEIFS(Prensa!$B$2:$B$5001,Prensa!$E$2:$E$5001,N1283,Prensa!$F$2:$F$5001,1,Prensa!$G$2:$G$5001,1),""))</f>
        <v>0</v>
      </c>
      <c r="E1283" s="27">
        <f>IF(A1283="","",IFERROR(AVERAGEIFS(Prensa!$B$2:$B$5001,Prensa!$E$2:$E$5001,N1283,Prensa!$F$2:$F$5001,2,Prensa!$G$2:$G$5001,1),""))</f>
        <v>0</v>
      </c>
      <c r="F1283" s="27">
        <f>IF(A1283="","",IFERROR(AVERAGEIFS(Prensa!$B$2:$B$5001,Prensa!$E$2:$E$5001,N1283,Prensa!$F$2:$F$5001,3,Prensa!$G$2:$G$5001,1),""))</f>
        <v>0</v>
      </c>
      <c r="G1283" s="27">
        <f>IF(A1283="","",IFERROR(AVERAGEIFS(Prensa!$B$2:$B$5001,Prensa!$E$2:$E$5001,N1283,Prensa!$F$2:$F$5001,4,Prensa!$G$2:$G$5001,1),""))</f>
        <v>0</v>
      </c>
      <c r="H1283" s="26">
        <f>IF(A1283="","",COUNT(D1283:G1283))</f>
        <v>0</v>
      </c>
      <c r="I1283" s="27">
        <f>IF(A1283="","",IF(H1283=0,"",AVERAGE(D1283:G1283)))</f>
        <v>0</v>
      </c>
      <c r="J1283" s="27">
        <f>IF(OR(I1283="",C1283=""),"",I1283-C1283)</f>
        <v>0</v>
      </c>
      <c r="K1283" s="26">
        <f>IF(A1283="","",IF(MES!E1283&lt;&gt;4,"Horário do MES fora do padrão",IF(H1283&lt;cfgMinCortes,"Cortes insuficientes","Válida")))</f>
        <v>0</v>
      </c>
      <c r="L1283" s="27">
        <f>IF(K1283="Válida",ABS(J1283),"")</f>
        <v>0</v>
      </c>
      <c r="M1283" s="26">
        <f>IF(K1283="Válida",IF(L1283&lt;=cfgTolerancia,"Sim","Não"),"")</f>
        <v>0</v>
      </c>
      <c r="N1283" s="26">
        <f>IF(A1283="","",MES!D1283)</f>
        <v>0</v>
      </c>
      <c r="O1283" s="25">
        <f>IF(K1283="Válida",A1283,NA())</f>
        <v>0</v>
      </c>
      <c r="P1283" s="27">
        <f>IF(K1283="Válida",C1283,NA())</f>
        <v>0</v>
      </c>
      <c r="Q1283" s="27">
        <f>IF(K1283="Válida",I1283,NA())</f>
        <v>0</v>
      </c>
      <c r="R1283" s="27">
        <f>IF(K1283="Válida",J1283,NA())</f>
        <v>0</v>
      </c>
      <c r="S1283" s="27">
        <f>IF(K1283="Válida",C1283,"")</f>
        <v>0</v>
      </c>
      <c r="T1283" s="27">
        <f>IF(K1283="Válida",I1283,"")</f>
        <v>0</v>
      </c>
      <c r="U1283" s="27">
        <f>IF(K1283="Válida",J1283,"")</f>
        <v>0</v>
      </c>
    </row>
    <row r="1284" spans="1:21">
      <c r="A1284" s="25">
        <f>IF(MES!A1284="","",MES!C1284/48)</f>
        <v>0</v>
      </c>
      <c r="B1284" s="26">
        <f>IF(A1284="","",TEXT((N1284*4+cfgDeslocamento)/48,"hh:mm")&amp;" a "&amp;TEXT(A1284,"hh:mm"))</f>
        <v>0</v>
      </c>
      <c r="C1284" s="27">
        <f>IF(A1284="","",MES!B1284)</f>
        <v>0</v>
      </c>
      <c r="D1284" s="27">
        <f>IF(A1284="","",IFERROR(AVERAGEIFS(Prensa!$B$2:$B$5001,Prensa!$E$2:$E$5001,N1284,Prensa!$F$2:$F$5001,1,Prensa!$G$2:$G$5001,1),""))</f>
        <v>0</v>
      </c>
      <c r="E1284" s="27">
        <f>IF(A1284="","",IFERROR(AVERAGEIFS(Prensa!$B$2:$B$5001,Prensa!$E$2:$E$5001,N1284,Prensa!$F$2:$F$5001,2,Prensa!$G$2:$G$5001,1),""))</f>
        <v>0</v>
      </c>
      <c r="F1284" s="27">
        <f>IF(A1284="","",IFERROR(AVERAGEIFS(Prensa!$B$2:$B$5001,Prensa!$E$2:$E$5001,N1284,Prensa!$F$2:$F$5001,3,Prensa!$G$2:$G$5001,1),""))</f>
        <v>0</v>
      </c>
      <c r="G1284" s="27">
        <f>IF(A1284="","",IFERROR(AVERAGEIFS(Prensa!$B$2:$B$5001,Prensa!$E$2:$E$5001,N1284,Prensa!$F$2:$F$5001,4,Prensa!$G$2:$G$5001,1),""))</f>
        <v>0</v>
      </c>
      <c r="H1284" s="26">
        <f>IF(A1284="","",COUNT(D1284:G1284))</f>
        <v>0</v>
      </c>
      <c r="I1284" s="27">
        <f>IF(A1284="","",IF(H1284=0,"",AVERAGE(D1284:G1284)))</f>
        <v>0</v>
      </c>
      <c r="J1284" s="27">
        <f>IF(OR(I1284="",C1284=""),"",I1284-C1284)</f>
        <v>0</v>
      </c>
      <c r="K1284" s="26">
        <f>IF(A1284="","",IF(MES!E1284&lt;&gt;4,"Horário do MES fora do padrão",IF(H1284&lt;cfgMinCortes,"Cortes insuficientes","Válida")))</f>
        <v>0</v>
      </c>
      <c r="L1284" s="27">
        <f>IF(K1284="Válida",ABS(J1284),"")</f>
        <v>0</v>
      </c>
      <c r="M1284" s="26">
        <f>IF(K1284="Válida",IF(L1284&lt;=cfgTolerancia,"Sim","Não"),"")</f>
        <v>0</v>
      </c>
      <c r="N1284" s="26">
        <f>IF(A1284="","",MES!D1284)</f>
        <v>0</v>
      </c>
      <c r="O1284" s="25">
        <f>IF(K1284="Válida",A1284,NA())</f>
        <v>0</v>
      </c>
      <c r="P1284" s="27">
        <f>IF(K1284="Válida",C1284,NA())</f>
        <v>0</v>
      </c>
      <c r="Q1284" s="27">
        <f>IF(K1284="Válida",I1284,NA())</f>
        <v>0</v>
      </c>
      <c r="R1284" s="27">
        <f>IF(K1284="Válida",J1284,NA())</f>
        <v>0</v>
      </c>
      <c r="S1284" s="27">
        <f>IF(K1284="Válida",C1284,"")</f>
        <v>0</v>
      </c>
      <c r="T1284" s="27">
        <f>IF(K1284="Válida",I1284,"")</f>
        <v>0</v>
      </c>
      <c r="U1284" s="27">
        <f>IF(K1284="Válida",J1284,"")</f>
        <v>0</v>
      </c>
    </row>
    <row r="1285" spans="1:21">
      <c r="A1285" s="25">
        <f>IF(MES!A1285="","",MES!C1285/48)</f>
        <v>0</v>
      </c>
      <c r="B1285" s="26">
        <f>IF(A1285="","",TEXT((N1285*4+cfgDeslocamento)/48,"hh:mm")&amp;" a "&amp;TEXT(A1285,"hh:mm"))</f>
        <v>0</v>
      </c>
      <c r="C1285" s="27">
        <f>IF(A1285="","",MES!B1285)</f>
        <v>0</v>
      </c>
      <c r="D1285" s="27">
        <f>IF(A1285="","",IFERROR(AVERAGEIFS(Prensa!$B$2:$B$5001,Prensa!$E$2:$E$5001,N1285,Prensa!$F$2:$F$5001,1,Prensa!$G$2:$G$5001,1),""))</f>
        <v>0</v>
      </c>
      <c r="E1285" s="27">
        <f>IF(A1285="","",IFERROR(AVERAGEIFS(Prensa!$B$2:$B$5001,Prensa!$E$2:$E$5001,N1285,Prensa!$F$2:$F$5001,2,Prensa!$G$2:$G$5001,1),""))</f>
        <v>0</v>
      </c>
      <c r="F1285" s="27">
        <f>IF(A1285="","",IFERROR(AVERAGEIFS(Prensa!$B$2:$B$5001,Prensa!$E$2:$E$5001,N1285,Prensa!$F$2:$F$5001,3,Prensa!$G$2:$G$5001,1),""))</f>
        <v>0</v>
      </c>
      <c r="G1285" s="27">
        <f>IF(A1285="","",IFERROR(AVERAGEIFS(Prensa!$B$2:$B$5001,Prensa!$E$2:$E$5001,N1285,Prensa!$F$2:$F$5001,4,Prensa!$G$2:$G$5001,1),""))</f>
        <v>0</v>
      </c>
      <c r="H1285" s="26">
        <f>IF(A1285="","",COUNT(D1285:G1285))</f>
        <v>0</v>
      </c>
      <c r="I1285" s="27">
        <f>IF(A1285="","",IF(H1285=0,"",AVERAGE(D1285:G1285)))</f>
        <v>0</v>
      </c>
      <c r="J1285" s="27">
        <f>IF(OR(I1285="",C1285=""),"",I1285-C1285)</f>
        <v>0</v>
      </c>
      <c r="K1285" s="26">
        <f>IF(A1285="","",IF(MES!E1285&lt;&gt;4,"Horário do MES fora do padrão",IF(H1285&lt;cfgMinCortes,"Cortes insuficientes","Válida")))</f>
        <v>0</v>
      </c>
      <c r="L1285" s="27">
        <f>IF(K1285="Válida",ABS(J1285),"")</f>
        <v>0</v>
      </c>
      <c r="M1285" s="26">
        <f>IF(K1285="Válida",IF(L1285&lt;=cfgTolerancia,"Sim","Não"),"")</f>
        <v>0</v>
      </c>
      <c r="N1285" s="26">
        <f>IF(A1285="","",MES!D1285)</f>
        <v>0</v>
      </c>
      <c r="O1285" s="25">
        <f>IF(K1285="Válida",A1285,NA())</f>
        <v>0</v>
      </c>
      <c r="P1285" s="27">
        <f>IF(K1285="Válida",C1285,NA())</f>
        <v>0</v>
      </c>
      <c r="Q1285" s="27">
        <f>IF(K1285="Válida",I1285,NA())</f>
        <v>0</v>
      </c>
      <c r="R1285" s="27">
        <f>IF(K1285="Válida",J1285,NA())</f>
        <v>0</v>
      </c>
      <c r="S1285" s="27">
        <f>IF(K1285="Válida",C1285,"")</f>
        <v>0</v>
      </c>
      <c r="T1285" s="27">
        <f>IF(K1285="Válida",I1285,"")</f>
        <v>0</v>
      </c>
      <c r="U1285" s="27">
        <f>IF(K1285="Válida",J1285,"")</f>
        <v>0</v>
      </c>
    </row>
    <row r="1286" spans="1:21">
      <c r="A1286" s="25">
        <f>IF(MES!A1286="","",MES!C1286/48)</f>
        <v>0</v>
      </c>
      <c r="B1286" s="26">
        <f>IF(A1286="","",TEXT((N1286*4+cfgDeslocamento)/48,"hh:mm")&amp;" a "&amp;TEXT(A1286,"hh:mm"))</f>
        <v>0</v>
      </c>
      <c r="C1286" s="27">
        <f>IF(A1286="","",MES!B1286)</f>
        <v>0</v>
      </c>
      <c r="D1286" s="27">
        <f>IF(A1286="","",IFERROR(AVERAGEIFS(Prensa!$B$2:$B$5001,Prensa!$E$2:$E$5001,N1286,Prensa!$F$2:$F$5001,1,Prensa!$G$2:$G$5001,1),""))</f>
        <v>0</v>
      </c>
      <c r="E1286" s="27">
        <f>IF(A1286="","",IFERROR(AVERAGEIFS(Prensa!$B$2:$B$5001,Prensa!$E$2:$E$5001,N1286,Prensa!$F$2:$F$5001,2,Prensa!$G$2:$G$5001,1),""))</f>
        <v>0</v>
      </c>
      <c r="F1286" s="27">
        <f>IF(A1286="","",IFERROR(AVERAGEIFS(Prensa!$B$2:$B$5001,Prensa!$E$2:$E$5001,N1286,Prensa!$F$2:$F$5001,3,Prensa!$G$2:$G$5001,1),""))</f>
        <v>0</v>
      </c>
      <c r="G1286" s="27">
        <f>IF(A1286="","",IFERROR(AVERAGEIFS(Prensa!$B$2:$B$5001,Prensa!$E$2:$E$5001,N1286,Prensa!$F$2:$F$5001,4,Prensa!$G$2:$G$5001,1),""))</f>
        <v>0</v>
      </c>
      <c r="H1286" s="26">
        <f>IF(A1286="","",COUNT(D1286:G1286))</f>
        <v>0</v>
      </c>
      <c r="I1286" s="27">
        <f>IF(A1286="","",IF(H1286=0,"",AVERAGE(D1286:G1286)))</f>
        <v>0</v>
      </c>
      <c r="J1286" s="27">
        <f>IF(OR(I1286="",C1286=""),"",I1286-C1286)</f>
        <v>0</v>
      </c>
      <c r="K1286" s="26">
        <f>IF(A1286="","",IF(MES!E1286&lt;&gt;4,"Horário do MES fora do padrão",IF(H1286&lt;cfgMinCortes,"Cortes insuficientes","Válida")))</f>
        <v>0</v>
      </c>
      <c r="L1286" s="27">
        <f>IF(K1286="Válida",ABS(J1286),"")</f>
        <v>0</v>
      </c>
      <c r="M1286" s="26">
        <f>IF(K1286="Válida",IF(L1286&lt;=cfgTolerancia,"Sim","Não"),"")</f>
        <v>0</v>
      </c>
      <c r="N1286" s="26">
        <f>IF(A1286="","",MES!D1286)</f>
        <v>0</v>
      </c>
      <c r="O1286" s="25">
        <f>IF(K1286="Válida",A1286,NA())</f>
        <v>0</v>
      </c>
      <c r="P1286" s="27">
        <f>IF(K1286="Válida",C1286,NA())</f>
        <v>0</v>
      </c>
      <c r="Q1286" s="27">
        <f>IF(K1286="Válida",I1286,NA())</f>
        <v>0</v>
      </c>
      <c r="R1286" s="27">
        <f>IF(K1286="Válida",J1286,NA())</f>
        <v>0</v>
      </c>
      <c r="S1286" s="27">
        <f>IF(K1286="Válida",C1286,"")</f>
        <v>0</v>
      </c>
      <c r="T1286" s="27">
        <f>IF(K1286="Válida",I1286,"")</f>
        <v>0</v>
      </c>
      <c r="U1286" s="27">
        <f>IF(K1286="Válida",J1286,"")</f>
        <v>0</v>
      </c>
    </row>
    <row r="1287" spans="1:21">
      <c r="A1287" s="25">
        <f>IF(MES!A1287="","",MES!C1287/48)</f>
        <v>0</v>
      </c>
      <c r="B1287" s="26">
        <f>IF(A1287="","",TEXT((N1287*4+cfgDeslocamento)/48,"hh:mm")&amp;" a "&amp;TEXT(A1287,"hh:mm"))</f>
        <v>0</v>
      </c>
      <c r="C1287" s="27">
        <f>IF(A1287="","",MES!B1287)</f>
        <v>0</v>
      </c>
      <c r="D1287" s="27">
        <f>IF(A1287="","",IFERROR(AVERAGEIFS(Prensa!$B$2:$B$5001,Prensa!$E$2:$E$5001,N1287,Prensa!$F$2:$F$5001,1,Prensa!$G$2:$G$5001,1),""))</f>
        <v>0</v>
      </c>
      <c r="E1287" s="27">
        <f>IF(A1287="","",IFERROR(AVERAGEIFS(Prensa!$B$2:$B$5001,Prensa!$E$2:$E$5001,N1287,Prensa!$F$2:$F$5001,2,Prensa!$G$2:$G$5001,1),""))</f>
        <v>0</v>
      </c>
      <c r="F1287" s="27">
        <f>IF(A1287="","",IFERROR(AVERAGEIFS(Prensa!$B$2:$B$5001,Prensa!$E$2:$E$5001,N1287,Prensa!$F$2:$F$5001,3,Prensa!$G$2:$G$5001,1),""))</f>
        <v>0</v>
      </c>
      <c r="G1287" s="27">
        <f>IF(A1287="","",IFERROR(AVERAGEIFS(Prensa!$B$2:$B$5001,Prensa!$E$2:$E$5001,N1287,Prensa!$F$2:$F$5001,4,Prensa!$G$2:$G$5001,1),""))</f>
        <v>0</v>
      </c>
      <c r="H1287" s="26">
        <f>IF(A1287="","",COUNT(D1287:G1287))</f>
        <v>0</v>
      </c>
      <c r="I1287" s="27">
        <f>IF(A1287="","",IF(H1287=0,"",AVERAGE(D1287:G1287)))</f>
        <v>0</v>
      </c>
      <c r="J1287" s="27">
        <f>IF(OR(I1287="",C1287=""),"",I1287-C1287)</f>
        <v>0</v>
      </c>
      <c r="K1287" s="26">
        <f>IF(A1287="","",IF(MES!E1287&lt;&gt;4,"Horário do MES fora do padrão",IF(H1287&lt;cfgMinCortes,"Cortes insuficientes","Válida")))</f>
        <v>0</v>
      </c>
      <c r="L1287" s="27">
        <f>IF(K1287="Válida",ABS(J1287),"")</f>
        <v>0</v>
      </c>
      <c r="M1287" s="26">
        <f>IF(K1287="Válida",IF(L1287&lt;=cfgTolerancia,"Sim","Não"),"")</f>
        <v>0</v>
      </c>
      <c r="N1287" s="26">
        <f>IF(A1287="","",MES!D1287)</f>
        <v>0</v>
      </c>
      <c r="O1287" s="25">
        <f>IF(K1287="Válida",A1287,NA())</f>
        <v>0</v>
      </c>
      <c r="P1287" s="27">
        <f>IF(K1287="Válida",C1287,NA())</f>
        <v>0</v>
      </c>
      <c r="Q1287" s="27">
        <f>IF(K1287="Válida",I1287,NA())</f>
        <v>0</v>
      </c>
      <c r="R1287" s="27">
        <f>IF(K1287="Válida",J1287,NA())</f>
        <v>0</v>
      </c>
      <c r="S1287" s="27">
        <f>IF(K1287="Válida",C1287,"")</f>
        <v>0</v>
      </c>
      <c r="T1287" s="27">
        <f>IF(K1287="Válida",I1287,"")</f>
        <v>0</v>
      </c>
      <c r="U1287" s="27">
        <f>IF(K1287="Válida",J1287,"")</f>
        <v>0</v>
      </c>
    </row>
    <row r="1288" spans="1:21">
      <c r="A1288" s="25">
        <f>IF(MES!A1288="","",MES!C1288/48)</f>
        <v>0</v>
      </c>
      <c r="B1288" s="26">
        <f>IF(A1288="","",TEXT((N1288*4+cfgDeslocamento)/48,"hh:mm")&amp;" a "&amp;TEXT(A1288,"hh:mm"))</f>
        <v>0</v>
      </c>
      <c r="C1288" s="27">
        <f>IF(A1288="","",MES!B1288)</f>
        <v>0</v>
      </c>
      <c r="D1288" s="27">
        <f>IF(A1288="","",IFERROR(AVERAGEIFS(Prensa!$B$2:$B$5001,Prensa!$E$2:$E$5001,N1288,Prensa!$F$2:$F$5001,1,Prensa!$G$2:$G$5001,1),""))</f>
        <v>0</v>
      </c>
      <c r="E1288" s="27">
        <f>IF(A1288="","",IFERROR(AVERAGEIFS(Prensa!$B$2:$B$5001,Prensa!$E$2:$E$5001,N1288,Prensa!$F$2:$F$5001,2,Prensa!$G$2:$G$5001,1),""))</f>
        <v>0</v>
      </c>
      <c r="F1288" s="27">
        <f>IF(A1288="","",IFERROR(AVERAGEIFS(Prensa!$B$2:$B$5001,Prensa!$E$2:$E$5001,N1288,Prensa!$F$2:$F$5001,3,Prensa!$G$2:$G$5001,1),""))</f>
        <v>0</v>
      </c>
      <c r="G1288" s="27">
        <f>IF(A1288="","",IFERROR(AVERAGEIFS(Prensa!$B$2:$B$5001,Prensa!$E$2:$E$5001,N1288,Prensa!$F$2:$F$5001,4,Prensa!$G$2:$G$5001,1),""))</f>
        <v>0</v>
      </c>
      <c r="H1288" s="26">
        <f>IF(A1288="","",COUNT(D1288:G1288))</f>
        <v>0</v>
      </c>
      <c r="I1288" s="27">
        <f>IF(A1288="","",IF(H1288=0,"",AVERAGE(D1288:G1288)))</f>
        <v>0</v>
      </c>
      <c r="J1288" s="27">
        <f>IF(OR(I1288="",C1288=""),"",I1288-C1288)</f>
        <v>0</v>
      </c>
      <c r="K1288" s="26">
        <f>IF(A1288="","",IF(MES!E1288&lt;&gt;4,"Horário do MES fora do padrão",IF(H1288&lt;cfgMinCortes,"Cortes insuficientes","Válida")))</f>
        <v>0</v>
      </c>
      <c r="L1288" s="27">
        <f>IF(K1288="Válida",ABS(J1288),"")</f>
        <v>0</v>
      </c>
      <c r="M1288" s="26">
        <f>IF(K1288="Válida",IF(L1288&lt;=cfgTolerancia,"Sim","Não"),"")</f>
        <v>0</v>
      </c>
      <c r="N1288" s="26">
        <f>IF(A1288="","",MES!D1288)</f>
        <v>0</v>
      </c>
      <c r="O1288" s="25">
        <f>IF(K1288="Válida",A1288,NA())</f>
        <v>0</v>
      </c>
      <c r="P1288" s="27">
        <f>IF(K1288="Válida",C1288,NA())</f>
        <v>0</v>
      </c>
      <c r="Q1288" s="27">
        <f>IF(K1288="Válida",I1288,NA())</f>
        <v>0</v>
      </c>
      <c r="R1288" s="27">
        <f>IF(K1288="Válida",J1288,NA())</f>
        <v>0</v>
      </c>
      <c r="S1288" s="27">
        <f>IF(K1288="Válida",C1288,"")</f>
        <v>0</v>
      </c>
      <c r="T1288" s="27">
        <f>IF(K1288="Válida",I1288,"")</f>
        <v>0</v>
      </c>
      <c r="U1288" s="27">
        <f>IF(K1288="Válida",J1288,"")</f>
        <v>0</v>
      </c>
    </row>
    <row r="1289" spans="1:21">
      <c r="A1289" s="25">
        <f>IF(MES!A1289="","",MES!C1289/48)</f>
        <v>0</v>
      </c>
      <c r="B1289" s="26">
        <f>IF(A1289="","",TEXT((N1289*4+cfgDeslocamento)/48,"hh:mm")&amp;" a "&amp;TEXT(A1289,"hh:mm"))</f>
        <v>0</v>
      </c>
      <c r="C1289" s="27">
        <f>IF(A1289="","",MES!B1289)</f>
        <v>0</v>
      </c>
      <c r="D1289" s="27">
        <f>IF(A1289="","",IFERROR(AVERAGEIFS(Prensa!$B$2:$B$5001,Prensa!$E$2:$E$5001,N1289,Prensa!$F$2:$F$5001,1,Prensa!$G$2:$G$5001,1),""))</f>
        <v>0</v>
      </c>
      <c r="E1289" s="27">
        <f>IF(A1289="","",IFERROR(AVERAGEIFS(Prensa!$B$2:$B$5001,Prensa!$E$2:$E$5001,N1289,Prensa!$F$2:$F$5001,2,Prensa!$G$2:$G$5001,1),""))</f>
        <v>0</v>
      </c>
      <c r="F1289" s="27">
        <f>IF(A1289="","",IFERROR(AVERAGEIFS(Prensa!$B$2:$B$5001,Prensa!$E$2:$E$5001,N1289,Prensa!$F$2:$F$5001,3,Prensa!$G$2:$G$5001,1),""))</f>
        <v>0</v>
      </c>
      <c r="G1289" s="27">
        <f>IF(A1289="","",IFERROR(AVERAGEIFS(Prensa!$B$2:$B$5001,Prensa!$E$2:$E$5001,N1289,Prensa!$F$2:$F$5001,4,Prensa!$G$2:$G$5001,1),""))</f>
        <v>0</v>
      </c>
      <c r="H1289" s="26">
        <f>IF(A1289="","",COUNT(D1289:G1289))</f>
        <v>0</v>
      </c>
      <c r="I1289" s="27">
        <f>IF(A1289="","",IF(H1289=0,"",AVERAGE(D1289:G1289)))</f>
        <v>0</v>
      </c>
      <c r="J1289" s="27">
        <f>IF(OR(I1289="",C1289=""),"",I1289-C1289)</f>
        <v>0</v>
      </c>
      <c r="K1289" s="26">
        <f>IF(A1289="","",IF(MES!E1289&lt;&gt;4,"Horário do MES fora do padrão",IF(H1289&lt;cfgMinCortes,"Cortes insuficientes","Válida")))</f>
        <v>0</v>
      </c>
      <c r="L1289" s="27">
        <f>IF(K1289="Válida",ABS(J1289),"")</f>
        <v>0</v>
      </c>
      <c r="M1289" s="26">
        <f>IF(K1289="Válida",IF(L1289&lt;=cfgTolerancia,"Sim","Não"),"")</f>
        <v>0</v>
      </c>
      <c r="N1289" s="26">
        <f>IF(A1289="","",MES!D1289)</f>
        <v>0</v>
      </c>
      <c r="O1289" s="25">
        <f>IF(K1289="Válida",A1289,NA())</f>
        <v>0</v>
      </c>
      <c r="P1289" s="27">
        <f>IF(K1289="Válida",C1289,NA())</f>
        <v>0</v>
      </c>
      <c r="Q1289" s="27">
        <f>IF(K1289="Válida",I1289,NA())</f>
        <v>0</v>
      </c>
      <c r="R1289" s="27">
        <f>IF(K1289="Válida",J1289,NA())</f>
        <v>0</v>
      </c>
      <c r="S1289" s="27">
        <f>IF(K1289="Válida",C1289,"")</f>
        <v>0</v>
      </c>
      <c r="T1289" s="27">
        <f>IF(K1289="Válida",I1289,"")</f>
        <v>0</v>
      </c>
      <c r="U1289" s="27">
        <f>IF(K1289="Válida",J1289,"")</f>
        <v>0</v>
      </c>
    </row>
    <row r="1290" spans="1:21">
      <c r="A1290" s="25">
        <f>IF(MES!A1290="","",MES!C1290/48)</f>
        <v>0</v>
      </c>
      <c r="B1290" s="26">
        <f>IF(A1290="","",TEXT((N1290*4+cfgDeslocamento)/48,"hh:mm")&amp;" a "&amp;TEXT(A1290,"hh:mm"))</f>
        <v>0</v>
      </c>
      <c r="C1290" s="27">
        <f>IF(A1290="","",MES!B1290)</f>
        <v>0</v>
      </c>
      <c r="D1290" s="27">
        <f>IF(A1290="","",IFERROR(AVERAGEIFS(Prensa!$B$2:$B$5001,Prensa!$E$2:$E$5001,N1290,Prensa!$F$2:$F$5001,1,Prensa!$G$2:$G$5001,1),""))</f>
        <v>0</v>
      </c>
      <c r="E1290" s="27">
        <f>IF(A1290="","",IFERROR(AVERAGEIFS(Prensa!$B$2:$B$5001,Prensa!$E$2:$E$5001,N1290,Prensa!$F$2:$F$5001,2,Prensa!$G$2:$G$5001,1),""))</f>
        <v>0</v>
      </c>
      <c r="F1290" s="27">
        <f>IF(A1290="","",IFERROR(AVERAGEIFS(Prensa!$B$2:$B$5001,Prensa!$E$2:$E$5001,N1290,Prensa!$F$2:$F$5001,3,Prensa!$G$2:$G$5001,1),""))</f>
        <v>0</v>
      </c>
      <c r="G1290" s="27">
        <f>IF(A1290="","",IFERROR(AVERAGEIFS(Prensa!$B$2:$B$5001,Prensa!$E$2:$E$5001,N1290,Prensa!$F$2:$F$5001,4,Prensa!$G$2:$G$5001,1),""))</f>
        <v>0</v>
      </c>
      <c r="H1290" s="26">
        <f>IF(A1290="","",COUNT(D1290:G1290))</f>
        <v>0</v>
      </c>
      <c r="I1290" s="27">
        <f>IF(A1290="","",IF(H1290=0,"",AVERAGE(D1290:G1290)))</f>
        <v>0</v>
      </c>
      <c r="J1290" s="27">
        <f>IF(OR(I1290="",C1290=""),"",I1290-C1290)</f>
        <v>0</v>
      </c>
      <c r="K1290" s="26">
        <f>IF(A1290="","",IF(MES!E1290&lt;&gt;4,"Horário do MES fora do padrão",IF(H1290&lt;cfgMinCortes,"Cortes insuficientes","Válida")))</f>
        <v>0</v>
      </c>
      <c r="L1290" s="27">
        <f>IF(K1290="Válida",ABS(J1290),"")</f>
        <v>0</v>
      </c>
      <c r="M1290" s="26">
        <f>IF(K1290="Válida",IF(L1290&lt;=cfgTolerancia,"Sim","Não"),"")</f>
        <v>0</v>
      </c>
      <c r="N1290" s="26">
        <f>IF(A1290="","",MES!D1290)</f>
        <v>0</v>
      </c>
      <c r="O1290" s="25">
        <f>IF(K1290="Válida",A1290,NA())</f>
        <v>0</v>
      </c>
      <c r="P1290" s="27">
        <f>IF(K1290="Válida",C1290,NA())</f>
        <v>0</v>
      </c>
      <c r="Q1290" s="27">
        <f>IF(K1290="Válida",I1290,NA())</f>
        <v>0</v>
      </c>
      <c r="R1290" s="27">
        <f>IF(K1290="Válida",J1290,NA())</f>
        <v>0</v>
      </c>
      <c r="S1290" s="27">
        <f>IF(K1290="Válida",C1290,"")</f>
        <v>0</v>
      </c>
      <c r="T1290" s="27">
        <f>IF(K1290="Válida",I1290,"")</f>
        <v>0</v>
      </c>
      <c r="U1290" s="27">
        <f>IF(K1290="Válida",J1290,"")</f>
        <v>0</v>
      </c>
    </row>
    <row r="1291" spans="1:21">
      <c r="A1291" s="25">
        <f>IF(MES!A1291="","",MES!C1291/48)</f>
        <v>0</v>
      </c>
      <c r="B1291" s="26">
        <f>IF(A1291="","",TEXT((N1291*4+cfgDeslocamento)/48,"hh:mm")&amp;" a "&amp;TEXT(A1291,"hh:mm"))</f>
        <v>0</v>
      </c>
      <c r="C1291" s="27">
        <f>IF(A1291="","",MES!B1291)</f>
        <v>0</v>
      </c>
      <c r="D1291" s="27">
        <f>IF(A1291="","",IFERROR(AVERAGEIFS(Prensa!$B$2:$B$5001,Prensa!$E$2:$E$5001,N1291,Prensa!$F$2:$F$5001,1,Prensa!$G$2:$G$5001,1),""))</f>
        <v>0</v>
      </c>
      <c r="E1291" s="27">
        <f>IF(A1291="","",IFERROR(AVERAGEIFS(Prensa!$B$2:$B$5001,Prensa!$E$2:$E$5001,N1291,Prensa!$F$2:$F$5001,2,Prensa!$G$2:$G$5001,1),""))</f>
        <v>0</v>
      </c>
      <c r="F1291" s="27">
        <f>IF(A1291="","",IFERROR(AVERAGEIFS(Prensa!$B$2:$B$5001,Prensa!$E$2:$E$5001,N1291,Prensa!$F$2:$F$5001,3,Prensa!$G$2:$G$5001,1),""))</f>
        <v>0</v>
      </c>
      <c r="G1291" s="27">
        <f>IF(A1291="","",IFERROR(AVERAGEIFS(Prensa!$B$2:$B$5001,Prensa!$E$2:$E$5001,N1291,Prensa!$F$2:$F$5001,4,Prensa!$G$2:$G$5001,1),""))</f>
        <v>0</v>
      </c>
      <c r="H1291" s="26">
        <f>IF(A1291="","",COUNT(D1291:G1291))</f>
        <v>0</v>
      </c>
      <c r="I1291" s="27">
        <f>IF(A1291="","",IF(H1291=0,"",AVERAGE(D1291:G1291)))</f>
        <v>0</v>
      </c>
      <c r="J1291" s="27">
        <f>IF(OR(I1291="",C1291=""),"",I1291-C1291)</f>
        <v>0</v>
      </c>
      <c r="K1291" s="26">
        <f>IF(A1291="","",IF(MES!E1291&lt;&gt;4,"Horário do MES fora do padrão",IF(H1291&lt;cfgMinCortes,"Cortes insuficientes","Válida")))</f>
        <v>0</v>
      </c>
      <c r="L1291" s="27">
        <f>IF(K1291="Válida",ABS(J1291),"")</f>
        <v>0</v>
      </c>
      <c r="M1291" s="26">
        <f>IF(K1291="Válida",IF(L1291&lt;=cfgTolerancia,"Sim","Não"),"")</f>
        <v>0</v>
      </c>
      <c r="N1291" s="26">
        <f>IF(A1291="","",MES!D1291)</f>
        <v>0</v>
      </c>
      <c r="O1291" s="25">
        <f>IF(K1291="Válida",A1291,NA())</f>
        <v>0</v>
      </c>
      <c r="P1291" s="27">
        <f>IF(K1291="Válida",C1291,NA())</f>
        <v>0</v>
      </c>
      <c r="Q1291" s="27">
        <f>IF(K1291="Válida",I1291,NA())</f>
        <v>0</v>
      </c>
      <c r="R1291" s="27">
        <f>IF(K1291="Válida",J1291,NA())</f>
        <v>0</v>
      </c>
      <c r="S1291" s="27">
        <f>IF(K1291="Válida",C1291,"")</f>
        <v>0</v>
      </c>
      <c r="T1291" s="27">
        <f>IF(K1291="Válida",I1291,"")</f>
        <v>0</v>
      </c>
      <c r="U1291" s="27">
        <f>IF(K1291="Válida",J1291,"")</f>
        <v>0</v>
      </c>
    </row>
    <row r="1292" spans="1:21">
      <c r="A1292" s="25">
        <f>IF(MES!A1292="","",MES!C1292/48)</f>
        <v>0</v>
      </c>
      <c r="B1292" s="26">
        <f>IF(A1292="","",TEXT((N1292*4+cfgDeslocamento)/48,"hh:mm")&amp;" a "&amp;TEXT(A1292,"hh:mm"))</f>
        <v>0</v>
      </c>
      <c r="C1292" s="27">
        <f>IF(A1292="","",MES!B1292)</f>
        <v>0</v>
      </c>
      <c r="D1292" s="27">
        <f>IF(A1292="","",IFERROR(AVERAGEIFS(Prensa!$B$2:$B$5001,Prensa!$E$2:$E$5001,N1292,Prensa!$F$2:$F$5001,1,Prensa!$G$2:$G$5001,1),""))</f>
        <v>0</v>
      </c>
      <c r="E1292" s="27">
        <f>IF(A1292="","",IFERROR(AVERAGEIFS(Prensa!$B$2:$B$5001,Prensa!$E$2:$E$5001,N1292,Prensa!$F$2:$F$5001,2,Prensa!$G$2:$G$5001,1),""))</f>
        <v>0</v>
      </c>
      <c r="F1292" s="27">
        <f>IF(A1292="","",IFERROR(AVERAGEIFS(Prensa!$B$2:$B$5001,Prensa!$E$2:$E$5001,N1292,Prensa!$F$2:$F$5001,3,Prensa!$G$2:$G$5001,1),""))</f>
        <v>0</v>
      </c>
      <c r="G1292" s="27">
        <f>IF(A1292="","",IFERROR(AVERAGEIFS(Prensa!$B$2:$B$5001,Prensa!$E$2:$E$5001,N1292,Prensa!$F$2:$F$5001,4,Prensa!$G$2:$G$5001,1),""))</f>
        <v>0</v>
      </c>
      <c r="H1292" s="26">
        <f>IF(A1292="","",COUNT(D1292:G1292))</f>
        <v>0</v>
      </c>
      <c r="I1292" s="27">
        <f>IF(A1292="","",IF(H1292=0,"",AVERAGE(D1292:G1292)))</f>
        <v>0</v>
      </c>
      <c r="J1292" s="27">
        <f>IF(OR(I1292="",C1292=""),"",I1292-C1292)</f>
        <v>0</v>
      </c>
      <c r="K1292" s="26">
        <f>IF(A1292="","",IF(MES!E1292&lt;&gt;4,"Horário do MES fora do padrão",IF(H1292&lt;cfgMinCortes,"Cortes insuficientes","Válida")))</f>
        <v>0</v>
      </c>
      <c r="L1292" s="27">
        <f>IF(K1292="Válida",ABS(J1292),"")</f>
        <v>0</v>
      </c>
      <c r="M1292" s="26">
        <f>IF(K1292="Válida",IF(L1292&lt;=cfgTolerancia,"Sim","Não"),"")</f>
        <v>0</v>
      </c>
      <c r="N1292" s="26">
        <f>IF(A1292="","",MES!D1292)</f>
        <v>0</v>
      </c>
      <c r="O1292" s="25">
        <f>IF(K1292="Válida",A1292,NA())</f>
        <v>0</v>
      </c>
      <c r="P1292" s="27">
        <f>IF(K1292="Válida",C1292,NA())</f>
        <v>0</v>
      </c>
      <c r="Q1292" s="27">
        <f>IF(K1292="Válida",I1292,NA())</f>
        <v>0</v>
      </c>
      <c r="R1292" s="27">
        <f>IF(K1292="Válida",J1292,NA())</f>
        <v>0</v>
      </c>
      <c r="S1292" s="27">
        <f>IF(K1292="Válida",C1292,"")</f>
        <v>0</v>
      </c>
      <c r="T1292" s="27">
        <f>IF(K1292="Válida",I1292,"")</f>
        <v>0</v>
      </c>
      <c r="U1292" s="27">
        <f>IF(K1292="Válida",J1292,"")</f>
        <v>0</v>
      </c>
    </row>
    <row r="1293" spans="1:21">
      <c r="A1293" s="25">
        <f>IF(MES!A1293="","",MES!C1293/48)</f>
        <v>0</v>
      </c>
      <c r="B1293" s="26">
        <f>IF(A1293="","",TEXT((N1293*4+cfgDeslocamento)/48,"hh:mm")&amp;" a "&amp;TEXT(A1293,"hh:mm"))</f>
        <v>0</v>
      </c>
      <c r="C1293" s="27">
        <f>IF(A1293="","",MES!B1293)</f>
        <v>0</v>
      </c>
      <c r="D1293" s="27">
        <f>IF(A1293="","",IFERROR(AVERAGEIFS(Prensa!$B$2:$B$5001,Prensa!$E$2:$E$5001,N1293,Prensa!$F$2:$F$5001,1,Prensa!$G$2:$G$5001,1),""))</f>
        <v>0</v>
      </c>
      <c r="E1293" s="27">
        <f>IF(A1293="","",IFERROR(AVERAGEIFS(Prensa!$B$2:$B$5001,Prensa!$E$2:$E$5001,N1293,Prensa!$F$2:$F$5001,2,Prensa!$G$2:$G$5001,1),""))</f>
        <v>0</v>
      </c>
      <c r="F1293" s="27">
        <f>IF(A1293="","",IFERROR(AVERAGEIFS(Prensa!$B$2:$B$5001,Prensa!$E$2:$E$5001,N1293,Prensa!$F$2:$F$5001,3,Prensa!$G$2:$G$5001,1),""))</f>
        <v>0</v>
      </c>
      <c r="G1293" s="27">
        <f>IF(A1293="","",IFERROR(AVERAGEIFS(Prensa!$B$2:$B$5001,Prensa!$E$2:$E$5001,N1293,Prensa!$F$2:$F$5001,4,Prensa!$G$2:$G$5001,1),""))</f>
        <v>0</v>
      </c>
      <c r="H1293" s="26">
        <f>IF(A1293="","",COUNT(D1293:G1293))</f>
        <v>0</v>
      </c>
      <c r="I1293" s="27">
        <f>IF(A1293="","",IF(H1293=0,"",AVERAGE(D1293:G1293)))</f>
        <v>0</v>
      </c>
      <c r="J1293" s="27">
        <f>IF(OR(I1293="",C1293=""),"",I1293-C1293)</f>
        <v>0</v>
      </c>
      <c r="K1293" s="26">
        <f>IF(A1293="","",IF(MES!E1293&lt;&gt;4,"Horário do MES fora do padrão",IF(H1293&lt;cfgMinCortes,"Cortes insuficientes","Válida")))</f>
        <v>0</v>
      </c>
      <c r="L1293" s="27">
        <f>IF(K1293="Válida",ABS(J1293),"")</f>
        <v>0</v>
      </c>
      <c r="M1293" s="26">
        <f>IF(K1293="Válida",IF(L1293&lt;=cfgTolerancia,"Sim","Não"),"")</f>
        <v>0</v>
      </c>
      <c r="N1293" s="26">
        <f>IF(A1293="","",MES!D1293)</f>
        <v>0</v>
      </c>
      <c r="O1293" s="25">
        <f>IF(K1293="Válida",A1293,NA())</f>
        <v>0</v>
      </c>
      <c r="P1293" s="27">
        <f>IF(K1293="Válida",C1293,NA())</f>
        <v>0</v>
      </c>
      <c r="Q1293" s="27">
        <f>IF(K1293="Válida",I1293,NA())</f>
        <v>0</v>
      </c>
      <c r="R1293" s="27">
        <f>IF(K1293="Válida",J1293,NA())</f>
        <v>0</v>
      </c>
      <c r="S1293" s="27">
        <f>IF(K1293="Válida",C1293,"")</f>
        <v>0</v>
      </c>
      <c r="T1293" s="27">
        <f>IF(K1293="Válida",I1293,"")</f>
        <v>0</v>
      </c>
      <c r="U1293" s="27">
        <f>IF(K1293="Válida",J1293,"")</f>
        <v>0</v>
      </c>
    </row>
    <row r="1294" spans="1:21">
      <c r="A1294" s="25">
        <f>IF(MES!A1294="","",MES!C1294/48)</f>
        <v>0</v>
      </c>
      <c r="B1294" s="26">
        <f>IF(A1294="","",TEXT((N1294*4+cfgDeslocamento)/48,"hh:mm")&amp;" a "&amp;TEXT(A1294,"hh:mm"))</f>
        <v>0</v>
      </c>
      <c r="C1294" s="27">
        <f>IF(A1294="","",MES!B1294)</f>
        <v>0</v>
      </c>
      <c r="D1294" s="27">
        <f>IF(A1294="","",IFERROR(AVERAGEIFS(Prensa!$B$2:$B$5001,Prensa!$E$2:$E$5001,N1294,Prensa!$F$2:$F$5001,1,Prensa!$G$2:$G$5001,1),""))</f>
        <v>0</v>
      </c>
      <c r="E1294" s="27">
        <f>IF(A1294="","",IFERROR(AVERAGEIFS(Prensa!$B$2:$B$5001,Prensa!$E$2:$E$5001,N1294,Prensa!$F$2:$F$5001,2,Prensa!$G$2:$G$5001,1),""))</f>
        <v>0</v>
      </c>
      <c r="F1294" s="27">
        <f>IF(A1294="","",IFERROR(AVERAGEIFS(Prensa!$B$2:$B$5001,Prensa!$E$2:$E$5001,N1294,Prensa!$F$2:$F$5001,3,Prensa!$G$2:$G$5001,1),""))</f>
        <v>0</v>
      </c>
      <c r="G1294" s="27">
        <f>IF(A1294="","",IFERROR(AVERAGEIFS(Prensa!$B$2:$B$5001,Prensa!$E$2:$E$5001,N1294,Prensa!$F$2:$F$5001,4,Prensa!$G$2:$G$5001,1),""))</f>
        <v>0</v>
      </c>
      <c r="H1294" s="26">
        <f>IF(A1294="","",COUNT(D1294:G1294))</f>
        <v>0</v>
      </c>
      <c r="I1294" s="27">
        <f>IF(A1294="","",IF(H1294=0,"",AVERAGE(D1294:G1294)))</f>
        <v>0</v>
      </c>
      <c r="J1294" s="27">
        <f>IF(OR(I1294="",C1294=""),"",I1294-C1294)</f>
        <v>0</v>
      </c>
      <c r="K1294" s="26">
        <f>IF(A1294="","",IF(MES!E1294&lt;&gt;4,"Horário do MES fora do padrão",IF(H1294&lt;cfgMinCortes,"Cortes insuficientes","Válida")))</f>
        <v>0</v>
      </c>
      <c r="L1294" s="27">
        <f>IF(K1294="Válida",ABS(J1294),"")</f>
        <v>0</v>
      </c>
      <c r="M1294" s="26">
        <f>IF(K1294="Válida",IF(L1294&lt;=cfgTolerancia,"Sim","Não"),"")</f>
        <v>0</v>
      </c>
      <c r="N1294" s="26">
        <f>IF(A1294="","",MES!D1294)</f>
        <v>0</v>
      </c>
      <c r="O1294" s="25">
        <f>IF(K1294="Válida",A1294,NA())</f>
        <v>0</v>
      </c>
      <c r="P1294" s="27">
        <f>IF(K1294="Válida",C1294,NA())</f>
        <v>0</v>
      </c>
      <c r="Q1294" s="27">
        <f>IF(K1294="Válida",I1294,NA())</f>
        <v>0</v>
      </c>
      <c r="R1294" s="27">
        <f>IF(K1294="Válida",J1294,NA())</f>
        <v>0</v>
      </c>
      <c r="S1294" s="27">
        <f>IF(K1294="Válida",C1294,"")</f>
        <v>0</v>
      </c>
      <c r="T1294" s="27">
        <f>IF(K1294="Válida",I1294,"")</f>
        <v>0</v>
      </c>
      <c r="U1294" s="27">
        <f>IF(K1294="Válida",J1294,"")</f>
        <v>0</v>
      </c>
    </row>
    <row r="1295" spans="1:21">
      <c r="A1295" s="25">
        <f>IF(MES!A1295="","",MES!C1295/48)</f>
        <v>0</v>
      </c>
      <c r="B1295" s="26">
        <f>IF(A1295="","",TEXT((N1295*4+cfgDeslocamento)/48,"hh:mm")&amp;" a "&amp;TEXT(A1295,"hh:mm"))</f>
        <v>0</v>
      </c>
      <c r="C1295" s="27">
        <f>IF(A1295="","",MES!B1295)</f>
        <v>0</v>
      </c>
      <c r="D1295" s="27">
        <f>IF(A1295="","",IFERROR(AVERAGEIFS(Prensa!$B$2:$B$5001,Prensa!$E$2:$E$5001,N1295,Prensa!$F$2:$F$5001,1,Prensa!$G$2:$G$5001,1),""))</f>
        <v>0</v>
      </c>
      <c r="E1295" s="27">
        <f>IF(A1295="","",IFERROR(AVERAGEIFS(Prensa!$B$2:$B$5001,Prensa!$E$2:$E$5001,N1295,Prensa!$F$2:$F$5001,2,Prensa!$G$2:$G$5001,1),""))</f>
        <v>0</v>
      </c>
      <c r="F1295" s="27">
        <f>IF(A1295="","",IFERROR(AVERAGEIFS(Prensa!$B$2:$B$5001,Prensa!$E$2:$E$5001,N1295,Prensa!$F$2:$F$5001,3,Prensa!$G$2:$G$5001,1),""))</f>
        <v>0</v>
      </c>
      <c r="G1295" s="27">
        <f>IF(A1295="","",IFERROR(AVERAGEIFS(Prensa!$B$2:$B$5001,Prensa!$E$2:$E$5001,N1295,Prensa!$F$2:$F$5001,4,Prensa!$G$2:$G$5001,1),""))</f>
        <v>0</v>
      </c>
      <c r="H1295" s="26">
        <f>IF(A1295="","",COUNT(D1295:G1295))</f>
        <v>0</v>
      </c>
      <c r="I1295" s="27">
        <f>IF(A1295="","",IF(H1295=0,"",AVERAGE(D1295:G1295)))</f>
        <v>0</v>
      </c>
      <c r="J1295" s="27">
        <f>IF(OR(I1295="",C1295=""),"",I1295-C1295)</f>
        <v>0</v>
      </c>
      <c r="K1295" s="26">
        <f>IF(A1295="","",IF(MES!E1295&lt;&gt;4,"Horário do MES fora do padrão",IF(H1295&lt;cfgMinCortes,"Cortes insuficientes","Válida")))</f>
        <v>0</v>
      </c>
      <c r="L1295" s="27">
        <f>IF(K1295="Válida",ABS(J1295),"")</f>
        <v>0</v>
      </c>
      <c r="M1295" s="26">
        <f>IF(K1295="Válida",IF(L1295&lt;=cfgTolerancia,"Sim","Não"),"")</f>
        <v>0</v>
      </c>
      <c r="N1295" s="26">
        <f>IF(A1295="","",MES!D1295)</f>
        <v>0</v>
      </c>
      <c r="O1295" s="25">
        <f>IF(K1295="Válida",A1295,NA())</f>
        <v>0</v>
      </c>
      <c r="P1295" s="27">
        <f>IF(K1295="Válida",C1295,NA())</f>
        <v>0</v>
      </c>
      <c r="Q1295" s="27">
        <f>IF(K1295="Válida",I1295,NA())</f>
        <v>0</v>
      </c>
      <c r="R1295" s="27">
        <f>IF(K1295="Válida",J1295,NA())</f>
        <v>0</v>
      </c>
      <c r="S1295" s="27">
        <f>IF(K1295="Válida",C1295,"")</f>
        <v>0</v>
      </c>
      <c r="T1295" s="27">
        <f>IF(K1295="Válida",I1295,"")</f>
        <v>0</v>
      </c>
      <c r="U1295" s="27">
        <f>IF(K1295="Válida",J1295,"")</f>
        <v>0</v>
      </c>
    </row>
    <row r="1296" spans="1:21">
      <c r="A1296" s="25">
        <f>IF(MES!A1296="","",MES!C1296/48)</f>
        <v>0</v>
      </c>
      <c r="B1296" s="26">
        <f>IF(A1296="","",TEXT((N1296*4+cfgDeslocamento)/48,"hh:mm")&amp;" a "&amp;TEXT(A1296,"hh:mm"))</f>
        <v>0</v>
      </c>
      <c r="C1296" s="27">
        <f>IF(A1296="","",MES!B1296)</f>
        <v>0</v>
      </c>
      <c r="D1296" s="27">
        <f>IF(A1296="","",IFERROR(AVERAGEIFS(Prensa!$B$2:$B$5001,Prensa!$E$2:$E$5001,N1296,Prensa!$F$2:$F$5001,1,Prensa!$G$2:$G$5001,1),""))</f>
        <v>0</v>
      </c>
      <c r="E1296" s="27">
        <f>IF(A1296="","",IFERROR(AVERAGEIFS(Prensa!$B$2:$B$5001,Prensa!$E$2:$E$5001,N1296,Prensa!$F$2:$F$5001,2,Prensa!$G$2:$G$5001,1),""))</f>
        <v>0</v>
      </c>
      <c r="F1296" s="27">
        <f>IF(A1296="","",IFERROR(AVERAGEIFS(Prensa!$B$2:$B$5001,Prensa!$E$2:$E$5001,N1296,Prensa!$F$2:$F$5001,3,Prensa!$G$2:$G$5001,1),""))</f>
        <v>0</v>
      </c>
      <c r="G1296" s="27">
        <f>IF(A1296="","",IFERROR(AVERAGEIFS(Prensa!$B$2:$B$5001,Prensa!$E$2:$E$5001,N1296,Prensa!$F$2:$F$5001,4,Prensa!$G$2:$G$5001,1),""))</f>
        <v>0</v>
      </c>
      <c r="H1296" s="26">
        <f>IF(A1296="","",COUNT(D1296:G1296))</f>
        <v>0</v>
      </c>
      <c r="I1296" s="27">
        <f>IF(A1296="","",IF(H1296=0,"",AVERAGE(D1296:G1296)))</f>
        <v>0</v>
      </c>
      <c r="J1296" s="27">
        <f>IF(OR(I1296="",C1296=""),"",I1296-C1296)</f>
        <v>0</v>
      </c>
      <c r="K1296" s="26">
        <f>IF(A1296="","",IF(MES!E1296&lt;&gt;4,"Horário do MES fora do padrão",IF(H1296&lt;cfgMinCortes,"Cortes insuficientes","Válida")))</f>
        <v>0</v>
      </c>
      <c r="L1296" s="27">
        <f>IF(K1296="Válida",ABS(J1296),"")</f>
        <v>0</v>
      </c>
      <c r="M1296" s="26">
        <f>IF(K1296="Válida",IF(L1296&lt;=cfgTolerancia,"Sim","Não"),"")</f>
        <v>0</v>
      </c>
      <c r="N1296" s="26">
        <f>IF(A1296="","",MES!D1296)</f>
        <v>0</v>
      </c>
      <c r="O1296" s="25">
        <f>IF(K1296="Válida",A1296,NA())</f>
        <v>0</v>
      </c>
      <c r="P1296" s="27">
        <f>IF(K1296="Válida",C1296,NA())</f>
        <v>0</v>
      </c>
      <c r="Q1296" s="27">
        <f>IF(K1296="Válida",I1296,NA())</f>
        <v>0</v>
      </c>
      <c r="R1296" s="27">
        <f>IF(K1296="Válida",J1296,NA())</f>
        <v>0</v>
      </c>
      <c r="S1296" s="27">
        <f>IF(K1296="Válida",C1296,"")</f>
        <v>0</v>
      </c>
      <c r="T1296" s="27">
        <f>IF(K1296="Válida",I1296,"")</f>
        <v>0</v>
      </c>
      <c r="U1296" s="27">
        <f>IF(K1296="Válida",J1296,"")</f>
        <v>0</v>
      </c>
    </row>
    <row r="1297" spans="1:21">
      <c r="A1297" s="25">
        <f>IF(MES!A1297="","",MES!C1297/48)</f>
        <v>0</v>
      </c>
      <c r="B1297" s="26">
        <f>IF(A1297="","",TEXT((N1297*4+cfgDeslocamento)/48,"hh:mm")&amp;" a "&amp;TEXT(A1297,"hh:mm"))</f>
        <v>0</v>
      </c>
      <c r="C1297" s="27">
        <f>IF(A1297="","",MES!B1297)</f>
        <v>0</v>
      </c>
      <c r="D1297" s="27">
        <f>IF(A1297="","",IFERROR(AVERAGEIFS(Prensa!$B$2:$B$5001,Prensa!$E$2:$E$5001,N1297,Prensa!$F$2:$F$5001,1,Prensa!$G$2:$G$5001,1),""))</f>
        <v>0</v>
      </c>
      <c r="E1297" s="27">
        <f>IF(A1297="","",IFERROR(AVERAGEIFS(Prensa!$B$2:$B$5001,Prensa!$E$2:$E$5001,N1297,Prensa!$F$2:$F$5001,2,Prensa!$G$2:$G$5001,1),""))</f>
        <v>0</v>
      </c>
      <c r="F1297" s="27">
        <f>IF(A1297="","",IFERROR(AVERAGEIFS(Prensa!$B$2:$B$5001,Prensa!$E$2:$E$5001,N1297,Prensa!$F$2:$F$5001,3,Prensa!$G$2:$G$5001,1),""))</f>
        <v>0</v>
      </c>
      <c r="G1297" s="27">
        <f>IF(A1297="","",IFERROR(AVERAGEIFS(Prensa!$B$2:$B$5001,Prensa!$E$2:$E$5001,N1297,Prensa!$F$2:$F$5001,4,Prensa!$G$2:$G$5001,1),""))</f>
        <v>0</v>
      </c>
      <c r="H1297" s="26">
        <f>IF(A1297="","",COUNT(D1297:G1297))</f>
        <v>0</v>
      </c>
      <c r="I1297" s="27">
        <f>IF(A1297="","",IF(H1297=0,"",AVERAGE(D1297:G1297)))</f>
        <v>0</v>
      </c>
      <c r="J1297" s="27">
        <f>IF(OR(I1297="",C1297=""),"",I1297-C1297)</f>
        <v>0</v>
      </c>
      <c r="K1297" s="26">
        <f>IF(A1297="","",IF(MES!E1297&lt;&gt;4,"Horário do MES fora do padrão",IF(H1297&lt;cfgMinCortes,"Cortes insuficientes","Válida")))</f>
        <v>0</v>
      </c>
      <c r="L1297" s="27">
        <f>IF(K1297="Válida",ABS(J1297),"")</f>
        <v>0</v>
      </c>
      <c r="M1297" s="26">
        <f>IF(K1297="Válida",IF(L1297&lt;=cfgTolerancia,"Sim","Não"),"")</f>
        <v>0</v>
      </c>
      <c r="N1297" s="26">
        <f>IF(A1297="","",MES!D1297)</f>
        <v>0</v>
      </c>
      <c r="O1297" s="25">
        <f>IF(K1297="Válida",A1297,NA())</f>
        <v>0</v>
      </c>
      <c r="P1297" s="27">
        <f>IF(K1297="Válida",C1297,NA())</f>
        <v>0</v>
      </c>
      <c r="Q1297" s="27">
        <f>IF(K1297="Válida",I1297,NA())</f>
        <v>0</v>
      </c>
      <c r="R1297" s="27">
        <f>IF(K1297="Válida",J1297,NA())</f>
        <v>0</v>
      </c>
      <c r="S1297" s="27">
        <f>IF(K1297="Válida",C1297,"")</f>
        <v>0</v>
      </c>
      <c r="T1297" s="27">
        <f>IF(K1297="Válida",I1297,"")</f>
        <v>0</v>
      </c>
      <c r="U1297" s="27">
        <f>IF(K1297="Válida",J1297,"")</f>
        <v>0</v>
      </c>
    </row>
    <row r="1298" spans="1:21">
      <c r="A1298" s="25">
        <f>IF(MES!A1298="","",MES!C1298/48)</f>
        <v>0</v>
      </c>
      <c r="B1298" s="26">
        <f>IF(A1298="","",TEXT((N1298*4+cfgDeslocamento)/48,"hh:mm")&amp;" a "&amp;TEXT(A1298,"hh:mm"))</f>
        <v>0</v>
      </c>
      <c r="C1298" s="27">
        <f>IF(A1298="","",MES!B1298)</f>
        <v>0</v>
      </c>
      <c r="D1298" s="27">
        <f>IF(A1298="","",IFERROR(AVERAGEIFS(Prensa!$B$2:$B$5001,Prensa!$E$2:$E$5001,N1298,Prensa!$F$2:$F$5001,1,Prensa!$G$2:$G$5001,1),""))</f>
        <v>0</v>
      </c>
      <c r="E1298" s="27">
        <f>IF(A1298="","",IFERROR(AVERAGEIFS(Prensa!$B$2:$B$5001,Prensa!$E$2:$E$5001,N1298,Prensa!$F$2:$F$5001,2,Prensa!$G$2:$G$5001,1),""))</f>
        <v>0</v>
      </c>
      <c r="F1298" s="27">
        <f>IF(A1298="","",IFERROR(AVERAGEIFS(Prensa!$B$2:$B$5001,Prensa!$E$2:$E$5001,N1298,Prensa!$F$2:$F$5001,3,Prensa!$G$2:$G$5001,1),""))</f>
        <v>0</v>
      </c>
      <c r="G1298" s="27">
        <f>IF(A1298="","",IFERROR(AVERAGEIFS(Prensa!$B$2:$B$5001,Prensa!$E$2:$E$5001,N1298,Prensa!$F$2:$F$5001,4,Prensa!$G$2:$G$5001,1),""))</f>
        <v>0</v>
      </c>
      <c r="H1298" s="26">
        <f>IF(A1298="","",COUNT(D1298:G1298))</f>
        <v>0</v>
      </c>
      <c r="I1298" s="27">
        <f>IF(A1298="","",IF(H1298=0,"",AVERAGE(D1298:G1298)))</f>
        <v>0</v>
      </c>
      <c r="J1298" s="27">
        <f>IF(OR(I1298="",C1298=""),"",I1298-C1298)</f>
        <v>0</v>
      </c>
      <c r="K1298" s="26">
        <f>IF(A1298="","",IF(MES!E1298&lt;&gt;4,"Horário do MES fora do padrão",IF(H1298&lt;cfgMinCortes,"Cortes insuficientes","Válida")))</f>
        <v>0</v>
      </c>
      <c r="L1298" s="27">
        <f>IF(K1298="Válida",ABS(J1298),"")</f>
        <v>0</v>
      </c>
      <c r="M1298" s="26">
        <f>IF(K1298="Válida",IF(L1298&lt;=cfgTolerancia,"Sim","Não"),"")</f>
        <v>0</v>
      </c>
      <c r="N1298" s="26">
        <f>IF(A1298="","",MES!D1298)</f>
        <v>0</v>
      </c>
      <c r="O1298" s="25">
        <f>IF(K1298="Válida",A1298,NA())</f>
        <v>0</v>
      </c>
      <c r="P1298" s="27">
        <f>IF(K1298="Válida",C1298,NA())</f>
        <v>0</v>
      </c>
      <c r="Q1298" s="27">
        <f>IF(K1298="Válida",I1298,NA())</f>
        <v>0</v>
      </c>
      <c r="R1298" s="27">
        <f>IF(K1298="Válida",J1298,NA())</f>
        <v>0</v>
      </c>
      <c r="S1298" s="27">
        <f>IF(K1298="Válida",C1298,"")</f>
        <v>0</v>
      </c>
      <c r="T1298" s="27">
        <f>IF(K1298="Válida",I1298,"")</f>
        <v>0</v>
      </c>
      <c r="U1298" s="27">
        <f>IF(K1298="Válida",J1298,"")</f>
        <v>0</v>
      </c>
    </row>
    <row r="1299" spans="1:21">
      <c r="A1299" s="25">
        <f>IF(MES!A1299="","",MES!C1299/48)</f>
        <v>0</v>
      </c>
      <c r="B1299" s="26">
        <f>IF(A1299="","",TEXT((N1299*4+cfgDeslocamento)/48,"hh:mm")&amp;" a "&amp;TEXT(A1299,"hh:mm"))</f>
        <v>0</v>
      </c>
      <c r="C1299" s="27">
        <f>IF(A1299="","",MES!B1299)</f>
        <v>0</v>
      </c>
      <c r="D1299" s="27">
        <f>IF(A1299="","",IFERROR(AVERAGEIFS(Prensa!$B$2:$B$5001,Prensa!$E$2:$E$5001,N1299,Prensa!$F$2:$F$5001,1,Prensa!$G$2:$G$5001,1),""))</f>
        <v>0</v>
      </c>
      <c r="E1299" s="27">
        <f>IF(A1299="","",IFERROR(AVERAGEIFS(Prensa!$B$2:$B$5001,Prensa!$E$2:$E$5001,N1299,Prensa!$F$2:$F$5001,2,Prensa!$G$2:$G$5001,1),""))</f>
        <v>0</v>
      </c>
      <c r="F1299" s="27">
        <f>IF(A1299="","",IFERROR(AVERAGEIFS(Prensa!$B$2:$B$5001,Prensa!$E$2:$E$5001,N1299,Prensa!$F$2:$F$5001,3,Prensa!$G$2:$G$5001,1),""))</f>
        <v>0</v>
      </c>
      <c r="G1299" s="27">
        <f>IF(A1299="","",IFERROR(AVERAGEIFS(Prensa!$B$2:$B$5001,Prensa!$E$2:$E$5001,N1299,Prensa!$F$2:$F$5001,4,Prensa!$G$2:$G$5001,1),""))</f>
        <v>0</v>
      </c>
      <c r="H1299" s="26">
        <f>IF(A1299="","",COUNT(D1299:G1299))</f>
        <v>0</v>
      </c>
      <c r="I1299" s="27">
        <f>IF(A1299="","",IF(H1299=0,"",AVERAGE(D1299:G1299)))</f>
        <v>0</v>
      </c>
      <c r="J1299" s="27">
        <f>IF(OR(I1299="",C1299=""),"",I1299-C1299)</f>
        <v>0</v>
      </c>
      <c r="K1299" s="26">
        <f>IF(A1299="","",IF(MES!E1299&lt;&gt;4,"Horário do MES fora do padrão",IF(H1299&lt;cfgMinCortes,"Cortes insuficientes","Válida")))</f>
        <v>0</v>
      </c>
      <c r="L1299" s="27">
        <f>IF(K1299="Válida",ABS(J1299),"")</f>
        <v>0</v>
      </c>
      <c r="M1299" s="26">
        <f>IF(K1299="Válida",IF(L1299&lt;=cfgTolerancia,"Sim","Não"),"")</f>
        <v>0</v>
      </c>
      <c r="N1299" s="26">
        <f>IF(A1299="","",MES!D1299)</f>
        <v>0</v>
      </c>
      <c r="O1299" s="25">
        <f>IF(K1299="Válida",A1299,NA())</f>
        <v>0</v>
      </c>
      <c r="P1299" s="27">
        <f>IF(K1299="Válida",C1299,NA())</f>
        <v>0</v>
      </c>
      <c r="Q1299" s="27">
        <f>IF(K1299="Válida",I1299,NA())</f>
        <v>0</v>
      </c>
      <c r="R1299" s="27">
        <f>IF(K1299="Válida",J1299,NA())</f>
        <v>0</v>
      </c>
      <c r="S1299" s="27">
        <f>IF(K1299="Válida",C1299,"")</f>
        <v>0</v>
      </c>
      <c r="T1299" s="27">
        <f>IF(K1299="Válida",I1299,"")</f>
        <v>0</v>
      </c>
      <c r="U1299" s="27">
        <f>IF(K1299="Válida",J1299,"")</f>
        <v>0</v>
      </c>
    </row>
    <row r="1300" spans="1:21">
      <c r="A1300" s="25">
        <f>IF(MES!A1300="","",MES!C1300/48)</f>
        <v>0</v>
      </c>
      <c r="B1300" s="26">
        <f>IF(A1300="","",TEXT((N1300*4+cfgDeslocamento)/48,"hh:mm")&amp;" a "&amp;TEXT(A1300,"hh:mm"))</f>
        <v>0</v>
      </c>
      <c r="C1300" s="27">
        <f>IF(A1300="","",MES!B1300)</f>
        <v>0</v>
      </c>
      <c r="D1300" s="27">
        <f>IF(A1300="","",IFERROR(AVERAGEIFS(Prensa!$B$2:$B$5001,Prensa!$E$2:$E$5001,N1300,Prensa!$F$2:$F$5001,1,Prensa!$G$2:$G$5001,1),""))</f>
        <v>0</v>
      </c>
      <c r="E1300" s="27">
        <f>IF(A1300="","",IFERROR(AVERAGEIFS(Prensa!$B$2:$B$5001,Prensa!$E$2:$E$5001,N1300,Prensa!$F$2:$F$5001,2,Prensa!$G$2:$G$5001,1),""))</f>
        <v>0</v>
      </c>
      <c r="F1300" s="27">
        <f>IF(A1300="","",IFERROR(AVERAGEIFS(Prensa!$B$2:$B$5001,Prensa!$E$2:$E$5001,N1300,Prensa!$F$2:$F$5001,3,Prensa!$G$2:$G$5001,1),""))</f>
        <v>0</v>
      </c>
      <c r="G1300" s="27">
        <f>IF(A1300="","",IFERROR(AVERAGEIFS(Prensa!$B$2:$B$5001,Prensa!$E$2:$E$5001,N1300,Prensa!$F$2:$F$5001,4,Prensa!$G$2:$G$5001,1),""))</f>
        <v>0</v>
      </c>
      <c r="H1300" s="26">
        <f>IF(A1300="","",COUNT(D1300:G1300))</f>
        <v>0</v>
      </c>
      <c r="I1300" s="27">
        <f>IF(A1300="","",IF(H1300=0,"",AVERAGE(D1300:G1300)))</f>
        <v>0</v>
      </c>
      <c r="J1300" s="27">
        <f>IF(OR(I1300="",C1300=""),"",I1300-C1300)</f>
        <v>0</v>
      </c>
      <c r="K1300" s="26">
        <f>IF(A1300="","",IF(MES!E1300&lt;&gt;4,"Horário do MES fora do padrão",IF(H1300&lt;cfgMinCortes,"Cortes insuficientes","Válida")))</f>
        <v>0</v>
      </c>
      <c r="L1300" s="27">
        <f>IF(K1300="Válida",ABS(J1300),"")</f>
        <v>0</v>
      </c>
      <c r="M1300" s="26">
        <f>IF(K1300="Válida",IF(L1300&lt;=cfgTolerancia,"Sim","Não"),"")</f>
        <v>0</v>
      </c>
      <c r="N1300" s="26">
        <f>IF(A1300="","",MES!D1300)</f>
        <v>0</v>
      </c>
      <c r="O1300" s="25">
        <f>IF(K1300="Válida",A1300,NA())</f>
        <v>0</v>
      </c>
      <c r="P1300" s="27">
        <f>IF(K1300="Válida",C1300,NA())</f>
        <v>0</v>
      </c>
      <c r="Q1300" s="27">
        <f>IF(K1300="Válida",I1300,NA())</f>
        <v>0</v>
      </c>
      <c r="R1300" s="27">
        <f>IF(K1300="Válida",J1300,NA())</f>
        <v>0</v>
      </c>
      <c r="S1300" s="27">
        <f>IF(K1300="Válida",C1300,"")</f>
        <v>0</v>
      </c>
      <c r="T1300" s="27">
        <f>IF(K1300="Válida",I1300,"")</f>
        <v>0</v>
      </c>
      <c r="U1300" s="27">
        <f>IF(K1300="Válida",J1300,"")</f>
        <v>0</v>
      </c>
    </row>
    <row r="1301" spans="1:21">
      <c r="A1301" s="25">
        <f>IF(MES!A1301="","",MES!C1301/48)</f>
        <v>0</v>
      </c>
      <c r="B1301" s="26">
        <f>IF(A1301="","",TEXT((N1301*4+cfgDeslocamento)/48,"hh:mm")&amp;" a "&amp;TEXT(A1301,"hh:mm"))</f>
        <v>0</v>
      </c>
      <c r="C1301" s="27">
        <f>IF(A1301="","",MES!B1301)</f>
        <v>0</v>
      </c>
      <c r="D1301" s="27">
        <f>IF(A1301="","",IFERROR(AVERAGEIFS(Prensa!$B$2:$B$5001,Prensa!$E$2:$E$5001,N1301,Prensa!$F$2:$F$5001,1,Prensa!$G$2:$G$5001,1),""))</f>
        <v>0</v>
      </c>
      <c r="E1301" s="27">
        <f>IF(A1301="","",IFERROR(AVERAGEIFS(Prensa!$B$2:$B$5001,Prensa!$E$2:$E$5001,N1301,Prensa!$F$2:$F$5001,2,Prensa!$G$2:$G$5001,1),""))</f>
        <v>0</v>
      </c>
      <c r="F1301" s="27">
        <f>IF(A1301="","",IFERROR(AVERAGEIFS(Prensa!$B$2:$B$5001,Prensa!$E$2:$E$5001,N1301,Prensa!$F$2:$F$5001,3,Prensa!$G$2:$G$5001,1),""))</f>
        <v>0</v>
      </c>
      <c r="G1301" s="27">
        <f>IF(A1301="","",IFERROR(AVERAGEIFS(Prensa!$B$2:$B$5001,Prensa!$E$2:$E$5001,N1301,Prensa!$F$2:$F$5001,4,Prensa!$G$2:$G$5001,1),""))</f>
        <v>0</v>
      </c>
      <c r="H1301" s="26">
        <f>IF(A1301="","",COUNT(D1301:G1301))</f>
        <v>0</v>
      </c>
      <c r="I1301" s="27">
        <f>IF(A1301="","",IF(H1301=0,"",AVERAGE(D1301:G1301)))</f>
        <v>0</v>
      </c>
      <c r="J1301" s="27">
        <f>IF(OR(I1301="",C1301=""),"",I1301-C1301)</f>
        <v>0</v>
      </c>
      <c r="K1301" s="26">
        <f>IF(A1301="","",IF(MES!E1301&lt;&gt;4,"Horário do MES fora do padrão",IF(H1301&lt;cfgMinCortes,"Cortes insuficientes","Válida")))</f>
        <v>0</v>
      </c>
      <c r="L1301" s="27">
        <f>IF(K1301="Válida",ABS(J1301),"")</f>
        <v>0</v>
      </c>
      <c r="M1301" s="26">
        <f>IF(K1301="Válida",IF(L1301&lt;=cfgTolerancia,"Sim","Não"),"")</f>
        <v>0</v>
      </c>
      <c r="N1301" s="26">
        <f>IF(A1301="","",MES!D1301)</f>
        <v>0</v>
      </c>
      <c r="O1301" s="25">
        <f>IF(K1301="Válida",A1301,NA())</f>
        <v>0</v>
      </c>
      <c r="P1301" s="27">
        <f>IF(K1301="Válida",C1301,NA())</f>
        <v>0</v>
      </c>
      <c r="Q1301" s="27">
        <f>IF(K1301="Válida",I1301,NA())</f>
        <v>0</v>
      </c>
      <c r="R1301" s="27">
        <f>IF(K1301="Válida",J1301,NA())</f>
        <v>0</v>
      </c>
      <c r="S1301" s="27">
        <f>IF(K1301="Válida",C1301,"")</f>
        <v>0</v>
      </c>
      <c r="T1301" s="27">
        <f>IF(K1301="Válida",I1301,"")</f>
        <v>0</v>
      </c>
      <c r="U1301" s="27">
        <f>IF(K1301="Válida",J1301,"")</f>
        <v>0</v>
      </c>
    </row>
    <row r="1302" spans="1:21">
      <c r="A1302" s="25">
        <f>IF(MES!A1302="","",MES!C1302/48)</f>
        <v>0</v>
      </c>
      <c r="B1302" s="26">
        <f>IF(A1302="","",TEXT((N1302*4+cfgDeslocamento)/48,"hh:mm")&amp;" a "&amp;TEXT(A1302,"hh:mm"))</f>
        <v>0</v>
      </c>
      <c r="C1302" s="27">
        <f>IF(A1302="","",MES!B1302)</f>
        <v>0</v>
      </c>
      <c r="D1302" s="27">
        <f>IF(A1302="","",IFERROR(AVERAGEIFS(Prensa!$B$2:$B$5001,Prensa!$E$2:$E$5001,N1302,Prensa!$F$2:$F$5001,1,Prensa!$G$2:$G$5001,1),""))</f>
        <v>0</v>
      </c>
      <c r="E1302" s="27">
        <f>IF(A1302="","",IFERROR(AVERAGEIFS(Prensa!$B$2:$B$5001,Prensa!$E$2:$E$5001,N1302,Prensa!$F$2:$F$5001,2,Prensa!$G$2:$G$5001,1),""))</f>
        <v>0</v>
      </c>
      <c r="F1302" s="27">
        <f>IF(A1302="","",IFERROR(AVERAGEIFS(Prensa!$B$2:$B$5001,Prensa!$E$2:$E$5001,N1302,Prensa!$F$2:$F$5001,3,Prensa!$G$2:$G$5001,1),""))</f>
        <v>0</v>
      </c>
      <c r="G1302" s="27">
        <f>IF(A1302="","",IFERROR(AVERAGEIFS(Prensa!$B$2:$B$5001,Prensa!$E$2:$E$5001,N1302,Prensa!$F$2:$F$5001,4,Prensa!$G$2:$G$5001,1),""))</f>
        <v>0</v>
      </c>
      <c r="H1302" s="26">
        <f>IF(A1302="","",COUNT(D1302:G1302))</f>
        <v>0</v>
      </c>
      <c r="I1302" s="27">
        <f>IF(A1302="","",IF(H1302=0,"",AVERAGE(D1302:G1302)))</f>
        <v>0</v>
      </c>
      <c r="J1302" s="27">
        <f>IF(OR(I1302="",C1302=""),"",I1302-C1302)</f>
        <v>0</v>
      </c>
      <c r="K1302" s="26">
        <f>IF(A1302="","",IF(MES!E1302&lt;&gt;4,"Horário do MES fora do padrão",IF(H1302&lt;cfgMinCortes,"Cortes insuficientes","Válida")))</f>
        <v>0</v>
      </c>
      <c r="L1302" s="27">
        <f>IF(K1302="Válida",ABS(J1302),"")</f>
        <v>0</v>
      </c>
      <c r="M1302" s="26">
        <f>IF(K1302="Válida",IF(L1302&lt;=cfgTolerancia,"Sim","Não"),"")</f>
        <v>0</v>
      </c>
      <c r="N1302" s="26">
        <f>IF(A1302="","",MES!D1302)</f>
        <v>0</v>
      </c>
      <c r="O1302" s="25">
        <f>IF(K1302="Válida",A1302,NA())</f>
        <v>0</v>
      </c>
      <c r="P1302" s="27">
        <f>IF(K1302="Válida",C1302,NA())</f>
        <v>0</v>
      </c>
      <c r="Q1302" s="27">
        <f>IF(K1302="Válida",I1302,NA())</f>
        <v>0</v>
      </c>
      <c r="R1302" s="27">
        <f>IF(K1302="Válida",J1302,NA())</f>
        <v>0</v>
      </c>
      <c r="S1302" s="27">
        <f>IF(K1302="Válida",C1302,"")</f>
        <v>0</v>
      </c>
      <c r="T1302" s="27">
        <f>IF(K1302="Válida",I1302,"")</f>
        <v>0</v>
      </c>
      <c r="U1302" s="27">
        <f>IF(K1302="Válida",J1302,"")</f>
        <v>0</v>
      </c>
    </row>
    <row r="1303" spans="1:21">
      <c r="A1303" s="25">
        <f>IF(MES!A1303="","",MES!C1303/48)</f>
        <v>0</v>
      </c>
      <c r="B1303" s="26">
        <f>IF(A1303="","",TEXT((N1303*4+cfgDeslocamento)/48,"hh:mm")&amp;" a "&amp;TEXT(A1303,"hh:mm"))</f>
        <v>0</v>
      </c>
      <c r="C1303" s="27">
        <f>IF(A1303="","",MES!B1303)</f>
        <v>0</v>
      </c>
      <c r="D1303" s="27">
        <f>IF(A1303="","",IFERROR(AVERAGEIFS(Prensa!$B$2:$B$5001,Prensa!$E$2:$E$5001,N1303,Prensa!$F$2:$F$5001,1,Prensa!$G$2:$G$5001,1),""))</f>
        <v>0</v>
      </c>
      <c r="E1303" s="27">
        <f>IF(A1303="","",IFERROR(AVERAGEIFS(Prensa!$B$2:$B$5001,Prensa!$E$2:$E$5001,N1303,Prensa!$F$2:$F$5001,2,Prensa!$G$2:$G$5001,1),""))</f>
        <v>0</v>
      </c>
      <c r="F1303" s="27">
        <f>IF(A1303="","",IFERROR(AVERAGEIFS(Prensa!$B$2:$B$5001,Prensa!$E$2:$E$5001,N1303,Prensa!$F$2:$F$5001,3,Prensa!$G$2:$G$5001,1),""))</f>
        <v>0</v>
      </c>
      <c r="G1303" s="27">
        <f>IF(A1303="","",IFERROR(AVERAGEIFS(Prensa!$B$2:$B$5001,Prensa!$E$2:$E$5001,N1303,Prensa!$F$2:$F$5001,4,Prensa!$G$2:$G$5001,1),""))</f>
        <v>0</v>
      </c>
      <c r="H1303" s="26">
        <f>IF(A1303="","",COUNT(D1303:G1303))</f>
        <v>0</v>
      </c>
      <c r="I1303" s="27">
        <f>IF(A1303="","",IF(H1303=0,"",AVERAGE(D1303:G1303)))</f>
        <v>0</v>
      </c>
      <c r="J1303" s="27">
        <f>IF(OR(I1303="",C1303=""),"",I1303-C1303)</f>
        <v>0</v>
      </c>
      <c r="K1303" s="26">
        <f>IF(A1303="","",IF(MES!E1303&lt;&gt;4,"Horário do MES fora do padrão",IF(H1303&lt;cfgMinCortes,"Cortes insuficientes","Válida")))</f>
        <v>0</v>
      </c>
      <c r="L1303" s="27">
        <f>IF(K1303="Válida",ABS(J1303),"")</f>
        <v>0</v>
      </c>
      <c r="M1303" s="26">
        <f>IF(K1303="Válida",IF(L1303&lt;=cfgTolerancia,"Sim","Não"),"")</f>
        <v>0</v>
      </c>
      <c r="N1303" s="26">
        <f>IF(A1303="","",MES!D1303)</f>
        <v>0</v>
      </c>
      <c r="O1303" s="25">
        <f>IF(K1303="Válida",A1303,NA())</f>
        <v>0</v>
      </c>
      <c r="P1303" s="27">
        <f>IF(K1303="Válida",C1303,NA())</f>
        <v>0</v>
      </c>
      <c r="Q1303" s="27">
        <f>IF(K1303="Válida",I1303,NA())</f>
        <v>0</v>
      </c>
      <c r="R1303" s="27">
        <f>IF(K1303="Válida",J1303,NA())</f>
        <v>0</v>
      </c>
      <c r="S1303" s="27">
        <f>IF(K1303="Válida",C1303,"")</f>
        <v>0</v>
      </c>
      <c r="T1303" s="27">
        <f>IF(K1303="Válida",I1303,"")</f>
        <v>0</v>
      </c>
      <c r="U1303" s="27">
        <f>IF(K1303="Válida",J1303,"")</f>
        <v>0</v>
      </c>
    </row>
    <row r="1304" spans="1:21">
      <c r="A1304" s="25">
        <f>IF(MES!A1304="","",MES!C1304/48)</f>
        <v>0</v>
      </c>
      <c r="B1304" s="26">
        <f>IF(A1304="","",TEXT((N1304*4+cfgDeslocamento)/48,"hh:mm")&amp;" a "&amp;TEXT(A1304,"hh:mm"))</f>
        <v>0</v>
      </c>
      <c r="C1304" s="27">
        <f>IF(A1304="","",MES!B1304)</f>
        <v>0</v>
      </c>
      <c r="D1304" s="27">
        <f>IF(A1304="","",IFERROR(AVERAGEIFS(Prensa!$B$2:$B$5001,Prensa!$E$2:$E$5001,N1304,Prensa!$F$2:$F$5001,1,Prensa!$G$2:$G$5001,1),""))</f>
        <v>0</v>
      </c>
      <c r="E1304" s="27">
        <f>IF(A1304="","",IFERROR(AVERAGEIFS(Prensa!$B$2:$B$5001,Prensa!$E$2:$E$5001,N1304,Prensa!$F$2:$F$5001,2,Prensa!$G$2:$G$5001,1),""))</f>
        <v>0</v>
      </c>
      <c r="F1304" s="27">
        <f>IF(A1304="","",IFERROR(AVERAGEIFS(Prensa!$B$2:$B$5001,Prensa!$E$2:$E$5001,N1304,Prensa!$F$2:$F$5001,3,Prensa!$G$2:$G$5001,1),""))</f>
        <v>0</v>
      </c>
      <c r="G1304" s="27">
        <f>IF(A1304="","",IFERROR(AVERAGEIFS(Prensa!$B$2:$B$5001,Prensa!$E$2:$E$5001,N1304,Prensa!$F$2:$F$5001,4,Prensa!$G$2:$G$5001,1),""))</f>
        <v>0</v>
      </c>
      <c r="H1304" s="26">
        <f>IF(A1304="","",COUNT(D1304:G1304))</f>
        <v>0</v>
      </c>
      <c r="I1304" s="27">
        <f>IF(A1304="","",IF(H1304=0,"",AVERAGE(D1304:G1304)))</f>
        <v>0</v>
      </c>
      <c r="J1304" s="27">
        <f>IF(OR(I1304="",C1304=""),"",I1304-C1304)</f>
        <v>0</v>
      </c>
      <c r="K1304" s="26">
        <f>IF(A1304="","",IF(MES!E1304&lt;&gt;4,"Horário do MES fora do padrão",IF(H1304&lt;cfgMinCortes,"Cortes insuficientes","Válida")))</f>
        <v>0</v>
      </c>
      <c r="L1304" s="27">
        <f>IF(K1304="Válida",ABS(J1304),"")</f>
        <v>0</v>
      </c>
      <c r="M1304" s="26">
        <f>IF(K1304="Válida",IF(L1304&lt;=cfgTolerancia,"Sim","Não"),"")</f>
        <v>0</v>
      </c>
      <c r="N1304" s="26">
        <f>IF(A1304="","",MES!D1304)</f>
        <v>0</v>
      </c>
      <c r="O1304" s="25">
        <f>IF(K1304="Válida",A1304,NA())</f>
        <v>0</v>
      </c>
      <c r="P1304" s="27">
        <f>IF(K1304="Válida",C1304,NA())</f>
        <v>0</v>
      </c>
      <c r="Q1304" s="27">
        <f>IF(K1304="Válida",I1304,NA())</f>
        <v>0</v>
      </c>
      <c r="R1304" s="27">
        <f>IF(K1304="Válida",J1304,NA())</f>
        <v>0</v>
      </c>
      <c r="S1304" s="27">
        <f>IF(K1304="Válida",C1304,"")</f>
        <v>0</v>
      </c>
      <c r="T1304" s="27">
        <f>IF(K1304="Válida",I1304,"")</f>
        <v>0</v>
      </c>
      <c r="U1304" s="27">
        <f>IF(K1304="Válida",J1304,"")</f>
        <v>0</v>
      </c>
    </row>
    <row r="1305" spans="1:21">
      <c r="A1305" s="25">
        <f>IF(MES!A1305="","",MES!C1305/48)</f>
        <v>0</v>
      </c>
      <c r="B1305" s="26">
        <f>IF(A1305="","",TEXT((N1305*4+cfgDeslocamento)/48,"hh:mm")&amp;" a "&amp;TEXT(A1305,"hh:mm"))</f>
        <v>0</v>
      </c>
      <c r="C1305" s="27">
        <f>IF(A1305="","",MES!B1305)</f>
        <v>0</v>
      </c>
      <c r="D1305" s="27">
        <f>IF(A1305="","",IFERROR(AVERAGEIFS(Prensa!$B$2:$B$5001,Prensa!$E$2:$E$5001,N1305,Prensa!$F$2:$F$5001,1,Prensa!$G$2:$G$5001,1),""))</f>
        <v>0</v>
      </c>
      <c r="E1305" s="27">
        <f>IF(A1305="","",IFERROR(AVERAGEIFS(Prensa!$B$2:$B$5001,Prensa!$E$2:$E$5001,N1305,Prensa!$F$2:$F$5001,2,Prensa!$G$2:$G$5001,1),""))</f>
        <v>0</v>
      </c>
      <c r="F1305" s="27">
        <f>IF(A1305="","",IFERROR(AVERAGEIFS(Prensa!$B$2:$B$5001,Prensa!$E$2:$E$5001,N1305,Prensa!$F$2:$F$5001,3,Prensa!$G$2:$G$5001,1),""))</f>
        <v>0</v>
      </c>
      <c r="G1305" s="27">
        <f>IF(A1305="","",IFERROR(AVERAGEIFS(Prensa!$B$2:$B$5001,Prensa!$E$2:$E$5001,N1305,Prensa!$F$2:$F$5001,4,Prensa!$G$2:$G$5001,1),""))</f>
        <v>0</v>
      </c>
      <c r="H1305" s="26">
        <f>IF(A1305="","",COUNT(D1305:G1305))</f>
        <v>0</v>
      </c>
      <c r="I1305" s="27">
        <f>IF(A1305="","",IF(H1305=0,"",AVERAGE(D1305:G1305)))</f>
        <v>0</v>
      </c>
      <c r="J1305" s="27">
        <f>IF(OR(I1305="",C1305=""),"",I1305-C1305)</f>
        <v>0</v>
      </c>
      <c r="K1305" s="26">
        <f>IF(A1305="","",IF(MES!E1305&lt;&gt;4,"Horário do MES fora do padrão",IF(H1305&lt;cfgMinCortes,"Cortes insuficientes","Válida")))</f>
        <v>0</v>
      </c>
      <c r="L1305" s="27">
        <f>IF(K1305="Válida",ABS(J1305),"")</f>
        <v>0</v>
      </c>
      <c r="M1305" s="26">
        <f>IF(K1305="Válida",IF(L1305&lt;=cfgTolerancia,"Sim","Não"),"")</f>
        <v>0</v>
      </c>
      <c r="N1305" s="26">
        <f>IF(A1305="","",MES!D1305)</f>
        <v>0</v>
      </c>
      <c r="O1305" s="25">
        <f>IF(K1305="Válida",A1305,NA())</f>
        <v>0</v>
      </c>
      <c r="P1305" s="27">
        <f>IF(K1305="Válida",C1305,NA())</f>
        <v>0</v>
      </c>
      <c r="Q1305" s="27">
        <f>IF(K1305="Válida",I1305,NA())</f>
        <v>0</v>
      </c>
      <c r="R1305" s="27">
        <f>IF(K1305="Válida",J1305,NA())</f>
        <v>0</v>
      </c>
      <c r="S1305" s="27">
        <f>IF(K1305="Válida",C1305,"")</f>
        <v>0</v>
      </c>
      <c r="T1305" s="27">
        <f>IF(K1305="Válida",I1305,"")</f>
        <v>0</v>
      </c>
      <c r="U1305" s="27">
        <f>IF(K1305="Válida",J1305,"")</f>
        <v>0</v>
      </c>
    </row>
    <row r="1306" spans="1:21">
      <c r="A1306" s="25">
        <f>IF(MES!A1306="","",MES!C1306/48)</f>
        <v>0</v>
      </c>
      <c r="B1306" s="26">
        <f>IF(A1306="","",TEXT((N1306*4+cfgDeslocamento)/48,"hh:mm")&amp;" a "&amp;TEXT(A1306,"hh:mm"))</f>
        <v>0</v>
      </c>
      <c r="C1306" s="27">
        <f>IF(A1306="","",MES!B1306)</f>
        <v>0</v>
      </c>
      <c r="D1306" s="27">
        <f>IF(A1306="","",IFERROR(AVERAGEIFS(Prensa!$B$2:$B$5001,Prensa!$E$2:$E$5001,N1306,Prensa!$F$2:$F$5001,1,Prensa!$G$2:$G$5001,1),""))</f>
        <v>0</v>
      </c>
      <c r="E1306" s="27">
        <f>IF(A1306="","",IFERROR(AVERAGEIFS(Prensa!$B$2:$B$5001,Prensa!$E$2:$E$5001,N1306,Prensa!$F$2:$F$5001,2,Prensa!$G$2:$G$5001,1),""))</f>
        <v>0</v>
      </c>
      <c r="F1306" s="27">
        <f>IF(A1306="","",IFERROR(AVERAGEIFS(Prensa!$B$2:$B$5001,Prensa!$E$2:$E$5001,N1306,Prensa!$F$2:$F$5001,3,Prensa!$G$2:$G$5001,1),""))</f>
        <v>0</v>
      </c>
      <c r="G1306" s="27">
        <f>IF(A1306="","",IFERROR(AVERAGEIFS(Prensa!$B$2:$B$5001,Prensa!$E$2:$E$5001,N1306,Prensa!$F$2:$F$5001,4,Prensa!$G$2:$G$5001,1),""))</f>
        <v>0</v>
      </c>
      <c r="H1306" s="26">
        <f>IF(A1306="","",COUNT(D1306:G1306))</f>
        <v>0</v>
      </c>
      <c r="I1306" s="27">
        <f>IF(A1306="","",IF(H1306=0,"",AVERAGE(D1306:G1306)))</f>
        <v>0</v>
      </c>
      <c r="J1306" s="27">
        <f>IF(OR(I1306="",C1306=""),"",I1306-C1306)</f>
        <v>0</v>
      </c>
      <c r="K1306" s="26">
        <f>IF(A1306="","",IF(MES!E1306&lt;&gt;4,"Horário do MES fora do padrão",IF(H1306&lt;cfgMinCortes,"Cortes insuficientes","Válida")))</f>
        <v>0</v>
      </c>
      <c r="L1306" s="27">
        <f>IF(K1306="Válida",ABS(J1306),"")</f>
        <v>0</v>
      </c>
      <c r="M1306" s="26">
        <f>IF(K1306="Válida",IF(L1306&lt;=cfgTolerancia,"Sim","Não"),"")</f>
        <v>0</v>
      </c>
      <c r="N1306" s="26">
        <f>IF(A1306="","",MES!D1306)</f>
        <v>0</v>
      </c>
      <c r="O1306" s="25">
        <f>IF(K1306="Válida",A1306,NA())</f>
        <v>0</v>
      </c>
      <c r="P1306" s="27">
        <f>IF(K1306="Válida",C1306,NA())</f>
        <v>0</v>
      </c>
      <c r="Q1306" s="27">
        <f>IF(K1306="Válida",I1306,NA())</f>
        <v>0</v>
      </c>
      <c r="R1306" s="27">
        <f>IF(K1306="Válida",J1306,NA())</f>
        <v>0</v>
      </c>
      <c r="S1306" s="27">
        <f>IF(K1306="Válida",C1306,"")</f>
        <v>0</v>
      </c>
      <c r="T1306" s="27">
        <f>IF(K1306="Válida",I1306,"")</f>
        <v>0</v>
      </c>
      <c r="U1306" s="27">
        <f>IF(K1306="Válida",J1306,"")</f>
        <v>0</v>
      </c>
    </row>
    <row r="1307" spans="1:21">
      <c r="A1307" s="25">
        <f>IF(MES!A1307="","",MES!C1307/48)</f>
        <v>0</v>
      </c>
      <c r="B1307" s="26">
        <f>IF(A1307="","",TEXT((N1307*4+cfgDeslocamento)/48,"hh:mm")&amp;" a "&amp;TEXT(A1307,"hh:mm"))</f>
        <v>0</v>
      </c>
      <c r="C1307" s="27">
        <f>IF(A1307="","",MES!B1307)</f>
        <v>0</v>
      </c>
      <c r="D1307" s="27">
        <f>IF(A1307="","",IFERROR(AVERAGEIFS(Prensa!$B$2:$B$5001,Prensa!$E$2:$E$5001,N1307,Prensa!$F$2:$F$5001,1,Prensa!$G$2:$G$5001,1),""))</f>
        <v>0</v>
      </c>
      <c r="E1307" s="27">
        <f>IF(A1307="","",IFERROR(AVERAGEIFS(Prensa!$B$2:$B$5001,Prensa!$E$2:$E$5001,N1307,Prensa!$F$2:$F$5001,2,Prensa!$G$2:$G$5001,1),""))</f>
        <v>0</v>
      </c>
      <c r="F1307" s="27">
        <f>IF(A1307="","",IFERROR(AVERAGEIFS(Prensa!$B$2:$B$5001,Prensa!$E$2:$E$5001,N1307,Prensa!$F$2:$F$5001,3,Prensa!$G$2:$G$5001,1),""))</f>
        <v>0</v>
      </c>
      <c r="G1307" s="27">
        <f>IF(A1307="","",IFERROR(AVERAGEIFS(Prensa!$B$2:$B$5001,Prensa!$E$2:$E$5001,N1307,Prensa!$F$2:$F$5001,4,Prensa!$G$2:$G$5001,1),""))</f>
        <v>0</v>
      </c>
      <c r="H1307" s="26">
        <f>IF(A1307="","",COUNT(D1307:G1307))</f>
        <v>0</v>
      </c>
      <c r="I1307" s="27">
        <f>IF(A1307="","",IF(H1307=0,"",AVERAGE(D1307:G1307)))</f>
        <v>0</v>
      </c>
      <c r="J1307" s="27">
        <f>IF(OR(I1307="",C1307=""),"",I1307-C1307)</f>
        <v>0</v>
      </c>
      <c r="K1307" s="26">
        <f>IF(A1307="","",IF(MES!E1307&lt;&gt;4,"Horário do MES fora do padrão",IF(H1307&lt;cfgMinCortes,"Cortes insuficientes","Válida")))</f>
        <v>0</v>
      </c>
      <c r="L1307" s="27">
        <f>IF(K1307="Válida",ABS(J1307),"")</f>
        <v>0</v>
      </c>
      <c r="M1307" s="26">
        <f>IF(K1307="Válida",IF(L1307&lt;=cfgTolerancia,"Sim","Não"),"")</f>
        <v>0</v>
      </c>
      <c r="N1307" s="26">
        <f>IF(A1307="","",MES!D1307)</f>
        <v>0</v>
      </c>
      <c r="O1307" s="25">
        <f>IF(K1307="Válida",A1307,NA())</f>
        <v>0</v>
      </c>
      <c r="P1307" s="27">
        <f>IF(K1307="Válida",C1307,NA())</f>
        <v>0</v>
      </c>
      <c r="Q1307" s="27">
        <f>IF(K1307="Válida",I1307,NA())</f>
        <v>0</v>
      </c>
      <c r="R1307" s="27">
        <f>IF(K1307="Válida",J1307,NA())</f>
        <v>0</v>
      </c>
      <c r="S1307" s="27">
        <f>IF(K1307="Válida",C1307,"")</f>
        <v>0</v>
      </c>
      <c r="T1307" s="27">
        <f>IF(K1307="Válida",I1307,"")</f>
        <v>0</v>
      </c>
      <c r="U1307" s="27">
        <f>IF(K1307="Válida",J1307,"")</f>
        <v>0</v>
      </c>
    </row>
    <row r="1308" spans="1:21">
      <c r="A1308" s="25">
        <f>IF(MES!A1308="","",MES!C1308/48)</f>
        <v>0</v>
      </c>
      <c r="B1308" s="26">
        <f>IF(A1308="","",TEXT((N1308*4+cfgDeslocamento)/48,"hh:mm")&amp;" a "&amp;TEXT(A1308,"hh:mm"))</f>
        <v>0</v>
      </c>
      <c r="C1308" s="27">
        <f>IF(A1308="","",MES!B1308)</f>
        <v>0</v>
      </c>
      <c r="D1308" s="27">
        <f>IF(A1308="","",IFERROR(AVERAGEIFS(Prensa!$B$2:$B$5001,Prensa!$E$2:$E$5001,N1308,Prensa!$F$2:$F$5001,1,Prensa!$G$2:$G$5001,1),""))</f>
        <v>0</v>
      </c>
      <c r="E1308" s="27">
        <f>IF(A1308="","",IFERROR(AVERAGEIFS(Prensa!$B$2:$B$5001,Prensa!$E$2:$E$5001,N1308,Prensa!$F$2:$F$5001,2,Prensa!$G$2:$G$5001,1),""))</f>
        <v>0</v>
      </c>
      <c r="F1308" s="27">
        <f>IF(A1308="","",IFERROR(AVERAGEIFS(Prensa!$B$2:$B$5001,Prensa!$E$2:$E$5001,N1308,Prensa!$F$2:$F$5001,3,Prensa!$G$2:$G$5001,1),""))</f>
        <v>0</v>
      </c>
      <c r="G1308" s="27">
        <f>IF(A1308="","",IFERROR(AVERAGEIFS(Prensa!$B$2:$B$5001,Prensa!$E$2:$E$5001,N1308,Prensa!$F$2:$F$5001,4,Prensa!$G$2:$G$5001,1),""))</f>
        <v>0</v>
      </c>
      <c r="H1308" s="26">
        <f>IF(A1308="","",COUNT(D1308:G1308))</f>
        <v>0</v>
      </c>
      <c r="I1308" s="27">
        <f>IF(A1308="","",IF(H1308=0,"",AVERAGE(D1308:G1308)))</f>
        <v>0</v>
      </c>
      <c r="J1308" s="27">
        <f>IF(OR(I1308="",C1308=""),"",I1308-C1308)</f>
        <v>0</v>
      </c>
      <c r="K1308" s="26">
        <f>IF(A1308="","",IF(MES!E1308&lt;&gt;4,"Horário do MES fora do padrão",IF(H1308&lt;cfgMinCortes,"Cortes insuficientes","Válida")))</f>
        <v>0</v>
      </c>
      <c r="L1308" s="27">
        <f>IF(K1308="Válida",ABS(J1308),"")</f>
        <v>0</v>
      </c>
      <c r="M1308" s="26">
        <f>IF(K1308="Válida",IF(L1308&lt;=cfgTolerancia,"Sim","Não"),"")</f>
        <v>0</v>
      </c>
      <c r="N1308" s="26">
        <f>IF(A1308="","",MES!D1308)</f>
        <v>0</v>
      </c>
      <c r="O1308" s="25">
        <f>IF(K1308="Válida",A1308,NA())</f>
        <v>0</v>
      </c>
      <c r="P1308" s="27">
        <f>IF(K1308="Válida",C1308,NA())</f>
        <v>0</v>
      </c>
      <c r="Q1308" s="27">
        <f>IF(K1308="Válida",I1308,NA())</f>
        <v>0</v>
      </c>
      <c r="R1308" s="27">
        <f>IF(K1308="Válida",J1308,NA())</f>
        <v>0</v>
      </c>
      <c r="S1308" s="27">
        <f>IF(K1308="Válida",C1308,"")</f>
        <v>0</v>
      </c>
      <c r="T1308" s="27">
        <f>IF(K1308="Válida",I1308,"")</f>
        <v>0</v>
      </c>
      <c r="U1308" s="27">
        <f>IF(K1308="Válida",J1308,"")</f>
        <v>0</v>
      </c>
    </row>
    <row r="1309" spans="1:21">
      <c r="A1309" s="25">
        <f>IF(MES!A1309="","",MES!C1309/48)</f>
        <v>0</v>
      </c>
      <c r="B1309" s="26">
        <f>IF(A1309="","",TEXT((N1309*4+cfgDeslocamento)/48,"hh:mm")&amp;" a "&amp;TEXT(A1309,"hh:mm"))</f>
        <v>0</v>
      </c>
      <c r="C1309" s="27">
        <f>IF(A1309="","",MES!B1309)</f>
        <v>0</v>
      </c>
      <c r="D1309" s="27">
        <f>IF(A1309="","",IFERROR(AVERAGEIFS(Prensa!$B$2:$B$5001,Prensa!$E$2:$E$5001,N1309,Prensa!$F$2:$F$5001,1,Prensa!$G$2:$G$5001,1),""))</f>
        <v>0</v>
      </c>
      <c r="E1309" s="27">
        <f>IF(A1309="","",IFERROR(AVERAGEIFS(Prensa!$B$2:$B$5001,Prensa!$E$2:$E$5001,N1309,Prensa!$F$2:$F$5001,2,Prensa!$G$2:$G$5001,1),""))</f>
        <v>0</v>
      </c>
      <c r="F1309" s="27">
        <f>IF(A1309="","",IFERROR(AVERAGEIFS(Prensa!$B$2:$B$5001,Prensa!$E$2:$E$5001,N1309,Prensa!$F$2:$F$5001,3,Prensa!$G$2:$G$5001,1),""))</f>
        <v>0</v>
      </c>
      <c r="G1309" s="27">
        <f>IF(A1309="","",IFERROR(AVERAGEIFS(Prensa!$B$2:$B$5001,Prensa!$E$2:$E$5001,N1309,Prensa!$F$2:$F$5001,4,Prensa!$G$2:$G$5001,1),""))</f>
        <v>0</v>
      </c>
      <c r="H1309" s="26">
        <f>IF(A1309="","",COUNT(D1309:G1309))</f>
        <v>0</v>
      </c>
      <c r="I1309" s="27">
        <f>IF(A1309="","",IF(H1309=0,"",AVERAGE(D1309:G1309)))</f>
        <v>0</v>
      </c>
      <c r="J1309" s="27">
        <f>IF(OR(I1309="",C1309=""),"",I1309-C1309)</f>
        <v>0</v>
      </c>
      <c r="K1309" s="26">
        <f>IF(A1309="","",IF(MES!E1309&lt;&gt;4,"Horário do MES fora do padrão",IF(H1309&lt;cfgMinCortes,"Cortes insuficientes","Válida")))</f>
        <v>0</v>
      </c>
      <c r="L1309" s="27">
        <f>IF(K1309="Válida",ABS(J1309),"")</f>
        <v>0</v>
      </c>
      <c r="M1309" s="26">
        <f>IF(K1309="Válida",IF(L1309&lt;=cfgTolerancia,"Sim","Não"),"")</f>
        <v>0</v>
      </c>
      <c r="N1309" s="26">
        <f>IF(A1309="","",MES!D1309)</f>
        <v>0</v>
      </c>
      <c r="O1309" s="25">
        <f>IF(K1309="Válida",A1309,NA())</f>
        <v>0</v>
      </c>
      <c r="P1309" s="27">
        <f>IF(K1309="Válida",C1309,NA())</f>
        <v>0</v>
      </c>
      <c r="Q1309" s="27">
        <f>IF(K1309="Válida",I1309,NA())</f>
        <v>0</v>
      </c>
      <c r="R1309" s="27">
        <f>IF(K1309="Válida",J1309,NA())</f>
        <v>0</v>
      </c>
      <c r="S1309" s="27">
        <f>IF(K1309="Válida",C1309,"")</f>
        <v>0</v>
      </c>
      <c r="T1309" s="27">
        <f>IF(K1309="Válida",I1309,"")</f>
        <v>0</v>
      </c>
      <c r="U1309" s="27">
        <f>IF(K1309="Válida",J1309,"")</f>
        <v>0</v>
      </c>
    </row>
    <row r="1310" spans="1:21">
      <c r="A1310" s="25">
        <f>IF(MES!A1310="","",MES!C1310/48)</f>
        <v>0</v>
      </c>
      <c r="B1310" s="26">
        <f>IF(A1310="","",TEXT((N1310*4+cfgDeslocamento)/48,"hh:mm")&amp;" a "&amp;TEXT(A1310,"hh:mm"))</f>
        <v>0</v>
      </c>
      <c r="C1310" s="27">
        <f>IF(A1310="","",MES!B1310)</f>
        <v>0</v>
      </c>
      <c r="D1310" s="27">
        <f>IF(A1310="","",IFERROR(AVERAGEIFS(Prensa!$B$2:$B$5001,Prensa!$E$2:$E$5001,N1310,Prensa!$F$2:$F$5001,1,Prensa!$G$2:$G$5001,1),""))</f>
        <v>0</v>
      </c>
      <c r="E1310" s="27">
        <f>IF(A1310="","",IFERROR(AVERAGEIFS(Prensa!$B$2:$B$5001,Prensa!$E$2:$E$5001,N1310,Prensa!$F$2:$F$5001,2,Prensa!$G$2:$G$5001,1),""))</f>
        <v>0</v>
      </c>
      <c r="F1310" s="27">
        <f>IF(A1310="","",IFERROR(AVERAGEIFS(Prensa!$B$2:$B$5001,Prensa!$E$2:$E$5001,N1310,Prensa!$F$2:$F$5001,3,Prensa!$G$2:$G$5001,1),""))</f>
        <v>0</v>
      </c>
      <c r="G1310" s="27">
        <f>IF(A1310="","",IFERROR(AVERAGEIFS(Prensa!$B$2:$B$5001,Prensa!$E$2:$E$5001,N1310,Prensa!$F$2:$F$5001,4,Prensa!$G$2:$G$5001,1),""))</f>
        <v>0</v>
      </c>
      <c r="H1310" s="26">
        <f>IF(A1310="","",COUNT(D1310:G1310))</f>
        <v>0</v>
      </c>
      <c r="I1310" s="27">
        <f>IF(A1310="","",IF(H1310=0,"",AVERAGE(D1310:G1310)))</f>
        <v>0</v>
      </c>
      <c r="J1310" s="27">
        <f>IF(OR(I1310="",C1310=""),"",I1310-C1310)</f>
        <v>0</v>
      </c>
      <c r="K1310" s="26">
        <f>IF(A1310="","",IF(MES!E1310&lt;&gt;4,"Horário do MES fora do padrão",IF(H1310&lt;cfgMinCortes,"Cortes insuficientes","Válida")))</f>
        <v>0</v>
      </c>
      <c r="L1310" s="27">
        <f>IF(K1310="Válida",ABS(J1310),"")</f>
        <v>0</v>
      </c>
      <c r="M1310" s="26">
        <f>IF(K1310="Válida",IF(L1310&lt;=cfgTolerancia,"Sim","Não"),"")</f>
        <v>0</v>
      </c>
      <c r="N1310" s="26">
        <f>IF(A1310="","",MES!D1310)</f>
        <v>0</v>
      </c>
      <c r="O1310" s="25">
        <f>IF(K1310="Válida",A1310,NA())</f>
        <v>0</v>
      </c>
      <c r="P1310" s="27">
        <f>IF(K1310="Válida",C1310,NA())</f>
        <v>0</v>
      </c>
      <c r="Q1310" s="27">
        <f>IF(K1310="Válida",I1310,NA())</f>
        <v>0</v>
      </c>
      <c r="R1310" s="27">
        <f>IF(K1310="Válida",J1310,NA())</f>
        <v>0</v>
      </c>
      <c r="S1310" s="27">
        <f>IF(K1310="Válida",C1310,"")</f>
        <v>0</v>
      </c>
      <c r="T1310" s="27">
        <f>IF(K1310="Válida",I1310,"")</f>
        <v>0</v>
      </c>
      <c r="U1310" s="27">
        <f>IF(K1310="Válida",J1310,"")</f>
        <v>0</v>
      </c>
    </row>
    <row r="1311" spans="1:21">
      <c r="A1311" s="25">
        <f>IF(MES!A1311="","",MES!C1311/48)</f>
        <v>0</v>
      </c>
      <c r="B1311" s="26">
        <f>IF(A1311="","",TEXT((N1311*4+cfgDeslocamento)/48,"hh:mm")&amp;" a "&amp;TEXT(A1311,"hh:mm"))</f>
        <v>0</v>
      </c>
      <c r="C1311" s="27">
        <f>IF(A1311="","",MES!B1311)</f>
        <v>0</v>
      </c>
      <c r="D1311" s="27">
        <f>IF(A1311="","",IFERROR(AVERAGEIFS(Prensa!$B$2:$B$5001,Prensa!$E$2:$E$5001,N1311,Prensa!$F$2:$F$5001,1,Prensa!$G$2:$G$5001,1),""))</f>
        <v>0</v>
      </c>
      <c r="E1311" s="27">
        <f>IF(A1311="","",IFERROR(AVERAGEIFS(Prensa!$B$2:$B$5001,Prensa!$E$2:$E$5001,N1311,Prensa!$F$2:$F$5001,2,Prensa!$G$2:$G$5001,1),""))</f>
        <v>0</v>
      </c>
      <c r="F1311" s="27">
        <f>IF(A1311="","",IFERROR(AVERAGEIFS(Prensa!$B$2:$B$5001,Prensa!$E$2:$E$5001,N1311,Prensa!$F$2:$F$5001,3,Prensa!$G$2:$G$5001,1),""))</f>
        <v>0</v>
      </c>
      <c r="G1311" s="27">
        <f>IF(A1311="","",IFERROR(AVERAGEIFS(Prensa!$B$2:$B$5001,Prensa!$E$2:$E$5001,N1311,Prensa!$F$2:$F$5001,4,Prensa!$G$2:$G$5001,1),""))</f>
        <v>0</v>
      </c>
      <c r="H1311" s="26">
        <f>IF(A1311="","",COUNT(D1311:G1311))</f>
        <v>0</v>
      </c>
      <c r="I1311" s="27">
        <f>IF(A1311="","",IF(H1311=0,"",AVERAGE(D1311:G1311)))</f>
        <v>0</v>
      </c>
      <c r="J1311" s="27">
        <f>IF(OR(I1311="",C1311=""),"",I1311-C1311)</f>
        <v>0</v>
      </c>
      <c r="K1311" s="26">
        <f>IF(A1311="","",IF(MES!E1311&lt;&gt;4,"Horário do MES fora do padrão",IF(H1311&lt;cfgMinCortes,"Cortes insuficientes","Válida")))</f>
        <v>0</v>
      </c>
      <c r="L1311" s="27">
        <f>IF(K1311="Válida",ABS(J1311),"")</f>
        <v>0</v>
      </c>
      <c r="M1311" s="26">
        <f>IF(K1311="Válida",IF(L1311&lt;=cfgTolerancia,"Sim","Não"),"")</f>
        <v>0</v>
      </c>
      <c r="N1311" s="26">
        <f>IF(A1311="","",MES!D1311)</f>
        <v>0</v>
      </c>
      <c r="O1311" s="25">
        <f>IF(K1311="Válida",A1311,NA())</f>
        <v>0</v>
      </c>
      <c r="P1311" s="27">
        <f>IF(K1311="Válida",C1311,NA())</f>
        <v>0</v>
      </c>
      <c r="Q1311" s="27">
        <f>IF(K1311="Válida",I1311,NA())</f>
        <v>0</v>
      </c>
      <c r="R1311" s="27">
        <f>IF(K1311="Válida",J1311,NA())</f>
        <v>0</v>
      </c>
      <c r="S1311" s="27">
        <f>IF(K1311="Válida",C1311,"")</f>
        <v>0</v>
      </c>
      <c r="T1311" s="27">
        <f>IF(K1311="Válida",I1311,"")</f>
        <v>0</v>
      </c>
      <c r="U1311" s="27">
        <f>IF(K1311="Válida",J1311,"")</f>
        <v>0</v>
      </c>
    </row>
    <row r="1312" spans="1:21">
      <c r="A1312" s="25">
        <f>IF(MES!A1312="","",MES!C1312/48)</f>
        <v>0</v>
      </c>
      <c r="B1312" s="26">
        <f>IF(A1312="","",TEXT((N1312*4+cfgDeslocamento)/48,"hh:mm")&amp;" a "&amp;TEXT(A1312,"hh:mm"))</f>
        <v>0</v>
      </c>
      <c r="C1312" s="27">
        <f>IF(A1312="","",MES!B1312)</f>
        <v>0</v>
      </c>
      <c r="D1312" s="27">
        <f>IF(A1312="","",IFERROR(AVERAGEIFS(Prensa!$B$2:$B$5001,Prensa!$E$2:$E$5001,N1312,Prensa!$F$2:$F$5001,1,Prensa!$G$2:$G$5001,1),""))</f>
        <v>0</v>
      </c>
      <c r="E1312" s="27">
        <f>IF(A1312="","",IFERROR(AVERAGEIFS(Prensa!$B$2:$B$5001,Prensa!$E$2:$E$5001,N1312,Prensa!$F$2:$F$5001,2,Prensa!$G$2:$G$5001,1),""))</f>
        <v>0</v>
      </c>
      <c r="F1312" s="27">
        <f>IF(A1312="","",IFERROR(AVERAGEIFS(Prensa!$B$2:$B$5001,Prensa!$E$2:$E$5001,N1312,Prensa!$F$2:$F$5001,3,Prensa!$G$2:$G$5001,1),""))</f>
        <v>0</v>
      </c>
      <c r="G1312" s="27">
        <f>IF(A1312="","",IFERROR(AVERAGEIFS(Prensa!$B$2:$B$5001,Prensa!$E$2:$E$5001,N1312,Prensa!$F$2:$F$5001,4,Prensa!$G$2:$G$5001,1),""))</f>
        <v>0</v>
      </c>
      <c r="H1312" s="26">
        <f>IF(A1312="","",COUNT(D1312:G1312))</f>
        <v>0</v>
      </c>
      <c r="I1312" s="27">
        <f>IF(A1312="","",IF(H1312=0,"",AVERAGE(D1312:G1312)))</f>
        <v>0</v>
      </c>
      <c r="J1312" s="27">
        <f>IF(OR(I1312="",C1312=""),"",I1312-C1312)</f>
        <v>0</v>
      </c>
      <c r="K1312" s="26">
        <f>IF(A1312="","",IF(MES!E1312&lt;&gt;4,"Horário do MES fora do padrão",IF(H1312&lt;cfgMinCortes,"Cortes insuficientes","Válida")))</f>
        <v>0</v>
      </c>
      <c r="L1312" s="27">
        <f>IF(K1312="Válida",ABS(J1312),"")</f>
        <v>0</v>
      </c>
      <c r="M1312" s="26">
        <f>IF(K1312="Válida",IF(L1312&lt;=cfgTolerancia,"Sim","Não"),"")</f>
        <v>0</v>
      </c>
      <c r="N1312" s="26">
        <f>IF(A1312="","",MES!D1312)</f>
        <v>0</v>
      </c>
      <c r="O1312" s="25">
        <f>IF(K1312="Válida",A1312,NA())</f>
        <v>0</v>
      </c>
      <c r="P1312" s="27">
        <f>IF(K1312="Válida",C1312,NA())</f>
        <v>0</v>
      </c>
      <c r="Q1312" s="27">
        <f>IF(K1312="Válida",I1312,NA())</f>
        <v>0</v>
      </c>
      <c r="R1312" s="27">
        <f>IF(K1312="Válida",J1312,NA())</f>
        <v>0</v>
      </c>
      <c r="S1312" s="27">
        <f>IF(K1312="Válida",C1312,"")</f>
        <v>0</v>
      </c>
      <c r="T1312" s="27">
        <f>IF(K1312="Válida",I1312,"")</f>
        <v>0</v>
      </c>
      <c r="U1312" s="27">
        <f>IF(K1312="Válida",J1312,"")</f>
        <v>0</v>
      </c>
    </row>
    <row r="1313" spans="1:21">
      <c r="A1313" s="25">
        <f>IF(MES!A1313="","",MES!C1313/48)</f>
        <v>0</v>
      </c>
      <c r="B1313" s="26">
        <f>IF(A1313="","",TEXT((N1313*4+cfgDeslocamento)/48,"hh:mm")&amp;" a "&amp;TEXT(A1313,"hh:mm"))</f>
        <v>0</v>
      </c>
      <c r="C1313" s="27">
        <f>IF(A1313="","",MES!B1313)</f>
        <v>0</v>
      </c>
      <c r="D1313" s="27">
        <f>IF(A1313="","",IFERROR(AVERAGEIFS(Prensa!$B$2:$B$5001,Prensa!$E$2:$E$5001,N1313,Prensa!$F$2:$F$5001,1,Prensa!$G$2:$G$5001,1),""))</f>
        <v>0</v>
      </c>
      <c r="E1313" s="27">
        <f>IF(A1313="","",IFERROR(AVERAGEIFS(Prensa!$B$2:$B$5001,Prensa!$E$2:$E$5001,N1313,Prensa!$F$2:$F$5001,2,Prensa!$G$2:$G$5001,1),""))</f>
        <v>0</v>
      </c>
      <c r="F1313" s="27">
        <f>IF(A1313="","",IFERROR(AVERAGEIFS(Prensa!$B$2:$B$5001,Prensa!$E$2:$E$5001,N1313,Prensa!$F$2:$F$5001,3,Prensa!$G$2:$G$5001,1),""))</f>
        <v>0</v>
      </c>
      <c r="G1313" s="27">
        <f>IF(A1313="","",IFERROR(AVERAGEIFS(Prensa!$B$2:$B$5001,Prensa!$E$2:$E$5001,N1313,Prensa!$F$2:$F$5001,4,Prensa!$G$2:$G$5001,1),""))</f>
        <v>0</v>
      </c>
      <c r="H1313" s="26">
        <f>IF(A1313="","",COUNT(D1313:G1313))</f>
        <v>0</v>
      </c>
      <c r="I1313" s="27">
        <f>IF(A1313="","",IF(H1313=0,"",AVERAGE(D1313:G1313)))</f>
        <v>0</v>
      </c>
      <c r="J1313" s="27">
        <f>IF(OR(I1313="",C1313=""),"",I1313-C1313)</f>
        <v>0</v>
      </c>
      <c r="K1313" s="26">
        <f>IF(A1313="","",IF(MES!E1313&lt;&gt;4,"Horário do MES fora do padrão",IF(H1313&lt;cfgMinCortes,"Cortes insuficientes","Válida")))</f>
        <v>0</v>
      </c>
      <c r="L1313" s="27">
        <f>IF(K1313="Válida",ABS(J1313),"")</f>
        <v>0</v>
      </c>
      <c r="M1313" s="26">
        <f>IF(K1313="Válida",IF(L1313&lt;=cfgTolerancia,"Sim","Não"),"")</f>
        <v>0</v>
      </c>
      <c r="N1313" s="26">
        <f>IF(A1313="","",MES!D1313)</f>
        <v>0</v>
      </c>
      <c r="O1313" s="25">
        <f>IF(K1313="Válida",A1313,NA())</f>
        <v>0</v>
      </c>
      <c r="P1313" s="27">
        <f>IF(K1313="Válida",C1313,NA())</f>
        <v>0</v>
      </c>
      <c r="Q1313" s="27">
        <f>IF(K1313="Válida",I1313,NA())</f>
        <v>0</v>
      </c>
      <c r="R1313" s="27">
        <f>IF(K1313="Válida",J1313,NA())</f>
        <v>0</v>
      </c>
      <c r="S1313" s="27">
        <f>IF(K1313="Válida",C1313,"")</f>
        <v>0</v>
      </c>
      <c r="T1313" s="27">
        <f>IF(K1313="Válida",I1313,"")</f>
        <v>0</v>
      </c>
      <c r="U1313" s="27">
        <f>IF(K1313="Válida",J1313,"")</f>
        <v>0</v>
      </c>
    </row>
    <row r="1314" spans="1:21">
      <c r="A1314" s="25">
        <f>IF(MES!A1314="","",MES!C1314/48)</f>
        <v>0</v>
      </c>
      <c r="B1314" s="26">
        <f>IF(A1314="","",TEXT((N1314*4+cfgDeslocamento)/48,"hh:mm")&amp;" a "&amp;TEXT(A1314,"hh:mm"))</f>
        <v>0</v>
      </c>
      <c r="C1314" s="27">
        <f>IF(A1314="","",MES!B1314)</f>
        <v>0</v>
      </c>
      <c r="D1314" s="27">
        <f>IF(A1314="","",IFERROR(AVERAGEIFS(Prensa!$B$2:$B$5001,Prensa!$E$2:$E$5001,N1314,Prensa!$F$2:$F$5001,1,Prensa!$G$2:$G$5001,1),""))</f>
        <v>0</v>
      </c>
      <c r="E1314" s="27">
        <f>IF(A1314="","",IFERROR(AVERAGEIFS(Prensa!$B$2:$B$5001,Prensa!$E$2:$E$5001,N1314,Prensa!$F$2:$F$5001,2,Prensa!$G$2:$G$5001,1),""))</f>
        <v>0</v>
      </c>
      <c r="F1314" s="27">
        <f>IF(A1314="","",IFERROR(AVERAGEIFS(Prensa!$B$2:$B$5001,Prensa!$E$2:$E$5001,N1314,Prensa!$F$2:$F$5001,3,Prensa!$G$2:$G$5001,1),""))</f>
        <v>0</v>
      </c>
      <c r="G1314" s="27">
        <f>IF(A1314="","",IFERROR(AVERAGEIFS(Prensa!$B$2:$B$5001,Prensa!$E$2:$E$5001,N1314,Prensa!$F$2:$F$5001,4,Prensa!$G$2:$G$5001,1),""))</f>
        <v>0</v>
      </c>
      <c r="H1314" s="26">
        <f>IF(A1314="","",COUNT(D1314:G1314))</f>
        <v>0</v>
      </c>
      <c r="I1314" s="27">
        <f>IF(A1314="","",IF(H1314=0,"",AVERAGE(D1314:G1314)))</f>
        <v>0</v>
      </c>
      <c r="J1314" s="27">
        <f>IF(OR(I1314="",C1314=""),"",I1314-C1314)</f>
        <v>0</v>
      </c>
      <c r="K1314" s="26">
        <f>IF(A1314="","",IF(MES!E1314&lt;&gt;4,"Horário do MES fora do padrão",IF(H1314&lt;cfgMinCortes,"Cortes insuficientes","Válida")))</f>
        <v>0</v>
      </c>
      <c r="L1314" s="27">
        <f>IF(K1314="Válida",ABS(J1314),"")</f>
        <v>0</v>
      </c>
      <c r="M1314" s="26">
        <f>IF(K1314="Válida",IF(L1314&lt;=cfgTolerancia,"Sim","Não"),"")</f>
        <v>0</v>
      </c>
      <c r="N1314" s="26">
        <f>IF(A1314="","",MES!D1314)</f>
        <v>0</v>
      </c>
      <c r="O1314" s="25">
        <f>IF(K1314="Válida",A1314,NA())</f>
        <v>0</v>
      </c>
      <c r="P1314" s="27">
        <f>IF(K1314="Válida",C1314,NA())</f>
        <v>0</v>
      </c>
      <c r="Q1314" s="27">
        <f>IF(K1314="Válida",I1314,NA())</f>
        <v>0</v>
      </c>
      <c r="R1314" s="27">
        <f>IF(K1314="Válida",J1314,NA())</f>
        <v>0</v>
      </c>
      <c r="S1314" s="27">
        <f>IF(K1314="Válida",C1314,"")</f>
        <v>0</v>
      </c>
      <c r="T1314" s="27">
        <f>IF(K1314="Válida",I1314,"")</f>
        <v>0</v>
      </c>
      <c r="U1314" s="27">
        <f>IF(K1314="Válida",J1314,"")</f>
        <v>0</v>
      </c>
    </row>
    <row r="1315" spans="1:21">
      <c r="A1315" s="25">
        <f>IF(MES!A1315="","",MES!C1315/48)</f>
        <v>0</v>
      </c>
      <c r="B1315" s="26">
        <f>IF(A1315="","",TEXT((N1315*4+cfgDeslocamento)/48,"hh:mm")&amp;" a "&amp;TEXT(A1315,"hh:mm"))</f>
        <v>0</v>
      </c>
      <c r="C1315" s="27">
        <f>IF(A1315="","",MES!B1315)</f>
        <v>0</v>
      </c>
      <c r="D1315" s="27">
        <f>IF(A1315="","",IFERROR(AVERAGEIFS(Prensa!$B$2:$B$5001,Prensa!$E$2:$E$5001,N1315,Prensa!$F$2:$F$5001,1,Prensa!$G$2:$G$5001,1),""))</f>
        <v>0</v>
      </c>
      <c r="E1315" s="27">
        <f>IF(A1315="","",IFERROR(AVERAGEIFS(Prensa!$B$2:$B$5001,Prensa!$E$2:$E$5001,N1315,Prensa!$F$2:$F$5001,2,Prensa!$G$2:$G$5001,1),""))</f>
        <v>0</v>
      </c>
      <c r="F1315" s="27">
        <f>IF(A1315="","",IFERROR(AVERAGEIFS(Prensa!$B$2:$B$5001,Prensa!$E$2:$E$5001,N1315,Prensa!$F$2:$F$5001,3,Prensa!$G$2:$G$5001,1),""))</f>
        <v>0</v>
      </c>
      <c r="G1315" s="27">
        <f>IF(A1315="","",IFERROR(AVERAGEIFS(Prensa!$B$2:$B$5001,Prensa!$E$2:$E$5001,N1315,Prensa!$F$2:$F$5001,4,Prensa!$G$2:$G$5001,1),""))</f>
        <v>0</v>
      </c>
      <c r="H1315" s="26">
        <f>IF(A1315="","",COUNT(D1315:G1315))</f>
        <v>0</v>
      </c>
      <c r="I1315" s="27">
        <f>IF(A1315="","",IF(H1315=0,"",AVERAGE(D1315:G1315)))</f>
        <v>0</v>
      </c>
      <c r="J1315" s="27">
        <f>IF(OR(I1315="",C1315=""),"",I1315-C1315)</f>
        <v>0</v>
      </c>
      <c r="K1315" s="26">
        <f>IF(A1315="","",IF(MES!E1315&lt;&gt;4,"Horário do MES fora do padrão",IF(H1315&lt;cfgMinCortes,"Cortes insuficientes","Válida")))</f>
        <v>0</v>
      </c>
      <c r="L1315" s="27">
        <f>IF(K1315="Válida",ABS(J1315),"")</f>
        <v>0</v>
      </c>
      <c r="M1315" s="26">
        <f>IF(K1315="Válida",IF(L1315&lt;=cfgTolerancia,"Sim","Não"),"")</f>
        <v>0</v>
      </c>
      <c r="N1315" s="26">
        <f>IF(A1315="","",MES!D1315)</f>
        <v>0</v>
      </c>
      <c r="O1315" s="25">
        <f>IF(K1315="Válida",A1315,NA())</f>
        <v>0</v>
      </c>
      <c r="P1315" s="27">
        <f>IF(K1315="Válida",C1315,NA())</f>
        <v>0</v>
      </c>
      <c r="Q1315" s="27">
        <f>IF(K1315="Válida",I1315,NA())</f>
        <v>0</v>
      </c>
      <c r="R1315" s="27">
        <f>IF(K1315="Válida",J1315,NA())</f>
        <v>0</v>
      </c>
      <c r="S1315" s="27">
        <f>IF(K1315="Válida",C1315,"")</f>
        <v>0</v>
      </c>
      <c r="T1315" s="27">
        <f>IF(K1315="Válida",I1315,"")</f>
        <v>0</v>
      </c>
      <c r="U1315" s="27">
        <f>IF(K1315="Válida",J1315,"")</f>
        <v>0</v>
      </c>
    </row>
    <row r="1316" spans="1:21">
      <c r="A1316" s="25">
        <f>IF(MES!A1316="","",MES!C1316/48)</f>
        <v>0</v>
      </c>
      <c r="B1316" s="26">
        <f>IF(A1316="","",TEXT((N1316*4+cfgDeslocamento)/48,"hh:mm")&amp;" a "&amp;TEXT(A1316,"hh:mm"))</f>
        <v>0</v>
      </c>
      <c r="C1316" s="27">
        <f>IF(A1316="","",MES!B1316)</f>
        <v>0</v>
      </c>
      <c r="D1316" s="27">
        <f>IF(A1316="","",IFERROR(AVERAGEIFS(Prensa!$B$2:$B$5001,Prensa!$E$2:$E$5001,N1316,Prensa!$F$2:$F$5001,1,Prensa!$G$2:$G$5001,1),""))</f>
        <v>0</v>
      </c>
      <c r="E1316" s="27">
        <f>IF(A1316="","",IFERROR(AVERAGEIFS(Prensa!$B$2:$B$5001,Prensa!$E$2:$E$5001,N1316,Prensa!$F$2:$F$5001,2,Prensa!$G$2:$G$5001,1),""))</f>
        <v>0</v>
      </c>
      <c r="F1316" s="27">
        <f>IF(A1316="","",IFERROR(AVERAGEIFS(Prensa!$B$2:$B$5001,Prensa!$E$2:$E$5001,N1316,Prensa!$F$2:$F$5001,3,Prensa!$G$2:$G$5001,1),""))</f>
        <v>0</v>
      </c>
      <c r="G1316" s="27">
        <f>IF(A1316="","",IFERROR(AVERAGEIFS(Prensa!$B$2:$B$5001,Prensa!$E$2:$E$5001,N1316,Prensa!$F$2:$F$5001,4,Prensa!$G$2:$G$5001,1),""))</f>
        <v>0</v>
      </c>
      <c r="H1316" s="26">
        <f>IF(A1316="","",COUNT(D1316:G1316))</f>
        <v>0</v>
      </c>
      <c r="I1316" s="27">
        <f>IF(A1316="","",IF(H1316=0,"",AVERAGE(D1316:G1316)))</f>
        <v>0</v>
      </c>
      <c r="J1316" s="27">
        <f>IF(OR(I1316="",C1316=""),"",I1316-C1316)</f>
        <v>0</v>
      </c>
      <c r="K1316" s="26">
        <f>IF(A1316="","",IF(MES!E1316&lt;&gt;4,"Horário do MES fora do padrão",IF(H1316&lt;cfgMinCortes,"Cortes insuficientes","Válida")))</f>
        <v>0</v>
      </c>
      <c r="L1316" s="27">
        <f>IF(K1316="Válida",ABS(J1316),"")</f>
        <v>0</v>
      </c>
      <c r="M1316" s="26">
        <f>IF(K1316="Válida",IF(L1316&lt;=cfgTolerancia,"Sim","Não"),"")</f>
        <v>0</v>
      </c>
      <c r="N1316" s="26">
        <f>IF(A1316="","",MES!D1316)</f>
        <v>0</v>
      </c>
      <c r="O1316" s="25">
        <f>IF(K1316="Válida",A1316,NA())</f>
        <v>0</v>
      </c>
      <c r="P1316" s="27">
        <f>IF(K1316="Válida",C1316,NA())</f>
        <v>0</v>
      </c>
      <c r="Q1316" s="27">
        <f>IF(K1316="Válida",I1316,NA())</f>
        <v>0</v>
      </c>
      <c r="R1316" s="27">
        <f>IF(K1316="Válida",J1316,NA())</f>
        <v>0</v>
      </c>
      <c r="S1316" s="27">
        <f>IF(K1316="Válida",C1316,"")</f>
        <v>0</v>
      </c>
      <c r="T1316" s="27">
        <f>IF(K1316="Válida",I1316,"")</f>
        <v>0</v>
      </c>
      <c r="U1316" s="27">
        <f>IF(K1316="Válida",J1316,"")</f>
        <v>0</v>
      </c>
    </row>
    <row r="1317" spans="1:21">
      <c r="A1317" s="25">
        <f>IF(MES!A1317="","",MES!C1317/48)</f>
        <v>0</v>
      </c>
      <c r="B1317" s="26">
        <f>IF(A1317="","",TEXT((N1317*4+cfgDeslocamento)/48,"hh:mm")&amp;" a "&amp;TEXT(A1317,"hh:mm"))</f>
        <v>0</v>
      </c>
      <c r="C1317" s="27">
        <f>IF(A1317="","",MES!B1317)</f>
        <v>0</v>
      </c>
      <c r="D1317" s="27">
        <f>IF(A1317="","",IFERROR(AVERAGEIFS(Prensa!$B$2:$B$5001,Prensa!$E$2:$E$5001,N1317,Prensa!$F$2:$F$5001,1,Prensa!$G$2:$G$5001,1),""))</f>
        <v>0</v>
      </c>
      <c r="E1317" s="27">
        <f>IF(A1317="","",IFERROR(AVERAGEIFS(Prensa!$B$2:$B$5001,Prensa!$E$2:$E$5001,N1317,Prensa!$F$2:$F$5001,2,Prensa!$G$2:$G$5001,1),""))</f>
        <v>0</v>
      </c>
      <c r="F1317" s="27">
        <f>IF(A1317="","",IFERROR(AVERAGEIFS(Prensa!$B$2:$B$5001,Prensa!$E$2:$E$5001,N1317,Prensa!$F$2:$F$5001,3,Prensa!$G$2:$G$5001,1),""))</f>
        <v>0</v>
      </c>
      <c r="G1317" s="27">
        <f>IF(A1317="","",IFERROR(AVERAGEIFS(Prensa!$B$2:$B$5001,Prensa!$E$2:$E$5001,N1317,Prensa!$F$2:$F$5001,4,Prensa!$G$2:$G$5001,1),""))</f>
        <v>0</v>
      </c>
      <c r="H1317" s="26">
        <f>IF(A1317="","",COUNT(D1317:G1317))</f>
        <v>0</v>
      </c>
      <c r="I1317" s="27">
        <f>IF(A1317="","",IF(H1317=0,"",AVERAGE(D1317:G1317)))</f>
        <v>0</v>
      </c>
      <c r="J1317" s="27">
        <f>IF(OR(I1317="",C1317=""),"",I1317-C1317)</f>
        <v>0</v>
      </c>
      <c r="K1317" s="26">
        <f>IF(A1317="","",IF(MES!E1317&lt;&gt;4,"Horário do MES fora do padrão",IF(H1317&lt;cfgMinCortes,"Cortes insuficientes","Válida")))</f>
        <v>0</v>
      </c>
      <c r="L1317" s="27">
        <f>IF(K1317="Válida",ABS(J1317),"")</f>
        <v>0</v>
      </c>
      <c r="M1317" s="26">
        <f>IF(K1317="Válida",IF(L1317&lt;=cfgTolerancia,"Sim","Não"),"")</f>
        <v>0</v>
      </c>
      <c r="N1317" s="26">
        <f>IF(A1317="","",MES!D1317)</f>
        <v>0</v>
      </c>
      <c r="O1317" s="25">
        <f>IF(K1317="Válida",A1317,NA())</f>
        <v>0</v>
      </c>
      <c r="P1317" s="27">
        <f>IF(K1317="Válida",C1317,NA())</f>
        <v>0</v>
      </c>
      <c r="Q1317" s="27">
        <f>IF(K1317="Válida",I1317,NA())</f>
        <v>0</v>
      </c>
      <c r="R1317" s="27">
        <f>IF(K1317="Válida",J1317,NA())</f>
        <v>0</v>
      </c>
      <c r="S1317" s="27">
        <f>IF(K1317="Válida",C1317,"")</f>
        <v>0</v>
      </c>
      <c r="T1317" s="27">
        <f>IF(K1317="Válida",I1317,"")</f>
        <v>0</v>
      </c>
      <c r="U1317" s="27">
        <f>IF(K1317="Válida",J1317,"")</f>
        <v>0</v>
      </c>
    </row>
    <row r="1318" spans="1:21">
      <c r="A1318" s="25">
        <f>IF(MES!A1318="","",MES!C1318/48)</f>
        <v>0</v>
      </c>
      <c r="B1318" s="26">
        <f>IF(A1318="","",TEXT((N1318*4+cfgDeslocamento)/48,"hh:mm")&amp;" a "&amp;TEXT(A1318,"hh:mm"))</f>
        <v>0</v>
      </c>
      <c r="C1318" s="27">
        <f>IF(A1318="","",MES!B1318)</f>
        <v>0</v>
      </c>
      <c r="D1318" s="27">
        <f>IF(A1318="","",IFERROR(AVERAGEIFS(Prensa!$B$2:$B$5001,Prensa!$E$2:$E$5001,N1318,Prensa!$F$2:$F$5001,1,Prensa!$G$2:$G$5001,1),""))</f>
        <v>0</v>
      </c>
      <c r="E1318" s="27">
        <f>IF(A1318="","",IFERROR(AVERAGEIFS(Prensa!$B$2:$B$5001,Prensa!$E$2:$E$5001,N1318,Prensa!$F$2:$F$5001,2,Prensa!$G$2:$G$5001,1),""))</f>
        <v>0</v>
      </c>
      <c r="F1318" s="27">
        <f>IF(A1318="","",IFERROR(AVERAGEIFS(Prensa!$B$2:$B$5001,Prensa!$E$2:$E$5001,N1318,Prensa!$F$2:$F$5001,3,Prensa!$G$2:$G$5001,1),""))</f>
        <v>0</v>
      </c>
      <c r="G1318" s="27">
        <f>IF(A1318="","",IFERROR(AVERAGEIFS(Prensa!$B$2:$B$5001,Prensa!$E$2:$E$5001,N1318,Prensa!$F$2:$F$5001,4,Prensa!$G$2:$G$5001,1),""))</f>
        <v>0</v>
      </c>
      <c r="H1318" s="26">
        <f>IF(A1318="","",COUNT(D1318:G1318))</f>
        <v>0</v>
      </c>
      <c r="I1318" s="27">
        <f>IF(A1318="","",IF(H1318=0,"",AVERAGE(D1318:G1318)))</f>
        <v>0</v>
      </c>
      <c r="J1318" s="27">
        <f>IF(OR(I1318="",C1318=""),"",I1318-C1318)</f>
        <v>0</v>
      </c>
      <c r="K1318" s="26">
        <f>IF(A1318="","",IF(MES!E1318&lt;&gt;4,"Horário do MES fora do padrão",IF(H1318&lt;cfgMinCortes,"Cortes insuficientes","Válida")))</f>
        <v>0</v>
      </c>
      <c r="L1318" s="27">
        <f>IF(K1318="Válida",ABS(J1318),"")</f>
        <v>0</v>
      </c>
      <c r="M1318" s="26">
        <f>IF(K1318="Válida",IF(L1318&lt;=cfgTolerancia,"Sim","Não"),"")</f>
        <v>0</v>
      </c>
      <c r="N1318" s="26">
        <f>IF(A1318="","",MES!D1318)</f>
        <v>0</v>
      </c>
      <c r="O1318" s="25">
        <f>IF(K1318="Válida",A1318,NA())</f>
        <v>0</v>
      </c>
      <c r="P1318" s="27">
        <f>IF(K1318="Válida",C1318,NA())</f>
        <v>0</v>
      </c>
      <c r="Q1318" s="27">
        <f>IF(K1318="Válida",I1318,NA())</f>
        <v>0</v>
      </c>
      <c r="R1318" s="27">
        <f>IF(K1318="Válida",J1318,NA())</f>
        <v>0</v>
      </c>
      <c r="S1318" s="27">
        <f>IF(K1318="Válida",C1318,"")</f>
        <v>0</v>
      </c>
      <c r="T1318" s="27">
        <f>IF(K1318="Válida",I1318,"")</f>
        <v>0</v>
      </c>
      <c r="U1318" s="27">
        <f>IF(K1318="Válida",J1318,"")</f>
        <v>0</v>
      </c>
    </row>
    <row r="1319" spans="1:21">
      <c r="A1319" s="25">
        <f>IF(MES!A1319="","",MES!C1319/48)</f>
        <v>0</v>
      </c>
      <c r="B1319" s="26">
        <f>IF(A1319="","",TEXT((N1319*4+cfgDeslocamento)/48,"hh:mm")&amp;" a "&amp;TEXT(A1319,"hh:mm"))</f>
        <v>0</v>
      </c>
      <c r="C1319" s="27">
        <f>IF(A1319="","",MES!B1319)</f>
        <v>0</v>
      </c>
      <c r="D1319" s="27">
        <f>IF(A1319="","",IFERROR(AVERAGEIFS(Prensa!$B$2:$B$5001,Prensa!$E$2:$E$5001,N1319,Prensa!$F$2:$F$5001,1,Prensa!$G$2:$G$5001,1),""))</f>
        <v>0</v>
      </c>
      <c r="E1319" s="27">
        <f>IF(A1319="","",IFERROR(AVERAGEIFS(Prensa!$B$2:$B$5001,Prensa!$E$2:$E$5001,N1319,Prensa!$F$2:$F$5001,2,Prensa!$G$2:$G$5001,1),""))</f>
        <v>0</v>
      </c>
      <c r="F1319" s="27">
        <f>IF(A1319="","",IFERROR(AVERAGEIFS(Prensa!$B$2:$B$5001,Prensa!$E$2:$E$5001,N1319,Prensa!$F$2:$F$5001,3,Prensa!$G$2:$G$5001,1),""))</f>
        <v>0</v>
      </c>
      <c r="G1319" s="27">
        <f>IF(A1319="","",IFERROR(AVERAGEIFS(Prensa!$B$2:$B$5001,Prensa!$E$2:$E$5001,N1319,Prensa!$F$2:$F$5001,4,Prensa!$G$2:$G$5001,1),""))</f>
        <v>0</v>
      </c>
      <c r="H1319" s="26">
        <f>IF(A1319="","",COUNT(D1319:G1319))</f>
        <v>0</v>
      </c>
      <c r="I1319" s="27">
        <f>IF(A1319="","",IF(H1319=0,"",AVERAGE(D1319:G1319)))</f>
        <v>0</v>
      </c>
      <c r="J1319" s="27">
        <f>IF(OR(I1319="",C1319=""),"",I1319-C1319)</f>
        <v>0</v>
      </c>
      <c r="K1319" s="26">
        <f>IF(A1319="","",IF(MES!E1319&lt;&gt;4,"Horário do MES fora do padrão",IF(H1319&lt;cfgMinCortes,"Cortes insuficientes","Válida")))</f>
        <v>0</v>
      </c>
      <c r="L1319" s="27">
        <f>IF(K1319="Válida",ABS(J1319),"")</f>
        <v>0</v>
      </c>
      <c r="M1319" s="26">
        <f>IF(K1319="Válida",IF(L1319&lt;=cfgTolerancia,"Sim","Não"),"")</f>
        <v>0</v>
      </c>
      <c r="N1319" s="26">
        <f>IF(A1319="","",MES!D1319)</f>
        <v>0</v>
      </c>
      <c r="O1319" s="25">
        <f>IF(K1319="Válida",A1319,NA())</f>
        <v>0</v>
      </c>
      <c r="P1319" s="27">
        <f>IF(K1319="Válida",C1319,NA())</f>
        <v>0</v>
      </c>
      <c r="Q1319" s="27">
        <f>IF(K1319="Válida",I1319,NA())</f>
        <v>0</v>
      </c>
      <c r="R1319" s="27">
        <f>IF(K1319="Válida",J1319,NA())</f>
        <v>0</v>
      </c>
      <c r="S1319" s="27">
        <f>IF(K1319="Válida",C1319,"")</f>
        <v>0</v>
      </c>
      <c r="T1319" s="27">
        <f>IF(K1319="Válida",I1319,"")</f>
        <v>0</v>
      </c>
      <c r="U1319" s="27">
        <f>IF(K1319="Válida",J1319,"")</f>
        <v>0</v>
      </c>
    </row>
    <row r="1320" spans="1:21">
      <c r="A1320" s="25">
        <f>IF(MES!A1320="","",MES!C1320/48)</f>
        <v>0</v>
      </c>
      <c r="B1320" s="26">
        <f>IF(A1320="","",TEXT((N1320*4+cfgDeslocamento)/48,"hh:mm")&amp;" a "&amp;TEXT(A1320,"hh:mm"))</f>
        <v>0</v>
      </c>
      <c r="C1320" s="27">
        <f>IF(A1320="","",MES!B1320)</f>
        <v>0</v>
      </c>
      <c r="D1320" s="27">
        <f>IF(A1320="","",IFERROR(AVERAGEIFS(Prensa!$B$2:$B$5001,Prensa!$E$2:$E$5001,N1320,Prensa!$F$2:$F$5001,1,Prensa!$G$2:$G$5001,1),""))</f>
        <v>0</v>
      </c>
      <c r="E1320" s="27">
        <f>IF(A1320="","",IFERROR(AVERAGEIFS(Prensa!$B$2:$B$5001,Prensa!$E$2:$E$5001,N1320,Prensa!$F$2:$F$5001,2,Prensa!$G$2:$G$5001,1),""))</f>
        <v>0</v>
      </c>
      <c r="F1320" s="27">
        <f>IF(A1320="","",IFERROR(AVERAGEIFS(Prensa!$B$2:$B$5001,Prensa!$E$2:$E$5001,N1320,Prensa!$F$2:$F$5001,3,Prensa!$G$2:$G$5001,1),""))</f>
        <v>0</v>
      </c>
      <c r="G1320" s="27">
        <f>IF(A1320="","",IFERROR(AVERAGEIFS(Prensa!$B$2:$B$5001,Prensa!$E$2:$E$5001,N1320,Prensa!$F$2:$F$5001,4,Prensa!$G$2:$G$5001,1),""))</f>
        <v>0</v>
      </c>
      <c r="H1320" s="26">
        <f>IF(A1320="","",COUNT(D1320:G1320))</f>
        <v>0</v>
      </c>
      <c r="I1320" s="27">
        <f>IF(A1320="","",IF(H1320=0,"",AVERAGE(D1320:G1320)))</f>
        <v>0</v>
      </c>
      <c r="J1320" s="27">
        <f>IF(OR(I1320="",C1320=""),"",I1320-C1320)</f>
        <v>0</v>
      </c>
      <c r="K1320" s="26">
        <f>IF(A1320="","",IF(MES!E1320&lt;&gt;4,"Horário do MES fora do padrão",IF(H1320&lt;cfgMinCortes,"Cortes insuficientes","Válida")))</f>
        <v>0</v>
      </c>
      <c r="L1320" s="27">
        <f>IF(K1320="Válida",ABS(J1320),"")</f>
        <v>0</v>
      </c>
      <c r="M1320" s="26">
        <f>IF(K1320="Válida",IF(L1320&lt;=cfgTolerancia,"Sim","Não"),"")</f>
        <v>0</v>
      </c>
      <c r="N1320" s="26">
        <f>IF(A1320="","",MES!D1320)</f>
        <v>0</v>
      </c>
      <c r="O1320" s="25">
        <f>IF(K1320="Válida",A1320,NA())</f>
        <v>0</v>
      </c>
      <c r="P1320" s="27">
        <f>IF(K1320="Válida",C1320,NA())</f>
        <v>0</v>
      </c>
      <c r="Q1320" s="27">
        <f>IF(K1320="Válida",I1320,NA())</f>
        <v>0</v>
      </c>
      <c r="R1320" s="27">
        <f>IF(K1320="Válida",J1320,NA())</f>
        <v>0</v>
      </c>
      <c r="S1320" s="27">
        <f>IF(K1320="Válida",C1320,"")</f>
        <v>0</v>
      </c>
      <c r="T1320" s="27">
        <f>IF(K1320="Válida",I1320,"")</f>
        <v>0</v>
      </c>
      <c r="U1320" s="27">
        <f>IF(K1320="Válida",J1320,"")</f>
        <v>0</v>
      </c>
    </row>
    <row r="1321" spans="1:21">
      <c r="A1321" s="25">
        <f>IF(MES!A1321="","",MES!C1321/48)</f>
        <v>0</v>
      </c>
      <c r="B1321" s="26">
        <f>IF(A1321="","",TEXT((N1321*4+cfgDeslocamento)/48,"hh:mm")&amp;" a "&amp;TEXT(A1321,"hh:mm"))</f>
        <v>0</v>
      </c>
      <c r="C1321" s="27">
        <f>IF(A1321="","",MES!B1321)</f>
        <v>0</v>
      </c>
      <c r="D1321" s="27">
        <f>IF(A1321="","",IFERROR(AVERAGEIFS(Prensa!$B$2:$B$5001,Prensa!$E$2:$E$5001,N1321,Prensa!$F$2:$F$5001,1,Prensa!$G$2:$G$5001,1),""))</f>
        <v>0</v>
      </c>
      <c r="E1321" s="27">
        <f>IF(A1321="","",IFERROR(AVERAGEIFS(Prensa!$B$2:$B$5001,Prensa!$E$2:$E$5001,N1321,Prensa!$F$2:$F$5001,2,Prensa!$G$2:$G$5001,1),""))</f>
        <v>0</v>
      </c>
      <c r="F1321" s="27">
        <f>IF(A1321="","",IFERROR(AVERAGEIFS(Prensa!$B$2:$B$5001,Prensa!$E$2:$E$5001,N1321,Prensa!$F$2:$F$5001,3,Prensa!$G$2:$G$5001,1),""))</f>
        <v>0</v>
      </c>
      <c r="G1321" s="27">
        <f>IF(A1321="","",IFERROR(AVERAGEIFS(Prensa!$B$2:$B$5001,Prensa!$E$2:$E$5001,N1321,Prensa!$F$2:$F$5001,4,Prensa!$G$2:$G$5001,1),""))</f>
        <v>0</v>
      </c>
      <c r="H1321" s="26">
        <f>IF(A1321="","",COUNT(D1321:G1321))</f>
        <v>0</v>
      </c>
      <c r="I1321" s="27">
        <f>IF(A1321="","",IF(H1321=0,"",AVERAGE(D1321:G1321)))</f>
        <v>0</v>
      </c>
      <c r="J1321" s="27">
        <f>IF(OR(I1321="",C1321=""),"",I1321-C1321)</f>
        <v>0</v>
      </c>
      <c r="K1321" s="26">
        <f>IF(A1321="","",IF(MES!E1321&lt;&gt;4,"Horário do MES fora do padrão",IF(H1321&lt;cfgMinCortes,"Cortes insuficientes","Válida")))</f>
        <v>0</v>
      </c>
      <c r="L1321" s="27">
        <f>IF(K1321="Válida",ABS(J1321),"")</f>
        <v>0</v>
      </c>
      <c r="M1321" s="26">
        <f>IF(K1321="Válida",IF(L1321&lt;=cfgTolerancia,"Sim","Não"),"")</f>
        <v>0</v>
      </c>
      <c r="N1321" s="26">
        <f>IF(A1321="","",MES!D1321)</f>
        <v>0</v>
      </c>
      <c r="O1321" s="25">
        <f>IF(K1321="Válida",A1321,NA())</f>
        <v>0</v>
      </c>
      <c r="P1321" s="27">
        <f>IF(K1321="Válida",C1321,NA())</f>
        <v>0</v>
      </c>
      <c r="Q1321" s="27">
        <f>IF(K1321="Válida",I1321,NA())</f>
        <v>0</v>
      </c>
      <c r="R1321" s="27">
        <f>IF(K1321="Válida",J1321,NA())</f>
        <v>0</v>
      </c>
      <c r="S1321" s="27">
        <f>IF(K1321="Válida",C1321,"")</f>
        <v>0</v>
      </c>
      <c r="T1321" s="27">
        <f>IF(K1321="Válida",I1321,"")</f>
        <v>0</v>
      </c>
      <c r="U1321" s="27">
        <f>IF(K1321="Válida",J1321,"")</f>
        <v>0</v>
      </c>
    </row>
    <row r="1322" spans="1:21">
      <c r="A1322" s="25">
        <f>IF(MES!A1322="","",MES!C1322/48)</f>
        <v>0</v>
      </c>
      <c r="B1322" s="26">
        <f>IF(A1322="","",TEXT((N1322*4+cfgDeslocamento)/48,"hh:mm")&amp;" a "&amp;TEXT(A1322,"hh:mm"))</f>
        <v>0</v>
      </c>
      <c r="C1322" s="27">
        <f>IF(A1322="","",MES!B1322)</f>
        <v>0</v>
      </c>
      <c r="D1322" s="27">
        <f>IF(A1322="","",IFERROR(AVERAGEIFS(Prensa!$B$2:$B$5001,Prensa!$E$2:$E$5001,N1322,Prensa!$F$2:$F$5001,1,Prensa!$G$2:$G$5001,1),""))</f>
        <v>0</v>
      </c>
      <c r="E1322" s="27">
        <f>IF(A1322="","",IFERROR(AVERAGEIFS(Prensa!$B$2:$B$5001,Prensa!$E$2:$E$5001,N1322,Prensa!$F$2:$F$5001,2,Prensa!$G$2:$G$5001,1),""))</f>
        <v>0</v>
      </c>
      <c r="F1322" s="27">
        <f>IF(A1322="","",IFERROR(AVERAGEIFS(Prensa!$B$2:$B$5001,Prensa!$E$2:$E$5001,N1322,Prensa!$F$2:$F$5001,3,Prensa!$G$2:$G$5001,1),""))</f>
        <v>0</v>
      </c>
      <c r="G1322" s="27">
        <f>IF(A1322="","",IFERROR(AVERAGEIFS(Prensa!$B$2:$B$5001,Prensa!$E$2:$E$5001,N1322,Prensa!$F$2:$F$5001,4,Prensa!$G$2:$G$5001,1),""))</f>
        <v>0</v>
      </c>
      <c r="H1322" s="26">
        <f>IF(A1322="","",COUNT(D1322:G1322))</f>
        <v>0</v>
      </c>
      <c r="I1322" s="27">
        <f>IF(A1322="","",IF(H1322=0,"",AVERAGE(D1322:G1322)))</f>
        <v>0</v>
      </c>
      <c r="J1322" s="27">
        <f>IF(OR(I1322="",C1322=""),"",I1322-C1322)</f>
        <v>0</v>
      </c>
      <c r="K1322" s="26">
        <f>IF(A1322="","",IF(MES!E1322&lt;&gt;4,"Horário do MES fora do padrão",IF(H1322&lt;cfgMinCortes,"Cortes insuficientes","Válida")))</f>
        <v>0</v>
      </c>
      <c r="L1322" s="27">
        <f>IF(K1322="Válida",ABS(J1322),"")</f>
        <v>0</v>
      </c>
      <c r="M1322" s="26">
        <f>IF(K1322="Válida",IF(L1322&lt;=cfgTolerancia,"Sim","Não"),"")</f>
        <v>0</v>
      </c>
      <c r="N1322" s="26">
        <f>IF(A1322="","",MES!D1322)</f>
        <v>0</v>
      </c>
      <c r="O1322" s="25">
        <f>IF(K1322="Válida",A1322,NA())</f>
        <v>0</v>
      </c>
      <c r="P1322" s="27">
        <f>IF(K1322="Válida",C1322,NA())</f>
        <v>0</v>
      </c>
      <c r="Q1322" s="27">
        <f>IF(K1322="Válida",I1322,NA())</f>
        <v>0</v>
      </c>
      <c r="R1322" s="27">
        <f>IF(K1322="Válida",J1322,NA())</f>
        <v>0</v>
      </c>
      <c r="S1322" s="27">
        <f>IF(K1322="Válida",C1322,"")</f>
        <v>0</v>
      </c>
      <c r="T1322" s="27">
        <f>IF(K1322="Válida",I1322,"")</f>
        <v>0</v>
      </c>
      <c r="U1322" s="27">
        <f>IF(K1322="Válida",J1322,"")</f>
        <v>0</v>
      </c>
    </row>
    <row r="1323" spans="1:21">
      <c r="A1323" s="25">
        <f>IF(MES!A1323="","",MES!C1323/48)</f>
        <v>0</v>
      </c>
      <c r="B1323" s="26">
        <f>IF(A1323="","",TEXT((N1323*4+cfgDeslocamento)/48,"hh:mm")&amp;" a "&amp;TEXT(A1323,"hh:mm"))</f>
        <v>0</v>
      </c>
      <c r="C1323" s="27">
        <f>IF(A1323="","",MES!B1323)</f>
        <v>0</v>
      </c>
      <c r="D1323" s="27">
        <f>IF(A1323="","",IFERROR(AVERAGEIFS(Prensa!$B$2:$B$5001,Prensa!$E$2:$E$5001,N1323,Prensa!$F$2:$F$5001,1,Prensa!$G$2:$G$5001,1),""))</f>
        <v>0</v>
      </c>
      <c r="E1323" s="27">
        <f>IF(A1323="","",IFERROR(AVERAGEIFS(Prensa!$B$2:$B$5001,Prensa!$E$2:$E$5001,N1323,Prensa!$F$2:$F$5001,2,Prensa!$G$2:$G$5001,1),""))</f>
        <v>0</v>
      </c>
      <c r="F1323" s="27">
        <f>IF(A1323="","",IFERROR(AVERAGEIFS(Prensa!$B$2:$B$5001,Prensa!$E$2:$E$5001,N1323,Prensa!$F$2:$F$5001,3,Prensa!$G$2:$G$5001,1),""))</f>
        <v>0</v>
      </c>
      <c r="G1323" s="27">
        <f>IF(A1323="","",IFERROR(AVERAGEIFS(Prensa!$B$2:$B$5001,Prensa!$E$2:$E$5001,N1323,Prensa!$F$2:$F$5001,4,Prensa!$G$2:$G$5001,1),""))</f>
        <v>0</v>
      </c>
      <c r="H1323" s="26">
        <f>IF(A1323="","",COUNT(D1323:G1323))</f>
        <v>0</v>
      </c>
      <c r="I1323" s="27">
        <f>IF(A1323="","",IF(H1323=0,"",AVERAGE(D1323:G1323)))</f>
        <v>0</v>
      </c>
      <c r="J1323" s="27">
        <f>IF(OR(I1323="",C1323=""),"",I1323-C1323)</f>
        <v>0</v>
      </c>
      <c r="K1323" s="26">
        <f>IF(A1323="","",IF(MES!E1323&lt;&gt;4,"Horário do MES fora do padrão",IF(H1323&lt;cfgMinCortes,"Cortes insuficientes","Válida")))</f>
        <v>0</v>
      </c>
      <c r="L1323" s="27">
        <f>IF(K1323="Válida",ABS(J1323),"")</f>
        <v>0</v>
      </c>
      <c r="M1323" s="26">
        <f>IF(K1323="Válida",IF(L1323&lt;=cfgTolerancia,"Sim","Não"),"")</f>
        <v>0</v>
      </c>
      <c r="N1323" s="26">
        <f>IF(A1323="","",MES!D1323)</f>
        <v>0</v>
      </c>
      <c r="O1323" s="25">
        <f>IF(K1323="Válida",A1323,NA())</f>
        <v>0</v>
      </c>
      <c r="P1323" s="27">
        <f>IF(K1323="Válida",C1323,NA())</f>
        <v>0</v>
      </c>
      <c r="Q1323" s="27">
        <f>IF(K1323="Válida",I1323,NA())</f>
        <v>0</v>
      </c>
      <c r="R1323" s="27">
        <f>IF(K1323="Válida",J1323,NA())</f>
        <v>0</v>
      </c>
      <c r="S1323" s="27">
        <f>IF(K1323="Válida",C1323,"")</f>
        <v>0</v>
      </c>
      <c r="T1323" s="27">
        <f>IF(K1323="Válida",I1323,"")</f>
        <v>0</v>
      </c>
      <c r="U1323" s="27">
        <f>IF(K1323="Válida",J1323,"")</f>
        <v>0</v>
      </c>
    </row>
    <row r="1324" spans="1:21">
      <c r="A1324" s="25">
        <f>IF(MES!A1324="","",MES!C1324/48)</f>
        <v>0</v>
      </c>
      <c r="B1324" s="26">
        <f>IF(A1324="","",TEXT((N1324*4+cfgDeslocamento)/48,"hh:mm")&amp;" a "&amp;TEXT(A1324,"hh:mm"))</f>
        <v>0</v>
      </c>
      <c r="C1324" s="27">
        <f>IF(A1324="","",MES!B1324)</f>
        <v>0</v>
      </c>
      <c r="D1324" s="27">
        <f>IF(A1324="","",IFERROR(AVERAGEIFS(Prensa!$B$2:$B$5001,Prensa!$E$2:$E$5001,N1324,Prensa!$F$2:$F$5001,1,Prensa!$G$2:$G$5001,1),""))</f>
        <v>0</v>
      </c>
      <c r="E1324" s="27">
        <f>IF(A1324="","",IFERROR(AVERAGEIFS(Prensa!$B$2:$B$5001,Prensa!$E$2:$E$5001,N1324,Prensa!$F$2:$F$5001,2,Prensa!$G$2:$G$5001,1),""))</f>
        <v>0</v>
      </c>
      <c r="F1324" s="27">
        <f>IF(A1324="","",IFERROR(AVERAGEIFS(Prensa!$B$2:$B$5001,Prensa!$E$2:$E$5001,N1324,Prensa!$F$2:$F$5001,3,Prensa!$G$2:$G$5001,1),""))</f>
        <v>0</v>
      </c>
      <c r="G1324" s="27">
        <f>IF(A1324="","",IFERROR(AVERAGEIFS(Prensa!$B$2:$B$5001,Prensa!$E$2:$E$5001,N1324,Prensa!$F$2:$F$5001,4,Prensa!$G$2:$G$5001,1),""))</f>
        <v>0</v>
      </c>
      <c r="H1324" s="26">
        <f>IF(A1324="","",COUNT(D1324:G1324))</f>
        <v>0</v>
      </c>
      <c r="I1324" s="27">
        <f>IF(A1324="","",IF(H1324=0,"",AVERAGE(D1324:G1324)))</f>
        <v>0</v>
      </c>
      <c r="J1324" s="27">
        <f>IF(OR(I1324="",C1324=""),"",I1324-C1324)</f>
        <v>0</v>
      </c>
      <c r="K1324" s="26">
        <f>IF(A1324="","",IF(MES!E1324&lt;&gt;4,"Horário do MES fora do padrão",IF(H1324&lt;cfgMinCortes,"Cortes insuficientes","Válida")))</f>
        <v>0</v>
      </c>
      <c r="L1324" s="27">
        <f>IF(K1324="Válida",ABS(J1324),"")</f>
        <v>0</v>
      </c>
      <c r="M1324" s="26">
        <f>IF(K1324="Válida",IF(L1324&lt;=cfgTolerancia,"Sim","Não"),"")</f>
        <v>0</v>
      </c>
      <c r="N1324" s="26">
        <f>IF(A1324="","",MES!D1324)</f>
        <v>0</v>
      </c>
      <c r="O1324" s="25">
        <f>IF(K1324="Válida",A1324,NA())</f>
        <v>0</v>
      </c>
      <c r="P1324" s="27">
        <f>IF(K1324="Válida",C1324,NA())</f>
        <v>0</v>
      </c>
      <c r="Q1324" s="27">
        <f>IF(K1324="Válida",I1324,NA())</f>
        <v>0</v>
      </c>
      <c r="R1324" s="27">
        <f>IF(K1324="Válida",J1324,NA())</f>
        <v>0</v>
      </c>
      <c r="S1324" s="27">
        <f>IF(K1324="Válida",C1324,"")</f>
        <v>0</v>
      </c>
      <c r="T1324" s="27">
        <f>IF(K1324="Válida",I1324,"")</f>
        <v>0</v>
      </c>
      <c r="U1324" s="27">
        <f>IF(K1324="Válida",J1324,"")</f>
        <v>0</v>
      </c>
    </row>
    <row r="1325" spans="1:21">
      <c r="A1325" s="25">
        <f>IF(MES!A1325="","",MES!C1325/48)</f>
        <v>0</v>
      </c>
      <c r="B1325" s="26">
        <f>IF(A1325="","",TEXT((N1325*4+cfgDeslocamento)/48,"hh:mm")&amp;" a "&amp;TEXT(A1325,"hh:mm"))</f>
        <v>0</v>
      </c>
      <c r="C1325" s="27">
        <f>IF(A1325="","",MES!B1325)</f>
        <v>0</v>
      </c>
      <c r="D1325" s="27">
        <f>IF(A1325="","",IFERROR(AVERAGEIFS(Prensa!$B$2:$B$5001,Prensa!$E$2:$E$5001,N1325,Prensa!$F$2:$F$5001,1,Prensa!$G$2:$G$5001,1),""))</f>
        <v>0</v>
      </c>
      <c r="E1325" s="27">
        <f>IF(A1325="","",IFERROR(AVERAGEIFS(Prensa!$B$2:$B$5001,Prensa!$E$2:$E$5001,N1325,Prensa!$F$2:$F$5001,2,Prensa!$G$2:$G$5001,1),""))</f>
        <v>0</v>
      </c>
      <c r="F1325" s="27">
        <f>IF(A1325="","",IFERROR(AVERAGEIFS(Prensa!$B$2:$B$5001,Prensa!$E$2:$E$5001,N1325,Prensa!$F$2:$F$5001,3,Prensa!$G$2:$G$5001,1),""))</f>
        <v>0</v>
      </c>
      <c r="G1325" s="27">
        <f>IF(A1325="","",IFERROR(AVERAGEIFS(Prensa!$B$2:$B$5001,Prensa!$E$2:$E$5001,N1325,Prensa!$F$2:$F$5001,4,Prensa!$G$2:$G$5001,1),""))</f>
        <v>0</v>
      </c>
      <c r="H1325" s="26">
        <f>IF(A1325="","",COUNT(D1325:G1325))</f>
        <v>0</v>
      </c>
      <c r="I1325" s="27">
        <f>IF(A1325="","",IF(H1325=0,"",AVERAGE(D1325:G1325)))</f>
        <v>0</v>
      </c>
      <c r="J1325" s="27">
        <f>IF(OR(I1325="",C1325=""),"",I1325-C1325)</f>
        <v>0</v>
      </c>
      <c r="K1325" s="26">
        <f>IF(A1325="","",IF(MES!E1325&lt;&gt;4,"Horário do MES fora do padrão",IF(H1325&lt;cfgMinCortes,"Cortes insuficientes","Válida")))</f>
        <v>0</v>
      </c>
      <c r="L1325" s="27">
        <f>IF(K1325="Válida",ABS(J1325),"")</f>
        <v>0</v>
      </c>
      <c r="M1325" s="26">
        <f>IF(K1325="Válida",IF(L1325&lt;=cfgTolerancia,"Sim","Não"),"")</f>
        <v>0</v>
      </c>
      <c r="N1325" s="26">
        <f>IF(A1325="","",MES!D1325)</f>
        <v>0</v>
      </c>
      <c r="O1325" s="25">
        <f>IF(K1325="Válida",A1325,NA())</f>
        <v>0</v>
      </c>
      <c r="P1325" s="27">
        <f>IF(K1325="Válida",C1325,NA())</f>
        <v>0</v>
      </c>
      <c r="Q1325" s="27">
        <f>IF(K1325="Válida",I1325,NA())</f>
        <v>0</v>
      </c>
      <c r="R1325" s="27">
        <f>IF(K1325="Válida",J1325,NA())</f>
        <v>0</v>
      </c>
      <c r="S1325" s="27">
        <f>IF(K1325="Válida",C1325,"")</f>
        <v>0</v>
      </c>
      <c r="T1325" s="27">
        <f>IF(K1325="Válida",I1325,"")</f>
        <v>0</v>
      </c>
      <c r="U1325" s="27">
        <f>IF(K1325="Válida",J1325,"")</f>
        <v>0</v>
      </c>
    </row>
    <row r="1326" spans="1:21">
      <c r="A1326" s="25">
        <f>IF(MES!A1326="","",MES!C1326/48)</f>
        <v>0</v>
      </c>
      <c r="B1326" s="26">
        <f>IF(A1326="","",TEXT((N1326*4+cfgDeslocamento)/48,"hh:mm")&amp;" a "&amp;TEXT(A1326,"hh:mm"))</f>
        <v>0</v>
      </c>
      <c r="C1326" s="27">
        <f>IF(A1326="","",MES!B1326)</f>
        <v>0</v>
      </c>
      <c r="D1326" s="27">
        <f>IF(A1326="","",IFERROR(AVERAGEIFS(Prensa!$B$2:$B$5001,Prensa!$E$2:$E$5001,N1326,Prensa!$F$2:$F$5001,1,Prensa!$G$2:$G$5001,1),""))</f>
        <v>0</v>
      </c>
      <c r="E1326" s="27">
        <f>IF(A1326="","",IFERROR(AVERAGEIFS(Prensa!$B$2:$B$5001,Prensa!$E$2:$E$5001,N1326,Prensa!$F$2:$F$5001,2,Prensa!$G$2:$G$5001,1),""))</f>
        <v>0</v>
      </c>
      <c r="F1326" s="27">
        <f>IF(A1326="","",IFERROR(AVERAGEIFS(Prensa!$B$2:$B$5001,Prensa!$E$2:$E$5001,N1326,Prensa!$F$2:$F$5001,3,Prensa!$G$2:$G$5001,1),""))</f>
        <v>0</v>
      </c>
      <c r="G1326" s="27">
        <f>IF(A1326="","",IFERROR(AVERAGEIFS(Prensa!$B$2:$B$5001,Prensa!$E$2:$E$5001,N1326,Prensa!$F$2:$F$5001,4,Prensa!$G$2:$G$5001,1),""))</f>
        <v>0</v>
      </c>
      <c r="H1326" s="26">
        <f>IF(A1326="","",COUNT(D1326:G1326))</f>
        <v>0</v>
      </c>
      <c r="I1326" s="27">
        <f>IF(A1326="","",IF(H1326=0,"",AVERAGE(D1326:G1326)))</f>
        <v>0</v>
      </c>
      <c r="J1326" s="27">
        <f>IF(OR(I1326="",C1326=""),"",I1326-C1326)</f>
        <v>0</v>
      </c>
      <c r="K1326" s="26">
        <f>IF(A1326="","",IF(MES!E1326&lt;&gt;4,"Horário do MES fora do padrão",IF(H1326&lt;cfgMinCortes,"Cortes insuficientes","Válida")))</f>
        <v>0</v>
      </c>
      <c r="L1326" s="27">
        <f>IF(K1326="Válida",ABS(J1326),"")</f>
        <v>0</v>
      </c>
      <c r="M1326" s="26">
        <f>IF(K1326="Válida",IF(L1326&lt;=cfgTolerancia,"Sim","Não"),"")</f>
        <v>0</v>
      </c>
      <c r="N1326" s="26">
        <f>IF(A1326="","",MES!D1326)</f>
        <v>0</v>
      </c>
      <c r="O1326" s="25">
        <f>IF(K1326="Válida",A1326,NA())</f>
        <v>0</v>
      </c>
      <c r="P1326" s="27">
        <f>IF(K1326="Válida",C1326,NA())</f>
        <v>0</v>
      </c>
      <c r="Q1326" s="27">
        <f>IF(K1326="Válida",I1326,NA())</f>
        <v>0</v>
      </c>
      <c r="R1326" s="27">
        <f>IF(K1326="Válida",J1326,NA())</f>
        <v>0</v>
      </c>
      <c r="S1326" s="27">
        <f>IF(K1326="Válida",C1326,"")</f>
        <v>0</v>
      </c>
      <c r="T1326" s="27">
        <f>IF(K1326="Válida",I1326,"")</f>
        <v>0</v>
      </c>
      <c r="U1326" s="27">
        <f>IF(K1326="Válida",J1326,"")</f>
        <v>0</v>
      </c>
    </row>
    <row r="1327" spans="1:21">
      <c r="A1327" s="25">
        <f>IF(MES!A1327="","",MES!C1327/48)</f>
        <v>0</v>
      </c>
      <c r="B1327" s="26">
        <f>IF(A1327="","",TEXT((N1327*4+cfgDeslocamento)/48,"hh:mm")&amp;" a "&amp;TEXT(A1327,"hh:mm"))</f>
        <v>0</v>
      </c>
      <c r="C1327" s="27">
        <f>IF(A1327="","",MES!B1327)</f>
        <v>0</v>
      </c>
      <c r="D1327" s="27">
        <f>IF(A1327="","",IFERROR(AVERAGEIFS(Prensa!$B$2:$B$5001,Prensa!$E$2:$E$5001,N1327,Prensa!$F$2:$F$5001,1,Prensa!$G$2:$G$5001,1),""))</f>
        <v>0</v>
      </c>
      <c r="E1327" s="27">
        <f>IF(A1327="","",IFERROR(AVERAGEIFS(Prensa!$B$2:$B$5001,Prensa!$E$2:$E$5001,N1327,Prensa!$F$2:$F$5001,2,Prensa!$G$2:$G$5001,1),""))</f>
        <v>0</v>
      </c>
      <c r="F1327" s="27">
        <f>IF(A1327="","",IFERROR(AVERAGEIFS(Prensa!$B$2:$B$5001,Prensa!$E$2:$E$5001,N1327,Prensa!$F$2:$F$5001,3,Prensa!$G$2:$G$5001,1),""))</f>
        <v>0</v>
      </c>
      <c r="G1327" s="27">
        <f>IF(A1327="","",IFERROR(AVERAGEIFS(Prensa!$B$2:$B$5001,Prensa!$E$2:$E$5001,N1327,Prensa!$F$2:$F$5001,4,Prensa!$G$2:$G$5001,1),""))</f>
        <v>0</v>
      </c>
      <c r="H1327" s="26">
        <f>IF(A1327="","",COUNT(D1327:G1327))</f>
        <v>0</v>
      </c>
      <c r="I1327" s="27">
        <f>IF(A1327="","",IF(H1327=0,"",AVERAGE(D1327:G1327)))</f>
        <v>0</v>
      </c>
      <c r="J1327" s="27">
        <f>IF(OR(I1327="",C1327=""),"",I1327-C1327)</f>
        <v>0</v>
      </c>
      <c r="K1327" s="26">
        <f>IF(A1327="","",IF(MES!E1327&lt;&gt;4,"Horário do MES fora do padrão",IF(H1327&lt;cfgMinCortes,"Cortes insuficientes","Válida")))</f>
        <v>0</v>
      </c>
      <c r="L1327" s="27">
        <f>IF(K1327="Válida",ABS(J1327),"")</f>
        <v>0</v>
      </c>
      <c r="M1327" s="26">
        <f>IF(K1327="Válida",IF(L1327&lt;=cfgTolerancia,"Sim","Não"),"")</f>
        <v>0</v>
      </c>
      <c r="N1327" s="26">
        <f>IF(A1327="","",MES!D1327)</f>
        <v>0</v>
      </c>
      <c r="O1327" s="25">
        <f>IF(K1327="Válida",A1327,NA())</f>
        <v>0</v>
      </c>
      <c r="P1327" s="27">
        <f>IF(K1327="Válida",C1327,NA())</f>
        <v>0</v>
      </c>
      <c r="Q1327" s="27">
        <f>IF(K1327="Válida",I1327,NA())</f>
        <v>0</v>
      </c>
      <c r="R1327" s="27">
        <f>IF(K1327="Válida",J1327,NA())</f>
        <v>0</v>
      </c>
      <c r="S1327" s="27">
        <f>IF(K1327="Válida",C1327,"")</f>
        <v>0</v>
      </c>
      <c r="T1327" s="27">
        <f>IF(K1327="Válida",I1327,"")</f>
        <v>0</v>
      </c>
      <c r="U1327" s="27">
        <f>IF(K1327="Válida",J1327,"")</f>
        <v>0</v>
      </c>
    </row>
    <row r="1328" spans="1:21">
      <c r="A1328" s="25">
        <f>IF(MES!A1328="","",MES!C1328/48)</f>
        <v>0</v>
      </c>
      <c r="B1328" s="26">
        <f>IF(A1328="","",TEXT((N1328*4+cfgDeslocamento)/48,"hh:mm")&amp;" a "&amp;TEXT(A1328,"hh:mm"))</f>
        <v>0</v>
      </c>
      <c r="C1328" s="27">
        <f>IF(A1328="","",MES!B1328)</f>
        <v>0</v>
      </c>
      <c r="D1328" s="27">
        <f>IF(A1328="","",IFERROR(AVERAGEIFS(Prensa!$B$2:$B$5001,Prensa!$E$2:$E$5001,N1328,Prensa!$F$2:$F$5001,1,Prensa!$G$2:$G$5001,1),""))</f>
        <v>0</v>
      </c>
      <c r="E1328" s="27">
        <f>IF(A1328="","",IFERROR(AVERAGEIFS(Prensa!$B$2:$B$5001,Prensa!$E$2:$E$5001,N1328,Prensa!$F$2:$F$5001,2,Prensa!$G$2:$G$5001,1),""))</f>
        <v>0</v>
      </c>
      <c r="F1328" s="27">
        <f>IF(A1328="","",IFERROR(AVERAGEIFS(Prensa!$B$2:$B$5001,Prensa!$E$2:$E$5001,N1328,Prensa!$F$2:$F$5001,3,Prensa!$G$2:$G$5001,1),""))</f>
        <v>0</v>
      </c>
      <c r="G1328" s="27">
        <f>IF(A1328="","",IFERROR(AVERAGEIFS(Prensa!$B$2:$B$5001,Prensa!$E$2:$E$5001,N1328,Prensa!$F$2:$F$5001,4,Prensa!$G$2:$G$5001,1),""))</f>
        <v>0</v>
      </c>
      <c r="H1328" s="26">
        <f>IF(A1328="","",COUNT(D1328:G1328))</f>
        <v>0</v>
      </c>
      <c r="I1328" s="27">
        <f>IF(A1328="","",IF(H1328=0,"",AVERAGE(D1328:G1328)))</f>
        <v>0</v>
      </c>
      <c r="J1328" s="27">
        <f>IF(OR(I1328="",C1328=""),"",I1328-C1328)</f>
        <v>0</v>
      </c>
      <c r="K1328" s="26">
        <f>IF(A1328="","",IF(MES!E1328&lt;&gt;4,"Horário do MES fora do padrão",IF(H1328&lt;cfgMinCortes,"Cortes insuficientes","Válida")))</f>
        <v>0</v>
      </c>
      <c r="L1328" s="27">
        <f>IF(K1328="Válida",ABS(J1328),"")</f>
        <v>0</v>
      </c>
      <c r="M1328" s="26">
        <f>IF(K1328="Válida",IF(L1328&lt;=cfgTolerancia,"Sim","Não"),"")</f>
        <v>0</v>
      </c>
      <c r="N1328" s="26">
        <f>IF(A1328="","",MES!D1328)</f>
        <v>0</v>
      </c>
      <c r="O1328" s="25">
        <f>IF(K1328="Válida",A1328,NA())</f>
        <v>0</v>
      </c>
      <c r="P1328" s="27">
        <f>IF(K1328="Válida",C1328,NA())</f>
        <v>0</v>
      </c>
      <c r="Q1328" s="27">
        <f>IF(K1328="Válida",I1328,NA())</f>
        <v>0</v>
      </c>
      <c r="R1328" s="27">
        <f>IF(K1328="Válida",J1328,NA())</f>
        <v>0</v>
      </c>
      <c r="S1328" s="27">
        <f>IF(K1328="Válida",C1328,"")</f>
        <v>0</v>
      </c>
      <c r="T1328" s="27">
        <f>IF(K1328="Válida",I1328,"")</f>
        <v>0</v>
      </c>
      <c r="U1328" s="27">
        <f>IF(K1328="Válida",J1328,"")</f>
        <v>0</v>
      </c>
    </row>
    <row r="1329" spans="1:21">
      <c r="A1329" s="25">
        <f>IF(MES!A1329="","",MES!C1329/48)</f>
        <v>0</v>
      </c>
      <c r="B1329" s="26">
        <f>IF(A1329="","",TEXT((N1329*4+cfgDeslocamento)/48,"hh:mm")&amp;" a "&amp;TEXT(A1329,"hh:mm"))</f>
        <v>0</v>
      </c>
      <c r="C1329" s="27">
        <f>IF(A1329="","",MES!B1329)</f>
        <v>0</v>
      </c>
      <c r="D1329" s="27">
        <f>IF(A1329="","",IFERROR(AVERAGEIFS(Prensa!$B$2:$B$5001,Prensa!$E$2:$E$5001,N1329,Prensa!$F$2:$F$5001,1,Prensa!$G$2:$G$5001,1),""))</f>
        <v>0</v>
      </c>
      <c r="E1329" s="27">
        <f>IF(A1329="","",IFERROR(AVERAGEIFS(Prensa!$B$2:$B$5001,Prensa!$E$2:$E$5001,N1329,Prensa!$F$2:$F$5001,2,Prensa!$G$2:$G$5001,1),""))</f>
        <v>0</v>
      </c>
      <c r="F1329" s="27">
        <f>IF(A1329="","",IFERROR(AVERAGEIFS(Prensa!$B$2:$B$5001,Prensa!$E$2:$E$5001,N1329,Prensa!$F$2:$F$5001,3,Prensa!$G$2:$G$5001,1),""))</f>
        <v>0</v>
      </c>
      <c r="G1329" s="27">
        <f>IF(A1329="","",IFERROR(AVERAGEIFS(Prensa!$B$2:$B$5001,Prensa!$E$2:$E$5001,N1329,Prensa!$F$2:$F$5001,4,Prensa!$G$2:$G$5001,1),""))</f>
        <v>0</v>
      </c>
      <c r="H1329" s="26">
        <f>IF(A1329="","",COUNT(D1329:G1329))</f>
        <v>0</v>
      </c>
      <c r="I1329" s="27">
        <f>IF(A1329="","",IF(H1329=0,"",AVERAGE(D1329:G1329)))</f>
        <v>0</v>
      </c>
      <c r="J1329" s="27">
        <f>IF(OR(I1329="",C1329=""),"",I1329-C1329)</f>
        <v>0</v>
      </c>
      <c r="K1329" s="26">
        <f>IF(A1329="","",IF(MES!E1329&lt;&gt;4,"Horário do MES fora do padrão",IF(H1329&lt;cfgMinCortes,"Cortes insuficientes","Válida")))</f>
        <v>0</v>
      </c>
      <c r="L1329" s="27">
        <f>IF(K1329="Válida",ABS(J1329),"")</f>
        <v>0</v>
      </c>
      <c r="M1329" s="26">
        <f>IF(K1329="Válida",IF(L1329&lt;=cfgTolerancia,"Sim","Não"),"")</f>
        <v>0</v>
      </c>
      <c r="N1329" s="26">
        <f>IF(A1329="","",MES!D1329)</f>
        <v>0</v>
      </c>
      <c r="O1329" s="25">
        <f>IF(K1329="Válida",A1329,NA())</f>
        <v>0</v>
      </c>
      <c r="P1329" s="27">
        <f>IF(K1329="Válida",C1329,NA())</f>
        <v>0</v>
      </c>
      <c r="Q1329" s="27">
        <f>IF(K1329="Válida",I1329,NA())</f>
        <v>0</v>
      </c>
      <c r="R1329" s="27">
        <f>IF(K1329="Válida",J1329,NA())</f>
        <v>0</v>
      </c>
      <c r="S1329" s="27">
        <f>IF(K1329="Válida",C1329,"")</f>
        <v>0</v>
      </c>
      <c r="T1329" s="27">
        <f>IF(K1329="Válida",I1329,"")</f>
        <v>0</v>
      </c>
      <c r="U1329" s="27">
        <f>IF(K1329="Válida",J1329,"")</f>
        <v>0</v>
      </c>
    </row>
    <row r="1330" spans="1:21">
      <c r="A1330" s="25">
        <f>IF(MES!A1330="","",MES!C1330/48)</f>
        <v>0</v>
      </c>
      <c r="B1330" s="26">
        <f>IF(A1330="","",TEXT((N1330*4+cfgDeslocamento)/48,"hh:mm")&amp;" a "&amp;TEXT(A1330,"hh:mm"))</f>
        <v>0</v>
      </c>
      <c r="C1330" s="27">
        <f>IF(A1330="","",MES!B1330)</f>
        <v>0</v>
      </c>
      <c r="D1330" s="27">
        <f>IF(A1330="","",IFERROR(AVERAGEIFS(Prensa!$B$2:$B$5001,Prensa!$E$2:$E$5001,N1330,Prensa!$F$2:$F$5001,1,Prensa!$G$2:$G$5001,1),""))</f>
        <v>0</v>
      </c>
      <c r="E1330" s="27">
        <f>IF(A1330="","",IFERROR(AVERAGEIFS(Prensa!$B$2:$B$5001,Prensa!$E$2:$E$5001,N1330,Prensa!$F$2:$F$5001,2,Prensa!$G$2:$G$5001,1),""))</f>
        <v>0</v>
      </c>
      <c r="F1330" s="27">
        <f>IF(A1330="","",IFERROR(AVERAGEIFS(Prensa!$B$2:$B$5001,Prensa!$E$2:$E$5001,N1330,Prensa!$F$2:$F$5001,3,Prensa!$G$2:$G$5001,1),""))</f>
        <v>0</v>
      </c>
      <c r="G1330" s="27">
        <f>IF(A1330="","",IFERROR(AVERAGEIFS(Prensa!$B$2:$B$5001,Prensa!$E$2:$E$5001,N1330,Prensa!$F$2:$F$5001,4,Prensa!$G$2:$G$5001,1),""))</f>
        <v>0</v>
      </c>
      <c r="H1330" s="26">
        <f>IF(A1330="","",COUNT(D1330:G1330))</f>
        <v>0</v>
      </c>
      <c r="I1330" s="27">
        <f>IF(A1330="","",IF(H1330=0,"",AVERAGE(D1330:G1330)))</f>
        <v>0</v>
      </c>
      <c r="J1330" s="27">
        <f>IF(OR(I1330="",C1330=""),"",I1330-C1330)</f>
        <v>0</v>
      </c>
      <c r="K1330" s="26">
        <f>IF(A1330="","",IF(MES!E1330&lt;&gt;4,"Horário do MES fora do padrão",IF(H1330&lt;cfgMinCortes,"Cortes insuficientes","Válida")))</f>
        <v>0</v>
      </c>
      <c r="L1330" s="27">
        <f>IF(K1330="Válida",ABS(J1330),"")</f>
        <v>0</v>
      </c>
      <c r="M1330" s="26">
        <f>IF(K1330="Válida",IF(L1330&lt;=cfgTolerancia,"Sim","Não"),"")</f>
        <v>0</v>
      </c>
      <c r="N1330" s="26">
        <f>IF(A1330="","",MES!D1330)</f>
        <v>0</v>
      </c>
      <c r="O1330" s="25">
        <f>IF(K1330="Válida",A1330,NA())</f>
        <v>0</v>
      </c>
      <c r="P1330" s="27">
        <f>IF(K1330="Válida",C1330,NA())</f>
        <v>0</v>
      </c>
      <c r="Q1330" s="27">
        <f>IF(K1330="Válida",I1330,NA())</f>
        <v>0</v>
      </c>
      <c r="R1330" s="27">
        <f>IF(K1330="Válida",J1330,NA())</f>
        <v>0</v>
      </c>
      <c r="S1330" s="27">
        <f>IF(K1330="Válida",C1330,"")</f>
        <v>0</v>
      </c>
      <c r="T1330" s="27">
        <f>IF(K1330="Válida",I1330,"")</f>
        <v>0</v>
      </c>
      <c r="U1330" s="27">
        <f>IF(K1330="Válida",J1330,"")</f>
        <v>0</v>
      </c>
    </row>
    <row r="1331" spans="1:21">
      <c r="A1331" s="25">
        <f>IF(MES!A1331="","",MES!C1331/48)</f>
        <v>0</v>
      </c>
      <c r="B1331" s="26">
        <f>IF(A1331="","",TEXT((N1331*4+cfgDeslocamento)/48,"hh:mm")&amp;" a "&amp;TEXT(A1331,"hh:mm"))</f>
        <v>0</v>
      </c>
      <c r="C1331" s="27">
        <f>IF(A1331="","",MES!B1331)</f>
        <v>0</v>
      </c>
      <c r="D1331" s="27">
        <f>IF(A1331="","",IFERROR(AVERAGEIFS(Prensa!$B$2:$B$5001,Prensa!$E$2:$E$5001,N1331,Prensa!$F$2:$F$5001,1,Prensa!$G$2:$G$5001,1),""))</f>
        <v>0</v>
      </c>
      <c r="E1331" s="27">
        <f>IF(A1331="","",IFERROR(AVERAGEIFS(Prensa!$B$2:$B$5001,Prensa!$E$2:$E$5001,N1331,Prensa!$F$2:$F$5001,2,Prensa!$G$2:$G$5001,1),""))</f>
        <v>0</v>
      </c>
      <c r="F1331" s="27">
        <f>IF(A1331="","",IFERROR(AVERAGEIFS(Prensa!$B$2:$B$5001,Prensa!$E$2:$E$5001,N1331,Prensa!$F$2:$F$5001,3,Prensa!$G$2:$G$5001,1),""))</f>
        <v>0</v>
      </c>
      <c r="G1331" s="27">
        <f>IF(A1331="","",IFERROR(AVERAGEIFS(Prensa!$B$2:$B$5001,Prensa!$E$2:$E$5001,N1331,Prensa!$F$2:$F$5001,4,Prensa!$G$2:$G$5001,1),""))</f>
        <v>0</v>
      </c>
      <c r="H1331" s="26">
        <f>IF(A1331="","",COUNT(D1331:G1331))</f>
        <v>0</v>
      </c>
      <c r="I1331" s="27">
        <f>IF(A1331="","",IF(H1331=0,"",AVERAGE(D1331:G1331)))</f>
        <v>0</v>
      </c>
      <c r="J1331" s="27">
        <f>IF(OR(I1331="",C1331=""),"",I1331-C1331)</f>
        <v>0</v>
      </c>
      <c r="K1331" s="26">
        <f>IF(A1331="","",IF(MES!E1331&lt;&gt;4,"Horário do MES fora do padrão",IF(H1331&lt;cfgMinCortes,"Cortes insuficientes","Válida")))</f>
        <v>0</v>
      </c>
      <c r="L1331" s="27">
        <f>IF(K1331="Válida",ABS(J1331),"")</f>
        <v>0</v>
      </c>
      <c r="M1331" s="26">
        <f>IF(K1331="Válida",IF(L1331&lt;=cfgTolerancia,"Sim","Não"),"")</f>
        <v>0</v>
      </c>
      <c r="N1331" s="26">
        <f>IF(A1331="","",MES!D1331)</f>
        <v>0</v>
      </c>
      <c r="O1331" s="25">
        <f>IF(K1331="Válida",A1331,NA())</f>
        <v>0</v>
      </c>
      <c r="P1331" s="27">
        <f>IF(K1331="Válida",C1331,NA())</f>
        <v>0</v>
      </c>
      <c r="Q1331" s="27">
        <f>IF(K1331="Válida",I1331,NA())</f>
        <v>0</v>
      </c>
      <c r="R1331" s="27">
        <f>IF(K1331="Válida",J1331,NA())</f>
        <v>0</v>
      </c>
      <c r="S1331" s="27">
        <f>IF(K1331="Válida",C1331,"")</f>
        <v>0</v>
      </c>
      <c r="T1331" s="27">
        <f>IF(K1331="Válida",I1331,"")</f>
        <v>0</v>
      </c>
      <c r="U1331" s="27">
        <f>IF(K1331="Válida",J1331,"")</f>
        <v>0</v>
      </c>
    </row>
    <row r="1332" spans="1:21">
      <c r="A1332" s="25">
        <f>IF(MES!A1332="","",MES!C1332/48)</f>
        <v>0</v>
      </c>
      <c r="B1332" s="26">
        <f>IF(A1332="","",TEXT((N1332*4+cfgDeslocamento)/48,"hh:mm")&amp;" a "&amp;TEXT(A1332,"hh:mm"))</f>
        <v>0</v>
      </c>
      <c r="C1332" s="27">
        <f>IF(A1332="","",MES!B1332)</f>
        <v>0</v>
      </c>
      <c r="D1332" s="27">
        <f>IF(A1332="","",IFERROR(AVERAGEIFS(Prensa!$B$2:$B$5001,Prensa!$E$2:$E$5001,N1332,Prensa!$F$2:$F$5001,1,Prensa!$G$2:$G$5001,1),""))</f>
        <v>0</v>
      </c>
      <c r="E1332" s="27">
        <f>IF(A1332="","",IFERROR(AVERAGEIFS(Prensa!$B$2:$B$5001,Prensa!$E$2:$E$5001,N1332,Prensa!$F$2:$F$5001,2,Prensa!$G$2:$G$5001,1),""))</f>
        <v>0</v>
      </c>
      <c r="F1332" s="27">
        <f>IF(A1332="","",IFERROR(AVERAGEIFS(Prensa!$B$2:$B$5001,Prensa!$E$2:$E$5001,N1332,Prensa!$F$2:$F$5001,3,Prensa!$G$2:$G$5001,1),""))</f>
        <v>0</v>
      </c>
      <c r="G1332" s="27">
        <f>IF(A1332="","",IFERROR(AVERAGEIFS(Prensa!$B$2:$B$5001,Prensa!$E$2:$E$5001,N1332,Prensa!$F$2:$F$5001,4,Prensa!$G$2:$G$5001,1),""))</f>
        <v>0</v>
      </c>
      <c r="H1332" s="26">
        <f>IF(A1332="","",COUNT(D1332:G1332))</f>
        <v>0</v>
      </c>
      <c r="I1332" s="27">
        <f>IF(A1332="","",IF(H1332=0,"",AVERAGE(D1332:G1332)))</f>
        <v>0</v>
      </c>
      <c r="J1332" s="27">
        <f>IF(OR(I1332="",C1332=""),"",I1332-C1332)</f>
        <v>0</v>
      </c>
      <c r="K1332" s="26">
        <f>IF(A1332="","",IF(MES!E1332&lt;&gt;4,"Horário do MES fora do padrão",IF(H1332&lt;cfgMinCortes,"Cortes insuficientes","Válida")))</f>
        <v>0</v>
      </c>
      <c r="L1332" s="27">
        <f>IF(K1332="Válida",ABS(J1332),"")</f>
        <v>0</v>
      </c>
      <c r="M1332" s="26">
        <f>IF(K1332="Válida",IF(L1332&lt;=cfgTolerancia,"Sim","Não"),"")</f>
        <v>0</v>
      </c>
      <c r="N1332" s="26">
        <f>IF(A1332="","",MES!D1332)</f>
        <v>0</v>
      </c>
      <c r="O1332" s="25">
        <f>IF(K1332="Válida",A1332,NA())</f>
        <v>0</v>
      </c>
      <c r="P1332" s="27">
        <f>IF(K1332="Válida",C1332,NA())</f>
        <v>0</v>
      </c>
      <c r="Q1332" s="27">
        <f>IF(K1332="Válida",I1332,NA())</f>
        <v>0</v>
      </c>
      <c r="R1332" s="27">
        <f>IF(K1332="Válida",J1332,NA())</f>
        <v>0</v>
      </c>
      <c r="S1332" s="27">
        <f>IF(K1332="Válida",C1332,"")</f>
        <v>0</v>
      </c>
      <c r="T1332" s="27">
        <f>IF(K1332="Válida",I1332,"")</f>
        <v>0</v>
      </c>
      <c r="U1332" s="27">
        <f>IF(K1332="Válida",J1332,"")</f>
        <v>0</v>
      </c>
    </row>
    <row r="1333" spans="1:21">
      <c r="A1333" s="25">
        <f>IF(MES!A1333="","",MES!C1333/48)</f>
        <v>0</v>
      </c>
      <c r="B1333" s="26">
        <f>IF(A1333="","",TEXT((N1333*4+cfgDeslocamento)/48,"hh:mm")&amp;" a "&amp;TEXT(A1333,"hh:mm"))</f>
        <v>0</v>
      </c>
      <c r="C1333" s="27">
        <f>IF(A1333="","",MES!B1333)</f>
        <v>0</v>
      </c>
      <c r="D1333" s="27">
        <f>IF(A1333="","",IFERROR(AVERAGEIFS(Prensa!$B$2:$B$5001,Prensa!$E$2:$E$5001,N1333,Prensa!$F$2:$F$5001,1,Prensa!$G$2:$G$5001,1),""))</f>
        <v>0</v>
      </c>
      <c r="E1333" s="27">
        <f>IF(A1333="","",IFERROR(AVERAGEIFS(Prensa!$B$2:$B$5001,Prensa!$E$2:$E$5001,N1333,Prensa!$F$2:$F$5001,2,Prensa!$G$2:$G$5001,1),""))</f>
        <v>0</v>
      </c>
      <c r="F1333" s="27">
        <f>IF(A1333="","",IFERROR(AVERAGEIFS(Prensa!$B$2:$B$5001,Prensa!$E$2:$E$5001,N1333,Prensa!$F$2:$F$5001,3,Prensa!$G$2:$G$5001,1),""))</f>
        <v>0</v>
      </c>
      <c r="G1333" s="27">
        <f>IF(A1333="","",IFERROR(AVERAGEIFS(Prensa!$B$2:$B$5001,Prensa!$E$2:$E$5001,N1333,Prensa!$F$2:$F$5001,4,Prensa!$G$2:$G$5001,1),""))</f>
        <v>0</v>
      </c>
      <c r="H1333" s="26">
        <f>IF(A1333="","",COUNT(D1333:G1333))</f>
        <v>0</v>
      </c>
      <c r="I1333" s="27">
        <f>IF(A1333="","",IF(H1333=0,"",AVERAGE(D1333:G1333)))</f>
        <v>0</v>
      </c>
      <c r="J1333" s="27">
        <f>IF(OR(I1333="",C1333=""),"",I1333-C1333)</f>
        <v>0</v>
      </c>
      <c r="K1333" s="26">
        <f>IF(A1333="","",IF(MES!E1333&lt;&gt;4,"Horário do MES fora do padrão",IF(H1333&lt;cfgMinCortes,"Cortes insuficientes","Válida")))</f>
        <v>0</v>
      </c>
      <c r="L1333" s="27">
        <f>IF(K1333="Válida",ABS(J1333),"")</f>
        <v>0</v>
      </c>
      <c r="M1333" s="26">
        <f>IF(K1333="Válida",IF(L1333&lt;=cfgTolerancia,"Sim","Não"),"")</f>
        <v>0</v>
      </c>
      <c r="N1333" s="26">
        <f>IF(A1333="","",MES!D1333)</f>
        <v>0</v>
      </c>
      <c r="O1333" s="25">
        <f>IF(K1333="Válida",A1333,NA())</f>
        <v>0</v>
      </c>
      <c r="P1333" s="27">
        <f>IF(K1333="Válida",C1333,NA())</f>
        <v>0</v>
      </c>
      <c r="Q1333" s="27">
        <f>IF(K1333="Válida",I1333,NA())</f>
        <v>0</v>
      </c>
      <c r="R1333" s="27">
        <f>IF(K1333="Válida",J1333,NA())</f>
        <v>0</v>
      </c>
      <c r="S1333" s="27">
        <f>IF(K1333="Válida",C1333,"")</f>
        <v>0</v>
      </c>
      <c r="T1333" s="27">
        <f>IF(K1333="Válida",I1333,"")</f>
        <v>0</v>
      </c>
      <c r="U1333" s="27">
        <f>IF(K1333="Válida",J1333,"")</f>
        <v>0</v>
      </c>
    </row>
    <row r="1334" spans="1:21">
      <c r="A1334" s="25">
        <f>IF(MES!A1334="","",MES!C1334/48)</f>
        <v>0</v>
      </c>
      <c r="B1334" s="26">
        <f>IF(A1334="","",TEXT((N1334*4+cfgDeslocamento)/48,"hh:mm")&amp;" a "&amp;TEXT(A1334,"hh:mm"))</f>
        <v>0</v>
      </c>
      <c r="C1334" s="27">
        <f>IF(A1334="","",MES!B1334)</f>
        <v>0</v>
      </c>
      <c r="D1334" s="27">
        <f>IF(A1334="","",IFERROR(AVERAGEIFS(Prensa!$B$2:$B$5001,Prensa!$E$2:$E$5001,N1334,Prensa!$F$2:$F$5001,1,Prensa!$G$2:$G$5001,1),""))</f>
        <v>0</v>
      </c>
      <c r="E1334" s="27">
        <f>IF(A1334="","",IFERROR(AVERAGEIFS(Prensa!$B$2:$B$5001,Prensa!$E$2:$E$5001,N1334,Prensa!$F$2:$F$5001,2,Prensa!$G$2:$G$5001,1),""))</f>
        <v>0</v>
      </c>
      <c r="F1334" s="27">
        <f>IF(A1334="","",IFERROR(AVERAGEIFS(Prensa!$B$2:$B$5001,Prensa!$E$2:$E$5001,N1334,Prensa!$F$2:$F$5001,3,Prensa!$G$2:$G$5001,1),""))</f>
        <v>0</v>
      </c>
      <c r="G1334" s="27">
        <f>IF(A1334="","",IFERROR(AVERAGEIFS(Prensa!$B$2:$B$5001,Prensa!$E$2:$E$5001,N1334,Prensa!$F$2:$F$5001,4,Prensa!$G$2:$G$5001,1),""))</f>
        <v>0</v>
      </c>
      <c r="H1334" s="26">
        <f>IF(A1334="","",COUNT(D1334:G1334))</f>
        <v>0</v>
      </c>
      <c r="I1334" s="27">
        <f>IF(A1334="","",IF(H1334=0,"",AVERAGE(D1334:G1334)))</f>
        <v>0</v>
      </c>
      <c r="J1334" s="27">
        <f>IF(OR(I1334="",C1334=""),"",I1334-C1334)</f>
        <v>0</v>
      </c>
      <c r="K1334" s="26">
        <f>IF(A1334="","",IF(MES!E1334&lt;&gt;4,"Horário do MES fora do padrão",IF(H1334&lt;cfgMinCortes,"Cortes insuficientes","Válida")))</f>
        <v>0</v>
      </c>
      <c r="L1334" s="27">
        <f>IF(K1334="Válida",ABS(J1334),"")</f>
        <v>0</v>
      </c>
      <c r="M1334" s="26">
        <f>IF(K1334="Válida",IF(L1334&lt;=cfgTolerancia,"Sim","Não"),"")</f>
        <v>0</v>
      </c>
      <c r="N1334" s="26">
        <f>IF(A1334="","",MES!D1334)</f>
        <v>0</v>
      </c>
      <c r="O1334" s="25">
        <f>IF(K1334="Válida",A1334,NA())</f>
        <v>0</v>
      </c>
      <c r="P1334" s="27">
        <f>IF(K1334="Válida",C1334,NA())</f>
        <v>0</v>
      </c>
      <c r="Q1334" s="27">
        <f>IF(K1334="Válida",I1334,NA())</f>
        <v>0</v>
      </c>
      <c r="R1334" s="27">
        <f>IF(K1334="Válida",J1334,NA())</f>
        <v>0</v>
      </c>
      <c r="S1334" s="27">
        <f>IF(K1334="Válida",C1334,"")</f>
        <v>0</v>
      </c>
      <c r="T1334" s="27">
        <f>IF(K1334="Válida",I1334,"")</f>
        <v>0</v>
      </c>
      <c r="U1334" s="27">
        <f>IF(K1334="Válida",J1334,"")</f>
        <v>0</v>
      </c>
    </row>
    <row r="1335" spans="1:21">
      <c r="A1335" s="25">
        <f>IF(MES!A1335="","",MES!C1335/48)</f>
        <v>0</v>
      </c>
      <c r="B1335" s="26">
        <f>IF(A1335="","",TEXT((N1335*4+cfgDeslocamento)/48,"hh:mm")&amp;" a "&amp;TEXT(A1335,"hh:mm"))</f>
        <v>0</v>
      </c>
      <c r="C1335" s="27">
        <f>IF(A1335="","",MES!B1335)</f>
        <v>0</v>
      </c>
      <c r="D1335" s="27">
        <f>IF(A1335="","",IFERROR(AVERAGEIFS(Prensa!$B$2:$B$5001,Prensa!$E$2:$E$5001,N1335,Prensa!$F$2:$F$5001,1,Prensa!$G$2:$G$5001,1),""))</f>
        <v>0</v>
      </c>
      <c r="E1335" s="27">
        <f>IF(A1335="","",IFERROR(AVERAGEIFS(Prensa!$B$2:$B$5001,Prensa!$E$2:$E$5001,N1335,Prensa!$F$2:$F$5001,2,Prensa!$G$2:$G$5001,1),""))</f>
        <v>0</v>
      </c>
      <c r="F1335" s="27">
        <f>IF(A1335="","",IFERROR(AVERAGEIFS(Prensa!$B$2:$B$5001,Prensa!$E$2:$E$5001,N1335,Prensa!$F$2:$F$5001,3,Prensa!$G$2:$G$5001,1),""))</f>
        <v>0</v>
      </c>
      <c r="G1335" s="27">
        <f>IF(A1335="","",IFERROR(AVERAGEIFS(Prensa!$B$2:$B$5001,Prensa!$E$2:$E$5001,N1335,Prensa!$F$2:$F$5001,4,Prensa!$G$2:$G$5001,1),""))</f>
        <v>0</v>
      </c>
      <c r="H1335" s="26">
        <f>IF(A1335="","",COUNT(D1335:G1335))</f>
        <v>0</v>
      </c>
      <c r="I1335" s="27">
        <f>IF(A1335="","",IF(H1335=0,"",AVERAGE(D1335:G1335)))</f>
        <v>0</v>
      </c>
      <c r="J1335" s="27">
        <f>IF(OR(I1335="",C1335=""),"",I1335-C1335)</f>
        <v>0</v>
      </c>
      <c r="K1335" s="26">
        <f>IF(A1335="","",IF(MES!E1335&lt;&gt;4,"Horário do MES fora do padrão",IF(H1335&lt;cfgMinCortes,"Cortes insuficientes","Válida")))</f>
        <v>0</v>
      </c>
      <c r="L1335" s="27">
        <f>IF(K1335="Válida",ABS(J1335),"")</f>
        <v>0</v>
      </c>
      <c r="M1335" s="26">
        <f>IF(K1335="Válida",IF(L1335&lt;=cfgTolerancia,"Sim","Não"),"")</f>
        <v>0</v>
      </c>
      <c r="N1335" s="26">
        <f>IF(A1335="","",MES!D1335)</f>
        <v>0</v>
      </c>
      <c r="O1335" s="25">
        <f>IF(K1335="Válida",A1335,NA())</f>
        <v>0</v>
      </c>
      <c r="P1335" s="27">
        <f>IF(K1335="Válida",C1335,NA())</f>
        <v>0</v>
      </c>
      <c r="Q1335" s="27">
        <f>IF(K1335="Válida",I1335,NA())</f>
        <v>0</v>
      </c>
      <c r="R1335" s="27">
        <f>IF(K1335="Válida",J1335,NA())</f>
        <v>0</v>
      </c>
      <c r="S1335" s="27">
        <f>IF(K1335="Válida",C1335,"")</f>
        <v>0</v>
      </c>
      <c r="T1335" s="27">
        <f>IF(K1335="Válida",I1335,"")</f>
        <v>0</v>
      </c>
      <c r="U1335" s="27">
        <f>IF(K1335="Válida",J1335,"")</f>
        <v>0</v>
      </c>
    </row>
    <row r="1336" spans="1:21">
      <c r="A1336" s="25">
        <f>IF(MES!A1336="","",MES!C1336/48)</f>
        <v>0</v>
      </c>
      <c r="B1336" s="26">
        <f>IF(A1336="","",TEXT((N1336*4+cfgDeslocamento)/48,"hh:mm")&amp;" a "&amp;TEXT(A1336,"hh:mm"))</f>
        <v>0</v>
      </c>
      <c r="C1336" s="27">
        <f>IF(A1336="","",MES!B1336)</f>
        <v>0</v>
      </c>
      <c r="D1336" s="27">
        <f>IF(A1336="","",IFERROR(AVERAGEIFS(Prensa!$B$2:$B$5001,Prensa!$E$2:$E$5001,N1336,Prensa!$F$2:$F$5001,1,Prensa!$G$2:$G$5001,1),""))</f>
        <v>0</v>
      </c>
      <c r="E1336" s="27">
        <f>IF(A1336="","",IFERROR(AVERAGEIFS(Prensa!$B$2:$B$5001,Prensa!$E$2:$E$5001,N1336,Prensa!$F$2:$F$5001,2,Prensa!$G$2:$G$5001,1),""))</f>
        <v>0</v>
      </c>
      <c r="F1336" s="27">
        <f>IF(A1336="","",IFERROR(AVERAGEIFS(Prensa!$B$2:$B$5001,Prensa!$E$2:$E$5001,N1336,Prensa!$F$2:$F$5001,3,Prensa!$G$2:$G$5001,1),""))</f>
        <v>0</v>
      </c>
      <c r="G1336" s="27">
        <f>IF(A1336="","",IFERROR(AVERAGEIFS(Prensa!$B$2:$B$5001,Prensa!$E$2:$E$5001,N1336,Prensa!$F$2:$F$5001,4,Prensa!$G$2:$G$5001,1),""))</f>
        <v>0</v>
      </c>
      <c r="H1336" s="26">
        <f>IF(A1336="","",COUNT(D1336:G1336))</f>
        <v>0</v>
      </c>
      <c r="I1336" s="27">
        <f>IF(A1336="","",IF(H1336=0,"",AVERAGE(D1336:G1336)))</f>
        <v>0</v>
      </c>
      <c r="J1336" s="27">
        <f>IF(OR(I1336="",C1336=""),"",I1336-C1336)</f>
        <v>0</v>
      </c>
      <c r="K1336" s="26">
        <f>IF(A1336="","",IF(MES!E1336&lt;&gt;4,"Horário do MES fora do padrão",IF(H1336&lt;cfgMinCortes,"Cortes insuficientes","Válida")))</f>
        <v>0</v>
      </c>
      <c r="L1336" s="27">
        <f>IF(K1336="Válida",ABS(J1336),"")</f>
        <v>0</v>
      </c>
      <c r="M1336" s="26">
        <f>IF(K1336="Válida",IF(L1336&lt;=cfgTolerancia,"Sim","Não"),"")</f>
        <v>0</v>
      </c>
      <c r="N1336" s="26">
        <f>IF(A1336="","",MES!D1336)</f>
        <v>0</v>
      </c>
      <c r="O1336" s="25">
        <f>IF(K1336="Válida",A1336,NA())</f>
        <v>0</v>
      </c>
      <c r="P1336" s="27">
        <f>IF(K1336="Válida",C1336,NA())</f>
        <v>0</v>
      </c>
      <c r="Q1336" s="27">
        <f>IF(K1336="Válida",I1336,NA())</f>
        <v>0</v>
      </c>
      <c r="R1336" s="27">
        <f>IF(K1336="Válida",J1336,NA())</f>
        <v>0</v>
      </c>
      <c r="S1336" s="27">
        <f>IF(K1336="Válida",C1336,"")</f>
        <v>0</v>
      </c>
      <c r="T1336" s="27">
        <f>IF(K1336="Válida",I1336,"")</f>
        <v>0</v>
      </c>
      <c r="U1336" s="27">
        <f>IF(K1336="Válida",J1336,"")</f>
        <v>0</v>
      </c>
    </row>
    <row r="1337" spans="1:21">
      <c r="A1337" s="25">
        <f>IF(MES!A1337="","",MES!C1337/48)</f>
        <v>0</v>
      </c>
      <c r="B1337" s="26">
        <f>IF(A1337="","",TEXT((N1337*4+cfgDeslocamento)/48,"hh:mm")&amp;" a "&amp;TEXT(A1337,"hh:mm"))</f>
        <v>0</v>
      </c>
      <c r="C1337" s="27">
        <f>IF(A1337="","",MES!B1337)</f>
        <v>0</v>
      </c>
      <c r="D1337" s="27">
        <f>IF(A1337="","",IFERROR(AVERAGEIFS(Prensa!$B$2:$B$5001,Prensa!$E$2:$E$5001,N1337,Prensa!$F$2:$F$5001,1,Prensa!$G$2:$G$5001,1),""))</f>
        <v>0</v>
      </c>
      <c r="E1337" s="27">
        <f>IF(A1337="","",IFERROR(AVERAGEIFS(Prensa!$B$2:$B$5001,Prensa!$E$2:$E$5001,N1337,Prensa!$F$2:$F$5001,2,Prensa!$G$2:$G$5001,1),""))</f>
        <v>0</v>
      </c>
      <c r="F1337" s="27">
        <f>IF(A1337="","",IFERROR(AVERAGEIFS(Prensa!$B$2:$B$5001,Prensa!$E$2:$E$5001,N1337,Prensa!$F$2:$F$5001,3,Prensa!$G$2:$G$5001,1),""))</f>
        <v>0</v>
      </c>
      <c r="G1337" s="27">
        <f>IF(A1337="","",IFERROR(AVERAGEIFS(Prensa!$B$2:$B$5001,Prensa!$E$2:$E$5001,N1337,Prensa!$F$2:$F$5001,4,Prensa!$G$2:$G$5001,1),""))</f>
        <v>0</v>
      </c>
      <c r="H1337" s="26">
        <f>IF(A1337="","",COUNT(D1337:G1337))</f>
        <v>0</v>
      </c>
      <c r="I1337" s="27">
        <f>IF(A1337="","",IF(H1337=0,"",AVERAGE(D1337:G1337)))</f>
        <v>0</v>
      </c>
      <c r="J1337" s="27">
        <f>IF(OR(I1337="",C1337=""),"",I1337-C1337)</f>
        <v>0</v>
      </c>
      <c r="K1337" s="26">
        <f>IF(A1337="","",IF(MES!E1337&lt;&gt;4,"Horário do MES fora do padrão",IF(H1337&lt;cfgMinCortes,"Cortes insuficientes","Válida")))</f>
        <v>0</v>
      </c>
      <c r="L1337" s="27">
        <f>IF(K1337="Válida",ABS(J1337),"")</f>
        <v>0</v>
      </c>
      <c r="M1337" s="26">
        <f>IF(K1337="Válida",IF(L1337&lt;=cfgTolerancia,"Sim","Não"),"")</f>
        <v>0</v>
      </c>
      <c r="N1337" s="26">
        <f>IF(A1337="","",MES!D1337)</f>
        <v>0</v>
      </c>
      <c r="O1337" s="25">
        <f>IF(K1337="Válida",A1337,NA())</f>
        <v>0</v>
      </c>
      <c r="P1337" s="27">
        <f>IF(K1337="Válida",C1337,NA())</f>
        <v>0</v>
      </c>
      <c r="Q1337" s="27">
        <f>IF(K1337="Válida",I1337,NA())</f>
        <v>0</v>
      </c>
      <c r="R1337" s="27">
        <f>IF(K1337="Válida",J1337,NA())</f>
        <v>0</v>
      </c>
      <c r="S1337" s="27">
        <f>IF(K1337="Válida",C1337,"")</f>
        <v>0</v>
      </c>
      <c r="T1337" s="27">
        <f>IF(K1337="Válida",I1337,"")</f>
        <v>0</v>
      </c>
      <c r="U1337" s="27">
        <f>IF(K1337="Válida",J1337,"")</f>
        <v>0</v>
      </c>
    </row>
    <row r="1338" spans="1:21">
      <c r="A1338" s="25">
        <f>IF(MES!A1338="","",MES!C1338/48)</f>
        <v>0</v>
      </c>
      <c r="B1338" s="26">
        <f>IF(A1338="","",TEXT((N1338*4+cfgDeslocamento)/48,"hh:mm")&amp;" a "&amp;TEXT(A1338,"hh:mm"))</f>
        <v>0</v>
      </c>
      <c r="C1338" s="27">
        <f>IF(A1338="","",MES!B1338)</f>
        <v>0</v>
      </c>
      <c r="D1338" s="27">
        <f>IF(A1338="","",IFERROR(AVERAGEIFS(Prensa!$B$2:$B$5001,Prensa!$E$2:$E$5001,N1338,Prensa!$F$2:$F$5001,1,Prensa!$G$2:$G$5001,1),""))</f>
        <v>0</v>
      </c>
      <c r="E1338" s="27">
        <f>IF(A1338="","",IFERROR(AVERAGEIFS(Prensa!$B$2:$B$5001,Prensa!$E$2:$E$5001,N1338,Prensa!$F$2:$F$5001,2,Prensa!$G$2:$G$5001,1),""))</f>
        <v>0</v>
      </c>
      <c r="F1338" s="27">
        <f>IF(A1338="","",IFERROR(AVERAGEIFS(Prensa!$B$2:$B$5001,Prensa!$E$2:$E$5001,N1338,Prensa!$F$2:$F$5001,3,Prensa!$G$2:$G$5001,1),""))</f>
        <v>0</v>
      </c>
      <c r="G1338" s="27">
        <f>IF(A1338="","",IFERROR(AVERAGEIFS(Prensa!$B$2:$B$5001,Prensa!$E$2:$E$5001,N1338,Prensa!$F$2:$F$5001,4,Prensa!$G$2:$G$5001,1),""))</f>
        <v>0</v>
      </c>
      <c r="H1338" s="26">
        <f>IF(A1338="","",COUNT(D1338:G1338))</f>
        <v>0</v>
      </c>
      <c r="I1338" s="27">
        <f>IF(A1338="","",IF(H1338=0,"",AVERAGE(D1338:G1338)))</f>
        <v>0</v>
      </c>
      <c r="J1338" s="27">
        <f>IF(OR(I1338="",C1338=""),"",I1338-C1338)</f>
        <v>0</v>
      </c>
      <c r="K1338" s="26">
        <f>IF(A1338="","",IF(MES!E1338&lt;&gt;4,"Horário do MES fora do padrão",IF(H1338&lt;cfgMinCortes,"Cortes insuficientes","Válida")))</f>
        <v>0</v>
      </c>
      <c r="L1338" s="27">
        <f>IF(K1338="Válida",ABS(J1338),"")</f>
        <v>0</v>
      </c>
      <c r="M1338" s="26">
        <f>IF(K1338="Válida",IF(L1338&lt;=cfgTolerancia,"Sim","Não"),"")</f>
        <v>0</v>
      </c>
      <c r="N1338" s="26">
        <f>IF(A1338="","",MES!D1338)</f>
        <v>0</v>
      </c>
      <c r="O1338" s="25">
        <f>IF(K1338="Válida",A1338,NA())</f>
        <v>0</v>
      </c>
      <c r="P1338" s="27">
        <f>IF(K1338="Válida",C1338,NA())</f>
        <v>0</v>
      </c>
      <c r="Q1338" s="27">
        <f>IF(K1338="Válida",I1338,NA())</f>
        <v>0</v>
      </c>
      <c r="R1338" s="27">
        <f>IF(K1338="Válida",J1338,NA())</f>
        <v>0</v>
      </c>
      <c r="S1338" s="27">
        <f>IF(K1338="Válida",C1338,"")</f>
        <v>0</v>
      </c>
      <c r="T1338" s="27">
        <f>IF(K1338="Válida",I1338,"")</f>
        <v>0</v>
      </c>
      <c r="U1338" s="27">
        <f>IF(K1338="Válida",J1338,"")</f>
        <v>0</v>
      </c>
    </row>
    <row r="1339" spans="1:21">
      <c r="A1339" s="25">
        <f>IF(MES!A1339="","",MES!C1339/48)</f>
        <v>0</v>
      </c>
      <c r="B1339" s="26">
        <f>IF(A1339="","",TEXT((N1339*4+cfgDeslocamento)/48,"hh:mm")&amp;" a "&amp;TEXT(A1339,"hh:mm"))</f>
        <v>0</v>
      </c>
      <c r="C1339" s="27">
        <f>IF(A1339="","",MES!B1339)</f>
        <v>0</v>
      </c>
      <c r="D1339" s="27">
        <f>IF(A1339="","",IFERROR(AVERAGEIFS(Prensa!$B$2:$B$5001,Prensa!$E$2:$E$5001,N1339,Prensa!$F$2:$F$5001,1,Prensa!$G$2:$G$5001,1),""))</f>
        <v>0</v>
      </c>
      <c r="E1339" s="27">
        <f>IF(A1339="","",IFERROR(AVERAGEIFS(Prensa!$B$2:$B$5001,Prensa!$E$2:$E$5001,N1339,Prensa!$F$2:$F$5001,2,Prensa!$G$2:$G$5001,1),""))</f>
        <v>0</v>
      </c>
      <c r="F1339" s="27">
        <f>IF(A1339="","",IFERROR(AVERAGEIFS(Prensa!$B$2:$B$5001,Prensa!$E$2:$E$5001,N1339,Prensa!$F$2:$F$5001,3,Prensa!$G$2:$G$5001,1),""))</f>
        <v>0</v>
      </c>
      <c r="G1339" s="27">
        <f>IF(A1339="","",IFERROR(AVERAGEIFS(Prensa!$B$2:$B$5001,Prensa!$E$2:$E$5001,N1339,Prensa!$F$2:$F$5001,4,Prensa!$G$2:$G$5001,1),""))</f>
        <v>0</v>
      </c>
      <c r="H1339" s="26">
        <f>IF(A1339="","",COUNT(D1339:G1339))</f>
        <v>0</v>
      </c>
      <c r="I1339" s="27">
        <f>IF(A1339="","",IF(H1339=0,"",AVERAGE(D1339:G1339)))</f>
        <v>0</v>
      </c>
      <c r="J1339" s="27">
        <f>IF(OR(I1339="",C1339=""),"",I1339-C1339)</f>
        <v>0</v>
      </c>
      <c r="K1339" s="26">
        <f>IF(A1339="","",IF(MES!E1339&lt;&gt;4,"Horário do MES fora do padrão",IF(H1339&lt;cfgMinCortes,"Cortes insuficientes","Válida")))</f>
        <v>0</v>
      </c>
      <c r="L1339" s="27">
        <f>IF(K1339="Válida",ABS(J1339),"")</f>
        <v>0</v>
      </c>
      <c r="M1339" s="26">
        <f>IF(K1339="Válida",IF(L1339&lt;=cfgTolerancia,"Sim","Não"),"")</f>
        <v>0</v>
      </c>
      <c r="N1339" s="26">
        <f>IF(A1339="","",MES!D1339)</f>
        <v>0</v>
      </c>
      <c r="O1339" s="25">
        <f>IF(K1339="Válida",A1339,NA())</f>
        <v>0</v>
      </c>
      <c r="P1339" s="27">
        <f>IF(K1339="Válida",C1339,NA())</f>
        <v>0</v>
      </c>
      <c r="Q1339" s="27">
        <f>IF(K1339="Válida",I1339,NA())</f>
        <v>0</v>
      </c>
      <c r="R1339" s="27">
        <f>IF(K1339="Válida",J1339,NA())</f>
        <v>0</v>
      </c>
      <c r="S1339" s="27">
        <f>IF(K1339="Válida",C1339,"")</f>
        <v>0</v>
      </c>
      <c r="T1339" s="27">
        <f>IF(K1339="Válida",I1339,"")</f>
        <v>0</v>
      </c>
      <c r="U1339" s="27">
        <f>IF(K1339="Válida",J1339,"")</f>
        <v>0</v>
      </c>
    </row>
    <row r="1340" spans="1:21">
      <c r="A1340" s="25">
        <f>IF(MES!A1340="","",MES!C1340/48)</f>
        <v>0</v>
      </c>
      <c r="B1340" s="26">
        <f>IF(A1340="","",TEXT((N1340*4+cfgDeslocamento)/48,"hh:mm")&amp;" a "&amp;TEXT(A1340,"hh:mm"))</f>
        <v>0</v>
      </c>
      <c r="C1340" s="27">
        <f>IF(A1340="","",MES!B1340)</f>
        <v>0</v>
      </c>
      <c r="D1340" s="27">
        <f>IF(A1340="","",IFERROR(AVERAGEIFS(Prensa!$B$2:$B$5001,Prensa!$E$2:$E$5001,N1340,Prensa!$F$2:$F$5001,1,Prensa!$G$2:$G$5001,1),""))</f>
        <v>0</v>
      </c>
      <c r="E1340" s="27">
        <f>IF(A1340="","",IFERROR(AVERAGEIFS(Prensa!$B$2:$B$5001,Prensa!$E$2:$E$5001,N1340,Prensa!$F$2:$F$5001,2,Prensa!$G$2:$G$5001,1),""))</f>
        <v>0</v>
      </c>
      <c r="F1340" s="27">
        <f>IF(A1340="","",IFERROR(AVERAGEIFS(Prensa!$B$2:$B$5001,Prensa!$E$2:$E$5001,N1340,Prensa!$F$2:$F$5001,3,Prensa!$G$2:$G$5001,1),""))</f>
        <v>0</v>
      </c>
      <c r="G1340" s="27">
        <f>IF(A1340="","",IFERROR(AVERAGEIFS(Prensa!$B$2:$B$5001,Prensa!$E$2:$E$5001,N1340,Prensa!$F$2:$F$5001,4,Prensa!$G$2:$G$5001,1),""))</f>
        <v>0</v>
      </c>
      <c r="H1340" s="26">
        <f>IF(A1340="","",COUNT(D1340:G1340))</f>
        <v>0</v>
      </c>
      <c r="I1340" s="27">
        <f>IF(A1340="","",IF(H1340=0,"",AVERAGE(D1340:G1340)))</f>
        <v>0</v>
      </c>
      <c r="J1340" s="27">
        <f>IF(OR(I1340="",C1340=""),"",I1340-C1340)</f>
        <v>0</v>
      </c>
      <c r="K1340" s="26">
        <f>IF(A1340="","",IF(MES!E1340&lt;&gt;4,"Horário do MES fora do padrão",IF(H1340&lt;cfgMinCortes,"Cortes insuficientes","Válida")))</f>
        <v>0</v>
      </c>
      <c r="L1340" s="27">
        <f>IF(K1340="Válida",ABS(J1340),"")</f>
        <v>0</v>
      </c>
      <c r="M1340" s="26">
        <f>IF(K1340="Válida",IF(L1340&lt;=cfgTolerancia,"Sim","Não"),"")</f>
        <v>0</v>
      </c>
      <c r="N1340" s="26">
        <f>IF(A1340="","",MES!D1340)</f>
        <v>0</v>
      </c>
      <c r="O1340" s="25">
        <f>IF(K1340="Válida",A1340,NA())</f>
        <v>0</v>
      </c>
      <c r="P1340" s="27">
        <f>IF(K1340="Válida",C1340,NA())</f>
        <v>0</v>
      </c>
      <c r="Q1340" s="27">
        <f>IF(K1340="Válida",I1340,NA())</f>
        <v>0</v>
      </c>
      <c r="R1340" s="27">
        <f>IF(K1340="Válida",J1340,NA())</f>
        <v>0</v>
      </c>
      <c r="S1340" s="27">
        <f>IF(K1340="Válida",C1340,"")</f>
        <v>0</v>
      </c>
      <c r="T1340" s="27">
        <f>IF(K1340="Válida",I1340,"")</f>
        <v>0</v>
      </c>
      <c r="U1340" s="27">
        <f>IF(K1340="Válida",J1340,"")</f>
        <v>0</v>
      </c>
    </row>
    <row r="1341" spans="1:21">
      <c r="A1341" s="25">
        <f>IF(MES!A1341="","",MES!C1341/48)</f>
        <v>0</v>
      </c>
      <c r="B1341" s="26">
        <f>IF(A1341="","",TEXT((N1341*4+cfgDeslocamento)/48,"hh:mm")&amp;" a "&amp;TEXT(A1341,"hh:mm"))</f>
        <v>0</v>
      </c>
      <c r="C1341" s="27">
        <f>IF(A1341="","",MES!B1341)</f>
        <v>0</v>
      </c>
      <c r="D1341" s="27">
        <f>IF(A1341="","",IFERROR(AVERAGEIFS(Prensa!$B$2:$B$5001,Prensa!$E$2:$E$5001,N1341,Prensa!$F$2:$F$5001,1,Prensa!$G$2:$G$5001,1),""))</f>
        <v>0</v>
      </c>
      <c r="E1341" s="27">
        <f>IF(A1341="","",IFERROR(AVERAGEIFS(Prensa!$B$2:$B$5001,Prensa!$E$2:$E$5001,N1341,Prensa!$F$2:$F$5001,2,Prensa!$G$2:$G$5001,1),""))</f>
        <v>0</v>
      </c>
      <c r="F1341" s="27">
        <f>IF(A1341="","",IFERROR(AVERAGEIFS(Prensa!$B$2:$B$5001,Prensa!$E$2:$E$5001,N1341,Prensa!$F$2:$F$5001,3,Prensa!$G$2:$G$5001,1),""))</f>
        <v>0</v>
      </c>
      <c r="G1341" s="27">
        <f>IF(A1341="","",IFERROR(AVERAGEIFS(Prensa!$B$2:$B$5001,Prensa!$E$2:$E$5001,N1341,Prensa!$F$2:$F$5001,4,Prensa!$G$2:$G$5001,1),""))</f>
        <v>0</v>
      </c>
      <c r="H1341" s="26">
        <f>IF(A1341="","",COUNT(D1341:G1341))</f>
        <v>0</v>
      </c>
      <c r="I1341" s="27">
        <f>IF(A1341="","",IF(H1341=0,"",AVERAGE(D1341:G1341)))</f>
        <v>0</v>
      </c>
      <c r="J1341" s="27">
        <f>IF(OR(I1341="",C1341=""),"",I1341-C1341)</f>
        <v>0</v>
      </c>
      <c r="K1341" s="26">
        <f>IF(A1341="","",IF(MES!E1341&lt;&gt;4,"Horário do MES fora do padrão",IF(H1341&lt;cfgMinCortes,"Cortes insuficientes","Válida")))</f>
        <v>0</v>
      </c>
      <c r="L1341" s="27">
        <f>IF(K1341="Válida",ABS(J1341),"")</f>
        <v>0</v>
      </c>
      <c r="M1341" s="26">
        <f>IF(K1341="Válida",IF(L1341&lt;=cfgTolerancia,"Sim","Não"),"")</f>
        <v>0</v>
      </c>
      <c r="N1341" s="26">
        <f>IF(A1341="","",MES!D1341)</f>
        <v>0</v>
      </c>
      <c r="O1341" s="25">
        <f>IF(K1341="Válida",A1341,NA())</f>
        <v>0</v>
      </c>
      <c r="P1341" s="27">
        <f>IF(K1341="Válida",C1341,NA())</f>
        <v>0</v>
      </c>
      <c r="Q1341" s="27">
        <f>IF(K1341="Válida",I1341,NA())</f>
        <v>0</v>
      </c>
      <c r="R1341" s="27">
        <f>IF(K1341="Válida",J1341,NA())</f>
        <v>0</v>
      </c>
      <c r="S1341" s="27">
        <f>IF(K1341="Válida",C1341,"")</f>
        <v>0</v>
      </c>
      <c r="T1341" s="27">
        <f>IF(K1341="Válida",I1341,"")</f>
        <v>0</v>
      </c>
      <c r="U1341" s="27">
        <f>IF(K1341="Válida",J1341,"")</f>
        <v>0</v>
      </c>
    </row>
    <row r="1342" spans="1:21">
      <c r="A1342" s="25">
        <f>IF(MES!A1342="","",MES!C1342/48)</f>
        <v>0</v>
      </c>
      <c r="B1342" s="26">
        <f>IF(A1342="","",TEXT((N1342*4+cfgDeslocamento)/48,"hh:mm")&amp;" a "&amp;TEXT(A1342,"hh:mm"))</f>
        <v>0</v>
      </c>
      <c r="C1342" s="27">
        <f>IF(A1342="","",MES!B1342)</f>
        <v>0</v>
      </c>
      <c r="D1342" s="27">
        <f>IF(A1342="","",IFERROR(AVERAGEIFS(Prensa!$B$2:$B$5001,Prensa!$E$2:$E$5001,N1342,Prensa!$F$2:$F$5001,1,Prensa!$G$2:$G$5001,1),""))</f>
        <v>0</v>
      </c>
      <c r="E1342" s="27">
        <f>IF(A1342="","",IFERROR(AVERAGEIFS(Prensa!$B$2:$B$5001,Prensa!$E$2:$E$5001,N1342,Prensa!$F$2:$F$5001,2,Prensa!$G$2:$G$5001,1),""))</f>
        <v>0</v>
      </c>
      <c r="F1342" s="27">
        <f>IF(A1342="","",IFERROR(AVERAGEIFS(Prensa!$B$2:$B$5001,Prensa!$E$2:$E$5001,N1342,Prensa!$F$2:$F$5001,3,Prensa!$G$2:$G$5001,1),""))</f>
        <v>0</v>
      </c>
      <c r="G1342" s="27">
        <f>IF(A1342="","",IFERROR(AVERAGEIFS(Prensa!$B$2:$B$5001,Prensa!$E$2:$E$5001,N1342,Prensa!$F$2:$F$5001,4,Prensa!$G$2:$G$5001,1),""))</f>
        <v>0</v>
      </c>
      <c r="H1342" s="26">
        <f>IF(A1342="","",COUNT(D1342:G1342))</f>
        <v>0</v>
      </c>
      <c r="I1342" s="27">
        <f>IF(A1342="","",IF(H1342=0,"",AVERAGE(D1342:G1342)))</f>
        <v>0</v>
      </c>
      <c r="J1342" s="27">
        <f>IF(OR(I1342="",C1342=""),"",I1342-C1342)</f>
        <v>0</v>
      </c>
      <c r="K1342" s="26">
        <f>IF(A1342="","",IF(MES!E1342&lt;&gt;4,"Horário do MES fora do padrão",IF(H1342&lt;cfgMinCortes,"Cortes insuficientes","Válida")))</f>
        <v>0</v>
      </c>
      <c r="L1342" s="27">
        <f>IF(K1342="Válida",ABS(J1342),"")</f>
        <v>0</v>
      </c>
      <c r="M1342" s="26">
        <f>IF(K1342="Válida",IF(L1342&lt;=cfgTolerancia,"Sim","Não"),"")</f>
        <v>0</v>
      </c>
      <c r="N1342" s="26">
        <f>IF(A1342="","",MES!D1342)</f>
        <v>0</v>
      </c>
      <c r="O1342" s="25">
        <f>IF(K1342="Válida",A1342,NA())</f>
        <v>0</v>
      </c>
      <c r="P1342" s="27">
        <f>IF(K1342="Válida",C1342,NA())</f>
        <v>0</v>
      </c>
      <c r="Q1342" s="27">
        <f>IF(K1342="Válida",I1342,NA())</f>
        <v>0</v>
      </c>
      <c r="R1342" s="27">
        <f>IF(K1342="Válida",J1342,NA())</f>
        <v>0</v>
      </c>
      <c r="S1342" s="27">
        <f>IF(K1342="Válida",C1342,"")</f>
        <v>0</v>
      </c>
      <c r="T1342" s="27">
        <f>IF(K1342="Válida",I1342,"")</f>
        <v>0</v>
      </c>
      <c r="U1342" s="27">
        <f>IF(K1342="Válida",J1342,"")</f>
        <v>0</v>
      </c>
    </row>
    <row r="1343" spans="1:21">
      <c r="A1343" s="25">
        <f>IF(MES!A1343="","",MES!C1343/48)</f>
        <v>0</v>
      </c>
      <c r="B1343" s="26">
        <f>IF(A1343="","",TEXT((N1343*4+cfgDeslocamento)/48,"hh:mm")&amp;" a "&amp;TEXT(A1343,"hh:mm"))</f>
        <v>0</v>
      </c>
      <c r="C1343" s="27">
        <f>IF(A1343="","",MES!B1343)</f>
        <v>0</v>
      </c>
      <c r="D1343" s="27">
        <f>IF(A1343="","",IFERROR(AVERAGEIFS(Prensa!$B$2:$B$5001,Prensa!$E$2:$E$5001,N1343,Prensa!$F$2:$F$5001,1,Prensa!$G$2:$G$5001,1),""))</f>
        <v>0</v>
      </c>
      <c r="E1343" s="27">
        <f>IF(A1343="","",IFERROR(AVERAGEIFS(Prensa!$B$2:$B$5001,Prensa!$E$2:$E$5001,N1343,Prensa!$F$2:$F$5001,2,Prensa!$G$2:$G$5001,1),""))</f>
        <v>0</v>
      </c>
      <c r="F1343" s="27">
        <f>IF(A1343="","",IFERROR(AVERAGEIFS(Prensa!$B$2:$B$5001,Prensa!$E$2:$E$5001,N1343,Prensa!$F$2:$F$5001,3,Prensa!$G$2:$G$5001,1),""))</f>
        <v>0</v>
      </c>
      <c r="G1343" s="27">
        <f>IF(A1343="","",IFERROR(AVERAGEIFS(Prensa!$B$2:$B$5001,Prensa!$E$2:$E$5001,N1343,Prensa!$F$2:$F$5001,4,Prensa!$G$2:$G$5001,1),""))</f>
        <v>0</v>
      </c>
      <c r="H1343" s="26">
        <f>IF(A1343="","",COUNT(D1343:G1343))</f>
        <v>0</v>
      </c>
      <c r="I1343" s="27">
        <f>IF(A1343="","",IF(H1343=0,"",AVERAGE(D1343:G1343)))</f>
        <v>0</v>
      </c>
      <c r="J1343" s="27">
        <f>IF(OR(I1343="",C1343=""),"",I1343-C1343)</f>
        <v>0</v>
      </c>
      <c r="K1343" s="26">
        <f>IF(A1343="","",IF(MES!E1343&lt;&gt;4,"Horário do MES fora do padrão",IF(H1343&lt;cfgMinCortes,"Cortes insuficientes","Válida")))</f>
        <v>0</v>
      </c>
      <c r="L1343" s="27">
        <f>IF(K1343="Válida",ABS(J1343),"")</f>
        <v>0</v>
      </c>
      <c r="M1343" s="26">
        <f>IF(K1343="Válida",IF(L1343&lt;=cfgTolerancia,"Sim","Não"),"")</f>
        <v>0</v>
      </c>
      <c r="N1343" s="26">
        <f>IF(A1343="","",MES!D1343)</f>
        <v>0</v>
      </c>
      <c r="O1343" s="25">
        <f>IF(K1343="Válida",A1343,NA())</f>
        <v>0</v>
      </c>
      <c r="P1343" s="27">
        <f>IF(K1343="Válida",C1343,NA())</f>
        <v>0</v>
      </c>
      <c r="Q1343" s="27">
        <f>IF(K1343="Válida",I1343,NA())</f>
        <v>0</v>
      </c>
      <c r="R1343" s="27">
        <f>IF(K1343="Válida",J1343,NA())</f>
        <v>0</v>
      </c>
      <c r="S1343" s="27">
        <f>IF(K1343="Válida",C1343,"")</f>
        <v>0</v>
      </c>
      <c r="T1343" s="27">
        <f>IF(K1343="Válida",I1343,"")</f>
        <v>0</v>
      </c>
      <c r="U1343" s="27">
        <f>IF(K1343="Válida",J1343,"")</f>
        <v>0</v>
      </c>
    </row>
    <row r="1344" spans="1:21">
      <c r="A1344" s="25">
        <f>IF(MES!A1344="","",MES!C1344/48)</f>
        <v>0</v>
      </c>
      <c r="B1344" s="26">
        <f>IF(A1344="","",TEXT((N1344*4+cfgDeslocamento)/48,"hh:mm")&amp;" a "&amp;TEXT(A1344,"hh:mm"))</f>
        <v>0</v>
      </c>
      <c r="C1344" s="27">
        <f>IF(A1344="","",MES!B1344)</f>
        <v>0</v>
      </c>
      <c r="D1344" s="27">
        <f>IF(A1344="","",IFERROR(AVERAGEIFS(Prensa!$B$2:$B$5001,Prensa!$E$2:$E$5001,N1344,Prensa!$F$2:$F$5001,1,Prensa!$G$2:$G$5001,1),""))</f>
        <v>0</v>
      </c>
      <c r="E1344" s="27">
        <f>IF(A1344="","",IFERROR(AVERAGEIFS(Prensa!$B$2:$B$5001,Prensa!$E$2:$E$5001,N1344,Prensa!$F$2:$F$5001,2,Prensa!$G$2:$G$5001,1),""))</f>
        <v>0</v>
      </c>
      <c r="F1344" s="27">
        <f>IF(A1344="","",IFERROR(AVERAGEIFS(Prensa!$B$2:$B$5001,Prensa!$E$2:$E$5001,N1344,Prensa!$F$2:$F$5001,3,Prensa!$G$2:$G$5001,1),""))</f>
        <v>0</v>
      </c>
      <c r="G1344" s="27">
        <f>IF(A1344="","",IFERROR(AVERAGEIFS(Prensa!$B$2:$B$5001,Prensa!$E$2:$E$5001,N1344,Prensa!$F$2:$F$5001,4,Prensa!$G$2:$G$5001,1),""))</f>
        <v>0</v>
      </c>
      <c r="H1344" s="26">
        <f>IF(A1344="","",COUNT(D1344:G1344))</f>
        <v>0</v>
      </c>
      <c r="I1344" s="27">
        <f>IF(A1344="","",IF(H1344=0,"",AVERAGE(D1344:G1344)))</f>
        <v>0</v>
      </c>
      <c r="J1344" s="27">
        <f>IF(OR(I1344="",C1344=""),"",I1344-C1344)</f>
        <v>0</v>
      </c>
      <c r="K1344" s="26">
        <f>IF(A1344="","",IF(MES!E1344&lt;&gt;4,"Horário do MES fora do padrão",IF(H1344&lt;cfgMinCortes,"Cortes insuficientes","Válida")))</f>
        <v>0</v>
      </c>
      <c r="L1344" s="27">
        <f>IF(K1344="Válida",ABS(J1344),"")</f>
        <v>0</v>
      </c>
      <c r="M1344" s="26">
        <f>IF(K1344="Válida",IF(L1344&lt;=cfgTolerancia,"Sim","Não"),"")</f>
        <v>0</v>
      </c>
      <c r="N1344" s="26">
        <f>IF(A1344="","",MES!D1344)</f>
        <v>0</v>
      </c>
      <c r="O1344" s="25">
        <f>IF(K1344="Válida",A1344,NA())</f>
        <v>0</v>
      </c>
      <c r="P1344" s="27">
        <f>IF(K1344="Válida",C1344,NA())</f>
        <v>0</v>
      </c>
      <c r="Q1344" s="27">
        <f>IF(K1344="Válida",I1344,NA())</f>
        <v>0</v>
      </c>
      <c r="R1344" s="27">
        <f>IF(K1344="Válida",J1344,NA())</f>
        <v>0</v>
      </c>
      <c r="S1344" s="27">
        <f>IF(K1344="Válida",C1344,"")</f>
        <v>0</v>
      </c>
      <c r="T1344" s="27">
        <f>IF(K1344="Válida",I1344,"")</f>
        <v>0</v>
      </c>
      <c r="U1344" s="27">
        <f>IF(K1344="Válida",J1344,"")</f>
        <v>0</v>
      </c>
    </row>
    <row r="1345" spans="1:21">
      <c r="A1345" s="25">
        <f>IF(MES!A1345="","",MES!C1345/48)</f>
        <v>0</v>
      </c>
      <c r="B1345" s="26">
        <f>IF(A1345="","",TEXT((N1345*4+cfgDeslocamento)/48,"hh:mm")&amp;" a "&amp;TEXT(A1345,"hh:mm"))</f>
        <v>0</v>
      </c>
      <c r="C1345" s="27">
        <f>IF(A1345="","",MES!B1345)</f>
        <v>0</v>
      </c>
      <c r="D1345" s="27">
        <f>IF(A1345="","",IFERROR(AVERAGEIFS(Prensa!$B$2:$B$5001,Prensa!$E$2:$E$5001,N1345,Prensa!$F$2:$F$5001,1,Prensa!$G$2:$G$5001,1),""))</f>
        <v>0</v>
      </c>
      <c r="E1345" s="27">
        <f>IF(A1345="","",IFERROR(AVERAGEIFS(Prensa!$B$2:$B$5001,Prensa!$E$2:$E$5001,N1345,Prensa!$F$2:$F$5001,2,Prensa!$G$2:$G$5001,1),""))</f>
        <v>0</v>
      </c>
      <c r="F1345" s="27">
        <f>IF(A1345="","",IFERROR(AVERAGEIFS(Prensa!$B$2:$B$5001,Prensa!$E$2:$E$5001,N1345,Prensa!$F$2:$F$5001,3,Prensa!$G$2:$G$5001,1),""))</f>
        <v>0</v>
      </c>
      <c r="G1345" s="27">
        <f>IF(A1345="","",IFERROR(AVERAGEIFS(Prensa!$B$2:$B$5001,Prensa!$E$2:$E$5001,N1345,Prensa!$F$2:$F$5001,4,Prensa!$G$2:$G$5001,1),""))</f>
        <v>0</v>
      </c>
      <c r="H1345" s="26">
        <f>IF(A1345="","",COUNT(D1345:G1345))</f>
        <v>0</v>
      </c>
      <c r="I1345" s="27">
        <f>IF(A1345="","",IF(H1345=0,"",AVERAGE(D1345:G1345)))</f>
        <v>0</v>
      </c>
      <c r="J1345" s="27">
        <f>IF(OR(I1345="",C1345=""),"",I1345-C1345)</f>
        <v>0</v>
      </c>
      <c r="K1345" s="26">
        <f>IF(A1345="","",IF(MES!E1345&lt;&gt;4,"Horário do MES fora do padrão",IF(H1345&lt;cfgMinCortes,"Cortes insuficientes","Válida")))</f>
        <v>0</v>
      </c>
      <c r="L1345" s="27">
        <f>IF(K1345="Válida",ABS(J1345),"")</f>
        <v>0</v>
      </c>
      <c r="M1345" s="26">
        <f>IF(K1345="Válida",IF(L1345&lt;=cfgTolerancia,"Sim","Não"),"")</f>
        <v>0</v>
      </c>
      <c r="N1345" s="26">
        <f>IF(A1345="","",MES!D1345)</f>
        <v>0</v>
      </c>
      <c r="O1345" s="25">
        <f>IF(K1345="Válida",A1345,NA())</f>
        <v>0</v>
      </c>
      <c r="P1345" s="27">
        <f>IF(K1345="Válida",C1345,NA())</f>
        <v>0</v>
      </c>
      <c r="Q1345" s="27">
        <f>IF(K1345="Válida",I1345,NA())</f>
        <v>0</v>
      </c>
      <c r="R1345" s="27">
        <f>IF(K1345="Válida",J1345,NA())</f>
        <v>0</v>
      </c>
      <c r="S1345" s="27">
        <f>IF(K1345="Válida",C1345,"")</f>
        <v>0</v>
      </c>
      <c r="T1345" s="27">
        <f>IF(K1345="Válida",I1345,"")</f>
        <v>0</v>
      </c>
      <c r="U1345" s="27">
        <f>IF(K1345="Válida",J1345,"")</f>
        <v>0</v>
      </c>
    </row>
    <row r="1346" spans="1:21">
      <c r="A1346" s="25">
        <f>IF(MES!A1346="","",MES!C1346/48)</f>
        <v>0</v>
      </c>
      <c r="B1346" s="26">
        <f>IF(A1346="","",TEXT((N1346*4+cfgDeslocamento)/48,"hh:mm")&amp;" a "&amp;TEXT(A1346,"hh:mm"))</f>
        <v>0</v>
      </c>
      <c r="C1346" s="27">
        <f>IF(A1346="","",MES!B1346)</f>
        <v>0</v>
      </c>
      <c r="D1346" s="27">
        <f>IF(A1346="","",IFERROR(AVERAGEIFS(Prensa!$B$2:$B$5001,Prensa!$E$2:$E$5001,N1346,Prensa!$F$2:$F$5001,1,Prensa!$G$2:$G$5001,1),""))</f>
        <v>0</v>
      </c>
      <c r="E1346" s="27">
        <f>IF(A1346="","",IFERROR(AVERAGEIFS(Prensa!$B$2:$B$5001,Prensa!$E$2:$E$5001,N1346,Prensa!$F$2:$F$5001,2,Prensa!$G$2:$G$5001,1),""))</f>
        <v>0</v>
      </c>
      <c r="F1346" s="27">
        <f>IF(A1346="","",IFERROR(AVERAGEIFS(Prensa!$B$2:$B$5001,Prensa!$E$2:$E$5001,N1346,Prensa!$F$2:$F$5001,3,Prensa!$G$2:$G$5001,1),""))</f>
        <v>0</v>
      </c>
      <c r="G1346" s="27">
        <f>IF(A1346="","",IFERROR(AVERAGEIFS(Prensa!$B$2:$B$5001,Prensa!$E$2:$E$5001,N1346,Prensa!$F$2:$F$5001,4,Prensa!$G$2:$G$5001,1),""))</f>
        <v>0</v>
      </c>
      <c r="H1346" s="26">
        <f>IF(A1346="","",COUNT(D1346:G1346))</f>
        <v>0</v>
      </c>
      <c r="I1346" s="27">
        <f>IF(A1346="","",IF(H1346=0,"",AVERAGE(D1346:G1346)))</f>
        <v>0</v>
      </c>
      <c r="J1346" s="27">
        <f>IF(OR(I1346="",C1346=""),"",I1346-C1346)</f>
        <v>0</v>
      </c>
      <c r="K1346" s="26">
        <f>IF(A1346="","",IF(MES!E1346&lt;&gt;4,"Horário do MES fora do padrão",IF(H1346&lt;cfgMinCortes,"Cortes insuficientes","Válida")))</f>
        <v>0</v>
      </c>
      <c r="L1346" s="27">
        <f>IF(K1346="Válida",ABS(J1346),"")</f>
        <v>0</v>
      </c>
      <c r="M1346" s="26">
        <f>IF(K1346="Válida",IF(L1346&lt;=cfgTolerancia,"Sim","Não"),"")</f>
        <v>0</v>
      </c>
      <c r="N1346" s="26">
        <f>IF(A1346="","",MES!D1346)</f>
        <v>0</v>
      </c>
      <c r="O1346" s="25">
        <f>IF(K1346="Válida",A1346,NA())</f>
        <v>0</v>
      </c>
      <c r="P1346" s="27">
        <f>IF(K1346="Válida",C1346,NA())</f>
        <v>0</v>
      </c>
      <c r="Q1346" s="27">
        <f>IF(K1346="Válida",I1346,NA())</f>
        <v>0</v>
      </c>
      <c r="R1346" s="27">
        <f>IF(K1346="Válida",J1346,NA())</f>
        <v>0</v>
      </c>
      <c r="S1346" s="27">
        <f>IF(K1346="Válida",C1346,"")</f>
        <v>0</v>
      </c>
      <c r="T1346" s="27">
        <f>IF(K1346="Válida",I1346,"")</f>
        <v>0</v>
      </c>
      <c r="U1346" s="27">
        <f>IF(K1346="Válida",J1346,"")</f>
        <v>0</v>
      </c>
    </row>
    <row r="1347" spans="1:21">
      <c r="A1347" s="25">
        <f>IF(MES!A1347="","",MES!C1347/48)</f>
        <v>0</v>
      </c>
      <c r="B1347" s="26">
        <f>IF(A1347="","",TEXT((N1347*4+cfgDeslocamento)/48,"hh:mm")&amp;" a "&amp;TEXT(A1347,"hh:mm"))</f>
        <v>0</v>
      </c>
      <c r="C1347" s="27">
        <f>IF(A1347="","",MES!B1347)</f>
        <v>0</v>
      </c>
      <c r="D1347" s="27">
        <f>IF(A1347="","",IFERROR(AVERAGEIFS(Prensa!$B$2:$B$5001,Prensa!$E$2:$E$5001,N1347,Prensa!$F$2:$F$5001,1,Prensa!$G$2:$G$5001,1),""))</f>
        <v>0</v>
      </c>
      <c r="E1347" s="27">
        <f>IF(A1347="","",IFERROR(AVERAGEIFS(Prensa!$B$2:$B$5001,Prensa!$E$2:$E$5001,N1347,Prensa!$F$2:$F$5001,2,Prensa!$G$2:$G$5001,1),""))</f>
        <v>0</v>
      </c>
      <c r="F1347" s="27">
        <f>IF(A1347="","",IFERROR(AVERAGEIFS(Prensa!$B$2:$B$5001,Prensa!$E$2:$E$5001,N1347,Prensa!$F$2:$F$5001,3,Prensa!$G$2:$G$5001,1),""))</f>
        <v>0</v>
      </c>
      <c r="G1347" s="27">
        <f>IF(A1347="","",IFERROR(AVERAGEIFS(Prensa!$B$2:$B$5001,Prensa!$E$2:$E$5001,N1347,Prensa!$F$2:$F$5001,4,Prensa!$G$2:$G$5001,1),""))</f>
        <v>0</v>
      </c>
      <c r="H1347" s="26">
        <f>IF(A1347="","",COUNT(D1347:G1347))</f>
        <v>0</v>
      </c>
      <c r="I1347" s="27">
        <f>IF(A1347="","",IF(H1347=0,"",AVERAGE(D1347:G1347)))</f>
        <v>0</v>
      </c>
      <c r="J1347" s="27">
        <f>IF(OR(I1347="",C1347=""),"",I1347-C1347)</f>
        <v>0</v>
      </c>
      <c r="K1347" s="26">
        <f>IF(A1347="","",IF(MES!E1347&lt;&gt;4,"Horário do MES fora do padrão",IF(H1347&lt;cfgMinCortes,"Cortes insuficientes","Válida")))</f>
        <v>0</v>
      </c>
      <c r="L1347" s="27">
        <f>IF(K1347="Válida",ABS(J1347),"")</f>
        <v>0</v>
      </c>
      <c r="M1347" s="26">
        <f>IF(K1347="Válida",IF(L1347&lt;=cfgTolerancia,"Sim","Não"),"")</f>
        <v>0</v>
      </c>
      <c r="N1347" s="26">
        <f>IF(A1347="","",MES!D1347)</f>
        <v>0</v>
      </c>
      <c r="O1347" s="25">
        <f>IF(K1347="Válida",A1347,NA())</f>
        <v>0</v>
      </c>
      <c r="P1347" s="27">
        <f>IF(K1347="Válida",C1347,NA())</f>
        <v>0</v>
      </c>
      <c r="Q1347" s="27">
        <f>IF(K1347="Válida",I1347,NA())</f>
        <v>0</v>
      </c>
      <c r="R1347" s="27">
        <f>IF(K1347="Válida",J1347,NA())</f>
        <v>0</v>
      </c>
      <c r="S1347" s="27">
        <f>IF(K1347="Válida",C1347,"")</f>
        <v>0</v>
      </c>
      <c r="T1347" s="27">
        <f>IF(K1347="Válida",I1347,"")</f>
        <v>0</v>
      </c>
      <c r="U1347" s="27">
        <f>IF(K1347="Válida",J1347,"")</f>
        <v>0</v>
      </c>
    </row>
    <row r="1348" spans="1:21">
      <c r="A1348" s="25">
        <f>IF(MES!A1348="","",MES!C1348/48)</f>
        <v>0</v>
      </c>
      <c r="B1348" s="26">
        <f>IF(A1348="","",TEXT((N1348*4+cfgDeslocamento)/48,"hh:mm")&amp;" a "&amp;TEXT(A1348,"hh:mm"))</f>
        <v>0</v>
      </c>
      <c r="C1348" s="27">
        <f>IF(A1348="","",MES!B1348)</f>
        <v>0</v>
      </c>
      <c r="D1348" s="27">
        <f>IF(A1348="","",IFERROR(AVERAGEIFS(Prensa!$B$2:$B$5001,Prensa!$E$2:$E$5001,N1348,Prensa!$F$2:$F$5001,1,Prensa!$G$2:$G$5001,1),""))</f>
        <v>0</v>
      </c>
      <c r="E1348" s="27">
        <f>IF(A1348="","",IFERROR(AVERAGEIFS(Prensa!$B$2:$B$5001,Prensa!$E$2:$E$5001,N1348,Prensa!$F$2:$F$5001,2,Prensa!$G$2:$G$5001,1),""))</f>
        <v>0</v>
      </c>
      <c r="F1348" s="27">
        <f>IF(A1348="","",IFERROR(AVERAGEIFS(Prensa!$B$2:$B$5001,Prensa!$E$2:$E$5001,N1348,Prensa!$F$2:$F$5001,3,Prensa!$G$2:$G$5001,1),""))</f>
        <v>0</v>
      </c>
      <c r="G1348" s="27">
        <f>IF(A1348="","",IFERROR(AVERAGEIFS(Prensa!$B$2:$B$5001,Prensa!$E$2:$E$5001,N1348,Prensa!$F$2:$F$5001,4,Prensa!$G$2:$G$5001,1),""))</f>
        <v>0</v>
      </c>
      <c r="H1348" s="26">
        <f>IF(A1348="","",COUNT(D1348:G1348))</f>
        <v>0</v>
      </c>
      <c r="I1348" s="27">
        <f>IF(A1348="","",IF(H1348=0,"",AVERAGE(D1348:G1348)))</f>
        <v>0</v>
      </c>
      <c r="J1348" s="27">
        <f>IF(OR(I1348="",C1348=""),"",I1348-C1348)</f>
        <v>0</v>
      </c>
      <c r="K1348" s="26">
        <f>IF(A1348="","",IF(MES!E1348&lt;&gt;4,"Horário do MES fora do padrão",IF(H1348&lt;cfgMinCortes,"Cortes insuficientes","Válida")))</f>
        <v>0</v>
      </c>
      <c r="L1348" s="27">
        <f>IF(K1348="Válida",ABS(J1348),"")</f>
        <v>0</v>
      </c>
      <c r="M1348" s="26">
        <f>IF(K1348="Válida",IF(L1348&lt;=cfgTolerancia,"Sim","Não"),"")</f>
        <v>0</v>
      </c>
      <c r="N1348" s="26">
        <f>IF(A1348="","",MES!D1348)</f>
        <v>0</v>
      </c>
      <c r="O1348" s="25">
        <f>IF(K1348="Válida",A1348,NA())</f>
        <v>0</v>
      </c>
      <c r="P1348" s="27">
        <f>IF(K1348="Válida",C1348,NA())</f>
        <v>0</v>
      </c>
      <c r="Q1348" s="27">
        <f>IF(K1348="Válida",I1348,NA())</f>
        <v>0</v>
      </c>
      <c r="R1348" s="27">
        <f>IF(K1348="Válida",J1348,NA())</f>
        <v>0</v>
      </c>
      <c r="S1348" s="27">
        <f>IF(K1348="Válida",C1348,"")</f>
        <v>0</v>
      </c>
      <c r="T1348" s="27">
        <f>IF(K1348="Válida",I1348,"")</f>
        <v>0</v>
      </c>
      <c r="U1348" s="27">
        <f>IF(K1348="Válida",J1348,"")</f>
        <v>0</v>
      </c>
    </row>
    <row r="1349" spans="1:21">
      <c r="A1349" s="25">
        <f>IF(MES!A1349="","",MES!C1349/48)</f>
        <v>0</v>
      </c>
      <c r="B1349" s="26">
        <f>IF(A1349="","",TEXT((N1349*4+cfgDeslocamento)/48,"hh:mm")&amp;" a "&amp;TEXT(A1349,"hh:mm"))</f>
        <v>0</v>
      </c>
      <c r="C1349" s="27">
        <f>IF(A1349="","",MES!B1349)</f>
        <v>0</v>
      </c>
      <c r="D1349" s="27">
        <f>IF(A1349="","",IFERROR(AVERAGEIFS(Prensa!$B$2:$B$5001,Prensa!$E$2:$E$5001,N1349,Prensa!$F$2:$F$5001,1,Prensa!$G$2:$G$5001,1),""))</f>
        <v>0</v>
      </c>
      <c r="E1349" s="27">
        <f>IF(A1349="","",IFERROR(AVERAGEIFS(Prensa!$B$2:$B$5001,Prensa!$E$2:$E$5001,N1349,Prensa!$F$2:$F$5001,2,Prensa!$G$2:$G$5001,1),""))</f>
        <v>0</v>
      </c>
      <c r="F1349" s="27">
        <f>IF(A1349="","",IFERROR(AVERAGEIFS(Prensa!$B$2:$B$5001,Prensa!$E$2:$E$5001,N1349,Prensa!$F$2:$F$5001,3,Prensa!$G$2:$G$5001,1),""))</f>
        <v>0</v>
      </c>
      <c r="G1349" s="27">
        <f>IF(A1349="","",IFERROR(AVERAGEIFS(Prensa!$B$2:$B$5001,Prensa!$E$2:$E$5001,N1349,Prensa!$F$2:$F$5001,4,Prensa!$G$2:$G$5001,1),""))</f>
        <v>0</v>
      </c>
      <c r="H1349" s="26">
        <f>IF(A1349="","",COUNT(D1349:G1349))</f>
        <v>0</v>
      </c>
      <c r="I1349" s="27">
        <f>IF(A1349="","",IF(H1349=0,"",AVERAGE(D1349:G1349)))</f>
        <v>0</v>
      </c>
      <c r="J1349" s="27">
        <f>IF(OR(I1349="",C1349=""),"",I1349-C1349)</f>
        <v>0</v>
      </c>
      <c r="K1349" s="26">
        <f>IF(A1349="","",IF(MES!E1349&lt;&gt;4,"Horário do MES fora do padrão",IF(H1349&lt;cfgMinCortes,"Cortes insuficientes","Válida")))</f>
        <v>0</v>
      </c>
      <c r="L1349" s="27">
        <f>IF(K1349="Válida",ABS(J1349),"")</f>
        <v>0</v>
      </c>
      <c r="M1349" s="26">
        <f>IF(K1349="Válida",IF(L1349&lt;=cfgTolerancia,"Sim","Não"),"")</f>
        <v>0</v>
      </c>
      <c r="N1349" s="26">
        <f>IF(A1349="","",MES!D1349)</f>
        <v>0</v>
      </c>
      <c r="O1349" s="25">
        <f>IF(K1349="Válida",A1349,NA())</f>
        <v>0</v>
      </c>
      <c r="P1349" s="27">
        <f>IF(K1349="Válida",C1349,NA())</f>
        <v>0</v>
      </c>
      <c r="Q1349" s="27">
        <f>IF(K1349="Válida",I1349,NA())</f>
        <v>0</v>
      </c>
      <c r="R1349" s="27">
        <f>IF(K1349="Válida",J1349,NA())</f>
        <v>0</v>
      </c>
      <c r="S1349" s="27">
        <f>IF(K1349="Válida",C1349,"")</f>
        <v>0</v>
      </c>
      <c r="T1349" s="27">
        <f>IF(K1349="Válida",I1349,"")</f>
        <v>0</v>
      </c>
      <c r="U1349" s="27">
        <f>IF(K1349="Válida",J1349,"")</f>
        <v>0</v>
      </c>
    </row>
    <row r="1350" spans="1:21">
      <c r="A1350" s="25">
        <f>IF(MES!A1350="","",MES!C1350/48)</f>
        <v>0</v>
      </c>
      <c r="B1350" s="26">
        <f>IF(A1350="","",TEXT((N1350*4+cfgDeslocamento)/48,"hh:mm")&amp;" a "&amp;TEXT(A1350,"hh:mm"))</f>
        <v>0</v>
      </c>
      <c r="C1350" s="27">
        <f>IF(A1350="","",MES!B1350)</f>
        <v>0</v>
      </c>
      <c r="D1350" s="27">
        <f>IF(A1350="","",IFERROR(AVERAGEIFS(Prensa!$B$2:$B$5001,Prensa!$E$2:$E$5001,N1350,Prensa!$F$2:$F$5001,1,Prensa!$G$2:$G$5001,1),""))</f>
        <v>0</v>
      </c>
      <c r="E1350" s="27">
        <f>IF(A1350="","",IFERROR(AVERAGEIFS(Prensa!$B$2:$B$5001,Prensa!$E$2:$E$5001,N1350,Prensa!$F$2:$F$5001,2,Prensa!$G$2:$G$5001,1),""))</f>
        <v>0</v>
      </c>
      <c r="F1350" s="27">
        <f>IF(A1350="","",IFERROR(AVERAGEIFS(Prensa!$B$2:$B$5001,Prensa!$E$2:$E$5001,N1350,Prensa!$F$2:$F$5001,3,Prensa!$G$2:$G$5001,1),""))</f>
        <v>0</v>
      </c>
      <c r="G1350" s="27">
        <f>IF(A1350="","",IFERROR(AVERAGEIFS(Prensa!$B$2:$B$5001,Prensa!$E$2:$E$5001,N1350,Prensa!$F$2:$F$5001,4,Prensa!$G$2:$G$5001,1),""))</f>
        <v>0</v>
      </c>
      <c r="H1350" s="26">
        <f>IF(A1350="","",COUNT(D1350:G1350))</f>
        <v>0</v>
      </c>
      <c r="I1350" s="27">
        <f>IF(A1350="","",IF(H1350=0,"",AVERAGE(D1350:G1350)))</f>
        <v>0</v>
      </c>
      <c r="J1350" s="27">
        <f>IF(OR(I1350="",C1350=""),"",I1350-C1350)</f>
        <v>0</v>
      </c>
      <c r="K1350" s="26">
        <f>IF(A1350="","",IF(MES!E1350&lt;&gt;4,"Horário do MES fora do padrão",IF(H1350&lt;cfgMinCortes,"Cortes insuficientes","Válida")))</f>
        <v>0</v>
      </c>
      <c r="L1350" s="27">
        <f>IF(K1350="Válida",ABS(J1350),"")</f>
        <v>0</v>
      </c>
      <c r="M1350" s="26">
        <f>IF(K1350="Válida",IF(L1350&lt;=cfgTolerancia,"Sim","Não"),"")</f>
        <v>0</v>
      </c>
      <c r="N1350" s="26">
        <f>IF(A1350="","",MES!D1350)</f>
        <v>0</v>
      </c>
      <c r="O1350" s="25">
        <f>IF(K1350="Válida",A1350,NA())</f>
        <v>0</v>
      </c>
      <c r="P1350" s="27">
        <f>IF(K1350="Válida",C1350,NA())</f>
        <v>0</v>
      </c>
      <c r="Q1350" s="27">
        <f>IF(K1350="Válida",I1350,NA())</f>
        <v>0</v>
      </c>
      <c r="R1350" s="27">
        <f>IF(K1350="Válida",J1350,NA())</f>
        <v>0</v>
      </c>
      <c r="S1350" s="27">
        <f>IF(K1350="Válida",C1350,"")</f>
        <v>0</v>
      </c>
      <c r="T1350" s="27">
        <f>IF(K1350="Válida",I1350,"")</f>
        <v>0</v>
      </c>
      <c r="U1350" s="27">
        <f>IF(K1350="Válida",J1350,"")</f>
        <v>0</v>
      </c>
    </row>
    <row r="1351" spans="1:21">
      <c r="A1351" s="25">
        <f>IF(MES!A1351="","",MES!C1351/48)</f>
        <v>0</v>
      </c>
      <c r="B1351" s="26">
        <f>IF(A1351="","",TEXT((N1351*4+cfgDeslocamento)/48,"hh:mm")&amp;" a "&amp;TEXT(A1351,"hh:mm"))</f>
        <v>0</v>
      </c>
      <c r="C1351" s="27">
        <f>IF(A1351="","",MES!B1351)</f>
        <v>0</v>
      </c>
      <c r="D1351" s="27">
        <f>IF(A1351="","",IFERROR(AVERAGEIFS(Prensa!$B$2:$B$5001,Prensa!$E$2:$E$5001,N1351,Prensa!$F$2:$F$5001,1,Prensa!$G$2:$G$5001,1),""))</f>
        <v>0</v>
      </c>
      <c r="E1351" s="27">
        <f>IF(A1351="","",IFERROR(AVERAGEIFS(Prensa!$B$2:$B$5001,Prensa!$E$2:$E$5001,N1351,Prensa!$F$2:$F$5001,2,Prensa!$G$2:$G$5001,1),""))</f>
        <v>0</v>
      </c>
      <c r="F1351" s="27">
        <f>IF(A1351="","",IFERROR(AVERAGEIFS(Prensa!$B$2:$B$5001,Prensa!$E$2:$E$5001,N1351,Prensa!$F$2:$F$5001,3,Prensa!$G$2:$G$5001,1),""))</f>
        <v>0</v>
      </c>
      <c r="G1351" s="27">
        <f>IF(A1351="","",IFERROR(AVERAGEIFS(Prensa!$B$2:$B$5001,Prensa!$E$2:$E$5001,N1351,Prensa!$F$2:$F$5001,4,Prensa!$G$2:$G$5001,1),""))</f>
        <v>0</v>
      </c>
      <c r="H1351" s="26">
        <f>IF(A1351="","",COUNT(D1351:G1351))</f>
        <v>0</v>
      </c>
      <c r="I1351" s="27">
        <f>IF(A1351="","",IF(H1351=0,"",AVERAGE(D1351:G1351)))</f>
        <v>0</v>
      </c>
      <c r="J1351" s="27">
        <f>IF(OR(I1351="",C1351=""),"",I1351-C1351)</f>
        <v>0</v>
      </c>
      <c r="K1351" s="26">
        <f>IF(A1351="","",IF(MES!E1351&lt;&gt;4,"Horário do MES fora do padrão",IF(H1351&lt;cfgMinCortes,"Cortes insuficientes","Válida")))</f>
        <v>0</v>
      </c>
      <c r="L1351" s="27">
        <f>IF(K1351="Válida",ABS(J1351),"")</f>
        <v>0</v>
      </c>
      <c r="M1351" s="26">
        <f>IF(K1351="Válida",IF(L1351&lt;=cfgTolerancia,"Sim","Não"),"")</f>
        <v>0</v>
      </c>
      <c r="N1351" s="26">
        <f>IF(A1351="","",MES!D1351)</f>
        <v>0</v>
      </c>
      <c r="O1351" s="25">
        <f>IF(K1351="Válida",A1351,NA())</f>
        <v>0</v>
      </c>
      <c r="P1351" s="27">
        <f>IF(K1351="Válida",C1351,NA())</f>
        <v>0</v>
      </c>
      <c r="Q1351" s="27">
        <f>IF(K1351="Válida",I1351,NA())</f>
        <v>0</v>
      </c>
      <c r="R1351" s="27">
        <f>IF(K1351="Válida",J1351,NA())</f>
        <v>0</v>
      </c>
      <c r="S1351" s="27">
        <f>IF(K1351="Válida",C1351,"")</f>
        <v>0</v>
      </c>
      <c r="T1351" s="27">
        <f>IF(K1351="Válida",I1351,"")</f>
        <v>0</v>
      </c>
      <c r="U1351" s="27">
        <f>IF(K1351="Válida",J1351,"")</f>
        <v>0</v>
      </c>
    </row>
    <row r="1352" spans="1:21">
      <c r="A1352" s="25">
        <f>IF(MES!A1352="","",MES!C1352/48)</f>
        <v>0</v>
      </c>
      <c r="B1352" s="26">
        <f>IF(A1352="","",TEXT((N1352*4+cfgDeslocamento)/48,"hh:mm")&amp;" a "&amp;TEXT(A1352,"hh:mm"))</f>
        <v>0</v>
      </c>
      <c r="C1352" s="27">
        <f>IF(A1352="","",MES!B1352)</f>
        <v>0</v>
      </c>
      <c r="D1352" s="27">
        <f>IF(A1352="","",IFERROR(AVERAGEIFS(Prensa!$B$2:$B$5001,Prensa!$E$2:$E$5001,N1352,Prensa!$F$2:$F$5001,1,Prensa!$G$2:$G$5001,1),""))</f>
        <v>0</v>
      </c>
      <c r="E1352" s="27">
        <f>IF(A1352="","",IFERROR(AVERAGEIFS(Prensa!$B$2:$B$5001,Prensa!$E$2:$E$5001,N1352,Prensa!$F$2:$F$5001,2,Prensa!$G$2:$G$5001,1),""))</f>
        <v>0</v>
      </c>
      <c r="F1352" s="27">
        <f>IF(A1352="","",IFERROR(AVERAGEIFS(Prensa!$B$2:$B$5001,Prensa!$E$2:$E$5001,N1352,Prensa!$F$2:$F$5001,3,Prensa!$G$2:$G$5001,1),""))</f>
        <v>0</v>
      </c>
      <c r="G1352" s="27">
        <f>IF(A1352="","",IFERROR(AVERAGEIFS(Prensa!$B$2:$B$5001,Prensa!$E$2:$E$5001,N1352,Prensa!$F$2:$F$5001,4,Prensa!$G$2:$G$5001,1),""))</f>
        <v>0</v>
      </c>
      <c r="H1352" s="26">
        <f>IF(A1352="","",COUNT(D1352:G1352))</f>
        <v>0</v>
      </c>
      <c r="I1352" s="27">
        <f>IF(A1352="","",IF(H1352=0,"",AVERAGE(D1352:G1352)))</f>
        <v>0</v>
      </c>
      <c r="J1352" s="27">
        <f>IF(OR(I1352="",C1352=""),"",I1352-C1352)</f>
        <v>0</v>
      </c>
      <c r="K1352" s="26">
        <f>IF(A1352="","",IF(MES!E1352&lt;&gt;4,"Horário do MES fora do padrão",IF(H1352&lt;cfgMinCortes,"Cortes insuficientes","Válida")))</f>
        <v>0</v>
      </c>
      <c r="L1352" s="27">
        <f>IF(K1352="Válida",ABS(J1352),"")</f>
        <v>0</v>
      </c>
      <c r="M1352" s="26">
        <f>IF(K1352="Válida",IF(L1352&lt;=cfgTolerancia,"Sim","Não"),"")</f>
        <v>0</v>
      </c>
      <c r="N1352" s="26">
        <f>IF(A1352="","",MES!D1352)</f>
        <v>0</v>
      </c>
      <c r="O1352" s="25">
        <f>IF(K1352="Válida",A1352,NA())</f>
        <v>0</v>
      </c>
      <c r="P1352" s="27">
        <f>IF(K1352="Válida",C1352,NA())</f>
        <v>0</v>
      </c>
      <c r="Q1352" s="27">
        <f>IF(K1352="Válida",I1352,NA())</f>
        <v>0</v>
      </c>
      <c r="R1352" s="27">
        <f>IF(K1352="Válida",J1352,NA())</f>
        <v>0</v>
      </c>
      <c r="S1352" s="27">
        <f>IF(K1352="Válida",C1352,"")</f>
        <v>0</v>
      </c>
      <c r="T1352" s="27">
        <f>IF(K1352="Válida",I1352,"")</f>
        <v>0</v>
      </c>
      <c r="U1352" s="27">
        <f>IF(K1352="Válida",J1352,"")</f>
        <v>0</v>
      </c>
    </row>
    <row r="1353" spans="1:21">
      <c r="A1353" s="25">
        <f>IF(MES!A1353="","",MES!C1353/48)</f>
        <v>0</v>
      </c>
      <c r="B1353" s="26">
        <f>IF(A1353="","",TEXT((N1353*4+cfgDeslocamento)/48,"hh:mm")&amp;" a "&amp;TEXT(A1353,"hh:mm"))</f>
        <v>0</v>
      </c>
      <c r="C1353" s="27">
        <f>IF(A1353="","",MES!B1353)</f>
        <v>0</v>
      </c>
      <c r="D1353" s="27">
        <f>IF(A1353="","",IFERROR(AVERAGEIFS(Prensa!$B$2:$B$5001,Prensa!$E$2:$E$5001,N1353,Prensa!$F$2:$F$5001,1,Prensa!$G$2:$G$5001,1),""))</f>
        <v>0</v>
      </c>
      <c r="E1353" s="27">
        <f>IF(A1353="","",IFERROR(AVERAGEIFS(Prensa!$B$2:$B$5001,Prensa!$E$2:$E$5001,N1353,Prensa!$F$2:$F$5001,2,Prensa!$G$2:$G$5001,1),""))</f>
        <v>0</v>
      </c>
      <c r="F1353" s="27">
        <f>IF(A1353="","",IFERROR(AVERAGEIFS(Prensa!$B$2:$B$5001,Prensa!$E$2:$E$5001,N1353,Prensa!$F$2:$F$5001,3,Prensa!$G$2:$G$5001,1),""))</f>
        <v>0</v>
      </c>
      <c r="G1353" s="27">
        <f>IF(A1353="","",IFERROR(AVERAGEIFS(Prensa!$B$2:$B$5001,Prensa!$E$2:$E$5001,N1353,Prensa!$F$2:$F$5001,4,Prensa!$G$2:$G$5001,1),""))</f>
        <v>0</v>
      </c>
      <c r="H1353" s="26">
        <f>IF(A1353="","",COUNT(D1353:G1353))</f>
        <v>0</v>
      </c>
      <c r="I1353" s="27">
        <f>IF(A1353="","",IF(H1353=0,"",AVERAGE(D1353:G1353)))</f>
        <v>0</v>
      </c>
      <c r="J1353" s="27">
        <f>IF(OR(I1353="",C1353=""),"",I1353-C1353)</f>
        <v>0</v>
      </c>
      <c r="K1353" s="26">
        <f>IF(A1353="","",IF(MES!E1353&lt;&gt;4,"Horário do MES fora do padrão",IF(H1353&lt;cfgMinCortes,"Cortes insuficientes","Válida")))</f>
        <v>0</v>
      </c>
      <c r="L1353" s="27">
        <f>IF(K1353="Válida",ABS(J1353),"")</f>
        <v>0</v>
      </c>
      <c r="M1353" s="26">
        <f>IF(K1353="Válida",IF(L1353&lt;=cfgTolerancia,"Sim","Não"),"")</f>
        <v>0</v>
      </c>
      <c r="N1353" s="26">
        <f>IF(A1353="","",MES!D1353)</f>
        <v>0</v>
      </c>
      <c r="O1353" s="25">
        <f>IF(K1353="Válida",A1353,NA())</f>
        <v>0</v>
      </c>
      <c r="P1353" s="27">
        <f>IF(K1353="Válida",C1353,NA())</f>
        <v>0</v>
      </c>
      <c r="Q1353" s="27">
        <f>IF(K1353="Válida",I1353,NA())</f>
        <v>0</v>
      </c>
      <c r="R1353" s="27">
        <f>IF(K1353="Válida",J1353,NA())</f>
        <v>0</v>
      </c>
      <c r="S1353" s="27">
        <f>IF(K1353="Válida",C1353,"")</f>
        <v>0</v>
      </c>
      <c r="T1353" s="27">
        <f>IF(K1353="Válida",I1353,"")</f>
        <v>0</v>
      </c>
      <c r="U1353" s="27">
        <f>IF(K1353="Válida",J1353,"")</f>
        <v>0</v>
      </c>
    </row>
    <row r="1354" spans="1:21">
      <c r="A1354" s="25">
        <f>IF(MES!A1354="","",MES!C1354/48)</f>
        <v>0</v>
      </c>
      <c r="B1354" s="26">
        <f>IF(A1354="","",TEXT((N1354*4+cfgDeslocamento)/48,"hh:mm")&amp;" a "&amp;TEXT(A1354,"hh:mm"))</f>
        <v>0</v>
      </c>
      <c r="C1354" s="27">
        <f>IF(A1354="","",MES!B1354)</f>
        <v>0</v>
      </c>
      <c r="D1354" s="27">
        <f>IF(A1354="","",IFERROR(AVERAGEIFS(Prensa!$B$2:$B$5001,Prensa!$E$2:$E$5001,N1354,Prensa!$F$2:$F$5001,1,Prensa!$G$2:$G$5001,1),""))</f>
        <v>0</v>
      </c>
      <c r="E1354" s="27">
        <f>IF(A1354="","",IFERROR(AVERAGEIFS(Prensa!$B$2:$B$5001,Prensa!$E$2:$E$5001,N1354,Prensa!$F$2:$F$5001,2,Prensa!$G$2:$G$5001,1),""))</f>
        <v>0</v>
      </c>
      <c r="F1354" s="27">
        <f>IF(A1354="","",IFERROR(AVERAGEIFS(Prensa!$B$2:$B$5001,Prensa!$E$2:$E$5001,N1354,Prensa!$F$2:$F$5001,3,Prensa!$G$2:$G$5001,1),""))</f>
        <v>0</v>
      </c>
      <c r="G1354" s="27">
        <f>IF(A1354="","",IFERROR(AVERAGEIFS(Prensa!$B$2:$B$5001,Prensa!$E$2:$E$5001,N1354,Prensa!$F$2:$F$5001,4,Prensa!$G$2:$G$5001,1),""))</f>
        <v>0</v>
      </c>
      <c r="H1354" s="26">
        <f>IF(A1354="","",COUNT(D1354:G1354))</f>
        <v>0</v>
      </c>
      <c r="I1354" s="27">
        <f>IF(A1354="","",IF(H1354=0,"",AVERAGE(D1354:G1354)))</f>
        <v>0</v>
      </c>
      <c r="J1354" s="27">
        <f>IF(OR(I1354="",C1354=""),"",I1354-C1354)</f>
        <v>0</v>
      </c>
      <c r="K1354" s="26">
        <f>IF(A1354="","",IF(MES!E1354&lt;&gt;4,"Horário do MES fora do padrão",IF(H1354&lt;cfgMinCortes,"Cortes insuficientes","Válida")))</f>
        <v>0</v>
      </c>
      <c r="L1354" s="27">
        <f>IF(K1354="Válida",ABS(J1354),"")</f>
        <v>0</v>
      </c>
      <c r="M1354" s="26">
        <f>IF(K1354="Válida",IF(L1354&lt;=cfgTolerancia,"Sim","Não"),"")</f>
        <v>0</v>
      </c>
      <c r="N1354" s="26">
        <f>IF(A1354="","",MES!D1354)</f>
        <v>0</v>
      </c>
      <c r="O1354" s="25">
        <f>IF(K1354="Válida",A1354,NA())</f>
        <v>0</v>
      </c>
      <c r="P1354" s="27">
        <f>IF(K1354="Válida",C1354,NA())</f>
        <v>0</v>
      </c>
      <c r="Q1354" s="27">
        <f>IF(K1354="Válida",I1354,NA())</f>
        <v>0</v>
      </c>
      <c r="R1354" s="27">
        <f>IF(K1354="Válida",J1354,NA())</f>
        <v>0</v>
      </c>
      <c r="S1354" s="27">
        <f>IF(K1354="Válida",C1354,"")</f>
        <v>0</v>
      </c>
      <c r="T1354" s="27">
        <f>IF(K1354="Válida",I1354,"")</f>
        <v>0</v>
      </c>
      <c r="U1354" s="27">
        <f>IF(K1354="Válida",J1354,"")</f>
        <v>0</v>
      </c>
    </row>
    <row r="1355" spans="1:21">
      <c r="A1355" s="25">
        <f>IF(MES!A1355="","",MES!C1355/48)</f>
        <v>0</v>
      </c>
      <c r="B1355" s="26">
        <f>IF(A1355="","",TEXT((N1355*4+cfgDeslocamento)/48,"hh:mm")&amp;" a "&amp;TEXT(A1355,"hh:mm"))</f>
        <v>0</v>
      </c>
      <c r="C1355" s="27">
        <f>IF(A1355="","",MES!B1355)</f>
        <v>0</v>
      </c>
      <c r="D1355" s="27">
        <f>IF(A1355="","",IFERROR(AVERAGEIFS(Prensa!$B$2:$B$5001,Prensa!$E$2:$E$5001,N1355,Prensa!$F$2:$F$5001,1,Prensa!$G$2:$G$5001,1),""))</f>
        <v>0</v>
      </c>
      <c r="E1355" s="27">
        <f>IF(A1355="","",IFERROR(AVERAGEIFS(Prensa!$B$2:$B$5001,Prensa!$E$2:$E$5001,N1355,Prensa!$F$2:$F$5001,2,Prensa!$G$2:$G$5001,1),""))</f>
        <v>0</v>
      </c>
      <c r="F1355" s="27">
        <f>IF(A1355="","",IFERROR(AVERAGEIFS(Prensa!$B$2:$B$5001,Prensa!$E$2:$E$5001,N1355,Prensa!$F$2:$F$5001,3,Prensa!$G$2:$G$5001,1),""))</f>
        <v>0</v>
      </c>
      <c r="G1355" s="27">
        <f>IF(A1355="","",IFERROR(AVERAGEIFS(Prensa!$B$2:$B$5001,Prensa!$E$2:$E$5001,N1355,Prensa!$F$2:$F$5001,4,Prensa!$G$2:$G$5001,1),""))</f>
        <v>0</v>
      </c>
      <c r="H1355" s="26">
        <f>IF(A1355="","",COUNT(D1355:G1355))</f>
        <v>0</v>
      </c>
      <c r="I1355" s="27">
        <f>IF(A1355="","",IF(H1355=0,"",AVERAGE(D1355:G1355)))</f>
        <v>0</v>
      </c>
      <c r="J1355" s="27">
        <f>IF(OR(I1355="",C1355=""),"",I1355-C1355)</f>
        <v>0</v>
      </c>
      <c r="K1355" s="26">
        <f>IF(A1355="","",IF(MES!E1355&lt;&gt;4,"Horário do MES fora do padrão",IF(H1355&lt;cfgMinCortes,"Cortes insuficientes","Válida")))</f>
        <v>0</v>
      </c>
      <c r="L1355" s="27">
        <f>IF(K1355="Válida",ABS(J1355),"")</f>
        <v>0</v>
      </c>
      <c r="M1355" s="26">
        <f>IF(K1355="Válida",IF(L1355&lt;=cfgTolerancia,"Sim","Não"),"")</f>
        <v>0</v>
      </c>
      <c r="N1355" s="26">
        <f>IF(A1355="","",MES!D1355)</f>
        <v>0</v>
      </c>
      <c r="O1355" s="25">
        <f>IF(K1355="Válida",A1355,NA())</f>
        <v>0</v>
      </c>
      <c r="P1355" s="27">
        <f>IF(K1355="Válida",C1355,NA())</f>
        <v>0</v>
      </c>
      <c r="Q1355" s="27">
        <f>IF(K1355="Válida",I1355,NA())</f>
        <v>0</v>
      </c>
      <c r="R1355" s="27">
        <f>IF(K1355="Válida",J1355,NA())</f>
        <v>0</v>
      </c>
      <c r="S1355" s="27">
        <f>IF(K1355="Válida",C1355,"")</f>
        <v>0</v>
      </c>
      <c r="T1355" s="27">
        <f>IF(K1355="Válida",I1355,"")</f>
        <v>0</v>
      </c>
      <c r="U1355" s="27">
        <f>IF(K1355="Válida",J1355,"")</f>
        <v>0</v>
      </c>
    </row>
    <row r="1356" spans="1:21">
      <c r="A1356" s="25">
        <f>IF(MES!A1356="","",MES!C1356/48)</f>
        <v>0</v>
      </c>
      <c r="B1356" s="26">
        <f>IF(A1356="","",TEXT((N1356*4+cfgDeslocamento)/48,"hh:mm")&amp;" a "&amp;TEXT(A1356,"hh:mm"))</f>
        <v>0</v>
      </c>
      <c r="C1356" s="27">
        <f>IF(A1356="","",MES!B1356)</f>
        <v>0</v>
      </c>
      <c r="D1356" s="27">
        <f>IF(A1356="","",IFERROR(AVERAGEIFS(Prensa!$B$2:$B$5001,Prensa!$E$2:$E$5001,N1356,Prensa!$F$2:$F$5001,1,Prensa!$G$2:$G$5001,1),""))</f>
        <v>0</v>
      </c>
      <c r="E1356" s="27">
        <f>IF(A1356="","",IFERROR(AVERAGEIFS(Prensa!$B$2:$B$5001,Prensa!$E$2:$E$5001,N1356,Prensa!$F$2:$F$5001,2,Prensa!$G$2:$G$5001,1),""))</f>
        <v>0</v>
      </c>
      <c r="F1356" s="27">
        <f>IF(A1356="","",IFERROR(AVERAGEIFS(Prensa!$B$2:$B$5001,Prensa!$E$2:$E$5001,N1356,Prensa!$F$2:$F$5001,3,Prensa!$G$2:$G$5001,1),""))</f>
        <v>0</v>
      </c>
      <c r="G1356" s="27">
        <f>IF(A1356="","",IFERROR(AVERAGEIFS(Prensa!$B$2:$B$5001,Prensa!$E$2:$E$5001,N1356,Prensa!$F$2:$F$5001,4,Prensa!$G$2:$G$5001,1),""))</f>
        <v>0</v>
      </c>
      <c r="H1356" s="26">
        <f>IF(A1356="","",COUNT(D1356:G1356))</f>
        <v>0</v>
      </c>
      <c r="I1356" s="27">
        <f>IF(A1356="","",IF(H1356=0,"",AVERAGE(D1356:G1356)))</f>
        <v>0</v>
      </c>
      <c r="J1356" s="27">
        <f>IF(OR(I1356="",C1356=""),"",I1356-C1356)</f>
        <v>0</v>
      </c>
      <c r="K1356" s="26">
        <f>IF(A1356="","",IF(MES!E1356&lt;&gt;4,"Horário do MES fora do padrão",IF(H1356&lt;cfgMinCortes,"Cortes insuficientes","Válida")))</f>
        <v>0</v>
      </c>
      <c r="L1356" s="27">
        <f>IF(K1356="Válida",ABS(J1356),"")</f>
        <v>0</v>
      </c>
      <c r="M1356" s="26">
        <f>IF(K1356="Válida",IF(L1356&lt;=cfgTolerancia,"Sim","Não"),"")</f>
        <v>0</v>
      </c>
      <c r="N1356" s="26">
        <f>IF(A1356="","",MES!D1356)</f>
        <v>0</v>
      </c>
      <c r="O1356" s="25">
        <f>IF(K1356="Válida",A1356,NA())</f>
        <v>0</v>
      </c>
      <c r="P1356" s="27">
        <f>IF(K1356="Válida",C1356,NA())</f>
        <v>0</v>
      </c>
      <c r="Q1356" s="27">
        <f>IF(K1356="Válida",I1356,NA())</f>
        <v>0</v>
      </c>
      <c r="R1356" s="27">
        <f>IF(K1356="Válida",J1356,NA())</f>
        <v>0</v>
      </c>
      <c r="S1356" s="27">
        <f>IF(K1356="Válida",C1356,"")</f>
        <v>0</v>
      </c>
      <c r="T1356" s="27">
        <f>IF(K1356="Válida",I1356,"")</f>
        <v>0</v>
      </c>
      <c r="U1356" s="27">
        <f>IF(K1356="Válida",J1356,"")</f>
        <v>0</v>
      </c>
    </row>
    <row r="1357" spans="1:21">
      <c r="A1357" s="25">
        <f>IF(MES!A1357="","",MES!C1357/48)</f>
        <v>0</v>
      </c>
      <c r="B1357" s="26">
        <f>IF(A1357="","",TEXT((N1357*4+cfgDeslocamento)/48,"hh:mm")&amp;" a "&amp;TEXT(A1357,"hh:mm"))</f>
        <v>0</v>
      </c>
      <c r="C1357" s="27">
        <f>IF(A1357="","",MES!B1357)</f>
        <v>0</v>
      </c>
      <c r="D1357" s="27">
        <f>IF(A1357="","",IFERROR(AVERAGEIFS(Prensa!$B$2:$B$5001,Prensa!$E$2:$E$5001,N1357,Prensa!$F$2:$F$5001,1,Prensa!$G$2:$G$5001,1),""))</f>
        <v>0</v>
      </c>
      <c r="E1357" s="27">
        <f>IF(A1357="","",IFERROR(AVERAGEIFS(Prensa!$B$2:$B$5001,Prensa!$E$2:$E$5001,N1357,Prensa!$F$2:$F$5001,2,Prensa!$G$2:$G$5001,1),""))</f>
        <v>0</v>
      </c>
      <c r="F1357" s="27">
        <f>IF(A1357="","",IFERROR(AVERAGEIFS(Prensa!$B$2:$B$5001,Prensa!$E$2:$E$5001,N1357,Prensa!$F$2:$F$5001,3,Prensa!$G$2:$G$5001,1),""))</f>
        <v>0</v>
      </c>
      <c r="G1357" s="27">
        <f>IF(A1357="","",IFERROR(AVERAGEIFS(Prensa!$B$2:$B$5001,Prensa!$E$2:$E$5001,N1357,Prensa!$F$2:$F$5001,4,Prensa!$G$2:$G$5001,1),""))</f>
        <v>0</v>
      </c>
      <c r="H1357" s="26">
        <f>IF(A1357="","",COUNT(D1357:G1357))</f>
        <v>0</v>
      </c>
      <c r="I1357" s="27">
        <f>IF(A1357="","",IF(H1357=0,"",AVERAGE(D1357:G1357)))</f>
        <v>0</v>
      </c>
      <c r="J1357" s="27">
        <f>IF(OR(I1357="",C1357=""),"",I1357-C1357)</f>
        <v>0</v>
      </c>
      <c r="K1357" s="26">
        <f>IF(A1357="","",IF(MES!E1357&lt;&gt;4,"Horário do MES fora do padrão",IF(H1357&lt;cfgMinCortes,"Cortes insuficientes","Válida")))</f>
        <v>0</v>
      </c>
      <c r="L1357" s="27">
        <f>IF(K1357="Válida",ABS(J1357),"")</f>
        <v>0</v>
      </c>
      <c r="M1357" s="26">
        <f>IF(K1357="Válida",IF(L1357&lt;=cfgTolerancia,"Sim","Não"),"")</f>
        <v>0</v>
      </c>
      <c r="N1357" s="26">
        <f>IF(A1357="","",MES!D1357)</f>
        <v>0</v>
      </c>
      <c r="O1357" s="25">
        <f>IF(K1357="Válida",A1357,NA())</f>
        <v>0</v>
      </c>
      <c r="P1357" s="27">
        <f>IF(K1357="Válida",C1357,NA())</f>
        <v>0</v>
      </c>
      <c r="Q1357" s="27">
        <f>IF(K1357="Válida",I1357,NA())</f>
        <v>0</v>
      </c>
      <c r="R1357" s="27">
        <f>IF(K1357="Válida",J1357,NA())</f>
        <v>0</v>
      </c>
      <c r="S1357" s="27">
        <f>IF(K1357="Válida",C1357,"")</f>
        <v>0</v>
      </c>
      <c r="T1357" s="27">
        <f>IF(K1357="Válida",I1357,"")</f>
        <v>0</v>
      </c>
      <c r="U1357" s="27">
        <f>IF(K1357="Válida",J1357,"")</f>
        <v>0</v>
      </c>
    </row>
    <row r="1358" spans="1:21">
      <c r="A1358" s="25">
        <f>IF(MES!A1358="","",MES!C1358/48)</f>
        <v>0</v>
      </c>
      <c r="B1358" s="26">
        <f>IF(A1358="","",TEXT((N1358*4+cfgDeslocamento)/48,"hh:mm")&amp;" a "&amp;TEXT(A1358,"hh:mm"))</f>
        <v>0</v>
      </c>
      <c r="C1358" s="27">
        <f>IF(A1358="","",MES!B1358)</f>
        <v>0</v>
      </c>
      <c r="D1358" s="27">
        <f>IF(A1358="","",IFERROR(AVERAGEIFS(Prensa!$B$2:$B$5001,Prensa!$E$2:$E$5001,N1358,Prensa!$F$2:$F$5001,1,Prensa!$G$2:$G$5001,1),""))</f>
        <v>0</v>
      </c>
      <c r="E1358" s="27">
        <f>IF(A1358="","",IFERROR(AVERAGEIFS(Prensa!$B$2:$B$5001,Prensa!$E$2:$E$5001,N1358,Prensa!$F$2:$F$5001,2,Prensa!$G$2:$G$5001,1),""))</f>
        <v>0</v>
      </c>
      <c r="F1358" s="27">
        <f>IF(A1358="","",IFERROR(AVERAGEIFS(Prensa!$B$2:$B$5001,Prensa!$E$2:$E$5001,N1358,Prensa!$F$2:$F$5001,3,Prensa!$G$2:$G$5001,1),""))</f>
        <v>0</v>
      </c>
      <c r="G1358" s="27">
        <f>IF(A1358="","",IFERROR(AVERAGEIFS(Prensa!$B$2:$B$5001,Prensa!$E$2:$E$5001,N1358,Prensa!$F$2:$F$5001,4,Prensa!$G$2:$G$5001,1),""))</f>
        <v>0</v>
      </c>
      <c r="H1358" s="26">
        <f>IF(A1358="","",COUNT(D1358:G1358))</f>
        <v>0</v>
      </c>
      <c r="I1358" s="27">
        <f>IF(A1358="","",IF(H1358=0,"",AVERAGE(D1358:G1358)))</f>
        <v>0</v>
      </c>
      <c r="J1358" s="27">
        <f>IF(OR(I1358="",C1358=""),"",I1358-C1358)</f>
        <v>0</v>
      </c>
      <c r="K1358" s="26">
        <f>IF(A1358="","",IF(MES!E1358&lt;&gt;4,"Horário do MES fora do padrão",IF(H1358&lt;cfgMinCortes,"Cortes insuficientes","Válida")))</f>
        <v>0</v>
      </c>
      <c r="L1358" s="27">
        <f>IF(K1358="Válida",ABS(J1358),"")</f>
        <v>0</v>
      </c>
      <c r="M1358" s="26">
        <f>IF(K1358="Válida",IF(L1358&lt;=cfgTolerancia,"Sim","Não"),"")</f>
        <v>0</v>
      </c>
      <c r="N1358" s="26">
        <f>IF(A1358="","",MES!D1358)</f>
        <v>0</v>
      </c>
      <c r="O1358" s="25">
        <f>IF(K1358="Válida",A1358,NA())</f>
        <v>0</v>
      </c>
      <c r="P1358" s="27">
        <f>IF(K1358="Válida",C1358,NA())</f>
        <v>0</v>
      </c>
      <c r="Q1358" s="27">
        <f>IF(K1358="Válida",I1358,NA())</f>
        <v>0</v>
      </c>
      <c r="R1358" s="27">
        <f>IF(K1358="Válida",J1358,NA())</f>
        <v>0</v>
      </c>
      <c r="S1358" s="27">
        <f>IF(K1358="Válida",C1358,"")</f>
        <v>0</v>
      </c>
      <c r="T1358" s="27">
        <f>IF(K1358="Válida",I1358,"")</f>
        <v>0</v>
      </c>
      <c r="U1358" s="27">
        <f>IF(K1358="Válida",J1358,"")</f>
        <v>0</v>
      </c>
    </row>
    <row r="1359" spans="1:21">
      <c r="A1359" s="25">
        <f>IF(MES!A1359="","",MES!C1359/48)</f>
        <v>0</v>
      </c>
      <c r="B1359" s="26">
        <f>IF(A1359="","",TEXT((N1359*4+cfgDeslocamento)/48,"hh:mm")&amp;" a "&amp;TEXT(A1359,"hh:mm"))</f>
        <v>0</v>
      </c>
      <c r="C1359" s="27">
        <f>IF(A1359="","",MES!B1359)</f>
        <v>0</v>
      </c>
      <c r="D1359" s="27">
        <f>IF(A1359="","",IFERROR(AVERAGEIFS(Prensa!$B$2:$B$5001,Prensa!$E$2:$E$5001,N1359,Prensa!$F$2:$F$5001,1,Prensa!$G$2:$G$5001,1),""))</f>
        <v>0</v>
      </c>
      <c r="E1359" s="27">
        <f>IF(A1359="","",IFERROR(AVERAGEIFS(Prensa!$B$2:$B$5001,Prensa!$E$2:$E$5001,N1359,Prensa!$F$2:$F$5001,2,Prensa!$G$2:$G$5001,1),""))</f>
        <v>0</v>
      </c>
      <c r="F1359" s="27">
        <f>IF(A1359="","",IFERROR(AVERAGEIFS(Prensa!$B$2:$B$5001,Prensa!$E$2:$E$5001,N1359,Prensa!$F$2:$F$5001,3,Prensa!$G$2:$G$5001,1),""))</f>
        <v>0</v>
      </c>
      <c r="G1359" s="27">
        <f>IF(A1359="","",IFERROR(AVERAGEIFS(Prensa!$B$2:$B$5001,Prensa!$E$2:$E$5001,N1359,Prensa!$F$2:$F$5001,4,Prensa!$G$2:$G$5001,1),""))</f>
        <v>0</v>
      </c>
      <c r="H1359" s="26">
        <f>IF(A1359="","",COUNT(D1359:G1359))</f>
        <v>0</v>
      </c>
      <c r="I1359" s="27">
        <f>IF(A1359="","",IF(H1359=0,"",AVERAGE(D1359:G1359)))</f>
        <v>0</v>
      </c>
      <c r="J1359" s="27">
        <f>IF(OR(I1359="",C1359=""),"",I1359-C1359)</f>
        <v>0</v>
      </c>
      <c r="K1359" s="26">
        <f>IF(A1359="","",IF(MES!E1359&lt;&gt;4,"Horário do MES fora do padrão",IF(H1359&lt;cfgMinCortes,"Cortes insuficientes","Válida")))</f>
        <v>0</v>
      </c>
      <c r="L1359" s="27">
        <f>IF(K1359="Válida",ABS(J1359),"")</f>
        <v>0</v>
      </c>
      <c r="M1359" s="26">
        <f>IF(K1359="Válida",IF(L1359&lt;=cfgTolerancia,"Sim","Não"),"")</f>
        <v>0</v>
      </c>
      <c r="N1359" s="26">
        <f>IF(A1359="","",MES!D1359)</f>
        <v>0</v>
      </c>
      <c r="O1359" s="25">
        <f>IF(K1359="Válida",A1359,NA())</f>
        <v>0</v>
      </c>
      <c r="P1359" s="27">
        <f>IF(K1359="Válida",C1359,NA())</f>
        <v>0</v>
      </c>
      <c r="Q1359" s="27">
        <f>IF(K1359="Válida",I1359,NA())</f>
        <v>0</v>
      </c>
      <c r="R1359" s="27">
        <f>IF(K1359="Válida",J1359,NA())</f>
        <v>0</v>
      </c>
      <c r="S1359" s="27">
        <f>IF(K1359="Válida",C1359,"")</f>
        <v>0</v>
      </c>
      <c r="T1359" s="27">
        <f>IF(K1359="Válida",I1359,"")</f>
        <v>0</v>
      </c>
      <c r="U1359" s="27">
        <f>IF(K1359="Válida",J1359,"")</f>
        <v>0</v>
      </c>
    </row>
    <row r="1360" spans="1:21">
      <c r="A1360" s="25">
        <f>IF(MES!A1360="","",MES!C1360/48)</f>
        <v>0</v>
      </c>
      <c r="B1360" s="26">
        <f>IF(A1360="","",TEXT((N1360*4+cfgDeslocamento)/48,"hh:mm")&amp;" a "&amp;TEXT(A1360,"hh:mm"))</f>
        <v>0</v>
      </c>
      <c r="C1360" s="27">
        <f>IF(A1360="","",MES!B1360)</f>
        <v>0</v>
      </c>
      <c r="D1360" s="27">
        <f>IF(A1360="","",IFERROR(AVERAGEIFS(Prensa!$B$2:$B$5001,Prensa!$E$2:$E$5001,N1360,Prensa!$F$2:$F$5001,1,Prensa!$G$2:$G$5001,1),""))</f>
        <v>0</v>
      </c>
      <c r="E1360" s="27">
        <f>IF(A1360="","",IFERROR(AVERAGEIFS(Prensa!$B$2:$B$5001,Prensa!$E$2:$E$5001,N1360,Prensa!$F$2:$F$5001,2,Prensa!$G$2:$G$5001,1),""))</f>
        <v>0</v>
      </c>
      <c r="F1360" s="27">
        <f>IF(A1360="","",IFERROR(AVERAGEIFS(Prensa!$B$2:$B$5001,Prensa!$E$2:$E$5001,N1360,Prensa!$F$2:$F$5001,3,Prensa!$G$2:$G$5001,1),""))</f>
        <v>0</v>
      </c>
      <c r="G1360" s="27">
        <f>IF(A1360="","",IFERROR(AVERAGEIFS(Prensa!$B$2:$B$5001,Prensa!$E$2:$E$5001,N1360,Prensa!$F$2:$F$5001,4,Prensa!$G$2:$G$5001,1),""))</f>
        <v>0</v>
      </c>
      <c r="H1360" s="26">
        <f>IF(A1360="","",COUNT(D1360:G1360))</f>
        <v>0</v>
      </c>
      <c r="I1360" s="27">
        <f>IF(A1360="","",IF(H1360=0,"",AVERAGE(D1360:G1360)))</f>
        <v>0</v>
      </c>
      <c r="J1360" s="27">
        <f>IF(OR(I1360="",C1360=""),"",I1360-C1360)</f>
        <v>0</v>
      </c>
      <c r="K1360" s="26">
        <f>IF(A1360="","",IF(MES!E1360&lt;&gt;4,"Horário do MES fora do padrão",IF(H1360&lt;cfgMinCortes,"Cortes insuficientes","Válida")))</f>
        <v>0</v>
      </c>
      <c r="L1360" s="27">
        <f>IF(K1360="Válida",ABS(J1360),"")</f>
        <v>0</v>
      </c>
      <c r="M1360" s="26">
        <f>IF(K1360="Válida",IF(L1360&lt;=cfgTolerancia,"Sim","Não"),"")</f>
        <v>0</v>
      </c>
      <c r="N1360" s="26">
        <f>IF(A1360="","",MES!D1360)</f>
        <v>0</v>
      </c>
      <c r="O1360" s="25">
        <f>IF(K1360="Válida",A1360,NA())</f>
        <v>0</v>
      </c>
      <c r="P1360" s="27">
        <f>IF(K1360="Válida",C1360,NA())</f>
        <v>0</v>
      </c>
      <c r="Q1360" s="27">
        <f>IF(K1360="Válida",I1360,NA())</f>
        <v>0</v>
      </c>
      <c r="R1360" s="27">
        <f>IF(K1360="Válida",J1360,NA())</f>
        <v>0</v>
      </c>
      <c r="S1360" s="27">
        <f>IF(K1360="Válida",C1360,"")</f>
        <v>0</v>
      </c>
      <c r="T1360" s="27">
        <f>IF(K1360="Válida",I1360,"")</f>
        <v>0</v>
      </c>
      <c r="U1360" s="27">
        <f>IF(K1360="Válida",J1360,"")</f>
        <v>0</v>
      </c>
    </row>
    <row r="1361" spans="1:21">
      <c r="A1361" s="25">
        <f>IF(MES!A1361="","",MES!C1361/48)</f>
        <v>0</v>
      </c>
      <c r="B1361" s="26">
        <f>IF(A1361="","",TEXT((N1361*4+cfgDeslocamento)/48,"hh:mm")&amp;" a "&amp;TEXT(A1361,"hh:mm"))</f>
        <v>0</v>
      </c>
      <c r="C1361" s="27">
        <f>IF(A1361="","",MES!B1361)</f>
        <v>0</v>
      </c>
      <c r="D1361" s="27">
        <f>IF(A1361="","",IFERROR(AVERAGEIFS(Prensa!$B$2:$B$5001,Prensa!$E$2:$E$5001,N1361,Prensa!$F$2:$F$5001,1,Prensa!$G$2:$G$5001,1),""))</f>
        <v>0</v>
      </c>
      <c r="E1361" s="27">
        <f>IF(A1361="","",IFERROR(AVERAGEIFS(Prensa!$B$2:$B$5001,Prensa!$E$2:$E$5001,N1361,Prensa!$F$2:$F$5001,2,Prensa!$G$2:$G$5001,1),""))</f>
        <v>0</v>
      </c>
      <c r="F1361" s="27">
        <f>IF(A1361="","",IFERROR(AVERAGEIFS(Prensa!$B$2:$B$5001,Prensa!$E$2:$E$5001,N1361,Prensa!$F$2:$F$5001,3,Prensa!$G$2:$G$5001,1),""))</f>
        <v>0</v>
      </c>
      <c r="G1361" s="27">
        <f>IF(A1361="","",IFERROR(AVERAGEIFS(Prensa!$B$2:$B$5001,Prensa!$E$2:$E$5001,N1361,Prensa!$F$2:$F$5001,4,Prensa!$G$2:$G$5001,1),""))</f>
        <v>0</v>
      </c>
      <c r="H1361" s="26">
        <f>IF(A1361="","",COUNT(D1361:G1361))</f>
        <v>0</v>
      </c>
      <c r="I1361" s="27">
        <f>IF(A1361="","",IF(H1361=0,"",AVERAGE(D1361:G1361)))</f>
        <v>0</v>
      </c>
      <c r="J1361" s="27">
        <f>IF(OR(I1361="",C1361=""),"",I1361-C1361)</f>
        <v>0</v>
      </c>
      <c r="K1361" s="26">
        <f>IF(A1361="","",IF(MES!E1361&lt;&gt;4,"Horário do MES fora do padrão",IF(H1361&lt;cfgMinCortes,"Cortes insuficientes","Válida")))</f>
        <v>0</v>
      </c>
      <c r="L1361" s="27">
        <f>IF(K1361="Válida",ABS(J1361),"")</f>
        <v>0</v>
      </c>
      <c r="M1361" s="26">
        <f>IF(K1361="Válida",IF(L1361&lt;=cfgTolerancia,"Sim","Não"),"")</f>
        <v>0</v>
      </c>
      <c r="N1361" s="26">
        <f>IF(A1361="","",MES!D1361)</f>
        <v>0</v>
      </c>
      <c r="O1361" s="25">
        <f>IF(K1361="Válida",A1361,NA())</f>
        <v>0</v>
      </c>
      <c r="P1361" s="27">
        <f>IF(K1361="Válida",C1361,NA())</f>
        <v>0</v>
      </c>
      <c r="Q1361" s="27">
        <f>IF(K1361="Válida",I1361,NA())</f>
        <v>0</v>
      </c>
      <c r="R1361" s="27">
        <f>IF(K1361="Válida",J1361,NA())</f>
        <v>0</v>
      </c>
      <c r="S1361" s="27">
        <f>IF(K1361="Válida",C1361,"")</f>
        <v>0</v>
      </c>
      <c r="T1361" s="27">
        <f>IF(K1361="Válida",I1361,"")</f>
        <v>0</v>
      </c>
      <c r="U1361" s="27">
        <f>IF(K1361="Válida",J1361,"")</f>
        <v>0</v>
      </c>
    </row>
    <row r="1362" spans="1:21">
      <c r="A1362" s="25">
        <f>IF(MES!A1362="","",MES!C1362/48)</f>
        <v>0</v>
      </c>
      <c r="B1362" s="26">
        <f>IF(A1362="","",TEXT((N1362*4+cfgDeslocamento)/48,"hh:mm")&amp;" a "&amp;TEXT(A1362,"hh:mm"))</f>
        <v>0</v>
      </c>
      <c r="C1362" s="27">
        <f>IF(A1362="","",MES!B1362)</f>
        <v>0</v>
      </c>
      <c r="D1362" s="27">
        <f>IF(A1362="","",IFERROR(AVERAGEIFS(Prensa!$B$2:$B$5001,Prensa!$E$2:$E$5001,N1362,Prensa!$F$2:$F$5001,1,Prensa!$G$2:$G$5001,1),""))</f>
        <v>0</v>
      </c>
      <c r="E1362" s="27">
        <f>IF(A1362="","",IFERROR(AVERAGEIFS(Prensa!$B$2:$B$5001,Prensa!$E$2:$E$5001,N1362,Prensa!$F$2:$F$5001,2,Prensa!$G$2:$G$5001,1),""))</f>
        <v>0</v>
      </c>
      <c r="F1362" s="27">
        <f>IF(A1362="","",IFERROR(AVERAGEIFS(Prensa!$B$2:$B$5001,Prensa!$E$2:$E$5001,N1362,Prensa!$F$2:$F$5001,3,Prensa!$G$2:$G$5001,1),""))</f>
        <v>0</v>
      </c>
      <c r="G1362" s="27">
        <f>IF(A1362="","",IFERROR(AVERAGEIFS(Prensa!$B$2:$B$5001,Prensa!$E$2:$E$5001,N1362,Prensa!$F$2:$F$5001,4,Prensa!$G$2:$G$5001,1),""))</f>
        <v>0</v>
      </c>
      <c r="H1362" s="26">
        <f>IF(A1362="","",COUNT(D1362:G1362))</f>
        <v>0</v>
      </c>
      <c r="I1362" s="27">
        <f>IF(A1362="","",IF(H1362=0,"",AVERAGE(D1362:G1362)))</f>
        <v>0</v>
      </c>
      <c r="J1362" s="27">
        <f>IF(OR(I1362="",C1362=""),"",I1362-C1362)</f>
        <v>0</v>
      </c>
      <c r="K1362" s="26">
        <f>IF(A1362="","",IF(MES!E1362&lt;&gt;4,"Horário do MES fora do padrão",IF(H1362&lt;cfgMinCortes,"Cortes insuficientes","Válida")))</f>
        <v>0</v>
      </c>
      <c r="L1362" s="27">
        <f>IF(K1362="Válida",ABS(J1362),"")</f>
        <v>0</v>
      </c>
      <c r="M1362" s="26">
        <f>IF(K1362="Válida",IF(L1362&lt;=cfgTolerancia,"Sim","Não"),"")</f>
        <v>0</v>
      </c>
      <c r="N1362" s="26">
        <f>IF(A1362="","",MES!D1362)</f>
        <v>0</v>
      </c>
      <c r="O1362" s="25">
        <f>IF(K1362="Válida",A1362,NA())</f>
        <v>0</v>
      </c>
      <c r="P1362" s="27">
        <f>IF(K1362="Válida",C1362,NA())</f>
        <v>0</v>
      </c>
      <c r="Q1362" s="27">
        <f>IF(K1362="Válida",I1362,NA())</f>
        <v>0</v>
      </c>
      <c r="R1362" s="27">
        <f>IF(K1362="Válida",J1362,NA())</f>
        <v>0</v>
      </c>
      <c r="S1362" s="27">
        <f>IF(K1362="Válida",C1362,"")</f>
        <v>0</v>
      </c>
      <c r="T1362" s="27">
        <f>IF(K1362="Válida",I1362,"")</f>
        <v>0</v>
      </c>
      <c r="U1362" s="27">
        <f>IF(K1362="Válida",J1362,"")</f>
        <v>0</v>
      </c>
    </row>
    <row r="1363" spans="1:21">
      <c r="A1363" s="25">
        <f>IF(MES!A1363="","",MES!C1363/48)</f>
        <v>0</v>
      </c>
      <c r="B1363" s="26">
        <f>IF(A1363="","",TEXT((N1363*4+cfgDeslocamento)/48,"hh:mm")&amp;" a "&amp;TEXT(A1363,"hh:mm"))</f>
        <v>0</v>
      </c>
      <c r="C1363" s="27">
        <f>IF(A1363="","",MES!B1363)</f>
        <v>0</v>
      </c>
      <c r="D1363" s="27">
        <f>IF(A1363="","",IFERROR(AVERAGEIFS(Prensa!$B$2:$B$5001,Prensa!$E$2:$E$5001,N1363,Prensa!$F$2:$F$5001,1,Prensa!$G$2:$G$5001,1),""))</f>
        <v>0</v>
      </c>
      <c r="E1363" s="27">
        <f>IF(A1363="","",IFERROR(AVERAGEIFS(Prensa!$B$2:$B$5001,Prensa!$E$2:$E$5001,N1363,Prensa!$F$2:$F$5001,2,Prensa!$G$2:$G$5001,1),""))</f>
        <v>0</v>
      </c>
      <c r="F1363" s="27">
        <f>IF(A1363="","",IFERROR(AVERAGEIFS(Prensa!$B$2:$B$5001,Prensa!$E$2:$E$5001,N1363,Prensa!$F$2:$F$5001,3,Prensa!$G$2:$G$5001,1),""))</f>
        <v>0</v>
      </c>
      <c r="G1363" s="27">
        <f>IF(A1363="","",IFERROR(AVERAGEIFS(Prensa!$B$2:$B$5001,Prensa!$E$2:$E$5001,N1363,Prensa!$F$2:$F$5001,4,Prensa!$G$2:$G$5001,1),""))</f>
        <v>0</v>
      </c>
      <c r="H1363" s="26">
        <f>IF(A1363="","",COUNT(D1363:G1363))</f>
        <v>0</v>
      </c>
      <c r="I1363" s="27">
        <f>IF(A1363="","",IF(H1363=0,"",AVERAGE(D1363:G1363)))</f>
        <v>0</v>
      </c>
      <c r="J1363" s="27">
        <f>IF(OR(I1363="",C1363=""),"",I1363-C1363)</f>
        <v>0</v>
      </c>
      <c r="K1363" s="26">
        <f>IF(A1363="","",IF(MES!E1363&lt;&gt;4,"Horário do MES fora do padrão",IF(H1363&lt;cfgMinCortes,"Cortes insuficientes","Válida")))</f>
        <v>0</v>
      </c>
      <c r="L1363" s="27">
        <f>IF(K1363="Válida",ABS(J1363),"")</f>
        <v>0</v>
      </c>
      <c r="M1363" s="26">
        <f>IF(K1363="Válida",IF(L1363&lt;=cfgTolerancia,"Sim","Não"),"")</f>
        <v>0</v>
      </c>
      <c r="N1363" s="26">
        <f>IF(A1363="","",MES!D1363)</f>
        <v>0</v>
      </c>
      <c r="O1363" s="25">
        <f>IF(K1363="Válida",A1363,NA())</f>
        <v>0</v>
      </c>
      <c r="P1363" s="27">
        <f>IF(K1363="Válida",C1363,NA())</f>
        <v>0</v>
      </c>
      <c r="Q1363" s="27">
        <f>IF(K1363="Válida",I1363,NA())</f>
        <v>0</v>
      </c>
      <c r="R1363" s="27">
        <f>IF(K1363="Válida",J1363,NA())</f>
        <v>0</v>
      </c>
      <c r="S1363" s="27">
        <f>IF(K1363="Válida",C1363,"")</f>
        <v>0</v>
      </c>
      <c r="T1363" s="27">
        <f>IF(K1363="Válida",I1363,"")</f>
        <v>0</v>
      </c>
      <c r="U1363" s="27">
        <f>IF(K1363="Válida",J1363,"")</f>
        <v>0</v>
      </c>
    </row>
    <row r="1364" spans="1:21">
      <c r="A1364" s="25">
        <f>IF(MES!A1364="","",MES!C1364/48)</f>
        <v>0</v>
      </c>
      <c r="B1364" s="26">
        <f>IF(A1364="","",TEXT((N1364*4+cfgDeslocamento)/48,"hh:mm")&amp;" a "&amp;TEXT(A1364,"hh:mm"))</f>
        <v>0</v>
      </c>
      <c r="C1364" s="27">
        <f>IF(A1364="","",MES!B1364)</f>
        <v>0</v>
      </c>
      <c r="D1364" s="27">
        <f>IF(A1364="","",IFERROR(AVERAGEIFS(Prensa!$B$2:$B$5001,Prensa!$E$2:$E$5001,N1364,Prensa!$F$2:$F$5001,1,Prensa!$G$2:$G$5001,1),""))</f>
        <v>0</v>
      </c>
      <c r="E1364" s="27">
        <f>IF(A1364="","",IFERROR(AVERAGEIFS(Prensa!$B$2:$B$5001,Prensa!$E$2:$E$5001,N1364,Prensa!$F$2:$F$5001,2,Prensa!$G$2:$G$5001,1),""))</f>
        <v>0</v>
      </c>
      <c r="F1364" s="27">
        <f>IF(A1364="","",IFERROR(AVERAGEIFS(Prensa!$B$2:$B$5001,Prensa!$E$2:$E$5001,N1364,Prensa!$F$2:$F$5001,3,Prensa!$G$2:$G$5001,1),""))</f>
        <v>0</v>
      </c>
      <c r="G1364" s="27">
        <f>IF(A1364="","",IFERROR(AVERAGEIFS(Prensa!$B$2:$B$5001,Prensa!$E$2:$E$5001,N1364,Prensa!$F$2:$F$5001,4,Prensa!$G$2:$G$5001,1),""))</f>
        <v>0</v>
      </c>
      <c r="H1364" s="26">
        <f>IF(A1364="","",COUNT(D1364:G1364))</f>
        <v>0</v>
      </c>
      <c r="I1364" s="27">
        <f>IF(A1364="","",IF(H1364=0,"",AVERAGE(D1364:G1364)))</f>
        <v>0</v>
      </c>
      <c r="J1364" s="27">
        <f>IF(OR(I1364="",C1364=""),"",I1364-C1364)</f>
        <v>0</v>
      </c>
      <c r="K1364" s="26">
        <f>IF(A1364="","",IF(MES!E1364&lt;&gt;4,"Horário do MES fora do padrão",IF(H1364&lt;cfgMinCortes,"Cortes insuficientes","Válida")))</f>
        <v>0</v>
      </c>
      <c r="L1364" s="27">
        <f>IF(K1364="Válida",ABS(J1364),"")</f>
        <v>0</v>
      </c>
      <c r="M1364" s="26">
        <f>IF(K1364="Válida",IF(L1364&lt;=cfgTolerancia,"Sim","Não"),"")</f>
        <v>0</v>
      </c>
      <c r="N1364" s="26">
        <f>IF(A1364="","",MES!D1364)</f>
        <v>0</v>
      </c>
      <c r="O1364" s="25">
        <f>IF(K1364="Válida",A1364,NA())</f>
        <v>0</v>
      </c>
      <c r="P1364" s="27">
        <f>IF(K1364="Válida",C1364,NA())</f>
        <v>0</v>
      </c>
      <c r="Q1364" s="27">
        <f>IF(K1364="Válida",I1364,NA())</f>
        <v>0</v>
      </c>
      <c r="R1364" s="27">
        <f>IF(K1364="Válida",J1364,NA())</f>
        <v>0</v>
      </c>
      <c r="S1364" s="27">
        <f>IF(K1364="Válida",C1364,"")</f>
        <v>0</v>
      </c>
      <c r="T1364" s="27">
        <f>IF(K1364="Válida",I1364,"")</f>
        <v>0</v>
      </c>
      <c r="U1364" s="27">
        <f>IF(K1364="Válida",J1364,"")</f>
        <v>0</v>
      </c>
    </row>
    <row r="1365" spans="1:21">
      <c r="A1365" s="25">
        <f>IF(MES!A1365="","",MES!C1365/48)</f>
        <v>0</v>
      </c>
      <c r="B1365" s="26">
        <f>IF(A1365="","",TEXT((N1365*4+cfgDeslocamento)/48,"hh:mm")&amp;" a "&amp;TEXT(A1365,"hh:mm"))</f>
        <v>0</v>
      </c>
      <c r="C1365" s="27">
        <f>IF(A1365="","",MES!B1365)</f>
        <v>0</v>
      </c>
      <c r="D1365" s="27">
        <f>IF(A1365="","",IFERROR(AVERAGEIFS(Prensa!$B$2:$B$5001,Prensa!$E$2:$E$5001,N1365,Prensa!$F$2:$F$5001,1,Prensa!$G$2:$G$5001,1),""))</f>
        <v>0</v>
      </c>
      <c r="E1365" s="27">
        <f>IF(A1365="","",IFERROR(AVERAGEIFS(Prensa!$B$2:$B$5001,Prensa!$E$2:$E$5001,N1365,Prensa!$F$2:$F$5001,2,Prensa!$G$2:$G$5001,1),""))</f>
        <v>0</v>
      </c>
      <c r="F1365" s="27">
        <f>IF(A1365="","",IFERROR(AVERAGEIFS(Prensa!$B$2:$B$5001,Prensa!$E$2:$E$5001,N1365,Prensa!$F$2:$F$5001,3,Prensa!$G$2:$G$5001,1),""))</f>
        <v>0</v>
      </c>
      <c r="G1365" s="27">
        <f>IF(A1365="","",IFERROR(AVERAGEIFS(Prensa!$B$2:$B$5001,Prensa!$E$2:$E$5001,N1365,Prensa!$F$2:$F$5001,4,Prensa!$G$2:$G$5001,1),""))</f>
        <v>0</v>
      </c>
      <c r="H1365" s="26">
        <f>IF(A1365="","",COUNT(D1365:G1365))</f>
        <v>0</v>
      </c>
      <c r="I1365" s="27">
        <f>IF(A1365="","",IF(H1365=0,"",AVERAGE(D1365:G1365)))</f>
        <v>0</v>
      </c>
      <c r="J1365" s="27">
        <f>IF(OR(I1365="",C1365=""),"",I1365-C1365)</f>
        <v>0</v>
      </c>
      <c r="K1365" s="26">
        <f>IF(A1365="","",IF(MES!E1365&lt;&gt;4,"Horário do MES fora do padrão",IF(H1365&lt;cfgMinCortes,"Cortes insuficientes","Válida")))</f>
        <v>0</v>
      </c>
      <c r="L1365" s="27">
        <f>IF(K1365="Válida",ABS(J1365),"")</f>
        <v>0</v>
      </c>
      <c r="M1365" s="26">
        <f>IF(K1365="Válida",IF(L1365&lt;=cfgTolerancia,"Sim","Não"),"")</f>
        <v>0</v>
      </c>
      <c r="N1365" s="26">
        <f>IF(A1365="","",MES!D1365)</f>
        <v>0</v>
      </c>
      <c r="O1365" s="25">
        <f>IF(K1365="Válida",A1365,NA())</f>
        <v>0</v>
      </c>
      <c r="P1365" s="27">
        <f>IF(K1365="Válida",C1365,NA())</f>
        <v>0</v>
      </c>
      <c r="Q1365" s="27">
        <f>IF(K1365="Válida",I1365,NA())</f>
        <v>0</v>
      </c>
      <c r="R1365" s="27">
        <f>IF(K1365="Válida",J1365,NA())</f>
        <v>0</v>
      </c>
      <c r="S1365" s="27">
        <f>IF(K1365="Válida",C1365,"")</f>
        <v>0</v>
      </c>
      <c r="T1365" s="27">
        <f>IF(K1365="Válida",I1365,"")</f>
        <v>0</v>
      </c>
      <c r="U1365" s="27">
        <f>IF(K1365="Válida",J1365,"")</f>
        <v>0</v>
      </c>
    </row>
    <row r="1366" spans="1:21">
      <c r="A1366" s="25">
        <f>IF(MES!A1366="","",MES!C1366/48)</f>
        <v>0</v>
      </c>
      <c r="B1366" s="26">
        <f>IF(A1366="","",TEXT((N1366*4+cfgDeslocamento)/48,"hh:mm")&amp;" a "&amp;TEXT(A1366,"hh:mm"))</f>
        <v>0</v>
      </c>
      <c r="C1366" s="27">
        <f>IF(A1366="","",MES!B1366)</f>
        <v>0</v>
      </c>
      <c r="D1366" s="27">
        <f>IF(A1366="","",IFERROR(AVERAGEIFS(Prensa!$B$2:$B$5001,Prensa!$E$2:$E$5001,N1366,Prensa!$F$2:$F$5001,1,Prensa!$G$2:$G$5001,1),""))</f>
        <v>0</v>
      </c>
      <c r="E1366" s="27">
        <f>IF(A1366="","",IFERROR(AVERAGEIFS(Prensa!$B$2:$B$5001,Prensa!$E$2:$E$5001,N1366,Prensa!$F$2:$F$5001,2,Prensa!$G$2:$G$5001,1),""))</f>
        <v>0</v>
      </c>
      <c r="F1366" s="27">
        <f>IF(A1366="","",IFERROR(AVERAGEIFS(Prensa!$B$2:$B$5001,Prensa!$E$2:$E$5001,N1366,Prensa!$F$2:$F$5001,3,Prensa!$G$2:$G$5001,1),""))</f>
        <v>0</v>
      </c>
      <c r="G1366" s="27">
        <f>IF(A1366="","",IFERROR(AVERAGEIFS(Prensa!$B$2:$B$5001,Prensa!$E$2:$E$5001,N1366,Prensa!$F$2:$F$5001,4,Prensa!$G$2:$G$5001,1),""))</f>
        <v>0</v>
      </c>
      <c r="H1366" s="26">
        <f>IF(A1366="","",COUNT(D1366:G1366))</f>
        <v>0</v>
      </c>
      <c r="I1366" s="27">
        <f>IF(A1366="","",IF(H1366=0,"",AVERAGE(D1366:G1366)))</f>
        <v>0</v>
      </c>
      <c r="J1366" s="27">
        <f>IF(OR(I1366="",C1366=""),"",I1366-C1366)</f>
        <v>0</v>
      </c>
      <c r="K1366" s="26">
        <f>IF(A1366="","",IF(MES!E1366&lt;&gt;4,"Horário do MES fora do padrão",IF(H1366&lt;cfgMinCortes,"Cortes insuficientes","Válida")))</f>
        <v>0</v>
      </c>
      <c r="L1366" s="27">
        <f>IF(K1366="Válida",ABS(J1366),"")</f>
        <v>0</v>
      </c>
      <c r="M1366" s="26">
        <f>IF(K1366="Válida",IF(L1366&lt;=cfgTolerancia,"Sim","Não"),"")</f>
        <v>0</v>
      </c>
      <c r="N1366" s="26">
        <f>IF(A1366="","",MES!D1366)</f>
        <v>0</v>
      </c>
      <c r="O1366" s="25">
        <f>IF(K1366="Válida",A1366,NA())</f>
        <v>0</v>
      </c>
      <c r="P1366" s="27">
        <f>IF(K1366="Válida",C1366,NA())</f>
        <v>0</v>
      </c>
      <c r="Q1366" s="27">
        <f>IF(K1366="Válida",I1366,NA())</f>
        <v>0</v>
      </c>
      <c r="R1366" s="27">
        <f>IF(K1366="Válida",J1366,NA())</f>
        <v>0</v>
      </c>
      <c r="S1366" s="27">
        <f>IF(K1366="Válida",C1366,"")</f>
        <v>0</v>
      </c>
      <c r="T1366" s="27">
        <f>IF(K1366="Válida",I1366,"")</f>
        <v>0</v>
      </c>
      <c r="U1366" s="27">
        <f>IF(K1366="Válida",J1366,"")</f>
        <v>0</v>
      </c>
    </row>
    <row r="1367" spans="1:21">
      <c r="A1367" s="25">
        <f>IF(MES!A1367="","",MES!C1367/48)</f>
        <v>0</v>
      </c>
      <c r="B1367" s="26">
        <f>IF(A1367="","",TEXT((N1367*4+cfgDeslocamento)/48,"hh:mm")&amp;" a "&amp;TEXT(A1367,"hh:mm"))</f>
        <v>0</v>
      </c>
      <c r="C1367" s="27">
        <f>IF(A1367="","",MES!B1367)</f>
        <v>0</v>
      </c>
      <c r="D1367" s="27">
        <f>IF(A1367="","",IFERROR(AVERAGEIFS(Prensa!$B$2:$B$5001,Prensa!$E$2:$E$5001,N1367,Prensa!$F$2:$F$5001,1,Prensa!$G$2:$G$5001,1),""))</f>
        <v>0</v>
      </c>
      <c r="E1367" s="27">
        <f>IF(A1367="","",IFERROR(AVERAGEIFS(Prensa!$B$2:$B$5001,Prensa!$E$2:$E$5001,N1367,Prensa!$F$2:$F$5001,2,Prensa!$G$2:$G$5001,1),""))</f>
        <v>0</v>
      </c>
      <c r="F1367" s="27">
        <f>IF(A1367="","",IFERROR(AVERAGEIFS(Prensa!$B$2:$B$5001,Prensa!$E$2:$E$5001,N1367,Prensa!$F$2:$F$5001,3,Prensa!$G$2:$G$5001,1),""))</f>
        <v>0</v>
      </c>
      <c r="G1367" s="27">
        <f>IF(A1367="","",IFERROR(AVERAGEIFS(Prensa!$B$2:$B$5001,Prensa!$E$2:$E$5001,N1367,Prensa!$F$2:$F$5001,4,Prensa!$G$2:$G$5001,1),""))</f>
        <v>0</v>
      </c>
      <c r="H1367" s="26">
        <f>IF(A1367="","",COUNT(D1367:G1367))</f>
        <v>0</v>
      </c>
      <c r="I1367" s="27">
        <f>IF(A1367="","",IF(H1367=0,"",AVERAGE(D1367:G1367)))</f>
        <v>0</v>
      </c>
      <c r="J1367" s="27">
        <f>IF(OR(I1367="",C1367=""),"",I1367-C1367)</f>
        <v>0</v>
      </c>
      <c r="K1367" s="26">
        <f>IF(A1367="","",IF(MES!E1367&lt;&gt;4,"Horário do MES fora do padrão",IF(H1367&lt;cfgMinCortes,"Cortes insuficientes","Válida")))</f>
        <v>0</v>
      </c>
      <c r="L1367" s="27">
        <f>IF(K1367="Válida",ABS(J1367),"")</f>
        <v>0</v>
      </c>
      <c r="M1367" s="26">
        <f>IF(K1367="Válida",IF(L1367&lt;=cfgTolerancia,"Sim","Não"),"")</f>
        <v>0</v>
      </c>
      <c r="N1367" s="26">
        <f>IF(A1367="","",MES!D1367)</f>
        <v>0</v>
      </c>
      <c r="O1367" s="25">
        <f>IF(K1367="Válida",A1367,NA())</f>
        <v>0</v>
      </c>
      <c r="P1367" s="27">
        <f>IF(K1367="Válida",C1367,NA())</f>
        <v>0</v>
      </c>
      <c r="Q1367" s="27">
        <f>IF(K1367="Válida",I1367,NA())</f>
        <v>0</v>
      </c>
      <c r="R1367" s="27">
        <f>IF(K1367="Válida",J1367,NA())</f>
        <v>0</v>
      </c>
      <c r="S1367" s="27">
        <f>IF(K1367="Válida",C1367,"")</f>
        <v>0</v>
      </c>
      <c r="T1367" s="27">
        <f>IF(K1367="Válida",I1367,"")</f>
        <v>0</v>
      </c>
      <c r="U1367" s="27">
        <f>IF(K1367="Válida",J1367,"")</f>
        <v>0</v>
      </c>
    </row>
    <row r="1368" spans="1:21">
      <c r="A1368" s="25">
        <f>IF(MES!A1368="","",MES!C1368/48)</f>
        <v>0</v>
      </c>
      <c r="B1368" s="26">
        <f>IF(A1368="","",TEXT((N1368*4+cfgDeslocamento)/48,"hh:mm")&amp;" a "&amp;TEXT(A1368,"hh:mm"))</f>
        <v>0</v>
      </c>
      <c r="C1368" s="27">
        <f>IF(A1368="","",MES!B1368)</f>
        <v>0</v>
      </c>
      <c r="D1368" s="27">
        <f>IF(A1368="","",IFERROR(AVERAGEIFS(Prensa!$B$2:$B$5001,Prensa!$E$2:$E$5001,N1368,Prensa!$F$2:$F$5001,1,Prensa!$G$2:$G$5001,1),""))</f>
        <v>0</v>
      </c>
      <c r="E1368" s="27">
        <f>IF(A1368="","",IFERROR(AVERAGEIFS(Prensa!$B$2:$B$5001,Prensa!$E$2:$E$5001,N1368,Prensa!$F$2:$F$5001,2,Prensa!$G$2:$G$5001,1),""))</f>
        <v>0</v>
      </c>
      <c r="F1368" s="27">
        <f>IF(A1368="","",IFERROR(AVERAGEIFS(Prensa!$B$2:$B$5001,Prensa!$E$2:$E$5001,N1368,Prensa!$F$2:$F$5001,3,Prensa!$G$2:$G$5001,1),""))</f>
        <v>0</v>
      </c>
      <c r="G1368" s="27">
        <f>IF(A1368="","",IFERROR(AVERAGEIFS(Prensa!$B$2:$B$5001,Prensa!$E$2:$E$5001,N1368,Prensa!$F$2:$F$5001,4,Prensa!$G$2:$G$5001,1),""))</f>
        <v>0</v>
      </c>
      <c r="H1368" s="26">
        <f>IF(A1368="","",COUNT(D1368:G1368))</f>
        <v>0</v>
      </c>
      <c r="I1368" s="27">
        <f>IF(A1368="","",IF(H1368=0,"",AVERAGE(D1368:G1368)))</f>
        <v>0</v>
      </c>
      <c r="J1368" s="27">
        <f>IF(OR(I1368="",C1368=""),"",I1368-C1368)</f>
        <v>0</v>
      </c>
      <c r="K1368" s="26">
        <f>IF(A1368="","",IF(MES!E1368&lt;&gt;4,"Horário do MES fora do padrão",IF(H1368&lt;cfgMinCortes,"Cortes insuficientes","Válida")))</f>
        <v>0</v>
      </c>
      <c r="L1368" s="27">
        <f>IF(K1368="Válida",ABS(J1368),"")</f>
        <v>0</v>
      </c>
      <c r="M1368" s="26">
        <f>IF(K1368="Válida",IF(L1368&lt;=cfgTolerancia,"Sim","Não"),"")</f>
        <v>0</v>
      </c>
      <c r="N1368" s="26">
        <f>IF(A1368="","",MES!D1368)</f>
        <v>0</v>
      </c>
      <c r="O1368" s="25">
        <f>IF(K1368="Válida",A1368,NA())</f>
        <v>0</v>
      </c>
      <c r="P1368" s="27">
        <f>IF(K1368="Válida",C1368,NA())</f>
        <v>0</v>
      </c>
      <c r="Q1368" s="27">
        <f>IF(K1368="Válida",I1368,NA())</f>
        <v>0</v>
      </c>
      <c r="R1368" s="27">
        <f>IF(K1368="Válida",J1368,NA())</f>
        <v>0</v>
      </c>
      <c r="S1368" s="27">
        <f>IF(K1368="Válida",C1368,"")</f>
        <v>0</v>
      </c>
      <c r="T1368" s="27">
        <f>IF(K1368="Válida",I1368,"")</f>
        <v>0</v>
      </c>
      <c r="U1368" s="27">
        <f>IF(K1368="Válida",J1368,"")</f>
        <v>0</v>
      </c>
    </row>
    <row r="1369" spans="1:21">
      <c r="A1369" s="25">
        <f>IF(MES!A1369="","",MES!C1369/48)</f>
        <v>0</v>
      </c>
      <c r="B1369" s="26">
        <f>IF(A1369="","",TEXT((N1369*4+cfgDeslocamento)/48,"hh:mm")&amp;" a "&amp;TEXT(A1369,"hh:mm"))</f>
        <v>0</v>
      </c>
      <c r="C1369" s="27">
        <f>IF(A1369="","",MES!B1369)</f>
        <v>0</v>
      </c>
      <c r="D1369" s="27">
        <f>IF(A1369="","",IFERROR(AVERAGEIFS(Prensa!$B$2:$B$5001,Prensa!$E$2:$E$5001,N1369,Prensa!$F$2:$F$5001,1,Prensa!$G$2:$G$5001,1),""))</f>
        <v>0</v>
      </c>
      <c r="E1369" s="27">
        <f>IF(A1369="","",IFERROR(AVERAGEIFS(Prensa!$B$2:$B$5001,Prensa!$E$2:$E$5001,N1369,Prensa!$F$2:$F$5001,2,Prensa!$G$2:$G$5001,1),""))</f>
        <v>0</v>
      </c>
      <c r="F1369" s="27">
        <f>IF(A1369="","",IFERROR(AVERAGEIFS(Prensa!$B$2:$B$5001,Prensa!$E$2:$E$5001,N1369,Prensa!$F$2:$F$5001,3,Prensa!$G$2:$G$5001,1),""))</f>
        <v>0</v>
      </c>
      <c r="G1369" s="27">
        <f>IF(A1369="","",IFERROR(AVERAGEIFS(Prensa!$B$2:$B$5001,Prensa!$E$2:$E$5001,N1369,Prensa!$F$2:$F$5001,4,Prensa!$G$2:$G$5001,1),""))</f>
        <v>0</v>
      </c>
      <c r="H1369" s="26">
        <f>IF(A1369="","",COUNT(D1369:G1369))</f>
        <v>0</v>
      </c>
      <c r="I1369" s="27">
        <f>IF(A1369="","",IF(H1369=0,"",AVERAGE(D1369:G1369)))</f>
        <v>0</v>
      </c>
      <c r="J1369" s="27">
        <f>IF(OR(I1369="",C1369=""),"",I1369-C1369)</f>
        <v>0</v>
      </c>
      <c r="K1369" s="26">
        <f>IF(A1369="","",IF(MES!E1369&lt;&gt;4,"Horário do MES fora do padrão",IF(H1369&lt;cfgMinCortes,"Cortes insuficientes","Válida")))</f>
        <v>0</v>
      </c>
      <c r="L1369" s="27">
        <f>IF(K1369="Válida",ABS(J1369),"")</f>
        <v>0</v>
      </c>
      <c r="M1369" s="26">
        <f>IF(K1369="Válida",IF(L1369&lt;=cfgTolerancia,"Sim","Não"),"")</f>
        <v>0</v>
      </c>
      <c r="N1369" s="26">
        <f>IF(A1369="","",MES!D1369)</f>
        <v>0</v>
      </c>
      <c r="O1369" s="25">
        <f>IF(K1369="Válida",A1369,NA())</f>
        <v>0</v>
      </c>
      <c r="P1369" s="27">
        <f>IF(K1369="Válida",C1369,NA())</f>
        <v>0</v>
      </c>
      <c r="Q1369" s="27">
        <f>IF(K1369="Válida",I1369,NA())</f>
        <v>0</v>
      </c>
      <c r="R1369" s="27">
        <f>IF(K1369="Válida",J1369,NA())</f>
        <v>0</v>
      </c>
      <c r="S1369" s="27">
        <f>IF(K1369="Válida",C1369,"")</f>
        <v>0</v>
      </c>
      <c r="T1369" s="27">
        <f>IF(K1369="Válida",I1369,"")</f>
        <v>0</v>
      </c>
      <c r="U1369" s="27">
        <f>IF(K1369="Válida",J1369,"")</f>
        <v>0</v>
      </c>
    </row>
    <row r="1370" spans="1:21">
      <c r="A1370" s="25">
        <f>IF(MES!A1370="","",MES!C1370/48)</f>
        <v>0</v>
      </c>
      <c r="B1370" s="26">
        <f>IF(A1370="","",TEXT((N1370*4+cfgDeslocamento)/48,"hh:mm")&amp;" a "&amp;TEXT(A1370,"hh:mm"))</f>
        <v>0</v>
      </c>
      <c r="C1370" s="27">
        <f>IF(A1370="","",MES!B1370)</f>
        <v>0</v>
      </c>
      <c r="D1370" s="27">
        <f>IF(A1370="","",IFERROR(AVERAGEIFS(Prensa!$B$2:$B$5001,Prensa!$E$2:$E$5001,N1370,Prensa!$F$2:$F$5001,1,Prensa!$G$2:$G$5001,1),""))</f>
        <v>0</v>
      </c>
      <c r="E1370" s="27">
        <f>IF(A1370="","",IFERROR(AVERAGEIFS(Prensa!$B$2:$B$5001,Prensa!$E$2:$E$5001,N1370,Prensa!$F$2:$F$5001,2,Prensa!$G$2:$G$5001,1),""))</f>
        <v>0</v>
      </c>
      <c r="F1370" s="27">
        <f>IF(A1370="","",IFERROR(AVERAGEIFS(Prensa!$B$2:$B$5001,Prensa!$E$2:$E$5001,N1370,Prensa!$F$2:$F$5001,3,Prensa!$G$2:$G$5001,1),""))</f>
        <v>0</v>
      </c>
      <c r="G1370" s="27">
        <f>IF(A1370="","",IFERROR(AVERAGEIFS(Prensa!$B$2:$B$5001,Prensa!$E$2:$E$5001,N1370,Prensa!$F$2:$F$5001,4,Prensa!$G$2:$G$5001,1),""))</f>
        <v>0</v>
      </c>
      <c r="H1370" s="26">
        <f>IF(A1370="","",COUNT(D1370:G1370))</f>
        <v>0</v>
      </c>
      <c r="I1370" s="27">
        <f>IF(A1370="","",IF(H1370=0,"",AVERAGE(D1370:G1370)))</f>
        <v>0</v>
      </c>
      <c r="J1370" s="27">
        <f>IF(OR(I1370="",C1370=""),"",I1370-C1370)</f>
        <v>0</v>
      </c>
      <c r="K1370" s="26">
        <f>IF(A1370="","",IF(MES!E1370&lt;&gt;4,"Horário do MES fora do padrão",IF(H1370&lt;cfgMinCortes,"Cortes insuficientes","Válida")))</f>
        <v>0</v>
      </c>
      <c r="L1370" s="27">
        <f>IF(K1370="Válida",ABS(J1370),"")</f>
        <v>0</v>
      </c>
      <c r="M1370" s="26">
        <f>IF(K1370="Válida",IF(L1370&lt;=cfgTolerancia,"Sim","Não"),"")</f>
        <v>0</v>
      </c>
      <c r="N1370" s="26">
        <f>IF(A1370="","",MES!D1370)</f>
        <v>0</v>
      </c>
      <c r="O1370" s="25">
        <f>IF(K1370="Válida",A1370,NA())</f>
        <v>0</v>
      </c>
      <c r="P1370" s="27">
        <f>IF(K1370="Válida",C1370,NA())</f>
        <v>0</v>
      </c>
      <c r="Q1370" s="27">
        <f>IF(K1370="Válida",I1370,NA())</f>
        <v>0</v>
      </c>
      <c r="R1370" s="27">
        <f>IF(K1370="Válida",J1370,NA())</f>
        <v>0</v>
      </c>
      <c r="S1370" s="27">
        <f>IF(K1370="Válida",C1370,"")</f>
        <v>0</v>
      </c>
      <c r="T1370" s="27">
        <f>IF(K1370="Válida",I1370,"")</f>
        <v>0</v>
      </c>
      <c r="U1370" s="27">
        <f>IF(K1370="Válida",J1370,"")</f>
        <v>0</v>
      </c>
    </row>
    <row r="1371" spans="1:21">
      <c r="A1371" s="25">
        <f>IF(MES!A1371="","",MES!C1371/48)</f>
        <v>0</v>
      </c>
      <c r="B1371" s="26">
        <f>IF(A1371="","",TEXT((N1371*4+cfgDeslocamento)/48,"hh:mm")&amp;" a "&amp;TEXT(A1371,"hh:mm"))</f>
        <v>0</v>
      </c>
      <c r="C1371" s="27">
        <f>IF(A1371="","",MES!B1371)</f>
        <v>0</v>
      </c>
      <c r="D1371" s="27">
        <f>IF(A1371="","",IFERROR(AVERAGEIFS(Prensa!$B$2:$B$5001,Prensa!$E$2:$E$5001,N1371,Prensa!$F$2:$F$5001,1,Prensa!$G$2:$G$5001,1),""))</f>
        <v>0</v>
      </c>
      <c r="E1371" s="27">
        <f>IF(A1371="","",IFERROR(AVERAGEIFS(Prensa!$B$2:$B$5001,Prensa!$E$2:$E$5001,N1371,Prensa!$F$2:$F$5001,2,Prensa!$G$2:$G$5001,1),""))</f>
        <v>0</v>
      </c>
      <c r="F1371" s="27">
        <f>IF(A1371="","",IFERROR(AVERAGEIFS(Prensa!$B$2:$B$5001,Prensa!$E$2:$E$5001,N1371,Prensa!$F$2:$F$5001,3,Prensa!$G$2:$G$5001,1),""))</f>
        <v>0</v>
      </c>
      <c r="G1371" s="27">
        <f>IF(A1371="","",IFERROR(AVERAGEIFS(Prensa!$B$2:$B$5001,Prensa!$E$2:$E$5001,N1371,Prensa!$F$2:$F$5001,4,Prensa!$G$2:$G$5001,1),""))</f>
        <v>0</v>
      </c>
      <c r="H1371" s="26">
        <f>IF(A1371="","",COUNT(D1371:G1371))</f>
        <v>0</v>
      </c>
      <c r="I1371" s="27">
        <f>IF(A1371="","",IF(H1371=0,"",AVERAGE(D1371:G1371)))</f>
        <v>0</v>
      </c>
      <c r="J1371" s="27">
        <f>IF(OR(I1371="",C1371=""),"",I1371-C1371)</f>
        <v>0</v>
      </c>
      <c r="K1371" s="26">
        <f>IF(A1371="","",IF(MES!E1371&lt;&gt;4,"Horário do MES fora do padrão",IF(H1371&lt;cfgMinCortes,"Cortes insuficientes","Válida")))</f>
        <v>0</v>
      </c>
      <c r="L1371" s="27">
        <f>IF(K1371="Válida",ABS(J1371),"")</f>
        <v>0</v>
      </c>
      <c r="M1371" s="26">
        <f>IF(K1371="Válida",IF(L1371&lt;=cfgTolerancia,"Sim","Não"),"")</f>
        <v>0</v>
      </c>
      <c r="N1371" s="26">
        <f>IF(A1371="","",MES!D1371)</f>
        <v>0</v>
      </c>
      <c r="O1371" s="25">
        <f>IF(K1371="Válida",A1371,NA())</f>
        <v>0</v>
      </c>
      <c r="P1371" s="27">
        <f>IF(K1371="Válida",C1371,NA())</f>
        <v>0</v>
      </c>
      <c r="Q1371" s="27">
        <f>IF(K1371="Válida",I1371,NA())</f>
        <v>0</v>
      </c>
      <c r="R1371" s="27">
        <f>IF(K1371="Válida",J1371,NA())</f>
        <v>0</v>
      </c>
      <c r="S1371" s="27">
        <f>IF(K1371="Válida",C1371,"")</f>
        <v>0</v>
      </c>
      <c r="T1371" s="27">
        <f>IF(K1371="Válida",I1371,"")</f>
        <v>0</v>
      </c>
      <c r="U1371" s="27">
        <f>IF(K1371="Válida",J1371,"")</f>
        <v>0</v>
      </c>
    </row>
    <row r="1372" spans="1:21">
      <c r="A1372" s="25">
        <f>IF(MES!A1372="","",MES!C1372/48)</f>
        <v>0</v>
      </c>
      <c r="B1372" s="26">
        <f>IF(A1372="","",TEXT((N1372*4+cfgDeslocamento)/48,"hh:mm")&amp;" a "&amp;TEXT(A1372,"hh:mm"))</f>
        <v>0</v>
      </c>
      <c r="C1372" s="27">
        <f>IF(A1372="","",MES!B1372)</f>
        <v>0</v>
      </c>
      <c r="D1372" s="27">
        <f>IF(A1372="","",IFERROR(AVERAGEIFS(Prensa!$B$2:$B$5001,Prensa!$E$2:$E$5001,N1372,Prensa!$F$2:$F$5001,1,Prensa!$G$2:$G$5001,1),""))</f>
        <v>0</v>
      </c>
      <c r="E1372" s="27">
        <f>IF(A1372="","",IFERROR(AVERAGEIFS(Prensa!$B$2:$B$5001,Prensa!$E$2:$E$5001,N1372,Prensa!$F$2:$F$5001,2,Prensa!$G$2:$G$5001,1),""))</f>
        <v>0</v>
      </c>
      <c r="F1372" s="27">
        <f>IF(A1372="","",IFERROR(AVERAGEIFS(Prensa!$B$2:$B$5001,Prensa!$E$2:$E$5001,N1372,Prensa!$F$2:$F$5001,3,Prensa!$G$2:$G$5001,1),""))</f>
        <v>0</v>
      </c>
      <c r="G1372" s="27">
        <f>IF(A1372="","",IFERROR(AVERAGEIFS(Prensa!$B$2:$B$5001,Prensa!$E$2:$E$5001,N1372,Prensa!$F$2:$F$5001,4,Prensa!$G$2:$G$5001,1),""))</f>
        <v>0</v>
      </c>
      <c r="H1372" s="26">
        <f>IF(A1372="","",COUNT(D1372:G1372))</f>
        <v>0</v>
      </c>
      <c r="I1372" s="27">
        <f>IF(A1372="","",IF(H1372=0,"",AVERAGE(D1372:G1372)))</f>
        <v>0</v>
      </c>
      <c r="J1372" s="27">
        <f>IF(OR(I1372="",C1372=""),"",I1372-C1372)</f>
        <v>0</v>
      </c>
      <c r="K1372" s="26">
        <f>IF(A1372="","",IF(MES!E1372&lt;&gt;4,"Horário do MES fora do padrão",IF(H1372&lt;cfgMinCortes,"Cortes insuficientes","Válida")))</f>
        <v>0</v>
      </c>
      <c r="L1372" s="27">
        <f>IF(K1372="Válida",ABS(J1372),"")</f>
        <v>0</v>
      </c>
      <c r="M1372" s="26">
        <f>IF(K1372="Válida",IF(L1372&lt;=cfgTolerancia,"Sim","Não"),"")</f>
        <v>0</v>
      </c>
      <c r="N1372" s="26">
        <f>IF(A1372="","",MES!D1372)</f>
        <v>0</v>
      </c>
      <c r="O1372" s="25">
        <f>IF(K1372="Válida",A1372,NA())</f>
        <v>0</v>
      </c>
      <c r="P1372" s="27">
        <f>IF(K1372="Válida",C1372,NA())</f>
        <v>0</v>
      </c>
      <c r="Q1372" s="27">
        <f>IF(K1372="Válida",I1372,NA())</f>
        <v>0</v>
      </c>
      <c r="R1372" s="27">
        <f>IF(K1372="Válida",J1372,NA())</f>
        <v>0</v>
      </c>
      <c r="S1372" s="27">
        <f>IF(K1372="Válida",C1372,"")</f>
        <v>0</v>
      </c>
      <c r="T1372" s="27">
        <f>IF(K1372="Válida",I1372,"")</f>
        <v>0</v>
      </c>
      <c r="U1372" s="27">
        <f>IF(K1372="Válida",J1372,"")</f>
        <v>0</v>
      </c>
    </row>
    <row r="1373" spans="1:21">
      <c r="A1373" s="25">
        <f>IF(MES!A1373="","",MES!C1373/48)</f>
        <v>0</v>
      </c>
      <c r="B1373" s="26">
        <f>IF(A1373="","",TEXT((N1373*4+cfgDeslocamento)/48,"hh:mm")&amp;" a "&amp;TEXT(A1373,"hh:mm"))</f>
        <v>0</v>
      </c>
      <c r="C1373" s="27">
        <f>IF(A1373="","",MES!B1373)</f>
        <v>0</v>
      </c>
      <c r="D1373" s="27">
        <f>IF(A1373="","",IFERROR(AVERAGEIFS(Prensa!$B$2:$B$5001,Prensa!$E$2:$E$5001,N1373,Prensa!$F$2:$F$5001,1,Prensa!$G$2:$G$5001,1),""))</f>
        <v>0</v>
      </c>
      <c r="E1373" s="27">
        <f>IF(A1373="","",IFERROR(AVERAGEIFS(Prensa!$B$2:$B$5001,Prensa!$E$2:$E$5001,N1373,Prensa!$F$2:$F$5001,2,Prensa!$G$2:$G$5001,1),""))</f>
        <v>0</v>
      </c>
      <c r="F1373" s="27">
        <f>IF(A1373="","",IFERROR(AVERAGEIFS(Prensa!$B$2:$B$5001,Prensa!$E$2:$E$5001,N1373,Prensa!$F$2:$F$5001,3,Prensa!$G$2:$G$5001,1),""))</f>
        <v>0</v>
      </c>
      <c r="G1373" s="27">
        <f>IF(A1373="","",IFERROR(AVERAGEIFS(Prensa!$B$2:$B$5001,Prensa!$E$2:$E$5001,N1373,Prensa!$F$2:$F$5001,4,Prensa!$G$2:$G$5001,1),""))</f>
        <v>0</v>
      </c>
      <c r="H1373" s="26">
        <f>IF(A1373="","",COUNT(D1373:G1373))</f>
        <v>0</v>
      </c>
      <c r="I1373" s="27">
        <f>IF(A1373="","",IF(H1373=0,"",AVERAGE(D1373:G1373)))</f>
        <v>0</v>
      </c>
      <c r="J1373" s="27">
        <f>IF(OR(I1373="",C1373=""),"",I1373-C1373)</f>
        <v>0</v>
      </c>
      <c r="K1373" s="26">
        <f>IF(A1373="","",IF(MES!E1373&lt;&gt;4,"Horário do MES fora do padrão",IF(H1373&lt;cfgMinCortes,"Cortes insuficientes","Válida")))</f>
        <v>0</v>
      </c>
      <c r="L1373" s="27">
        <f>IF(K1373="Válida",ABS(J1373),"")</f>
        <v>0</v>
      </c>
      <c r="M1373" s="26">
        <f>IF(K1373="Válida",IF(L1373&lt;=cfgTolerancia,"Sim","Não"),"")</f>
        <v>0</v>
      </c>
      <c r="N1373" s="26">
        <f>IF(A1373="","",MES!D1373)</f>
        <v>0</v>
      </c>
      <c r="O1373" s="25">
        <f>IF(K1373="Válida",A1373,NA())</f>
        <v>0</v>
      </c>
      <c r="P1373" s="27">
        <f>IF(K1373="Válida",C1373,NA())</f>
        <v>0</v>
      </c>
      <c r="Q1373" s="27">
        <f>IF(K1373="Válida",I1373,NA())</f>
        <v>0</v>
      </c>
      <c r="R1373" s="27">
        <f>IF(K1373="Válida",J1373,NA())</f>
        <v>0</v>
      </c>
      <c r="S1373" s="27">
        <f>IF(K1373="Válida",C1373,"")</f>
        <v>0</v>
      </c>
      <c r="T1373" s="27">
        <f>IF(K1373="Válida",I1373,"")</f>
        <v>0</v>
      </c>
      <c r="U1373" s="27">
        <f>IF(K1373="Válida",J1373,"")</f>
        <v>0</v>
      </c>
    </row>
    <row r="1374" spans="1:21">
      <c r="A1374" s="25">
        <f>IF(MES!A1374="","",MES!C1374/48)</f>
        <v>0</v>
      </c>
      <c r="B1374" s="26">
        <f>IF(A1374="","",TEXT((N1374*4+cfgDeslocamento)/48,"hh:mm")&amp;" a "&amp;TEXT(A1374,"hh:mm"))</f>
        <v>0</v>
      </c>
      <c r="C1374" s="27">
        <f>IF(A1374="","",MES!B1374)</f>
        <v>0</v>
      </c>
      <c r="D1374" s="27">
        <f>IF(A1374="","",IFERROR(AVERAGEIFS(Prensa!$B$2:$B$5001,Prensa!$E$2:$E$5001,N1374,Prensa!$F$2:$F$5001,1,Prensa!$G$2:$G$5001,1),""))</f>
        <v>0</v>
      </c>
      <c r="E1374" s="27">
        <f>IF(A1374="","",IFERROR(AVERAGEIFS(Prensa!$B$2:$B$5001,Prensa!$E$2:$E$5001,N1374,Prensa!$F$2:$F$5001,2,Prensa!$G$2:$G$5001,1),""))</f>
        <v>0</v>
      </c>
      <c r="F1374" s="27">
        <f>IF(A1374="","",IFERROR(AVERAGEIFS(Prensa!$B$2:$B$5001,Prensa!$E$2:$E$5001,N1374,Prensa!$F$2:$F$5001,3,Prensa!$G$2:$G$5001,1),""))</f>
        <v>0</v>
      </c>
      <c r="G1374" s="27">
        <f>IF(A1374="","",IFERROR(AVERAGEIFS(Prensa!$B$2:$B$5001,Prensa!$E$2:$E$5001,N1374,Prensa!$F$2:$F$5001,4,Prensa!$G$2:$G$5001,1),""))</f>
        <v>0</v>
      </c>
      <c r="H1374" s="26">
        <f>IF(A1374="","",COUNT(D1374:G1374))</f>
        <v>0</v>
      </c>
      <c r="I1374" s="27">
        <f>IF(A1374="","",IF(H1374=0,"",AVERAGE(D1374:G1374)))</f>
        <v>0</v>
      </c>
      <c r="J1374" s="27">
        <f>IF(OR(I1374="",C1374=""),"",I1374-C1374)</f>
        <v>0</v>
      </c>
      <c r="K1374" s="26">
        <f>IF(A1374="","",IF(MES!E1374&lt;&gt;4,"Horário do MES fora do padrão",IF(H1374&lt;cfgMinCortes,"Cortes insuficientes","Válida")))</f>
        <v>0</v>
      </c>
      <c r="L1374" s="27">
        <f>IF(K1374="Válida",ABS(J1374),"")</f>
        <v>0</v>
      </c>
      <c r="M1374" s="26">
        <f>IF(K1374="Válida",IF(L1374&lt;=cfgTolerancia,"Sim","Não"),"")</f>
        <v>0</v>
      </c>
      <c r="N1374" s="26">
        <f>IF(A1374="","",MES!D1374)</f>
        <v>0</v>
      </c>
      <c r="O1374" s="25">
        <f>IF(K1374="Válida",A1374,NA())</f>
        <v>0</v>
      </c>
      <c r="P1374" s="27">
        <f>IF(K1374="Válida",C1374,NA())</f>
        <v>0</v>
      </c>
      <c r="Q1374" s="27">
        <f>IF(K1374="Válida",I1374,NA())</f>
        <v>0</v>
      </c>
      <c r="R1374" s="27">
        <f>IF(K1374="Válida",J1374,NA())</f>
        <v>0</v>
      </c>
      <c r="S1374" s="27">
        <f>IF(K1374="Válida",C1374,"")</f>
        <v>0</v>
      </c>
      <c r="T1374" s="27">
        <f>IF(K1374="Válida",I1374,"")</f>
        <v>0</v>
      </c>
      <c r="U1374" s="27">
        <f>IF(K1374="Válida",J1374,"")</f>
        <v>0</v>
      </c>
    </row>
    <row r="1375" spans="1:21">
      <c r="A1375" s="25">
        <f>IF(MES!A1375="","",MES!C1375/48)</f>
        <v>0</v>
      </c>
      <c r="B1375" s="26">
        <f>IF(A1375="","",TEXT((N1375*4+cfgDeslocamento)/48,"hh:mm")&amp;" a "&amp;TEXT(A1375,"hh:mm"))</f>
        <v>0</v>
      </c>
      <c r="C1375" s="27">
        <f>IF(A1375="","",MES!B1375)</f>
        <v>0</v>
      </c>
      <c r="D1375" s="27">
        <f>IF(A1375="","",IFERROR(AVERAGEIFS(Prensa!$B$2:$B$5001,Prensa!$E$2:$E$5001,N1375,Prensa!$F$2:$F$5001,1,Prensa!$G$2:$G$5001,1),""))</f>
        <v>0</v>
      </c>
      <c r="E1375" s="27">
        <f>IF(A1375="","",IFERROR(AVERAGEIFS(Prensa!$B$2:$B$5001,Prensa!$E$2:$E$5001,N1375,Prensa!$F$2:$F$5001,2,Prensa!$G$2:$G$5001,1),""))</f>
        <v>0</v>
      </c>
      <c r="F1375" s="27">
        <f>IF(A1375="","",IFERROR(AVERAGEIFS(Prensa!$B$2:$B$5001,Prensa!$E$2:$E$5001,N1375,Prensa!$F$2:$F$5001,3,Prensa!$G$2:$G$5001,1),""))</f>
        <v>0</v>
      </c>
      <c r="G1375" s="27">
        <f>IF(A1375="","",IFERROR(AVERAGEIFS(Prensa!$B$2:$B$5001,Prensa!$E$2:$E$5001,N1375,Prensa!$F$2:$F$5001,4,Prensa!$G$2:$G$5001,1),""))</f>
        <v>0</v>
      </c>
      <c r="H1375" s="26">
        <f>IF(A1375="","",COUNT(D1375:G1375))</f>
        <v>0</v>
      </c>
      <c r="I1375" s="27">
        <f>IF(A1375="","",IF(H1375=0,"",AVERAGE(D1375:G1375)))</f>
        <v>0</v>
      </c>
      <c r="J1375" s="27">
        <f>IF(OR(I1375="",C1375=""),"",I1375-C1375)</f>
        <v>0</v>
      </c>
      <c r="K1375" s="26">
        <f>IF(A1375="","",IF(MES!E1375&lt;&gt;4,"Horário do MES fora do padrão",IF(H1375&lt;cfgMinCortes,"Cortes insuficientes","Válida")))</f>
        <v>0</v>
      </c>
      <c r="L1375" s="27">
        <f>IF(K1375="Válida",ABS(J1375),"")</f>
        <v>0</v>
      </c>
      <c r="M1375" s="26">
        <f>IF(K1375="Válida",IF(L1375&lt;=cfgTolerancia,"Sim","Não"),"")</f>
        <v>0</v>
      </c>
      <c r="N1375" s="26">
        <f>IF(A1375="","",MES!D1375)</f>
        <v>0</v>
      </c>
      <c r="O1375" s="25">
        <f>IF(K1375="Válida",A1375,NA())</f>
        <v>0</v>
      </c>
      <c r="P1375" s="27">
        <f>IF(K1375="Válida",C1375,NA())</f>
        <v>0</v>
      </c>
      <c r="Q1375" s="27">
        <f>IF(K1375="Válida",I1375,NA())</f>
        <v>0</v>
      </c>
      <c r="R1375" s="27">
        <f>IF(K1375="Válida",J1375,NA())</f>
        <v>0</v>
      </c>
      <c r="S1375" s="27">
        <f>IF(K1375="Válida",C1375,"")</f>
        <v>0</v>
      </c>
      <c r="T1375" s="27">
        <f>IF(K1375="Válida",I1375,"")</f>
        <v>0</v>
      </c>
      <c r="U1375" s="27">
        <f>IF(K1375="Válida",J1375,"")</f>
        <v>0</v>
      </c>
    </row>
    <row r="1376" spans="1:21">
      <c r="A1376" s="25">
        <f>IF(MES!A1376="","",MES!C1376/48)</f>
        <v>0</v>
      </c>
      <c r="B1376" s="26">
        <f>IF(A1376="","",TEXT((N1376*4+cfgDeslocamento)/48,"hh:mm")&amp;" a "&amp;TEXT(A1376,"hh:mm"))</f>
        <v>0</v>
      </c>
      <c r="C1376" s="27">
        <f>IF(A1376="","",MES!B1376)</f>
        <v>0</v>
      </c>
      <c r="D1376" s="27">
        <f>IF(A1376="","",IFERROR(AVERAGEIFS(Prensa!$B$2:$B$5001,Prensa!$E$2:$E$5001,N1376,Prensa!$F$2:$F$5001,1,Prensa!$G$2:$G$5001,1),""))</f>
        <v>0</v>
      </c>
      <c r="E1376" s="27">
        <f>IF(A1376="","",IFERROR(AVERAGEIFS(Prensa!$B$2:$B$5001,Prensa!$E$2:$E$5001,N1376,Prensa!$F$2:$F$5001,2,Prensa!$G$2:$G$5001,1),""))</f>
        <v>0</v>
      </c>
      <c r="F1376" s="27">
        <f>IF(A1376="","",IFERROR(AVERAGEIFS(Prensa!$B$2:$B$5001,Prensa!$E$2:$E$5001,N1376,Prensa!$F$2:$F$5001,3,Prensa!$G$2:$G$5001,1),""))</f>
        <v>0</v>
      </c>
      <c r="G1376" s="27">
        <f>IF(A1376="","",IFERROR(AVERAGEIFS(Prensa!$B$2:$B$5001,Prensa!$E$2:$E$5001,N1376,Prensa!$F$2:$F$5001,4,Prensa!$G$2:$G$5001,1),""))</f>
        <v>0</v>
      </c>
      <c r="H1376" s="26">
        <f>IF(A1376="","",COUNT(D1376:G1376))</f>
        <v>0</v>
      </c>
      <c r="I1376" s="27">
        <f>IF(A1376="","",IF(H1376=0,"",AVERAGE(D1376:G1376)))</f>
        <v>0</v>
      </c>
      <c r="J1376" s="27">
        <f>IF(OR(I1376="",C1376=""),"",I1376-C1376)</f>
        <v>0</v>
      </c>
      <c r="K1376" s="26">
        <f>IF(A1376="","",IF(MES!E1376&lt;&gt;4,"Horário do MES fora do padrão",IF(H1376&lt;cfgMinCortes,"Cortes insuficientes","Válida")))</f>
        <v>0</v>
      </c>
      <c r="L1376" s="27">
        <f>IF(K1376="Válida",ABS(J1376),"")</f>
        <v>0</v>
      </c>
      <c r="M1376" s="26">
        <f>IF(K1376="Válida",IF(L1376&lt;=cfgTolerancia,"Sim","Não"),"")</f>
        <v>0</v>
      </c>
      <c r="N1376" s="26">
        <f>IF(A1376="","",MES!D1376)</f>
        <v>0</v>
      </c>
      <c r="O1376" s="25">
        <f>IF(K1376="Válida",A1376,NA())</f>
        <v>0</v>
      </c>
      <c r="P1376" s="27">
        <f>IF(K1376="Válida",C1376,NA())</f>
        <v>0</v>
      </c>
      <c r="Q1376" s="27">
        <f>IF(K1376="Válida",I1376,NA())</f>
        <v>0</v>
      </c>
      <c r="R1376" s="27">
        <f>IF(K1376="Válida",J1376,NA())</f>
        <v>0</v>
      </c>
      <c r="S1376" s="27">
        <f>IF(K1376="Válida",C1376,"")</f>
        <v>0</v>
      </c>
      <c r="T1376" s="27">
        <f>IF(K1376="Válida",I1376,"")</f>
        <v>0</v>
      </c>
      <c r="U1376" s="27">
        <f>IF(K1376="Válida",J1376,"")</f>
        <v>0</v>
      </c>
    </row>
    <row r="1377" spans="1:21">
      <c r="A1377" s="25">
        <f>IF(MES!A1377="","",MES!C1377/48)</f>
        <v>0</v>
      </c>
      <c r="B1377" s="26">
        <f>IF(A1377="","",TEXT((N1377*4+cfgDeslocamento)/48,"hh:mm")&amp;" a "&amp;TEXT(A1377,"hh:mm"))</f>
        <v>0</v>
      </c>
      <c r="C1377" s="27">
        <f>IF(A1377="","",MES!B1377)</f>
        <v>0</v>
      </c>
      <c r="D1377" s="27">
        <f>IF(A1377="","",IFERROR(AVERAGEIFS(Prensa!$B$2:$B$5001,Prensa!$E$2:$E$5001,N1377,Prensa!$F$2:$F$5001,1,Prensa!$G$2:$G$5001,1),""))</f>
        <v>0</v>
      </c>
      <c r="E1377" s="27">
        <f>IF(A1377="","",IFERROR(AVERAGEIFS(Prensa!$B$2:$B$5001,Prensa!$E$2:$E$5001,N1377,Prensa!$F$2:$F$5001,2,Prensa!$G$2:$G$5001,1),""))</f>
        <v>0</v>
      </c>
      <c r="F1377" s="27">
        <f>IF(A1377="","",IFERROR(AVERAGEIFS(Prensa!$B$2:$B$5001,Prensa!$E$2:$E$5001,N1377,Prensa!$F$2:$F$5001,3,Prensa!$G$2:$G$5001,1),""))</f>
        <v>0</v>
      </c>
      <c r="G1377" s="27">
        <f>IF(A1377="","",IFERROR(AVERAGEIFS(Prensa!$B$2:$B$5001,Prensa!$E$2:$E$5001,N1377,Prensa!$F$2:$F$5001,4,Prensa!$G$2:$G$5001,1),""))</f>
        <v>0</v>
      </c>
      <c r="H1377" s="26">
        <f>IF(A1377="","",COUNT(D1377:G1377))</f>
        <v>0</v>
      </c>
      <c r="I1377" s="27">
        <f>IF(A1377="","",IF(H1377=0,"",AVERAGE(D1377:G1377)))</f>
        <v>0</v>
      </c>
      <c r="J1377" s="27">
        <f>IF(OR(I1377="",C1377=""),"",I1377-C1377)</f>
        <v>0</v>
      </c>
      <c r="K1377" s="26">
        <f>IF(A1377="","",IF(MES!E1377&lt;&gt;4,"Horário do MES fora do padrão",IF(H1377&lt;cfgMinCortes,"Cortes insuficientes","Válida")))</f>
        <v>0</v>
      </c>
      <c r="L1377" s="27">
        <f>IF(K1377="Válida",ABS(J1377),"")</f>
        <v>0</v>
      </c>
      <c r="M1377" s="26">
        <f>IF(K1377="Válida",IF(L1377&lt;=cfgTolerancia,"Sim","Não"),"")</f>
        <v>0</v>
      </c>
      <c r="N1377" s="26">
        <f>IF(A1377="","",MES!D1377)</f>
        <v>0</v>
      </c>
      <c r="O1377" s="25">
        <f>IF(K1377="Válida",A1377,NA())</f>
        <v>0</v>
      </c>
      <c r="P1377" s="27">
        <f>IF(K1377="Válida",C1377,NA())</f>
        <v>0</v>
      </c>
      <c r="Q1377" s="27">
        <f>IF(K1377="Válida",I1377,NA())</f>
        <v>0</v>
      </c>
      <c r="R1377" s="27">
        <f>IF(K1377="Válida",J1377,NA())</f>
        <v>0</v>
      </c>
      <c r="S1377" s="27">
        <f>IF(K1377="Válida",C1377,"")</f>
        <v>0</v>
      </c>
      <c r="T1377" s="27">
        <f>IF(K1377="Válida",I1377,"")</f>
        <v>0</v>
      </c>
      <c r="U1377" s="27">
        <f>IF(K1377="Válida",J1377,"")</f>
        <v>0</v>
      </c>
    </row>
    <row r="1378" spans="1:21">
      <c r="A1378" s="25">
        <f>IF(MES!A1378="","",MES!C1378/48)</f>
        <v>0</v>
      </c>
      <c r="B1378" s="26">
        <f>IF(A1378="","",TEXT((N1378*4+cfgDeslocamento)/48,"hh:mm")&amp;" a "&amp;TEXT(A1378,"hh:mm"))</f>
        <v>0</v>
      </c>
      <c r="C1378" s="27">
        <f>IF(A1378="","",MES!B1378)</f>
        <v>0</v>
      </c>
      <c r="D1378" s="27">
        <f>IF(A1378="","",IFERROR(AVERAGEIFS(Prensa!$B$2:$B$5001,Prensa!$E$2:$E$5001,N1378,Prensa!$F$2:$F$5001,1,Prensa!$G$2:$G$5001,1),""))</f>
        <v>0</v>
      </c>
      <c r="E1378" s="27">
        <f>IF(A1378="","",IFERROR(AVERAGEIFS(Prensa!$B$2:$B$5001,Prensa!$E$2:$E$5001,N1378,Prensa!$F$2:$F$5001,2,Prensa!$G$2:$G$5001,1),""))</f>
        <v>0</v>
      </c>
      <c r="F1378" s="27">
        <f>IF(A1378="","",IFERROR(AVERAGEIFS(Prensa!$B$2:$B$5001,Prensa!$E$2:$E$5001,N1378,Prensa!$F$2:$F$5001,3,Prensa!$G$2:$G$5001,1),""))</f>
        <v>0</v>
      </c>
      <c r="G1378" s="27">
        <f>IF(A1378="","",IFERROR(AVERAGEIFS(Prensa!$B$2:$B$5001,Prensa!$E$2:$E$5001,N1378,Prensa!$F$2:$F$5001,4,Prensa!$G$2:$G$5001,1),""))</f>
        <v>0</v>
      </c>
      <c r="H1378" s="26">
        <f>IF(A1378="","",COUNT(D1378:G1378))</f>
        <v>0</v>
      </c>
      <c r="I1378" s="27">
        <f>IF(A1378="","",IF(H1378=0,"",AVERAGE(D1378:G1378)))</f>
        <v>0</v>
      </c>
      <c r="J1378" s="27">
        <f>IF(OR(I1378="",C1378=""),"",I1378-C1378)</f>
        <v>0</v>
      </c>
      <c r="K1378" s="26">
        <f>IF(A1378="","",IF(MES!E1378&lt;&gt;4,"Horário do MES fora do padrão",IF(H1378&lt;cfgMinCortes,"Cortes insuficientes","Válida")))</f>
        <v>0</v>
      </c>
      <c r="L1378" s="27">
        <f>IF(K1378="Válida",ABS(J1378),"")</f>
        <v>0</v>
      </c>
      <c r="M1378" s="26">
        <f>IF(K1378="Válida",IF(L1378&lt;=cfgTolerancia,"Sim","Não"),"")</f>
        <v>0</v>
      </c>
      <c r="N1378" s="26">
        <f>IF(A1378="","",MES!D1378)</f>
        <v>0</v>
      </c>
      <c r="O1378" s="25">
        <f>IF(K1378="Válida",A1378,NA())</f>
        <v>0</v>
      </c>
      <c r="P1378" s="27">
        <f>IF(K1378="Válida",C1378,NA())</f>
        <v>0</v>
      </c>
      <c r="Q1378" s="27">
        <f>IF(K1378="Válida",I1378,NA())</f>
        <v>0</v>
      </c>
      <c r="R1378" s="27">
        <f>IF(K1378="Válida",J1378,NA())</f>
        <v>0</v>
      </c>
      <c r="S1378" s="27">
        <f>IF(K1378="Válida",C1378,"")</f>
        <v>0</v>
      </c>
      <c r="T1378" s="27">
        <f>IF(K1378="Válida",I1378,"")</f>
        <v>0</v>
      </c>
      <c r="U1378" s="27">
        <f>IF(K1378="Válida",J1378,"")</f>
        <v>0</v>
      </c>
    </row>
    <row r="1379" spans="1:21">
      <c r="A1379" s="25">
        <f>IF(MES!A1379="","",MES!C1379/48)</f>
        <v>0</v>
      </c>
      <c r="B1379" s="26">
        <f>IF(A1379="","",TEXT((N1379*4+cfgDeslocamento)/48,"hh:mm")&amp;" a "&amp;TEXT(A1379,"hh:mm"))</f>
        <v>0</v>
      </c>
      <c r="C1379" s="27">
        <f>IF(A1379="","",MES!B1379)</f>
        <v>0</v>
      </c>
      <c r="D1379" s="27">
        <f>IF(A1379="","",IFERROR(AVERAGEIFS(Prensa!$B$2:$B$5001,Prensa!$E$2:$E$5001,N1379,Prensa!$F$2:$F$5001,1,Prensa!$G$2:$G$5001,1),""))</f>
        <v>0</v>
      </c>
      <c r="E1379" s="27">
        <f>IF(A1379="","",IFERROR(AVERAGEIFS(Prensa!$B$2:$B$5001,Prensa!$E$2:$E$5001,N1379,Prensa!$F$2:$F$5001,2,Prensa!$G$2:$G$5001,1),""))</f>
        <v>0</v>
      </c>
      <c r="F1379" s="27">
        <f>IF(A1379="","",IFERROR(AVERAGEIFS(Prensa!$B$2:$B$5001,Prensa!$E$2:$E$5001,N1379,Prensa!$F$2:$F$5001,3,Prensa!$G$2:$G$5001,1),""))</f>
        <v>0</v>
      </c>
      <c r="G1379" s="27">
        <f>IF(A1379="","",IFERROR(AVERAGEIFS(Prensa!$B$2:$B$5001,Prensa!$E$2:$E$5001,N1379,Prensa!$F$2:$F$5001,4,Prensa!$G$2:$G$5001,1),""))</f>
        <v>0</v>
      </c>
      <c r="H1379" s="26">
        <f>IF(A1379="","",COUNT(D1379:G1379))</f>
        <v>0</v>
      </c>
      <c r="I1379" s="27">
        <f>IF(A1379="","",IF(H1379=0,"",AVERAGE(D1379:G1379)))</f>
        <v>0</v>
      </c>
      <c r="J1379" s="27">
        <f>IF(OR(I1379="",C1379=""),"",I1379-C1379)</f>
        <v>0</v>
      </c>
      <c r="K1379" s="26">
        <f>IF(A1379="","",IF(MES!E1379&lt;&gt;4,"Horário do MES fora do padrão",IF(H1379&lt;cfgMinCortes,"Cortes insuficientes","Válida")))</f>
        <v>0</v>
      </c>
      <c r="L1379" s="27">
        <f>IF(K1379="Válida",ABS(J1379),"")</f>
        <v>0</v>
      </c>
      <c r="M1379" s="26">
        <f>IF(K1379="Válida",IF(L1379&lt;=cfgTolerancia,"Sim","Não"),"")</f>
        <v>0</v>
      </c>
      <c r="N1379" s="26">
        <f>IF(A1379="","",MES!D1379)</f>
        <v>0</v>
      </c>
      <c r="O1379" s="25">
        <f>IF(K1379="Válida",A1379,NA())</f>
        <v>0</v>
      </c>
      <c r="P1379" s="27">
        <f>IF(K1379="Válida",C1379,NA())</f>
        <v>0</v>
      </c>
      <c r="Q1379" s="27">
        <f>IF(K1379="Válida",I1379,NA())</f>
        <v>0</v>
      </c>
      <c r="R1379" s="27">
        <f>IF(K1379="Válida",J1379,NA())</f>
        <v>0</v>
      </c>
      <c r="S1379" s="27">
        <f>IF(K1379="Válida",C1379,"")</f>
        <v>0</v>
      </c>
      <c r="T1379" s="27">
        <f>IF(K1379="Válida",I1379,"")</f>
        <v>0</v>
      </c>
      <c r="U1379" s="27">
        <f>IF(K1379="Válida",J1379,"")</f>
        <v>0</v>
      </c>
    </row>
    <row r="1380" spans="1:21">
      <c r="A1380" s="25">
        <f>IF(MES!A1380="","",MES!C1380/48)</f>
        <v>0</v>
      </c>
      <c r="B1380" s="26">
        <f>IF(A1380="","",TEXT((N1380*4+cfgDeslocamento)/48,"hh:mm")&amp;" a "&amp;TEXT(A1380,"hh:mm"))</f>
        <v>0</v>
      </c>
      <c r="C1380" s="27">
        <f>IF(A1380="","",MES!B1380)</f>
        <v>0</v>
      </c>
      <c r="D1380" s="27">
        <f>IF(A1380="","",IFERROR(AVERAGEIFS(Prensa!$B$2:$B$5001,Prensa!$E$2:$E$5001,N1380,Prensa!$F$2:$F$5001,1,Prensa!$G$2:$G$5001,1),""))</f>
        <v>0</v>
      </c>
      <c r="E1380" s="27">
        <f>IF(A1380="","",IFERROR(AVERAGEIFS(Prensa!$B$2:$B$5001,Prensa!$E$2:$E$5001,N1380,Prensa!$F$2:$F$5001,2,Prensa!$G$2:$G$5001,1),""))</f>
        <v>0</v>
      </c>
      <c r="F1380" s="27">
        <f>IF(A1380="","",IFERROR(AVERAGEIFS(Prensa!$B$2:$B$5001,Prensa!$E$2:$E$5001,N1380,Prensa!$F$2:$F$5001,3,Prensa!$G$2:$G$5001,1),""))</f>
        <v>0</v>
      </c>
      <c r="G1380" s="27">
        <f>IF(A1380="","",IFERROR(AVERAGEIFS(Prensa!$B$2:$B$5001,Prensa!$E$2:$E$5001,N1380,Prensa!$F$2:$F$5001,4,Prensa!$G$2:$G$5001,1),""))</f>
        <v>0</v>
      </c>
      <c r="H1380" s="26">
        <f>IF(A1380="","",COUNT(D1380:G1380))</f>
        <v>0</v>
      </c>
      <c r="I1380" s="27">
        <f>IF(A1380="","",IF(H1380=0,"",AVERAGE(D1380:G1380)))</f>
        <v>0</v>
      </c>
      <c r="J1380" s="27">
        <f>IF(OR(I1380="",C1380=""),"",I1380-C1380)</f>
        <v>0</v>
      </c>
      <c r="K1380" s="26">
        <f>IF(A1380="","",IF(MES!E1380&lt;&gt;4,"Horário do MES fora do padrão",IF(H1380&lt;cfgMinCortes,"Cortes insuficientes","Válida")))</f>
        <v>0</v>
      </c>
      <c r="L1380" s="27">
        <f>IF(K1380="Válida",ABS(J1380),"")</f>
        <v>0</v>
      </c>
      <c r="M1380" s="26">
        <f>IF(K1380="Válida",IF(L1380&lt;=cfgTolerancia,"Sim","Não"),"")</f>
        <v>0</v>
      </c>
      <c r="N1380" s="26">
        <f>IF(A1380="","",MES!D1380)</f>
        <v>0</v>
      </c>
      <c r="O1380" s="25">
        <f>IF(K1380="Válida",A1380,NA())</f>
        <v>0</v>
      </c>
      <c r="P1380" s="27">
        <f>IF(K1380="Válida",C1380,NA())</f>
        <v>0</v>
      </c>
      <c r="Q1380" s="27">
        <f>IF(K1380="Válida",I1380,NA())</f>
        <v>0</v>
      </c>
      <c r="R1380" s="27">
        <f>IF(K1380="Válida",J1380,NA())</f>
        <v>0</v>
      </c>
      <c r="S1380" s="27">
        <f>IF(K1380="Válida",C1380,"")</f>
        <v>0</v>
      </c>
      <c r="T1380" s="27">
        <f>IF(K1380="Válida",I1380,"")</f>
        <v>0</v>
      </c>
      <c r="U1380" s="27">
        <f>IF(K1380="Válida",J1380,"")</f>
        <v>0</v>
      </c>
    </row>
    <row r="1381" spans="1:21">
      <c r="A1381" s="25">
        <f>IF(MES!A1381="","",MES!C1381/48)</f>
        <v>0</v>
      </c>
      <c r="B1381" s="26">
        <f>IF(A1381="","",TEXT((N1381*4+cfgDeslocamento)/48,"hh:mm")&amp;" a "&amp;TEXT(A1381,"hh:mm"))</f>
        <v>0</v>
      </c>
      <c r="C1381" s="27">
        <f>IF(A1381="","",MES!B1381)</f>
        <v>0</v>
      </c>
      <c r="D1381" s="27">
        <f>IF(A1381="","",IFERROR(AVERAGEIFS(Prensa!$B$2:$B$5001,Prensa!$E$2:$E$5001,N1381,Prensa!$F$2:$F$5001,1,Prensa!$G$2:$G$5001,1),""))</f>
        <v>0</v>
      </c>
      <c r="E1381" s="27">
        <f>IF(A1381="","",IFERROR(AVERAGEIFS(Prensa!$B$2:$B$5001,Prensa!$E$2:$E$5001,N1381,Prensa!$F$2:$F$5001,2,Prensa!$G$2:$G$5001,1),""))</f>
        <v>0</v>
      </c>
      <c r="F1381" s="27">
        <f>IF(A1381="","",IFERROR(AVERAGEIFS(Prensa!$B$2:$B$5001,Prensa!$E$2:$E$5001,N1381,Prensa!$F$2:$F$5001,3,Prensa!$G$2:$G$5001,1),""))</f>
        <v>0</v>
      </c>
      <c r="G1381" s="27">
        <f>IF(A1381="","",IFERROR(AVERAGEIFS(Prensa!$B$2:$B$5001,Prensa!$E$2:$E$5001,N1381,Prensa!$F$2:$F$5001,4,Prensa!$G$2:$G$5001,1),""))</f>
        <v>0</v>
      </c>
      <c r="H1381" s="26">
        <f>IF(A1381="","",COUNT(D1381:G1381))</f>
        <v>0</v>
      </c>
      <c r="I1381" s="27">
        <f>IF(A1381="","",IF(H1381=0,"",AVERAGE(D1381:G1381)))</f>
        <v>0</v>
      </c>
      <c r="J1381" s="27">
        <f>IF(OR(I1381="",C1381=""),"",I1381-C1381)</f>
        <v>0</v>
      </c>
      <c r="K1381" s="26">
        <f>IF(A1381="","",IF(MES!E1381&lt;&gt;4,"Horário do MES fora do padrão",IF(H1381&lt;cfgMinCortes,"Cortes insuficientes","Válida")))</f>
        <v>0</v>
      </c>
      <c r="L1381" s="27">
        <f>IF(K1381="Válida",ABS(J1381),"")</f>
        <v>0</v>
      </c>
      <c r="M1381" s="26">
        <f>IF(K1381="Válida",IF(L1381&lt;=cfgTolerancia,"Sim","Não"),"")</f>
        <v>0</v>
      </c>
      <c r="N1381" s="26">
        <f>IF(A1381="","",MES!D1381)</f>
        <v>0</v>
      </c>
      <c r="O1381" s="25">
        <f>IF(K1381="Válida",A1381,NA())</f>
        <v>0</v>
      </c>
      <c r="P1381" s="27">
        <f>IF(K1381="Válida",C1381,NA())</f>
        <v>0</v>
      </c>
      <c r="Q1381" s="27">
        <f>IF(K1381="Válida",I1381,NA())</f>
        <v>0</v>
      </c>
      <c r="R1381" s="27">
        <f>IF(K1381="Válida",J1381,NA())</f>
        <v>0</v>
      </c>
      <c r="S1381" s="27">
        <f>IF(K1381="Válida",C1381,"")</f>
        <v>0</v>
      </c>
      <c r="T1381" s="27">
        <f>IF(K1381="Válida",I1381,"")</f>
        <v>0</v>
      </c>
      <c r="U1381" s="27">
        <f>IF(K1381="Válida",J1381,"")</f>
        <v>0</v>
      </c>
    </row>
    <row r="1382" spans="1:21">
      <c r="A1382" s="25">
        <f>IF(MES!A1382="","",MES!C1382/48)</f>
        <v>0</v>
      </c>
      <c r="B1382" s="26">
        <f>IF(A1382="","",TEXT((N1382*4+cfgDeslocamento)/48,"hh:mm")&amp;" a "&amp;TEXT(A1382,"hh:mm"))</f>
        <v>0</v>
      </c>
      <c r="C1382" s="27">
        <f>IF(A1382="","",MES!B1382)</f>
        <v>0</v>
      </c>
      <c r="D1382" s="27">
        <f>IF(A1382="","",IFERROR(AVERAGEIFS(Prensa!$B$2:$B$5001,Prensa!$E$2:$E$5001,N1382,Prensa!$F$2:$F$5001,1,Prensa!$G$2:$G$5001,1),""))</f>
        <v>0</v>
      </c>
      <c r="E1382" s="27">
        <f>IF(A1382="","",IFERROR(AVERAGEIFS(Prensa!$B$2:$B$5001,Prensa!$E$2:$E$5001,N1382,Prensa!$F$2:$F$5001,2,Prensa!$G$2:$G$5001,1),""))</f>
        <v>0</v>
      </c>
      <c r="F1382" s="27">
        <f>IF(A1382="","",IFERROR(AVERAGEIFS(Prensa!$B$2:$B$5001,Prensa!$E$2:$E$5001,N1382,Prensa!$F$2:$F$5001,3,Prensa!$G$2:$G$5001,1),""))</f>
        <v>0</v>
      </c>
      <c r="G1382" s="27">
        <f>IF(A1382="","",IFERROR(AVERAGEIFS(Prensa!$B$2:$B$5001,Prensa!$E$2:$E$5001,N1382,Prensa!$F$2:$F$5001,4,Prensa!$G$2:$G$5001,1),""))</f>
        <v>0</v>
      </c>
      <c r="H1382" s="26">
        <f>IF(A1382="","",COUNT(D1382:G1382))</f>
        <v>0</v>
      </c>
      <c r="I1382" s="27">
        <f>IF(A1382="","",IF(H1382=0,"",AVERAGE(D1382:G1382)))</f>
        <v>0</v>
      </c>
      <c r="J1382" s="27">
        <f>IF(OR(I1382="",C1382=""),"",I1382-C1382)</f>
        <v>0</v>
      </c>
      <c r="K1382" s="26">
        <f>IF(A1382="","",IF(MES!E1382&lt;&gt;4,"Horário do MES fora do padrão",IF(H1382&lt;cfgMinCortes,"Cortes insuficientes","Válida")))</f>
        <v>0</v>
      </c>
      <c r="L1382" s="27">
        <f>IF(K1382="Válida",ABS(J1382),"")</f>
        <v>0</v>
      </c>
      <c r="M1382" s="26">
        <f>IF(K1382="Válida",IF(L1382&lt;=cfgTolerancia,"Sim","Não"),"")</f>
        <v>0</v>
      </c>
      <c r="N1382" s="26">
        <f>IF(A1382="","",MES!D1382)</f>
        <v>0</v>
      </c>
      <c r="O1382" s="25">
        <f>IF(K1382="Válida",A1382,NA())</f>
        <v>0</v>
      </c>
      <c r="P1382" s="27">
        <f>IF(K1382="Válida",C1382,NA())</f>
        <v>0</v>
      </c>
      <c r="Q1382" s="27">
        <f>IF(K1382="Válida",I1382,NA())</f>
        <v>0</v>
      </c>
      <c r="R1382" s="27">
        <f>IF(K1382="Válida",J1382,NA())</f>
        <v>0</v>
      </c>
      <c r="S1382" s="27">
        <f>IF(K1382="Válida",C1382,"")</f>
        <v>0</v>
      </c>
      <c r="T1382" s="27">
        <f>IF(K1382="Válida",I1382,"")</f>
        <v>0</v>
      </c>
      <c r="U1382" s="27">
        <f>IF(K1382="Válida",J1382,"")</f>
        <v>0</v>
      </c>
    </row>
    <row r="1383" spans="1:21">
      <c r="A1383" s="25">
        <f>IF(MES!A1383="","",MES!C1383/48)</f>
        <v>0</v>
      </c>
      <c r="B1383" s="26">
        <f>IF(A1383="","",TEXT((N1383*4+cfgDeslocamento)/48,"hh:mm")&amp;" a "&amp;TEXT(A1383,"hh:mm"))</f>
        <v>0</v>
      </c>
      <c r="C1383" s="27">
        <f>IF(A1383="","",MES!B1383)</f>
        <v>0</v>
      </c>
      <c r="D1383" s="27">
        <f>IF(A1383="","",IFERROR(AVERAGEIFS(Prensa!$B$2:$B$5001,Prensa!$E$2:$E$5001,N1383,Prensa!$F$2:$F$5001,1,Prensa!$G$2:$G$5001,1),""))</f>
        <v>0</v>
      </c>
      <c r="E1383" s="27">
        <f>IF(A1383="","",IFERROR(AVERAGEIFS(Prensa!$B$2:$B$5001,Prensa!$E$2:$E$5001,N1383,Prensa!$F$2:$F$5001,2,Prensa!$G$2:$G$5001,1),""))</f>
        <v>0</v>
      </c>
      <c r="F1383" s="27">
        <f>IF(A1383="","",IFERROR(AVERAGEIFS(Prensa!$B$2:$B$5001,Prensa!$E$2:$E$5001,N1383,Prensa!$F$2:$F$5001,3,Prensa!$G$2:$G$5001,1),""))</f>
        <v>0</v>
      </c>
      <c r="G1383" s="27">
        <f>IF(A1383="","",IFERROR(AVERAGEIFS(Prensa!$B$2:$B$5001,Prensa!$E$2:$E$5001,N1383,Prensa!$F$2:$F$5001,4,Prensa!$G$2:$G$5001,1),""))</f>
        <v>0</v>
      </c>
      <c r="H1383" s="26">
        <f>IF(A1383="","",COUNT(D1383:G1383))</f>
        <v>0</v>
      </c>
      <c r="I1383" s="27">
        <f>IF(A1383="","",IF(H1383=0,"",AVERAGE(D1383:G1383)))</f>
        <v>0</v>
      </c>
      <c r="J1383" s="27">
        <f>IF(OR(I1383="",C1383=""),"",I1383-C1383)</f>
        <v>0</v>
      </c>
      <c r="K1383" s="26">
        <f>IF(A1383="","",IF(MES!E1383&lt;&gt;4,"Horário do MES fora do padrão",IF(H1383&lt;cfgMinCortes,"Cortes insuficientes","Válida")))</f>
        <v>0</v>
      </c>
      <c r="L1383" s="27">
        <f>IF(K1383="Válida",ABS(J1383),"")</f>
        <v>0</v>
      </c>
      <c r="M1383" s="26">
        <f>IF(K1383="Válida",IF(L1383&lt;=cfgTolerancia,"Sim","Não"),"")</f>
        <v>0</v>
      </c>
      <c r="N1383" s="26">
        <f>IF(A1383="","",MES!D1383)</f>
        <v>0</v>
      </c>
      <c r="O1383" s="25">
        <f>IF(K1383="Válida",A1383,NA())</f>
        <v>0</v>
      </c>
      <c r="P1383" s="27">
        <f>IF(K1383="Válida",C1383,NA())</f>
        <v>0</v>
      </c>
      <c r="Q1383" s="27">
        <f>IF(K1383="Válida",I1383,NA())</f>
        <v>0</v>
      </c>
      <c r="R1383" s="27">
        <f>IF(K1383="Válida",J1383,NA())</f>
        <v>0</v>
      </c>
      <c r="S1383" s="27">
        <f>IF(K1383="Válida",C1383,"")</f>
        <v>0</v>
      </c>
      <c r="T1383" s="27">
        <f>IF(K1383="Válida",I1383,"")</f>
        <v>0</v>
      </c>
      <c r="U1383" s="27">
        <f>IF(K1383="Válida",J1383,"")</f>
        <v>0</v>
      </c>
    </row>
    <row r="1384" spans="1:21">
      <c r="A1384" s="25">
        <f>IF(MES!A1384="","",MES!C1384/48)</f>
        <v>0</v>
      </c>
      <c r="B1384" s="26">
        <f>IF(A1384="","",TEXT((N1384*4+cfgDeslocamento)/48,"hh:mm")&amp;" a "&amp;TEXT(A1384,"hh:mm"))</f>
        <v>0</v>
      </c>
      <c r="C1384" s="27">
        <f>IF(A1384="","",MES!B1384)</f>
        <v>0</v>
      </c>
      <c r="D1384" s="27">
        <f>IF(A1384="","",IFERROR(AVERAGEIFS(Prensa!$B$2:$B$5001,Prensa!$E$2:$E$5001,N1384,Prensa!$F$2:$F$5001,1,Prensa!$G$2:$G$5001,1),""))</f>
        <v>0</v>
      </c>
      <c r="E1384" s="27">
        <f>IF(A1384="","",IFERROR(AVERAGEIFS(Prensa!$B$2:$B$5001,Prensa!$E$2:$E$5001,N1384,Prensa!$F$2:$F$5001,2,Prensa!$G$2:$G$5001,1),""))</f>
        <v>0</v>
      </c>
      <c r="F1384" s="27">
        <f>IF(A1384="","",IFERROR(AVERAGEIFS(Prensa!$B$2:$B$5001,Prensa!$E$2:$E$5001,N1384,Prensa!$F$2:$F$5001,3,Prensa!$G$2:$G$5001,1),""))</f>
        <v>0</v>
      </c>
      <c r="G1384" s="27">
        <f>IF(A1384="","",IFERROR(AVERAGEIFS(Prensa!$B$2:$B$5001,Prensa!$E$2:$E$5001,N1384,Prensa!$F$2:$F$5001,4,Prensa!$G$2:$G$5001,1),""))</f>
        <v>0</v>
      </c>
      <c r="H1384" s="26">
        <f>IF(A1384="","",COUNT(D1384:G1384))</f>
        <v>0</v>
      </c>
      <c r="I1384" s="27">
        <f>IF(A1384="","",IF(H1384=0,"",AVERAGE(D1384:G1384)))</f>
        <v>0</v>
      </c>
      <c r="J1384" s="27">
        <f>IF(OR(I1384="",C1384=""),"",I1384-C1384)</f>
        <v>0</v>
      </c>
      <c r="K1384" s="26">
        <f>IF(A1384="","",IF(MES!E1384&lt;&gt;4,"Horário do MES fora do padrão",IF(H1384&lt;cfgMinCortes,"Cortes insuficientes","Válida")))</f>
        <v>0</v>
      </c>
      <c r="L1384" s="27">
        <f>IF(K1384="Válida",ABS(J1384),"")</f>
        <v>0</v>
      </c>
      <c r="M1384" s="26">
        <f>IF(K1384="Válida",IF(L1384&lt;=cfgTolerancia,"Sim","Não"),"")</f>
        <v>0</v>
      </c>
      <c r="N1384" s="26">
        <f>IF(A1384="","",MES!D1384)</f>
        <v>0</v>
      </c>
      <c r="O1384" s="25">
        <f>IF(K1384="Válida",A1384,NA())</f>
        <v>0</v>
      </c>
      <c r="P1384" s="27">
        <f>IF(K1384="Válida",C1384,NA())</f>
        <v>0</v>
      </c>
      <c r="Q1384" s="27">
        <f>IF(K1384="Válida",I1384,NA())</f>
        <v>0</v>
      </c>
      <c r="R1384" s="27">
        <f>IF(K1384="Válida",J1384,NA())</f>
        <v>0</v>
      </c>
      <c r="S1384" s="27">
        <f>IF(K1384="Válida",C1384,"")</f>
        <v>0</v>
      </c>
      <c r="T1384" s="27">
        <f>IF(K1384="Válida",I1384,"")</f>
        <v>0</v>
      </c>
      <c r="U1384" s="27">
        <f>IF(K1384="Válida",J1384,"")</f>
        <v>0</v>
      </c>
    </row>
    <row r="1385" spans="1:21">
      <c r="A1385" s="25">
        <f>IF(MES!A1385="","",MES!C1385/48)</f>
        <v>0</v>
      </c>
      <c r="B1385" s="26">
        <f>IF(A1385="","",TEXT((N1385*4+cfgDeslocamento)/48,"hh:mm")&amp;" a "&amp;TEXT(A1385,"hh:mm"))</f>
        <v>0</v>
      </c>
      <c r="C1385" s="27">
        <f>IF(A1385="","",MES!B1385)</f>
        <v>0</v>
      </c>
      <c r="D1385" s="27">
        <f>IF(A1385="","",IFERROR(AVERAGEIFS(Prensa!$B$2:$B$5001,Prensa!$E$2:$E$5001,N1385,Prensa!$F$2:$F$5001,1,Prensa!$G$2:$G$5001,1),""))</f>
        <v>0</v>
      </c>
      <c r="E1385" s="27">
        <f>IF(A1385="","",IFERROR(AVERAGEIFS(Prensa!$B$2:$B$5001,Prensa!$E$2:$E$5001,N1385,Prensa!$F$2:$F$5001,2,Prensa!$G$2:$G$5001,1),""))</f>
        <v>0</v>
      </c>
      <c r="F1385" s="27">
        <f>IF(A1385="","",IFERROR(AVERAGEIFS(Prensa!$B$2:$B$5001,Prensa!$E$2:$E$5001,N1385,Prensa!$F$2:$F$5001,3,Prensa!$G$2:$G$5001,1),""))</f>
        <v>0</v>
      </c>
      <c r="G1385" s="27">
        <f>IF(A1385="","",IFERROR(AVERAGEIFS(Prensa!$B$2:$B$5001,Prensa!$E$2:$E$5001,N1385,Prensa!$F$2:$F$5001,4,Prensa!$G$2:$G$5001,1),""))</f>
        <v>0</v>
      </c>
      <c r="H1385" s="26">
        <f>IF(A1385="","",COUNT(D1385:G1385))</f>
        <v>0</v>
      </c>
      <c r="I1385" s="27">
        <f>IF(A1385="","",IF(H1385=0,"",AVERAGE(D1385:G1385)))</f>
        <v>0</v>
      </c>
      <c r="J1385" s="27">
        <f>IF(OR(I1385="",C1385=""),"",I1385-C1385)</f>
        <v>0</v>
      </c>
      <c r="K1385" s="26">
        <f>IF(A1385="","",IF(MES!E1385&lt;&gt;4,"Horário do MES fora do padrão",IF(H1385&lt;cfgMinCortes,"Cortes insuficientes","Válida")))</f>
        <v>0</v>
      </c>
      <c r="L1385" s="27">
        <f>IF(K1385="Válida",ABS(J1385),"")</f>
        <v>0</v>
      </c>
      <c r="M1385" s="26">
        <f>IF(K1385="Válida",IF(L1385&lt;=cfgTolerancia,"Sim","Não"),"")</f>
        <v>0</v>
      </c>
      <c r="N1385" s="26">
        <f>IF(A1385="","",MES!D1385)</f>
        <v>0</v>
      </c>
      <c r="O1385" s="25">
        <f>IF(K1385="Válida",A1385,NA())</f>
        <v>0</v>
      </c>
      <c r="P1385" s="27">
        <f>IF(K1385="Válida",C1385,NA())</f>
        <v>0</v>
      </c>
      <c r="Q1385" s="27">
        <f>IF(K1385="Válida",I1385,NA())</f>
        <v>0</v>
      </c>
      <c r="R1385" s="27">
        <f>IF(K1385="Válida",J1385,NA())</f>
        <v>0</v>
      </c>
      <c r="S1385" s="27">
        <f>IF(K1385="Válida",C1385,"")</f>
        <v>0</v>
      </c>
      <c r="T1385" s="27">
        <f>IF(K1385="Válida",I1385,"")</f>
        <v>0</v>
      </c>
      <c r="U1385" s="27">
        <f>IF(K1385="Válida",J1385,"")</f>
        <v>0</v>
      </c>
    </row>
    <row r="1386" spans="1:21">
      <c r="A1386" s="25">
        <f>IF(MES!A1386="","",MES!C1386/48)</f>
        <v>0</v>
      </c>
      <c r="B1386" s="26">
        <f>IF(A1386="","",TEXT((N1386*4+cfgDeslocamento)/48,"hh:mm")&amp;" a "&amp;TEXT(A1386,"hh:mm"))</f>
        <v>0</v>
      </c>
      <c r="C1386" s="27">
        <f>IF(A1386="","",MES!B1386)</f>
        <v>0</v>
      </c>
      <c r="D1386" s="27">
        <f>IF(A1386="","",IFERROR(AVERAGEIFS(Prensa!$B$2:$B$5001,Prensa!$E$2:$E$5001,N1386,Prensa!$F$2:$F$5001,1,Prensa!$G$2:$G$5001,1),""))</f>
        <v>0</v>
      </c>
      <c r="E1386" s="27">
        <f>IF(A1386="","",IFERROR(AVERAGEIFS(Prensa!$B$2:$B$5001,Prensa!$E$2:$E$5001,N1386,Prensa!$F$2:$F$5001,2,Prensa!$G$2:$G$5001,1),""))</f>
        <v>0</v>
      </c>
      <c r="F1386" s="27">
        <f>IF(A1386="","",IFERROR(AVERAGEIFS(Prensa!$B$2:$B$5001,Prensa!$E$2:$E$5001,N1386,Prensa!$F$2:$F$5001,3,Prensa!$G$2:$G$5001,1),""))</f>
        <v>0</v>
      </c>
      <c r="G1386" s="27">
        <f>IF(A1386="","",IFERROR(AVERAGEIFS(Prensa!$B$2:$B$5001,Prensa!$E$2:$E$5001,N1386,Prensa!$F$2:$F$5001,4,Prensa!$G$2:$G$5001,1),""))</f>
        <v>0</v>
      </c>
      <c r="H1386" s="26">
        <f>IF(A1386="","",COUNT(D1386:G1386))</f>
        <v>0</v>
      </c>
      <c r="I1386" s="27">
        <f>IF(A1386="","",IF(H1386=0,"",AVERAGE(D1386:G1386)))</f>
        <v>0</v>
      </c>
      <c r="J1386" s="27">
        <f>IF(OR(I1386="",C1386=""),"",I1386-C1386)</f>
        <v>0</v>
      </c>
      <c r="K1386" s="26">
        <f>IF(A1386="","",IF(MES!E1386&lt;&gt;4,"Horário do MES fora do padrão",IF(H1386&lt;cfgMinCortes,"Cortes insuficientes","Válida")))</f>
        <v>0</v>
      </c>
      <c r="L1386" s="27">
        <f>IF(K1386="Válida",ABS(J1386),"")</f>
        <v>0</v>
      </c>
      <c r="M1386" s="26">
        <f>IF(K1386="Válida",IF(L1386&lt;=cfgTolerancia,"Sim","Não"),"")</f>
        <v>0</v>
      </c>
      <c r="N1386" s="26">
        <f>IF(A1386="","",MES!D1386)</f>
        <v>0</v>
      </c>
      <c r="O1386" s="25">
        <f>IF(K1386="Válida",A1386,NA())</f>
        <v>0</v>
      </c>
      <c r="P1386" s="27">
        <f>IF(K1386="Válida",C1386,NA())</f>
        <v>0</v>
      </c>
      <c r="Q1386" s="27">
        <f>IF(K1386="Válida",I1386,NA())</f>
        <v>0</v>
      </c>
      <c r="R1386" s="27">
        <f>IF(K1386="Válida",J1386,NA())</f>
        <v>0</v>
      </c>
      <c r="S1386" s="27">
        <f>IF(K1386="Válida",C1386,"")</f>
        <v>0</v>
      </c>
      <c r="T1386" s="27">
        <f>IF(K1386="Válida",I1386,"")</f>
        <v>0</v>
      </c>
      <c r="U1386" s="27">
        <f>IF(K1386="Válida",J1386,"")</f>
        <v>0</v>
      </c>
    </row>
    <row r="1387" spans="1:21">
      <c r="A1387" s="25">
        <f>IF(MES!A1387="","",MES!C1387/48)</f>
        <v>0</v>
      </c>
      <c r="B1387" s="26">
        <f>IF(A1387="","",TEXT((N1387*4+cfgDeslocamento)/48,"hh:mm")&amp;" a "&amp;TEXT(A1387,"hh:mm"))</f>
        <v>0</v>
      </c>
      <c r="C1387" s="27">
        <f>IF(A1387="","",MES!B1387)</f>
        <v>0</v>
      </c>
      <c r="D1387" s="27">
        <f>IF(A1387="","",IFERROR(AVERAGEIFS(Prensa!$B$2:$B$5001,Prensa!$E$2:$E$5001,N1387,Prensa!$F$2:$F$5001,1,Prensa!$G$2:$G$5001,1),""))</f>
        <v>0</v>
      </c>
      <c r="E1387" s="27">
        <f>IF(A1387="","",IFERROR(AVERAGEIFS(Prensa!$B$2:$B$5001,Prensa!$E$2:$E$5001,N1387,Prensa!$F$2:$F$5001,2,Prensa!$G$2:$G$5001,1),""))</f>
        <v>0</v>
      </c>
      <c r="F1387" s="27">
        <f>IF(A1387="","",IFERROR(AVERAGEIFS(Prensa!$B$2:$B$5001,Prensa!$E$2:$E$5001,N1387,Prensa!$F$2:$F$5001,3,Prensa!$G$2:$G$5001,1),""))</f>
        <v>0</v>
      </c>
      <c r="G1387" s="27">
        <f>IF(A1387="","",IFERROR(AVERAGEIFS(Prensa!$B$2:$B$5001,Prensa!$E$2:$E$5001,N1387,Prensa!$F$2:$F$5001,4,Prensa!$G$2:$G$5001,1),""))</f>
        <v>0</v>
      </c>
      <c r="H1387" s="26">
        <f>IF(A1387="","",COUNT(D1387:G1387))</f>
        <v>0</v>
      </c>
      <c r="I1387" s="27">
        <f>IF(A1387="","",IF(H1387=0,"",AVERAGE(D1387:G1387)))</f>
        <v>0</v>
      </c>
      <c r="J1387" s="27">
        <f>IF(OR(I1387="",C1387=""),"",I1387-C1387)</f>
        <v>0</v>
      </c>
      <c r="K1387" s="26">
        <f>IF(A1387="","",IF(MES!E1387&lt;&gt;4,"Horário do MES fora do padrão",IF(H1387&lt;cfgMinCortes,"Cortes insuficientes","Válida")))</f>
        <v>0</v>
      </c>
      <c r="L1387" s="27">
        <f>IF(K1387="Válida",ABS(J1387),"")</f>
        <v>0</v>
      </c>
      <c r="M1387" s="26">
        <f>IF(K1387="Válida",IF(L1387&lt;=cfgTolerancia,"Sim","Não"),"")</f>
        <v>0</v>
      </c>
      <c r="N1387" s="26">
        <f>IF(A1387="","",MES!D1387)</f>
        <v>0</v>
      </c>
      <c r="O1387" s="25">
        <f>IF(K1387="Válida",A1387,NA())</f>
        <v>0</v>
      </c>
      <c r="P1387" s="27">
        <f>IF(K1387="Válida",C1387,NA())</f>
        <v>0</v>
      </c>
      <c r="Q1387" s="27">
        <f>IF(K1387="Válida",I1387,NA())</f>
        <v>0</v>
      </c>
      <c r="R1387" s="27">
        <f>IF(K1387="Válida",J1387,NA())</f>
        <v>0</v>
      </c>
      <c r="S1387" s="27">
        <f>IF(K1387="Válida",C1387,"")</f>
        <v>0</v>
      </c>
      <c r="T1387" s="27">
        <f>IF(K1387="Válida",I1387,"")</f>
        <v>0</v>
      </c>
      <c r="U1387" s="27">
        <f>IF(K1387="Válida",J1387,"")</f>
        <v>0</v>
      </c>
    </row>
    <row r="1388" spans="1:21">
      <c r="A1388" s="25">
        <f>IF(MES!A1388="","",MES!C1388/48)</f>
        <v>0</v>
      </c>
      <c r="B1388" s="26">
        <f>IF(A1388="","",TEXT((N1388*4+cfgDeslocamento)/48,"hh:mm")&amp;" a "&amp;TEXT(A1388,"hh:mm"))</f>
        <v>0</v>
      </c>
      <c r="C1388" s="27">
        <f>IF(A1388="","",MES!B1388)</f>
        <v>0</v>
      </c>
      <c r="D1388" s="27">
        <f>IF(A1388="","",IFERROR(AVERAGEIFS(Prensa!$B$2:$B$5001,Prensa!$E$2:$E$5001,N1388,Prensa!$F$2:$F$5001,1,Prensa!$G$2:$G$5001,1),""))</f>
        <v>0</v>
      </c>
      <c r="E1388" s="27">
        <f>IF(A1388="","",IFERROR(AVERAGEIFS(Prensa!$B$2:$B$5001,Prensa!$E$2:$E$5001,N1388,Prensa!$F$2:$F$5001,2,Prensa!$G$2:$G$5001,1),""))</f>
        <v>0</v>
      </c>
      <c r="F1388" s="27">
        <f>IF(A1388="","",IFERROR(AVERAGEIFS(Prensa!$B$2:$B$5001,Prensa!$E$2:$E$5001,N1388,Prensa!$F$2:$F$5001,3,Prensa!$G$2:$G$5001,1),""))</f>
        <v>0</v>
      </c>
      <c r="G1388" s="27">
        <f>IF(A1388="","",IFERROR(AVERAGEIFS(Prensa!$B$2:$B$5001,Prensa!$E$2:$E$5001,N1388,Prensa!$F$2:$F$5001,4,Prensa!$G$2:$G$5001,1),""))</f>
        <v>0</v>
      </c>
      <c r="H1388" s="26">
        <f>IF(A1388="","",COUNT(D1388:G1388))</f>
        <v>0</v>
      </c>
      <c r="I1388" s="27">
        <f>IF(A1388="","",IF(H1388=0,"",AVERAGE(D1388:G1388)))</f>
        <v>0</v>
      </c>
      <c r="J1388" s="27">
        <f>IF(OR(I1388="",C1388=""),"",I1388-C1388)</f>
        <v>0</v>
      </c>
      <c r="K1388" s="26">
        <f>IF(A1388="","",IF(MES!E1388&lt;&gt;4,"Horário do MES fora do padrão",IF(H1388&lt;cfgMinCortes,"Cortes insuficientes","Válida")))</f>
        <v>0</v>
      </c>
      <c r="L1388" s="27">
        <f>IF(K1388="Válida",ABS(J1388),"")</f>
        <v>0</v>
      </c>
      <c r="M1388" s="26">
        <f>IF(K1388="Válida",IF(L1388&lt;=cfgTolerancia,"Sim","Não"),"")</f>
        <v>0</v>
      </c>
      <c r="N1388" s="26">
        <f>IF(A1388="","",MES!D1388)</f>
        <v>0</v>
      </c>
      <c r="O1388" s="25">
        <f>IF(K1388="Válida",A1388,NA())</f>
        <v>0</v>
      </c>
      <c r="P1388" s="27">
        <f>IF(K1388="Válida",C1388,NA())</f>
        <v>0</v>
      </c>
      <c r="Q1388" s="27">
        <f>IF(K1388="Válida",I1388,NA())</f>
        <v>0</v>
      </c>
      <c r="R1388" s="27">
        <f>IF(K1388="Válida",J1388,NA())</f>
        <v>0</v>
      </c>
      <c r="S1388" s="27">
        <f>IF(K1388="Válida",C1388,"")</f>
        <v>0</v>
      </c>
      <c r="T1388" s="27">
        <f>IF(K1388="Válida",I1388,"")</f>
        <v>0</v>
      </c>
      <c r="U1388" s="27">
        <f>IF(K1388="Válida",J1388,"")</f>
        <v>0</v>
      </c>
    </row>
    <row r="1389" spans="1:21">
      <c r="A1389" s="25">
        <f>IF(MES!A1389="","",MES!C1389/48)</f>
        <v>0</v>
      </c>
      <c r="B1389" s="26">
        <f>IF(A1389="","",TEXT((N1389*4+cfgDeslocamento)/48,"hh:mm")&amp;" a "&amp;TEXT(A1389,"hh:mm"))</f>
        <v>0</v>
      </c>
      <c r="C1389" s="27">
        <f>IF(A1389="","",MES!B1389)</f>
        <v>0</v>
      </c>
      <c r="D1389" s="27">
        <f>IF(A1389="","",IFERROR(AVERAGEIFS(Prensa!$B$2:$B$5001,Prensa!$E$2:$E$5001,N1389,Prensa!$F$2:$F$5001,1,Prensa!$G$2:$G$5001,1),""))</f>
        <v>0</v>
      </c>
      <c r="E1389" s="27">
        <f>IF(A1389="","",IFERROR(AVERAGEIFS(Prensa!$B$2:$B$5001,Prensa!$E$2:$E$5001,N1389,Prensa!$F$2:$F$5001,2,Prensa!$G$2:$G$5001,1),""))</f>
        <v>0</v>
      </c>
      <c r="F1389" s="27">
        <f>IF(A1389="","",IFERROR(AVERAGEIFS(Prensa!$B$2:$B$5001,Prensa!$E$2:$E$5001,N1389,Prensa!$F$2:$F$5001,3,Prensa!$G$2:$G$5001,1),""))</f>
        <v>0</v>
      </c>
      <c r="G1389" s="27">
        <f>IF(A1389="","",IFERROR(AVERAGEIFS(Prensa!$B$2:$B$5001,Prensa!$E$2:$E$5001,N1389,Prensa!$F$2:$F$5001,4,Prensa!$G$2:$G$5001,1),""))</f>
        <v>0</v>
      </c>
      <c r="H1389" s="26">
        <f>IF(A1389="","",COUNT(D1389:G1389))</f>
        <v>0</v>
      </c>
      <c r="I1389" s="27">
        <f>IF(A1389="","",IF(H1389=0,"",AVERAGE(D1389:G1389)))</f>
        <v>0</v>
      </c>
      <c r="J1389" s="27">
        <f>IF(OR(I1389="",C1389=""),"",I1389-C1389)</f>
        <v>0</v>
      </c>
      <c r="K1389" s="26">
        <f>IF(A1389="","",IF(MES!E1389&lt;&gt;4,"Horário do MES fora do padrão",IF(H1389&lt;cfgMinCortes,"Cortes insuficientes","Válida")))</f>
        <v>0</v>
      </c>
      <c r="L1389" s="27">
        <f>IF(K1389="Válida",ABS(J1389),"")</f>
        <v>0</v>
      </c>
      <c r="M1389" s="26">
        <f>IF(K1389="Válida",IF(L1389&lt;=cfgTolerancia,"Sim","Não"),"")</f>
        <v>0</v>
      </c>
      <c r="N1389" s="26">
        <f>IF(A1389="","",MES!D1389)</f>
        <v>0</v>
      </c>
      <c r="O1389" s="25">
        <f>IF(K1389="Válida",A1389,NA())</f>
        <v>0</v>
      </c>
      <c r="P1389" s="27">
        <f>IF(K1389="Válida",C1389,NA())</f>
        <v>0</v>
      </c>
      <c r="Q1389" s="27">
        <f>IF(K1389="Válida",I1389,NA())</f>
        <v>0</v>
      </c>
      <c r="R1389" s="27">
        <f>IF(K1389="Válida",J1389,NA())</f>
        <v>0</v>
      </c>
      <c r="S1389" s="27">
        <f>IF(K1389="Válida",C1389,"")</f>
        <v>0</v>
      </c>
      <c r="T1389" s="27">
        <f>IF(K1389="Válida",I1389,"")</f>
        <v>0</v>
      </c>
      <c r="U1389" s="27">
        <f>IF(K1389="Válida",J1389,"")</f>
        <v>0</v>
      </c>
    </row>
    <row r="1390" spans="1:21">
      <c r="A1390" s="25">
        <f>IF(MES!A1390="","",MES!C1390/48)</f>
        <v>0</v>
      </c>
      <c r="B1390" s="26">
        <f>IF(A1390="","",TEXT((N1390*4+cfgDeslocamento)/48,"hh:mm")&amp;" a "&amp;TEXT(A1390,"hh:mm"))</f>
        <v>0</v>
      </c>
      <c r="C1390" s="27">
        <f>IF(A1390="","",MES!B1390)</f>
        <v>0</v>
      </c>
      <c r="D1390" s="27">
        <f>IF(A1390="","",IFERROR(AVERAGEIFS(Prensa!$B$2:$B$5001,Prensa!$E$2:$E$5001,N1390,Prensa!$F$2:$F$5001,1,Prensa!$G$2:$G$5001,1),""))</f>
        <v>0</v>
      </c>
      <c r="E1390" s="27">
        <f>IF(A1390="","",IFERROR(AVERAGEIFS(Prensa!$B$2:$B$5001,Prensa!$E$2:$E$5001,N1390,Prensa!$F$2:$F$5001,2,Prensa!$G$2:$G$5001,1),""))</f>
        <v>0</v>
      </c>
      <c r="F1390" s="27">
        <f>IF(A1390="","",IFERROR(AVERAGEIFS(Prensa!$B$2:$B$5001,Prensa!$E$2:$E$5001,N1390,Prensa!$F$2:$F$5001,3,Prensa!$G$2:$G$5001,1),""))</f>
        <v>0</v>
      </c>
      <c r="G1390" s="27">
        <f>IF(A1390="","",IFERROR(AVERAGEIFS(Prensa!$B$2:$B$5001,Prensa!$E$2:$E$5001,N1390,Prensa!$F$2:$F$5001,4,Prensa!$G$2:$G$5001,1),""))</f>
        <v>0</v>
      </c>
      <c r="H1390" s="26">
        <f>IF(A1390="","",COUNT(D1390:G1390))</f>
        <v>0</v>
      </c>
      <c r="I1390" s="27">
        <f>IF(A1390="","",IF(H1390=0,"",AVERAGE(D1390:G1390)))</f>
        <v>0</v>
      </c>
      <c r="J1390" s="27">
        <f>IF(OR(I1390="",C1390=""),"",I1390-C1390)</f>
        <v>0</v>
      </c>
      <c r="K1390" s="26">
        <f>IF(A1390="","",IF(MES!E1390&lt;&gt;4,"Horário do MES fora do padrão",IF(H1390&lt;cfgMinCortes,"Cortes insuficientes","Válida")))</f>
        <v>0</v>
      </c>
      <c r="L1390" s="27">
        <f>IF(K1390="Válida",ABS(J1390),"")</f>
        <v>0</v>
      </c>
      <c r="M1390" s="26">
        <f>IF(K1390="Válida",IF(L1390&lt;=cfgTolerancia,"Sim","Não"),"")</f>
        <v>0</v>
      </c>
      <c r="N1390" s="26">
        <f>IF(A1390="","",MES!D1390)</f>
        <v>0</v>
      </c>
      <c r="O1390" s="25">
        <f>IF(K1390="Válida",A1390,NA())</f>
        <v>0</v>
      </c>
      <c r="P1390" s="27">
        <f>IF(K1390="Válida",C1390,NA())</f>
        <v>0</v>
      </c>
      <c r="Q1390" s="27">
        <f>IF(K1390="Válida",I1390,NA())</f>
        <v>0</v>
      </c>
      <c r="R1390" s="27">
        <f>IF(K1390="Válida",J1390,NA())</f>
        <v>0</v>
      </c>
      <c r="S1390" s="27">
        <f>IF(K1390="Válida",C1390,"")</f>
        <v>0</v>
      </c>
      <c r="T1390" s="27">
        <f>IF(K1390="Válida",I1390,"")</f>
        <v>0</v>
      </c>
      <c r="U1390" s="27">
        <f>IF(K1390="Válida",J1390,"")</f>
        <v>0</v>
      </c>
    </row>
    <row r="1391" spans="1:21">
      <c r="A1391" s="25">
        <f>IF(MES!A1391="","",MES!C1391/48)</f>
        <v>0</v>
      </c>
      <c r="B1391" s="26">
        <f>IF(A1391="","",TEXT((N1391*4+cfgDeslocamento)/48,"hh:mm")&amp;" a "&amp;TEXT(A1391,"hh:mm"))</f>
        <v>0</v>
      </c>
      <c r="C1391" s="27">
        <f>IF(A1391="","",MES!B1391)</f>
        <v>0</v>
      </c>
      <c r="D1391" s="27">
        <f>IF(A1391="","",IFERROR(AVERAGEIFS(Prensa!$B$2:$B$5001,Prensa!$E$2:$E$5001,N1391,Prensa!$F$2:$F$5001,1,Prensa!$G$2:$G$5001,1),""))</f>
        <v>0</v>
      </c>
      <c r="E1391" s="27">
        <f>IF(A1391="","",IFERROR(AVERAGEIFS(Prensa!$B$2:$B$5001,Prensa!$E$2:$E$5001,N1391,Prensa!$F$2:$F$5001,2,Prensa!$G$2:$G$5001,1),""))</f>
        <v>0</v>
      </c>
      <c r="F1391" s="27">
        <f>IF(A1391="","",IFERROR(AVERAGEIFS(Prensa!$B$2:$B$5001,Prensa!$E$2:$E$5001,N1391,Prensa!$F$2:$F$5001,3,Prensa!$G$2:$G$5001,1),""))</f>
        <v>0</v>
      </c>
      <c r="G1391" s="27">
        <f>IF(A1391="","",IFERROR(AVERAGEIFS(Prensa!$B$2:$B$5001,Prensa!$E$2:$E$5001,N1391,Prensa!$F$2:$F$5001,4,Prensa!$G$2:$G$5001,1),""))</f>
        <v>0</v>
      </c>
      <c r="H1391" s="26">
        <f>IF(A1391="","",COUNT(D1391:G1391))</f>
        <v>0</v>
      </c>
      <c r="I1391" s="27">
        <f>IF(A1391="","",IF(H1391=0,"",AVERAGE(D1391:G1391)))</f>
        <v>0</v>
      </c>
      <c r="J1391" s="27">
        <f>IF(OR(I1391="",C1391=""),"",I1391-C1391)</f>
        <v>0</v>
      </c>
      <c r="K1391" s="26">
        <f>IF(A1391="","",IF(MES!E1391&lt;&gt;4,"Horário do MES fora do padrão",IF(H1391&lt;cfgMinCortes,"Cortes insuficientes","Válida")))</f>
        <v>0</v>
      </c>
      <c r="L1391" s="27">
        <f>IF(K1391="Válida",ABS(J1391),"")</f>
        <v>0</v>
      </c>
      <c r="M1391" s="26">
        <f>IF(K1391="Válida",IF(L1391&lt;=cfgTolerancia,"Sim","Não"),"")</f>
        <v>0</v>
      </c>
      <c r="N1391" s="26">
        <f>IF(A1391="","",MES!D1391)</f>
        <v>0</v>
      </c>
      <c r="O1391" s="25">
        <f>IF(K1391="Válida",A1391,NA())</f>
        <v>0</v>
      </c>
      <c r="P1391" s="27">
        <f>IF(K1391="Válida",C1391,NA())</f>
        <v>0</v>
      </c>
      <c r="Q1391" s="27">
        <f>IF(K1391="Válida",I1391,NA())</f>
        <v>0</v>
      </c>
      <c r="R1391" s="27">
        <f>IF(K1391="Válida",J1391,NA())</f>
        <v>0</v>
      </c>
      <c r="S1391" s="27">
        <f>IF(K1391="Válida",C1391,"")</f>
        <v>0</v>
      </c>
      <c r="T1391" s="27">
        <f>IF(K1391="Válida",I1391,"")</f>
        <v>0</v>
      </c>
      <c r="U1391" s="27">
        <f>IF(K1391="Válida",J1391,"")</f>
        <v>0</v>
      </c>
    </row>
    <row r="1392" spans="1:21">
      <c r="A1392" s="25">
        <f>IF(MES!A1392="","",MES!C1392/48)</f>
        <v>0</v>
      </c>
      <c r="B1392" s="26">
        <f>IF(A1392="","",TEXT((N1392*4+cfgDeslocamento)/48,"hh:mm")&amp;" a "&amp;TEXT(A1392,"hh:mm"))</f>
        <v>0</v>
      </c>
      <c r="C1392" s="27">
        <f>IF(A1392="","",MES!B1392)</f>
        <v>0</v>
      </c>
      <c r="D1392" s="27">
        <f>IF(A1392="","",IFERROR(AVERAGEIFS(Prensa!$B$2:$B$5001,Prensa!$E$2:$E$5001,N1392,Prensa!$F$2:$F$5001,1,Prensa!$G$2:$G$5001,1),""))</f>
        <v>0</v>
      </c>
      <c r="E1392" s="27">
        <f>IF(A1392="","",IFERROR(AVERAGEIFS(Prensa!$B$2:$B$5001,Prensa!$E$2:$E$5001,N1392,Prensa!$F$2:$F$5001,2,Prensa!$G$2:$G$5001,1),""))</f>
        <v>0</v>
      </c>
      <c r="F1392" s="27">
        <f>IF(A1392="","",IFERROR(AVERAGEIFS(Prensa!$B$2:$B$5001,Prensa!$E$2:$E$5001,N1392,Prensa!$F$2:$F$5001,3,Prensa!$G$2:$G$5001,1),""))</f>
        <v>0</v>
      </c>
      <c r="G1392" s="27">
        <f>IF(A1392="","",IFERROR(AVERAGEIFS(Prensa!$B$2:$B$5001,Prensa!$E$2:$E$5001,N1392,Prensa!$F$2:$F$5001,4,Prensa!$G$2:$G$5001,1),""))</f>
        <v>0</v>
      </c>
      <c r="H1392" s="26">
        <f>IF(A1392="","",COUNT(D1392:G1392))</f>
        <v>0</v>
      </c>
      <c r="I1392" s="27">
        <f>IF(A1392="","",IF(H1392=0,"",AVERAGE(D1392:G1392)))</f>
        <v>0</v>
      </c>
      <c r="J1392" s="27">
        <f>IF(OR(I1392="",C1392=""),"",I1392-C1392)</f>
        <v>0</v>
      </c>
      <c r="K1392" s="26">
        <f>IF(A1392="","",IF(MES!E1392&lt;&gt;4,"Horário do MES fora do padrão",IF(H1392&lt;cfgMinCortes,"Cortes insuficientes","Válida")))</f>
        <v>0</v>
      </c>
      <c r="L1392" s="27">
        <f>IF(K1392="Válida",ABS(J1392),"")</f>
        <v>0</v>
      </c>
      <c r="M1392" s="26">
        <f>IF(K1392="Válida",IF(L1392&lt;=cfgTolerancia,"Sim","Não"),"")</f>
        <v>0</v>
      </c>
      <c r="N1392" s="26">
        <f>IF(A1392="","",MES!D1392)</f>
        <v>0</v>
      </c>
      <c r="O1392" s="25">
        <f>IF(K1392="Válida",A1392,NA())</f>
        <v>0</v>
      </c>
      <c r="P1392" s="27">
        <f>IF(K1392="Válida",C1392,NA())</f>
        <v>0</v>
      </c>
      <c r="Q1392" s="27">
        <f>IF(K1392="Válida",I1392,NA())</f>
        <v>0</v>
      </c>
      <c r="R1392" s="27">
        <f>IF(K1392="Válida",J1392,NA())</f>
        <v>0</v>
      </c>
      <c r="S1392" s="27">
        <f>IF(K1392="Válida",C1392,"")</f>
        <v>0</v>
      </c>
      <c r="T1392" s="27">
        <f>IF(K1392="Válida",I1392,"")</f>
        <v>0</v>
      </c>
      <c r="U1392" s="27">
        <f>IF(K1392="Válida",J1392,"")</f>
        <v>0</v>
      </c>
    </row>
    <row r="1393" spans="1:21">
      <c r="A1393" s="25">
        <f>IF(MES!A1393="","",MES!C1393/48)</f>
        <v>0</v>
      </c>
      <c r="B1393" s="26">
        <f>IF(A1393="","",TEXT((N1393*4+cfgDeslocamento)/48,"hh:mm")&amp;" a "&amp;TEXT(A1393,"hh:mm"))</f>
        <v>0</v>
      </c>
      <c r="C1393" s="27">
        <f>IF(A1393="","",MES!B1393)</f>
        <v>0</v>
      </c>
      <c r="D1393" s="27">
        <f>IF(A1393="","",IFERROR(AVERAGEIFS(Prensa!$B$2:$B$5001,Prensa!$E$2:$E$5001,N1393,Prensa!$F$2:$F$5001,1,Prensa!$G$2:$G$5001,1),""))</f>
        <v>0</v>
      </c>
      <c r="E1393" s="27">
        <f>IF(A1393="","",IFERROR(AVERAGEIFS(Prensa!$B$2:$B$5001,Prensa!$E$2:$E$5001,N1393,Prensa!$F$2:$F$5001,2,Prensa!$G$2:$G$5001,1),""))</f>
        <v>0</v>
      </c>
      <c r="F1393" s="27">
        <f>IF(A1393="","",IFERROR(AVERAGEIFS(Prensa!$B$2:$B$5001,Prensa!$E$2:$E$5001,N1393,Prensa!$F$2:$F$5001,3,Prensa!$G$2:$G$5001,1),""))</f>
        <v>0</v>
      </c>
      <c r="G1393" s="27">
        <f>IF(A1393="","",IFERROR(AVERAGEIFS(Prensa!$B$2:$B$5001,Prensa!$E$2:$E$5001,N1393,Prensa!$F$2:$F$5001,4,Prensa!$G$2:$G$5001,1),""))</f>
        <v>0</v>
      </c>
      <c r="H1393" s="26">
        <f>IF(A1393="","",COUNT(D1393:G1393))</f>
        <v>0</v>
      </c>
      <c r="I1393" s="27">
        <f>IF(A1393="","",IF(H1393=0,"",AVERAGE(D1393:G1393)))</f>
        <v>0</v>
      </c>
      <c r="J1393" s="27">
        <f>IF(OR(I1393="",C1393=""),"",I1393-C1393)</f>
        <v>0</v>
      </c>
      <c r="K1393" s="26">
        <f>IF(A1393="","",IF(MES!E1393&lt;&gt;4,"Horário do MES fora do padrão",IF(H1393&lt;cfgMinCortes,"Cortes insuficientes","Válida")))</f>
        <v>0</v>
      </c>
      <c r="L1393" s="27">
        <f>IF(K1393="Válida",ABS(J1393),"")</f>
        <v>0</v>
      </c>
      <c r="M1393" s="26">
        <f>IF(K1393="Válida",IF(L1393&lt;=cfgTolerancia,"Sim","Não"),"")</f>
        <v>0</v>
      </c>
      <c r="N1393" s="26">
        <f>IF(A1393="","",MES!D1393)</f>
        <v>0</v>
      </c>
      <c r="O1393" s="25">
        <f>IF(K1393="Válida",A1393,NA())</f>
        <v>0</v>
      </c>
      <c r="P1393" s="27">
        <f>IF(K1393="Válida",C1393,NA())</f>
        <v>0</v>
      </c>
      <c r="Q1393" s="27">
        <f>IF(K1393="Válida",I1393,NA())</f>
        <v>0</v>
      </c>
      <c r="R1393" s="27">
        <f>IF(K1393="Válida",J1393,NA())</f>
        <v>0</v>
      </c>
      <c r="S1393" s="27">
        <f>IF(K1393="Válida",C1393,"")</f>
        <v>0</v>
      </c>
      <c r="T1393" s="27">
        <f>IF(K1393="Válida",I1393,"")</f>
        <v>0</v>
      </c>
      <c r="U1393" s="27">
        <f>IF(K1393="Válida",J1393,"")</f>
        <v>0</v>
      </c>
    </row>
    <row r="1394" spans="1:21">
      <c r="A1394" s="25">
        <f>IF(MES!A1394="","",MES!C1394/48)</f>
        <v>0</v>
      </c>
      <c r="B1394" s="26">
        <f>IF(A1394="","",TEXT((N1394*4+cfgDeslocamento)/48,"hh:mm")&amp;" a "&amp;TEXT(A1394,"hh:mm"))</f>
        <v>0</v>
      </c>
      <c r="C1394" s="27">
        <f>IF(A1394="","",MES!B1394)</f>
        <v>0</v>
      </c>
      <c r="D1394" s="27">
        <f>IF(A1394="","",IFERROR(AVERAGEIFS(Prensa!$B$2:$B$5001,Prensa!$E$2:$E$5001,N1394,Prensa!$F$2:$F$5001,1,Prensa!$G$2:$G$5001,1),""))</f>
        <v>0</v>
      </c>
      <c r="E1394" s="27">
        <f>IF(A1394="","",IFERROR(AVERAGEIFS(Prensa!$B$2:$B$5001,Prensa!$E$2:$E$5001,N1394,Prensa!$F$2:$F$5001,2,Prensa!$G$2:$G$5001,1),""))</f>
        <v>0</v>
      </c>
      <c r="F1394" s="27">
        <f>IF(A1394="","",IFERROR(AVERAGEIFS(Prensa!$B$2:$B$5001,Prensa!$E$2:$E$5001,N1394,Prensa!$F$2:$F$5001,3,Prensa!$G$2:$G$5001,1),""))</f>
        <v>0</v>
      </c>
      <c r="G1394" s="27">
        <f>IF(A1394="","",IFERROR(AVERAGEIFS(Prensa!$B$2:$B$5001,Prensa!$E$2:$E$5001,N1394,Prensa!$F$2:$F$5001,4,Prensa!$G$2:$G$5001,1),""))</f>
        <v>0</v>
      </c>
      <c r="H1394" s="26">
        <f>IF(A1394="","",COUNT(D1394:G1394))</f>
        <v>0</v>
      </c>
      <c r="I1394" s="27">
        <f>IF(A1394="","",IF(H1394=0,"",AVERAGE(D1394:G1394)))</f>
        <v>0</v>
      </c>
      <c r="J1394" s="27">
        <f>IF(OR(I1394="",C1394=""),"",I1394-C1394)</f>
        <v>0</v>
      </c>
      <c r="K1394" s="26">
        <f>IF(A1394="","",IF(MES!E1394&lt;&gt;4,"Horário do MES fora do padrão",IF(H1394&lt;cfgMinCortes,"Cortes insuficientes","Válida")))</f>
        <v>0</v>
      </c>
      <c r="L1394" s="27">
        <f>IF(K1394="Válida",ABS(J1394),"")</f>
        <v>0</v>
      </c>
      <c r="M1394" s="26">
        <f>IF(K1394="Válida",IF(L1394&lt;=cfgTolerancia,"Sim","Não"),"")</f>
        <v>0</v>
      </c>
      <c r="N1394" s="26">
        <f>IF(A1394="","",MES!D1394)</f>
        <v>0</v>
      </c>
      <c r="O1394" s="25">
        <f>IF(K1394="Válida",A1394,NA())</f>
        <v>0</v>
      </c>
      <c r="P1394" s="27">
        <f>IF(K1394="Válida",C1394,NA())</f>
        <v>0</v>
      </c>
      <c r="Q1394" s="27">
        <f>IF(K1394="Válida",I1394,NA())</f>
        <v>0</v>
      </c>
      <c r="R1394" s="27">
        <f>IF(K1394="Válida",J1394,NA())</f>
        <v>0</v>
      </c>
      <c r="S1394" s="27">
        <f>IF(K1394="Válida",C1394,"")</f>
        <v>0</v>
      </c>
      <c r="T1394" s="27">
        <f>IF(K1394="Válida",I1394,"")</f>
        <v>0</v>
      </c>
      <c r="U1394" s="27">
        <f>IF(K1394="Válida",J1394,"")</f>
        <v>0</v>
      </c>
    </row>
    <row r="1395" spans="1:21">
      <c r="A1395" s="25">
        <f>IF(MES!A1395="","",MES!C1395/48)</f>
        <v>0</v>
      </c>
      <c r="B1395" s="26">
        <f>IF(A1395="","",TEXT((N1395*4+cfgDeslocamento)/48,"hh:mm")&amp;" a "&amp;TEXT(A1395,"hh:mm"))</f>
        <v>0</v>
      </c>
      <c r="C1395" s="27">
        <f>IF(A1395="","",MES!B1395)</f>
        <v>0</v>
      </c>
      <c r="D1395" s="27">
        <f>IF(A1395="","",IFERROR(AVERAGEIFS(Prensa!$B$2:$B$5001,Prensa!$E$2:$E$5001,N1395,Prensa!$F$2:$F$5001,1,Prensa!$G$2:$G$5001,1),""))</f>
        <v>0</v>
      </c>
      <c r="E1395" s="27">
        <f>IF(A1395="","",IFERROR(AVERAGEIFS(Prensa!$B$2:$B$5001,Prensa!$E$2:$E$5001,N1395,Prensa!$F$2:$F$5001,2,Prensa!$G$2:$G$5001,1),""))</f>
        <v>0</v>
      </c>
      <c r="F1395" s="27">
        <f>IF(A1395="","",IFERROR(AVERAGEIFS(Prensa!$B$2:$B$5001,Prensa!$E$2:$E$5001,N1395,Prensa!$F$2:$F$5001,3,Prensa!$G$2:$G$5001,1),""))</f>
        <v>0</v>
      </c>
      <c r="G1395" s="27">
        <f>IF(A1395="","",IFERROR(AVERAGEIFS(Prensa!$B$2:$B$5001,Prensa!$E$2:$E$5001,N1395,Prensa!$F$2:$F$5001,4,Prensa!$G$2:$G$5001,1),""))</f>
        <v>0</v>
      </c>
      <c r="H1395" s="26">
        <f>IF(A1395="","",COUNT(D1395:G1395))</f>
        <v>0</v>
      </c>
      <c r="I1395" s="27">
        <f>IF(A1395="","",IF(H1395=0,"",AVERAGE(D1395:G1395)))</f>
        <v>0</v>
      </c>
      <c r="J1395" s="27">
        <f>IF(OR(I1395="",C1395=""),"",I1395-C1395)</f>
        <v>0</v>
      </c>
      <c r="K1395" s="26">
        <f>IF(A1395="","",IF(MES!E1395&lt;&gt;4,"Horário do MES fora do padrão",IF(H1395&lt;cfgMinCortes,"Cortes insuficientes","Válida")))</f>
        <v>0</v>
      </c>
      <c r="L1395" s="27">
        <f>IF(K1395="Válida",ABS(J1395),"")</f>
        <v>0</v>
      </c>
      <c r="M1395" s="26">
        <f>IF(K1395="Válida",IF(L1395&lt;=cfgTolerancia,"Sim","Não"),"")</f>
        <v>0</v>
      </c>
      <c r="N1395" s="26">
        <f>IF(A1395="","",MES!D1395)</f>
        <v>0</v>
      </c>
      <c r="O1395" s="25">
        <f>IF(K1395="Válida",A1395,NA())</f>
        <v>0</v>
      </c>
      <c r="P1395" s="27">
        <f>IF(K1395="Válida",C1395,NA())</f>
        <v>0</v>
      </c>
      <c r="Q1395" s="27">
        <f>IF(K1395="Válida",I1395,NA())</f>
        <v>0</v>
      </c>
      <c r="R1395" s="27">
        <f>IF(K1395="Válida",J1395,NA())</f>
        <v>0</v>
      </c>
      <c r="S1395" s="27">
        <f>IF(K1395="Válida",C1395,"")</f>
        <v>0</v>
      </c>
      <c r="T1395" s="27">
        <f>IF(K1395="Válida",I1395,"")</f>
        <v>0</v>
      </c>
      <c r="U1395" s="27">
        <f>IF(K1395="Válida",J1395,"")</f>
        <v>0</v>
      </c>
    </row>
    <row r="1396" spans="1:21">
      <c r="A1396" s="25">
        <f>IF(MES!A1396="","",MES!C1396/48)</f>
        <v>0</v>
      </c>
      <c r="B1396" s="26">
        <f>IF(A1396="","",TEXT((N1396*4+cfgDeslocamento)/48,"hh:mm")&amp;" a "&amp;TEXT(A1396,"hh:mm"))</f>
        <v>0</v>
      </c>
      <c r="C1396" s="27">
        <f>IF(A1396="","",MES!B1396)</f>
        <v>0</v>
      </c>
      <c r="D1396" s="27">
        <f>IF(A1396="","",IFERROR(AVERAGEIFS(Prensa!$B$2:$B$5001,Prensa!$E$2:$E$5001,N1396,Prensa!$F$2:$F$5001,1,Prensa!$G$2:$G$5001,1),""))</f>
        <v>0</v>
      </c>
      <c r="E1396" s="27">
        <f>IF(A1396="","",IFERROR(AVERAGEIFS(Prensa!$B$2:$B$5001,Prensa!$E$2:$E$5001,N1396,Prensa!$F$2:$F$5001,2,Prensa!$G$2:$G$5001,1),""))</f>
        <v>0</v>
      </c>
      <c r="F1396" s="27">
        <f>IF(A1396="","",IFERROR(AVERAGEIFS(Prensa!$B$2:$B$5001,Prensa!$E$2:$E$5001,N1396,Prensa!$F$2:$F$5001,3,Prensa!$G$2:$G$5001,1),""))</f>
        <v>0</v>
      </c>
      <c r="G1396" s="27">
        <f>IF(A1396="","",IFERROR(AVERAGEIFS(Prensa!$B$2:$B$5001,Prensa!$E$2:$E$5001,N1396,Prensa!$F$2:$F$5001,4,Prensa!$G$2:$G$5001,1),""))</f>
        <v>0</v>
      </c>
      <c r="H1396" s="26">
        <f>IF(A1396="","",COUNT(D1396:G1396))</f>
        <v>0</v>
      </c>
      <c r="I1396" s="27">
        <f>IF(A1396="","",IF(H1396=0,"",AVERAGE(D1396:G1396)))</f>
        <v>0</v>
      </c>
      <c r="J1396" s="27">
        <f>IF(OR(I1396="",C1396=""),"",I1396-C1396)</f>
        <v>0</v>
      </c>
      <c r="K1396" s="26">
        <f>IF(A1396="","",IF(MES!E1396&lt;&gt;4,"Horário do MES fora do padrão",IF(H1396&lt;cfgMinCortes,"Cortes insuficientes","Válida")))</f>
        <v>0</v>
      </c>
      <c r="L1396" s="27">
        <f>IF(K1396="Válida",ABS(J1396),"")</f>
        <v>0</v>
      </c>
      <c r="M1396" s="26">
        <f>IF(K1396="Válida",IF(L1396&lt;=cfgTolerancia,"Sim","Não"),"")</f>
        <v>0</v>
      </c>
      <c r="N1396" s="26">
        <f>IF(A1396="","",MES!D1396)</f>
        <v>0</v>
      </c>
      <c r="O1396" s="25">
        <f>IF(K1396="Válida",A1396,NA())</f>
        <v>0</v>
      </c>
      <c r="P1396" s="27">
        <f>IF(K1396="Válida",C1396,NA())</f>
        <v>0</v>
      </c>
      <c r="Q1396" s="27">
        <f>IF(K1396="Válida",I1396,NA())</f>
        <v>0</v>
      </c>
      <c r="R1396" s="27">
        <f>IF(K1396="Válida",J1396,NA())</f>
        <v>0</v>
      </c>
      <c r="S1396" s="27">
        <f>IF(K1396="Válida",C1396,"")</f>
        <v>0</v>
      </c>
      <c r="T1396" s="27">
        <f>IF(K1396="Válida",I1396,"")</f>
        <v>0</v>
      </c>
      <c r="U1396" s="27">
        <f>IF(K1396="Válida",J1396,"")</f>
        <v>0</v>
      </c>
    </row>
    <row r="1397" spans="1:21">
      <c r="A1397" s="25">
        <f>IF(MES!A1397="","",MES!C1397/48)</f>
        <v>0</v>
      </c>
      <c r="B1397" s="26">
        <f>IF(A1397="","",TEXT((N1397*4+cfgDeslocamento)/48,"hh:mm")&amp;" a "&amp;TEXT(A1397,"hh:mm"))</f>
        <v>0</v>
      </c>
      <c r="C1397" s="27">
        <f>IF(A1397="","",MES!B1397)</f>
        <v>0</v>
      </c>
      <c r="D1397" s="27">
        <f>IF(A1397="","",IFERROR(AVERAGEIFS(Prensa!$B$2:$B$5001,Prensa!$E$2:$E$5001,N1397,Prensa!$F$2:$F$5001,1,Prensa!$G$2:$G$5001,1),""))</f>
        <v>0</v>
      </c>
      <c r="E1397" s="27">
        <f>IF(A1397="","",IFERROR(AVERAGEIFS(Prensa!$B$2:$B$5001,Prensa!$E$2:$E$5001,N1397,Prensa!$F$2:$F$5001,2,Prensa!$G$2:$G$5001,1),""))</f>
        <v>0</v>
      </c>
      <c r="F1397" s="27">
        <f>IF(A1397="","",IFERROR(AVERAGEIFS(Prensa!$B$2:$B$5001,Prensa!$E$2:$E$5001,N1397,Prensa!$F$2:$F$5001,3,Prensa!$G$2:$G$5001,1),""))</f>
        <v>0</v>
      </c>
      <c r="G1397" s="27">
        <f>IF(A1397="","",IFERROR(AVERAGEIFS(Prensa!$B$2:$B$5001,Prensa!$E$2:$E$5001,N1397,Prensa!$F$2:$F$5001,4,Prensa!$G$2:$G$5001,1),""))</f>
        <v>0</v>
      </c>
      <c r="H1397" s="26">
        <f>IF(A1397="","",COUNT(D1397:G1397))</f>
        <v>0</v>
      </c>
      <c r="I1397" s="27">
        <f>IF(A1397="","",IF(H1397=0,"",AVERAGE(D1397:G1397)))</f>
        <v>0</v>
      </c>
      <c r="J1397" s="27">
        <f>IF(OR(I1397="",C1397=""),"",I1397-C1397)</f>
        <v>0</v>
      </c>
      <c r="K1397" s="26">
        <f>IF(A1397="","",IF(MES!E1397&lt;&gt;4,"Horário do MES fora do padrão",IF(H1397&lt;cfgMinCortes,"Cortes insuficientes","Válida")))</f>
        <v>0</v>
      </c>
      <c r="L1397" s="27">
        <f>IF(K1397="Válida",ABS(J1397),"")</f>
        <v>0</v>
      </c>
      <c r="M1397" s="26">
        <f>IF(K1397="Válida",IF(L1397&lt;=cfgTolerancia,"Sim","Não"),"")</f>
        <v>0</v>
      </c>
      <c r="N1397" s="26">
        <f>IF(A1397="","",MES!D1397)</f>
        <v>0</v>
      </c>
      <c r="O1397" s="25">
        <f>IF(K1397="Válida",A1397,NA())</f>
        <v>0</v>
      </c>
      <c r="P1397" s="27">
        <f>IF(K1397="Válida",C1397,NA())</f>
        <v>0</v>
      </c>
      <c r="Q1397" s="27">
        <f>IF(K1397="Válida",I1397,NA())</f>
        <v>0</v>
      </c>
      <c r="R1397" s="27">
        <f>IF(K1397="Válida",J1397,NA())</f>
        <v>0</v>
      </c>
      <c r="S1397" s="27">
        <f>IF(K1397="Válida",C1397,"")</f>
        <v>0</v>
      </c>
      <c r="T1397" s="27">
        <f>IF(K1397="Válida",I1397,"")</f>
        <v>0</v>
      </c>
      <c r="U1397" s="27">
        <f>IF(K1397="Válida",J1397,"")</f>
        <v>0</v>
      </c>
    </row>
    <row r="1398" spans="1:21">
      <c r="A1398" s="25">
        <f>IF(MES!A1398="","",MES!C1398/48)</f>
        <v>0</v>
      </c>
      <c r="B1398" s="26">
        <f>IF(A1398="","",TEXT((N1398*4+cfgDeslocamento)/48,"hh:mm")&amp;" a "&amp;TEXT(A1398,"hh:mm"))</f>
        <v>0</v>
      </c>
      <c r="C1398" s="27">
        <f>IF(A1398="","",MES!B1398)</f>
        <v>0</v>
      </c>
      <c r="D1398" s="27">
        <f>IF(A1398="","",IFERROR(AVERAGEIFS(Prensa!$B$2:$B$5001,Prensa!$E$2:$E$5001,N1398,Prensa!$F$2:$F$5001,1,Prensa!$G$2:$G$5001,1),""))</f>
        <v>0</v>
      </c>
      <c r="E1398" s="27">
        <f>IF(A1398="","",IFERROR(AVERAGEIFS(Prensa!$B$2:$B$5001,Prensa!$E$2:$E$5001,N1398,Prensa!$F$2:$F$5001,2,Prensa!$G$2:$G$5001,1),""))</f>
        <v>0</v>
      </c>
      <c r="F1398" s="27">
        <f>IF(A1398="","",IFERROR(AVERAGEIFS(Prensa!$B$2:$B$5001,Prensa!$E$2:$E$5001,N1398,Prensa!$F$2:$F$5001,3,Prensa!$G$2:$G$5001,1),""))</f>
        <v>0</v>
      </c>
      <c r="G1398" s="27">
        <f>IF(A1398="","",IFERROR(AVERAGEIFS(Prensa!$B$2:$B$5001,Prensa!$E$2:$E$5001,N1398,Prensa!$F$2:$F$5001,4,Prensa!$G$2:$G$5001,1),""))</f>
        <v>0</v>
      </c>
      <c r="H1398" s="26">
        <f>IF(A1398="","",COUNT(D1398:G1398))</f>
        <v>0</v>
      </c>
      <c r="I1398" s="27">
        <f>IF(A1398="","",IF(H1398=0,"",AVERAGE(D1398:G1398)))</f>
        <v>0</v>
      </c>
      <c r="J1398" s="27">
        <f>IF(OR(I1398="",C1398=""),"",I1398-C1398)</f>
        <v>0</v>
      </c>
      <c r="K1398" s="26">
        <f>IF(A1398="","",IF(MES!E1398&lt;&gt;4,"Horário do MES fora do padrão",IF(H1398&lt;cfgMinCortes,"Cortes insuficientes","Válida")))</f>
        <v>0</v>
      </c>
      <c r="L1398" s="27">
        <f>IF(K1398="Válida",ABS(J1398),"")</f>
        <v>0</v>
      </c>
      <c r="M1398" s="26">
        <f>IF(K1398="Válida",IF(L1398&lt;=cfgTolerancia,"Sim","Não"),"")</f>
        <v>0</v>
      </c>
      <c r="N1398" s="26">
        <f>IF(A1398="","",MES!D1398)</f>
        <v>0</v>
      </c>
      <c r="O1398" s="25">
        <f>IF(K1398="Válida",A1398,NA())</f>
        <v>0</v>
      </c>
      <c r="P1398" s="27">
        <f>IF(K1398="Válida",C1398,NA())</f>
        <v>0</v>
      </c>
      <c r="Q1398" s="27">
        <f>IF(K1398="Válida",I1398,NA())</f>
        <v>0</v>
      </c>
      <c r="R1398" s="27">
        <f>IF(K1398="Válida",J1398,NA())</f>
        <v>0</v>
      </c>
      <c r="S1398" s="27">
        <f>IF(K1398="Válida",C1398,"")</f>
        <v>0</v>
      </c>
      <c r="T1398" s="27">
        <f>IF(K1398="Válida",I1398,"")</f>
        <v>0</v>
      </c>
      <c r="U1398" s="27">
        <f>IF(K1398="Válida",J1398,"")</f>
        <v>0</v>
      </c>
    </row>
    <row r="1399" spans="1:21">
      <c r="A1399" s="25">
        <f>IF(MES!A1399="","",MES!C1399/48)</f>
        <v>0</v>
      </c>
      <c r="B1399" s="26">
        <f>IF(A1399="","",TEXT((N1399*4+cfgDeslocamento)/48,"hh:mm")&amp;" a "&amp;TEXT(A1399,"hh:mm"))</f>
        <v>0</v>
      </c>
      <c r="C1399" s="27">
        <f>IF(A1399="","",MES!B1399)</f>
        <v>0</v>
      </c>
      <c r="D1399" s="27">
        <f>IF(A1399="","",IFERROR(AVERAGEIFS(Prensa!$B$2:$B$5001,Prensa!$E$2:$E$5001,N1399,Prensa!$F$2:$F$5001,1,Prensa!$G$2:$G$5001,1),""))</f>
        <v>0</v>
      </c>
      <c r="E1399" s="27">
        <f>IF(A1399="","",IFERROR(AVERAGEIFS(Prensa!$B$2:$B$5001,Prensa!$E$2:$E$5001,N1399,Prensa!$F$2:$F$5001,2,Prensa!$G$2:$G$5001,1),""))</f>
        <v>0</v>
      </c>
      <c r="F1399" s="27">
        <f>IF(A1399="","",IFERROR(AVERAGEIFS(Prensa!$B$2:$B$5001,Prensa!$E$2:$E$5001,N1399,Prensa!$F$2:$F$5001,3,Prensa!$G$2:$G$5001,1),""))</f>
        <v>0</v>
      </c>
      <c r="G1399" s="27">
        <f>IF(A1399="","",IFERROR(AVERAGEIFS(Prensa!$B$2:$B$5001,Prensa!$E$2:$E$5001,N1399,Prensa!$F$2:$F$5001,4,Prensa!$G$2:$G$5001,1),""))</f>
        <v>0</v>
      </c>
      <c r="H1399" s="26">
        <f>IF(A1399="","",COUNT(D1399:G1399))</f>
        <v>0</v>
      </c>
      <c r="I1399" s="27">
        <f>IF(A1399="","",IF(H1399=0,"",AVERAGE(D1399:G1399)))</f>
        <v>0</v>
      </c>
      <c r="J1399" s="27">
        <f>IF(OR(I1399="",C1399=""),"",I1399-C1399)</f>
        <v>0</v>
      </c>
      <c r="K1399" s="26">
        <f>IF(A1399="","",IF(MES!E1399&lt;&gt;4,"Horário do MES fora do padrão",IF(H1399&lt;cfgMinCortes,"Cortes insuficientes","Válida")))</f>
        <v>0</v>
      </c>
      <c r="L1399" s="27">
        <f>IF(K1399="Válida",ABS(J1399),"")</f>
        <v>0</v>
      </c>
      <c r="M1399" s="26">
        <f>IF(K1399="Válida",IF(L1399&lt;=cfgTolerancia,"Sim","Não"),"")</f>
        <v>0</v>
      </c>
      <c r="N1399" s="26">
        <f>IF(A1399="","",MES!D1399)</f>
        <v>0</v>
      </c>
      <c r="O1399" s="25">
        <f>IF(K1399="Válida",A1399,NA())</f>
        <v>0</v>
      </c>
      <c r="P1399" s="27">
        <f>IF(K1399="Válida",C1399,NA())</f>
        <v>0</v>
      </c>
      <c r="Q1399" s="27">
        <f>IF(K1399="Válida",I1399,NA())</f>
        <v>0</v>
      </c>
      <c r="R1399" s="27">
        <f>IF(K1399="Válida",J1399,NA())</f>
        <v>0</v>
      </c>
      <c r="S1399" s="27">
        <f>IF(K1399="Válida",C1399,"")</f>
        <v>0</v>
      </c>
      <c r="T1399" s="27">
        <f>IF(K1399="Válida",I1399,"")</f>
        <v>0</v>
      </c>
      <c r="U1399" s="27">
        <f>IF(K1399="Válida",J1399,"")</f>
        <v>0</v>
      </c>
    </row>
    <row r="1400" spans="1:21">
      <c r="A1400" s="25">
        <f>IF(MES!A1400="","",MES!C1400/48)</f>
        <v>0</v>
      </c>
      <c r="B1400" s="26">
        <f>IF(A1400="","",TEXT((N1400*4+cfgDeslocamento)/48,"hh:mm")&amp;" a "&amp;TEXT(A1400,"hh:mm"))</f>
        <v>0</v>
      </c>
      <c r="C1400" s="27">
        <f>IF(A1400="","",MES!B1400)</f>
        <v>0</v>
      </c>
      <c r="D1400" s="27">
        <f>IF(A1400="","",IFERROR(AVERAGEIFS(Prensa!$B$2:$B$5001,Prensa!$E$2:$E$5001,N1400,Prensa!$F$2:$F$5001,1,Prensa!$G$2:$G$5001,1),""))</f>
        <v>0</v>
      </c>
      <c r="E1400" s="27">
        <f>IF(A1400="","",IFERROR(AVERAGEIFS(Prensa!$B$2:$B$5001,Prensa!$E$2:$E$5001,N1400,Prensa!$F$2:$F$5001,2,Prensa!$G$2:$G$5001,1),""))</f>
        <v>0</v>
      </c>
      <c r="F1400" s="27">
        <f>IF(A1400="","",IFERROR(AVERAGEIFS(Prensa!$B$2:$B$5001,Prensa!$E$2:$E$5001,N1400,Prensa!$F$2:$F$5001,3,Prensa!$G$2:$G$5001,1),""))</f>
        <v>0</v>
      </c>
      <c r="G1400" s="27">
        <f>IF(A1400="","",IFERROR(AVERAGEIFS(Prensa!$B$2:$B$5001,Prensa!$E$2:$E$5001,N1400,Prensa!$F$2:$F$5001,4,Prensa!$G$2:$G$5001,1),""))</f>
        <v>0</v>
      </c>
      <c r="H1400" s="26">
        <f>IF(A1400="","",COUNT(D1400:G1400))</f>
        <v>0</v>
      </c>
      <c r="I1400" s="27">
        <f>IF(A1400="","",IF(H1400=0,"",AVERAGE(D1400:G1400)))</f>
        <v>0</v>
      </c>
      <c r="J1400" s="27">
        <f>IF(OR(I1400="",C1400=""),"",I1400-C1400)</f>
        <v>0</v>
      </c>
      <c r="K1400" s="26">
        <f>IF(A1400="","",IF(MES!E1400&lt;&gt;4,"Horário do MES fora do padrão",IF(H1400&lt;cfgMinCortes,"Cortes insuficientes","Válida")))</f>
        <v>0</v>
      </c>
      <c r="L1400" s="27">
        <f>IF(K1400="Válida",ABS(J1400),"")</f>
        <v>0</v>
      </c>
      <c r="M1400" s="26">
        <f>IF(K1400="Válida",IF(L1400&lt;=cfgTolerancia,"Sim","Não"),"")</f>
        <v>0</v>
      </c>
      <c r="N1400" s="26">
        <f>IF(A1400="","",MES!D1400)</f>
        <v>0</v>
      </c>
      <c r="O1400" s="25">
        <f>IF(K1400="Válida",A1400,NA())</f>
        <v>0</v>
      </c>
      <c r="P1400" s="27">
        <f>IF(K1400="Válida",C1400,NA())</f>
        <v>0</v>
      </c>
      <c r="Q1400" s="27">
        <f>IF(K1400="Válida",I1400,NA())</f>
        <v>0</v>
      </c>
      <c r="R1400" s="27">
        <f>IF(K1400="Válida",J1400,NA())</f>
        <v>0</v>
      </c>
      <c r="S1400" s="27">
        <f>IF(K1400="Válida",C1400,"")</f>
        <v>0</v>
      </c>
      <c r="T1400" s="27">
        <f>IF(K1400="Válida",I1400,"")</f>
        <v>0</v>
      </c>
      <c r="U1400" s="27">
        <f>IF(K1400="Válida",J1400,"")</f>
        <v>0</v>
      </c>
    </row>
    <row r="1401" spans="1:21">
      <c r="A1401" s="25">
        <f>IF(MES!A1401="","",MES!C1401/48)</f>
        <v>0</v>
      </c>
      <c r="B1401" s="26">
        <f>IF(A1401="","",TEXT((N1401*4+cfgDeslocamento)/48,"hh:mm")&amp;" a "&amp;TEXT(A1401,"hh:mm"))</f>
        <v>0</v>
      </c>
      <c r="C1401" s="27">
        <f>IF(A1401="","",MES!B1401)</f>
        <v>0</v>
      </c>
      <c r="D1401" s="27">
        <f>IF(A1401="","",IFERROR(AVERAGEIFS(Prensa!$B$2:$B$5001,Prensa!$E$2:$E$5001,N1401,Prensa!$F$2:$F$5001,1,Prensa!$G$2:$G$5001,1),""))</f>
        <v>0</v>
      </c>
      <c r="E1401" s="27">
        <f>IF(A1401="","",IFERROR(AVERAGEIFS(Prensa!$B$2:$B$5001,Prensa!$E$2:$E$5001,N1401,Prensa!$F$2:$F$5001,2,Prensa!$G$2:$G$5001,1),""))</f>
        <v>0</v>
      </c>
      <c r="F1401" s="27">
        <f>IF(A1401="","",IFERROR(AVERAGEIFS(Prensa!$B$2:$B$5001,Prensa!$E$2:$E$5001,N1401,Prensa!$F$2:$F$5001,3,Prensa!$G$2:$G$5001,1),""))</f>
        <v>0</v>
      </c>
      <c r="G1401" s="27">
        <f>IF(A1401="","",IFERROR(AVERAGEIFS(Prensa!$B$2:$B$5001,Prensa!$E$2:$E$5001,N1401,Prensa!$F$2:$F$5001,4,Prensa!$G$2:$G$5001,1),""))</f>
        <v>0</v>
      </c>
      <c r="H1401" s="26">
        <f>IF(A1401="","",COUNT(D1401:G1401))</f>
        <v>0</v>
      </c>
      <c r="I1401" s="27">
        <f>IF(A1401="","",IF(H1401=0,"",AVERAGE(D1401:G1401)))</f>
        <v>0</v>
      </c>
      <c r="J1401" s="27">
        <f>IF(OR(I1401="",C1401=""),"",I1401-C1401)</f>
        <v>0</v>
      </c>
      <c r="K1401" s="26">
        <f>IF(A1401="","",IF(MES!E1401&lt;&gt;4,"Horário do MES fora do padrão",IF(H1401&lt;cfgMinCortes,"Cortes insuficientes","Válida")))</f>
        <v>0</v>
      </c>
      <c r="L1401" s="27">
        <f>IF(K1401="Válida",ABS(J1401),"")</f>
        <v>0</v>
      </c>
      <c r="M1401" s="26">
        <f>IF(K1401="Válida",IF(L1401&lt;=cfgTolerancia,"Sim","Não"),"")</f>
        <v>0</v>
      </c>
      <c r="N1401" s="26">
        <f>IF(A1401="","",MES!D1401)</f>
        <v>0</v>
      </c>
      <c r="O1401" s="25">
        <f>IF(K1401="Válida",A1401,NA())</f>
        <v>0</v>
      </c>
      <c r="P1401" s="27">
        <f>IF(K1401="Válida",C1401,NA())</f>
        <v>0</v>
      </c>
      <c r="Q1401" s="27">
        <f>IF(K1401="Válida",I1401,NA())</f>
        <v>0</v>
      </c>
      <c r="R1401" s="27">
        <f>IF(K1401="Válida",J1401,NA())</f>
        <v>0</v>
      </c>
      <c r="S1401" s="27">
        <f>IF(K1401="Válida",C1401,"")</f>
        <v>0</v>
      </c>
      <c r="T1401" s="27">
        <f>IF(K1401="Válida",I1401,"")</f>
        <v>0</v>
      </c>
      <c r="U1401" s="27">
        <f>IF(K1401="Válida",J1401,"")</f>
        <v>0</v>
      </c>
    </row>
    <row r="1402" spans="1:21">
      <c r="A1402" s="25">
        <f>IF(MES!A1402="","",MES!C1402/48)</f>
        <v>0</v>
      </c>
      <c r="B1402" s="26">
        <f>IF(A1402="","",TEXT((N1402*4+cfgDeslocamento)/48,"hh:mm")&amp;" a "&amp;TEXT(A1402,"hh:mm"))</f>
        <v>0</v>
      </c>
      <c r="C1402" s="27">
        <f>IF(A1402="","",MES!B1402)</f>
        <v>0</v>
      </c>
      <c r="D1402" s="27">
        <f>IF(A1402="","",IFERROR(AVERAGEIFS(Prensa!$B$2:$B$5001,Prensa!$E$2:$E$5001,N1402,Prensa!$F$2:$F$5001,1,Prensa!$G$2:$G$5001,1),""))</f>
        <v>0</v>
      </c>
      <c r="E1402" s="27">
        <f>IF(A1402="","",IFERROR(AVERAGEIFS(Prensa!$B$2:$B$5001,Prensa!$E$2:$E$5001,N1402,Prensa!$F$2:$F$5001,2,Prensa!$G$2:$G$5001,1),""))</f>
        <v>0</v>
      </c>
      <c r="F1402" s="27">
        <f>IF(A1402="","",IFERROR(AVERAGEIFS(Prensa!$B$2:$B$5001,Prensa!$E$2:$E$5001,N1402,Prensa!$F$2:$F$5001,3,Prensa!$G$2:$G$5001,1),""))</f>
        <v>0</v>
      </c>
      <c r="G1402" s="27">
        <f>IF(A1402="","",IFERROR(AVERAGEIFS(Prensa!$B$2:$B$5001,Prensa!$E$2:$E$5001,N1402,Prensa!$F$2:$F$5001,4,Prensa!$G$2:$G$5001,1),""))</f>
        <v>0</v>
      </c>
      <c r="H1402" s="26">
        <f>IF(A1402="","",COUNT(D1402:G1402))</f>
        <v>0</v>
      </c>
      <c r="I1402" s="27">
        <f>IF(A1402="","",IF(H1402=0,"",AVERAGE(D1402:G1402)))</f>
        <v>0</v>
      </c>
      <c r="J1402" s="27">
        <f>IF(OR(I1402="",C1402=""),"",I1402-C1402)</f>
        <v>0</v>
      </c>
      <c r="K1402" s="26">
        <f>IF(A1402="","",IF(MES!E1402&lt;&gt;4,"Horário do MES fora do padrão",IF(H1402&lt;cfgMinCortes,"Cortes insuficientes","Válida")))</f>
        <v>0</v>
      </c>
      <c r="L1402" s="27">
        <f>IF(K1402="Válida",ABS(J1402),"")</f>
        <v>0</v>
      </c>
      <c r="M1402" s="26">
        <f>IF(K1402="Válida",IF(L1402&lt;=cfgTolerancia,"Sim","Não"),"")</f>
        <v>0</v>
      </c>
      <c r="N1402" s="26">
        <f>IF(A1402="","",MES!D1402)</f>
        <v>0</v>
      </c>
      <c r="O1402" s="25">
        <f>IF(K1402="Válida",A1402,NA())</f>
        <v>0</v>
      </c>
      <c r="P1402" s="27">
        <f>IF(K1402="Válida",C1402,NA())</f>
        <v>0</v>
      </c>
      <c r="Q1402" s="27">
        <f>IF(K1402="Válida",I1402,NA())</f>
        <v>0</v>
      </c>
      <c r="R1402" s="27">
        <f>IF(K1402="Válida",J1402,NA())</f>
        <v>0</v>
      </c>
      <c r="S1402" s="27">
        <f>IF(K1402="Válida",C1402,"")</f>
        <v>0</v>
      </c>
      <c r="T1402" s="27">
        <f>IF(K1402="Válida",I1402,"")</f>
        <v>0</v>
      </c>
      <c r="U1402" s="27">
        <f>IF(K1402="Válida",J1402,"")</f>
        <v>0</v>
      </c>
    </row>
    <row r="1403" spans="1:21">
      <c r="A1403" s="25">
        <f>IF(MES!A1403="","",MES!C1403/48)</f>
        <v>0</v>
      </c>
      <c r="B1403" s="26">
        <f>IF(A1403="","",TEXT((N1403*4+cfgDeslocamento)/48,"hh:mm")&amp;" a "&amp;TEXT(A1403,"hh:mm"))</f>
        <v>0</v>
      </c>
      <c r="C1403" s="27">
        <f>IF(A1403="","",MES!B1403)</f>
        <v>0</v>
      </c>
      <c r="D1403" s="27">
        <f>IF(A1403="","",IFERROR(AVERAGEIFS(Prensa!$B$2:$B$5001,Prensa!$E$2:$E$5001,N1403,Prensa!$F$2:$F$5001,1,Prensa!$G$2:$G$5001,1),""))</f>
        <v>0</v>
      </c>
      <c r="E1403" s="27">
        <f>IF(A1403="","",IFERROR(AVERAGEIFS(Prensa!$B$2:$B$5001,Prensa!$E$2:$E$5001,N1403,Prensa!$F$2:$F$5001,2,Prensa!$G$2:$G$5001,1),""))</f>
        <v>0</v>
      </c>
      <c r="F1403" s="27">
        <f>IF(A1403="","",IFERROR(AVERAGEIFS(Prensa!$B$2:$B$5001,Prensa!$E$2:$E$5001,N1403,Prensa!$F$2:$F$5001,3,Prensa!$G$2:$G$5001,1),""))</f>
        <v>0</v>
      </c>
      <c r="G1403" s="27">
        <f>IF(A1403="","",IFERROR(AVERAGEIFS(Prensa!$B$2:$B$5001,Prensa!$E$2:$E$5001,N1403,Prensa!$F$2:$F$5001,4,Prensa!$G$2:$G$5001,1),""))</f>
        <v>0</v>
      </c>
      <c r="H1403" s="26">
        <f>IF(A1403="","",COUNT(D1403:G1403))</f>
        <v>0</v>
      </c>
      <c r="I1403" s="27">
        <f>IF(A1403="","",IF(H1403=0,"",AVERAGE(D1403:G1403)))</f>
        <v>0</v>
      </c>
      <c r="J1403" s="27">
        <f>IF(OR(I1403="",C1403=""),"",I1403-C1403)</f>
        <v>0</v>
      </c>
      <c r="K1403" s="26">
        <f>IF(A1403="","",IF(MES!E1403&lt;&gt;4,"Horário do MES fora do padrão",IF(H1403&lt;cfgMinCortes,"Cortes insuficientes","Válida")))</f>
        <v>0</v>
      </c>
      <c r="L1403" s="27">
        <f>IF(K1403="Válida",ABS(J1403),"")</f>
        <v>0</v>
      </c>
      <c r="M1403" s="26">
        <f>IF(K1403="Válida",IF(L1403&lt;=cfgTolerancia,"Sim","Não"),"")</f>
        <v>0</v>
      </c>
      <c r="N1403" s="26">
        <f>IF(A1403="","",MES!D1403)</f>
        <v>0</v>
      </c>
      <c r="O1403" s="25">
        <f>IF(K1403="Válida",A1403,NA())</f>
        <v>0</v>
      </c>
      <c r="P1403" s="27">
        <f>IF(K1403="Válida",C1403,NA())</f>
        <v>0</v>
      </c>
      <c r="Q1403" s="27">
        <f>IF(K1403="Válida",I1403,NA())</f>
        <v>0</v>
      </c>
      <c r="R1403" s="27">
        <f>IF(K1403="Válida",J1403,NA())</f>
        <v>0</v>
      </c>
      <c r="S1403" s="27">
        <f>IF(K1403="Válida",C1403,"")</f>
        <v>0</v>
      </c>
      <c r="T1403" s="27">
        <f>IF(K1403="Válida",I1403,"")</f>
        <v>0</v>
      </c>
      <c r="U1403" s="27">
        <f>IF(K1403="Válida",J1403,"")</f>
        <v>0</v>
      </c>
    </row>
    <row r="1404" spans="1:21">
      <c r="A1404" s="25">
        <f>IF(MES!A1404="","",MES!C1404/48)</f>
        <v>0</v>
      </c>
      <c r="B1404" s="26">
        <f>IF(A1404="","",TEXT((N1404*4+cfgDeslocamento)/48,"hh:mm")&amp;" a "&amp;TEXT(A1404,"hh:mm"))</f>
        <v>0</v>
      </c>
      <c r="C1404" s="27">
        <f>IF(A1404="","",MES!B1404)</f>
        <v>0</v>
      </c>
      <c r="D1404" s="27">
        <f>IF(A1404="","",IFERROR(AVERAGEIFS(Prensa!$B$2:$B$5001,Prensa!$E$2:$E$5001,N1404,Prensa!$F$2:$F$5001,1,Prensa!$G$2:$G$5001,1),""))</f>
        <v>0</v>
      </c>
      <c r="E1404" s="27">
        <f>IF(A1404="","",IFERROR(AVERAGEIFS(Prensa!$B$2:$B$5001,Prensa!$E$2:$E$5001,N1404,Prensa!$F$2:$F$5001,2,Prensa!$G$2:$G$5001,1),""))</f>
        <v>0</v>
      </c>
      <c r="F1404" s="27">
        <f>IF(A1404="","",IFERROR(AVERAGEIFS(Prensa!$B$2:$B$5001,Prensa!$E$2:$E$5001,N1404,Prensa!$F$2:$F$5001,3,Prensa!$G$2:$G$5001,1),""))</f>
        <v>0</v>
      </c>
      <c r="G1404" s="27">
        <f>IF(A1404="","",IFERROR(AVERAGEIFS(Prensa!$B$2:$B$5001,Prensa!$E$2:$E$5001,N1404,Prensa!$F$2:$F$5001,4,Prensa!$G$2:$G$5001,1),""))</f>
        <v>0</v>
      </c>
      <c r="H1404" s="26">
        <f>IF(A1404="","",COUNT(D1404:G1404))</f>
        <v>0</v>
      </c>
      <c r="I1404" s="27">
        <f>IF(A1404="","",IF(H1404=0,"",AVERAGE(D1404:G1404)))</f>
        <v>0</v>
      </c>
      <c r="J1404" s="27">
        <f>IF(OR(I1404="",C1404=""),"",I1404-C1404)</f>
        <v>0</v>
      </c>
      <c r="K1404" s="26">
        <f>IF(A1404="","",IF(MES!E1404&lt;&gt;4,"Horário do MES fora do padrão",IF(H1404&lt;cfgMinCortes,"Cortes insuficientes","Válida")))</f>
        <v>0</v>
      </c>
      <c r="L1404" s="27">
        <f>IF(K1404="Válida",ABS(J1404),"")</f>
        <v>0</v>
      </c>
      <c r="M1404" s="26">
        <f>IF(K1404="Válida",IF(L1404&lt;=cfgTolerancia,"Sim","Não"),"")</f>
        <v>0</v>
      </c>
      <c r="N1404" s="26">
        <f>IF(A1404="","",MES!D1404)</f>
        <v>0</v>
      </c>
      <c r="O1404" s="25">
        <f>IF(K1404="Válida",A1404,NA())</f>
        <v>0</v>
      </c>
      <c r="P1404" s="27">
        <f>IF(K1404="Válida",C1404,NA())</f>
        <v>0</v>
      </c>
      <c r="Q1404" s="27">
        <f>IF(K1404="Válida",I1404,NA())</f>
        <v>0</v>
      </c>
      <c r="R1404" s="27">
        <f>IF(K1404="Válida",J1404,NA())</f>
        <v>0</v>
      </c>
      <c r="S1404" s="27">
        <f>IF(K1404="Válida",C1404,"")</f>
        <v>0</v>
      </c>
      <c r="T1404" s="27">
        <f>IF(K1404="Válida",I1404,"")</f>
        <v>0</v>
      </c>
      <c r="U1404" s="27">
        <f>IF(K1404="Válida",J1404,"")</f>
        <v>0</v>
      </c>
    </row>
    <row r="1405" spans="1:21">
      <c r="A1405" s="25">
        <f>IF(MES!A1405="","",MES!C1405/48)</f>
        <v>0</v>
      </c>
      <c r="B1405" s="26">
        <f>IF(A1405="","",TEXT((N1405*4+cfgDeslocamento)/48,"hh:mm")&amp;" a "&amp;TEXT(A1405,"hh:mm"))</f>
        <v>0</v>
      </c>
      <c r="C1405" s="27">
        <f>IF(A1405="","",MES!B1405)</f>
        <v>0</v>
      </c>
      <c r="D1405" s="27">
        <f>IF(A1405="","",IFERROR(AVERAGEIFS(Prensa!$B$2:$B$5001,Prensa!$E$2:$E$5001,N1405,Prensa!$F$2:$F$5001,1,Prensa!$G$2:$G$5001,1),""))</f>
        <v>0</v>
      </c>
      <c r="E1405" s="27">
        <f>IF(A1405="","",IFERROR(AVERAGEIFS(Prensa!$B$2:$B$5001,Prensa!$E$2:$E$5001,N1405,Prensa!$F$2:$F$5001,2,Prensa!$G$2:$G$5001,1),""))</f>
        <v>0</v>
      </c>
      <c r="F1405" s="27">
        <f>IF(A1405="","",IFERROR(AVERAGEIFS(Prensa!$B$2:$B$5001,Prensa!$E$2:$E$5001,N1405,Prensa!$F$2:$F$5001,3,Prensa!$G$2:$G$5001,1),""))</f>
        <v>0</v>
      </c>
      <c r="G1405" s="27">
        <f>IF(A1405="","",IFERROR(AVERAGEIFS(Prensa!$B$2:$B$5001,Prensa!$E$2:$E$5001,N1405,Prensa!$F$2:$F$5001,4,Prensa!$G$2:$G$5001,1),""))</f>
        <v>0</v>
      </c>
      <c r="H1405" s="26">
        <f>IF(A1405="","",COUNT(D1405:G1405))</f>
        <v>0</v>
      </c>
      <c r="I1405" s="27">
        <f>IF(A1405="","",IF(H1405=0,"",AVERAGE(D1405:G1405)))</f>
        <v>0</v>
      </c>
      <c r="J1405" s="27">
        <f>IF(OR(I1405="",C1405=""),"",I1405-C1405)</f>
        <v>0</v>
      </c>
      <c r="K1405" s="26">
        <f>IF(A1405="","",IF(MES!E1405&lt;&gt;4,"Horário do MES fora do padrão",IF(H1405&lt;cfgMinCortes,"Cortes insuficientes","Válida")))</f>
        <v>0</v>
      </c>
      <c r="L1405" s="27">
        <f>IF(K1405="Válida",ABS(J1405),"")</f>
        <v>0</v>
      </c>
      <c r="M1405" s="26">
        <f>IF(K1405="Válida",IF(L1405&lt;=cfgTolerancia,"Sim","Não"),"")</f>
        <v>0</v>
      </c>
      <c r="N1405" s="26">
        <f>IF(A1405="","",MES!D1405)</f>
        <v>0</v>
      </c>
      <c r="O1405" s="25">
        <f>IF(K1405="Válida",A1405,NA())</f>
        <v>0</v>
      </c>
      <c r="P1405" s="27">
        <f>IF(K1405="Válida",C1405,NA())</f>
        <v>0</v>
      </c>
      <c r="Q1405" s="27">
        <f>IF(K1405="Válida",I1405,NA())</f>
        <v>0</v>
      </c>
      <c r="R1405" s="27">
        <f>IF(K1405="Válida",J1405,NA())</f>
        <v>0</v>
      </c>
      <c r="S1405" s="27">
        <f>IF(K1405="Válida",C1405,"")</f>
        <v>0</v>
      </c>
      <c r="T1405" s="27">
        <f>IF(K1405="Válida",I1405,"")</f>
        <v>0</v>
      </c>
      <c r="U1405" s="27">
        <f>IF(K1405="Válida",J1405,"")</f>
        <v>0</v>
      </c>
    </row>
    <row r="1406" spans="1:21">
      <c r="A1406" s="25">
        <f>IF(MES!A1406="","",MES!C1406/48)</f>
        <v>0</v>
      </c>
      <c r="B1406" s="26">
        <f>IF(A1406="","",TEXT((N1406*4+cfgDeslocamento)/48,"hh:mm")&amp;" a "&amp;TEXT(A1406,"hh:mm"))</f>
        <v>0</v>
      </c>
      <c r="C1406" s="27">
        <f>IF(A1406="","",MES!B1406)</f>
        <v>0</v>
      </c>
      <c r="D1406" s="27">
        <f>IF(A1406="","",IFERROR(AVERAGEIFS(Prensa!$B$2:$B$5001,Prensa!$E$2:$E$5001,N1406,Prensa!$F$2:$F$5001,1,Prensa!$G$2:$G$5001,1),""))</f>
        <v>0</v>
      </c>
      <c r="E1406" s="27">
        <f>IF(A1406="","",IFERROR(AVERAGEIFS(Prensa!$B$2:$B$5001,Prensa!$E$2:$E$5001,N1406,Prensa!$F$2:$F$5001,2,Prensa!$G$2:$G$5001,1),""))</f>
        <v>0</v>
      </c>
      <c r="F1406" s="27">
        <f>IF(A1406="","",IFERROR(AVERAGEIFS(Prensa!$B$2:$B$5001,Prensa!$E$2:$E$5001,N1406,Prensa!$F$2:$F$5001,3,Prensa!$G$2:$G$5001,1),""))</f>
        <v>0</v>
      </c>
      <c r="G1406" s="27">
        <f>IF(A1406="","",IFERROR(AVERAGEIFS(Prensa!$B$2:$B$5001,Prensa!$E$2:$E$5001,N1406,Prensa!$F$2:$F$5001,4,Prensa!$G$2:$G$5001,1),""))</f>
        <v>0</v>
      </c>
      <c r="H1406" s="26">
        <f>IF(A1406="","",COUNT(D1406:G1406))</f>
        <v>0</v>
      </c>
      <c r="I1406" s="27">
        <f>IF(A1406="","",IF(H1406=0,"",AVERAGE(D1406:G1406)))</f>
        <v>0</v>
      </c>
      <c r="J1406" s="27">
        <f>IF(OR(I1406="",C1406=""),"",I1406-C1406)</f>
        <v>0</v>
      </c>
      <c r="K1406" s="26">
        <f>IF(A1406="","",IF(MES!E1406&lt;&gt;4,"Horário do MES fora do padrão",IF(H1406&lt;cfgMinCortes,"Cortes insuficientes","Válida")))</f>
        <v>0</v>
      </c>
      <c r="L1406" s="27">
        <f>IF(K1406="Válida",ABS(J1406),"")</f>
        <v>0</v>
      </c>
      <c r="M1406" s="26">
        <f>IF(K1406="Válida",IF(L1406&lt;=cfgTolerancia,"Sim","Não"),"")</f>
        <v>0</v>
      </c>
      <c r="N1406" s="26">
        <f>IF(A1406="","",MES!D1406)</f>
        <v>0</v>
      </c>
      <c r="O1406" s="25">
        <f>IF(K1406="Válida",A1406,NA())</f>
        <v>0</v>
      </c>
      <c r="P1406" s="27">
        <f>IF(K1406="Válida",C1406,NA())</f>
        <v>0</v>
      </c>
      <c r="Q1406" s="27">
        <f>IF(K1406="Válida",I1406,NA())</f>
        <v>0</v>
      </c>
      <c r="R1406" s="27">
        <f>IF(K1406="Válida",J1406,NA())</f>
        <v>0</v>
      </c>
      <c r="S1406" s="27">
        <f>IF(K1406="Válida",C1406,"")</f>
        <v>0</v>
      </c>
      <c r="T1406" s="27">
        <f>IF(K1406="Válida",I1406,"")</f>
        <v>0</v>
      </c>
      <c r="U1406" s="27">
        <f>IF(K1406="Válida",J1406,"")</f>
        <v>0</v>
      </c>
    </row>
    <row r="1407" spans="1:21">
      <c r="A1407" s="25">
        <f>IF(MES!A1407="","",MES!C1407/48)</f>
        <v>0</v>
      </c>
      <c r="B1407" s="26">
        <f>IF(A1407="","",TEXT((N1407*4+cfgDeslocamento)/48,"hh:mm")&amp;" a "&amp;TEXT(A1407,"hh:mm"))</f>
        <v>0</v>
      </c>
      <c r="C1407" s="27">
        <f>IF(A1407="","",MES!B1407)</f>
        <v>0</v>
      </c>
      <c r="D1407" s="27">
        <f>IF(A1407="","",IFERROR(AVERAGEIFS(Prensa!$B$2:$B$5001,Prensa!$E$2:$E$5001,N1407,Prensa!$F$2:$F$5001,1,Prensa!$G$2:$G$5001,1),""))</f>
        <v>0</v>
      </c>
      <c r="E1407" s="27">
        <f>IF(A1407="","",IFERROR(AVERAGEIFS(Prensa!$B$2:$B$5001,Prensa!$E$2:$E$5001,N1407,Prensa!$F$2:$F$5001,2,Prensa!$G$2:$G$5001,1),""))</f>
        <v>0</v>
      </c>
      <c r="F1407" s="27">
        <f>IF(A1407="","",IFERROR(AVERAGEIFS(Prensa!$B$2:$B$5001,Prensa!$E$2:$E$5001,N1407,Prensa!$F$2:$F$5001,3,Prensa!$G$2:$G$5001,1),""))</f>
        <v>0</v>
      </c>
      <c r="G1407" s="27">
        <f>IF(A1407="","",IFERROR(AVERAGEIFS(Prensa!$B$2:$B$5001,Prensa!$E$2:$E$5001,N1407,Prensa!$F$2:$F$5001,4,Prensa!$G$2:$G$5001,1),""))</f>
        <v>0</v>
      </c>
      <c r="H1407" s="26">
        <f>IF(A1407="","",COUNT(D1407:G1407))</f>
        <v>0</v>
      </c>
      <c r="I1407" s="27">
        <f>IF(A1407="","",IF(H1407=0,"",AVERAGE(D1407:G1407)))</f>
        <v>0</v>
      </c>
      <c r="J1407" s="27">
        <f>IF(OR(I1407="",C1407=""),"",I1407-C1407)</f>
        <v>0</v>
      </c>
      <c r="K1407" s="26">
        <f>IF(A1407="","",IF(MES!E1407&lt;&gt;4,"Horário do MES fora do padrão",IF(H1407&lt;cfgMinCortes,"Cortes insuficientes","Válida")))</f>
        <v>0</v>
      </c>
      <c r="L1407" s="27">
        <f>IF(K1407="Válida",ABS(J1407),"")</f>
        <v>0</v>
      </c>
      <c r="M1407" s="26">
        <f>IF(K1407="Válida",IF(L1407&lt;=cfgTolerancia,"Sim","Não"),"")</f>
        <v>0</v>
      </c>
      <c r="N1407" s="26">
        <f>IF(A1407="","",MES!D1407)</f>
        <v>0</v>
      </c>
      <c r="O1407" s="25">
        <f>IF(K1407="Válida",A1407,NA())</f>
        <v>0</v>
      </c>
      <c r="P1407" s="27">
        <f>IF(K1407="Válida",C1407,NA())</f>
        <v>0</v>
      </c>
      <c r="Q1407" s="27">
        <f>IF(K1407="Válida",I1407,NA())</f>
        <v>0</v>
      </c>
      <c r="R1407" s="27">
        <f>IF(K1407="Válida",J1407,NA())</f>
        <v>0</v>
      </c>
      <c r="S1407" s="27">
        <f>IF(K1407="Válida",C1407,"")</f>
        <v>0</v>
      </c>
      <c r="T1407" s="27">
        <f>IF(K1407="Válida",I1407,"")</f>
        <v>0</v>
      </c>
      <c r="U1407" s="27">
        <f>IF(K1407="Válida",J1407,"")</f>
        <v>0</v>
      </c>
    </row>
    <row r="1408" spans="1:21">
      <c r="A1408" s="25">
        <f>IF(MES!A1408="","",MES!C1408/48)</f>
        <v>0</v>
      </c>
      <c r="B1408" s="26">
        <f>IF(A1408="","",TEXT((N1408*4+cfgDeslocamento)/48,"hh:mm")&amp;" a "&amp;TEXT(A1408,"hh:mm"))</f>
        <v>0</v>
      </c>
      <c r="C1408" s="27">
        <f>IF(A1408="","",MES!B1408)</f>
        <v>0</v>
      </c>
      <c r="D1408" s="27">
        <f>IF(A1408="","",IFERROR(AVERAGEIFS(Prensa!$B$2:$B$5001,Prensa!$E$2:$E$5001,N1408,Prensa!$F$2:$F$5001,1,Prensa!$G$2:$G$5001,1),""))</f>
        <v>0</v>
      </c>
      <c r="E1408" s="27">
        <f>IF(A1408="","",IFERROR(AVERAGEIFS(Prensa!$B$2:$B$5001,Prensa!$E$2:$E$5001,N1408,Prensa!$F$2:$F$5001,2,Prensa!$G$2:$G$5001,1),""))</f>
        <v>0</v>
      </c>
      <c r="F1408" s="27">
        <f>IF(A1408="","",IFERROR(AVERAGEIFS(Prensa!$B$2:$B$5001,Prensa!$E$2:$E$5001,N1408,Prensa!$F$2:$F$5001,3,Prensa!$G$2:$G$5001,1),""))</f>
        <v>0</v>
      </c>
      <c r="G1408" s="27">
        <f>IF(A1408="","",IFERROR(AVERAGEIFS(Prensa!$B$2:$B$5001,Prensa!$E$2:$E$5001,N1408,Prensa!$F$2:$F$5001,4,Prensa!$G$2:$G$5001,1),""))</f>
        <v>0</v>
      </c>
      <c r="H1408" s="26">
        <f>IF(A1408="","",COUNT(D1408:G1408))</f>
        <v>0</v>
      </c>
      <c r="I1408" s="27">
        <f>IF(A1408="","",IF(H1408=0,"",AVERAGE(D1408:G1408)))</f>
        <v>0</v>
      </c>
      <c r="J1408" s="27">
        <f>IF(OR(I1408="",C1408=""),"",I1408-C1408)</f>
        <v>0</v>
      </c>
      <c r="K1408" s="26">
        <f>IF(A1408="","",IF(MES!E1408&lt;&gt;4,"Horário do MES fora do padrão",IF(H1408&lt;cfgMinCortes,"Cortes insuficientes","Válida")))</f>
        <v>0</v>
      </c>
      <c r="L1408" s="27">
        <f>IF(K1408="Válida",ABS(J1408),"")</f>
        <v>0</v>
      </c>
      <c r="M1408" s="26">
        <f>IF(K1408="Válida",IF(L1408&lt;=cfgTolerancia,"Sim","Não"),"")</f>
        <v>0</v>
      </c>
      <c r="N1408" s="26">
        <f>IF(A1408="","",MES!D1408)</f>
        <v>0</v>
      </c>
      <c r="O1408" s="25">
        <f>IF(K1408="Válida",A1408,NA())</f>
        <v>0</v>
      </c>
      <c r="P1408" s="27">
        <f>IF(K1408="Válida",C1408,NA())</f>
        <v>0</v>
      </c>
      <c r="Q1408" s="27">
        <f>IF(K1408="Válida",I1408,NA())</f>
        <v>0</v>
      </c>
      <c r="R1408" s="27">
        <f>IF(K1408="Válida",J1408,NA())</f>
        <v>0</v>
      </c>
      <c r="S1408" s="27">
        <f>IF(K1408="Válida",C1408,"")</f>
        <v>0</v>
      </c>
      <c r="T1408" s="27">
        <f>IF(K1408="Válida",I1408,"")</f>
        <v>0</v>
      </c>
      <c r="U1408" s="27">
        <f>IF(K1408="Válida",J1408,"")</f>
        <v>0</v>
      </c>
    </row>
    <row r="1409" spans="1:21">
      <c r="A1409" s="25">
        <f>IF(MES!A1409="","",MES!C1409/48)</f>
        <v>0</v>
      </c>
      <c r="B1409" s="26">
        <f>IF(A1409="","",TEXT((N1409*4+cfgDeslocamento)/48,"hh:mm")&amp;" a "&amp;TEXT(A1409,"hh:mm"))</f>
        <v>0</v>
      </c>
      <c r="C1409" s="27">
        <f>IF(A1409="","",MES!B1409)</f>
        <v>0</v>
      </c>
      <c r="D1409" s="27">
        <f>IF(A1409="","",IFERROR(AVERAGEIFS(Prensa!$B$2:$B$5001,Prensa!$E$2:$E$5001,N1409,Prensa!$F$2:$F$5001,1,Prensa!$G$2:$G$5001,1),""))</f>
        <v>0</v>
      </c>
      <c r="E1409" s="27">
        <f>IF(A1409="","",IFERROR(AVERAGEIFS(Prensa!$B$2:$B$5001,Prensa!$E$2:$E$5001,N1409,Prensa!$F$2:$F$5001,2,Prensa!$G$2:$G$5001,1),""))</f>
        <v>0</v>
      </c>
      <c r="F1409" s="27">
        <f>IF(A1409="","",IFERROR(AVERAGEIFS(Prensa!$B$2:$B$5001,Prensa!$E$2:$E$5001,N1409,Prensa!$F$2:$F$5001,3,Prensa!$G$2:$G$5001,1),""))</f>
        <v>0</v>
      </c>
      <c r="G1409" s="27">
        <f>IF(A1409="","",IFERROR(AVERAGEIFS(Prensa!$B$2:$B$5001,Prensa!$E$2:$E$5001,N1409,Prensa!$F$2:$F$5001,4,Prensa!$G$2:$G$5001,1),""))</f>
        <v>0</v>
      </c>
      <c r="H1409" s="26">
        <f>IF(A1409="","",COUNT(D1409:G1409))</f>
        <v>0</v>
      </c>
      <c r="I1409" s="27">
        <f>IF(A1409="","",IF(H1409=0,"",AVERAGE(D1409:G1409)))</f>
        <v>0</v>
      </c>
      <c r="J1409" s="27">
        <f>IF(OR(I1409="",C1409=""),"",I1409-C1409)</f>
        <v>0</v>
      </c>
      <c r="K1409" s="26">
        <f>IF(A1409="","",IF(MES!E1409&lt;&gt;4,"Horário do MES fora do padrão",IF(H1409&lt;cfgMinCortes,"Cortes insuficientes","Válida")))</f>
        <v>0</v>
      </c>
      <c r="L1409" s="27">
        <f>IF(K1409="Válida",ABS(J1409),"")</f>
        <v>0</v>
      </c>
      <c r="M1409" s="26">
        <f>IF(K1409="Válida",IF(L1409&lt;=cfgTolerancia,"Sim","Não"),"")</f>
        <v>0</v>
      </c>
      <c r="N1409" s="26">
        <f>IF(A1409="","",MES!D1409)</f>
        <v>0</v>
      </c>
      <c r="O1409" s="25">
        <f>IF(K1409="Válida",A1409,NA())</f>
        <v>0</v>
      </c>
      <c r="P1409" s="27">
        <f>IF(K1409="Válida",C1409,NA())</f>
        <v>0</v>
      </c>
      <c r="Q1409" s="27">
        <f>IF(K1409="Válida",I1409,NA())</f>
        <v>0</v>
      </c>
      <c r="R1409" s="27">
        <f>IF(K1409="Válida",J1409,NA())</f>
        <v>0</v>
      </c>
      <c r="S1409" s="27">
        <f>IF(K1409="Válida",C1409,"")</f>
        <v>0</v>
      </c>
      <c r="T1409" s="27">
        <f>IF(K1409="Válida",I1409,"")</f>
        <v>0</v>
      </c>
      <c r="U1409" s="27">
        <f>IF(K1409="Válida",J1409,"")</f>
        <v>0</v>
      </c>
    </row>
    <row r="1410" spans="1:21">
      <c r="A1410" s="25">
        <f>IF(MES!A1410="","",MES!C1410/48)</f>
        <v>0</v>
      </c>
      <c r="B1410" s="26">
        <f>IF(A1410="","",TEXT((N1410*4+cfgDeslocamento)/48,"hh:mm")&amp;" a "&amp;TEXT(A1410,"hh:mm"))</f>
        <v>0</v>
      </c>
      <c r="C1410" s="27">
        <f>IF(A1410="","",MES!B1410)</f>
        <v>0</v>
      </c>
      <c r="D1410" s="27">
        <f>IF(A1410="","",IFERROR(AVERAGEIFS(Prensa!$B$2:$B$5001,Prensa!$E$2:$E$5001,N1410,Prensa!$F$2:$F$5001,1,Prensa!$G$2:$G$5001,1),""))</f>
        <v>0</v>
      </c>
      <c r="E1410" s="27">
        <f>IF(A1410="","",IFERROR(AVERAGEIFS(Prensa!$B$2:$B$5001,Prensa!$E$2:$E$5001,N1410,Prensa!$F$2:$F$5001,2,Prensa!$G$2:$G$5001,1),""))</f>
        <v>0</v>
      </c>
      <c r="F1410" s="27">
        <f>IF(A1410="","",IFERROR(AVERAGEIFS(Prensa!$B$2:$B$5001,Prensa!$E$2:$E$5001,N1410,Prensa!$F$2:$F$5001,3,Prensa!$G$2:$G$5001,1),""))</f>
        <v>0</v>
      </c>
      <c r="G1410" s="27">
        <f>IF(A1410="","",IFERROR(AVERAGEIFS(Prensa!$B$2:$B$5001,Prensa!$E$2:$E$5001,N1410,Prensa!$F$2:$F$5001,4,Prensa!$G$2:$G$5001,1),""))</f>
        <v>0</v>
      </c>
      <c r="H1410" s="26">
        <f>IF(A1410="","",COUNT(D1410:G1410))</f>
        <v>0</v>
      </c>
      <c r="I1410" s="27">
        <f>IF(A1410="","",IF(H1410=0,"",AVERAGE(D1410:G1410)))</f>
        <v>0</v>
      </c>
      <c r="J1410" s="27">
        <f>IF(OR(I1410="",C1410=""),"",I1410-C1410)</f>
        <v>0</v>
      </c>
      <c r="K1410" s="26">
        <f>IF(A1410="","",IF(MES!E1410&lt;&gt;4,"Horário do MES fora do padrão",IF(H1410&lt;cfgMinCortes,"Cortes insuficientes","Válida")))</f>
        <v>0</v>
      </c>
      <c r="L1410" s="27">
        <f>IF(K1410="Válida",ABS(J1410),"")</f>
        <v>0</v>
      </c>
      <c r="M1410" s="26">
        <f>IF(K1410="Válida",IF(L1410&lt;=cfgTolerancia,"Sim","Não"),"")</f>
        <v>0</v>
      </c>
      <c r="N1410" s="26">
        <f>IF(A1410="","",MES!D1410)</f>
        <v>0</v>
      </c>
      <c r="O1410" s="25">
        <f>IF(K1410="Válida",A1410,NA())</f>
        <v>0</v>
      </c>
      <c r="P1410" s="27">
        <f>IF(K1410="Válida",C1410,NA())</f>
        <v>0</v>
      </c>
      <c r="Q1410" s="27">
        <f>IF(K1410="Válida",I1410,NA())</f>
        <v>0</v>
      </c>
      <c r="R1410" s="27">
        <f>IF(K1410="Válida",J1410,NA())</f>
        <v>0</v>
      </c>
      <c r="S1410" s="27">
        <f>IF(K1410="Válida",C1410,"")</f>
        <v>0</v>
      </c>
      <c r="T1410" s="27">
        <f>IF(K1410="Válida",I1410,"")</f>
        <v>0</v>
      </c>
      <c r="U1410" s="27">
        <f>IF(K1410="Válida",J1410,"")</f>
        <v>0</v>
      </c>
    </row>
    <row r="1411" spans="1:21">
      <c r="A1411" s="25">
        <f>IF(MES!A1411="","",MES!C1411/48)</f>
        <v>0</v>
      </c>
      <c r="B1411" s="26">
        <f>IF(A1411="","",TEXT((N1411*4+cfgDeslocamento)/48,"hh:mm")&amp;" a "&amp;TEXT(A1411,"hh:mm"))</f>
        <v>0</v>
      </c>
      <c r="C1411" s="27">
        <f>IF(A1411="","",MES!B1411)</f>
        <v>0</v>
      </c>
      <c r="D1411" s="27">
        <f>IF(A1411="","",IFERROR(AVERAGEIFS(Prensa!$B$2:$B$5001,Prensa!$E$2:$E$5001,N1411,Prensa!$F$2:$F$5001,1,Prensa!$G$2:$G$5001,1),""))</f>
        <v>0</v>
      </c>
      <c r="E1411" s="27">
        <f>IF(A1411="","",IFERROR(AVERAGEIFS(Prensa!$B$2:$B$5001,Prensa!$E$2:$E$5001,N1411,Prensa!$F$2:$F$5001,2,Prensa!$G$2:$G$5001,1),""))</f>
        <v>0</v>
      </c>
      <c r="F1411" s="27">
        <f>IF(A1411="","",IFERROR(AVERAGEIFS(Prensa!$B$2:$B$5001,Prensa!$E$2:$E$5001,N1411,Prensa!$F$2:$F$5001,3,Prensa!$G$2:$G$5001,1),""))</f>
        <v>0</v>
      </c>
      <c r="G1411" s="27">
        <f>IF(A1411="","",IFERROR(AVERAGEIFS(Prensa!$B$2:$B$5001,Prensa!$E$2:$E$5001,N1411,Prensa!$F$2:$F$5001,4,Prensa!$G$2:$G$5001,1),""))</f>
        <v>0</v>
      </c>
      <c r="H1411" s="26">
        <f>IF(A1411="","",COUNT(D1411:G1411))</f>
        <v>0</v>
      </c>
      <c r="I1411" s="27">
        <f>IF(A1411="","",IF(H1411=0,"",AVERAGE(D1411:G1411)))</f>
        <v>0</v>
      </c>
      <c r="J1411" s="27">
        <f>IF(OR(I1411="",C1411=""),"",I1411-C1411)</f>
        <v>0</v>
      </c>
      <c r="K1411" s="26">
        <f>IF(A1411="","",IF(MES!E1411&lt;&gt;4,"Horário do MES fora do padrão",IF(H1411&lt;cfgMinCortes,"Cortes insuficientes","Válida")))</f>
        <v>0</v>
      </c>
      <c r="L1411" s="27">
        <f>IF(K1411="Válida",ABS(J1411),"")</f>
        <v>0</v>
      </c>
      <c r="M1411" s="26">
        <f>IF(K1411="Válida",IF(L1411&lt;=cfgTolerancia,"Sim","Não"),"")</f>
        <v>0</v>
      </c>
      <c r="N1411" s="26">
        <f>IF(A1411="","",MES!D1411)</f>
        <v>0</v>
      </c>
      <c r="O1411" s="25">
        <f>IF(K1411="Válida",A1411,NA())</f>
        <v>0</v>
      </c>
      <c r="P1411" s="27">
        <f>IF(K1411="Válida",C1411,NA())</f>
        <v>0</v>
      </c>
      <c r="Q1411" s="27">
        <f>IF(K1411="Válida",I1411,NA())</f>
        <v>0</v>
      </c>
      <c r="R1411" s="27">
        <f>IF(K1411="Válida",J1411,NA())</f>
        <v>0</v>
      </c>
      <c r="S1411" s="27">
        <f>IF(K1411="Válida",C1411,"")</f>
        <v>0</v>
      </c>
      <c r="T1411" s="27">
        <f>IF(K1411="Válida",I1411,"")</f>
        <v>0</v>
      </c>
      <c r="U1411" s="27">
        <f>IF(K1411="Válida",J1411,"")</f>
        <v>0</v>
      </c>
    </row>
    <row r="1412" spans="1:21">
      <c r="A1412" s="25">
        <f>IF(MES!A1412="","",MES!C1412/48)</f>
        <v>0</v>
      </c>
      <c r="B1412" s="26">
        <f>IF(A1412="","",TEXT((N1412*4+cfgDeslocamento)/48,"hh:mm")&amp;" a "&amp;TEXT(A1412,"hh:mm"))</f>
        <v>0</v>
      </c>
      <c r="C1412" s="27">
        <f>IF(A1412="","",MES!B1412)</f>
        <v>0</v>
      </c>
      <c r="D1412" s="27">
        <f>IF(A1412="","",IFERROR(AVERAGEIFS(Prensa!$B$2:$B$5001,Prensa!$E$2:$E$5001,N1412,Prensa!$F$2:$F$5001,1,Prensa!$G$2:$G$5001,1),""))</f>
        <v>0</v>
      </c>
      <c r="E1412" s="27">
        <f>IF(A1412="","",IFERROR(AVERAGEIFS(Prensa!$B$2:$B$5001,Prensa!$E$2:$E$5001,N1412,Prensa!$F$2:$F$5001,2,Prensa!$G$2:$G$5001,1),""))</f>
        <v>0</v>
      </c>
      <c r="F1412" s="27">
        <f>IF(A1412="","",IFERROR(AVERAGEIFS(Prensa!$B$2:$B$5001,Prensa!$E$2:$E$5001,N1412,Prensa!$F$2:$F$5001,3,Prensa!$G$2:$G$5001,1),""))</f>
        <v>0</v>
      </c>
      <c r="G1412" s="27">
        <f>IF(A1412="","",IFERROR(AVERAGEIFS(Prensa!$B$2:$B$5001,Prensa!$E$2:$E$5001,N1412,Prensa!$F$2:$F$5001,4,Prensa!$G$2:$G$5001,1),""))</f>
        <v>0</v>
      </c>
      <c r="H1412" s="26">
        <f>IF(A1412="","",COUNT(D1412:G1412))</f>
        <v>0</v>
      </c>
      <c r="I1412" s="27">
        <f>IF(A1412="","",IF(H1412=0,"",AVERAGE(D1412:G1412)))</f>
        <v>0</v>
      </c>
      <c r="J1412" s="27">
        <f>IF(OR(I1412="",C1412=""),"",I1412-C1412)</f>
        <v>0</v>
      </c>
      <c r="K1412" s="26">
        <f>IF(A1412="","",IF(MES!E1412&lt;&gt;4,"Horário do MES fora do padrão",IF(H1412&lt;cfgMinCortes,"Cortes insuficientes","Válida")))</f>
        <v>0</v>
      </c>
      <c r="L1412" s="27">
        <f>IF(K1412="Válida",ABS(J1412),"")</f>
        <v>0</v>
      </c>
      <c r="M1412" s="26">
        <f>IF(K1412="Válida",IF(L1412&lt;=cfgTolerancia,"Sim","Não"),"")</f>
        <v>0</v>
      </c>
      <c r="N1412" s="26">
        <f>IF(A1412="","",MES!D1412)</f>
        <v>0</v>
      </c>
      <c r="O1412" s="25">
        <f>IF(K1412="Válida",A1412,NA())</f>
        <v>0</v>
      </c>
      <c r="P1412" s="27">
        <f>IF(K1412="Válida",C1412,NA())</f>
        <v>0</v>
      </c>
      <c r="Q1412" s="27">
        <f>IF(K1412="Válida",I1412,NA())</f>
        <v>0</v>
      </c>
      <c r="R1412" s="27">
        <f>IF(K1412="Válida",J1412,NA())</f>
        <v>0</v>
      </c>
      <c r="S1412" s="27">
        <f>IF(K1412="Válida",C1412,"")</f>
        <v>0</v>
      </c>
      <c r="T1412" s="27">
        <f>IF(K1412="Válida",I1412,"")</f>
        <v>0</v>
      </c>
      <c r="U1412" s="27">
        <f>IF(K1412="Válida",J1412,"")</f>
        <v>0</v>
      </c>
    </row>
    <row r="1413" spans="1:21">
      <c r="A1413" s="25">
        <f>IF(MES!A1413="","",MES!C1413/48)</f>
        <v>0</v>
      </c>
      <c r="B1413" s="26">
        <f>IF(A1413="","",TEXT((N1413*4+cfgDeslocamento)/48,"hh:mm")&amp;" a "&amp;TEXT(A1413,"hh:mm"))</f>
        <v>0</v>
      </c>
      <c r="C1413" s="27">
        <f>IF(A1413="","",MES!B1413)</f>
        <v>0</v>
      </c>
      <c r="D1413" s="27">
        <f>IF(A1413="","",IFERROR(AVERAGEIFS(Prensa!$B$2:$B$5001,Prensa!$E$2:$E$5001,N1413,Prensa!$F$2:$F$5001,1,Prensa!$G$2:$G$5001,1),""))</f>
        <v>0</v>
      </c>
      <c r="E1413" s="27">
        <f>IF(A1413="","",IFERROR(AVERAGEIFS(Prensa!$B$2:$B$5001,Prensa!$E$2:$E$5001,N1413,Prensa!$F$2:$F$5001,2,Prensa!$G$2:$G$5001,1),""))</f>
        <v>0</v>
      </c>
      <c r="F1413" s="27">
        <f>IF(A1413="","",IFERROR(AVERAGEIFS(Prensa!$B$2:$B$5001,Prensa!$E$2:$E$5001,N1413,Prensa!$F$2:$F$5001,3,Prensa!$G$2:$G$5001,1),""))</f>
        <v>0</v>
      </c>
      <c r="G1413" s="27">
        <f>IF(A1413="","",IFERROR(AVERAGEIFS(Prensa!$B$2:$B$5001,Prensa!$E$2:$E$5001,N1413,Prensa!$F$2:$F$5001,4,Prensa!$G$2:$G$5001,1),""))</f>
        <v>0</v>
      </c>
      <c r="H1413" s="26">
        <f>IF(A1413="","",COUNT(D1413:G1413))</f>
        <v>0</v>
      </c>
      <c r="I1413" s="27">
        <f>IF(A1413="","",IF(H1413=0,"",AVERAGE(D1413:G1413)))</f>
        <v>0</v>
      </c>
      <c r="J1413" s="27">
        <f>IF(OR(I1413="",C1413=""),"",I1413-C1413)</f>
        <v>0</v>
      </c>
      <c r="K1413" s="26">
        <f>IF(A1413="","",IF(MES!E1413&lt;&gt;4,"Horário do MES fora do padrão",IF(H1413&lt;cfgMinCortes,"Cortes insuficientes","Válida")))</f>
        <v>0</v>
      </c>
      <c r="L1413" s="27">
        <f>IF(K1413="Válida",ABS(J1413),"")</f>
        <v>0</v>
      </c>
      <c r="M1413" s="26">
        <f>IF(K1413="Válida",IF(L1413&lt;=cfgTolerancia,"Sim","Não"),"")</f>
        <v>0</v>
      </c>
      <c r="N1413" s="26">
        <f>IF(A1413="","",MES!D1413)</f>
        <v>0</v>
      </c>
      <c r="O1413" s="25">
        <f>IF(K1413="Válida",A1413,NA())</f>
        <v>0</v>
      </c>
      <c r="P1413" s="27">
        <f>IF(K1413="Válida",C1413,NA())</f>
        <v>0</v>
      </c>
      <c r="Q1413" s="27">
        <f>IF(K1413="Válida",I1413,NA())</f>
        <v>0</v>
      </c>
      <c r="R1413" s="27">
        <f>IF(K1413="Válida",J1413,NA())</f>
        <v>0</v>
      </c>
      <c r="S1413" s="27">
        <f>IF(K1413="Válida",C1413,"")</f>
        <v>0</v>
      </c>
      <c r="T1413" s="27">
        <f>IF(K1413="Válida",I1413,"")</f>
        <v>0</v>
      </c>
      <c r="U1413" s="27">
        <f>IF(K1413="Válida",J1413,"")</f>
        <v>0</v>
      </c>
    </row>
    <row r="1414" spans="1:21">
      <c r="A1414" s="25">
        <f>IF(MES!A1414="","",MES!C1414/48)</f>
        <v>0</v>
      </c>
      <c r="B1414" s="26">
        <f>IF(A1414="","",TEXT((N1414*4+cfgDeslocamento)/48,"hh:mm")&amp;" a "&amp;TEXT(A1414,"hh:mm"))</f>
        <v>0</v>
      </c>
      <c r="C1414" s="27">
        <f>IF(A1414="","",MES!B1414)</f>
        <v>0</v>
      </c>
      <c r="D1414" s="27">
        <f>IF(A1414="","",IFERROR(AVERAGEIFS(Prensa!$B$2:$B$5001,Prensa!$E$2:$E$5001,N1414,Prensa!$F$2:$F$5001,1,Prensa!$G$2:$G$5001,1),""))</f>
        <v>0</v>
      </c>
      <c r="E1414" s="27">
        <f>IF(A1414="","",IFERROR(AVERAGEIFS(Prensa!$B$2:$B$5001,Prensa!$E$2:$E$5001,N1414,Prensa!$F$2:$F$5001,2,Prensa!$G$2:$G$5001,1),""))</f>
        <v>0</v>
      </c>
      <c r="F1414" s="27">
        <f>IF(A1414="","",IFERROR(AVERAGEIFS(Prensa!$B$2:$B$5001,Prensa!$E$2:$E$5001,N1414,Prensa!$F$2:$F$5001,3,Prensa!$G$2:$G$5001,1),""))</f>
        <v>0</v>
      </c>
      <c r="G1414" s="27">
        <f>IF(A1414="","",IFERROR(AVERAGEIFS(Prensa!$B$2:$B$5001,Prensa!$E$2:$E$5001,N1414,Prensa!$F$2:$F$5001,4,Prensa!$G$2:$G$5001,1),""))</f>
        <v>0</v>
      </c>
      <c r="H1414" s="26">
        <f>IF(A1414="","",COUNT(D1414:G1414))</f>
        <v>0</v>
      </c>
      <c r="I1414" s="27">
        <f>IF(A1414="","",IF(H1414=0,"",AVERAGE(D1414:G1414)))</f>
        <v>0</v>
      </c>
      <c r="J1414" s="27">
        <f>IF(OR(I1414="",C1414=""),"",I1414-C1414)</f>
        <v>0</v>
      </c>
      <c r="K1414" s="26">
        <f>IF(A1414="","",IF(MES!E1414&lt;&gt;4,"Horário do MES fora do padrão",IF(H1414&lt;cfgMinCortes,"Cortes insuficientes","Válida")))</f>
        <v>0</v>
      </c>
      <c r="L1414" s="27">
        <f>IF(K1414="Válida",ABS(J1414),"")</f>
        <v>0</v>
      </c>
      <c r="M1414" s="26">
        <f>IF(K1414="Válida",IF(L1414&lt;=cfgTolerancia,"Sim","Não"),"")</f>
        <v>0</v>
      </c>
      <c r="N1414" s="26">
        <f>IF(A1414="","",MES!D1414)</f>
        <v>0</v>
      </c>
      <c r="O1414" s="25">
        <f>IF(K1414="Válida",A1414,NA())</f>
        <v>0</v>
      </c>
      <c r="P1414" s="27">
        <f>IF(K1414="Válida",C1414,NA())</f>
        <v>0</v>
      </c>
      <c r="Q1414" s="27">
        <f>IF(K1414="Válida",I1414,NA())</f>
        <v>0</v>
      </c>
      <c r="R1414" s="27">
        <f>IF(K1414="Válida",J1414,NA())</f>
        <v>0</v>
      </c>
      <c r="S1414" s="27">
        <f>IF(K1414="Válida",C1414,"")</f>
        <v>0</v>
      </c>
      <c r="T1414" s="27">
        <f>IF(K1414="Válida",I1414,"")</f>
        <v>0</v>
      </c>
      <c r="U1414" s="27">
        <f>IF(K1414="Válida",J1414,"")</f>
        <v>0</v>
      </c>
    </row>
    <row r="1415" spans="1:21">
      <c r="A1415" s="25">
        <f>IF(MES!A1415="","",MES!C1415/48)</f>
        <v>0</v>
      </c>
      <c r="B1415" s="26">
        <f>IF(A1415="","",TEXT((N1415*4+cfgDeslocamento)/48,"hh:mm")&amp;" a "&amp;TEXT(A1415,"hh:mm"))</f>
        <v>0</v>
      </c>
      <c r="C1415" s="27">
        <f>IF(A1415="","",MES!B1415)</f>
        <v>0</v>
      </c>
      <c r="D1415" s="27">
        <f>IF(A1415="","",IFERROR(AVERAGEIFS(Prensa!$B$2:$B$5001,Prensa!$E$2:$E$5001,N1415,Prensa!$F$2:$F$5001,1,Prensa!$G$2:$G$5001,1),""))</f>
        <v>0</v>
      </c>
      <c r="E1415" s="27">
        <f>IF(A1415="","",IFERROR(AVERAGEIFS(Prensa!$B$2:$B$5001,Prensa!$E$2:$E$5001,N1415,Prensa!$F$2:$F$5001,2,Prensa!$G$2:$G$5001,1),""))</f>
        <v>0</v>
      </c>
      <c r="F1415" s="27">
        <f>IF(A1415="","",IFERROR(AVERAGEIFS(Prensa!$B$2:$B$5001,Prensa!$E$2:$E$5001,N1415,Prensa!$F$2:$F$5001,3,Prensa!$G$2:$G$5001,1),""))</f>
        <v>0</v>
      </c>
      <c r="G1415" s="27">
        <f>IF(A1415="","",IFERROR(AVERAGEIFS(Prensa!$B$2:$B$5001,Prensa!$E$2:$E$5001,N1415,Prensa!$F$2:$F$5001,4,Prensa!$G$2:$G$5001,1),""))</f>
        <v>0</v>
      </c>
      <c r="H1415" s="26">
        <f>IF(A1415="","",COUNT(D1415:G1415))</f>
        <v>0</v>
      </c>
      <c r="I1415" s="27">
        <f>IF(A1415="","",IF(H1415=0,"",AVERAGE(D1415:G1415)))</f>
        <v>0</v>
      </c>
      <c r="J1415" s="27">
        <f>IF(OR(I1415="",C1415=""),"",I1415-C1415)</f>
        <v>0</v>
      </c>
      <c r="K1415" s="26">
        <f>IF(A1415="","",IF(MES!E1415&lt;&gt;4,"Horário do MES fora do padrão",IF(H1415&lt;cfgMinCortes,"Cortes insuficientes","Válida")))</f>
        <v>0</v>
      </c>
      <c r="L1415" s="27">
        <f>IF(K1415="Válida",ABS(J1415),"")</f>
        <v>0</v>
      </c>
      <c r="M1415" s="26">
        <f>IF(K1415="Válida",IF(L1415&lt;=cfgTolerancia,"Sim","Não"),"")</f>
        <v>0</v>
      </c>
      <c r="N1415" s="26">
        <f>IF(A1415="","",MES!D1415)</f>
        <v>0</v>
      </c>
      <c r="O1415" s="25">
        <f>IF(K1415="Válida",A1415,NA())</f>
        <v>0</v>
      </c>
      <c r="P1415" s="27">
        <f>IF(K1415="Válida",C1415,NA())</f>
        <v>0</v>
      </c>
      <c r="Q1415" s="27">
        <f>IF(K1415="Válida",I1415,NA())</f>
        <v>0</v>
      </c>
      <c r="R1415" s="27">
        <f>IF(K1415="Válida",J1415,NA())</f>
        <v>0</v>
      </c>
      <c r="S1415" s="27">
        <f>IF(K1415="Válida",C1415,"")</f>
        <v>0</v>
      </c>
      <c r="T1415" s="27">
        <f>IF(K1415="Válida",I1415,"")</f>
        <v>0</v>
      </c>
      <c r="U1415" s="27">
        <f>IF(K1415="Válida",J1415,"")</f>
        <v>0</v>
      </c>
    </row>
    <row r="1416" spans="1:21">
      <c r="A1416" s="25">
        <f>IF(MES!A1416="","",MES!C1416/48)</f>
        <v>0</v>
      </c>
      <c r="B1416" s="26">
        <f>IF(A1416="","",TEXT((N1416*4+cfgDeslocamento)/48,"hh:mm")&amp;" a "&amp;TEXT(A1416,"hh:mm"))</f>
        <v>0</v>
      </c>
      <c r="C1416" s="27">
        <f>IF(A1416="","",MES!B1416)</f>
        <v>0</v>
      </c>
      <c r="D1416" s="27">
        <f>IF(A1416="","",IFERROR(AVERAGEIFS(Prensa!$B$2:$B$5001,Prensa!$E$2:$E$5001,N1416,Prensa!$F$2:$F$5001,1,Prensa!$G$2:$G$5001,1),""))</f>
        <v>0</v>
      </c>
      <c r="E1416" s="27">
        <f>IF(A1416="","",IFERROR(AVERAGEIFS(Prensa!$B$2:$B$5001,Prensa!$E$2:$E$5001,N1416,Prensa!$F$2:$F$5001,2,Prensa!$G$2:$G$5001,1),""))</f>
        <v>0</v>
      </c>
      <c r="F1416" s="27">
        <f>IF(A1416="","",IFERROR(AVERAGEIFS(Prensa!$B$2:$B$5001,Prensa!$E$2:$E$5001,N1416,Prensa!$F$2:$F$5001,3,Prensa!$G$2:$G$5001,1),""))</f>
        <v>0</v>
      </c>
      <c r="G1416" s="27">
        <f>IF(A1416="","",IFERROR(AVERAGEIFS(Prensa!$B$2:$B$5001,Prensa!$E$2:$E$5001,N1416,Prensa!$F$2:$F$5001,4,Prensa!$G$2:$G$5001,1),""))</f>
        <v>0</v>
      </c>
      <c r="H1416" s="26">
        <f>IF(A1416="","",COUNT(D1416:G1416))</f>
        <v>0</v>
      </c>
      <c r="I1416" s="27">
        <f>IF(A1416="","",IF(H1416=0,"",AVERAGE(D1416:G1416)))</f>
        <v>0</v>
      </c>
      <c r="J1416" s="27">
        <f>IF(OR(I1416="",C1416=""),"",I1416-C1416)</f>
        <v>0</v>
      </c>
      <c r="K1416" s="26">
        <f>IF(A1416="","",IF(MES!E1416&lt;&gt;4,"Horário do MES fora do padrão",IF(H1416&lt;cfgMinCortes,"Cortes insuficientes","Válida")))</f>
        <v>0</v>
      </c>
      <c r="L1416" s="27">
        <f>IF(K1416="Válida",ABS(J1416),"")</f>
        <v>0</v>
      </c>
      <c r="M1416" s="26">
        <f>IF(K1416="Válida",IF(L1416&lt;=cfgTolerancia,"Sim","Não"),"")</f>
        <v>0</v>
      </c>
      <c r="N1416" s="26">
        <f>IF(A1416="","",MES!D1416)</f>
        <v>0</v>
      </c>
      <c r="O1416" s="25">
        <f>IF(K1416="Válida",A1416,NA())</f>
        <v>0</v>
      </c>
      <c r="P1416" s="27">
        <f>IF(K1416="Válida",C1416,NA())</f>
        <v>0</v>
      </c>
      <c r="Q1416" s="27">
        <f>IF(K1416="Válida",I1416,NA())</f>
        <v>0</v>
      </c>
      <c r="R1416" s="27">
        <f>IF(K1416="Válida",J1416,NA())</f>
        <v>0</v>
      </c>
      <c r="S1416" s="27">
        <f>IF(K1416="Válida",C1416,"")</f>
        <v>0</v>
      </c>
      <c r="T1416" s="27">
        <f>IF(K1416="Válida",I1416,"")</f>
        <v>0</v>
      </c>
      <c r="U1416" s="27">
        <f>IF(K1416="Válida",J1416,"")</f>
        <v>0</v>
      </c>
    </row>
    <row r="1417" spans="1:21">
      <c r="A1417" s="25">
        <f>IF(MES!A1417="","",MES!C1417/48)</f>
        <v>0</v>
      </c>
      <c r="B1417" s="26">
        <f>IF(A1417="","",TEXT((N1417*4+cfgDeslocamento)/48,"hh:mm")&amp;" a "&amp;TEXT(A1417,"hh:mm"))</f>
        <v>0</v>
      </c>
      <c r="C1417" s="27">
        <f>IF(A1417="","",MES!B1417)</f>
        <v>0</v>
      </c>
      <c r="D1417" s="27">
        <f>IF(A1417="","",IFERROR(AVERAGEIFS(Prensa!$B$2:$B$5001,Prensa!$E$2:$E$5001,N1417,Prensa!$F$2:$F$5001,1,Prensa!$G$2:$G$5001,1),""))</f>
        <v>0</v>
      </c>
      <c r="E1417" s="27">
        <f>IF(A1417="","",IFERROR(AVERAGEIFS(Prensa!$B$2:$B$5001,Prensa!$E$2:$E$5001,N1417,Prensa!$F$2:$F$5001,2,Prensa!$G$2:$G$5001,1),""))</f>
        <v>0</v>
      </c>
      <c r="F1417" s="27">
        <f>IF(A1417="","",IFERROR(AVERAGEIFS(Prensa!$B$2:$B$5001,Prensa!$E$2:$E$5001,N1417,Prensa!$F$2:$F$5001,3,Prensa!$G$2:$G$5001,1),""))</f>
        <v>0</v>
      </c>
      <c r="G1417" s="27">
        <f>IF(A1417="","",IFERROR(AVERAGEIFS(Prensa!$B$2:$B$5001,Prensa!$E$2:$E$5001,N1417,Prensa!$F$2:$F$5001,4,Prensa!$G$2:$G$5001,1),""))</f>
        <v>0</v>
      </c>
      <c r="H1417" s="26">
        <f>IF(A1417="","",COUNT(D1417:G1417))</f>
        <v>0</v>
      </c>
      <c r="I1417" s="27">
        <f>IF(A1417="","",IF(H1417=0,"",AVERAGE(D1417:G1417)))</f>
        <v>0</v>
      </c>
      <c r="J1417" s="27">
        <f>IF(OR(I1417="",C1417=""),"",I1417-C1417)</f>
        <v>0</v>
      </c>
      <c r="K1417" s="26">
        <f>IF(A1417="","",IF(MES!E1417&lt;&gt;4,"Horário do MES fora do padrão",IF(H1417&lt;cfgMinCortes,"Cortes insuficientes","Válida")))</f>
        <v>0</v>
      </c>
      <c r="L1417" s="27">
        <f>IF(K1417="Válida",ABS(J1417),"")</f>
        <v>0</v>
      </c>
      <c r="M1417" s="26">
        <f>IF(K1417="Válida",IF(L1417&lt;=cfgTolerancia,"Sim","Não"),"")</f>
        <v>0</v>
      </c>
      <c r="N1417" s="26">
        <f>IF(A1417="","",MES!D1417)</f>
        <v>0</v>
      </c>
      <c r="O1417" s="25">
        <f>IF(K1417="Válida",A1417,NA())</f>
        <v>0</v>
      </c>
      <c r="P1417" s="27">
        <f>IF(K1417="Válida",C1417,NA())</f>
        <v>0</v>
      </c>
      <c r="Q1417" s="27">
        <f>IF(K1417="Válida",I1417,NA())</f>
        <v>0</v>
      </c>
      <c r="R1417" s="27">
        <f>IF(K1417="Válida",J1417,NA())</f>
        <v>0</v>
      </c>
      <c r="S1417" s="27">
        <f>IF(K1417="Válida",C1417,"")</f>
        <v>0</v>
      </c>
      <c r="T1417" s="27">
        <f>IF(K1417="Válida",I1417,"")</f>
        <v>0</v>
      </c>
      <c r="U1417" s="27">
        <f>IF(K1417="Válida",J1417,"")</f>
        <v>0</v>
      </c>
    </row>
    <row r="1418" spans="1:21">
      <c r="A1418" s="25">
        <f>IF(MES!A1418="","",MES!C1418/48)</f>
        <v>0</v>
      </c>
      <c r="B1418" s="26">
        <f>IF(A1418="","",TEXT((N1418*4+cfgDeslocamento)/48,"hh:mm")&amp;" a "&amp;TEXT(A1418,"hh:mm"))</f>
        <v>0</v>
      </c>
      <c r="C1418" s="27">
        <f>IF(A1418="","",MES!B1418)</f>
        <v>0</v>
      </c>
      <c r="D1418" s="27">
        <f>IF(A1418="","",IFERROR(AVERAGEIFS(Prensa!$B$2:$B$5001,Prensa!$E$2:$E$5001,N1418,Prensa!$F$2:$F$5001,1,Prensa!$G$2:$G$5001,1),""))</f>
        <v>0</v>
      </c>
      <c r="E1418" s="27">
        <f>IF(A1418="","",IFERROR(AVERAGEIFS(Prensa!$B$2:$B$5001,Prensa!$E$2:$E$5001,N1418,Prensa!$F$2:$F$5001,2,Prensa!$G$2:$G$5001,1),""))</f>
        <v>0</v>
      </c>
      <c r="F1418" s="27">
        <f>IF(A1418="","",IFERROR(AVERAGEIFS(Prensa!$B$2:$B$5001,Prensa!$E$2:$E$5001,N1418,Prensa!$F$2:$F$5001,3,Prensa!$G$2:$G$5001,1),""))</f>
        <v>0</v>
      </c>
      <c r="G1418" s="27">
        <f>IF(A1418="","",IFERROR(AVERAGEIFS(Prensa!$B$2:$B$5001,Prensa!$E$2:$E$5001,N1418,Prensa!$F$2:$F$5001,4,Prensa!$G$2:$G$5001,1),""))</f>
        <v>0</v>
      </c>
      <c r="H1418" s="26">
        <f>IF(A1418="","",COUNT(D1418:G1418))</f>
        <v>0</v>
      </c>
      <c r="I1418" s="27">
        <f>IF(A1418="","",IF(H1418=0,"",AVERAGE(D1418:G1418)))</f>
        <v>0</v>
      </c>
      <c r="J1418" s="27">
        <f>IF(OR(I1418="",C1418=""),"",I1418-C1418)</f>
        <v>0</v>
      </c>
      <c r="K1418" s="26">
        <f>IF(A1418="","",IF(MES!E1418&lt;&gt;4,"Horário do MES fora do padrão",IF(H1418&lt;cfgMinCortes,"Cortes insuficientes","Válida")))</f>
        <v>0</v>
      </c>
      <c r="L1418" s="27">
        <f>IF(K1418="Válida",ABS(J1418),"")</f>
        <v>0</v>
      </c>
      <c r="M1418" s="26">
        <f>IF(K1418="Válida",IF(L1418&lt;=cfgTolerancia,"Sim","Não"),"")</f>
        <v>0</v>
      </c>
      <c r="N1418" s="26">
        <f>IF(A1418="","",MES!D1418)</f>
        <v>0</v>
      </c>
      <c r="O1418" s="25">
        <f>IF(K1418="Válida",A1418,NA())</f>
        <v>0</v>
      </c>
      <c r="P1418" s="27">
        <f>IF(K1418="Válida",C1418,NA())</f>
        <v>0</v>
      </c>
      <c r="Q1418" s="27">
        <f>IF(K1418="Válida",I1418,NA())</f>
        <v>0</v>
      </c>
      <c r="R1418" s="27">
        <f>IF(K1418="Válida",J1418,NA())</f>
        <v>0</v>
      </c>
      <c r="S1418" s="27">
        <f>IF(K1418="Válida",C1418,"")</f>
        <v>0</v>
      </c>
      <c r="T1418" s="27">
        <f>IF(K1418="Válida",I1418,"")</f>
        <v>0</v>
      </c>
      <c r="U1418" s="27">
        <f>IF(K1418="Válida",J1418,"")</f>
        <v>0</v>
      </c>
    </row>
    <row r="1419" spans="1:21">
      <c r="A1419" s="25">
        <f>IF(MES!A1419="","",MES!C1419/48)</f>
        <v>0</v>
      </c>
      <c r="B1419" s="26">
        <f>IF(A1419="","",TEXT((N1419*4+cfgDeslocamento)/48,"hh:mm")&amp;" a "&amp;TEXT(A1419,"hh:mm"))</f>
        <v>0</v>
      </c>
      <c r="C1419" s="27">
        <f>IF(A1419="","",MES!B1419)</f>
        <v>0</v>
      </c>
      <c r="D1419" s="27">
        <f>IF(A1419="","",IFERROR(AVERAGEIFS(Prensa!$B$2:$B$5001,Prensa!$E$2:$E$5001,N1419,Prensa!$F$2:$F$5001,1,Prensa!$G$2:$G$5001,1),""))</f>
        <v>0</v>
      </c>
      <c r="E1419" s="27">
        <f>IF(A1419="","",IFERROR(AVERAGEIFS(Prensa!$B$2:$B$5001,Prensa!$E$2:$E$5001,N1419,Prensa!$F$2:$F$5001,2,Prensa!$G$2:$G$5001,1),""))</f>
        <v>0</v>
      </c>
      <c r="F1419" s="27">
        <f>IF(A1419="","",IFERROR(AVERAGEIFS(Prensa!$B$2:$B$5001,Prensa!$E$2:$E$5001,N1419,Prensa!$F$2:$F$5001,3,Prensa!$G$2:$G$5001,1),""))</f>
        <v>0</v>
      </c>
      <c r="G1419" s="27">
        <f>IF(A1419="","",IFERROR(AVERAGEIFS(Prensa!$B$2:$B$5001,Prensa!$E$2:$E$5001,N1419,Prensa!$F$2:$F$5001,4,Prensa!$G$2:$G$5001,1),""))</f>
        <v>0</v>
      </c>
      <c r="H1419" s="26">
        <f>IF(A1419="","",COUNT(D1419:G1419))</f>
        <v>0</v>
      </c>
      <c r="I1419" s="27">
        <f>IF(A1419="","",IF(H1419=0,"",AVERAGE(D1419:G1419)))</f>
        <v>0</v>
      </c>
      <c r="J1419" s="27">
        <f>IF(OR(I1419="",C1419=""),"",I1419-C1419)</f>
        <v>0</v>
      </c>
      <c r="K1419" s="26">
        <f>IF(A1419="","",IF(MES!E1419&lt;&gt;4,"Horário do MES fora do padrão",IF(H1419&lt;cfgMinCortes,"Cortes insuficientes","Válida")))</f>
        <v>0</v>
      </c>
      <c r="L1419" s="27">
        <f>IF(K1419="Válida",ABS(J1419),"")</f>
        <v>0</v>
      </c>
      <c r="M1419" s="26">
        <f>IF(K1419="Válida",IF(L1419&lt;=cfgTolerancia,"Sim","Não"),"")</f>
        <v>0</v>
      </c>
      <c r="N1419" s="26">
        <f>IF(A1419="","",MES!D1419)</f>
        <v>0</v>
      </c>
      <c r="O1419" s="25">
        <f>IF(K1419="Válida",A1419,NA())</f>
        <v>0</v>
      </c>
      <c r="P1419" s="27">
        <f>IF(K1419="Válida",C1419,NA())</f>
        <v>0</v>
      </c>
      <c r="Q1419" s="27">
        <f>IF(K1419="Válida",I1419,NA())</f>
        <v>0</v>
      </c>
      <c r="R1419" s="27">
        <f>IF(K1419="Válida",J1419,NA())</f>
        <v>0</v>
      </c>
      <c r="S1419" s="27">
        <f>IF(K1419="Válida",C1419,"")</f>
        <v>0</v>
      </c>
      <c r="T1419" s="27">
        <f>IF(K1419="Válida",I1419,"")</f>
        <v>0</v>
      </c>
      <c r="U1419" s="27">
        <f>IF(K1419="Válida",J1419,"")</f>
        <v>0</v>
      </c>
    </row>
    <row r="1420" spans="1:21">
      <c r="A1420" s="25">
        <f>IF(MES!A1420="","",MES!C1420/48)</f>
        <v>0</v>
      </c>
      <c r="B1420" s="26">
        <f>IF(A1420="","",TEXT((N1420*4+cfgDeslocamento)/48,"hh:mm")&amp;" a "&amp;TEXT(A1420,"hh:mm"))</f>
        <v>0</v>
      </c>
      <c r="C1420" s="27">
        <f>IF(A1420="","",MES!B1420)</f>
        <v>0</v>
      </c>
      <c r="D1420" s="27">
        <f>IF(A1420="","",IFERROR(AVERAGEIFS(Prensa!$B$2:$B$5001,Prensa!$E$2:$E$5001,N1420,Prensa!$F$2:$F$5001,1,Prensa!$G$2:$G$5001,1),""))</f>
        <v>0</v>
      </c>
      <c r="E1420" s="27">
        <f>IF(A1420="","",IFERROR(AVERAGEIFS(Prensa!$B$2:$B$5001,Prensa!$E$2:$E$5001,N1420,Prensa!$F$2:$F$5001,2,Prensa!$G$2:$G$5001,1),""))</f>
        <v>0</v>
      </c>
      <c r="F1420" s="27">
        <f>IF(A1420="","",IFERROR(AVERAGEIFS(Prensa!$B$2:$B$5001,Prensa!$E$2:$E$5001,N1420,Prensa!$F$2:$F$5001,3,Prensa!$G$2:$G$5001,1),""))</f>
        <v>0</v>
      </c>
      <c r="G1420" s="27">
        <f>IF(A1420="","",IFERROR(AVERAGEIFS(Prensa!$B$2:$B$5001,Prensa!$E$2:$E$5001,N1420,Prensa!$F$2:$F$5001,4,Prensa!$G$2:$G$5001,1),""))</f>
        <v>0</v>
      </c>
      <c r="H1420" s="26">
        <f>IF(A1420="","",COUNT(D1420:G1420))</f>
        <v>0</v>
      </c>
      <c r="I1420" s="27">
        <f>IF(A1420="","",IF(H1420=0,"",AVERAGE(D1420:G1420)))</f>
        <v>0</v>
      </c>
      <c r="J1420" s="27">
        <f>IF(OR(I1420="",C1420=""),"",I1420-C1420)</f>
        <v>0</v>
      </c>
      <c r="K1420" s="26">
        <f>IF(A1420="","",IF(MES!E1420&lt;&gt;4,"Horário do MES fora do padrão",IF(H1420&lt;cfgMinCortes,"Cortes insuficientes","Válida")))</f>
        <v>0</v>
      </c>
      <c r="L1420" s="27">
        <f>IF(K1420="Válida",ABS(J1420),"")</f>
        <v>0</v>
      </c>
      <c r="M1420" s="26">
        <f>IF(K1420="Válida",IF(L1420&lt;=cfgTolerancia,"Sim","Não"),"")</f>
        <v>0</v>
      </c>
      <c r="N1420" s="26">
        <f>IF(A1420="","",MES!D1420)</f>
        <v>0</v>
      </c>
      <c r="O1420" s="25">
        <f>IF(K1420="Válida",A1420,NA())</f>
        <v>0</v>
      </c>
      <c r="P1420" s="27">
        <f>IF(K1420="Válida",C1420,NA())</f>
        <v>0</v>
      </c>
      <c r="Q1420" s="27">
        <f>IF(K1420="Válida",I1420,NA())</f>
        <v>0</v>
      </c>
      <c r="R1420" s="27">
        <f>IF(K1420="Válida",J1420,NA())</f>
        <v>0</v>
      </c>
      <c r="S1420" s="27">
        <f>IF(K1420="Válida",C1420,"")</f>
        <v>0</v>
      </c>
      <c r="T1420" s="27">
        <f>IF(K1420="Válida",I1420,"")</f>
        <v>0</v>
      </c>
      <c r="U1420" s="27">
        <f>IF(K1420="Válida",J1420,"")</f>
        <v>0</v>
      </c>
    </row>
    <row r="1421" spans="1:21">
      <c r="A1421" s="25">
        <f>IF(MES!A1421="","",MES!C1421/48)</f>
        <v>0</v>
      </c>
      <c r="B1421" s="26">
        <f>IF(A1421="","",TEXT((N1421*4+cfgDeslocamento)/48,"hh:mm")&amp;" a "&amp;TEXT(A1421,"hh:mm"))</f>
        <v>0</v>
      </c>
      <c r="C1421" s="27">
        <f>IF(A1421="","",MES!B1421)</f>
        <v>0</v>
      </c>
      <c r="D1421" s="27">
        <f>IF(A1421="","",IFERROR(AVERAGEIFS(Prensa!$B$2:$B$5001,Prensa!$E$2:$E$5001,N1421,Prensa!$F$2:$F$5001,1,Prensa!$G$2:$G$5001,1),""))</f>
        <v>0</v>
      </c>
      <c r="E1421" s="27">
        <f>IF(A1421="","",IFERROR(AVERAGEIFS(Prensa!$B$2:$B$5001,Prensa!$E$2:$E$5001,N1421,Prensa!$F$2:$F$5001,2,Prensa!$G$2:$G$5001,1),""))</f>
        <v>0</v>
      </c>
      <c r="F1421" s="27">
        <f>IF(A1421="","",IFERROR(AVERAGEIFS(Prensa!$B$2:$B$5001,Prensa!$E$2:$E$5001,N1421,Prensa!$F$2:$F$5001,3,Prensa!$G$2:$G$5001,1),""))</f>
        <v>0</v>
      </c>
      <c r="G1421" s="27">
        <f>IF(A1421="","",IFERROR(AVERAGEIFS(Prensa!$B$2:$B$5001,Prensa!$E$2:$E$5001,N1421,Prensa!$F$2:$F$5001,4,Prensa!$G$2:$G$5001,1),""))</f>
        <v>0</v>
      </c>
      <c r="H1421" s="26">
        <f>IF(A1421="","",COUNT(D1421:G1421))</f>
        <v>0</v>
      </c>
      <c r="I1421" s="27">
        <f>IF(A1421="","",IF(H1421=0,"",AVERAGE(D1421:G1421)))</f>
        <v>0</v>
      </c>
      <c r="J1421" s="27">
        <f>IF(OR(I1421="",C1421=""),"",I1421-C1421)</f>
        <v>0</v>
      </c>
      <c r="K1421" s="26">
        <f>IF(A1421="","",IF(MES!E1421&lt;&gt;4,"Horário do MES fora do padrão",IF(H1421&lt;cfgMinCortes,"Cortes insuficientes","Válida")))</f>
        <v>0</v>
      </c>
      <c r="L1421" s="27">
        <f>IF(K1421="Válida",ABS(J1421),"")</f>
        <v>0</v>
      </c>
      <c r="M1421" s="26">
        <f>IF(K1421="Válida",IF(L1421&lt;=cfgTolerancia,"Sim","Não"),"")</f>
        <v>0</v>
      </c>
      <c r="N1421" s="26">
        <f>IF(A1421="","",MES!D1421)</f>
        <v>0</v>
      </c>
      <c r="O1421" s="25">
        <f>IF(K1421="Válida",A1421,NA())</f>
        <v>0</v>
      </c>
      <c r="P1421" s="27">
        <f>IF(K1421="Válida",C1421,NA())</f>
        <v>0</v>
      </c>
      <c r="Q1421" s="27">
        <f>IF(K1421="Válida",I1421,NA())</f>
        <v>0</v>
      </c>
      <c r="R1421" s="27">
        <f>IF(K1421="Válida",J1421,NA())</f>
        <v>0</v>
      </c>
      <c r="S1421" s="27">
        <f>IF(K1421="Válida",C1421,"")</f>
        <v>0</v>
      </c>
      <c r="T1421" s="27">
        <f>IF(K1421="Válida",I1421,"")</f>
        <v>0</v>
      </c>
      <c r="U1421" s="27">
        <f>IF(K1421="Válida",J1421,"")</f>
        <v>0</v>
      </c>
    </row>
    <row r="1422" spans="1:21">
      <c r="A1422" s="25">
        <f>IF(MES!A1422="","",MES!C1422/48)</f>
        <v>0</v>
      </c>
      <c r="B1422" s="26">
        <f>IF(A1422="","",TEXT((N1422*4+cfgDeslocamento)/48,"hh:mm")&amp;" a "&amp;TEXT(A1422,"hh:mm"))</f>
        <v>0</v>
      </c>
      <c r="C1422" s="27">
        <f>IF(A1422="","",MES!B1422)</f>
        <v>0</v>
      </c>
      <c r="D1422" s="27">
        <f>IF(A1422="","",IFERROR(AVERAGEIFS(Prensa!$B$2:$B$5001,Prensa!$E$2:$E$5001,N1422,Prensa!$F$2:$F$5001,1,Prensa!$G$2:$G$5001,1),""))</f>
        <v>0</v>
      </c>
      <c r="E1422" s="27">
        <f>IF(A1422="","",IFERROR(AVERAGEIFS(Prensa!$B$2:$B$5001,Prensa!$E$2:$E$5001,N1422,Prensa!$F$2:$F$5001,2,Prensa!$G$2:$G$5001,1),""))</f>
        <v>0</v>
      </c>
      <c r="F1422" s="27">
        <f>IF(A1422="","",IFERROR(AVERAGEIFS(Prensa!$B$2:$B$5001,Prensa!$E$2:$E$5001,N1422,Prensa!$F$2:$F$5001,3,Prensa!$G$2:$G$5001,1),""))</f>
        <v>0</v>
      </c>
      <c r="G1422" s="27">
        <f>IF(A1422="","",IFERROR(AVERAGEIFS(Prensa!$B$2:$B$5001,Prensa!$E$2:$E$5001,N1422,Prensa!$F$2:$F$5001,4,Prensa!$G$2:$G$5001,1),""))</f>
        <v>0</v>
      </c>
      <c r="H1422" s="26">
        <f>IF(A1422="","",COUNT(D1422:G1422))</f>
        <v>0</v>
      </c>
      <c r="I1422" s="27">
        <f>IF(A1422="","",IF(H1422=0,"",AVERAGE(D1422:G1422)))</f>
        <v>0</v>
      </c>
      <c r="J1422" s="27">
        <f>IF(OR(I1422="",C1422=""),"",I1422-C1422)</f>
        <v>0</v>
      </c>
      <c r="K1422" s="26">
        <f>IF(A1422="","",IF(MES!E1422&lt;&gt;4,"Horário do MES fora do padrão",IF(H1422&lt;cfgMinCortes,"Cortes insuficientes","Válida")))</f>
        <v>0</v>
      </c>
      <c r="L1422" s="27">
        <f>IF(K1422="Válida",ABS(J1422),"")</f>
        <v>0</v>
      </c>
      <c r="M1422" s="26">
        <f>IF(K1422="Válida",IF(L1422&lt;=cfgTolerancia,"Sim","Não"),"")</f>
        <v>0</v>
      </c>
      <c r="N1422" s="26">
        <f>IF(A1422="","",MES!D1422)</f>
        <v>0</v>
      </c>
      <c r="O1422" s="25">
        <f>IF(K1422="Válida",A1422,NA())</f>
        <v>0</v>
      </c>
      <c r="P1422" s="27">
        <f>IF(K1422="Válida",C1422,NA())</f>
        <v>0</v>
      </c>
      <c r="Q1422" s="27">
        <f>IF(K1422="Válida",I1422,NA())</f>
        <v>0</v>
      </c>
      <c r="R1422" s="27">
        <f>IF(K1422="Válida",J1422,NA())</f>
        <v>0</v>
      </c>
      <c r="S1422" s="27">
        <f>IF(K1422="Válida",C1422,"")</f>
        <v>0</v>
      </c>
      <c r="T1422" s="27">
        <f>IF(K1422="Válida",I1422,"")</f>
        <v>0</v>
      </c>
      <c r="U1422" s="27">
        <f>IF(K1422="Válida",J1422,"")</f>
        <v>0</v>
      </c>
    </row>
    <row r="1423" spans="1:21">
      <c r="A1423" s="25">
        <f>IF(MES!A1423="","",MES!C1423/48)</f>
        <v>0</v>
      </c>
      <c r="B1423" s="26">
        <f>IF(A1423="","",TEXT((N1423*4+cfgDeslocamento)/48,"hh:mm")&amp;" a "&amp;TEXT(A1423,"hh:mm"))</f>
        <v>0</v>
      </c>
      <c r="C1423" s="27">
        <f>IF(A1423="","",MES!B1423)</f>
        <v>0</v>
      </c>
      <c r="D1423" s="27">
        <f>IF(A1423="","",IFERROR(AVERAGEIFS(Prensa!$B$2:$B$5001,Prensa!$E$2:$E$5001,N1423,Prensa!$F$2:$F$5001,1,Prensa!$G$2:$G$5001,1),""))</f>
        <v>0</v>
      </c>
      <c r="E1423" s="27">
        <f>IF(A1423="","",IFERROR(AVERAGEIFS(Prensa!$B$2:$B$5001,Prensa!$E$2:$E$5001,N1423,Prensa!$F$2:$F$5001,2,Prensa!$G$2:$G$5001,1),""))</f>
        <v>0</v>
      </c>
      <c r="F1423" s="27">
        <f>IF(A1423="","",IFERROR(AVERAGEIFS(Prensa!$B$2:$B$5001,Prensa!$E$2:$E$5001,N1423,Prensa!$F$2:$F$5001,3,Prensa!$G$2:$G$5001,1),""))</f>
        <v>0</v>
      </c>
      <c r="G1423" s="27">
        <f>IF(A1423="","",IFERROR(AVERAGEIFS(Prensa!$B$2:$B$5001,Prensa!$E$2:$E$5001,N1423,Prensa!$F$2:$F$5001,4,Prensa!$G$2:$G$5001,1),""))</f>
        <v>0</v>
      </c>
      <c r="H1423" s="26">
        <f>IF(A1423="","",COUNT(D1423:G1423))</f>
        <v>0</v>
      </c>
      <c r="I1423" s="27">
        <f>IF(A1423="","",IF(H1423=0,"",AVERAGE(D1423:G1423)))</f>
        <v>0</v>
      </c>
      <c r="J1423" s="27">
        <f>IF(OR(I1423="",C1423=""),"",I1423-C1423)</f>
        <v>0</v>
      </c>
      <c r="K1423" s="26">
        <f>IF(A1423="","",IF(MES!E1423&lt;&gt;4,"Horário do MES fora do padrão",IF(H1423&lt;cfgMinCortes,"Cortes insuficientes","Válida")))</f>
        <v>0</v>
      </c>
      <c r="L1423" s="27">
        <f>IF(K1423="Válida",ABS(J1423),"")</f>
        <v>0</v>
      </c>
      <c r="M1423" s="26">
        <f>IF(K1423="Válida",IF(L1423&lt;=cfgTolerancia,"Sim","Não"),"")</f>
        <v>0</v>
      </c>
      <c r="N1423" s="26">
        <f>IF(A1423="","",MES!D1423)</f>
        <v>0</v>
      </c>
      <c r="O1423" s="25">
        <f>IF(K1423="Válida",A1423,NA())</f>
        <v>0</v>
      </c>
      <c r="P1423" s="27">
        <f>IF(K1423="Válida",C1423,NA())</f>
        <v>0</v>
      </c>
      <c r="Q1423" s="27">
        <f>IF(K1423="Válida",I1423,NA())</f>
        <v>0</v>
      </c>
      <c r="R1423" s="27">
        <f>IF(K1423="Válida",J1423,NA())</f>
        <v>0</v>
      </c>
      <c r="S1423" s="27">
        <f>IF(K1423="Válida",C1423,"")</f>
        <v>0</v>
      </c>
      <c r="T1423" s="27">
        <f>IF(K1423="Válida",I1423,"")</f>
        <v>0</v>
      </c>
      <c r="U1423" s="27">
        <f>IF(K1423="Válida",J1423,"")</f>
        <v>0</v>
      </c>
    </row>
    <row r="1424" spans="1:21">
      <c r="A1424" s="25">
        <f>IF(MES!A1424="","",MES!C1424/48)</f>
        <v>0</v>
      </c>
      <c r="B1424" s="26">
        <f>IF(A1424="","",TEXT((N1424*4+cfgDeslocamento)/48,"hh:mm")&amp;" a "&amp;TEXT(A1424,"hh:mm"))</f>
        <v>0</v>
      </c>
      <c r="C1424" s="27">
        <f>IF(A1424="","",MES!B1424)</f>
        <v>0</v>
      </c>
      <c r="D1424" s="27">
        <f>IF(A1424="","",IFERROR(AVERAGEIFS(Prensa!$B$2:$B$5001,Prensa!$E$2:$E$5001,N1424,Prensa!$F$2:$F$5001,1,Prensa!$G$2:$G$5001,1),""))</f>
        <v>0</v>
      </c>
      <c r="E1424" s="27">
        <f>IF(A1424="","",IFERROR(AVERAGEIFS(Prensa!$B$2:$B$5001,Prensa!$E$2:$E$5001,N1424,Prensa!$F$2:$F$5001,2,Prensa!$G$2:$G$5001,1),""))</f>
        <v>0</v>
      </c>
      <c r="F1424" s="27">
        <f>IF(A1424="","",IFERROR(AVERAGEIFS(Prensa!$B$2:$B$5001,Prensa!$E$2:$E$5001,N1424,Prensa!$F$2:$F$5001,3,Prensa!$G$2:$G$5001,1),""))</f>
        <v>0</v>
      </c>
      <c r="G1424" s="27">
        <f>IF(A1424="","",IFERROR(AVERAGEIFS(Prensa!$B$2:$B$5001,Prensa!$E$2:$E$5001,N1424,Prensa!$F$2:$F$5001,4,Prensa!$G$2:$G$5001,1),""))</f>
        <v>0</v>
      </c>
      <c r="H1424" s="26">
        <f>IF(A1424="","",COUNT(D1424:G1424))</f>
        <v>0</v>
      </c>
      <c r="I1424" s="27">
        <f>IF(A1424="","",IF(H1424=0,"",AVERAGE(D1424:G1424)))</f>
        <v>0</v>
      </c>
      <c r="J1424" s="27">
        <f>IF(OR(I1424="",C1424=""),"",I1424-C1424)</f>
        <v>0</v>
      </c>
      <c r="K1424" s="26">
        <f>IF(A1424="","",IF(MES!E1424&lt;&gt;4,"Horário do MES fora do padrão",IF(H1424&lt;cfgMinCortes,"Cortes insuficientes","Válida")))</f>
        <v>0</v>
      </c>
      <c r="L1424" s="27">
        <f>IF(K1424="Válida",ABS(J1424),"")</f>
        <v>0</v>
      </c>
      <c r="M1424" s="26">
        <f>IF(K1424="Válida",IF(L1424&lt;=cfgTolerancia,"Sim","Não"),"")</f>
        <v>0</v>
      </c>
      <c r="N1424" s="26">
        <f>IF(A1424="","",MES!D1424)</f>
        <v>0</v>
      </c>
      <c r="O1424" s="25">
        <f>IF(K1424="Válida",A1424,NA())</f>
        <v>0</v>
      </c>
      <c r="P1424" s="27">
        <f>IF(K1424="Válida",C1424,NA())</f>
        <v>0</v>
      </c>
      <c r="Q1424" s="27">
        <f>IF(K1424="Válida",I1424,NA())</f>
        <v>0</v>
      </c>
      <c r="R1424" s="27">
        <f>IF(K1424="Válida",J1424,NA())</f>
        <v>0</v>
      </c>
      <c r="S1424" s="27">
        <f>IF(K1424="Válida",C1424,"")</f>
        <v>0</v>
      </c>
      <c r="T1424" s="27">
        <f>IF(K1424="Válida",I1424,"")</f>
        <v>0</v>
      </c>
      <c r="U1424" s="27">
        <f>IF(K1424="Válida",J1424,"")</f>
        <v>0</v>
      </c>
    </row>
    <row r="1425" spans="1:21">
      <c r="A1425" s="25">
        <f>IF(MES!A1425="","",MES!C1425/48)</f>
        <v>0</v>
      </c>
      <c r="B1425" s="26">
        <f>IF(A1425="","",TEXT((N1425*4+cfgDeslocamento)/48,"hh:mm")&amp;" a "&amp;TEXT(A1425,"hh:mm"))</f>
        <v>0</v>
      </c>
      <c r="C1425" s="27">
        <f>IF(A1425="","",MES!B1425)</f>
        <v>0</v>
      </c>
      <c r="D1425" s="27">
        <f>IF(A1425="","",IFERROR(AVERAGEIFS(Prensa!$B$2:$B$5001,Prensa!$E$2:$E$5001,N1425,Prensa!$F$2:$F$5001,1,Prensa!$G$2:$G$5001,1),""))</f>
        <v>0</v>
      </c>
      <c r="E1425" s="27">
        <f>IF(A1425="","",IFERROR(AVERAGEIFS(Prensa!$B$2:$B$5001,Prensa!$E$2:$E$5001,N1425,Prensa!$F$2:$F$5001,2,Prensa!$G$2:$G$5001,1),""))</f>
        <v>0</v>
      </c>
      <c r="F1425" s="27">
        <f>IF(A1425="","",IFERROR(AVERAGEIFS(Prensa!$B$2:$B$5001,Prensa!$E$2:$E$5001,N1425,Prensa!$F$2:$F$5001,3,Prensa!$G$2:$G$5001,1),""))</f>
        <v>0</v>
      </c>
      <c r="G1425" s="27">
        <f>IF(A1425="","",IFERROR(AVERAGEIFS(Prensa!$B$2:$B$5001,Prensa!$E$2:$E$5001,N1425,Prensa!$F$2:$F$5001,4,Prensa!$G$2:$G$5001,1),""))</f>
        <v>0</v>
      </c>
      <c r="H1425" s="26">
        <f>IF(A1425="","",COUNT(D1425:G1425))</f>
        <v>0</v>
      </c>
      <c r="I1425" s="27">
        <f>IF(A1425="","",IF(H1425=0,"",AVERAGE(D1425:G1425)))</f>
        <v>0</v>
      </c>
      <c r="J1425" s="27">
        <f>IF(OR(I1425="",C1425=""),"",I1425-C1425)</f>
        <v>0</v>
      </c>
      <c r="K1425" s="26">
        <f>IF(A1425="","",IF(MES!E1425&lt;&gt;4,"Horário do MES fora do padrão",IF(H1425&lt;cfgMinCortes,"Cortes insuficientes","Válida")))</f>
        <v>0</v>
      </c>
      <c r="L1425" s="27">
        <f>IF(K1425="Válida",ABS(J1425),"")</f>
        <v>0</v>
      </c>
      <c r="M1425" s="26">
        <f>IF(K1425="Válida",IF(L1425&lt;=cfgTolerancia,"Sim","Não"),"")</f>
        <v>0</v>
      </c>
      <c r="N1425" s="26">
        <f>IF(A1425="","",MES!D1425)</f>
        <v>0</v>
      </c>
      <c r="O1425" s="25">
        <f>IF(K1425="Válida",A1425,NA())</f>
        <v>0</v>
      </c>
      <c r="P1425" s="27">
        <f>IF(K1425="Válida",C1425,NA())</f>
        <v>0</v>
      </c>
      <c r="Q1425" s="27">
        <f>IF(K1425="Válida",I1425,NA())</f>
        <v>0</v>
      </c>
      <c r="R1425" s="27">
        <f>IF(K1425="Válida",J1425,NA())</f>
        <v>0</v>
      </c>
      <c r="S1425" s="27">
        <f>IF(K1425="Válida",C1425,"")</f>
        <v>0</v>
      </c>
      <c r="T1425" s="27">
        <f>IF(K1425="Válida",I1425,"")</f>
        <v>0</v>
      </c>
      <c r="U1425" s="27">
        <f>IF(K1425="Válida",J1425,"")</f>
        <v>0</v>
      </c>
    </row>
    <row r="1426" spans="1:21">
      <c r="A1426" s="25">
        <f>IF(MES!A1426="","",MES!C1426/48)</f>
        <v>0</v>
      </c>
      <c r="B1426" s="26">
        <f>IF(A1426="","",TEXT((N1426*4+cfgDeslocamento)/48,"hh:mm")&amp;" a "&amp;TEXT(A1426,"hh:mm"))</f>
        <v>0</v>
      </c>
      <c r="C1426" s="27">
        <f>IF(A1426="","",MES!B1426)</f>
        <v>0</v>
      </c>
      <c r="D1426" s="27">
        <f>IF(A1426="","",IFERROR(AVERAGEIFS(Prensa!$B$2:$B$5001,Prensa!$E$2:$E$5001,N1426,Prensa!$F$2:$F$5001,1,Prensa!$G$2:$G$5001,1),""))</f>
        <v>0</v>
      </c>
      <c r="E1426" s="27">
        <f>IF(A1426="","",IFERROR(AVERAGEIFS(Prensa!$B$2:$B$5001,Prensa!$E$2:$E$5001,N1426,Prensa!$F$2:$F$5001,2,Prensa!$G$2:$G$5001,1),""))</f>
        <v>0</v>
      </c>
      <c r="F1426" s="27">
        <f>IF(A1426="","",IFERROR(AVERAGEIFS(Prensa!$B$2:$B$5001,Prensa!$E$2:$E$5001,N1426,Prensa!$F$2:$F$5001,3,Prensa!$G$2:$G$5001,1),""))</f>
        <v>0</v>
      </c>
      <c r="G1426" s="27">
        <f>IF(A1426="","",IFERROR(AVERAGEIFS(Prensa!$B$2:$B$5001,Prensa!$E$2:$E$5001,N1426,Prensa!$F$2:$F$5001,4,Prensa!$G$2:$G$5001,1),""))</f>
        <v>0</v>
      </c>
      <c r="H1426" s="26">
        <f>IF(A1426="","",COUNT(D1426:G1426))</f>
        <v>0</v>
      </c>
      <c r="I1426" s="27">
        <f>IF(A1426="","",IF(H1426=0,"",AVERAGE(D1426:G1426)))</f>
        <v>0</v>
      </c>
      <c r="J1426" s="27">
        <f>IF(OR(I1426="",C1426=""),"",I1426-C1426)</f>
        <v>0</v>
      </c>
      <c r="K1426" s="26">
        <f>IF(A1426="","",IF(MES!E1426&lt;&gt;4,"Horário do MES fora do padrão",IF(H1426&lt;cfgMinCortes,"Cortes insuficientes","Válida")))</f>
        <v>0</v>
      </c>
      <c r="L1426" s="27">
        <f>IF(K1426="Válida",ABS(J1426),"")</f>
        <v>0</v>
      </c>
      <c r="M1426" s="26">
        <f>IF(K1426="Válida",IF(L1426&lt;=cfgTolerancia,"Sim","Não"),"")</f>
        <v>0</v>
      </c>
      <c r="N1426" s="26">
        <f>IF(A1426="","",MES!D1426)</f>
        <v>0</v>
      </c>
      <c r="O1426" s="25">
        <f>IF(K1426="Válida",A1426,NA())</f>
        <v>0</v>
      </c>
      <c r="P1426" s="27">
        <f>IF(K1426="Válida",C1426,NA())</f>
        <v>0</v>
      </c>
      <c r="Q1426" s="27">
        <f>IF(K1426="Válida",I1426,NA())</f>
        <v>0</v>
      </c>
      <c r="R1426" s="27">
        <f>IF(K1426="Válida",J1426,NA())</f>
        <v>0</v>
      </c>
      <c r="S1426" s="27">
        <f>IF(K1426="Válida",C1426,"")</f>
        <v>0</v>
      </c>
      <c r="T1426" s="27">
        <f>IF(K1426="Válida",I1426,"")</f>
        <v>0</v>
      </c>
      <c r="U1426" s="27">
        <f>IF(K1426="Válida",J1426,"")</f>
        <v>0</v>
      </c>
    </row>
    <row r="1427" spans="1:21">
      <c r="A1427" s="25">
        <f>IF(MES!A1427="","",MES!C1427/48)</f>
        <v>0</v>
      </c>
      <c r="B1427" s="26">
        <f>IF(A1427="","",TEXT((N1427*4+cfgDeslocamento)/48,"hh:mm")&amp;" a "&amp;TEXT(A1427,"hh:mm"))</f>
        <v>0</v>
      </c>
      <c r="C1427" s="27">
        <f>IF(A1427="","",MES!B1427)</f>
        <v>0</v>
      </c>
      <c r="D1427" s="27">
        <f>IF(A1427="","",IFERROR(AVERAGEIFS(Prensa!$B$2:$B$5001,Prensa!$E$2:$E$5001,N1427,Prensa!$F$2:$F$5001,1,Prensa!$G$2:$G$5001,1),""))</f>
        <v>0</v>
      </c>
      <c r="E1427" s="27">
        <f>IF(A1427="","",IFERROR(AVERAGEIFS(Prensa!$B$2:$B$5001,Prensa!$E$2:$E$5001,N1427,Prensa!$F$2:$F$5001,2,Prensa!$G$2:$G$5001,1),""))</f>
        <v>0</v>
      </c>
      <c r="F1427" s="27">
        <f>IF(A1427="","",IFERROR(AVERAGEIFS(Prensa!$B$2:$B$5001,Prensa!$E$2:$E$5001,N1427,Prensa!$F$2:$F$5001,3,Prensa!$G$2:$G$5001,1),""))</f>
        <v>0</v>
      </c>
      <c r="G1427" s="27">
        <f>IF(A1427="","",IFERROR(AVERAGEIFS(Prensa!$B$2:$B$5001,Prensa!$E$2:$E$5001,N1427,Prensa!$F$2:$F$5001,4,Prensa!$G$2:$G$5001,1),""))</f>
        <v>0</v>
      </c>
      <c r="H1427" s="26">
        <f>IF(A1427="","",COUNT(D1427:G1427))</f>
        <v>0</v>
      </c>
      <c r="I1427" s="27">
        <f>IF(A1427="","",IF(H1427=0,"",AVERAGE(D1427:G1427)))</f>
        <v>0</v>
      </c>
      <c r="J1427" s="27">
        <f>IF(OR(I1427="",C1427=""),"",I1427-C1427)</f>
        <v>0</v>
      </c>
      <c r="K1427" s="26">
        <f>IF(A1427="","",IF(MES!E1427&lt;&gt;4,"Horário do MES fora do padrão",IF(H1427&lt;cfgMinCortes,"Cortes insuficientes","Válida")))</f>
        <v>0</v>
      </c>
      <c r="L1427" s="27">
        <f>IF(K1427="Válida",ABS(J1427),"")</f>
        <v>0</v>
      </c>
      <c r="M1427" s="26">
        <f>IF(K1427="Válida",IF(L1427&lt;=cfgTolerancia,"Sim","Não"),"")</f>
        <v>0</v>
      </c>
      <c r="N1427" s="26">
        <f>IF(A1427="","",MES!D1427)</f>
        <v>0</v>
      </c>
      <c r="O1427" s="25">
        <f>IF(K1427="Válida",A1427,NA())</f>
        <v>0</v>
      </c>
      <c r="P1427" s="27">
        <f>IF(K1427="Válida",C1427,NA())</f>
        <v>0</v>
      </c>
      <c r="Q1427" s="27">
        <f>IF(K1427="Válida",I1427,NA())</f>
        <v>0</v>
      </c>
      <c r="R1427" s="27">
        <f>IF(K1427="Válida",J1427,NA())</f>
        <v>0</v>
      </c>
      <c r="S1427" s="27">
        <f>IF(K1427="Válida",C1427,"")</f>
        <v>0</v>
      </c>
      <c r="T1427" s="27">
        <f>IF(K1427="Válida",I1427,"")</f>
        <v>0</v>
      </c>
      <c r="U1427" s="27">
        <f>IF(K1427="Válida",J1427,"")</f>
        <v>0</v>
      </c>
    </row>
    <row r="1428" spans="1:21">
      <c r="A1428" s="25">
        <f>IF(MES!A1428="","",MES!C1428/48)</f>
        <v>0</v>
      </c>
      <c r="B1428" s="26">
        <f>IF(A1428="","",TEXT((N1428*4+cfgDeslocamento)/48,"hh:mm")&amp;" a "&amp;TEXT(A1428,"hh:mm"))</f>
        <v>0</v>
      </c>
      <c r="C1428" s="27">
        <f>IF(A1428="","",MES!B1428)</f>
        <v>0</v>
      </c>
      <c r="D1428" s="27">
        <f>IF(A1428="","",IFERROR(AVERAGEIFS(Prensa!$B$2:$B$5001,Prensa!$E$2:$E$5001,N1428,Prensa!$F$2:$F$5001,1,Prensa!$G$2:$G$5001,1),""))</f>
        <v>0</v>
      </c>
      <c r="E1428" s="27">
        <f>IF(A1428="","",IFERROR(AVERAGEIFS(Prensa!$B$2:$B$5001,Prensa!$E$2:$E$5001,N1428,Prensa!$F$2:$F$5001,2,Prensa!$G$2:$G$5001,1),""))</f>
        <v>0</v>
      </c>
      <c r="F1428" s="27">
        <f>IF(A1428="","",IFERROR(AVERAGEIFS(Prensa!$B$2:$B$5001,Prensa!$E$2:$E$5001,N1428,Prensa!$F$2:$F$5001,3,Prensa!$G$2:$G$5001,1),""))</f>
        <v>0</v>
      </c>
      <c r="G1428" s="27">
        <f>IF(A1428="","",IFERROR(AVERAGEIFS(Prensa!$B$2:$B$5001,Prensa!$E$2:$E$5001,N1428,Prensa!$F$2:$F$5001,4,Prensa!$G$2:$G$5001,1),""))</f>
        <v>0</v>
      </c>
      <c r="H1428" s="26">
        <f>IF(A1428="","",COUNT(D1428:G1428))</f>
        <v>0</v>
      </c>
      <c r="I1428" s="27">
        <f>IF(A1428="","",IF(H1428=0,"",AVERAGE(D1428:G1428)))</f>
        <v>0</v>
      </c>
      <c r="J1428" s="27">
        <f>IF(OR(I1428="",C1428=""),"",I1428-C1428)</f>
        <v>0</v>
      </c>
      <c r="K1428" s="26">
        <f>IF(A1428="","",IF(MES!E1428&lt;&gt;4,"Horário do MES fora do padrão",IF(H1428&lt;cfgMinCortes,"Cortes insuficientes","Válida")))</f>
        <v>0</v>
      </c>
      <c r="L1428" s="27">
        <f>IF(K1428="Válida",ABS(J1428),"")</f>
        <v>0</v>
      </c>
      <c r="M1428" s="26">
        <f>IF(K1428="Válida",IF(L1428&lt;=cfgTolerancia,"Sim","Não"),"")</f>
        <v>0</v>
      </c>
      <c r="N1428" s="26">
        <f>IF(A1428="","",MES!D1428)</f>
        <v>0</v>
      </c>
      <c r="O1428" s="25">
        <f>IF(K1428="Válida",A1428,NA())</f>
        <v>0</v>
      </c>
      <c r="P1428" s="27">
        <f>IF(K1428="Válida",C1428,NA())</f>
        <v>0</v>
      </c>
      <c r="Q1428" s="27">
        <f>IF(K1428="Válida",I1428,NA())</f>
        <v>0</v>
      </c>
      <c r="R1428" s="27">
        <f>IF(K1428="Válida",J1428,NA())</f>
        <v>0</v>
      </c>
      <c r="S1428" s="27">
        <f>IF(K1428="Válida",C1428,"")</f>
        <v>0</v>
      </c>
      <c r="T1428" s="27">
        <f>IF(K1428="Válida",I1428,"")</f>
        <v>0</v>
      </c>
      <c r="U1428" s="27">
        <f>IF(K1428="Válida",J1428,"")</f>
        <v>0</v>
      </c>
    </row>
    <row r="1429" spans="1:21">
      <c r="A1429" s="25">
        <f>IF(MES!A1429="","",MES!C1429/48)</f>
        <v>0</v>
      </c>
      <c r="B1429" s="26">
        <f>IF(A1429="","",TEXT((N1429*4+cfgDeslocamento)/48,"hh:mm")&amp;" a "&amp;TEXT(A1429,"hh:mm"))</f>
        <v>0</v>
      </c>
      <c r="C1429" s="27">
        <f>IF(A1429="","",MES!B1429)</f>
        <v>0</v>
      </c>
      <c r="D1429" s="27">
        <f>IF(A1429="","",IFERROR(AVERAGEIFS(Prensa!$B$2:$B$5001,Prensa!$E$2:$E$5001,N1429,Prensa!$F$2:$F$5001,1,Prensa!$G$2:$G$5001,1),""))</f>
        <v>0</v>
      </c>
      <c r="E1429" s="27">
        <f>IF(A1429="","",IFERROR(AVERAGEIFS(Prensa!$B$2:$B$5001,Prensa!$E$2:$E$5001,N1429,Prensa!$F$2:$F$5001,2,Prensa!$G$2:$G$5001,1),""))</f>
        <v>0</v>
      </c>
      <c r="F1429" s="27">
        <f>IF(A1429="","",IFERROR(AVERAGEIFS(Prensa!$B$2:$B$5001,Prensa!$E$2:$E$5001,N1429,Prensa!$F$2:$F$5001,3,Prensa!$G$2:$G$5001,1),""))</f>
        <v>0</v>
      </c>
      <c r="G1429" s="27">
        <f>IF(A1429="","",IFERROR(AVERAGEIFS(Prensa!$B$2:$B$5001,Prensa!$E$2:$E$5001,N1429,Prensa!$F$2:$F$5001,4,Prensa!$G$2:$G$5001,1),""))</f>
        <v>0</v>
      </c>
      <c r="H1429" s="26">
        <f>IF(A1429="","",COUNT(D1429:G1429))</f>
        <v>0</v>
      </c>
      <c r="I1429" s="27">
        <f>IF(A1429="","",IF(H1429=0,"",AVERAGE(D1429:G1429)))</f>
        <v>0</v>
      </c>
      <c r="J1429" s="27">
        <f>IF(OR(I1429="",C1429=""),"",I1429-C1429)</f>
        <v>0</v>
      </c>
      <c r="K1429" s="26">
        <f>IF(A1429="","",IF(MES!E1429&lt;&gt;4,"Horário do MES fora do padrão",IF(H1429&lt;cfgMinCortes,"Cortes insuficientes","Válida")))</f>
        <v>0</v>
      </c>
      <c r="L1429" s="27">
        <f>IF(K1429="Válida",ABS(J1429),"")</f>
        <v>0</v>
      </c>
      <c r="M1429" s="26">
        <f>IF(K1429="Válida",IF(L1429&lt;=cfgTolerancia,"Sim","Não"),"")</f>
        <v>0</v>
      </c>
      <c r="N1429" s="26">
        <f>IF(A1429="","",MES!D1429)</f>
        <v>0</v>
      </c>
      <c r="O1429" s="25">
        <f>IF(K1429="Válida",A1429,NA())</f>
        <v>0</v>
      </c>
      <c r="P1429" s="27">
        <f>IF(K1429="Válida",C1429,NA())</f>
        <v>0</v>
      </c>
      <c r="Q1429" s="27">
        <f>IF(K1429="Válida",I1429,NA())</f>
        <v>0</v>
      </c>
      <c r="R1429" s="27">
        <f>IF(K1429="Válida",J1429,NA())</f>
        <v>0</v>
      </c>
      <c r="S1429" s="27">
        <f>IF(K1429="Válida",C1429,"")</f>
        <v>0</v>
      </c>
      <c r="T1429" s="27">
        <f>IF(K1429="Válida",I1429,"")</f>
        <v>0</v>
      </c>
      <c r="U1429" s="27">
        <f>IF(K1429="Válida",J1429,"")</f>
        <v>0</v>
      </c>
    </row>
    <row r="1430" spans="1:21">
      <c r="A1430" s="25">
        <f>IF(MES!A1430="","",MES!C1430/48)</f>
        <v>0</v>
      </c>
      <c r="B1430" s="26">
        <f>IF(A1430="","",TEXT((N1430*4+cfgDeslocamento)/48,"hh:mm")&amp;" a "&amp;TEXT(A1430,"hh:mm"))</f>
        <v>0</v>
      </c>
      <c r="C1430" s="27">
        <f>IF(A1430="","",MES!B1430)</f>
        <v>0</v>
      </c>
      <c r="D1430" s="27">
        <f>IF(A1430="","",IFERROR(AVERAGEIFS(Prensa!$B$2:$B$5001,Prensa!$E$2:$E$5001,N1430,Prensa!$F$2:$F$5001,1,Prensa!$G$2:$G$5001,1),""))</f>
        <v>0</v>
      </c>
      <c r="E1430" s="27">
        <f>IF(A1430="","",IFERROR(AVERAGEIFS(Prensa!$B$2:$B$5001,Prensa!$E$2:$E$5001,N1430,Prensa!$F$2:$F$5001,2,Prensa!$G$2:$G$5001,1),""))</f>
        <v>0</v>
      </c>
      <c r="F1430" s="27">
        <f>IF(A1430="","",IFERROR(AVERAGEIFS(Prensa!$B$2:$B$5001,Prensa!$E$2:$E$5001,N1430,Prensa!$F$2:$F$5001,3,Prensa!$G$2:$G$5001,1),""))</f>
        <v>0</v>
      </c>
      <c r="G1430" s="27">
        <f>IF(A1430="","",IFERROR(AVERAGEIFS(Prensa!$B$2:$B$5001,Prensa!$E$2:$E$5001,N1430,Prensa!$F$2:$F$5001,4,Prensa!$G$2:$G$5001,1),""))</f>
        <v>0</v>
      </c>
      <c r="H1430" s="26">
        <f>IF(A1430="","",COUNT(D1430:G1430))</f>
        <v>0</v>
      </c>
      <c r="I1430" s="27">
        <f>IF(A1430="","",IF(H1430=0,"",AVERAGE(D1430:G1430)))</f>
        <v>0</v>
      </c>
      <c r="J1430" s="27">
        <f>IF(OR(I1430="",C1430=""),"",I1430-C1430)</f>
        <v>0</v>
      </c>
      <c r="K1430" s="26">
        <f>IF(A1430="","",IF(MES!E1430&lt;&gt;4,"Horário do MES fora do padrão",IF(H1430&lt;cfgMinCortes,"Cortes insuficientes","Válida")))</f>
        <v>0</v>
      </c>
      <c r="L1430" s="27">
        <f>IF(K1430="Válida",ABS(J1430),"")</f>
        <v>0</v>
      </c>
      <c r="M1430" s="26">
        <f>IF(K1430="Válida",IF(L1430&lt;=cfgTolerancia,"Sim","Não"),"")</f>
        <v>0</v>
      </c>
      <c r="N1430" s="26">
        <f>IF(A1430="","",MES!D1430)</f>
        <v>0</v>
      </c>
      <c r="O1430" s="25">
        <f>IF(K1430="Válida",A1430,NA())</f>
        <v>0</v>
      </c>
      <c r="P1430" s="27">
        <f>IF(K1430="Válida",C1430,NA())</f>
        <v>0</v>
      </c>
      <c r="Q1430" s="27">
        <f>IF(K1430="Válida",I1430,NA())</f>
        <v>0</v>
      </c>
      <c r="R1430" s="27">
        <f>IF(K1430="Válida",J1430,NA())</f>
        <v>0</v>
      </c>
      <c r="S1430" s="27">
        <f>IF(K1430="Válida",C1430,"")</f>
        <v>0</v>
      </c>
      <c r="T1430" s="27">
        <f>IF(K1430="Válida",I1430,"")</f>
        <v>0</v>
      </c>
      <c r="U1430" s="27">
        <f>IF(K1430="Válida",J1430,"")</f>
        <v>0</v>
      </c>
    </row>
    <row r="1431" spans="1:21">
      <c r="A1431" s="25">
        <f>IF(MES!A1431="","",MES!C1431/48)</f>
        <v>0</v>
      </c>
      <c r="B1431" s="26">
        <f>IF(A1431="","",TEXT((N1431*4+cfgDeslocamento)/48,"hh:mm")&amp;" a "&amp;TEXT(A1431,"hh:mm"))</f>
        <v>0</v>
      </c>
      <c r="C1431" s="27">
        <f>IF(A1431="","",MES!B1431)</f>
        <v>0</v>
      </c>
      <c r="D1431" s="27">
        <f>IF(A1431="","",IFERROR(AVERAGEIFS(Prensa!$B$2:$B$5001,Prensa!$E$2:$E$5001,N1431,Prensa!$F$2:$F$5001,1,Prensa!$G$2:$G$5001,1),""))</f>
        <v>0</v>
      </c>
      <c r="E1431" s="27">
        <f>IF(A1431="","",IFERROR(AVERAGEIFS(Prensa!$B$2:$B$5001,Prensa!$E$2:$E$5001,N1431,Prensa!$F$2:$F$5001,2,Prensa!$G$2:$G$5001,1),""))</f>
        <v>0</v>
      </c>
      <c r="F1431" s="27">
        <f>IF(A1431="","",IFERROR(AVERAGEIFS(Prensa!$B$2:$B$5001,Prensa!$E$2:$E$5001,N1431,Prensa!$F$2:$F$5001,3,Prensa!$G$2:$G$5001,1),""))</f>
        <v>0</v>
      </c>
      <c r="G1431" s="27">
        <f>IF(A1431="","",IFERROR(AVERAGEIFS(Prensa!$B$2:$B$5001,Prensa!$E$2:$E$5001,N1431,Prensa!$F$2:$F$5001,4,Prensa!$G$2:$G$5001,1),""))</f>
        <v>0</v>
      </c>
      <c r="H1431" s="26">
        <f>IF(A1431="","",COUNT(D1431:G1431))</f>
        <v>0</v>
      </c>
      <c r="I1431" s="27">
        <f>IF(A1431="","",IF(H1431=0,"",AVERAGE(D1431:G1431)))</f>
        <v>0</v>
      </c>
      <c r="J1431" s="27">
        <f>IF(OR(I1431="",C1431=""),"",I1431-C1431)</f>
        <v>0</v>
      </c>
      <c r="K1431" s="26">
        <f>IF(A1431="","",IF(MES!E1431&lt;&gt;4,"Horário do MES fora do padrão",IF(H1431&lt;cfgMinCortes,"Cortes insuficientes","Válida")))</f>
        <v>0</v>
      </c>
      <c r="L1431" s="27">
        <f>IF(K1431="Válida",ABS(J1431),"")</f>
        <v>0</v>
      </c>
      <c r="M1431" s="26">
        <f>IF(K1431="Válida",IF(L1431&lt;=cfgTolerancia,"Sim","Não"),"")</f>
        <v>0</v>
      </c>
      <c r="N1431" s="26">
        <f>IF(A1431="","",MES!D1431)</f>
        <v>0</v>
      </c>
      <c r="O1431" s="25">
        <f>IF(K1431="Válida",A1431,NA())</f>
        <v>0</v>
      </c>
      <c r="P1431" s="27">
        <f>IF(K1431="Válida",C1431,NA())</f>
        <v>0</v>
      </c>
      <c r="Q1431" s="27">
        <f>IF(K1431="Válida",I1431,NA())</f>
        <v>0</v>
      </c>
      <c r="R1431" s="27">
        <f>IF(K1431="Válida",J1431,NA())</f>
        <v>0</v>
      </c>
      <c r="S1431" s="27">
        <f>IF(K1431="Válida",C1431,"")</f>
        <v>0</v>
      </c>
      <c r="T1431" s="27">
        <f>IF(K1431="Válida",I1431,"")</f>
        <v>0</v>
      </c>
      <c r="U1431" s="27">
        <f>IF(K1431="Válida",J1431,"")</f>
        <v>0</v>
      </c>
    </row>
    <row r="1432" spans="1:21">
      <c r="A1432" s="25">
        <f>IF(MES!A1432="","",MES!C1432/48)</f>
        <v>0</v>
      </c>
      <c r="B1432" s="26">
        <f>IF(A1432="","",TEXT((N1432*4+cfgDeslocamento)/48,"hh:mm")&amp;" a "&amp;TEXT(A1432,"hh:mm"))</f>
        <v>0</v>
      </c>
      <c r="C1432" s="27">
        <f>IF(A1432="","",MES!B1432)</f>
        <v>0</v>
      </c>
      <c r="D1432" s="27">
        <f>IF(A1432="","",IFERROR(AVERAGEIFS(Prensa!$B$2:$B$5001,Prensa!$E$2:$E$5001,N1432,Prensa!$F$2:$F$5001,1,Prensa!$G$2:$G$5001,1),""))</f>
        <v>0</v>
      </c>
      <c r="E1432" s="27">
        <f>IF(A1432="","",IFERROR(AVERAGEIFS(Prensa!$B$2:$B$5001,Prensa!$E$2:$E$5001,N1432,Prensa!$F$2:$F$5001,2,Prensa!$G$2:$G$5001,1),""))</f>
        <v>0</v>
      </c>
      <c r="F1432" s="27">
        <f>IF(A1432="","",IFERROR(AVERAGEIFS(Prensa!$B$2:$B$5001,Prensa!$E$2:$E$5001,N1432,Prensa!$F$2:$F$5001,3,Prensa!$G$2:$G$5001,1),""))</f>
        <v>0</v>
      </c>
      <c r="G1432" s="27">
        <f>IF(A1432="","",IFERROR(AVERAGEIFS(Prensa!$B$2:$B$5001,Prensa!$E$2:$E$5001,N1432,Prensa!$F$2:$F$5001,4,Prensa!$G$2:$G$5001,1),""))</f>
        <v>0</v>
      </c>
      <c r="H1432" s="26">
        <f>IF(A1432="","",COUNT(D1432:G1432))</f>
        <v>0</v>
      </c>
      <c r="I1432" s="27">
        <f>IF(A1432="","",IF(H1432=0,"",AVERAGE(D1432:G1432)))</f>
        <v>0</v>
      </c>
      <c r="J1432" s="27">
        <f>IF(OR(I1432="",C1432=""),"",I1432-C1432)</f>
        <v>0</v>
      </c>
      <c r="K1432" s="26">
        <f>IF(A1432="","",IF(MES!E1432&lt;&gt;4,"Horário do MES fora do padrão",IF(H1432&lt;cfgMinCortes,"Cortes insuficientes","Válida")))</f>
        <v>0</v>
      </c>
      <c r="L1432" s="27">
        <f>IF(K1432="Válida",ABS(J1432),"")</f>
        <v>0</v>
      </c>
      <c r="M1432" s="26">
        <f>IF(K1432="Válida",IF(L1432&lt;=cfgTolerancia,"Sim","Não"),"")</f>
        <v>0</v>
      </c>
      <c r="N1432" s="26">
        <f>IF(A1432="","",MES!D1432)</f>
        <v>0</v>
      </c>
      <c r="O1432" s="25">
        <f>IF(K1432="Válida",A1432,NA())</f>
        <v>0</v>
      </c>
      <c r="P1432" s="27">
        <f>IF(K1432="Válida",C1432,NA())</f>
        <v>0</v>
      </c>
      <c r="Q1432" s="27">
        <f>IF(K1432="Válida",I1432,NA())</f>
        <v>0</v>
      </c>
      <c r="R1432" s="27">
        <f>IF(K1432="Válida",J1432,NA())</f>
        <v>0</v>
      </c>
      <c r="S1432" s="27">
        <f>IF(K1432="Válida",C1432,"")</f>
        <v>0</v>
      </c>
      <c r="T1432" s="27">
        <f>IF(K1432="Válida",I1432,"")</f>
        <v>0</v>
      </c>
      <c r="U1432" s="27">
        <f>IF(K1432="Válida",J1432,"")</f>
        <v>0</v>
      </c>
    </row>
    <row r="1433" spans="1:21">
      <c r="A1433" s="25">
        <f>IF(MES!A1433="","",MES!C1433/48)</f>
        <v>0</v>
      </c>
      <c r="B1433" s="26">
        <f>IF(A1433="","",TEXT((N1433*4+cfgDeslocamento)/48,"hh:mm")&amp;" a "&amp;TEXT(A1433,"hh:mm"))</f>
        <v>0</v>
      </c>
      <c r="C1433" s="27">
        <f>IF(A1433="","",MES!B1433)</f>
        <v>0</v>
      </c>
      <c r="D1433" s="27">
        <f>IF(A1433="","",IFERROR(AVERAGEIFS(Prensa!$B$2:$B$5001,Prensa!$E$2:$E$5001,N1433,Prensa!$F$2:$F$5001,1,Prensa!$G$2:$G$5001,1),""))</f>
        <v>0</v>
      </c>
      <c r="E1433" s="27">
        <f>IF(A1433="","",IFERROR(AVERAGEIFS(Prensa!$B$2:$B$5001,Prensa!$E$2:$E$5001,N1433,Prensa!$F$2:$F$5001,2,Prensa!$G$2:$G$5001,1),""))</f>
        <v>0</v>
      </c>
      <c r="F1433" s="27">
        <f>IF(A1433="","",IFERROR(AVERAGEIFS(Prensa!$B$2:$B$5001,Prensa!$E$2:$E$5001,N1433,Prensa!$F$2:$F$5001,3,Prensa!$G$2:$G$5001,1),""))</f>
        <v>0</v>
      </c>
      <c r="G1433" s="27">
        <f>IF(A1433="","",IFERROR(AVERAGEIFS(Prensa!$B$2:$B$5001,Prensa!$E$2:$E$5001,N1433,Prensa!$F$2:$F$5001,4,Prensa!$G$2:$G$5001,1),""))</f>
        <v>0</v>
      </c>
      <c r="H1433" s="26">
        <f>IF(A1433="","",COUNT(D1433:G1433))</f>
        <v>0</v>
      </c>
      <c r="I1433" s="27">
        <f>IF(A1433="","",IF(H1433=0,"",AVERAGE(D1433:G1433)))</f>
        <v>0</v>
      </c>
      <c r="J1433" s="27">
        <f>IF(OR(I1433="",C1433=""),"",I1433-C1433)</f>
        <v>0</v>
      </c>
      <c r="K1433" s="26">
        <f>IF(A1433="","",IF(MES!E1433&lt;&gt;4,"Horário do MES fora do padrão",IF(H1433&lt;cfgMinCortes,"Cortes insuficientes","Válida")))</f>
        <v>0</v>
      </c>
      <c r="L1433" s="27">
        <f>IF(K1433="Válida",ABS(J1433),"")</f>
        <v>0</v>
      </c>
      <c r="M1433" s="26">
        <f>IF(K1433="Válida",IF(L1433&lt;=cfgTolerancia,"Sim","Não"),"")</f>
        <v>0</v>
      </c>
      <c r="N1433" s="26">
        <f>IF(A1433="","",MES!D1433)</f>
        <v>0</v>
      </c>
      <c r="O1433" s="25">
        <f>IF(K1433="Válida",A1433,NA())</f>
        <v>0</v>
      </c>
      <c r="P1433" s="27">
        <f>IF(K1433="Válida",C1433,NA())</f>
        <v>0</v>
      </c>
      <c r="Q1433" s="27">
        <f>IF(K1433="Válida",I1433,NA())</f>
        <v>0</v>
      </c>
      <c r="R1433" s="27">
        <f>IF(K1433="Válida",J1433,NA())</f>
        <v>0</v>
      </c>
      <c r="S1433" s="27">
        <f>IF(K1433="Válida",C1433,"")</f>
        <v>0</v>
      </c>
      <c r="T1433" s="27">
        <f>IF(K1433="Válida",I1433,"")</f>
        <v>0</v>
      </c>
      <c r="U1433" s="27">
        <f>IF(K1433="Válida",J1433,"")</f>
        <v>0</v>
      </c>
    </row>
    <row r="1434" spans="1:21">
      <c r="A1434" s="25">
        <f>IF(MES!A1434="","",MES!C1434/48)</f>
        <v>0</v>
      </c>
      <c r="B1434" s="26">
        <f>IF(A1434="","",TEXT((N1434*4+cfgDeslocamento)/48,"hh:mm")&amp;" a "&amp;TEXT(A1434,"hh:mm"))</f>
        <v>0</v>
      </c>
      <c r="C1434" s="27">
        <f>IF(A1434="","",MES!B1434)</f>
        <v>0</v>
      </c>
      <c r="D1434" s="27">
        <f>IF(A1434="","",IFERROR(AVERAGEIFS(Prensa!$B$2:$B$5001,Prensa!$E$2:$E$5001,N1434,Prensa!$F$2:$F$5001,1,Prensa!$G$2:$G$5001,1),""))</f>
        <v>0</v>
      </c>
      <c r="E1434" s="27">
        <f>IF(A1434="","",IFERROR(AVERAGEIFS(Prensa!$B$2:$B$5001,Prensa!$E$2:$E$5001,N1434,Prensa!$F$2:$F$5001,2,Prensa!$G$2:$G$5001,1),""))</f>
        <v>0</v>
      </c>
      <c r="F1434" s="27">
        <f>IF(A1434="","",IFERROR(AVERAGEIFS(Prensa!$B$2:$B$5001,Prensa!$E$2:$E$5001,N1434,Prensa!$F$2:$F$5001,3,Prensa!$G$2:$G$5001,1),""))</f>
        <v>0</v>
      </c>
      <c r="G1434" s="27">
        <f>IF(A1434="","",IFERROR(AVERAGEIFS(Prensa!$B$2:$B$5001,Prensa!$E$2:$E$5001,N1434,Prensa!$F$2:$F$5001,4,Prensa!$G$2:$G$5001,1),""))</f>
        <v>0</v>
      </c>
      <c r="H1434" s="26">
        <f>IF(A1434="","",COUNT(D1434:G1434))</f>
        <v>0</v>
      </c>
      <c r="I1434" s="27">
        <f>IF(A1434="","",IF(H1434=0,"",AVERAGE(D1434:G1434)))</f>
        <v>0</v>
      </c>
      <c r="J1434" s="27">
        <f>IF(OR(I1434="",C1434=""),"",I1434-C1434)</f>
        <v>0</v>
      </c>
      <c r="K1434" s="26">
        <f>IF(A1434="","",IF(MES!E1434&lt;&gt;4,"Horário do MES fora do padrão",IF(H1434&lt;cfgMinCortes,"Cortes insuficientes","Válida")))</f>
        <v>0</v>
      </c>
      <c r="L1434" s="27">
        <f>IF(K1434="Válida",ABS(J1434),"")</f>
        <v>0</v>
      </c>
      <c r="M1434" s="26">
        <f>IF(K1434="Válida",IF(L1434&lt;=cfgTolerancia,"Sim","Não"),"")</f>
        <v>0</v>
      </c>
      <c r="N1434" s="26">
        <f>IF(A1434="","",MES!D1434)</f>
        <v>0</v>
      </c>
      <c r="O1434" s="25">
        <f>IF(K1434="Válida",A1434,NA())</f>
        <v>0</v>
      </c>
      <c r="P1434" s="27">
        <f>IF(K1434="Válida",C1434,NA())</f>
        <v>0</v>
      </c>
      <c r="Q1434" s="27">
        <f>IF(K1434="Válida",I1434,NA())</f>
        <v>0</v>
      </c>
      <c r="R1434" s="27">
        <f>IF(K1434="Válida",J1434,NA())</f>
        <v>0</v>
      </c>
      <c r="S1434" s="27">
        <f>IF(K1434="Válida",C1434,"")</f>
        <v>0</v>
      </c>
      <c r="T1434" s="27">
        <f>IF(K1434="Válida",I1434,"")</f>
        <v>0</v>
      </c>
      <c r="U1434" s="27">
        <f>IF(K1434="Válida",J1434,"")</f>
        <v>0</v>
      </c>
    </row>
    <row r="1435" spans="1:21">
      <c r="A1435" s="25">
        <f>IF(MES!A1435="","",MES!C1435/48)</f>
        <v>0</v>
      </c>
      <c r="B1435" s="26">
        <f>IF(A1435="","",TEXT((N1435*4+cfgDeslocamento)/48,"hh:mm")&amp;" a "&amp;TEXT(A1435,"hh:mm"))</f>
        <v>0</v>
      </c>
      <c r="C1435" s="27">
        <f>IF(A1435="","",MES!B1435)</f>
        <v>0</v>
      </c>
      <c r="D1435" s="27">
        <f>IF(A1435="","",IFERROR(AVERAGEIFS(Prensa!$B$2:$B$5001,Prensa!$E$2:$E$5001,N1435,Prensa!$F$2:$F$5001,1,Prensa!$G$2:$G$5001,1),""))</f>
        <v>0</v>
      </c>
      <c r="E1435" s="27">
        <f>IF(A1435="","",IFERROR(AVERAGEIFS(Prensa!$B$2:$B$5001,Prensa!$E$2:$E$5001,N1435,Prensa!$F$2:$F$5001,2,Prensa!$G$2:$G$5001,1),""))</f>
        <v>0</v>
      </c>
      <c r="F1435" s="27">
        <f>IF(A1435="","",IFERROR(AVERAGEIFS(Prensa!$B$2:$B$5001,Prensa!$E$2:$E$5001,N1435,Prensa!$F$2:$F$5001,3,Prensa!$G$2:$G$5001,1),""))</f>
        <v>0</v>
      </c>
      <c r="G1435" s="27">
        <f>IF(A1435="","",IFERROR(AVERAGEIFS(Prensa!$B$2:$B$5001,Prensa!$E$2:$E$5001,N1435,Prensa!$F$2:$F$5001,4,Prensa!$G$2:$G$5001,1),""))</f>
        <v>0</v>
      </c>
      <c r="H1435" s="26">
        <f>IF(A1435="","",COUNT(D1435:G1435))</f>
        <v>0</v>
      </c>
      <c r="I1435" s="27">
        <f>IF(A1435="","",IF(H1435=0,"",AVERAGE(D1435:G1435)))</f>
        <v>0</v>
      </c>
      <c r="J1435" s="27">
        <f>IF(OR(I1435="",C1435=""),"",I1435-C1435)</f>
        <v>0</v>
      </c>
      <c r="K1435" s="26">
        <f>IF(A1435="","",IF(MES!E1435&lt;&gt;4,"Horário do MES fora do padrão",IF(H1435&lt;cfgMinCortes,"Cortes insuficientes","Válida")))</f>
        <v>0</v>
      </c>
      <c r="L1435" s="27">
        <f>IF(K1435="Válida",ABS(J1435),"")</f>
        <v>0</v>
      </c>
      <c r="M1435" s="26">
        <f>IF(K1435="Válida",IF(L1435&lt;=cfgTolerancia,"Sim","Não"),"")</f>
        <v>0</v>
      </c>
      <c r="N1435" s="26">
        <f>IF(A1435="","",MES!D1435)</f>
        <v>0</v>
      </c>
      <c r="O1435" s="25">
        <f>IF(K1435="Válida",A1435,NA())</f>
        <v>0</v>
      </c>
      <c r="P1435" s="27">
        <f>IF(K1435="Válida",C1435,NA())</f>
        <v>0</v>
      </c>
      <c r="Q1435" s="27">
        <f>IF(K1435="Válida",I1435,NA())</f>
        <v>0</v>
      </c>
      <c r="R1435" s="27">
        <f>IF(K1435="Válida",J1435,NA())</f>
        <v>0</v>
      </c>
      <c r="S1435" s="27">
        <f>IF(K1435="Válida",C1435,"")</f>
        <v>0</v>
      </c>
      <c r="T1435" s="27">
        <f>IF(K1435="Válida",I1435,"")</f>
        <v>0</v>
      </c>
      <c r="U1435" s="27">
        <f>IF(K1435="Válida",J1435,"")</f>
        <v>0</v>
      </c>
    </row>
    <row r="1436" spans="1:21">
      <c r="A1436" s="25">
        <f>IF(MES!A1436="","",MES!C1436/48)</f>
        <v>0</v>
      </c>
      <c r="B1436" s="26">
        <f>IF(A1436="","",TEXT((N1436*4+cfgDeslocamento)/48,"hh:mm")&amp;" a "&amp;TEXT(A1436,"hh:mm"))</f>
        <v>0</v>
      </c>
      <c r="C1436" s="27">
        <f>IF(A1436="","",MES!B1436)</f>
        <v>0</v>
      </c>
      <c r="D1436" s="27">
        <f>IF(A1436="","",IFERROR(AVERAGEIFS(Prensa!$B$2:$B$5001,Prensa!$E$2:$E$5001,N1436,Prensa!$F$2:$F$5001,1,Prensa!$G$2:$G$5001,1),""))</f>
        <v>0</v>
      </c>
      <c r="E1436" s="27">
        <f>IF(A1436="","",IFERROR(AVERAGEIFS(Prensa!$B$2:$B$5001,Prensa!$E$2:$E$5001,N1436,Prensa!$F$2:$F$5001,2,Prensa!$G$2:$G$5001,1),""))</f>
        <v>0</v>
      </c>
      <c r="F1436" s="27">
        <f>IF(A1436="","",IFERROR(AVERAGEIFS(Prensa!$B$2:$B$5001,Prensa!$E$2:$E$5001,N1436,Prensa!$F$2:$F$5001,3,Prensa!$G$2:$G$5001,1),""))</f>
        <v>0</v>
      </c>
      <c r="G1436" s="27">
        <f>IF(A1436="","",IFERROR(AVERAGEIFS(Prensa!$B$2:$B$5001,Prensa!$E$2:$E$5001,N1436,Prensa!$F$2:$F$5001,4,Prensa!$G$2:$G$5001,1),""))</f>
        <v>0</v>
      </c>
      <c r="H1436" s="26">
        <f>IF(A1436="","",COUNT(D1436:G1436))</f>
        <v>0</v>
      </c>
      <c r="I1436" s="27">
        <f>IF(A1436="","",IF(H1436=0,"",AVERAGE(D1436:G1436)))</f>
        <v>0</v>
      </c>
      <c r="J1436" s="27">
        <f>IF(OR(I1436="",C1436=""),"",I1436-C1436)</f>
        <v>0</v>
      </c>
      <c r="K1436" s="26">
        <f>IF(A1436="","",IF(MES!E1436&lt;&gt;4,"Horário do MES fora do padrão",IF(H1436&lt;cfgMinCortes,"Cortes insuficientes","Válida")))</f>
        <v>0</v>
      </c>
      <c r="L1436" s="27">
        <f>IF(K1436="Válida",ABS(J1436),"")</f>
        <v>0</v>
      </c>
      <c r="M1436" s="26">
        <f>IF(K1436="Válida",IF(L1436&lt;=cfgTolerancia,"Sim","Não"),"")</f>
        <v>0</v>
      </c>
      <c r="N1436" s="26">
        <f>IF(A1436="","",MES!D1436)</f>
        <v>0</v>
      </c>
      <c r="O1436" s="25">
        <f>IF(K1436="Válida",A1436,NA())</f>
        <v>0</v>
      </c>
      <c r="P1436" s="27">
        <f>IF(K1436="Válida",C1436,NA())</f>
        <v>0</v>
      </c>
      <c r="Q1436" s="27">
        <f>IF(K1436="Válida",I1436,NA())</f>
        <v>0</v>
      </c>
      <c r="R1436" s="27">
        <f>IF(K1436="Válida",J1436,NA())</f>
        <v>0</v>
      </c>
      <c r="S1436" s="27">
        <f>IF(K1436="Válida",C1436,"")</f>
        <v>0</v>
      </c>
      <c r="T1436" s="27">
        <f>IF(K1436="Válida",I1436,"")</f>
        <v>0</v>
      </c>
      <c r="U1436" s="27">
        <f>IF(K1436="Válida",J1436,"")</f>
        <v>0</v>
      </c>
    </row>
    <row r="1437" spans="1:21">
      <c r="A1437" s="25">
        <f>IF(MES!A1437="","",MES!C1437/48)</f>
        <v>0</v>
      </c>
      <c r="B1437" s="26">
        <f>IF(A1437="","",TEXT((N1437*4+cfgDeslocamento)/48,"hh:mm")&amp;" a "&amp;TEXT(A1437,"hh:mm"))</f>
        <v>0</v>
      </c>
      <c r="C1437" s="27">
        <f>IF(A1437="","",MES!B1437)</f>
        <v>0</v>
      </c>
      <c r="D1437" s="27">
        <f>IF(A1437="","",IFERROR(AVERAGEIFS(Prensa!$B$2:$B$5001,Prensa!$E$2:$E$5001,N1437,Prensa!$F$2:$F$5001,1,Prensa!$G$2:$G$5001,1),""))</f>
        <v>0</v>
      </c>
      <c r="E1437" s="27">
        <f>IF(A1437="","",IFERROR(AVERAGEIFS(Prensa!$B$2:$B$5001,Prensa!$E$2:$E$5001,N1437,Prensa!$F$2:$F$5001,2,Prensa!$G$2:$G$5001,1),""))</f>
        <v>0</v>
      </c>
      <c r="F1437" s="27">
        <f>IF(A1437="","",IFERROR(AVERAGEIFS(Prensa!$B$2:$B$5001,Prensa!$E$2:$E$5001,N1437,Prensa!$F$2:$F$5001,3,Prensa!$G$2:$G$5001,1),""))</f>
        <v>0</v>
      </c>
      <c r="G1437" s="27">
        <f>IF(A1437="","",IFERROR(AVERAGEIFS(Prensa!$B$2:$B$5001,Prensa!$E$2:$E$5001,N1437,Prensa!$F$2:$F$5001,4,Prensa!$G$2:$G$5001,1),""))</f>
        <v>0</v>
      </c>
      <c r="H1437" s="26">
        <f>IF(A1437="","",COUNT(D1437:G1437))</f>
        <v>0</v>
      </c>
      <c r="I1437" s="27">
        <f>IF(A1437="","",IF(H1437=0,"",AVERAGE(D1437:G1437)))</f>
        <v>0</v>
      </c>
      <c r="J1437" s="27">
        <f>IF(OR(I1437="",C1437=""),"",I1437-C1437)</f>
        <v>0</v>
      </c>
      <c r="K1437" s="26">
        <f>IF(A1437="","",IF(MES!E1437&lt;&gt;4,"Horário do MES fora do padrão",IF(H1437&lt;cfgMinCortes,"Cortes insuficientes","Válida")))</f>
        <v>0</v>
      </c>
      <c r="L1437" s="27">
        <f>IF(K1437="Válida",ABS(J1437),"")</f>
        <v>0</v>
      </c>
      <c r="M1437" s="26">
        <f>IF(K1437="Válida",IF(L1437&lt;=cfgTolerancia,"Sim","Não"),"")</f>
        <v>0</v>
      </c>
      <c r="N1437" s="26">
        <f>IF(A1437="","",MES!D1437)</f>
        <v>0</v>
      </c>
      <c r="O1437" s="25">
        <f>IF(K1437="Válida",A1437,NA())</f>
        <v>0</v>
      </c>
      <c r="P1437" s="27">
        <f>IF(K1437="Válida",C1437,NA())</f>
        <v>0</v>
      </c>
      <c r="Q1437" s="27">
        <f>IF(K1437="Válida",I1437,NA())</f>
        <v>0</v>
      </c>
      <c r="R1437" s="27">
        <f>IF(K1437="Válida",J1437,NA())</f>
        <v>0</v>
      </c>
      <c r="S1437" s="27">
        <f>IF(K1437="Válida",C1437,"")</f>
        <v>0</v>
      </c>
      <c r="T1437" s="27">
        <f>IF(K1437="Válida",I1437,"")</f>
        <v>0</v>
      </c>
      <c r="U1437" s="27">
        <f>IF(K1437="Válida",J1437,"")</f>
        <v>0</v>
      </c>
    </row>
    <row r="1438" spans="1:21">
      <c r="A1438" s="25">
        <f>IF(MES!A1438="","",MES!C1438/48)</f>
        <v>0</v>
      </c>
      <c r="B1438" s="26">
        <f>IF(A1438="","",TEXT((N1438*4+cfgDeslocamento)/48,"hh:mm")&amp;" a "&amp;TEXT(A1438,"hh:mm"))</f>
        <v>0</v>
      </c>
      <c r="C1438" s="27">
        <f>IF(A1438="","",MES!B1438)</f>
        <v>0</v>
      </c>
      <c r="D1438" s="27">
        <f>IF(A1438="","",IFERROR(AVERAGEIFS(Prensa!$B$2:$B$5001,Prensa!$E$2:$E$5001,N1438,Prensa!$F$2:$F$5001,1,Prensa!$G$2:$G$5001,1),""))</f>
        <v>0</v>
      </c>
      <c r="E1438" s="27">
        <f>IF(A1438="","",IFERROR(AVERAGEIFS(Prensa!$B$2:$B$5001,Prensa!$E$2:$E$5001,N1438,Prensa!$F$2:$F$5001,2,Prensa!$G$2:$G$5001,1),""))</f>
        <v>0</v>
      </c>
      <c r="F1438" s="27">
        <f>IF(A1438="","",IFERROR(AVERAGEIFS(Prensa!$B$2:$B$5001,Prensa!$E$2:$E$5001,N1438,Prensa!$F$2:$F$5001,3,Prensa!$G$2:$G$5001,1),""))</f>
        <v>0</v>
      </c>
      <c r="G1438" s="27">
        <f>IF(A1438="","",IFERROR(AVERAGEIFS(Prensa!$B$2:$B$5001,Prensa!$E$2:$E$5001,N1438,Prensa!$F$2:$F$5001,4,Prensa!$G$2:$G$5001,1),""))</f>
        <v>0</v>
      </c>
      <c r="H1438" s="26">
        <f>IF(A1438="","",COUNT(D1438:G1438))</f>
        <v>0</v>
      </c>
      <c r="I1438" s="27">
        <f>IF(A1438="","",IF(H1438=0,"",AVERAGE(D1438:G1438)))</f>
        <v>0</v>
      </c>
      <c r="J1438" s="27">
        <f>IF(OR(I1438="",C1438=""),"",I1438-C1438)</f>
        <v>0</v>
      </c>
      <c r="K1438" s="26">
        <f>IF(A1438="","",IF(MES!E1438&lt;&gt;4,"Horário do MES fora do padrão",IF(H1438&lt;cfgMinCortes,"Cortes insuficientes","Válida")))</f>
        <v>0</v>
      </c>
      <c r="L1438" s="27">
        <f>IF(K1438="Válida",ABS(J1438),"")</f>
        <v>0</v>
      </c>
      <c r="M1438" s="26">
        <f>IF(K1438="Válida",IF(L1438&lt;=cfgTolerancia,"Sim","Não"),"")</f>
        <v>0</v>
      </c>
      <c r="N1438" s="26">
        <f>IF(A1438="","",MES!D1438)</f>
        <v>0</v>
      </c>
      <c r="O1438" s="25">
        <f>IF(K1438="Válida",A1438,NA())</f>
        <v>0</v>
      </c>
      <c r="P1438" s="27">
        <f>IF(K1438="Válida",C1438,NA())</f>
        <v>0</v>
      </c>
      <c r="Q1438" s="27">
        <f>IF(K1438="Válida",I1438,NA())</f>
        <v>0</v>
      </c>
      <c r="R1438" s="27">
        <f>IF(K1438="Válida",J1438,NA())</f>
        <v>0</v>
      </c>
      <c r="S1438" s="27">
        <f>IF(K1438="Válida",C1438,"")</f>
        <v>0</v>
      </c>
      <c r="T1438" s="27">
        <f>IF(K1438="Válida",I1438,"")</f>
        <v>0</v>
      </c>
      <c r="U1438" s="27">
        <f>IF(K1438="Válida",J1438,"")</f>
        <v>0</v>
      </c>
    </row>
    <row r="1439" spans="1:21">
      <c r="A1439" s="25">
        <f>IF(MES!A1439="","",MES!C1439/48)</f>
        <v>0</v>
      </c>
      <c r="B1439" s="26">
        <f>IF(A1439="","",TEXT((N1439*4+cfgDeslocamento)/48,"hh:mm")&amp;" a "&amp;TEXT(A1439,"hh:mm"))</f>
        <v>0</v>
      </c>
      <c r="C1439" s="27">
        <f>IF(A1439="","",MES!B1439)</f>
        <v>0</v>
      </c>
      <c r="D1439" s="27">
        <f>IF(A1439="","",IFERROR(AVERAGEIFS(Prensa!$B$2:$B$5001,Prensa!$E$2:$E$5001,N1439,Prensa!$F$2:$F$5001,1,Prensa!$G$2:$G$5001,1),""))</f>
        <v>0</v>
      </c>
      <c r="E1439" s="27">
        <f>IF(A1439="","",IFERROR(AVERAGEIFS(Prensa!$B$2:$B$5001,Prensa!$E$2:$E$5001,N1439,Prensa!$F$2:$F$5001,2,Prensa!$G$2:$G$5001,1),""))</f>
        <v>0</v>
      </c>
      <c r="F1439" s="27">
        <f>IF(A1439="","",IFERROR(AVERAGEIFS(Prensa!$B$2:$B$5001,Prensa!$E$2:$E$5001,N1439,Prensa!$F$2:$F$5001,3,Prensa!$G$2:$G$5001,1),""))</f>
        <v>0</v>
      </c>
      <c r="G1439" s="27">
        <f>IF(A1439="","",IFERROR(AVERAGEIFS(Prensa!$B$2:$B$5001,Prensa!$E$2:$E$5001,N1439,Prensa!$F$2:$F$5001,4,Prensa!$G$2:$G$5001,1),""))</f>
        <v>0</v>
      </c>
      <c r="H1439" s="26">
        <f>IF(A1439="","",COUNT(D1439:G1439))</f>
        <v>0</v>
      </c>
      <c r="I1439" s="27">
        <f>IF(A1439="","",IF(H1439=0,"",AVERAGE(D1439:G1439)))</f>
        <v>0</v>
      </c>
      <c r="J1439" s="27">
        <f>IF(OR(I1439="",C1439=""),"",I1439-C1439)</f>
        <v>0</v>
      </c>
      <c r="K1439" s="26">
        <f>IF(A1439="","",IF(MES!E1439&lt;&gt;4,"Horário do MES fora do padrão",IF(H1439&lt;cfgMinCortes,"Cortes insuficientes","Válida")))</f>
        <v>0</v>
      </c>
      <c r="L1439" s="27">
        <f>IF(K1439="Válida",ABS(J1439),"")</f>
        <v>0</v>
      </c>
      <c r="M1439" s="26">
        <f>IF(K1439="Válida",IF(L1439&lt;=cfgTolerancia,"Sim","Não"),"")</f>
        <v>0</v>
      </c>
      <c r="N1439" s="26">
        <f>IF(A1439="","",MES!D1439)</f>
        <v>0</v>
      </c>
      <c r="O1439" s="25">
        <f>IF(K1439="Válida",A1439,NA())</f>
        <v>0</v>
      </c>
      <c r="P1439" s="27">
        <f>IF(K1439="Válida",C1439,NA())</f>
        <v>0</v>
      </c>
      <c r="Q1439" s="27">
        <f>IF(K1439="Válida",I1439,NA())</f>
        <v>0</v>
      </c>
      <c r="R1439" s="27">
        <f>IF(K1439="Válida",J1439,NA())</f>
        <v>0</v>
      </c>
      <c r="S1439" s="27">
        <f>IF(K1439="Válida",C1439,"")</f>
        <v>0</v>
      </c>
      <c r="T1439" s="27">
        <f>IF(K1439="Válida",I1439,"")</f>
        <v>0</v>
      </c>
      <c r="U1439" s="27">
        <f>IF(K1439="Válida",J1439,"")</f>
        <v>0</v>
      </c>
    </row>
    <row r="1440" spans="1:21">
      <c r="A1440" s="25">
        <f>IF(MES!A1440="","",MES!C1440/48)</f>
        <v>0</v>
      </c>
      <c r="B1440" s="26">
        <f>IF(A1440="","",TEXT((N1440*4+cfgDeslocamento)/48,"hh:mm")&amp;" a "&amp;TEXT(A1440,"hh:mm"))</f>
        <v>0</v>
      </c>
      <c r="C1440" s="27">
        <f>IF(A1440="","",MES!B1440)</f>
        <v>0</v>
      </c>
      <c r="D1440" s="27">
        <f>IF(A1440="","",IFERROR(AVERAGEIFS(Prensa!$B$2:$B$5001,Prensa!$E$2:$E$5001,N1440,Prensa!$F$2:$F$5001,1,Prensa!$G$2:$G$5001,1),""))</f>
        <v>0</v>
      </c>
      <c r="E1440" s="27">
        <f>IF(A1440="","",IFERROR(AVERAGEIFS(Prensa!$B$2:$B$5001,Prensa!$E$2:$E$5001,N1440,Prensa!$F$2:$F$5001,2,Prensa!$G$2:$G$5001,1),""))</f>
        <v>0</v>
      </c>
      <c r="F1440" s="27">
        <f>IF(A1440="","",IFERROR(AVERAGEIFS(Prensa!$B$2:$B$5001,Prensa!$E$2:$E$5001,N1440,Prensa!$F$2:$F$5001,3,Prensa!$G$2:$G$5001,1),""))</f>
        <v>0</v>
      </c>
      <c r="G1440" s="27">
        <f>IF(A1440="","",IFERROR(AVERAGEIFS(Prensa!$B$2:$B$5001,Prensa!$E$2:$E$5001,N1440,Prensa!$F$2:$F$5001,4,Prensa!$G$2:$G$5001,1),""))</f>
        <v>0</v>
      </c>
      <c r="H1440" s="26">
        <f>IF(A1440="","",COUNT(D1440:G1440))</f>
        <v>0</v>
      </c>
      <c r="I1440" s="27">
        <f>IF(A1440="","",IF(H1440=0,"",AVERAGE(D1440:G1440)))</f>
        <v>0</v>
      </c>
      <c r="J1440" s="27">
        <f>IF(OR(I1440="",C1440=""),"",I1440-C1440)</f>
        <v>0</v>
      </c>
      <c r="K1440" s="26">
        <f>IF(A1440="","",IF(MES!E1440&lt;&gt;4,"Horário do MES fora do padrão",IF(H1440&lt;cfgMinCortes,"Cortes insuficientes","Válida")))</f>
        <v>0</v>
      </c>
      <c r="L1440" s="27">
        <f>IF(K1440="Válida",ABS(J1440),"")</f>
        <v>0</v>
      </c>
      <c r="M1440" s="26">
        <f>IF(K1440="Válida",IF(L1440&lt;=cfgTolerancia,"Sim","Não"),"")</f>
        <v>0</v>
      </c>
      <c r="N1440" s="26">
        <f>IF(A1440="","",MES!D1440)</f>
        <v>0</v>
      </c>
      <c r="O1440" s="25">
        <f>IF(K1440="Válida",A1440,NA())</f>
        <v>0</v>
      </c>
      <c r="P1440" s="27">
        <f>IF(K1440="Válida",C1440,NA())</f>
        <v>0</v>
      </c>
      <c r="Q1440" s="27">
        <f>IF(K1440="Válida",I1440,NA())</f>
        <v>0</v>
      </c>
      <c r="R1440" s="27">
        <f>IF(K1440="Válida",J1440,NA())</f>
        <v>0</v>
      </c>
      <c r="S1440" s="27">
        <f>IF(K1440="Válida",C1440,"")</f>
        <v>0</v>
      </c>
      <c r="T1440" s="27">
        <f>IF(K1440="Válida",I1440,"")</f>
        <v>0</v>
      </c>
      <c r="U1440" s="27">
        <f>IF(K1440="Válida",J1440,"")</f>
        <v>0</v>
      </c>
    </row>
    <row r="1441" spans="1:21">
      <c r="A1441" s="25">
        <f>IF(MES!A1441="","",MES!C1441/48)</f>
        <v>0</v>
      </c>
      <c r="B1441" s="26">
        <f>IF(A1441="","",TEXT((N1441*4+cfgDeslocamento)/48,"hh:mm")&amp;" a "&amp;TEXT(A1441,"hh:mm"))</f>
        <v>0</v>
      </c>
      <c r="C1441" s="27">
        <f>IF(A1441="","",MES!B1441)</f>
        <v>0</v>
      </c>
      <c r="D1441" s="27">
        <f>IF(A1441="","",IFERROR(AVERAGEIFS(Prensa!$B$2:$B$5001,Prensa!$E$2:$E$5001,N1441,Prensa!$F$2:$F$5001,1,Prensa!$G$2:$G$5001,1),""))</f>
        <v>0</v>
      </c>
      <c r="E1441" s="27">
        <f>IF(A1441="","",IFERROR(AVERAGEIFS(Prensa!$B$2:$B$5001,Prensa!$E$2:$E$5001,N1441,Prensa!$F$2:$F$5001,2,Prensa!$G$2:$G$5001,1),""))</f>
        <v>0</v>
      </c>
      <c r="F1441" s="27">
        <f>IF(A1441="","",IFERROR(AVERAGEIFS(Prensa!$B$2:$B$5001,Prensa!$E$2:$E$5001,N1441,Prensa!$F$2:$F$5001,3,Prensa!$G$2:$G$5001,1),""))</f>
        <v>0</v>
      </c>
      <c r="G1441" s="27">
        <f>IF(A1441="","",IFERROR(AVERAGEIFS(Prensa!$B$2:$B$5001,Prensa!$E$2:$E$5001,N1441,Prensa!$F$2:$F$5001,4,Prensa!$G$2:$G$5001,1),""))</f>
        <v>0</v>
      </c>
      <c r="H1441" s="26">
        <f>IF(A1441="","",COUNT(D1441:G1441))</f>
        <v>0</v>
      </c>
      <c r="I1441" s="27">
        <f>IF(A1441="","",IF(H1441=0,"",AVERAGE(D1441:G1441)))</f>
        <v>0</v>
      </c>
      <c r="J1441" s="27">
        <f>IF(OR(I1441="",C1441=""),"",I1441-C1441)</f>
        <v>0</v>
      </c>
      <c r="K1441" s="26">
        <f>IF(A1441="","",IF(MES!E1441&lt;&gt;4,"Horário do MES fora do padrão",IF(H1441&lt;cfgMinCortes,"Cortes insuficientes","Válida")))</f>
        <v>0</v>
      </c>
      <c r="L1441" s="27">
        <f>IF(K1441="Válida",ABS(J1441),"")</f>
        <v>0</v>
      </c>
      <c r="M1441" s="26">
        <f>IF(K1441="Válida",IF(L1441&lt;=cfgTolerancia,"Sim","Não"),"")</f>
        <v>0</v>
      </c>
      <c r="N1441" s="26">
        <f>IF(A1441="","",MES!D1441)</f>
        <v>0</v>
      </c>
      <c r="O1441" s="25">
        <f>IF(K1441="Válida",A1441,NA())</f>
        <v>0</v>
      </c>
      <c r="P1441" s="27">
        <f>IF(K1441="Válida",C1441,NA())</f>
        <v>0</v>
      </c>
      <c r="Q1441" s="27">
        <f>IF(K1441="Válida",I1441,NA())</f>
        <v>0</v>
      </c>
      <c r="R1441" s="27">
        <f>IF(K1441="Válida",J1441,NA())</f>
        <v>0</v>
      </c>
      <c r="S1441" s="27">
        <f>IF(K1441="Válida",C1441,"")</f>
        <v>0</v>
      </c>
      <c r="T1441" s="27">
        <f>IF(K1441="Válida",I1441,"")</f>
        <v>0</v>
      </c>
      <c r="U1441" s="27">
        <f>IF(K1441="Válida",J1441,"")</f>
        <v>0</v>
      </c>
    </row>
    <row r="1442" spans="1:21">
      <c r="A1442" s="25">
        <f>IF(MES!A1442="","",MES!C1442/48)</f>
        <v>0</v>
      </c>
      <c r="B1442" s="26">
        <f>IF(A1442="","",TEXT((N1442*4+cfgDeslocamento)/48,"hh:mm")&amp;" a "&amp;TEXT(A1442,"hh:mm"))</f>
        <v>0</v>
      </c>
      <c r="C1442" s="27">
        <f>IF(A1442="","",MES!B1442)</f>
        <v>0</v>
      </c>
      <c r="D1442" s="27">
        <f>IF(A1442="","",IFERROR(AVERAGEIFS(Prensa!$B$2:$B$5001,Prensa!$E$2:$E$5001,N1442,Prensa!$F$2:$F$5001,1,Prensa!$G$2:$G$5001,1),""))</f>
        <v>0</v>
      </c>
      <c r="E1442" s="27">
        <f>IF(A1442="","",IFERROR(AVERAGEIFS(Prensa!$B$2:$B$5001,Prensa!$E$2:$E$5001,N1442,Prensa!$F$2:$F$5001,2,Prensa!$G$2:$G$5001,1),""))</f>
        <v>0</v>
      </c>
      <c r="F1442" s="27">
        <f>IF(A1442="","",IFERROR(AVERAGEIFS(Prensa!$B$2:$B$5001,Prensa!$E$2:$E$5001,N1442,Prensa!$F$2:$F$5001,3,Prensa!$G$2:$G$5001,1),""))</f>
        <v>0</v>
      </c>
      <c r="G1442" s="27">
        <f>IF(A1442="","",IFERROR(AVERAGEIFS(Prensa!$B$2:$B$5001,Prensa!$E$2:$E$5001,N1442,Prensa!$F$2:$F$5001,4,Prensa!$G$2:$G$5001,1),""))</f>
        <v>0</v>
      </c>
      <c r="H1442" s="26">
        <f>IF(A1442="","",COUNT(D1442:G1442))</f>
        <v>0</v>
      </c>
      <c r="I1442" s="27">
        <f>IF(A1442="","",IF(H1442=0,"",AVERAGE(D1442:G1442)))</f>
        <v>0</v>
      </c>
      <c r="J1442" s="27">
        <f>IF(OR(I1442="",C1442=""),"",I1442-C1442)</f>
        <v>0</v>
      </c>
      <c r="K1442" s="26">
        <f>IF(A1442="","",IF(MES!E1442&lt;&gt;4,"Horário do MES fora do padrão",IF(H1442&lt;cfgMinCortes,"Cortes insuficientes","Válida")))</f>
        <v>0</v>
      </c>
      <c r="L1442" s="27">
        <f>IF(K1442="Válida",ABS(J1442),"")</f>
        <v>0</v>
      </c>
      <c r="M1442" s="26">
        <f>IF(K1442="Válida",IF(L1442&lt;=cfgTolerancia,"Sim","Não"),"")</f>
        <v>0</v>
      </c>
      <c r="N1442" s="26">
        <f>IF(A1442="","",MES!D1442)</f>
        <v>0</v>
      </c>
      <c r="O1442" s="25">
        <f>IF(K1442="Válida",A1442,NA())</f>
        <v>0</v>
      </c>
      <c r="P1442" s="27">
        <f>IF(K1442="Válida",C1442,NA())</f>
        <v>0</v>
      </c>
      <c r="Q1442" s="27">
        <f>IF(K1442="Válida",I1442,NA())</f>
        <v>0</v>
      </c>
      <c r="R1442" s="27">
        <f>IF(K1442="Válida",J1442,NA())</f>
        <v>0</v>
      </c>
      <c r="S1442" s="27">
        <f>IF(K1442="Válida",C1442,"")</f>
        <v>0</v>
      </c>
      <c r="T1442" s="27">
        <f>IF(K1442="Válida",I1442,"")</f>
        <v>0</v>
      </c>
      <c r="U1442" s="27">
        <f>IF(K1442="Válida",J1442,"")</f>
        <v>0</v>
      </c>
    </row>
    <row r="1443" spans="1:21">
      <c r="A1443" s="25">
        <f>IF(MES!A1443="","",MES!C1443/48)</f>
        <v>0</v>
      </c>
      <c r="B1443" s="26">
        <f>IF(A1443="","",TEXT((N1443*4+cfgDeslocamento)/48,"hh:mm")&amp;" a "&amp;TEXT(A1443,"hh:mm"))</f>
        <v>0</v>
      </c>
      <c r="C1443" s="27">
        <f>IF(A1443="","",MES!B1443)</f>
        <v>0</v>
      </c>
      <c r="D1443" s="27">
        <f>IF(A1443="","",IFERROR(AVERAGEIFS(Prensa!$B$2:$B$5001,Prensa!$E$2:$E$5001,N1443,Prensa!$F$2:$F$5001,1,Prensa!$G$2:$G$5001,1),""))</f>
        <v>0</v>
      </c>
      <c r="E1443" s="27">
        <f>IF(A1443="","",IFERROR(AVERAGEIFS(Prensa!$B$2:$B$5001,Prensa!$E$2:$E$5001,N1443,Prensa!$F$2:$F$5001,2,Prensa!$G$2:$G$5001,1),""))</f>
        <v>0</v>
      </c>
      <c r="F1443" s="27">
        <f>IF(A1443="","",IFERROR(AVERAGEIFS(Prensa!$B$2:$B$5001,Prensa!$E$2:$E$5001,N1443,Prensa!$F$2:$F$5001,3,Prensa!$G$2:$G$5001,1),""))</f>
        <v>0</v>
      </c>
      <c r="G1443" s="27">
        <f>IF(A1443="","",IFERROR(AVERAGEIFS(Prensa!$B$2:$B$5001,Prensa!$E$2:$E$5001,N1443,Prensa!$F$2:$F$5001,4,Prensa!$G$2:$G$5001,1),""))</f>
        <v>0</v>
      </c>
      <c r="H1443" s="26">
        <f>IF(A1443="","",COUNT(D1443:G1443))</f>
        <v>0</v>
      </c>
      <c r="I1443" s="27">
        <f>IF(A1443="","",IF(H1443=0,"",AVERAGE(D1443:G1443)))</f>
        <v>0</v>
      </c>
      <c r="J1443" s="27">
        <f>IF(OR(I1443="",C1443=""),"",I1443-C1443)</f>
        <v>0</v>
      </c>
      <c r="K1443" s="26">
        <f>IF(A1443="","",IF(MES!E1443&lt;&gt;4,"Horário do MES fora do padrão",IF(H1443&lt;cfgMinCortes,"Cortes insuficientes","Válida")))</f>
        <v>0</v>
      </c>
      <c r="L1443" s="27">
        <f>IF(K1443="Válida",ABS(J1443),"")</f>
        <v>0</v>
      </c>
      <c r="M1443" s="26">
        <f>IF(K1443="Válida",IF(L1443&lt;=cfgTolerancia,"Sim","Não"),"")</f>
        <v>0</v>
      </c>
      <c r="N1443" s="26">
        <f>IF(A1443="","",MES!D1443)</f>
        <v>0</v>
      </c>
      <c r="O1443" s="25">
        <f>IF(K1443="Válida",A1443,NA())</f>
        <v>0</v>
      </c>
      <c r="P1443" s="27">
        <f>IF(K1443="Válida",C1443,NA())</f>
        <v>0</v>
      </c>
      <c r="Q1443" s="27">
        <f>IF(K1443="Válida",I1443,NA())</f>
        <v>0</v>
      </c>
      <c r="R1443" s="27">
        <f>IF(K1443="Válida",J1443,NA())</f>
        <v>0</v>
      </c>
      <c r="S1443" s="27">
        <f>IF(K1443="Válida",C1443,"")</f>
        <v>0</v>
      </c>
      <c r="T1443" s="27">
        <f>IF(K1443="Válida",I1443,"")</f>
        <v>0</v>
      </c>
      <c r="U1443" s="27">
        <f>IF(K1443="Válida",J1443,"")</f>
        <v>0</v>
      </c>
    </row>
    <row r="1444" spans="1:21">
      <c r="A1444" s="25">
        <f>IF(MES!A1444="","",MES!C1444/48)</f>
        <v>0</v>
      </c>
      <c r="B1444" s="26">
        <f>IF(A1444="","",TEXT((N1444*4+cfgDeslocamento)/48,"hh:mm")&amp;" a "&amp;TEXT(A1444,"hh:mm"))</f>
        <v>0</v>
      </c>
      <c r="C1444" s="27">
        <f>IF(A1444="","",MES!B1444)</f>
        <v>0</v>
      </c>
      <c r="D1444" s="27">
        <f>IF(A1444="","",IFERROR(AVERAGEIFS(Prensa!$B$2:$B$5001,Prensa!$E$2:$E$5001,N1444,Prensa!$F$2:$F$5001,1,Prensa!$G$2:$G$5001,1),""))</f>
        <v>0</v>
      </c>
      <c r="E1444" s="27">
        <f>IF(A1444="","",IFERROR(AVERAGEIFS(Prensa!$B$2:$B$5001,Prensa!$E$2:$E$5001,N1444,Prensa!$F$2:$F$5001,2,Prensa!$G$2:$G$5001,1),""))</f>
        <v>0</v>
      </c>
      <c r="F1444" s="27">
        <f>IF(A1444="","",IFERROR(AVERAGEIFS(Prensa!$B$2:$B$5001,Prensa!$E$2:$E$5001,N1444,Prensa!$F$2:$F$5001,3,Prensa!$G$2:$G$5001,1),""))</f>
        <v>0</v>
      </c>
      <c r="G1444" s="27">
        <f>IF(A1444="","",IFERROR(AVERAGEIFS(Prensa!$B$2:$B$5001,Prensa!$E$2:$E$5001,N1444,Prensa!$F$2:$F$5001,4,Prensa!$G$2:$G$5001,1),""))</f>
        <v>0</v>
      </c>
      <c r="H1444" s="26">
        <f>IF(A1444="","",COUNT(D1444:G1444))</f>
        <v>0</v>
      </c>
      <c r="I1444" s="27">
        <f>IF(A1444="","",IF(H1444=0,"",AVERAGE(D1444:G1444)))</f>
        <v>0</v>
      </c>
      <c r="J1444" s="27">
        <f>IF(OR(I1444="",C1444=""),"",I1444-C1444)</f>
        <v>0</v>
      </c>
      <c r="K1444" s="26">
        <f>IF(A1444="","",IF(MES!E1444&lt;&gt;4,"Horário do MES fora do padrão",IF(H1444&lt;cfgMinCortes,"Cortes insuficientes","Válida")))</f>
        <v>0</v>
      </c>
      <c r="L1444" s="27">
        <f>IF(K1444="Válida",ABS(J1444),"")</f>
        <v>0</v>
      </c>
      <c r="M1444" s="26">
        <f>IF(K1444="Válida",IF(L1444&lt;=cfgTolerancia,"Sim","Não"),"")</f>
        <v>0</v>
      </c>
      <c r="N1444" s="26">
        <f>IF(A1444="","",MES!D1444)</f>
        <v>0</v>
      </c>
      <c r="O1444" s="25">
        <f>IF(K1444="Válida",A1444,NA())</f>
        <v>0</v>
      </c>
      <c r="P1444" s="27">
        <f>IF(K1444="Válida",C1444,NA())</f>
        <v>0</v>
      </c>
      <c r="Q1444" s="27">
        <f>IF(K1444="Válida",I1444,NA())</f>
        <v>0</v>
      </c>
      <c r="R1444" s="27">
        <f>IF(K1444="Válida",J1444,NA())</f>
        <v>0</v>
      </c>
      <c r="S1444" s="27">
        <f>IF(K1444="Válida",C1444,"")</f>
        <v>0</v>
      </c>
      <c r="T1444" s="27">
        <f>IF(K1444="Válida",I1444,"")</f>
        <v>0</v>
      </c>
      <c r="U1444" s="27">
        <f>IF(K1444="Válida",J1444,"")</f>
        <v>0</v>
      </c>
    </row>
    <row r="1445" spans="1:21">
      <c r="A1445" s="25">
        <f>IF(MES!A1445="","",MES!C1445/48)</f>
        <v>0</v>
      </c>
      <c r="B1445" s="26">
        <f>IF(A1445="","",TEXT((N1445*4+cfgDeslocamento)/48,"hh:mm")&amp;" a "&amp;TEXT(A1445,"hh:mm"))</f>
        <v>0</v>
      </c>
      <c r="C1445" s="27">
        <f>IF(A1445="","",MES!B1445)</f>
        <v>0</v>
      </c>
      <c r="D1445" s="27">
        <f>IF(A1445="","",IFERROR(AVERAGEIFS(Prensa!$B$2:$B$5001,Prensa!$E$2:$E$5001,N1445,Prensa!$F$2:$F$5001,1,Prensa!$G$2:$G$5001,1),""))</f>
        <v>0</v>
      </c>
      <c r="E1445" s="27">
        <f>IF(A1445="","",IFERROR(AVERAGEIFS(Prensa!$B$2:$B$5001,Prensa!$E$2:$E$5001,N1445,Prensa!$F$2:$F$5001,2,Prensa!$G$2:$G$5001,1),""))</f>
        <v>0</v>
      </c>
      <c r="F1445" s="27">
        <f>IF(A1445="","",IFERROR(AVERAGEIFS(Prensa!$B$2:$B$5001,Prensa!$E$2:$E$5001,N1445,Prensa!$F$2:$F$5001,3,Prensa!$G$2:$G$5001,1),""))</f>
        <v>0</v>
      </c>
      <c r="G1445" s="27">
        <f>IF(A1445="","",IFERROR(AVERAGEIFS(Prensa!$B$2:$B$5001,Prensa!$E$2:$E$5001,N1445,Prensa!$F$2:$F$5001,4,Prensa!$G$2:$G$5001,1),""))</f>
        <v>0</v>
      </c>
      <c r="H1445" s="26">
        <f>IF(A1445="","",COUNT(D1445:G1445))</f>
        <v>0</v>
      </c>
      <c r="I1445" s="27">
        <f>IF(A1445="","",IF(H1445=0,"",AVERAGE(D1445:G1445)))</f>
        <v>0</v>
      </c>
      <c r="J1445" s="27">
        <f>IF(OR(I1445="",C1445=""),"",I1445-C1445)</f>
        <v>0</v>
      </c>
      <c r="K1445" s="26">
        <f>IF(A1445="","",IF(MES!E1445&lt;&gt;4,"Horário do MES fora do padrão",IF(H1445&lt;cfgMinCortes,"Cortes insuficientes","Válida")))</f>
        <v>0</v>
      </c>
      <c r="L1445" s="27">
        <f>IF(K1445="Válida",ABS(J1445),"")</f>
        <v>0</v>
      </c>
      <c r="M1445" s="26">
        <f>IF(K1445="Válida",IF(L1445&lt;=cfgTolerancia,"Sim","Não"),"")</f>
        <v>0</v>
      </c>
      <c r="N1445" s="26">
        <f>IF(A1445="","",MES!D1445)</f>
        <v>0</v>
      </c>
      <c r="O1445" s="25">
        <f>IF(K1445="Válida",A1445,NA())</f>
        <v>0</v>
      </c>
      <c r="P1445" s="27">
        <f>IF(K1445="Válida",C1445,NA())</f>
        <v>0</v>
      </c>
      <c r="Q1445" s="27">
        <f>IF(K1445="Válida",I1445,NA())</f>
        <v>0</v>
      </c>
      <c r="R1445" s="27">
        <f>IF(K1445="Válida",J1445,NA())</f>
        <v>0</v>
      </c>
      <c r="S1445" s="27">
        <f>IF(K1445="Válida",C1445,"")</f>
        <v>0</v>
      </c>
      <c r="T1445" s="27">
        <f>IF(K1445="Válida",I1445,"")</f>
        <v>0</v>
      </c>
      <c r="U1445" s="27">
        <f>IF(K1445="Válida",J1445,"")</f>
        <v>0</v>
      </c>
    </row>
    <row r="1446" spans="1:21">
      <c r="A1446" s="25">
        <f>IF(MES!A1446="","",MES!C1446/48)</f>
        <v>0</v>
      </c>
      <c r="B1446" s="26">
        <f>IF(A1446="","",TEXT((N1446*4+cfgDeslocamento)/48,"hh:mm")&amp;" a "&amp;TEXT(A1446,"hh:mm"))</f>
        <v>0</v>
      </c>
      <c r="C1446" s="27">
        <f>IF(A1446="","",MES!B1446)</f>
        <v>0</v>
      </c>
      <c r="D1446" s="27">
        <f>IF(A1446="","",IFERROR(AVERAGEIFS(Prensa!$B$2:$B$5001,Prensa!$E$2:$E$5001,N1446,Prensa!$F$2:$F$5001,1,Prensa!$G$2:$G$5001,1),""))</f>
        <v>0</v>
      </c>
      <c r="E1446" s="27">
        <f>IF(A1446="","",IFERROR(AVERAGEIFS(Prensa!$B$2:$B$5001,Prensa!$E$2:$E$5001,N1446,Prensa!$F$2:$F$5001,2,Prensa!$G$2:$G$5001,1),""))</f>
        <v>0</v>
      </c>
      <c r="F1446" s="27">
        <f>IF(A1446="","",IFERROR(AVERAGEIFS(Prensa!$B$2:$B$5001,Prensa!$E$2:$E$5001,N1446,Prensa!$F$2:$F$5001,3,Prensa!$G$2:$G$5001,1),""))</f>
        <v>0</v>
      </c>
      <c r="G1446" s="27">
        <f>IF(A1446="","",IFERROR(AVERAGEIFS(Prensa!$B$2:$B$5001,Prensa!$E$2:$E$5001,N1446,Prensa!$F$2:$F$5001,4,Prensa!$G$2:$G$5001,1),""))</f>
        <v>0</v>
      </c>
      <c r="H1446" s="26">
        <f>IF(A1446="","",COUNT(D1446:G1446))</f>
        <v>0</v>
      </c>
      <c r="I1446" s="27">
        <f>IF(A1446="","",IF(H1446=0,"",AVERAGE(D1446:G1446)))</f>
        <v>0</v>
      </c>
      <c r="J1446" s="27">
        <f>IF(OR(I1446="",C1446=""),"",I1446-C1446)</f>
        <v>0</v>
      </c>
      <c r="K1446" s="26">
        <f>IF(A1446="","",IF(MES!E1446&lt;&gt;4,"Horário do MES fora do padrão",IF(H1446&lt;cfgMinCortes,"Cortes insuficientes","Válida")))</f>
        <v>0</v>
      </c>
      <c r="L1446" s="27">
        <f>IF(K1446="Válida",ABS(J1446),"")</f>
        <v>0</v>
      </c>
      <c r="M1446" s="26">
        <f>IF(K1446="Válida",IF(L1446&lt;=cfgTolerancia,"Sim","Não"),"")</f>
        <v>0</v>
      </c>
      <c r="N1446" s="26">
        <f>IF(A1446="","",MES!D1446)</f>
        <v>0</v>
      </c>
      <c r="O1446" s="25">
        <f>IF(K1446="Válida",A1446,NA())</f>
        <v>0</v>
      </c>
      <c r="P1446" s="27">
        <f>IF(K1446="Válida",C1446,NA())</f>
        <v>0</v>
      </c>
      <c r="Q1446" s="27">
        <f>IF(K1446="Válida",I1446,NA())</f>
        <v>0</v>
      </c>
      <c r="R1446" s="27">
        <f>IF(K1446="Válida",J1446,NA())</f>
        <v>0</v>
      </c>
      <c r="S1446" s="27">
        <f>IF(K1446="Válida",C1446,"")</f>
        <v>0</v>
      </c>
      <c r="T1446" s="27">
        <f>IF(K1446="Válida",I1446,"")</f>
        <v>0</v>
      </c>
      <c r="U1446" s="27">
        <f>IF(K1446="Válida",J1446,"")</f>
        <v>0</v>
      </c>
    </row>
    <row r="1447" spans="1:21">
      <c r="A1447" s="25">
        <f>IF(MES!A1447="","",MES!C1447/48)</f>
        <v>0</v>
      </c>
      <c r="B1447" s="26">
        <f>IF(A1447="","",TEXT((N1447*4+cfgDeslocamento)/48,"hh:mm")&amp;" a "&amp;TEXT(A1447,"hh:mm"))</f>
        <v>0</v>
      </c>
      <c r="C1447" s="27">
        <f>IF(A1447="","",MES!B1447)</f>
        <v>0</v>
      </c>
      <c r="D1447" s="27">
        <f>IF(A1447="","",IFERROR(AVERAGEIFS(Prensa!$B$2:$B$5001,Prensa!$E$2:$E$5001,N1447,Prensa!$F$2:$F$5001,1,Prensa!$G$2:$G$5001,1),""))</f>
        <v>0</v>
      </c>
      <c r="E1447" s="27">
        <f>IF(A1447="","",IFERROR(AVERAGEIFS(Prensa!$B$2:$B$5001,Prensa!$E$2:$E$5001,N1447,Prensa!$F$2:$F$5001,2,Prensa!$G$2:$G$5001,1),""))</f>
        <v>0</v>
      </c>
      <c r="F1447" s="27">
        <f>IF(A1447="","",IFERROR(AVERAGEIFS(Prensa!$B$2:$B$5001,Prensa!$E$2:$E$5001,N1447,Prensa!$F$2:$F$5001,3,Prensa!$G$2:$G$5001,1),""))</f>
        <v>0</v>
      </c>
      <c r="G1447" s="27">
        <f>IF(A1447="","",IFERROR(AVERAGEIFS(Prensa!$B$2:$B$5001,Prensa!$E$2:$E$5001,N1447,Prensa!$F$2:$F$5001,4,Prensa!$G$2:$G$5001,1),""))</f>
        <v>0</v>
      </c>
      <c r="H1447" s="26">
        <f>IF(A1447="","",COUNT(D1447:G1447))</f>
        <v>0</v>
      </c>
      <c r="I1447" s="27">
        <f>IF(A1447="","",IF(H1447=0,"",AVERAGE(D1447:G1447)))</f>
        <v>0</v>
      </c>
      <c r="J1447" s="27">
        <f>IF(OR(I1447="",C1447=""),"",I1447-C1447)</f>
        <v>0</v>
      </c>
      <c r="K1447" s="26">
        <f>IF(A1447="","",IF(MES!E1447&lt;&gt;4,"Horário do MES fora do padrão",IF(H1447&lt;cfgMinCortes,"Cortes insuficientes","Válida")))</f>
        <v>0</v>
      </c>
      <c r="L1447" s="27">
        <f>IF(K1447="Válida",ABS(J1447),"")</f>
        <v>0</v>
      </c>
      <c r="M1447" s="26">
        <f>IF(K1447="Válida",IF(L1447&lt;=cfgTolerancia,"Sim","Não"),"")</f>
        <v>0</v>
      </c>
      <c r="N1447" s="26">
        <f>IF(A1447="","",MES!D1447)</f>
        <v>0</v>
      </c>
      <c r="O1447" s="25">
        <f>IF(K1447="Válida",A1447,NA())</f>
        <v>0</v>
      </c>
      <c r="P1447" s="27">
        <f>IF(K1447="Válida",C1447,NA())</f>
        <v>0</v>
      </c>
      <c r="Q1447" s="27">
        <f>IF(K1447="Válida",I1447,NA())</f>
        <v>0</v>
      </c>
      <c r="R1447" s="27">
        <f>IF(K1447="Válida",J1447,NA())</f>
        <v>0</v>
      </c>
      <c r="S1447" s="27">
        <f>IF(K1447="Válida",C1447,"")</f>
        <v>0</v>
      </c>
      <c r="T1447" s="27">
        <f>IF(K1447="Válida",I1447,"")</f>
        <v>0</v>
      </c>
      <c r="U1447" s="27">
        <f>IF(K1447="Válida",J1447,"")</f>
        <v>0</v>
      </c>
    </row>
    <row r="1448" spans="1:21">
      <c r="A1448" s="25">
        <f>IF(MES!A1448="","",MES!C1448/48)</f>
        <v>0</v>
      </c>
      <c r="B1448" s="26">
        <f>IF(A1448="","",TEXT((N1448*4+cfgDeslocamento)/48,"hh:mm")&amp;" a "&amp;TEXT(A1448,"hh:mm"))</f>
        <v>0</v>
      </c>
      <c r="C1448" s="27">
        <f>IF(A1448="","",MES!B1448)</f>
        <v>0</v>
      </c>
      <c r="D1448" s="27">
        <f>IF(A1448="","",IFERROR(AVERAGEIFS(Prensa!$B$2:$B$5001,Prensa!$E$2:$E$5001,N1448,Prensa!$F$2:$F$5001,1,Prensa!$G$2:$G$5001,1),""))</f>
        <v>0</v>
      </c>
      <c r="E1448" s="27">
        <f>IF(A1448="","",IFERROR(AVERAGEIFS(Prensa!$B$2:$B$5001,Prensa!$E$2:$E$5001,N1448,Prensa!$F$2:$F$5001,2,Prensa!$G$2:$G$5001,1),""))</f>
        <v>0</v>
      </c>
      <c r="F1448" s="27">
        <f>IF(A1448="","",IFERROR(AVERAGEIFS(Prensa!$B$2:$B$5001,Prensa!$E$2:$E$5001,N1448,Prensa!$F$2:$F$5001,3,Prensa!$G$2:$G$5001,1),""))</f>
        <v>0</v>
      </c>
      <c r="G1448" s="27">
        <f>IF(A1448="","",IFERROR(AVERAGEIFS(Prensa!$B$2:$B$5001,Prensa!$E$2:$E$5001,N1448,Prensa!$F$2:$F$5001,4,Prensa!$G$2:$G$5001,1),""))</f>
        <v>0</v>
      </c>
      <c r="H1448" s="26">
        <f>IF(A1448="","",COUNT(D1448:G1448))</f>
        <v>0</v>
      </c>
      <c r="I1448" s="27">
        <f>IF(A1448="","",IF(H1448=0,"",AVERAGE(D1448:G1448)))</f>
        <v>0</v>
      </c>
      <c r="J1448" s="27">
        <f>IF(OR(I1448="",C1448=""),"",I1448-C1448)</f>
        <v>0</v>
      </c>
      <c r="K1448" s="26">
        <f>IF(A1448="","",IF(MES!E1448&lt;&gt;4,"Horário do MES fora do padrão",IF(H1448&lt;cfgMinCortes,"Cortes insuficientes","Válida")))</f>
        <v>0</v>
      </c>
      <c r="L1448" s="27">
        <f>IF(K1448="Válida",ABS(J1448),"")</f>
        <v>0</v>
      </c>
      <c r="M1448" s="26">
        <f>IF(K1448="Válida",IF(L1448&lt;=cfgTolerancia,"Sim","Não"),"")</f>
        <v>0</v>
      </c>
      <c r="N1448" s="26">
        <f>IF(A1448="","",MES!D1448)</f>
        <v>0</v>
      </c>
      <c r="O1448" s="25">
        <f>IF(K1448="Válida",A1448,NA())</f>
        <v>0</v>
      </c>
      <c r="P1448" s="27">
        <f>IF(K1448="Válida",C1448,NA())</f>
        <v>0</v>
      </c>
      <c r="Q1448" s="27">
        <f>IF(K1448="Válida",I1448,NA())</f>
        <v>0</v>
      </c>
      <c r="R1448" s="27">
        <f>IF(K1448="Válida",J1448,NA())</f>
        <v>0</v>
      </c>
      <c r="S1448" s="27">
        <f>IF(K1448="Válida",C1448,"")</f>
        <v>0</v>
      </c>
      <c r="T1448" s="27">
        <f>IF(K1448="Válida",I1448,"")</f>
        <v>0</v>
      </c>
      <c r="U1448" s="27">
        <f>IF(K1448="Válida",J1448,"")</f>
        <v>0</v>
      </c>
    </row>
    <row r="1449" spans="1:21">
      <c r="A1449" s="25">
        <f>IF(MES!A1449="","",MES!C1449/48)</f>
        <v>0</v>
      </c>
      <c r="B1449" s="26">
        <f>IF(A1449="","",TEXT((N1449*4+cfgDeslocamento)/48,"hh:mm")&amp;" a "&amp;TEXT(A1449,"hh:mm"))</f>
        <v>0</v>
      </c>
      <c r="C1449" s="27">
        <f>IF(A1449="","",MES!B1449)</f>
        <v>0</v>
      </c>
      <c r="D1449" s="27">
        <f>IF(A1449="","",IFERROR(AVERAGEIFS(Prensa!$B$2:$B$5001,Prensa!$E$2:$E$5001,N1449,Prensa!$F$2:$F$5001,1,Prensa!$G$2:$G$5001,1),""))</f>
        <v>0</v>
      </c>
      <c r="E1449" s="27">
        <f>IF(A1449="","",IFERROR(AVERAGEIFS(Prensa!$B$2:$B$5001,Prensa!$E$2:$E$5001,N1449,Prensa!$F$2:$F$5001,2,Prensa!$G$2:$G$5001,1),""))</f>
        <v>0</v>
      </c>
      <c r="F1449" s="27">
        <f>IF(A1449="","",IFERROR(AVERAGEIFS(Prensa!$B$2:$B$5001,Prensa!$E$2:$E$5001,N1449,Prensa!$F$2:$F$5001,3,Prensa!$G$2:$G$5001,1),""))</f>
        <v>0</v>
      </c>
      <c r="G1449" s="27">
        <f>IF(A1449="","",IFERROR(AVERAGEIFS(Prensa!$B$2:$B$5001,Prensa!$E$2:$E$5001,N1449,Prensa!$F$2:$F$5001,4,Prensa!$G$2:$G$5001,1),""))</f>
        <v>0</v>
      </c>
      <c r="H1449" s="26">
        <f>IF(A1449="","",COUNT(D1449:G1449))</f>
        <v>0</v>
      </c>
      <c r="I1449" s="27">
        <f>IF(A1449="","",IF(H1449=0,"",AVERAGE(D1449:G1449)))</f>
        <v>0</v>
      </c>
      <c r="J1449" s="27">
        <f>IF(OR(I1449="",C1449=""),"",I1449-C1449)</f>
        <v>0</v>
      </c>
      <c r="K1449" s="26">
        <f>IF(A1449="","",IF(MES!E1449&lt;&gt;4,"Horário do MES fora do padrão",IF(H1449&lt;cfgMinCortes,"Cortes insuficientes","Válida")))</f>
        <v>0</v>
      </c>
      <c r="L1449" s="27">
        <f>IF(K1449="Válida",ABS(J1449),"")</f>
        <v>0</v>
      </c>
      <c r="M1449" s="26">
        <f>IF(K1449="Válida",IF(L1449&lt;=cfgTolerancia,"Sim","Não"),"")</f>
        <v>0</v>
      </c>
      <c r="N1449" s="26">
        <f>IF(A1449="","",MES!D1449)</f>
        <v>0</v>
      </c>
      <c r="O1449" s="25">
        <f>IF(K1449="Válida",A1449,NA())</f>
        <v>0</v>
      </c>
      <c r="P1449" s="27">
        <f>IF(K1449="Válida",C1449,NA())</f>
        <v>0</v>
      </c>
      <c r="Q1449" s="27">
        <f>IF(K1449="Válida",I1449,NA())</f>
        <v>0</v>
      </c>
      <c r="R1449" s="27">
        <f>IF(K1449="Válida",J1449,NA())</f>
        <v>0</v>
      </c>
      <c r="S1449" s="27">
        <f>IF(K1449="Válida",C1449,"")</f>
        <v>0</v>
      </c>
      <c r="T1449" s="27">
        <f>IF(K1449="Válida",I1449,"")</f>
        <v>0</v>
      </c>
      <c r="U1449" s="27">
        <f>IF(K1449="Válida",J1449,"")</f>
        <v>0</v>
      </c>
    </row>
    <row r="1450" spans="1:21">
      <c r="A1450" s="25">
        <f>IF(MES!A1450="","",MES!C1450/48)</f>
        <v>0</v>
      </c>
      <c r="B1450" s="26">
        <f>IF(A1450="","",TEXT((N1450*4+cfgDeslocamento)/48,"hh:mm")&amp;" a "&amp;TEXT(A1450,"hh:mm"))</f>
        <v>0</v>
      </c>
      <c r="C1450" s="27">
        <f>IF(A1450="","",MES!B1450)</f>
        <v>0</v>
      </c>
      <c r="D1450" s="27">
        <f>IF(A1450="","",IFERROR(AVERAGEIFS(Prensa!$B$2:$B$5001,Prensa!$E$2:$E$5001,N1450,Prensa!$F$2:$F$5001,1,Prensa!$G$2:$G$5001,1),""))</f>
        <v>0</v>
      </c>
      <c r="E1450" s="27">
        <f>IF(A1450="","",IFERROR(AVERAGEIFS(Prensa!$B$2:$B$5001,Prensa!$E$2:$E$5001,N1450,Prensa!$F$2:$F$5001,2,Prensa!$G$2:$G$5001,1),""))</f>
        <v>0</v>
      </c>
      <c r="F1450" s="27">
        <f>IF(A1450="","",IFERROR(AVERAGEIFS(Prensa!$B$2:$B$5001,Prensa!$E$2:$E$5001,N1450,Prensa!$F$2:$F$5001,3,Prensa!$G$2:$G$5001,1),""))</f>
        <v>0</v>
      </c>
      <c r="G1450" s="27">
        <f>IF(A1450="","",IFERROR(AVERAGEIFS(Prensa!$B$2:$B$5001,Prensa!$E$2:$E$5001,N1450,Prensa!$F$2:$F$5001,4,Prensa!$G$2:$G$5001,1),""))</f>
        <v>0</v>
      </c>
      <c r="H1450" s="26">
        <f>IF(A1450="","",COUNT(D1450:G1450))</f>
        <v>0</v>
      </c>
      <c r="I1450" s="27">
        <f>IF(A1450="","",IF(H1450=0,"",AVERAGE(D1450:G1450)))</f>
        <v>0</v>
      </c>
      <c r="J1450" s="27">
        <f>IF(OR(I1450="",C1450=""),"",I1450-C1450)</f>
        <v>0</v>
      </c>
      <c r="K1450" s="26">
        <f>IF(A1450="","",IF(MES!E1450&lt;&gt;4,"Horário do MES fora do padrão",IF(H1450&lt;cfgMinCortes,"Cortes insuficientes","Válida")))</f>
        <v>0</v>
      </c>
      <c r="L1450" s="27">
        <f>IF(K1450="Válida",ABS(J1450),"")</f>
        <v>0</v>
      </c>
      <c r="M1450" s="26">
        <f>IF(K1450="Válida",IF(L1450&lt;=cfgTolerancia,"Sim","Não"),"")</f>
        <v>0</v>
      </c>
      <c r="N1450" s="26">
        <f>IF(A1450="","",MES!D1450)</f>
        <v>0</v>
      </c>
      <c r="O1450" s="25">
        <f>IF(K1450="Válida",A1450,NA())</f>
        <v>0</v>
      </c>
      <c r="P1450" s="27">
        <f>IF(K1450="Válida",C1450,NA())</f>
        <v>0</v>
      </c>
      <c r="Q1450" s="27">
        <f>IF(K1450="Válida",I1450,NA())</f>
        <v>0</v>
      </c>
      <c r="R1450" s="27">
        <f>IF(K1450="Válida",J1450,NA())</f>
        <v>0</v>
      </c>
      <c r="S1450" s="27">
        <f>IF(K1450="Válida",C1450,"")</f>
        <v>0</v>
      </c>
      <c r="T1450" s="27">
        <f>IF(K1450="Válida",I1450,"")</f>
        <v>0</v>
      </c>
      <c r="U1450" s="27">
        <f>IF(K1450="Válida",J1450,"")</f>
        <v>0</v>
      </c>
    </row>
    <row r="1451" spans="1:21">
      <c r="A1451" s="25">
        <f>IF(MES!A1451="","",MES!C1451/48)</f>
        <v>0</v>
      </c>
      <c r="B1451" s="26">
        <f>IF(A1451="","",TEXT((N1451*4+cfgDeslocamento)/48,"hh:mm")&amp;" a "&amp;TEXT(A1451,"hh:mm"))</f>
        <v>0</v>
      </c>
      <c r="C1451" s="27">
        <f>IF(A1451="","",MES!B1451)</f>
        <v>0</v>
      </c>
      <c r="D1451" s="27">
        <f>IF(A1451="","",IFERROR(AVERAGEIFS(Prensa!$B$2:$B$5001,Prensa!$E$2:$E$5001,N1451,Prensa!$F$2:$F$5001,1,Prensa!$G$2:$G$5001,1),""))</f>
        <v>0</v>
      </c>
      <c r="E1451" s="27">
        <f>IF(A1451="","",IFERROR(AVERAGEIFS(Prensa!$B$2:$B$5001,Prensa!$E$2:$E$5001,N1451,Prensa!$F$2:$F$5001,2,Prensa!$G$2:$G$5001,1),""))</f>
        <v>0</v>
      </c>
      <c r="F1451" s="27">
        <f>IF(A1451="","",IFERROR(AVERAGEIFS(Prensa!$B$2:$B$5001,Prensa!$E$2:$E$5001,N1451,Prensa!$F$2:$F$5001,3,Prensa!$G$2:$G$5001,1),""))</f>
        <v>0</v>
      </c>
      <c r="G1451" s="27">
        <f>IF(A1451="","",IFERROR(AVERAGEIFS(Prensa!$B$2:$B$5001,Prensa!$E$2:$E$5001,N1451,Prensa!$F$2:$F$5001,4,Prensa!$G$2:$G$5001,1),""))</f>
        <v>0</v>
      </c>
      <c r="H1451" s="26">
        <f>IF(A1451="","",COUNT(D1451:G1451))</f>
        <v>0</v>
      </c>
      <c r="I1451" s="27">
        <f>IF(A1451="","",IF(H1451=0,"",AVERAGE(D1451:G1451)))</f>
        <v>0</v>
      </c>
      <c r="J1451" s="27">
        <f>IF(OR(I1451="",C1451=""),"",I1451-C1451)</f>
        <v>0</v>
      </c>
      <c r="K1451" s="26">
        <f>IF(A1451="","",IF(MES!E1451&lt;&gt;4,"Horário do MES fora do padrão",IF(H1451&lt;cfgMinCortes,"Cortes insuficientes","Válida")))</f>
        <v>0</v>
      </c>
      <c r="L1451" s="27">
        <f>IF(K1451="Válida",ABS(J1451),"")</f>
        <v>0</v>
      </c>
      <c r="M1451" s="26">
        <f>IF(K1451="Válida",IF(L1451&lt;=cfgTolerancia,"Sim","Não"),"")</f>
        <v>0</v>
      </c>
      <c r="N1451" s="26">
        <f>IF(A1451="","",MES!D1451)</f>
        <v>0</v>
      </c>
      <c r="O1451" s="25">
        <f>IF(K1451="Válida",A1451,NA())</f>
        <v>0</v>
      </c>
      <c r="P1451" s="27">
        <f>IF(K1451="Válida",C1451,NA())</f>
        <v>0</v>
      </c>
      <c r="Q1451" s="27">
        <f>IF(K1451="Válida",I1451,NA())</f>
        <v>0</v>
      </c>
      <c r="R1451" s="27">
        <f>IF(K1451="Válida",J1451,NA())</f>
        <v>0</v>
      </c>
      <c r="S1451" s="27">
        <f>IF(K1451="Válida",C1451,"")</f>
        <v>0</v>
      </c>
      <c r="T1451" s="27">
        <f>IF(K1451="Válida",I1451,"")</f>
        <v>0</v>
      </c>
      <c r="U1451" s="27">
        <f>IF(K1451="Válida",J1451,"")</f>
        <v>0</v>
      </c>
    </row>
    <row r="1452" spans="1:21">
      <c r="A1452" s="25">
        <f>IF(MES!A1452="","",MES!C1452/48)</f>
        <v>0</v>
      </c>
      <c r="B1452" s="26">
        <f>IF(A1452="","",TEXT((N1452*4+cfgDeslocamento)/48,"hh:mm")&amp;" a "&amp;TEXT(A1452,"hh:mm"))</f>
        <v>0</v>
      </c>
      <c r="C1452" s="27">
        <f>IF(A1452="","",MES!B1452)</f>
        <v>0</v>
      </c>
      <c r="D1452" s="27">
        <f>IF(A1452="","",IFERROR(AVERAGEIFS(Prensa!$B$2:$B$5001,Prensa!$E$2:$E$5001,N1452,Prensa!$F$2:$F$5001,1,Prensa!$G$2:$G$5001,1),""))</f>
        <v>0</v>
      </c>
      <c r="E1452" s="27">
        <f>IF(A1452="","",IFERROR(AVERAGEIFS(Prensa!$B$2:$B$5001,Prensa!$E$2:$E$5001,N1452,Prensa!$F$2:$F$5001,2,Prensa!$G$2:$G$5001,1),""))</f>
        <v>0</v>
      </c>
      <c r="F1452" s="27">
        <f>IF(A1452="","",IFERROR(AVERAGEIFS(Prensa!$B$2:$B$5001,Prensa!$E$2:$E$5001,N1452,Prensa!$F$2:$F$5001,3,Prensa!$G$2:$G$5001,1),""))</f>
        <v>0</v>
      </c>
      <c r="G1452" s="27">
        <f>IF(A1452="","",IFERROR(AVERAGEIFS(Prensa!$B$2:$B$5001,Prensa!$E$2:$E$5001,N1452,Prensa!$F$2:$F$5001,4,Prensa!$G$2:$G$5001,1),""))</f>
        <v>0</v>
      </c>
      <c r="H1452" s="26">
        <f>IF(A1452="","",COUNT(D1452:G1452))</f>
        <v>0</v>
      </c>
      <c r="I1452" s="27">
        <f>IF(A1452="","",IF(H1452=0,"",AVERAGE(D1452:G1452)))</f>
        <v>0</v>
      </c>
      <c r="J1452" s="27">
        <f>IF(OR(I1452="",C1452=""),"",I1452-C1452)</f>
        <v>0</v>
      </c>
      <c r="K1452" s="26">
        <f>IF(A1452="","",IF(MES!E1452&lt;&gt;4,"Horário do MES fora do padrão",IF(H1452&lt;cfgMinCortes,"Cortes insuficientes","Válida")))</f>
        <v>0</v>
      </c>
      <c r="L1452" s="27">
        <f>IF(K1452="Válida",ABS(J1452),"")</f>
        <v>0</v>
      </c>
      <c r="M1452" s="26">
        <f>IF(K1452="Válida",IF(L1452&lt;=cfgTolerancia,"Sim","Não"),"")</f>
        <v>0</v>
      </c>
      <c r="N1452" s="26">
        <f>IF(A1452="","",MES!D1452)</f>
        <v>0</v>
      </c>
      <c r="O1452" s="25">
        <f>IF(K1452="Válida",A1452,NA())</f>
        <v>0</v>
      </c>
      <c r="P1452" s="27">
        <f>IF(K1452="Válida",C1452,NA())</f>
        <v>0</v>
      </c>
      <c r="Q1452" s="27">
        <f>IF(K1452="Válida",I1452,NA())</f>
        <v>0</v>
      </c>
      <c r="R1452" s="27">
        <f>IF(K1452="Válida",J1452,NA())</f>
        <v>0</v>
      </c>
      <c r="S1452" s="27">
        <f>IF(K1452="Válida",C1452,"")</f>
        <v>0</v>
      </c>
      <c r="T1452" s="27">
        <f>IF(K1452="Válida",I1452,"")</f>
        <v>0</v>
      </c>
      <c r="U1452" s="27">
        <f>IF(K1452="Válida",J1452,"")</f>
        <v>0</v>
      </c>
    </row>
    <row r="1453" spans="1:21">
      <c r="A1453" s="25">
        <f>IF(MES!A1453="","",MES!C1453/48)</f>
        <v>0</v>
      </c>
      <c r="B1453" s="26">
        <f>IF(A1453="","",TEXT((N1453*4+cfgDeslocamento)/48,"hh:mm")&amp;" a "&amp;TEXT(A1453,"hh:mm"))</f>
        <v>0</v>
      </c>
      <c r="C1453" s="27">
        <f>IF(A1453="","",MES!B1453)</f>
        <v>0</v>
      </c>
      <c r="D1453" s="27">
        <f>IF(A1453="","",IFERROR(AVERAGEIFS(Prensa!$B$2:$B$5001,Prensa!$E$2:$E$5001,N1453,Prensa!$F$2:$F$5001,1,Prensa!$G$2:$G$5001,1),""))</f>
        <v>0</v>
      </c>
      <c r="E1453" s="27">
        <f>IF(A1453="","",IFERROR(AVERAGEIFS(Prensa!$B$2:$B$5001,Prensa!$E$2:$E$5001,N1453,Prensa!$F$2:$F$5001,2,Prensa!$G$2:$G$5001,1),""))</f>
        <v>0</v>
      </c>
      <c r="F1453" s="27">
        <f>IF(A1453="","",IFERROR(AVERAGEIFS(Prensa!$B$2:$B$5001,Prensa!$E$2:$E$5001,N1453,Prensa!$F$2:$F$5001,3,Prensa!$G$2:$G$5001,1),""))</f>
        <v>0</v>
      </c>
      <c r="G1453" s="27">
        <f>IF(A1453="","",IFERROR(AVERAGEIFS(Prensa!$B$2:$B$5001,Prensa!$E$2:$E$5001,N1453,Prensa!$F$2:$F$5001,4,Prensa!$G$2:$G$5001,1),""))</f>
        <v>0</v>
      </c>
      <c r="H1453" s="26">
        <f>IF(A1453="","",COUNT(D1453:G1453))</f>
        <v>0</v>
      </c>
      <c r="I1453" s="27">
        <f>IF(A1453="","",IF(H1453=0,"",AVERAGE(D1453:G1453)))</f>
        <v>0</v>
      </c>
      <c r="J1453" s="27">
        <f>IF(OR(I1453="",C1453=""),"",I1453-C1453)</f>
        <v>0</v>
      </c>
      <c r="K1453" s="26">
        <f>IF(A1453="","",IF(MES!E1453&lt;&gt;4,"Horário do MES fora do padrão",IF(H1453&lt;cfgMinCortes,"Cortes insuficientes","Válida")))</f>
        <v>0</v>
      </c>
      <c r="L1453" s="27">
        <f>IF(K1453="Válida",ABS(J1453),"")</f>
        <v>0</v>
      </c>
      <c r="M1453" s="26">
        <f>IF(K1453="Válida",IF(L1453&lt;=cfgTolerancia,"Sim","Não"),"")</f>
        <v>0</v>
      </c>
      <c r="N1453" s="26">
        <f>IF(A1453="","",MES!D1453)</f>
        <v>0</v>
      </c>
      <c r="O1453" s="25">
        <f>IF(K1453="Válida",A1453,NA())</f>
        <v>0</v>
      </c>
      <c r="P1453" s="27">
        <f>IF(K1453="Válida",C1453,NA())</f>
        <v>0</v>
      </c>
      <c r="Q1453" s="27">
        <f>IF(K1453="Válida",I1453,NA())</f>
        <v>0</v>
      </c>
      <c r="R1453" s="27">
        <f>IF(K1453="Válida",J1453,NA())</f>
        <v>0</v>
      </c>
      <c r="S1453" s="27">
        <f>IF(K1453="Válida",C1453,"")</f>
        <v>0</v>
      </c>
      <c r="T1453" s="27">
        <f>IF(K1453="Válida",I1453,"")</f>
        <v>0</v>
      </c>
      <c r="U1453" s="27">
        <f>IF(K1453="Válida",J1453,"")</f>
        <v>0</v>
      </c>
    </row>
    <row r="1454" spans="1:21">
      <c r="A1454" s="25">
        <f>IF(MES!A1454="","",MES!C1454/48)</f>
        <v>0</v>
      </c>
      <c r="B1454" s="26">
        <f>IF(A1454="","",TEXT((N1454*4+cfgDeslocamento)/48,"hh:mm")&amp;" a "&amp;TEXT(A1454,"hh:mm"))</f>
        <v>0</v>
      </c>
      <c r="C1454" s="27">
        <f>IF(A1454="","",MES!B1454)</f>
        <v>0</v>
      </c>
      <c r="D1454" s="27">
        <f>IF(A1454="","",IFERROR(AVERAGEIFS(Prensa!$B$2:$B$5001,Prensa!$E$2:$E$5001,N1454,Prensa!$F$2:$F$5001,1,Prensa!$G$2:$G$5001,1),""))</f>
        <v>0</v>
      </c>
      <c r="E1454" s="27">
        <f>IF(A1454="","",IFERROR(AVERAGEIFS(Prensa!$B$2:$B$5001,Prensa!$E$2:$E$5001,N1454,Prensa!$F$2:$F$5001,2,Prensa!$G$2:$G$5001,1),""))</f>
        <v>0</v>
      </c>
      <c r="F1454" s="27">
        <f>IF(A1454="","",IFERROR(AVERAGEIFS(Prensa!$B$2:$B$5001,Prensa!$E$2:$E$5001,N1454,Prensa!$F$2:$F$5001,3,Prensa!$G$2:$G$5001,1),""))</f>
        <v>0</v>
      </c>
      <c r="G1454" s="27">
        <f>IF(A1454="","",IFERROR(AVERAGEIFS(Prensa!$B$2:$B$5001,Prensa!$E$2:$E$5001,N1454,Prensa!$F$2:$F$5001,4,Prensa!$G$2:$G$5001,1),""))</f>
        <v>0</v>
      </c>
      <c r="H1454" s="26">
        <f>IF(A1454="","",COUNT(D1454:G1454))</f>
        <v>0</v>
      </c>
      <c r="I1454" s="27">
        <f>IF(A1454="","",IF(H1454=0,"",AVERAGE(D1454:G1454)))</f>
        <v>0</v>
      </c>
      <c r="J1454" s="27">
        <f>IF(OR(I1454="",C1454=""),"",I1454-C1454)</f>
        <v>0</v>
      </c>
      <c r="K1454" s="26">
        <f>IF(A1454="","",IF(MES!E1454&lt;&gt;4,"Horário do MES fora do padrão",IF(H1454&lt;cfgMinCortes,"Cortes insuficientes","Válida")))</f>
        <v>0</v>
      </c>
      <c r="L1454" s="27">
        <f>IF(K1454="Válida",ABS(J1454),"")</f>
        <v>0</v>
      </c>
      <c r="M1454" s="26">
        <f>IF(K1454="Válida",IF(L1454&lt;=cfgTolerancia,"Sim","Não"),"")</f>
        <v>0</v>
      </c>
      <c r="N1454" s="26">
        <f>IF(A1454="","",MES!D1454)</f>
        <v>0</v>
      </c>
      <c r="O1454" s="25">
        <f>IF(K1454="Válida",A1454,NA())</f>
        <v>0</v>
      </c>
      <c r="P1454" s="27">
        <f>IF(K1454="Válida",C1454,NA())</f>
        <v>0</v>
      </c>
      <c r="Q1454" s="27">
        <f>IF(K1454="Válida",I1454,NA())</f>
        <v>0</v>
      </c>
      <c r="R1454" s="27">
        <f>IF(K1454="Válida",J1454,NA())</f>
        <v>0</v>
      </c>
      <c r="S1454" s="27">
        <f>IF(K1454="Válida",C1454,"")</f>
        <v>0</v>
      </c>
      <c r="T1454" s="27">
        <f>IF(K1454="Válida",I1454,"")</f>
        <v>0</v>
      </c>
      <c r="U1454" s="27">
        <f>IF(K1454="Válida",J1454,"")</f>
        <v>0</v>
      </c>
    </row>
    <row r="1455" spans="1:21">
      <c r="A1455" s="25">
        <f>IF(MES!A1455="","",MES!C1455/48)</f>
        <v>0</v>
      </c>
      <c r="B1455" s="26">
        <f>IF(A1455="","",TEXT((N1455*4+cfgDeslocamento)/48,"hh:mm")&amp;" a "&amp;TEXT(A1455,"hh:mm"))</f>
        <v>0</v>
      </c>
      <c r="C1455" s="27">
        <f>IF(A1455="","",MES!B1455)</f>
        <v>0</v>
      </c>
      <c r="D1455" s="27">
        <f>IF(A1455="","",IFERROR(AVERAGEIFS(Prensa!$B$2:$B$5001,Prensa!$E$2:$E$5001,N1455,Prensa!$F$2:$F$5001,1,Prensa!$G$2:$G$5001,1),""))</f>
        <v>0</v>
      </c>
      <c r="E1455" s="27">
        <f>IF(A1455="","",IFERROR(AVERAGEIFS(Prensa!$B$2:$B$5001,Prensa!$E$2:$E$5001,N1455,Prensa!$F$2:$F$5001,2,Prensa!$G$2:$G$5001,1),""))</f>
        <v>0</v>
      </c>
      <c r="F1455" s="27">
        <f>IF(A1455="","",IFERROR(AVERAGEIFS(Prensa!$B$2:$B$5001,Prensa!$E$2:$E$5001,N1455,Prensa!$F$2:$F$5001,3,Prensa!$G$2:$G$5001,1),""))</f>
        <v>0</v>
      </c>
      <c r="G1455" s="27">
        <f>IF(A1455="","",IFERROR(AVERAGEIFS(Prensa!$B$2:$B$5001,Prensa!$E$2:$E$5001,N1455,Prensa!$F$2:$F$5001,4,Prensa!$G$2:$G$5001,1),""))</f>
        <v>0</v>
      </c>
      <c r="H1455" s="26">
        <f>IF(A1455="","",COUNT(D1455:G1455))</f>
        <v>0</v>
      </c>
      <c r="I1455" s="27">
        <f>IF(A1455="","",IF(H1455=0,"",AVERAGE(D1455:G1455)))</f>
        <v>0</v>
      </c>
      <c r="J1455" s="27">
        <f>IF(OR(I1455="",C1455=""),"",I1455-C1455)</f>
        <v>0</v>
      </c>
      <c r="K1455" s="26">
        <f>IF(A1455="","",IF(MES!E1455&lt;&gt;4,"Horário do MES fora do padrão",IF(H1455&lt;cfgMinCortes,"Cortes insuficientes","Válida")))</f>
        <v>0</v>
      </c>
      <c r="L1455" s="27">
        <f>IF(K1455="Válida",ABS(J1455),"")</f>
        <v>0</v>
      </c>
      <c r="M1455" s="26">
        <f>IF(K1455="Válida",IF(L1455&lt;=cfgTolerancia,"Sim","Não"),"")</f>
        <v>0</v>
      </c>
      <c r="N1455" s="26">
        <f>IF(A1455="","",MES!D1455)</f>
        <v>0</v>
      </c>
      <c r="O1455" s="25">
        <f>IF(K1455="Válida",A1455,NA())</f>
        <v>0</v>
      </c>
      <c r="P1455" s="27">
        <f>IF(K1455="Válida",C1455,NA())</f>
        <v>0</v>
      </c>
      <c r="Q1455" s="27">
        <f>IF(K1455="Válida",I1455,NA())</f>
        <v>0</v>
      </c>
      <c r="R1455" s="27">
        <f>IF(K1455="Válida",J1455,NA())</f>
        <v>0</v>
      </c>
      <c r="S1455" s="27">
        <f>IF(K1455="Válida",C1455,"")</f>
        <v>0</v>
      </c>
      <c r="T1455" s="27">
        <f>IF(K1455="Válida",I1455,"")</f>
        <v>0</v>
      </c>
      <c r="U1455" s="27">
        <f>IF(K1455="Válida",J1455,"")</f>
        <v>0</v>
      </c>
    </row>
    <row r="1456" spans="1:21">
      <c r="A1456" s="25">
        <f>IF(MES!A1456="","",MES!C1456/48)</f>
        <v>0</v>
      </c>
      <c r="B1456" s="26">
        <f>IF(A1456="","",TEXT((N1456*4+cfgDeslocamento)/48,"hh:mm")&amp;" a "&amp;TEXT(A1456,"hh:mm"))</f>
        <v>0</v>
      </c>
      <c r="C1456" s="27">
        <f>IF(A1456="","",MES!B1456)</f>
        <v>0</v>
      </c>
      <c r="D1456" s="27">
        <f>IF(A1456="","",IFERROR(AVERAGEIFS(Prensa!$B$2:$B$5001,Prensa!$E$2:$E$5001,N1456,Prensa!$F$2:$F$5001,1,Prensa!$G$2:$G$5001,1),""))</f>
        <v>0</v>
      </c>
      <c r="E1456" s="27">
        <f>IF(A1456="","",IFERROR(AVERAGEIFS(Prensa!$B$2:$B$5001,Prensa!$E$2:$E$5001,N1456,Prensa!$F$2:$F$5001,2,Prensa!$G$2:$G$5001,1),""))</f>
        <v>0</v>
      </c>
      <c r="F1456" s="27">
        <f>IF(A1456="","",IFERROR(AVERAGEIFS(Prensa!$B$2:$B$5001,Prensa!$E$2:$E$5001,N1456,Prensa!$F$2:$F$5001,3,Prensa!$G$2:$G$5001,1),""))</f>
        <v>0</v>
      </c>
      <c r="G1456" s="27">
        <f>IF(A1456="","",IFERROR(AVERAGEIFS(Prensa!$B$2:$B$5001,Prensa!$E$2:$E$5001,N1456,Prensa!$F$2:$F$5001,4,Prensa!$G$2:$G$5001,1),""))</f>
        <v>0</v>
      </c>
      <c r="H1456" s="26">
        <f>IF(A1456="","",COUNT(D1456:G1456))</f>
        <v>0</v>
      </c>
      <c r="I1456" s="27">
        <f>IF(A1456="","",IF(H1456=0,"",AVERAGE(D1456:G1456)))</f>
        <v>0</v>
      </c>
      <c r="J1456" s="27">
        <f>IF(OR(I1456="",C1456=""),"",I1456-C1456)</f>
        <v>0</v>
      </c>
      <c r="K1456" s="26">
        <f>IF(A1456="","",IF(MES!E1456&lt;&gt;4,"Horário do MES fora do padrão",IF(H1456&lt;cfgMinCortes,"Cortes insuficientes","Válida")))</f>
        <v>0</v>
      </c>
      <c r="L1456" s="27">
        <f>IF(K1456="Válida",ABS(J1456),"")</f>
        <v>0</v>
      </c>
      <c r="M1456" s="26">
        <f>IF(K1456="Válida",IF(L1456&lt;=cfgTolerancia,"Sim","Não"),"")</f>
        <v>0</v>
      </c>
      <c r="N1456" s="26">
        <f>IF(A1456="","",MES!D1456)</f>
        <v>0</v>
      </c>
      <c r="O1456" s="25">
        <f>IF(K1456="Válida",A1456,NA())</f>
        <v>0</v>
      </c>
      <c r="P1456" s="27">
        <f>IF(K1456="Válida",C1456,NA())</f>
        <v>0</v>
      </c>
      <c r="Q1456" s="27">
        <f>IF(K1456="Válida",I1456,NA())</f>
        <v>0</v>
      </c>
      <c r="R1456" s="27">
        <f>IF(K1456="Válida",J1456,NA())</f>
        <v>0</v>
      </c>
      <c r="S1456" s="27">
        <f>IF(K1456="Válida",C1456,"")</f>
        <v>0</v>
      </c>
      <c r="T1456" s="27">
        <f>IF(K1456="Válida",I1456,"")</f>
        <v>0</v>
      </c>
      <c r="U1456" s="27">
        <f>IF(K1456="Válida",J1456,"")</f>
        <v>0</v>
      </c>
    </row>
    <row r="1457" spans="1:21">
      <c r="A1457" s="25">
        <f>IF(MES!A1457="","",MES!C1457/48)</f>
        <v>0</v>
      </c>
      <c r="B1457" s="26">
        <f>IF(A1457="","",TEXT((N1457*4+cfgDeslocamento)/48,"hh:mm")&amp;" a "&amp;TEXT(A1457,"hh:mm"))</f>
        <v>0</v>
      </c>
      <c r="C1457" s="27">
        <f>IF(A1457="","",MES!B1457)</f>
        <v>0</v>
      </c>
      <c r="D1457" s="27">
        <f>IF(A1457="","",IFERROR(AVERAGEIFS(Prensa!$B$2:$B$5001,Prensa!$E$2:$E$5001,N1457,Prensa!$F$2:$F$5001,1,Prensa!$G$2:$G$5001,1),""))</f>
        <v>0</v>
      </c>
      <c r="E1457" s="27">
        <f>IF(A1457="","",IFERROR(AVERAGEIFS(Prensa!$B$2:$B$5001,Prensa!$E$2:$E$5001,N1457,Prensa!$F$2:$F$5001,2,Prensa!$G$2:$G$5001,1),""))</f>
        <v>0</v>
      </c>
      <c r="F1457" s="27">
        <f>IF(A1457="","",IFERROR(AVERAGEIFS(Prensa!$B$2:$B$5001,Prensa!$E$2:$E$5001,N1457,Prensa!$F$2:$F$5001,3,Prensa!$G$2:$G$5001,1),""))</f>
        <v>0</v>
      </c>
      <c r="G1457" s="27">
        <f>IF(A1457="","",IFERROR(AVERAGEIFS(Prensa!$B$2:$B$5001,Prensa!$E$2:$E$5001,N1457,Prensa!$F$2:$F$5001,4,Prensa!$G$2:$G$5001,1),""))</f>
        <v>0</v>
      </c>
      <c r="H1457" s="26">
        <f>IF(A1457="","",COUNT(D1457:G1457))</f>
        <v>0</v>
      </c>
      <c r="I1457" s="27">
        <f>IF(A1457="","",IF(H1457=0,"",AVERAGE(D1457:G1457)))</f>
        <v>0</v>
      </c>
      <c r="J1457" s="27">
        <f>IF(OR(I1457="",C1457=""),"",I1457-C1457)</f>
        <v>0</v>
      </c>
      <c r="K1457" s="26">
        <f>IF(A1457="","",IF(MES!E1457&lt;&gt;4,"Horário do MES fora do padrão",IF(H1457&lt;cfgMinCortes,"Cortes insuficientes","Válida")))</f>
        <v>0</v>
      </c>
      <c r="L1457" s="27">
        <f>IF(K1457="Válida",ABS(J1457),"")</f>
        <v>0</v>
      </c>
      <c r="M1457" s="26">
        <f>IF(K1457="Válida",IF(L1457&lt;=cfgTolerancia,"Sim","Não"),"")</f>
        <v>0</v>
      </c>
      <c r="N1457" s="26">
        <f>IF(A1457="","",MES!D1457)</f>
        <v>0</v>
      </c>
      <c r="O1457" s="25">
        <f>IF(K1457="Válida",A1457,NA())</f>
        <v>0</v>
      </c>
      <c r="P1457" s="27">
        <f>IF(K1457="Válida",C1457,NA())</f>
        <v>0</v>
      </c>
      <c r="Q1457" s="27">
        <f>IF(K1457="Válida",I1457,NA())</f>
        <v>0</v>
      </c>
      <c r="R1457" s="27">
        <f>IF(K1457="Válida",J1457,NA())</f>
        <v>0</v>
      </c>
      <c r="S1457" s="27">
        <f>IF(K1457="Válida",C1457,"")</f>
        <v>0</v>
      </c>
      <c r="T1457" s="27">
        <f>IF(K1457="Válida",I1457,"")</f>
        <v>0</v>
      </c>
      <c r="U1457" s="27">
        <f>IF(K1457="Válida",J1457,"")</f>
        <v>0</v>
      </c>
    </row>
    <row r="1458" spans="1:21">
      <c r="A1458" s="25">
        <f>IF(MES!A1458="","",MES!C1458/48)</f>
        <v>0</v>
      </c>
      <c r="B1458" s="26">
        <f>IF(A1458="","",TEXT((N1458*4+cfgDeslocamento)/48,"hh:mm")&amp;" a "&amp;TEXT(A1458,"hh:mm"))</f>
        <v>0</v>
      </c>
      <c r="C1458" s="27">
        <f>IF(A1458="","",MES!B1458)</f>
        <v>0</v>
      </c>
      <c r="D1458" s="27">
        <f>IF(A1458="","",IFERROR(AVERAGEIFS(Prensa!$B$2:$B$5001,Prensa!$E$2:$E$5001,N1458,Prensa!$F$2:$F$5001,1,Prensa!$G$2:$G$5001,1),""))</f>
        <v>0</v>
      </c>
      <c r="E1458" s="27">
        <f>IF(A1458="","",IFERROR(AVERAGEIFS(Prensa!$B$2:$B$5001,Prensa!$E$2:$E$5001,N1458,Prensa!$F$2:$F$5001,2,Prensa!$G$2:$G$5001,1),""))</f>
        <v>0</v>
      </c>
      <c r="F1458" s="27">
        <f>IF(A1458="","",IFERROR(AVERAGEIFS(Prensa!$B$2:$B$5001,Prensa!$E$2:$E$5001,N1458,Prensa!$F$2:$F$5001,3,Prensa!$G$2:$G$5001,1),""))</f>
        <v>0</v>
      </c>
      <c r="G1458" s="27">
        <f>IF(A1458="","",IFERROR(AVERAGEIFS(Prensa!$B$2:$B$5001,Prensa!$E$2:$E$5001,N1458,Prensa!$F$2:$F$5001,4,Prensa!$G$2:$G$5001,1),""))</f>
        <v>0</v>
      </c>
      <c r="H1458" s="26">
        <f>IF(A1458="","",COUNT(D1458:G1458))</f>
        <v>0</v>
      </c>
      <c r="I1458" s="27">
        <f>IF(A1458="","",IF(H1458=0,"",AVERAGE(D1458:G1458)))</f>
        <v>0</v>
      </c>
      <c r="J1458" s="27">
        <f>IF(OR(I1458="",C1458=""),"",I1458-C1458)</f>
        <v>0</v>
      </c>
      <c r="K1458" s="26">
        <f>IF(A1458="","",IF(MES!E1458&lt;&gt;4,"Horário do MES fora do padrão",IF(H1458&lt;cfgMinCortes,"Cortes insuficientes","Válida")))</f>
        <v>0</v>
      </c>
      <c r="L1458" s="27">
        <f>IF(K1458="Válida",ABS(J1458),"")</f>
        <v>0</v>
      </c>
      <c r="M1458" s="26">
        <f>IF(K1458="Válida",IF(L1458&lt;=cfgTolerancia,"Sim","Não"),"")</f>
        <v>0</v>
      </c>
      <c r="N1458" s="26">
        <f>IF(A1458="","",MES!D1458)</f>
        <v>0</v>
      </c>
      <c r="O1458" s="25">
        <f>IF(K1458="Válida",A1458,NA())</f>
        <v>0</v>
      </c>
      <c r="P1458" s="27">
        <f>IF(K1458="Válida",C1458,NA())</f>
        <v>0</v>
      </c>
      <c r="Q1458" s="27">
        <f>IF(K1458="Válida",I1458,NA())</f>
        <v>0</v>
      </c>
      <c r="R1458" s="27">
        <f>IF(K1458="Válida",J1458,NA())</f>
        <v>0</v>
      </c>
      <c r="S1458" s="27">
        <f>IF(K1458="Válida",C1458,"")</f>
        <v>0</v>
      </c>
      <c r="T1458" s="27">
        <f>IF(K1458="Válida",I1458,"")</f>
        <v>0</v>
      </c>
      <c r="U1458" s="27">
        <f>IF(K1458="Válida",J1458,"")</f>
        <v>0</v>
      </c>
    </row>
    <row r="1459" spans="1:21">
      <c r="A1459" s="25">
        <f>IF(MES!A1459="","",MES!C1459/48)</f>
        <v>0</v>
      </c>
      <c r="B1459" s="26">
        <f>IF(A1459="","",TEXT((N1459*4+cfgDeslocamento)/48,"hh:mm")&amp;" a "&amp;TEXT(A1459,"hh:mm"))</f>
        <v>0</v>
      </c>
      <c r="C1459" s="27">
        <f>IF(A1459="","",MES!B1459)</f>
        <v>0</v>
      </c>
      <c r="D1459" s="27">
        <f>IF(A1459="","",IFERROR(AVERAGEIFS(Prensa!$B$2:$B$5001,Prensa!$E$2:$E$5001,N1459,Prensa!$F$2:$F$5001,1,Prensa!$G$2:$G$5001,1),""))</f>
        <v>0</v>
      </c>
      <c r="E1459" s="27">
        <f>IF(A1459="","",IFERROR(AVERAGEIFS(Prensa!$B$2:$B$5001,Prensa!$E$2:$E$5001,N1459,Prensa!$F$2:$F$5001,2,Prensa!$G$2:$G$5001,1),""))</f>
        <v>0</v>
      </c>
      <c r="F1459" s="27">
        <f>IF(A1459="","",IFERROR(AVERAGEIFS(Prensa!$B$2:$B$5001,Prensa!$E$2:$E$5001,N1459,Prensa!$F$2:$F$5001,3,Prensa!$G$2:$G$5001,1),""))</f>
        <v>0</v>
      </c>
      <c r="G1459" s="27">
        <f>IF(A1459="","",IFERROR(AVERAGEIFS(Prensa!$B$2:$B$5001,Prensa!$E$2:$E$5001,N1459,Prensa!$F$2:$F$5001,4,Prensa!$G$2:$G$5001,1),""))</f>
        <v>0</v>
      </c>
      <c r="H1459" s="26">
        <f>IF(A1459="","",COUNT(D1459:G1459))</f>
        <v>0</v>
      </c>
      <c r="I1459" s="27">
        <f>IF(A1459="","",IF(H1459=0,"",AVERAGE(D1459:G1459)))</f>
        <v>0</v>
      </c>
      <c r="J1459" s="27">
        <f>IF(OR(I1459="",C1459=""),"",I1459-C1459)</f>
        <v>0</v>
      </c>
      <c r="K1459" s="26">
        <f>IF(A1459="","",IF(MES!E1459&lt;&gt;4,"Horário do MES fora do padrão",IF(H1459&lt;cfgMinCortes,"Cortes insuficientes","Válida")))</f>
        <v>0</v>
      </c>
      <c r="L1459" s="27">
        <f>IF(K1459="Válida",ABS(J1459),"")</f>
        <v>0</v>
      </c>
      <c r="M1459" s="26">
        <f>IF(K1459="Válida",IF(L1459&lt;=cfgTolerancia,"Sim","Não"),"")</f>
        <v>0</v>
      </c>
      <c r="N1459" s="26">
        <f>IF(A1459="","",MES!D1459)</f>
        <v>0</v>
      </c>
      <c r="O1459" s="25">
        <f>IF(K1459="Válida",A1459,NA())</f>
        <v>0</v>
      </c>
      <c r="P1459" s="27">
        <f>IF(K1459="Válida",C1459,NA())</f>
        <v>0</v>
      </c>
      <c r="Q1459" s="27">
        <f>IF(K1459="Válida",I1459,NA())</f>
        <v>0</v>
      </c>
      <c r="R1459" s="27">
        <f>IF(K1459="Válida",J1459,NA())</f>
        <v>0</v>
      </c>
      <c r="S1459" s="27">
        <f>IF(K1459="Válida",C1459,"")</f>
        <v>0</v>
      </c>
      <c r="T1459" s="27">
        <f>IF(K1459="Válida",I1459,"")</f>
        <v>0</v>
      </c>
      <c r="U1459" s="27">
        <f>IF(K1459="Válida",J1459,"")</f>
        <v>0</v>
      </c>
    </row>
    <row r="1460" spans="1:21">
      <c r="A1460" s="25">
        <f>IF(MES!A1460="","",MES!C1460/48)</f>
        <v>0</v>
      </c>
      <c r="B1460" s="26">
        <f>IF(A1460="","",TEXT((N1460*4+cfgDeslocamento)/48,"hh:mm")&amp;" a "&amp;TEXT(A1460,"hh:mm"))</f>
        <v>0</v>
      </c>
      <c r="C1460" s="27">
        <f>IF(A1460="","",MES!B1460)</f>
        <v>0</v>
      </c>
      <c r="D1460" s="27">
        <f>IF(A1460="","",IFERROR(AVERAGEIFS(Prensa!$B$2:$B$5001,Prensa!$E$2:$E$5001,N1460,Prensa!$F$2:$F$5001,1,Prensa!$G$2:$G$5001,1),""))</f>
        <v>0</v>
      </c>
      <c r="E1460" s="27">
        <f>IF(A1460="","",IFERROR(AVERAGEIFS(Prensa!$B$2:$B$5001,Prensa!$E$2:$E$5001,N1460,Prensa!$F$2:$F$5001,2,Prensa!$G$2:$G$5001,1),""))</f>
        <v>0</v>
      </c>
      <c r="F1460" s="27">
        <f>IF(A1460="","",IFERROR(AVERAGEIFS(Prensa!$B$2:$B$5001,Prensa!$E$2:$E$5001,N1460,Prensa!$F$2:$F$5001,3,Prensa!$G$2:$G$5001,1),""))</f>
        <v>0</v>
      </c>
      <c r="G1460" s="27">
        <f>IF(A1460="","",IFERROR(AVERAGEIFS(Prensa!$B$2:$B$5001,Prensa!$E$2:$E$5001,N1460,Prensa!$F$2:$F$5001,4,Prensa!$G$2:$G$5001,1),""))</f>
        <v>0</v>
      </c>
      <c r="H1460" s="26">
        <f>IF(A1460="","",COUNT(D1460:G1460))</f>
        <v>0</v>
      </c>
      <c r="I1460" s="27">
        <f>IF(A1460="","",IF(H1460=0,"",AVERAGE(D1460:G1460)))</f>
        <v>0</v>
      </c>
      <c r="J1460" s="27">
        <f>IF(OR(I1460="",C1460=""),"",I1460-C1460)</f>
        <v>0</v>
      </c>
      <c r="K1460" s="26">
        <f>IF(A1460="","",IF(MES!E1460&lt;&gt;4,"Horário do MES fora do padrão",IF(H1460&lt;cfgMinCortes,"Cortes insuficientes","Válida")))</f>
        <v>0</v>
      </c>
      <c r="L1460" s="27">
        <f>IF(K1460="Válida",ABS(J1460),"")</f>
        <v>0</v>
      </c>
      <c r="M1460" s="26">
        <f>IF(K1460="Válida",IF(L1460&lt;=cfgTolerancia,"Sim","Não"),"")</f>
        <v>0</v>
      </c>
      <c r="N1460" s="26">
        <f>IF(A1460="","",MES!D1460)</f>
        <v>0</v>
      </c>
      <c r="O1460" s="25">
        <f>IF(K1460="Válida",A1460,NA())</f>
        <v>0</v>
      </c>
      <c r="P1460" s="27">
        <f>IF(K1460="Válida",C1460,NA())</f>
        <v>0</v>
      </c>
      <c r="Q1460" s="27">
        <f>IF(K1460="Válida",I1460,NA())</f>
        <v>0</v>
      </c>
      <c r="R1460" s="27">
        <f>IF(K1460="Válida",J1460,NA())</f>
        <v>0</v>
      </c>
      <c r="S1460" s="27">
        <f>IF(K1460="Válida",C1460,"")</f>
        <v>0</v>
      </c>
      <c r="T1460" s="27">
        <f>IF(K1460="Válida",I1460,"")</f>
        <v>0</v>
      </c>
      <c r="U1460" s="27">
        <f>IF(K1460="Válida",J1460,"")</f>
        <v>0</v>
      </c>
    </row>
    <row r="1461" spans="1:21">
      <c r="A1461" s="25">
        <f>IF(MES!A1461="","",MES!C1461/48)</f>
        <v>0</v>
      </c>
      <c r="B1461" s="26">
        <f>IF(A1461="","",TEXT((N1461*4+cfgDeslocamento)/48,"hh:mm")&amp;" a "&amp;TEXT(A1461,"hh:mm"))</f>
        <v>0</v>
      </c>
      <c r="C1461" s="27">
        <f>IF(A1461="","",MES!B1461)</f>
        <v>0</v>
      </c>
      <c r="D1461" s="27">
        <f>IF(A1461="","",IFERROR(AVERAGEIFS(Prensa!$B$2:$B$5001,Prensa!$E$2:$E$5001,N1461,Prensa!$F$2:$F$5001,1,Prensa!$G$2:$G$5001,1),""))</f>
        <v>0</v>
      </c>
      <c r="E1461" s="27">
        <f>IF(A1461="","",IFERROR(AVERAGEIFS(Prensa!$B$2:$B$5001,Prensa!$E$2:$E$5001,N1461,Prensa!$F$2:$F$5001,2,Prensa!$G$2:$G$5001,1),""))</f>
        <v>0</v>
      </c>
      <c r="F1461" s="27">
        <f>IF(A1461="","",IFERROR(AVERAGEIFS(Prensa!$B$2:$B$5001,Prensa!$E$2:$E$5001,N1461,Prensa!$F$2:$F$5001,3,Prensa!$G$2:$G$5001,1),""))</f>
        <v>0</v>
      </c>
      <c r="G1461" s="27">
        <f>IF(A1461="","",IFERROR(AVERAGEIFS(Prensa!$B$2:$B$5001,Prensa!$E$2:$E$5001,N1461,Prensa!$F$2:$F$5001,4,Prensa!$G$2:$G$5001,1),""))</f>
        <v>0</v>
      </c>
      <c r="H1461" s="26">
        <f>IF(A1461="","",COUNT(D1461:G1461))</f>
        <v>0</v>
      </c>
      <c r="I1461" s="27">
        <f>IF(A1461="","",IF(H1461=0,"",AVERAGE(D1461:G1461)))</f>
        <v>0</v>
      </c>
      <c r="J1461" s="27">
        <f>IF(OR(I1461="",C1461=""),"",I1461-C1461)</f>
        <v>0</v>
      </c>
      <c r="K1461" s="26">
        <f>IF(A1461="","",IF(MES!E1461&lt;&gt;4,"Horário do MES fora do padrão",IF(H1461&lt;cfgMinCortes,"Cortes insuficientes","Válida")))</f>
        <v>0</v>
      </c>
      <c r="L1461" s="27">
        <f>IF(K1461="Válida",ABS(J1461),"")</f>
        <v>0</v>
      </c>
      <c r="M1461" s="26">
        <f>IF(K1461="Válida",IF(L1461&lt;=cfgTolerancia,"Sim","Não"),"")</f>
        <v>0</v>
      </c>
      <c r="N1461" s="26">
        <f>IF(A1461="","",MES!D1461)</f>
        <v>0</v>
      </c>
      <c r="O1461" s="25">
        <f>IF(K1461="Válida",A1461,NA())</f>
        <v>0</v>
      </c>
      <c r="P1461" s="27">
        <f>IF(K1461="Válida",C1461,NA())</f>
        <v>0</v>
      </c>
      <c r="Q1461" s="27">
        <f>IF(K1461="Válida",I1461,NA())</f>
        <v>0</v>
      </c>
      <c r="R1461" s="27">
        <f>IF(K1461="Válida",J1461,NA())</f>
        <v>0</v>
      </c>
      <c r="S1461" s="27">
        <f>IF(K1461="Válida",C1461,"")</f>
        <v>0</v>
      </c>
      <c r="T1461" s="27">
        <f>IF(K1461="Válida",I1461,"")</f>
        <v>0</v>
      </c>
      <c r="U1461" s="27">
        <f>IF(K1461="Válida",J1461,"")</f>
        <v>0</v>
      </c>
    </row>
    <row r="1462" spans="1:21">
      <c r="A1462" s="25">
        <f>IF(MES!A1462="","",MES!C1462/48)</f>
        <v>0</v>
      </c>
      <c r="B1462" s="26">
        <f>IF(A1462="","",TEXT((N1462*4+cfgDeslocamento)/48,"hh:mm")&amp;" a "&amp;TEXT(A1462,"hh:mm"))</f>
        <v>0</v>
      </c>
      <c r="C1462" s="27">
        <f>IF(A1462="","",MES!B1462)</f>
        <v>0</v>
      </c>
      <c r="D1462" s="27">
        <f>IF(A1462="","",IFERROR(AVERAGEIFS(Prensa!$B$2:$B$5001,Prensa!$E$2:$E$5001,N1462,Prensa!$F$2:$F$5001,1,Prensa!$G$2:$G$5001,1),""))</f>
        <v>0</v>
      </c>
      <c r="E1462" s="27">
        <f>IF(A1462="","",IFERROR(AVERAGEIFS(Prensa!$B$2:$B$5001,Prensa!$E$2:$E$5001,N1462,Prensa!$F$2:$F$5001,2,Prensa!$G$2:$G$5001,1),""))</f>
        <v>0</v>
      </c>
      <c r="F1462" s="27">
        <f>IF(A1462="","",IFERROR(AVERAGEIFS(Prensa!$B$2:$B$5001,Prensa!$E$2:$E$5001,N1462,Prensa!$F$2:$F$5001,3,Prensa!$G$2:$G$5001,1),""))</f>
        <v>0</v>
      </c>
      <c r="G1462" s="27">
        <f>IF(A1462="","",IFERROR(AVERAGEIFS(Prensa!$B$2:$B$5001,Prensa!$E$2:$E$5001,N1462,Prensa!$F$2:$F$5001,4,Prensa!$G$2:$G$5001,1),""))</f>
        <v>0</v>
      </c>
      <c r="H1462" s="26">
        <f>IF(A1462="","",COUNT(D1462:G1462))</f>
        <v>0</v>
      </c>
      <c r="I1462" s="27">
        <f>IF(A1462="","",IF(H1462=0,"",AVERAGE(D1462:G1462)))</f>
        <v>0</v>
      </c>
      <c r="J1462" s="27">
        <f>IF(OR(I1462="",C1462=""),"",I1462-C1462)</f>
        <v>0</v>
      </c>
      <c r="K1462" s="26">
        <f>IF(A1462="","",IF(MES!E1462&lt;&gt;4,"Horário do MES fora do padrão",IF(H1462&lt;cfgMinCortes,"Cortes insuficientes","Válida")))</f>
        <v>0</v>
      </c>
      <c r="L1462" s="27">
        <f>IF(K1462="Válida",ABS(J1462),"")</f>
        <v>0</v>
      </c>
      <c r="M1462" s="26">
        <f>IF(K1462="Válida",IF(L1462&lt;=cfgTolerancia,"Sim","Não"),"")</f>
        <v>0</v>
      </c>
      <c r="N1462" s="26">
        <f>IF(A1462="","",MES!D1462)</f>
        <v>0</v>
      </c>
      <c r="O1462" s="25">
        <f>IF(K1462="Válida",A1462,NA())</f>
        <v>0</v>
      </c>
      <c r="P1462" s="27">
        <f>IF(K1462="Válida",C1462,NA())</f>
        <v>0</v>
      </c>
      <c r="Q1462" s="27">
        <f>IF(K1462="Válida",I1462,NA())</f>
        <v>0</v>
      </c>
      <c r="R1462" s="27">
        <f>IF(K1462="Válida",J1462,NA())</f>
        <v>0</v>
      </c>
      <c r="S1462" s="27">
        <f>IF(K1462="Válida",C1462,"")</f>
        <v>0</v>
      </c>
      <c r="T1462" s="27">
        <f>IF(K1462="Válida",I1462,"")</f>
        <v>0</v>
      </c>
      <c r="U1462" s="27">
        <f>IF(K1462="Válida",J1462,"")</f>
        <v>0</v>
      </c>
    </row>
    <row r="1463" spans="1:21">
      <c r="A1463" s="25">
        <f>IF(MES!A1463="","",MES!C1463/48)</f>
        <v>0</v>
      </c>
      <c r="B1463" s="26">
        <f>IF(A1463="","",TEXT((N1463*4+cfgDeslocamento)/48,"hh:mm")&amp;" a "&amp;TEXT(A1463,"hh:mm"))</f>
        <v>0</v>
      </c>
      <c r="C1463" s="27">
        <f>IF(A1463="","",MES!B1463)</f>
        <v>0</v>
      </c>
      <c r="D1463" s="27">
        <f>IF(A1463="","",IFERROR(AVERAGEIFS(Prensa!$B$2:$B$5001,Prensa!$E$2:$E$5001,N1463,Prensa!$F$2:$F$5001,1,Prensa!$G$2:$G$5001,1),""))</f>
        <v>0</v>
      </c>
      <c r="E1463" s="27">
        <f>IF(A1463="","",IFERROR(AVERAGEIFS(Prensa!$B$2:$B$5001,Prensa!$E$2:$E$5001,N1463,Prensa!$F$2:$F$5001,2,Prensa!$G$2:$G$5001,1),""))</f>
        <v>0</v>
      </c>
      <c r="F1463" s="27">
        <f>IF(A1463="","",IFERROR(AVERAGEIFS(Prensa!$B$2:$B$5001,Prensa!$E$2:$E$5001,N1463,Prensa!$F$2:$F$5001,3,Prensa!$G$2:$G$5001,1),""))</f>
        <v>0</v>
      </c>
      <c r="G1463" s="27">
        <f>IF(A1463="","",IFERROR(AVERAGEIFS(Prensa!$B$2:$B$5001,Prensa!$E$2:$E$5001,N1463,Prensa!$F$2:$F$5001,4,Prensa!$G$2:$G$5001,1),""))</f>
        <v>0</v>
      </c>
      <c r="H1463" s="26">
        <f>IF(A1463="","",COUNT(D1463:G1463))</f>
        <v>0</v>
      </c>
      <c r="I1463" s="27">
        <f>IF(A1463="","",IF(H1463=0,"",AVERAGE(D1463:G1463)))</f>
        <v>0</v>
      </c>
      <c r="J1463" s="27">
        <f>IF(OR(I1463="",C1463=""),"",I1463-C1463)</f>
        <v>0</v>
      </c>
      <c r="K1463" s="26">
        <f>IF(A1463="","",IF(MES!E1463&lt;&gt;4,"Horário do MES fora do padrão",IF(H1463&lt;cfgMinCortes,"Cortes insuficientes","Válida")))</f>
        <v>0</v>
      </c>
      <c r="L1463" s="27">
        <f>IF(K1463="Válida",ABS(J1463),"")</f>
        <v>0</v>
      </c>
      <c r="M1463" s="26">
        <f>IF(K1463="Válida",IF(L1463&lt;=cfgTolerancia,"Sim","Não"),"")</f>
        <v>0</v>
      </c>
      <c r="N1463" s="26">
        <f>IF(A1463="","",MES!D1463)</f>
        <v>0</v>
      </c>
      <c r="O1463" s="25">
        <f>IF(K1463="Válida",A1463,NA())</f>
        <v>0</v>
      </c>
      <c r="P1463" s="27">
        <f>IF(K1463="Válida",C1463,NA())</f>
        <v>0</v>
      </c>
      <c r="Q1463" s="27">
        <f>IF(K1463="Válida",I1463,NA())</f>
        <v>0</v>
      </c>
      <c r="R1463" s="27">
        <f>IF(K1463="Válida",J1463,NA())</f>
        <v>0</v>
      </c>
      <c r="S1463" s="27">
        <f>IF(K1463="Válida",C1463,"")</f>
        <v>0</v>
      </c>
      <c r="T1463" s="27">
        <f>IF(K1463="Válida",I1463,"")</f>
        <v>0</v>
      </c>
      <c r="U1463" s="27">
        <f>IF(K1463="Válida",J1463,"")</f>
        <v>0</v>
      </c>
    </row>
    <row r="1464" spans="1:21">
      <c r="A1464" s="25">
        <f>IF(MES!A1464="","",MES!C1464/48)</f>
        <v>0</v>
      </c>
      <c r="B1464" s="26">
        <f>IF(A1464="","",TEXT((N1464*4+cfgDeslocamento)/48,"hh:mm")&amp;" a "&amp;TEXT(A1464,"hh:mm"))</f>
        <v>0</v>
      </c>
      <c r="C1464" s="27">
        <f>IF(A1464="","",MES!B1464)</f>
        <v>0</v>
      </c>
      <c r="D1464" s="27">
        <f>IF(A1464="","",IFERROR(AVERAGEIFS(Prensa!$B$2:$B$5001,Prensa!$E$2:$E$5001,N1464,Prensa!$F$2:$F$5001,1,Prensa!$G$2:$G$5001,1),""))</f>
        <v>0</v>
      </c>
      <c r="E1464" s="27">
        <f>IF(A1464="","",IFERROR(AVERAGEIFS(Prensa!$B$2:$B$5001,Prensa!$E$2:$E$5001,N1464,Prensa!$F$2:$F$5001,2,Prensa!$G$2:$G$5001,1),""))</f>
        <v>0</v>
      </c>
      <c r="F1464" s="27">
        <f>IF(A1464="","",IFERROR(AVERAGEIFS(Prensa!$B$2:$B$5001,Prensa!$E$2:$E$5001,N1464,Prensa!$F$2:$F$5001,3,Prensa!$G$2:$G$5001,1),""))</f>
        <v>0</v>
      </c>
      <c r="G1464" s="27">
        <f>IF(A1464="","",IFERROR(AVERAGEIFS(Prensa!$B$2:$B$5001,Prensa!$E$2:$E$5001,N1464,Prensa!$F$2:$F$5001,4,Prensa!$G$2:$G$5001,1),""))</f>
        <v>0</v>
      </c>
      <c r="H1464" s="26">
        <f>IF(A1464="","",COUNT(D1464:G1464))</f>
        <v>0</v>
      </c>
      <c r="I1464" s="27">
        <f>IF(A1464="","",IF(H1464=0,"",AVERAGE(D1464:G1464)))</f>
        <v>0</v>
      </c>
      <c r="J1464" s="27">
        <f>IF(OR(I1464="",C1464=""),"",I1464-C1464)</f>
        <v>0</v>
      </c>
      <c r="K1464" s="26">
        <f>IF(A1464="","",IF(MES!E1464&lt;&gt;4,"Horário do MES fora do padrão",IF(H1464&lt;cfgMinCortes,"Cortes insuficientes","Válida")))</f>
        <v>0</v>
      </c>
      <c r="L1464" s="27">
        <f>IF(K1464="Válida",ABS(J1464),"")</f>
        <v>0</v>
      </c>
      <c r="M1464" s="26">
        <f>IF(K1464="Válida",IF(L1464&lt;=cfgTolerancia,"Sim","Não"),"")</f>
        <v>0</v>
      </c>
      <c r="N1464" s="26">
        <f>IF(A1464="","",MES!D1464)</f>
        <v>0</v>
      </c>
      <c r="O1464" s="25">
        <f>IF(K1464="Válida",A1464,NA())</f>
        <v>0</v>
      </c>
      <c r="P1464" s="27">
        <f>IF(K1464="Válida",C1464,NA())</f>
        <v>0</v>
      </c>
      <c r="Q1464" s="27">
        <f>IF(K1464="Válida",I1464,NA())</f>
        <v>0</v>
      </c>
      <c r="R1464" s="27">
        <f>IF(K1464="Válida",J1464,NA())</f>
        <v>0</v>
      </c>
      <c r="S1464" s="27">
        <f>IF(K1464="Válida",C1464,"")</f>
        <v>0</v>
      </c>
      <c r="T1464" s="27">
        <f>IF(K1464="Válida",I1464,"")</f>
        <v>0</v>
      </c>
      <c r="U1464" s="27">
        <f>IF(K1464="Válida",J1464,"")</f>
        <v>0</v>
      </c>
    </row>
    <row r="1465" spans="1:21">
      <c r="A1465" s="25">
        <f>IF(MES!A1465="","",MES!C1465/48)</f>
        <v>0</v>
      </c>
      <c r="B1465" s="26">
        <f>IF(A1465="","",TEXT((N1465*4+cfgDeslocamento)/48,"hh:mm")&amp;" a "&amp;TEXT(A1465,"hh:mm"))</f>
        <v>0</v>
      </c>
      <c r="C1465" s="27">
        <f>IF(A1465="","",MES!B1465)</f>
        <v>0</v>
      </c>
      <c r="D1465" s="27">
        <f>IF(A1465="","",IFERROR(AVERAGEIFS(Prensa!$B$2:$B$5001,Prensa!$E$2:$E$5001,N1465,Prensa!$F$2:$F$5001,1,Prensa!$G$2:$G$5001,1),""))</f>
        <v>0</v>
      </c>
      <c r="E1465" s="27">
        <f>IF(A1465="","",IFERROR(AVERAGEIFS(Prensa!$B$2:$B$5001,Prensa!$E$2:$E$5001,N1465,Prensa!$F$2:$F$5001,2,Prensa!$G$2:$G$5001,1),""))</f>
        <v>0</v>
      </c>
      <c r="F1465" s="27">
        <f>IF(A1465="","",IFERROR(AVERAGEIFS(Prensa!$B$2:$B$5001,Prensa!$E$2:$E$5001,N1465,Prensa!$F$2:$F$5001,3,Prensa!$G$2:$G$5001,1),""))</f>
        <v>0</v>
      </c>
      <c r="G1465" s="27">
        <f>IF(A1465="","",IFERROR(AVERAGEIFS(Prensa!$B$2:$B$5001,Prensa!$E$2:$E$5001,N1465,Prensa!$F$2:$F$5001,4,Prensa!$G$2:$G$5001,1),""))</f>
        <v>0</v>
      </c>
      <c r="H1465" s="26">
        <f>IF(A1465="","",COUNT(D1465:G1465))</f>
        <v>0</v>
      </c>
      <c r="I1465" s="27">
        <f>IF(A1465="","",IF(H1465=0,"",AVERAGE(D1465:G1465)))</f>
        <v>0</v>
      </c>
      <c r="J1465" s="27">
        <f>IF(OR(I1465="",C1465=""),"",I1465-C1465)</f>
        <v>0</v>
      </c>
      <c r="K1465" s="26">
        <f>IF(A1465="","",IF(MES!E1465&lt;&gt;4,"Horário do MES fora do padrão",IF(H1465&lt;cfgMinCortes,"Cortes insuficientes","Válida")))</f>
        <v>0</v>
      </c>
      <c r="L1465" s="27">
        <f>IF(K1465="Válida",ABS(J1465),"")</f>
        <v>0</v>
      </c>
      <c r="M1465" s="26">
        <f>IF(K1465="Válida",IF(L1465&lt;=cfgTolerancia,"Sim","Não"),"")</f>
        <v>0</v>
      </c>
      <c r="N1465" s="26">
        <f>IF(A1465="","",MES!D1465)</f>
        <v>0</v>
      </c>
      <c r="O1465" s="25">
        <f>IF(K1465="Válida",A1465,NA())</f>
        <v>0</v>
      </c>
      <c r="P1465" s="27">
        <f>IF(K1465="Válida",C1465,NA())</f>
        <v>0</v>
      </c>
      <c r="Q1465" s="27">
        <f>IF(K1465="Válida",I1465,NA())</f>
        <v>0</v>
      </c>
      <c r="R1465" s="27">
        <f>IF(K1465="Válida",J1465,NA())</f>
        <v>0</v>
      </c>
      <c r="S1465" s="27">
        <f>IF(K1465="Válida",C1465,"")</f>
        <v>0</v>
      </c>
      <c r="T1465" s="27">
        <f>IF(K1465="Válida",I1465,"")</f>
        <v>0</v>
      </c>
      <c r="U1465" s="27">
        <f>IF(K1465="Válida",J1465,"")</f>
        <v>0</v>
      </c>
    </row>
    <row r="1466" spans="1:21">
      <c r="A1466" s="25">
        <f>IF(MES!A1466="","",MES!C1466/48)</f>
        <v>0</v>
      </c>
      <c r="B1466" s="26">
        <f>IF(A1466="","",TEXT((N1466*4+cfgDeslocamento)/48,"hh:mm")&amp;" a "&amp;TEXT(A1466,"hh:mm"))</f>
        <v>0</v>
      </c>
      <c r="C1466" s="27">
        <f>IF(A1466="","",MES!B1466)</f>
        <v>0</v>
      </c>
      <c r="D1466" s="27">
        <f>IF(A1466="","",IFERROR(AVERAGEIFS(Prensa!$B$2:$B$5001,Prensa!$E$2:$E$5001,N1466,Prensa!$F$2:$F$5001,1,Prensa!$G$2:$G$5001,1),""))</f>
        <v>0</v>
      </c>
      <c r="E1466" s="27">
        <f>IF(A1466="","",IFERROR(AVERAGEIFS(Prensa!$B$2:$B$5001,Prensa!$E$2:$E$5001,N1466,Prensa!$F$2:$F$5001,2,Prensa!$G$2:$G$5001,1),""))</f>
        <v>0</v>
      </c>
      <c r="F1466" s="27">
        <f>IF(A1466="","",IFERROR(AVERAGEIFS(Prensa!$B$2:$B$5001,Prensa!$E$2:$E$5001,N1466,Prensa!$F$2:$F$5001,3,Prensa!$G$2:$G$5001,1),""))</f>
        <v>0</v>
      </c>
      <c r="G1466" s="27">
        <f>IF(A1466="","",IFERROR(AVERAGEIFS(Prensa!$B$2:$B$5001,Prensa!$E$2:$E$5001,N1466,Prensa!$F$2:$F$5001,4,Prensa!$G$2:$G$5001,1),""))</f>
        <v>0</v>
      </c>
      <c r="H1466" s="26">
        <f>IF(A1466="","",COUNT(D1466:G1466))</f>
        <v>0</v>
      </c>
      <c r="I1466" s="27">
        <f>IF(A1466="","",IF(H1466=0,"",AVERAGE(D1466:G1466)))</f>
        <v>0</v>
      </c>
      <c r="J1466" s="27">
        <f>IF(OR(I1466="",C1466=""),"",I1466-C1466)</f>
        <v>0</v>
      </c>
      <c r="K1466" s="26">
        <f>IF(A1466="","",IF(MES!E1466&lt;&gt;4,"Horário do MES fora do padrão",IF(H1466&lt;cfgMinCortes,"Cortes insuficientes","Válida")))</f>
        <v>0</v>
      </c>
      <c r="L1466" s="27">
        <f>IF(K1466="Válida",ABS(J1466),"")</f>
        <v>0</v>
      </c>
      <c r="M1466" s="26">
        <f>IF(K1466="Válida",IF(L1466&lt;=cfgTolerancia,"Sim","Não"),"")</f>
        <v>0</v>
      </c>
      <c r="N1466" s="26">
        <f>IF(A1466="","",MES!D1466)</f>
        <v>0</v>
      </c>
      <c r="O1466" s="25">
        <f>IF(K1466="Válida",A1466,NA())</f>
        <v>0</v>
      </c>
      <c r="P1466" s="27">
        <f>IF(K1466="Válida",C1466,NA())</f>
        <v>0</v>
      </c>
      <c r="Q1466" s="27">
        <f>IF(K1466="Válida",I1466,NA())</f>
        <v>0</v>
      </c>
      <c r="R1466" s="27">
        <f>IF(K1466="Válida",J1466,NA())</f>
        <v>0</v>
      </c>
      <c r="S1466" s="27">
        <f>IF(K1466="Válida",C1466,"")</f>
        <v>0</v>
      </c>
      <c r="T1466" s="27">
        <f>IF(K1466="Válida",I1466,"")</f>
        <v>0</v>
      </c>
      <c r="U1466" s="27">
        <f>IF(K1466="Válida",J1466,"")</f>
        <v>0</v>
      </c>
    </row>
    <row r="1467" spans="1:21">
      <c r="A1467" s="25">
        <f>IF(MES!A1467="","",MES!C1467/48)</f>
        <v>0</v>
      </c>
      <c r="B1467" s="26">
        <f>IF(A1467="","",TEXT((N1467*4+cfgDeslocamento)/48,"hh:mm")&amp;" a "&amp;TEXT(A1467,"hh:mm"))</f>
        <v>0</v>
      </c>
      <c r="C1467" s="27">
        <f>IF(A1467="","",MES!B1467)</f>
        <v>0</v>
      </c>
      <c r="D1467" s="27">
        <f>IF(A1467="","",IFERROR(AVERAGEIFS(Prensa!$B$2:$B$5001,Prensa!$E$2:$E$5001,N1467,Prensa!$F$2:$F$5001,1,Prensa!$G$2:$G$5001,1),""))</f>
        <v>0</v>
      </c>
      <c r="E1467" s="27">
        <f>IF(A1467="","",IFERROR(AVERAGEIFS(Prensa!$B$2:$B$5001,Prensa!$E$2:$E$5001,N1467,Prensa!$F$2:$F$5001,2,Prensa!$G$2:$G$5001,1),""))</f>
        <v>0</v>
      </c>
      <c r="F1467" s="27">
        <f>IF(A1467="","",IFERROR(AVERAGEIFS(Prensa!$B$2:$B$5001,Prensa!$E$2:$E$5001,N1467,Prensa!$F$2:$F$5001,3,Prensa!$G$2:$G$5001,1),""))</f>
        <v>0</v>
      </c>
      <c r="G1467" s="27">
        <f>IF(A1467="","",IFERROR(AVERAGEIFS(Prensa!$B$2:$B$5001,Prensa!$E$2:$E$5001,N1467,Prensa!$F$2:$F$5001,4,Prensa!$G$2:$G$5001,1),""))</f>
        <v>0</v>
      </c>
      <c r="H1467" s="26">
        <f>IF(A1467="","",COUNT(D1467:G1467))</f>
        <v>0</v>
      </c>
      <c r="I1467" s="27">
        <f>IF(A1467="","",IF(H1467=0,"",AVERAGE(D1467:G1467)))</f>
        <v>0</v>
      </c>
      <c r="J1467" s="27">
        <f>IF(OR(I1467="",C1467=""),"",I1467-C1467)</f>
        <v>0</v>
      </c>
      <c r="K1467" s="26">
        <f>IF(A1467="","",IF(MES!E1467&lt;&gt;4,"Horário do MES fora do padrão",IF(H1467&lt;cfgMinCortes,"Cortes insuficientes","Válida")))</f>
        <v>0</v>
      </c>
      <c r="L1467" s="27">
        <f>IF(K1467="Válida",ABS(J1467),"")</f>
        <v>0</v>
      </c>
      <c r="M1467" s="26">
        <f>IF(K1467="Válida",IF(L1467&lt;=cfgTolerancia,"Sim","Não"),"")</f>
        <v>0</v>
      </c>
      <c r="N1467" s="26">
        <f>IF(A1467="","",MES!D1467)</f>
        <v>0</v>
      </c>
      <c r="O1467" s="25">
        <f>IF(K1467="Válida",A1467,NA())</f>
        <v>0</v>
      </c>
      <c r="P1467" s="27">
        <f>IF(K1467="Válida",C1467,NA())</f>
        <v>0</v>
      </c>
      <c r="Q1467" s="27">
        <f>IF(K1467="Válida",I1467,NA())</f>
        <v>0</v>
      </c>
      <c r="R1467" s="27">
        <f>IF(K1467="Válida",J1467,NA())</f>
        <v>0</v>
      </c>
      <c r="S1467" s="27">
        <f>IF(K1467="Válida",C1467,"")</f>
        <v>0</v>
      </c>
      <c r="T1467" s="27">
        <f>IF(K1467="Válida",I1467,"")</f>
        <v>0</v>
      </c>
      <c r="U1467" s="27">
        <f>IF(K1467="Válida",J1467,"")</f>
        <v>0</v>
      </c>
    </row>
    <row r="1468" spans="1:21">
      <c r="A1468" s="25">
        <f>IF(MES!A1468="","",MES!C1468/48)</f>
        <v>0</v>
      </c>
      <c r="B1468" s="26">
        <f>IF(A1468="","",TEXT((N1468*4+cfgDeslocamento)/48,"hh:mm")&amp;" a "&amp;TEXT(A1468,"hh:mm"))</f>
        <v>0</v>
      </c>
      <c r="C1468" s="27">
        <f>IF(A1468="","",MES!B1468)</f>
        <v>0</v>
      </c>
      <c r="D1468" s="27">
        <f>IF(A1468="","",IFERROR(AVERAGEIFS(Prensa!$B$2:$B$5001,Prensa!$E$2:$E$5001,N1468,Prensa!$F$2:$F$5001,1,Prensa!$G$2:$G$5001,1),""))</f>
        <v>0</v>
      </c>
      <c r="E1468" s="27">
        <f>IF(A1468="","",IFERROR(AVERAGEIFS(Prensa!$B$2:$B$5001,Prensa!$E$2:$E$5001,N1468,Prensa!$F$2:$F$5001,2,Prensa!$G$2:$G$5001,1),""))</f>
        <v>0</v>
      </c>
      <c r="F1468" s="27">
        <f>IF(A1468="","",IFERROR(AVERAGEIFS(Prensa!$B$2:$B$5001,Prensa!$E$2:$E$5001,N1468,Prensa!$F$2:$F$5001,3,Prensa!$G$2:$G$5001,1),""))</f>
        <v>0</v>
      </c>
      <c r="G1468" s="27">
        <f>IF(A1468="","",IFERROR(AVERAGEIFS(Prensa!$B$2:$B$5001,Prensa!$E$2:$E$5001,N1468,Prensa!$F$2:$F$5001,4,Prensa!$G$2:$G$5001,1),""))</f>
        <v>0</v>
      </c>
      <c r="H1468" s="26">
        <f>IF(A1468="","",COUNT(D1468:G1468))</f>
        <v>0</v>
      </c>
      <c r="I1468" s="27">
        <f>IF(A1468="","",IF(H1468=0,"",AVERAGE(D1468:G1468)))</f>
        <v>0</v>
      </c>
      <c r="J1468" s="27">
        <f>IF(OR(I1468="",C1468=""),"",I1468-C1468)</f>
        <v>0</v>
      </c>
      <c r="K1468" s="26">
        <f>IF(A1468="","",IF(MES!E1468&lt;&gt;4,"Horário do MES fora do padrão",IF(H1468&lt;cfgMinCortes,"Cortes insuficientes","Válida")))</f>
        <v>0</v>
      </c>
      <c r="L1468" s="27">
        <f>IF(K1468="Válida",ABS(J1468),"")</f>
        <v>0</v>
      </c>
      <c r="M1468" s="26">
        <f>IF(K1468="Válida",IF(L1468&lt;=cfgTolerancia,"Sim","Não"),"")</f>
        <v>0</v>
      </c>
      <c r="N1468" s="26">
        <f>IF(A1468="","",MES!D1468)</f>
        <v>0</v>
      </c>
      <c r="O1468" s="25">
        <f>IF(K1468="Válida",A1468,NA())</f>
        <v>0</v>
      </c>
      <c r="P1468" s="27">
        <f>IF(K1468="Válida",C1468,NA())</f>
        <v>0</v>
      </c>
      <c r="Q1468" s="27">
        <f>IF(K1468="Válida",I1468,NA())</f>
        <v>0</v>
      </c>
      <c r="R1468" s="27">
        <f>IF(K1468="Válida",J1468,NA())</f>
        <v>0</v>
      </c>
      <c r="S1468" s="27">
        <f>IF(K1468="Válida",C1468,"")</f>
        <v>0</v>
      </c>
      <c r="T1468" s="27">
        <f>IF(K1468="Válida",I1468,"")</f>
        <v>0</v>
      </c>
      <c r="U1468" s="27">
        <f>IF(K1468="Válida",J1468,"")</f>
        <v>0</v>
      </c>
    </row>
    <row r="1469" spans="1:21">
      <c r="A1469" s="25">
        <f>IF(MES!A1469="","",MES!C1469/48)</f>
        <v>0</v>
      </c>
      <c r="B1469" s="26">
        <f>IF(A1469="","",TEXT((N1469*4+cfgDeslocamento)/48,"hh:mm")&amp;" a "&amp;TEXT(A1469,"hh:mm"))</f>
        <v>0</v>
      </c>
      <c r="C1469" s="27">
        <f>IF(A1469="","",MES!B1469)</f>
        <v>0</v>
      </c>
      <c r="D1469" s="27">
        <f>IF(A1469="","",IFERROR(AVERAGEIFS(Prensa!$B$2:$B$5001,Prensa!$E$2:$E$5001,N1469,Prensa!$F$2:$F$5001,1,Prensa!$G$2:$G$5001,1),""))</f>
        <v>0</v>
      </c>
      <c r="E1469" s="27">
        <f>IF(A1469="","",IFERROR(AVERAGEIFS(Prensa!$B$2:$B$5001,Prensa!$E$2:$E$5001,N1469,Prensa!$F$2:$F$5001,2,Prensa!$G$2:$G$5001,1),""))</f>
        <v>0</v>
      </c>
      <c r="F1469" s="27">
        <f>IF(A1469="","",IFERROR(AVERAGEIFS(Prensa!$B$2:$B$5001,Prensa!$E$2:$E$5001,N1469,Prensa!$F$2:$F$5001,3,Prensa!$G$2:$G$5001,1),""))</f>
        <v>0</v>
      </c>
      <c r="G1469" s="27">
        <f>IF(A1469="","",IFERROR(AVERAGEIFS(Prensa!$B$2:$B$5001,Prensa!$E$2:$E$5001,N1469,Prensa!$F$2:$F$5001,4,Prensa!$G$2:$G$5001,1),""))</f>
        <v>0</v>
      </c>
      <c r="H1469" s="26">
        <f>IF(A1469="","",COUNT(D1469:G1469))</f>
        <v>0</v>
      </c>
      <c r="I1469" s="27">
        <f>IF(A1469="","",IF(H1469=0,"",AVERAGE(D1469:G1469)))</f>
        <v>0</v>
      </c>
      <c r="J1469" s="27">
        <f>IF(OR(I1469="",C1469=""),"",I1469-C1469)</f>
        <v>0</v>
      </c>
      <c r="K1469" s="26">
        <f>IF(A1469="","",IF(MES!E1469&lt;&gt;4,"Horário do MES fora do padrão",IF(H1469&lt;cfgMinCortes,"Cortes insuficientes","Válida")))</f>
        <v>0</v>
      </c>
      <c r="L1469" s="27">
        <f>IF(K1469="Válida",ABS(J1469),"")</f>
        <v>0</v>
      </c>
      <c r="M1469" s="26">
        <f>IF(K1469="Válida",IF(L1469&lt;=cfgTolerancia,"Sim","Não"),"")</f>
        <v>0</v>
      </c>
      <c r="N1469" s="26">
        <f>IF(A1469="","",MES!D1469)</f>
        <v>0</v>
      </c>
      <c r="O1469" s="25">
        <f>IF(K1469="Válida",A1469,NA())</f>
        <v>0</v>
      </c>
      <c r="P1469" s="27">
        <f>IF(K1469="Válida",C1469,NA())</f>
        <v>0</v>
      </c>
      <c r="Q1469" s="27">
        <f>IF(K1469="Válida",I1469,NA())</f>
        <v>0</v>
      </c>
      <c r="R1469" s="27">
        <f>IF(K1469="Válida",J1469,NA())</f>
        <v>0</v>
      </c>
      <c r="S1469" s="27">
        <f>IF(K1469="Válida",C1469,"")</f>
        <v>0</v>
      </c>
      <c r="T1469" s="27">
        <f>IF(K1469="Válida",I1469,"")</f>
        <v>0</v>
      </c>
      <c r="U1469" s="27">
        <f>IF(K1469="Válida",J1469,"")</f>
        <v>0</v>
      </c>
    </row>
    <row r="1470" spans="1:21">
      <c r="A1470" s="25">
        <f>IF(MES!A1470="","",MES!C1470/48)</f>
        <v>0</v>
      </c>
      <c r="B1470" s="26">
        <f>IF(A1470="","",TEXT((N1470*4+cfgDeslocamento)/48,"hh:mm")&amp;" a "&amp;TEXT(A1470,"hh:mm"))</f>
        <v>0</v>
      </c>
      <c r="C1470" s="27">
        <f>IF(A1470="","",MES!B1470)</f>
        <v>0</v>
      </c>
      <c r="D1470" s="27">
        <f>IF(A1470="","",IFERROR(AVERAGEIFS(Prensa!$B$2:$B$5001,Prensa!$E$2:$E$5001,N1470,Prensa!$F$2:$F$5001,1,Prensa!$G$2:$G$5001,1),""))</f>
        <v>0</v>
      </c>
      <c r="E1470" s="27">
        <f>IF(A1470="","",IFERROR(AVERAGEIFS(Prensa!$B$2:$B$5001,Prensa!$E$2:$E$5001,N1470,Prensa!$F$2:$F$5001,2,Prensa!$G$2:$G$5001,1),""))</f>
        <v>0</v>
      </c>
      <c r="F1470" s="27">
        <f>IF(A1470="","",IFERROR(AVERAGEIFS(Prensa!$B$2:$B$5001,Prensa!$E$2:$E$5001,N1470,Prensa!$F$2:$F$5001,3,Prensa!$G$2:$G$5001,1),""))</f>
        <v>0</v>
      </c>
      <c r="G1470" s="27">
        <f>IF(A1470="","",IFERROR(AVERAGEIFS(Prensa!$B$2:$B$5001,Prensa!$E$2:$E$5001,N1470,Prensa!$F$2:$F$5001,4,Prensa!$G$2:$G$5001,1),""))</f>
        <v>0</v>
      </c>
      <c r="H1470" s="26">
        <f>IF(A1470="","",COUNT(D1470:G1470))</f>
        <v>0</v>
      </c>
      <c r="I1470" s="27">
        <f>IF(A1470="","",IF(H1470=0,"",AVERAGE(D1470:G1470)))</f>
        <v>0</v>
      </c>
      <c r="J1470" s="27">
        <f>IF(OR(I1470="",C1470=""),"",I1470-C1470)</f>
        <v>0</v>
      </c>
      <c r="K1470" s="26">
        <f>IF(A1470="","",IF(MES!E1470&lt;&gt;4,"Horário do MES fora do padrão",IF(H1470&lt;cfgMinCortes,"Cortes insuficientes","Válida")))</f>
        <v>0</v>
      </c>
      <c r="L1470" s="27">
        <f>IF(K1470="Válida",ABS(J1470),"")</f>
        <v>0</v>
      </c>
      <c r="M1470" s="26">
        <f>IF(K1470="Válida",IF(L1470&lt;=cfgTolerancia,"Sim","Não"),"")</f>
        <v>0</v>
      </c>
      <c r="N1470" s="26">
        <f>IF(A1470="","",MES!D1470)</f>
        <v>0</v>
      </c>
      <c r="O1470" s="25">
        <f>IF(K1470="Válida",A1470,NA())</f>
        <v>0</v>
      </c>
      <c r="P1470" s="27">
        <f>IF(K1470="Válida",C1470,NA())</f>
        <v>0</v>
      </c>
      <c r="Q1470" s="27">
        <f>IF(K1470="Válida",I1470,NA())</f>
        <v>0</v>
      </c>
      <c r="R1470" s="27">
        <f>IF(K1470="Válida",J1470,NA())</f>
        <v>0</v>
      </c>
      <c r="S1470" s="27">
        <f>IF(K1470="Válida",C1470,"")</f>
        <v>0</v>
      </c>
      <c r="T1470" s="27">
        <f>IF(K1470="Válida",I1470,"")</f>
        <v>0</v>
      </c>
      <c r="U1470" s="27">
        <f>IF(K1470="Válida",J1470,"")</f>
        <v>0</v>
      </c>
    </row>
    <row r="1471" spans="1:21">
      <c r="A1471" s="25">
        <f>IF(MES!A1471="","",MES!C1471/48)</f>
        <v>0</v>
      </c>
      <c r="B1471" s="26">
        <f>IF(A1471="","",TEXT((N1471*4+cfgDeslocamento)/48,"hh:mm")&amp;" a "&amp;TEXT(A1471,"hh:mm"))</f>
        <v>0</v>
      </c>
      <c r="C1471" s="27">
        <f>IF(A1471="","",MES!B1471)</f>
        <v>0</v>
      </c>
      <c r="D1471" s="27">
        <f>IF(A1471="","",IFERROR(AVERAGEIFS(Prensa!$B$2:$B$5001,Prensa!$E$2:$E$5001,N1471,Prensa!$F$2:$F$5001,1,Prensa!$G$2:$G$5001,1),""))</f>
        <v>0</v>
      </c>
      <c r="E1471" s="27">
        <f>IF(A1471="","",IFERROR(AVERAGEIFS(Prensa!$B$2:$B$5001,Prensa!$E$2:$E$5001,N1471,Prensa!$F$2:$F$5001,2,Prensa!$G$2:$G$5001,1),""))</f>
        <v>0</v>
      </c>
      <c r="F1471" s="27">
        <f>IF(A1471="","",IFERROR(AVERAGEIFS(Prensa!$B$2:$B$5001,Prensa!$E$2:$E$5001,N1471,Prensa!$F$2:$F$5001,3,Prensa!$G$2:$G$5001,1),""))</f>
        <v>0</v>
      </c>
      <c r="G1471" s="27">
        <f>IF(A1471="","",IFERROR(AVERAGEIFS(Prensa!$B$2:$B$5001,Prensa!$E$2:$E$5001,N1471,Prensa!$F$2:$F$5001,4,Prensa!$G$2:$G$5001,1),""))</f>
        <v>0</v>
      </c>
      <c r="H1471" s="26">
        <f>IF(A1471="","",COUNT(D1471:G1471))</f>
        <v>0</v>
      </c>
      <c r="I1471" s="27">
        <f>IF(A1471="","",IF(H1471=0,"",AVERAGE(D1471:G1471)))</f>
        <v>0</v>
      </c>
      <c r="J1471" s="27">
        <f>IF(OR(I1471="",C1471=""),"",I1471-C1471)</f>
        <v>0</v>
      </c>
      <c r="K1471" s="26">
        <f>IF(A1471="","",IF(MES!E1471&lt;&gt;4,"Horário do MES fora do padrão",IF(H1471&lt;cfgMinCortes,"Cortes insuficientes","Válida")))</f>
        <v>0</v>
      </c>
      <c r="L1471" s="27">
        <f>IF(K1471="Válida",ABS(J1471),"")</f>
        <v>0</v>
      </c>
      <c r="M1471" s="26">
        <f>IF(K1471="Válida",IF(L1471&lt;=cfgTolerancia,"Sim","Não"),"")</f>
        <v>0</v>
      </c>
      <c r="N1471" s="26">
        <f>IF(A1471="","",MES!D1471)</f>
        <v>0</v>
      </c>
      <c r="O1471" s="25">
        <f>IF(K1471="Válida",A1471,NA())</f>
        <v>0</v>
      </c>
      <c r="P1471" s="27">
        <f>IF(K1471="Válida",C1471,NA())</f>
        <v>0</v>
      </c>
      <c r="Q1471" s="27">
        <f>IF(K1471="Válida",I1471,NA())</f>
        <v>0</v>
      </c>
      <c r="R1471" s="27">
        <f>IF(K1471="Válida",J1471,NA())</f>
        <v>0</v>
      </c>
      <c r="S1471" s="27">
        <f>IF(K1471="Válida",C1471,"")</f>
        <v>0</v>
      </c>
      <c r="T1471" s="27">
        <f>IF(K1471="Válida",I1471,"")</f>
        <v>0</v>
      </c>
      <c r="U1471" s="27">
        <f>IF(K1471="Válida",J1471,"")</f>
        <v>0</v>
      </c>
    </row>
    <row r="1472" spans="1:21">
      <c r="A1472" s="25">
        <f>IF(MES!A1472="","",MES!C1472/48)</f>
        <v>0</v>
      </c>
      <c r="B1472" s="26">
        <f>IF(A1472="","",TEXT((N1472*4+cfgDeslocamento)/48,"hh:mm")&amp;" a "&amp;TEXT(A1472,"hh:mm"))</f>
        <v>0</v>
      </c>
      <c r="C1472" s="27">
        <f>IF(A1472="","",MES!B1472)</f>
        <v>0</v>
      </c>
      <c r="D1472" s="27">
        <f>IF(A1472="","",IFERROR(AVERAGEIFS(Prensa!$B$2:$B$5001,Prensa!$E$2:$E$5001,N1472,Prensa!$F$2:$F$5001,1,Prensa!$G$2:$G$5001,1),""))</f>
        <v>0</v>
      </c>
      <c r="E1472" s="27">
        <f>IF(A1472="","",IFERROR(AVERAGEIFS(Prensa!$B$2:$B$5001,Prensa!$E$2:$E$5001,N1472,Prensa!$F$2:$F$5001,2,Prensa!$G$2:$G$5001,1),""))</f>
        <v>0</v>
      </c>
      <c r="F1472" s="27">
        <f>IF(A1472="","",IFERROR(AVERAGEIFS(Prensa!$B$2:$B$5001,Prensa!$E$2:$E$5001,N1472,Prensa!$F$2:$F$5001,3,Prensa!$G$2:$G$5001,1),""))</f>
        <v>0</v>
      </c>
      <c r="G1472" s="27">
        <f>IF(A1472="","",IFERROR(AVERAGEIFS(Prensa!$B$2:$B$5001,Prensa!$E$2:$E$5001,N1472,Prensa!$F$2:$F$5001,4,Prensa!$G$2:$G$5001,1),""))</f>
        <v>0</v>
      </c>
      <c r="H1472" s="26">
        <f>IF(A1472="","",COUNT(D1472:G1472))</f>
        <v>0</v>
      </c>
      <c r="I1472" s="27">
        <f>IF(A1472="","",IF(H1472=0,"",AVERAGE(D1472:G1472)))</f>
        <v>0</v>
      </c>
      <c r="J1472" s="27">
        <f>IF(OR(I1472="",C1472=""),"",I1472-C1472)</f>
        <v>0</v>
      </c>
      <c r="K1472" s="26">
        <f>IF(A1472="","",IF(MES!E1472&lt;&gt;4,"Horário do MES fora do padrão",IF(H1472&lt;cfgMinCortes,"Cortes insuficientes","Válida")))</f>
        <v>0</v>
      </c>
      <c r="L1472" s="27">
        <f>IF(K1472="Válida",ABS(J1472),"")</f>
        <v>0</v>
      </c>
      <c r="M1472" s="26">
        <f>IF(K1472="Válida",IF(L1472&lt;=cfgTolerancia,"Sim","Não"),"")</f>
        <v>0</v>
      </c>
      <c r="N1472" s="26">
        <f>IF(A1472="","",MES!D1472)</f>
        <v>0</v>
      </c>
      <c r="O1472" s="25">
        <f>IF(K1472="Válida",A1472,NA())</f>
        <v>0</v>
      </c>
      <c r="P1472" s="27">
        <f>IF(K1472="Válida",C1472,NA())</f>
        <v>0</v>
      </c>
      <c r="Q1472" s="27">
        <f>IF(K1472="Válida",I1472,NA())</f>
        <v>0</v>
      </c>
      <c r="R1472" s="27">
        <f>IF(K1472="Válida",J1472,NA())</f>
        <v>0</v>
      </c>
      <c r="S1472" s="27">
        <f>IF(K1472="Válida",C1472,"")</f>
        <v>0</v>
      </c>
      <c r="T1472" s="27">
        <f>IF(K1472="Válida",I1472,"")</f>
        <v>0</v>
      </c>
      <c r="U1472" s="27">
        <f>IF(K1472="Válida",J1472,"")</f>
        <v>0</v>
      </c>
    </row>
    <row r="1473" spans="1:21">
      <c r="A1473" s="25">
        <f>IF(MES!A1473="","",MES!C1473/48)</f>
        <v>0</v>
      </c>
      <c r="B1473" s="26">
        <f>IF(A1473="","",TEXT((N1473*4+cfgDeslocamento)/48,"hh:mm")&amp;" a "&amp;TEXT(A1473,"hh:mm"))</f>
        <v>0</v>
      </c>
      <c r="C1473" s="27">
        <f>IF(A1473="","",MES!B1473)</f>
        <v>0</v>
      </c>
      <c r="D1473" s="27">
        <f>IF(A1473="","",IFERROR(AVERAGEIFS(Prensa!$B$2:$B$5001,Prensa!$E$2:$E$5001,N1473,Prensa!$F$2:$F$5001,1,Prensa!$G$2:$G$5001,1),""))</f>
        <v>0</v>
      </c>
      <c r="E1473" s="27">
        <f>IF(A1473="","",IFERROR(AVERAGEIFS(Prensa!$B$2:$B$5001,Prensa!$E$2:$E$5001,N1473,Prensa!$F$2:$F$5001,2,Prensa!$G$2:$G$5001,1),""))</f>
        <v>0</v>
      </c>
      <c r="F1473" s="27">
        <f>IF(A1473="","",IFERROR(AVERAGEIFS(Prensa!$B$2:$B$5001,Prensa!$E$2:$E$5001,N1473,Prensa!$F$2:$F$5001,3,Prensa!$G$2:$G$5001,1),""))</f>
        <v>0</v>
      </c>
      <c r="G1473" s="27">
        <f>IF(A1473="","",IFERROR(AVERAGEIFS(Prensa!$B$2:$B$5001,Prensa!$E$2:$E$5001,N1473,Prensa!$F$2:$F$5001,4,Prensa!$G$2:$G$5001,1),""))</f>
        <v>0</v>
      </c>
      <c r="H1473" s="26">
        <f>IF(A1473="","",COUNT(D1473:G1473))</f>
        <v>0</v>
      </c>
      <c r="I1473" s="27">
        <f>IF(A1473="","",IF(H1473=0,"",AVERAGE(D1473:G1473)))</f>
        <v>0</v>
      </c>
      <c r="J1473" s="27">
        <f>IF(OR(I1473="",C1473=""),"",I1473-C1473)</f>
        <v>0</v>
      </c>
      <c r="K1473" s="26">
        <f>IF(A1473="","",IF(MES!E1473&lt;&gt;4,"Horário do MES fora do padrão",IF(H1473&lt;cfgMinCortes,"Cortes insuficientes","Válida")))</f>
        <v>0</v>
      </c>
      <c r="L1473" s="27">
        <f>IF(K1473="Válida",ABS(J1473),"")</f>
        <v>0</v>
      </c>
      <c r="M1473" s="26">
        <f>IF(K1473="Válida",IF(L1473&lt;=cfgTolerancia,"Sim","Não"),"")</f>
        <v>0</v>
      </c>
      <c r="N1473" s="26">
        <f>IF(A1473="","",MES!D1473)</f>
        <v>0</v>
      </c>
      <c r="O1473" s="25">
        <f>IF(K1473="Válida",A1473,NA())</f>
        <v>0</v>
      </c>
      <c r="P1473" s="27">
        <f>IF(K1473="Válida",C1473,NA())</f>
        <v>0</v>
      </c>
      <c r="Q1473" s="27">
        <f>IF(K1473="Válida",I1473,NA())</f>
        <v>0</v>
      </c>
      <c r="R1473" s="27">
        <f>IF(K1473="Válida",J1473,NA())</f>
        <v>0</v>
      </c>
      <c r="S1473" s="27">
        <f>IF(K1473="Válida",C1473,"")</f>
        <v>0</v>
      </c>
      <c r="T1473" s="27">
        <f>IF(K1473="Válida",I1473,"")</f>
        <v>0</v>
      </c>
      <c r="U1473" s="27">
        <f>IF(K1473="Válida",J1473,"")</f>
        <v>0</v>
      </c>
    </row>
    <row r="1474" spans="1:21">
      <c r="A1474" s="25">
        <f>IF(MES!A1474="","",MES!C1474/48)</f>
        <v>0</v>
      </c>
      <c r="B1474" s="26">
        <f>IF(A1474="","",TEXT((N1474*4+cfgDeslocamento)/48,"hh:mm")&amp;" a "&amp;TEXT(A1474,"hh:mm"))</f>
        <v>0</v>
      </c>
      <c r="C1474" s="27">
        <f>IF(A1474="","",MES!B1474)</f>
        <v>0</v>
      </c>
      <c r="D1474" s="27">
        <f>IF(A1474="","",IFERROR(AVERAGEIFS(Prensa!$B$2:$B$5001,Prensa!$E$2:$E$5001,N1474,Prensa!$F$2:$F$5001,1,Prensa!$G$2:$G$5001,1),""))</f>
        <v>0</v>
      </c>
      <c r="E1474" s="27">
        <f>IF(A1474="","",IFERROR(AVERAGEIFS(Prensa!$B$2:$B$5001,Prensa!$E$2:$E$5001,N1474,Prensa!$F$2:$F$5001,2,Prensa!$G$2:$G$5001,1),""))</f>
        <v>0</v>
      </c>
      <c r="F1474" s="27">
        <f>IF(A1474="","",IFERROR(AVERAGEIFS(Prensa!$B$2:$B$5001,Prensa!$E$2:$E$5001,N1474,Prensa!$F$2:$F$5001,3,Prensa!$G$2:$G$5001,1),""))</f>
        <v>0</v>
      </c>
      <c r="G1474" s="27">
        <f>IF(A1474="","",IFERROR(AVERAGEIFS(Prensa!$B$2:$B$5001,Prensa!$E$2:$E$5001,N1474,Prensa!$F$2:$F$5001,4,Prensa!$G$2:$G$5001,1),""))</f>
        <v>0</v>
      </c>
      <c r="H1474" s="26">
        <f>IF(A1474="","",COUNT(D1474:G1474))</f>
        <v>0</v>
      </c>
      <c r="I1474" s="27">
        <f>IF(A1474="","",IF(H1474=0,"",AVERAGE(D1474:G1474)))</f>
        <v>0</v>
      </c>
      <c r="J1474" s="27">
        <f>IF(OR(I1474="",C1474=""),"",I1474-C1474)</f>
        <v>0</v>
      </c>
      <c r="K1474" s="26">
        <f>IF(A1474="","",IF(MES!E1474&lt;&gt;4,"Horário do MES fora do padrão",IF(H1474&lt;cfgMinCortes,"Cortes insuficientes","Válida")))</f>
        <v>0</v>
      </c>
      <c r="L1474" s="27">
        <f>IF(K1474="Válida",ABS(J1474),"")</f>
        <v>0</v>
      </c>
      <c r="M1474" s="26">
        <f>IF(K1474="Válida",IF(L1474&lt;=cfgTolerancia,"Sim","Não"),"")</f>
        <v>0</v>
      </c>
      <c r="N1474" s="26">
        <f>IF(A1474="","",MES!D1474)</f>
        <v>0</v>
      </c>
      <c r="O1474" s="25">
        <f>IF(K1474="Válida",A1474,NA())</f>
        <v>0</v>
      </c>
      <c r="P1474" s="27">
        <f>IF(K1474="Válida",C1474,NA())</f>
        <v>0</v>
      </c>
      <c r="Q1474" s="27">
        <f>IF(K1474="Válida",I1474,NA())</f>
        <v>0</v>
      </c>
      <c r="R1474" s="27">
        <f>IF(K1474="Válida",J1474,NA())</f>
        <v>0</v>
      </c>
      <c r="S1474" s="27">
        <f>IF(K1474="Válida",C1474,"")</f>
        <v>0</v>
      </c>
      <c r="T1474" s="27">
        <f>IF(K1474="Válida",I1474,"")</f>
        <v>0</v>
      </c>
      <c r="U1474" s="27">
        <f>IF(K1474="Válida",J1474,"")</f>
        <v>0</v>
      </c>
    </row>
    <row r="1475" spans="1:21">
      <c r="A1475" s="25">
        <f>IF(MES!A1475="","",MES!C1475/48)</f>
        <v>0</v>
      </c>
      <c r="B1475" s="26">
        <f>IF(A1475="","",TEXT((N1475*4+cfgDeslocamento)/48,"hh:mm")&amp;" a "&amp;TEXT(A1475,"hh:mm"))</f>
        <v>0</v>
      </c>
      <c r="C1475" s="27">
        <f>IF(A1475="","",MES!B1475)</f>
        <v>0</v>
      </c>
      <c r="D1475" s="27">
        <f>IF(A1475="","",IFERROR(AVERAGEIFS(Prensa!$B$2:$B$5001,Prensa!$E$2:$E$5001,N1475,Prensa!$F$2:$F$5001,1,Prensa!$G$2:$G$5001,1),""))</f>
        <v>0</v>
      </c>
      <c r="E1475" s="27">
        <f>IF(A1475="","",IFERROR(AVERAGEIFS(Prensa!$B$2:$B$5001,Prensa!$E$2:$E$5001,N1475,Prensa!$F$2:$F$5001,2,Prensa!$G$2:$G$5001,1),""))</f>
        <v>0</v>
      </c>
      <c r="F1475" s="27">
        <f>IF(A1475="","",IFERROR(AVERAGEIFS(Prensa!$B$2:$B$5001,Prensa!$E$2:$E$5001,N1475,Prensa!$F$2:$F$5001,3,Prensa!$G$2:$G$5001,1),""))</f>
        <v>0</v>
      </c>
      <c r="G1475" s="27">
        <f>IF(A1475="","",IFERROR(AVERAGEIFS(Prensa!$B$2:$B$5001,Prensa!$E$2:$E$5001,N1475,Prensa!$F$2:$F$5001,4,Prensa!$G$2:$G$5001,1),""))</f>
        <v>0</v>
      </c>
      <c r="H1475" s="26">
        <f>IF(A1475="","",COUNT(D1475:G1475))</f>
        <v>0</v>
      </c>
      <c r="I1475" s="27">
        <f>IF(A1475="","",IF(H1475=0,"",AVERAGE(D1475:G1475)))</f>
        <v>0</v>
      </c>
      <c r="J1475" s="27">
        <f>IF(OR(I1475="",C1475=""),"",I1475-C1475)</f>
        <v>0</v>
      </c>
      <c r="K1475" s="26">
        <f>IF(A1475="","",IF(MES!E1475&lt;&gt;4,"Horário do MES fora do padrão",IF(H1475&lt;cfgMinCortes,"Cortes insuficientes","Válida")))</f>
        <v>0</v>
      </c>
      <c r="L1475" s="27">
        <f>IF(K1475="Válida",ABS(J1475),"")</f>
        <v>0</v>
      </c>
      <c r="M1475" s="26">
        <f>IF(K1475="Válida",IF(L1475&lt;=cfgTolerancia,"Sim","Não"),"")</f>
        <v>0</v>
      </c>
      <c r="N1475" s="26">
        <f>IF(A1475="","",MES!D1475)</f>
        <v>0</v>
      </c>
      <c r="O1475" s="25">
        <f>IF(K1475="Válida",A1475,NA())</f>
        <v>0</v>
      </c>
      <c r="P1475" s="27">
        <f>IF(K1475="Válida",C1475,NA())</f>
        <v>0</v>
      </c>
      <c r="Q1475" s="27">
        <f>IF(K1475="Válida",I1475,NA())</f>
        <v>0</v>
      </c>
      <c r="R1475" s="27">
        <f>IF(K1475="Válida",J1475,NA())</f>
        <v>0</v>
      </c>
      <c r="S1475" s="27">
        <f>IF(K1475="Válida",C1475,"")</f>
        <v>0</v>
      </c>
      <c r="T1475" s="27">
        <f>IF(K1475="Válida",I1475,"")</f>
        <v>0</v>
      </c>
      <c r="U1475" s="27">
        <f>IF(K1475="Válida",J1475,"")</f>
        <v>0</v>
      </c>
    </row>
    <row r="1476" spans="1:21">
      <c r="A1476" s="25">
        <f>IF(MES!A1476="","",MES!C1476/48)</f>
        <v>0</v>
      </c>
      <c r="B1476" s="26">
        <f>IF(A1476="","",TEXT((N1476*4+cfgDeslocamento)/48,"hh:mm")&amp;" a "&amp;TEXT(A1476,"hh:mm"))</f>
        <v>0</v>
      </c>
      <c r="C1476" s="27">
        <f>IF(A1476="","",MES!B1476)</f>
        <v>0</v>
      </c>
      <c r="D1476" s="27">
        <f>IF(A1476="","",IFERROR(AVERAGEIFS(Prensa!$B$2:$B$5001,Prensa!$E$2:$E$5001,N1476,Prensa!$F$2:$F$5001,1,Prensa!$G$2:$G$5001,1),""))</f>
        <v>0</v>
      </c>
      <c r="E1476" s="27">
        <f>IF(A1476="","",IFERROR(AVERAGEIFS(Prensa!$B$2:$B$5001,Prensa!$E$2:$E$5001,N1476,Prensa!$F$2:$F$5001,2,Prensa!$G$2:$G$5001,1),""))</f>
        <v>0</v>
      </c>
      <c r="F1476" s="27">
        <f>IF(A1476="","",IFERROR(AVERAGEIFS(Prensa!$B$2:$B$5001,Prensa!$E$2:$E$5001,N1476,Prensa!$F$2:$F$5001,3,Prensa!$G$2:$G$5001,1),""))</f>
        <v>0</v>
      </c>
      <c r="G1476" s="27">
        <f>IF(A1476="","",IFERROR(AVERAGEIFS(Prensa!$B$2:$B$5001,Prensa!$E$2:$E$5001,N1476,Prensa!$F$2:$F$5001,4,Prensa!$G$2:$G$5001,1),""))</f>
        <v>0</v>
      </c>
      <c r="H1476" s="26">
        <f>IF(A1476="","",COUNT(D1476:G1476))</f>
        <v>0</v>
      </c>
      <c r="I1476" s="27">
        <f>IF(A1476="","",IF(H1476=0,"",AVERAGE(D1476:G1476)))</f>
        <v>0</v>
      </c>
      <c r="J1476" s="27">
        <f>IF(OR(I1476="",C1476=""),"",I1476-C1476)</f>
        <v>0</v>
      </c>
      <c r="K1476" s="26">
        <f>IF(A1476="","",IF(MES!E1476&lt;&gt;4,"Horário do MES fora do padrão",IF(H1476&lt;cfgMinCortes,"Cortes insuficientes","Válida")))</f>
        <v>0</v>
      </c>
      <c r="L1476" s="27">
        <f>IF(K1476="Válida",ABS(J1476),"")</f>
        <v>0</v>
      </c>
      <c r="M1476" s="26">
        <f>IF(K1476="Válida",IF(L1476&lt;=cfgTolerancia,"Sim","Não"),"")</f>
        <v>0</v>
      </c>
      <c r="N1476" s="26">
        <f>IF(A1476="","",MES!D1476)</f>
        <v>0</v>
      </c>
      <c r="O1476" s="25">
        <f>IF(K1476="Válida",A1476,NA())</f>
        <v>0</v>
      </c>
      <c r="P1476" s="27">
        <f>IF(K1476="Válida",C1476,NA())</f>
        <v>0</v>
      </c>
      <c r="Q1476" s="27">
        <f>IF(K1476="Válida",I1476,NA())</f>
        <v>0</v>
      </c>
      <c r="R1476" s="27">
        <f>IF(K1476="Válida",J1476,NA())</f>
        <v>0</v>
      </c>
      <c r="S1476" s="27">
        <f>IF(K1476="Válida",C1476,"")</f>
        <v>0</v>
      </c>
      <c r="T1476" s="27">
        <f>IF(K1476="Válida",I1476,"")</f>
        <v>0</v>
      </c>
      <c r="U1476" s="27">
        <f>IF(K1476="Válida",J1476,"")</f>
        <v>0</v>
      </c>
    </row>
    <row r="1477" spans="1:21">
      <c r="A1477" s="25">
        <f>IF(MES!A1477="","",MES!C1477/48)</f>
        <v>0</v>
      </c>
      <c r="B1477" s="26">
        <f>IF(A1477="","",TEXT((N1477*4+cfgDeslocamento)/48,"hh:mm")&amp;" a "&amp;TEXT(A1477,"hh:mm"))</f>
        <v>0</v>
      </c>
      <c r="C1477" s="27">
        <f>IF(A1477="","",MES!B1477)</f>
        <v>0</v>
      </c>
      <c r="D1477" s="27">
        <f>IF(A1477="","",IFERROR(AVERAGEIFS(Prensa!$B$2:$B$5001,Prensa!$E$2:$E$5001,N1477,Prensa!$F$2:$F$5001,1,Prensa!$G$2:$G$5001,1),""))</f>
        <v>0</v>
      </c>
      <c r="E1477" s="27">
        <f>IF(A1477="","",IFERROR(AVERAGEIFS(Prensa!$B$2:$B$5001,Prensa!$E$2:$E$5001,N1477,Prensa!$F$2:$F$5001,2,Prensa!$G$2:$G$5001,1),""))</f>
        <v>0</v>
      </c>
      <c r="F1477" s="27">
        <f>IF(A1477="","",IFERROR(AVERAGEIFS(Prensa!$B$2:$B$5001,Prensa!$E$2:$E$5001,N1477,Prensa!$F$2:$F$5001,3,Prensa!$G$2:$G$5001,1),""))</f>
        <v>0</v>
      </c>
      <c r="G1477" s="27">
        <f>IF(A1477="","",IFERROR(AVERAGEIFS(Prensa!$B$2:$B$5001,Prensa!$E$2:$E$5001,N1477,Prensa!$F$2:$F$5001,4,Prensa!$G$2:$G$5001,1),""))</f>
        <v>0</v>
      </c>
      <c r="H1477" s="26">
        <f>IF(A1477="","",COUNT(D1477:G1477))</f>
        <v>0</v>
      </c>
      <c r="I1477" s="27">
        <f>IF(A1477="","",IF(H1477=0,"",AVERAGE(D1477:G1477)))</f>
        <v>0</v>
      </c>
      <c r="J1477" s="27">
        <f>IF(OR(I1477="",C1477=""),"",I1477-C1477)</f>
        <v>0</v>
      </c>
      <c r="K1477" s="26">
        <f>IF(A1477="","",IF(MES!E1477&lt;&gt;4,"Horário do MES fora do padrão",IF(H1477&lt;cfgMinCortes,"Cortes insuficientes","Válida")))</f>
        <v>0</v>
      </c>
      <c r="L1477" s="27">
        <f>IF(K1477="Válida",ABS(J1477),"")</f>
        <v>0</v>
      </c>
      <c r="M1477" s="26">
        <f>IF(K1477="Válida",IF(L1477&lt;=cfgTolerancia,"Sim","Não"),"")</f>
        <v>0</v>
      </c>
      <c r="N1477" s="26">
        <f>IF(A1477="","",MES!D1477)</f>
        <v>0</v>
      </c>
      <c r="O1477" s="25">
        <f>IF(K1477="Válida",A1477,NA())</f>
        <v>0</v>
      </c>
      <c r="P1477" s="27">
        <f>IF(K1477="Válida",C1477,NA())</f>
        <v>0</v>
      </c>
      <c r="Q1477" s="27">
        <f>IF(K1477="Válida",I1477,NA())</f>
        <v>0</v>
      </c>
      <c r="R1477" s="27">
        <f>IF(K1477="Válida",J1477,NA())</f>
        <v>0</v>
      </c>
      <c r="S1477" s="27">
        <f>IF(K1477="Válida",C1477,"")</f>
        <v>0</v>
      </c>
      <c r="T1477" s="27">
        <f>IF(K1477="Válida",I1477,"")</f>
        <v>0</v>
      </c>
      <c r="U1477" s="27">
        <f>IF(K1477="Válida",J1477,"")</f>
        <v>0</v>
      </c>
    </row>
    <row r="1478" spans="1:21">
      <c r="A1478" s="25">
        <f>IF(MES!A1478="","",MES!C1478/48)</f>
        <v>0</v>
      </c>
      <c r="B1478" s="26">
        <f>IF(A1478="","",TEXT((N1478*4+cfgDeslocamento)/48,"hh:mm")&amp;" a "&amp;TEXT(A1478,"hh:mm"))</f>
        <v>0</v>
      </c>
      <c r="C1478" s="27">
        <f>IF(A1478="","",MES!B1478)</f>
        <v>0</v>
      </c>
      <c r="D1478" s="27">
        <f>IF(A1478="","",IFERROR(AVERAGEIFS(Prensa!$B$2:$B$5001,Prensa!$E$2:$E$5001,N1478,Prensa!$F$2:$F$5001,1,Prensa!$G$2:$G$5001,1),""))</f>
        <v>0</v>
      </c>
      <c r="E1478" s="27">
        <f>IF(A1478="","",IFERROR(AVERAGEIFS(Prensa!$B$2:$B$5001,Prensa!$E$2:$E$5001,N1478,Prensa!$F$2:$F$5001,2,Prensa!$G$2:$G$5001,1),""))</f>
        <v>0</v>
      </c>
      <c r="F1478" s="27">
        <f>IF(A1478="","",IFERROR(AVERAGEIFS(Prensa!$B$2:$B$5001,Prensa!$E$2:$E$5001,N1478,Prensa!$F$2:$F$5001,3,Prensa!$G$2:$G$5001,1),""))</f>
        <v>0</v>
      </c>
      <c r="G1478" s="27">
        <f>IF(A1478="","",IFERROR(AVERAGEIFS(Prensa!$B$2:$B$5001,Prensa!$E$2:$E$5001,N1478,Prensa!$F$2:$F$5001,4,Prensa!$G$2:$G$5001,1),""))</f>
        <v>0</v>
      </c>
      <c r="H1478" s="26">
        <f>IF(A1478="","",COUNT(D1478:G1478))</f>
        <v>0</v>
      </c>
      <c r="I1478" s="27">
        <f>IF(A1478="","",IF(H1478=0,"",AVERAGE(D1478:G1478)))</f>
        <v>0</v>
      </c>
      <c r="J1478" s="27">
        <f>IF(OR(I1478="",C1478=""),"",I1478-C1478)</f>
        <v>0</v>
      </c>
      <c r="K1478" s="26">
        <f>IF(A1478="","",IF(MES!E1478&lt;&gt;4,"Horário do MES fora do padrão",IF(H1478&lt;cfgMinCortes,"Cortes insuficientes","Válida")))</f>
        <v>0</v>
      </c>
      <c r="L1478" s="27">
        <f>IF(K1478="Válida",ABS(J1478),"")</f>
        <v>0</v>
      </c>
      <c r="M1478" s="26">
        <f>IF(K1478="Válida",IF(L1478&lt;=cfgTolerancia,"Sim","Não"),"")</f>
        <v>0</v>
      </c>
      <c r="N1478" s="26">
        <f>IF(A1478="","",MES!D1478)</f>
        <v>0</v>
      </c>
      <c r="O1478" s="25">
        <f>IF(K1478="Válida",A1478,NA())</f>
        <v>0</v>
      </c>
      <c r="P1478" s="27">
        <f>IF(K1478="Válida",C1478,NA())</f>
        <v>0</v>
      </c>
      <c r="Q1478" s="27">
        <f>IF(K1478="Válida",I1478,NA())</f>
        <v>0</v>
      </c>
      <c r="R1478" s="27">
        <f>IF(K1478="Válida",J1478,NA())</f>
        <v>0</v>
      </c>
      <c r="S1478" s="27">
        <f>IF(K1478="Válida",C1478,"")</f>
        <v>0</v>
      </c>
      <c r="T1478" s="27">
        <f>IF(K1478="Válida",I1478,"")</f>
        <v>0</v>
      </c>
      <c r="U1478" s="27">
        <f>IF(K1478="Válida",J1478,"")</f>
        <v>0</v>
      </c>
    </row>
    <row r="1479" spans="1:21">
      <c r="A1479" s="25">
        <f>IF(MES!A1479="","",MES!C1479/48)</f>
        <v>0</v>
      </c>
      <c r="B1479" s="26">
        <f>IF(A1479="","",TEXT((N1479*4+cfgDeslocamento)/48,"hh:mm")&amp;" a "&amp;TEXT(A1479,"hh:mm"))</f>
        <v>0</v>
      </c>
      <c r="C1479" s="27">
        <f>IF(A1479="","",MES!B1479)</f>
        <v>0</v>
      </c>
      <c r="D1479" s="27">
        <f>IF(A1479="","",IFERROR(AVERAGEIFS(Prensa!$B$2:$B$5001,Prensa!$E$2:$E$5001,N1479,Prensa!$F$2:$F$5001,1,Prensa!$G$2:$G$5001,1),""))</f>
        <v>0</v>
      </c>
      <c r="E1479" s="27">
        <f>IF(A1479="","",IFERROR(AVERAGEIFS(Prensa!$B$2:$B$5001,Prensa!$E$2:$E$5001,N1479,Prensa!$F$2:$F$5001,2,Prensa!$G$2:$G$5001,1),""))</f>
        <v>0</v>
      </c>
      <c r="F1479" s="27">
        <f>IF(A1479="","",IFERROR(AVERAGEIFS(Prensa!$B$2:$B$5001,Prensa!$E$2:$E$5001,N1479,Prensa!$F$2:$F$5001,3,Prensa!$G$2:$G$5001,1),""))</f>
        <v>0</v>
      </c>
      <c r="G1479" s="27">
        <f>IF(A1479="","",IFERROR(AVERAGEIFS(Prensa!$B$2:$B$5001,Prensa!$E$2:$E$5001,N1479,Prensa!$F$2:$F$5001,4,Prensa!$G$2:$G$5001,1),""))</f>
        <v>0</v>
      </c>
      <c r="H1479" s="26">
        <f>IF(A1479="","",COUNT(D1479:G1479))</f>
        <v>0</v>
      </c>
      <c r="I1479" s="27">
        <f>IF(A1479="","",IF(H1479=0,"",AVERAGE(D1479:G1479)))</f>
        <v>0</v>
      </c>
      <c r="J1479" s="27">
        <f>IF(OR(I1479="",C1479=""),"",I1479-C1479)</f>
        <v>0</v>
      </c>
      <c r="K1479" s="26">
        <f>IF(A1479="","",IF(MES!E1479&lt;&gt;4,"Horário do MES fora do padrão",IF(H1479&lt;cfgMinCortes,"Cortes insuficientes","Válida")))</f>
        <v>0</v>
      </c>
      <c r="L1479" s="27">
        <f>IF(K1479="Válida",ABS(J1479),"")</f>
        <v>0</v>
      </c>
      <c r="M1479" s="26">
        <f>IF(K1479="Válida",IF(L1479&lt;=cfgTolerancia,"Sim","Não"),"")</f>
        <v>0</v>
      </c>
      <c r="N1479" s="26">
        <f>IF(A1479="","",MES!D1479)</f>
        <v>0</v>
      </c>
      <c r="O1479" s="25">
        <f>IF(K1479="Válida",A1479,NA())</f>
        <v>0</v>
      </c>
      <c r="P1479" s="27">
        <f>IF(K1479="Válida",C1479,NA())</f>
        <v>0</v>
      </c>
      <c r="Q1479" s="27">
        <f>IF(K1479="Válida",I1479,NA())</f>
        <v>0</v>
      </c>
      <c r="R1479" s="27">
        <f>IF(K1479="Válida",J1479,NA())</f>
        <v>0</v>
      </c>
      <c r="S1479" s="27">
        <f>IF(K1479="Válida",C1479,"")</f>
        <v>0</v>
      </c>
      <c r="T1479" s="27">
        <f>IF(K1479="Válida",I1479,"")</f>
        <v>0</v>
      </c>
      <c r="U1479" s="27">
        <f>IF(K1479="Válida",J1479,"")</f>
        <v>0</v>
      </c>
    </row>
    <row r="1480" spans="1:21">
      <c r="A1480" s="25">
        <f>IF(MES!A1480="","",MES!C1480/48)</f>
        <v>0</v>
      </c>
      <c r="B1480" s="26">
        <f>IF(A1480="","",TEXT((N1480*4+cfgDeslocamento)/48,"hh:mm")&amp;" a "&amp;TEXT(A1480,"hh:mm"))</f>
        <v>0</v>
      </c>
      <c r="C1480" s="27">
        <f>IF(A1480="","",MES!B1480)</f>
        <v>0</v>
      </c>
      <c r="D1480" s="27">
        <f>IF(A1480="","",IFERROR(AVERAGEIFS(Prensa!$B$2:$B$5001,Prensa!$E$2:$E$5001,N1480,Prensa!$F$2:$F$5001,1,Prensa!$G$2:$G$5001,1),""))</f>
        <v>0</v>
      </c>
      <c r="E1480" s="27">
        <f>IF(A1480="","",IFERROR(AVERAGEIFS(Prensa!$B$2:$B$5001,Prensa!$E$2:$E$5001,N1480,Prensa!$F$2:$F$5001,2,Prensa!$G$2:$G$5001,1),""))</f>
        <v>0</v>
      </c>
      <c r="F1480" s="27">
        <f>IF(A1480="","",IFERROR(AVERAGEIFS(Prensa!$B$2:$B$5001,Prensa!$E$2:$E$5001,N1480,Prensa!$F$2:$F$5001,3,Prensa!$G$2:$G$5001,1),""))</f>
        <v>0</v>
      </c>
      <c r="G1480" s="27">
        <f>IF(A1480="","",IFERROR(AVERAGEIFS(Prensa!$B$2:$B$5001,Prensa!$E$2:$E$5001,N1480,Prensa!$F$2:$F$5001,4,Prensa!$G$2:$G$5001,1),""))</f>
        <v>0</v>
      </c>
      <c r="H1480" s="26">
        <f>IF(A1480="","",COUNT(D1480:G1480))</f>
        <v>0</v>
      </c>
      <c r="I1480" s="27">
        <f>IF(A1480="","",IF(H1480=0,"",AVERAGE(D1480:G1480)))</f>
        <v>0</v>
      </c>
      <c r="J1480" s="27">
        <f>IF(OR(I1480="",C1480=""),"",I1480-C1480)</f>
        <v>0</v>
      </c>
      <c r="K1480" s="26">
        <f>IF(A1480="","",IF(MES!E1480&lt;&gt;4,"Horário do MES fora do padrão",IF(H1480&lt;cfgMinCortes,"Cortes insuficientes","Válida")))</f>
        <v>0</v>
      </c>
      <c r="L1480" s="27">
        <f>IF(K1480="Válida",ABS(J1480),"")</f>
        <v>0</v>
      </c>
      <c r="M1480" s="26">
        <f>IF(K1480="Válida",IF(L1480&lt;=cfgTolerancia,"Sim","Não"),"")</f>
        <v>0</v>
      </c>
      <c r="N1480" s="26">
        <f>IF(A1480="","",MES!D1480)</f>
        <v>0</v>
      </c>
      <c r="O1480" s="25">
        <f>IF(K1480="Válida",A1480,NA())</f>
        <v>0</v>
      </c>
      <c r="P1480" s="27">
        <f>IF(K1480="Válida",C1480,NA())</f>
        <v>0</v>
      </c>
      <c r="Q1480" s="27">
        <f>IF(K1480="Válida",I1480,NA())</f>
        <v>0</v>
      </c>
      <c r="R1480" s="27">
        <f>IF(K1480="Válida",J1480,NA())</f>
        <v>0</v>
      </c>
      <c r="S1480" s="27">
        <f>IF(K1480="Válida",C1480,"")</f>
        <v>0</v>
      </c>
      <c r="T1480" s="27">
        <f>IF(K1480="Válida",I1480,"")</f>
        <v>0</v>
      </c>
      <c r="U1480" s="27">
        <f>IF(K1480="Válida",J1480,"")</f>
        <v>0</v>
      </c>
    </row>
    <row r="1481" spans="1:21">
      <c r="A1481" s="25">
        <f>IF(MES!A1481="","",MES!C1481/48)</f>
        <v>0</v>
      </c>
      <c r="B1481" s="26">
        <f>IF(A1481="","",TEXT((N1481*4+cfgDeslocamento)/48,"hh:mm")&amp;" a "&amp;TEXT(A1481,"hh:mm"))</f>
        <v>0</v>
      </c>
      <c r="C1481" s="27">
        <f>IF(A1481="","",MES!B1481)</f>
        <v>0</v>
      </c>
      <c r="D1481" s="27">
        <f>IF(A1481="","",IFERROR(AVERAGEIFS(Prensa!$B$2:$B$5001,Prensa!$E$2:$E$5001,N1481,Prensa!$F$2:$F$5001,1,Prensa!$G$2:$G$5001,1),""))</f>
        <v>0</v>
      </c>
      <c r="E1481" s="27">
        <f>IF(A1481="","",IFERROR(AVERAGEIFS(Prensa!$B$2:$B$5001,Prensa!$E$2:$E$5001,N1481,Prensa!$F$2:$F$5001,2,Prensa!$G$2:$G$5001,1),""))</f>
        <v>0</v>
      </c>
      <c r="F1481" s="27">
        <f>IF(A1481="","",IFERROR(AVERAGEIFS(Prensa!$B$2:$B$5001,Prensa!$E$2:$E$5001,N1481,Prensa!$F$2:$F$5001,3,Prensa!$G$2:$G$5001,1),""))</f>
        <v>0</v>
      </c>
      <c r="G1481" s="27">
        <f>IF(A1481="","",IFERROR(AVERAGEIFS(Prensa!$B$2:$B$5001,Prensa!$E$2:$E$5001,N1481,Prensa!$F$2:$F$5001,4,Prensa!$G$2:$G$5001,1),""))</f>
        <v>0</v>
      </c>
      <c r="H1481" s="26">
        <f>IF(A1481="","",COUNT(D1481:G1481))</f>
        <v>0</v>
      </c>
      <c r="I1481" s="27">
        <f>IF(A1481="","",IF(H1481=0,"",AVERAGE(D1481:G1481)))</f>
        <v>0</v>
      </c>
      <c r="J1481" s="27">
        <f>IF(OR(I1481="",C1481=""),"",I1481-C1481)</f>
        <v>0</v>
      </c>
      <c r="K1481" s="26">
        <f>IF(A1481="","",IF(MES!E1481&lt;&gt;4,"Horário do MES fora do padrão",IF(H1481&lt;cfgMinCortes,"Cortes insuficientes","Válida")))</f>
        <v>0</v>
      </c>
      <c r="L1481" s="27">
        <f>IF(K1481="Válida",ABS(J1481),"")</f>
        <v>0</v>
      </c>
      <c r="M1481" s="26">
        <f>IF(K1481="Válida",IF(L1481&lt;=cfgTolerancia,"Sim","Não"),"")</f>
        <v>0</v>
      </c>
      <c r="N1481" s="26">
        <f>IF(A1481="","",MES!D1481)</f>
        <v>0</v>
      </c>
      <c r="O1481" s="25">
        <f>IF(K1481="Válida",A1481,NA())</f>
        <v>0</v>
      </c>
      <c r="P1481" s="27">
        <f>IF(K1481="Válida",C1481,NA())</f>
        <v>0</v>
      </c>
      <c r="Q1481" s="27">
        <f>IF(K1481="Válida",I1481,NA())</f>
        <v>0</v>
      </c>
      <c r="R1481" s="27">
        <f>IF(K1481="Válida",J1481,NA())</f>
        <v>0</v>
      </c>
      <c r="S1481" s="27">
        <f>IF(K1481="Válida",C1481,"")</f>
        <v>0</v>
      </c>
      <c r="T1481" s="27">
        <f>IF(K1481="Válida",I1481,"")</f>
        <v>0</v>
      </c>
      <c r="U1481" s="27">
        <f>IF(K1481="Válida",J1481,"")</f>
        <v>0</v>
      </c>
    </row>
    <row r="1482" spans="1:21">
      <c r="A1482" s="25">
        <f>IF(MES!A1482="","",MES!C1482/48)</f>
        <v>0</v>
      </c>
      <c r="B1482" s="26">
        <f>IF(A1482="","",TEXT((N1482*4+cfgDeslocamento)/48,"hh:mm")&amp;" a "&amp;TEXT(A1482,"hh:mm"))</f>
        <v>0</v>
      </c>
      <c r="C1482" s="27">
        <f>IF(A1482="","",MES!B1482)</f>
        <v>0</v>
      </c>
      <c r="D1482" s="27">
        <f>IF(A1482="","",IFERROR(AVERAGEIFS(Prensa!$B$2:$B$5001,Prensa!$E$2:$E$5001,N1482,Prensa!$F$2:$F$5001,1,Prensa!$G$2:$G$5001,1),""))</f>
        <v>0</v>
      </c>
      <c r="E1482" s="27">
        <f>IF(A1482="","",IFERROR(AVERAGEIFS(Prensa!$B$2:$B$5001,Prensa!$E$2:$E$5001,N1482,Prensa!$F$2:$F$5001,2,Prensa!$G$2:$G$5001,1),""))</f>
        <v>0</v>
      </c>
      <c r="F1482" s="27">
        <f>IF(A1482="","",IFERROR(AVERAGEIFS(Prensa!$B$2:$B$5001,Prensa!$E$2:$E$5001,N1482,Prensa!$F$2:$F$5001,3,Prensa!$G$2:$G$5001,1),""))</f>
        <v>0</v>
      </c>
      <c r="G1482" s="27">
        <f>IF(A1482="","",IFERROR(AVERAGEIFS(Prensa!$B$2:$B$5001,Prensa!$E$2:$E$5001,N1482,Prensa!$F$2:$F$5001,4,Prensa!$G$2:$G$5001,1),""))</f>
        <v>0</v>
      </c>
      <c r="H1482" s="26">
        <f>IF(A1482="","",COUNT(D1482:G1482))</f>
        <v>0</v>
      </c>
      <c r="I1482" s="27">
        <f>IF(A1482="","",IF(H1482=0,"",AVERAGE(D1482:G1482)))</f>
        <v>0</v>
      </c>
      <c r="J1482" s="27">
        <f>IF(OR(I1482="",C1482=""),"",I1482-C1482)</f>
        <v>0</v>
      </c>
      <c r="K1482" s="26">
        <f>IF(A1482="","",IF(MES!E1482&lt;&gt;4,"Horário do MES fora do padrão",IF(H1482&lt;cfgMinCortes,"Cortes insuficientes","Válida")))</f>
        <v>0</v>
      </c>
      <c r="L1482" s="27">
        <f>IF(K1482="Válida",ABS(J1482),"")</f>
        <v>0</v>
      </c>
      <c r="M1482" s="26">
        <f>IF(K1482="Válida",IF(L1482&lt;=cfgTolerancia,"Sim","Não"),"")</f>
        <v>0</v>
      </c>
      <c r="N1482" s="26">
        <f>IF(A1482="","",MES!D1482)</f>
        <v>0</v>
      </c>
      <c r="O1482" s="25">
        <f>IF(K1482="Válida",A1482,NA())</f>
        <v>0</v>
      </c>
      <c r="P1482" s="27">
        <f>IF(K1482="Válida",C1482,NA())</f>
        <v>0</v>
      </c>
      <c r="Q1482" s="27">
        <f>IF(K1482="Válida",I1482,NA())</f>
        <v>0</v>
      </c>
      <c r="R1482" s="27">
        <f>IF(K1482="Válida",J1482,NA())</f>
        <v>0</v>
      </c>
      <c r="S1482" s="27">
        <f>IF(K1482="Válida",C1482,"")</f>
        <v>0</v>
      </c>
      <c r="T1482" s="27">
        <f>IF(K1482="Válida",I1482,"")</f>
        <v>0</v>
      </c>
      <c r="U1482" s="27">
        <f>IF(K1482="Válida",J1482,"")</f>
        <v>0</v>
      </c>
    </row>
    <row r="1483" spans="1:21">
      <c r="A1483" s="25">
        <f>IF(MES!A1483="","",MES!C1483/48)</f>
        <v>0</v>
      </c>
      <c r="B1483" s="26">
        <f>IF(A1483="","",TEXT((N1483*4+cfgDeslocamento)/48,"hh:mm")&amp;" a "&amp;TEXT(A1483,"hh:mm"))</f>
        <v>0</v>
      </c>
      <c r="C1483" s="27">
        <f>IF(A1483="","",MES!B1483)</f>
        <v>0</v>
      </c>
      <c r="D1483" s="27">
        <f>IF(A1483="","",IFERROR(AVERAGEIFS(Prensa!$B$2:$B$5001,Prensa!$E$2:$E$5001,N1483,Prensa!$F$2:$F$5001,1,Prensa!$G$2:$G$5001,1),""))</f>
        <v>0</v>
      </c>
      <c r="E1483" s="27">
        <f>IF(A1483="","",IFERROR(AVERAGEIFS(Prensa!$B$2:$B$5001,Prensa!$E$2:$E$5001,N1483,Prensa!$F$2:$F$5001,2,Prensa!$G$2:$G$5001,1),""))</f>
        <v>0</v>
      </c>
      <c r="F1483" s="27">
        <f>IF(A1483="","",IFERROR(AVERAGEIFS(Prensa!$B$2:$B$5001,Prensa!$E$2:$E$5001,N1483,Prensa!$F$2:$F$5001,3,Prensa!$G$2:$G$5001,1),""))</f>
        <v>0</v>
      </c>
      <c r="G1483" s="27">
        <f>IF(A1483="","",IFERROR(AVERAGEIFS(Prensa!$B$2:$B$5001,Prensa!$E$2:$E$5001,N1483,Prensa!$F$2:$F$5001,4,Prensa!$G$2:$G$5001,1),""))</f>
        <v>0</v>
      </c>
      <c r="H1483" s="26">
        <f>IF(A1483="","",COUNT(D1483:G1483))</f>
        <v>0</v>
      </c>
      <c r="I1483" s="27">
        <f>IF(A1483="","",IF(H1483=0,"",AVERAGE(D1483:G1483)))</f>
        <v>0</v>
      </c>
      <c r="J1483" s="27">
        <f>IF(OR(I1483="",C1483=""),"",I1483-C1483)</f>
        <v>0</v>
      </c>
      <c r="K1483" s="26">
        <f>IF(A1483="","",IF(MES!E1483&lt;&gt;4,"Horário do MES fora do padrão",IF(H1483&lt;cfgMinCortes,"Cortes insuficientes","Válida")))</f>
        <v>0</v>
      </c>
      <c r="L1483" s="27">
        <f>IF(K1483="Válida",ABS(J1483),"")</f>
        <v>0</v>
      </c>
      <c r="M1483" s="26">
        <f>IF(K1483="Válida",IF(L1483&lt;=cfgTolerancia,"Sim","Não"),"")</f>
        <v>0</v>
      </c>
      <c r="N1483" s="26">
        <f>IF(A1483="","",MES!D1483)</f>
        <v>0</v>
      </c>
      <c r="O1483" s="25">
        <f>IF(K1483="Válida",A1483,NA())</f>
        <v>0</v>
      </c>
      <c r="P1483" s="27">
        <f>IF(K1483="Válida",C1483,NA())</f>
        <v>0</v>
      </c>
      <c r="Q1483" s="27">
        <f>IF(K1483="Válida",I1483,NA())</f>
        <v>0</v>
      </c>
      <c r="R1483" s="27">
        <f>IF(K1483="Válida",J1483,NA())</f>
        <v>0</v>
      </c>
      <c r="S1483" s="27">
        <f>IF(K1483="Válida",C1483,"")</f>
        <v>0</v>
      </c>
      <c r="T1483" s="27">
        <f>IF(K1483="Válida",I1483,"")</f>
        <v>0</v>
      </c>
      <c r="U1483" s="27">
        <f>IF(K1483="Válida",J1483,"")</f>
        <v>0</v>
      </c>
    </row>
    <row r="1484" spans="1:21">
      <c r="A1484" s="25">
        <f>IF(MES!A1484="","",MES!C1484/48)</f>
        <v>0</v>
      </c>
      <c r="B1484" s="26">
        <f>IF(A1484="","",TEXT((N1484*4+cfgDeslocamento)/48,"hh:mm")&amp;" a "&amp;TEXT(A1484,"hh:mm"))</f>
        <v>0</v>
      </c>
      <c r="C1484" s="27">
        <f>IF(A1484="","",MES!B1484)</f>
        <v>0</v>
      </c>
      <c r="D1484" s="27">
        <f>IF(A1484="","",IFERROR(AVERAGEIFS(Prensa!$B$2:$B$5001,Prensa!$E$2:$E$5001,N1484,Prensa!$F$2:$F$5001,1,Prensa!$G$2:$G$5001,1),""))</f>
        <v>0</v>
      </c>
      <c r="E1484" s="27">
        <f>IF(A1484="","",IFERROR(AVERAGEIFS(Prensa!$B$2:$B$5001,Prensa!$E$2:$E$5001,N1484,Prensa!$F$2:$F$5001,2,Prensa!$G$2:$G$5001,1),""))</f>
        <v>0</v>
      </c>
      <c r="F1484" s="27">
        <f>IF(A1484="","",IFERROR(AVERAGEIFS(Prensa!$B$2:$B$5001,Prensa!$E$2:$E$5001,N1484,Prensa!$F$2:$F$5001,3,Prensa!$G$2:$G$5001,1),""))</f>
        <v>0</v>
      </c>
      <c r="G1484" s="27">
        <f>IF(A1484="","",IFERROR(AVERAGEIFS(Prensa!$B$2:$B$5001,Prensa!$E$2:$E$5001,N1484,Prensa!$F$2:$F$5001,4,Prensa!$G$2:$G$5001,1),""))</f>
        <v>0</v>
      </c>
      <c r="H1484" s="26">
        <f>IF(A1484="","",COUNT(D1484:G1484))</f>
        <v>0</v>
      </c>
      <c r="I1484" s="27">
        <f>IF(A1484="","",IF(H1484=0,"",AVERAGE(D1484:G1484)))</f>
        <v>0</v>
      </c>
      <c r="J1484" s="27">
        <f>IF(OR(I1484="",C1484=""),"",I1484-C1484)</f>
        <v>0</v>
      </c>
      <c r="K1484" s="26">
        <f>IF(A1484="","",IF(MES!E1484&lt;&gt;4,"Horário do MES fora do padrão",IF(H1484&lt;cfgMinCortes,"Cortes insuficientes","Válida")))</f>
        <v>0</v>
      </c>
      <c r="L1484" s="27">
        <f>IF(K1484="Válida",ABS(J1484),"")</f>
        <v>0</v>
      </c>
      <c r="M1484" s="26">
        <f>IF(K1484="Válida",IF(L1484&lt;=cfgTolerancia,"Sim","Não"),"")</f>
        <v>0</v>
      </c>
      <c r="N1484" s="26">
        <f>IF(A1484="","",MES!D1484)</f>
        <v>0</v>
      </c>
      <c r="O1484" s="25">
        <f>IF(K1484="Válida",A1484,NA())</f>
        <v>0</v>
      </c>
      <c r="P1484" s="27">
        <f>IF(K1484="Válida",C1484,NA())</f>
        <v>0</v>
      </c>
      <c r="Q1484" s="27">
        <f>IF(K1484="Válida",I1484,NA())</f>
        <v>0</v>
      </c>
      <c r="R1484" s="27">
        <f>IF(K1484="Válida",J1484,NA())</f>
        <v>0</v>
      </c>
      <c r="S1484" s="27">
        <f>IF(K1484="Válida",C1484,"")</f>
        <v>0</v>
      </c>
      <c r="T1484" s="27">
        <f>IF(K1484="Válida",I1484,"")</f>
        <v>0</v>
      </c>
      <c r="U1484" s="27">
        <f>IF(K1484="Válida",J1484,"")</f>
        <v>0</v>
      </c>
    </row>
    <row r="1485" spans="1:21">
      <c r="A1485" s="25">
        <f>IF(MES!A1485="","",MES!C1485/48)</f>
        <v>0</v>
      </c>
      <c r="B1485" s="26">
        <f>IF(A1485="","",TEXT((N1485*4+cfgDeslocamento)/48,"hh:mm")&amp;" a "&amp;TEXT(A1485,"hh:mm"))</f>
        <v>0</v>
      </c>
      <c r="C1485" s="27">
        <f>IF(A1485="","",MES!B1485)</f>
        <v>0</v>
      </c>
      <c r="D1485" s="27">
        <f>IF(A1485="","",IFERROR(AVERAGEIFS(Prensa!$B$2:$B$5001,Prensa!$E$2:$E$5001,N1485,Prensa!$F$2:$F$5001,1,Prensa!$G$2:$G$5001,1),""))</f>
        <v>0</v>
      </c>
      <c r="E1485" s="27">
        <f>IF(A1485="","",IFERROR(AVERAGEIFS(Prensa!$B$2:$B$5001,Prensa!$E$2:$E$5001,N1485,Prensa!$F$2:$F$5001,2,Prensa!$G$2:$G$5001,1),""))</f>
        <v>0</v>
      </c>
      <c r="F1485" s="27">
        <f>IF(A1485="","",IFERROR(AVERAGEIFS(Prensa!$B$2:$B$5001,Prensa!$E$2:$E$5001,N1485,Prensa!$F$2:$F$5001,3,Prensa!$G$2:$G$5001,1),""))</f>
        <v>0</v>
      </c>
      <c r="G1485" s="27">
        <f>IF(A1485="","",IFERROR(AVERAGEIFS(Prensa!$B$2:$B$5001,Prensa!$E$2:$E$5001,N1485,Prensa!$F$2:$F$5001,4,Prensa!$G$2:$G$5001,1),""))</f>
        <v>0</v>
      </c>
      <c r="H1485" s="26">
        <f>IF(A1485="","",COUNT(D1485:G1485))</f>
        <v>0</v>
      </c>
      <c r="I1485" s="27">
        <f>IF(A1485="","",IF(H1485=0,"",AVERAGE(D1485:G1485)))</f>
        <v>0</v>
      </c>
      <c r="J1485" s="27">
        <f>IF(OR(I1485="",C1485=""),"",I1485-C1485)</f>
        <v>0</v>
      </c>
      <c r="K1485" s="26">
        <f>IF(A1485="","",IF(MES!E1485&lt;&gt;4,"Horário do MES fora do padrão",IF(H1485&lt;cfgMinCortes,"Cortes insuficientes","Válida")))</f>
        <v>0</v>
      </c>
      <c r="L1485" s="27">
        <f>IF(K1485="Válida",ABS(J1485),"")</f>
        <v>0</v>
      </c>
      <c r="M1485" s="26">
        <f>IF(K1485="Válida",IF(L1485&lt;=cfgTolerancia,"Sim","Não"),"")</f>
        <v>0</v>
      </c>
      <c r="N1485" s="26">
        <f>IF(A1485="","",MES!D1485)</f>
        <v>0</v>
      </c>
      <c r="O1485" s="25">
        <f>IF(K1485="Válida",A1485,NA())</f>
        <v>0</v>
      </c>
      <c r="P1485" s="27">
        <f>IF(K1485="Válida",C1485,NA())</f>
        <v>0</v>
      </c>
      <c r="Q1485" s="27">
        <f>IF(K1485="Válida",I1485,NA())</f>
        <v>0</v>
      </c>
      <c r="R1485" s="27">
        <f>IF(K1485="Válida",J1485,NA())</f>
        <v>0</v>
      </c>
      <c r="S1485" s="27">
        <f>IF(K1485="Válida",C1485,"")</f>
        <v>0</v>
      </c>
      <c r="T1485" s="27">
        <f>IF(K1485="Válida",I1485,"")</f>
        <v>0</v>
      </c>
      <c r="U1485" s="27">
        <f>IF(K1485="Válida",J1485,"")</f>
        <v>0</v>
      </c>
    </row>
    <row r="1486" spans="1:21">
      <c r="A1486" s="25">
        <f>IF(MES!A1486="","",MES!C1486/48)</f>
        <v>0</v>
      </c>
      <c r="B1486" s="26">
        <f>IF(A1486="","",TEXT((N1486*4+cfgDeslocamento)/48,"hh:mm")&amp;" a "&amp;TEXT(A1486,"hh:mm"))</f>
        <v>0</v>
      </c>
      <c r="C1486" s="27">
        <f>IF(A1486="","",MES!B1486)</f>
        <v>0</v>
      </c>
      <c r="D1486" s="27">
        <f>IF(A1486="","",IFERROR(AVERAGEIFS(Prensa!$B$2:$B$5001,Prensa!$E$2:$E$5001,N1486,Prensa!$F$2:$F$5001,1,Prensa!$G$2:$G$5001,1),""))</f>
        <v>0</v>
      </c>
      <c r="E1486" s="27">
        <f>IF(A1486="","",IFERROR(AVERAGEIFS(Prensa!$B$2:$B$5001,Prensa!$E$2:$E$5001,N1486,Prensa!$F$2:$F$5001,2,Prensa!$G$2:$G$5001,1),""))</f>
        <v>0</v>
      </c>
      <c r="F1486" s="27">
        <f>IF(A1486="","",IFERROR(AVERAGEIFS(Prensa!$B$2:$B$5001,Prensa!$E$2:$E$5001,N1486,Prensa!$F$2:$F$5001,3,Prensa!$G$2:$G$5001,1),""))</f>
        <v>0</v>
      </c>
      <c r="G1486" s="27">
        <f>IF(A1486="","",IFERROR(AVERAGEIFS(Prensa!$B$2:$B$5001,Prensa!$E$2:$E$5001,N1486,Prensa!$F$2:$F$5001,4,Prensa!$G$2:$G$5001,1),""))</f>
        <v>0</v>
      </c>
      <c r="H1486" s="26">
        <f>IF(A1486="","",COUNT(D1486:G1486))</f>
        <v>0</v>
      </c>
      <c r="I1486" s="27">
        <f>IF(A1486="","",IF(H1486=0,"",AVERAGE(D1486:G1486)))</f>
        <v>0</v>
      </c>
      <c r="J1486" s="27">
        <f>IF(OR(I1486="",C1486=""),"",I1486-C1486)</f>
        <v>0</v>
      </c>
      <c r="K1486" s="26">
        <f>IF(A1486="","",IF(MES!E1486&lt;&gt;4,"Horário do MES fora do padrão",IF(H1486&lt;cfgMinCortes,"Cortes insuficientes","Válida")))</f>
        <v>0</v>
      </c>
      <c r="L1486" s="27">
        <f>IF(K1486="Válida",ABS(J1486),"")</f>
        <v>0</v>
      </c>
      <c r="M1486" s="26">
        <f>IF(K1486="Válida",IF(L1486&lt;=cfgTolerancia,"Sim","Não"),"")</f>
        <v>0</v>
      </c>
      <c r="N1486" s="26">
        <f>IF(A1486="","",MES!D1486)</f>
        <v>0</v>
      </c>
      <c r="O1486" s="25">
        <f>IF(K1486="Válida",A1486,NA())</f>
        <v>0</v>
      </c>
      <c r="P1486" s="27">
        <f>IF(K1486="Válida",C1486,NA())</f>
        <v>0</v>
      </c>
      <c r="Q1486" s="27">
        <f>IF(K1486="Válida",I1486,NA())</f>
        <v>0</v>
      </c>
      <c r="R1486" s="27">
        <f>IF(K1486="Válida",J1486,NA())</f>
        <v>0</v>
      </c>
      <c r="S1486" s="27">
        <f>IF(K1486="Válida",C1486,"")</f>
        <v>0</v>
      </c>
      <c r="T1486" s="27">
        <f>IF(K1486="Válida",I1486,"")</f>
        <v>0</v>
      </c>
      <c r="U1486" s="27">
        <f>IF(K1486="Válida",J1486,"")</f>
        <v>0</v>
      </c>
    </row>
    <row r="1487" spans="1:21">
      <c r="A1487" s="25">
        <f>IF(MES!A1487="","",MES!C1487/48)</f>
        <v>0</v>
      </c>
      <c r="B1487" s="26">
        <f>IF(A1487="","",TEXT((N1487*4+cfgDeslocamento)/48,"hh:mm")&amp;" a "&amp;TEXT(A1487,"hh:mm"))</f>
        <v>0</v>
      </c>
      <c r="C1487" s="27">
        <f>IF(A1487="","",MES!B1487)</f>
        <v>0</v>
      </c>
      <c r="D1487" s="27">
        <f>IF(A1487="","",IFERROR(AVERAGEIFS(Prensa!$B$2:$B$5001,Prensa!$E$2:$E$5001,N1487,Prensa!$F$2:$F$5001,1,Prensa!$G$2:$G$5001,1),""))</f>
        <v>0</v>
      </c>
      <c r="E1487" s="27">
        <f>IF(A1487="","",IFERROR(AVERAGEIFS(Prensa!$B$2:$B$5001,Prensa!$E$2:$E$5001,N1487,Prensa!$F$2:$F$5001,2,Prensa!$G$2:$G$5001,1),""))</f>
        <v>0</v>
      </c>
      <c r="F1487" s="27">
        <f>IF(A1487="","",IFERROR(AVERAGEIFS(Prensa!$B$2:$B$5001,Prensa!$E$2:$E$5001,N1487,Prensa!$F$2:$F$5001,3,Prensa!$G$2:$G$5001,1),""))</f>
        <v>0</v>
      </c>
      <c r="G1487" s="27">
        <f>IF(A1487="","",IFERROR(AVERAGEIFS(Prensa!$B$2:$B$5001,Prensa!$E$2:$E$5001,N1487,Prensa!$F$2:$F$5001,4,Prensa!$G$2:$G$5001,1),""))</f>
        <v>0</v>
      </c>
      <c r="H1487" s="26">
        <f>IF(A1487="","",COUNT(D1487:G1487))</f>
        <v>0</v>
      </c>
      <c r="I1487" s="27">
        <f>IF(A1487="","",IF(H1487=0,"",AVERAGE(D1487:G1487)))</f>
        <v>0</v>
      </c>
      <c r="J1487" s="27">
        <f>IF(OR(I1487="",C1487=""),"",I1487-C1487)</f>
        <v>0</v>
      </c>
      <c r="K1487" s="26">
        <f>IF(A1487="","",IF(MES!E1487&lt;&gt;4,"Horário do MES fora do padrão",IF(H1487&lt;cfgMinCortes,"Cortes insuficientes","Válida")))</f>
        <v>0</v>
      </c>
      <c r="L1487" s="27">
        <f>IF(K1487="Válida",ABS(J1487),"")</f>
        <v>0</v>
      </c>
      <c r="M1487" s="26">
        <f>IF(K1487="Válida",IF(L1487&lt;=cfgTolerancia,"Sim","Não"),"")</f>
        <v>0</v>
      </c>
      <c r="N1487" s="26">
        <f>IF(A1487="","",MES!D1487)</f>
        <v>0</v>
      </c>
      <c r="O1487" s="25">
        <f>IF(K1487="Válida",A1487,NA())</f>
        <v>0</v>
      </c>
      <c r="P1487" s="27">
        <f>IF(K1487="Válida",C1487,NA())</f>
        <v>0</v>
      </c>
      <c r="Q1487" s="27">
        <f>IF(K1487="Válida",I1487,NA())</f>
        <v>0</v>
      </c>
      <c r="R1487" s="27">
        <f>IF(K1487="Válida",J1487,NA())</f>
        <v>0</v>
      </c>
      <c r="S1487" s="27">
        <f>IF(K1487="Válida",C1487,"")</f>
        <v>0</v>
      </c>
      <c r="T1487" s="27">
        <f>IF(K1487="Válida",I1487,"")</f>
        <v>0</v>
      </c>
      <c r="U1487" s="27">
        <f>IF(K1487="Válida",J1487,"")</f>
        <v>0</v>
      </c>
    </row>
    <row r="1488" spans="1:21">
      <c r="A1488" s="25">
        <f>IF(MES!A1488="","",MES!C1488/48)</f>
        <v>0</v>
      </c>
      <c r="B1488" s="26">
        <f>IF(A1488="","",TEXT((N1488*4+cfgDeslocamento)/48,"hh:mm")&amp;" a "&amp;TEXT(A1488,"hh:mm"))</f>
        <v>0</v>
      </c>
      <c r="C1488" s="27">
        <f>IF(A1488="","",MES!B1488)</f>
        <v>0</v>
      </c>
      <c r="D1488" s="27">
        <f>IF(A1488="","",IFERROR(AVERAGEIFS(Prensa!$B$2:$B$5001,Prensa!$E$2:$E$5001,N1488,Prensa!$F$2:$F$5001,1,Prensa!$G$2:$G$5001,1),""))</f>
        <v>0</v>
      </c>
      <c r="E1488" s="27">
        <f>IF(A1488="","",IFERROR(AVERAGEIFS(Prensa!$B$2:$B$5001,Prensa!$E$2:$E$5001,N1488,Prensa!$F$2:$F$5001,2,Prensa!$G$2:$G$5001,1),""))</f>
        <v>0</v>
      </c>
      <c r="F1488" s="27">
        <f>IF(A1488="","",IFERROR(AVERAGEIFS(Prensa!$B$2:$B$5001,Prensa!$E$2:$E$5001,N1488,Prensa!$F$2:$F$5001,3,Prensa!$G$2:$G$5001,1),""))</f>
        <v>0</v>
      </c>
      <c r="G1488" s="27">
        <f>IF(A1488="","",IFERROR(AVERAGEIFS(Prensa!$B$2:$B$5001,Prensa!$E$2:$E$5001,N1488,Prensa!$F$2:$F$5001,4,Prensa!$G$2:$G$5001,1),""))</f>
        <v>0</v>
      </c>
      <c r="H1488" s="26">
        <f>IF(A1488="","",COUNT(D1488:G1488))</f>
        <v>0</v>
      </c>
      <c r="I1488" s="27">
        <f>IF(A1488="","",IF(H1488=0,"",AVERAGE(D1488:G1488)))</f>
        <v>0</v>
      </c>
      <c r="J1488" s="27">
        <f>IF(OR(I1488="",C1488=""),"",I1488-C1488)</f>
        <v>0</v>
      </c>
      <c r="K1488" s="26">
        <f>IF(A1488="","",IF(MES!E1488&lt;&gt;4,"Horário do MES fora do padrão",IF(H1488&lt;cfgMinCortes,"Cortes insuficientes","Válida")))</f>
        <v>0</v>
      </c>
      <c r="L1488" s="27">
        <f>IF(K1488="Válida",ABS(J1488),"")</f>
        <v>0</v>
      </c>
      <c r="M1488" s="26">
        <f>IF(K1488="Válida",IF(L1488&lt;=cfgTolerancia,"Sim","Não"),"")</f>
        <v>0</v>
      </c>
      <c r="N1488" s="26">
        <f>IF(A1488="","",MES!D1488)</f>
        <v>0</v>
      </c>
      <c r="O1488" s="25">
        <f>IF(K1488="Válida",A1488,NA())</f>
        <v>0</v>
      </c>
      <c r="P1488" s="27">
        <f>IF(K1488="Válida",C1488,NA())</f>
        <v>0</v>
      </c>
      <c r="Q1488" s="27">
        <f>IF(K1488="Válida",I1488,NA())</f>
        <v>0</v>
      </c>
      <c r="R1488" s="27">
        <f>IF(K1488="Válida",J1488,NA())</f>
        <v>0</v>
      </c>
      <c r="S1488" s="27">
        <f>IF(K1488="Válida",C1488,"")</f>
        <v>0</v>
      </c>
      <c r="T1488" s="27">
        <f>IF(K1488="Válida",I1488,"")</f>
        <v>0</v>
      </c>
      <c r="U1488" s="27">
        <f>IF(K1488="Válida",J1488,"")</f>
        <v>0</v>
      </c>
    </row>
    <row r="1489" spans="1:21">
      <c r="A1489" s="25">
        <f>IF(MES!A1489="","",MES!C1489/48)</f>
        <v>0</v>
      </c>
      <c r="B1489" s="26">
        <f>IF(A1489="","",TEXT((N1489*4+cfgDeslocamento)/48,"hh:mm")&amp;" a "&amp;TEXT(A1489,"hh:mm"))</f>
        <v>0</v>
      </c>
      <c r="C1489" s="27">
        <f>IF(A1489="","",MES!B1489)</f>
        <v>0</v>
      </c>
      <c r="D1489" s="27">
        <f>IF(A1489="","",IFERROR(AVERAGEIFS(Prensa!$B$2:$B$5001,Prensa!$E$2:$E$5001,N1489,Prensa!$F$2:$F$5001,1,Prensa!$G$2:$G$5001,1),""))</f>
        <v>0</v>
      </c>
      <c r="E1489" s="27">
        <f>IF(A1489="","",IFERROR(AVERAGEIFS(Prensa!$B$2:$B$5001,Prensa!$E$2:$E$5001,N1489,Prensa!$F$2:$F$5001,2,Prensa!$G$2:$G$5001,1),""))</f>
        <v>0</v>
      </c>
      <c r="F1489" s="27">
        <f>IF(A1489="","",IFERROR(AVERAGEIFS(Prensa!$B$2:$B$5001,Prensa!$E$2:$E$5001,N1489,Prensa!$F$2:$F$5001,3,Prensa!$G$2:$G$5001,1),""))</f>
        <v>0</v>
      </c>
      <c r="G1489" s="27">
        <f>IF(A1489="","",IFERROR(AVERAGEIFS(Prensa!$B$2:$B$5001,Prensa!$E$2:$E$5001,N1489,Prensa!$F$2:$F$5001,4,Prensa!$G$2:$G$5001,1),""))</f>
        <v>0</v>
      </c>
      <c r="H1489" s="26">
        <f>IF(A1489="","",COUNT(D1489:G1489))</f>
        <v>0</v>
      </c>
      <c r="I1489" s="27">
        <f>IF(A1489="","",IF(H1489=0,"",AVERAGE(D1489:G1489)))</f>
        <v>0</v>
      </c>
      <c r="J1489" s="27">
        <f>IF(OR(I1489="",C1489=""),"",I1489-C1489)</f>
        <v>0</v>
      </c>
      <c r="K1489" s="26">
        <f>IF(A1489="","",IF(MES!E1489&lt;&gt;4,"Horário do MES fora do padrão",IF(H1489&lt;cfgMinCortes,"Cortes insuficientes","Válida")))</f>
        <v>0</v>
      </c>
      <c r="L1489" s="27">
        <f>IF(K1489="Válida",ABS(J1489),"")</f>
        <v>0</v>
      </c>
      <c r="M1489" s="26">
        <f>IF(K1489="Válida",IF(L1489&lt;=cfgTolerancia,"Sim","Não"),"")</f>
        <v>0</v>
      </c>
      <c r="N1489" s="26">
        <f>IF(A1489="","",MES!D1489)</f>
        <v>0</v>
      </c>
      <c r="O1489" s="25">
        <f>IF(K1489="Válida",A1489,NA())</f>
        <v>0</v>
      </c>
      <c r="P1489" s="27">
        <f>IF(K1489="Válida",C1489,NA())</f>
        <v>0</v>
      </c>
      <c r="Q1489" s="27">
        <f>IF(K1489="Válida",I1489,NA())</f>
        <v>0</v>
      </c>
      <c r="R1489" s="27">
        <f>IF(K1489="Válida",J1489,NA())</f>
        <v>0</v>
      </c>
      <c r="S1489" s="27">
        <f>IF(K1489="Válida",C1489,"")</f>
        <v>0</v>
      </c>
      <c r="T1489" s="27">
        <f>IF(K1489="Válida",I1489,"")</f>
        <v>0</v>
      </c>
      <c r="U1489" s="27">
        <f>IF(K1489="Válida",J1489,"")</f>
        <v>0</v>
      </c>
    </row>
    <row r="1490" spans="1:21">
      <c r="A1490" s="25">
        <f>IF(MES!A1490="","",MES!C1490/48)</f>
        <v>0</v>
      </c>
      <c r="B1490" s="26">
        <f>IF(A1490="","",TEXT((N1490*4+cfgDeslocamento)/48,"hh:mm")&amp;" a "&amp;TEXT(A1490,"hh:mm"))</f>
        <v>0</v>
      </c>
      <c r="C1490" s="27">
        <f>IF(A1490="","",MES!B1490)</f>
        <v>0</v>
      </c>
      <c r="D1490" s="27">
        <f>IF(A1490="","",IFERROR(AVERAGEIFS(Prensa!$B$2:$B$5001,Prensa!$E$2:$E$5001,N1490,Prensa!$F$2:$F$5001,1,Prensa!$G$2:$G$5001,1),""))</f>
        <v>0</v>
      </c>
      <c r="E1490" s="27">
        <f>IF(A1490="","",IFERROR(AVERAGEIFS(Prensa!$B$2:$B$5001,Prensa!$E$2:$E$5001,N1490,Prensa!$F$2:$F$5001,2,Prensa!$G$2:$G$5001,1),""))</f>
        <v>0</v>
      </c>
      <c r="F1490" s="27">
        <f>IF(A1490="","",IFERROR(AVERAGEIFS(Prensa!$B$2:$B$5001,Prensa!$E$2:$E$5001,N1490,Prensa!$F$2:$F$5001,3,Prensa!$G$2:$G$5001,1),""))</f>
        <v>0</v>
      </c>
      <c r="G1490" s="27">
        <f>IF(A1490="","",IFERROR(AVERAGEIFS(Prensa!$B$2:$B$5001,Prensa!$E$2:$E$5001,N1490,Prensa!$F$2:$F$5001,4,Prensa!$G$2:$G$5001,1),""))</f>
        <v>0</v>
      </c>
      <c r="H1490" s="26">
        <f>IF(A1490="","",COUNT(D1490:G1490))</f>
        <v>0</v>
      </c>
      <c r="I1490" s="27">
        <f>IF(A1490="","",IF(H1490=0,"",AVERAGE(D1490:G1490)))</f>
        <v>0</v>
      </c>
      <c r="J1490" s="27">
        <f>IF(OR(I1490="",C1490=""),"",I1490-C1490)</f>
        <v>0</v>
      </c>
      <c r="K1490" s="26">
        <f>IF(A1490="","",IF(MES!E1490&lt;&gt;4,"Horário do MES fora do padrão",IF(H1490&lt;cfgMinCortes,"Cortes insuficientes","Válida")))</f>
        <v>0</v>
      </c>
      <c r="L1490" s="27">
        <f>IF(K1490="Válida",ABS(J1490),"")</f>
        <v>0</v>
      </c>
      <c r="M1490" s="26">
        <f>IF(K1490="Válida",IF(L1490&lt;=cfgTolerancia,"Sim","Não"),"")</f>
        <v>0</v>
      </c>
      <c r="N1490" s="26">
        <f>IF(A1490="","",MES!D1490)</f>
        <v>0</v>
      </c>
      <c r="O1490" s="25">
        <f>IF(K1490="Válida",A1490,NA())</f>
        <v>0</v>
      </c>
      <c r="P1490" s="27">
        <f>IF(K1490="Válida",C1490,NA())</f>
        <v>0</v>
      </c>
      <c r="Q1490" s="27">
        <f>IF(K1490="Válida",I1490,NA())</f>
        <v>0</v>
      </c>
      <c r="R1490" s="27">
        <f>IF(K1490="Válida",J1490,NA())</f>
        <v>0</v>
      </c>
      <c r="S1490" s="27">
        <f>IF(K1490="Válida",C1490,"")</f>
        <v>0</v>
      </c>
      <c r="T1490" s="27">
        <f>IF(K1490="Válida",I1490,"")</f>
        <v>0</v>
      </c>
      <c r="U1490" s="27">
        <f>IF(K1490="Válida",J1490,"")</f>
        <v>0</v>
      </c>
    </row>
    <row r="1491" spans="1:21">
      <c r="A1491" s="25">
        <f>IF(MES!A1491="","",MES!C1491/48)</f>
        <v>0</v>
      </c>
      <c r="B1491" s="26">
        <f>IF(A1491="","",TEXT((N1491*4+cfgDeslocamento)/48,"hh:mm")&amp;" a "&amp;TEXT(A1491,"hh:mm"))</f>
        <v>0</v>
      </c>
      <c r="C1491" s="27">
        <f>IF(A1491="","",MES!B1491)</f>
        <v>0</v>
      </c>
      <c r="D1491" s="27">
        <f>IF(A1491="","",IFERROR(AVERAGEIFS(Prensa!$B$2:$B$5001,Prensa!$E$2:$E$5001,N1491,Prensa!$F$2:$F$5001,1,Prensa!$G$2:$G$5001,1),""))</f>
        <v>0</v>
      </c>
      <c r="E1491" s="27">
        <f>IF(A1491="","",IFERROR(AVERAGEIFS(Prensa!$B$2:$B$5001,Prensa!$E$2:$E$5001,N1491,Prensa!$F$2:$F$5001,2,Prensa!$G$2:$G$5001,1),""))</f>
        <v>0</v>
      </c>
      <c r="F1491" s="27">
        <f>IF(A1491="","",IFERROR(AVERAGEIFS(Prensa!$B$2:$B$5001,Prensa!$E$2:$E$5001,N1491,Prensa!$F$2:$F$5001,3,Prensa!$G$2:$G$5001,1),""))</f>
        <v>0</v>
      </c>
      <c r="G1491" s="27">
        <f>IF(A1491="","",IFERROR(AVERAGEIFS(Prensa!$B$2:$B$5001,Prensa!$E$2:$E$5001,N1491,Prensa!$F$2:$F$5001,4,Prensa!$G$2:$G$5001,1),""))</f>
        <v>0</v>
      </c>
      <c r="H1491" s="26">
        <f>IF(A1491="","",COUNT(D1491:G1491))</f>
        <v>0</v>
      </c>
      <c r="I1491" s="27">
        <f>IF(A1491="","",IF(H1491=0,"",AVERAGE(D1491:G1491)))</f>
        <v>0</v>
      </c>
      <c r="J1491" s="27">
        <f>IF(OR(I1491="",C1491=""),"",I1491-C1491)</f>
        <v>0</v>
      </c>
      <c r="K1491" s="26">
        <f>IF(A1491="","",IF(MES!E1491&lt;&gt;4,"Horário do MES fora do padrão",IF(H1491&lt;cfgMinCortes,"Cortes insuficientes","Válida")))</f>
        <v>0</v>
      </c>
      <c r="L1491" s="27">
        <f>IF(K1491="Válida",ABS(J1491),"")</f>
        <v>0</v>
      </c>
      <c r="M1491" s="26">
        <f>IF(K1491="Válida",IF(L1491&lt;=cfgTolerancia,"Sim","Não"),"")</f>
        <v>0</v>
      </c>
      <c r="N1491" s="26">
        <f>IF(A1491="","",MES!D1491)</f>
        <v>0</v>
      </c>
      <c r="O1491" s="25">
        <f>IF(K1491="Válida",A1491,NA())</f>
        <v>0</v>
      </c>
      <c r="P1491" s="27">
        <f>IF(K1491="Válida",C1491,NA())</f>
        <v>0</v>
      </c>
      <c r="Q1491" s="27">
        <f>IF(K1491="Válida",I1491,NA())</f>
        <v>0</v>
      </c>
      <c r="R1491" s="27">
        <f>IF(K1491="Válida",J1491,NA())</f>
        <v>0</v>
      </c>
      <c r="S1491" s="27">
        <f>IF(K1491="Válida",C1491,"")</f>
        <v>0</v>
      </c>
      <c r="T1491" s="27">
        <f>IF(K1491="Válida",I1491,"")</f>
        <v>0</v>
      </c>
      <c r="U1491" s="27">
        <f>IF(K1491="Válida",J1491,"")</f>
        <v>0</v>
      </c>
    </row>
    <row r="1492" spans="1:21">
      <c r="A1492" s="25">
        <f>IF(MES!A1492="","",MES!C1492/48)</f>
        <v>0</v>
      </c>
      <c r="B1492" s="26">
        <f>IF(A1492="","",TEXT((N1492*4+cfgDeslocamento)/48,"hh:mm")&amp;" a "&amp;TEXT(A1492,"hh:mm"))</f>
        <v>0</v>
      </c>
      <c r="C1492" s="27">
        <f>IF(A1492="","",MES!B1492)</f>
        <v>0</v>
      </c>
      <c r="D1492" s="27">
        <f>IF(A1492="","",IFERROR(AVERAGEIFS(Prensa!$B$2:$B$5001,Prensa!$E$2:$E$5001,N1492,Prensa!$F$2:$F$5001,1,Prensa!$G$2:$G$5001,1),""))</f>
        <v>0</v>
      </c>
      <c r="E1492" s="27">
        <f>IF(A1492="","",IFERROR(AVERAGEIFS(Prensa!$B$2:$B$5001,Prensa!$E$2:$E$5001,N1492,Prensa!$F$2:$F$5001,2,Prensa!$G$2:$G$5001,1),""))</f>
        <v>0</v>
      </c>
      <c r="F1492" s="27">
        <f>IF(A1492="","",IFERROR(AVERAGEIFS(Prensa!$B$2:$B$5001,Prensa!$E$2:$E$5001,N1492,Prensa!$F$2:$F$5001,3,Prensa!$G$2:$G$5001,1),""))</f>
        <v>0</v>
      </c>
      <c r="G1492" s="27">
        <f>IF(A1492="","",IFERROR(AVERAGEIFS(Prensa!$B$2:$B$5001,Prensa!$E$2:$E$5001,N1492,Prensa!$F$2:$F$5001,4,Prensa!$G$2:$G$5001,1),""))</f>
        <v>0</v>
      </c>
      <c r="H1492" s="26">
        <f>IF(A1492="","",COUNT(D1492:G1492))</f>
        <v>0</v>
      </c>
      <c r="I1492" s="27">
        <f>IF(A1492="","",IF(H1492=0,"",AVERAGE(D1492:G1492)))</f>
        <v>0</v>
      </c>
      <c r="J1492" s="27">
        <f>IF(OR(I1492="",C1492=""),"",I1492-C1492)</f>
        <v>0</v>
      </c>
      <c r="K1492" s="26">
        <f>IF(A1492="","",IF(MES!E1492&lt;&gt;4,"Horário do MES fora do padrão",IF(H1492&lt;cfgMinCortes,"Cortes insuficientes","Válida")))</f>
        <v>0</v>
      </c>
      <c r="L1492" s="27">
        <f>IF(K1492="Válida",ABS(J1492),"")</f>
        <v>0</v>
      </c>
      <c r="M1492" s="26">
        <f>IF(K1492="Válida",IF(L1492&lt;=cfgTolerancia,"Sim","Não"),"")</f>
        <v>0</v>
      </c>
      <c r="N1492" s="26">
        <f>IF(A1492="","",MES!D1492)</f>
        <v>0</v>
      </c>
      <c r="O1492" s="25">
        <f>IF(K1492="Válida",A1492,NA())</f>
        <v>0</v>
      </c>
      <c r="P1492" s="27">
        <f>IF(K1492="Válida",C1492,NA())</f>
        <v>0</v>
      </c>
      <c r="Q1492" s="27">
        <f>IF(K1492="Válida",I1492,NA())</f>
        <v>0</v>
      </c>
      <c r="R1492" s="27">
        <f>IF(K1492="Válida",J1492,NA())</f>
        <v>0</v>
      </c>
      <c r="S1492" s="27">
        <f>IF(K1492="Válida",C1492,"")</f>
        <v>0</v>
      </c>
      <c r="T1492" s="27">
        <f>IF(K1492="Válida",I1492,"")</f>
        <v>0</v>
      </c>
      <c r="U1492" s="27">
        <f>IF(K1492="Válida",J1492,"")</f>
        <v>0</v>
      </c>
    </row>
    <row r="1493" spans="1:21">
      <c r="A1493" s="25">
        <f>IF(MES!A1493="","",MES!C1493/48)</f>
        <v>0</v>
      </c>
      <c r="B1493" s="26">
        <f>IF(A1493="","",TEXT((N1493*4+cfgDeslocamento)/48,"hh:mm")&amp;" a "&amp;TEXT(A1493,"hh:mm"))</f>
        <v>0</v>
      </c>
      <c r="C1493" s="27">
        <f>IF(A1493="","",MES!B1493)</f>
        <v>0</v>
      </c>
      <c r="D1493" s="27">
        <f>IF(A1493="","",IFERROR(AVERAGEIFS(Prensa!$B$2:$B$5001,Prensa!$E$2:$E$5001,N1493,Prensa!$F$2:$F$5001,1,Prensa!$G$2:$G$5001,1),""))</f>
        <v>0</v>
      </c>
      <c r="E1493" s="27">
        <f>IF(A1493="","",IFERROR(AVERAGEIFS(Prensa!$B$2:$B$5001,Prensa!$E$2:$E$5001,N1493,Prensa!$F$2:$F$5001,2,Prensa!$G$2:$G$5001,1),""))</f>
        <v>0</v>
      </c>
      <c r="F1493" s="27">
        <f>IF(A1493="","",IFERROR(AVERAGEIFS(Prensa!$B$2:$B$5001,Prensa!$E$2:$E$5001,N1493,Prensa!$F$2:$F$5001,3,Prensa!$G$2:$G$5001,1),""))</f>
        <v>0</v>
      </c>
      <c r="G1493" s="27">
        <f>IF(A1493="","",IFERROR(AVERAGEIFS(Prensa!$B$2:$B$5001,Prensa!$E$2:$E$5001,N1493,Prensa!$F$2:$F$5001,4,Prensa!$G$2:$G$5001,1),""))</f>
        <v>0</v>
      </c>
      <c r="H1493" s="26">
        <f>IF(A1493="","",COUNT(D1493:G1493))</f>
        <v>0</v>
      </c>
      <c r="I1493" s="27">
        <f>IF(A1493="","",IF(H1493=0,"",AVERAGE(D1493:G1493)))</f>
        <v>0</v>
      </c>
      <c r="J1493" s="27">
        <f>IF(OR(I1493="",C1493=""),"",I1493-C1493)</f>
        <v>0</v>
      </c>
      <c r="K1493" s="26">
        <f>IF(A1493="","",IF(MES!E1493&lt;&gt;4,"Horário do MES fora do padrão",IF(H1493&lt;cfgMinCortes,"Cortes insuficientes","Válida")))</f>
        <v>0</v>
      </c>
      <c r="L1493" s="27">
        <f>IF(K1493="Válida",ABS(J1493),"")</f>
        <v>0</v>
      </c>
      <c r="M1493" s="26">
        <f>IF(K1493="Válida",IF(L1493&lt;=cfgTolerancia,"Sim","Não"),"")</f>
        <v>0</v>
      </c>
      <c r="N1493" s="26">
        <f>IF(A1493="","",MES!D1493)</f>
        <v>0</v>
      </c>
      <c r="O1493" s="25">
        <f>IF(K1493="Válida",A1493,NA())</f>
        <v>0</v>
      </c>
      <c r="P1493" s="27">
        <f>IF(K1493="Válida",C1493,NA())</f>
        <v>0</v>
      </c>
      <c r="Q1493" s="27">
        <f>IF(K1493="Válida",I1493,NA())</f>
        <v>0</v>
      </c>
      <c r="R1493" s="27">
        <f>IF(K1493="Válida",J1493,NA())</f>
        <v>0</v>
      </c>
      <c r="S1493" s="27">
        <f>IF(K1493="Válida",C1493,"")</f>
        <v>0</v>
      </c>
      <c r="T1493" s="27">
        <f>IF(K1493="Válida",I1493,"")</f>
        <v>0</v>
      </c>
      <c r="U1493" s="27">
        <f>IF(K1493="Válida",J1493,"")</f>
        <v>0</v>
      </c>
    </row>
    <row r="1494" spans="1:21">
      <c r="A1494" s="25">
        <f>IF(MES!A1494="","",MES!C1494/48)</f>
        <v>0</v>
      </c>
      <c r="B1494" s="26">
        <f>IF(A1494="","",TEXT((N1494*4+cfgDeslocamento)/48,"hh:mm")&amp;" a "&amp;TEXT(A1494,"hh:mm"))</f>
        <v>0</v>
      </c>
      <c r="C1494" s="27">
        <f>IF(A1494="","",MES!B1494)</f>
        <v>0</v>
      </c>
      <c r="D1494" s="27">
        <f>IF(A1494="","",IFERROR(AVERAGEIFS(Prensa!$B$2:$B$5001,Prensa!$E$2:$E$5001,N1494,Prensa!$F$2:$F$5001,1,Prensa!$G$2:$G$5001,1),""))</f>
        <v>0</v>
      </c>
      <c r="E1494" s="27">
        <f>IF(A1494="","",IFERROR(AVERAGEIFS(Prensa!$B$2:$B$5001,Prensa!$E$2:$E$5001,N1494,Prensa!$F$2:$F$5001,2,Prensa!$G$2:$G$5001,1),""))</f>
        <v>0</v>
      </c>
      <c r="F1494" s="27">
        <f>IF(A1494="","",IFERROR(AVERAGEIFS(Prensa!$B$2:$B$5001,Prensa!$E$2:$E$5001,N1494,Prensa!$F$2:$F$5001,3,Prensa!$G$2:$G$5001,1),""))</f>
        <v>0</v>
      </c>
      <c r="G1494" s="27">
        <f>IF(A1494="","",IFERROR(AVERAGEIFS(Prensa!$B$2:$B$5001,Prensa!$E$2:$E$5001,N1494,Prensa!$F$2:$F$5001,4,Prensa!$G$2:$G$5001,1),""))</f>
        <v>0</v>
      </c>
      <c r="H1494" s="26">
        <f>IF(A1494="","",COUNT(D1494:G1494))</f>
        <v>0</v>
      </c>
      <c r="I1494" s="27">
        <f>IF(A1494="","",IF(H1494=0,"",AVERAGE(D1494:G1494)))</f>
        <v>0</v>
      </c>
      <c r="J1494" s="27">
        <f>IF(OR(I1494="",C1494=""),"",I1494-C1494)</f>
        <v>0</v>
      </c>
      <c r="K1494" s="26">
        <f>IF(A1494="","",IF(MES!E1494&lt;&gt;4,"Horário do MES fora do padrão",IF(H1494&lt;cfgMinCortes,"Cortes insuficientes","Válida")))</f>
        <v>0</v>
      </c>
      <c r="L1494" s="27">
        <f>IF(K1494="Válida",ABS(J1494),"")</f>
        <v>0</v>
      </c>
      <c r="M1494" s="26">
        <f>IF(K1494="Válida",IF(L1494&lt;=cfgTolerancia,"Sim","Não"),"")</f>
        <v>0</v>
      </c>
      <c r="N1494" s="26">
        <f>IF(A1494="","",MES!D1494)</f>
        <v>0</v>
      </c>
      <c r="O1494" s="25">
        <f>IF(K1494="Válida",A1494,NA())</f>
        <v>0</v>
      </c>
      <c r="P1494" s="27">
        <f>IF(K1494="Válida",C1494,NA())</f>
        <v>0</v>
      </c>
      <c r="Q1494" s="27">
        <f>IF(K1494="Válida",I1494,NA())</f>
        <v>0</v>
      </c>
      <c r="R1494" s="27">
        <f>IF(K1494="Válida",J1494,NA())</f>
        <v>0</v>
      </c>
      <c r="S1494" s="27">
        <f>IF(K1494="Válida",C1494,"")</f>
        <v>0</v>
      </c>
      <c r="T1494" s="27">
        <f>IF(K1494="Válida",I1494,"")</f>
        <v>0</v>
      </c>
      <c r="U1494" s="27">
        <f>IF(K1494="Válida",J1494,"")</f>
        <v>0</v>
      </c>
    </row>
    <row r="1495" spans="1:21">
      <c r="A1495" s="25">
        <f>IF(MES!A1495="","",MES!C1495/48)</f>
        <v>0</v>
      </c>
      <c r="B1495" s="26">
        <f>IF(A1495="","",TEXT((N1495*4+cfgDeslocamento)/48,"hh:mm")&amp;" a "&amp;TEXT(A1495,"hh:mm"))</f>
        <v>0</v>
      </c>
      <c r="C1495" s="27">
        <f>IF(A1495="","",MES!B1495)</f>
        <v>0</v>
      </c>
      <c r="D1495" s="27">
        <f>IF(A1495="","",IFERROR(AVERAGEIFS(Prensa!$B$2:$B$5001,Prensa!$E$2:$E$5001,N1495,Prensa!$F$2:$F$5001,1,Prensa!$G$2:$G$5001,1),""))</f>
        <v>0</v>
      </c>
      <c r="E1495" s="27">
        <f>IF(A1495="","",IFERROR(AVERAGEIFS(Prensa!$B$2:$B$5001,Prensa!$E$2:$E$5001,N1495,Prensa!$F$2:$F$5001,2,Prensa!$G$2:$G$5001,1),""))</f>
        <v>0</v>
      </c>
      <c r="F1495" s="27">
        <f>IF(A1495="","",IFERROR(AVERAGEIFS(Prensa!$B$2:$B$5001,Prensa!$E$2:$E$5001,N1495,Prensa!$F$2:$F$5001,3,Prensa!$G$2:$G$5001,1),""))</f>
        <v>0</v>
      </c>
      <c r="G1495" s="27">
        <f>IF(A1495="","",IFERROR(AVERAGEIFS(Prensa!$B$2:$B$5001,Prensa!$E$2:$E$5001,N1495,Prensa!$F$2:$F$5001,4,Prensa!$G$2:$G$5001,1),""))</f>
        <v>0</v>
      </c>
      <c r="H1495" s="26">
        <f>IF(A1495="","",COUNT(D1495:G1495))</f>
        <v>0</v>
      </c>
      <c r="I1495" s="27">
        <f>IF(A1495="","",IF(H1495=0,"",AVERAGE(D1495:G1495)))</f>
        <v>0</v>
      </c>
      <c r="J1495" s="27">
        <f>IF(OR(I1495="",C1495=""),"",I1495-C1495)</f>
        <v>0</v>
      </c>
      <c r="K1495" s="26">
        <f>IF(A1495="","",IF(MES!E1495&lt;&gt;4,"Horário do MES fora do padrão",IF(H1495&lt;cfgMinCortes,"Cortes insuficientes","Válida")))</f>
        <v>0</v>
      </c>
      <c r="L1495" s="27">
        <f>IF(K1495="Válida",ABS(J1495),"")</f>
        <v>0</v>
      </c>
      <c r="M1495" s="26">
        <f>IF(K1495="Válida",IF(L1495&lt;=cfgTolerancia,"Sim","Não"),"")</f>
        <v>0</v>
      </c>
      <c r="N1495" s="26">
        <f>IF(A1495="","",MES!D1495)</f>
        <v>0</v>
      </c>
      <c r="O1495" s="25">
        <f>IF(K1495="Válida",A1495,NA())</f>
        <v>0</v>
      </c>
      <c r="P1495" s="27">
        <f>IF(K1495="Válida",C1495,NA())</f>
        <v>0</v>
      </c>
      <c r="Q1495" s="27">
        <f>IF(K1495="Válida",I1495,NA())</f>
        <v>0</v>
      </c>
      <c r="R1495" s="27">
        <f>IF(K1495="Válida",J1495,NA())</f>
        <v>0</v>
      </c>
      <c r="S1495" s="27">
        <f>IF(K1495="Válida",C1495,"")</f>
        <v>0</v>
      </c>
      <c r="T1495" s="27">
        <f>IF(K1495="Válida",I1495,"")</f>
        <v>0</v>
      </c>
      <c r="U1495" s="27">
        <f>IF(K1495="Válida",J1495,"")</f>
        <v>0</v>
      </c>
    </row>
    <row r="1496" spans="1:21">
      <c r="A1496" s="25">
        <f>IF(MES!A1496="","",MES!C1496/48)</f>
        <v>0</v>
      </c>
      <c r="B1496" s="26">
        <f>IF(A1496="","",TEXT((N1496*4+cfgDeslocamento)/48,"hh:mm")&amp;" a "&amp;TEXT(A1496,"hh:mm"))</f>
        <v>0</v>
      </c>
      <c r="C1496" s="27">
        <f>IF(A1496="","",MES!B1496)</f>
        <v>0</v>
      </c>
      <c r="D1496" s="27">
        <f>IF(A1496="","",IFERROR(AVERAGEIFS(Prensa!$B$2:$B$5001,Prensa!$E$2:$E$5001,N1496,Prensa!$F$2:$F$5001,1,Prensa!$G$2:$G$5001,1),""))</f>
        <v>0</v>
      </c>
      <c r="E1496" s="27">
        <f>IF(A1496="","",IFERROR(AVERAGEIFS(Prensa!$B$2:$B$5001,Prensa!$E$2:$E$5001,N1496,Prensa!$F$2:$F$5001,2,Prensa!$G$2:$G$5001,1),""))</f>
        <v>0</v>
      </c>
      <c r="F1496" s="27">
        <f>IF(A1496="","",IFERROR(AVERAGEIFS(Prensa!$B$2:$B$5001,Prensa!$E$2:$E$5001,N1496,Prensa!$F$2:$F$5001,3,Prensa!$G$2:$G$5001,1),""))</f>
        <v>0</v>
      </c>
      <c r="G1496" s="27">
        <f>IF(A1496="","",IFERROR(AVERAGEIFS(Prensa!$B$2:$B$5001,Prensa!$E$2:$E$5001,N1496,Prensa!$F$2:$F$5001,4,Prensa!$G$2:$G$5001,1),""))</f>
        <v>0</v>
      </c>
      <c r="H1496" s="26">
        <f>IF(A1496="","",COUNT(D1496:G1496))</f>
        <v>0</v>
      </c>
      <c r="I1496" s="27">
        <f>IF(A1496="","",IF(H1496=0,"",AVERAGE(D1496:G1496)))</f>
        <v>0</v>
      </c>
      <c r="J1496" s="27">
        <f>IF(OR(I1496="",C1496=""),"",I1496-C1496)</f>
        <v>0</v>
      </c>
      <c r="K1496" s="26">
        <f>IF(A1496="","",IF(MES!E1496&lt;&gt;4,"Horário do MES fora do padrão",IF(H1496&lt;cfgMinCortes,"Cortes insuficientes","Válida")))</f>
        <v>0</v>
      </c>
      <c r="L1496" s="27">
        <f>IF(K1496="Válida",ABS(J1496),"")</f>
        <v>0</v>
      </c>
      <c r="M1496" s="26">
        <f>IF(K1496="Válida",IF(L1496&lt;=cfgTolerancia,"Sim","Não"),"")</f>
        <v>0</v>
      </c>
      <c r="N1496" s="26">
        <f>IF(A1496="","",MES!D1496)</f>
        <v>0</v>
      </c>
      <c r="O1496" s="25">
        <f>IF(K1496="Válida",A1496,NA())</f>
        <v>0</v>
      </c>
      <c r="P1496" s="27">
        <f>IF(K1496="Válida",C1496,NA())</f>
        <v>0</v>
      </c>
      <c r="Q1496" s="27">
        <f>IF(K1496="Válida",I1496,NA())</f>
        <v>0</v>
      </c>
      <c r="R1496" s="27">
        <f>IF(K1496="Válida",J1496,NA())</f>
        <v>0</v>
      </c>
      <c r="S1496" s="27">
        <f>IF(K1496="Válida",C1496,"")</f>
        <v>0</v>
      </c>
      <c r="T1496" s="27">
        <f>IF(K1496="Válida",I1496,"")</f>
        <v>0</v>
      </c>
      <c r="U1496" s="27">
        <f>IF(K1496="Válida",J1496,"")</f>
        <v>0</v>
      </c>
    </row>
    <row r="1497" spans="1:21">
      <c r="A1497" s="25">
        <f>IF(MES!A1497="","",MES!C1497/48)</f>
        <v>0</v>
      </c>
      <c r="B1497" s="26">
        <f>IF(A1497="","",TEXT((N1497*4+cfgDeslocamento)/48,"hh:mm")&amp;" a "&amp;TEXT(A1497,"hh:mm"))</f>
        <v>0</v>
      </c>
      <c r="C1497" s="27">
        <f>IF(A1497="","",MES!B1497)</f>
        <v>0</v>
      </c>
      <c r="D1497" s="27">
        <f>IF(A1497="","",IFERROR(AVERAGEIFS(Prensa!$B$2:$B$5001,Prensa!$E$2:$E$5001,N1497,Prensa!$F$2:$F$5001,1,Prensa!$G$2:$G$5001,1),""))</f>
        <v>0</v>
      </c>
      <c r="E1497" s="27">
        <f>IF(A1497="","",IFERROR(AVERAGEIFS(Prensa!$B$2:$B$5001,Prensa!$E$2:$E$5001,N1497,Prensa!$F$2:$F$5001,2,Prensa!$G$2:$G$5001,1),""))</f>
        <v>0</v>
      </c>
      <c r="F1497" s="27">
        <f>IF(A1497="","",IFERROR(AVERAGEIFS(Prensa!$B$2:$B$5001,Prensa!$E$2:$E$5001,N1497,Prensa!$F$2:$F$5001,3,Prensa!$G$2:$G$5001,1),""))</f>
        <v>0</v>
      </c>
      <c r="G1497" s="27">
        <f>IF(A1497="","",IFERROR(AVERAGEIFS(Prensa!$B$2:$B$5001,Prensa!$E$2:$E$5001,N1497,Prensa!$F$2:$F$5001,4,Prensa!$G$2:$G$5001,1),""))</f>
        <v>0</v>
      </c>
      <c r="H1497" s="26">
        <f>IF(A1497="","",COUNT(D1497:G1497))</f>
        <v>0</v>
      </c>
      <c r="I1497" s="27">
        <f>IF(A1497="","",IF(H1497=0,"",AVERAGE(D1497:G1497)))</f>
        <v>0</v>
      </c>
      <c r="J1497" s="27">
        <f>IF(OR(I1497="",C1497=""),"",I1497-C1497)</f>
        <v>0</v>
      </c>
      <c r="K1497" s="26">
        <f>IF(A1497="","",IF(MES!E1497&lt;&gt;4,"Horário do MES fora do padrão",IF(H1497&lt;cfgMinCortes,"Cortes insuficientes","Válida")))</f>
        <v>0</v>
      </c>
      <c r="L1497" s="27">
        <f>IF(K1497="Válida",ABS(J1497),"")</f>
        <v>0</v>
      </c>
      <c r="M1497" s="26">
        <f>IF(K1497="Válida",IF(L1497&lt;=cfgTolerancia,"Sim","Não"),"")</f>
        <v>0</v>
      </c>
      <c r="N1497" s="26">
        <f>IF(A1497="","",MES!D1497)</f>
        <v>0</v>
      </c>
      <c r="O1497" s="25">
        <f>IF(K1497="Válida",A1497,NA())</f>
        <v>0</v>
      </c>
      <c r="P1497" s="27">
        <f>IF(K1497="Válida",C1497,NA())</f>
        <v>0</v>
      </c>
      <c r="Q1497" s="27">
        <f>IF(K1497="Válida",I1497,NA())</f>
        <v>0</v>
      </c>
      <c r="R1497" s="27">
        <f>IF(K1497="Válida",J1497,NA())</f>
        <v>0</v>
      </c>
      <c r="S1497" s="27">
        <f>IF(K1497="Válida",C1497,"")</f>
        <v>0</v>
      </c>
      <c r="T1497" s="27">
        <f>IF(K1497="Válida",I1497,"")</f>
        <v>0</v>
      </c>
      <c r="U1497" s="27">
        <f>IF(K1497="Válida",J1497,"")</f>
        <v>0</v>
      </c>
    </row>
    <row r="1498" spans="1:21">
      <c r="A1498" s="25">
        <f>IF(MES!A1498="","",MES!C1498/48)</f>
        <v>0</v>
      </c>
      <c r="B1498" s="26">
        <f>IF(A1498="","",TEXT((N1498*4+cfgDeslocamento)/48,"hh:mm")&amp;" a "&amp;TEXT(A1498,"hh:mm"))</f>
        <v>0</v>
      </c>
      <c r="C1498" s="27">
        <f>IF(A1498="","",MES!B1498)</f>
        <v>0</v>
      </c>
      <c r="D1498" s="27">
        <f>IF(A1498="","",IFERROR(AVERAGEIFS(Prensa!$B$2:$B$5001,Prensa!$E$2:$E$5001,N1498,Prensa!$F$2:$F$5001,1,Prensa!$G$2:$G$5001,1),""))</f>
        <v>0</v>
      </c>
      <c r="E1498" s="27">
        <f>IF(A1498="","",IFERROR(AVERAGEIFS(Prensa!$B$2:$B$5001,Prensa!$E$2:$E$5001,N1498,Prensa!$F$2:$F$5001,2,Prensa!$G$2:$G$5001,1),""))</f>
        <v>0</v>
      </c>
      <c r="F1498" s="27">
        <f>IF(A1498="","",IFERROR(AVERAGEIFS(Prensa!$B$2:$B$5001,Prensa!$E$2:$E$5001,N1498,Prensa!$F$2:$F$5001,3,Prensa!$G$2:$G$5001,1),""))</f>
        <v>0</v>
      </c>
      <c r="G1498" s="27">
        <f>IF(A1498="","",IFERROR(AVERAGEIFS(Prensa!$B$2:$B$5001,Prensa!$E$2:$E$5001,N1498,Prensa!$F$2:$F$5001,4,Prensa!$G$2:$G$5001,1),""))</f>
        <v>0</v>
      </c>
      <c r="H1498" s="26">
        <f>IF(A1498="","",COUNT(D1498:G1498))</f>
        <v>0</v>
      </c>
      <c r="I1498" s="27">
        <f>IF(A1498="","",IF(H1498=0,"",AVERAGE(D1498:G1498)))</f>
        <v>0</v>
      </c>
      <c r="J1498" s="27">
        <f>IF(OR(I1498="",C1498=""),"",I1498-C1498)</f>
        <v>0</v>
      </c>
      <c r="K1498" s="26">
        <f>IF(A1498="","",IF(MES!E1498&lt;&gt;4,"Horário do MES fora do padrão",IF(H1498&lt;cfgMinCortes,"Cortes insuficientes","Válida")))</f>
        <v>0</v>
      </c>
      <c r="L1498" s="27">
        <f>IF(K1498="Válida",ABS(J1498),"")</f>
        <v>0</v>
      </c>
      <c r="M1498" s="26">
        <f>IF(K1498="Válida",IF(L1498&lt;=cfgTolerancia,"Sim","Não"),"")</f>
        <v>0</v>
      </c>
      <c r="N1498" s="26">
        <f>IF(A1498="","",MES!D1498)</f>
        <v>0</v>
      </c>
      <c r="O1498" s="25">
        <f>IF(K1498="Válida",A1498,NA())</f>
        <v>0</v>
      </c>
      <c r="P1498" s="27">
        <f>IF(K1498="Válida",C1498,NA())</f>
        <v>0</v>
      </c>
      <c r="Q1498" s="27">
        <f>IF(K1498="Válida",I1498,NA())</f>
        <v>0</v>
      </c>
      <c r="R1498" s="27">
        <f>IF(K1498="Válida",J1498,NA())</f>
        <v>0</v>
      </c>
      <c r="S1498" s="27">
        <f>IF(K1498="Válida",C1498,"")</f>
        <v>0</v>
      </c>
      <c r="T1498" s="27">
        <f>IF(K1498="Válida",I1498,"")</f>
        <v>0</v>
      </c>
      <c r="U1498" s="27">
        <f>IF(K1498="Válida",J1498,"")</f>
        <v>0</v>
      </c>
    </row>
    <row r="1499" spans="1:21">
      <c r="A1499" s="25">
        <f>IF(MES!A1499="","",MES!C1499/48)</f>
        <v>0</v>
      </c>
      <c r="B1499" s="26">
        <f>IF(A1499="","",TEXT((N1499*4+cfgDeslocamento)/48,"hh:mm")&amp;" a "&amp;TEXT(A1499,"hh:mm"))</f>
        <v>0</v>
      </c>
      <c r="C1499" s="27">
        <f>IF(A1499="","",MES!B1499)</f>
        <v>0</v>
      </c>
      <c r="D1499" s="27">
        <f>IF(A1499="","",IFERROR(AVERAGEIFS(Prensa!$B$2:$B$5001,Prensa!$E$2:$E$5001,N1499,Prensa!$F$2:$F$5001,1,Prensa!$G$2:$G$5001,1),""))</f>
        <v>0</v>
      </c>
      <c r="E1499" s="27">
        <f>IF(A1499="","",IFERROR(AVERAGEIFS(Prensa!$B$2:$B$5001,Prensa!$E$2:$E$5001,N1499,Prensa!$F$2:$F$5001,2,Prensa!$G$2:$G$5001,1),""))</f>
        <v>0</v>
      </c>
      <c r="F1499" s="27">
        <f>IF(A1499="","",IFERROR(AVERAGEIFS(Prensa!$B$2:$B$5001,Prensa!$E$2:$E$5001,N1499,Prensa!$F$2:$F$5001,3,Prensa!$G$2:$G$5001,1),""))</f>
        <v>0</v>
      </c>
      <c r="G1499" s="27">
        <f>IF(A1499="","",IFERROR(AVERAGEIFS(Prensa!$B$2:$B$5001,Prensa!$E$2:$E$5001,N1499,Prensa!$F$2:$F$5001,4,Prensa!$G$2:$G$5001,1),""))</f>
        <v>0</v>
      </c>
      <c r="H1499" s="26">
        <f>IF(A1499="","",COUNT(D1499:G1499))</f>
        <v>0</v>
      </c>
      <c r="I1499" s="27">
        <f>IF(A1499="","",IF(H1499=0,"",AVERAGE(D1499:G1499)))</f>
        <v>0</v>
      </c>
      <c r="J1499" s="27">
        <f>IF(OR(I1499="",C1499=""),"",I1499-C1499)</f>
        <v>0</v>
      </c>
      <c r="K1499" s="26">
        <f>IF(A1499="","",IF(MES!E1499&lt;&gt;4,"Horário do MES fora do padrão",IF(H1499&lt;cfgMinCortes,"Cortes insuficientes","Válida")))</f>
        <v>0</v>
      </c>
      <c r="L1499" s="27">
        <f>IF(K1499="Válida",ABS(J1499),"")</f>
        <v>0</v>
      </c>
      <c r="M1499" s="26">
        <f>IF(K1499="Válida",IF(L1499&lt;=cfgTolerancia,"Sim","Não"),"")</f>
        <v>0</v>
      </c>
      <c r="N1499" s="26">
        <f>IF(A1499="","",MES!D1499)</f>
        <v>0</v>
      </c>
      <c r="O1499" s="25">
        <f>IF(K1499="Válida",A1499,NA())</f>
        <v>0</v>
      </c>
      <c r="P1499" s="27">
        <f>IF(K1499="Válida",C1499,NA())</f>
        <v>0</v>
      </c>
      <c r="Q1499" s="27">
        <f>IF(K1499="Válida",I1499,NA())</f>
        <v>0</v>
      </c>
      <c r="R1499" s="27">
        <f>IF(K1499="Válida",J1499,NA())</f>
        <v>0</v>
      </c>
      <c r="S1499" s="27">
        <f>IF(K1499="Válida",C1499,"")</f>
        <v>0</v>
      </c>
      <c r="T1499" s="27">
        <f>IF(K1499="Válida",I1499,"")</f>
        <v>0</v>
      </c>
      <c r="U1499" s="27">
        <f>IF(K1499="Válida",J1499,"")</f>
        <v>0</v>
      </c>
    </row>
    <row r="1500" spans="1:21">
      <c r="A1500" s="25">
        <f>IF(MES!A1500="","",MES!C1500/48)</f>
        <v>0</v>
      </c>
      <c r="B1500" s="26">
        <f>IF(A1500="","",TEXT((N1500*4+cfgDeslocamento)/48,"hh:mm")&amp;" a "&amp;TEXT(A1500,"hh:mm"))</f>
        <v>0</v>
      </c>
      <c r="C1500" s="27">
        <f>IF(A1500="","",MES!B1500)</f>
        <v>0</v>
      </c>
      <c r="D1500" s="27">
        <f>IF(A1500="","",IFERROR(AVERAGEIFS(Prensa!$B$2:$B$5001,Prensa!$E$2:$E$5001,N1500,Prensa!$F$2:$F$5001,1,Prensa!$G$2:$G$5001,1),""))</f>
        <v>0</v>
      </c>
      <c r="E1500" s="27">
        <f>IF(A1500="","",IFERROR(AVERAGEIFS(Prensa!$B$2:$B$5001,Prensa!$E$2:$E$5001,N1500,Prensa!$F$2:$F$5001,2,Prensa!$G$2:$G$5001,1),""))</f>
        <v>0</v>
      </c>
      <c r="F1500" s="27">
        <f>IF(A1500="","",IFERROR(AVERAGEIFS(Prensa!$B$2:$B$5001,Prensa!$E$2:$E$5001,N1500,Prensa!$F$2:$F$5001,3,Prensa!$G$2:$G$5001,1),""))</f>
        <v>0</v>
      </c>
      <c r="G1500" s="27">
        <f>IF(A1500="","",IFERROR(AVERAGEIFS(Prensa!$B$2:$B$5001,Prensa!$E$2:$E$5001,N1500,Prensa!$F$2:$F$5001,4,Prensa!$G$2:$G$5001,1),""))</f>
        <v>0</v>
      </c>
      <c r="H1500" s="26">
        <f>IF(A1500="","",COUNT(D1500:G1500))</f>
        <v>0</v>
      </c>
      <c r="I1500" s="27">
        <f>IF(A1500="","",IF(H1500=0,"",AVERAGE(D1500:G1500)))</f>
        <v>0</v>
      </c>
      <c r="J1500" s="27">
        <f>IF(OR(I1500="",C1500=""),"",I1500-C1500)</f>
        <v>0</v>
      </c>
      <c r="K1500" s="26">
        <f>IF(A1500="","",IF(MES!E1500&lt;&gt;4,"Horário do MES fora do padrão",IF(H1500&lt;cfgMinCortes,"Cortes insuficientes","Válida")))</f>
        <v>0</v>
      </c>
      <c r="L1500" s="27">
        <f>IF(K1500="Válida",ABS(J1500),"")</f>
        <v>0</v>
      </c>
      <c r="M1500" s="26">
        <f>IF(K1500="Válida",IF(L1500&lt;=cfgTolerancia,"Sim","Não"),"")</f>
        <v>0</v>
      </c>
      <c r="N1500" s="26">
        <f>IF(A1500="","",MES!D1500)</f>
        <v>0</v>
      </c>
      <c r="O1500" s="25">
        <f>IF(K1500="Válida",A1500,NA())</f>
        <v>0</v>
      </c>
      <c r="P1500" s="27">
        <f>IF(K1500="Válida",C1500,NA())</f>
        <v>0</v>
      </c>
      <c r="Q1500" s="27">
        <f>IF(K1500="Válida",I1500,NA())</f>
        <v>0</v>
      </c>
      <c r="R1500" s="27">
        <f>IF(K1500="Válida",J1500,NA())</f>
        <v>0</v>
      </c>
      <c r="S1500" s="27">
        <f>IF(K1500="Válida",C1500,"")</f>
        <v>0</v>
      </c>
      <c r="T1500" s="27">
        <f>IF(K1500="Válida",I1500,"")</f>
        <v>0</v>
      </c>
      <c r="U1500" s="27">
        <f>IF(K1500="Válida",J1500,"")</f>
        <v>0</v>
      </c>
    </row>
    <row r="1501" spans="1:21">
      <c r="A1501" s="25">
        <f>IF(MES!A1501="","",MES!C1501/48)</f>
        <v>0</v>
      </c>
      <c r="B1501" s="26">
        <f>IF(A1501="","",TEXT((N1501*4+cfgDeslocamento)/48,"hh:mm")&amp;" a "&amp;TEXT(A1501,"hh:mm"))</f>
        <v>0</v>
      </c>
      <c r="C1501" s="27">
        <f>IF(A1501="","",MES!B1501)</f>
        <v>0</v>
      </c>
      <c r="D1501" s="27">
        <f>IF(A1501="","",IFERROR(AVERAGEIFS(Prensa!$B$2:$B$5001,Prensa!$E$2:$E$5001,N1501,Prensa!$F$2:$F$5001,1,Prensa!$G$2:$G$5001,1),""))</f>
        <v>0</v>
      </c>
      <c r="E1501" s="27">
        <f>IF(A1501="","",IFERROR(AVERAGEIFS(Prensa!$B$2:$B$5001,Prensa!$E$2:$E$5001,N1501,Prensa!$F$2:$F$5001,2,Prensa!$G$2:$G$5001,1),""))</f>
        <v>0</v>
      </c>
      <c r="F1501" s="27">
        <f>IF(A1501="","",IFERROR(AVERAGEIFS(Prensa!$B$2:$B$5001,Prensa!$E$2:$E$5001,N1501,Prensa!$F$2:$F$5001,3,Prensa!$G$2:$G$5001,1),""))</f>
        <v>0</v>
      </c>
      <c r="G1501" s="27">
        <f>IF(A1501="","",IFERROR(AVERAGEIFS(Prensa!$B$2:$B$5001,Prensa!$E$2:$E$5001,N1501,Prensa!$F$2:$F$5001,4,Prensa!$G$2:$G$5001,1),""))</f>
        <v>0</v>
      </c>
      <c r="H1501" s="26">
        <f>IF(A1501="","",COUNT(D1501:G1501))</f>
        <v>0</v>
      </c>
      <c r="I1501" s="27">
        <f>IF(A1501="","",IF(H1501=0,"",AVERAGE(D1501:G1501)))</f>
        <v>0</v>
      </c>
      <c r="J1501" s="27">
        <f>IF(OR(I1501="",C1501=""),"",I1501-C1501)</f>
        <v>0</v>
      </c>
      <c r="K1501" s="26">
        <f>IF(A1501="","",IF(MES!E1501&lt;&gt;4,"Horário do MES fora do padrão",IF(H1501&lt;cfgMinCortes,"Cortes insuficientes","Válida")))</f>
        <v>0</v>
      </c>
      <c r="L1501" s="27">
        <f>IF(K1501="Válida",ABS(J1501),"")</f>
        <v>0</v>
      </c>
      <c r="M1501" s="26">
        <f>IF(K1501="Válida",IF(L1501&lt;=cfgTolerancia,"Sim","Não"),"")</f>
        <v>0</v>
      </c>
      <c r="N1501" s="26">
        <f>IF(A1501="","",MES!D1501)</f>
        <v>0</v>
      </c>
      <c r="O1501" s="25">
        <f>IF(K1501="Válida",A1501,NA())</f>
        <v>0</v>
      </c>
      <c r="P1501" s="27">
        <f>IF(K1501="Válida",C1501,NA())</f>
        <v>0</v>
      </c>
      <c r="Q1501" s="27">
        <f>IF(K1501="Válida",I1501,NA())</f>
        <v>0</v>
      </c>
      <c r="R1501" s="27">
        <f>IF(K1501="Válida",J1501,NA())</f>
        <v>0</v>
      </c>
      <c r="S1501" s="27">
        <f>IF(K1501="Válida",C1501,"")</f>
        <v>0</v>
      </c>
      <c r="T1501" s="27">
        <f>IF(K1501="Válida",I1501,"")</f>
        <v>0</v>
      </c>
      <c r="U1501" s="27">
        <f>IF(K1501="Válida",J1501,"")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"/>
  <dimension ref="A1:F8"/>
  <sheetViews>
    <sheetView workbookViewId="0"/>
  </sheetViews>
  <sheetFormatPr defaultRowHeight="15"/>
  <cols>
    <col min="1" max="1" width="19.7109375" customWidth="1"/>
    <col min="2" max="2" width="21.7109375" customWidth="1"/>
    <col min="5" max="5" width="19.7109375" customWidth="1"/>
    <col min="6" max="6" width="21.7109375" customWidth="1"/>
  </cols>
  <sheetData>
    <row r="1" spans="1:6">
      <c r="A1" s="5" t="s">
        <v>48</v>
      </c>
    </row>
    <row r="3" spans="1:6">
      <c r="A3" t="s">
        <v>49</v>
      </c>
      <c r="B3" t="s">
        <v>50</v>
      </c>
    </row>
    <row r="4" spans="1:6">
      <c r="A4" t="s">
        <v>51</v>
      </c>
      <c r="B4" t="s">
        <v>50</v>
      </c>
    </row>
    <row r="6" spans="1:6">
      <c r="A6" s="5" t="s">
        <v>52</v>
      </c>
      <c r="E6" s="5" t="s">
        <v>55</v>
      </c>
    </row>
    <row r="7" spans="1:6">
      <c r="A7" t="s">
        <v>53</v>
      </c>
      <c r="E7" t="s">
        <v>53</v>
      </c>
    </row>
    <row r="8" spans="1:6">
      <c r="A8" s="16" t="s">
        <v>54</v>
      </c>
      <c r="B8" s="16" t="s">
        <v>1</v>
      </c>
      <c r="E8" s="16" t="s">
        <v>54</v>
      </c>
      <c r="F8" s="16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Painel</vt:lpstr>
      <vt:lpstr>Leia-me</vt:lpstr>
      <vt:lpstr>Configurações</vt:lpstr>
      <vt:lpstr>Prensa</vt:lpstr>
      <vt:lpstr>MES</vt:lpstr>
      <vt:lpstr>Correlacao</vt:lpstr>
      <vt:lpstr>Dados_PIMS</vt:lpstr>
      <vt:lpstr>cfgAjusteMES</vt:lpstr>
      <vt:lpstr>cfgCalculoLab</vt:lpstr>
      <vt:lpstr>cfgCalculoPrensa</vt:lpstr>
      <vt:lpstr>cfgDefasagem</vt:lpstr>
      <vt:lpstr>cfgDeslocamento</vt:lpstr>
      <vt:lpstr>cfgFormatoData</vt:lpstr>
      <vt:lpstr>cfgInicioPrensa</vt:lpstr>
      <vt:lpstr>cfgMapaLab</vt:lpstr>
      <vt:lpstr>cfgMapaPrensa</vt:lpstr>
      <vt:lpstr>cfgMinCortes</vt:lpstr>
      <vt:lpstr>cfgPeriodoLab</vt:lpstr>
      <vt:lpstr>cfgPeriodoPrensa</vt:lpstr>
      <vt:lpstr>cfgPrefixo</vt:lpstr>
      <vt:lpstr>cfgServidor</vt:lpstr>
      <vt:lpstr>cfgTagLab</vt:lpstr>
      <vt:lpstr>cfgTagPrensa</vt:lpstr>
      <vt:lpstr>cfgTimeout</vt:lpstr>
      <vt:lpstr>cfgTolerancia</vt:lpstr>
      <vt:lpstr>pnlFim</vt:lpstr>
      <vt:lpstr>pnlInicio</vt:lpstr>
      <vt:lpstr>pnlStatus</vt:lpstr>
    </vt:vector>
  </TitlesOfParts>
  <Company>LCE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Correlação prensa automática x laboratório</dc:title>
  <dc:creator/>
  <cp:lastModifiedBy/>
  <dcterms:created xsi:type="dcterms:W3CDTF">2026-10-29T18:40:58Z</dcterms:created>
  <dcterms:modified xsi:type="dcterms:W3CDTF">2026-10-29T18:40:58Z</dcterms:modified>
</cp:coreProperties>
</file>